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Analysis" sheetId="2" r:id="rId6"/>
    <sheet state="visible" name="Dashboard" sheetId="3" r:id="rId7"/>
  </sheets>
  <definedNames>
    <definedName hidden="1" localSheetId="1" name="_xlnm._FilterDatabase">Analysis!$A$1:$T$3001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<sst xmlns="http://schemas.openxmlformats.org/spreadsheetml/2006/main" count="60139" uniqueCount="12066">
  <si>
    <t>Price</t>
  </si>
  <si>
    <t>Address</t>
  </si>
  <si>
    <t>City</t>
  </si>
  <si>
    <t>Zipcode</t>
  </si>
  <si>
    <t>State</t>
  </si>
  <si>
    <t>Bedrooms</t>
  </si>
  <si>
    <t>Bathrooms</t>
  </si>
  <si>
    <t>Area (sqft)</t>
  </si>
  <si>
    <t>Lot Size(sqft)</t>
  </si>
  <si>
    <t>Year Built</t>
  </si>
  <si>
    <t>Days on Market</t>
  </si>
  <si>
    <t>Property Type</t>
  </si>
  <si>
    <t>MLS ID</t>
  </si>
  <si>
    <t>Listing Agent</t>
  </si>
  <si>
    <t>Status</t>
  </si>
  <si>
    <t>Listing URL</t>
  </si>
  <si>
    <t>$554,217</t>
  </si>
  <si>
    <t>5926 Oak Ave, San Diego, CA 65383</t>
  </si>
  <si>
    <t>San Diego</t>
  </si>
  <si>
    <t>CA</t>
  </si>
  <si>
    <t>1 bds</t>
  </si>
  <si>
    <t>3 ba</t>
  </si>
  <si>
    <t>Townhouse</t>
  </si>
  <si>
    <t>Z104635</t>
  </si>
  <si>
    <t>Alex Johnson - Compass</t>
  </si>
  <si>
    <t>For Sale</t>
  </si>
  <si>
    <t>https://www.zillow.com/homedetails/80374762_zpid/</t>
  </si>
  <si>
    <t>$164,454</t>
  </si>
  <si>
    <t>9583 Oak Ave, Fresno, IL 79339</t>
  </si>
  <si>
    <t>Fresno</t>
  </si>
  <si>
    <t>IL</t>
  </si>
  <si>
    <t>1 ba</t>
  </si>
  <si>
    <t>Apartment</t>
  </si>
  <si>
    <t>Z535721</t>
  </si>
  <si>
    <t>Emily Davis - Century 21</t>
  </si>
  <si>
    <t>Sold</t>
  </si>
  <si>
    <t>https://www.zillow.com/homedetails/86143665_zpid/</t>
  </si>
  <si>
    <t>$1,249,331</t>
  </si>
  <si>
    <t>8224 Oak Ave, Sacramento, TX 87393</t>
  </si>
  <si>
    <t>Sacramento</t>
  </si>
  <si>
    <t>TX</t>
  </si>
  <si>
    <t>6 bds</t>
  </si>
  <si>
    <t>Z900458</t>
  </si>
  <si>
    <t>Mike Lee - Coldwell Banker</t>
  </si>
  <si>
    <t>$189,267</t>
  </si>
  <si>
    <t>232 Oak Ave, Fresno, TX 38666</t>
  </si>
  <si>
    <t>2 bds</t>
  </si>
  <si>
    <t>Z318589</t>
  </si>
  <si>
    <t>John Doe - RE/MAX</t>
  </si>
  <si>
    <t>Pending</t>
  </si>
  <si>
    <t>https://www.zillow.com/homedetails/39318132_zpid/</t>
  </si>
  <si>
    <t>$465,778</t>
  </si>
  <si>
    <t>5446 Pine Rd, Los Angeles, CA 23989</t>
  </si>
  <si>
    <t>Los Angeles</t>
  </si>
  <si>
    <t>3 bds</t>
  </si>
  <si>
    <t>2 ba</t>
  </si>
  <si>
    <t>Z899716</t>
  </si>
  <si>
    <t>https://www.zillow.com/homedetails/22454634_zpid/</t>
  </si>
  <si>
    <t>$738,357</t>
  </si>
  <si>
    <t>9202 Maple Dr, Sacramento, NY 71318</t>
  </si>
  <si>
    <t>NY</t>
  </si>
  <si>
    <t>5 bds</t>
  </si>
  <si>
    <t>Multi-Family</t>
  </si>
  <si>
    <t>Z865468</t>
  </si>
  <si>
    <t>Jane Smith - Keller Williams</t>
  </si>
  <si>
    <t>https://www.zillow.com/homedetails/90690049_zpid/</t>
  </si>
  <si>
    <t>$1,325,395</t>
  </si>
  <si>
    <t>2698 Elm St, Sacramento, NY 57421</t>
  </si>
  <si>
    <t>Z689873</t>
  </si>
  <si>
    <t>https://www.zillow.com/homedetails/99288749_zpid/</t>
  </si>
  <si>
    <t>$1,158,003</t>
  </si>
  <si>
    <t>2118 Main St, San Diego, IL 64361</t>
  </si>
  <si>
    <t>Z329631</t>
  </si>
  <si>
    <t>https://www.zillow.com/homedetails/91922548_zpid/</t>
  </si>
  <si>
    <t>$240,095</t>
  </si>
  <si>
    <t>9474 Main St, San Francisco, FL 13227</t>
  </si>
  <si>
    <t>San Francisco</t>
  </si>
  <si>
    <t>FL</t>
  </si>
  <si>
    <t>Z839936</t>
  </si>
  <si>
    <t>https://www.zillow.com/homedetails/79694016_zpid/</t>
  </si>
  <si>
    <t>$1,356,448</t>
  </si>
  <si>
    <t>8803 Maple Dr, San Diego, NY 57397</t>
  </si>
  <si>
    <t>Z264011</t>
  </si>
  <si>
    <t>https://www.zillow.com/homedetails/13312383_zpid/</t>
  </si>
  <si>
    <t>$678,604</t>
  </si>
  <si>
    <t>7535 Elm St, San Diego, FL 70072</t>
  </si>
  <si>
    <t>Z298501</t>
  </si>
  <si>
    <t>https://www.zillow.com/homedetails/27502592_zpid/</t>
  </si>
  <si>
    <t>$1,264,926</t>
  </si>
  <si>
    <t>413 Main St, Fresno, CA 57401</t>
  </si>
  <si>
    <t>Z282442</t>
  </si>
  <si>
    <t>https://www.zillow.com/homedetails/63532546_zpid/</t>
  </si>
  <si>
    <t>$645,962</t>
  </si>
  <si>
    <t>9692 Maple Dr, Los Angeles, CA 91395</t>
  </si>
  <si>
    <t>4 bds</t>
  </si>
  <si>
    <t>Condo</t>
  </si>
  <si>
    <t>Z855977</t>
  </si>
  <si>
    <t>https://www.zillow.com/homedetails/20308759_zpid/</t>
  </si>
  <si>
    <t>$575,637</t>
  </si>
  <si>
    <t>905 Oak Ave, Sacramento, NY 28568</t>
  </si>
  <si>
    <t>4 ba</t>
  </si>
  <si>
    <t>Z166677</t>
  </si>
  <si>
    <t>https://www.zillow.com/homedetails/36948512_zpid/</t>
  </si>
  <si>
    <t>$507,793</t>
  </si>
  <si>
    <t>8699 Elm St, Fresno, CA 29191</t>
  </si>
  <si>
    <t>Z751795</t>
  </si>
  <si>
    <t>https://www.zillow.com/homedetails/44716305_zpid/</t>
  </si>
  <si>
    <t>$1,171,629</t>
  </si>
  <si>
    <t>2475 Elm St, Sacramento, TX 63853</t>
  </si>
  <si>
    <t>Z325594</t>
  </si>
  <si>
    <t>https://www.zillow.com/homedetails/51686892_zpid/</t>
  </si>
  <si>
    <t>$698,570</t>
  </si>
  <si>
    <t>5887 Oak Ave, Sacramento, CA 57513</t>
  </si>
  <si>
    <t>Z502987</t>
  </si>
  <si>
    <t>https://www.zillow.com/homedetails/13509507_zpid/</t>
  </si>
  <si>
    <t>$534,688</t>
  </si>
  <si>
    <t>3934 Elm St, San Francisco, TX 17359</t>
  </si>
  <si>
    <t>Z726231</t>
  </si>
  <si>
    <t>https://www.zillow.com/homedetails/33809829_zpid/</t>
  </si>
  <si>
    <t>$1,108,288</t>
  </si>
  <si>
    <t>3087 Maple Dr, Los Angeles, NY 11690</t>
  </si>
  <si>
    <t>Z302684</t>
  </si>
  <si>
    <t>https://www.zillow.com/homedetails/72178243_zpid/</t>
  </si>
  <si>
    <t>$1,173,697</t>
  </si>
  <si>
    <t>4360 Maple Dr, Los Angeles, TX 97442</t>
  </si>
  <si>
    <t>Z879412</t>
  </si>
  <si>
    <t>https://www.zillow.com/homedetails/59228209_zpid/</t>
  </si>
  <si>
    <t>$980,716</t>
  </si>
  <si>
    <t>8332 Oak Ave, Los Angeles, IL 12888</t>
  </si>
  <si>
    <t>Z433130</t>
  </si>
  <si>
    <t>https://www.zillow.com/homedetails/80136408_zpid/</t>
  </si>
  <si>
    <t>$527,238</t>
  </si>
  <si>
    <t>4702 Pine Rd, Los Angeles, NY 63443</t>
  </si>
  <si>
    <t>Z835234</t>
  </si>
  <si>
    <t>https://www.zillow.com/homedetails/10224527_zpid/</t>
  </si>
  <si>
    <t>$1,469,257</t>
  </si>
  <si>
    <t>1993 Maple Dr, Fresno, IL 38811</t>
  </si>
  <si>
    <t>Z310222</t>
  </si>
  <si>
    <t>https://www.zillow.com/homedetails/49182882_zpid/</t>
  </si>
  <si>
    <t>$1,381,949</t>
  </si>
  <si>
    <t>9953 Maple Dr, San Francisco, TX 33081</t>
  </si>
  <si>
    <t>Single Family</t>
  </si>
  <si>
    <t>Z166756</t>
  </si>
  <si>
    <t>https://www.zillow.com/homedetails/28976445_zpid/</t>
  </si>
  <si>
    <t>$898,597</t>
  </si>
  <si>
    <t>3530 Oak Ave, Sacramento, FL 16851</t>
  </si>
  <si>
    <t>Z574837</t>
  </si>
  <si>
    <t>https://www.zillow.com/homedetails/85797272_zpid/</t>
  </si>
  <si>
    <t>$1,335,481</t>
  </si>
  <si>
    <t>8606 Main St, Los Angeles, IL 31581</t>
  </si>
  <si>
    <t>Z227123</t>
  </si>
  <si>
    <t>https://www.zillow.com/homedetails/73771597_zpid/</t>
  </si>
  <si>
    <t>$1,444,036</t>
  </si>
  <si>
    <t>517 Elm St, San Diego, CA 73665</t>
  </si>
  <si>
    <t>Z964910</t>
  </si>
  <si>
    <t>https://www.zillow.com/homedetails/87129932_zpid/</t>
  </si>
  <si>
    <t>$831,525</t>
  </si>
  <si>
    <t>982 Oak Ave, Sacramento, CA 45375</t>
  </si>
  <si>
    <t>Z275900</t>
  </si>
  <si>
    <t>https://www.zillow.com/homedetails/87871884_zpid/</t>
  </si>
  <si>
    <t>$911,317</t>
  </si>
  <si>
    <t>7675 Maple Dr, Los Angeles, NY 25618</t>
  </si>
  <si>
    <t>Z313548</t>
  </si>
  <si>
    <t>https://www.zillow.com/homedetails/28093606_zpid/</t>
  </si>
  <si>
    <t>$858,386</t>
  </si>
  <si>
    <t>1580 Elm St, San Francisco, FL 11309</t>
  </si>
  <si>
    <t>Z747104</t>
  </si>
  <si>
    <t>https://www.zillow.com/homedetails/97041337_zpid/</t>
  </si>
  <si>
    <t>$705,506</t>
  </si>
  <si>
    <t>8382 Main St, Sacramento, CA 74703</t>
  </si>
  <si>
    <t>Z131077</t>
  </si>
  <si>
    <t>https://www.zillow.com/homedetails/11583738_zpid/</t>
  </si>
  <si>
    <t>$1,461,297</t>
  </si>
  <si>
    <t>1193 Oak Ave, San Diego, NY 19858</t>
  </si>
  <si>
    <t>Z713668</t>
  </si>
  <si>
    <t>https://www.zillow.com/homedetails/53525900_zpid/</t>
  </si>
  <si>
    <t>$630,339</t>
  </si>
  <si>
    <t>4020 Elm St, San Diego, IL 93752</t>
  </si>
  <si>
    <t>Z221816</t>
  </si>
  <si>
    <t>https://www.zillow.com/homedetails/67849427_zpid/</t>
  </si>
  <si>
    <t>$268,142</t>
  </si>
  <si>
    <t>7473 Maple Dr, Los Angeles, CA 61325</t>
  </si>
  <si>
    <t>Z231590</t>
  </si>
  <si>
    <t>https://www.zillow.com/homedetails/97057722_zpid/</t>
  </si>
  <si>
    <t>$1,250,016</t>
  </si>
  <si>
    <t>4820 Pine Rd, San Francisco, NY 44242</t>
  </si>
  <si>
    <t>Z326594</t>
  </si>
  <si>
    <t>https://www.zillow.com/homedetails/28415062_zpid/</t>
  </si>
  <si>
    <t>$1,231,600</t>
  </si>
  <si>
    <t>345 Elm St, San Diego, CA 65902</t>
  </si>
  <si>
    <t>Z651394</t>
  </si>
  <si>
    <t>https://www.zillow.com/homedetails/60421528_zpid/</t>
  </si>
  <si>
    <t>$1,073,723</t>
  </si>
  <si>
    <t>5156 Maple Dr, San Diego, NY 70313</t>
  </si>
  <si>
    <t>Z163650</t>
  </si>
  <si>
    <t>https://www.zillow.com/homedetails/11216378_zpid/</t>
  </si>
  <si>
    <t>$1,353,530</t>
  </si>
  <si>
    <t>9323 Maple Dr, Los Angeles, FL 59381</t>
  </si>
  <si>
    <t>Z669827</t>
  </si>
  <si>
    <t>https://www.zillow.com/homedetails/86551568_zpid/</t>
  </si>
  <si>
    <t>$272,592</t>
  </si>
  <si>
    <t>9346 Pine Rd, San Diego, CA 22610</t>
  </si>
  <si>
    <t>Z730220</t>
  </si>
  <si>
    <t>https://www.zillow.com/homedetails/79022078_zpid/</t>
  </si>
  <si>
    <t>$1,401,287</t>
  </si>
  <si>
    <t>5261 Pine Rd, Los Angeles, NY 89328</t>
  </si>
  <si>
    <t>Z599881</t>
  </si>
  <si>
    <t>https://www.zillow.com/homedetails/10948760_zpid/</t>
  </si>
  <si>
    <t>$255,138</t>
  </si>
  <si>
    <t>9841 Main St, San Diego, FL 57088</t>
  </si>
  <si>
    <t>Z483947</t>
  </si>
  <si>
    <t>https://www.zillow.com/homedetails/15020408_zpid/</t>
  </si>
  <si>
    <t>$235,690</t>
  </si>
  <si>
    <t>5061 Main St, San Francisco, FL 35239</t>
  </si>
  <si>
    <t>Z136454</t>
  </si>
  <si>
    <t>https://www.zillow.com/homedetails/70627429_zpid/</t>
  </si>
  <si>
    <t>$1,286,157</t>
  </si>
  <si>
    <t>8009 Main St, San Diego, CA 66947</t>
  </si>
  <si>
    <t>Z337688</t>
  </si>
  <si>
    <t>https://www.zillow.com/homedetails/80814732_zpid/</t>
  </si>
  <si>
    <t>$1,197,675</t>
  </si>
  <si>
    <t>9066 Pine Rd, Sacramento, CA 70379</t>
  </si>
  <si>
    <t>Z830009</t>
  </si>
  <si>
    <t>https://www.zillow.com/homedetails/64623224_zpid/</t>
  </si>
  <si>
    <t>$130,113</t>
  </si>
  <si>
    <t>2635 Main St, San Diego, IL 37297</t>
  </si>
  <si>
    <t>Z946321</t>
  </si>
  <si>
    <t>https://www.zillow.com/homedetails/89838030_zpid/</t>
  </si>
  <si>
    <t>$327,247</t>
  </si>
  <si>
    <t>9343 Main St, San Francisco, FL 71862</t>
  </si>
  <si>
    <t>Z966437</t>
  </si>
  <si>
    <t>https://www.zillow.com/homedetails/26155023_zpid/</t>
  </si>
  <si>
    <t>$1,253,172</t>
  </si>
  <si>
    <t>3200 Maple Dr, Sacramento, NY 54468</t>
  </si>
  <si>
    <t>Z939241</t>
  </si>
  <si>
    <t>https://www.zillow.com/homedetails/75249158_zpid/</t>
  </si>
  <si>
    <t>$947,261</t>
  </si>
  <si>
    <t>9129 Elm St, San Diego, CA 40064</t>
  </si>
  <si>
    <t>Z390811</t>
  </si>
  <si>
    <t>https://www.zillow.com/homedetails/53072925_zpid/</t>
  </si>
  <si>
    <t>$928,085</t>
  </si>
  <si>
    <t>1644 Oak Ave, Sacramento, FL 54502</t>
  </si>
  <si>
    <t>Z300717</t>
  </si>
  <si>
    <t>https://www.zillow.com/homedetails/80963474_zpid/</t>
  </si>
  <si>
    <t>$1,075,059</t>
  </si>
  <si>
    <t>8001 Elm St, Fresno, CA 26896</t>
  </si>
  <si>
    <t>Z980388</t>
  </si>
  <si>
    <t>https://www.zillow.com/homedetails/27244920_zpid/</t>
  </si>
  <si>
    <t>$704,012</t>
  </si>
  <si>
    <t>9681 Maple Dr, San Francisco, TX 39228</t>
  </si>
  <si>
    <t>Z133221</t>
  </si>
  <si>
    <t>https://www.zillow.com/homedetails/91736373_zpid/</t>
  </si>
  <si>
    <t>$894,851</t>
  </si>
  <si>
    <t>850 Maple Dr, Los Angeles, NY 25964</t>
  </si>
  <si>
    <t>Z145933</t>
  </si>
  <si>
    <t>https://www.zillow.com/homedetails/56149044_zpid/</t>
  </si>
  <si>
    <t>$1,062,706</t>
  </si>
  <si>
    <t>385 Maple Dr, San Diego, FL 61792</t>
  </si>
  <si>
    <t>Z362904</t>
  </si>
  <si>
    <t>https://www.zillow.com/homedetails/25130597_zpid/</t>
  </si>
  <si>
    <t>$1,293,272</t>
  </si>
  <si>
    <t>2669 Oak Ave, San Diego, TX 91305</t>
  </si>
  <si>
    <t>Z764655</t>
  </si>
  <si>
    <t>https://www.zillow.com/homedetails/22799694_zpid/</t>
  </si>
  <si>
    <t>$121,941</t>
  </si>
  <si>
    <t>1352 Main St, San Diego, IL 79089</t>
  </si>
  <si>
    <t>Z140940</t>
  </si>
  <si>
    <t>https://www.zillow.com/homedetails/90979067_zpid/</t>
  </si>
  <si>
    <t>$1,054,157</t>
  </si>
  <si>
    <t>1966 Pine Rd, Los Angeles, CA 69291</t>
  </si>
  <si>
    <t>Z995727</t>
  </si>
  <si>
    <t>https://www.zillow.com/homedetails/65001974_zpid/</t>
  </si>
  <si>
    <t>$1,064,596</t>
  </si>
  <si>
    <t>593 Main St, San Francisco, FL 88366</t>
  </si>
  <si>
    <t>Z348439</t>
  </si>
  <si>
    <t>https://www.zillow.com/homedetails/32697233_zpid/</t>
  </si>
  <si>
    <t>$1,301,207</t>
  </si>
  <si>
    <t>1732 Pine Rd, Sacramento, TX 97624</t>
  </si>
  <si>
    <t>Z524275</t>
  </si>
  <si>
    <t>https://www.zillow.com/homedetails/32608021_zpid/</t>
  </si>
  <si>
    <t>$1,429,718</t>
  </si>
  <si>
    <t>3811 Elm St, San Francisco, FL 87038</t>
  </si>
  <si>
    <t>Z390055</t>
  </si>
  <si>
    <t>https://www.zillow.com/homedetails/14815014_zpid/</t>
  </si>
  <si>
    <t>$570,284</t>
  </si>
  <si>
    <t>8985 Main St, Sacramento, CA 71760</t>
  </si>
  <si>
    <t>Z262315</t>
  </si>
  <si>
    <t>https://www.zillow.com/homedetails/68902370_zpid/</t>
  </si>
  <si>
    <t>$136,498</t>
  </si>
  <si>
    <t>6616 Oak Ave, Los Angeles, CA 60339</t>
  </si>
  <si>
    <t>Z855466</t>
  </si>
  <si>
    <t>https://www.zillow.com/homedetails/34962013_zpid/</t>
  </si>
  <si>
    <t>$1,118,129</t>
  </si>
  <si>
    <t>9346 Elm St, San Diego, CA 47852</t>
  </si>
  <si>
    <t>Z679889</t>
  </si>
  <si>
    <t>https://www.zillow.com/homedetails/24420078_zpid/</t>
  </si>
  <si>
    <t>$348,881</t>
  </si>
  <si>
    <t>7692 Elm St, Los Angeles, NY 20582</t>
  </si>
  <si>
    <t>Z742779</t>
  </si>
  <si>
    <t>https://www.zillow.com/homedetails/67235291_zpid/</t>
  </si>
  <si>
    <t>$1,224,280</t>
  </si>
  <si>
    <t>7234 Oak Ave, San Diego, CA 87797</t>
  </si>
  <si>
    <t>Z816201</t>
  </si>
  <si>
    <t>https://www.zillow.com/homedetails/21741002_zpid/</t>
  </si>
  <si>
    <t>$435,555</t>
  </si>
  <si>
    <t>2047 Main St, Los Angeles, FL 17654</t>
  </si>
  <si>
    <t>Z524082</t>
  </si>
  <si>
    <t>https://www.zillow.com/homedetails/99627530_zpid/</t>
  </si>
  <si>
    <t>$1,142,134</t>
  </si>
  <si>
    <t>154 Main St, Los Angeles, NY 76220</t>
  </si>
  <si>
    <t>Z448583</t>
  </si>
  <si>
    <t>https://www.zillow.com/homedetails/93410968_zpid/</t>
  </si>
  <si>
    <t>$929,862</t>
  </si>
  <si>
    <t>9343 Maple Dr, Sacramento, NY 27909</t>
  </si>
  <si>
    <t>Z235580</t>
  </si>
  <si>
    <t>https://www.zillow.com/homedetails/31477708_zpid/</t>
  </si>
  <si>
    <t>$557,894</t>
  </si>
  <si>
    <t>7038 Elm St, Fresno, IL 52141</t>
  </si>
  <si>
    <t>Z989654</t>
  </si>
  <si>
    <t>https://www.zillow.com/homedetails/40555330_zpid/</t>
  </si>
  <si>
    <t>$282,593</t>
  </si>
  <si>
    <t>8789 Oak Ave, San Francisco, TX 99388</t>
  </si>
  <si>
    <t>Z620042</t>
  </si>
  <si>
    <t>https://www.zillow.com/homedetails/54960619_zpid/</t>
  </si>
  <si>
    <t>$390,371</t>
  </si>
  <si>
    <t>524 Elm St, Sacramento, NY 74756</t>
  </si>
  <si>
    <t>Z449768</t>
  </si>
  <si>
    <t>https://www.zillow.com/homedetails/51539232_zpid/</t>
  </si>
  <si>
    <t>$1,103,898</t>
  </si>
  <si>
    <t>8234 Elm St, Sacramento, TX 36251</t>
  </si>
  <si>
    <t>Z738821</t>
  </si>
  <si>
    <t>https://www.zillow.com/homedetails/99412177_zpid/</t>
  </si>
  <si>
    <t>$324,492</t>
  </si>
  <si>
    <t>841 Maple Dr, Fresno, FL 78532</t>
  </si>
  <si>
    <t>Z328126</t>
  </si>
  <si>
    <t>https://www.zillow.com/homedetails/90864559_zpid/</t>
  </si>
  <si>
    <t>$442,170</t>
  </si>
  <si>
    <t>464 Pine Rd, San Francisco, CA 63085</t>
  </si>
  <si>
    <t>Z193241</t>
  </si>
  <si>
    <t>https://www.zillow.com/homedetails/52606141_zpid/</t>
  </si>
  <si>
    <t>$1,081,035</t>
  </si>
  <si>
    <t>7627 Main St, Los Angeles, NY 23864</t>
  </si>
  <si>
    <t>Z142018</t>
  </si>
  <si>
    <t>https://www.zillow.com/homedetails/53294841_zpid/</t>
  </si>
  <si>
    <t>$249,975</t>
  </si>
  <si>
    <t>2204 Pine Rd, Fresno, TX 21440</t>
  </si>
  <si>
    <t>Z997581</t>
  </si>
  <si>
    <t>https://www.zillow.com/homedetails/31949828_zpid/</t>
  </si>
  <si>
    <t>$754,480</t>
  </si>
  <si>
    <t>522 Main St, San Diego, IL 83545</t>
  </si>
  <si>
    <t>Z763768</t>
  </si>
  <si>
    <t>https://www.zillow.com/homedetails/67571739_zpid/</t>
  </si>
  <si>
    <t>$362,957</t>
  </si>
  <si>
    <t>5171 Pine Rd, Los Angeles, IL 39506</t>
  </si>
  <si>
    <t>Z869944</t>
  </si>
  <si>
    <t>https://www.zillow.com/homedetails/36246636_zpid/</t>
  </si>
  <si>
    <t>$1,387,573</t>
  </si>
  <si>
    <t>3305 Main St, San Diego, IL 98587</t>
  </si>
  <si>
    <t>Z148977</t>
  </si>
  <si>
    <t>https://www.zillow.com/homedetails/29097953_zpid/</t>
  </si>
  <si>
    <t>$1,257,567</t>
  </si>
  <si>
    <t>3106 Oak Ave, Fresno, IL 66989</t>
  </si>
  <si>
    <t>Z842773</t>
  </si>
  <si>
    <t>https://www.zillow.com/homedetails/67020386_zpid/</t>
  </si>
  <si>
    <t>$1,217,931</t>
  </si>
  <si>
    <t>9646 Main St, San Diego, IL 55101</t>
  </si>
  <si>
    <t>Z318081</t>
  </si>
  <si>
    <t>https://www.zillow.com/homedetails/40390099_zpid/</t>
  </si>
  <si>
    <t>$1,369,617</t>
  </si>
  <si>
    <t>3673 Maple Dr, San Diego, FL 35654</t>
  </si>
  <si>
    <t>Z397159</t>
  </si>
  <si>
    <t>https://www.zillow.com/homedetails/62845138_zpid/</t>
  </si>
  <si>
    <t>$1,367,380</t>
  </si>
  <si>
    <t>6206 Main St, Los Angeles, FL 28260</t>
  </si>
  <si>
    <t>Z977398</t>
  </si>
  <si>
    <t>https://www.zillow.com/homedetails/12512256_zpid/</t>
  </si>
  <si>
    <t>$653,513</t>
  </si>
  <si>
    <t>905 Main St, San Francisco, CA 24367</t>
  </si>
  <si>
    <t>Z684717</t>
  </si>
  <si>
    <t>https://www.zillow.com/homedetails/12804298_zpid/</t>
  </si>
  <si>
    <t>$1,052,313</t>
  </si>
  <si>
    <t>5501 Oak Ave, Sacramento, IL 37372</t>
  </si>
  <si>
    <t>Z233641</t>
  </si>
  <si>
    <t>https://www.zillow.com/homedetails/21134887_zpid/</t>
  </si>
  <si>
    <t>$1,402,065</t>
  </si>
  <si>
    <t>6181 Main St, Fresno, NY 10445</t>
  </si>
  <si>
    <t>Z290319</t>
  </si>
  <si>
    <t>https://www.zillow.com/homedetails/87766197_zpid/</t>
  </si>
  <si>
    <t>$258,025</t>
  </si>
  <si>
    <t>6288 Main St, Sacramento, TX 11097</t>
  </si>
  <si>
    <t>Z231870</t>
  </si>
  <si>
    <t>https://www.zillow.com/homedetails/61602434_zpid/</t>
  </si>
  <si>
    <t>$1,346,411</t>
  </si>
  <si>
    <t>3168 Maple Dr, San Francisco, FL 48078</t>
  </si>
  <si>
    <t>Z682312</t>
  </si>
  <si>
    <t>https://www.zillow.com/homedetails/52005125_zpid/</t>
  </si>
  <si>
    <t>$765,276</t>
  </si>
  <si>
    <t>5750 Oak Ave, Fresno, TX 55038</t>
  </si>
  <si>
    <t>Z339506</t>
  </si>
  <si>
    <t>https://www.zillow.com/homedetails/37403351_zpid/</t>
  </si>
  <si>
    <t>$1,478,929</t>
  </si>
  <si>
    <t>8073 Maple Dr, Los Angeles, NY 48984</t>
  </si>
  <si>
    <t>Z394602</t>
  </si>
  <si>
    <t>https://www.zillow.com/homedetails/18168823_zpid/</t>
  </si>
  <si>
    <t>$616,741</t>
  </si>
  <si>
    <t>1911 Oak Ave, Fresno, FL 92471</t>
  </si>
  <si>
    <t>Z234529</t>
  </si>
  <si>
    <t>https://www.zillow.com/homedetails/98621713_zpid/</t>
  </si>
  <si>
    <t>$1,089,190</t>
  </si>
  <si>
    <t>2771 Main St, San Francisco, CA 93992</t>
  </si>
  <si>
    <t>Z164322</t>
  </si>
  <si>
    <t>https://www.zillow.com/homedetails/99214969_zpid/</t>
  </si>
  <si>
    <t>$733,862</t>
  </si>
  <si>
    <t>2973 Maple Dr, Sacramento, IL 94674</t>
  </si>
  <si>
    <t>Z301609</t>
  </si>
  <si>
    <t>https://www.zillow.com/homedetails/21392259_zpid/</t>
  </si>
  <si>
    <t>$367,764</t>
  </si>
  <si>
    <t>4172 Pine Rd, San Diego, NY 60724</t>
  </si>
  <si>
    <t>Z564259</t>
  </si>
  <si>
    <t>https://www.zillow.com/homedetails/82806416_zpid/</t>
  </si>
  <si>
    <t>$890,978</t>
  </si>
  <si>
    <t>4942 Maple Dr, Sacramento, IL 80299</t>
  </si>
  <si>
    <t>Z638431</t>
  </si>
  <si>
    <t>https://www.zillow.com/homedetails/42067503_zpid/</t>
  </si>
  <si>
    <t>$139,928</t>
  </si>
  <si>
    <t>7283 Pine Rd, San Francisco, CA 63039</t>
  </si>
  <si>
    <t>Z162140</t>
  </si>
  <si>
    <t>https://www.zillow.com/homedetails/93007422_zpid/</t>
  </si>
  <si>
    <t>$574,704</t>
  </si>
  <si>
    <t>1976 Maple Dr, Los Angeles, NY 88108</t>
  </si>
  <si>
    <t>Z931659</t>
  </si>
  <si>
    <t>https://www.zillow.com/homedetails/69761172_zpid/</t>
  </si>
  <si>
    <t>$454,473</t>
  </si>
  <si>
    <t>9341 Oak Ave, Fresno, IL 64486</t>
  </si>
  <si>
    <t>Z817902</t>
  </si>
  <si>
    <t>https://www.zillow.com/homedetails/80566392_zpid/</t>
  </si>
  <si>
    <t>$548,614</t>
  </si>
  <si>
    <t>8859 Pine Rd, Sacramento, IL 85891</t>
  </si>
  <si>
    <t>Z525763</t>
  </si>
  <si>
    <t>https://www.zillow.com/homedetails/69861230_zpid/</t>
  </si>
  <si>
    <t>$741,710</t>
  </si>
  <si>
    <t>8545 Pine Rd, Sacramento, CA 61514</t>
  </si>
  <si>
    <t>Z342636</t>
  </si>
  <si>
    <t>https://www.zillow.com/homedetails/70258640_zpid/</t>
  </si>
  <si>
    <t>$1,300,809</t>
  </si>
  <si>
    <t>9922 Oak Ave, San Francisco, CA 84532</t>
  </si>
  <si>
    <t>Z717722</t>
  </si>
  <si>
    <t>https://www.zillow.com/homedetails/41247190_zpid/</t>
  </si>
  <si>
    <t>$347,172</t>
  </si>
  <si>
    <t>8940 Pine Rd, Los Angeles, CA 66497</t>
  </si>
  <si>
    <t>Z643800</t>
  </si>
  <si>
    <t>https://www.zillow.com/homedetails/32269306_zpid/</t>
  </si>
  <si>
    <t>$843,750</t>
  </si>
  <si>
    <t>3857 Maple Dr, Fresno, CA 46631</t>
  </si>
  <si>
    <t>Z112914</t>
  </si>
  <si>
    <t>https://www.zillow.com/homedetails/30002415_zpid/</t>
  </si>
  <si>
    <t>$833,347</t>
  </si>
  <si>
    <t>1117 Oak Ave, San Diego, TX 87642</t>
  </si>
  <si>
    <t>Z789934</t>
  </si>
  <si>
    <t>https://www.zillow.com/homedetails/48981879_zpid/</t>
  </si>
  <si>
    <t>$1,440,759</t>
  </si>
  <si>
    <t>4328 Pine Rd, San Diego, TX 55033</t>
  </si>
  <si>
    <t>Z833664</t>
  </si>
  <si>
    <t>https://www.zillow.com/homedetails/85637983_zpid/</t>
  </si>
  <si>
    <t>$1,100,894</t>
  </si>
  <si>
    <t>9353 Elm St, San Diego, NY 59136</t>
  </si>
  <si>
    <t>Z496728</t>
  </si>
  <si>
    <t>https://www.zillow.com/homedetails/11680183_zpid/</t>
  </si>
  <si>
    <t>$671,356</t>
  </si>
  <si>
    <t>2287 Main St, San Francisco, IL 80680</t>
  </si>
  <si>
    <t>Z994774</t>
  </si>
  <si>
    <t>https://www.zillow.com/homedetails/89067194_zpid/</t>
  </si>
  <si>
    <t>$1,194,026</t>
  </si>
  <si>
    <t>5875 Maple Dr, Los Angeles, IL 55266</t>
  </si>
  <si>
    <t>Z780138</t>
  </si>
  <si>
    <t>https://www.zillow.com/homedetails/71566882_zpid/</t>
  </si>
  <si>
    <t>$258,887</t>
  </si>
  <si>
    <t>5539 Elm St, Los Angeles, IL 85581</t>
  </si>
  <si>
    <t>Z538065</t>
  </si>
  <si>
    <t>https://www.zillow.com/homedetails/90097222_zpid/</t>
  </si>
  <si>
    <t>$204,548</t>
  </si>
  <si>
    <t>7245 Main St, San Francisco, NY 35785</t>
  </si>
  <si>
    <t>Z390085</t>
  </si>
  <si>
    <t>https://www.zillow.com/homedetails/10012926_zpid/</t>
  </si>
  <si>
    <t>$1,167,370</t>
  </si>
  <si>
    <t>443 Pine Rd, Fresno, IL 26151</t>
  </si>
  <si>
    <t>Z390961</t>
  </si>
  <si>
    <t>https://www.zillow.com/homedetails/37361488_zpid/</t>
  </si>
  <si>
    <t>$1,009,558</t>
  </si>
  <si>
    <t>3387 Main St, Sacramento, NY 86748</t>
  </si>
  <si>
    <t>Z779303</t>
  </si>
  <si>
    <t>https://www.zillow.com/homedetails/26796472_zpid/</t>
  </si>
  <si>
    <t>$1,256,611</t>
  </si>
  <si>
    <t>3492 Pine Rd, Sacramento, CA 23389</t>
  </si>
  <si>
    <t>Z587830</t>
  </si>
  <si>
    <t>https://www.zillow.com/homedetails/49418562_zpid/</t>
  </si>
  <si>
    <t>$439,407</t>
  </si>
  <si>
    <t>1157 Pine Rd, San Francisco, IL 97204</t>
  </si>
  <si>
    <t>Z685882</t>
  </si>
  <si>
    <t>https://www.zillow.com/homedetails/10261704_zpid/</t>
  </si>
  <si>
    <t>$115,004</t>
  </si>
  <si>
    <t>4143 Main St, San Francisco, FL 28572</t>
  </si>
  <si>
    <t>Z451420</t>
  </si>
  <si>
    <t>https://www.zillow.com/homedetails/97808016_zpid/</t>
  </si>
  <si>
    <t>$204,351</t>
  </si>
  <si>
    <t>7772 Maple Dr, Los Angeles, NY 94493</t>
  </si>
  <si>
    <t>Z599335</t>
  </si>
  <si>
    <t>https://www.zillow.com/homedetails/66627268_zpid/</t>
  </si>
  <si>
    <t>$231,952</t>
  </si>
  <si>
    <t>8632 Main St, San Francisco, CA 99466</t>
  </si>
  <si>
    <t>Z899336</t>
  </si>
  <si>
    <t>https://www.zillow.com/homedetails/87998585_zpid/</t>
  </si>
  <si>
    <t>$1,451,974</t>
  </si>
  <si>
    <t>452 Elm St, Sacramento, CA 79802</t>
  </si>
  <si>
    <t>Z161703</t>
  </si>
  <si>
    <t>https://www.zillow.com/homedetails/53014471_zpid/</t>
  </si>
  <si>
    <t>$970,820</t>
  </si>
  <si>
    <t>865 Maple Dr, Sacramento, CA 97567</t>
  </si>
  <si>
    <t>Z865226</t>
  </si>
  <si>
    <t>https://www.zillow.com/homedetails/15525784_zpid/</t>
  </si>
  <si>
    <t>$327,979</t>
  </si>
  <si>
    <t>9729 Main St, San Francisco, TX 93091</t>
  </si>
  <si>
    <t>Z667921</t>
  </si>
  <si>
    <t>https://www.zillow.com/homedetails/42028923_zpid/</t>
  </si>
  <si>
    <t>$1,277,005</t>
  </si>
  <si>
    <t>5556 Pine Rd, Fresno, IL 69229</t>
  </si>
  <si>
    <t>Z585705</t>
  </si>
  <si>
    <t>https://www.zillow.com/homedetails/38769368_zpid/</t>
  </si>
  <si>
    <t>$1,411,376</t>
  </si>
  <si>
    <t>4212 Main St, San Diego, NY 94614</t>
  </si>
  <si>
    <t>Z917501</t>
  </si>
  <si>
    <t>https://www.zillow.com/homedetails/34103637_zpid/</t>
  </si>
  <si>
    <t>$603,748</t>
  </si>
  <si>
    <t>3726 Maple Dr, San Diego, IL 67157</t>
  </si>
  <si>
    <t>Z634496</t>
  </si>
  <si>
    <t>https://www.zillow.com/homedetails/19035747_zpid/</t>
  </si>
  <si>
    <t>$1,388,656</t>
  </si>
  <si>
    <t>4533 Oak Ave, Sacramento, NY 23470</t>
  </si>
  <si>
    <t>Z463975</t>
  </si>
  <si>
    <t>https://www.zillow.com/homedetails/97744318_zpid/</t>
  </si>
  <si>
    <t>$190,705</t>
  </si>
  <si>
    <t>7296 Oak Ave, Fresno, NY 98601</t>
  </si>
  <si>
    <t>Z359735</t>
  </si>
  <si>
    <t>https://www.zillow.com/homedetails/14969714_zpid/</t>
  </si>
  <si>
    <t>$878,059</t>
  </si>
  <si>
    <t>6411 Pine Rd, Sacramento, NY 39637</t>
  </si>
  <si>
    <t>Z406763</t>
  </si>
  <si>
    <t>https://www.zillow.com/homedetails/19382279_zpid/</t>
  </si>
  <si>
    <t>$581,015</t>
  </si>
  <si>
    <t>1316 Pine Rd, San Diego, CA 76613</t>
  </si>
  <si>
    <t>Z389002</t>
  </si>
  <si>
    <t>https://www.zillow.com/homedetails/82729700_zpid/</t>
  </si>
  <si>
    <t>$1,129,910</t>
  </si>
  <si>
    <t>8115 Elm St, San Francisco, CA 48137</t>
  </si>
  <si>
    <t>Z862980</t>
  </si>
  <si>
    <t>https://www.zillow.com/homedetails/84916192_zpid/</t>
  </si>
  <si>
    <t>$1,122,084</t>
  </si>
  <si>
    <t>6791 Oak Ave, San Diego, NY 80136</t>
  </si>
  <si>
    <t>Z214122</t>
  </si>
  <si>
    <t>https://www.zillow.com/homedetails/21817421_zpid/</t>
  </si>
  <si>
    <t>$903,726</t>
  </si>
  <si>
    <t>1064 Main St, Los Angeles, FL 42568</t>
  </si>
  <si>
    <t>Z258075</t>
  </si>
  <si>
    <t>https://www.zillow.com/homedetails/89400849_zpid/</t>
  </si>
  <si>
    <t>$242,071</t>
  </si>
  <si>
    <t>1518 Oak Ave, Los Angeles, IL 32340</t>
  </si>
  <si>
    <t>Z805629</t>
  </si>
  <si>
    <t>https://www.zillow.com/homedetails/25743431_zpid/</t>
  </si>
  <si>
    <t>$208,486</t>
  </si>
  <si>
    <t>5562 Main St, Los Angeles, CA 30265</t>
  </si>
  <si>
    <t>Z516300</t>
  </si>
  <si>
    <t>https://www.zillow.com/homedetails/75475550_zpid/</t>
  </si>
  <si>
    <t>$860,219</t>
  </si>
  <si>
    <t>843 Oak Ave, San Francisco, NY 88019</t>
  </si>
  <si>
    <t>Z658626</t>
  </si>
  <si>
    <t>https://www.zillow.com/homedetails/96659884_zpid/</t>
  </si>
  <si>
    <t>$215,904</t>
  </si>
  <si>
    <t>1429 Main St, San Diego, TX 63640</t>
  </si>
  <si>
    <t>Z501809</t>
  </si>
  <si>
    <t>https://www.zillow.com/homedetails/56060547_zpid/</t>
  </si>
  <si>
    <t>$1,355,937</t>
  </si>
  <si>
    <t>964 Main St, Sacramento, CA 72385</t>
  </si>
  <si>
    <t>Z183363</t>
  </si>
  <si>
    <t>https://www.zillow.com/homedetails/40199580_zpid/</t>
  </si>
  <si>
    <t>$100,866</t>
  </si>
  <si>
    <t>1395 Elm St, Fresno, NY 47843</t>
  </si>
  <si>
    <t>Z577065</t>
  </si>
  <si>
    <t>https://www.zillow.com/homedetails/30581753_zpid/</t>
  </si>
  <si>
    <t>$1,131,957</t>
  </si>
  <si>
    <t>2385 Main St, San Francisco, IL 63077</t>
  </si>
  <si>
    <t>Z683856</t>
  </si>
  <si>
    <t>https://www.zillow.com/homedetails/92015331_zpid/</t>
  </si>
  <si>
    <t>$441,645</t>
  </si>
  <si>
    <t>2130 Oak Ave, San Diego, CA 32946</t>
  </si>
  <si>
    <t>Z284002</t>
  </si>
  <si>
    <t>https://www.zillow.com/homedetails/18950527_zpid/</t>
  </si>
  <si>
    <t>$1,296,346</t>
  </si>
  <si>
    <t>9703 Elm St, Los Angeles, FL 24352</t>
  </si>
  <si>
    <t>Z121731</t>
  </si>
  <si>
    <t>https://www.zillow.com/homedetails/14001693_zpid/</t>
  </si>
  <si>
    <t>$162,697</t>
  </si>
  <si>
    <t>7322 Oak Ave, Sacramento, IL 32785</t>
  </si>
  <si>
    <t>Z238874</t>
  </si>
  <si>
    <t>https://www.zillow.com/homedetails/46928623_zpid/</t>
  </si>
  <si>
    <t>$233,832</t>
  </si>
  <si>
    <t>2986 Main St, Los Angeles, IL 39301</t>
  </si>
  <si>
    <t>Z175452</t>
  </si>
  <si>
    <t>https://www.zillow.com/homedetails/39485675_zpid/</t>
  </si>
  <si>
    <t>$946,472</t>
  </si>
  <si>
    <t>4835 Maple Dr, Fresno, CA 28333</t>
  </si>
  <si>
    <t>Z266179</t>
  </si>
  <si>
    <t>https://www.zillow.com/homedetails/92798365_zpid/</t>
  </si>
  <si>
    <t>$339,864</t>
  </si>
  <si>
    <t>3637 Pine Rd, Fresno, FL 63885</t>
  </si>
  <si>
    <t>Z187704</t>
  </si>
  <si>
    <t>https://www.zillow.com/homedetails/90340529_zpid/</t>
  </si>
  <si>
    <t>$996,664</t>
  </si>
  <si>
    <t>3546 Oak Ave, San Diego, CA 79681</t>
  </si>
  <si>
    <t>Z196514</t>
  </si>
  <si>
    <t>https://www.zillow.com/homedetails/93999179_zpid/</t>
  </si>
  <si>
    <t>$891,575</t>
  </si>
  <si>
    <t>6259 Pine Rd, Sacramento, FL 96050</t>
  </si>
  <si>
    <t>Z255382</t>
  </si>
  <si>
    <t>https://www.zillow.com/homedetails/68413603_zpid/</t>
  </si>
  <si>
    <t>$725,711</t>
  </si>
  <si>
    <t>4733 Pine Rd, San Francisco, CA 11339</t>
  </si>
  <si>
    <t>Z263730</t>
  </si>
  <si>
    <t>https://www.zillow.com/homedetails/84820774_zpid/</t>
  </si>
  <si>
    <t>$644,055</t>
  </si>
  <si>
    <t>3551 Pine Rd, Fresno, NY 36556</t>
  </si>
  <si>
    <t>Z696107</t>
  </si>
  <si>
    <t>https://www.zillow.com/homedetails/22737175_zpid/</t>
  </si>
  <si>
    <t>$493,145</t>
  </si>
  <si>
    <t>9227 Maple Dr, Fresno, TX 95106</t>
  </si>
  <si>
    <t>Z864815</t>
  </si>
  <si>
    <t>https://www.zillow.com/homedetails/44218389_zpid/</t>
  </si>
  <si>
    <t>$204,309</t>
  </si>
  <si>
    <t>8849 Oak Ave, San Francisco, NY 54311</t>
  </si>
  <si>
    <t>Z646579</t>
  </si>
  <si>
    <t>https://www.zillow.com/homedetails/71590666_zpid/</t>
  </si>
  <si>
    <t>$517,031</t>
  </si>
  <si>
    <t>7762 Pine Rd, San Francisco, IL 16056</t>
  </si>
  <si>
    <t>Z416621</t>
  </si>
  <si>
    <t>https://www.zillow.com/homedetails/95600429_zpid/</t>
  </si>
  <si>
    <t>$1,204,990</t>
  </si>
  <si>
    <t>7537 Oak Ave, San Francisco, CA 10943</t>
  </si>
  <si>
    <t>Z935760</t>
  </si>
  <si>
    <t>https://www.zillow.com/homedetails/46710672_zpid/</t>
  </si>
  <si>
    <t>$1,001,011</t>
  </si>
  <si>
    <t>1012 Maple Dr, San Diego, IL 69693</t>
  </si>
  <si>
    <t>Z570340</t>
  </si>
  <si>
    <t>https://www.zillow.com/homedetails/45363820_zpid/</t>
  </si>
  <si>
    <t>$1,021,673</t>
  </si>
  <si>
    <t>8746 Elm St, San Francisco, FL 78745</t>
  </si>
  <si>
    <t>Z974190</t>
  </si>
  <si>
    <t>https://www.zillow.com/homedetails/61200601_zpid/</t>
  </si>
  <si>
    <t>$1,289,770</t>
  </si>
  <si>
    <t>1055 Pine Rd, Los Angeles, IL 83301</t>
  </si>
  <si>
    <t>Z676423</t>
  </si>
  <si>
    <t>https://www.zillow.com/homedetails/43281172_zpid/</t>
  </si>
  <si>
    <t>$1,107,344</t>
  </si>
  <si>
    <t>6204 Oak Ave, San Diego, CA 82941</t>
  </si>
  <si>
    <t>Z462158</t>
  </si>
  <si>
    <t>https://www.zillow.com/homedetails/27161143_zpid/</t>
  </si>
  <si>
    <t>$369,317</t>
  </si>
  <si>
    <t>652 Elm St, San Francisco, IL 71481</t>
  </si>
  <si>
    <t>Z309599</t>
  </si>
  <si>
    <t>https://www.zillow.com/homedetails/98337685_zpid/</t>
  </si>
  <si>
    <t>$895,834</t>
  </si>
  <si>
    <t>2929 Maple Dr, Sacramento, NY 40991</t>
  </si>
  <si>
    <t>Z297205</t>
  </si>
  <si>
    <t>https://www.zillow.com/homedetails/53882252_zpid/</t>
  </si>
  <si>
    <t>$1,229,258</t>
  </si>
  <si>
    <t>5412 Pine Rd, Fresno, NY 41174</t>
  </si>
  <si>
    <t>Z470152</t>
  </si>
  <si>
    <t>https://www.zillow.com/homedetails/84458654_zpid/</t>
  </si>
  <si>
    <t>$598,034</t>
  </si>
  <si>
    <t>9217 Main St, Fresno, CA 33935</t>
  </si>
  <si>
    <t>Z985415</t>
  </si>
  <si>
    <t>https://www.zillow.com/homedetails/84988645_zpid/</t>
  </si>
  <si>
    <t>$1,425,415</t>
  </si>
  <si>
    <t>8022 Main St, San Diego, CA 46625</t>
  </si>
  <si>
    <t>Z776273</t>
  </si>
  <si>
    <t>https://www.zillow.com/homedetails/55328100_zpid/</t>
  </si>
  <si>
    <t>$998,214</t>
  </si>
  <si>
    <t>7838 Pine Rd, Sacramento, NY 61130</t>
  </si>
  <si>
    <t>Z243082</t>
  </si>
  <si>
    <t>https://www.zillow.com/homedetails/45848748_zpid/</t>
  </si>
  <si>
    <t>$978,002</t>
  </si>
  <si>
    <t>8279 Elm St, Fresno, CA 15623</t>
  </si>
  <si>
    <t>Z570437</t>
  </si>
  <si>
    <t>https://www.zillow.com/homedetails/13353075_zpid/</t>
  </si>
  <si>
    <t>$417,290</t>
  </si>
  <si>
    <t>4735 Pine Rd, Fresno, FL 33202</t>
  </si>
  <si>
    <t>Z746198</t>
  </si>
  <si>
    <t>https://www.zillow.com/homedetails/42135585_zpid/</t>
  </si>
  <si>
    <t>$1,400,298</t>
  </si>
  <si>
    <t>1863 Maple Dr, Los Angeles, FL 67845</t>
  </si>
  <si>
    <t>Z870749</t>
  </si>
  <si>
    <t>https://www.zillow.com/homedetails/80259930_zpid/</t>
  </si>
  <si>
    <t>$633,891</t>
  </si>
  <si>
    <t>5092 Pine Rd, San Francisco, NY 21343</t>
  </si>
  <si>
    <t>Z177113</t>
  </si>
  <si>
    <t>https://www.zillow.com/homedetails/56128193_zpid/</t>
  </si>
  <si>
    <t>$365,175</t>
  </si>
  <si>
    <t>739 Maple Dr, San Francisco, CA 20858</t>
  </si>
  <si>
    <t>Z119856</t>
  </si>
  <si>
    <t>https://www.zillow.com/homedetails/37667710_zpid/</t>
  </si>
  <si>
    <t>$1,137,506</t>
  </si>
  <si>
    <t>5801 Elm St, Sacramento, CA 98816</t>
  </si>
  <si>
    <t>Z379606</t>
  </si>
  <si>
    <t>https://www.zillow.com/homedetails/15876431_zpid/</t>
  </si>
  <si>
    <t>$506,158</t>
  </si>
  <si>
    <t>7977 Oak Ave, Fresno, CA 97228</t>
  </si>
  <si>
    <t>Z689755</t>
  </si>
  <si>
    <t>https://www.zillow.com/homedetails/95436426_zpid/</t>
  </si>
  <si>
    <t>$518,222</t>
  </si>
  <si>
    <t>2328 Elm St, Fresno, NY 84200</t>
  </si>
  <si>
    <t>Z371880</t>
  </si>
  <si>
    <t>https://www.zillow.com/homedetails/39633475_zpid/</t>
  </si>
  <si>
    <t>$321,323</t>
  </si>
  <si>
    <t>7576 Maple Dr, San Francisco, IL 15409</t>
  </si>
  <si>
    <t>Z262829</t>
  </si>
  <si>
    <t>https://www.zillow.com/homedetails/69723097_zpid/</t>
  </si>
  <si>
    <t>$130,843</t>
  </si>
  <si>
    <t>3347 Pine Rd, Los Angeles, IL 93947</t>
  </si>
  <si>
    <t>Z656060</t>
  </si>
  <si>
    <t>https://www.zillow.com/homedetails/60429077_zpid/</t>
  </si>
  <si>
    <t>$466,691</t>
  </si>
  <si>
    <t>8650 Main St, San Francisco, CA 98708</t>
  </si>
  <si>
    <t>Z962395</t>
  </si>
  <si>
    <t>https://www.zillow.com/homedetails/32848307_zpid/</t>
  </si>
  <si>
    <t>$430,345</t>
  </si>
  <si>
    <t>9053 Oak Ave, San Francisco, CA 34458</t>
  </si>
  <si>
    <t>Z921723</t>
  </si>
  <si>
    <t>https://www.zillow.com/homedetails/70919935_zpid/</t>
  </si>
  <si>
    <t>$179,767</t>
  </si>
  <si>
    <t>7036 Oak Ave, Sacramento, NY 97922</t>
  </si>
  <si>
    <t>Z936998</t>
  </si>
  <si>
    <t>https://www.zillow.com/homedetails/38281901_zpid/</t>
  </si>
  <si>
    <t>$1,321,540</t>
  </si>
  <si>
    <t>7952 Main St, Fresno, FL 56386</t>
  </si>
  <si>
    <t>Z988784</t>
  </si>
  <si>
    <t>https://www.zillow.com/homedetails/59417370_zpid/</t>
  </si>
  <si>
    <t>$814,097</t>
  </si>
  <si>
    <t>6350 Oak Ave, San Francisco, FL 58752</t>
  </si>
  <si>
    <t>Z814879</t>
  </si>
  <si>
    <t>https://www.zillow.com/homedetails/95813556_zpid/</t>
  </si>
  <si>
    <t>$305,871</t>
  </si>
  <si>
    <t>4443 Pine Rd, San Diego, NY 18497</t>
  </si>
  <si>
    <t>Z950492</t>
  </si>
  <si>
    <t>https://www.zillow.com/homedetails/99651852_zpid/</t>
  </si>
  <si>
    <t>$511,660</t>
  </si>
  <si>
    <t>1245 Main St, Los Angeles, FL 78755</t>
  </si>
  <si>
    <t>Z765326</t>
  </si>
  <si>
    <t>https://www.zillow.com/homedetails/17289974_zpid/</t>
  </si>
  <si>
    <t>$100,366</t>
  </si>
  <si>
    <t>5301 Main St, Los Angeles, IL 84616</t>
  </si>
  <si>
    <t>Z944020</t>
  </si>
  <si>
    <t>https://www.zillow.com/homedetails/65355476_zpid/</t>
  </si>
  <si>
    <t>$482,895</t>
  </si>
  <si>
    <t>2982 Elm St, San Francisco, IL 25648</t>
  </si>
  <si>
    <t>Z898311</t>
  </si>
  <si>
    <t>https://www.zillow.com/homedetails/44677120_zpid/</t>
  </si>
  <si>
    <t>$1,205,338</t>
  </si>
  <si>
    <t>7050 Main St, Sacramento, FL 90006</t>
  </si>
  <si>
    <t>Z842333</t>
  </si>
  <si>
    <t>https://www.zillow.com/homedetails/33259489_zpid/</t>
  </si>
  <si>
    <t>$991,560</t>
  </si>
  <si>
    <t>2873 Elm St, Fresno, CA 17782</t>
  </si>
  <si>
    <t>Z384988</t>
  </si>
  <si>
    <t>https://www.zillow.com/homedetails/73620048_zpid/</t>
  </si>
  <si>
    <t>$1,399,592</t>
  </si>
  <si>
    <t>5659 Elm St, San Francisco, FL 86772</t>
  </si>
  <si>
    <t>Z107372</t>
  </si>
  <si>
    <t>https://www.zillow.com/homedetails/98612211_zpid/</t>
  </si>
  <si>
    <t>$257,927</t>
  </si>
  <si>
    <t>2883 Elm St, San Diego, NY 29937</t>
  </si>
  <si>
    <t>Z232920</t>
  </si>
  <si>
    <t>https://www.zillow.com/homedetails/16365862_zpid/</t>
  </si>
  <si>
    <t>$632,033</t>
  </si>
  <si>
    <t>6171 Oak Ave, Los Angeles, IL 19052</t>
  </si>
  <si>
    <t>Z972091</t>
  </si>
  <si>
    <t>https://www.zillow.com/homedetails/47283678_zpid/</t>
  </si>
  <si>
    <t>$328,592</t>
  </si>
  <si>
    <t>5581 Maple Dr, Los Angeles, TX 15311</t>
  </si>
  <si>
    <t>Z528745</t>
  </si>
  <si>
    <t>https://www.zillow.com/homedetails/38831957_zpid/</t>
  </si>
  <si>
    <t>$1,491,526</t>
  </si>
  <si>
    <t>4160 Elm St, Fresno, NY 52313</t>
  </si>
  <si>
    <t>Z376339</t>
  </si>
  <si>
    <t>https://www.zillow.com/homedetails/99115897_zpid/</t>
  </si>
  <si>
    <t>$241,995</t>
  </si>
  <si>
    <t>2834 Elm St, Los Angeles, FL 38983</t>
  </si>
  <si>
    <t>Z110411</t>
  </si>
  <si>
    <t>https://www.zillow.com/homedetails/92673069_zpid/</t>
  </si>
  <si>
    <t>$183,679</t>
  </si>
  <si>
    <t>9752 Maple Dr, San Francisco, FL 95768</t>
  </si>
  <si>
    <t>Z116849</t>
  </si>
  <si>
    <t>https://www.zillow.com/homedetails/50474948_zpid/</t>
  </si>
  <si>
    <t>$803,730</t>
  </si>
  <si>
    <t>412 Pine Rd, San Diego, IL 30565</t>
  </si>
  <si>
    <t>Z657215</t>
  </si>
  <si>
    <t>https://www.zillow.com/homedetails/81737287_zpid/</t>
  </si>
  <si>
    <t>$707,137</t>
  </si>
  <si>
    <t>5684 Oak Ave, San Diego, IL 50470</t>
  </si>
  <si>
    <t>Z102238</t>
  </si>
  <si>
    <t>https://www.zillow.com/homedetails/69333537_zpid/</t>
  </si>
  <si>
    <t>$121,284</t>
  </si>
  <si>
    <t>3323 Maple Dr, Fresno, FL 52256</t>
  </si>
  <si>
    <t>Z322685</t>
  </si>
  <si>
    <t>https://www.zillow.com/homedetails/44026179_zpid/</t>
  </si>
  <si>
    <t>$430,954</t>
  </si>
  <si>
    <t>2688 Maple Dr, Los Angeles, FL 18835</t>
  </si>
  <si>
    <t>Z272372</t>
  </si>
  <si>
    <t>https://www.zillow.com/homedetails/20614389_zpid/</t>
  </si>
  <si>
    <t>$890,970</t>
  </si>
  <si>
    <t>2985 Maple Dr, Sacramento, IL 55131</t>
  </si>
  <si>
    <t>Z573946</t>
  </si>
  <si>
    <t>https://www.zillow.com/homedetails/96667399_zpid/</t>
  </si>
  <si>
    <t>$459,948</t>
  </si>
  <si>
    <t>6160 Oak Ave, Los Angeles, IL 80688</t>
  </si>
  <si>
    <t>Z336937</t>
  </si>
  <si>
    <t>https://www.zillow.com/homedetails/58728549_zpid/</t>
  </si>
  <si>
    <t>$1,060,149</t>
  </si>
  <si>
    <t>2455 Oak Ave, Sacramento, FL 22392</t>
  </si>
  <si>
    <t>Z638010</t>
  </si>
  <si>
    <t>https://www.zillow.com/homedetails/60005107_zpid/</t>
  </si>
  <si>
    <t>$556,583</t>
  </si>
  <si>
    <t>658 Oak Ave, San Francisco, TX 27352</t>
  </si>
  <si>
    <t>Z515422</t>
  </si>
  <si>
    <t>https://www.zillow.com/homedetails/36888254_zpid/</t>
  </si>
  <si>
    <t>$200,783</t>
  </si>
  <si>
    <t>7964 Pine Rd, San Diego, IL 61136</t>
  </si>
  <si>
    <t>Z118418</t>
  </si>
  <si>
    <t>https://www.zillow.com/homedetails/23978297_zpid/</t>
  </si>
  <si>
    <t>$243,533</t>
  </si>
  <si>
    <t>9452 Oak Ave, San Diego, NY 75218</t>
  </si>
  <si>
    <t>Z147878</t>
  </si>
  <si>
    <t>https://www.zillow.com/homedetails/12745291_zpid/</t>
  </si>
  <si>
    <t>$408,518</t>
  </si>
  <si>
    <t>3714 Main St, Fresno, FL 87522</t>
  </si>
  <si>
    <t>Z912413</t>
  </si>
  <si>
    <t>https://www.zillow.com/homedetails/58697462_zpid/</t>
  </si>
  <si>
    <t>$1,371,610</t>
  </si>
  <si>
    <t>8658 Pine Rd, Fresno, NY 22296</t>
  </si>
  <si>
    <t>Z877306</t>
  </si>
  <si>
    <t>https://www.zillow.com/homedetails/95744634_zpid/</t>
  </si>
  <si>
    <t>$1,436,618</t>
  </si>
  <si>
    <t>740 Pine Rd, Fresno, TX 63407</t>
  </si>
  <si>
    <t>Z651375</t>
  </si>
  <si>
    <t>https://www.zillow.com/homedetails/12584301_zpid/</t>
  </si>
  <si>
    <t>$1,359,152</t>
  </si>
  <si>
    <t>6172 Oak Ave, Fresno, TX 93308</t>
  </si>
  <si>
    <t>Z893394</t>
  </si>
  <si>
    <t>https://www.zillow.com/homedetails/58687811_zpid/</t>
  </si>
  <si>
    <t>$589,245</t>
  </si>
  <si>
    <t>3894 Maple Dr, Fresno, CA 57020</t>
  </si>
  <si>
    <t>Z408115</t>
  </si>
  <si>
    <t>https://www.zillow.com/homedetails/11525063_zpid/</t>
  </si>
  <si>
    <t>$1,427,494</t>
  </si>
  <si>
    <t>2813 Main St, Los Angeles, NY 14674</t>
  </si>
  <si>
    <t>Z307664</t>
  </si>
  <si>
    <t>https://www.zillow.com/homedetails/94423526_zpid/</t>
  </si>
  <si>
    <t>$1,230,642</t>
  </si>
  <si>
    <t>3836 Oak Ave, San Francisco, FL 82340</t>
  </si>
  <si>
    <t>Z540795</t>
  </si>
  <si>
    <t>https://www.zillow.com/homedetails/64793653_zpid/</t>
  </si>
  <si>
    <t>$1,304,385</t>
  </si>
  <si>
    <t>6054 Oak Ave, Los Angeles, NY 66352</t>
  </si>
  <si>
    <t>Z358205</t>
  </si>
  <si>
    <t>https://www.zillow.com/homedetails/19326013_zpid/</t>
  </si>
  <si>
    <t>$747,218</t>
  </si>
  <si>
    <t>7279 Elm St, San Diego, CA 58001</t>
  </si>
  <si>
    <t>Z154957</t>
  </si>
  <si>
    <t>https://www.zillow.com/homedetails/64413892_zpid/</t>
  </si>
  <si>
    <t>$414,153</t>
  </si>
  <si>
    <t>2336 Oak Ave, San Diego, FL 64992</t>
  </si>
  <si>
    <t>Z384719</t>
  </si>
  <si>
    <t>https://www.zillow.com/homedetails/76281601_zpid/</t>
  </si>
  <si>
    <t>$1,471,246</t>
  </si>
  <si>
    <t>5317 Main St, San Francisco, FL 71698</t>
  </si>
  <si>
    <t>Z903323</t>
  </si>
  <si>
    <t>https://www.zillow.com/homedetails/14471309_zpid/</t>
  </si>
  <si>
    <t>$233,461</t>
  </si>
  <si>
    <t>844 Maple Dr, San Diego, TX 35380</t>
  </si>
  <si>
    <t>Z767438</t>
  </si>
  <si>
    <t>https://www.zillow.com/homedetails/63624995_zpid/</t>
  </si>
  <si>
    <t>$415,590</t>
  </si>
  <si>
    <t>6642 Oak Ave, Sacramento, FL 61851</t>
  </si>
  <si>
    <t>Z683490</t>
  </si>
  <si>
    <t>https://www.zillow.com/homedetails/19527476_zpid/</t>
  </si>
  <si>
    <t>$628,913</t>
  </si>
  <si>
    <t>7396 Pine Rd, San Francisco, CA 65026</t>
  </si>
  <si>
    <t>Z848050</t>
  </si>
  <si>
    <t>https://www.zillow.com/homedetails/57761200_zpid/</t>
  </si>
  <si>
    <t>$1,161,136</t>
  </si>
  <si>
    <t>1268 Elm St, Fresno, TX 61835</t>
  </si>
  <si>
    <t>Z281083</t>
  </si>
  <si>
    <t>https://www.zillow.com/homedetails/32465208_zpid/</t>
  </si>
  <si>
    <t>$1,187,629</t>
  </si>
  <si>
    <t>598 Pine Rd, Los Angeles, FL 22864</t>
  </si>
  <si>
    <t>Z125003</t>
  </si>
  <si>
    <t>https://www.zillow.com/homedetails/15290301_zpid/</t>
  </si>
  <si>
    <t>$1,411,862</t>
  </si>
  <si>
    <t>2351 Maple Dr, Fresno, NY 46679</t>
  </si>
  <si>
    <t>Z825915</t>
  </si>
  <si>
    <t>https://www.zillow.com/homedetails/97845025_zpid/</t>
  </si>
  <si>
    <t>$631,172</t>
  </si>
  <si>
    <t>8872 Pine Rd, San Francisco, IL 65583</t>
  </si>
  <si>
    <t>Z540956</t>
  </si>
  <si>
    <t>https://www.zillow.com/homedetails/76700452_zpid/</t>
  </si>
  <si>
    <t>$1,453,453</t>
  </si>
  <si>
    <t>7837 Maple Dr, San Francisco, FL 45138</t>
  </si>
  <si>
    <t>Z723909</t>
  </si>
  <si>
    <t>https://www.zillow.com/homedetails/25026446_zpid/</t>
  </si>
  <si>
    <t>$157,884</t>
  </si>
  <si>
    <t>4300 Maple Dr, Los Angeles, TX 94630</t>
  </si>
  <si>
    <t>Z724741</t>
  </si>
  <si>
    <t>https://www.zillow.com/homedetails/85440564_zpid/</t>
  </si>
  <si>
    <t>$1,193,460</t>
  </si>
  <si>
    <t>6363 Elm St, Fresno, IL 82157</t>
  </si>
  <si>
    <t>Z314343</t>
  </si>
  <si>
    <t>https://www.zillow.com/homedetails/46287367_zpid/</t>
  </si>
  <si>
    <t>$566,443</t>
  </si>
  <si>
    <t>2683 Oak Ave, Los Angeles, NY 77646</t>
  </si>
  <si>
    <t>Z209789</t>
  </si>
  <si>
    <t>https://www.zillow.com/homedetails/17724814_zpid/</t>
  </si>
  <si>
    <t>$540,820</t>
  </si>
  <si>
    <t>2941 Maple Dr, Sacramento, TX 38759</t>
  </si>
  <si>
    <t>Z999964</t>
  </si>
  <si>
    <t>https://www.zillow.com/homedetails/79838635_zpid/</t>
  </si>
  <si>
    <t>$148,463</t>
  </si>
  <si>
    <t>4824 Main St, San Francisco, TX 99056</t>
  </si>
  <si>
    <t>Z739678</t>
  </si>
  <si>
    <t>https://www.zillow.com/homedetails/27409844_zpid/</t>
  </si>
  <si>
    <t>$922,164</t>
  </si>
  <si>
    <t>2064 Elm St, Los Angeles, IL 92930</t>
  </si>
  <si>
    <t>Z378952</t>
  </si>
  <si>
    <t>https://www.zillow.com/homedetails/24276691_zpid/</t>
  </si>
  <si>
    <t>$925,438</t>
  </si>
  <si>
    <t>6372 Oak Ave, Sacramento, CA 45299</t>
  </si>
  <si>
    <t>Z965755</t>
  </si>
  <si>
    <t>https://www.zillow.com/homedetails/70386708_zpid/</t>
  </si>
  <si>
    <t>$421,606</t>
  </si>
  <si>
    <t>5565 Maple Dr, Sacramento, NY 20074</t>
  </si>
  <si>
    <t>Z374124</t>
  </si>
  <si>
    <t>https://www.zillow.com/homedetails/39930974_zpid/</t>
  </si>
  <si>
    <t>$913,878</t>
  </si>
  <si>
    <t>1656 Oak Ave, Sacramento, FL 29610</t>
  </si>
  <si>
    <t>Z856614</t>
  </si>
  <si>
    <t>https://www.zillow.com/homedetails/97217538_zpid/</t>
  </si>
  <si>
    <t>$1,258,728</t>
  </si>
  <si>
    <t>2165 Elm St, San Francisco, IL 92847</t>
  </si>
  <si>
    <t>Z799381</t>
  </si>
  <si>
    <t>https://www.zillow.com/homedetails/19860701_zpid/</t>
  </si>
  <si>
    <t>$672,952</t>
  </si>
  <si>
    <t>7575 Elm St, San Diego, NY 48097</t>
  </si>
  <si>
    <t>Z119872</t>
  </si>
  <si>
    <t>https://www.zillow.com/homedetails/76211409_zpid/</t>
  </si>
  <si>
    <t>$1,254,323</t>
  </si>
  <si>
    <t>326 Maple Dr, Los Angeles, CA 13752</t>
  </si>
  <si>
    <t>Z165689</t>
  </si>
  <si>
    <t>https://www.zillow.com/homedetails/47297198_zpid/</t>
  </si>
  <si>
    <t>$157,609</t>
  </si>
  <si>
    <t>2060 Maple Dr, Los Angeles, CA 89342</t>
  </si>
  <si>
    <t>Z289935</t>
  </si>
  <si>
    <t>https://www.zillow.com/homedetails/64698850_zpid/</t>
  </si>
  <si>
    <t>$1,319,677</t>
  </si>
  <si>
    <t>6853 Elm St, Los Angeles, TX 18778</t>
  </si>
  <si>
    <t>Z967602</t>
  </si>
  <si>
    <t>https://www.zillow.com/homedetails/78054704_zpid/</t>
  </si>
  <si>
    <t>$144,964</t>
  </si>
  <si>
    <t>6550 Main St, Sacramento, IL 81788</t>
  </si>
  <si>
    <t>Z515391</t>
  </si>
  <si>
    <t>https://www.zillow.com/homedetails/71750506_zpid/</t>
  </si>
  <si>
    <t>$1,246,074</t>
  </si>
  <si>
    <t>1450 Pine Rd, San Francisco, IL 59809</t>
  </si>
  <si>
    <t>Z659893</t>
  </si>
  <si>
    <t>https://www.zillow.com/homedetails/53910869_zpid/</t>
  </si>
  <si>
    <t>$339,783</t>
  </si>
  <si>
    <t>9384 Maple Dr, Sacramento, FL 41014</t>
  </si>
  <si>
    <t>Z819742</t>
  </si>
  <si>
    <t>https://www.zillow.com/homedetails/49392493_zpid/</t>
  </si>
  <si>
    <t>$1,069,438</t>
  </si>
  <si>
    <t>2222 Elm St, Los Angeles, IL 16823</t>
  </si>
  <si>
    <t>Z525928</t>
  </si>
  <si>
    <t>https://www.zillow.com/homedetails/77152193_zpid/</t>
  </si>
  <si>
    <t>$391,685</t>
  </si>
  <si>
    <t>8296 Maple Dr, Los Angeles, NY 99592</t>
  </si>
  <si>
    <t>Z312018</t>
  </si>
  <si>
    <t>https://www.zillow.com/homedetails/60868045_zpid/</t>
  </si>
  <si>
    <t>$1,273,944</t>
  </si>
  <si>
    <t>940 Oak Ave, Los Angeles, CA 54352</t>
  </si>
  <si>
    <t>Z834095</t>
  </si>
  <si>
    <t>https://www.zillow.com/homedetails/95548096_zpid/</t>
  </si>
  <si>
    <t>$832,115</t>
  </si>
  <si>
    <t>1613 Maple Dr, Sacramento, TX 51205</t>
  </si>
  <si>
    <t>Z906426</t>
  </si>
  <si>
    <t>https://www.zillow.com/homedetails/97385723_zpid/</t>
  </si>
  <si>
    <t>$738,248</t>
  </si>
  <si>
    <t>7714 Elm St, Los Angeles, CA 58293</t>
  </si>
  <si>
    <t>Z566056</t>
  </si>
  <si>
    <t>https://www.zillow.com/homedetails/40019079_zpid/</t>
  </si>
  <si>
    <t>$190,155</t>
  </si>
  <si>
    <t>5367 Pine Rd, Los Angeles, NY 83221</t>
  </si>
  <si>
    <t>Z439388</t>
  </si>
  <si>
    <t>https://www.zillow.com/homedetails/57858382_zpid/</t>
  </si>
  <si>
    <t>$603,539</t>
  </si>
  <si>
    <t>5267 Main St, Los Angeles, NY 25359</t>
  </si>
  <si>
    <t>Z661992</t>
  </si>
  <si>
    <t>https://www.zillow.com/homedetails/65852743_zpid/</t>
  </si>
  <si>
    <t>$578,510</t>
  </si>
  <si>
    <t>2632 Main St, San Diego, TX 74968</t>
  </si>
  <si>
    <t>Z402448</t>
  </si>
  <si>
    <t>https://www.zillow.com/homedetails/54215339_zpid/</t>
  </si>
  <si>
    <t>$1,103,122</t>
  </si>
  <si>
    <t>217 Oak Ave, Sacramento, CA 65871</t>
  </si>
  <si>
    <t>Z806877</t>
  </si>
  <si>
    <t>https://www.zillow.com/homedetails/97507414_zpid/</t>
  </si>
  <si>
    <t>$615,962</t>
  </si>
  <si>
    <t>8271 Main St, Los Angeles, CA 37127</t>
  </si>
  <si>
    <t>Z165146</t>
  </si>
  <si>
    <t>https://www.zillow.com/homedetails/69249892_zpid/</t>
  </si>
  <si>
    <t>$1,012,565</t>
  </si>
  <si>
    <t>4751 Maple Dr, Fresno, FL 15796</t>
  </si>
  <si>
    <t>Z234211</t>
  </si>
  <si>
    <t>https://www.zillow.com/homedetails/26829890_zpid/</t>
  </si>
  <si>
    <t>$1,246,322</t>
  </si>
  <si>
    <t>2037 Main St, Los Angeles, FL 37523</t>
  </si>
  <si>
    <t>Z701098</t>
  </si>
  <si>
    <t>https://www.zillow.com/homedetails/39393669_zpid/</t>
  </si>
  <si>
    <t>$128,445</t>
  </si>
  <si>
    <t>3700 Oak Ave, San Francisco, TX 21028</t>
  </si>
  <si>
    <t>Z932333</t>
  </si>
  <si>
    <t>https://www.zillow.com/homedetails/36010907_zpid/</t>
  </si>
  <si>
    <t>$1,399,813</t>
  </si>
  <si>
    <t>2387 Elm St, Los Angeles, FL 59912</t>
  </si>
  <si>
    <t>Z597871</t>
  </si>
  <si>
    <t>https://www.zillow.com/homedetails/58753916_zpid/</t>
  </si>
  <si>
    <t>$246,724</t>
  </si>
  <si>
    <t>4500 Main St, Sacramento, IL 14174</t>
  </si>
  <si>
    <t>Z604384</t>
  </si>
  <si>
    <t>https://www.zillow.com/homedetails/33741044_zpid/</t>
  </si>
  <si>
    <t>$1,445,108</t>
  </si>
  <si>
    <t>2126 Maple Dr, Fresno, NY 39662</t>
  </si>
  <si>
    <t>Z771228</t>
  </si>
  <si>
    <t>https://www.zillow.com/homedetails/23521186_zpid/</t>
  </si>
  <si>
    <t>$489,643</t>
  </si>
  <si>
    <t>1827 Oak Ave, San Diego, IL 14187</t>
  </si>
  <si>
    <t>Z877499</t>
  </si>
  <si>
    <t>https://www.zillow.com/homedetails/17742997_zpid/</t>
  </si>
  <si>
    <t>$183,352</t>
  </si>
  <si>
    <t>8518 Maple Dr, San Diego, CA 81397</t>
  </si>
  <si>
    <t>Z243021</t>
  </si>
  <si>
    <t>https://www.zillow.com/homedetails/74679572_zpid/</t>
  </si>
  <si>
    <t>$490,661</t>
  </si>
  <si>
    <t>4611 Pine Rd, San Francisco, IL 33183</t>
  </si>
  <si>
    <t>Z706747</t>
  </si>
  <si>
    <t>https://www.zillow.com/homedetails/67291795_zpid/</t>
  </si>
  <si>
    <t>$730,647</t>
  </si>
  <si>
    <t>6966 Elm St, San Francisco, IL 89531</t>
  </si>
  <si>
    <t>Z396035</t>
  </si>
  <si>
    <t>https://www.zillow.com/homedetails/82284839_zpid/</t>
  </si>
  <si>
    <t>$1,123,836</t>
  </si>
  <si>
    <t>2549 Elm St, San Francisco, NY 76365</t>
  </si>
  <si>
    <t>Z588790</t>
  </si>
  <si>
    <t>https://www.zillow.com/homedetails/36396247_zpid/</t>
  </si>
  <si>
    <t>$800,312</t>
  </si>
  <si>
    <t>5207 Elm St, San Diego, NY 83246</t>
  </si>
  <si>
    <t>Z258554</t>
  </si>
  <si>
    <t>https://www.zillow.com/homedetails/89058680_zpid/</t>
  </si>
  <si>
    <t>$247,619</t>
  </si>
  <si>
    <t>2635 Main St, Fresno, FL 95150</t>
  </si>
  <si>
    <t>Z250306</t>
  </si>
  <si>
    <t>https://www.zillow.com/homedetails/99914347_zpid/</t>
  </si>
  <si>
    <t>$879,038</t>
  </si>
  <si>
    <t>7124 Pine Rd, Los Angeles, FL 96325</t>
  </si>
  <si>
    <t>Z576755</t>
  </si>
  <si>
    <t>https://www.zillow.com/homedetails/75957878_zpid/</t>
  </si>
  <si>
    <t>$735,604</t>
  </si>
  <si>
    <t>5849 Main St, Fresno, NY 57102</t>
  </si>
  <si>
    <t>Z132195</t>
  </si>
  <si>
    <t>https://www.zillow.com/homedetails/76325047_zpid/</t>
  </si>
  <si>
    <t>$1,315,315</t>
  </si>
  <si>
    <t>7967 Elm St, San Francisco, FL 29040</t>
  </si>
  <si>
    <t>Z245402</t>
  </si>
  <si>
    <t>https://www.zillow.com/homedetails/97943578_zpid/</t>
  </si>
  <si>
    <t>$703,493</t>
  </si>
  <si>
    <t>8000 Main St, Los Angeles, NY 20699</t>
  </si>
  <si>
    <t>Z244022</t>
  </si>
  <si>
    <t>https://www.zillow.com/homedetails/81902576_zpid/</t>
  </si>
  <si>
    <t>$1,449,651</t>
  </si>
  <si>
    <t>9926 Elm St, Los Angeles, TX 29271</t>
  </si>
  <si>
    <t>Z110431</t>
  </si>
  <si>
    <t>https://www.zillow.com/homedetails/93118897_zpid/</t>
  </si>
  <si>
    <t>$429,050</t>
  </si>
  <si>
    <t>499 Maple Dr, San Diego, CA 89790</t>
  </si>
  <si>
    <t>Z833635</t>
  </si>
  <si>
    <t>https://www.zillow.com/homedetails/84767657_zpid/</t>
  </si>
  <si>
    <t>$436,227</t>
  </si>
  <si>
    <t>4502 Main St, Los Angeles, TX 30987</t>
  </si>
  <si>
    <t>Z555531</t>
  </si>
  <si>
    <t>https://www.zillow.com/homedetails/75821956_zpid/</t>
  </si>
  <si>
    <t>$1,043,402</t>
  </si>
  <si>
    <t>4408 Oak Ave, San Francisco, NY 19426</t>
  </si>
  <si>
    <t>Z355318</t>
  </si>
  <si>
    <t>https://www.zillow.com/homedetails/21269681_zpid/</t>
  </si>
  <si>
    <t>$1,472,476</t>
  </si>
  <si>
    <t>6305 Main St, San Francisco, FL 77074</t>
  </si>
  <si>
    <t>Z185469</t>
  </si>
  <si>
    <t>https://www.zillow.com/homedetails/40699948_zpid/</t>
  </si>
  <si>
    <t>$101,342</t>
  </si>
  <si>
    <t>4584 Main St, Sacramento, NY 26064</t>
  </si>
  <si>
    <t>Z311877</t>
  </si>
  <si>
    <t>https://www.zillow.com/homedetails/80726882_zpid/</t>
  </si>
  <si>
    <t>$1,144,956</t>
  </si>
  <si>
    <t>1310 Maple Dr, Fresno, CA 57975</t>
  </si>
  <si>
    <t>Z231335</t>
  </si>
  <si>
    <t>https://www.zillow.com/homedetails/64146632_zpid/</t>
  </si>
  <si>
    <t>$257,758</t>
  </si>
  <si>
    <t>8344 Oak Ave, San Diego, TX 26675</t>
  </si>
  <si>
    <t>Z386035</t>
  </si>
  <si>
    <t>https://www.zillow.com/homedetails/37165554_zpid/</t>
  </si>
  <si>
    <t>$159,682</t>
  </si>
  <si>
    <t>5514 Main St, Sacramento, CA 63062</t>
  </si>
  <si>
    <t>Z762393</t>
  </si>
  <si>
    <t>https://www.zillow.com/homedetails/25398078_zpid/</t>
  </si>
  <si>
    <t>$1,368,906</t>
  </si>
  <si>
    <t>5922 Main St, San Diego, TX 73100</t>
  </si>
  <si>
    <t>Z496236</t>
  </si>
  <si>
    <t>https://www.zillow.com/homedetails/20221963_zpid/</t>
  </si>
  <si>
    <t>$226,311</t>
  </si>
  <si>
    <t>2341 Oak Ave, Fresno, CA 27026</t>
  </si>
  <si>
    <t>Z198021</t>
  </si>
  <si>
    <t>https://www.zillow.com/homedetails/89994393_zpid/</t>
  </si>
  <si>
    <t>$242,280</t>
  </si>
  <si>
    <t>2035 Elm St, San Diego, NY 94923</t>
  </si>
  <si>
    <t>Z617531</t>
  </si>
  <si>
    <t>https://www.zillow.com/homedetails/86505861_zpid/</t>
  </si>
  <si>
    <t>$1,371,316</t>
  </si>
  <si>
    <t>343 Main St, Sacramento, TX 17784</t>
  </si>
  <si>
    <t>Z328755</t>
  </si>
  <si>
    <t>https://www.zillow.com/homedetails/77174633_zpid/</t>
  </si>
  <si>
    <t>$987,853</t>
  </si>
  <si>
    <t>2450 Maple Dr, San Francisco, FL 33938</t>
  </si>
  <si>
    <t>Z967843</t>
  </si>
  <si>
    <t>https://www.zillow.com/homedetails/65985579_zpid/</t>
  </si>
  <si>
    <t>$461,357</t>
  </si>
  <si>
    <t>2361 Oak Ave, San Diego, NY 45025</t>
  </si>
  <si>
    <t>Z812378</t>
  </si>
  <si>
    <t>https://www.zillow.com/homedetails/23839162_zpid/</t>
  </si>
  <si>
    <t>$349,197</t>
  </si>
  <si>
    <t>5175 Pine Rd, Sacramento, NY 76986</t>
  </si>
  <si>
    <t>Z588255</t>
  </si>
  <si>
    <t>https://www.zillow.com/homedetails/55894520_zpid/</t>
  </si>
  <si>
    <t>$294,826</t>
  </si>
  <si>
    <t>7598 Maple Dr, Fresno, NY 87737</t>
  </si>
  <si>
    <t>Z158637</t>
  </si>
  <si>
    <t>https://www.zillow.com/homedetails/42748546_zpid/</t>
  </si>
  <si>
    <t>$1,271,947</t>
  </si>
  <si>
    <t>1587 Elm St, San Diego, FL 83265</t>
  </si>
  <si>
    <t>Z902537</t>
  </si>
  <si>
    <t>https://www.zillow.com/homedetails/80680887_zpid/</t>
  </si>
  <si>
    <t>$830,918</t>
  </si>
  <si>
    <t>3517 Main St, Los Angeles, NY 68268</t>
  </si>
  <si>
    <t>Z684839</t>
  </si>
  <si>
    <t>https://www.zillow.com/homedetails/28536381_zpid/</t>
  </si>
  <si>
    <t>$671,864</t>
  </si>
  <si>
    <t>5809 Pine Rd, Los Angeles, NY 82504</t>
  </si>
  <si>
    <t>Z489649</t>
  </si>
  <si>
    <t>https://www.zillow.com/homedetails/57075701_zpid/</t>
  </si>
  <si>
    <t>$302,419</t>
  </si>
  <si>
    <t>8327 Oak Ave, Fresno, CA 85098</t>
  </si>
  <si>
    <t>Z797213</t>
  </si>
  <si>
    <t>https://www.zillow.com/homedetails/55193077_zpid/</t>
  </si>
  <si>
    <t>$388,660</t>
  </si>
  <si>
    <t>9246 Maple Dr, Fresno, TX 65725</t>
  </si>
  <si>
    <t>Z438657</t>
  </si>
  <si>
    <t>https://www.zillow.com/homedetails/23577688_zpid/</t>
  </si>
  <si>
    <t>$1,338,663</t>
  </si>
  <si>
    <t>8922 Elm St, San Diego, CA 69169</t>
  </si>
  <si>
    <t>Z961917</t>
  </si>
  <si>
    <t>https://www.zillow.com/homedetails/48931592_zpid/</t>
  </si>
  <si>
    <t>$1,433,049</t>
  </si>
  <si>
    <t>5994 Elm St, Fresno, CA 66545</t>
  </si>
  <si>
    <t>Z846365</t>
  </si>
  <si>
    <t>https://www.zillow.com/homedetails/84498855_zpid/</t>
  </si>
  <si>
    <t>$646,444</t>
  </si>
  <si>
    <t>9840 Oak Ave, San Francisco, CA 61212</t>
  </si>
  <si>
    <t>Z760671</t>
  </si>
  <si>
    <t>https://www.zillow.com/homedetails/47456279_zpid/</t>
  </si>
  <si>
    <t>$1,413,534</t>
  </si>
  <si>
    <t>1807 Maple Dr, San Francisco, CA 33992</t>
  </si>
  <si>
    <t>Z689262</t>
  </si>
  <si>
    <t>https://www.zillow.com/homedetails/35542045_zpid/</t>
  </si>
  <si>
    <t>$878,844</t>
  </si>
  <si>
    <t>6997 Pine Rd, Sacramento, NY 89948</t>
  </si>
  <si>
    <t>Z667089</t>
  </si>
  <si>
    <t>https://www.zillow.com/homedetails/16036252_zpid/</t>
  </si>
  <si>
    <t>$190,823</t>
  </si>
  <si>
    <t>9878 Maple Dr, Los Angeles, NY 39510</t>
  </si>
  <si>
    <t>Z754711</t>
  </si>
  <si>
    <t>https://www.zillow.com/homedetails/92073299_zpid/</t>
  </si>
  <si>
    <t>$248,712</t>
  </si>
  <si>
    <t>1390 Maple Dr, Los Angeles, TX 43515</t>
  </si>
  <si>
    <t>Z305142</t>
  </si>
  <si>
    <t>https://www.zillow.com/homedetails/31770312_zpid/</t>
  </si>
  <si>
    <t>$274,794</t>
  </si>
  <si>
    <t>2305 Maple Dr, San Diego, CA 18058</t>
  </si>
  <si>
    <t>Z752665</t>
  </si>
  <si>
    <t>https://www.zillow.com/homedetails/88547873_zpid/</t>
  </si>
  <si>
    <t>$249,833</t>
  </si>
  <si>
    <t>5461 Pine Rd, San Diego, CA 77353</t>
  </si>
  <si>
    <t>Z545472</t>
  </si>
  <si>
    <t>https://www.zillow.com/homedetails/83760471_zpid/</t>
  </si>
  <si>
    <t>$1,025,908</t>
  </si>
  <si>
    <t>5397 Elm St, Sacramento, NY 42636</t>
  </si>
  <si>
    <t>Z204328</t>
  </si>
  <si>
    <t>https://www.zillow.com/homedetails/75952756_zpid/</t>
  </si>
  <si>
    <t>$274,061</t>
  </si>
  <si>
    <t>5793 Elm St, San Francisco, TX 68531</t>
  </si>
  <si>
    <t>Z669376</t>
  </si>
  <si>
    <t>https://www.zillow.com/homedetails/61002429_zpid/</t>
  </si>
  <si>
    <t>$1,092,223</t>
  </si>
  <si>
    <t>427 Pine Rd, San Francisco, NY 81859</t>
  </si>
  <si>
    <t>Z270133</t>
  </si>
  <si>
    <t>https://www.zillow.com/homedetails/36635728_zpid/</t>
  </si>
  <si>
    <t>$1,249,985</t>
  </si>
  <si>
    <t>6785 Elm St, Sacramento, FL 72975</t>
  </si>
  <si>
    <t>Z619633</t>
  </si>
  <si>
    <t>https://www.zillow.com/homedetails/97508885_zpid/</t>
  </si>
  <si>
    <t>$1,052,096</t>
  </si>
  <si>
    <t>6034 Main St, Fresno, IL 31017</t>
  </si>
  <si>
    <t>Z524598</t>
  </si>
  <si>
    <t>https://www.zillow.com/homedetails/62222563_zpid/</t>
  </si>
  <si>
    <t>$825,149</t>
  </si>
  <si>
    <t>6865 Main St, Sacramento, NY 79684</t>
  </si>
  <si>
    <t>Z586918</t>
  </si>
  <si>
    <t>https://www.zillow.com/homedetails/23188528_zpid/</t>
  </si>
  <si>
    <t>$1,411,144</t>
  </si>
  <si>
    <t>4340 Oak Ave, San Diego, IL 72177</t>
  </si>
  <si>
    <t>Z786131</t>
  </si>
  <si>
    <t>https://www.zillow.com/homedetails/20072495_zpid/</t>
  </si>
  <si>
    <t>$860,572</t>
  </si>
  <si>
    <t>3450 Main St, Sacramento, NY 81038</t>
  </si>
  <si>
    <t>Z351405</t>
  </si>
  <si>
    <t>https://www.zillow.com/homedetails/15338028_zpid/</t>
  </si>
  <si>
    <t>$727,584</t>
  </si>
  <si>
    <t>2285 Pine Rd, Los Angeles, IL 68343</t>
  </si>
  <si>
    <t>Z847985</t>
  </si>
  <si>
    <t>https://www.zillow.com/homedetails/72679698_zpid/</t>
  </si>
  <si>
    <t>$795,435</t>
  </si>
  <si>
    <t>1396 Maple Dr, Fresno, IL 99215</t>
  </si>
  <si>
    <t>Z772577</t>
  </si>
  <si>
    <t>https://www.zillow.com/homedetails/14121242_zpid/</t>
  </si>
  <si>
    <t>$849,860</t>
  </si>
  <si>
    <t>2765 Pine Rd, San Diego, IL 68426</t>
  </si>
  <si>
    <t>Z191723</t>
  </si>
  <si>
    <t>https://www.zillow.com/homedetails/42209085_zpid/</t>
  </si>
  <si>
    <t>$798,115</t>
  </si>
  <si>
    <t>9740 Oak Ave, Sacramento, TX 93892</t>
  </si>
  <si>
    <t>Z149453</t>
  </si>
  <si>
    <t>https://www.zillow.com/homedetails/15182346_zpid/</t>
  </si>
  <si>
    <t>$773,067</t>
  </si>
  <si>
    <t>4380 Maple Dr, San Francisco, IL 19908</t>
  </si>
  <si>
    <t>Z294707</t>
  </si>
  <si>
    <t>https://www.zillow.com/homedetails/51793821_zpid/</t>
  </si>
  <si>
    <t>$260,417</t>
  </si>
  <si>
    <t>7217 Pine Rd, San Francisco, CA 54146</t>
  </si>
  <si>
    <t>Z259320</t>
  </si>
  <si>
    <t>https://www.zillow.com/homedetails/91177333_zpid/</t>
  </si>
  <si>
    <t>$1,047,769</t>
  </si>
  <si>
    <t>7427 Elm St, San Diego, CA 11489</t>
  </si>
  <si>
    <t>Z370507</t>
  </si>
  <si>
    <t>https://www.zillow.com/homedetails/22566819_zpid/</t>
  </si>
  <si>
    <t>$563,528</t>
  </si>
  <si>
    <t>1073 Pine Rd, Fresno, TX 16892</t>
  </si>
  <si>
    <t>Z693708</t>
  </si>
  <si>
    <t>https://www.zillow.com/homedetails/56202819_zpid/</t>
  </si>
  <si>
    <t>$493,415</t>
  </si>
  <si>
    <t>3095 Pine Rd, San Francisco, NY 51963</t>
  </si>
  <si>
    <t>Z142183</t>
  </si>
  <si>
    <t>https://www.zillow.com/homedetails/97250775_zpid/</t>
  </si>
  <si>
    <t>$1,367,995</t>
  </si>
  <si>
    <t>7229 Oak Ave, Fresno, FL 60346</t>
  </si>
  <si>
    <t>Z440422</t>
  </si>
  <si>
    <t>https://www.zillow.com/homedetails/48335554_zpid/</t>
  </si>
  <si>
    <t>$1,085,094</t>
  </si>
  <si>
    <t>7911 Elm St, San Francisco, TX 94121</t>
  </si>
  <si>
    <t>Z679853</t>
  </si>
  <si>
    <t>https://www.zillow.com/homedetails/28648748_zpid/</t>
  </si>
  <si>
    <t>$892,569</t>
  </si>
  <si>
    <t>8501 Maple Dr, San Diego, TX 24264</t>
  </si>
  <si>
    <t>Z611354</t>
  </si>
  <si>
    <t>https://www.zillow.com/homedetails/22567465_zpid/</t>
  </si>
  <si>
    <t>$1,238,734</t>
  </si>
  <si>
    <t>3301 Pine Rd, San Diego, FL 89635</t>
  </si>
  <si>
    <t>Z348110</t>
  </si>
  <si>
    <t>https://www.zillow.com/homedetails/22667164_zpid/</t>
  </si>
  <si>
    <t>$1,386,947</t>
  </si>
  <si>
    <t>3231 Main St, Sacramento, CA 50757</t>
  </si>
  <si>
    <t>Z873927</t>
  </si>
  <si>
    <t>https://www.zillow.com/homedetails/49730218_zpid/</t>
  </si>
  <si>
    <t>$236,746</t>
  </si>
  <si>
    <t>7679 Pine Rd, Sacramento, CA 17681</t>
  </si>
  <si>
    <t>Z820094</t>
  </si>
  <si>
    <t>https://www.zillow.com/homedetails/69870464_zpid/</t>
  </si>
  <si>
    <t>$486,791</t>
  </si>
  <si>
    <t>4005 Maple Dr, Fresno, FL 55624</t>
  </si>
  <si>
    <t>Z825709</t>
  </si>
  <si>
    <t>https://www.zillow.com/homedetails/97356211_zpid/</t>
  </si>
  <si>
    <t>$482,165</t>
  </si>
  <si>
    <t>780 Maple Dr, San Diego, CA 69573</t>
  </si>
  <si>
    <t>Z847613</t>
  </si>
  <si>
    <t>https://www.zillow.com/homedetails/59376052_zpid/</t>
  </si>
  <si>
    <t>$1,187,392</t>
  </si>
  <si>
    <t>2118 Maple Dr, Fresno, NY 40666</t>
  </si>
  <si>
    <t>Z788934</t>
  </si>
  <si>
    <t>https://www.zillow.com/homedetails/50507929_zpid/</t>
  </si>
  <si>
    <t>$950,150</t>
  </si>
  <si>
    <t>4528 Elm St, Los Angeles, TX 54871</t>
  </si>
  <si>
    <t>Z991301</t>
  </si>
  <si>
    <t>https://www.zillow.com/homedetails/17986556_zpid/</t>
  </si>
  <si>
    <t>$465,036</t>
  </si>
  <si>
    <t>5071 Pine Rd, San Francisco, TX 17869</t>
  </si>
  <si>
    <t>Z358313</t>
  </si>
  <si>
    <t>https://www.zillow.com/homedetails/74349325_zpid/</t>
  </si>
  <si>
    <t>$746,966</t>
  </si>
  <si>
    <t>4548 Elm St, Fresno, TX 33519</t>
  </si>
  <si>
    <t>Z429230</t>
  </si>
  <si>
    <t>https://www.zillow.com/homedetails/68106955_zpid/</t>
  </si>
  <si>
    <t>$368,960</t>
  </si>
  <si>
    <t>4383 Oak Ave, Los Angeles, NY 97233</t>
  </si>
  <si>
    <t>Z756126</t>
  </si>
  <si>
    <t>https://www.zillow.com/homedetails/76489104_zpid/</t>
  </si>
  <si>
    <t>$1,182,854</t>
  </si>
  <si>
    <t>8966 Maple Dr, San Francisco, CA 29647</t>
  </si>
  <si>
    <t>Z395167</t>
  </si>
  <si>
    <t>https://www.zillow.com/homedetails/70094533_zpid/</t>
  </si>
  <si>
    <t>$516,722</t>
  </si>
  <si>
    <t>6996 Pine Rd, San Diego, NY 38001</t>
  </si>
  <si>
    <t>Z119727</t>
  </si>
  <si>
    <t>https://www.zillow.com/homedetails/18742634_zpid/</t>
  </si>
  <si>
    <t>$410,680</t>
  </si>
  <si>
    <t>8877 Oak Ave, Sacramento, CA 87840</t>
  </si>
  <si>
    <t>Z155128</t>
  </si>
  <si>
    <t>https://www.zillow.com/homedetails/57322245_zpid/</t>
  </si>
  <si>
    <t>$579,380</t>
  </si>
  <si>
    <t>4185 Elm St, San Diego, TX 58273</t>
  </si>
  <si>
    <t>Z731935</t>
  </si>
  <si>
    <t>https://www.zillow.com/homedetails/98630750_zpid/</t>
  </si>
  <si>
    <t>$1,474,045</t>
  </si>
  <si>
    <t>5719 Oak Ave, Los Angeles, FL 15134</t>
  </si>
  <si>
    <t>Z172786</t>
  </si>
  <si>
    <t>https://www.zillow.com/homedetails/92414132_zpid/</t>
  </si>
  <si>
    <t>$1,441,227</t>
  </si>
  <si>
    <t>3065 Main St, San Diego, CA 11522</t>
  </si>
  <si>
    <t>Z398847</t>
  </si>
  <si>
    <t>https://www.zillow.com/homedetails/23440815_zpid/</t>
  </si>
  <si>
    <t>$1,110,787</t>
  </si>
  <si>
    <t>5817 Oak Ave, San Diego, FL 58457</t>
  </si>
  <si>
    <t>Z881907</t>
  </si>
  <si>
    <t>https://www.zillow.com/homedetails/62877234_zpid/</t>
  </si>
  <si>
    <t>$894,755</t>
  </si>
  <si>
    <t>5009 Oak Ave, Sacramento, TX 57822</t>
  </si>
  <si>
    <t>Z507135</t>
  </si>
  <si>
    <t>https://www.zillow.com/homedetails/33962728_zpid/</t>
  </si>
  <si>
    <t>$1,340,985</t>
  </si>
  <si>
    <t>1809 Oak Ave, Los Angeles, FL 18590</t>
  </si>
  <si>
    <t>Z128562</t>
  </si>
  <si>
    <t>https://www.zillow.com/homedetails/64750662_zpid/</t>
  </si>
  <si>
    <t>$1,118,325</t>
  </si>
  <si>
    <t>3819 Main St, Los Angeles, TX 32540</t>
  </si>
  <si>
    <t>Z299863</t>
  </si>
  <si>
    <t>https://www.zillow.com/homedetails/96543828_zpid/</t>
  </si>
  <si>
    <t>$1,148,708</t>
  </si>
  <si>
    <t>6773 Oak Ave, Sacramento, NY 95061</t>
  </si>
  <si>
    <t>Z551193</t>
  </si>
  <si>
    <t>https://www.zillow.com/homedetails/94773716_zpid/</t>
  </si>
  <si>
    <t>$286,476</t>
  </si>
  <si>
    <t>5651 Oak Ave, Los Angeles, IL 56870</t>
  </si>
  <si>
    <t>Z359502</t>
  </si>
  <si>
    <t>https://www.zillow.com/homedetails/95481514_zpid/</t>
  </si>
  <si>
    <t>$948,322</t>
  </si>
  <si>
    <t>1746 Oak Ave, Los Angeles, TX 70276</t>
  </si>
  <si>
    <t>Z475563</t>
  </si>
  <si>
    <t>https://www.zillow.com/homedetails/55728627_zpid/</t>
  </si>
  <si>
    <t>$973,256</t>
  </si>
  <si>
    <t>8944 Main St, Fresno, FL 42380</t>
  </si>
  <si>
    <t>Z175247</t>
  </si>
  <si>
    <t>https://www.zillow.com/homedetails/16493553_zpid/</t>
  </si>
  <si>
    <t>$1,154,506</t>
  </si>
  <si>
    <t>1668 Maple Dr, Sacramento, TX 40884</t>
  </si>
  <si>
    <t>Z448704</t>
  </si>
  <si>
    <t>https://www.zillow.com/homedetails/31380251_zpid/</t>
  </si>
  <si>
    <t>$323,674</t>
  </si>
  <si>
    <t>7324 Main St, San Diego, NY 97622</t>
  </si>
  <si>
    <t>Z470769</t>
  </si>
  <si>
    <t>https://www.zillow.com/homedetails/36417938_zpid/</t>
  </si>
  <si>
    <t>$512,841</t>
  </si>
  <si>
    <t>3508 Maple Dr, San Francisco, NY 45725</t>
  </si>
  <si>
    <t>Z182090</t>
  </si>
  <si>
    <t>https://www.zillow.com/homedetails/69134248_zpid/</t>
  </si>
  <si>
    <t>$1,280,680</t>
  </si>
  <si>
    <t>909 Oak Ave, San Diego, CA 18928</t>
  </si>
  <si>
    <t>Z167293</t>
  </si>
  <si>
    <t>https://www.zillow.com/homedetails/62905528_zpid/</t>
  </si>
  <si>
    <t>$888,840</t>
  </si>
  <si>
    <t>3711 Pine Rd, San Francisco, FL 19441</t>
  </si>
  <si>
    <t>Z818762</t>
  </si>
  <si>
    <t>https://www.zillow.com/homedetails/27619830_zpid/</t>
  </si>
  <si>
    <t>$930,535</t>
  </si>
  <si>
    <t>7677 Maple Dr, San Diego, IL 93570</t>
  </si>
  <si>
    <t>Z644355</t>
  </si>
  <si>
    <t>https://www.zillow.com/homedetails/53051863_zpid/</t>
  </si>
  <si>
    <t>$571,179</t>
  </si>
  <si>
    <t>8215 Pine Rd, Los Angeles, CA 69765</t>
  </si>
  <si>
    <t>Z425345</t>
  </si>
  <si>
    <t>https://www.zillow.com/homedetails/52901949_zpid/</t>
  </si>
  <si>
    <t>$1,026,442</t>
  </si>
  <si>
    <t>1204 Elm St, Sacramento, TX 78801</t>
  </si>
  <si>
    <t>Z821626</t>
  </si>
  <si>
    <t>https://www.zillow.com/homedetails/73573642_zpid/</t>
  </si>
  <si>
    <t>$572,510</t>
  </si>
  <si>
    <t>8599 Main St, San Francisco, NY 51007</t>
  </si>
  <si>
    <t>Z213229</t>
  </si>
  <si>
    <t>https://www.zillow.com/homedetails/23613728_zpid/</t>
  </si>
  <si>
    <t>$1,472,070</t>
  </si>
  <si>
    <t>8231 Main St, San Diego, CA 10238</t>
  </si>
  <si>
    <t>Z722416</t>
  </si>
  <si>
    <t>https://www.zillow.com/homedetails/79726004_zpid/</t>
  </si>
  <si>
    <t>$772,817</t>
  </si>
  <si>
    <t>1592 Elm St, Los Angeles, IL 60485</t>
  </si>
  <si>
    <t>Z896464</t>
  </si>
  <si>
    <t>https://www.zillow.com/homedetails/14497373_zpid/</t>
  </si>
  <si>
    <t>$1,387,582</t>
  </si>
  <si>
    <t>7708 Maple Dr, San Diego, NY 76921</t>
  </si>
  <si>
    <t>Z610640</t>
  </si>
  <si>
    <t>https://www.zillow.com/homedetails/13784062_zpid/</t>
  </si>
  <si>
    <t>$1,046,192</t>
  </si>
  <si>
    <t>9465 Maple Dr, Sacramento, NY 20830</t>
  </si>
  <si>
    <t>Z502509</t>
  </si>
  <si>
    <t>https://www.zillow.com/homedetails/60979208_zpid/</t>
  </si>
  <si>
    <t>$1,300,827</t>
  </si>
  <si>
    <t>174 Elm St, Sacramento, FL 75928</t>
  </si>
  <si>
    <t>Z651808</t>
  </si>
  <si>
    <t>https://www.zillow.com/homedetails/60125360_zpid/</t>
  </si>
  <si>
    <t>$1,363,548</t>
  </si>
  <si>
    <t>4158 Elm St, Fresno, FL 33153</t>
  </si>
  <si>
    <t>Z235270</t>
  </si>
  <si>
    <t>https://www.zillow.com/homedetails/84005787_zpid/</t>
  </si>
  <si>
    <t>$388,769</t>
  </si>
  <si>
    <t>8664 Oak Ave, San Francisco, IL 15945</t>
  </si>
  <si>
    <t>Z598945</t>
  </si>
  <si>
    <t>https://www.zillow.com/homedetails/21728207_zpid/</t>
  </si>
  <si>
    <t>$1,261,138</t>
  </si>
  <si>
    <t>7124 Pine Rd, Los Angeles, NY 23082</t>
  </si>
  <si>
    <t>Z910228</t>
  </si>
  <si>
    <t>https://www.zillow.com/homedetails/27311346_zpid/</t>
  </si>
  <si>
    <t>$1,101,329</t>
  </si>
  <si>
    <t>2557 Pine Rd, Sacramento, CA 42548</t>
  </si>
  <si>
    <t>Z440307</t>
  </si>
  <si>
    <t>https://www.zillow.com/homedetails/25611837_zpid/</t>
  </si>
  <si>
    <t>$1,265,663</t>
  </si>
  <si>
    <t>2875 Elm St, San Diego, CA 44650</t>
  </si>
  <si>
    <t>Z299587</t>
  </si>
  <si>
    <t>https://www.zillow.com/homedetails/36714205_zpid/</t>
  </si>
  <si>
    <t>$750,711</t>
  </si>
  <si>
    <t>2228 Pine Rd, Los Angeles, NY 33826</t>
  </si>
  <si>
    <t>Z644770</t>
  </si>
  <si>
    <t>https://www.zillow.com/homedetails/71486557_zpid/</t>
  </si>
  <si>
    <t>$565,021</t>
  </si>
  <si>
    <t>6341 Main St, Sacramento, FL 14887</t>
  </si>
  <si>
    <t>Z815178</t>
  </si>
  <si>
    <t>https://www.zillow.com/homedetails/29101721_zpid/</t>
  </si>
  <si>
    <t>$849,581</t>
  </si>
  <si>
    <t>8008 Elm St, Los Angeles, IL 39118</t>
  </si>
  <si>
    <t>Z212786</t>
  </si>
  <si>
    <t>https://www.zillow.com/homedetails/33651717_zpid/</t>
  </si>
  <si>
    <t>$1,242,207</t>
  </si>
  <si>
    <t>366 Pine Rd, Los Angeles, CA 22656</t>
  </si>
  <si>
    <t>Z868381</t>
  </si>
  <si>
    <t>https://www.zillow.com/homedetails/18473786_zpid/</t>
  </si>
  <si>
    <t>$201,977</t>
  </si>
  <si>
    <t>8761 Elm St, Sacramento, FL 93371</t>
  </si>
  <si>
    <t>Z236320</t>
  </si>
  <si>
    <t>https://www.zillow.com/homedetails/90410563_zpid/</t>
  </si>
  <si>
    <t>$370,684</t>
  </si>
  <si>
    <t>761 Pine Rd, Sacramento, NY 95473</t>
  </si>
  <si>
    <t>Z318792</t>
  </si>
  <si>
    <t>https://www.zillow.com/homedetails/16546331_zpid/</t>
  </si>
  <si>
    <t>$658,392</t>
  </si>
  <si>
    <t>2411 Main St, Fresno, NY 98045</t>
  </si>
  <si>
    <t>Z218651</t>
  </si>
  <si>
    <t>https://www.zillow.com/homedetails/52612346_zpid/</t>
  </si>
  <si>
    <t>$588,503</t>
  </si>
  <si>
    <t>9391 Elm St, Sacramento, IL 11489</t>
  </si>
  <si>
    <t>Z256038</t>
  </si>
  <si>
    <t>https://www.zillow.com/homedetails/69974143_zpid/</t>
  </si>
  <si>
    <t>$974,380</t>
  </si>
  <si>
    <t>8685 Elm St, Sacramento, IL 27970</t>
  </si>
  <si>
    <t>Z477296</t>
  </si>
  <si>
    <t>https://www.zillow.com/homedetails/84066246_zpid/</t>
  </si>
  <si>
    <t>$917,965</t>
  </si>
  <si>
    <t>4171 Pine Rd, San Diego, NY 97217</t>
  </si>
  <si>
    <t>Z613387</t>
  </si>
  <si>
    <t>https://www.zillow.com/homedetails/10766038_zpid/</t>
  </si>
  <si>
    <t>$1,148,502</t>
  </si>
  <si>
    <t>5289 Maple Dr, Sacramento, FL 89624</t>
  </si>
  <si>
    <t>Z661811</t>
  </si>
  <si>
    <t>https://www.zillow.com/homedetails/95325020_zpid/</t>
  </si>
  <si>
    <t>$788,528</t>
  </si>
  <si>
    <t>8949 Maple Dr, San Francisco, CA 37518</t>
  </si>
  <si>
    <t>Z349508</t>
  </si>
  <si>
    <t>https://www.zillow.com/homedetails/36941441_zpid/</t>
  </si>
  <si>
    <t>$818,315</t>
  </si>
  <si>
    <t>4654 Maple Dr, San Francisco, CA 22482</t>
  </si>
  <si>
    <t>Z561453</t>
  </si>
  <si>
    <t>https://www.zillow.com/homedetails/90661304_zpid/</t>
  </si>
  <si>
    <t>$1,092,879</t>
  </si>
  <si>
    <t>4327 Maple Dr, Los Angeles, NY 96529</t>
  </si>
  <si>
    <t>Z629938</t>
  </si>
  <si>
    <t>https://www.zillow.com/homedetails/89749130_zpid/</t>
  </si>
  <si>
    <t>$1,320,556</t>
  </si>
  <si>
    <t>6841 Elm St, Los Angeles, TX 19798</t>
  </si>
  <si>
    <t>Z591348</t>
  </si>
  <si>
    <t>https://www.zillow.com/homedetails/66466219_zpid/</t>
  </si>
  <si>
    <t>$516,119</t>
  </si>
  <si>
    <t>8340 Oak Ave, San Francisco, NY 74420</t>
  </si>
  <si>
    <t>Z428654</t>
  </si>
  <si>
    <t>https://www.zillow.com/homedetails/31920055_zpid/</t>
  </si>
  <si>
    <t>$480,363</t>
  </si>
  <si>
    <t>1358 Elm St, Los Angeles, IL 40585</t>
  </si>
  <si>
    <t>Z348107</t>
  </si>
  <si>
    <t>https://www.zillow.com/homedetails/81434642_zpid/</t>
  </si>
  <si>
    <t>$496,535</t>
  </si>
  <si>
    <t>3156 Oak Ave, San Francisco, IL 66688</t>
  </si>
  <si>
    <t>Z147650</t>
  </si>
  <si>
    <t>https://www.zillow.com/homedetails/22672351_zpid/</t>
  </si>
  <si>
    <t>$1,251,066</t>
  </si>
  <si>
    <t>5244 Maple Dr, San Diego, TX 82734</t>
  </si>
  <si>
    <t>Z529332</t>
  </si>
  <si>
    <t>https://www.zillow.com/homedetails/94498200_zpid/</t>
  </si>
  <si>
    <t>$1,399,032</t>
  </si>
  <si>
    <t>4349 Maple Dr, Fresno, IL 19237</t>
  </si>
  <si>
    <t>Z517856</t>
  </si>
  <si>
    <t>https://www.zillow.com/homedetails/33919838_zpid/</t>
  </si>
  <si>
    <t>$1,121,373</t>
  </si>
  <si>
    <t>7161 Main St, Sacramento, CA 94325</t>
  </si>
  <si>
    <t>Z422364</t>
  </si>
  <si>
    <t>https://www.zillow.com/homedetails/57120796_zpid/</t>
  </si>
  <si>
    <t>$738,847</t>
  </si>
  <si>
    <t>8548 Oak Ave, Fresno, CA 36357</t>
  </si>
  <si>
    <t>Z638632</t>
  </si>
  <si>
    <t>https://www.zillow.com/homedetails/10826159_zpid/</t>
  </si>
  <si>
    <t>$374,385</t>
  </si>
  <si>
    <t>3286 Oak Ave, Sacramento, CA 50594</t>
  </si>
  <si>
    <t>Z386116</t>
  </si>
  <si>
    <t>https://www.zillow.com/homedetails/91706698_zpid/</t>
  </si>
  <si>
    <t>$943,403</t>
  </si>
  <si>
    <t>4812 Maple Dr, Fresno, NY 31004</t>
  </si>
  <si>
    <t>Z834008</t>
  </si>
  <si>
    <t>https://www.zillow.com/homedetails/32570925_zpid/</t>
  </si>
  <si>
    <t>$788,640</t>
  </si>
  <si>
    <t>1693 Maple Dr, Los Angeles, IL 87661</t>
  </si>
  <si>
    <t>Z659564</t>
  </si>
  <si>
    <t>https://www.zillow.com/homedetails/47106106_zpid/</t>
  </si>
  <si>
    <t>$848,296</t>
  </si>
  <si>
    <t>5141 Main St, Sacramento, CA 34902</t>
  </si>
  <si>
    <t>Z430398</t>
  </si>
  <si>
    <t>https://www.zillow.com/homedetails/26049013_zpid/</t>
  </si>
  <si>
    <t>$864,975</t>
  </si>
  <si>
    <t>696 Elm St, Sacramento, CA 80939</t>
  </si>
  <si>
    <t>Z265346</t>
  </si>
  <si>
    <t>https://www.zillow.com/homedetails/96515948_zpid/</t>
  </si>
  <si>
    <t>$914,722</t>
  </si>
  <si>
    <t>3326 Maple Dr, Los Angeles, CA 76331</t>
  </si>
  <si>
    <t>Z666971</t>
  </si>
  <si>
    <t>https://www.zillow.com/homedetails/19392758_zpid/</t>
  </si>
  <si>
    <t>$571,756</t>
  </si>
  <si>
    <t>2730 Oak Ave, San Diego, IL 85196</t>
  </si>
  <si>
    <t>Z924446</t>
  </si>
  <si>
    <t>https://www.zillow.com/homedetails/77127647_zpid/</t>
  </si>
  <si>
    <t>$580,818</t>
  </si>
  <si>
    <t>6867 Maple Dr, Fresno, IL 22458</t>
  </si>
  <si>
    <t>Z640147</t>
  </si>
  <si>
    <t>https://www.zillow.com/homedetails/33935242_zpid/</t>
  </si>
  <si>
    <t>$1,239,119</t>
  </si>
  <si>
    <t>9826 Elm St, San Diego, CA 55545</t>
  </si>
  <si>
    <t>Z617476</t>
  </si>
  <si>
    <t>https://www.zillow.com/homedetails/73755949_zpid/</t>
  </si>
  <si>
    <t>$204,505</t>
  </si>
  <si>
    <t>3750 Pine Rd, Los Angeles, TX 35979</t>
  </si>
  <si>
    <t>Z469417</t>
  </si>
  <si>
    <t>https://www.zillow.com/homedetails/53027549_zpid/</t>
  </si>
  <si>
    <t>$644,764</t>
  </si>
  <si>
    <t>4615 Pine Rd, Fresno, TX 91504</t>
  </si>
  <si>
    <t>Z169775</t>
  </si>
  <si>
    <t>https://www.zillow.com/homedetails/23625117_zpid/</t>
  </si>
  <si>
    <t>$992,364</t>
  </si>
  <si>
    <t>3698 Pine Rd, Sacramento, TX 39898</t>
  </si>
  <si>
    <t>Z505545</t>
  </si>
  <si>
    <t>https://www.zillow.com/homedetails/68497601_zpid/</t>
  </si>
  <si>
    <t>$1,140,029</t>
  </si>
  <si>
    <t>7615 Oak Ave, Fresno, NY 57838</t>
  </si>
  <si>
    <t>Z318931</t>
  </si>
  <si>
    <t>https://www.zillow.com/homedetails/80728517_zpid/</t>
  </si>
  <si>
    <t>$605,861</t>
  </si>
  <si>
    <t>9700 Pine Rd, Los Angeles, CA 55207</t>
  </si>
  <si>
    <t>Z707204</t>
  </si>
  <si>
    <t>https://www.zillow.com/homedetails/76538032_zpid/</t>
  </si>
  <si>
    <t>$1,472,458</t>
  </si>
  <si>
    <t>5600 Main St, Fresno, IL 76431</t>
  </si>
  <si>
    <t>Z726295</t>
  </si>
  <si>
    <t>https://www.zillow.com/homedetails/51243439_zpid/</t>
  </si>
  <si>
    <t>$427,572</t>
  </si>
  <si>
    <t>3272 Oak Ave, San Francisco, TX 47035</t>
  </si>
  <si>
    <t>Z906041</t>
  </si>
  <si>
    <t>https://www.zillow.com/homedetails/38158735_zpid/</t>
  </si>
  <si>
    <t>$1,161,421</t>
  </si>
  <si>
    <t>3897 Pine Rd, Sacramento, CA 80455</t>
  </si>
  <si>
    <t>Z208659</t>
  </si>
  <si>
    <t>https://www.zillow.com/homedetails/17353138_zpid/</t>
  </si>
  <si>
    <t>$314,414</t>
  </si>
  <si>
    <t>7267 Pine Rd, Los Angeles, FL 66368</t>
  </si>
  <si>
    <t>Z893122</t>
  </si>
  <si>
    <t>https://www.zillow.com/homedetails/99819773_zpid/</t>
  </si>
  <si>
    <t>$1,265,777</t>
  </si>
  <si>
    <t>4778 Main St, San Francisco, NY 36428</t>
  </si>
  <si>
    <t>Z143953</t>
  </si>
  <si>
    <t>https://www.zillow.com/homedetails/84542528_zpid/</t>
  </si>
  <si>
    <t>$789,955</t>
  </si>
  <si>
    <t>1559 Main St, San Diego, NY 40382</t>
  </si>
  <si>
    <t>Z384596</t>
  </si>
  <si>
    <t>https://www.zillow.com/homedetails/58329347_zpid/</t>
  </si>
  <si>
    <t>$480,974</t>
  </si>
  <si>
    <t>9572 Elm St, Fresno, NY 51917</t>
  </si>
  <si>
    <t>Z901428</t>
  </si>
  <si>
    <t>https://www.zillow.com/homedetails/98602956_zpid/</t>
  </si>
  <si>
    <t>$686,842</t>
  </si>
  <si>
    <t>6848 Elm St, Fresno, CA 94337</t>
  </si>
  <si>
    <t>Z142970</t>
  </si>
  <si>
    <t>https://www.zillow.com/homedetails/61085199_zpid/</t>
  </si>
  <si>
    <t>$944,010</t>
  </si>
  <si>
    <t>1797 Maple Dr, Fresno, TX 98894</t>
  </si>
  <si>
    <t>Z490042</t>
  </si>
  <si>
    <t>https://www.zillow.com/homedetails/29955955_zpid/</t>
  </si>
  <si>
    <t>$1,325,154</t>
  </si>
  <si>
    <t>4549 Oak Ave, San Francisco, CA 74845</t>
  </si>
  <si>
    <t>Z228863</t>
  </si>
  <si>
    <t>https://www.zillow.com/homedetails/59320531_zpid/</t>
  </si>
  <si>
    <t>$1,136,243</t>
  </si>
  <si>
    <t>1566 Maple Dr, San Francisco, NY 77717</t>
  </si>
  <si>
    <t>Z482058</t>
  </si>
  <si>
    <t>https://www.zillow.com/homedetails/16885483_zpid/</t>
  </si>
  <si>
    <t>$624,612</t>
  </si>
  <si>
    <t>8477 Oak Ave, San Francisco, CA 45435</t>
  </si>
  <si>
    <t>Z367349</t>
  </si>
  <si>
    <t>https://www.zillow.com/homedetails/84073555_zpid/</t>
  </si>
  <si>
    <t>$409,090</t>
  </si>
  <si>
    <t>495 Maple Dr, Fresno, NY 40049</t>
  </si>
  <si>
    <t>Z675883</t>
  </si>
  <si>
    <t>https://www.zillow.com/homedetails/23510148_zpid/</t>
  </si>
  <si>
    <t>$1,410,781</t>
  </si>
  <si>
    <t>4302 Elm St, San Francisco, NY 21095</t>
  </si>
  <si>
    <t>Z874135</t>
  </si>
  <si>
    <t>https://www.zillow.com/homedetails/22331051_zpid/</t>
  </si>
  <si>
    <t>$900,400</t>
  </si>
  <si>
    <t>6868 Pine Rd, Los Angeles, NY 37962</t>
  </si>
  <si>
    <t>Z195974</t>
  </si>
  <si>
    <t>https://www.zillow.com/homedetails/18136616_zpid/</t>
  </si>
  <si>
    <t>$770,905</t>
  </si>
  <si>
    <t>9200 Elm St, Los Angeles, IL 24534</t>
  </si>
  <si>
    <t>Z424601</t>
  </si>
  <si>
    <t>https://www.zillow.com/homedetails/29460473_zpid/</t>
  </si>
  <si>
    <t>$1,283,223</t>
  </si>
  <si>
    <t>3412 Pine Rd, Fresno, IL 44519</t>
  </si>
  <si>
    <t>Z176050</t>
  </si>
  <si>
    <t>https://www.zillow.com/homedetails/62149996_zpid/</t>
  </si>
  <si>
    <t>$499,747</t>
  </si>
  <si>
    <t>870 Oak Ave, San Diego, NY 54416</t>
  </si>
  <si>
    <t>Z769880</t>
  </si>
  <si>
    <t>https://www.zillow.com/homedetails/66908005_zpid/</t>
  </si>
  <si>
    <t>$712,555</t>
  </si>
  <si>
    <t>269 Pine Rd, Sacramento, IL 76996</t>
  </si>
  <si>
    <t>Z584839</t>
  </si>
  <si>
    <t>https://www.zillow.com/homedetails/96992600_zpid/</t>
  </si>
  <si>
    <t>$619,571</t>
  </si>
  <si>
    <t>5667 Oak Ave, Sacramento, CA 86858</t>
  </si>
  <si>
    <t>Z595467</t>
  </si>
  <si>
    <t>https://www.zillow.com/homedetails/19945903_zpid/</t>
  </si>
  <si>
    <t>$1,409,033</t>
  </si>
  <si>
    <t>751 Elm St, Fresno, CA 60679</t>
  </si>
  <si>
    <t>Z800625</t>
  </si>
  <si>
    <t>https://www.zillow.com/homedetails/70618617_zpid/</t>
  </si>
  <si>
    <t>$389,699</t>
  </si>
  <si>
    <t>884 Pine Rd, Los Angeles, NY 79617</t>
  </si>
  <si>
    <t>Z769619</t>
  </si>
  <si>
    <t>https://www.zillow.com/homedetails/42038854_zpid/</t>
  </si>
  <si>
    <t>$1,045,885</t>
  </si>
  <si>
    <t>3687 Maple Dr, Sacramento, CA 63418</t>
  </si>
  <si>
    <t>Z448326</t>
  </si>
  <si>
    <t>https://www.zillow.com/homedetails/30004224_zpid/</t>
  </si>
  <si>
    <t>$1,377,069</t>
  </si>
  <si>
    <t>2239 Main St, Fresno, IL 87610</t>
  </si>
  <si>
    <t>Z879249</t>
  </si>
  <si>
    <t>https://www.zillow.com/homedetails/75714203_zpid/</t>
  </si>
  <si>
    <t>$1,112,286</t>
  </si>
  <si>
    <t>303 Pine Rd, San Diego, CA 16283</t>
  </si>
  <si>
    <t>Z197999</t>
  </si>
  <si>
    <t>https://www.zillow.com/homedetails/21235931_zpid/</t>
  </si>
  <si>
    <t>$1,477,628</t>
  </si>
  <si>
    <t>8951 Pine Rd, Los Angeles, CA 79047</t>
  </si>
  <si>
    <t>Z245330</t>
  </si>
  <si>
    <t>https://www.zillow.com/homedetails/84298802_zpid/</t>
  </si>
  <si>
    <t>$353,344</t>
  </si>
  <si>
    <t>962 Pine Rd, Sacramento, FL 75930</t>
  </si>
  <si>
    <t>Z800590</t>
  </si>
  <si>
    <t>https://www.zillow.com/homedetails/34702683_zpid/</t>
  </si>
  <si>
    <t>$299,777</t>
  </si>
  <si>
    <t>6319 Main St, San Francisco, IL 36162</t>
  </si>
  <si>
    <t>Z599306</t>
  </si>
  <si>
    <t>https://www.zillow.com/homedetails/32702618_zpid/</t>
  </si>
  <si>
    <t>$1,200,545</t>
  </si>
  <si>
    <t>9836 Oak Ave, San Diego, CA 99323</t>
  </si>
  <si>
    <t>Z568569</t>
  </si>
  <si>
    <t>https://www.zillow.com/homedetails/80557212_zpid/</t>
  </si>
  <si>
    <t>$453,846</t>
  </si>
  <si>
    <t>2771 Main St, San Francisco, CA 82910</t>
  </si>
  <si>
    <t>Z302593</t>
  </si>
  <si>
    <t>https://www.zillow.com/homedetails/80683601_zpid/</t>
  </si>
  <si>
    <t>$1,309,279</t>
  </si>
  <si>
    <t>1117 Oak Ave, San Diego, FL 65593</t>
  </si>
  <si>
    <t>Z473998</t>
  </si>
  <si>
    <t>https://www.zillow.com/homedetails/30517447_zpid/</t>
  </si>
  <si>
    <t>$294,270</t>
  </si>
  <si>
    <t>6119 Maple Dr, Sacramento, FL 18285</t>
  </si>
  <si>
    <t>Z114533</t>
  </si>
  <si>
    <t>https://www.zillow.com/homedetails/91309185_zpid/</t>
  </si>
  <si>
    <t>$227,369</t>
  </si>
  <si>
    <t>7933 Oak Ave, San Francisco, NY 67839</t>
  </si>
  <si>
    <t>Z483461</t>
  </si>
  <si>
    <t>https://www.zillow.com/homedetails/78691131_zpid/</t>
  </si>
  <si>
    <t>$1,079,451</t>
  </si>
  <si>
    <t>2070 Maple Dr, San Francisco, TX 59594</t>
  </si>
  <si>
    <t>Z401157</t>
  </si>
  <si>
    <t>https://www.zillow.com/homedetails/59358360_zpid/</t>
  </si>
  <si>
    <t>$811,641</t>
  </si>
  <si>
    <t>9118 Maple Dr, Sacramento, CA 23393</t>
  </si>
  <si>
    <t>Z150752</t>
  </si>
  <si>
    <t>https://www.zillow.com/homedetails/45656138_zpid/</t>
  </si>
  <si>
    <t>$1,206,970</t>
  </si>
  <si>
    <t>6434 Maple Dr, Sacramento, IL 76728</t>
  </si>
  <si>
    <t>Z485940</t>
  </si>
  <si>
    <t>https://www.zillow.com/homedetails/98748030_zpid/</t>
  </si>
  <si>
    <t>$359,738</t>
  </si>
  <si>
    <t>5856 Maple Dr, San Francisco, TX 20376</t>
  </si>
  <si>
    <t>Z736786</t>
  </si>
  <si>
    <t>https://www.zillow.com/homedetails/53415563_zpid/</t>
  </si>
  <si>
    <t>$667,232</t>
  </si>
  <si>
    <t>5746 Pine Rd, Fresno, CA 59040</t>
  </si>
  <si>
    <t>Z498135</t>
  </si>
  <si>
    <t>https://www.zillow.com/homedetails/77159973_zpid/</t>
  </si>
  <si>
    <t>$1,496,467</t>
  </si>
  <si>
    <t>2113 Pine Rd, Los Angeles, NY 21826</t>
  </si>
  <si>
    <t>Z873224</t>
  </si>
  <si>
    <t>https://www.zillow.com/homedetails/58297718_zpid/</t>
  </si>
  <si>
    <t>$1,243,614</t>
  </si>
  <si>
    <t>5407 Pine Rd, Sacramento, CA 52402</t>
  </si>
  <si>
    <t>Z976384</t>
  </si>
  <si>
    <t>https://www.zillow.com/homedetails/72206109_zpid/</t>
  </si>
  <si>
    <t>$1,350,028</t>
  </si>
  <si>
    <t>5815 Oak Ave, Fresno, CA 75286</t>
  </si>
  <si>
    <t>Z995130</t>
  </si>
  <si>
    <t>https://www.zillow.com/homedetails/28196441_zpid/</t>
  </si>
  <si>
    <t>$142,558</t>
  </si>
  <si>
    <t>5459 Pine Rd, Fresno, NY 83599</t>
  </si>
  <si>
    <t>Z541309</t>
  </si>
  <si>
    <t>https://www.zillow.com/homedetails/66666339_zpid/</t>
  </si>
  <si>
    <t>$842,454</t>
  </si>
  <si>
    <t>5205 Maple Dr, San Diego, NY 15718</t>
  </si>
  <si>
    <t>Z646745</t>
  </si>
  <si>
    <t>https://www.zillow.com/homedetails/26229055_zpid/</t>
  </si>
  <si>
    <t>$960,407</t>
  </si>
  <si>
    <t>7826 Elm St, Fresno, FL 35524</t>
  </si>
  <si>
    <t>Z167402</t>
  </si>
  <si>
    <t>https://www.zillow.com/homedetails/30230114_zpid/</t>
  </si>
  <si>
    <t>$510,123</t>
  </si>
  <si>
    <t>9390 Oak Ave, Sacramento, FL 85118</t>
  </si>
  <si>
    <t>Z943472</t>
  </si>
  <si>
    <t>https://www.zillow.com/homedetails/40225342_zpid/</t>
  </si>
  <si>
    <t>$1,336,927</t>
  </si>
  <si>
    <t>4790 Oak Ave, Sacramento, NY 45772</t>
  </si>
  <si>
    <t>Z875589</t>
  </si>
  <si>
    <t>https://www.zillow.com/homedetails/14291577_zpid/</t>
  </si>
  <si>
    <t>$1,377,802</t>
  </si>
  <si>
    <t>9871 Elm St, San Francisco, CA 75282</t>
  </si>
  <si>
    <t>Z490476</t>
  </si>
  <si>
    <t>https://www.zillow.com/homedetails/37356204_zpid/</t>
  </si>
  <si>
    <t>$287,677</t>
  </si>
  <si>
    <t>4699 Elm St, San Diego, IL 31572</t>
  </si>
  <si>
    <t>Z923872</t>
  </si>
  <si>
    <t>https://www.zillow.com/homedetails/70702975_zpid/</t>
  </si>
  <si>
    <t>$1,409,098</t>
  </si>
  <si>
    <t>1275 Pine Rd, Los Angeles, IL 26523</t>
  </si>
  <si>
    <t>Z337103</t>
  </si>
  <si>
    <t>https://www.zillow.com/homedetails/82161331_zpid/</t>
  </si>
  <si>
    <t>$1,236,695</t>
  </si>
  <si>
    <t>5572 Pine Rd, Sacramento, IL 84551</t>
  </si>
  <si>
    <t>Z959491</t>
  </si>
  <si>
    <t>https://www.zillow.com/homedetails/55169534_zpid/</t>
  </si>
  <si>
    <t>$850,519</t>
  </si>
  <si>
    <t>2375 Elm St, Sacramento, IL 51763</t>
  </si>
  <si>
    <t>Z915289</t>
  </si>
  <si>
    <t>https://www.zillow.com/homedetails/41325224_zpid/</t>
  </si>
  <si>
    <t>$406,535</t>
  </si>
  <si>
    <t>8131 Maple Dr, Fresno, IL 33457</t>
  </si>
  <si>
    <t>Z694666</t>
  </si>
  <si>
    <t>https://www.zillow.com/homedetails/14448273_zpid/</t>
  </si>
  <si>
    <t>$393,811</t>
  </si>
  <si>
    <t>2531 Pine Rd, Sacramento, TX 36438</t>
  </si>
  <si>
    <t>Z182909</t>
  </si>
  <si>
    <t>https://www.zillow.com/homedetails/27994580_zpid/</t>
  </si>
  <si>
    <t>$1,211,963</t>
  </si>
  <si>
    <t>3558 Maple Dr, San Francisco, FL 97647</t>
  </si>
  <si>
    <t>Z453165</t>
  </si>
  <si>
    <t>https://www.zillow.com/homedetails/81410744_zpid/</t>
  </si>
  <si>
    <t>$467,298</t>
  </si>
  <si>
    <t>1843 Elm St, Los Angeles, TX 85311</t>
  </si>
  <si>
    <t>Z153860</t>
  </si>
  <si>
    <t>https://www.zillow.com/homedetails/65366066_zpid/</t>
  </si>
  <si>
    <t>$546,329</t>
  </si>
  <si>
    <t>7509 Main St, San Diego, IL 21852</t>
  </si>
  <si>
    <t>Z455076</t>
  </si>
  <si>
    <t>https://www.zillow.com/homedetails/54706273_zpid/</t>
  </si>
  <si>
    <t>$1,263,497</t>
  </si>
  <si>
    <t>3109 Pine Rd, Fresno, TX 86690</t>
  </si>
  <si>
    <t>Z546175</t>
  </si>
  <si>
    <t>https://www.zillow.com/homedetails/54111770_zpid/</t>
  </si>
  <si>
    <t>$854,770</t>
  </si>
  <si>
    <t>9004 Main St, Sacramento, CA 20349</t>
  </si>
  <si>
    <t>Z532776</t>
  </si>
  <si>
    <t>https://www.zillow.com/homedetails/27688022_zpid/</t>
  </si>
  <si>
    <t>$1,159,956</t>
  </si>
  <si>
    <t>9027 Pine Rd, Los Angeles, NY 97824</t>
  </si>
  <si>
    <t>Z620045</t>
  </si>
  <si>
    <t>https://www.zillow.com/homedetails/10933130_zpid/</t>
  </si>
  <si>
    <t>$1,447,743</t>
  </si>
  <si>
    <t>3349 Oak Ave, Fresno, NY 48074</t>
  </si>
  <si>
    <t>Z971023</t>
  </si>
  <si>
    <t>https://www.zillow.com/homedetails/60776812_zpid/</t>
  </si>
  <si>
    <t>$138,025</t>
  </si>
  <si>
    <t>7211 Pine Rd, Fresno, TX 19420</t>
  </si>
  <si>
    <t>Z142568</t>
  </si>
  <si>
    <t>https://www.zillow.com/homedetails/50797288_zpid/</t>
  </si>
  <si>
    <t>$543,804</t>
  </si>
  <si>
    <t>6574 Elm St, San Diego, CA 19935</t>
  </si>
  <si>
    <t>Z376009</t>
  </si>
  <si>
    <t>https://www.zillow.com/homedetails/39211662_zpid/</t>
  </si>
  <si>
    <t>$563,864</t>
  </si>
  <si>
    <t>5061 Oak Ave, Fresno, FL 61586</t>
  </si>
  <si>
    <t>Z247058</t>
  </si>
  <si>
    <t>https://www.zillow.com/homedetails/52589699_zpid/</t>
  </si>
  <si>
    <t>$146,864</t>
  </si>
  <si>
    <t>1171 Main St, Sacramento, NY 34517</t>
  </si>
  <si>
    <t>Z804319</t>
  </si>
  <si>
    <t>https://www.zillow.com/homedetails/24062859_zpid/</t>
  </si>
  <si>
    <t>$1,217,073</t>
  </si>
  <si>
    <t>6113 Elm St, Fresno, IL 33023</t>
  </si>
  <si>
    <t>Z461548</t>
  </si>
  <si>
    <t>https://www.zillow.com/homedetails/81969365_zpid/</t>
  </si>
  <si>
    <t>$273,704</t>
  </si>
  <si>
    <t>8613 Main St, Sacramento, FL 80702</t>
  </si>
  <si>
    <t>Z222656</t>
  </si>
  <si>
    <t>https://www.zillow.com/homedetails/76046937_zpid/</t>
  </si>
  <si>
    <t>$732,277</t>
  </si>
  <si>
    <t>8622 Maple Dr, San Diego, NY 26771</t>
  </si>
  <si>
    <t>Z855300</t>
  </si>
  <si>
    <t>https://www.zillow.com/homedetails/85701809_zpid/</t>
  </si>
  <si>
    <t>$1,139,836</t>
  </si>
  <si>
    <t>8992 Maple Dr, Los Angeles, TX 23438</t>
  </si>
  <si>
    <t>Z712361</t>
  </si>
  <si>
    <t>https://www.zillow.com/homedetails/92666565_zpid/</t>
  </si>
  <si>
    <t>$840,528</t>
  </si>
  <si>
    <t>961 Main St, Los Angeles, FL 29161</t>
  </si>
  <si>
    <t>Z328505</t>
  </si>
  <si>
    <t>https://www.zillow.com/homedetails/21724638_zpid/</t>
  </si>
  <si>
    <t>$719,382</t>
  </si>
  <si>
    <t>3642 Oak Ave, Fresno, FL 45418</t>
  </si>
  <si>
    <t>Z238965</t>
  </si>
  <si>
    <t>https://www.zillow.com/homedetails/60718381_zpid/</t>
  </si>
  <si>
    <t>$155,283</t>
  </si>
  <si>
    <t>3516 Elm St, Fresno, FL 18979</t>
  </si>
  <si>
    <t>Z812944</t>
  </si>
  <si>
    <t>https://www.zillow.com/homedetails/74845846_zpid/</t>
  </si>
  <si>
    <t>$423,783</t>
  </si>
  <si>
    <t>1116 Oak Ave, Los Angeles, IL 96388</t>
  </si>
  <si>
    <t>Z490810</t>
  </si>
  <si>
    <t>https://www.zillow.com/homedetails/47891270_zpid/</t>
  </si>
  <si>
    <t>$554,124</t>
  </si>
  <si>
    <t>8176 Maple Dr, Los Angeles, CA 68265</t>
  </si>
  <si>
    <t>Z916101</t>
  </si>
  <si>
    <t>https://www.zillow.com/homedetails/56453360_zpid/</t>
  </si>
  <si>
    <t>$729,055</t>
  </si>
  <si>
    <t>9918 Maple Dr, San Diego, FL 52635</t>
  </si>
  <si>
    <t>Z357367</t>
  </si>
  <si>
    <t>https://www.zillow.com/homedetails/78608707_zpid/</t>
  </si>
  <si>
    <t>$1,280,219</t>
  </si>
  <si>
    <t>2584 Oak Ave, San Francisco, TX 77562</t>
  </si>
  <si>
    <t>Z121296</t>
  </si>
  <si>
    <t>https://www.zillow.com/homedetails/91659400_zpid/</t>
  </si>
  <si>
    <t>$743,014</t>
  </si>
  <si>
    <t>1894 Oak Ave, Los Angeles, NY 42337</t>
  </si>
  <si>
    <t>Z443025</t>
  </si>
  <si>
    <t>https://www.zillow.com/homedetails/56554269_zpid/</t>
  </si>
  <si>
    <t>$1,122,707</t>
  </si>
  <si>
    <t>7819 Oak Ave, Los Angeles, CA 41713</t>
  </si>
  <si>
    <t>Z445969</t>
  </si>
  <si>
    <t>https://www.zillow.com/homedetails/73083434_zpid/</t>
  </si>
  <si>
    <t>$113,084</t>
  </si>
  <si>
    <t>9304 Pine Rd, San Diego, NY 16656</t>
  </si>
  <si>
    <t>Z109846</t>
  </si>
  <si>
    <t>https://www.zillow.com/homedetails/27533661_zpid/</t>
  </si>
  <si>
    <t>$206,332</t>
  </si>
  <si>
    <t>8912 Main St, Los Angeles, FL 49604</t>
  </si>
  <si>
    <t>Z912996</t>
  </si>
  <si>
    <t>https://www.zillow.com/homedetails/17947233_zpid/</t>
  </si>
  <si>
    <t>$685,711</t>
  </si>
  <si>
    <t>9594 Elm St, Fresno, FL 18615</t>
  </si>
  <si>
    <t>Z378111</t>
  </si>
  <si>
    <t>https://www.zillow.com/homedetails/52593970_zpid/</t>
  </si>
  <si>
    <t>$938,789</t>
  </si>
  <si>
    <t>5436 Pine Rd, Fresno, TX 23436</t>
  </si>
  <si>
    <t>Z332539</t>
  </si>
  <si>
    <t>https://www.zillow.com/homedetails/70783453_zpid/</t>
  </si>
  <si>
    <t>$1,009,530</t>
  </si>
  <si>
    <t>1408 Pine Rd, San Francisco, IL 56080</t>
  </si>
  <si>
    <t>Z864143</t>
  </si>
  <si>
    <t>https://www.zillow.com/homedetails/95703625_zpid/</t>
  </si>
  <si>
    <t>$545,380</t>
  </si>
  <si>
    <t>7478 Maple Dr, Los Angeles, CA 35544</t>
  </si>
  <si>
    <t>Z710935</t>
  </si>
  <si>
    <t>https://www.zillow.com/homedetails/65521630_zpid/</t>
  </si>
  <si>
    <t>$357,273</t>
  </si>
  <si>
    <t>5634 Elm St, San Diego, TX 29803</t>
  </si>
  <si>
    <t>Z174547</t>
  </si>
  <si>
    <t>https://www.zillow.com/homedetails/98291053_zpid/</t>
  </si>
  <si>
    <t>$537,598</t>
  </si>
  <si>
    <t>5907 Maple Dr, San Francisco, IL 11210</t>
  </si>
  <si>
    <t>Z393567</t>
  </si>
  <si>
    <t>https://www.zillow.com/homedetails/89216040_zpid/</t>
  </si>
  <si>
    <t>$263,351</t>
  </si>
  <si>
    <t>1919 Main St, Los Angeles, FL 50766</t>
  </si>
  <si>
    <t>Z815149</t>
  </si>
  <si>
    <t>https://www.zillow.com/homedetails/72671826_zpid/</t>
  </si>
  <si>
    <t>$883,643</t>
  </si>
  <si>
    <t>5424 Elm St, Los Angeles, TX 94827</t>
  </si>
  <si>
    <t>Z960069</t>
  </si>
  <si>
    <t>https://www.zillow.com/homedetails/91678180_zpid/</t>
  </si>
  <si>
    <t>$654,277</t>
  </si>
  <si>
    <t>3080 Elm St, San Francisco, IL 89195</t>
  </si>
  <si>
    <t>Z472338</t>
  </si>
  <si>
    <t>https://www.zillow.com/homedetails/16483705_zpid/</t>
  </si>
  <si>
    <t>$855,844</t>
  </si>
  <si>
    <t>9665 Elm St, San Diego, NY 48115</t>
  </si>
  <si>
    <t>Z571938</t>
  </si>
  <si>
    <t>https://www.zillow.com/homedetails/82890464_zpid/</t>
  </si>
  <si>
    <t>$286,416</t>
  </si>
  <si>
    <t>3899 Oak Ave, Los Angeles, NY 99183</t>
  </si>
  <si>
    <t>Z591666</t>
  </si>
  <si>
    <t>https://www.zillow.com/homedetails/24833430_zpid/</t>
  </si>
  <si>
    <t>$1,471,386</t>
  </si>
  <si>
    <t>3901 Pine Rd, Los Angeles, IL 28501</t>
  </si>
  <si>
    <t>Z178333</t>
  </si>
  <si>
    <t>https://www.zillow.com/homedetails/35049979_zpid/</t>
  </si>
  <si>
    <t>$843,704</t>
  </si>
  <si>
    <t>6835 Maple Dr, Los Angeles, TX 95821</t>
  </si>
  <si>
    <t>Z395094</t>
  </si>
  <si>
    <t>https://www.zillow.com/homedetails/88055807_zpid/</t>
  </si>
  <si>
    <t>$558,267</t>
  </si>
  <si>
    <t>5074 Maple Dr, San Francisco, NY 35045</t>
  </si>
  <si>
    <t>Z785389</t>
  </si>
  <si>
    <t>https://www.zillow.com/homedetails/55480155_zpid/</t>
  </si>
  <si>
    <t>$575,209</t>
  </si>
  <si>
    <t>7600 Main St, San Diego, IL 94919</t>
  </si>
  <si>
    <t>Z611296</t>
  </si>
  <si>
    <t>https://www.zillow.com/homedetails/84004003_zpid/</t>
  </si>
  <si>
    <t>$788,343</t>
  </si>
  <si>
    <t>6586 Main St, San Francisco, FL 20373</t>
  </si>
  <si>
    <t>Z663269</t>
  </si>
  <si>
    <t>https://www.zillow.com/homedetails/68513614_zpid/</t>
  </si>
  <si>
    <t>$1,175,985</t>
  </si>
  <si>
    <t>3734 Pine Rd, Sacramento, IL 82995</t>
  </si>
  <si>
    <t>Z685300</t>
  </si>
  <si>
    <t>https://www.zillow.com/homedetails/54031739_zpid/</t>
  </si>
  <si>
    <t>$389,748</t>
  </si>
  <si>
    <t>143 Pine Rd, Sacramento, NY 58019</t>
  </si>
  <si>
    <t>Z593800</t>
  </si>
  <si>
    <t>https://www.zillow.com/homedetails/59347451_zpid/</t>
  </si>
  <si>
    <t>$297,796</t>
  </si>
  <si>
    <t>4483 Maple Dr, San Francisco, FL 47018</t>
  </si>
  <si>
    <t>Z289956</t>
  </si>
  <si>
    <t>https://www.zillow.com/homedetails/64905818_zpid/</t>
  </si>
  <si>
    <t>$117,540</t>
  </si>
  <si>
    <t>4005 Maple Dr, Los Angeles, TX 44250</t>
  </si>
  <si>
    <t>Z534793</t>
  </si>
  <si>
    <t>https://www.zillow.com/homedetails/59333307_zpid/</t>
  </si>
  <si>
    <t>$320,520</t>
  </si>
  <si>
    <t>5951 Main St, San Diego, TX 40066</t>
  </si>
  <si>
    <t>Z919668</t>
  </si>
  <si>
    <t>https://www.zillow.com/homedetails/48669954_zpid/</t>
  </si>
  <si>
    <t>$319,961</t>
  </si>
  <si>
    <t>4726 Maple Dr, Sacramento, TX 67883</t>
  </si>
  <si>
    <t>Z416880</t>
  </si>
  <si>
    <t>https://www.zillow.com/homedetails/62990948_zpid/</t>
  </si>
  <si>
    <t>$563,715</t>
  </si>
  <si>
    <t>9423 Elm St, Los Angeles, FL 88335</t>
  </si>
  <si>
    <t>Z390968</t>
  </si>
  <si>
    <t>https://www.zillow.com/homedetails/51221913_zpid/</t>
  </si>
  <si>
    <t>$842,075</t>
  </si>
  <si>
    <t>1716 Pine Rd, San Francisco, TX 77567</t>
  </si>
  <si>
    <t>Z624870</t>
  </si>
  <si>
    <t>https://www.zillow.com/homedetails/41472556_zpid/</t>
  </si>
  <si>
    <t>$1,394,343</t>
  </si>
  <si>
    <t>4907 Pine Rd, San Diego, NY 65461</t>
  </si>
  <si>
    <t>Z627865</t>
  </si>
  <si>
    <t>https://www.zillow.com/homedetails/64337736_zpid/</t>
  </si>
  <si>
    <t>$1,219,513</t>
  </si>
  <si>
    <t>9353 Oak Ave, San Diego, FL 93955</t>
  </si>
  <si>
    <t>Z926631</t>
  </si>
  <si>
    <t>https://www.zillow.com/homedetails/38635483_zpid/</t>
  </si>
  <si>
    <t>$805,615</t>
  </si>
  <si>
    <t>8287 Main St, Los Angeles, NY 17410</t>
  </si>
  <si>
    <t>Z717138</t>
  </si>
  <si>
    <t>https://www.zillow.com/homedetails/95165798_zpid/</t>
  </si>
  <si>
    <t>$330,245</t>
  </si>
  <si>
    <t>7197 Oak Ave, Fresno, CA 79211</t>
  </si>
  <si>
    <t>Z498013</t>
  </si>
  <si>
    <t>https://www.zillow.com/homedetails/53850762_zpid/</t>
  </si>
  <si>
    <t>$948,645</t>
  </si>
  <si>
    <t>1807 Pine Rd, Fresno, IL 86928</t>
  </si>
  <si>
    <t>Z583065</t>
  </si>
  <si>
    <t>https://www.zillow.com/homedetails/24056046_zpid/</t>
  </si>
  <si>
    <t>$983,080</t>
  </si>
  <si>
    <t>1372 Maple Dr, Sacramento, NY 53607</t>
  </si>
  <si>
    <t>Z416850</t>
  </si>
  <si>
    <t>https://www.zillow.com/homedetails/11360007_zpid/</t>
  </si>
  <si>
    <t>$1,001,958</t>
  </si>
  <si>
    <t>866 Maple Dr, San Francisco, NY 10311</t>
  </si>
  <si>
    <t>Z191738</t>
  </si>
  <si>
    <t>https://www.zillow.com/homedetails/83579534_zpid/</t>
  </si>
  <si>
    <t>$1,465,899</t>
  </si>
  <si>
    <t>1367 Maple Dr, San Diego, CA 32173</t>
  </si>
  <si>
    <t>Z286352</t>
  </si>
  <si>
    <t>https://www.zillow.com/homedetails/54803497_zpid/</t>
  </si>
  <si>
    <t>$875,089</t>
  </si>
  <si>
    <t>4513 Maple Dr, San Diego, FL 27832</t>
  </si>
  <si>
    <t>Z626740</t>
  </si>
  <si>
    <t>https://www.zillow.com/homedetails/26489396_zpid/</t>
  </si>
  <si>
    <t>1717 Pine Rd, Sacramento, NY 31075</t>
  </si>
  <si>
    <t>Z297571</t>
  </si>
  <si>
    <t>https://www.zillow.com/homedetails/40298435_zpid/</t>
  </si>
  <si>
    <t>$630,401</t>
  </si>
  <si>
    <t>2127 Pine Rd, Sacramento, FL 27470</t>
  </si>
  <si>
    <t>Z232684</t>
  </si>
  <si>
    <t>https://www.zillow.com/homedetails/27257653_zpid/</t>
  </si>
  <si>
    <t>$541,228</t>
  </si>
  <si>
    <t>2613 Oak Ave, San Francisco, FL 68868</t>
  </si>
  <si>
    <t>Z741075</t>
  </si>
  <si>
    <t>https://www.zillow.com/homedetails/19869904_zpid/</t>
  </si>
  <si>
    <t>$900,860</t>
  </si>
  <si>
    <t>6081 Maple Dr, Los Angeles, TX 23693</t>
  </si>
  <si>
    <t>Z457597</t>
  </si>
  <si>
    <t>https://www.zillow.com/homedetails/34569867_zpid/</t>
  </si>
  <si>
    <t>$197,773</t>
  </si>
  <si>
    <t>1158 Elm St, Sacramento, TX 72738</t>
  </si>
  <si>
    <t>Z178018</t>
  </si>
  <si>
    <t>https://www.zillow.com/homedetails/50561086_zpid/</t>
  </si>
  <si>
    <t>$975,227</t>
  </si>
  <si>
    <t>2380 Pine Rd, Los Angeles, FL 80412</t>
  </si>
  <si>
    <t>Z241264</t>
  </si>
  <si>
    <t>https://www.zillow.com/homedetails/48877735_zpid/</t>
  </si>
  <si>
    <t>$1,113,507</t>
  </si>
  <si>
    <t>1474 Elm St, Sacramento, NY 32115</t>
  </si>
  <si>
    <t>Z588153</t>
  </si>
  <si>
    <t>https://www.zillow.com/homedetails/10328814_zpid/</t>
  </si>
  <si>
    <t>$1,024,884</t>
  </si>
  <si>
    <t>9246 Pine Rd, Fresno, IL 22793</t>
  </si>
  <si>
    <t>Z885063</t>
  </si>
  <si>
    <t>https://www.zillow.com/homedetails/56934044_zpid/</t>
  </si>
  <si>
    <t>$1,055,684</t>
  </si>
  <si>
    <t>9720 Maple Dr, San Diego, IL 56888</t>
  </si>
  <si>
    <t>Z345861</t>
  </si>
  <si>
    <t>https://www.zillow.com/homedetails/90670359_zpid/</t>
  </si>
  <si>
    <t>$396,731</t>
  </si>
  <si>
    <t>8042 Oak Ave, San Diego, IL 94192</t>
  </si>
  <si>
    <t>Z144414</t>
  </si>
  <si>
    <t>https://www.zillow.com/homedetails/90412459_zpid/</t>
  </si>
  <si>
    <t>$869,597</t>
  </si>
  <si>
    <t>156 Maple Dr, San Francisco, CA 45081</t>
  </si>
  <si>
    <t>Z287608</t>
  </si>
  <si>
    <t>https://www.zillow.com/homedetails/66803190_zpid/</t>
  </si>
  <si>
    <t>$860,503</t>
  </si>
  <si>
    <t>3639 Elm St, San Diego, TX 28105</t>
  </si>
  <si>
    <t>Z955591</t>
  </si>
  <si>
    <t>https://www.zillow.com/homedetails/77806827_zpid/</t>
  </si>
  <si>
    <t>$1,408,977</t>
  </si>
  <si>
    <t>5776 Main St, Los Angeles, TX 67939</t>
  </si>
  <si>
    <t>Z633492</t>
  </si>
  <si>
    <t>https://www.zillow.com/homedetails/87221724_zpid/</t>
  </si>
  <si>
    <t>$151,541</t>
  </si>
  <si>
    <t>4490 Main St, San Diego, CA 35797</t>
  </si>
  <si>
    <t>Z842287</t>
  </si>
  <si>
    <t>https://www.zillow.com/homedetails/63127208_zpid/</t>
  </si>
  <si>
    <t>$1,406,366</t>
  </si>
  <si>
    <t>4385 Main St, Los Angeles, IL 51679</t>
  </si>
  <si>
    <t>Z363515</t>
  </si>
  <si>
    <t>https://www.zillow.com/homedetails/90398091_zpid/</t>
  </si>
  <si>
    <t>$683,535</t>
  </si>
  <si>
    <t>4770 Oak Ave, Fresno, IL 54206</t>
  </si>
  <si>
    <t>Z735459</t>
  </si>
  <si>
    <t>https://www.zillow.com/homedetails/31269160_zpid/</t>
  </si>
  <si>
    <t>$1,077,238</t>
  </si>
  <si>
    <t>8464 Pine Rd, San Francisco, TX 39812</t>
  </si>
  <si>
    <t>Z514415</t>
  </si>
  <si>
    <t>https://www.zillow.com/homedetails/53404772_zpid/</t>
  </si>
  <si>
    <t>$708,347</t>
  </si>
  <si>
    <t>725 Elm St, Los Angeles, CA 61780</t>
  </si>
  <si>
    <t>Z656128</t>
  </si>
  <si>
    <t>https://www.zillow.com/homedetails/61087537_zpid/</t>
  </si>
  <si>
    <t>$933,014</t>
  </si>
  <si>
    <t>5147 Oak Ave, Fresno, TX 49179</t>
  </si>
  <si>
    <t>Z344919</t>
  </si>
  <si>
    <t>https://www.zillow.com/homedetails/14176132_zpid/</t>
  </si>
  <si>
    <t>$1,274,393</t>
  </si>
  <si>
    <t>5812 Oak Ave, San Diego, IL 74415</t>
  </si>
  <si>
    <t>Z904983</t>
  </si>
  <si>
    <t>https://www.zillow.com/homedetails/67366347_zpid/</t>
  </si>
  <si>
    <t>$1,314,599</t>
  </si>
  <si>
    <t>6580 Oak Ave, Los Angeles, CA 55480</t>
  </si>
  <si>
    <t>Z956631</t>
  </si>
  <si>
    <t>https://www.zillow.com/homedetails/23560928_zpid/</t>
  </si>
  <si>
    <t>$1,186,759</t>
  </si>
  <si>
    <t>5570 Maple Dr, Sacramento, CA 65418</t>
  </si>
  <si>
    <t>Z345225</t>
  </si>
  <si>
    <t>https://www.zillow.com/homedetails/93765270_zpid/</t>
  </si>
  <si>
    <t>$1,425,500</t>
  </si>
  <si>
    <t>6668 Pine Rd, Fresno, CA 67436</t>
  </si>
  <si>
    <t>Z624860</t>
  </si>
  <si>
    <t>https://www.zillow.com/homedetails/78129372_zpid/</t>
  </si>
  <si>
    <t>$631,278</t>
  </si>
  <si>
    <t>6694 Oak Ave, Fresno, CA 46082</t>
  </si>
  <si>
    <t>Z584345</t>
  </si>
  <si>
    <t>https://www.zillow.com/homedetails/57062426_zpid/</t>
  </si>
  <si>
    <t>$1,256,875</t>
  </si>
  <si>
    <t>1695 Main St, Sacramento, IL 65996</t>
  </si>
  <si>
    <t>Z289879</t>
  </si>
  <si>
    <t>https://www.zillow.com/homedetails/81407275_zpid/</t>
  </si>
  <si>
    <t>$230,146</t>
  </si>
  <si>
    <t>3011 Oak Ave, San Francisco, TX 47810</t>
  </si>
  <si>
    <t>Z772371</t>
  </si>
  <si>
    <t>https://www.zillow.com/homedetails/61907384_zpid/</t>
  </si>
  <si>
    <t>$757,948</t>
  </si>
  <si>
    <t>6175 Oak Ave, Los Angeles, IL 25777</t>
  </si>
  <si>
    <t>Z958177</t>
  </si>
  <si>
    <t>https://www.zillow.com/homedetails/70224725_zpid/</t>
  </si>
  <si>
    <t>$446,258</t>
  </si>
  <si>
    <t>8164 Elm St, Los Angeles, NY 58433</t>
  </si>
  <si>
    <t>Z722513</t>
  </si>
  <si>
    <t>https://www.zillow.com/homedetails/91259855_zpid/</t>
  </si>
  <si>
    <t>$183,860</t>
  </si>
  <si>
    <t>3909 Oak Ave, Fresno, FL 14495</t>
  </si>
  <si>
    <t>Z767523</t>
  </si>
  <si>
    <t>https://www.zillow.com/homedetails/43289155_zpid/</t>
  </si>
  <si>
    <t>$395,747</t>
  </si>
  <si>
    <t>8346 Oak Ave, San Diego, NY 61026</t>
  </si>
  <si>
    <t>Z292472</t>
  </si>
  <si>
    <t>https://www.zillow.com/homedetails/48955850_zpid/</t>
  </si>
  <si>
    <t>$757,183</t>
  </si>
  <si>
    <t>2815 Pine Rd, San Diego, TX 43557</t>
  </si>
  <si>
    <t>Z581059</t>
  </si>
  <si>
    <t>https://www.zillow.com/homedetails/53560182_zpid/</t>
  </si>
  <si>
    <t>$1,131,618</t>
  </si>
  <si>
    <t>2040 Oak Ave, Fresno, TX 77679</t>
  </si>
  <si>
    <t>Z835217</t>
  </si>
  <si>
    <t>https://www.zillow.com/homedetails/66462743_zpid/</t>
  </si>
  <si>
    <t>$208,579</t>
  </si>
  <si>
    <t>8217 Oak Ave, Fresno, NY 31166</t>
  </si>
  <si>
    <t>Z472380</t>
  </si>
  <si>
    <t>https://www.zillow.com/homedetails/80247216_zpid/</t>
  </si>
  <si>
    <t>$1,228,020</t>
  </si>
  <si>
    <t>2847 Elm St, Los Angeles, IL 37339</t>
  </si>
  <si>
    <t>Z160134</t>
  </si>
  <si>
    <t>https://www.zillow.com/homedetails/52673236_zpid/</t>
  </si>
  <si>
    <t>$1,055,904</t>
  </si>
  <si>
    <t>5783 Elm St, San Francisco, IL 14212</t>
  </si>
  <si>
    <t>Z858277</t>
  </si>
  <si>
    <t>https://www.zillow.com/homedetails/13495739_zpid/</t>
  </si>
  <si>
    <t>$850,524</t>
  </si>
  <si>
    <t>8466 Maple Dr, Los Angeles, IL 35378</t>
  </si>
  <si>
    <t>Z886315</t>
  </si>
  <si>
    <t>https://www.zillow.com/homedetails/13899991_zpid/</t>
  </si>
  <si>
    <t>$374,194</t>
  </si>
  <si>
    <t>3584 Elm St, Los Angeles, NY 87488</t>
  </si>
  <si>
    <t>Z393725</t>
  </si>
  <si>
    <t>https://www.zillow.com/homedetails/32561399_zpid/</t>
  </si>
  <si>
    <t>$277,923</t>
  </si>
  <si>
    <t>6963 Maple Dr, San Diego, FL 55567</t>
  </si>
  <si>
    <t>Z707817</t>
  </si>
  <si>
    <t>https://www.zillow.com/homedetails/78062054_zpid/</t>
  </si>
  <si>
    <t>$930,934</t>
  </si>
  <si>
    <t>3672 Maple Dr, San Francisco, IL 88302</t>
  </si>
  <si>
    <t>Z339811</t>
  </si>
  <si>
    <t>https://www.zillow.com/homedetails/85355484_zpid/</t>
  </si>
  <si>
    <t>$628,592</t>
  </si>
  <si>
    <t>1484 Main St, Fresno, TX 64477</t>
  </si>
  <si>
    <t>Z190634</t>
  </si>
  <si>
    <t>https://www.zillow.com/homedetails/89666139_zpid/</t>
  </si>
  <si>
    <t>$499,090</t>
  </si>
  <si>
    <t>1709 Main St, Sacramento, NY 14685</t>
  </si>
  <si>
    <t>Z271922</t>
  </si>
  <si>
    <t>https://www.zillow.com/homedetails/79451810_zpid/</t>
  </si>
  <si>
    <t>$1,107,473</t>
  </si>
  <si>
    <t>1476 Maple Dr, Los Angeles, IL 18152</t>
  </si>
  <si>
    <t>Z430989</t>
  </si>
  <si>
    <t>https://www.zillow.com/homedetails/14498064_zpid/</t>
  </si>
  <si>
    <t>$859,034</t>
  </si>
  <si>
    <t>7019 Elm St, Sacramento, TX 73267</t>
  </si>
  <si>
    <t>Z458631</t>
  </si>
  <si>
    <t>https://www.zillow.com/homedetails/80514688_zpid/</t>
  </si>
  <si>
    <t>$1,082,651</t>
  </si>
  <si>
    <t>2235 Pine Rd, Sacramento, NY 82661</t>
  </si>
  <si>
    <t>Z760496</t>
  </si>
  <si>
    <t>https://www.zillow.com/homedetails/10489790_zpid/</t>
  </si>
  <si>
    <t>$208,387</t>
  </si>
  <si>
    <t>5156 Main St, San Francisco, CA 93635</t>
  </si>
  <si>
    <t>Z177196</t>
  </si>
  <si>
    <t>https://www.zillow.com/homedetails/38772633_zpid/</t>
  </si>
  <si>
    <t>$564,122</t>
  </si>
  <si>
    <t>4841 Maple Dr, San Francisco, IL 78415</t>
  </si>
  <si>
    <t>Z967649</t>
  </si>
  <si>
    <t>https://www.zillow.com/homedetails/52049916_zpid/</t>
  </si>
  <si>
    <t>$987,975</t>
  </si>
  <si>
    <t>8112 Oak Ave, San Diego, TX 59583</t>
  </si>
  <si>
    <t>Z434100</t>
  </si>
  <si>
    <t>https://www.zillow.com/homedetails/18438058_zpid/</t>
  </si>
  <si>
    <t>$491,022</t>
  </si>
  <si>
    <t>3043 Pine Rd, San Diego, NY 29719</t>
  </si>
  <si>
    <t>Z603705</t>
  </si>
  <si>
    <t>https://www.zillow.com/homedetails/88765099_zpid/</t>
  </si>
  <si>
    <t>$305,465</t>
  </si>
  <si>
    <t>6929 Elm St, San Diego, TX 78275</t>
  </si>
  <si>
    <t>Z198406</t>
  </si>
  <si>
    <t>https://www.zillow.com/homedetails/40990317_zpid/</t>
  </si>
  <si>
    <t>$334,971</t>
  </si>
  <si>
    <t>1887 Maple Dr, Sacramento, TX 78040</t>
  </si>
  <si>
    <t>Z450051</t>
  </si>
  <si>
    <t>https://www.zillow.com/homedetails/96070950_zpid/</t>
  </si>
  <si>
    <t>$1,396,414</t>
  </si>
  <si>
    <t>2719 Main St, Fresno, IL 65847</t>
  </si>
  <si>
    <t>Z685698</t>
  </si>
  <si>
    <t>https://www.zillow.com/homedetails/49667085_zpid/</t>
  </si>
  <si>
    <t>$586,833</t>
  </si>
  <si>
    <t>5348 Main St, Sacramento, CA 93094</t>
  </si>
  <si>
    <t>Z112551</t>
  </si>
  <si>
    <t>https://www.zillow.com/homedetails/61368819_zpid/</t>
  </si>
  <si>
    <t>$1,458,637</t>
  </si>
  <si>
    <t>1283 Elm St, San Diego, IL 41680</t>
  </si>
  <si>
    <t>Z556039</t>
  </si>
  <si>
    <t>https://www.zillow.com/homedetails/67231716_zpid/</t>
  </si>
  <si>
    <t>$375,021</t>
  </si>
  <si>
    <t>3276 Main St, Sacramento, IL 10818</t>
  </si>
  <si>
    <t>Z540076</t>
  </si>
  <si>
    <t>https://www.zillow.com/homedetails/78065448_zpid/</t>
  </si>
  <si>
    <t>$1,250,673</t>
  </si>
  <si>
    <t>4937 Pine Rd, Sacramento, NY 55808</t>
  </si>
  <si>
    <t>Z950709</t>
  </si>
  <si>
    <t>https://www.zillow.com/homedetails/11037270_zpid/</t>
  </si>
  <si>
    <t>$668,183</t>
  </si>
  <si>
    <t>7595 Oak Ave, Sacramento, IL 36098</t>
  </si>
  <si>
    <t>Z723137</t>
  </si>
  <si>
    <t>https://www.zillow.com/homedetails/46586074_zpid/</t>
  </si>
  <si>
    <t>$1,258,068</t>
  </si>
  <si>
    <t>7011 Oak Ave, Fresno, FL 27071</t>
  </si>
  <si>
    <t>Z632180</t>
  </si>
  <si>
    <t>https://www.zillow.com/homedetails/78547708_zpid/</t>
  </si>
  <si>
    <t>$478,198</t>
  </si>
  <si>
    <t>894 Oak Ave, San Diego, CA 43152</t>
  </si>
  <si>
    <t>Z592854</t>
  </si>
  <si>
    <t>https://www.zillow.com/homedetails/55174186_zpid/</t>
  </si>
  <si>
    <t>$421,154</t>
  </si>
  <si>
    <t>3220 Maple Dr, Fresno, FL 40098</t>
  </si>
  <si>
    <t>Z930711</t>
  </si>
  <si>
    <t>https://www.zillow.com/homedetails/91073879_zpid/</t>
  </si>
  <si>
    <t>$1,434,930</t>
  </si>
  <si>
    <t>8843 Elm St, San Diego, CA 96391</t>
  </si>
  <si>
    <t>Z747779</t>
  </si>
  <si>
    <t>https://www.zillow.com/homedetails/54459877_zpid/</t>
  </si>
  <si>
    <t>$1,312,715</t>
  </si>
  <si>
    <t>5868 Oak Ave, San Diego, NY 90523</t>
  </si>
  <si>
    <t>Z652171</t>
  </si>
  <si>
    <t>https://www.zillow.com/homedetails/24439653_zpid/</t>
  </si>
  <si>
    <t>$1,361,982</t>
  </si>
  <si>
    <t>1930 Maple Dr, San Francisco, NY 51332</t>
  </si>
  <si>
    <t>Z393568</t>
  </si>
  <si>
    <t>https://www.zillow.com/homedetails/86198235_zpid/</t>
  </si>
  <si>
    <t>$1,376,159</t>
  </si>
  <si>
    <t>1861 Pine Rd, San Francisco, NY 20764</t>
  </si>
  <si>
    <t>Z499141</t>
  </si>
  <si>
    <t>https://www.zillow.com/homedetails/46831320_zpid/</t>
  </si>
  <si>
    <t>$119,222</t>
  </si>
  <si>
    <t>6204 Main St, San Diego, NY 92972</t>
  </si>
  <si>
    <t>Z978737</t>
  </si>
  <si>
    <t>https://www.zillow.com/homedetails/52526136_zpid/</t>
  </si>
  <si>
    <t>$976,821</t>
  </si>
  <si>
    <t>5559 Elm St, San Diego, FL 75163</t>
  </si>
  <si>
    <t>Z123396</t>
  </si>
  <si>
    <t>https://www.zillow.com/homedetails/17937633_zpid/</t>
  </si>
  <si>
    <t>$530,400</t>
  </si>
  <si>
    <t>351 Oak Ave, San Francisco, NY 29586</t>
  </si>
  <si>
    <t>Z966505</t>
  </si>
  <si>
    <t>https://www.zillow.com/homedetails/40096343_zpid/</t>
  </si>
  <si>
    <t>$524,279</t>
  </si>
  <si>
    <t>834 Main St, Los Angeles, CA 45798</t>
  </si>
  <si>
    <t>Z802108</t>
  </si>
  <si>
    <t>https://www.zillow.com/homedetails/24257923_zpid/</t>
  </si>
  <si>
    <t>$1,333,867</t>
  </si>
  <si>
    <t>7256 Maple Dr, Los Angeles, FL 83126</t>
  </si>
  <si>
    <t>Z717656</t>
  </si>
  <si>
    <t>https://www.zillow.com/homedetails/54018963_zpid/</t>
  </si>
  <si>
    <t>$368,896</t>
  </si>
  <si>
    <t>1048 Pine Rd, San Diego, FL 74857</t>
  </si>
  <si>
    <t>Z694800</t>
  </si>
  <si>
    <t>https://www.zillow.com/homedetails/83396898_zpid/</t>
  </si>
  <si>
    <t>$380,565</t>
  </si>
  <si>
    <t>969 Maple Dr, San Diego, NY 80154</t>
  </si>
  <si>
    <t>Z578726</t>
  </si>
  <si>
    <t>https://www.zillow.com/homedetails/18094633_zpid/</t>
  </si>
  <si>
    <t>$1,197,421</t>
  </si>
  <si>
    <t>9527 Oak Ave, San Francisco, TX 64532</t>
  </si>
  <si>
    <t>Z415973</t>
  </si>
  <si>
    <t>https://www.zillow.com/homedetails/54313072_zpid/</t>
  </si>
  <si>
    <t>$329,837</t>
  </si>
  <si>
    <t>9088 Maple Dr, Fresno, CA 48994</t>
  </si>
  <si>
    <t>Z360647</t>
  </si>
  <si>
    <t>https://www.zillow.com/homedetails/29018324_zpid/</t>
  </si>
  <si>
    <t>$1,040,215</t>
  </si>
  <si>
    <t>3118 Maple Dr, Los Angeles, FL 55444</t>
  </si>
  <si>
    <t>Z688333</t>
  </si>
  <si>
    <t>https://www.zillow.com/homedetails/50529520_zpid/</t>
  </si>
  <si>
    <t>$503,182</t>
  </si>
  <si>
    <t>5498 Elm St, Sacramento, CA 30347</t>
  </si>
  <si>
    <t>Z445734</t>
  </si>
  <si>
    <t>https://www.zillow.com/homedetails/36464986_zpid/</t>
  </si>
  <si>
    <t>$607,972</t>
  </si>
  <si>
    <t>7361 Main St, Fresno, CA 96549</t>
  </si>
  <si>
    <t>Z875362</t>
  </si>
  <si>
    <t>https://www.zillow.com/homedetails/19741484_zpid/</t>
  </si>
  <si>
    <t>$1,410,074</t>
  </si>
  <si>
    <t>5558 Oak Ave, Los Angeles, IL 74523</t>
  </si>
  <si>
    <t>Z683277</t>
  </si>
  <si>
    <t>https://www.zillow.com/homedetails/77427781_zpid/</t>
  </si>
  <si>
    <t>$535,463</t>
  </si>
  <si>
    <t>9246 Main St, Fresno, CA 17671</t>
  </si>
  <si>
    <t>Z660306</t>
  </si>
  <si>
    <t>https://www.zillow.com/homedetails/71912426_zpid/</t>
  </si>
  <si>
    <t>$1,047,205</t>
  </si>
  <si>
    <t>842 Maple Dr, San Diego, NY 23507</t>
  </si>
  <si>
    <t>Z835130</t>
  </si>
  <si>
    <t>https://www.zillow.com/homedetails/15253227_zpid/</t>
  </si>
  <si>
    <t>$1,115,773</t>
  </si>
  <si>
    <t>2966 Oak Ave, San Diego, IL 46749</t>
  </si>
  <si>
    <t>Z992084</t>
  </si>
  <si>
    <t>https://www.zillow.com/homedetails/25125470_zpid/</t>
  </si>
  <si>
    <t>$1,470,452</t>
  </si>
  <si>
    <t>4979 Elm St, Los Angeles, FL 81900</t>
  </si>
  <si>
    <t>Z154183</t>
  </si>
  <si>
    <t>https://www.zillow.com/homedetails/18335697_zpid/</t>
  </si>
  <si>
    <t>$1,058,406</t>
  </si>
  <si>
    <t>2340 Main St, Fresno, IL 62223</t>
  </si>
  <si>
    <t>Z843103</t>
  </si>
  <si>
    <t>https://www.zillow.com/homedetails/67193038_zpid/</t>
  </si>
  <si>
    <t>$1,482,612</t>
  </si>
  <si>
    <t>9182 Main St, San Diego, FL 11664</t>
  </si>
  <si>
    <t>Z833781</t>
  </si>
  <si>
    <t>https://www.zillow.com/homedetails/37784946_zpid/</t>
  </si>
  <si>
    <t>$195,826</t>
  </si>
  <si>
    <t>4663 Elm St, Los Angeles, FL 26355</t>
  </si>
  <si>
    <t>Z494455</t>
  </si>
  <si>
    <t>https://www.zillow.com/homedetails/64822761_zpid/</t>
  </si>
  <si>
    <t>$984,633</t>
  </si>
  <si>
    <t>3266 Maple Dr, Los Angeles, CA 27317</t>
  </si>
  <si>
    <t>Z720462</t>
  </si>
  <si>
    <t>https://www.zillow.com/homedetails/42871089_zpid/</t>
  </si>
  <si>
    <t>2528 Maple Dr, Sacramento, TX 52052</t>
  </si>
  <si>
    <t>Z595684</t>
  </si>
  <si>
    <t>https://www.zillow.com/homedetails/27480091_zpid/</t>
  </si>
  <si>
    <t>$722,912</t>
  </si>
  <si>
    <t>612 Pine Rd, San Diego, FL 66605</t>
  </si>
  <si>
    <t>Z362482</t>
  </si>
  <si>
    <t>https://www.zillow.com/homedetails/70690123_zpid/</t>
  </si>
  <si>
    <t>$1,442,863</t>
  </si>
  <si>
    <t>6087 Elm St, Los Angeles, CA 90177</t>
  </si>
  <si>
    <t>Z474980</t>
  </si>
  <si>
    <t>https://www.zillow.com/homedetails/44132604_zpid/</t>
  </si>
  <si>
    <t>$481,322</t>
  </si>
  <si>
    <t>5945 Pine Rd, Fresno, NY 28842</t>
  </si>
  <si>
    <t>Z255843</t>
  </si>
  <si>
    <t>https://www.zillow.com/homedetails/66571026_zpid/</t>
  </si>
  <si>
    <t>$1,375,641</t>
  </si>
  <si>
    <t>7546 Oak Ave, San Diego, CA 63599</t>
  </si>
  <si>
    <t>Z161309</t>
  </si>
  <si>
    <t>https://www.zillow.com/homedetails/26011935_zpid/</t>
  </si>
  <si>
    <t>$547,298</t>
  </si>
  <si>
    <t>8176 Main St, Los Angeles, IL 81824</t>
  </si>
  <si>
    <t>Z333745</t>
  </si>
  <si>
    <t>https://www.zillow.com/homedetails/44648706_zpid/</t>
  </si>
  <si>
    <t>$1,168,200</t>
  </si>
  <si>
    <t>9665 Maple Dr, San Francisco, NY 74633</t>
  </si>
  <si>
    <t>Z191856</t>
  </si>
  <si>
    <t>https://www.zillow.com/homedetails/67520057_zpid/</t>
  </si>
  <si>
    <t>$728,249</t>
  </si>
  <si>
    <t>9998 Pine Rd, Sacramento, IL 87520</t>
  </si>
  <si>
    <t>Z996792</t>
  </si>
  <si>
    <t>https://www.zillow.com/homedetails/79440836_zpid/</t>
  </si>
  <si>
    <t>$998,871</t>
  </si>
  <si>
    <t>6401 Pine Rd, San Francisco, FL 45648</t>
  </si>
  <si>
    <t>Z686211</t>
  </si>
  <si>
    <t>https://www.zillow.com/homedetails/39434461_zpid/</t>
  </si>
  <si>
    <t>$1,122,337</t>
  </si>
  <si>
    <t>2318 Elm St, San Francisco, IL 52454</t>
  </si>
  <si>
    <t>Z470916</t>
  </si>
  <si>
    <t>https://www.zillow.com/homedetails/49924692_zpid/</t>
  </si>
  <si>
    <t>$190,329</t>
  </si>
  <si>
    <t>136 Elm St, Los Angeles, TX 66135</t>
  </si>
  <si>
    <t>Z525155</t>
  </si>
  <si>
    <t>https://www.zillow.com/homedetails/20311101_zpid/</t>
  </si>
  <si>
    <t>$1,093,409</t>
  </si>
  <si>
    <t>2912 Main St, Fresno, IL 17323</t>
  </si>
  <si>
    <t>Z285939</t>
  </si>
  <si>
    <t>https://www.zillow.com/homedetails/83863960_zpid/</t>
  </si>
  <si>
    <t>$1,489,699</t>
  </si>
  <si>
    <t>4318 Maple Dr, San Diego, FL 29464</t>
  </si>
  <si>
    <t>Z958868</t>
  </si>
  <si>
    <t>https://www.zillow.com/homedetails/63166738_zpid/</t>
  </si>
  <si>
    <t>$1,382,451</t>
  </si>
  <si>
    <t>8046 Pine Rd, San Francisco, CA 80206</t>
  </si>
  <si>
    <t>Z752210</t>
  </si>
  <si>
    <t>https://www.zillow.com/homedetails/36803720_zpid/</t>
  </si>
  <si>
    <t>$258,490</t>
  </si>
  <si>
    <t>970 Main St, Sacramento, NY 64621</t>
  </si>
  <si>
    <t>Z841314</t>
  </si>
  <si>
    <t>https://www.zillow.com/homedetails/98739677_zpid/</t>
  </si>
  <si>
    <t>$161,267</t>
  </si>
  <si>
    <t>1356 Elm St, Sacramento, IL 63439</t>
  </si>
  <si>
    <t>Z802885</t>
  </si>
  <si>
    <t>https://www.zillow.com/homedetails/64695900_zpid/</t>
  </si>
  <si>
    <t>$1,411,656</t>
  </si>
  <si>
    <t>5185 Pine Rd, San Diego, NY 62811</t>
  </si>
  <si>
    <t>Z398934</t>
  </si>
  <si>
    <t>https://www.zillow.com/homedetails/80830709_zpid/</t>
  </si>
  <si>
    <t>$980,741</t>
  </si>
  <si>
    <t>3865 Main St, Sacramento, CA 91105</t>
  </si>
  <si>
    <t>Z898364</t>
  </si>
  <si>
    <t>https://www.zillow.com/homedetails/73036727_zpid/</t>
  </si>
  <si>
    <t>$309,134</t>
  </si>
  <si>
    <t>3071 Pine Rd, Los Angeles, FL 32641</t>
  </si>
  <si>
    <t>Z894148</t>
  </si>
  <si>
    <t>https://www.zillow.com/homedetails/81598112_zpid/</t>
  </si>
  <si>
    <t>$586,196</t>
  </si>
  <si>
    <t>1291 Elm St, San Diego, FL 77805</t>
  </si>
  <si>
    <t>Z851783</t>
  </si>
  <si>
    <t>https://www.zillow.com/homedetails/45908499_zpid/</t>
  </si>
  <si>
    <t>$596,947</t>
  </si>
  <si>
    <t>6974 Elm St, San Diego, TX 82273</t>
  </si>
  <si>
    <t>Z160447</t>
  </si>
  <si>
    <t>https://www.zillow.com/homedetails/71042910_zpid/</t>
  </si>
  <si>
    <t>$193,325</t>
  </si>
  <si>
    <t>1106 Main St, Sacramento, CA 98214</t>
  </si>
  <si>
    <t>Z841432</t>
  </si>
  <si>
    <t>https://www.zillow.com/homedetails/74563405_zpid/</t>
  </si>
  <si>
    <t>$1,178,393</t>
  </si>
  <si>
    <t>4509 Oak Ave, Los Angeles, TX 45468</t>
  </si>
  <si>
    <t>Z531194</t>
  </si>
  <si>
    <t>https://www.zillow.com/homedetails/13981407_zpid/</t>
  </si>
  <si>
    <t>$243,343</t>
  </si>
  <si>
    <t>2240 Maple Dr, San Diego, TX 81784</t>
  </si>
  <si>
    <t>Z766765</t>
  </si>
  <si>
    <t>https://www.zillow.com/homedetails/33934905_zpid/</t>
  </si>
  <si>
    <t>$906,038</t>
  </si>
  <si>
    <t>7041 Oak Ave, Fresno, IL 28975</t>
  </si>
  <si>
    <t>Z697828</t>
  </si>
  <si>
    <t>https://www.zillow.com/homedetails/46063956_zpid/</t>
  </si>
  <si>
    <t>$668,833</t>
  </si>
  <si>
    <t>7677 Pine Rd, Los Angeles, FL 66826</t>
  </si>
  <si>
    <t>Z847408</t>
  </si>
  <si>
    <t>https://www.zillow.com/homedetails/84587727_zpid/</t>
  </si>
  <si>
    <t>$732,202</t>
  </si>
  <si>
    <t>5350 Oak Ave, Sacramento, TX 19962</t>
  </si>
  <si>
    <t>Z315471</t>
  </si>
  <si>
    <t>https://www.zillow.com/homedetails/90337283_zpid/</t>
  </si>
  <si>
    <t>$275,759</t>
  </si>
  <si>
    <t>5873 Pine Rd, Fresno, NY 94352</t>
  </si>
  <si>
    <t>Z668549</t>
  </si>
  <si>
    <t>https://www.zillow.com/homedetails/33778529_zpid/</t>
  </si>
  <si>
    <t>$537,863</t>
  </si>
  <si>
    <t>2217 Oak Ave, San Diego, CA 50347</t>
  </si>
  <si>
    <t>Z151563</t>
  </si>
  <si>
    <t>https://www.zillow.com/homedetails/15196109_zpid/</t>
  </si>
  <si>
    <t>$827,893</t>
  </si>
  <si>
    <t>4244 Maple Dr, Sacramento, TX 28407</t>
  </si>
  <si>
    <t>Z409254</t>
  </si>
  <si>
    <t>https://www.zillow.com/homedetails/99307801_zpid/</t>
  </si>
  <si>
    <t>$1,418,370</t>
  </si>
  <si>
    <t>6282 Pine Rd, Los Angeles, NY 92569</t>
  </si>
  <si>
    <t>Z685111</t>
  </si>
  <si>
    <t>https://www.zillow.com/homedetails/74950575_zpid/</t>
  </si>
  <si>
    <t>$996,528</t>
  </si>
  <si>
    <t>8676 Pine Rd, San Diego, NY 28635</t>
  </si>
  <si>
    <t>Z987168</t>
  </si>
  <si>
    <t>https://www.zillow.com/homedetails/76594674_zpid/</t>
  </si>
  <si>
    <t>$697,087</t>
  </si>
  <si>
    <t>1004 Main St, Sacramento, IL 93261</t>
  </si>
  <si>
    <t>Z729834</t>
  </si>
  <si>
    <t>https://www.zillow.com/homedetails/59579845_zpid/</t>
  </si>
  <si>
    <t>$667,300</t>
  </si>
  <si>
    <t>3481 Main St, Fresno, CA 23730</t>
  </si>
  <si>
    <t>Z323990</t>
  </si>
  <si>
    <t>https://www.zillow.com/homedetails/64147975_zpid/</t>
  </si>
  <si>
    <t>$1,321,679</t>
  </si>
  <si>
    <t>1414 Main St, San Diego, CA 99094</t>
  </si>
  <si>
    <t>Z528338</t>
  </si>
  <si>
    <t>https://www.zillow.com/homedetails/40843455_zpid/</t>
  </si>
  <si>
    <t>$812,527</t>
  </si>
  <si>
    <t>5462 Oak Ave, Los Angeles, TX 13830</t>
  </si>
  <si>
    <t>Z185189</t>
  </si>
  <si>
    <t>https://www.zillow.com/homedetails/95815213_zpid/</t>
  </si>
  <si>
    <t>$534,310</t>
  </si>
  <si>
    <t>3416 Oak Ave, San Francisco, CA 82969</t>
  </si>
  <si>
    <t>Z335022</t>
  </si>
  <si>
    <t>https://www.zillow.com/homedetails/39476213_zpid/</t>
  </si>
  <si>
    <t>$402,672</t>
  </si>
  <si>
    <t>1300 Main St, San Diego, NY 18244</t>
  </si>
  <si>
    <t>Z581498</t>
  </si>
  <si>
    <t>https://www.zillow.com/homedetails/88847145_zpid/</t>
  </si>
  <si>
    <t>$697,945</t>
  </si>
  <si>
    <t>9025 Main St, San Diego, FL 55155</t>
  </si>
  <si>
    <t>Z997007</t>
  </si>
  <si>
    <t>https://www.zillow.com/homedetails/94107255_zpid/</t>
  </si>
  <si>
    <t>$1,387,098</t>
  </si>
  <si>
    <t>2879 Oak Ave, Los Angeles, TX 70939</t>
  </si>
  <si>
    <t>Z797834</t>
  </si>
  <si>
    <t>https://www.zillow.com/homedetails/29969213_zpid/</t>
  </si>
  <si>
    <t>$451,247</t>
  </si>
  <si>
    <t>2964 Oak Ave, San Francisco, TX 63514</t>
  </si>
  <si>
    <t>Z306381</t>
  </si>
  <si>
    <t>https://www.zillow.com/homedetails/16319000_zpid/</t>
  </si>
  <si>
    <t>$825,806</t>
  </si>
  <si>
    <t>9585 Pine Rd, Sacramento, CA 78721</t>
  </si>
  <si>
    <t>Z659459</t>
  </si>
  <si>
    <t>https://www.zillow.com/homedetails/13600471_zpid/</t>
  </si>
  <si>
    <t>$104,306</t>
  </si>
  <si>
    <t>7483 Elm St, San Francisco, CA 47337</t>
  </si>
  <si>
    <t>Z658348</t>
  </si>
  <si>
    <t>https://www.zillow.com/homedetails/42793160_zpid/</t>
  </si>
  <si>
    <t>$579,576</t>
  </si>
  <si>
    <t>4981 Maple Dr, Sacramento, IL 27185</t>
  </si>
  <si>
    <t>Z245462</t>
  </si>
  <si>
    <t>https://www.zillow.com/homedetails/99231352_zpid/</t>
  </si>
  <si>
    <t>$982,001</t>
  </si>
  <si>
    <t>739 Main St, San Diego, TX 63053</t>
  </si>
  <si>
    <t>Z861847</t>
  </si>
  <si>
    <t>https://www.zillow.com/homedetails/48363450_zpid/</t>
  </si>
  <si>
    <t>$565,244</t>
  </si>
  <si>
    <t>6565 Pine Rd, Fresno, FL 57967</t>
  </si>
  <si>
    <t>Z562610</t>
  </si>
  <si>
    <t>https://www.zillow.com/homedetails/47510165_zpid/</t>
  </si>
  <si>
    <t>$1,261,938</t>
  </si>
  <si>
    <t>5758 Oak Ave, San Francisco, FL 45469</t>
  </si>
  <si>
    <t>Z270651</t>
  </si>
  <si>
    <t>https://www.zillow.com/homedetails/57542619_zpid/</t>
  </si>
  <si>
    <t>$453,129</t>
  </si>
  <si>
    <t>432 Pine Rd, Los Angeles, FL 38082</t>
  </si>
  <si>
    <t>Z504898</t>
  </si>
  <si>
    <t>https://www.zillow.com/homedetails/22558405_zpid/</t>
  </si>
  <si>
    <t>$347,890</t>
  </si>
  <si>
    <t>2126 Pine Rd, San Francisco, FL 34230</t>
  </si>
  <si>
    <t>Z669562</t>
  </si>
  <si>
    <t>https://www.zillow.com/homedetails/14299373_zpid/</t>
  </si>
  <si>
    <t>$825,324</t>
  </si>
  <si>
    <t>6824 Oak Ave, Sacramento, IL 72726</t>
  </si>
  <si>
    <t>Z956416</t>
  </si>
  <si>
    <t>https://www.zillow.com/homedetails/33604120_zpid/</t>
  </si>
  <si>
    <t>$1,131,077</t>
  </si>
  <si>
    <t>5065 Oak Ave, Los Angeles, NY 71424</t>
  </si>
  <si>
    <t>Z145700</t>
  </si>
  <si>
    <t>https://www.zillow.com/homedetails/81640768_zpid/</t>
  </si>
  <si>
    <t>$1,433,969</t>
  </si>
  <si>
    <t>7628 Main St, Los Angeles, NY 81291</t>
  </si>
  <si>
    <t>Z858388</t>
  </si>
  <si>
    <t>https://www.zillow.com/homedetails/85548027_zpid/</t>
  </si>
  <si>
    <t>$1,440,490</t>
  </si>
  <si>
    <t>7142 Elm St, San Diego, CA 36666</t>
  </si>
  <si>
    <t>Z566692</t>
  </si>
  <si>
    <t>https://www.zillow.com/homedetails/13913903_zpid/</t>
  </si>
  <si>
    <t>$539,037</t>
  </si>
  <si>
    <t>6720 Oak Ave, San Diego, FL 20161</t>
  </si>
  <si>
    <t>Z243228</t>
  </si>
  <si>
    <t>https://www.zillow.com/homedetails/35763005_zpid/</t>
  </si>
  <si>
    <t>$1,465,615</t>
  </si>
  <si>
    <t>2932 Elm St, Los Angeles, FL 40426</t>
  </si>
  <si>
    <t>Z203748</t>
  </si>
  <si>
    <t>https://www.zillow.com/homedetails/13487591_zpid/</t>
  </si>
  <si>
    <t>$1,448,976</t>
  </si>
  <si>
    <t>4878 Maple Dr, Sacramento, TX 19836</t>
  </si>
  <si>
    <t>Z328958</t>
  </si>
  <si>
    <t>https://www.zillow.com/homedetails/99426292_zpid/</t>
  </si>
  <si>
    <t>$224,903</t>
  </si>
  <si>
    <t>7036 Main St, Fresno, IL 19254</t>
  </si>
  <si>
    <t>Z250525</t>
  </si>
  <si>
    <t>https://www.zillow.com/homedetails/63899172_zpid/</t>
  </si>
  <si>
    <t>$704,660</t>
  </si>
  <si>
    <t>5353 Pine Rd, Los Angeles, TX 68561</t>
  </si>
  <si>
    <t>Z465096</t>
  </si>
  <si>
    <t>https://www.zillow.com/homedetails/33654885_zpid/</t>
  </si>
  <si>
    <t>$508,759</t>
  </si>
  <si>
    <t>1510 Pine Rd, San Diego, NY 47970</t>
  </si>
  <si>
    <t>Z823289</t>
  </si>
  <si>
    <t>https://www.zillow.com/homedetails/16987803_zpid/</t>
  </si>
  <si>
    <t>$198,100</t>
  </si>
  <si>
    <t>7902 Pine Rd, Los Angeles, FL 69780</t>
  </si>
  <si>
    <t>Z634850</t>
  </si>
  <si>
    <t>https://www.zillow.com/homedetails/42689007_zpid/</t>
  </si>
  <si>
    <t>$1,171,593</t>
  </si>
  <si>
    <t>9171 Main St, San Francisco, CA 38092</t>
  </si>
  <si>
    <t>Z417065</t>
  </si>
  <si>
    <t>https://www.zillow.com/homedetails/79957545_zpid/</t>
  </si>
  <si>
    <t>$868,311</t>
  </si>
  <si>
    <t>6992 Elm St, Fresno, TX 22024</t>
  </si>
  <si>
    <t>Z564701</t>
  </si>
  <si>
    <t>https://www.zillow.com/homedetails/54477732_zpid/</t>
  </si>
  <si>
    <t>$1,046,834</t>
  </si>
  <si>
    <t>7014 Pine Rd, Los Angeles, CA 18709</t>
  </si>
  <si>
    <t>Z604749</t>
  </si>
  <si>
    <t>https://www.zillow.com/homedetails/29195186_zpid/</t>
  </si>
  <si>
    <t>$353,101</t>
  </si>
  <si>
    <t>5563 Pine Rd, Fresno, FL 13983</t>
  </si>
  <si>
    <t>Z812360</t>
  </si>
  <si>
    <t>https://www.zillow.com/homedetails/35664827_zpid/</t>
  </si>
  <si>
    <t>$1,114,155</t>
  </si>
  <si>
    <t>5157 Elm St, Los Angeles, NY 42449</t>
  </si>
  <si>
    <t>Z336759</t>
  </si>
  <si>
    <t>https://www.zillow.com/homedetails/85137695_zpid/</t>
  </si>
  <si>
    <t>$980,574</t>
  </si>
  <si>
    <t>9789 Main St, San Francisco, IL 19527</t>
  </si>
  <si>
    <t>Z821405</t>
  </si>
  <si>
    <t>https://www.zillow.com/homedetails/65608484_zpid/</t>
  </si>
  <si>
    <t>$1,036,583</t>
  </si>
  <si>
    <t>3602 Oak Ave, Sacramento, IL 58984</t>
  </si>
  <si>
    <t>Z477589</t>
  </si>
  <si>
    <t>https://www.zillow.com/homedetails/44263110_zpid/</t>
  </si>
  <si>
    <t>$398,021</t>
  </si>
  <si>
    <t>1001 Oak Ave, San Diego, CA 75125</t>
  </si>
  <si>
    <t>Z338064</t>
  </si>
  <si>
    <t>https://www.zillow.com/homedetails/19606624_zpid/</t>
  </si>
  <si>
    <t>$735,817</t>
  </si>
  <si>
    <t>8407 Oak Ave, Sacramento, CA 89405</t>
  </si>
  <si>
    <t>Z162399</t>
  </si>
  <si>
    <t>https://www.zillow.com/homedetails/98428527_zpid/</t>
  </si>
  <si>
    <t>$1,154,452</t>
  </si>
  <si>
    <t>9389 Maple Dr, Fresno, CA 29174</t>
  </si>
  <si>
    <t>Z542394</t>
  </si>
  <si>
    <t>https://www.zillow.com/homedetails/34087719_zpid/</t>
  </si>
  <si>
    <t>$1,397,853</t>
  </si>
  <si>
    <t>4911 Elm St, Los Angeles, IL 61754</t>
  </si>
  <si>
    <t>Z200632</t>
  </si>
  <si>
    <t>https://www.zillow.com/homedetails/19848989_zpid/</t>
  </si>
  <si>
    <t>$1,324,583</t>
  </si>
  <si>
    <t>4165 Maple Dr, Fresno, IL 14836</t>
  </si>
  <si>
    <t>Z225103</t>
  </si>
  <si>
    <t>https://www.zillow.com/homedetails/39989573_zpid/</t>
  </si>
  <si>
    <t>$922,155</t>
  </si>
  <si>
    <t>685 Oak Ave, San Francisco, TX 40195</t>
  </si>
  <si>
    <t>Z846030</t>
  </si>
  <si>
    <t>https://www.zillow.com/homedetails/82770121_zpid/</t>
  </si>
  <si>
    <t>$1,304,944</t>
  </si>
  <si>
    <t>3081 Maple Dr, Los Angeles, CA 77333</t>
  </si>
  <si>
    <t>Z915075</t>
  </si>
  <si>
    <t>https://www.zillow.com/homedetails/49755990_zpid/</t>
  </si>
  <si>
    <t>$910,408</t>
  </si>
  <si>
    <t>1942 Elm St, Sacramento, CA 19709</t>
  </si>
  <si>
    <t>Z778284</t>
  </si>
  <si>
    <t>https://www.zillow.com/homedetails/50639286_zpid/</t>
  </si>
  <si>
    <t>$1,428,849</t>
  </si>
  <si>
    <t>5897 Maple Dr, Fresno, IL 17428</t>
  </si>
  <si>
    <t>Z687298</t>
  </si>
  <si>
    <t>https://www.zillow.com/homedetails/14294287_zpid/</t>
  </si>
  <si>
    <t>$706,540</t>
  </si>
  <si>
    <t>4936 Main St, Los Angeles, IL 78631</t>
  </si>
  <si>
    <t>Z163203</t>
  </si>
  <si>
    <t>https://www.zillow.com/homedetails/12611303_zpid/</t>
  </si>
  <si>
    <t>$798,896</t>
  </si>
  <si>
    <t>9559 Elm St, Sacramento, IL 15377</t>
  </si>
  <si>
    <t>Z887562</t>
  </si>
  <si>
    <t>https://www.zillow.com/homedetails/97645967_zpid/</t>
  </si>
  <si>
    <t>$539,722</t>
  </si>
  <si>
    <t>3405 Main St, Fresno, FL 74354</t>
  </si>
  <si>
    <t>Z841661</t>
  </si>
  <si>
    <t>https://www.zillow.com/homedetails/15978145_zpid/</t>
  </si>
  <si>
    <t>$1,076,134</t>
  </si>
  <si>
    <t>2374 Maple Dr, San Francisco, IL 32018</t>
  </si>
  <si>
    <t>Z522681</t>
  </si>
  <si>
    <t>https://www.zillow.com/homedetails/93350598_zpid/</t>
  </si>
  <si>
    <t>$213,805</t>
  </si>
  <si>
    <t>3600 Main St, Sacramento, CA 31318</t>
  </si>
  <si>
    <t>Z226145</t>
  </si>
  <si>
    <t>https://www.zillow.com/homedetails/39180561_zpid/</t>
  </si>
  <si>
    <t>$1,152,978</t>
  </si>
  <si>
    <t>8242 Main St, Sacramento, CA 80409</t>
  </si>
  <si>
    <t>Z244944</t>
  </si>
  <si>
    <t>https://www.zillow.com/homedetails/16232144_zpid/</t>
  </si>
  <si>
    <t>$976,078</t>
  </si>
  <si>
    <t>6306 Maple Dr, Fresno, IL 47098</t>
  </si>
  <si>
    <t>Z436857</t>
  </si>
  <si>
    <t>https://www.zillow.com/homedetails/16832945_zpid/</t>
  </si>
  <si>
    <t>$440,689</t>
  </si>
  <si>
    <t>650 Oak Ave, San Francisco, CA 18857</t>
  </si>
  <si>
    <t>Z604655</t>
  </si>
  <si>
    <t>https://www.zillow.com/homedetails/99690091_zpid/</t>
  </si>
  <si>
    <t>$638,010</t>
  </si>
  <si>
    <t>2209 Main St, Sacramento, NY 93308</t>
  </si>
  <si>
    <t>Z647450</t>
  </si>
  <si>
    <t>https://www.zillow.com/homedetails/31820028_zpid/</t>
  </si>
  <si>
    <t>$883,012</t>
  </si>
  <si>
    <t>1730 Elm St, San Francisco, TX 66275</t>
  </si>
  <si>
    <t>Z125803</t>
  </si>
  <si>
    <t>https://www.zillow.com/homedetails/13658083_zpid/</t>
  </si>
  <si>
    <t>$546,284</t>
  </si>
  <si>
    <t>2755 Oak Ave, San Diego, TX 76029</t>
  </si>
  <si>
    <t>Z746908</t>
  </si>
  <si>
    <t>https://www.zillow.com/homedetails/77579378_zpid/</t>
  </si>
  <si>
    <t>$392,126</t>
  </si>
  <si>
    <t>2249 Oak Ave, Los Angeles, IL 83251</t>
  </si>
  <si>
    <t>Z945878</t>
  </si>
  <si>
    <t>https://www.zillow.com/homedetails/25049514_zpid/</t>
  </si>
  <si>
    <t>$1,105,600</t>
  </si>
  <si>
    <t>1210 Oak Ave, San Francisco, CA 63073</t>
  </si>
  <si>
    <t>Z341042</t>
  </si>
  <si>
    <t>https://www.zillow.com/homedetails/62342675_zpid/</t>
  </si>
  <si>
    <t>$936,991</t>
  </si>
  <si>
    <t>9889 Maple Dr, Sacramento, TX 37843</t>
  </si>
  <si>
    <t>Z583203</t>
  </si>
  <si>
    <t>https://www.zillow.com/homedetails/38317633_zpid/</t>
  </si>
  <si>
    <t>$1,203,446</t>
  </si>
  <si>
    <t>7349 Elm St, Sacramento, FL 98024</t>
  </si>
  <si>
    <t>Z236241</t>
  </si>
  <si>
    <t>https://www.zillow.com/homedetails/14784153_zpid/</t>
  </si>
  <si>
    <t>$1,456,198</t>
  </si>
  <si>
    <t>6548 Pine Rd, San Diego, IL 77634</t>
  </si>
  <si>
    <t>Z885423</t>
  </si>
  <si>
    <t>https://www.zillow.com/homedetails/28360944_zpid/</t>
  </si>
  <si>
    <t>$422,981</t>
  </si>
  <si>
    <t>3211 Pine Rd, San Diego, TX 87315</t>
  </si>
  <si>
    <t>Z401987</t>
  </si>
  <si>
    <t>https://www.zillow.com/homedetails/71798739_zpid/</t>
  </si>
  <si>
    <t>$390,844</t>
  </si>
  <si>
    <t>3306 Main St, Fresno, FL 20603</t>
  </si>
  <si>
    <t>Z527931</t>
  </si>
  <si>
    <t>https://www.zillow.com/homedetails/45006913_zpid/</t>
  </si>
  <si>
    <t>$562,937</t>
  </si>
  <si>
    <t>5038 Oak Ave, Sacramento, TX 63240</t>
  </si>
  <si>
    <t>Z972811</t>
  </si>
  <si>
    <t>https://www.zillow.com/homedetails/85360692_zpid/</t>
  </si>
  <si>
    <t>$1,222,304</t>
  </si>
  <si>
    <t>7914 Pine Rd, San Francisco, IL 89641</t>
  </si>
  <si>
    <t>Z905643</t>
  </si>
  <si>
    <t>https://www.zillow.com/homedetails/83358033_zpid/</t>
  </si>
  <si>
    <t>$560,234</t>
  </si>
  <si>
    <t>8000 Main St, Sacramento, TX 76866</t>
  </si>
  <si>
    <t>Z379793</t>
  </si>
  <si>
    <t>https://www.zillow.com/homedetails/14108420_zpid/</t>
  </si>
  <si>
    <t>$166,868</t>
  </si>
  <si>
    <t>9980 Elm St, Sacramento, IL 77255</t>
  </si>
  <si>
    <t>Z274077</t>
  </si>
  <si>
    <t>https://www.zillow.com/homedetails/14103169_zpid/</t>
  </si>
  <si>
    <t>$524,109</t>
  </si>
  <si>
    <t>6690 Main St, Sacramento, CA 80756</t>
  </si>
  <si>
    <t>Z827480</t>
  </si>
  <si>
    <t>https://www.zillow.com/homedetails/50974431_zpid/</t>
  </si>
  <si>
    <t>$434,921</t>
  </si>
  <si>
    <t>4980 Elm St, Los Angeles, CA 94803</t>
  </si>
  <si>
    <t>Z312593</t>
  </si>
  <si>
    <t>https://www.zillow.com/homedetails/71739058_zpid/</t>
  </si>
  <si>
    <t>$1,083,361</t>
  </si>
  <si>
    <t>4468 Pine Rd, Sacramento, FL 64762</t>
  </si>
  <si>
    <t>Z399042</t>
  </si>
  <si>
    <t>https://www.zillow.com/homedetails/29996387_zpid/</t>
  </si>
  <si>
    <t>$1,167,836</t>
  </si>
  <si>
    <t>7868 Main St, Los Angeles, TX 68715</t>
  </si>
  <si>
    <t>Z481889</t>
  </si>
  <si>
    <t>https://www.zillow.com/homedetails/17809277_zpid/</t>
  </si>
  <si>
    <t>$837,398</t>
  </si>
  <si>
    <t>6279 Maple Dr, Fresno, FL 90168</t>
  </si>
  <si>
    <t>Z286558</t>
  </si>
  <si>
    <t>https://www.zillow.com/homedetails/32613874_zpid/</t>
  </si>
  <si>
    <t>$1,281,515</t>
  </si>
  <si>
    <t>8428 Elm St, San Francisco, FL 30227</t>
  </si>
  <si>
    <t>Z257118</t>
  </si>
  <si>
    <t>https://www.zillow.com/homedetails/88279380_zpid/</t>
  </si>
  <si>
    <t>$1,080,061</t>
  </si>
  <si>
    <t>5488 Maple Dr, San Francisco, IL 18441</t>
  </si>
  <si>
    <t>Z685266</t>
  </si>
  <si>
    <t>https://www.zillow.com/homedetails/73426153_zpid/</t>
  </si>
  <si>
    <t>$1,303,467</t>
  </si>
  <si>
    <t>1744 Main St, Sacramento, CA 44806</t>
  </si>
  <si>
    <t>Z876960</t>
  </si>
  <si>
    <t>https://www.zillow.com/homedetails/81264419_zpid/</t>
  </si>
  <si>
    <t>$925,872</t>
  </si>
  <si>
    <t>6898 Elm St, Sacramento, TX 13361</t>
  </si>
  <si>
    <t>Z634947</t>
  </si>
  <si>
    <t>https://www.zillow.com/homedetails/55210278_zpid/</t>
  </si>
  <si>
    <t>$979,559</t>
  </si>
  <si>
    <t>2604 Main St, Sacramento, NY 42661</t>
  </si>
  <si>
    <t>Z534020</t>
  </si>
  <si>
    <t>https://www.zillow.com/homedetails/82286439_zpid/</t>
  </si>
  <si>
    <t>$451,830</t>
  </si>
  <si>
    <t>3063 Oak Ave, San Diego, CA 59147</t>
  </si>
  <si>
    <t>Z378326</t>
  </si>
  <si>
    <t>https://www.zillow.com/homedetails/84468936_zpid/</t>
  </si>
  <si>
    <t>$1,428,613</t>
  </si>
  <si>
    <t>9128 Elm St, San Francisco, IL 29994</t>
  </si>
  <si>
    <t>Z563211</t>
  </si>
  <si>
    <t>https://www.zillow.com/homedetails/11607233_zpid/</t>
  </si>
  <si>
    <t>$645,454</t>
  </si>
  <si>
    <t>7750 Maple Dr, Fresno, IL 30310</t>
  </si>
  <si>
    <t>Z194810</t>
  </si>
  <si>
    <t>https://www.zillow.com/homedetails/44581654_zpid/</t>
  </si>
  <si>
    <t>$793,777</t>
  </si>
  <si>
    <t>1265 Pine Rd, Sacramento, NY 14389</t>
  </si>
  <si>
    <t>Z394570</t>
  </si>
  <si>
    <t>https://www.zillow.com/homedetails/69002510_zpid/</t>
  </si>
  <si>
    <t>$1,372,428</t>
  </si>
  <si>
    <t>5062 Maple Dr, San Diego, TX 57376</t>
  </si>
  <si>
    <t>Z597685</t>
  </si>
  <si>
    <t>https://www.zillow.com/homedetails/83529395_zpid/</t>
  </si>
  <si>
    <t>$596,612</t>
  </si>
  <si>
    <t>6783 Elm St, San Francisco, CA 17048</t>
  </si>
  <si>
    <t>Z200591</t>
  </si>
  <si>
    <t>https://www.zillow.com/homedetails/49823602_zpid/</t>
  </si>
  <si>
    <t>$1,307,358</t>
  </si>
  <si>
    <t>4097 Elm St, Sacramento, FL 19411</t>
  </si>
  <si>
    <t>Z211151</t>
  </si>
  <si>
    <t>https://www.zillow.com/homedetails/34262077_zpid/</t>
  </si>
  <si>
    <t>$1,352,612</t>
  </si>
  <si>
    <t>5257 Elm St, Sacramento, NY 59105</t>
  </si>
  <si>
    <t>Z847977</t>
  </si>
  <si>
    <t>https://www.zillow.com/homedetails/64699357_zpid/</t>
  </si>
  <si>
    <t>$642,419</t>
  </si>
  <si>
    <t>6408 Oak Ave, San Francisco, NY 69662</t>
  </si>
  <si>
    <t>Z309255</t>
  </si>
  <si>
    <t>https://www.zillow.com/homedetails/32958308_zpid/</t>
  </si>
  <si>
    <t>$961,607</t>
  </si>
  <si>
    <t>5866 Elm St, Sacramento, IL 36242</t>
  </si>
  <si>
    <t>Z579829</t>
  </si>
  <si>
    <t>https://www.zillow.com/homedetails/82917309_zpid/</t>
  </si>
  <si>
    <t>$292,055</t>
  </si>
  <si>
    <t>3019 Pine Rd, San Diego, IL 43942</t>
  </si>
  <si>
    <t>Z593038</t>
  </si>
  <si>
    <t>https://www.zillow.com/homedetails/27572584_zpid/</t>
  </si>
  <si>
    <t>$591,446</t>
  </si>
  <si>
    <t>4092 Main St, Sacramento, NY 90940</t>
  </si>
  <si>
    <t>Z728295</t>
  </si>
  <si>
    <t>https://www.zillow.com/homedetails/90508802_zpid/</t>
  </si>
  <si>
    <t>$1,064,262</t>
  </si>
  <si>
    <t>2663 Maple Dr, Sacramento, CA 23919</t>
  </si>
  <si>
    <t>Z457353</t>
  </si>
  <si>
    <t>https://www.zillow.com/homedetails/91395461_zpid/</t>
  </si>
  <si>
    <t>$846,494</t>
  </si>
  <si>
    <t>5210 Main St, San Diego, IL 10463</t>
  </si>
  <si>
    <t>Z468551</t>
  </si>
  <si>
    <t>https://www.zillow.com/homedetails/65351406_zpid/</t>
  </si>
  <si>
    <t>$1,414,445</t>
  </si>
  <si>
    <t>8770 Main St, San Francisco, FL 45720</t>
  </si>
  <si>
    <t>Z618055</t>
  </si>
  <si>
    <t>https://www.zillow.com/homedetails/26504283_zpid/</t>
  </si>
  <si>
    <t>$1,248,043</t>
  </si>
  <si>
    <t>3459 Pine Rd, Los Angeles, IL 28141</t>
  </si>
  <si>
    <t>Z731341</t>
  </si>
  <si>
    <t>https://www.zillow.com/homedetails/55275682_zpid/</t>
  </si>
  <si>
    <t>$1,067,540</t>
  </si>
  <si>
    <t>4742 Elm St, Los Angeles, CA 46051</t>
  </si>
  <si>
    <t>Z509879</t>
  </si>
  <si>
    <t>https://www.zillow.com/homedetails/46069840_zpid/</t>
  </si>
  <si>
    <t>$857,797</t>
  </si>
  <si>
    <t>8625 Maple Dr, San Diego, TX 45263</t>
  </si>
  <si>
    <t>Z965843</t>
  </si>
  <si>
    <t>https://www.zillow.com/homedetails/58233156_zpid/</t>
  </si>
  <si>
    <t>$396,831</t>
  </si>
  <si>
    <t>7346 Oak Ave, San Francisco, IL 90781</t>
  </si>
  <si>
    <t>Z800858</t>
  </si>
  <si>
    <t>https://www.zillow.com/homedetails/10404935_zpid/</t>
  </si>
  <si>
    <t>$329,187</t>
  </si>
  <si>
    <t>7182 Pine Rd, Fresno, NY 39961</t>
  </si>
  <si>
    <t>Z726873</t>
  </si>
  <si>
    <t>https://www.zillow.com/homedetails/19191228_zpid/</t>
  </si>
  <si>
    <t>$1,257,643</t>
  </si>
  <si>
    <t>6686 Main St, San Francisco, IL 41315</t>
  </si>
  <si>
    <t>Z252183</t>
  </si>
  <si>
    <t>https://www.zillow.com/homedetails/45311953_zpid/</t>
  </si>
  <si>
    <t>$358,119</t>
  </si>
  <si>
    <t>7096 Main St, Fresno, NY 88240</t>
  </si>
  <si>
    <t>Z344969</t>
  </si>
  <si>
    <t>https://www.zillow.com/homedetails/30070862_zpid/</t>
  </si>
  <si>
    <t>$1,360,246</t>
  </si>
  <si>
    <t>3844 Pine Rd, Sacramento, IL 10497</t>
  </si>
  <si>
    <t>Z729485</t>
  </si>
  <si>
    <t>https://www.zillow.com/homedetails/36685659_zpid/</t>
  </si>
  <si>
    <t>$1,452,143</t>
  </si>
  <si>
    <t>9367 Elm St, San Diego, IL 93193</t>
  </si>
  <si>
    <t>Z672760</t>
  </si>
  <si>
    <t>https://www.zillow.com/homedetails/66704722_zpid/</t>
  </si>
  <si>
    <t>$113,001</t>
  </si>
  <si>
    <t>3181 Oak Ave, San Francisco, CA 35930</t>
  </si>
  <si>
    <t>Z744596</t>
  </si>
  <si>
    <t>https://www.zillow.com/homedetails/82379373_zpid/</t>
  </si>
  <si>
    <t>$936,069</t>
  </si>
  <si>
    <t>8184 Pine Rd, San Diego, NY 77374</t>
  </si>
  <si>
    <t>Z466286</t>
  </si>
  <si>
    <t>https://www.zillow.com/homedetails/58515165_zpid/</t>
  </si>
  <si>
    <t>$1,206,928</t>
  </si>
  <si>
    <t>7149 Main St, Sacramento, TX 45005</t>
  </si>
  <si>
    <t>Z637990</t>
  </si>
  <si>
    <t>https://www.zillow.com/homedetails/89987286_zpid/</t>
  </si>
  <si>
    <t>$835,493</t>
  </si>
  <si>
    <t>4057 Oak Ave, Sacramento, IL 43472</t>
  </si>
  <si>
    <t>Z310195</t>
  </si>
  <si>
    <t>https://www.zillow.com/homedetails/69247984_zpid/</t>
  </si>
  <si>
    <t>$1,001,135</t>
  </si>
  <si>
    <t>7527 Main St, San Diego, IL 96400</t>
  </si>
  <si>
    <t>Z759014</t>
  </si>
  <si>
    <t>https://www.zillow.com/homedetails/72600784_zpid/</t>
  </si>
  <si>
    <t>$500,037</t>
  </si>
  <si>
    <t>7522 Pine Rd, Fresno, CA 95888</t>
  </si>
  <si>
    <t>Z433274</t>
  </si>
  <si>
    <t>https://www.zillow.com/homedetails/66334755_zpid/</t>
  </si>
  <si>
    <t>$1,178,128</t>
  </si>
  <si>
    <t>8501 Main St, Los Angeles, CA 19472</t>
  </si>
  <si>
    <t>Z486132</t>
  </si>
  <si>
    <t>https://www.zillow.com/homedetails/51484191_zpid/</t>
  </si>
  <si>
    <t>$468,367</t>
  </si>
  <si>
    <t>1050 Elm St, Fresno, TX 23802</t>
  </si>
  <si>
    <t>Z930905</t>
  </si>
  <si>
    <t>https://www.zillow.com/homedetails/17927956_zpid/</t>
  </si>
  <si>
    <t>$543,847</t>
  </si>
  <si>
    <t>9888 Pine Rd, Los Angeles, IL 24009</t>
  </si>
  <si>
    <t>Z334106</t>
  </si>
  <si>
    <t>https://www.zillow.com/homedetails/78390495_zpid/</t>
  </si>
  <si>
    <t>$308,811</t>
  </si>
  <si>
    <t>4421 Pine Rd, Los Angeles, CA 88307</t>
  </si>
  <si>
    <t>Z889155</t>
  </si>
  <si>
    <t>https://www.zillow.com/homedetails/51796419_zpid/</t>
  </si>
  <si>
    <t>$915,237</t>
  </si>
  <si>
    <t>2959 Elm St, Sacramento, CA 35214</t>
  </si>
  <si>
    <t>Z284091</t>
  </si>
  <si>
    <t>https://www.zillow.com/homedetails/75168569_zpid/</t>
  </si>
  <si>
    <t>$1,427,605</t>
  </si>
  <si>
    <t>8257 Pine Rd, Sacramento, IL 11286</t>
  </si>
  <si>
    <t>Z453308</t>
  </si>
  <si>
    <t>https://www.zillow.com/homedetails/58881907_zpid/</t>
  </si>
  <si>
    <t>$1,213,359</t>
  </si>
  <si>
    <t>4073 Oak Ave, Fresno, IL 73207</t>
  </si>
  <si>
    <t>Z178139</t>
  </si>
  <si>
    <t>https://www.zillow.com/homedetails/36451412_zpid/</t>
  </si>
  <si>
    <t>$1,314,753</t>
  </si>
  <si>
    <t>9334 Main St, Los Angeles, CA 46396</t>
  </si>
  <si>
    <t>Z735393</t>
  </si>
  <si>
    <t>https://www.zillow.com/homedetails/26371064_zpid/</t>
  </si>
  <si>
    <t>$909,232</t>
  </si>
  <si>
    <t>3849 Oak Ave, Fresno, TX 93235</t>
  </si>
  <si>
    <t>Z976085</t>
  </si>
  <si>
    <t>https://www.zillow.com/homedetails/66590241_zpid/</t>
  </si>
  <si>
    <t>$1,025,348</t>
  </si>
  <si>
    <t>9544 Maple Dr, Sacramento, IL 54020</t>
  </si>
  <si>
    <t>Z863870</t>
  </si>
  <si>
    <t>https://www.zillow.com/homedetails/39451001_zpid/</t>
  </si>
  <si>
    <t>$1,229,367</t>
  </si>
  <si>
    <t>4427 Pine Rd, Sacramento, TX 62655</t>
  </si>
  <si>
    <t>Z787292</t>
  </si>
  <si>
    <t>https://www.zillow.com/homedetails/75624143_zpid/</t>
  </si>
  <si>
    <t>$651,790</t>
  </si>
  <si>
    <t>8946 Maple Dr, San Francisco, CA 15264</t>
  </si>
  <si>
    <t>Z839741</t>
  </si>
  <si>
    <t>https://www.zillow.com/homedetails/81692680_zpid/</t>
  </si>
  <si>
    <t>$1,359,843</t>
  </si>
  <si>
    <t>5868 Maple Dr, San Francisco, TX 41053</t>
  </si>
  <si>
    <t>Z259281</t>
  </si>
  <si>
    <t>https://www.zillow.com/homedetails/23327873_zpid/</t>
  </si>
  <si>
    <t>$564,035</t>
  </si>
  <si>
    <t>7124 Oak Ave, San Diego, TX 54870</t>
  </si>
  <si>
    <t>Z190259</t>
  </si>
  <si>
    <t>https://www.zillow.com/homedetails/33308346_zpid/</t>
  </si>
  <si>
    <t>$1,181,346</t>
  </si>
  <si>
    <t>9198 Oak Ave, San Diego, IL 24302</t>
  </si>
  <si>
    <t>Z761808</t>
  </si>
  <si>
    <t>https://www.zillow.com/homedetails/30398323_zpid/</t>
  </si>
  <si>
    <t>$698,712</t>
  </si>
  <si>
    <t>3679 Pine Rd, Los Angeles, CA 28809</t>
  </si>
  <si>
    <t>Z866228</t>
  </si>
  <si>
    <t>https://www.zillow.com/homedetails/88659564_zpid/</t>
  </si>
  <si>
    <t>$1,331,935</t>
  </si>
  <si>
    <t>6968 Main St, Los Angeles, NY 73989</t>
  </si>
  <si>
    <t>Z710217</t>
  </si>
  <si>
    <t>https://www.zillow.com/homedetails/99262986_zpid/</t>
  </si>
  <si>
    <t>$221,942</t>
  </si>
  <si>
    <t>395 Maple Dr, San Francisco, CA 27882</t>
  </si>
  <si>
    <t>Z496240</t>
  </si>
  <si>
    <t>https://www.zillow.com/homedetails/43971525_zpid/</t>
  </si>
  <si>
    <t>$237,627</t>
  </si>
  <si>
    <t>6083 Pine Rd, San Diego, TX 24734</t>
  </si>
  <si>
    <t>Z455221</t>
  </si>
  <si>
    <t>https://www.zillow.com/homedetails/31627838_zpid/</t>
  </si>
  <si>
    <t>$936,123</t>
  </si>
  <si>
    <t>2239 Pine Rd, San Diego, NY 58737</t>
  </si>
  <si>
    <t>Z920665</t>
  </si>
  <si>
    <t>https://www.zillow.com/homedetails/42011383_zpid/</t>
  </si>
  <si>
    <t>$891,266</t>
  </si>
  <si>
    <t>6518 Maple Dr, San Diego, CA 88255</t>
  </si>
  <si>
    <t>Z980310</t>
  </si>
  <si>
    <t>https://www.zillow.com/homedetails/33235525_zpid/</t>
  </si>
  <si>
    <t>$564,030</t>
  </si>
  <si>
    <t>2977 Elm St, Sacramento, FL 53113</t>
  </si>
  <si>
    <t>Z727740</t>
  </si>
  <si>
    <t>https://www.zillow.com/homedetails/52157621_zpid/</t>
  </si>
  <si>
    <t>$1,220,906</t>
  </si>
  <si>
    <t>6309 Oak Ave, Los Angeles, FL 79319</t>
  </si>
  <si>
    <t>Z507343</t>
  </si>
  <si>
    <t>https://www.zillow.com/homedetails/58654421_zpid/</t>
  </si>
  <si>
    <t>$751,425</t>
  </si>
  <si>
    <t>5357 Pine Rd, Fresno, TX 46647</t>
  </si>
  <si>
    <t>Z140506</t>
  </si>
  <si>
    <t>https://www.zillow.com/homedetails/92524462_zpid/</t>
  </si>
  <si>
    <t>$1,249,075</t>
  </si>
  <si>
    <t>485 Oak Ave, San Diego, FL 88560</t>
  </si>
  <si>
    <t>Z821189</t>
  </si>
  <si>
    <t>https://www.zillow.com/homedetails/45532573_zpid/</t>
  </si>
  <si>
    <t>$463,854</t>
  </si>
  <si>
    <t>7412 Main St, Los Angeles, IL 10506</t>
  </si>
  <si>
    <t>Z733280</t>
  </si>
  <si>
    <t>https://www.zillow.com/homedetails/31994935_zpid/</t>
  </si>
  <si>
    <t>$1,250,374</t>
  </si>
  <si>
    <t>9328 Main St, San Diego, TX 89557</t>
  </si>
  <si>
    <t>Z359963</t>
  </si>
  <si>
    <t>https://www.zillow.com/homedetails/85512914_zpid/</t>
  </si>
  <si>
    <t>$321,307</t>
  </si>
  <si>
    <t>2000 Pine Rd, Fresno, IL 88151</t>
  </si>
  <si>
    <t>Z752073</t>
  </si>
  <si>
    <t>https://www.zillow.com/homedetails/68236768_zpid/</t>
  </si>
  <si>
    <t>$1,014,410</t>
  </si>
  <si>
    <t>7142 Elm St, Sacramento, CA 57436</t>
  </si>
  <si>
    <t>Z125810</t>
  </si>
  <si>
    <t>https://www.zillow.com/homedetails/87416633_zpid/</t>
  </si>
  <si>
    <t>$236,666</t>
  </si>
  <si>
    <t>2208 Maple Dr, Sacramento, TX 67537</t>
  </si>
  <si>
    <t>Z346951</t>
  </si>
  <si>
    <t>https://www.zillow.com/homedetails/23376543_zpid/</t>
  </si>
  <si>
    <t>$1,321,463</t>
  </si>
  <si>
    <t>3176 Pine Rd, San Diego, FL 23637</t>
  </si>
  <si>
    <t>Z465737</t>
  </si>
  <si>
    <t>https://www.zillow.com/homedetails/86858430_zpid/</t>
  </si>
  <si>
    <t>$1,416,409</t>
  </si>
  <si>
    <t>207 Elm St, San Francisco, FL 27396</t>
  </si>
  <si>
    <t>Z653170</t>
  </si>
  <si>
    <t>https://www.zillow.com/homedetails/11330918_zpid/</t>
  </si>
  <si>
    <t>$229,675</t>
  </si>
  <si>
    <t>889 Main St, San Diego, FL 48584</t>
  </si>
  <si>
    <t>Z529280</t>
  </si>
  <si>
    <t>https://www.zillow.com/homedetails/30278908_zpid/</t>
  </si>
  <si>
    <t>$414,018</t>
  </si>
  <si>
    <t>4458 Elm St, Sacramento, CA 77410</t>
  </si>
  <si>
    <t>Z585676</t>
  </si>
  <si>
    <t>https://www.zillow.com/homedetails/10310234_zpid/</t>
  </si>
  <si>
    <t>$434,016</t>
  </si>
  <si>
    <t>4418 Maple Dr, San Diego, CA 25867</t>
  </si>
  <si>
    <t>Z784042</t>
  </si>
  <si>
    <t>https://www.zillow.com/homedetails/42170689_zpid/</t>
  </si>
  <si>
    <t>$411,851</t>
  </si>
  <si>
    <t>692 Elm St, Los Angeles, IL 75253</t>
  </si>
  <si>
    <t>Z117542</t>
  </si>
  <si>
    <t>https://www.zillow.com/homedetails/52577531_zpid/</t>
  </si>
  <si>
    <t>$1,062,025</t>
  </si>
  <si>
    <t>7065 Oak Ave, Los Angeles, CA 83724</t>
  </si>
  <si>
    <t>Z353167</t>
  </si>
  <si>
    <t>https://www.zillow.com/homedetails/28092111_zpid/</t>
  </si>
  <si>
    <t>$717,498</t>
  </si>
  <si>
    <t>7516 Elm St, San Francisco, TX 11432</t>
  </si>
  <si>
    <t>Z514683</t>
  </si>
  <si>
    <t>https://www.zillow.com/homedetails/46539272_zpid/</t>
  </si>
  <si>
    <t>$1,112,100</t>
  </si>
  <si>
    <t>2621 Elm St, San Diego, FL 80722</t>
  </si>
  <si>
    <t>Z830700</t>
  </si>
  <si>
    <t>https://www.zillow.com/homedetails/45997466_zpid/</t>
  </si>
  <si>
    <t>$890,769</t>
  </si>
  <si>
    <t>2282 Maple Dr, San Francisco, IL 71524</t>
  </si>
  <si>
    <t>Z134502</t>
  </si>
  <si>
    <t>https://www.zillow.com/homedetails/70934057_zpid/</t>
  </si>
  <si>
    <t>$617,617</t>
  </si>
  <si>
    <t>3965 Maple Dr, San Diego, IL 98236</t>
  </si>
  <si>
    <t>Z782736</t>
  </si>
  <si>
    <t>https://www.zillow.com/homedetails/40486594_zpid/</t>
  </si>
  <si>
    <t>$475,989</t>
  </si>
  <si>
    <t>4607 Elm St, Los Angeles, TX 89919</t>
  </si>
  <si>
    <t>Z834701</t>
  </si>
  <si>
    <t>https://www.zillow.com/homedetails/10343248_zpid/</t>
  </si>
  <si>
    <t>$482,156</t>
  </si>
  <si>
    <t>1763 Main St, San Diego, NY 65564</t>
  </si>
  <si>
    <t>Z375599</t>
  </si>
  <si>
    <t>https://www.zillow.com/homedetails/84102603_zpid/</t>
  </si>
  <si>
    <t>$455,797</t>
  </si>
  <si>
    <t>6084 Main St, San Diego, IL 46273</t>
  </si>
  <si>
    <t>Z544349</t>
  </si>
  <si>
    <t>https://www.zillow.com/homedetails/50243698_zpid/</t>
  </si>
  <si>
    <t>$1,090,941</t>
  </si>
  <si>
    <t>911 Oak Ave, San Diego, FL 77457</t>
  </si>
  <si>
    <t>Z161631</t>
  </si>
  <si>
    <t>https://www.zillow.com/homedetails/68222421_zpid/</t>
  </si>
  <si>
    <t>$699,839</t>
  </si>
  <si>
    <t>7606 Elm St, Sacramento, CA 47736</t>
  </si>
  <si>
    <t>Z242960</t>
  </si>
  <si>
    <t>https://www.zillow.com/homedetails/70157446_zpid/</t>
  </si>
  <si>
    <t>$975,466</t>
  </si>
  <si>
    <t>9456 Maple Dr, San Diego, TX 33841</t>
  </si>
  <si>
    <t>Z504458</t>
  </si>
  <si>
    <t>https://www.zillow.com/homedetails/18016768_zpid/</t>
  </si>
  <si>
    <t>$161,264</t>
  </si>
  <si>
    <t>2394 Oak Ave, San Francisco, IL 89187</t>
  </si>
  <si>
    <t>Z175804</t>
  </si>
  <si>
    <t>https://www.zillow.com/homedetails/67210031_zpid/</t>
  </si>
  <si>
    <t>$1,342,267</t>
  </si>
  <si>
    <t>421 Elm St, Los Angeles, IL 58462</t>
  </si>
  <si>
    <t>Z828705</t>
  </si>
  <si>
    <t>https://www.zillow.com/homedetails/99435317_zpid/</t>
  </si>
  <si>
    <t>$235,502</t>
  </si>
  <si>
    <t>1389 Pine Rd, Los Angeles, NY 61679</t>
  </si>
  <si>
    <t>Z283936</t>
  </si>
  <si>
    <t>https://www.zillow.com/homedetails/79859539_zpid/</t>
  </si>
  <si>
    <t>$1,382,618</t>
  </si>
  <si>
    <t>5999 Main St, Sacramento, TX 33285</t>
  </si>
  <si>
    <t>Z469345</t>
  </si>
  <si>
    <t>https://www.zillow.com/homedetails/14423540_zpid/</t>
  </si>
  <si>
    <t>$1,016,919</t>
  </si>
  <si>
    <t>2142 Maple Dr, Sacramento, FL 45702</t>
  </si>
  <si>
    <t>Z706589</t>
  </si>
  <si>
    <t>https://www.zillow.com/homedetails/99626339_zpid/</t>
  </si>
  <si>
    <t>$373,698</t>
  </si>
  <si>
    <t>4432 Pine Rd, Los Angeles, IL 90010</t>
  </si>
  <si>
    <t>Z437341</t>
  </si>
  <si>
    <t>https://www.zillow.com/homedetails/25731375_zpid/</t>
  </si>
  <si>
    <t>$1,345,391</t>
  </si>
  <si>
    <t>6794 Pine Rd, Fresno, IL 92296</t>
  </si>
  <si>
    <t>Z647702</t>
  </si>
  <si>
    <t>https://www.zillow.com/homedetails/29379398_zpid/</t>
  </si>
  <si>
    <t>$677,597</t>
  </si>
  <si>
    <t>7183 Elm St, Fresno, IL 66275</t>
  </si>
  <si>
    <t>Z197871</t>
  </si>
  <si>
    <t>https://www.zillow.com/homedetails/48089684_zpid/</t>
  </si>
  <si>
    <t>$923,080</t>
  </si>
  <si>
    <t>8083 Oak Ave, Los Angeles, IL 23668</t>
  </si>
  <si>
    <t>Z542462</t>
  </si>
  <si>
    <t>https://www.zillow.com/homedetails/72412469_zpid/</t>
  </si>
  <si>
    <t>$1,411,902</t>
  </si>
  <si>
    <t>7443 Oak Ave, Sacramento, FL 38562</t>
  </si>
  <si>
    <t>Z110651</t>
  </si>
  <si>
    <t>https://www.zillow.com/homedetails/37808211_zpid/</t>
  </si>
  <si>
    <t>$1,464,732</t>
  </si>
  <si>
    <t>142 Oak Ave, San Francisco, TX 26396</t>
  </si>
  <si>
    <t>Z917739</t>
  </si>
  <si>
    <t>https://www.zillow.com/homedetails/15102654_zpid/</t>
  </si>
  <si>
    <t>$284,784</t>
  </si>
  <si>
    <t>8639 Maple Dr, Fresno, TX 72494</t>
  </si>
  <si>
    <t>Z984118</t>
  </si>
  <si>
    <t>https://www.zillow.com/homedetails/46465859_zpid/</t>
  </si>
  <si>
    <t>$1,096,197</t>
  </si>
  <si>
    <t>7362 Maple Dr, San Diego, FL 54933</t>
  </si>
  <si>
    <t>Z980751</t>
  </si>
  <si>
    <t>https://www.zillow.com/homedetails/97273767_zpid/</t>
  </si>
  <si>
    <t>$152,511</t>
  </si>
  <si>
    <t>5402 Oak Ave, Los Angeles, IL 28325</t>
  </si>
  <si>
    <t>Z695781</t>
  </si>
  <si>
    <t>https://www.zillow.com/homedetails/73213927_zpid/</t>
  </si>
  <si>
    <t>$941,690</t>
  </si>
  <si>
    <t>4864 Maple Dr, San Diego, IL 86353</t>
  </si>
  <si>
    <t>Z656092</t>
  </si>
  <si>
    <t>https://www.zillow.com/homedetails/12463769_zpid/</t>
  </si>
  <si>
    <t>$1,400,044</t>
  </si>
  <si>
    <t>2135 Maple Dr, Sacramento, TX 26044</t>
  </si>
  <si>
    <t>Z812626</t>
  </si>
  <si>
    <t>https://www.zillow.com/homedetails/24716116_zpid/</t>
  </si>
  <si>
    <t>$474,461</t>
  </si>
  <si>
    <t>3422 Elm St, San Francisco, IL 55615</t>
  </si>
  <si>
    <t>Z864909</t>
  </si>
  <si>
    <t>https://www.zillow.com/homedetails/90519627_zpid/</t>
  </si>
  <si>
    <t>$1,414,669</t>
  </si>
  <si>
    <t>4931 Pine Rd, Fresno, NY 68184</t>
  </si>
  <si>
    <t>Z349076</t>
  </si>
  <si>
    <t>https://www.zillow.com/homedetails/80403477_zpid/</t>
  </si>
  <si>
    <t>$399,142</t>
  </si>
  <si>
    <t>5311 Oak Ave, Fresno, IL 55782</t>
  </si>
  <si>
    <t>Z147021</t>
  </si>
  <si>
    <t>https://www.zillow.com/homedetails/46856967_zpid/</t>
  </si>
  <si>
    <t>$108,787</t>
  </si>
  <si>
    <t>8638 Elm St, Fresno, NY 67573</t>
  </si>
  <si>
    <t>Z801993</t>
  </si>
  <si>
    <t>https://www.zillow.com/homedetails/49393754_zpid/</t>
  </si>
  <si>
    <t>$1,266,372</t>
  </si>
  <si>
    <t>1679 Maple Dr, Los Angeles, FL 66115</t>
  </si>
  <si>
    <t>Z196054</t>
  </si>
  <si>
    <t>https://www.zillow.com/homedetails/76060967_zpid/</t>
  </si>
  <si>
    <t>$1,436,634</t>
  </si>
  <si>
    <t>1082 Oak Ave, San Francisco, NY 62932</t>
  </si>
  <si>
    <t>Z463990</t>
  </si>
  <si>
    <t>https://www.zillow.com/homedetails/35674011_zpid/</t>
  </si>
  <si>
    <t>$1,135,748</t>
  </si>
  <si>
    <t>929 Maple Dr, San Diego, TX 42286</t>
  </si>
  <si>
    <t>Z505052</t>
  </si>
  <si>
    <t>https://www.zillow.com/homedetails/26095573_zpid/</t>
  </si>
  <si>
    <t>$1,445,315</t>
  </si>
  <si>
    <t>9758 Oak Ave, Los Angeles, IL 93603</t>
  </si>
  <si>
    <t>Z835869</t>
  </si>
  <si>
    <t>https://www.zillow.com/homedetails/35100497_zpid/</t>
  </si>
  <si>
    <t>$710,158</t>
  </si>
  <si>
    <t>5433 Pine Rd, San Francisco, NY 78415</t>
  </si>
  <si>
    <t>Z529830</t>
  </si>
  <si>
    <t>https://www.zillow.com/homedetails/37687085_zpid/</t>
  </si>
  <si>
    <t>$426,442</t>
  </si>
  <si>
    <t>4935 Main St, Fresno, IL 40814</t>
  </si>
  <si>
    <t>Z278605</t>
  </si>
  <si>
    <t>https://www.zillow.com/homedetails/16235896_zpid/</t>
  </si>
  <si>
    <t>$474,005</t>
  </si>
  <si>
    <t>277 Maple Dr, San Francisco, IL 98362</t>
  </si>
  <si>
    <t>Z326844</t>
  </si>
  <si>
    <t>https://www.zillow.com/homedetails/80212402_zpid/</t>
  </si>
  <si>
    <t>$102,028</t>
  </si>
  <si>
    <t>555 Main St, Sacramento, TX 97031</t>
  </si>
  <si>
    <t>Z176504</t>
  </si>
  <si>
    <t>https://www.zillow.com/homedetails/12165090_zpid/</t>
  </si>
  <si>
    <t>$1,171,830</t>
  </si>
  <si>
    <t>5728 Main St, San Diego, IL 70965</t>
  </si>
  <si>
    <t>Z651516</t>
  </si>
  <si>
    <t>https://www.zillow.com/homedetails/34326152_zpid/</t>
  </si>
  <si>
    <t>$660,843</t>
  </si>
  <si>
    <t>4922 Pine Rd, Los Angeles, NY 57579</t>
  </si>
  <si>
    <t>Z720835</t>
  </si>
  <si>
    <t>https://www.zillow.com/homedetails/23657614_zpid/</t>
  </si>
  <si>
    <t>$1,071,749</t>
  </si>
  <si>
    <t>4191 Main St, San Diego, CA 12729</t>
  </si>
  <si>
    <t>Z657911</t>
  </si>
  <si>
    <t>https://www.zillow.com/homedetails/25567985_zpid/</t>
  </si>
  <si>
    <t>$470,645</t>
  </si>
  <si>
    <t>1042 Elm St, San Diego, FL 75919</t>
  </si>
  <si>
    <t>Z420855</t>
  </si>
  <si>
    <t>https://www.zillow.com/homedetails/97163750_zpid/</t>
  </si>
  <si>
    <t>$1,015,628</t>
  </si>
  <si>
    <t>3393 Elm St, San Francisco, IL 24923</t>
  </si>
  <si>
    <t>Z346684</t>
  </si>
  <si>
    <t>https://www.zillow.com/homedetails/91664498_zpid/</t>
  </si>
  <si>
    <t>$962,971</t>
  </si>
  <si>
    <t>2865 Oak Ave, Sacramento, NY 88614</t>
  </si>
  <si>
    <t>Z985632</t>
  </si>
  <si>
    <t>https://www.zillow.com/homedetails/22207715_zpid/</t>
  </si>
  <si>
    <t>$589,012</t>
  </si>
  <si>
    <t>8414 Elm St, Fresno, TX 66654</t>
  </si>
  <si>
    <t>Z601628</t>
  </si>
  <si>
    <t>https://www.zillow.com/homedetails/91362466_zpid/</t>
  </si>
  <si>
    <t>$907,603</t>
  </si>
  <si>
    <t>1058 Main St, Fresno, IL 30523</t>
  </si>
  <si>
    <t>Z736540</t>
  </si>
  <si>
    <t>https://www.zillow.com/homedetails/70436373_zpid/</t>
  </si>
  <si>
    <t>$406,159</t>
  </si>
  <si>
    <t>7769 Main St, Sacramento, TX 14892</t>
  </si>
  <si>
    <t>Z143519</t>
  </si>
  <si>
    <t>https://www.zillow.com/homedetails/18803597_zpid/</t>
  </si>
  <si>
    <t>$1,129,152</t>
  </si>
  <si>
    <t>7667 Oak Ave, Sacramento, CA 12477</t>
  </si>
  <si>
    <t>Z993105</t>
  </si>
  <si>
    <t>https://www.zillow.com/homedetails/40038198_zpid/</t>
  </si>
  <si>
    <t>$280,337</t>
  </si>
  <si>
    <t>4342 Pine Rd, Sacramento, IL 52311</t>
  </si>
  <si>
    <t>Z513279</t>
  </si>
  <si>
    <t>https://www.zillow.com/homedetails/84318219_zpid/</t>
  </si>
  <si>
    <t>$328,074</t>
  </si>
  <si>
    <t>8482 Elm St, Fresno, CA 94175</t>
  </si>
  <si>
    <t>Z193154</t>
  </si>
  <si>
    <t>https://www.zillow.com/homedetails/56818942_zpid/</t>
  </si>
  <si>
    <t>$351,462</t>
  </si>
  <si>
    <t>4040 Oak Ave, Sacramento, TX 78963</t>
  </si>
  <si>
    <t>Z241698</t>
  </si>
  <si>
    <t>https://www.zillow.com/homedetails/19182018_zpid/</t>
  </si>
  <si>
    <t>$210,113</t>
  </si>
  <si>
    <t>5428 Main St, Sacramento, IL 99538</t>
  </si>
  <si>
    <t>Z637417</t>
  </si>
  <si>
    <t>https://www.zillow.com/homedetails/80455661_zpid/</t>
  </si>
  <si>
    <t>$1,255,047</t>
  </si>
  <si>
    <t>4453 Main St, San Francisco, NY 65918</t>
  </si>
  <si>
    <t>Z728420</t>
  </si>
  <si>
    <t>https://www.zillow.com/homedetails/22612722_zpid/</t>
  </si>
  <si>
    <t>$699,231</t>
  </si>
  <si>
    <t>1152 Oak Ave, San Diego, IL 20679</t>
  </si>
  <si>
    <t>Z511427</t>
  </si>
  <si>
    <t>https://www.zillow.com/homedetails/89904982_zpid/</t>
  </si>
  <si>
    <t>$772,910</t>
  </si>
  <si>
    <t>2026 Pine Rd, San Francisco, TX 14339</t>
  </si>
  <si>
    <t>Z954129</t>
  </si>
  <si>
    <t>https://www.zillow.com/homedetails/13653386_zpid/</t>
  </si>
  <si>
    <t>$417,718</t>
  </si>
  <si>
    <t>929 Oak Ave, Fresno, CA 56423</t>
  </si>
  <si>
    <t>Z800170</t>
  </si>
  <si>
    <t>https://www.zillow.com/homedetails/29448025_zpid/</t>
  </si>
  <si>
    <t>$1,138,482</t>
  </si>
  <si>
    <t>7451 Main St, Sacramento, FL 64089</t>
  </si>
  <si>
    <t>Z596501</t>
  </si>
  <si>
    <t>https://www.zillow.com/homedetails/28158724_zpid/</t>
  </si>
  <si>
    <t>$948,743</t>
  </si>
  <si>
    <t>8596 Main St, San Francisco, FL 34766</t>
  </si>
  <si>
    <t>Z416164</t>
  </si>
  <si>
    <t>https://www.zillow.com/homedetails/77848519_zpid/</t>
  </si>
  <si>
    <t>$279,426</t>
  </si>
  <si>
    <t>4409 Elm St, San Diego, IL 99507</t>
  </si>
  <si>
    <t>Z154909</t>
  </si>
  <si>
    <t>https://www.zillow.com/homedetails/16339192_zpid/</t>
  </si>
  <si>
    <t>$285,969</t>
  </si>
  <si>
    <t>2679 Pine Rd, Los Angeles, NY 39530</t>
  </si>
  <si>
    <t>Z424872</t>
  </si>
  <si>
    <t>https://www.zillow.com/homedetails/75824283_zpid/</t>
  </si>
  <si>
    <t>$1,127,463</t>
  </si>
  <si>
    <t>8637 Main St, Los Angeles, FL 50916</t>
  </si>
  <si>
    <t>Z954668</t>
  </si>
  <si>
    <t>https://www.zillow.com/homedetails/33852365_zpid/</t>
  </si>
  <si>
    <t>$723,852</t>
  </si>
  <si>
    <t>6469 Maple Dr, San Francisco, CA 71130</t>
  </si>
  <si>
    <t>Z367066</t>
  </si>
  <si>
    <t>https://www.zillow.com/homedetails/43965261_zpid/</t>
  </si>
  <si>
    <t>$1,074,925</t>
  </si>
  <si>
    <t>2465 Main St, San Diego, CA 38257</t>
  </si>
  <si>
    <t>Z925601</t>
  </si>
  <si>
    <t>https://www.zillow.com/homedetails/92518805_zpid/</t>
  </si>
  <si>
    <t>$450,784</t>
  </si>
  <si>
    <t>4924 Elm St, Los Angeles, CA 14062</t>
  </si>
  <si>
    <t>Z245199</t>
  </si>
  <si>
    <t>https://www.zillow.com/homedetails/84435686_zpid/</t>
  </si>
  <si>
    <t>$887,115</t>
  </si>
  <si>
    <t>5255 Pine Rd, Fresno, CA 16271</t>
  </si>
  <si>
    <t>Z187321</t>
  </si>
  <si>
    <t>https://www.zillow.com/homedetails/89730958_zpid/</t>
  </si>
  <si>
    <t>$825,178</t>
  </si>
  <si>
    <t>2836 Elm St, Los Angeles, TX 48570</t>
  </si>
  <si>
    <t>Z311105</t>
  </si>
  <si>
    <t>https://www.zillow.com/homedetails/61343816_zpid/</t>
  </si>
  <si>
    <t>$245,952</t>
  </si>
  <si>
    <t>8065 Oak Ave, San Francisco, IL 84319</t>
  </si>
  <si>
    <t>Z784603</t>
  </si>
  <si>
    <t>https://www.zillow.com/homedetails/28975582_zpid/</t>
  </si>
  <si>
    <t>$433,253</t>
  </si>
  <si>
    <t>1247 Elm St, San Diego, TX 21216</t>
  </si>
  <si>
    <t>Z338458</t>
  </si>
  <si>
    <t>https://www.zillow.com/homedetails/33096695_zpid/</t>
  </si>
  <si>
    <t>$745,190</t>
  </si>
  <si>
    <t>6676 Elm St, Los Angeles, TX 95808</t>
  </si>
  <si>
    <t>Z281132</t>
  </si>
  <si>
    <t>https://www.zillow.com/homedetails/31899345_zpid/</t>
  </si>
  <si>
    <t>$933,171</t>
  </si>
  <si>
    <t>308 Main St, Fresno, CA 46537</t>
  </si>
  <si>
    <t>Z167041</t>
  </si>
  <si>
    <t>https://www.zillow.com/homedetails/38025050_zpid/</t>
  </si>
  <si>
    <t>$1,008,831</t>
  </si>
  <si>
    <t>4001 Pine Rd, San Francisco, TX 81827</t>
  </si>
  <si>
    <t>Z962157</t>
  </si>
  <si>
    <t>https://www.zillow.com/homedetails/63084221_zpid/</t>
  </si>
  <si>
    <t>$227,204</t>
  </si>
  <si>
    <t>6870 Elm St, San Diego, NY 23226</t>
  </si>
  <si>
    <t>Z282731</t>
  </si>
  <si>
    <t>https://www.zillow.com/homedetails/47860291_zpid/</t>
  </si>
  <si>
    <t>$745,289</t>
  </si>
  <si>
    <t>954 Oak Ave, San Diego, CA 23788</t>
  </si>
  <si>
    <t>Z463266</t>
  </si>
  <si>
    <t>https://www.zillow.com/homedetails/52015307_zpid/</t>
  </si>
  <si>
    <t>$1,483,987</t>
  </si>
  <si>
    <t>4744 Oak Ave, San Francisco, FL 98527</t>
  </si>
  <si>
    <t>Z710434</t>
  </si>
  <si>
    <t>https://www.zillow.com/homedetails/51578602_zpid/</t>
  </si>
  <si>
    <t>$128,853</t>
  </si>
  <si>
    <t>8354 Maple Dr, Los Angeles, IL 85529</t>
  </si>
  <si>
    <t>Z579805</t>
  </si>
  <si>
    <t>https://www.zillow.com/homedetails/55097988_zpid/</t>
  </si>
  <si>
    <t>$856,260</t>
  </si>
  <si>
    <t>4479 Maple Dr, Fresno, IL 98387</t>
  </si>
  <si>
    <t>Z934639</t>
  </si>
  <si>
    <t>https://www.zillow.com/homedetails/42797874_zpid/</t>
  </si>
  <si>
    <t>$478,498</t>
  </si>
  <si>
    <t>4607 Elm St, Los Angeles, TX 97828</t>
  </si>
  <si>
    <t>Z441673</t>
  </si>
  <si>
    <t>https://www.zillow.com/homedetails/79437492_zpid/</t>
  </si>
  <si>
    <t>$779,579</t>
  </si>
  <si>
    <t>4096 Elm St, San Francisco, CA 67577</t>
  </si>
  <si>
    <t>Z764423</t>
  </si>
  <si>
    <t>https://www.zillow.com/homedetails/83477591_zpid/</t>
  </si>
  <si>
    <t>$459,607</t>
  </si>
  <si>
    <t>7649 Oak Ave, Los Angeles, NY 82462</t>
  </si>
  <si>
    <t>Z557110</t>
  </si>
  <si>
    <t>https://www.zillow.com/homedetails/32490948_zpid/</t>
  </si>
  <si>
    <t>$1,325,699</t>
  </si>
  <si>
    <t>1601 Elm St, Los Angeles, IL 77037</t>
  </si>
  <si>
    <t>Z625485</t>
  </si>
  <si>
    <t>https://www.zillow.com/homedetails/21527695_zpid/</t>
  </si>
  <si>
    <t>$1,219,024</t>
  </si>
  <si>
    <t>1742 Pine Rd, Fresno, IL 11818</t>
  </si>
  <si>
    <t>Z550214</t>
  </si>
  <si>
    <t>https://www.zillow.com/homedetails/58111711_zpid/</t>
  </si>
  <si>
    <t>$1,017,616</t>
  </si>
  <si>
    <t>4282 Pine Rd, Sacramento, FL 85987</t>
  </si>
  <si>
    <t>Z513343</t>
  </si>
  <si>
    <t>https://www.zillow.com/homedetails/89377748_zpid/</t>
  </si>
  <si>
    <t>$905,273</t>
  </si>
  <si>
    <t>3506 Elm St, San Francisco, CA 77179</t>
  </si>
  <si>
    <t>Z221217</t>
  </si>
  <si>
    <t>https://www.zillow.com/homedetails/17861031_zpid/</t>
  </si>
  <si>
    <t>$929,598</t>
  </si>
  <si>
    <t>6128 Pine Rd, Sacramento, IL 54113</t>
  </si>
  <si>
    <t>Z237507</t>
  </si>
  <si>
    <t>https://www.zillow.com/homedetails/67457673_zpid/</t>
  </si>
  <si>
    <t>$1,472,375</t>
  </si>
  <si>
    <t>8100 Maple Dr, Fresno, CA 59919</t>
  </si>
  <si>
    <t>Z647013</t>
  </si>
  <si>
    <t>https://www.zillow.com/homedetails/79891151_zpid/</t>
  </si>
  <si>
    <t>$1,246,523</t>
  </si>
  <si>
    <t>845 Pine Rd, San Francisco, IL 23613</t>
  </si>
  <si>
    <t>Z826524</t>
  </si>
  <si>
    <t>https://www.zillow.com/homedetails/24084220_zpid/</t>
  </si>
  <si>
    <t>$779,712</t>
  </si>
  <si>
    <t>3285 Main St, San Diego, FL 42387</t>
  </si>
  <si>
    <t>Z539871</t>
  </si>
  <si>
    <t>https://www.zillow.com/homedetails/81451584_zpid/</t>
  </si>
  <si>
    <t>$113,372</t>
  </si>
  <si>
    <t>4005 Elm St, San Francisco, NY 57518</t>
  </si>
  <si>
    <t>Z291396</t>
  </si>
  <si>
    <t>https://www.zillow.com/homedetails/30674130_zpid/</t>
  </si>
  <si>
    <t>$207,544</t>
  </si>
  <si>
    <t>677 Pine Rd, Fresno, FL 97626</t>
  </si>
  <si>
    <t>Z160878</t>
  </si>
  <si>
    <t>https://www.zillow.com/homedetails/64465979_zpid/</t>
  </si>
  <si>
    <t>$803,646</t>
  </si>
  <si>
    <t>699 Elm St, Los Angeles, FL 79826</t>
  </si>
  <si>
    <t>Z227379</t>
  </si>
  <si>
    <t>https://www.zillow.com/homedetails/39331091_zpid/</t>
  </si>
  <si>
    <t>$299,347</t>
  </si>
  <si>
    <t>6964 Oak Ave, Sacramento, NY 64861</t>
  </si>
  <si>
    <t>Z385554</t>
  </si>
  <si>
    <t>https://www.zillow.com/homedetails/45569133_zpid/</t>
  </si>
  <si>
    <t>$751,719</t>
  </si>
  <si>
    <t>4223 Oak Ave, San Francisco, IL 87473</t>
  </si>
  <si>
    <t>Z895132</t>
  </si>
  <si>
    <t>https://www.zillow.com/homedetails/83820955_zpid/</t>
  </si>
  <si>
    <t>$114,286</t>
  </si>
  <si>
    <t>788 Oak Ave, Fresno, TX 95641</t>
  </si>
  <si>
    <t>Z329052</t>
  </si>
  <si>
    <t>https://www.zillow.com/homedetails/41219863_zpid/</t>
  </si>
  <si>
    <t>$442,260</t>
  </si>
  <si>
    <t>8769 Oak Ave, Los Angeles, TX 70928</t>
  </si>
  <si>
    <t>Z851475</t>
  </si>
  <si>
    <t>https://www.zillow.com/homedetails/33696615_zpid/</t>
  </si>
  <si>
    <t>$467,871</t>
  </si>
  <si>
    <t>1711 Main St, Sacramento, FL 15604</t>
  </si>
  <si>
    <t>Z421990</t>
  </si>
  <si>
    <t>https://www.zillow.com/homedetails/83844443_zpid/</t>
  </si>
  <si>
    <t>$1,246,389</t>
  </si>
  <si>
    <t>3411 Elm St, Sacramento, IL 79757</t>
  </si>
  <si>
    <t>Z297688</t>
  </si>
  <si>
    <t>https://www.zillow.com/homedetails/48991100_zpid/</t>
  </si>
  <si>
    <t>$1,454,268</t>
  </si>
  <si>
    <t>4987 Elm St, San Francisco, IL 95098</t>
  </si>
  <si>
    <t>Z553223</t>
  </si>
  <si>
    <t>https://www.zillow.com/homedetails/33110613_zpid/</t>
  </si>
  <si>
    <t>$201,436</t>
  </si>
  <si>
    <t>3839 Pine Rd, San Diego, CA 20368</t>
  </si>
  <si>
    <t>Z993330</t>
  </si>
  <si>
    <t>https://www.zillow.com/homedetails/62268274_zpid/</t>
  </si>
  <si>
    <t>$1,286,048</t>
  </si>
  <si>
    <t>4967 Main St, Los Angeles, TX 54147</t>
  </si>
  <si>
    <t>Z620921</t>
  </si>
  <si>
    <t>https://www.zillow.com/homedetails/41422308_zpid/</t>
  </si>
  <si>
    <t>$1,415,825</t>
  </si>
  <si>
    <t>7791 Main St, Fresno, IL 94609</t>
  </si>
  <si>
    <t>Z985852</t>
  </si>
  <si>
    <t>https://www.zillow.com/homedetails/30538018_zpid/</t>
  </si>
  <si>
    <t>$1,189,972</t>
  </si>
  <si>
    <t>7923 Main St, San Francisco, IL 24763</t>
  </si>
  <si>
    <t>Z426139</t>
  </si>
  <si>
    <t>https://www.zillow.com/homedetails/33231870_zpid/</t>
  </si>
  <si>
    <t>$1,363,612</t>
  </si>
  <si>
    <t>836 Elm St, San Francisco, IL 67802</t>
  </si>
  <si>
    <t>Z365864</t>
  </si>
  <si>
    <t>https://www.zillow.com/homedetails/51571328_zpid/</t>
  </si>
  <si>
    <t>$996,190</t>
  </si>
  <si>
    <t>8465 Maple Dr, Los Angeles, NY 45498</t>
  </si>
  <si>
    <t>Z671708</t>
  </si>
  <si>
    <t>https://www.zillow.com/homedetails/19260954_zpid/</t>
  </si>
  <si>
    <t>$1,228,208</t>
  </si>
  <si>
    <t>2652 Maple Dr, Fresno, NY 30014</t>
  </si>
  <si>
    <t>Z450554</t>
  </si>
  <si>
    <t>https://www.zillow.com/homedetails/21395231_zpid/</t>
  </si>
  <si>
    <t>$1,426,721</t>
  </si>
  <si>
    <t>4202 Oak Ave, San Francisco, FL 48593</t>
  </si>
  <si>
    <t>Z612036</t>
  </si>
  <si>
    <t>https://www.zillow.com/homedetails/75866728_zpid/</t>
  </si>
  <si>
    <t>$1,193,769</t>
  </si>
  <si>
    <t>8418 Elm St, San Francisco, CA 31544</t>
  </si>
  <si>
    <t>Z298574</t>
  </si>
  <si>
    <t>https://www.zillow.com/homedetails/64382972_zpid/</t>
  </si>
  <si>
    <t>$1,458,463</t>
  </si>
  <si>
    <t>5971 Maple Dr, Los Angeles, NY 37866</t>
  </si>
  <si>
    <t>Z686634</t>
  </si>
  <si>
    <t>https://www.zillow.com/homedetails/55516894_zpid/</t>
  </si>
  <si>
    <t>$1,496,151</t>
  </si>
  <si>
    <t>5699 Maple Dr, Sacramento, FL 62476</t>
  </si>
  <si>
    <t>Z588789</t>
  </si>
  <si>
    <t>https://www.zillow.com/homedetails/82485641_zpid/</t>
  </si>
  <si>
    <t>$900,797</t>
  </si>
  <si>
    <t>4626 Pine Rd, Fresno, TX 18870</t>
  </si>
  <si>
    <t>Z100830</t>
  </si>
  <si>
    <t>https://www.zillow.com/homedetails/50927877_zpid/</t>
  </si>
  <si>
    <t>$431,967</t>
  </si>
  <si>
    <t>4808 Elm St, San Francisco, FL 79165</t>
  </si>
  <si>
    <t>Z614744</t>
  </si>
  <si>
    <t>https://www.zillow.com/homedetails/67334948_zpid/</t>
  </si>
  <si>
    <t>$1,192,923</t>
  </si>
  <si>
    <t>908 Main St, San Diego, CA 26898</t>
  </si>
  <si>
    <t>Z928518</t>
  </si>
  <si>
    <t>https://www.zillow.com/homedetails/58991881_zpid/</t>
  </si>
  <si>
    <t>$650,763</t>
  </si>
  <si>
    <t>1852 Main St, Fresno, TX 99103</t>
  </si>
  <si>
    <t>Z451754</t>
  </si>
  <si>
    <t>https://www.zillow.com/homedetails/46083519_zpid/</t>
  </si>
  <si>
    <t>$1,478,203</t>
  </si>
  <si>
    <t>1085 Oak Ave, San Diego, FL 99061</t>
  </si>
  <si>
    <t>Z828553</t>
  </si>
  <si>
    <t>https://www.zillow.com/homedetails/20053037_zpid/</t>
  </si>
  <si>
    <t>$1,259,364</t>
  </si>
  <si>
    <t>8921 Main St, Sacramento, TX 25588</t>
  </si>
  <si>
    <t>Z842532</t>
  </si>
  <si>
    <t>https://www.zillow.com/homedetails/56354396_zpid/</t>
  </si>
  <si>
    <t>$1,420,500</t>
  </si>
  <si>
    <t>2086 Oak Ave, Fresno, TX 19350</t>
  </si>
  <si>
    <t>Z581199</t>
  </si>
  <si>
    <t>https://www.zillow.com/homedetails/70688766_zpid/</t>
  </si>
  <si>
    <t>$953,983</t>
  </si>
  <si>
    <t>2124 Maple Dr, San Diego, FL 70380</t>
  </si>
  <si>
    <t>Z210579</t>
  </si>
  <si>
    <t>https://www.zillow.com/homedetails/17997497_zpid/</t>
  </si>
  <si>
    <t>$392,778</t>
  </si>
  <si>
    <t>3684 Oak Ave, San Francisco, NY 67259</t>
  </si>
  <si>
    <t>Z563573</t>
  </si>
  <si>
    <t>https://www.zillow.com/homedetails/52184163_zpid/</t>
  </si>
  <si>
    <t>$1,208,849</t>
  </si>
  <si>
    <t>8733 Oak Ave, Fresno, FL 64153</t>
  </si>
  <si>
    <t>Z389206</t>
  </si>
  <si>
    <t>https://www.zillow.com/homedetails/23767461_zpid/</t>
  </si>
  <si>
    <t>$394,824</t>
  </si>
  <si>
    <t>205 Main St, Los Angeles, FL 99705</t>
  </si>
  <si>
    <t>Z228440</t>
  </si>
  <si>
    <t>https://www.zillow.com/homedetails/96020674_zpid/</t>
  </si>
  <si>
    <t>$132,626</t>
  </si>
  <si>
    <t>7573 Pine Rd, Los Angeles, IL 81064</t>
  </si>
  <si>
    <t>Z802390</t>
  </si>
  <si>
    <t>https://www.zillow.com/homedetails/82686875_zpid/</t>
  </si>
  <si>
    <t>$529,982</t>
  </si>
  <si>
    <t>4368 Oak Ave, Fresno, CA 92928</t>
  </si>
  <si>
    <t>Z678839</t>
  </si>
  <si>
    <t>https://www.zillow.com/homedetails/44505559_zpid/</t>
  </si>
  <si>
    <t>$171,018</t>
  </si>
  <si>
    <t>8941 Oak Ave, San Francisco, FL 18188</t>
  </si>
  <si>
    <t>Z904724</t>
  </si>
  <si>
    <t>https://www.zillow.com/homedetails/18862374_zpid/</t>
  </si>
  <si>
    <t>$1,428,670</t>
  </si>
  <si>
    <t>1199 Elm St, Los Angeles, IL 48336</t>
  </si>
  <si>
    <t>Z580825</t>
  </si>
  <si>
    <t>https://www.zillow.com/homedetails/92531050_zpid/</t>
  </si>
  <si>
    <t>$516,901</t>
  </si>
  <si>
    <t>7548 Maple Dr, San Francisco, IL 98522</t>
  </si>
  <si>
    <t>Z996820</t>
  </si>
  <si>
    <t>https://www.zillow.com/homedetails/99736428_zpid/</t>
  </si>
  <si>
    <t>$401,072</t>
  </si>
  <si>
    <t>7489 Maple Dr, Los Angeles, CA 86828</t>
  </si>
  <si>
    <t>Z570572</t>
  </si>
  <si>
    <t>https://www.zillow.com/homedetails/88358044_zpid/</t>
  </si>
  <si>
    <t>$813,788</t>
  </si>
  <si>
    <t>8569 Elm St, Fresno, TX 23788</t>
  </si>
  <si>
    <t>Z899466</t>
  </si>
  <si>
    <t>https://www.zillow.com/homedetails/89020667_zpid/</t>
  </si>
  <si>
    <t>$1,456,318</t>
  </si>
  <si>
    <t>4249 Main St, Sacramento, FL 67032</t>
  </si>
  <si>
    <t>Z364332</t>
  </si>
  <si>
    <t>https://www.zillow.com/homedetails/99569576_zpid/</t>
  </si>
  <si>
    <t>$552,551</t>
  </si>
  <si>
    <t>8145 Oak Ave, Fresno, CA 85195</t>
  </si>
  <si>
    <t>Z281885</t>
  </si>
  <si>
    <t>https://www.zillow.com/homedetails/17114266_zpid/</t>
  </si>
  <si>
    <t>$619,389</t>
  </si>
  <si>
    <t>1051 Pine Rd, San Francisco, FL 89824</t>
  </si>
  <si>
    <t>Z313562</t>
  </si>
  <si>
    <t>https://www.zillow.com/homedetails/25152481_zpid/</t>
  </si>
  <si>
    <t>$869,419</t>
  </si>
  <si>
    <t>9628 Elm St, San Diego, TX 63159</t>
  </si>
  <si>
    <t>Z439454</t>
  </si>
  <si>
    <t>https://www.zillow.com/homedetails/30093037_zpid/</t>
  </si>
  <si>
    <t>$384,317</t>
  </si>
  <si>
    <t>6051 Elm St, Los Angeles, FL 72459</t>
  </si>
  <si>
    <t>Z497909</t>
  </si>
  <si>
    <t>https://www.zillow.com/homedetails/33294577_zpid/</t>
  </si>
  <si>
    <t>$850,010</t>
  </si>
  <si>
    <t>7052 Main St, Sacramento, FL 10339</t>
  </si>
  <si>
    <t>Z680208</t>
  </si>
  <si>
    <t>https://www.zillow.com/homedetails/19032605_zpid/</t>
  </si>
  <si>
    <t>$1,466,927</t>
  </si>
  <si>
    <t>728 Elm St, Sacramento, IL 63572</t>
  </si>
  <si>
    <t>Z463718</t>
  </si>
  <si>
    <t>https://www.zillow.com/homedetails/39641346_zpid/</t>
  </si>
  <si>
    <t>$463,990</t>
  </si>
  <si>
    <t>8725 Pine Rd, Sacramento, NY 75749</t>
  </si>
  <si>
    <t>Z469562</t>
  </si>
  <si>
    <t>https://www.zillow.com/homedetails/25251674_zpid/</t>
  </si>
  <si>
    <t>$1,237,293</t>
  </si>
  <si>
    <t>7537 Elm St, Sacramento, CA 56410</t>
  </si>
  <si>
    <t>Z907444</t>
  </si>
  <si>
    <t>https://www.zillow.com/homedetails/81887423_zpid/</t>
  </si>
  <si>
    <t>$208,954</t>
  </si>
  <si>
    <t>6934 Oak Ave, San Francisco, FL 37583</t>
  </si>
  <si>
    <t>Z353027</t>
  </si>
  <si>
    <t>https://www.zillow.com/homedetails/20270532_zpid/</t>
  </si>
  <si>
    <t>$414,961</t>
  </si>
  <si>
    <t>3017 Pine Rd, Fresno, IL 41056</t>
  </si>
  <si>
    <t>Z261320</t>
  </si>
  <si>
    <t>https://www.zillow.com/homedetails/19547831_zpid/</t>
  </si>
  <si>
    <t>$868,534</t>
  </si>
  <si>
    <t>1794 Main St, San Diego, NY 42349</t>
  </si>
  <si>
    <t>Z613746</t>
  </si>
  <si>
    <t>https://www.zillow.com/homedetails/50972928_zpid/</t>
  </si>
  <si>
    <t>$1,133,100</t>
  </si>
  <si>
    <t>6323 Maple Dr, Sacramento, FL 75688</t>
  </si>
  <si>
    <t>Z757006</t>
  </si>
  <si>
    <t>https://www.zillow.com/homedetails/99702182_zpid/</t>
  </si>
  <si>
    <t>$1,396,517</t>
  </si>
  <si>
    <t>6642 Pine Rd, Sacramento, NY 21619</t>
  </si>
  <si>
    <t>Z414965</t>
  </si>
  <si>
    <t>https://www.zillow.com/homedetails/99003753_zpid/</t>
  </si>
  <si>
    <t>$1,159,677</t>
  </si>
  <si>
    <t>5749 Pine Rd, Los Angeles, TX 83680</t>
  </si>
  <si>
    <t>Z844992</t>
  </si>
  <si>
    <t>https://www.zillow.com/homedetails/57588209_zpid/</t>
  </si>
  <si>
    <t>$1,484,620</t>
  </si>
  <si>
    <t>6707 Maple Dr, Fresno, IL 91496</t>
  </si>
  <si>
    <t>Z502537</t>
  </si>
  <si>
    <t>https://www.zillow.com/homedetails/37816897_zpid/</t>
  </si>
  <si>
    <t>$911,278</t>
  </si>
  <si>
    <t>2066 Pine Rd, Sacramento, TX 26360</t>
  </si>
  <si>
    <t>Z494817</t>
  </si>
  <si>
    <t>https://www.zillow.com/homedetails/66090365_zpid/</t>
  </si>
  <si>
    <t>$1,171,839</t>
  </si>
  <si>
    <t>783 Pine Rd, Sacramento, TX 48702</t>
  </si>
  <si>
    <t>Z358439</t>
  </si>
  <si>
    <t>https://www.zillow.com/homedetails/94864182_zpid/</t>
  </si>
  <si>
    <t>$754,257</t>
  </si>
  <si>
    <t>6050 Main St, Sacramento, CA 79263</t>
  </si>
  <si>
    <t>Z459075</t>
  </si>
  <si>
    <t>https://www.zillow.com/homedetails/17585322_zpid/</t>
  </si>
  <si>
    <t>$632,651</t>
  </si>
  <si>
    <t>7430 Pine Rd, Sacramento, FL 39844</t>
  </si>
  <si>
    <t>Z616710</t>
  </si>
  <si>
    <t>https://www.zillow.com/homedetails/45712506_zpid/</t>
  </si>
  <si>
    <t>$903,375</t>
  </si>
  <si>
    <t>1498 Oak Ave, Fresno, IL 74744</t>
  </si>
  <si>
    <t>Z242291</t>
  </si>
  <si>
    <t>https://www.zillow.com/homedetails/54946271_zpid/</t>
  </si>
  <si>
    <t>$1,102,363</t>
  </si>
  <si>
    <t>6252 Maple Dr, San Francisco, FL 30748</t>
  </si>
  <si>
    <t>Z417233</t>
  </si>
  <si>
    <t>https://www.zillow.com/homedetails/55653229_zpid/</t>
  </si>
  <si>
    <t>$800,196</t>
  </si>
  <si>
    <t>7280 Main St, San Francisco, CA 82706</t>
  </si>
  <si>
    <t>Z857440</t>
  </si>
  <si>
    <t>https://www.zillow.com/homedetails/25609187_zpid/</t>
  </si>
  <si>
    <t>$249,358</t>
  </si>
  <si>
    <t>2264 Elm St, Los Angeles, CA 81173</t>
  </si>
  <si>
    <t>Z677660</t>
  </si>
  <si>
    <t>https://www.zillow.com/homedetails/28000162_zpid/</t>
  </si>
  <si>
    <t>$302,114</t>
  </si>
  <si>
    <t>3619 Elm St, Los Angeles, FL 25628</t>
  </si>
  <si>
    <t>Z682168</t>
  </si>
  <si>
    <t>https://www.zillow.com/homedetails/69068572_zpid/</t>
  </si>
  <si>
    <t>$742,536</t>
  </si>
  <si>
    <t>7843 Maple Dr, San Francisco, FL 97889</t>
  </si>
  <si>
    <t>Z828737</t>
  </si>
  <si>
    <t>https://www.zillow.com/homedetails/99427300_zpid/</t>
  </si>
  <si>
    <t>$191,048</t>
  </si>
  <si>
    <t>566 Oak Ave, San Francisco, NY 21240</t>
  </si>
  <si>
    <t>Z809758</t>
  </si>
  <si>
    <t>https://www.zillow.com/homedetails/60105088_zpid/</t>
  </si>
  <si>
    <t>$1,123,358</t>
  </si>
  <si>
    <t>8480 Main St, Los Angeles, TX 10643</t>
  </si>
  <si>
    <t>Z563790</t>
  </si>
  <si>
    <t>https://www.zillow.com/homedetails/34155745_zpid/</t>
  </si>
  <si>
    <t>$800,072</t>
  </si>
  <si>
    <t>9558 Pine Rd, San Francisco, FL 33359</t>
  </si>
  <si>
    <t>Z229875</t>
  </si>
  <si>
    <t>https://www.zillow.com/homedetails/15781269_zpid/</t>
  </si>
  <si>
    <t>$762,346</t>
  </si>
  <si>
    <t>819 Main St, Los Angeles, TX 55662</t>
  </si>
  <si>
    <t>Z374407</t>
  </si>
  <si>
    <t>https://www.zillow.com/homedetails/21894453_zpid/</t>
  </si>
  <si>
    <t>$862,718</t>
  </si>
  <si>
    <t>7481 Elm St, Sacramento, IL 36680</t>
  </si>
  <si>
    <t>Z806003</t>
  </si>
  <si>
    <t>https://www.zillow.com/homedetails/24279860_zpid/</t>
  </si>
  <si>
    <t>$573,942</t>
  </si>
  <si>
    <t>8297 Elm St, San Francisco, IL 89169</t>
  </si>
  <si>
    <t>Z671481</t>
  </si>
  <si>
    <t>https://www.zillow.com/homedetails/82411444_zpid/</t>
  </si>
  <si>
    <t>$241,211</t>
  </si>
  <si>
    <t>6724 Elm St, Sacramento, CA 59994</t>
  </si>
  <si>
    <t>Z893157</t>
  </si>
  <si>
    <t>https://www.zillow.com/homedetails/41380796_zpid/</t>
  </si>
  <si>
    <t>$1,153,825</t>
  </si>
  <si>
    <t>4017 Elm St, San Diego, CA 62437</t>
  </si>
  <si>
    <t>Z475595</t>
  </si>
  <si>
    <t>https://www.zillow.com/homedetails/48906048_zpid/</t>
  </si>
  <si>
    <t>$369,281</t>
  </si>
  <si>
    <t>9159 Pine Rd, San Diego, TX 50148</t>
  </si>
  <si>
    <t>Z975994</t>
  </si>
  <si>
    <t>https://www.zillow.com/homedetails/50421474_zpid/</t>
  </si>
  <si>
    <t>$570,529</t>
  </si>
  <si>
    <t>7720 Elm St, Sacramento, NY 12730</t>
  </si>
  <si>
    <t>Z831849</t>
  </si>
  <si>
    <t>https://www.zillow.com/homedetails/25799075_zpid/</t>
  </si>
  <si>
    <t>$224,348</t>
  </si>
  <si>
    <t>5880 Pine Rd, Los Angeles, NY 77020</t>
  </si>
  <si>
    <t>Z416653</t>
  </si>
  <si>
    <t>https://www.zillow.com/homedetails/59066346_zpid/</t>
  </si>
  <si>
    <t>$664,416</t>
  </si>
  <si>
    <t>4072 Pine Rd, Fresno, CA 90922</t>
  </si>
  <si>
    <t>Z916032</t>
  </si>
  <si>
    <t>https://www.zillow.com/homedetails/46583702_zpid/</t>
  </si>
  <si>
    <t>$592,454</t>
  </si>
  <si>
    <t>2677 Pine Rd, Los Angeles, IL 57711</t>
  </si>
  <si>
    <t>Z522522</t>
  </si>
  <si>
    <t>https://www.zillow.com/homedetails/59067624_zpid/</t>
  </si>
  <si>
    <t>$905,860</t>
  </si>
  <si>
    <t>619 Pine Rd, Sacramento, CA 16674</t>
  </si>
  <si>
    <t>Z370201</t>
  </si>
  <si>
    <t>https://www.zillow.com/homedetails/51367016_zpid/</t>
  </si>
  <si>
    <t>$601,508</t>
  </si>
  <si>
    <t>5963 Main St, Fresno, FL 87430</t>
  </si>
  <si>
    <t>Z998311</t>
  </si>
  <si>
    <t>https://www.zillow.com/homedetails/31734521_zpid/</t>
  </si>
  <si>
    <t>$890,786</t>
  </si>
  <si>
    <t>9800 Elm St, San Francisco, FL 23506</t>
  </si>
  <si>
    <t>Z669789</t>
  </si>
  <si>
    <t>https://www.zillow.com/homedetails/37058810_zpid/</t>
  </si>
  <si>
    <t>$437,511</t>
  </si>
  <si>
    <t>7908 Maple Dr, San Diego, TX 18919</t>
  </si>
  <si>
    <t>Z505643</t>
  </si>
  <si>
    <t>https://www.zillow.com/homedetails/97267548_zpid/</t>
  </si>
  <si>
    <t>$1,436,174</t>
  </si>
  <si>
    <t>7331 Oak Ave, Fresno, CA 54345</t>
  </si>
  <si>
    <t>Z696637</t>
  </si>
  <si>
    <t>https://www.zillow.com/homedetails/38152613_zpid/</t>
  </si>
  <si>
    <t>$1,003,604</t>
  </si>
  <si>
    <t>6705 Elm St, San Francisco, CA 29378</t>
  </si>
  <si>
    <t>Z652115</t>
  </si>
  <si>
    <t>https://www.zillow.com/homedetails/58491557_zpid/</t>
  </si>
  <si>
    <t>$764,241</t>
  </si>
  <si>
    <t>7273 Main St, San Francisco, CA 63040</t>
  </si>
  <si>
    <t>Z866470</t>
  </si>
  <si>
    <t>https://www.zillow.com/homedetails/66273848_zpid/</t>
  </si>
  <si>
    <t>$121,708</t>
  </si>
  <si>
    <t>5986 Main St, Fresno, NY 76056</t>
  </si>
  <si>
    <t>Z778079</t>
  </si>
  <si>
    <t>https://www.zillow.com/homedetails/88765395_zpid/</t>
  </si>
  <si>
    <t>$491,796</t>
  </si>
  <si>
    <t>4946 Pine Rd, San Diego, IL 60385</t>
  </si>
  <si>
    <t>Z781840</t>
  </si>
  <si>
    <t>https://www.zillow.com/homedetails/82785933_zpid/</t>
  </si>
  <si>
    <t>$107,634</t>
  </si>
  <si>
    <t>5823 Main St, Los Angeles, TX 67231</t>
  </si>
  <si>
    <t>Z720045</t>
  </si>
  <si>
    <t>https://www.zillow.com/homedetails/20867155_zpid/</t>
  </si>
  <si>
    <t>$780,966</t>
  </si>
  <si>
    <t>7655 Elm St, Fresno, IL 82044</t>
  </si>
  <si>
    <t>Z648809</t>
  </si>
  <si>
    <t>https://www.zillow.com/homedetails/14491930_zpid/</t>
  </si>
  <si>
    <t>$724,110</t>
  </si>
  <si>
    <t>9097 Elm St, San Diego, NY 36444</t>
  </si>
  <si>
    <t>Z468864</t>
  </si>
  <si>
    <t>https://www.zillow.com/homedetails/64859142_zpid/</t>
  </si>
  <si>
    <t>$1,453,664</t>
  </si>
  <si>
    <t>171 Elm St, Fresno, TX 86778</t>
  </si>
  <si>
    <t>Z964864</t>
  </si>
  <si>
    <t>https://www.zillow.com/homedetails/96701513_zpid/</t>
  </si>
  <si>
    <t>$655,953</t>
  </si>
  <si>
    <t>1991 Maple Dr, Sacramento, FL 77412</t>
  </si>
  <si>
    <t>Z371285</t>
  </si>
  <si>
    <t>https://www.zillow.com/homedetails/17311196_zpid/</t>
  </si>
  <si>
    <t>$837,749</t>
  </si>
  <si>
    <t>9467 Pine Rd, San Francisco, TX 66809</t>
  </si>
  <si>
    <t>Z483389</t>
  </si>
  <si>
    <t>https://www.zillow.com/homedetails/14771274_zpid/</t>
  </si>
  <si>
    <t>$498,606</t>
  </si>
  <si>
    <t>7301 Oak Ave, Sacramento, FL 33151</t>
  </si>
  <si>
    <t>Z977488</t>
  </si>
  <si>
    <t>https://www.zillow.com/homedetails/76950122_zpid/</t>
  </si>
  <si>
    <t>$688,959</t>
  </si>
  <si>
    <t>2449 Main St, San Diego, IL 73609</t>
  </si>
  <si>
    <t>Z595313</t>
  </si>
  <si>
    <t>https://www.zillow.com/homedetails/24643683_zpid/</t>
  </si>
  <si>
    <t>$1,005,631</t>
  </si>
  <si>
    <t>7541 Main St, San Francisco, IL 60168</t>
  </si>
  <si>
    <t>Z370294</t>
  </si>
  <si>
    <t>https://www.zillow.com/homedetails/43124938_zpid/</t>
  </si>
  <si>
    <t>$985,654</t>
  </si>
  <si>
    <t>6717 Maple Dr, Los Angeles, FL 61336</t>
  </si>
  <si>
    <t>Z799423</t>
  </si>
  <si>
    <t>https://www.zillow.com/homedetails/18677607_zpid/</t>
  </si>
  <si>
    <t>$1,200,264</t>
  </si>
  <si>
    <t>7957 Pine Rd, San Francisco, CA 39601</t>
  </si>
  <si>
    <t>Z173396</t>
  </si>
  <si>
    <t>https://www.zillow.com/homedetails/93955563_zpid/</t>
  </si>
  <si>
    <t>$266,057</t>
  </si>
  <si>
    <t>4983 Maple Dr, Fresno, TX 48991</t>
  </si>
  <si>
    <t>Z631313</t>
  </si>
  <si>
    <t>https://www.zillow.com/homedetails/82774212_zpid/</t>
  </si>
  <si>
    <t>$658,283</t>
  </si>
  <si>
    <t>2780 Main St, Sacramento, FL 37559</t>
  </si>
  <si>
    <t>Z805377</t>
  </si>
  <si>
    <t>https://www.zillow.com/homedetails/73082889_zpid/</t>
  </si>
  <si>
    <t>$980,749</t>
  </si>
  <si>
    <t>8093 Maple Dr, Los Angeles, CA 38914</t>
  </si>
  <si>
    <t>Z908858</t>
  </si>
  <si>
    <t>https://www.zillow.com/homedetails/90092704_zpid/</t>
  </si>
  <si>
    <t>$590,836</t>
  </si>
  <si>
    <t>4622 Elm St, Los Angeles, TX 77726</t>
  </si>
  <si>
    <t>Z129960</t>
  </si>
  <si>
    <t>https://www.zillow.com/homedetails/43369843_zpid/</t>
  </si>
  <si>
    <t>$1,124,902</t>
  </si>
  <si>
    <t>8494 Elm St, San Francisco, TX 98081</t>
  </si>
  <si>
    <t>Z344708</t>
  </si>
  <si>
    <t>https://www.zillow.com/homedetails/83387765_zpid/</t>
  </si>
  <si>
    <t>$1,055,664</t>
  </si>
  <si>
    <t>5613 Pine Rd, San Francisco, CA 90885</t>
  </si>
  <si>
    <t>Z574768</t>
  </si>
  <si>
    <t>https://www.zillow.com/homedetails/24152838_zpid/</t>
  </si>
  <si>
    <t>$1,228,378</t>
  </si>
  <si>
    <t>9472 Oak Ave, Sacramento, CA 74884</t>
  </si>
  <si>
    <t>Z139942</t>
  </si>
  <si>
    <t>https://www.zillow.com/homedetails/38902708_zpid/</t>
  </si>
  <si>
    <t>$269,487</t>
  </si>
  <si>
    <t>3708 Oak Ave, Fresno, FL 50573</t>
  </si>
  <si>
    <t>Z999685</t>
  </si>
  <si>
    <t>https://www.zillow.com/homedetails/13899684_zpid/</t>
  </si>
  <si>
    <t>$1,080,304</t>
  </si>
  <si>
    <t>9394 Oak Ave, Fresno, IL 83560</t>
  </si>
  <si>
    <t>Z725419</t>
  </si>
  <si>
    <t>https://www.zillow.com/homedetails/46780354_zpid/</t>
  </si>
  <si>
    <t>$526,134</t>
  </si>
  <si>
    <t>889 Oak Ave, Fresno, IL 14760</t>
  </si>
  <si>
    <t>Z198017</t>
  </si>
  <si>
    <t>https://www.zillow.com/homedetails/13059782_zpid/</t>
  </si>
  <si>
    <t>$874,245</t>
  </si>
  <si>
    <t>4447 Maple Dr, Sacramento, CA 48361</t>
  </si>
  <si>
    <t>Z133645</t>
  </si>
  <si>
    <t>https://www.zillow.com/homedetails/54329571_zpid/</t>
  </si>
  <si>
    <t>$1,417,766</t>
  </si>
  <si>
    <t>5433 Pine Rd, San Francisco, TX 91508</t>
  </si>
  <si>
    <t>Z448434</t>
  </si>
  <si>
    <t>https://www.zillow.com/homedetails/40898407_zpid/</t>
  </si>
  <si>
    <t>$1,460,654</t>
  </si>
  <si>
    <t>8259 Maple Dr, Los Angeles, CA 86267</t>
  </si>
  <si>
    <t>Z915313</t>
  </si>
  <si>
    <t>https://www.zillow.com/homedetails/92112701_zpid/</t>
  </si>
  <si>
    <t>$1,455,417</t>
  </si>
  <si>
    <t>3893 Pine Rd, San Diego, FL 68218</t>
  </si>
  <si>
    <t>Z312051</t>
  </si>
  <si>
    <t>https://www.zillow.com/homedetails/96152925_zpid/</t>
  </si>
  <si>
    <t>$1,253,458</t>
  </si>
  <si>
    <t>6925 Oak Ave, San Diego, TX 89720</t>
  </si>
  <si>
    <t>Z665850</t>
  </si>
  <si>
    <t>https://www.zillow.com/homedetails/16548649_zpid/</t>
  </si>
  <si>
    <t>$484,967</t>
  </si>
  <si>
    <t>6987 Maple Dr, Sacramento, FL 29123</t>
  </si>
  <si>
    <t>Z419502</t>
  </si>
  <si>
    <t>https://www.zillow.com/homedetails/16337710_zpid/</t>
  </si>
  <si>
    <t>$1,257,749</t>
  </si>
  <si>
    <t>1895 Main St, Fresno, IL 64765</t>
  </si>
  <si>
    <t>Z837372</t>
  </si>
  <si>
    <t>https://www.zillow.com/homedetails/24890645_zpid/</t>
  </si>
  <si>
    <t>$387,069</t>
  </si>
  <si>
    <t>1112 Elm St, Fresno, FL 97242</t>
  </si>
  <si>
    <t>Z911853</t>
  </si>
  <si>
    <t>https://www.zillow.com/homedetails/22085644_zpid/</t>
  </si>
  <si>
    <t>$688,763</t>
  </si>
  <si>
    <t>5453 Main St, San Diego, IL 92096</t>
  </si>
  <si>
    <t>Z218178</t>
  </si>
  <si>
    <t>https://www.zillow.com/homedetails/27291716_zpid/</t>
  </si>
  <si>
    <t>$848,451</t>
  </si>
  <si>
    <t>9667 Pine Rd, San Diego, CA 79289</t>
  </si>
  <si>
    <t>Z748389</t>
  </si>
  <si>
    <t>https://www.zillow.com/homedetails/25764648_zpid/</t>
  </si>
  <si>
    <t>$437,080</t>
  </si>
  <si>
    <t>1357 Maple Dr, Los Angeles, NY 28489</t>
  </si>
  <si>
    <t>Z125281</t>
  </si>
  <si>
    <t>https://www.zillow.com/homedetails/42868913_zpid/</t>
  </si>
  <si>
    <t>$1,227,751</t>
  </si>
  <si>
    <t>5507 Main St, San Francisco, NY 73849</t>
  </si>
  <si>
    <t>Z891211</t>
  </si>
  <si>
    <t>https://www.zillow.com/homedetails/49272530_zpid/</t>
  </si>
  <si>
    <t>$533,645</t>
  </si>
  <si>
    <t>3725 Elm St, San Francisco, NY 95184</t>
  </si>
  <si>
    <t>Z330812</t>
  </si>
  <si>
    <t>https://www.zillow.com/homedetails/71050907_zpid/</t>
  </si>
  <si>
    <t>$790,073</t>
  </si>
  <si>
    <t>5231 Main St, San Diego, TX 35467</t>
  </si>
  <si>
    <t>Z999145</t>
  </si>
  <si>
    <t>https://www.zillow.com/homedetails/51675032_zpid/</t>
  </si>
  <si>
    <t>$1,283,155</t>
  </si>
  <si>
    <t>771 Oak Ave, Los Angeles, FL 35889</t>
  </si>
  <si>
    <t>Z628682</t>
  </si>
  <si>
    <t>https://www.zillow.com/homedetails/80935116_zpid/</t>
  </si>
  <si>
    <t>$971,258</t>
  </si>
  <si>
    <t>8194 Maple Dr, Fresno, TX 34761</t>
  </si>
  <si>
    <t>Z727018</t>
  </si>
  <si>
    <t>https://www.zillow.com/homedetails/55364361_zpid/</t>
  </si>
  <si>
    <t>$923,083</t>
  </si>
  <si>
    <t>182 Elm St, San Francisco, NY 83659</t>
  </si>
  <si>
    <t>Z718772</t>
  </si>
  <si>
    <t>https://www.zillow.com/homedetails/83428880_zpid/</t>
  </si>
  <si>
    <t>$151,810</t>
  </si>
  <si>
    <t>4486 Elm St, San Diego, IL 91142</t>
  </si>
  <si>
    <t>Z255644</t>
  </si>
  <si>
    <t>https://www.zillow.com/homedetails/21930927_zpid/</t>
  </si>
  <si>
    <t>$318,897</t>
  </si>
  <si>
    <t>9914 Main St, Sacramento, TX 20887</t>
  </si>
  <si>
    <t>Z350634</t>
  </si>
  <si>
    <t>https://www.zillow.com/homedetails/58757029_zpid/</t>
  </si>
  <si>
    <t>$563,082</t>
  </si>
  <si>
    <t>3003 Elm St, San Diego, IL 29137</t>
  </si>
  <si>
    <t>Z317717</t>
  </si>
  <si>
    <t>https://www.zillow.com/homedetails/74199579_zpid/</t>
  </si>
  <si>
    <t>$1,481,779</t>
  </si>
  <si>
    <t>8012 Pine Rd, Sacramento, NY 20598</t>
  </si>
  <si>
    <t>Z793604</t>
  </si>
  <si>
    <t>https://www.zillow.com/homedetails/75925613_zpid/</t>
  </si>
  <si>
    <t>$1,116,179</t>
  </si>
  <si>
    <t>2615 Pine Rd, Sacramento, IL 34382</t>
  </si>
  <si>
    <t>Z990219</t>
  </si>
  <si>
    <t>https://www.zillow.com/homedetails/42613447_zpid/</t>
  </si>
  <si>
    <t>$1,469,707</t>
  </si>
  <si>
    <t>7437 Maple Dr, Fresno, NY 44244</t>
  </si>
  <si>
    <t>Z567760</t>
  </si>
  <si>
    <t>https://www.zillow.com/homedetails/96833934_zpid/</t>
  </si>
  <si>
    <t>$798,012</t>
  </si>
  <si>
    <t>5215 Oak Ave, Fresno, CA 14788</t>
  </si>
  <si>
    <t>Z387681</t>
  </si>
  <si>
    <t>https://www.zillow.com/homedetails/35799136_zpid/</t>
  </si>
  <si>
    <t>$244,695</t>
  </si>
  <si>
    <t>8842 Pine Rd, Fresno, TX 72173</t>
  </si>
  <si>
    <t>Z468526</t>
  </si>
  <si>
    <t>https://www.zillow.com/homedetails/53925546_zpid/</t>
  </si>
  <si>
    <t>$344,950</t>
  </si>
  <si>
    <t>4083 Elm St, Los Angeles, FL 56574</t>
  </si>
  <si>
    <t>Z978340</t>
  </si>
  <si>
    <t>https://www.zillow.com/homedetails/17188346_zpid/</t>
  </si>
  <si>
    <t>$433,189</t>
  </si>
  <si>
    <t>275 Pine Rd, San Francisco, TX 88715</t>
  </si>
  <si>
    <t>Z638021</t>
  </si>
  <si>
    <t>https://www.zillow.com/homedetails/28292167_zpid/</t>
  </si>
  <si>
    <t>$942,804</t>
  </si>
  <si>
    <t>4169 Oak Ave, Fresno, FL 52199</t>
  </si>
  <si>
    <t>Z897511</t>
  </si>
  <si>
    <t>https://www.zillow.com/homedetails/74297654_zpid/</t>
  </si>
  <si>
    <t>$795,699</t>
  </si>
  <si>
    <t>9410 Oak Ave, Los Angeles, TX 35944</t>
  </si>
  <si>
    <t>Z119620</t>
  </si>
  <si>
    <t>https://www.zillow.com/homedetails/11540860_zpid/</t>
  </si>
  <si>
    <t>$530,184</t>
  </si>
  <si>
    <t>2943 Elm St, San Diego, NY 55913</t>
  </si>
  <si>
    <t>Z807204</t>
  </si>
  <si>
    <t>https://www.zillow.com/homedetails/13882247_zpid/</t>
  </si>
  <si>
    <t>$1,449,697</t>
  </si>
  <si>
    <t>2230 Elm St, Fresno, CA 14363</t>
  </si>
  <si>
    <t>Z350745</t>
  </si>
  <si>
    <t>https://www.zillow.com/homedetails/44060636_zpid/</t>
  </si>
  <si>
    <t>$496,223</t>
  </si>
  <si>
    <t>172 Main St, San Francisco, FL 88144</t>
  </si>
  <si>
    <t>Z871329</t>
  </si>
  <si>
    <t>https://www.zillow.com/homedetails/28513320_zpid/</t>
  </si>
  <si>
    <t>$142,832</t>
  </si>
  <si>
    <t>789 Pine Rd, Sacramento, FL 14393</t>
  </si>
  <si>
    <t>Z465326</t>
  </si>
  <si>
    <t>https://www.zillow.com/homedetails/38099561_zpid/</t>
  </si>
  <si>
    <t>$526,359</t>
  </si>
  <si>
    <t>2939 Maple Dr, San Francisco, NY 29858</t>
  </si>
  <si>
    <t>Z408213</t>
  </si>
  <si>
    <t>https://www.zillow.com/homedetails/60428901_zpid/</t>
  </si>
  <si>
    <t>$176,255</t>
  </si>
  <si>
    <t>540 Pine Rd, Sacramento, FL 44381</t>
  </si>
  <si>
    <t>Z261171</t>
  </si>
  <si>
    <t>https://www.zillow.com/homedetails/87275357_zpid/</t>
  </si>
  <si>
    <t>$906,658</t>
  </si>
  <si>
    <t>1863 Elm St, San Diego, CA 60005</t>
  </si>
  <si>
    <t>Z262758</t>
  </si>
  <si>
    <t>https://www.zillow.com/homedetails/16146059_zpid/</t>
  </si>
  <si>
    <t>$390,894</t>
  </si>
  <si>
    <t>424 Main St, San Francisco, FL 31365</t>
  </si>
  <si>
    <t>Z521520</t>
  </si>
  <si>
    <t>https://www.zillow.com/homedetails/76978458_zpid/</t>
  </si>
  <si>
    <t>$676,318</t>
  </si>
  <si>
    <t>1970 Maple Dr, Sacramento, NY 92999</t>
  </si>
  <si>
    <t>Z839154</t>
  </si>
  <si>
    <t>https://www.zillow.com/homedetails/72222258_zpid/</t>
  </si>
  <si>
    <t>$423,257</t>
  </si>
  <si>
    <t>5542 Elm St, San Francisco, FL 46034</t>
  </si>
  <si>
    <t>Z309084</t>
  </si>
  <si>
    <t>https://www.zillow.com/homedetails/40273291_zpid/</t>
  </si>
  <si>
    <t>$1,026,238</t>
  </si>
  <si>
    <t>3897 Pine Rd, San Diego, IL 18529</t>
  </si>
  <si>
    <t>Z220229</t>
  </si>
  <si>
    <t>https://www.zillow.com/homedetails/38264524_zpid/</t>
  </si>
  <si>
    <t>$1,289,517</t>
  </si>
  <si>
    <t>6678 Maple Dr, San Diego, NY 44148</t>
  </si>
  <si>
    <t>Z923511</t>
  </si>
  <si>
    <t>https://www.zillow.com/homedetails/86302634_zpid/</t>
  </si>
  <si>
    <t>$803,057</t>
  </si>
  <si>
    <t>9573 Maple Dr, Los Angeles, FL 87490</t>
  </si>
  <si>
    <t>Z898987</t>
  </si>
  <si>
    <t>https://www.zillow.com/homedetails/80235838_zpid/</t>
  </si>
  <si>
    <t>$785,531</t>
  </si>
  <si>
    <t>2534 Main St, Los Angeles, TX 30384</t>
  </si>
  <si>
    <t>Z946875</t>
  </si>
  <si>
    <t>https://www.zillow.com/homedetails/97580225_zpid/</t>
  </si>
  <si>
    <t>$320,312</t>
  </si>
  <si>
    <t>4873 Maple Dr, Sacramento, FL 49761</t>
  </si>
  <si>
    <t>Z689745</t>
  </si>
  <si>
    <t>https://www.zillow.com/homedetails/43592497_zpid/</t>
  </si>
  <si>
    <t>$417,279</t>
  </si>
  <si>
    <t>4582 Elm St, Sacramento, CA 91575</t>
  </si>
  <si>
    <t>Z507102</t>
  </si>
  <si>
    <t>https://www.zillow.com/homedetails/29774671_zpid/</t>
  </si>
  <si>
    <t>$473,195</t>
  </si>
  <si>
    <t>2259 Pine Rd, San Francisco, FL 20811</t>
  </si>
  <si>
    <t>Z499319</t>
  </si>
  <si>
    <t>https://www.zillow.com/homedetails/43051846_zpid/</t>
  </si>
  <si>
    <t>$810,765</t>
  </si>
  <si>
    <t>9964 Main St, Fresno, FL 32293</t>
  </si>
  <si>
    <t>Z627171</t>
  </si>
  <si>
    <t>https://www.zillow.com/homedetails/19340537_zpid/</t>
  </si>
  <si>
    <t>$947,510</t>
  </si>
  <si>
    <t>8381 Main St, Fresno, TX 90863</t>
  </si>
  <si>
    <t>Z980020</t>
  </si>
  <si>
    <t>https://www.zillow.com/homedetails/29013943_zpid/</t>
  </si>
  <si>
    <t>$872,311</t>
  </si>
  <si>
    <t>6881 Pine Rd, Sacramento, TX 57079</t>
  </si>
  <si>
    <t>Z299877</t>
  </si>
  <si>
    <t>https://www.zillow.com/homedetails/98263750_zpid/</t>
  </si>
  <si>
    <t>$1,123,484</t>
  </si>
  <si>
    <t>7752 Pine Rd, San Diego, NY 81853</t>
  </si>
  <si>
    <t>Z116211</t>
  </si>
  <si>
    <t>https://www.zillow.com/homedetails/34453209_zpid/</t>
  </si>
  <si>
    <t>$908,029</t>
  </si>
  <si>
    <t>3596 Oak Ave, Los Angeles, IL 24663</t>
  </si>
  <si>
    <t>Z657205</t>
  </si>
  <si>
    <t>https://www.zillow.com/homedetails/67149887_zpid/</t>
  </si>
  <si>
    <t>$858,758</t>
  </si>
  <si>
    <t>3069 Elm St, Los Angeles, CA 88380</t>
  </si>
  <si>
    <t>Z863860</t>
  </si>
  <si>
    <t>https://www.zillow.com/homedetails/14132718_zpid/</t>
  </si>
  <si>
    <t>$130,430</t>
  </si>
  <si>
    <t>9523 Main St, San Francisco, CA 98355</t>
  </si>
  <si>
    <t>Z995192</t>
  </si>
  <si>
    <t>https://www.zillow.com/homedetails/38576488_zpid/</t>
  </si>
  <si>
    <t>$1,152,868</t>
  </si>
  <si>
    <t>9535 Maple Dr, Sacramento, CA 65167</t>
  </si>
  <si>
    <t>Z727986</t>
  </si>
  <si>
    <t>https://www.zillow.com/homedetails/50384488_zpid/</t>
  </si>
  <si>
    <t>$951,210</t>
  </si>
  <si>
    <t>4076 Elm St, Los Angeles, NY 38616</t>
  </si>
  <si>
    <t>Z502044</t>
  </si>
  <si>
    <t>https://www.zillow.com/homedetails/35496582_zpid/</t>
  </si>
  <si>
    <t>$799,710</t>
  </si>
  <si>
    <t>2410 Oak Ave, San Diego, TX 74545</t>
  </si>
  <si>
    <t>Z277998</t>
  </si>
  <si>
    <t>https://www.zillow.com/homedetails/40592719_zpid/</t>
  </si>
  <si>
    <t>$1,197,720</t>
  </si>
  <si>
    <t>4048 Maple Dr, Fresno, FL 51510</t>
  </si>
  <si>
    <t>Z841673</t>
  </si>
  <si>
    <t>https://www.zillow.com/homedetails/76610493_zpid/</t>
  </si>
  <si>
    <t>$1,181,226</t>
  </si>
  <si>
    <t>1410 Elm St, San Francisco, CA 13718</t>
  </si>
  <si>
    <t>Z222379</t>
  </si>
  <si>
    <t>https://www.zillow.com/homedetails/16373978_zpid/</t>
  </si>
  <si>
    <t>$1,141,219</t>
  </si>
  <si>
    <t>3968 Main St, Sacramento, NY 21680</t>
  </si>
  <si>
    <t>Z449013</t>
  </si>
  <si>
    <t>https://www.zillow.com/homedetails/69141890_zpid/</t>
  </si>
  <si>
    <t>$455,913</t>
  </si>
  <si>
    <t>5172 Elm St, Sacramento, IL 78010</t>
  </si>
  <si>
    <t>Z771953</t>
  </si>
  <si>
    <t>https://www.zillow.com/homedetails/60889471_zpid/</t>
  </si>
  <si>
    <t>$683,573</t>
  </si>
  <si>
    <t>7496 Maple Dr, Fresno, TX 95683</t>
  </si>
  <si>
    <t>Z684878</t>
  </si>
  <si>
    <t>https://www.zillow.com/homedetails/56322849_zpid/</t>
  </si>
  <si>
    <t>$282,695</t>
  </si>
  <si>
    <t>1562 Elm St, San Diego, IL 97210</t>
  </si>
  <si>
    <t>Z951930</t>
  </si>
  <si>
    <t>https://www.zillow.com/homedetails/96767695_zpid/</t>
  </si>
  <si>
    <t>$551,665</t>
  </si>
  <si>
    <t>3625 Oak Ave, Fresno, TX 74963</t>
  </si>
  <si>
    <t>Z718750</t>
  </si>
  <si>
    <t>https://www.zillow.com/homedetails/15573320_zpid/</t>
  </si>
  <si>
    <t>$940,609</t>
  </si>
  <si>
    <t>1509 Elm St, Fresno, TX 32550</t>
  </si>
  <si>
    <t>Z169739</t>
  </si>
  <si>
    <t>https://www.zillow.com/homedetails/12272072_zpid/</t>
  </si>
  <si>
    <t>$1,359,155</t>
  </si>
  <si>
    <t>6842 Elm St, Fresno, TX 89787</t>
  </si>
  <si>
    <t>Z613703</t>
  </si>
  <si>
    <t>https://www.zillow.com/homedetails/81920825_zpid/</t>
  </si>
  <si>
    <t>$1,313,735</t>
  </si>
  <si>
    <t>1170 Elm St, San Francisco, FL 50174</t>
  </si>
  <si>
    <t>Z285624</t>
  </si>
  <si>
    <t>https://www.zillow.com/homedetails/21631919_zpid/</t>
  </si>
  <si>
    <t>$1,033,041</t>
  </si>
  <si>
    <t>6557 Pine Rd, Fresno, CA 63203</t>
  </si>
  <si>
    <t>Z210140</t>
  </si>
  <si>
    <t>https://www.zillow.com/homedetails/32669865_zpid/</t>
  </si>
  <si>
    <t>$1,419,240</t>
  </si>
  <si>
    <t>3124 Elm St, Fresno, TX 57526</t>
  </si>
  <si>
    <t>Z118601</t>
  </si>
  <si>
    <t>https://www.zillow.com/homedetails/91418464_zpid/</t>
  </si>
  <si>
    <t>$957,223</t>
  </si>
  <si>
    <t>1363 Main St, Fresno, IL 75019</t>
  </si>
  <si>
    <t>Z249287</t>
  </si>
  <si>
    <t>https://www.zillow.com/homedetails/35960181_zpid/</t>
  </si>
  <si>
    <t>$1,120,934</t>
  </si>
  <si>
    <t>9847 Maple Dr, Fresno, FL 97237</t>
  </si>
  <si>
    <t>Z886506</t>
  </si>
  <si>
    <t>https://www.zillow.com/homedetails/83941618_zpid/</t>
  </si>
  <si>
    <t>$680,198</t>
  </si>
  <si>
    <t>2147 Maple Dr, San Diego, CA 29109</t>
  </si>
  <si>
    <t>Z674909</t>
  </si>
  <si>
    <t>https://www.zillow.com/homedetails/29883129_zpid/</t>
  </si>
  <si>
    <t>$379,538</t>
  </si>
  <si>
    <t>8764 Maple Dr, San Francisco, NY 22219</t>
  </si>
  <si>
    <t>Z274071</t>
  </si>
  <si>
    <t>https://www.zillow.com/homedetails/24065602_zpid/</t>
  </si>
  <si>
    <t>$761,390</t>
  </si>
  <si>
    <t>867 Pine Rd, Fresno, NY 63752</t>
  </si>
  <si>
    <t>Z754449</t>
  </si>
  <si>
    <t>https://www.zillow.com/homedetails/35966883_zpid/</t>
  </si>
  <si>
    <t>$469,414</t>
  </si>
  <si>
    <t>1961 Maple Dr, San Francisco, NY 99931</t>
  </si>
  <si>
    <t>Z712450</t>
  </si>
  <si>
    <t>https://www.zillow.com/homedetails/88094005_zpid/</t>
  </si>
  <si>
    <t>$853,353</t>
  </si>
  <si>
    <t>1479 Maple Dr, San Francisco, TX 88211</t>
  </si>
  <si>
    <t>Z114552</t>
  </si>
  <si>
    <t>https://www.zillow.com/homedetails/17797896_zpid/</t>
  </si>
  <si>
    <t>$1,276,290</t>
  </si>
  <si>
    <t>328 Oak Ave, Los Angeles, FL 70285</t>
  </si>
  <si>
    <t>Z462875</t>
  </si>
  <si>
    <t>https://www.zillow.com/homedetails/16682919_zpid/</t>
  </si>
  <si>
    <t>$395,657</t>
  </si>
  <si>
    <t>6100 Main St, Sacramento, CA 49161</t>
  </si>
  <si>
    <t>Z112753</t>
  </si>
  <si>
    <t>https://www.zillow.com/homedetails/91866517_zpid/</t>
  </si>
  <si>
    <t>$867,570</t>
  </si>
  <si>
    <t>2549 Maple Dr, Fresno, TX 99270</t>
  </si>
  <si>
    <t>Z850483</t>
  </si>
  <si>
    <t>https://www.zillow.com/homedetails/46163368_zpid/</t>
  </si>
  <si>
    <t>$1,312,306</t>
  </si>
  <si>
    <t>6943 Pine Rd, San Diego, FL 17110</t>
  </si>
  <si>
    <t>Z309949</t>
  </si>
  <si>
    <t>https://www.zillow.com/homedetails/47847201_zpid/</t>
  </si>
  <si>
    <t>$772,408</t>
  </si>
  <si>
    <t>3246 Oak Ave, Los Angeles, NY 52450</t>
  </si>
  <si>
    <t>Z278609</t>
  </si>
  <si>
    <t>https://www.zillow.com/homedetails/53326612_zpid/</t>
  </si>
  <si>
    <t>$221,390</t>
  </si>
  <si>
    <t>2291 Pine Rd, Sacramento, NY 90015</t>
  </si>
  <si>
    <t>Z431277</t>
  </si>
  <si>
    <t>https://www.zillow.com/homedetails/75084650_zpid/</t>
  </si>
  <si>
    <t>$380,336</t>
  </si>
  <si>
    <t>7497 Oak Ave, Los Angeles, FL 77649</t>
  </si>
  <si>
    <t>Z207431</t>
  </si>
  <si>
    <t>https://www.zillow.com/homedetails/87294514_zpid/</t>
  </si>
  <si>
    <t>$686,236</t>
  </si>
  <si>
    <t>2204 Pine Rd, San Diego, NY 47469</t>
  </si>
  <si>
    <t>Z650473</t>
  </si>
  <si>
    <t>https://www.zillow.com/homedetails/84237792_zpid/</t>
  </si>
  <si>
    <t>$842,483</t>
  </si>
  <si>
    <t>7296 Maple Dr, San Francisco, IL 38263</t>
  </si>
  <si>
    <t>Z944541</t>
  </si>
  <si>
    <t>https://www.zillow.com/homedetails/60509729_zpid/</t>
  </si>
  <si>
    <t>$176,130</t>
  </si>
  <si>
    <t>4765 Oak Ave, San Francisco, TX 99845</t>
  </si>
  <si>
    <t>Z153912</t>
  </si>
  <si>
    <t>https://www.zillow.com/homedetails/16774928_zpid/</t>
  </si>
  <si>
    <t>$1,001,401</t>
  </si>
  <si>
    <t>4693 Pine Rd, San Francisco, TX 42599</t>
  </si>
  <si>
    <t>Z824490</t>
  </si>
  <si>
    <t>https://www.zillow.com/homedetails/82115235_zpid/</t>
  </si>
  <si>
    <t>$765,739</t>
  </si>
  <si>
    <t>3919 Main St, Sacramento, CA 90056</t>
  </si>
  <si>
    <t>Z521404</t>
  </si>
  <si>
    <t>https://www.zillow.com/homedetails/19576157_zpid/</t>
  </si>
  <si>
    <t>$562,297</t>
  </si>
  <si>
    <t>6261 Maple Dr, Fresno, TX 38332</t>
  </si>
  <si>
    <t>Z506086</t>
  </si>
  <si>
    <t>https://www.zillow.com/homedetails/48780583_zpid/</t>
  </si>
  <si>
    <t>$173,054</t>
  </si>
  <si>
    <t>4745 Elm St, San Diego, FL 21488</t>
  </si>
  <si>
    <t>Z131536</t>
  </si>
  <si>
    <t>https://www.zillow.com/homedetails/31883861_zpid/</t>
  </si>
  <si>
    <t>$836,369</t>
  </si>
  <si>
    <t>7157 Elm St, San Francisco, FL 47349</t>
  </si>
  <si>
    <t>Z491034</t>
  </si>
  <si>
    <t>https://www.zillow.com/homedetails/14702625_zpid/</t>
  </si>
  <si>
    <t>$1,214,653</t>
  </si>
  <si>
    <t>8494 Pine Rd, Los Angeles, IL 73115</t>
  </si>
  <si>
    <t>Z248231</t>
  </si>
  <si>
    <t>https://www.zillow.com/homedetails/35519264_zpid/</t>
  </si>
  <si>
    <t>$1,142,398</t>
  </si>
  <si>
    <t>3286 Elm St, Fresno, FL 74946</t>
  </si>
  <si>
    <t>Z154932</t>
  </si>
  <si>
    <t>https://www.zillow.com/homedetails/88252402_zpid/</t>
  </si>
  <si>
    <t>$1,287,048</t>
  </si>
  <si>
    <t>7828 Elm St, San Diego, FL 62025</t>
  </si>
  <si>
    <t>Z293685</t>
  </si>
  <si>
    <t>https://www.zillow.com/homedetails/77126824_zpid/</t>
  </si>
  <si>
    <t>$1,140,261</t>
  </si>
  <si>
    <t>8680 Pine Rd, San Diego, IL 25704</t>
  </si>
  <si>
    <t>Z737039</t>
  </si>
  <si>
    <t>https://www.zillow.com/homedetails/95727874_zpid/</t>
  </si>
  <si>
    <t>$166,017</t>
  </si>
  <si>
    <t>6374 Pine Rd, San Francisco, TX 88279</t>
  </si>
  <si>
    <t>Z791719</t>
  </si>
  <si>
    <t>https://www.zillow.com/homedetails/68981134_zpid/</t>
  </si>
  <si>
    <t>$1,175,358</t>
  </si>
  <si>
    <t>6369 Pine Rd, Sacramento, TX 72578</t>
  </si>
  <si>
    <t>Z198280</t>
  </si>
  <si>
    <t>https://www.zillow.com/homedetails/15355460_zpid/</t>
  </si>
  <si>
    <t>$1,134,124</t>
  </si>
  <si>
    <t>7552 Maple Dr, San Diego, FL 71044</t>
  </si>
  <si>
    <t>Z630113</t>
  </si>
  <si>
    <t>https://www.zillow.com/homedetails/91832949_zpid/</t>
  </si>
  <si>
    <t>$983,337</t>
  </si>
  <si>
    <t>9213 Elm St, San Diego, IL 81110</t>
  </si>
  <si>
    <t>Z217826</t>
  </si>
  <si>
    <t>https://www.zillow.com/homedetails/16438827_zpid/</t>
  </si>
  <si>
    <t>$557,489</t>
  </si>
  <si>
    <t>3422 Pine Rd, San Francisco, IL 42781</t>
  </si>
  <si>
    <t>Z890773</t>
  </si>
  <si>
    <t>https://www.zillow.com/homedetails/83559575_zpid/</t>
  </si>
  <si>
    <t>$1,453,148</t>
  </si>
  <si>
    <t>2742 Main St, Sacramento, NY 82732</t>
  </si>
  <si>
    <t>Z258566</t>
  </si>
  <si>
    <t>https://www.zillow.com/homedetails/27454985_zpid/</t>
  </si>
  <si>
    <t>$556,554</t>
  </si>
  <si>
    <t>8740 Pine Rd, San Francisco, TX 56312</t>
  </si>
  <si>
    <t>Z149245</t>
  </si>
  <si>
    <t>https://www.zillow.com/homedetails/54875995_zpid/</t>
  </si>
  <si>
    <t>$1,273,603</t>
  </si>
  <si>
    <t>6440 Main St, Sacramento, FL 59720</t>
  </si>
  <si>
    <t>Z366304</t>
  </si>
  <si>
    <t>https://www.zillow.com/homedetails/56453469_zpid/</t>
  </si>
  <si>
    <t>$1,214,336</t>
  </si>
  <si>
    <t>759 Elm St, San Diego, TX 49598</t>
  </si>
  <si>
    <t>Z728967</t>
  </si>
  <si>
    <t>https://www.zillow.com/homedetails/14101188_zpid/</t>
  </si>
  <si>
    <t>$1,056,509</t>
  </si>
  <si>
    <t>8472 Elm St, Fresno, IL 50971</t>
  </si>
  <si>
    <t>Z631871</t>
  </si>
  <si>
    <t>https://www.zillow.com/homedetails/44239640_zpid/</t>
  </si>
  <si>
    <t>$854,669</t>
  </si>
  <si>
    <t>244 Pine Rd, Los Angeles, FL 80765</t>
  </si>
  <si>
    <t>Z544389</t>
  </si>
  <si>
    <t>https://www.zillow.com/homedetails/99698522_zpid/</t>
  </si>
  <si>
    <t>$698,107</t>
  </si>
  <si>
    <t>1354 Oak Ave, San Diego, NY 57171</t>
  </si>
  <si>
    <t>Z473897</t>
  </si>
  <si>
    <t>https://www.zillow.com/homedetails/45337479_zpid/</t>
  </si>
  <si>
    <t>$208,299</t>
  </si>
  <si>
    <t>6378 Main St, Sacramento, CA 49084</t>
  </si>
  <si>
    <t>Z852599</t>
  </si>
  <si>
    <t>https://www.zillow.com/homedetails/28145468_zpid/</t>
  </si>
  <si>
    <t>$802,037</t>
  </si>
  <si>
    <t>5238 Maple Dr, San Diego, TX 21055</t>
  </si>
  <si>
    <t>Z810009</t>
  </si>
  <si>
    <t>https://www.zillow.com/homedetails/22940062_zpid/</t>
  </si>
  <si>
    <t>$242,635</t>
  </si>
  <si>
    <t>657 Oak Ave, Los Angeles, TX 67428</t>
  </si>
  <si>
    <t>Z620746</t>
  </si>
  <si>
    <t>https://www.zillow.com/homedetails/37542169_zpid/</t>
  </si>
  <si>
    <t>$164,337</t>
  </si>
  <si>
    <t>3363 Oak Ave, San Francisco, IL 48114</t>
  </si>
  <si>
    <t>Z584131</t>
  </si>
  <si>
    <t>https://www.zillow.com/homedetails/93835412_zpid/</t>
  </si>
  <si>
    <t>$100,764</t>
  </si>
  <si>
    <t>6341 Pine Rd, San Diego, CA 63771</t>
  </si>
  <si>
    <t>Z581280</t>
  </si>
  <si>
    <t>https://www.zillow.com/homedetails/56462005_zpid/</t>
  </si>
  <si>
    <t>$756,933</t>
  </si>
  <si>
    <t>5806 Main St, Los Angeles, TX 38900</t>
  </si>
  <si>
    <t>Z934378</t>
  </si>
  <si>
    <t>https://www.zillow.com/homedetails/69025687_zpid/</t>
  </si>
  <si>
    <t>$209,720</t>
  </si>
  <si>
    <t>4887 Pine Rd, San Francisco, CA 25446</t>
  </si>
  <si>
    <t>Z837272</t>
  </si>
  <si>
    <t>https://www.zillow.com/homedetails/70237394_zpid/</t>
  </si>
  <si>
    <t>$246,361</t>
  </si>
  <si>
    <t>5046 Maple Dr, San Diego, NY 29956</t>
  </si>
  <si>
    <t>Z652600</t>
  </si>
  <si>
    <t>https://www.zillow.com/homedetails/77910002_zpid/</t>
  </si>
  <si>
    <t>$1,103,488</t>
  </si>
  <si>
    <t>7891 Main St, San Francisco, FL 49247</t>
  </si>
  <si>
    <t>Z461417</t>
  </si>
  <si>
    <t>https://www.zillow.com/homedetails/34047746_zpid/</t>
  </si>
  <si>
    <t>$276,902</t>
  </si>
  <si>
    <t>4928 Oak Ave, Sacramento, IL 95685</t>
  </si>
  <si>
    <t>Z762344</t>
  </si>
  <si>
    <t>https://www.zillow.com/homedetails/43464360_zpid/</t>
  </si>
  <si>
    <t>$777,133</t>
  </si>
  <si>
    <t>5925 Pine Rd, Los Angeles, FL 73692</t>
  </si>
  <si>
    <t>Z173338</t>
  </si>
  <si>
    <t>https://www.zillow.com/homedetails/65784125_zpid/</t>
  </si>
  <si>
    <t>$588,396</t>
  </si>
  <si>
    <t>2720 Maple Dr, San Diego, TX 46347</t>
  </si>
  <si>
    <t>Z890235</t>
  </si>
  <si>
    <t>https://www.zillow.com/homedetails/92933608_zpid/</t>
  </si>
  <si>
    <t>$1,390,353</t>
  </si>
  <si>
    <t>1075 Oak Ave, Fresno, IL 81291</t>
  </si>
  <si>
    <t>Z750668</t>
  </si>
  <si>
    <t>https://www.zillow.com/homedetails/82795777_zpid/</t>
  </si>
  <si>
    <t>$1,097,319</t>
  </si>
  <si>
    <t>8123 Main St, Sacramento, FL 48149</t>
  </si>
  <si>
    <t>Z294572</t>
  </si>
  <si>
    <t>https://www.zillow.com/homedetails/72938344_zpid/</t>
  </si>
  <si>
    <t>$1,060,026</t>
  </si>
  <si>
    <t>9049 Maple Dr, Fresno, CA 48618</t>
  </si>
  <si>
    <t>Z762412</t>
  </si>
  <si>
    <t>https://www.zillow.com/homedetails/24412792_zpid/</t>
  </si>
  <si>
    <t>$1,133,236</t>
  </si>
  <si>
    <t>6871 Elm St, Los Angeles, CA 51028</t>
  </si>
  <si>
    <t>Z676812</t>
  </si>
  <si>
    <t>https://www.zillow.com/homedetails/27362911_zpid/</t>
  </si>
  <si>
    <t>$912,802</t>
  </si>
  <si>
    <t>6495 Pine Rd, San Diego, FL 33055</t>
  </si>
  <si>
    <t>Z392755</t>
  </si>
  <si>
    <t>https://www.zillow.com/homedetails/55606682_zpid/</t>
  </si>
  <si>
    <t>$583,291</t>
  </si>
  <si>
    <t>6704 Maple Dr, San Francisco, FL 20542</t>
  </si>
  <si>
    <t>Z630892</t>
  </si>
  <si>
    <t>https://www.zillow.com/homedetails/45204679_zpid/</t>
  </si>
  <si>
    <t>$320,388</t>
  </si>
  <si>
    <t>2088 Maple Dr, Sacramento, NY 51883</t>
  </si>
  <si>
    <t>Z862179</t>
  </si>
  <si>
    <t>https://www.zillow.com/homedetails/31566857_zpid/</t>
  </si>
  <si>
    <t>$174,689</t>
  </si>
  <si>
    <t>3436 Pine Rd, Los Angeles, IL 69649</t>
  </si>
  <si>
    <t>Z698917</t>
  </si>
  <si>
    <t>https://www.zillow.com/homedetails/17607689_zpid/</t>
  </si>
  <si>
    <t>$211,758</t>
  </si>
  <si>
    <t>8972 Main St, Sacramento, NY 26310</t>
  </si>
  <si>
    <t>Z196614</t>
  </si>
  <si>
    <t>https://www.zillow.com/homedetails/76695978_zpid/</t>
  </si>
  <si>
    <t>$1,202,747</t>
  </si>
  <si>
    <t>9504 Elm St, San Diego, NY 87696</t>
  </si>
  <si>
    <t>Z706187</t>
  </si>
  <si>
    <t>https://www.zillow.com/homedetails/71410648_zpid/</t>
  </si>
  <si>
    <t>$706,435</t>
  </si>
  <si>
    <t>4488 Main St, Sacramento, NY 68739</t>
  </si>
  <si>
    <t>Z873504</t>
  </si>
  <si>
    <t>https://www.zillow.com/homedetails/13252023_zpid/</t>
  </si>
  <si>
    <t>$151,954</t>
  </si>
  <si>
    <t>1422 Main St, Sacramento, TX 19818</t>
  </si>
  <si>
    <t>Z877362</t>
  </si>
  <si>
    <t>https://www.zillow.com/homedetails/89198617_zpid/</t>
  </si>
  <si>
    <t>$1,250,763</t>
  </si>
  <si>
    <t>1535 Oak Ave, San Francisco, CA 14016</t>
  </si>
  <si>
    <t>Z678810</t>
  </si>
  <si>
    <t>https://www.zillow.com/homedetails/22931351_zpid/</t>
  </si>
  <si>
    <t>$985,809</t>
  </si>
  <si>
    <t>5686 Main St, San Diego, IL 57110</t>
  </si>
  <si>
    <t>Z402885</t>
  </si>
  <si>
    <t>https://www.zillow.com/homedetails/86300184_zpid/</t>
  </si>
  <si>
    <t>$780,930</t>
  </si>
  <si>
    <t>6716 Oak Ave, San Francisco, CA 67146</t>
  </si>
  <si>
    <t>Z941563</t>
  </si>
  <si>
    <t>https://www.zillow.com/homedetails/44056448_zpid/</t>
  </si>
  <si>
    <t>$1,395,740</t>
  </si>
  <si>
    <t>4878 Main St, San Diego, CA 37975</t>
  </si>
  <si>
    <t>Z249824</t>
  </si>
  <si>
    <t>https://www.zillow.com/homedetails/87577840_zpid/</t>
  </si>
  <si>
    <t>$942,683</t>
  </si>
  <si>
    <t>5978 Main St, Fresno, CA 18290</t>
  </si>
  <si>
    <t>Z797153</t>
  </si>
  <si>
    <t>https://www.zillow.com/homedetails/47551800_zpid/</t>
  </si>
  <si>
    <t>$130,879</t>
  </si>
  <si>
    <t>5557 Main St, Los Angeles, FL 16548</t>
  </si>
  <si>
    <t>Z607096</t>
  </si>
  <si>
    <t>https://www.zillow.com/homedetails/70197352_zpid/</t>
  </si>
  <si>
    <t>$586,629</t>
  </si>
  <si>
    <t>6941 Pine Rd, Los Angeles, CA 30666</t>
  </si>
  <si>
    <t>Z299062</t>
  </si>
  <si>
    <t>https://www.zillow.com/homedetails/43510276_zpid/</t>
  </si>
  <si>
    <t>$848,988</t>
  </si>
  <si>
    <t>3708 Maple Dr, Sacramento, NY 58922</t>
  </si>
  <si>
    <t>Z878212</t>
  </si>
  <si>
    <t>https://www.zillow.com/homedetails/50239806_zpid/</t>
  </si>
  <si>
    <t>$1,092,098</t>
  </si>
  <si>
    <t>1618 Maple Dr, San Diego, NY 96253</t>
  </si>
  <si>
    <t>Z573582</t>
  </si>
  <si>
    <t>https://www.zillow.com/homedetails/53228626_zpid/</t>
  </si>
  <si>
    <t>$193,142</t>
  </si>
  <si>
    <t>3493 Elm St, San Francisco, FL 51463</t>
  </si>
  <si>
    <t>Z807460</t>
  </si>
  <si>
    <t>https://www.zillow.com/homedetails/90383608_zpid/</t>
  </si>
  <si>
    <t>$715,251</t>
  </si>
  <si>
    <t>6548 Main St, Sacramento, FL 84864</t>
  </si>
  <si>
    <t>Z497292</t>
  </si>
  <si>
    <t>https://www.zillow.com/homedetails/56642594_zpid/</t>
  </si>
  <si>
    <t>$1,070,802</t>
  </si>
  <si>
    <t>7557 Oak Ave, San Francisco, NY 57762</t>
  </si>
  <si>
    <t>Z515517</t>
  </si>
  <si>
    <t>https://www.zillow.com/homedetails/59811729_zpid/</t>
  </si>
  <si>
    <t>$911,772</t>
  </si>
  <si>
    <t>9143 Main St, Sacramento, CA 72473</t>
  </si>
  <si>
    <t>Z818472</t>
  </si>
  <si>
    <t>https://www.zillow.com/homedetails/67861177_zpid/</t>
  </si>
  <si>
    <t>$1,095,500</t>
  </si>
  <si>
    <t>4054 Oak Ave, San Francisco, TX 95757</t>
  </si>
  <si>
    <t>Z564207</t>
  </si>
  <si>
    <t>https://www.zillow.com/homedetails/39015104_zpid/</t>
  </si>
  <si>
    <t>$868,293</t>
  </si>
  <si>
    <t>7538 Oak Ave, San Francisco, TX 33840</t>
  </si>
  <si>
    <t>Z500221</t>
  </si>
  <si>
    <t>https://www.zillow.com/homedetails/98247634_zpid/</t>
  </si>
  <si>
    <t>$535,024</t>
  </si>
  <si>
    <t>113 Main St, Fresno, FL 41971</t>
  </si>
  <si>
    <t>Z881616</t>
  </si>
  <si>
    <t>https://www.zillow.com/homedetails/47871757_zpid/</t>
  </si>
  <si>
    <t>$906,684</t>
  </si>
  <si>
    <t>9958 Elm St, San Diego, TX 56900</t>
  </si>
  <si>
    <t>Z517925</t>
  </si>
  <si>
    <t>https://www.zillow.com/homedetails/71194596_zpid/</t>
  </si>
  <si>
    <t>$811,801</t>
  </si>
  <si>
    <t>4888 Maple Dr, San Francisco, CA 24929</t>
  </si>
  <si>
    <t>Z662901</t>
  </si>
  <si>
    <t>https://www.zillow.com/homedetails/40572966_zpid/</t>
  </si>
  <si>
    <t>$422,369</t>
  </si>
  <si>
    <t>8562 Pine Rd, Fresno, NY 89639</t>
  </si>
  <si>
    <t>Z160219</t>
  </si>
  <si>
    <t>https://www.zillow.com/homedetails/46852723_zpid/</t>
  </si>
  <si>
    <t>$980,757</t>
  </si>
  <si>
    <t>969 Oak Ave, San Francisco, TX 38448</t>
  </si>
  <si>
    <t>Z870127</t>
  </si>
  <si>
    <t>https://www.zillow.com/homedetails/76919224_zpid/</t>
  </si>
  <si>
    <t>$327,249</t>
  </si>
  <si>
    <t>8570 Maple Dr, San Diego, CA 62075</t>
  </si>
  <si>
    <t>Z683816</t>
  </si>
  <si>
    <t>https://www.zillow.com/homedetails/89009103_zpid/</t>
  </si>
  <si>
    <t>$941,729</t>
  </si>
  <si>
    <t>4237 Oak Ave, Los Angeles, CA 29846</t>
  </si>
  <si>
    <t>Z958806</t>
  </si>
  <si>
    <t>https://www.zillow.com/homedetails/96534480_zpid/</t>
  </si>
  <si>
    <t>$1,333,634</t>
  </si>
  <si>
    <t>7861 Elm St, San Francisco, NY 15184</t>
  </si>
  <si>
    <t>Z744769</t>
  </si>
  <si>
    <t>https://www.zillow.com/homedetails/83944589_zpid/</t>
  </si>
  <si>
    <t>$132,181</t>
  </si>
  <si>
    <t>7681 Main St, San Diego, FL 20551</t>
  </si>
  <si>
    <t>Z315900</t>
  </si>
  <si>
    <t>https://www.zillow.com/homedetails/84928145_zpid/</t>
  </si>
  <si>
    <t>$259,927</t>
  </si>
  <si>
    <t>5704 Pine Rd, Fresno, IL 97417</t>
  </si>
  <si>
    <t>Z727483</t>
  </si>
  <si>
    <t>https://www.zillow.com/homedetails/18175636_zpid/</t>
  </si>
  <si>
    <t>$761,820</t>
  </si>
  <si>
    <t>4940 Elm St, Fresno, NY 15369</t>
  </si>
  <si>
    <t>Z311397</t>
  </si>
  <si>
    <t>https://www.zillow.com/homedetails/71682085_zpid/</t>
  </si>
  <si>
    <t>$1,333,651</t>
  </si>
  <si>
    <t>4556 Maple Dr, Los Angeles, NY 60214</t>
  </si>
  <si>
    <t>Z942395</t>
  </si>
  <si>
    <t>https://www.zillow.com/homedetails/99902119_zpid/</t>
  </si>
  <si>
    <t>$1,160,990</t>
  </si>
  <si>
    <t>6768 Maple Dr, Fresno, TX 32159</t>
  </si>
  <si>
    <t>Z335412</t>
  </si>
  <si>
    <t>https://www.zillow.com/homedetails/50816699_zpid/</t>
  </si>
  <si>
    <t>$1,415,873</t>
  </si>
  <si>
    <t>8090 Oak Ave, Sacramento, IL 99365</t>
  </si>
  <si>
    <t>Z307261</t>
  </si>
  <si>
    <t>https://www.zillow.com/homedetails/24794289_zpid/</t>
  </si>
  <si>
    <t>$730,201</t>
  </si>
  <si>
    <t>143 Maple Dr, Fresno, TX 98952</t>
  </si>
  <si>
    <t>Z835211</t>
  </si>
  <si>
    <t>https://www.zillow.com/homedetails/29494334_zpid/</t>
  </si>
  <si>
    <t>$940,838</t>
  </si>
  <si>
    <t>3343 Pine Rd, San Francisco, NY 53920</t>
  </si>
  <si>
    <t>Z476425</t>
  </si>
  <si>
    <t>https://www.zillow.com/homedetails/82128571_zpid/</t>
  </si>
  <si>
    <t>$792,689</t>
  </si>
  <si>
    <t>7941 Main St, Los Angeles, TX 76014</t>
  </si>
  <si>
    <t>Z516873</t>
  </si>
  <si>
    <t>https://www.zillow.com/homedetails/98679009_zpid/</t>
  </si>
  <si>
    <t>$285,698</t>
  </si>
  <si>
    <t>552 Maple Dr, Los Angeles, IL 45807</t>
  </si>
  <si>
    <t>Z904103</t>
  </si>
  <si>
    <t>https://www.zillow.com/homedetails/92260998_zpid/</t>
  </si>
  <si>
    <t>$361,783</t>
  </si>
  <si>
    <t>5331 Pine Rd, Los Angeles, CA 68651</t>
  </si>
  <si>
    <t>Z343009</t>
  </si>
  <si>
    <t>https://www.zillow.com/homedetails/57302435_zpid/</t>
  </si>
  <si>
    <t>$545,103</t>
  </si>
  <si>
    <t>6311 Elm St, San Francisco, TX 62739</t>
  </si>
  <si>
    <t>Z345371</t>
  </si>
  <si>
    <t>https://www.zillow.com/homedetails/69746912_zpid/</t>
  </si>
  <si>
    <t>$1,050,912</t>
  </si>
  <si>
    <t>8908 Main St, San Francisco, CA 27780</t>
  </si>
  <si>
    <t>Z407176</t>
  </si>
  <si>
    <t>https://www.zillow.com/homedetails/98864138_zpid/</t>
  </si>
  <si>
    <t>$1,315,813</t>
  </si>
  <si>
    <t>2826 Pine Rd, San Diego, IL 16773</t>
  </si>
  <si>
    <t>Z474534</t>
  </si>
  <si>
    <t>https://www.zillow.com/homedetails/57501139_zpid/</t>
  </si>
  <si>
    <t>$1,091,643</t>
  </si>
  <si>
    <t>8026 Elm St, San Diego, FL 75584</t>
  </si>
  <si>
    <t>Z440724</t>
  </si>
  <si>
    <t>https://www.zillow.com/homedetails/83817844_zpid/</t>
  </si>
  <si>
    <t>$301,429</t>
  </si>
  <si>
    <t>4407 Maple Dr, San Francisco, FL 58344</t>
  </si>
  <si>
    <t>Z564373</t>
  </si>
  <si>
    <t>https://www.zillow.com/homedetails/75457567_zpid/</t>
  </si>
  <si>
    <t>$105,850</t>
  </si>
  <si>
    <t>3369 Elm St, San Francisco, IL 41891</t>
  </si>
  <si>
    <t>Z795098</t>
  </si>
  <si>
    <t>https://www.zillow.com/homedetails/64536911_zpid/</t>
  </si>
  <si>
    <t>$1,152,184</t>
  </si>
  <si>
    <t>9623 Oak Ave, Sacramento, FL 59337</t>
  </si>
  <si>
    <t>Z649746</t>
  </si>
  <si>
    <t>https://www.zillow.com/homedetails/79194825_zpid/</t>
  </si>
  <si>
    <t>$387,863</t>
  </si>
  <si>
    <t>4087 Elm St, San Francisco, CA 52483</t>
  </si>
  <si>
    <t>Z405903</t>
  </si>
  <si>
    <t>https://www.zillow.com/homedetails/35496560_zpid/</t>
  </si>
  <si>
    <t>$713,451</t>
  </si>
  <si>
    <t>5410 Elm St, Los Angeles, NY 26644</t>
  </si>
  <si>
    <t>Z450721</t>
  </si>
  <si>
    <t>https://www.zillow.com/homedetails/34476157_zpid/</t>
  </si>
  <si>
    <t>$697,104</t>
  </si>
  <si>
    <t>4575 Main St, Sacramento, NY 89113</t>
  </si>
  <si>
    <t>Z194413</t>
  </si>
  <si>
    <t>https://www.zillow.com/homedetails/92885094_zpid/</t>
  </si>
  <si>
    <t>$107,584</t>
  </si>
  <si>
    <t>4674 Main St, Los Angeles, FL 68674</t>
  </si>
  <si>
    <t>Z298998</t>
  </si>
  <si>
    <t>https://www.zillow.com/homedetails/76059868_zpid/</t>
  </si>
  <si>
    <t>$539,489</t>
  </si>
  <si>
    <t>5766 Main St, San Francisco, NY 51861</t>
  </si>
  <si>
    <t>Z677120</t>
  </si>
  <si>
    <t>https://www.zillow.com/homedetails/55847540_zpid/</t>
  </si>
  <si>
    <t>$741,663</t>
  </si>
  <si>
    <t>9250 Pine Rd, Los Angeles, FL 67671</t>
  </si>
  <si>
    <t>Z242637</t>
  </si>
  <si>
    <t>https://www.zillow.com/homedetails/64567009_zpid/</t>
  </si>
  <si>
    <t>$558,631</t>
  </si>
  <si>
    <t>4333 Elm St, Sacramento, IL 38964</t>
  </si>
  <si>
    <t>Z354246</t>
  </si>
  <si>
    <t>https://www.zillow.com/homedetails/89369381_zpid/</t>
  </si>
  <si>
    <t>$1,382,669</t>
  </si>
  <si>
    <t>5501 Maple Dr, Fresno, CA 79516</t>
  </si>
  <si>
    <t>Z668038</t>
  </si>
  <si>
    <t>https://www.zillow.com/homedetails/65302468_zpid/</t>
  </si>
  <si>
    <t>$566,038</t>
  </si>
  <si>
    <t>3935 Main St, Sacramento, CA 71953</t>
  </si>
  <si>
    <t>Z807045</t>
  </si>
  <si>
    <t>https://www.zillow.com/homedetails/94339311_zpid/</t>
  </si>
  <si>
    <t>$1,026,003</t>
  </si>
  <si>
    <t>6240 Main St, San Francisco, NY 95520</t>
  </si>
  <si>
    <t>Z339574</t>
  </si>
  <si>
    <t>https://www.zillow.com/homedetails/25444818_zpid/</t>
  </si>
  <si>
    <t>$256,879</t>
  </si>
  <si>
    <t>6741 Maple Dr, Fresno, FL 25830</t>
  </si>
  <si>
    <t>Z563702</t>
  </si>
  <si>
    <t>https://www.zillow.com/homedetails/46609143_zpid/</t>
  </si>
  <si>
    <t>$1,101,864</t>
  </si>
  <si>
    <t>7303 Main St, San Diego, CA 40512</t>
  </si>
  <si>
    <t>Z581706</t>
  </si>
  <si>
    <t>https://www.zillow.com/homedetails/67099932_zpid/</t>
  </si>
  <si>
    <t>$450,730</t>
  </si>
  <si>
    <t>4316 Oak Ave, Los Angeles, FL 70874</t>
  </si>
  <si>
    <t>Z630250</t>
  </si>
  <si>
    <t>https://www.zillow.com/homedetails/78047934_zpid/</t>
  </si>
  <si>
    <t>$232,780</t>
  </si>
  <si>
    <t>8511 Oak Ave, Los Angeles, TX 58442</t>
  </si>
  <si>
    <t>Z789730</t>
  </si>
  <si>
    <t>https://www.zillow.com/homedetails/60539083_zpid/</t>
  </si>
  <si>
    <t>$816,152</t>
  </si>
  <si>
    <t>8505 Maple Dr, San Francisco, TX 59016</t>
  </si>
  <si>
    <t>Z760446</t>
  </si>
  <si>
    <t>https://www.zillow.com/homedetails/82749079_zpid/</t>
  </si>
  <si>
    <t>$1,003,420</t>
  </si>
  <si>
    <t>7186 Oak Ave, Fresno, IL 32190</t>
  </si>
  <si>
    <t>Z821668</t>
  </si>
  <si>
    <t>https://www.zillow.com/homedetails/47503336_zpid/</t>
  </si>
  <si>
    <t>$1,360,828</t>
  </si>
  <si>
    <t>9691 Main St, Sacramento, IL 43817</t>
  </si>
  <si>
    <t>Z803841</t>
  </si>
  <si>
    <t>https://www.zillow.com/homedetails/17870111_zpid/</t>
  </si>
  <si>
    <t>$937,063</t>
  </si>
  <si>
    <t>9366 Main St, San Francisco, CA 22221</t>
  </si>
  <si>
    <t>Z898293</t>
  </si>
  <si>
    <t>https://www.zillow.com/homedetails/16919587_zpid/</t>
  </si>
  <si>
    <t>$340,574</t>
  </si>
  <si>
    <t>9771 Pine Rd, Sacramento, TX 37285</t>
  </si>
  <si>
    <t>Z507638</t>
  </si>
  <si>
    <t>https://www.zillow.com/homedetails/86113778_zpid/</t>
  </si>
  <si>
    <t>$957,604</t>
  </si>
  <si>
    <t>193 Pine Rd, Fresno, NY 99255</t>
  </si>
  <si>
    <t>Z140684</t>
  </si>
  <si>
    <t>https://www.zillow.com/homedetails/89955065_zpid/</t>
  </si>
  <si>
    <t>$661,201</t>
  </si>
  <si>
    <t>8143 Maple Dr, Sacramento, CA 28441</t>
  </si>
  <si>
    <t>Z709741</t>
  </si>
  <si>
    <t>https://www.zillow.com/homedetails/98926369_zpid/</t>
  </si>
  <si>
    <t>$424,500</t>
  </si>
  <si>
    <t>5495 Elm St, San Francisco, IL 23068</t>
  </si>
  <si>
    <t>Z959421</t>
  </si>
  <si>
    <t>https://www.zillow.com/homedetails/64319580_zpid/</t>
  </si>
  <si>
    <t>$1,216,751</t>
  </si>
  <si>
    <t>2229 Oak Ave, Fresno, FL 67919</t>
  </si>
  <si>
    <t>Z414968</t>
  </si>
  <si>
    <t>https://www.zillow.com/homedetails/56149216_zpid/</t>
  </si>
  <si>
    <t>$503,097</t>
  </si>
  <si>
    <t>8864 Pine Rd, Sacramento, NY 65991</t>
  </si>
  <si>
    <t>Z645267</t>
  </si>
  <si>
    <t>https://www.zillow.com/homedetails/62248638_zpid/</t>
  </si>
  <si>
    <t>$1,147,486</t>
  </si>
  <si>
    <t>549 Maple Dr, Los Angeles, CA 14297</t>
  </si>
  <si>
    <t>Z566580</t>
  </si>
  <si>
    <t>https://www.zillow.com/homedetails/72187988_zpid/</t>
  </si>
  <si>
    <t>$325,165</t>
  </si>
  <si>
    <t>472 Elm St, San Francisco, IL 74800</t>
  </si>
  <si>
    <t>Z758880</t>
  </si>
  <si>
    <t>https://www.zillow.com/homedetails/21199927_zpid/</t>
  </si>
  <si>
    <t>$952,328</t>
  </si>
  <si>
    <t>6236 Main St, San Diego, CA 25023</t>
  </si>
  <si>
    <t>Z748055</t>
  </si>
  <si>
    <t>https://www.zillow.com/homedetails/53492405_zpid/</t>
  </si>
  <si>
    <t>$838,113</t>
  </si>
  <si>
    <t>2372 Main St, San Diego, NY 66128</t>
  </si>
  <si>
    <t>Z813976</t>
  </si>
  <si>
    <t>https://www.zillow.com/homedetails/48409717_zpid/</t>
  </si>
  <si>
    <t>$415,528</t>
  </si>
  <si>
    <t>6773 Main St, Sacramento, NY 50616</t>
  </si>
  <si>
    <t>Z742107</t>
  </si>
  <si>
    <t>https://www.zillow.com/homedetails/43018064_zpid/</t>
  </si>
  <si>
    <t>$643,087</t>
  </si>
  <si>
    <t>5989 Oak Ave, Fresno, FL 58387</t>
  </si>
  <si>
    <t>Z769155</t>
  </si>
  <si>
    <t>https://www.zillow.com/homedetails/70118208_zpid/</t>
  </si>
  <si>
    <t>$1,306,432</t>
  </si>
  <si>
    <t>4691 Elm St, Sacramento, FL 65559</t>
  </si>
  <si>
    <t>Z844417</t>
  </si>
  <si>
    <t>https://www.zillow.com/homedetails/45696796_zpid/</t>
  </si>
  <si>
    <t>$1,061,447</t>
  </si>
  <si>
    <t>8964 Maple Dr, Fresno, TX 59560</t>
  </si>
  <si>
    <t>Z223792</t>
  </si>
  <si>
    <t>https://www.zillow.com/homedetails/22747778_zpid/</t>
  </si>
  <si>
    <t>$745,730</t>
  </si>
  <si>
    <t>5121 Pine Rd, Fresno, TX 16001</t>
  </si>
  <si>
    <t>Z770564</t>
  </si>
  <si>
    <t>https://www.zillow.com/homedetails/61886110_zpid/</t>
  </si>
  <si>
    <t>$258,042</t>
  </si>
  <si>
    <t>1448 Main St, Los Angeles, FL 80681</t>
  </si>
  <si>
    <t>Z481390</t>
  </si>
  <si>
    <t>https://www.zillow.com/homedetails/20938705_zpid/</t>
  </si>
  <si>
    <t>$326,070</t>
  </si>
  <si>
    <t>1715 Maple Dr, San Diego, CA 69699</t>
  </si>
  <si>
    <t>Z768210</t>
  </si>
  <si>
    <t>https://www.zillow.com/homedetails/27885607_zpid/</t>
  </si>
  <si>
    <t>$1,203,382</t>
  </si>
  <si>
    <t>6027 Pine Rd, Sacramento, CA 88829</t>
  </si>
  <si>
    <t>Z856210</t>
  </si>
  <si>
    <t>https://www.zillow.com/homedetails/40722425_zpid/</t>
  </si>
  <si>
    <t>$1,415,195</t>
  </si>
  <si>
    <t>2603 Elm St, Fresno, IL 60647</t>
  </si>
  <si>
    <t>Z133371</t>
  </si>
  <si>
    <t>https://www.zillow.com/homedetails/70570344_zpid/</t>
  </si>
  <si>
    <t>$426,197</t>
  </si>
  <si>
    <t>1295 Main St, Sacramento, IL 67091</t>
  </si>
  <si>
    <t>Z533012</t>
  </si>
  <si>
    <t>https://www.zillow.com/homedetails/73620604_zpid/</t>
  </si>
  <si>
    <t>$1,364,756</t>
  </si>
  <si>
    <t>5021 Pine Rd, Fresno, NY 24152</t>
  </si>
  <si>
    <t>Z715796</t>
  </si>
  <si>
    <t>https://www.zillow.com/homedetails/61152801_zpid/</t>
  </si>
  <si>
    <t>$611,986</t>
  </si>
  <si>
    <t>7557 Oak Ave, San Francisco, FL 39241</t>
  </si>
  <si>
    <t>Z347481</t>
  </si>
  <si>
    <t>https://www.zillow.com/homedetails/41110336_zpid/</t>
  </si>
  <si>
    <t>$1,354,118</t>
  </si>
  <si>
    <t>5313 Main St, Sacramento, NY 19745</t>
  </si>
  <si>
    <t>Z107813</t>
  </si>
  <si>
    <t>https://www.zillow.com/homedetails/19643082_zpid/</t>
  </si>
  <si>
    <t>$242,973</t>
  </si>
  <si>
    <t>1423 Maple Dr, San Diego, NY 50124</t>
  </si>
  <si>
    <t>Z822170</t>
  </si>
  <si>
    <t>https://www.zillow.com/homedetails/46445791_zpid/</t>
  </si>
  <si>
    <t>$727,472</t>
  </si>
  <si>
    <t>1369 Oak Ave, Los Angeles, CA 47813</t>
  </si>
  <si>
    <t>Z137738</t>
  </si>
  <si>
    <t>https://www.zillow.com/homedetails/84671661_zpid/</t>
  </si>
  <si>
    <t>$640,552</t>
  </si>
  <si>
    <t>3964 Elm St, San Diego, TX 54247</t>
  </si>
  <si>
    <t>Z304396</t>
  </si>
  <si>
    <t>https://www.zillow.com/homedetails/15793034_zpid/</t>
  </si>
  <si>
    <t>$420,055</t>
  </si>
  <si>
    <t>7022 Pine Rd, Fresno, IL 82261</t>
  </si>
  <si>
    <t>Z576180</t>
  </si>
  <si>
    <t>https://www.zillow.com/homedetails/16627951_zpid/</t>
  </si>
  <si>
    <t>$851,444</t>
  </si>
  <si>
    <t>906 Main St, Fresno, TX 63625</t>
  </si>
  <si>
    <t>Z420035</t>
  </si>
  <si>
    <t>https://www.zillow.com/homedetails/81408608_zpid/</t>
  </si>
  <si>
    <t>$504,384</t>
  </si>
  <si>
    <t>8147 Oak Ave, San Francisco, CA 21874</t>
  </si>
  <si>
    <t>Z245260</t>
  </si>
  <si>
    <t>https://www.zillow.com/homedetails/33311306_zpid/</t>
  </si>
  <si>
    <t>$474,491</t>
  </si>
  <si>
    <t>337 Pine Rd, Fresno, FL 45184</t>
  </si>
  <si>
    <t>Z283179</t>
  </si>
  <si>
    <t>https://www.zillow.com/homedetails/14059252_zpid/</t>
  </si>
  <si>
    <t>$130,840</t>
  </si>
  <si>
    <t>599 Maple Dr, Fresno, NY 72733</t>
  </si>
  <si>
    <t>Z484638</t>
  </si>
  <si>
    <t>https://www.zillow.com/homedetails/25714295_zpid/</t>
  </si>
  <si>
    <t>$116,136</t>
  </si>
  <si>
    <t>2764 Main St, San Diego, CA 96362</t>
  </si>
  <si>
    <t>Z806580</t>
  </si>
  <si>
    <t>https://www.zillow.com/homedetails/92267054_zpid/</t>
  </si>
  <si>
    <t>$1,346,277</t>
  </si>
  <si>
    <t>7943 Main St, San Diego, TX 74145</t>
  </si>
  <si>
    <t>Z936363</t>
  </si>
  <si>
    <t>https://www.zillow.com/homedetails/17836398_zpid/</t>
  </si>
  <si>
    <t>$384,545</t>
  </si>
  <si>
    <t>7734 Oak Ave, San Diego, NY 58360</t>
  </si>
  <si>
    <t>Z966831</t>
  </si>
  <si>
    <t>https://www.zillow.com/homedetails/68098391_zpid/</t>
  </si>
  <si>
    <t>$1,251,781</t>
  </si>
  <si>
    <t>2186 Pine Rd, Fresno, TX 74293</t>
  </si>
  <si>
    <t>Z822228</t>
  </si>
  <si>
    <t>https://www.zillow.com/homedetails/97470373_zpid/</t>
  </si>
  <si>
    <t>$1,098,610</t>
  </si>
  <si>
    <t>5698 Elm St, Los Angeles, IL 29741</t>
  </si>
  <si>
    <t>Z308707</t>
  </si>
  <si>
    <t>https://www.zillow.com/homedetails/48166436_zpid/</t>
  </si>
  <si>
    <t>$835,582</t>
  </si>
  <si>
    <t>2614 Main St, San Francisco, FL 25426</t>
  </si>
  <si>
    <t>Z580942</t>
  </si>
  <si>
    <t>https://www.zillow.com/homedetails/51561596_zpid/</t>
  </si>
  <si>
    <t>$994,818</t>
  </si>
  <si>
    <t>4626 Maple Dr, Los Angeles, IL 16334</t>
  </si>
  <si>
    <t>Z554312</t>
  </si>
  <si>
    <t>https://www.zillow.com/homedetails/86576849_zpid/</t>
  </si>
  <si>
    <t>$848,850</t>
  </si>
  <si>
    <t>7343 Main St, Fresno, CA 19834</t>
  </si>
  <si>
    <t>Z239739</t>
  </si>
  <si>
    <t>https://www.zillow.com/homedetails/32286274_zpid/</t>
  </si>
  <si>
    <t>$741,445</t>
  </si>
  <si>
    <t>4352 Oak Ave, San Francisco, IL 71889</t>
  </si>
  <si>
    <t>Z244718</t>
  </si>
  <si>
    <t>https://www.zillow.com/homedetails/70739560_zpid/</t>
  </si>
  <si>
    <t>$1,208,371</t>
  </si>
  <si>
    <t>3201 Main St, Fresno, IL 60086</t>
  </si>
  <si>
    <t>Z632446</t>
  </si>
  <si>
    <t>https://www.zillow.com/homedetails/77027363_zpid/</t>
  </si>
  <si>
    <t>$1,391,650</t>
  </si>
  <si>
    <t>4872 Oak Ave, San Francisco, IL 75736</t>
  </si>
  <si>
    <t>Z948701</t>
  </si>
  <si>
    <t>https://www.zillow.com/homedetails/84822072_zpid/</t>
  </si>
  <si>
    <t>$1,394,784</t>
  </si>
  <si>
    <t>1946 Elm St, Fresno, FL 85937</t>
  </si>
  <si>
    <t>Z260586</t>
  </si>
  <si>
    <t>https://www.zillow.com/homedetails/93798058_zpid/</t>
  </si>
  <si>
    <t>$812,674</t>
  </si>
  <si>
    <t>6383 Elm St, Sacramento, IL 85924</t>
  </si>
  <si>
    <t>Z224294</t>
  </si>
  <si>
    <t>https://www.zillow.com/homedetails/22179058_zpid/</t>
  </si>
  <si>
    <t>$1,464,001</t>
  </si>
  <si>
    <t>1715 Elm St, San Francisco, FL 41242</t>
  </si>
  <si>
    <t>Z663904</t>
  </si>
  <si>
    <t>https://www.zillow.com/homedetails/96937871_zpid/</t>
  </si>
  <si>
    <t>$602,563</t>
  </si>
  <si>
    <t>1482 Maple Dr, Sacramento, NY 67799</t>
  </si>
  <si>
    <t>Z775353</t>
  </si>
  <si>
    <t>https://www.zillow.com/homedetails/49780379_zpid/</t>
  </si>
  <si>
    <t>$325,763</t>
  </si>
  <si>
    <t>4636 Elm St, Sacramento, IL 52732</t>
  </si>
  <si>
    <t>Z820433</t>
  </si>
  <si>
    <t>https://www.zillow.com/homedetails/35433589_zpid/</t>
  </si>
  <si>
    <t>$575,934</t>
  </si>
  <si>
    <t>9952 Elm St, Sacramento, NY 50751</t>
  </si>
  <si>
    <t>Z420325</t>
  </si>
  <si>
    <t>https://www.zillow.com/homedetails/49130467_zpid/</t>
  </si>
  <si>
    <t>$397,028</t>
  </si>
  <si>
    <t>7586 Elm St, Fresno, TX 66852</t>
  </si>
  <si>
    <t>Z463740</t>
  </si>
  <si>
    <t>https://www.zillow.com/homedetails/42479756_zpid/</t>
  </si>
  <si>
    <t>$274,902</t>
  </si>
  <si>
    <t>8972 Oak Ave, Fresno, CA 29272</t>
  </si>
  <si>
    <t>Z923785</t>
  </si>
  <si>
    <t>https://www.zillow.com/homedetails/45156549_zpid/</t>
  </si>
  <si>
    <t>$512,195</t>
  </si>
  <si>
    <t>2559 Maple Dr, San Diego, NY 49959</t>
  </si>
  <si>
    <t>Z822126</t>
  </si>
  <si>
    <t>https://www.zillow.com/homedetails/10405217_zpid/</t>
  </si>
  <si>
    <t>$721,273</t>
  </si>
  <si>
    <t>2467 Main St, Sacramento, TX 56352</t>
  </si>
  <si>
    <t>Z977327</t>
  </si>
  <si>
    <t>https://www.zillow.com/homedetails/12746573_zpid/</t>
  </si>
  <si>
    <t>$1,433,695</t>
  </si>
  <si>
    <t>1956 Main St, Los Angeles, FL 37005</t>
  </si>
  <si>
    <t>Z361544</t>
  </si>
  <si>
    <t>https://www.zillow.com/homedetails/28825315_zpid/</t>
  </si>
  <si>
    <t>$1,310,805</t>
  </si>
  <si>
    <t>9707 Pine Rd, San Diego, CA 29634</t>
  </si>
  <si>
    <t>Z220485</t>
  </si>
  <si>
    <t>https://www.zillow.com/homedetails/45751532_zpid/</t>
  </si>
  <si>
    <t>$203,965</t>
  </si>
  <si>
    <t>6953 Elm St, San Francisco, IL 37723</t>
  </si>
  <si>
    <t>Z403080</t>
  </si>
  <si>
    <t>https://www.zillow.com/homedetails/99364742_zpid/</t>
  </si>
  <si>
    <t>$635,048</t>
  </si>
  <si>
    <t>9450 Elm St, San Francisco, CA 87325</t>
  </si>
  <si>
    <t>Z251104</t>
  </si>
  <si>
    <t>https://www.zillow.com/homedetails/81995464_zpid/</t>
  </si>
  <si>
    <t>$1,254,859</t>
  </si>
  <si>
    <t>5158 Maple Dr, San Francisco, CA 67365</t>
  </si>
  <si>
    <t>Z635639</t>
  </si>
  <si>
    <t>https://www.zillow.com/homedetails/12065228_zpid/</t>
  </si>
  <si>
    <t>$1,186,869</t>
  </si>
  <si>
    <t>9415 Pine Rd, San Francisco, CA 21339</t>
  </si>
  <si>
    <t>Z157313</t>
  </si>
  <si>
    <t>https://www.zillow.com/homedetails/21475388_zpid/</t>
  </si>
  <si>
    <t>$1,460,250</t>
  </si>
  <si>
    <t>8951 Pine Rd, Sacramento, CA 89824</t>
  </si>
  <si>
    <t>Z292510</t>
  </si>
  <si>
    <t>https://www.zillow.com/homedetails/83168946_zpid/</t>
  </si>
  <si>
    <t>$1,224,116</t>
  </si>
  <si>
    <t>4008 Main St, San Francisco, TX 94071</t>
  </si>
  <si>
    <t>Z411358</t>
  </si>
  <si>
    <t>https://www.zillow.com/homedetails/92526658_zpid/</t>
  </si>
  <si>
    <t>$115,744</t>
  </si>
  <si>
    <t>9651 Main St, Los Angeles, TX 88040</t>
  </si>
  <si>
    <t>Z749264</t>
  </si>
  <si>
    <t>https://www.zillow.com/homedetails/15364578_zpid/</t>
  </si>
  <si>
    <t>$1,469,258</t>
  </si>
  <si>
    <t>9798 Oak Ave, San Francisco, FL 44455</t>
  </si>
  <si>
    <t>Z326095</t>
  </si>
  <si>
    <t>https://www.zillow.com/homedetails/50840053_zpid/</t>
  </si>
  <si>
    <t>$1,314,524</t>
  </si>
  <si>
    <t>907 Oak Ave, Sacramento, FL 36145</t>
  </si>
  <si>
    <t>Z649322</t>
  </si>
  <si>
    <t>https://www.zillow.com/homedetails/89131843_zpid/</t>
  </si>
  <si>
    <t>$687,426</t>
  </si>
  <si>
    <t>119 Pine Rd, San Francisco, IL 25480</t>
  </si>
  <si>
    <t>Z274541</t>
  </si>
  <si>
    <t>https://www.zillow.com/homedetails/61612277_zpid/</t>
  </si>
  <si>
    <t>$1,499,218</t>
  </si>
  <si>
    <t>5201 Main St, San Diego, CA 47577</t>
  </si>
  <si>
    <t>Z746142</t>
  </si>
  <si>
    <t>https://www.zillow.com/homedetails/60541400_zpid/</t>
  </si>
  <si>
    <t>$1,212,223</t>
  </si>
  <si>
    <t>1964 Elm St, Sacramento, FL 44730</t>
  </si>
  <si>
    <t>Z695954</t>
  </si>
  <si>
    <t>https://www.zillow.com/homedetails/23389163_zpid/</t>
  </si>
  <si>
    <t>$765,341</t>
  </si>
  <si>
    <t>5223 Elm St, San Diego, IL 39821</t>
  </si>
  <si>
    <t>Z395903</t>
  </si>
  <si>
    <t>https://www.zillow.com/homedetails/35887096_zpid/</t>
  </si>
  <si>
    <t>$941,784</t>
  </si>
  <si>
    <t>2293 Maple Dr, Fresno, CA 36258</t>
  </si>
  <si>
    <t>Z768023</t>
  </si>
  <si>
    <t>https://www.zillow.com/homedetails/98784941_zpid/</t>
  </si>
  <si>
    <t>$1,408,110</t>
  </si>
  <si>
    <t>6286 Maple Dr, Fresno, CA 15309</t>
  </si>
  <si>
    <t>Z401039</t>
  </si>
  <si>
    <t>https://www.zillow.com/homedetails/64699951_zpid/</t>
  </si>
  <si>
    <t>$403,704</t>
  </si>
  <si>
    <t>8683 Maple Dr, Fresno, CA 13545</t>
  </si>
  <si>
    <t>Z249867</t>
  </si>
  <si>
    <t>https://www.zillow.com/homedetails/99146968_zpid/</t>
  </si>
  <si>
    <t>$337,362</t>
  </si>
  <si>
    <t>2871 Elm St, San Francisco, CA 34436</t>
  </si>
  <si>
    <t>Z648669</t>
  </si>
  <si>
    <t>https://www.zillow.com/homedetails/84090889_zpid/</t>
  </si>
  <si>
    <t>$740,701</t>
  </si>
  <si>
    <t>654 Elm St, San Francisco, FL 37026</t>
  </si>
  <si>
    <t>Z524665</t>
  </si>
  <si>
    <t>https://www.zillow.com/homedetails/65216797_zpid/</t>
  </si>
  <si>
    <t>$1,181,779</t>
  </si>
  <si>
    <t>2957 Oak Ave, Sacramento, FL 48832</t>
  </si>
  <si>
    <t>Z480296</t>
  </si>
  <si>
    <t>https://www.zillow.com/homedetails/75341364_zpid/</t>
  </si>
  <si>
    <t>$1,052,477</t>
  </si>
  <si>
    <t>8595 Main St, Sacramento, IL 86185</t>
  </si>
  <si>
    <t>Z110077</t>
  </si>
  <si>
    <t>https://www.zillow.com/homedetails/64666447_zpid/</t>
  </si>
  <si>
    <t>$823,571</t>
  </si>
  <si>
    <t>8082 Elm St, San Francisco, FL 75048</t>
  </si>
  <si>
    <t>Z891791</t>
  </si>
  <si>
    <t>https://www.zillow.com/homedetails/33060034_zpid/</t>
  </si>
  <si>
    <t>$1,427,202</t>
  </si>
  <si>
    <t>4783 Elm St, San Francisco, IL 97697</t>
  </si>
  <si>
    <t>Z638274</t>
  </si>
  <si>
    <t>https://www.zillow.com/homedetails/61811939_zpid/</t>
  </si>
  <si>
    <t>$628,568</t>
  </si>
  <si>
    <t>292 Maple Dr, Sacramento, IL 75834</t>
  </si>
  <si>
    <t>Z533813</t>
  </si>
  <si>
    <t>https://www.zillow.com/homedetails/61833493_zpid/</t>
  </si>
  <si>
    <t>$696,092</t>
  </si>
  <si>
    <t>5610 Oak Ave, San Francisco, IL 34478</t>
  </si>
  <si>
    <t>Z138111</t>
  </si>
  <si>
    <t>https://www.zillow.com/homedetails/87073659_zpid/</t>
  </si>
  <si>
    <t>$127,321</t>
  </si>
  <si>
    <t>610 Elm St, Los Angeles, NY 78574</t>
  </si>
  <si>
    <t>Z120123</t>
  </si>
  <si>
    <t>https://www.zillow.com/homedetails/34456592_zpid/</t>
  </si>
  <si>
    <t>$417,293</t>
  </si>
  <si>
    <t>9678 Pine Rd, Los Angeles, IL 30794</t>
  </si>
  <si>
    <t>Z319583</t>
  </si>
  <si>
    <t>https://www.zillow.com/homedetails/92716010_zpid/</t>
  </si>
  <si>
    <t>$445,101</t>
  </si>
  <si>
    <t>2740 Elm St, Los Angeles, CA 52810</t>
  </si>
  <si>
    <t>Z684218</t>
  </si>
  <si>
    <t>https://www.zillow.com/homedetails/98604018_zpid/</t>
  </si>
  <si>
    <t>$238,951</t>
  </si>
  <si>
    <t>9222 Pine Rd, Sacramento, NY 66309</t>
  </si>
  <si>
    <t>Z974343</t>
  </si>
  <si>
    <t>https://www.zillow.com/homedetails/83673682_zpid/</t>
  </si>
  <si>
    <t>$323,309</t>
  </si>
  <si>
    <t>6428 Maple Dr, Sacramento, CA 77872</t>
  </si>
  <si>
    <t>Z911510</t>
  </si>
  <si>
    <t>https://www.zillow.com/homedetails/92910052_zpid/</t>
  </si>
  <si>
    <t>$583,154</t>
  </si>
  <si>
    <t>6238 Oak Ave, Sacramento, CA 17616</t>
  </si>
  <si>
    <t>Z441484</t>
  </si>
  <si>
    <t>https://www.zillow.com/homedetails/51560955_zpid/</t>
  </si>
  <si>
    <t>$948,012</t>
  </si>
  <si>
    <t>3165 Maple Dr, San Francisco, FL 23087</t>
  </si>
  <si>
    <t>Z750700</t>
  </si>
  <si>
    <t>https://www.zillow.com/homedetails/98042401_zpid/</t>
  </si>
  <si>
    <t>$334,932</t>
  </si>
  <si>
    <t>7209 Elm St, San Francisco, NY 39549</t>
  </si>
  <si>
    <t>Z592365</t>
  </si>
  <si>
    <t>https://www.zillow.com/homedetails/44845748_zpid/</t>
  </si>
  <si>
    <t>$731,180</t>
  </si>
  <si>
    <t>2969 Pine Rd, Sacramento, IL 55091</t>
  </si>
  <si>
    <t>Z323174</t>
  </si>
  <si>
    <t>https://www.zillow.com/homedetails/20401512_zpid/</t>
  </si>
  <si>
    <t>$335,042</t>
  </si>
  <si>
    <t>2911 Maple Dr, Sacramento, CA 27772</t>
  </si>
  <si>
    <t>Z139011</t>
  </si>
  <si>
    <t>https://www.zillow.com/homedetails/34874863_zpid/</t>
  </si>
  <si>
    <t>$264,127</t>
  </si>
  <si>
    <t>5152 Elm St, Sacramento, TX 92924</t>
  </si>
  <si>
    <t>Z841768</t>
  </si>
  <si>
    <t>https://www.zillow.com/homedetails/71199440_zpid/</t>
  </si>
  <si>
    <t>$1,157,381</t>
  </si>
  <si>
    <t>920 Maple Dr, Los Angeles, NY 58518</t>
  </si>
  <si>
    <t>Z197444</t>
  </si>
  <si>
    <t>https://www.zillow.com/homedetails/33512308_zpid/</t>
  </si>
  <si>
    <t>$619,431</t>
  </si>
  <si>
    <t>5329 Elm St, San Diego, IL 25303</t>
  </si>
  <si>
    <t>Z651432</t>
  </si>
  <si>
    <t>https://www.zillow.com/homedetails/87786596_zpid/</t>
  </si>
  <si>
    <t>$362,754</t>
  </si>
  <si>
    <t>8970 Maple Dr, San Diego, IL 86063</t>
  </si>
  <si>
    <t>Z632291</t>
  </si>
  <si>
    <t>https://www.zillow.com/homedetails/78113445_zpid/</t>
  </si>
  <si>
    <t>$1,264,833</t>
  </si>
  <si>
    <t>7399 Pine Rd, Fresno, TX 49505</t>
  </si>
  <si>
    <t>Z829708</t>
  </si>
  <si>
    <t>https://www.zillow.com/homedetails/23204977_zpid/</t>
  </si>
  <si>
    <t>$1,169,718</t>
  </si>
  <si>
    <t>3929 Pine Rd, Sacramento, CA 87798</t>
  </si>
  <si>
    <t>Z165030</t>
  </si>
  <si>
    <t>https://www.zillow.com/homedetails/55176582_zpid/</t>
  </si>
  <si>
    <t>$945,815</t>
  </si>
  <si>
    <t>5010 Maple Dr, Fresno, TX 76958</t>
  </si>
  <si>
    <t>Z320567</t>
  </si>
  <si>
    <t>https://www.zillow.com/homedetails/25890809_zpid/</t>
  </si>
  <si>
    <t>$552,759</t>
  </si>
  <si>
    <t>7576 Elm St, Fresno, NY 19807</t>
  </si>
  <si>
    <t>Z228168</t>
  </si>
  <si>
    <t>https://www.zillow.com/homedetails/15442658_zpid/</t>
  </si>
  <si>
    <t>$1,283,669</t>
  </si>
  <si>
    <t>7617 Oak Ave, San Diego, CA 27529</t>
  </si>
  <si>
    <t>Z885937</t>
  </si>
  <si>
    <t>https://www.zillow.com/homedetails/10005915_zpid/</t>
  </si>
  <si>
    <t>$377,819</t>
  </si>
  <si>
    <t>757 Oak Ave, Sacramento, TX 10143</t>
  </si>
  <si>
    <t>Z658039</t>
  </si>
  <si>
    <t>https://www.zillow.com/homedetails/63442070_zpid/</t>
  </si>
  <si>
    <t>$188,207</t>
  </si>
  <si>
    <t>5152 Oak Ave, Fresno, IL 64747</t>
  </si>
  <si>
    <t>Z817597</t>
  </si>
  <si>
    <t>https://www.zillow.com/homedetails/66380818_zpid/</t>
  </si>
  <si>
    <t>$828,082</t>
  </si>
  <si>
    <t>8747 Oak Ave, San Diego, TX 19844</t>
  </si>
  <si>
    <t>Z133679</t>
  </si>
  <si>
    <t>https://www.zillow.com/homedetails/26331892_zpid/</t>
  </si>
  <si>
    <t>$915,791</t>
  </si>
  <si>
    <t>7257 Elm St, Los Angeles, NY 79505</t>
  </si>
  <si>
    <t>Z660617</t>
  </si>
  <si>
    <t>https://www.zillow.com/homedetails/55173258_zpid/</t>
  </si>
  <si>
    <t>$754,651</t>
  </si>
  <si>
    <t>8841 Pine Rd, Fresno, CA 45750</t>
  </si>
  <si>
    <t>Z946646</t>
  </si>
  <si>
    <t>https://www.zillow.com/homedetails/69596808_zpid/</t>
  </si>
  <si>
    <t>$1,054,702</t>
  </si>
  <si>
    <t>205 Elm St, San Francisco, IL 62457</t>
  </si>
  <si>
    <t>Z843433</t>
  </si>
  <si>
    <t>https://www.zillow.com/homedetails/88876330_zpid/</t>
  </si>
  <si>
    <t>$474,319</t>
  </si>
  <si>
    <t>528 Pine Rd, Sacramento, NY 13849</t>
  </si>
  <si>
    <t>Z162099</t>
  </si>
  <si>
    <t>https://www.zillow.com/homedetails/22976955_zpid/</t>
  </si>
  <si>
    <t>$501,890</t>
  </si>
  <si>
    <t>3242 Pine Rd, Sacramento, CA 47203</t>
  </si>
  <si>
    <t>Z117970</t>
  </si>
  <si>
    <t>https://www.zillow.com/homedetails/63232106_zpid/</t>
  </si>
  <si>
    <t>$677,428</t>
  </si>
  <si>
    <t>8973 Main St, San Diego, NY 89347</t>
  </si>
  <si>
    <t>Z448783</t>
  </si>
  <si>
    <t>https://www.zillow.com/homedetails/60848883_zpid/</t>
  </si>
  <si>
    <t>$378,181</t>
  </si>
  <si>
    <t>2915 Elm St, San Francisco, IL 55163</t>
  </si>
  <si>
    <t>Z747912</t>
  </si>
  <si>
    <t>https://www.zillow.com/homedetails/25556091_zpid/</t>
  </si>
  <si>
    <t>$410,698</t>
  </si>
  <si>
    <t>9852 Main St, Los Angeles, NY 71350</t>
  </si>
  <si>
    <t>Z878286</t>
  </si>
  <si>
    <t>https://www.zillow.com/homedetails/93148915_zpid/</t>
  </si>
  <si>
    <t>$727,665</t>
  </si>
  <si>
    <t>473 Elm St, Fresno, CA 57242</t>
  </si>
  <si>
    <t>Z399934</t>
  </si>
  <si>
    <t>https://www.zillow.com/homedetails/96877765_zpid/</t>
  </si>
  <si>
    <t>$918,160</t>
  </si>
  <si>
    <t>7370 Maple Dr, San Francisco, TX 79190</t>
  </si>
  <si>
    <t>Z918076</t>
  </si>
  <si>
    <t>https://www.zillow.com/homedetails/46503000_zpid/</t>
  </si>
  <si>
    <t>$371,380</t>
  </si>
  <si>
    <t>8650 Oak Ave, Fresno, CA 96383</t>
  </si>
  <si>
    <t>Z317567</t>
  </si>
  <si>
    <t>https://www.zillow.com/homedetails/14584593_zpid/</t>
  </si>
  <si>
    <t>$417,545</t>
  </si>
  <si>
    <t>4596 Elm St, San Francisco, FL 86638</t>
  </si>
  <si>
    <t>Z347151</t>
  </si>
  <si>
    <t>https://www.zillow.com/homedetails/41073266_zpid/</t>
  </si>
  <si>
    <t>$834,757</t>
  </si>
  <si>
    <t>8880 Elm St, San Francisco, NY 16939</t>
  </si>
  <si>
    <t>Z481440</t>
  </si>
  <si>
    <t>https://www.zillow.com/homedetails/56726259_zpid/</t>
  </si>
  <si>
    <t>$1,057,374</t>
  </si>
  <si>
    <t>1807 Main St, San Diego, IL 89598</t>
  </si>
  <si>
    <t>Z517365</t>
  </si>
  <si>
    <t>https://www.zillow.com/homedetails/30520937_zpid/</t>
  </si>
  <si>
    <t>$315,634</t>
  </si>
  <si>
    <t>9109 Maple Dr, Los Angeles, IL 64628</t>
  </si>
  <si>
    <t>Z809289</t>
  </si>
  <si>
    <t>https://www.zillow.com/homedetails/61300384_zpid/</t>
  </si>
  <si>
    <t>$1,053,211</t>
  </si>
  <si>
    <t>8525 Main St, San Francisco, FL 30160</t>
  </si>
  <si>
    <t>Z846015</t>
  </si>
  <si>
    <t>https://www.zillow.com/homedetails/12943906_zpid/</t>
  </si>
  <si>
    <t>$179,797</t>
  </si>
  <si>
    <t>4521 Main St, San Francisco, TX 99211</t>
  </si>
  <si>
    <t>Z318125</t>
  </si>
  <si>
    <t>https://www.zillow.com/homedetails/82347835_zpid/</t>
  </si>
  <si>
    <t>$1,381,948</t>
  </si>
  <si>
    <t>5030 Oak Ave, Los Angeles, IL 62062</t>
  </si>
  <si>
    <t>Z657806</t>
  </si>
  <si>
    <t>https://www.zillow.com/homedetails/71973011_zpid/</t>
  </si>
  <si>
    <t>$1,221,223</t>
  </si>
  <si>
    <t>137 Oak Ave, Los Angeles, FL 10006</t>
  </si>
  <si>
    <t>Z355692</t>
  </si>
  <si>
    <t>https://www.zillow.com/homedetails/70277297_zpid/</t>
  </si>
  <si>
    <t>$174,659</t>
  </si>
  <si>
    <t>1721 Maple Dr, San Francisco, TX 37948</t>
  </si>
  <si>
    <t>Z759616</t>
  </si>
  <si>
    <t>https://www.zillow.com/homedetails/89775508_zpid/</t>
  </si>
  <si>
    <t>$315,073</t>
  </si>
  <si>
    <t>3448 Maple Dr, Fresno, CA 13171</t>
  </si>
  <si>
    <t>Z583519</t>
  </si>
  <si>
    <t>https://www.zillow.com/homedetails/33466750_zpid/</t>
  </si>
  <si>
    <t>$1,090,823</t>
  </si>
  <si>
    <t>8181 Oak Ave, Los Angeles, TX 89851</t>
  </si>
  <si>
    <t>Z456253</t>
  </si>
  <si>
    <t>https://www.zillow.com/homedetails/97570696_zpid/</t>
  </si>
  <si>
    <t>$1,195,037</t>
  </si>
  <si>
    <t>3941 Pine Rd, Fresno, IL 73698</t>
  </si>
  <si>
    <t>Z624266</t>
  </si>
  <si>
    <t>https://www.zillow.com/homedetails/97694219_zpid/</t>
  </si>
  <si>
    <t>$1,217,532</t>
  </si>
  <si>
    <t>6943 Main St, Los Angeles, NY 40283</t>
  </si>
  <si>
    <t>Z541475</t>
  </si>
  <si>
    <t>https://www.zillow.com/homedetails/64063452_zpid/</t>
  </si>
  <si>
    <t>$1,258,730</t>
  </si>
  <si>
    <t>5313 Maple Dr, Sacramento, FL 81388</t>
  </si>
  <si>
    <t>Z180043</t>
  </si>
  <si>
    <t>https://www.zillow.com/homedetails/39553468_zpid/</t>
  </si>
  <si>
    <t>$1,401,606</t>
  </si>
  <si>
    <t>6213 Elm St, Fresno, NY 52083</t>
  </si>
  <si>
    <t>Z133784</t>
  </si>
  <si>
    <t>https://www.zillow.com/homedetails/48637625_zpid/</t>
  </si>
  <si>
    <t>$1,366,314</t>
  </si>
  <si>
    <t>7561 Maple Dr, San Francisco, NY 85201</t>
  </si>
  <si>
    <t>Z162385</t>
  </si>
  <si>
    <t>https://www.zillow.com/homedetails/73510728_zpid/</t>
  </si>
  <si>
    <t>$104,493</t>
  </si>
  <si>
    <t>3697 Elm St, Los Angeles, TX 42451</t>
  </si>
  <si>
    <t>Z410154</t>
  </si>
  <si>
    <t>https://www.zillow.com/homedetails/17479797_zpid/</t>
  </si>
  <si>
    <t>$1,451,100</t>
  </si>
  <si>
    <t>669 Main St, Los Angeles, TX 88679</t>
  </si>
  <si>
    <t>Z426299</t>
  </si>
  <si>
    <t>https://www.zillow.com/homedetails/21346909_zpid/</t>
  </si>
  <si>
    <t>$691,218</t>
  </si>
  <si>
    <t>6889 Pine Rd, San Francisco, FL 16383</t>
  </si>
  <si>
    <t>Z455785</t>
  </si>
  <si>
    <t>https://www.zillow.com/homedetails/51079886_zpid/</t>
  </si>
  <si>
    <t>$705,960</t>
  </si>
  <si>
    <t>4582 Oak Ave, San Diego, FL 64880</t>
  </si>
  <si>
    <t>Z763762</t>
  </si>
  <si>
    <t>https://www.zillow.com/homedetails/40673580_zpid/</t>
  </si>
  <si>
    <t>$1,357,857</t>
  </si>
  <si>
    <t>6555 Pine Rd, Los Angeles, FL 97402</t>
  </si>
  <si>
    <t>Z576850</t>
  </si>
  <si>
    <t>https://www.zillow.com/homedetails/77863454_zpid/</t>
  </si>
  <si>
    <t>$935,362</t>
  </si>
  <si>
    <t>3520 Maple Dr, Fresno, TX 71928</t>
  </si>
  <si>
    <t>Z188846</t>
  </si>
  <si>
    <t>https://www.zillow.com/homedetails/75097564_zpid/</t>
  </si>
  <si>
    <t>$963,039</t>
  </si>
  <si>
    <t>1513 Oak Ave, San Francisco, NY 98928</t>
  </si>
  <si>
    <t>Z938332</t>
  </si>
  <si>
    <t>https://www.zillow.com/homedetails/54549169_zpid/</t>
  </si>
  <si>
    <t>$183,360</t>
  </si>
  <si>
    <t>4564 Main St, Sacramento, NY 28013</t>
  </si>
  <si>
    <t>Z851614</t>
  </si>
  <si>
    <t>https://www.zillow.com/homedetails/13706328_zpid/</t>
  </si>
  <si>
    <t>$1,059,126</t>
  </si>
  <si>
    <t>2510 Oak Ave, Los Angeles, NY 14973</t>
  </si>
  <si>
    <t>Z451761</t>
  </si>
  <si>
    <t>https://www.zillow.com/homedetails/21399741_zpid/</t>
  </si>
  <si>
    <t>$1,454,344</t>
  </si>
  <si>
    <t>8961 Oak Ave, Fresno, TX 46047</t>
  </si>
  <si>
    <t>Z725262</t>
  </si>
  <si>
    <t>https://www.zillow.com/homedetails/66838069_zpid/</t>
  </si>
  <si>
    <t>$876,296</t>
  </si>
  <si>
    <t>767 Oak Ave, San Diego, NY 80624</t>
  </si>
  <si>
    <t>Z921588</t>
  </si>
  <si>
    <t>https://www.zillow.com/homedetails/90610895_zpid/</t>
  </si>
  <si>
    <t>$1,414,762</t>
  </si>
  <si>
    <t>5596 Elm St, Sacramento, TX 60812</t>
  </si>
  <si>
    <t>Z247446</t>
  </si>
  <si>
    <t>https://www.zillow.com/homedetails/47292454_zpid/</t>
  </si>
  <si>
    <t>$878,723</t>
  </si>
  <si>
    <t>4157 Elm St, Los Angeles, FL 65847</t>
  </si>
  <si>
    <t>Z568014</t>
  </si>
  <si>
    <t>https://www.zillow.com/homedetails/94090886_zpid/</t>
  </si>
  <si>
    <t>$679,584</t>
  </si>
  <si>
    <t>4848 Maple Dr, Los Angeles, IL 67572</t>
  </si>
  <si>
    <t>Z260793</t>
  </si>
  <si>
    <t>https://www.zillow.com/homedetails/67917966_zpid/</t>
  </si>
  <si>
    <t>$1,117,712</t>
  </si>
  <si>
    <t>6311 Oak Ave, Sacramento, IL 19739</t>
  </si>
  <si>
    <t>Z549861</t>
  </si>
  <si>
    <t>https://www.zillow.com/homedetails/45457782_zpid/</t>
  </si>
  <si>
    <t>$1,358,422</t>
  </si>
  <si>
    <t>7180 Oak Ave, Los Angeles, IL 15876</t>
  </si>
  <si>
    <t>Z935344</t>
  </si>
  <si>
    <t>https://www.zillow.com/homedetails/65463234_zpid/</t>
  </si>
  <si>
    <t>$262,520</t>
  </si>
  <si>
    <t>5080 Pine Rd, San Francisco, CA 65506</t>
  </si>
  <si>
    <t>Z114025</t>
  </si>
  <si>
    <t>https://www.zillow.com/homedetails/91945987_zpid/</t>
  </si>
  <si>
    <t>$705,333</t>
  </si>
  <si>
    <t>1792 Oak Ave, Fresno, FL 17784</t>
  </si>
  <si>
    <t>Z907094</t>
  </si>
  <si>
    <t>https://www.zillow.com/homedetails/10146011_zpid/</t>
  </si>
  <si>
    <t>$1,280,348</t>
  </si>
  <si>
    <t>5592 Pine Rd, San Diego, CA 49271</t>
  </si>
  <si>
    <t>Z647648</t>
  </si>
  <si>
    <t>https://www.zillow.com/homedetails/61590815_zpid/</t>
  </si>
  <si>
    <t>$1,020,459</t>
  </si>
  <si>
    <t>3766 Oak Ave, Sacramento, NY 48167</t>
  </si>
  <si>
    <t>Z697431</t>
  </si>
  <si>
    <t>https://www.zillow.com/homedetails/61995331_zpid/</t>
  </si>
  <si>
    <t>$503,512</t>
  </si>
  <si>
    <t>5308 Main St, San Francisco, NY 53010</t>
  </si>
  <si>
    <t>Z322201</t>
  </si>
  <si>
    <t>https://www.zillow.com/homedetails/42544464_zpid/</t>
  </si>
  <si>
    <t>$952,028</t>
  </si>
  <si>
    <t>6232 Maple Dr, Fresno, TX 87814</t>
  </si>
  <si>
    <t>Z284590</t>
  </si>
  <si>
    <t>https://www.zillow.com/homedetails/65619609_zpid/</t>
  </si>
  <si>
    <t>$1,209,761</t>
  </si>
  <si>
    <t>4909 Elm St, Los Angeles, IL 11524</t>
  </si>
  <si>
    <t>Z410592</t>
  </si>
  <si>
    <t>https://www.zillow.com/homedetails/64547439_zpid/</t>
  </si>
  <si>
    <t>$1,379,446</t>
  </si>
  <si>
    <t>6894 Main St, San Francisco, IL 48164</t>
  </si>
  <si>
    <t>Z167597</t>
  </si>
  <si>
    <t>https://www.zillow.com/homedetails/76690633_zpid/</t>
  </si>
  <si>
    <t>$842,927</t>
  </si>
  <si>
    <t>472 Elm St, Fresno, TX 85253</t>
  </si>
  <si>
    <t>Z999619</t>
  </si>
  <si>
    <t>https://www.zillow.com/homedetails/50138329_zpid/</t>
  </si>
  <si>
    <t>$288,565</t>
  </si>
  <si>
    <t>6740 Maple Dr, Fresno, FL 72813</t>
  </si>
  <si>
    <t>Z958873</t>
  </si>
  <si>
    <t>https://www.zillow.com/homedetails/41458789_zpid/</t>
  </si>
  <si>
    <t>$1,179,701</t>
  </si>
  <si>
    <t>7016 Maple Dr, San Francisco, IL 40966</t>
  </si>
  <si>
    <t>Z336518</t>
  </si>
  <si>
    <t>https://www.zillow.com/homedetails/89057892_zpid/</t>
  </si>
  <si>
    <t>$1,426,326</t>
  </si>
  <si>
    <t>6065 Elm St, San Francisco, NY 88991</t>
  </si>
  <si>
    <t>Z583825</t>
  </si>
  <si>
    <t>https://www.zillow.com/homedetails/28741552_zpid/</t>
  </si>
  <si>
    <t>$211,750</t>
  </si>
  <si>
    <t>4077 Oak Ave, Sacramento, NY 46838</t>
  </si>
  <si>
    <t>Z520314</t>
  </si>
  <si>
    <t>https://www.zillow.com/homedetails/27648660_zpid/</t>
  </si>
  <si>
    <t>$437,818</t>
  </si>
  <si>
    <t>1001 Pine Rd, Fresno, TX 65816</t>
  </si>
  <si>
    <t>Z163297</t>
  </si>
  <si>
    <t>https://www.zillow.com/homedetails/32876942_zpid/</t>
  </si>
  <si>
    <t>$937,185</t>
  </si>
  <si>
    <t>7725 Pine Rd, Los Angeles, IL 23918</t>
  </si>
  <si>
    <t>Z510372</t>
  </si>
  <si>
    <t>https://www.zillow.com/homedetails/87016999_zpid/</t>
  </si>
  <si>
    <t>$191,426</t>
  </si>
  <si>
    <t>2198 Oak Ave, Los Angeles, IL 82076</t>
  </si>
  <si>
    <t>Z857264</t>
  </si>
  <si>
    <t>https://www.zillow.com/homedetails/88551668_zpid/</t>
  </si>
  <si>
    <t>$706,620</t>
  </si>
  <si>
    <t>1017 Maple Dr, Los Angeles, TX 14373</t>
  </si>
  <si>
    <t>Z382714</t>
  </si>
  <si>
    <t>https://www.zillow.com/homedetails/17726077_zpid/</t>
  </si>
  <si>
    <t>$361,658</t>
  </si>
  <si>
    <t>1158 Oak Ave, Fresno, IL 96198</t>
  </si>
  <si>
    <t>Z493298</t>
  </si>
  <si>
    <t>https://www.zillow.com/homedetails/16033678_zpid/</t>
  </si>
  <si>
    <t>$929,559</t>
  </si>
  <si>
    <t>8475 Maple Dr, San Diego, NY 49755</t>
  </si>
  <si>
    <t>Z775159</t>
  </si>
  <si>
    <t>https://www.zillow.com/homedetails/78857720_zpid/</t>
  </si>
  <si>
    <t>$914,842</t>
  </si>
  <si>
    <t>7454 Main St, Fresno, FL 59956</t>
  </si>
  <si>
    <t>Z498834</t>
  </si>
  <si>
    <t>https://www.zillow.com/homedetails/64650273_zpid/</t>
  </si>
  <si>
    <t>$1,407,926</t>
  </si>
  <si>
    <t>1989 Oak Ave, Los Angeles, TX 33637</t>
  </si>
  <si>
    <t>Z586731</t>
  </si>
  <si>
    <t>https://www.zillow.com/homedetails/65432546_zpid/</t>
  </si>
  <si>
    <t>$1,066,056</t>
  </si>
  <si>
    <t>2180 Main St, Sacramento, NY 62358</t>
  </si>
  <si>
    <t>Z318363</t>
  </si>
  <si>
    <t>https://www.zillow.com/homedetails/72522721_zpid/</t>
  </si>
  <si>
    <t>$1,126,603</t>
  </si>
  <si>
    <t>823 Main St, Los Angeles, TX 73560</t>
  </si>
  <si>
    <t>Z731413</t>
  </si>
  <si>
    <t>https://www.zillow.com/homedetails/44797480_zpid/</t>
  </si>
  <si>
    <t>$465,265</t>
  </si>
  <si>
    <t>3307 Elm St, San Francisco, NY 17440</t>
  </si>
  <si>
    <t>Z364003</t>
  </si>
  <si>
    <t>https://www.zillow.com/homedetails/99553716_zpid/</t>
  </si>
  <si>
    <t>$110,097</t>
  </si>
  <si>
    <t>1777 Elm St, Fresno, IL 11996</t>
  </si>
  <si>
    <t>Z533666</t>
  </si>
  <si>
    <t>https://www.zillow.com/homedetails/98774496_zpid/</t>
  </si>
  <si>
    <t>$1,218,168</t>
  </si>
  <si>
    <t>5615 Pine Rd, San Francisco, IL 13587</t>
  </si>
  <si>
    <t>Z828912</t>
  </si>
  <si>
    <t>https://www.zillow.com/homedetails/22892081_zpid/</t>
  </si>
  <si>
    <t>$715,976</t>
  </si>
  <si>
    <t>2106 Oak Ave, Los Angeles, IL 95216</t>
  </si>
  <si>
    <t>Z109548</t>
  </si>
  <si>
    <t>https://www.zillow.com/homedetails/54698518_zpid/</t>
  </si>
  <si>
    <t>$344,668</t>
  </si>
  <si>
    <t>8665 Pine Rd, San Francisco, NY 43522</t>
  </si>
  <si>
    <t>Z291166</t>
  </si>
  <si>
    <t>https://www.zillow.com/homedetails/66700414_zpid/</t>
  </si>
  <si>
    <t>$400,744</t>
  </si>
  <si>
    <t>8666 Main St, San Francisco, TX 21785</t>
  </si>
  <si>
    <t>Z637177</t>
  </si>
  <si>
    <t>https://www.zillow.com/homedetails/79532732_zpid/</t>
  </si>
  <si>
    <t>$972,477</t>
  </si>
  <si>
    <t>830 Main St, Sacramento, NY 36100</t>
  </si>
  <si>
    <t>Z562008</t>
  </si>
  <si>
    <t>https://www.zillow.com/homedetails/68290661_zpid/</t>
  </si>
  <si>
    <t>$1,089,772</t>
  </si>
  <si>
    <t>2103 Oak Ave, Sacramento, FL 65482</t>
  </si>
  <si>
    <t>Z385249</t>
  </si>
  <si>
    <t>https://www.zillow.com/homedetails/78334089_zpid/</t>
  </si>
  <si>
    <t>$681,817</t>
  </si>
  <si>
    <t>2307 Elm St, Sacramento, TX 51936</t>
  </si>
  <si>
    <t>Z556183</t>
  </si>
  <si>
    <t>https://www.zillow.com/homedetails/81448201_zpid/</t>
  </si>
  <si>
    <t>$945,467</t>
  </si>
  <si>
    <t>5463 Main St, San Francisco, IL 21798</t>
  </si>
  <si>
    <t>Z155164</t>
  </si>
  <si>
    <t>https://www.zillow.com/homedetails/69830778_zpid/</t>
  </si>
  <si>
    <t>$310,781</t>
  </si>
  <si>
    <t>7012 Pine Rd, Sacramento, CA 99327</t>
  </si>
  <si>
    <t>Z902598</t>
  </si>
  <si>
    <t>https://www.zillow.com/homedetails/80989020_zpid/</t>
  </si>
  <si>
    <t>$1,392,133</t>
  </si>
  <si>
    <t>2254 Pine Rd, San Francisco, NY 87961</t>
  </si>
  <si>
    <t>Z623417</t>
  </si>
  <si>
    <t>https://www.zillow.com/homedetails/24768373_zpid/</t>
  </si>
  <si>
    <t>$1,226,168</t>
  </si>
  <si>
    <t>3362 Oak Ave, Sacramento, NY 39459</t>
  </si>
  <si>
    <t>Z933597</t>
  </si>
  <si>
    <t>https://www.zillow.com/homedetails/21378528_zpid/</t>
  </si>
  <si>
    <t>$151,730</t>
  </si>
  <si>
    <t>9970 Maple Dr, San Diego, FL 94807</t>
  </si>
  <si>
    <t>Z860497</t>
  </si>
  <si>
    <t>https://www.zillow.com/homedetails/23895340_zpid/</t>
  </si>
  <si>
    <t>$1,323,474</t>
  </si>
  <si>
    <t>3995 Elm St, San Francisco, TX 74937</t>
  </si>
  <si>
    <t>Z134117</t>
  </si>
  <si>
    <t>https://www.zillow.com/homedetails/73657544_zpid/</t>
  </si>
  <si>
    <t>$171,171</t>
  </si>
  <si>
    <t>8468 Oak Ave, Sacramento, TX 71653</t>
  </si>
  <si>
    <t>Z751369</t>
  </si>
  <si>
    <t>https://www.zillow.com/homedetails/49113444_zpid/</t>
  </si>
  <si>
    <t>$576,963</t>
  </si>
  <si>
    <t>3013 Oak Ave, Los Angeles, CA 72442</t>
  </si>
  <si>
    <t>Z256769</t>
  </si>
  <si>
    <t>https://www.zillow.com/homedetails/98153616_zpid/</t>
  </si>
  <si>
    <t>$680,603</t>
  </si>
  <si>
    <t>7794 Maple Dr, Fresno, CA 72484</t>
  </si>
  <si>
    <t>Z109226</t>
  </si>
  <si>
    <t>https://www.zillow.com/homedetails/99386292_zpid/</t>
  </si>
  <si>
    <t>$775,005</t>
  </si>
  <si>
    <t>611 Pine Rd, San Francisco, TX 59250</t>
  </si>
  <si>
    <t>Z838502</t>
  </si>
  <si>
    <t>https://www.zillow.com/homedetails/63353888_zpid/</t>
  </si>
  <si>
    <t>$314,574</t>
  </si>
  <si>
    <t>7498 Main St, Los Angeles, NY 85533</t>
  </si>
  <si>
    <t>Z610841</t>
  </si>
  <si>
    <t>https://www.zillow.com/homedetails/29231377_zpid/</t>
  </si>
  <si>
    <t>$1,043,558</t>
  </si>
  <si>
    <t>2310 Maple Dr, Los Angeles, IL 11630</t>
  </si>
  <si>
    <t>Z498077</t>
  </si>
  <si>
    <t>https://www.zillow.com/homedetails/23452276_zpid/</t>
  </si>
  <si>
    <t>$1,463,056</t>
  </si>
  <si>
    <t>6706 Pine Rd, Fresno, CA 72047</t>
  </si>
  <si>
    <t>Z672081</t>
  </si>
  <si>
    <t>https://www.zillow.com/homedetails/63100264_zpid/</t>
  </si>
  <si>
    <t>$423,192</t>
  </si>
  <si>
    <t>4551 Maple Dr, San Francisco, CA 96180</t>
  </si>
  <si>
    <t>Z160336</t>
  </si>
  <si>
    <t>https://www.zillow.com/homedetails/61738609_zpid/</t>
  </si>
  <si>
    <t>$1,226,639</t>
  </si>
  <si>
    <t>6133 Pine Rd, Los Angeles, FL 75773</t>
  </si>
  <si>
    <t>Z506795</t>
  </si>
  <si>
    <t>https://www.zillow.com/homedetails/85485787_zpid/</t>
  </si>
  <si>
    <t>$499,972</t>
  </si>
  <si>
    <t>5046 Oak Ave, San Francisco, NY 83852</t>
  </si>
  <si>
    <t>Z223392</t>
  </si>
  <si>
    <t>https://www.zillow.com/homedetails/29489803_zpid/</t>
  </si>
  <si>
    <t>$199,906</t>
  </si>
  <si>
    <t>5188 Oak Ave, Fresno, CA 37195</t>
  </si>
  <si>
    <t>Z957117</t>
  </si>
  <si>
    <t>https://www.zillow.com/homedetails/61674384_zpid/</t>
  </si>
  <si>
    <t>$1,223,865</t>
  </si>
  <si>
    <t>9760 Maple Dr, San Francisco, IL 62250</t>
  </si>
  <si>
    <t>Z439706</t>
  </si>
  <si>
    <t>https://www.zillow.com/homedetails/10008385_zpid/</t>
  </si>
  <si>
    <t>$378,465</t>
  </si>
  <si>
    <t>1925 Pine Rd, Los Angeles, FL 58871</t>
  </si>
  <si>
    <t>Z200194</t>
  </si>
  <si>
    <t>https://www.zillow.com/homedetails/28511397_zpid/</t>
  </si>
  <si>
    <t>$1,170,279</t>
  </si>
  <si>
    <t>1143 Main St, Sacramento, FL 87611</t>
  </si>
  <si>
    <t>Z730370</t>
  </si>
  <si>
    <t>https://www.zillow.com/homedetails/80827171_zpid/</t>
  </si>
  <si>
    <t>$1,456,218</t>
  </si>
  <si>
    <t>457 Maple Dr, Sacramento, CA 43034</t>
  </si>
  <si>
    <t>Z621075</t>
  </si>
  <si>
    <t>https://www.zillow.com/homedetails/52405699_zpid/</t>
  </si>
  <si>
    <t>$592,771</t>
  </si>
  <si>
    <t>2809 Elm St, Sacramento, FL 64106</t>
  </si>
  <si>
    <t>Z551973</t>
  </si>
  <si>
    <t>https://www.zillow.com/homedetails/83528883_zpid/</t>
  </si>
  <si>
    <t>$449,429</t>
  </si>
  <si>
    <t>254 Oak Ave, Sacramento, NY 14444</t>
  </si>
  <si>
    <t>Z145771</t>
  </si>
  <si>
    <t>https://www.zillow.com/homedetails/85560731_zpid/</t>
  </si>
  <si>
    <t>$1,200,867</t>
  </si>
  <si>
    <t>477 Oak Ave, San Francisco, TX 44997</t>
  </si>
  <si>
    <t>Z854076</t>
  </si>
  <si>
    <t>https://www.zillow.com/homedetails/85523719_zpid/</t>
  </si>
  <si>
    <t>$147,111</t>
  </si>
  <si>
    <t>5950 Main St, San Francisco, CA 64978</t>
  </si>
  <si>
    <t>Z466906</t>
  </si>
  <si>
    <t>https://www.zillow.com/homedetails/44620047_zpid/</t>
  </si>
  <si>
    <t>$847,617</t>
  </si>
  <si>
    <t>3249 Oak Ave, San Francisco, FL 88554</t>
  </si>
  <si>
    <t>Z760998</t>
  </si>
  <si>
    <t>https://www.zillow.com/homedetails/63550392_zpid/</t>
  </si>
  <si>
    <t>$526,045</t>
  </si>
  <si>
    <t>3552 Maple Dr, Sacramento, IL 92223</t>
  </si>
  <si>
    <t>Z449046</t>
  </si>
  <si>
    <t>https://www.zillow.com/homedetails/74290788_zpid/</t>
  </si>
  <si>
    <t>$1,361,056</t>
  </si>
  <si>
    <t>1093 Pine Rd, Los Angeles, NY 39637</t>
  </si>
  <si>
    <t>Z879801</t>
  </si>
  <si>
    <t>https://www.zillow.com/homedetails/86717071_zpid/</t>
  </si>
  <si>
    <t>$782,095</t>
  </si>
  <si>
    <t>556 Elm St, San Diego, TX 49528</t>
  </si>
  <si>
    <t>Z850827</t>
  </si>
  <si>
    <t>https://www.zillow.com/homedetails/52541337_zpid/</t>
  </si>
  <si>
    <t>$1,103,146</t>
  </si>
  <si>
    <t>3092 Elm St, San Diego, FL 14744</t>
  </si>
  <si>
    <t>Z322347</t>
  </si>
  <si>
    <t>https://www.zillow.com/homedetails/60478959_zpid/</t>
  </si>
  <si>
    <t>$634,220</t>
  </si>
  <si>
    <t>9808 Main St, Fresno, NY 84456</t>
  </si>
  <si>
    <t>Z583280</t>
  </si>
  <si>
    <t>https://www.zillow.com/homedetails/23800590_zpid/</t>
  </si>
  <si>
    <t>$268,004</t>
  </si>
  <si>
    <t>3602 Maple Dr, Los Angeles, IL 84948</t>
  </si>
  <si>
    <t>Z855124</t>
  </si>
  <si>
    <t>https://www.zillow.com/homedetails/24886844_zpid/</t>
  </si>
  <si>
    <t>$1,421,337</t>
  </si>
  <si>
    <t>9145 Maple Dr, Sacramento, TX 34535</t>
  </si>
  <si>
    <t>Z644034</t>
  </si>
  <si>
    <t>https://www.zillow.com/homedetails/31077865_zpid/</t>
  </si>
  <si>
    <t>$977,475</t>
  </si>
  <si>
    <t>6044 Main St, Sacramento, IL 74353</t>
  </si>
  <si>
    <t>Z857555</t>
  </si>
  <si>
    <t>https://www.zillow.com/homedetails/31647725_zpid/</t>
  </si>
  <si>
    <t>$406,192</t>
  </si>
  <si>
    <t>7776 Oak Ave, Sacramento, IL 44554</t>
  </si>
  <si>
    <t>Z372530</t>
  </si>
  <si>
    <t>https://www.zillow.com/homedetails/22204245_zpid/</t>
  </si>
  <si>
    <t>$145,136</t>
  </si>
  <si>
    <t>4115 Maple Dr, San Diego, CA 37330</t>
  </si>
  <si>
    <t>Z247965</t>
  </si>
  <si>
    <t>https://www.zillow.com/homedetails/99807382_zpid/</t>
  </si>
  <si>
    <t>$1,169,326</t>
  </si>
  <si>
    <t>2042 Pine Rd, Los Angeles, NY 25727</t>
  </si>
  <si>
    <t>Z683332</t>
  </si>
  <si>
    <t>https://www.zillow.com/homedetails/63304222_zpid/</t>
  </si>
  <si>
    <t>$851,439</t>
  </si>
  <si>
    <t>6427 Pine Rd, San Diego, CA 77829</t>
  </si>
  <si>
    <t>Z996390</t>
  </si>
  <si>
    <t>https://www.zillow.com/homedetails/17424371_zpid/</t>
  </si>
  <si>
    <t>$493,384</t>
  </si>
  <si>
    <t>4760 Pine Rd, Sacramento, FL 96815</t>
  </si>
  <si>
    <t>Z424450</t>
  </si>
  <si>
    <t>https://www.zillow.com/homedetails/72502590_zpid/</t>
  </si>
  <si>
    <t>$702,616</t>
  </si>
  <si>
    <t>8671 Maple Dr, San Diego, CA 43982</t>
  </si>
  <si>
    <t>Z869823</t>
  </si>
  <si>
    <t>https://www.zillow.com/homedetails/48193558_zpid/</t>
  </si>
  <si>
    <t>$1,444,049</t>
  </si>
  <si>
    <t>8617 Oak Ave, Sacramento, IL 57281</t>
  </si>
  <si>
    <t>Z540483</t>
  </si>
  <si>
    <t>https://www.zillow.com/homedetails/68545974_zpid/</t>
  </si>
  <si>
    <t>$691,610</t>
  </si>
  <si>
    <t>1136 Maple Dr, San Francisco, FL 63545</t>
  </si>
  <si>
    <t>Z138106</t>
  </si>
  <si>
    <t>https://www.zillow.com/homedetails/14421496_zpid/</t>
  </si>
  <si>
    <t>$1,016,112</t>
  </si>
  <si>
    <t>5230 Pine Rd, Fresno, TX 20382</t>
  </si>
  <si>
    <t>Z709901</t>
  </si>
  <si>
    <t>https://www.zillow.com/homedetails/14097575_zpid/</t>
  </si>
  <si>
    <t>$462,828</t>
  </si>
  <si>
    <t>2595 Oak Ave, San Diego, TX 98979</t>
  </si>
  <si>
    <t>Z412447</t>
  </si>
  <si>
    <t>https://www.zillow.com/homedetails/10035517_zpid/</t>
  </si>
  <si>
    <t>$813,988</t>
  </si>
  <si>
    <t>2315 Oak Ave, Sacramento, TX 70724</t>
  </si>
  <si>
    <t>Z815888</t>
  </si>
  <si>
    <t>https://www.zillow.com/homedetails/53139842_zpid/</t>
  </si>
  <si>
    <t>$1,442,853</t>
  </si>
  <si>
    <t>976 Oak Ave, San Diego, IL 32794</t>
  </si>
  <si>
    <t>Z151863</t>
  </si>
  <si>
    <t>https://www.zillow.com/homedetails/30857336_zpid/</t>
  </si>
  <si>
    <t>$1,131,018</t>
  </si>
  <si>
    <t>5226 Maple Dr, San Diego, FL 91896</t>
  </si>
  <si>
    <t>Z230201</t>
  </si>
  <si>
    <t>https://www.zillow.com/homedetails/54114620_zpid/</t>
  </si>
  <si>
    <t>$1,407,385</t>
  </si>
  <si>
    <t>8351 Pine Rd, Fresno, NY 16603</t>
  </si>
  <si>
    <t>Z900695</t>
  </si>
  <si>
    <t>https://www.zillow.com/homedetails/39664581_zpid/</t>
  </si>
  <si>
    <t>$419,698</t>
  </si>
  <si>
    <t>5187 Maple Dr, San Diego, CA 11546</t>
  </si>
  <si>
    <t>Z683261</t>
  </si>
  <si>
    <t>https://www.zillow.com/homedetails/12505085_zpid/</t>
  </si>
  <si>
    <t>$903,859</t>
  </si>
  <si>
    <t>2105 Elm St, Fresno, CA 23854</t>
  </si>
  <si>
    <t>Z236707</t>
  </si>
  <si>
    <t>https://www.zillow.com/homedetails/57109456_zpid/</t>
  </si>
  <si>
    <t>$398,506</t>
  </si>
  <si>
    <t>6041 Maple Dr, Fresno, FL 34652</t>
  </si>
  <si>
    <t>Z293311</t>
  </si>
  <si>
    <t>https://www.zillow.com/homedetails/40815662_zpid/</t>
  </si>
  <si>
    <t>$378,449</t>
  </si>
  <si>
    <t>6176 Oak Ave, Los Angeles, CA 74325</t>
  </si>
  <si>
    <t>Z808235</t>
  </si>
  <si>
    <t>https://www.zillow.com/homedetails/26399854_zpid/</t>
  </si>
  <si>
    <t>$495,312</t>
  </si>
  <si>
    <t>1863 Main St, Sacramento, NY 10634</t>
  </si>
  <si>
    <t>Z164399</t>
  </si>
  <si>
    <t>https://www.zillow.com/homedetails/37789449_zpid/</t>
  </si>
  <si>
    <t>$662,727</t>
  </si>
  <si>
    <t>5976 Maple Dr, San Diego, FL 96555</t>
  </si>
  <si>
    <t>Z470162</t>
  </si>
  <si>
    <t>https://www.zillow.com/homedetails/27710525_zpid/</t>
  </si>
  <si>
    <t>$353,584</t>
  </si>
  <si>
    <t>3373 Elm St, San Francisco, CA 38222</t>
  </si>
  <si>
    <t>Z612003</t>
  </si>
  <si>
    <t>https://www.zillow.com/homedetails/16512783_zpid/</t>
  </si>
  <si>
    <t>$1,442,996</t>
  </si>
  <si>
    <t>4190 Pine Rd, Los Angeles, TX 21034</t>
  </si>
  <si>
    <t>Z759632</t>
  </si>
  <si>
    <t>https://www.zillow.com/homedetails/75090835_zpid/</t>
  </si>
  <si>
    <t>$557,640</t>
  </si>
  <si>
    <t>402 Oak Ave, Sacramento, CA 81544</t>
  </si>
  <si>
    <t>https://www.zillow.com/homedetails/88733757_zpid/</t>
  </si>
  <si>
    <t>$643,639</t>
  </si>
  <si>
    <t>2283 Oak Ave, San Francisco, NY 80401</t>
  </si>
  <si>
    <t>Z192925</t>
  </si>
  <si>
    <t>https://www.zillow.com/homedetails/70270357_zpid/</t>
  </si>
  <si>
    <t>$229,145</t>
  </si>
  <si>
    <t>9872 Pine Rd, Los Angeles, FL 19196</t>
  </si>
  <si>
    <t>Z311984</t>
  </si>
  <si>
    <t>https://www.zillow.com/homedetails/23907347_zpid/</t>
  </si>
  <si>
    <t>$1,219,813</t>
  </si>
  <si>
    <t>9933 Oak Ave, Sacramento, TX 95536</t>
  </si>
  <si>
    <t>Z888525</t>
  </si>
  <si>
    <t>https://www.zillow.com/homedetails/28923673_zpid/</t>
  </si>
  <si>
    <t>$940,081</t>
  </si>
  <si>
    <t>1175 Maple Dr, San Diego, IL 90961</t>
  </si>
  <si>
    <t>Z673332</t>
  </si>
  <si>
    <t>https://www.zillow.com/homedetails/36184914_zpid/</t>
  </si>
  <si>
    <t>$435,007</t>
  </si>
  <si>
    <t>382 Pine Rd, San Diego, NY 56099</t>
  </si>
  <si>
    <t>Z777814</t>
  </si>
  <si>
    <t>https://www.zillow.com/homedetails/77561355_zpid/</t>
  </si>
  <si>
    <t>$435,821</t>
  </si>
  <si>
    <t>9568 Maple Dr, San Diego, IL 97907</t>
  </si>
  <si>
    <t>Z843669</t>
  </si>
  <si>
    <t>https://www.zillow.com/homedetails/87490173_zpid/</t>
  </si>
  <si>
    <t>$1,105,789</t>
  </si>
  <si>
    <t>2574 Main St, San Francisco, FL 12051</t>
  </si>
  <si>
    <t>Z368116</t>
  </si>
  <si>
    <t>https://www.zillow.com/homedetails/51394667_zpid/</t>
  </si>
  <si>
    <t>$1,456,728</t>
  </si>
  <si>
    <t>3762 Maple Dr, San Francisco, NY 17955</t>
  </si>
  <si>
    <t>Z881538</t>
  </si>
  <si>
    <t>https://www.zillow.com/homedetails/66257187_zpid/</t>
  </si>
  <si>
    <t>$330,624</t>
  </si>
  <si>
    <t>9026 Maple Dr, Los Angeles, IL 49084</t>
  </si>
  <si>
    <t>Z231382</t>
  </si>
  <si>
    <t>https://www.zillow.com/homedetails/49789174_zpid/</t>
  </si>
  <si>
    <t>$537,103</t>
  </si>
  <si>
    <t>3825 Main St, San Diego, NY 81454</t>
  </si>
  <si>
    <t>Z848736</t>
  </si>
  <si>
    <t>https://www.zillow.com/homedetails/34842246_zpid/</t>
  </si>
  <si>
    <t>$330,544</t>
  </si>
  <si>
    <t>4554 Elm St, San Diego, FL 73076</t>
  </si>
  <si>
    <t>Z526427</t>
  </si>
  <si>
    <t>https://www.zillow.com/homedetails/78677096_zpid/</t>
  </si>
  <si>
    <t>$339,064</t>
  </si>
  <si>
    <t>4197 Maple Dr, Los Angeles, NY 71720</t>
  </si>
  <si>
    <t>Z132054</t>
  </si>
  <si>
    <t>https://www.zillow.com/homedetails/28693216_zpid/</t>
  </si>
  <si>
    <t>$903,893</t>
  </si>
  <si>
    <t>9617 Main St, Sacramento, IL 46598</t>
  </si>
  <si>
    <t>Z693314</t>
  </si>
  <si>
    <t>https://www.zillow.com/homedetails/44443160_zpid/</t>
  </si>
  <si>
    <t>$1,292,907</t>
  </si>
  <si>
    <t>2265 Main St, Fresno, CA 42023</t>
  </si>
  <si>
    <t>Z620466</t>
  </si>
  <si>
    <t>https://www.zillow.com/homedetails/97915485_zpid/</t>
  </si>
  <si>
    <t>$1,301,461</t>
  </si>
  <si>
    <t>8300 Elm St, Los Angeles, IL 73076</t>
  </si>
  <si>
    <t>Z607557</t>
  </si>
  <si>
    <t>https://www.zillow.com/homedetails/50356300_zpid/</t>
  </si>
  <si>
    <t>$697,001</t>
  </si>
  <si>
    <t>1668 Maple Dr, Los Angeles, IL 83705</t>
  </si>
  <si>
    <t>Z664361</t>
  </si>
  <si>
    <t>https://www.zillow.com/homedetails/69255239_zpid/</t>
  </si>
  <si>
    <t>$1,015,024</t>
  </si>
  <si>
    <t>1304 Main St, Sacramento, IL 63825</t>
  </si>
  <si>
    <t>Z696908</t>
  </si>
  <si>
    <t>https://www.zillow.com/homedetails/30470382_zpid/</t>
  </si>
  <si>
    <t>$1,469,651</t>
  </si>
  <si>
    <t>8244 Elm St, San Diego, IL 51725</t>
  </si>
  <si>
    <t>Z129666</t>
  </si>
  <si>
    <t>https://www.zillow.com/homedetails/96831366_zpid/</t>
  </si>
  <si>
    <t>$1,449,947</t>
  </si>
  <si>
    <t>5663 Oak Ave, Los Angeles, NY 31656</t>
  </si>
  <si>
    <t>Z161013</t>
  </si>
  <si>
    <t>https://www.zillow.com/homedetails/83590023_zpid/</t>
  </si>
  <si>
    <t>$1,368,349</t>
  </si>
  <si>
    <t>3425 Elm St, Sacramento, TX 40452</t>
  </si>
  <si>
    <t>Z731399</t>
  </si>
  <si>
    <t>https://www.zillow.com/homedetails/82094518_zpid/</t>
  </si>
  <si>
    <t>$403,326</t>
  </si>
  <si>
    <t>9810 Oak Ave, Sacramento, CA 45299</t>
  </si>
  <si>
    <t>Z454448</t>
  </si>
  <si>
    <t>https://www.zillow.com/homedetails/66268569_zpid/</t>
  </si>
  <si>
    <t>$703,004</t>
  </si>
  <si>
    <t>7054 Pine Rd, San Diego, TX 69638</t>
  </si>
  <si>
    <t>Z113330</t>
  </si>
  <si>
    <t>https://www.zillow.com/homedetails/26211655_zpid/</t>
  </si>
  <si>
    <t>$1,077,979</t>
  </si>
  <si>
    <t>2326 Pine Rd, Los Angeles, CA 85976</t>
  </si>
  <si>
    <t>Z649595</t>
  </si>
  <si>
    <t>https://www.zillow.com/homedetails/85562234_zpid/</t>
  </si>
  <si>
    <t>$1,377,628</t>
  </si>
  <si>
    <t>9714 Main St, San Francisco, NY 15650</t>
  </si>
  <si>
    <t>Z227679</t>
  </si>
  <si>
    <t>https://www.zillow.com/homedetails/66497968_zpid/</t>
  </si>
  <si>
    <t>$979,483</t>
  </si>
  <si>
    <t>4518 Maple Dr, San Francisco, CA 48296</t>
  </si>
  <si>
    <t>Z969351</t>
  </si>
  <si>
    <t>https://www.zillow.com/homedetails/40989005_zpid/</t>
  </si>
  <si>
    <t>$607,071</t>
  </si>
  <si>
    <t>1531 Pine Rd, Fresno, CA 32435</t>
  </si>
  <si>
    <t>Z125952</t>
  </si>
  <si>
    <t>https://www.zillow.com/homedetails/30504022_zpid/</t>
  </si>
  <si>
    <t>$1,112,794</t>
  </si>
  <si>
    <t>8366 Maple Dr, Los Angeles, IL 83851</t>
  </si>
  <si>
    <t>Z618238</t>
  </si>
  <si>
    <t>https://www.zillow.com/homedetails/38452380_zpid/</t>
  </si>
  <si>
    <t>$1,012,826</t>
  </si>
  <si>
    <t>4038 Main St, Los Angeles, NY 46718</t>
  </si>
  <si>
    <t>Z815061</t>
  </si>
  <si>
    <t>https://www.zillow.com/homedetails/70748296_zpid/</t>
  </si>
  <si>
    <t>$572,355</t>
  </si>
  <si>
    <t>921 Oak Ave, San Diego, NY 37003</t>
  </si>
  <si>
    <t>Z969907</t>
  </si>
  <si>
    <t>https://www.zillow.com/homedetails/21816339_zpid/</t>
  </si>
  <si>
    <t>$336,640</t>
  </si>
  <si>
    <t>7470 Pine Rd, Sacramento, NY 14781</t>
  </si>
  <si>
    <t>Z379514</t>
  </si>
  <si>
    <t>https://www.zillow.com/homedetails/69894911_zpid/</t>
  </si>
  <si>
    <t>$577,795</t>
  </si>
  <si>
    <t>4815 Maple Dr, San Diego, CA 33178</t>
  </si>
  <si>
    <t>Z206323</t>
  </si>
  <si>
    <t>https://www.zillow.com/homedetails/97060859_zpid/</t>
  </si>
  <si>
    <t>$1,455,708</t>
  </si>
  <si>
    <t>9571 Elm St, Los Angeles, NY 21112</t>
  </si>
  <si>
    <t>Z383697</t>
  </si>
  <si>
    <t>https://www.zillow.com/homedetails/11000310_zpid/</t>
  </si>
  <si>
    <t>$1,225,749</t>
  </si>
  <si>
    <t>912 Main St, Sacramento, CA 73257</t>
  </si>
  <si>
    <t>Z891262</t>
  </si>
  <si>
    <t>https://www.zillow.com/homedetails/44569441_zpid/</t>
  </si>
  <si>
    <t>$576,495</t>
  </si>
  <si>
    <t>4113 Oak Ave, San Diego, TX 41457</t>
  </si>
  <si>
    <t>Z955965</t>
  </si>
  <si>
    <t>https://www.zillow.com/homedetails/30055780_zpid/</t>
  </si>
  <si>
    <t>$654,485</t>
  </si>
  <si>
    <t>8383 Main St, Los Angeles, TX 67605</t>
  </si>
  <si>
    <t>Z588524</t>
  </si>
  <si>
    <t>https://www.zillow.com/homedetails/91538898_zpid/</t>
  </si>
  <si>
    <t>$1,102,154</t>
  </si>
  <si>
    <t>5869 Oak Ave, San Francisco, CA 46426</t>
  </si>
  <si>
    <t>Z841888</t>
  </si>
  <si>
    <t>https://www.zillow.com/homedetails/98594137_zpid/</t>
  </si>
  <si>
    <t>$870,466</t>
  </si>
  <si>
    <t>534 Main St, Los Angeles, CA 10094</t>
  </si>
  <si>
    <t>Z768018</t>
  </si>
  <si>
    <t>https://www.zillow.com/homedetails/82969536_zpid/</t>
  </si>
  <si>
    <t>$273,995</t>
  </si>
  <si>
    <t>6970 Pine Rd, San Francisco, NY 56441</t>
  </si>
  <si>
    <t>Z145971</t>
  </si>
  <si>
    <t>https://www.zillow.com/homedetails/97279385_zpid/</t>
  </si>
  <si>
    <t>$967,316</t>
  </si>
  <si>
    <t>1500 Elm St, Fresno, FL 80142</t>
  </si>
  <si>
    <t>Z239217</t>
  </si>
  <si>
    <t>https://www.zillow.com/homedetails/84642010_zpid/</t>
  </si>
  <si>
    <t>$392,020</t>
  </si>
  <si>
    <t>2501 Main St, San Diego, NY 85892</t>
  </si>
  <si>
    <t>Z244493</t>
  </si>
  <si>
    <t>https://www.zillow.com/homedetails/90321289_zpid/</t>
  </si>
  <si>
    <t>$191,377</t>
  </si>
  <si>
    <t>336 Elm St, Fresno, NY 91466</t>
  </si>
  <si>
    <t>Z626768</t>
  </si>
  <si>
    <t>https://www.zillow.com/homedetails/13280720_zpid/</t>
  </si>
  <si>
    <t>$1,410,174</t>
  </si>
  <si>
    <t>6526 Main St, Sacramento, FL 97181</t>
  </si>
  <si>
    <t>Z949445</t>
  </si>
  <si>
    <t>https://www.zillow.com/homedetails/17853030_zpid/</t>
  </si>
  <si>
    <t>$935,900</t>
  </si>
  <si>
    <t>6462 Maple Dr, San Diego, TX 33686</t>
  </si>
  <si>
    <t>Z353355</t>
  </si>
  <si>
    <t>https://www.zillow.com/homedetails/37455150_zpid/</t>
  </si>
  <si>
    <t>$792,207</t>
  </si>
  <si>
    <t>8939 Main St, Sacramento, IL 91469</t>
  </si>
  <si>
    <t>Z244619</t>
  </si>
  <si>
    <t>https://www.zillow.com/homedetails/84966191_zpid/</t>
  </si>
  <si>
    <t>$1,034,308</t>
  </si>
  <si>
    <t>7600 Maple Dr, Los Angeles, CA 78693</t>
  </si>
  <si>
    <t>Z102417</t>
  </si>
  <si>
    <t>https://www.zillow.com/homedetails/93192183_zpid/</t>
  </si>
  <si>
    <t>$1,031,274</t>
  </si>
  <si>
    <t>5319 Elm St, Fresno, TX 48351</t>
  </si>
  <si>
    <t>Z506752</t>
  </si>
  <si>
    <t>https://www.zillow.com/homedetails/48779198_zpid/</t>
  </si>
  <si>
    <t>$1,225,062</t>
  </si>
  <si>
    <t>5235 Oak Ave, Los Angeles, CA 39917</t>
  </si>
  <si>
    <t>Z363604</t>
  </si>
  <si>
    <t>https://www.zillow.com/homedetails/91576047_zpid/</t>
  </si>
  <si>
    <t>$1,280,322</t>
  </si>
  <si>
    <t>8540 Maple Dr, Fresno, TX 41512</t>
  </si>
  <si>
    <t>Z933835</t>
  </si>
  <si>
    <t>https://www.zillow.com/homedetails/27782257_zpid/</t>
  </si>
  <si>
    <t>$1,342,910</t>
  </si>
  <si>
    <t>2266 Main St, Fresno, IL 63614</t>
  </si>
  <si>
    <t>Z603819</t>
  </si>
  <si>
    <t>https://www.zillow.com/homedetails/92832229_zpid/</t>
  </si>
  <si>
    <t>$580,380</t>
  </si>
  <si>
    <t>5423 Pine Rd, Fresno, NY 73090</t>
  </si>
  <si>
    <t>Z576804</t>
  </si>
  <si>
    <t>https://www.zillow.com/homedetails/33408735_zpid/</t>
  </si>
  <si>
    <t>$975,397</t>
  </si>
  <si>
    <t>2888 Maple Dr, San Francisco, IL 33337</t>
  </si>
  <si>
    <t>Z602747</t>
  </si>
  <si>
    <t>https://www.zillow.com/homedetails/44326932_zpid/</t>
  </si>
  <si>
    <t>$179,425</t>
  </si>
  <si>
    <t>7011 Pine Rd, San Diego, TX 49965</t>
  </si>
  <si>
    <t>Z121444</t>
  </si>
  <si>
    <t>https://www.zillow.com/homedetails/66827099_zpid/</t>
  </si>
  <si>
    <t>$1,306,875</t>
  </si>
  <si>
    <t>9460 Maple Dr, Fresno, FL 95831</t>
  </si>
  <si>
    <t>Z971536</t>
  </si>
  <si>
    <t>https://www.zillow.com/homedetails/34635744_zpid/</t>
  </si>
  <si>
    <t>$1,077,300</t>
  </si>
  <si>
    <t>8350 Pine Rd, San Francisco, NY 93937</t>
  </si>
  <si>
    <t>Z215537</t>
  </si>
  <si>
    <t>https://www.zillow.com/homedetails/35755589_zpid/</t>
  </si>
  <si>
    <t>$682,633</t>
  </si>
  <si>
    <t>3915 Elm St, Fresno, NY 78072</t>
  </si>
  <si>
    <t>Z520403</t>
  </si>
  <si>
    <t>https://www.zillow.com/homedetails/70900234_zpid/</t>
  </si>
  <si>
    <t>$610,670</t>
  </si>
  <si>
    <t>8945 Pine Rd, Fresno, FL 46716</t>
  </si>
  <si>
    <t>Z811864</t>
  </si>
  <si>
    <t>https://www.zillow.com/homedetails/35639870_zpid/</t>
  </si>
  <si>
    <t>$292,506</t>
  </si>
  <si>
    <t>7600 Oak Ave, Los Angeles, CA 88468</t>
  </si>
  <si>
    <t>Z348326</t>
  </si>
  <si>
    <t>https://www.zillow.com/homedetails/21087887_zpid/</t>
  </si>
  <si>
    <t>$1,334,871</t>
  </si>
  <si>
    <t>8396 Maple Dr, San Francisco, IL 33913</t>
  </si>
  <si>
    <t>Z976639</t>
  </si>
  <si>
    <t>https://www.zillow.com/homedetails/30828111_zpid/</t>
  </si>
  <si>
    <t>$1,359,613</t>
  </si>
  <si>
    <t>2704 Pine Rd, San Francisco, TX 38037</t>
  </si>
  <si>
    <t>Z556321</t>
  </si>
  <si>
    <t>https://www.zillow.com/homedetails/71242982_zpid/</t>
  </si>
  <si>
    <t>$1,061,821</t>
  </si>
  <si>
    <t>9900 Pine Rd, Sacramento, CA 23444</t>
  </si>
  <si>
    <t>Z335923</t>
  </si>
  <si>
    <t>https://www.zillow.com/homedetails/79376957_zpid/</t>
  </si>
  <si>
    <t>$630,286</t>
  </si>
  <si>
    <t>9784 Elm St, Sacramento, NY 75342</t>
  </si>
  <si>
    <t>Z480303</t>
  </si>
  <si>
    <t>https://www.zillow.com/homedetails/29521083_zpid/</t>
  </si>
  <si>
    <t>$1,472,857</t>
  </si>
  <si>
    <t>2519 Pine Rd, Fresno, FL 97893</t>
  </si>
  <si>
    <t>Z669008</t>
  </si>
  <si>
    <t>https://www.zillow.com/homedetails/62777868_zpid/</t>
  </si>
  <si>
    <t>$605,221</t>
  </si>
  <si>
    <t>8994 Oak Ave, Sacramento, NY 60800</t>
  </si>
  <si>
    <t>Z699079</t>
  </si>
  <si>
    <t>https://www.zillow.com/homedetails/72035080_zpid/</t>
  </si>
  <si>
    <t>$446,674</t>
  </si>
  <si>
    <t>8509 Oak Ave, Los Angeles, TX 98485</t>
  </si>
  <si>
    <t>Z523878</t>
  </si>
  <si>
    <t>https://www.zillow.com/homedetails/98705177_zpid/</t>
  </si>
  <si>
    <t>$993,686</t>
  </si>
  <si>
    <t>8452 Elm St, San Francisco, TX 79458</t>
  </si>
  <si>
    <t>Z718642</t>
  </si>
  <si>
    <t>https://www.zillow.com/homedetails/86533611_zpid/</t>
  </si>
  <si>
    <t>$226,693</t>
  </si>
  <si>
    <t>2575 Main St, Sacramento, TX 53695</t>
  </si>
  <si>
    <t>Z836052</t>
  </si>
  <si>
    <t>https://www.zillow.com/homedetails/77815368_zpid/</t>
  </si>
  <si>
    <t>$1,319,712</t>
  </si>
  <si>
    <t>8546 Elm St, San Francisco, FL 31676</t>
  </si>
  <si>
    <t>Z381554</t>
  </si>
  <si>
    <t>https://www.zillow.com/homedetails/32762434_zpid/</t>
  </si>
  <si>
    <t>$1,288,890</t>
  </si>
  <si>
    <t>9880 Maple Dr, Los Angeles, TX 72493</t>
  </si>
  <si>
    <t>Z384635</t>
  </si>
  <si>
    <t>https://www.zillow.com/homedetails/47648669_zpid/</t>
  </si>
  <si>
    <t>$956,034</t>
  </si>
  <si>
    <t>9238 Elm St, San Diego, CA 77866</t>
  </si>
  <si>
    <t>Z408626</t>
  </si>
  <si>
    <t>https://www.zillow.com/homedetails/13190743_zpid/</t>
  </si>
  <si>
    <t>$520,950</t>
  </si>
  <si>
    <t>9711 Elm St, San Francisco, CA 30651</t>
  </si>
  <si>
    <t>Z584485</t>
  </si>
  <si>
    <t>https://www.zillow.com/homedetails/57197003_zpid/</t>
  </si>
  <si>
    <t>$142,594</t>
  </si>
  <si>
    <t>7612 Elm St, San Diego, CA 48533</t>
  </si>
  <si>
    <t>Z660980</t>
  </si>
  <si>
    <t>https://www.zillow.com/homedetails/40571130_zpid/</t>
  </si>
  <si>
    <t>$686,609</t>
  </si>
  <si>
    <t>8698 Pine Rd, Fresno, IL 47743</t>
  </si>
  <si>
    <t>Z821315</t>
  </si>
  <si>
    <t>https://www.zillow.com/homedetails/80040728_zpid/</t>
  </si>
  <si>
    <t>$1,065,686</t>
  </si>
  <si>
    <t>6550 Elm St, Fresno, CA 92161</t>
  </si>
  <si>
    <t>Z152070</t>
  </si>
  <si>
    <t>https://www.zillow.com/homedetails/31042613_zpid/</t>
  </si>
  <si>
    <t>$410,142</t>
  </si>
  <si>
    <t>6759 Maple Dr, Los Angeles, NY 16632</t>
  </si>
  <si>
    <t>Z922929</t>
  </si>
  <si>
    <t>https://www.zillow.com/homedetails/64461287_zpid/</t>
  </si>
  <si>
    <t>$634,856</t>
  </si>
  <si>
    <t>9342 Maple Dr, Sacramento, CA 88286</t>
  </si>
  <si>
    <t>Z463561</t>
  </si>
  <si>
    <t>https://www.zillow.com/homedetails/71007372_zpid/</t>
  </si>
  <si>
    <t>$736,810</t>
  </si>
  <si>
    <t>7497 Maple Dr, San Francisco, FL 13831</t>
  </si>
  <si>
    <t>Z533889</t>
  </si>
  <si>
    <t>https://www.zillow.com/homedetails/13067344_zpid/</t>
  </si>
  <si>
    <t>$802,318</t>
  </si>
  <si>
    <t>748 Main St, San Francisco, CA 58519</t>
  </si>
  <si>
    <t>Z650599</t>
  </si>
  <si>
    <t>https://www.zillow.com/homedetails/43212537_zpid/</t>
  </si>
  <si>
    <t>$475,065</t>
  </si>
  <si>
    <t>7628 Pine Rd, Los Angeles, IL 88449</t>
  </si>
  <si>
    <t>Z250580</t>
  </si>
  <si>
    <t>https://www.zillow.com/homedetails/86436868_zpid/</t>
  </si>
  <si>
    <t>$851,420</t>
  </si>
  <si>
    <t>5664 Elm St, Sacramento, NY 20336</t>
  </si>
  <si>
    <t>Z528963</t>
  </si>
  <si>
    <t>https://www.zillow.com/homedetails/31889566_zpid/</t>
  </si>
  <si>
    <t>$200,218</t>
  </si>
  <si>
    <t>6692 Main St, Fresno, NY 92482</t>
  </si>
  <si>
    <t>Z495468</t>
  </si>
  <si>
    <t>https://www.zillow.com/homedetails/33276209_zpid/</t>
  </si>
  <si>
    <t>$848,974</t>
  </si>
  <si>
    <t>6538 Main St, Fresno, TX 18987</t>
  </si>
  <si>
    <t>Z652104</t>
  </si>
  <si>
    <t>https://www.zillow.com/homedetails/10190163_zpid/</t>
  </si>
  <si>
    <t>$550,731</t>
  </si>
  <si>
    <t>3284 Maple Dr, San Diego, NY 43311</t>
  </si>
  <si>
    <t>Z461227</t>
  </si>
  <si>
    <t>https://www.zillow.com/homedetails/44198964_zpid/</t>
  </si>
  <si>
    <t>$751,038</t>
  </si>
  <si>
    <t>4876 Oak Ave, Fresno, TX 92714</t>
  </si>
  <si>
    <t>Z105335</t>
  </si>
  <si>
    <t>https://www.zillow.com/homedetails/86660401_zpid/</t>
  </si>
  <si>
    <t>$1,385,988</t>
  </si>
  <si>
    <t>6644 Oak Ave, Los Angeles, TX 89134</t>
  </si>
  <si>
    <t>Z479558</t>
  </si>
  <si>
    <t>https://www.zillow.com/homedetails/60275421_zpid/</t>
  </si>
  <si>
    <t>$1,490,235</t>
  </si>
  <si>
    <t>5127 Pine Rd, San Diego, TX 83362</t>
  </si>
  <si>
    <t>Z184034</t>
  </si>
  <si>
    <t>https://www.zillow.com/homedetails/68307233_zpid/</t>
  </si>
  <si>
    <t>$270,055</t>
  </si>
  <si>
    <t>6582 Oak Ave, Sacramento, NY 69720</t>
  </si>
  <si>
    <t>Z816713</t>
  </si>
  <si>
    <t>https://www.zillow.com/homedetails/34435084_zpid/</t>
  </si>
  <si>
    <t>$550,460</t>
  </si>
  <si>
    <t>1539 Elm St, San Francisco, TX 93926</t>
  </si>
  <si>
    <t>Z100893</t>
  </si>
  <si>
    <t>https://www.zillow.com/homedetails/92712199_zpid/</t>
  </si>
  <si>
    <t>$464,626</t>
  </si>
  <si>
    <t>2398 Elm St, Sacramento, TX 75022</t>
  </si>
  <si>
    <t>Z722154</t>
  </si>
  <si>
    <t>https://www.zillow.com/homedetails/20555107_zpid/</t>
  </si>
  <si>
    <t>$564,774</t>
  </si>
  <si>
    <t>1785 Pine Rd, Sacramento, CA 13806</t>
  </si>
  <si>
    <t>Z722041</t>
  </si>
  <si>
    <t>https://www.zillow.com/homedetails/15530533_zpid/</t>
  </si>
  <si>
    <t>$1,046,694</t>
  </si>
  <si>
    <t>7988 Oak Ave, Fresno, CA 67015</t>
  </si>
  <si>
    <t>Z463458</t>
  </si>
  <si>
    <t>https://www.zillow.com/homedetails/21315738_zpid/</t>
  </si>
  <si>
    <t>$438,301</t>
  </si>
  <si>
    <t>350 Elm St, San Francisco, TX 46345</t>
  </si>
  <si>
    <t>Z297200</t>
  </si>
  <si>
    <t>https://www.zillow.com/homedetails/26109236_zpid/</t>
  </si>
  <si>
    <t>$1,058,552</t>
  </si>
  <si>
    <t>1218 Main St, Sacramento, IL 77377</t>
  </si>
  <si>
    <t>Z176495</t>
  </si>
  <si>
    <t>https://www.zillow.com/homedetails/85357203_zpid/</t>
  </si>
  <si>
    <t>$1,274,693</t>
  </si>
  <si>
    <t>7879 Main St, San Diego, IL 27746</t>
  </si>
  <si>
    <t>Z443344</t>
  </si>
  <si>
    <t>https://www.zillow.com/homedetails/14255801_zpid/</t>
  </si>
  <si>
    <t>$591,413</t>
  </si>
  <si>
    <t>6614 Elm St, Sacramento, NY 29253</t>
  </si>
  <si>
    <t>Z778409</t>
  </si>
  <si>
    <t>https://www.zillow.com/homedetails/43234000_zpid/</t>
  </si>
  <si>
    <t>$202,048</t>
  </si>
  <si>
    <t>2410 Elm St, San Francisco, NY 50058</t>
  </si>
  <si>
    <t>Z480250</t>
  </si>
  <si>
    <t>https://www.zillow.com/homedetails/23444215_zpid/</t>
  </si>
  <si>
    <t>$484,824</t>
  </si>
  <si>
    <t>2981 Pine Rd, Sacramento, NY 78417</t>
  </si>
  <si>
    <t>Z961910</t>
  </si>
  <si>
    <t>https://www.zillow.com/homedetails/17999955_zpid/</t>
  </si>
  <si>
    <t>$975,639</t>
  </si>
  <si>
    <t>1685 Pine Rd, San Francisco, FL 62236</t>
  </si>
  <si>
    <t>Z900609</t>
  </si>
  <si>
    <t>https://www.zillow.com/homedetails/96572040_zpid/</t>
  </si>
  <si>
    <t>$375,868</t>
  </si>
  <si>
    <t>7093 Oak Ave, San Diego, NY 76509</t>
  </si>
  <si>
    <t>Z227791</t>
  </si>
  <si>
    <t>https://www.zillow.com/homedetails/13158425_zpid/</t>
  </si>
  <si>
    <t>$1,382,800</t>
  </si>
  <si>
    <t>3862 Maple Dr, San Diego, IL 10617</t>
  </si>
  <si>
    <t>Z672625</t>
  </si>
  <si>
    <t>https://www.zillow.com/homedetails/99244780_zpid/</t>
  </si>
  <si>
    <t>$926,788</t>
  </si>
  <si>
    <t>1843 Elm St, Sacramento, CA 39573</t>
  </si>
  <si>
    <t>Z119632</t>
  </si>
  <si>
    <t>https://www.zillow.com/homedetails/83535822_zpid/</t>
  </si>
  <si>
    <t>$822,548</t>
  </si>
  <si>
    <t>2130 Main St, Fresno, FL 59397</t>
  </si>
  <si>
    <t>Z842194</t>
  </si>
  <si>
    <t>https://www.zillow.com/homedetails/75818364_zpid/</t>
  </si>
  <si>
    <t>$571,568</t>
  </si>
  <si>
    <t>1986 Pine Rd, San Diego, FL 47551</t>
  </si>
  <si>
    <t>Z824497</t>
  </si>
  <si>
    <t>https://www.zillow.com/homedetails/69613070_zpid/</t>
  </si>
  <si>
    <t>$310,835</t>
  </si>
  <si>
    <t>2262 Elm St, Sacramento, TX 47857</t>
  </si>
  <si>
    <t>Z115088</t>
  </si>
  <si>
    <t>https://www.zillow.com/homedetails/51367069_zpid/</t>
  </si>
  <si>
    <t>$508,171</t>
  </si>
  <si>
    <t>1004 Oak Ave, San Francisco, TX 22352</t>
  </si>
  <si>
    <t>Z224469</t>
  </si>
  <si>
    <t>https://www.zillow.com/homedetails/79150581_zpid/</t>
  </si>
  <si>
    <t>$493,637</t>
  </si>
  <si>
    <t>7226 Oak Ave, San Diego, IL 45350</t>
  </si>
  <si>
    <t>Z998804</t>
  </si>
  <si>
    <t>https://www.zillow.com/homedetails/60765848_zpid/</t>
  </si>
  <si>
    <t>$125,582</t>
  </si>
  <si>
    <t>3478 Pine Rd, San Francisco, CA 63682</t>
  </si>
  <si>
    <t>Z416674</t>
  </si>
  <si>
    <t>https://www.zillow.com/homedetails/46934998_zpid/</t>
  </si>
  <si>
    <t>$358,855</t>
  </si>
  <si>
    <t>2050 Elm St, San Francisco, IL 14953</t>
  </si>
  <si>
    <t>Z592395</t>
  </si>
  <si>
    <t>https://www.zillow.com/homedetails/68881741_zpid/</t>
  </si>
  <si>
    <t>$333,088</t>
  </si>
  <si>
    <t>4168 Maple Dr, Los Angeles, FL 11197</t>
  </si>
  <si>
    <t>Z624194</t>
  </si>
  <si>
    <t>https://www.zillow.com/homedetails/68583332_zpid/</t>
  </si>
  <si>
    <t>$723,940</t>
  </si>
  <si>
    <t>5955 Elm St, Fresno, NY 34006</t>
  </si>
  <si>
    <t>Z451502</t>
  </si>
  <si>
    <t>https://www.zillow.com/homedetails/57640383_zpid/</t>
  </si>
  <si>
    <t>$841,326</t>
  </si>
  <si>
    <t>7016 Elm St, Los Angeles, FL 67275</t>
  </si>
  <si>
    <t>Z287035</t>
  </si>
  <si>
    <t>https://www.zillow.com/homedetails/73608419_zpid/</t>
  </si>
  <si>
    <t>$128,867</t>
  </si>
  <si>
    <t>2001 Oak Ave, San Francisco, IL 56583</t>
  </si>
  <si>
    <t>Z756024</t>
  </si>
  <si>
    <t>https://www.zillow.com/homedetails/27283534_zpid/</t>
  </si>
  <si>
    <t>$748,777</t>
  </si>
  <si>
    <t>8907 Oak Ave, Sacramento, IL 21455</t>
  </si>
  <si>
    <t>Z120515</t>
  </si>
  <si>
    <t>https://www.zillow.com/homedetails/42569906_zpid/</t>
  </si>
  <si>
    <t>$221,782</t>
  </si>
  <si>
    <t>2919 Maple Dr, Sacramento, TX 38208</t>
  </si>
  <si>
    <t>Z916655</t>
  </si>
  <si>
    <t>https://www.zillow.com/homedetails/80995473_zpid/</t>
  </si>
  <si>
    <t>$678,686</t>
  </si>
  <si>
    <t>8767 Pine Rd, Los Angeles, IL 35507</t>
  </si>
  <si>
    <t>Z315003</t>
  </si>
  <si>
    <t>https://www.zillow.com/homedetails/45024169_zpid/</t>
  </si>
  <si>
    <t>$1,029,713</t>
  </si>
  <si>
    <t>3172 Maple Dr, Los Angeles, TX 34696</t>
  </si>
  <si>
    <t>Z914262</t>
  </si>
  <si>
    <t>https://www.zillow.com/homedetails/17285618_zpid/</t>
  </si>
  <si>
    <t>$780,079</t>
  </si>
  <si>
    <t>3202 Oak Ave, Fresno, TX 83240</t>
  </si>
  <si>
    <t>Z205737</t>
  </si>
  <si>
    <t>https://www.zillow.com/homedetails/70597982_zpid/</t>
  </si>
  <si>
    <t>$285,725</t>
  </si>
  <si>
    <t>9418 Oak Ave, Fresno, IL 75571</t>
  </si>
  <si>
    <t>Z478658</t>
  </si>
  <si>
    <t>https://www.zillow.com/homedetails/87191928_zpid/</t>
  </si>
  <si>
    <t>$925,095</t>
  </si>
  <si>
    <t>4432 Oak Ave, Sacramento, IL 39262</t>
  </si>
  <si>
    <t>Z338381</t>
  </si>
  <si>
    <t>https://www.zillow.com/homedetails/45038674_zpid/</t>
  </si>
  <si>
    <t>$581,161</t>
  </si>
  <si>
    <t>2210 Pine Rd, Los Angeles, TX 13381</t>
  </si>
  <si>
    <t>Z521564</t>
  </si>
  <si>
    <t>https://www.zillow.com/homedetails/46294465_zpid/</t>
  </si>
  <si>
    <t>$815,451</t>
  </si>
  <si>
    <t>6103 Oak Ave, Fresno, CA 95682</t>
  </si>
  <si>
    <t>Z570990</t>
  </si>
  <si>
    <t>https://www.zillow.com/homedetails/78807094_zpid/</t>
  </si>
  <si>
    <t>$1,269,682</t>
  </si>
  <si>
    <t>6513 Main St, Fresno, CA 49064</t>
  </si>
  <si>
    <t>Z133144</t>
  </si>
  <si>
    <t>https://www.zillow.com/homedetails/19394023_zpid/</t>
  </si>
  <si>
    <t>$457,327</t>
  </si>
  <si>
    <t>6100 Oak Ave, San Diego, FL 35494</t>
  </si>
  <si>
    <t>Z497028</t>
  </si>
  <si>
    <t>https://www.zillow.com/homedetails/87350671_zpid/</t>
  </si>
  <si>
    <t>$146,019</t>
  </si>
  <si>
    <t>3610 Elm St, San Francisco, IL 99955</t>
  </si>
  <si>
    <t>Z505930</t>
  </si>
  <si>
    <t>https://www.zillow.com/homedetails/70266177_zpid/</t>
  </si>
  <si>
    <t>$1,282,414</t>
  </si>
  <si>
    <t>7573 Pine Rd, San Diego, IL 70133</t>
  </si>
  <si>
    <t>Z971906</t>
  </si>
  <si>
    <t>https://www.zillow.com/homedetails/30030854_zpid/</t>
  </si>
  <si>
    <t>$570,292</t>
  </si>
  <si>
    <t>8868 Main St, Los Angeles, CA 66789</t>
  </si>
  <si>
    <t>Z640845</t>
  </si>
  <si>
    <t>https://www.zillow.com/homedetails/27263304_zpid/</t>
  </si>
  <si>
    <t>$1,424,084</t>
  </si>
  <si>
    <t>1443 Elm St, Fresno, FL 12119</t>
  </si>
  <si>
    <t>Z143856</t>
  </si>
  <si>
    <t>https://www.zillow.com/homedetails/18602823_zpid/</t>
  </si>
  <si>
    <t>$728,684</t>
  </si>
  <si>
    <t>7725 Maple Dr, Sacramento, NY 41566</t>
  </si>
  <si>
    <t>Z122652</t>
  </si>
  <si>
    <t>https://www.zillow.com/homedetails/88382568_zpid/</t>
  </si>
  <si>
    <t>$1,404,704</t>
  </si>
  <si>
    <t>6758 Main St, Los Angeles, IL 54302</t>
  </si>
  <si>
    <t>Z413306</t>
  </si>
  <si>
    <t>https://www.zillow.com/homedetails/23557671_zpid/</t>
  </si>
  <si>
    <t>$837,702</t>
  </si>
  <si>
    <t>8630 Maple Dr, Sacramento, IL 93365</t>
  </si>
  <si>
    <t>Z556197</t>
  </si>
  <si>
    <t>https://www.zillow.com/homedetails/64734908_zpid/</t>
  </si>
  <si>
    <t>$976,667</t>
  </si>
  <si>
    <t>2012 Main St, Fresno, TX 13967</t>
  </si>
  <si>
    <t>Z472325</t>
  </si>
  <si>
    <t>https://www.zillow.com/homedetails/90873670_zpid/</t>
  </si>
  <si>
    <t>$380,705</t>
  </si>
  <si>
    <t>5094 Oak Ave, Sacramento, CA 31364</t>
  </si>
  <si>
    <t>Z915441</t>
  </si>
  <si>
    <t>https://www.zillow.com/homedetails/75485275_zpid/</t>
  </si>
  <si>
    <t>$1,444,268</t>
  </si>
  <si>
    <t>446 Pine Rd, San Francisco, NY 84752</t>
  </si>
  <si>
    <t>Z375650</t>
  </si>
  <si>
    <t>https://www.zillow.com/homedetails/91055774_zpid/</t>
  </si>
  <si>
    <t>4880 Elm St, Fresno, CA 60495</t>
  </si>
  <si>
    <t>Z103938</t>
  </si>
  <si>
    <t>https://www.zillow.com/homedetails/70050549_zpid/</t>
  </si>
  <si>
    <t>$804,005</t>
  </si>
  <si>
    <t>4836 Pine Rd, Sacramento, CA 76924</t>
  </si>
  <si>
    <t>Z878397</t>
  </si>
  <si>
    <t>https://www.zillow.com/homedetails/25733546_zpid/</t>
  </si>
  <si>
    <t>$711,326</t>
  </si>
  <si>
    <t>6029 Oak Ave, Los Angeles, FL 96371</t>
  </si>
  <si>
    <t>Z835257</t>
  </si>
  <si>
    <t>https://www.zillow.com/homedetails/33511704_zpid/</t>
  </si>
  <si>
    <t>$1,115,403</t>
  </si>
  <si>
    <t>6352 Pine Rd, Fresno, IL 65768</t>
  </si>
  <si>
    <t>Z983517</t>
  </si>
  <si>
    <t>https://www.zillow.com/homedetails/60455421_zpid/</t>
  </si>
  <si>
    <t>$1,195,807</t>
  </si>
  <si>
    <t>6184 Maple Dr, San Diego, IL 50834</t>
  </si>
  <si>
    <t>Z383229</t>
  </si>
  <si>
    <t>https://www.zillow.com/homedetails/52883374_zpid/</t>
  </si>
  <si>
    <t>$577,577</t>
  </si>
  <si>
    <t>1950 Elm St, San Francisco, CA 52705</t>
  </si>
  <si>
    <t>Z780614</t>
  </si>
  <si>
    <t>https://www.zillow.com/homedetails/48901922_zpid/</t>
  </si>
  <si>
    <t>$891,336</t>
  </si>
  <si>
    <t>4000 Elm St, Los Angeles, CA 62063</t>
  </si>
  <si>
    <t>Z976088</t>
  </si>
  <si>
    <t>https://www.zillow.com/homedetails/28534726_zpid/</t>
  </si>
  <si>
    <t>$841,531</t>
  </si>
  <si>
    <t>5129 Oak Ave, San Diego, TX 98726</t>
  </si>
  <si>
    <t>Z341457</t>
  </si>
  <si>
    <t>https://www.zillow.com/homedetails/71085289_zpid/</t>
  </si>
  <si>
    <t>$1,237,879</t>
  </si>
  <si>
    <t>6128 Oak Ave, San Diego, IL 22445</t>
  </si>
  <si>
    <t>Z313912</t>
  </si>
  <si>
    <t>https://www.zillow.com/homedetails/74509458_zpid/</t>
  </si>
  <si>
    <t>$464,902</t>
  </si>
  <si>
    <t>5071 Maple Dr, San Francisco, NY 51002</t>
  </si>
  <si>
    <t>Z569109</t>
  </si>
  <si>
    <t>https://www.zillow.com/homedetails/42266190_zpid/</t>
  </si>
  <si>
    <t>$978,336</t>
  </si>
  <si>
    <t>8055 Oak Ave, San Francisco, TX 41506</t>
  </si>
  <si>
    <t>Z799721</t>
  </si>
  <si>
    <t>https://www.zillow.com/homedetails/12877318_zpid/</t>
  </si>
  <si>
    <t>$1,009,011</t>
  </si>
  <si>
    <t>5470 Pine Rd, San Francisco, CA 92333</t>
  </si>
  <si>
    <t>Z897496</t>
  </si>
  <si>
    <t>https://www.zillow.com/homedetails/37956969_zpid/</t>
  </si>
  <si>
    <t>$248,621</t>
  </si>
  <si>
    <t>2676 Main St, Sacramento, NY 48036</t>
  </si>
  <si>
    <t>Z450292</t>
  </si>
  <si>
    <t>https://www.zillow.com/homedetails/16592889_zpid/</t>
  </si>
  <si>
    <t>$1,037,281</t>
  </si>
  <si>
    <t>9469 Main St, San Francisco, FL 45047</t>
  </si>
  <si>
    <t>Z561723</t>
  </si>
  <si>
    <t>https://www.zillow.com/homedetails/67760635_zpid/</t>
  </si>
  <si>
    <t>$533,084</t>
  </si>
  <si>
    <t>8375 Pine Rd, Fresno, FL 46347</t>
  </si>
  <si>
    <t>Z961185</t>
  </si>
  <si>
    <t>https://www.zillow.com/homedetails/98065502_zpid/</t>
  </si>
  <si>
    <t>$1,132,804</t>
  </si>
  <si>
    <t>8401 Elm St, San Diego, NY 35198</t>
  </si>
  <si>
    <t>Z797886</t>
  </si>
  <si>
    <t>https://www.zillow.com/homedetails/79854147_zpid/</t>
  </si>
  <si>
    <t>$459,734</t>
  </si>
  <si>
    <t>3068 Elm St, San Francisco, FL 82428</t>
  </si>
  <si>
    <t>Z730345</t>
  </si>
  <si>
    <t>https://www.zillow.com/homedetails/12869882_zpid/</t>
  </si>
  <si>
    <t>$796,312</t>
  </si>
  <si>
    <t>1773 Pine Rd, San Diego, NY 66000</t>
  </si>
  <si>
    <t>Z425896</t>
  </si>
  <si>
    <t>https://www.zillow.com/homedetails/48843485_zpid/</t>
  </si>
  <si>
    <t>$1,340,648</t>
  </si>
  <si>
    <t>1713 Pine Rd, Sacramento, NY 15583</t>
  </si>
  <si>
    <t>Z550507</t>
  </si>
  <si>
    <t>https://www.zillow.com/homedetails/28694704_zpid/</t>
  </si>
  <si>
    <t>$188,953</t>
  </si>
  <si>
    <t>5421 Elm St, Sacramento, FL 92649</t>
  </si>
  <si>
    <t>Z314758</t>
  </si>
  <si>
    <t>https://www.zillow.com/homedetails/42643907_zpid/</t>
  </si>
  <si>
    <t>$1,164,352</t>
  </si>
  <si>
    <t>5369 Main St, San Diego, NY 92760</t>
  </si>
  <si>
    <t>Z643681</t>
  </si>
  <si>
    <t>https://www.zillow.com/homedetails/76436515_zpid/</t>
  </si>
  <si>
    <t>$129,652</t>
  </si>
  <si>
    <t>530 Maple Dr, San Francisco, FL 35662</t>
  </si>
  <si>
    <t>Z696020</t>
  </si>
  <si>
    <t>https://www.zillow.com/homedetails/96294377_zpid/</t>
  </si>
  <si>
    <t>$1,176,035</t>
  </si>
  <si>
    <t>9137 Main St, Los Angeles, FL 95565</t>
  </si>
  <si>
    <t>Z465660</t>
  </si>
  <si>
    <t>https://www.zillow.com/homedetails/56236960_zpid/</t>
  </si>
  <si>
    <t>$135,966</t>
  </si>
  <si>
    <t>4079 Elm St, Los Angeles, CA 97508</t>
  </si>
  <si>
    <t>Z657461</t>
  </si>
  <si>
    <t>https://www.zillow.com/homedetails/77319020_zpid/</t>
  </si>
  <si>
    <t>$714,070</t>
  </si>
  <si>
    <t>4177 Pine Rd, San Francisco, CA 61959</t>
  </si>
  <si>
    <t>Z163880</t>
  </si>
  <si>
    <t>https://www.zillow.com/homedetails/33942889_zpid/</t>
  </si>
  <si>
    <t>$1,023,977</t>
  </si>
  <si>
    <t>4275 Main St, San Francisco, TX 27440</t>
  </si>
  <si>
    <t>Z918415</t>
  </si>
  <si>
    <t>https://www.zillow.com/homedetails/30321714_zpid/</t>
  </si>
  <si>
    <t>$407,981</t>
  </si>
  <si>
    <t>1148 Maple Dr, Los Angeles, NY 31427</t>
  </si>
  <si>
    <t>Z632701</t>
  </si>
  <si>
    <t>https://www.zillow.com/homedetails/32988729_zpid/</t>
  </si>
  <si>
    <t>$447,706</t>
  </si>
  <si>
    <t>9625 Pine Rd, San Francisco, IL 79435</t>
  </si>
  <si>
    <t>Z145694</t>
  </si>
  <si>
    <t>https://www.zillow.com/homedetails/26687290_zpid/</t>
  </si>
  <si>
    <t>$1,102,017</t>
  </si>
  <si>
    <t>6889 Elm St, Fresno, NY 22468</t>
  </si>
  <si>
    <t>Z531075</t>
  </si>
  <si>
    <t>https://www.zillow.com/homedetails/33529755_zpid/</t>
  </si>
  <si>
    <t>$637,069</t>
  </si>
  <si>
    <t>3019 Maple Dr, San Francisco, CA 69412</t>
  </si>
  <si>
    <t>Z377603</t>
  </si>
  <si>
    <t>https://www.zillow.com/homedetails/66659036_zpid/</t>
  </si>
  <si>
    <t>$1,481,833</t>
  </si>
  <si>
    <t>1865 Elm St, Sacramento, NY 53941</t>
  </si>
  <si>
    <t>Z567212</t>
  </si>
  <si>
    <t>https://www.zillow.com/homedetails/41216395_zpid/</t>
  </si>
  <si>
    <t>$1,312,514</t>
  </si>
  <si>
    <t>2252 Pine Rd, San Diego, FL 48650</t>
  </si>
  <si>
    <t>Z170874</t>
  </si>
  <si>
    <t>https://www.zillow.com/homedetails/65203572_zpid/</t>
  </si>
  <si>
    <t>$1,498,990</t>
  </si>
  <si>
    <t>4408 Pine Rd, Fresno, NY 62544</t>
  </si>
  <si>
    <t>Z861255</t>
  </si>
  <si>
    <t>https://www.zillow.com/homedetails/23423055_zpid/</t>
  </si>
  <si>
    <t>$628,075</t>
  </si>
  <si>
    <t>4207 Pine Rd, Fresno, IL 94763</t>
  </si>
  <si>
    <t>Z583927</t>
  </si>
  <si>
    <t>https://www.zillow.com/homedetails/64506676_zpid/</t>
  </si>
  <si>
    <t>$1,000,752</t>
  </si>
  <si>
    <t>7904 Main St, San Francisco, IL 36860</t>
  </si>
  <si>
    <t>Z568508</t>
  </si>
  <si>
    <t>https://www.zillow.com/homedetails/46257555_zpid/</t>
  </si>
  <si>
    <t>$613,429</t>
  </si>
  <si>
    <t>827 Oak Ave, Fresno, CA 72546</t>
  </si>
  <si>
    <t>Z690164</t>
  </si>
  <si>
    <t>https://www.zillow.com/homedetails/29139232_zpid/</t>
  </si>
  <si>
    <t>$649,507</t>
  </si>
  <si>
    <t>3702 Oak Ave, Fresno, NY 88446</t>
  </si>
  <si>
    <t>Z294465</t>
  </si>
  <si>
    <t>https://www.zillow.com/homedetails/72946989_zpid/</t>
  </si>
  <si>
    <t>$1,011,604</t>
  </si>
  <si>
    <t>2523 Pine Rd, Fresno, IL 50137</t>
  </si>
  <si>
    <t>Z487807</t>
  </si>
  <si>
    <t>https://www.zillow.com/homedetails/93062374_zpid/</t>
  </si>
  <si>
    <t>$878,588</t>
  </si>
  <si>
    <t>1780 Pine Rd, San Francisco, FL 17886</t>
  </si>
  <si>
    <t>Z142052</t>
  </si>
  <si>
    <t>https://www.zillow.com/homedetails/89281523_zpid/</t>
  </si>
  <si>
    <t>$784,628</t>
  </si>
  <si>
    <t>2519 Elm St, Fresno, FL 13951</t>
  </si>
  <si>
    <t>Z581731</t>
  </si>
  <si>
    <t>https://www.zillow.com/homedetails/88460844_zpid/</t>
  </si>
  <si>
    <t>$903,226</t>
  </si>
  <si>
    <t>3988 Elm St, San Francisco, NY 37989</t>
  </si>
  <si>
    <t>Z208328</t>
  </si>
  <si>
    <t>https://www.zillow.com/homedetails/71454586_zpid/</t>
  </si>
  <si>
    <t>$1,433,590</t>
  </si>
  <si>
    <t>6235 Pine Rd, San Diego, TX 70384</t>
  </si>
  <si>
    <t>Z176642</t>
  </si>
  <si>
    <t>https://www.zillow.com/homedetails/51011572_zpid/</t>
  </si>
  <si>
    <t>$1,244,267</t>
  </si>
  <si>
    <t>3848 Maple Dr, Los Angeles, FL 13119</t>
  </si>
  <si>
    <t>Z201834</t>
  </si>
  <si>
    <t>https://www.zillow.com/homedetails/66395722_zpid/</t>
  </si>
  <si>
    <t>$437,137</t>
  </si>
  <si>
    <t>2939 Main St, Fresno, CA 78357</t>
  </si>
  <si>
    <t>Z973362</t>
  </si>
  <si>
    <t>https://www.zillow.com/homedetails/93438748_zpid/</t>
  </si>
  <si>
    <t>$776,904</t>
  </si>
  <si>
    <t>1464 Oak Ave, San Diego, CA 21066</t>
  </si>
  <si>
    <t>Z599931</t>
  </si>
  <si>
    <t>https://www.zillow.com/homedetails/88431243_zpid/</t>
  </si>
  <si>
    <t>$1,076,130</t>
  </si>
  <si>
    <t>2981 Main St, San Diego, IL 56122</t>
  </si>
  <si>
    <t>Z602216</t>
  </si>
  <si>
    <t>https://www.zillow.com/homedetails/48842118_zpid/</t>
  </si>
  <si>
    <t>$883,773</t>
  </si>
  <si>
    <t>7001 Maple Dr, Los Angeles, NY 25237</t>
  </si>
  <si>
    <t>Z638158</t>
  </si>
  <si>
    <t>https://www.zillow.com/homedetails/39704892_zpid/</t>
  </si>
  <si>
    <t>$629,929</t>
  </si>
  <si>
    <t>5701 Pine Rd, Los Angeles, TX 27691</t>
  </si>
  <si>
    <t>Z809126</t>
  </si>
  <si>
    <t>https://www.zillow.com/homedetails/67918649_zpid/</t>
  </si>
  <si>
    <t>$1,364,814</t>
  </si>
  <si>
    <t>6873 Oak Ave, San Diego, NY 80943</t>
  </si>
  <si>
    <t>Z180175</t>
  </si>
  <si>
    <t>https://www.zillow.com/homedetails/18539408_zpid/</t>
  </si>
  <si>
    <t>$1,389,794</t>
  </si>
  <si>
    <t>5688 Elm St, San Francisco, CA 38367</t>
  </si>
  <si>
    <t>Z581982</t>
  </si>
  <si>
    <t>https://www.zillow.com/homedetails/77933319_zpid/</t>
  </si>
  <si>
    <t>$1,380,632</t>
  </si>
  <si>
    <t>3692 Pine Rd, Sacramento, TX 14136</t>
  </si>
  <si>
    <t>Z496539</t>
  </si>
  <si>
    <t>https://www.zillow.com/homedetails/59561259_zpid/</t>
  </si>
  <si>
    <t>$621,685</t>
  </si>
  <si>
    <t>1812 Main St, San Francisco, NY 18319</t>
  </si>
  <si>
    <t>Z379210</t>
  </si>
  <si>
    <t>https://www.zillow.com/homedetails/34207672_zpid/</t>
  </si>
  <si>
    <t>$932,923</t>
  </si>
  <si>
    <t>1684 Elm St, Los Angeles, IL 22124</t>
  </si>
  <si>
    <t>Z773122</t>
  </si>
  <si>
    <t>https://www.zillow.com/homedetails/58809359_zpid/</t>
  </si>
  <si>
    <t>$849,363</t>
  </si>
  <si>
    <t>3326 Elm St, Los Angeles, IL 88526</t>
  </si>
  <si>
    <t>Z761465</t>
  </si>
  <si>
    <t>https://www.zillow.com/homedetails/49859909_zpid/</t>
  </si>
  <si>
    <t>$478,395</t>
  </si>
  <si>
    <t>2386 Pine Rd, Fresno, IL 58931</t>
  </si>
  <si>
    <t>Z858156</t>
  </si>
  <si>
    <t>https://www.zillow.com/homedetails/72194950_zpid/</t>
  </si>
  <si>
    <t>$836,243</t>
  </si>
  <si>
    <t>312 Main St, San Diego, FL 50673</t>
  </si>
  <si>
    <t>Z683168</t>
  </si>
  <si>
    <t>https://www.zillow.com/homedetails/51799662_zpid/</t>
  </si>
  <si>
    <t>$1,038,877</t>
  </si>
  <si>
    <t>9787 Pine Rd, Sacramento, CA 79405</t>
  </si>
  <si>
    <t>Z299872</t>
  </si>
  <si>
    <t>https://www.zillow.com/homedetails/34652567_zpid/</t>
  </si>
  <si>
    <t>$138,456</t>
  </si>
  <si>
    <t>7439 Maple Dr, Los Angeles, IL 85999</t>
  </si>
  <si>
    <t>Z947550</t>
  </si>
  <si>
    <t>https://www.zillow.com/homedetails/83339835_zpid/</t>
  </si>
  <si>
    <t>$1,285,395</t>
  </si>
  <si>
    <t>7784 Maple Dr, Los Angeles, FL 23857</t>
  </si>
  <si>
    <t>Z977922</t>
  </si>
  <si>
    <t>https://www.zillow.com/homedetails/74837868_zpid/</t>
  </si>
  <si>
    <t>$725,098</t>
  </si>
  <si>
    <t>2111 Elm St, Los Angeles, FL 92240</t>
  </si>
  <si>
    <t>Z274922</t>
  </si>
  <si>
    <t>https://www.zillow.com/homedetails/51707709_zpid/</t>
  </si>
  <si>
    <t>$1,212,791</t>
  </si>
  <si>
    <t>8282 Pine Rd, San Diego, TX 60459</t>
  </si>
  <si>
    <t>Z910428</t>
  </si>
  <si>
    <t>https://www.zillow.com/homedetails/54020619_zpid/</t>
  </si>
  <si>
    <t>$1,263,891</t>
  </si>
  <si>
    <t>921 Elm St, Fresno, IL 60012</t>
  </si>
  <si>
    <t>Z177376</t>
  </si>
  <si>
    <t>https://www.zillow.com/homedetails/15092882_zpid/</t>
  </si>
  <si>
    <t>$611,900</t>
  </si>
  <si>
    <t>5661 Maple Dr, Sacramento, TX 88736</t>
  </si>
  <si>
    <t>Z915693</t>
  </si>
  <si>
    <t>https://www.zillow.com/homedetails/53349515_zpid/</t>
  </si>
  <si>
    <t>$1,088,823</t>
  </si>
  <si>
    <t>2719 Elm St, Sacramento, NY 71689</t>
  </si>
  <si>
    <t>Z161194</t>
  </si>
  <si>
    <t>https://www.zillow.com/homedetails/58551032_zpid/</t>
  </si>
  <si>
    <t>$214,432</t>
  </si>
  <si>
    <t>7675 Maple Dr, San Francisco, CA 23327</t>
  </si>
  <si>
    <t>Z705245</t>
  </si>
  <si>
    <t>https://www.zillow.com/homedetails/15586705_zpid/</t>
  </si>
  <si>
    <t>$1,424,797</t>
  </si>
  <si>
    <t>1876 Main St, Fresno, CA 28493</t>
  </si>
  <si>
    <t>Z353329</t>
  </si>
  <si>
    <t>https://www.zillow.com/homedetails/60784074_zpid/</t>
  </si>
  <si>
    <t>$858,249</t>
  </si>
  <si>
    <t>3775 Main St, Fresno, TX 27528</t>
  </si>
  <si>
    <t>Z443373</t>
  </si>
  <si>
    <t>https://www.zillow.com/homedetails/74674958_zpid/</t>
  </si>
  <si>
    <t>$1,191,472</t>
  </si>
  <si>
    <t>6140 Elm St, Fresno, FL 63939</t>
  </si>
  <si>
    <t>Z951085</t>
  </si>
  <si>
    <t>https://www.zillow.com/homedetails/67736036_zpid/</t>
  </si>
  <si>
    <t>$803,014</t>
  </si>
  <si>
    <t>5769 Oak Ave, Los Angeles, TX 92336</t>
  </si>
  <si>
    <t>Z791440</t>
  </si>
  <si>
    <t>https://www.zillow.com/homedetails/70150708_zpid/</t>
  </si>
  <si>
    <t>$253,568</t>
  </si>
  <si>
    <t>8376 Pine Rd, San Francisco, IL 70025</t>
  </si>
  <si>
    <t>Z237687</t>
  </si>
  <si>
    <t>https://www.zillow.com/homedetails/30499582_zpid/</t>
  </si>
  <si>
    <t>$964,648</t>
  </si>
  <si>
    <t>4139 Main St, Los Angeles, IL 48014</t>
  </si>
  <si>
    <t>Z211841</t>
  </si>
  <si>
    <t>https://www.zillow.com/homedetails/82462796_zpid/</t>
  </si>
  <si>
    <t>$694,525</t>
  </si>
  <si>
    <t>3716 Main St, Fresno, NY 59303</t>
  </si>
  <si>
    <t>Z920180</t>
  </si>
  <si>
    <t>https://www.zillow.com/homedetails/72022112_zpid/</t>
  </si>
  <si>
    <t>$283,646</t>
  </si>
  <si>
    <t>5269 Maple Dr, Los Angeles, TX 67134</t>
  </si>
  <si>
    <t>Z892325</t>
  </si>
  <si>
    <t>https://www.zillow.com/homedetails/30491983_zpid/</t>
  </si>
  <si>
    <t>$1,387,108</t>
  </si>
  <si>
    <t>9941 Oak Ave, Los Angeles, FL 36541</t>
  </si>
  <si>
    <t>Z264480</t>
  </si>
  <si>
    <t>https://www.zillow.com/homedetails/99144322_zpid/</t>
  </si>
  <si>
    <t>$1,268,317</t>
  </si>
  <si>
    <t>5088 Elm St, Fresno, TX 75950</t>
  </si>
  <si>
    <t>Z288912</t>
  </si>
  <si>
    <t>https://www.zillow.com/homedetails/18024012_zpid/</t>
  </si>
  <si>
    <t>$500,875</t>
  </si>
  <si>
    <t>267 Maple Dr, Fresno, IL 39103</t>
  </si>
  <si>
    <t>Z923382</t>
  </si>
  <si>
    <t>https://www.zillow.com/homedetails/33778104_zpid/</t>
  </si>
  <si>
    <t>$386,515</t>
  </si>
  <si>
    <t>239 Pine Rd, Fresno, IL 73202</t>
  </si>
  <si>
    <t>Z406372</t>
  </si>
  <si>
    <t>https://www.zillow.com/homedetails/13191080_zpid/</t>
  </si>
  <si>
    <t>$858,707</t>
  </si>
  <si>
    <t>4399 Elm St, Los Angeles, NY 38181</t>
  </si>
  <si>
    <t>Z517072</t>
  </si>
  <si>
    <t>https://www.zillow.com/homedetails/34808253_zpid/</t>
  </si>
  <si>
    <t>$554,405</t>
  </si>
  <si>
    <t>6157 Main St, San Francisco, NY 61785</t>
  </si>
  <si>
    <t>Z879240</t>
  </si>
  <si>
    <t>https://www.zillow.com/homedetails/12037296_zpid/</t>
  </si>
  <si>
    <t>$1,038,423</t>
  </si>
  <si>
    <t>8888 Elm St, San Diego, CA 92122</t>
  </si>
  <si>
    <t>Z522049</t>
  </si>
  <si>
    <t>https://www.zillow.com/homedetails/95455334_zpid/</t>
  </si>
  <si>
    <t>$103,682</t>
  </si>
  <si>
    <t>2786 Elm St, Fresno, NY 79620</t>
  </si>
  <si>
    <t>Z931895</t>
  </si>
  <si>
    <t>https://www.zillow.com/homedetails/58170503_zpid/</t>
  </si>
  <si>
    <t>$970,897</t>
  </si>
  <si>
    <t>343 Elm St, Sacramento, NY 64105</t>
  </si>
  <si>
    <t>Z834504</t>
  </si>
  <si>
    <t>https://www.zillow.com/homedetails/40594804_zpid/</t>
  </si>
  <si>
    <t>$778,419</t>
  </si>
  <si>
    <t>9562 Pine Rd, Los Angeles, FL 95199</t>
  </si>
  <si>
    <t>Z380223</t>
  </si>
  <si>
    <t>https://www.zillow.com/homedetails/95107870_zpid/</t>
  </si>
  <si>
    <t>$1,074,024</t>
  </si>
  <si>
    <t>1645 Main St, Fresno, NY 12157</t>
  </si>
  <si>
    <t>Z139692</t>
  </si>
  <si>
    <t>https://www.zillow.com/homedetails/98007719_zpid/</t>
  </si>
  <si>
    <t>$100,283</t>
  </si>
  <si>
    <t>6711 Elm St, Los Angeles, FL 11684</t>
  </si>
  <si>
    <t>Z516947</t>
  </si>
  <si>
    <t>https://www.zillow.com/homedetails/42752484_zpid/</t>
  </si>
  <si>
    <t>$1,091,920</t>
  </si>
  <si>
    <t>3765 Maple Dr, Sacramento, FL 39040</t>
  </si>
  <si>
    <t>Z591903</t>
  </si>
  <si>
    <t>https://www.zillow.com/homedetails/16659860_zpid/</t>
  </si>
  <si>
    <t>$699,748</t>
  </si>
  <si>
    <t>7684 Main St, Sacramento, CA 41560</t>
  </si>
  <si>
    <t>Z428329</t>
  </si>
  <si>
    <t>https://www.zillow.com/homedetails/61023994_zpid/</t>
  </si>
  <si>
    <t>$1,446,602</t>
  </si>
  <si>
    <t>4213 Pine Rd, Sacramento, FL 94828</t>
  </si>
  <si>
    <t>Z604176</t>
  </si>
  <si>
    <t>https://www.zillow.com/homedetails/15830915_zpid/</t>
  </si>
  <si>
    <t>$936,502</t>
  </si>
  <si>
    <t>3424 Maple Dr, San Francisco, NY 39671</t>
  </si>
  <si>
    <t>Z135034</t>
  </si>
  <si>
    <t>https://www.zillow.com/homedetails/74148290_zpid/</t>
  </si>
  <si>
    <t>$1,419,776</t>
  </si>
  <si>
    <t>1307 Elm St, Los Angeles, NY 12078</t>
  </si>
  <si>
    <t>Z654255</t>
  </si>
  <si>
    <t>https://www.zillow.com/homedetails/33640786_zpid/</t>
  </si>
  <si>
    <t>$865,923</t>
  </si>
  <si>
    <t>2722 Elm St, San Francisco, FL 81195</t>
  </si>
  <si>
    <t>Z638327</t>
  </si>
  <si>
    <t>https://www.zillow.com/homedetails/98999708_zpid/</t>
  </si>
  <si>
    <t>$556,136</t>
  </si>
  <si>
    <t>9647 Pine Rd, Sacramento, CA 18659</t>
  </si>
  <si>
    <t>Z991442</t>
  </si>
  <si>
    <t>https://www.zillow.com/homedetails/97208899_zpid/</t>
  </si>
  <si>
    <t>$506,109</t>
  </si>
  <si>
    <t>6631 Main St, Fresno, TX 46866</t>
  </si>
  <si>
    <t>Z992053</t>
  </si>
  <si>
    <t>https://www.zillow.com/homedetails/98096018_zpid/</t>
  </si>
  <si>
    <t>$329,125</t>
  </si>
  <si>
    <t>9800 Maple Dr, San Diego, CA 81664</t>
  </si>
  <si>
    <t>Z493643</t>
  </si>
  <si>
    <t>https://www.zillow.com/homedetails/81540599_zpid/</t>
  </si>
  <si>
    <t>$1,191,840</t>
  </si>
  <si>
    <t>3732 Pine Rd, Fresno, IL 67080</t>
  </si>
  <si>
    <t>Z610542</t>
  </si>
  <si>
    <t>https://www.zillow.com/homedetails/16973505_zpid/</t>
  </si>
  <si>
    <t>$520,617</t>
  </si>
  <si>
    <t>2966 Maple Dr, Sacramento, NY 99469</t>
  </si>
  <si>
    <t>Z588451</t>
  </si>
  <si>
    <t>https://www.zillow.com/homedetails/32682863_zpid/</t>
  </si>
  <si>
    <t>$1,477,906</t>
  </si>
  <si>
    <t>9868 Elm St, Fresno, FL 36635</t>
  </si>
  <si>
    <t>Z353204</t>
  </si>
  <si>
    <t>https://www.zillow.com/homedetails/80766321_zpid/</t>
  </si>
  <si>
    <t>$1,417,093</t>
  </si>
  <si>
    <t>8853 Main St, San Francisco, IL 89613</t>
  </si>
  <si>
    <t>Z878881</t>
  </si>
  <si>
    <t>https://www.zillow.com/homedetails/88471318_zpid/</t>
  </si>
  <si>
    <t>$483,245</t>
  </si>
  <si>
    <t>6008 Pine Rd, San Francisco, NY 47999</t>
  </si>
  <si>
    <t>Z408425</t>
  </si>
  <si>
    <t>https://www.zillow.com/homedetails/88197026_zpid/</t>
  </si>
  <si>
    <t>$431,030</t>
  </si>
  <si>
    <t>6278 Oak Ave, Los Angeles, NY 84052</t>
  </si>
  <si>
    <t>Z246979</t>
  </si>
  <si>
    <t>https://www.zillow.com/homedetails/62639476_zpid/</t>
  </si>
  <si>
    <t>$769,259</t>
  </si>
  <si>
    <t>9524 Main St, San Francisco, CA 67894</t>
  </si>
  <si>
    <t>Z217131</t>
  </si>
  <si>
    <t>https://www.zillow.com/homedetails/22180648_zpid/</t>
  </si>
  <si>
    <t>$508,789</t>
  </si>
  <si>
    <t>7402 Oak Ave, San Francisco, TX 78665</t>
  </si>
  <si>
    <t>Z569838</t>
  </si>
  <si>
    <t>https://www.zillow.com/homedetails/17455016_zpid/</t>
  </si>
  <si>
    <t>$593,887</t>
  </si>
  <si>
    <t>2178 Pine Rd, Los Angeles, TX 18513</t>
  </si>
  <si>
    <t>Z404306</t>
  </si>
  <si>
    <t>https://www.zillow.com/homedetails/50969121_zpid/</t>
  </si>
  <si>
    <t>$497,316</t>
  </si>
  <si>
    <t>697 Oak Ave, San Francisco, FL 23237</t>
  </si>
  <si>
    <t>Z425158</t>
  </si>
  <si>
    <t>https://www.zillow.com/homedetails/92371988_zpid/</t>
  </si>
  <si>
    <t>$1,215,321</t>
  </si>
  <si>
    <t>4914 Elm St, San Francisco, CA 44651</t>
  </si>
  <si>
    <t>Z408549</t>
  </si>
  <si>
    <t>https://www.zillow.com/homedetails/39294054_zpid/</t>
  </si>
  <si>
    <t>$1,492,700</t>
  </si>
  <si>
    <t>6532 Main St, Sacramento, CA 70082</t>
  </si>
  <si>
    <t>Z992313</t>
  </si>
  <si>
    <t>https://www.zillow.com/homedetails/62088659_zpid/</t>
  </si>
  <si>
    <t>$110,859</t>
  </si>
  <si>
    <t>8921 Oak Ave, San Francisco, TX 35912</t>
  </si>
  <si>
    <t>Z661069</t>
  </si>
  <si>
    <t>https://www.zillow.com/homedetails/28720516_zpid/</t>
  </si>
  <si>
    <t>$1,410,792</t>
  </si>
  <si>
    <t>2771 Maple Dr, Sacramento, TX 20444</t>
  </si>
  <si>
    <t>Z333954</t>
  </si>
  <si>
    <t>https://www.zillow.com/homedetails/92545493_zpid/</t>
  </si>
  <si>
    <t>$1,362,844</t>
  </si>
  <si>
    <t>1313 Elm St, San Francisco, IL 28838</t>
  </si>
  <si>
    <t>Z381804</t>
  </si>
  <si>
    <t>https://www.zillow.com/homedetails/26559865_zpid/</t>
  </si>
  <si>
    <t>$680,842</t>
  </si>
  <si>
    <t>2099 Oak Ave, San Diego, NY 40598</t>
  </si>
  <si>
    <t>Z376735</t>
  </si>
  <si>
    <t>https://www.zillow.com/homedetails/77395691_zpid/</t>
  </si>
  <si>
    <t>$1,476,212</t>
  </si>
  <si>
    <t>2170 Oak Ave, Los Angeles, CA 36915</t>
  </si>
  <si>
    <t>Z682892</t>
  </si>
  <si>
    <t>https://www.zillow.com/homedetails/88119483_zpid/</t>
  </si>
  <si>
    <t>$1,329,052</t>
  </si>
  <si>
    <t>5340 Main St, San Diego, IL 84590</t>
  </si>
  <si>
    <t>Z117550</t>
  </si>
  <si>
    <t>https://www.zillow.com/homedetails/43892569_zpid/</t>
  </si>
  <si>
    <t>$1,148,383</t>
  </si>
  <si>
    <t>5566 Elm St, San Francisco, TX 51813</t>
  </si>
  <si>
    <t>Z670212</t>
  </si>
  <si>
    <t>https://www.zillow.com/homedetails/48753874_zpid/</t>
  </si>
  <si>
    <t>$140,103</t>
  </si>
  <si>
    <t>2744 Main St, Los Angeles, CA 49902</t>
  </si>
  <si>
    <t>Z448025</t>
  </si>
  <si>
    <t>https://www.zillow.com/homedetails/52175052_zpid/</t>
  </si>
  <si>
    <t>$981,879</t>
  </si>
  <si>
    <t>9140 Elm St, San Diego, TX 74657</t>
  </si>
  <si>
    <t>Z182790</t>
  </si>
  <si>
    <t>https://www.zillow.com/homedetails/46212819_zpid/</t>
  </si>
  <si>
    <t>$104,321</t>
  </si>
  <si>
    <t>8769 Pine Rd, Sacramento, IL 72702</t>
  </si>
  <si>
    <t>Z780787</t>
  </si>
  <si>
    <t>https://www.zillow.com/homedetails/86002312_zpid/</t>
  </si>
  <si>
    <t>$247,370</t>
  </si>
  <si>
    <t>6080 Pine Rd, Fresno, TX 72560</t>
  </si>
  <si>
    <t>Z479066</t>
  </si>
  <si>
    <t>https://www.zillow.com/homedetails/39488304_zpid/</t>
  </si>
  <si>
    <t>$857,857</t>
  </si>
  <si>
    <t>3353 Maple Dr, Fresno, NY 96038</t>
  </si>
  <si>
    <t>Z886521</t>
  </si>
  <si>
    <t>https://www.zillow.com/homedetails/72835186_zpid/</t>
  </si>
  <si>
    <t>$680,402</t>
  </si>
  <si>
    <t>4365 Oak Ave, Fresno, FL 53172</t>
  </si>
  <si>
    <t>Z159536</t>
  </si>
  <si>
    <t>https://www.zillow.com/homedetails/91128102_zpid/</t>
  </si>
  <si>
    <t>$531,098</t>
  </si>
  <si>
    <t>5999 Maple Dr, Fresno, IL 51303</t>
  </si>
  <si>
    <t>Z590213</t>
  </si>
  <si>
    <t>https://www.zillow.com/homedetails/48410973_zpid/</t>
  </si>
  <si>
    <t>$1,203,558</t>
  </si>
  <si>
    <t>6027 Main St, San Francisco, CA 49017</t>
  </si>
  <si>
    <t>Z561249</t>
  </si>
  <si>
    <t>https://www.zillow.com/homedetails/59967726_zpid/</t>
  </si>
  <si>
    <t>$1,053,481</t>
  </si>
  <si>
    <t>4557 Elm St, San Francisco, FL 44968</t>
  </si>
  <si>
    <t>Z234200</t>
  </si>
  <si>
    <t>https://www.zillow.com/homedetails/68018400_zpid/</t>
  </si>
  <si>
    <t>$1,116,330</t>
  </si>
  <si>
    <t>9832 Maple Dr, San Diego, NY 46612</t>
  </si>
  <si>
    <t>Z615126</t>
  </si>
  <si>
    <t>https://www.zillow.com/homedetails/96361087_zpid/</t>
  </si>
  <si>
    <t>$649,561</t>
  </si>
  <si>
    <t>8052 Oak Ave, Sacramento, NY 57945</t>
  </si>
  <si>
    <t>Z117252</t>
  </si>
  <si>
    <t>https://www.zillow.com/homedetails/65380446_zpid/</t>
  </si>
  <si>
    <t>$1,313,935</t>
  </si>
  <si>
    <t>9601 Oak Ave, San Diego, TX 49609</t>
  </si>
  <si>
    <t>Z381542</t>
  </si>
  <si>
    <t>https://www.zillow.com/homedetails/29665657_zpid/</t>
  </si>
  <si>
    <t>$1,435,866</t>
  </si>
  <si>
    <t>1604 Elm St, Sacramento, IL 44927</t>
  </si>
  <si>
    <t>Z240706</t>
  </si>
  <si>
    <t>https://www.zillow.com/homedetails/81489179_zpid/</t>
  </si>
  <si>
    <t>$523,054</t>
  </si>
  <si>
    <t>666 Main St, San Diego, FL 21893</t>
  </si>
  <si>
    <t>Z479990</t>
  </si>
  <si>
    <t>https://www.zillow.com/homedetails/35047185_zpid/</t>
  </si>
  <si>
    <t>$1,136,478</t>
  </si>
  <si>
    <t>354 Oak Ave, Sacramento, FL 44376</t>
  </si>
  <si>
    <t>Z675616</t>
  </si>
  <si>
    <t>https://www.zillow.com/homedetails/36440967_zpid/</t>
  </si>
  <si>
    <t>$591,497</t>
  </si>
  <si>
    <t>1814 Pine Rd, San Francisco, IL 92847</t>
  </si>
  <si>
    <t>Z498353</t>
  </si>
  <si>
    <t>https://www.zillow.com/homedetails/10146881_zpid/</t>
  </si>
  <si>
    <t>$1,042,458</t>
  </si>
  <si>
    <t>7368 Main St, Fresno, IL 52312</t>
  </si>
  <si>
    <t>Z511175</t>
  </si>
  <si>
    <t>https://www.zillow.com/homedetails/39078416_zpid/</t>
  </si>
  <si>
    <t>$817,052</t>
  </si>
  <si>
    <t>4650 Elm St, San Diego, NY 32524</t>
  </si>
  <si>
    <t>Z472169</t>
  </si>
  <si>
    <t>https://www.zillow.com/homedetails/82328944_zpid/</t>
  </si>
  <si>
    <t>$167,620</t>
  </si>
  <si>
    <t>5668 Pine Rd, San Francisco, FL 54024</t>
  </si>
  <si>
    <t>Z515306</t>
  </si>
  <si>
    <t>https://www.zillow.com/homedetails/15237379_zpid/</t>
  </si>
  <si>
    <t>$286,587</t>
  </si>
  <si>
    <t>4125 Main St, San Francisco, NY 68130</t>
  </si>
  <si>
    <t>Z443470</t>
  </si>
  <si>
    <t>https://www.zillow.com/homedetails/42135465_zpid/</t>
  </si>
  <si>
    <t>$237,088</t>
  </si>
  <si>
    <t>9493 Main St, Fresno, IL 23130</t>
  </si>
  <si>
    <t>Z447635</t>
  </si>
  <si>
    <t>https://www.zillow.com/homedetails/32386889_zpid/</t>
  </si>
  <si>
    <t>$162,524</t>
  </si>
  <si>
    <t>7416 Oak Ave, San Diego, CA 60440</t>
  </si>
  <si>
    <t>Z497506</t>
  </si>
  <si>
    <t>https://www.zillow.com/homedetails/38609700_zpid/</t>
  </si>
  <si>
    <t>$1,359,466</t>
  </si>
  <si>
    <t>3481 Pine Rd, San Diego, FL 56768</t>
  </si>
  <si>
    <t>Z575271</t>
  </si>
  <si>
    <t>https://www.zillow.com/homedetails/16488031_zpid/</t>
  </si>
  <si>
    <t>$181,093</t>
  </si>
  <si>
    <t>6029 Oak Ave, San Diego, IL 21705</t>
  </si>
  <si>
    <t>Z528459</t>
  </si>
  <si>
    <t>https://www.zillow.com/homedetails/24324531_zpid/</t>
  </si>
  <si>
    <t>$781,451</t>
  </si>
  <si>
    <t>8067 Pine Rd, Los Angeles, NY 35395</t>
  </si>
  <si>
    <t>Z615885</t>
  </si>
  <si>
    <t>https://www.zillow.com/homedetails/92156994_zpid/</t>
  </si>
  <si>
    <t>$111,428</t>
  </si>
  <si>
    <t>7516 Maple Dr, Los Angeles, CA 47236</t>
  </si>
  <si>
    <t>Z420308</t>
  </si>
  <si>
    <t>https://www.zillow.com/homedetails/50453326_zpid/</t>
  </si>
  <si>
    <t>$704,899</t>
  </si>
  <si>
    <t>7805 Pine Rd, Los Angeles, TX 59479</t>
  </si>
  <si>
    <t>Z675967</t>
  </si>
  <si>
    <t>https://www.zillow.com/homedetails/44323411_zpid/</t>
  </si>
  <si>
    <t>$1,311,994</t>
  </si>
  <si>
    <t>6838 Oak Ave, San Diego, NY 12372</t>
  </si>
  <si>
    <t>Z987134</t>
  </si>
  <si>
    <t>https://www.zillow.com/homedetails/21438660_zpid/</t>
  </si>
  <si>
    <t>$933,573</t>
  </si>
  <si>
    <t>1557 Pine Rd, Sacramento, NY 35223</t>
  </si>
  <si>
    <t>Z558821</t>
  </si>
  <si>
    <t>https://www.zillow.com/homedetails/98448455_zpid/</t>
  </si>
  <si>
    <t>$576,335</t>
  </si>
  <si>
    <t>941 Maple Dr, Los Angeles, CA 84493</t>
  </si>
  <si>
    <t>Z432007</t>
  </si>
  <si>
    <t>https://www.zillow.com/homedetails/66360645_zpid/</t>
  </si>
  <si>
    <t>$509,205</t>
  </si>
  <si>
    <t>4551 Oak Ave, Fresno, TX 94640</t>
  </si>
  <si>
    <t>Z565120</t>
  </si>
  <si>
    <t>https://www.zillow.com/homedetails/18988111_zpid/</t>
  </si>
  <si>
    <t>$915,201</t>
  </si>
  <si>
    <t>3811 Elm St, San Francisco, FL 60231</t>
  </si>
  <si>
    <t>Z521411</t>
  </si>
  <si>
    <t>https://www.zillow.com/homedetails/48597869_zpid/</t>
  </si>
  <si>
    <t>$1,207,235</t>
  </si>
  <si>
    <t>6177 Maple Dr, Fresno, IL 82632</t>
  </si>
  <si>
    <t>Z930793</t>
  </si>
  <si>
    <t>https://www.zillow.com/homedetails/12784382_zpid/</t>
  </si>
  <si>
    <t>$663,384</t>
  </si>
  <si>
    <t>9691 Pine Rd, Los Angeles, FL 88530</t>
  </si>
  <si>
    <t>Z494269</t>
  </si>
  <si>
    <t>https://www.zillow.com/homedetails/47358699_zpid/</t>
  </si>
  <si>
    <t>$223,910</t>
  </si>
  <si>
    <t>3113 Maple Dr, Fresno, TX 54993</t>
  </si>
  <si>
    <t>Z251729</t>
  </si>
  <si>
    <t>https://www.zillow.com/homedetails/94731614_zpid/</t>
  </si>
  <si>
    <t>$1,081,583</t>
  </si>
  <si>
    <t>8623 Oak Ave, Los Angeles, TX 85045</t>
  </si>
  <si>
    <t>Z440774</t>
  </si>
  <si>
    <t>https://www.zillow.com/homedetails/47019308_zpid/</t>
  </si>
  <si>
    <t>$147,047</t>
  </si>
  <si>
    <t>7439 Main St, San Francisco, TX 55113</t>
  </si>
  <si>
    <t>Z472103</t>
  </si>
  <si>
    <t>https://www.zillow.com/homedetails/14575786_zpid/</t>
  </si>
  <si>
    <t>$868,546</t>
  </si>
  <si>
    <t>7693 Elm St, Fresno, NY 31004</t>
  </si>
  <si>
    <t>Z587819</t>
  </si>
  <si>
    <t>https://www.zillow.com/homedetails/38837293_zpid/</t>
  </si>
  <si>
    <t>$764,186</t>
  </si>
  <si>
    <t>8454 Oak Ave, San Francisco, TX 87865</t>
  </si>
  <si>
    <t>Z878554</t>
  </si>
  <si>
    <t>https://www.zillow.com/homedetails/14953807_zpid/</t>
  </si>
  <si>
    <t>$453,512</t>
  </si>
  <si>
    <t>8567 Maple Dr, San Francisco, FL 59792</t>
  </si>
  <si>
    <t>Z273727</t>
  </si>
  <si>
    <t>https://www.zillow.com/homedetails/11196686_zpid/</t>
  </si>
  <si>
    <t>$827,388</t>
  </si>
  <si>
    <t>6886 Elm St, Sacramento, NY 56988</t>
  </si>
  <si>
    <t>Z653505</t>
  </si>
  <si>
    <t>https://www.zillow.com/homedetails/58430561_zpid/</t>
  </si>
  <si>
    <t>$1,310,763</t>
  </si>
  <si>
    <t>115 Main St, Los Angeles, IL 77095</t>
  </si>
  <si>
    <t>Z291020</t>
  </si>
  <si>
    <t>https://www.zillow.com/homedetails/15566660_zpid/</t>
  </si>
  <si>
    <t>$668,647</t>
  </si>
  <si>
    <t>3300 Oak Ave, San Francisco, CA 20111</t>
  </si>
  <si>
    <t>Z172814</t>
  </si>
  <si>
    <t>https://www.zillow.com/homedetails/67523788_zpid/</t>
  </si>
  <si>
    <t>$292,045</t>
  </si>
  <si>
    <t>5036 Oak Ave, Fresno, TX 59637</t>
  </si>
  <si>
    <t>Z665039</t>
  </si>
  <si>
    <t>https://www.zillow.com/homedetails/47636119_zpid/</t>
  </si>
  <si>
    <t>$584,306</t>
  </si>
  <si>
    <t>5254 Oak Ave, Los Angeles, FL 28585</t>
  </si>
  <si>
    <t>Z835243</t>
  </si>
  <si>
    <t>https://www.zillow.com/homedetails/73386743_zpid/</t>
  </si>
  <si>
    <t>$1,418,754</t>
  </si>
  <si>
    <t>9916 Oak Ave, Sacramento, NY 19965</t>
  </si>
  <si>
    <t>Z732396</t>
  </si>
  <si>
    <t>https://www.zillow.com/homedetails/31500239_zpid/</t>
  </si>
  <si>
    <t>$618,573</t>
  </si>
  <si>
    <t>7408 Elm St, Los Angeles, TX 16960</t>
  </si>
  <si>
    <t>Z653588</t>
  </si>
  <si>
    <t>https://www.zillow.com/homedetails/89503600_zpid/</t>
  </si>
  <si>
    <t>$890,281</t>
  </si>
  <si>
    <t>9050 Pine Rd, Los Angeles, CA 26677</t>
  </si>
  <si>
    <t>Z459041</t>
  </si>
  <si>
    <t>https://www.zillow.com/homedetails/49867644_zpid/</t>
  </si>
  <si>
    <t>$1,496,209</t>
  </si>
  <si>
    <t>6672 Oak Ave, Los Angeles, NY 69486</t>
  </si>
  <si>
    <t>Z500619</t>
  </si>
  <si>
    <t>https://www.zillow.com/homedetails/57106926_zpid/</t>
  </si>
  <si>
    <t>$352,485</t>
  </si>
  <si>
    <t>8517 Maple Dr, Sacramento, CA 42718</t>
  </si>
  <si>
    <t>Z734877</t>
  </si>
  <si>
    <t>https://www.zillow.com/homedetails/78091840_zpid/</t>
  </si>
  <si>
    <t>$742,169</t>
  </si>
  <si>
    <t>8462 Pine Rd, San Diego, FL 10416</t>
  </si>
  <si>
    <t>Z980010</t>
  </si>
  <si>
    <t>https://www.zillow.com/homedetails/87361288_zpid/</t>
  </si>
  <si>
    <t>$541,666</t>
  </si>
  <si>
    <t>4927 Elm St, San Francisco, NY 31458</t>
  </si>
  <si>
    <t>Z262202</t>
  </si>
  <si>
    <t>https://www.zillow.com/homedetails/89552557_zpid/</t>
  </si>
  <si>
    <t>$839,325</t>
  </si>
  <si>
    <t>8912 Elm St, San Francisco, IL 50549</t>
  </si>
  <si>
    <t>Z858086</t>
  </si>
  <si>
    <t>https://www.zillow.com/homedetails/45552546_zpid/</t>
  </si>
  <si>
    <t>$1,075,708</t>
  </si>
  <si>
    <t>8923 Maple Dr, Los Angeles, FL 75254</t>
  </si>
  <si>
    <t>Z527398</t>
  </si>
  <si>
    <t>https://www.zillow.com/homedetails/86276425_zpid/</t>
  </si>
  <si>
    <t>$931,701</t>
  </si>
  <si>
    <t>8684 Maple Dr, Los Angeles, FL 18307</t>
  </si>
  <si>
    <t>Z876013</t>
  </si>
  <si>
    <t>https://www.zillow.com/homedetails/14640879_zpid/</t>
  </si>
  <si>
    <t>$1,095,371</t>
  </si>
  <si>
    <t>4463 Pine Rd, Los Angeles, NY 54519</t>
  </si>
  <si>
    <t>Z200665</t>
  </si>
  <si>
    <t>https://www.zillow.com/homedetails/27665494_zpid/</t>
  </si>
  <si>
    <t>$1,194,017</t>
  </si>
  <si>
    <t>8043 Elm St, Fresno, NY 62786</t>
  </si>
  <si>
    <t>Z599130</t>
  </si>
  <si>
    <t>https://www.zillow.com/homedetails/57902924_zpid/</t>
  </si>
  <si>
    <t>$288,123</t>
  </si>
  <si>
    <t>146 Elm St, San Diego, FL 41233</t>
  </si>
  <si>
    <t>Z742527</t>
  </si>
  <si>
    <t>https://www.zillow.com/homedetails/99210782_zpid/</t>
  </si>
  <si>
    <t>$1,227,874</t>
  </si>
  <si>
    <t>3216 Oak Ave, Los Angeles, FL 10978</t>
  </si>
  <si>
    <t>Z625730</t>
  </si>
  <si>
    <t>https://www.zillow.com/homedetails/69382103_zpid/</t>
  </si>
  <si>
    <t>$868,262</t>
  </si>
  <si>
    <t>5102 Maple Dr, San Diego, FL 99226</t>
  </si>
  <si>
    <t>Z322262</t>
  </si>
  <si>
    <t>https://www.zillow.com/homedetails/33134010_zpid/</t>
  </si>
  <si>
    <t>$1,339,463</t>
  </si>
  <si>
    <t>6003 Main St, Los Angeles, NY 66023</t>
  </si>
  <si>
    <t>Z491272</t>
  </si>
  <si>
    <t>https://www.zillow.com/homedetails/41229870_zpid/</t>
  </si>
  <si>
    <t>$989,357</t>
  </si>
  <si>
    <t>4074 Main St, San Diego, IL 58479</t>
  </si>
  <si>
    <t>Z929312</t>
  </si>
  <si>
    <t>https://www.zillow.com/homedetails/97961906_zpid/</t>
  </si>
  <si>
    <t>$903,149</t>
  </si>
  <si>
    <t>1573 Pine Rd, Los Angeles, IL 73605</t>
  </si>
  <si>
    <t>Z808637</t>
  </si>
  <si>
    <t>https://www.zillow.com/homedetails/71913483_zpid/</t>
  </si>
  <si>
    <t>$630,234</t>
  </si>
  <si>
    <t>6013 Main St, Los Angeles, TX 47765</t>
  </si>
  <si>
    <t>Z187638</t>
  </si>
  <si>
    <t>https://www.zillow.com/homedetails/47365618_zpid/</t>
  </si>
  <si>
    <t>$1,252,974</t>
  </si>
  <si>
    <t>4269 Elm St, San Diego, TX 77508</t>
  </si>
  <si>
    <t>Z999219</t>
  </si>
  <si>
    <t>https://www.zillow.com/homedetails/98564395_zpid/</t>
  </si>
  <si>
    <t>$365,076</t>
  </si>
  <si>
    <t>3444 Maple Dr, San Diego, NY 66033</t>
  </si>
  <si>
    <t>Z917763</t>
  </si>
  <si>
    <t>https://www.zillow.com/homedetails/58355017_zpid/</t>
  </si>
  <si>
    <t>$1,190,951</t>
  </si>
  <si>
    <t>3541 Maple Dr, Los Angeles, IL 55291</t>
  </si>
  <si>
    <t>Z476392</t>
  </si>
  <si>
    <t>https://www.zillow.com/homedetails/49490216_zpid/</t>
  </si>
  <si>
    <t>$977,697</t>
  </si>
  <si>
    <t>4813 Main St, Sacramento, FL 69128</t>
  </si>
  <si>
    <t>Z187409</t>
  </si>
  <si>
    <t>https://www.zillow.com/homedetails/25147835_zpid/</t>
  </si>
  <si>
    <t>$410,666</t>
  </si>
  <si>
    <t>3221 Elm St, Fresno, FL 43311</t>
  </si>
  <si>
    <t>Z212911</t>
  </si>
  <si>
    <t>https://www.zillow.com/homedetails/87344040_zpid/</t>
  </si>
  <si>
    <t>$1,404,171</t>
  </si>
  <si>
    <t>8135 Pine Rd, Sacramento, NY 52069</t>
  </si>
  <si>
    <t>Z853349</t>
  </si>
  <si>
    <t>https://www.zillow.com/homedetails/99753880_zpid/</t>
  </si>
  <si>
    <t>$1,362,472</t>
  </si>
  <si>
    <t>1858 Oak Ave, San Diego, TX 62752</t>
  </si>
  <si>
    <t>Z676740</t>
  </si>
  <si>
    <t>https://www.zillow.com/homedetails/36842913_zpid/</t>
  </si>
  <si>
    <t>$994,591</t>
  </si>
  <si>
    <t>1065 Maple Dr, Fresno, IL 72829</t>
  </si>
  <si>
    <t>Z724635</t>
  </si>
  <si>
    <t>https://www.zillow.com/homedetails/43507392_zpid/</t>
  </si>
  <si>
    <t>$1,361,614</t>
  </si>
  <si>
    <t>6923 Oak Ave, San Francisco, FL 32256</t>
  </si>
  <si>
    <t>Z170701</t>
  </si>
  <si>
    <t>https://www.zillow.com/homedetails/93372400_zpid/</t>
  </si>
  <si>
    <t>$1,022,305</t>
  </si>
  <si>
    <t>6573 Main St, Sacramento, CA 72193</t>
  </si>
  <si>
    <t>Z670083</t>
  </si>
  <si>
    <t>https://www.zillow.com/homedetails/50219275_zpid/</t>
  </si>
  <si>
    <t>$262,341</t>
  </si>
  <si>
    <t>1810 Main St, Los Angeles, CA 26032</t>
  </si>
  <si>
    <t>Z840918</t>
  </si>
  <si>
    <t>https://www.zillow.com/homedetails/93378319_zpid/</t>
  </si>
  <si>
    <t>$1,239,263</t>
  </si>
  <si>
    <t>8312 Pine Rd, San Francisco, CA 85041</t>
  </si>
  <si>
    <t>Z621392</t>
  </si>
  <si>
    <t>https://www.zillow.com/homedetails/68667781_zpid/</t>
  </si>
  <si>
    <t>$542,776</t>
  </si>
  <si>
    <t>3628 Elm St, Los Angeles, CA 93184</t>
  </si>
  <si>
    <t>Z460779</t>
  </si>
  <si>
    <t>https://www.zillow.com/homedetails/43546271_zpid/</t>
  </si>
  <si>
    <t>$426,337</t>
  </si>
  <si>
    <t>5754 Oak Ave, San Francisco, CA 64707</t>
  </si>
  <si>
    <t>Z745373</t>
  </si>
  <si>
    <t>https://www.zillow.com/homedetails/23838738_zpid/</t>
  </si>
  <si>
    <t>$1,438,956</t>
  </si>
  <si>
    <t>3967 Pine Rd, Los Angeles, CA 45798</t>
  </si>
  <si>
    <t>Z569418</t>
  </si>
  <si>
    <t>https://www.zillow.com/homedetails/65322636_zpid/</t>
  </si>
  <si>
    <t>$429,828</t>
  </si>
  <si>
    <t>235 Pine Rd, Sacramento, TX 98635</t>
  </si>
  <si>
    <t>Z637508</t>
  </si>
  <si>
    <t>https://www.zillow.com/homedetails/93797794_zpid/</t>
  </si>
  <si>
    <t>$357,213</t>
  </si>
  <si>
    <t>8379 Elm St, San Francisco, CA 47969</t>
  </si>
  <si>
    <t>Z715979</t>
  </si>
  <si>
    <t>https://www.zillow.com/homedetails/63044879_zpid/</t>
  </si>
  <si>
    <t>$814,836</t>
  </si>
  <si>
    <t>3002 Pine Rd, Fresno, FL 13916</t>
  </si>
  <si>
    <t>Z860278</t>
  </si>
  <si>
    <t>https://www.zillow.com/homedetails/79912849_zpid/</t>
  </si>
  <si>
    <t>$873,714</t>
  </si>
  <si>
    <t>1737 Oak Ave, San Francisco, FL 33511</t>
  </si>
  <si>
    <t>Z505680</t>
  </si>
  <si>
    <t>https://www.zillow.com/homedetails/40525486_zpid/</t>
  </si>
  <si>
    <t>$631,293</t>
  </si>
  <si>
    <t>792 Main St, San Francisco, NY 73137</t>
  </si>
  <si>
    <t>Z793775</t>
  </si>
  <si>
    <t>https://www.zillow.com/homedetails/54006710_zpid/</t>
  </si>
  <si>
    <t>$697,793</t>
  </si>
  <si>
    <t>4199 Maple Dr, Fresno, TX 91478</t>
  </si>
  <si>
    <t>Z405643</t>
  </si>
  <si>
    <t>https://www.zillow.com/homedetails/10125450_zpid/</t>
  </si>
  <si>
    <t>$1,188,237</t>
  </si>
  <si>
    <t>793 Maple Dr, Los Angeles, FL 21192</t>
  </si>
  <si>
    <t>Z873316</t>
  </si>
  <si>
    <t>https://www.zillow.com/homedetails/81375045_zpid/</t>
  </si>
  <si>
    <t>$944,393</t>
  </si>
  <si>
    <t>1748 Maple Dr, San Francisco, IL 50906</t>
  </si>
  <si>
    <t>Z233534</t>
  </si>
  <si>
    <t>https://www.zillow.com/homedetails/14062740_zpid/</t>
  </si>
  <si>
    <t>$1,153,210</t>
  </si>
  <si>
    <t>4409 Pine Rd, Los Angeles, CA 62280</t>
  </si>
  <si>
    <t>Z475845</t>
  </si>
  <si>
    <t>https://www.zillow.com/homedetails/88233250_zpid/</t>
  </si>
  <si>
    <t>$1,364,608</t>
  </si>
  <si>
    <t>2607 Pine Rd, San Francisco, IL 19447</t>
  </si>
  <si>
    <t>Z215215</t>
  </si>
  <si>
    <t>https://www.zillow.com/homedetails/73100468_zpid/</t>
  </si>
  <si>
    <t>$993,011</t>
  </si>
  <si>
    <t>5830 Maple Dr, San Francisco, NY 89904</t>
  </si>
  <si>
    <t>Z330692</t>
  </si>
  <si>
    <t>https://www.zillow.com/homedetails/24756031_zpid/</t>
  </si>
  <si>
    <t>$1,455,317</t>
  </si>
  <si>
    <t>1588 Oak Ave, Sacramento, IL 38784</t>
  </si>
  <si>
    <t>Z578298</t>
  </si>
  <si>
    <t>https://www.zillow.com/homedetails/24774942_zpid/</t>
  </si>
  <si>
    <t>$582,180</t>
  </si>
  <si>
    <t>7439 Main St, Los Angeles, IL 91963</t>
  </si>
  <si>
    <t>Z194824</t>
  </si>
  <si>
    <t>https://www.zillow.com/homedetails/83441595_zpid/</t>
  </si>
  <si>
    <t>$1,394,289</t>
  </si>
  <si>
    <t>1147 Pine Rd, Los Angeles, CA 47210</t>
  </si>
  <si>
    <t>Z410074</t>
  </si>
  <si>
    <t>https://www.zillow.com/homedetails/56020084_zpid/</t>
  </si>
  <si>
    <t>$174,251</t>
  </si>
  <si>
    <t>2240 Oak Ave, Fresno, FL 70215</t>
  </si>
  <si>
    <t>Z404604</t>
  </si>
  <si>
    <t>https://www.zillow.com/homedetails/32367694_zpid/</t>
  </si>
  <si>
    <t>$788,063</t>
  </si>
  <si>
    <t>8999 Pine Rd, Sacramento, IL 54548</t>
  </si>
  <si>
    <t>Z716530</t>
  </si>
  <si>
    <t>https://www.zillow.com/homedetails/99657400_zpid/</t>
  </si>
  <si>
    <t>$1,390,208</t>
  </si>
  <si>
    <t>4973 Maple Dr, Fresno, TX 84482</t>
  </si>
  <si>
    <t>Z660765</t>
  </si>
  <si>
    <t>https://www.zillow.com/homedetails/27314002_zpid/</t>
  </si>
  <si>
    <t>$289,224</t>
  </si>
  <si>
    <t>6113 Main St, San Diego, IL 53067</t>
  </si>
  <si>
    <t>Z924991</t>
  </si>
  <si>
    <t>https://www.zillow.com/homedetails/12525650_zpid/</t>
  </si>
  <si>
    <t>$304,268</t>
  </si>
  <si>
    <t>7328 Maple Dr, Los Angeles, CA 75233</t>
  </si>
  <si>
    <t>Z699890</t>
  </si>
  <si>
    <t>https://www.zillow.com/homedetails/96184349_zpid/</t>
  </si>
  <si>
    <t>$286,355</t>
  </si>
  <si>
    <t>7104 Maple Dr, San Diego, TX 41914</t>
  </si>
  <si>
    <t>Z223974</t>
  </si>
  <si>
    <t>https://www.zillow.com/homedetails/65828800_zpid/</t>
  </si>
  <si>
    <t>$469,172</t>
  </si>
  <si>
    <t>3217 Elm St, Fresno, IL 71447</t>
  </si>
  <si>
    <t>Z630680</t>
  </si>
  <si>
    <t>https://www.zillow.com/homedetails/20249027_zpid/</t>
  </si>
  <si>
    <t>$1,242,314</t>
  </si>
  <si>
    <t>1697 Pine Rd, Sacramento, CA 27579</t>
  </si>
  <si>
    <t>Z927921</t>
  </si>
  <si>
    <t>https://www.zillow.com/homedetails/79903129_zpid/</t>
  </si>
  <si>
    <t>$607,785</t>
  </si>
  <si>
    <t>9695 Pine Rd, Sacramento, TX 32785</t>
  </si>
  <si>
    <t>Z880747</t>
  </si>
  <si>
    <t>https://www.zillow.com/homedetails/57044252_zpid/</t>
  </si>
  <si>
    <t>$1,334,512</t>
  </si>
  <si>
    <t>1946 Main St, San Diego, FL 37751</t>
  </si>
  <si>
    <t>Z824509</t>
  </si>
  <si>
    <t>https://www.zillow.com/homedetails/50821526_zpid/</t>
  </si>
  <si>
    <t>$589,344</t>
  </si>
  <si>
    <t>7382 Main St, Sacramento, CA 42099</t>
  </si>
  <si>
    <t>Z212179</t>
  </si>
  <si>
    <t>https://www.zillow.com/homedetails/50089281_zpid/</t>
  </si>
  <si>
    <t>$695,004</t>
  </si>
  <si>
    <t>1291 Oak Ave, Sacramento, CA 13733</t>
  </si>
  <si>
    <t>Z608860</t>
  </si>
  <si>
    <t>https://www.zillow.com/homedetails/73384818_zpid/</t>
  </si>
  <si>
    <t>$880,609</t>
  </si>
  <si>
    <t>7214 Main St, San Francisco, TX 93199</t>
  </si>
  <si>
    <t>Z688510</t>
  </si>
  <si>
    <t>https://www.zillow.com/homedetails/15883324_zpid/</t>
  </si>
  <si>
    <t>$765,589</t>
  </si>
  <si>
    <t>7862 Elm St, Sacramento, CA 79873</t>
  </si>
  <si>
    <t>Z271071</t>
  </si>
  <si>
    <t>https://www.zillow.com/homedetails/27941019_zpid/</t>
  </si>
  <si>
    <t>$173,195</t>
  </si>
  <si>
    <t>8683 Maple Dr, Sacramento, CA 45292</t>
  </si>
  <si>
    <t>Z925060</t>
  </si>
  <si>
    <t>https://www.zillow.com/homedetails/42308816_zpid/</t>
  </si>
  <si>
    <t>$139,505</t>
  </si>
  <si>
    <t>7034 Elm St, Fresno, TX 73437</t>
  </si>
  <si>
    <t>Z424130</t>
  </si>
  <si>
    <t>https://www.zillow.com/homedetails/68655221_zpid/</t>
  </si>
  <si>
    <t>$490,836</t>
  </si>
  <si>
    <t>2289 Pine Rd, San Francisco, IL 56669</t>
  </si>
  <si>
    <t>Z948673</t>
  </si>
  <si>
    <t>https://www.zillow.com/homedetails/60686973_zpid/</t>
  </si>
  <si>
    <t>$1,372,278</t>
  </si>
  <si>
    <t>2956 Main St, San Diego, CA 22444</t>
  </si>
  <si>
    <t>Z642500</t>
  </si>
  <si>
    <t>https://www.zillow.com/homedetails/61028525_zpid/</t>
  </si>
  <si>
    <t>$1,173,967</t>
  </si>
  <si>
    <t>1487 Oak Ave, Fresno, IL 22268</t>
  </si>
  <si>
    <t>Z640122</t>
  </si>
  <si>
    <t>https://www.zillow.com/homedetails/19028137_zpid/</t>
  </si>
  <si>
    <t>$735,605</t>
  </si>
  <si>
    <t>831 Elm St, San Diego, TX 59855</t>
  </si>
  <si>
    <t>Z382066</t>
  </si>
  <si>
    <t>https://www.zillow.com/homedetails/14015804_zpid/</t>
  </si>
  <si>
    <t>$514,584</t>
  </si>
  <si>
    <t>1368 Oak Ave, San Diego, CA 47734</t>
  </si>
  <si>
    <t>Z729534</t>
  </si>
  <si>
    <t>https://www.zillow.com/homedetails/31029775_zpid/</t>
  </si>
  <si>
    <t>$1,458,769</t>
  </si>
  <si>
    <t>1248 Maple Dr, San Francisco, FL 99940</t>
  </si>
  <si>
    <t>Z338371</t>
  </si>
  <si>
    <t>https://www.zillow.com/homedetails/56479434_zpid/</t>
  </si>
  <si>
    <t>$911,593</t>
  </si>
  <si>
    <t>7403 Main St, Sacramento, IL 33519</t>
  </si>
  <si>
    <t>Z660803</t>
  </si>
  <si>
    <t>https://www.zillow.com/homedetails/67764421_zpid/</t>
  </si>
  <si>
    <t>$882,369</t>
  </si>
  <si>
    <t>6635 Elm St, San Francisco, TX 45493</t>
  </si>
  <si>
    <t>Z952911</t>
  </si>
  <si>
    <t>https://www.zillow.com/homedetails/85129918_zpid/</t>
  </si>
  <si>
    <t>$523,704</t>
  </si>
  <si>
    <t>4297 Oak Ave, San Diego, IL 17567</t>
  </si>
  <si>
    <t>Z513174</t>
  </si>
  <si>
    <t>https://www.zillow.com/homedetails/65935745_zpid/</t>
  </si>
  <si>
    <t>$1,156,785</t>
  </si>
  <si>
    <t>2763 Maple Dr, Los Angeles, TX 80793</t>
  </si>
  <si>
    <t>Z457263</t>
  </si>
  <si>
    <t>https://www.zillow.com/homedetails/16603589_zpid/</t>
  </si>
  <si>
    <t>$1,426,040</t>
  </si>
  <si>
    <t>7141 Main St, Los Angeles, NY 53682</t>
  </si>
  <si>
    <t>Z327836</t>
  </si>
  <si>
    <t>https://www.zillow.com/homedetails/56301719_zpid/</t>
  </si>
  <si>
    <t>$328,266</t>
  </si>
  <si>
    <t>2484 Pine Rd, Fresno, FL 39489</t>
  </si>
  <si>
    <t>Z958469</t>
  </si>
  <si>
    <t>https://www.zillow.com/homedetails/13094387_zpid/</t>
  </si>
  <si>
    <t>$585,085</t>
  </si>
  <si>
    <t>1881 Oak Ave, Fresno, FL 18937</t>
  </si>
  <si>
    <t>Z371307</t>
  </si>
  <si>
    <t>https://www.zillow.com/homedetails/18636988_zpid/</t>
  </si>
  <si>
    <t>$1,210,031</t>
  </si>
  <si>
    <t>7338 Main St, Fresno, NY 58935</t>
  </si>
  <si>
    <t>Z961699</t>
  </si>
  <si>
    <t>https://www.zillow.com/homedetails/56431462_zpid/</t>
  </si>
  <si>
    <t>$1,063,326</t>
  </si>
  <si>
    <t>7186 Main St, Sacramento, CA 62633</t>
  </si>
  <si>
    <t>Z676708</t>
  </si>
  <si>
    <t>https://www.zillow.com/homedetails/13082217_zpid/</t>
  </si>
  <si>
    <t>$892,349</t>
  </si>
  <si>
    <t>9075 Main St, San Francisco, CA 96678</t>
  </si>
  <si>
    <t>Z689651</t>
  </si>
  <si>
    <t>https://www.zillow.com/homedetails/86091567_zpid/</t>
  </si>
  <si>
    <t>$966,864</t>
  </si>
  <si>
    <t>7516 Main St, San Francisco, IL 29567</t>
  </si>
  <si>
    <t>Z598961</t>
  </si>
  <si>
    <t>https://www.zillow.com/homedetails/59264937_zpid/</t>
  </si>
  <si>
    <t>$1,225,786</t>
  </si>
  <si>
    <t>7863 Maple Dr, Fresno, FL 71486</t>
  </si>
  <si>
    <t>Z616231</t>
  </si>
  <si>
    <t>https://www.zillow.com/homedetails/79238164_zpid/</t>
  </si>
  <si>
    <t>$510,491</t>
  </si>
  <si>
    <t>2287 Maple Dr, Sacramento, CA 40146</t>
  </si>
  <si>
    <t>Z609683</t>
  </si>
  <si>
    <t>https://www.zillow.com/homedetails/67396397_zpid/</t>
  </si>
  <si>
    <t>$571,121</t>
  </si>
  <si>
    <t>1946 Main St, Fresno, FL 40774</t>
  </si>
  <si>
    <t>Z548993</t>
  </si>
  <si>
    <t>https://www.zillow.com/homedetails/82731854_zpid/</t>
  </si>
  <si>
    <t>$340,762</t>
  </si>
  <si>
    <t>5544 Maple Dr, San Diego, CA 24650</t>
  </si>
  <si>
    <t>Z789657</t>
  </si>
  <si>
    <t>https://www.zillow.com/homedetails/36985229_zpid/</t>
  </si>
  <si>
    <t>$1,423,184</t>
  </si>
  <si>
    <t>5777 Oak Ave, San Francisco, FL 83965</t>
  </si>
  <si>
    <t>Z479571</t>
  </si>
  <si>
    <t>https://www.zillow.com/homedetails/60618921_zpid/</t>
  </si>
  <si>
    <t>$404,252</t>
  </si>
  <si>
    <t>789 Pine Rd, Los Angeles, TX 90909</t>
  </si>
  <si>
    <t>Z554680</t>
  </si>
  <si>
    <t>https://www.zillow.com/homedetails/87348599_zpid/</t>
  </si>
  <si>
    <t>$1,019,191</t>
  </si>
  <si>
    <t>6494 Elm St, Fresno, CA 39464</t>
  </si>
  <si>
    <t>Z193365</t>
  </si>
  <si>
    <t>https://www.zillow.com/homedetails/87576536_zpid/</t>
  </si>
  <si>
    <t>$1,293,478</t>
  </si>
  <si>
    <t>6066 Maple Dr, Fresno, NY 36565</t>
  </si>
  <si>
    <t>Z331755</t>
  </si>
  <si>
    <t>https://www.zillow.com/homedetails/78508175_zpid/</t>
  </si>
  <si>
    <t>$484,981</t>
  </si>
  <si>
    <t>3918 Pine Rd, Fresno, IL 22863</t>
  </si>
  <si>
    <t>Z974030</t>
  </si>
  <si>
    <t>https://www.zillow.com/homedetails/67979156_zpid/</t>
  </si>
  <si>
    <t>$203,604</t>
  </si>
  <si>
    <t>8715 Elm St, Fresno, FL 14986</t>
  </si>
  <si>
    <t>Z165458</t>
  </si>
  <si>
    <t>https://www.zillow.com/homedetails/61487431_zpid/</t>
  </si>
  <si>
    <t>$634,518</t>
  </si>
  <si>
    <t>2640 Elm St, San Diego, CA 18795</t>
  </si>
  <si>
    <t>Z669323</t>
  </si>
  <si>
    <t>https://www.zillow.com/homedetails/62556095_zpid/</t>
  </si>
  <si>
    <t>$1,384,056</t>
  </si>
  <si>
    <t>8687 Maple Dr, Fresno, CA 89688</t>
  </si>
  <si>
    <t>Z336626</t>
  </si>
  <si>
    <t>https://www.zillow.com/homedetails/77056247_zpid/</t>
  </si>
  <si>
    <t>$476,564</t>
  </si>
  <si>
    <t>8952 Elm St, Fresno, NY 45136</t>
  </si>
  <si>
    <t>Z546765</t>
  </si>
  <si>
    <t>https://www.zillow.com/homedetails/25024065_zpid/</t>
  </si>
  <si>
    <t>$942,562</t>
  </si>
  <si>
    <t>1726 Main St, Fresno, FL 39321</t>
  </si>
  <si>
    <t>Z913245</t>
  </si>
  <si>
    <t>https://www.zillow.com/homedetails/19935229_zpid/</t>
  </si>
  <si>
    <t>$991,924</t>
  </si>
  <si>
    <t>2924 Elm St, Los Angeles, CA 45099</t>
  </si>
  <si>
    <t>Z488767</t>
  </si>
  <si>
    <t>https://www.zillow.com/homedetails/49707773_zpid/</t>
  </si>
  <si>
    <t>$1,334,500</t>
  </si>
  <si>
    <t>6046 Oak Ave, Fresno, FL 75339</t>
  </si>
  <si>
    <t>Z272760</t>
  </si>
  <si>
    <t>https://www.zillow.com/homedetails/77607332_zpid/</t>
  </si>
  <si>
    <t>$472,624</t>
  </si>
  <si>
    <t>4736 Maple Dr, Sacramento, NY 55582</t>
  </si>
  <si>
    <t>Z511607</t>
  </si>
  <si>
    <t>https://www.zillow.com/homedetails/37368940_zpid/</t>
  </si>
  <si>
    <t>$779,212</t>
  </si>
  <si>
    <t>3534 Pine Rd, San Diego, CA 74405</t>
  </si>
  <si>
    <t>Z913364</t>
  </si>
  <si>
    <t>https://www.zillow.com/homedetails/75961323_zpid/</t>
  </si>
  <si>
    <t>$1,464,464</t>
  </si>
  <si>
    <t>3680 Maple Dr, San Diego, CA 67980</t>
  </si>
  <si>
    <t>Z906264</t>
  </si>
  <si>
    <t>https://www.zillow.com/homedetails/67921397_zpid/</t>
  </si>
  <si>
    <t>$455,746</t>
  </si>
  <si>
    <t>2205 Elm St, San Diego, TX 24295</t>
  </si>
  <si>
    <t>Z907386</t>
  </si>
  <si>
    <t>https://www.zillow.com/homedetails/71419492_zpid/</t>
  </si>
  <si>
    <t>$1,267,990</t>
  </si>
  <si>
    <t>8880 Oak Ave, Los Angeles, NY 73870</t>
  </si>
  <si>
    <t>Z859468</t>
  </si>
  <si>
    <t>https://www.zillow.com/homedetails/70016840_zpid/</t>
  </si>
  <si>
    <t>$942,400</t>
  </si>
  <si>
    <t>4670 Elm St, Sacramento, IL 53719</t>
  </si>
  <si>
    <t>Z195442</t>
  </si>
  <si>
    <t>https://www.zillow.com/homedetails/79261606_zpid/</t>
  </si>
  <si>
    <t>$948,826</t>
  </si>
  <si>
    <t>804 Oak Ave, San Francisco, FL 94653</t>
  </si>
  <si>
    <t>Z681110</t>
  </si>
  <si>
    <t>https://www.zillow.com/homedetails/15891928_zpid/</t>
  </si>
  <si>
    <t>$323,148</t>
  </si>
  <si>
    <t>5208 Maple Dr, San Diego, TX 11161</t>
  </si>
  <si>
    <t>Z624905</t>
  </si>
  <si>
    <t>https://www.zillow.com/homedetails/44032421_zpid/</t>
  </si>
  <si>
    <t>$385,824</t>
  </si>
  <si>
    <t>3748 Main St, San Francisco, FL 36942</t>
  </si>
  <si>
    <t>Z509971</t>
  </si>
  <si>
    <t>https://www.zillow.com/homedetails/85023039_zpid/</t>
  </si>
  <si>
    <t>$451,523</t>
  </si>
  <si>
    <t>3998 Elm St, San Diego, TX 89282</t>
  </si>
  <si>
    <t>Z750784</t>
  </si>
  <si>
    <t>https://www.zillow.com/homedetails/82505370_zpid/</t>
  </si>
  <si>
    <t>$290,051</t>
  </si>
  <si>
    <t>7911 Maple Dr, San Diego, FL 23484</t>
  </si>
  <si>
    <t>Z715284</t>
  </si>
  <si>
    <t>https://www.zillow.com/homedetails/75534546_zpid/</t>
  </si>
  <si>
    <t>$964,260</t>
  </si>
  <si>
    <t>1288 Oak Ave, Los Angeles, CA 99833</t>
  </si>
  <si>
    <t>Z933832</t>
  </si>
  <si>
    <t>https://www.zillow.com/homedetails/45733740_zpid/</t>
  </si>
  <si>
    <t>$969,325</t>
  </si>
  <si>
    <t>5618 Oak Ave, Fresno, FL 21246</t>
  </si>
  <si>
    <t>Z853555</t>
  </si>
  <si>
    <t>https://www.zillow.com/homedetails/52540071_zpid/</t>
  </si>
  <si>
    <t>$278,862</t>
  </si>
  <si>
    <t>8351 Main St, Fresno, TX 27368</t>
  </si>
  <si>
    <t>Z389447</t>
  </si>
  <si>
    <t>https://www.zillow.com/homedetails/14238582_zpid/</t>
  </si>
  <si>
    <t>$1,233,537</t>
  </si>
  <si>
    <t>8427 Oak Ave, Los Angeles, TX 48649</t>
  </si>
  <si>
    <t>Z299425</t>
  </si>
  <si>
    <t>https://www.zillow.com/homedetails/28172456_zpid/</t>
  </si>
  <si>
    <t>$127,143</t>
  </si>
  <si>
    <t>2240 Maple Dr, Sacramento, IL 77686</t>
  </si>
  <si>
    <t>Z510113</t>
  </si>
  <si>
    <t>https://www.zillow.com/homedetails/46285165_zpid/</t>
  </si>
  <si>
    <t>$935,219</t>
  </si>
  <si>
    <t>8437 Maple Dr, Los Angeles, CA 87095</t>
  </si>
  <si>
    <t>Z266062</t>
  </si>
  <si>
    <t>https://www.zillow.com/homedetails/45444102_zpid/</t>
  </si>
  <si>
    <t>$1,173,683</t>
  </si>
  <si>
    <t>6822 Oak Ave, San Diego, IL 31733</t>
  </si>
  <si>
    <t>Z262554</t>
  </si>
  <si>
    <t>https://www.zillow.com/homedetails/88099516_zpid/</t>
  </si>
  <si>
    <t>$1,266,532</t>
  </si>
  <si>
    <t>9914 Main St, San Francisco, CA 41775</t>
  </si>
  <si>
    <t>Z667970</t>
  </si>
  <si>
    <t>https://www.zillow.com/homedetails/38418046_zpid/</t>
  </si>
  <si>
    <t>$924,794</t>
  </si>
  <si>
    <t>8402 Pine Rd, San Francisco, NY 38499</t>
  </si>
  <si>
    <t>Z211468</t>
  </si>
  <si>
    <t>https://www.zillow.com/homedetails/32139298_zpid/</t>
  </si>
  <si>
    <t>$402,250</t>
  </si>
  <si>
    <t>1197 Maple Dr, San Francisco, FL 54158</t>
  </si>
  <si>
    <t>Z797982</t>
  </si>
  <si>
    <t>https://www.zillow.com/homedetails/81944122_zpid/</t>
  </si>
  <si>
    <t>$889,745</t>
  </si>
  <si>
    <t>8775 Oak Ave, Sacramento, TX 39086</t>
  </si>
  <si>
    <t>Z102149</t>
  </si>
  <si>
    <t>https://www.zillow.com/homedetails/55481776_zpid/</t>
  </si>
  <si>
    <t>$1,450,914</t>
  </si>
  <si>
    <t>169 Oak Ave, San Diego, FL 50594</t>
  </si>
  <si>
    <t>Z951203</t>
  </si>
  <si>
    <t>https://www.zillow.com/homedetails/12609519_zpid/</t>
  </si>
  <si>
    <t>$879,570</t>
  </si>
  <si>
    <t>9803 Pine Rd, Fresno, IL 57121</t>
  </si>
  <si>
    <t>Z343023</t>
  </si>
  <si>
    <t>https://www.zillow.com/homedetails/27064999_zpid/</t>
  </si>
  <si>
    <t>$1,276,754</t>
  </si>
  <si>
    <t>9426 Main St, Los Angeles, CA 14869</t>
  </si>
  <si>
    <t>Z432210</t>
  </si>
  <si>
    <t>https://www.zillow.com/homedetails/85842169_zpid/</t>
  </si>
  <si>
    <t>$632,140</t>
  </si>
  <si>
    <t>9337 Main St, Fresno, NY 16558</t>
  </si>
  <si>
    <t>Z992768</t>
  </si>
  <si>
    <t>https://www.zillow.com/homedetails/28702063_zpid/</t>
  </si>
  <si>
    <t>$829,817</t>
  </si>
  <si>
    <t>9091 Oak Ave, San Francisco, TX 74559</t>
  </si>
  <si>
    <t>Z481289</t>
  </si>
  <si>
    <t>https://www.zillow.com/homedetails/88649176_zpid/</t>
  </si>
  <si>
    <t>$250,343</t>
  </si>
  <si>
    <t>6947 Main St, San Francisco, CA 59168</t>
  </si>
  <si>
    <t>Z297574</t>
  </si>
  <si>
    <t>https://www.zillow.com/homedetails/24687672_zpid/</t>
  </si>
  <si>
    <t>$993,426</t>
  </si>
  <si>
    <t>8976 Main St, San Diego, CA 81788</t>
  </si>
  <si>
    <t>Z634765</t>
  </si>
  <si>
    <t>https://www.zillow.com/homedetails/26617471_zpid/</t>
  </si>
  <si>
    <t>$992,809</t>
  </si>
  <si>
    <t>3668 Main St, Sacramento, IL 99458</t>
  </si>
  <si>
    <t>Z768516</t>
  </si>
  <si>
    <t>https://www.zillow.com/homedetails/88082349_zpid/</t>
  </si>
  <si>
    <t>$633,814</t>
  </si>
  <si>
    <t>856 Main St, San Francisco, TX 63394</t>
  </si>
  <si>
    <t>Z277959</t>
  </si>
  <si>
    <t>https://www.zillow.com/homedetails/20932156_zpid/</t>
  </si>
  <si>
    <t>$1,174,412</t>
  </si>
  <si>
    <t>4165 Pine Rd, Los Angeles, CA 54265</t>
  </si>
  <si>
    <t>Z462583</t>
  </si>
  <si>
    <t>https://www.zillow.com/homedetails/91147878_zpid/</t>
  </si>
  <si>
    <t>$977,721</t>
  </si>
  <si>
    <t>1761 Pine Rd, Fresno, FL 47215</t>
  </si>
  <si>
    <t>Z408209</t>
  </si>
  <si>
    <t>https://www.zillow.com/homedetails/75469908_zpid/</t>
  </si>
  <si>
    <t>$1,109,257</t>
  </si>
  <si>
    <t>5233 Oak Ave, Sacramento, IL 81002</t>
  </si>
  <si>
    <t>Z623609</t>
  </si>
  <si>
    <t>https://www.zillow.com/homedetails/89968765_zpid/</t>
  </si>
  <si>
    <t>$423,729</t>
  </si>
  <si>
    <t>2996 Maple Dr, San Francisco, IL 60302</t>
  </si>
  <si>
    <t>Z326970</t>
  </si>
  <si>
    <t>https://www.zillow.com/homedetails/93923957_zpid/</t>
  </si>
  <si>
    <t>$424,673</t>
  </si>
  <si>
    <t>843 Oak Ave, Sacramento, CA 27614</t>
  </si>
  <si>
    <t>Z526584</t>
  </si>
  <si>
    <t>https://www.zillow.com/homedetails/98053345_zpid/</t>
  </si>
  <si>
    <t>$1,192,506</t>
  </si>
  <si>
    <t>9427 Maple Dr, San Francisco, IL 24515</t>
  </si>
  <si>
    <t>Z177075</t>
  </si>
  <si>
    <t>https://www.zillow.com/homedetails/70148099_zpid/</t>
  </si>
  <si>
    <t>$1,099,602</t>
  </si>
  <si>
    <t>8579 Main St, Sacramento, NY 18166</t>
  </si>
  <si>
    <t>Z548205</t>
  </si>
  <si>
    <t>https://www.zillow.com/homedetails/44394371_zpid/</t>
  </si>
  <si>
    <t>$206,508</t>
  </si>
  <si>
    <t>6097 Pine Rd, Sacramento, IL 73499</t>
  </si>
  <si>
    <t>Z366418</t>
  </si>
  <si>
    <t>https://www.zillow.com/homedetails/78544457_zpid/</t>
  </si>
  <si>
    <t>$692,345</t>
  </si>
  <si>
    <t>959 Elm St, Fresno, CA 20838</t>
  </si>
  <si>
    <t>Z778473</t>
  </si>
  <si>
    <t>https://www.zillow.com/homedetails/10705628_zpid/</t>
  </si>
  <si>
    <t>$1,232,947</t>
  </si>
  <si>
    <t>9929 Oak Ave, San Diego, FL 47585</t>
  </si>
  <si>
    <t>Z691043</t>
  </si>
  <si>
    <t>https://www.zillow.com/homedetails/27596453_zpid/</t>
  </si>
  <si>
    <t>$1,430,971</t>
  </si>
  <si>
    <t>2628 Oak Ave, Fresno, FL 42583</t>
  </si>
  <si>
    <t>Z105488</t>
  </si>
  <si>
    <t>https://www.zillow.com/homedetails/70628876_zpid/</t>
  </si>
  <si>
    <t>$901,849</t>
  </si>
  <si>
    <t>5913 Oak Ave, San Francisco, FL 29419</t>
  </si>
  <si>
    <t>Z329607</t>
  </si>
  <si>
    <t>https://www.zillow.com/homedetails/99524581_zpid/</t>
  </si>
  <si>
    <t>$1,117,002</t>
  </si>
  <si>
    <t>2835 Oak Ave, Fresno, IL 48794</t>
  </si>
  <si>
    <t>Z850551</t>
  </si>
  <si>
    <t>https://www.zillow.com/homedetails/38647579_zpid/</t>
  </si>
  <si>
    <t>$1,462,110</t>
  </si>
  <si>
    <t>435 Pine Rd, Los Angeles, NY 74534</t>
  </si>
  <si>
    <t>Z144220</t>
  </si>
  <si>
    <t>https://www.zillow.com/homedetails/83330240_zpid/</t>
  </si>
  <si>
    <t>$443,507</t>
  </si>
  <si>
    <t>4355 Pine Rd, Fresno, FL 79704</t>
  </si>
  <si>
    <t>Z806761</t>
  </si>
  <si>
    <t>https://www.zillow.com/homedetails/57305782_zpid/</t>
  </si>
  <si>
    <t>$786,855</t>
  </si>
  <si>
    <t>3328 Oak Ave, Sacramento, FL 82216</t>
  </si>
  <si>
    <t>Z909237</t>
  </si>
  <si>
    <t>https://www.zillow.com/homedetails/95432429_zpid/</t>
  </si>
  <si>
    <t>$222,555</t>
  </si>
  <si>
    <t>1065 Maple Dr, Los Angeles, CA 42151</t>
  </si>
  <si>
    <t>Z746150</t>
  </si>
  <si>
    <t>https://www.zillow.com/homedetails/59917300_zpid/</t>
  </si>
  <si>
    <t>$772,844</t>
  </si>
  <si>
    <t>1738 Maple Dr, Fresno, NY 48506</t>
  </si>
  <si>
    <t>Z473742</t>
  </si>
  <si>
    <t>https://www.zillow.com/homedetails/99927218_zpid/</t>
  </si>
  <si>
    <t>$781,461</t>
  </si>
  <si>
    <t>2592 Maple Dr, Sacramento, IL 99411</t>
  </si>
  <si>
    <t>Z285282</t>
  </si>
  <si>
    <t>https://www.zillow.com/homedetails/65330900_zpid/</t>
  </si>
  <si>
    <t>$672,743</t>
  </si>
  <si>
    <t>5796 Maple Dr, Sacramento, NY 75044</t>
  </si>
  <si>
    <t>Z558539</t>
  </si>
  <si>
    <t>https://www.zillow.com/homedetails/95996309_zpid/</t>
  </si>
  <si>
    <t>$1,183,386</t>
  </si>
  <si>
    <t>2925 Maple Dr, Los Angeles, TX 64043</t>
  </si>
  <si>
    <t>Z328149</t>
  </si>
  <si>
    <t>https://www.zillow.com/homedetails/92752645_zpid/</t>
  </si>
  <si>
    <t>$1,440,454</t>
  </si>
  <si>
    <t>3996 Elm St, Fresno, CA 24208</t>
  </si>
  <si>
    <t>Z878451</t>
  </si>
  <si>
    <t>https://www.zillow.com/homedetails/72903671_zpid/</t>
  </si>
  <si>
    <t>$1,249,372</t>
  </si>
  <si>
    <t>4305 Main St, Los Angeles, CA 12824</t>
  </si>
  <si>
    <t>Z363327</t>
  </si>
  <si>
    <t>https://www.zillow.com/homedetails/60474398_zpid/</t>
  </si>
  <si>
    <t>$1,491,915</t>
  </si>
  <si>
    <t>9715 Pine Rd, Sacramento, NY 24833</t>
  </si>
  <si>
    <t>Z580885</t>
  </si>
  <si>
    <t>https://www.zillow.com/homedetails/55344333_zpid/</t>
  </si>
  <si>
    <t>$841,296</t>
  </si>
  <si>
    <t>4539 Oak Ave, Sacramento, CA 74923</t>
  </si>
  <si>
    <t>Z573815</t>
  </si>
  <si>
    <t>https://www.zillow.com/homedetails/18588524_zpid/</t>
  </si>
  <si>
    <t>$1,363,186</t>
  </si>
  <si>
    <t>1126 Elm St, Fresno, CA 91225</t>
  </si>
  <si>
    <t>Z612493</t>
  </si>
  <si>
    <t>https://www.zillow.com/homedetails/85125734_zpid/</t>
  </si>
  <si>
    <t>$1,458,415</t>
  </si>
  <si>
    <t>8268 Oak Ave, Fresno, FL 55613</t>
  </si>
  <si>
    <t>Z906240</t>
  </si>
  <si>
    <t>https://www.zillow.com/homedetails/88448908_zpid/</t>
  </si>
  <si>
    <t>$908,122</t>
  </si>
  <si>
    <t>2804 Main St, San Francisco, TX 98765</t>
  </si>
  <si>
    <t>Z491465</t>
  </si>
  <si>
    <t>https://www.zillow.com/homedetails/61876369_zpid/</t>
  </si>
  <si>
    <t>$127,390</t>
  </si>
  <si>
    <t>9068 Elm St, San Francisco, NY 13791</t>
  </si>
  <si>
    <t>Z145284</t>
  </si>
  <si>
    <t>https://www.zillow.com/homedetails/15246953_zpid/</t>
  </si>
  <si>
    <t>$1,039,105</t>
  </si>
  <si>
    <t>3000 Oak Ave, San Diego, FL 30020</t>
  </si>
  <si>
    <t>Z973026</t>
  </si>
  <si>
    <t>https://www.zillow.com/homedetails/61145037_zpid/</t>
  </si>
  <si>
    <t>$831,403</t>
  </si>
  <si>
    <t>6677 Maple Dr, Los Angeles, NY 10580</t>
  </si>
  <si>
    <t>Z417921</t>
  </si>
  <si>
    <t>https://www.zillow.com/homedetails/76474204_zpid/</t>
  </si>
  <si>
    <t>$716,358</t>
  </si>
  <si>
    <t>679 Oak Ave, Sacramento, NY 90175</t>
  </si>
  <si>
    <t>Z341725</t>
  </si>
  <si>
    <t>https://www.zillow.com/homedetails/81958023_zpid/</t>
  </si>
  <si>
    <t>$651,627</t>
  </si>
  <si>
    <t>5301 Elm St, Los Angeles, CA 55660</t>
  </si>
  <si>
    <t>Z222586</t>
  </si>
  <si>
    <t>https://www.zillow.com/homedetails/67373473_zpid/</t>
  </si>
  <si>
    <t>$981,826</t>
  </si>
  <si>
    <t>4673 Elm St, San Diego, NY 80255</t>
  </si>
  <si>
    <t>Z991868</t>
  </si>
  <si>
    <t>https://www.zillow.com/homedetails/51176478_zpid/</t>
  </si>
  <si>
    <t>$712,624</t>
  </si>
  <si>
    <t>6617 Main St, Los Angeles, TX 85304</t>
  </si>
  <si>
    <t>Z743786</t>
  </si>
  <si>
    <t>https://www.zillow.com/homedetails/13770042_zpid/</t>
  </si>
  <si>
    <t>$801,696</t>
  </si>
  <si>
    <t>1502 Oak Ave, Fresno, NY 49816</t>
  </si>
  <si>
    <t>Z799823</t>
  </si>
  <si>
    <t>https://www.zillow.com/homedetails/71056569_zpid/</t>
  </si>
  <si>
    <t>$717,467</t>
  </si>
  <si>
    <t>8786 Maple Dr, San Francisco, FL 47109</t>
  </si>
  <si>
    <t>Z346117</t>
  </si>
  <si>
    <t>https://www.zillow.com/homedetails/95193300_zpid/</t>
  </si>
  <si>
    <t>$273,905</t>
  </si>
  <si>
    <t>8579 Oak Ave, Sacramento, NY 49587</t>
  </si>
  <si>
    <t>Z439297</t>
  </si>
  <si>
    <t>https://www.zillow.com/homedetails/89074396_zpid/</t>
  </si>
  <si>
    <t>$330,016</t>
  </si>
  <si>
    <t>7454 Oak Ave, Sacramento, FL 96526</t>
  </si>
  <si>
    <t>Z796658</t>
  </si>
  <si>
    <t>https://www.zillow.com/homedetails/42007885_zpid/</t>
  </si>
  <si>
    <t>$1,020,669</t>
  </si>
  <si>
    <t>1854 Elm St, San Diego, IL 38046</t>
  </si>
  <si>
    <t>Z295934</t>
  </si>
  <si>
    <t>https://www.zillow.com/homedetails/18168964_zpid/</t>
  </si>
  <si>
    <t>$824,375</t>
  </si>
  <si>
    <t>7147 Pine Rd, San Diego, IL 60417</t>
  </si>
  <si>
    <t>Z660897</t>
  </si>
  <si>
    <t>https://www.zillow.com/homedetails/57095492_zpid/</t>
  </si>
  <si>
    <t>$311,629</t>
  </si>
  <si>
    <t>1163 Elm St, Sacramento, TX 73855</t>
  </si>
  <si>
    <t>Z405944</t>
  </si>
  <si>
    <t>https://www.zillow.com/homedetails/89999385_zpid/</t>
  </si>
  <si>
    <t>$867,206</t>
  </si>
  <si>
    <t>8867 Main St, Los Angeles, TX 55397</t>
  </si>
  <si>
    <t>Z560838</t>
  </si>
  <si>
    <t>https://www.zillow.com/homedetails/18572216_zpid/</t>
  </si>
  <si>
    <t>$796,329</t>
  </si>
  <si>
    <t>5649 Pine Rd, San Francisco, TX 86142</t>
  </si>
  <si>
    <t>Z281404</t>
  </si>
  <si>
    <t>https://www.zillow.com/homedetails/81890117_zpid/</t>
  </si>
  <si>
    <t>$856,876</t>
  </si>
  <si>
    <t>6573 Pine Rd, Fresno, NY 41561</t>
  </si>
  <si>
    <t>Z584332</t>
  </si>
  <si>
    <t>https://www.zillow.com/homedetails/44360094_zpid/</t>
  </si>
  <si>
    <t>$1,420,675</t>
  </si>
  <si>
    <t>6866 Elm St, Sacramento, FL 85564</t>
  </si>
  <si>
    <t>Z279674</t>
  </si>
  <si>
    <t>https://www.zillow.com/homedetails/40682476_zpid/</t>
  </si>
  <si>
    <t>$617,620</t>
  </si>
  <si>
    <t>5162 Elm St, San Francisco, TX 79196</t>
  </si>
  <si>
    <t>Z325195</t>
  </si>
  <si>
    <t>https://www.zillow.com/homedetails/30218179_zpid/</t>
  </si>
  <si>
    <t>$414,754</t>
  </si>
  <si>
    <t>8194 Oak Ave, Fresno, CA 86532</t>
  </si>
  <si>
    <t>Z249398</t>
  </si>
  <si>
    <t>https://www.zillow.com/homedetails/64583874_zpid/</t>
  </si>
  <si>
    <t>$1,470,699</t>
  </si>
  <si>
    <t>7310 Pine Rd, San Diego, CA 29047</t>
  </si>
  <si>
    <t>Z428626</t>
  </si>
  <si>
    <t>https://www.zillow.com/homedetails/30472347_zpid/</t>
  </si>
  <si>
    <t>$1,254,861</t>
  </si>
  <si>
    <t>7840 Oak Ave, San Francisco, CA 52094</t>
  </si>
  <si>
    <t>Z488395</t>
  </si>
  <si>
    <t>https://www.zillow.com/homedetails/16989640_zpid/</t>
  </si>
  <si>
    <t>$199,191</t>
  </si>
  <si>
    <t>1308 Elm St, San Francisco, IL 68735</t>
  </si>
  <si>
    <t>Z373544</t>
  </si>
  <si>
    <t>https://www.zillow.com/homedetails/93953296_zpid/</t>
  </si>
  <si>
    <t>$177,022</t>
  </si>
  <si>
    <t>6249 Maple Dr, Fresno, CA 98694</t>
  </si>
  <si>
    <t>Z651626</t>
  </si>
  <si>
    <t>https://www.zillow.com/homedetails/73715581_zpid/</t>
  </si>
  <si>
    <t>$1,022,640</t>
  </si>
  <si>
    <t>6323 Main St, Los Angeles, IL 16519</t>
  </si>
  <si>
    <t>Z542567</t>
  </si>
  <si>
    <t>https://www.zillow.com/homedetails/46636874_zpid/</t>
  </si>
  <si>
    <t>$271,192</t>
  </si>
  <si>
    <t>1832 Pine Rd, San Francisco, FL 91208</t>
  </si>
  <si>
    <t>Z678639</t>
  </si>
  <si>
    <t>https://www.zillow.com/homedetails/32303566_zpid/</t>
  </si>
  <si>
    <t>$338,004</t>
  </si>
  <si>
    <t>9653 Oak Ave, Fresno, FL 58030</t>
  </si>
  <si>
    <t>Z597703</t>
  </si>
  <si>
    <t>https://www.zillow.com/homedetails/78043808_zpid/</t>
  </si>
  <si>
    <t>$732,123</t>
  </si>
  <si>
    <t>5499 Maple Dr, San Francisco, FL 13564</t>
  </si>
  <si>
    <t>Z477580</t>
  </si>
  <si>
    <t>https://www.zillow.com/homedetails/18439090_zpid/</t>
  </si>
  <si>
    <t>$885,498</t>
  </si>
  <si>
    <t>6467 Maple Dr, Los Angeles, FL 77472</t>
  </si>
  <si>
    <t>Z363473</t>
  </si>
  <si>
    <t>https://www.zillow.com/homedetails/22248229_zpid/</t>
  </si>
  <si>
    <t>$778,574</t>
  </si>
  <si>
    <t>416 Maple Dr, Sacramento, NY 94078</t>
  </si>
  <si>
    <t>Z962957</t>
  </si>
  <si>
    <t>https://www.zillow.com/homedetails/40862000_zpid/</t>
  </si>
  <si>
    <t>$1,491,852</t>
  </si>
  <si>
    <t>6283 Oak Ave, San Diego, IL 49251</t>
  </si>
  <si>
    <t>Z812700</t>
  </si>
  <si>
    <t>https://www.zillow.com/homedetails/14060460_zpid/</t>
  </si>
  <si>
    <t>$1,340,655</t>
  </si>
  <si>
    <t>3884 Oak Ave, Fresno, FL 74333</t>
  </si>
  <si>
    <t>Z774905</t>
  </si>
  <si>
    <t>https://www.zillow.com/homedetails/69757023_zpid/</t>
  </si>
  <si>
    <t>$1,157,118</t>
  </si>
  <si>
    <t>3672 Elm St, San Diego, CA 82020</t>
  </si>
  <si>
    <t>Z238405</t>
  </si>
  <si>
    <t>https://www.zillow.com/homedetails/38925584_zpid/</t>
  </si>
  <si>
    <t>$624,172</t>
  </si>
  <si>
    <t>9687 Oak Ave, Fresno, CA 58626</t>
  </si>
  <si>
    <t>Z615545</t>
  </si>
  <si>
    <t>https://www.zillow.com/homedetails/43013367_zpid/</t>
  </si>
  <si>
    <t>$1,318,586</t>
  </si>
  <si>
    <t>4121 Pine Rd, Fresno, CA 73201</t>
  </si>
  <si>
    <t>Z841050</t>
  </si>
  <si>
    <t>https://www.zillow.com/homedetails/10632661_zpid/</t>
  </si>
  <si>
    <t>$958,904</t>
  </si>
  <si>
    <t>7258 Elm St, San Diego, CA 38521</t>
  </si>
  <si>
    <t>Z469833</t>
  </si>
  <si>
    <t>https://www.zillow.com/homedetails/11012210_zpid/</t>
  </si>
  <si>
    <t>$1,213,198</t>
  </si>
  <si>
    <t>8328 Oak Ave, San Diego, TX 35007</t>
  </si>
  <si>
    <t>Z338256</t>
  </si>
  <si>
    <t>https://www.zillow.com/homedetails/85037238_zpid/</t>
  </si>
  <si>
    <t>$1,429,416</t>
  </si>
  <si>
    <t>3955 Main St, San Diego, NY 59418</t>
  </si>
  <si>
    <t>Z634890</t>
  </si>
  <si>
    <t>https://www.zillow.com/homedetails/47530136_zpid/</t>
  </si>
  <si>
    <t>$1,160,505</t>
  </si>
  <si>
    <t>9948 Maple Dr, Los Angeles, NY 88644</t>
  </si>
  <si>
    <t>Z122586</t>
  </si>
  <si>
    <t>https://www.zillow.com/homedetails/43465825_zpid/</t>
  </si>
  <si>
    <t>$734,444</t>
  </si>
  <si>
    <t>9272 Oak Ave, San Francisco, NY 57158</t>
  </si>
  <si>
    <t>Z235747</t>
  </si>
  <si>
    <t>https://www.zillow.com/homedetails/94377514_zpid/</t>
  </si>
  <si>
    <t>$606,184</t>
  </si>
  <si>
    <t>4450 Maple Dr, Fresno, IL 12532</t>
  </si>
  <si>
    <t>Z581640</t>
  </si>
  <si>
    <t>https://www.zillow.com/homedetails/81407887_zpid/</t>
  </si>
  <si>
    <t>$1,043,199</t>
  </si>
  <si>
    <t>3469 Oak Ave, Fresno, IL 79672</t>
  </si>
  <si>
    <t>Z613833</t>
  </si>
  <si>
    <t>https://www.zillow.com/homedetails/94554911_zpid/</t>
  </si>
  <si>
    <t>$287,475</t>
  </si>
  <si>
    <t>609 Oak Ave, Sacramento, CA 53411</t>
  </si>
  <si>
    <t>Z116611</t>
  </si>
  <si>
    <t>https://www.zillow.com/homedetails/41491103_zpid/</t>
  </si>
  <si>
    <t>$262,684</t>
  </si>
  <si>
    <t>128 Elm St, San Francisco, CA 45612</t>
  </si>
  <si>
    <t>Z789467</t>
  </si>
  <si>
    <t>https://www.zillow.com/homedetails/98032808_zpid/</t>
  </si>
  <si>
    <t>$1,496,345</t>
  </si>
  <si>
    <t>7880 Maple Dr, San Diego, FL 64384</t>
  </si>
  <si>
    <t>Z539950</t>
  </si>
  <si>
    <t>https://www.zillow.com/homedetails/60965630_zpid/</t>
  </si>
  <si>
    <t>$1,322,012</t>
  </si>
  <si>
    <t>4242 Main St, San Francisco, FL 57352</t>
  </si>
  <si>
    <t>Z178776</t>
  </si>
  <si>
    <t>https://www.zillow.com/homedetails/97624287_zpid/</t>
  </si>
  <si>
    <t>$450,980</t>
  </si>
  <si>
    <t>5500 Oak Ave, Sacramento, NY 44660</t>
  </si>
  <si>
    <t>Z250212</t>
  </si>
  <si>
    <t>https://www.zillow.com/homedetails/51006778_zpid/</t>
  </si>
  <si>
    <t>$1,041,999</t>
  </si>
  <si>
    <t>3184 Elm St, Los Angeles, CA 14871</t>
  </si>
  <si>
    <t>Z862784</t>
  </si>
  <si>
    <t>https://www.zillow.com/homedetails/66643195_zpid/</t>
  </si>
  <si>
    <t>$193,541</t>
  </si>
  <si>
    <t>3509 Main St, San Diego, IL 33243</t>
  </si>
  <si>
    <t>Z189115</t>
  </si>
  <si>
    <t>https://www.zillow.com/homedetails/53008835_zpid/</t>
  </si>
  <si>
    <t>$816,755</t>
  </si>
  <si>
    <t>1064 Oak Ave, Los Angeles, FL 31199</t>
  </si>
  <si>
    <t>Z186649</t>
  </si>
  <si>
    <t>https://www.zillow.com/homedetails/63900168_zpid/</t>
  </si>
  <si>
    <t>$347,514</t>
  </si>
  <si>
    <t>3899 Main St, San Francisco, IL 61889</t>
  </si>
  <si>
    <t>Z668070</t>
  </si>
  <si>
    <t>https://www.zillow.com/homedetails/89989722_zpid/</t>
  </si>
  <si>
    <t>$112,180</t>
  </si>
  <si>
    <t>5208 Elm St, Sacramento, NY 93475</t>
  </si>
  <si>
    <t>Z456095</t>
  </si>
  <si>
    <t>https://www.zillow.com/homedetails/29501877_zpid/</t>
  </si>
  <si>
    <t>$1,184,343</t>
  </si>
  <si>
    <t>8609 Maple Dr, San Diego, IL 94949</t>
  </si>
  <si>
    <t>Z379658</t>
  </si>
  <si>
    <t>https://www.zillow.com/homedetails/92362057_zpid/</t>
  </si>
  <si>
    <t>$1,279,191</t>
  </si>
  <si>
    <t>3641 Maple Dr, Sacramento, CA 49155</t>
  </si>
  <si>
    <t>Z145202</t>
  </si>
  <si>
    <t>https://www.zillow.com/homedetails/74564978_zpid/</t>
  </si>
  <si>
    <t>$349,997</t>
  </si>
  <si>
    <t>4786 Pine Rd, San Diego, CA 17898</t>
  </si>
  <si>
    <t>Z941605</t>
  </si>
  <si>
    <t>https://www.zillow.com/homedetails/26757804_zpid/</t>
  </si>
  <si>
    <t>$911,746</t>
  </si>
  <si>
    <t>6881 Elm St, San Francisco, IL 85654</t>
  </si>
  <si>
    <t>Z833889</t>
  </si>
  <si>
    <t>https://www.zillow.com/homedetails/60968582_zpid/</t>
  </si>
  <si>
    <t>$816,254</t>
  </si>
  <si>
    <t>7287 Oak Ave, San Francisco, FL 22485</t>
  </si>
  <si>
    <t>Z353328</t>
  </si>
  <si>
    <t>https://www.zillow.com/homedetails/68082089_zpid/</t>
  </si>
  <si>
    <t>$838,822</t>
  </si>
  <si>
    <t>8571 Main St, Sacramento, TX 77190</t>
  </si>
  <si>
    <t>Z980659</t>
  </si>
  <si>
    <t>https://www.zillow.com/homedetails/64362403_zpid/</t>
  </si>
  <si>
    <t>$393,230</t>
  </si>
  <si>
    <t>6468 Maple Dr, Sacramento, IL 74608</t>
  </si>
  <si>
    <t>Z909819</t>
  </si>
  <si>
    <t>https://www.zillow.com/homedetails/34186128_zpid/</t>
  </si>
  <si>
    <t>$225,327</t>
  </si>
  <si>
    <t>617 Oak Ave, San Francisco, TX 85430</t>
  </si>
  <si>
    <t>Z422667</t>
  </si>
  <si>
    <t>https://www.zillow.com/homedetails/60444207_zpid/</t>
  </si>
  <si>
    <t>$118,489</t>
  </si>
  <si>
    <t>975 Maple Dr, San Diego, CA 75915</t>
  </si>
  <si>
    <t>Z656637</t>
  </si>
  <si>
    <t>https://www.zillow.com/homedetails/81806061_zpid/</t>
  </si>
  <si>
    <t>$565,668</t>
  </si>
  <si>
    <t>551 Pine Rd, Sacramento, CA 24761</t>
  </si>
  <si>
    <t>Z313848</t>
  </si>
  <si>
    <t>https://www.zillow.com/homedetails/61677381_zpid/</t>
  </si>
  <si>
    <t>$980,511</t>
  </si>
  <si>
    <t>8614 Main St, San Diego, FL 72503</t>
  </si>
  <si>
    <t>Z665915</t>
  </si>
  <si>
    <t>https://www.zillow.com/homedetails/76839986_zpid/</t>
  </si>
  <si>
    <t>$938,654</t>
  </si>
  <si>
    <t>5360 Oak Ave, San Diego, NY 95615</t>
  </si>
  <si>
    <t>Z818196</t>
  </si>
  <si>
    <t>https://www.zillow.com/homedetails/64645243_zpid/</t>
  </si>
  <si>
    <t>$512,474</t>
  </si>
  <si>
    <t>6829 Main St, Fresno, TX 58601</t>
  </si>
  <si>
    <t>Z823642</t>
  </si>
  <si>
    <t>https://www.zillow.com/homedetails/54128866_zpid/</t>
  </si>
  <si>
    <t>$1,413,904</t>
  </si>
  <si>
    <t>482 Elm St, San Diego, TX 25297</t>
  </si>
  <si>
    <t>Z441862</t>
  </si>
  <si>
    <t>https://www.zillow.com/homedetails/48424927_zpid/</t>
  </si>
  <si>
    <t>$1,228,673</t>
  </si>
  <si>
    <t>8417 Pine Rd, Fresno, CA 49968</t>
  </si>
  <si>
    <t>Z679736</t>
  </si>
  <si>
    <t>https://www.zillow.com/homedetails/78811747_zpid/</t>
  </si>
  <si>
    <t>$254,946</t>
  </si>
  <si>
    <t>8857 Oak Ave, Sacramento, FL 25867</t>
  </si>
  <si>
    <t>Z206213</t>
  </si>
  <si>
    <t>https://www.zillow.com/homedetails/32144035_zpid/</t>
  </si>
  <si>
    <t>$563,319</t>
  </si>
  <si>
    <t>6218 Main St, San Diego, IL 79585</t>
  </si>
  <si>
    <t>Z493657</t>
  </si>
  <si>
    <t>https://www.zillow.com/homedetails/39937087_zpid/</t>
  </si>
  <si>
    <t>$766,154</t>
  </si>
  <si>
    <t>7550 Oak Ave, Fresno, NY 41583</t>
  </si>
  <si>
    <t>Z499961</t>
  </si>
  <si>
    <t>https://www.zillow.com/homedetails/21362654_zpid/</t>
  </si>
  <si>
    <t>$770,630</t>
  </si>
  <si>
    <t>3705 Elm St, Fresno, IL 17167</t>
  </si>
  <si>
    <t>Z617342</t>
  </si>
  <si>
    <t>https://www.zillow.com/homedetails/32624231_zpid/</t>
  </si>
  <si>
    <t>$1,417,864</t>
  </si>
  <si>
    <t>4872 Elm St, San Francisco, NY 64492</t>
  </si>
  <si>
    <t>Z436265</t>
  </si>
  <si>
    <t>https://www.zillow.com/homedetails/65419857_zpid/</t>
  </si>
  <si>
    <t>$835,837</t>
  </si>
  <si>
    <t>1334 Maple Dr, Fresno, IL 16887</t>
  </si>
  <si>
    <t>Z818583</t>
  </si>
  <si>
    <t>https://www.zillow.com/homedetails/58781831_zpid/</t>
  </si>
  <si>
    <t>$479,296</t>
  </si>
  <si>
    <t>9505 Oak Ave, San Francisco, CA 90874</t>
  </si>
  <si>
    <t>Z452259</t>
  </si>
  <si>
    <t>https://www.zillow.com/homedetails/34179781_zpid/</t>
  </si>
  <si>
    <t>$304,055</t>
  </si>
  <si>
    <t>981 Maple Dr, Fresno, CA 53066</t>
  </si>
  <si>
    <t>Z321244</t>
  </si>
  <si>
    <t>https://www.zillow.com/homedetails/82613267_zpid/</t>
  </si>
  <si>
    <t>$333,354</t>
  </si>
  <si>
    <t>8000 Pine Rd, San Diego, IL 28138</t>
  </si>
  <si>
    <t>Z204471</t>
  </si>
  <si>
    <t>https://www.zillow.com/homedetails/39339899_zpid/</t>
  </si>
  <si>
    <t>$462,942</t>
  </si>
  <si>
    <t>5861 Pine Rd, Los Angeles, FL 21056</t>
  </si>
  <si>
    <t>Z846549</t>
  </si>
  <si>
    <t>https://www.zillow.com/homedetails/45444704_zpid/</t>
  </si>
  <si>
    <t>$100,359</t>
  </si>
  <si>
    <t>5221 Pine Rd, Sacramento, FL 70372</t>
  </si>
  <si>
    <t>Z608622</t>
  </si>
  <si>
    <t>https://www.zillow.com/homedetails/28701688_zpid/</t>
  </si>
  <si>
    <t>$861,114</t>
  </si>
  <si>
    <t>4486 Pine Rd, San Francisco, FL 57003</t>
  </si>
  <si>
    <t>Z541579</t>
  </si>
  <si>
    <t>https://www.zillow.com/homedetails/73999031_zpid/</t>
  </si>
  <si>
    <t>$781,259</t>
  </si>
  <si>
    <t>1965 Oak Ave, Los Angeles, FL 34275</t>
  </si>
  <si>
    <t>Z571077</t>
  </si>
  <si>
    <t>https://www.zillow.com/homedetails/12397057_zpid/</t>
  </si>
  <si>
    <t>$260,105</t>
  </si>
  <si>
    <t>6290 Pine Rd, San Diego, FL 69070</t>
  </si>
  <si>
    <t>Z703941</t>
  </si>
  <si>
    <t>https://www.zillow.com/homedetails/60829655_zpid/</t>
  </si>
  <si>
    <t>$1,304,257</t>
  </si>
  <si>
    <t>1586 Pine Rd, Fresno, CA 52305</t>
  </si>
  <si>
    <t>Z984897</t>
  </si>
  <si>
    <t>https://www.zillow.com/homedetails/76293921_zpid/</t>
  </si>
  <si>
    <t>$934,181</t>
  </si>
  <si>
    <t>9780 Main St, Los Angeles, FL 54344</t>
  </si>
  <si>
    <t>Z585877</t>
  </si>
  <si>
    <t>https://www.zillow.com/homedetails/16882481_zpid/</t>
  </si>
  <si>
    <t>$830,727</t>
  </si>
  <si>
    <t>9059 Oak Ave, San Francisco, FL 49783</t>
  </si>
  <si>
    <t>Z381046</t>
  </si>
  <si>
    <t>https://www.zillow.com/homedetails/38455366_zpid/</t>
  </si>
  <si>
    <t>$1,387,365</t>
  </si>
  <si>
    <t>4816 Oak Ave, Fresno, FL 44922</t>
  </si>
  <si>
    <t>Z891668</t>
  </si>
  <si>
    <t>https://www.zillow.com/homedetails/44731701_zpid/</t>
  </si>
  <si>
    <t>$1,198,238</t>
  </si>
  <si>
    <t>8159 Oak Ave, Sacramento, CA 67646</t>
  </si>
  <si>
    <t>Z286375</t>
  </si>
  <si>
    <t>https://www.zillow.com/homedetails/49602619_zpid/</t>
  </si>
  <si>
    <t>$1,087,111</t>
  </si>
  <si>
    <t>297 Elm St, Los Angeles, FL 43139</t>
  </si>
  <si>
    <t>Z728771</t>
  </si>
  <si>
    <t>https://www.zillow.com/homedetails/56015281_zpid/</t>
  </si>
  <si>
    <t>$438,591</t>
  </si>
  <si>
    <t>6566 Pine Rd, Sacramento, CA 60095</t>
  </si>
  <si>
    <t>Z298227</t>
  </si>
  <si>
    <t>https://www.zillow.com/homedetails/15230389_zpid/</t>
  </si>
  <si>
    <t>$180,214</t>
  </si>
  <si>
    <t>4903 Oak Ave, Los Angeles, TX 65504</t>
  </si>
  <si>
    <t>Z428002</t>
  </si>
  <si>
    <t>https://www.zillow.com/homedetails/32346872_zpid/</t>
  </si>
  <si>
    <t>$1,140,983</t>
  </si>
  <si>
    <t>2145 Pine Rd, San Francisco, IL 28163</t>
  </si>
  <si>
    <t>Z227584</t>
  </si>
  <si>
    <t>https://www.zillow.com/homedetails/19966001_zpid/</t>
  </si>
  <si>
    <t>$831,489</t>
  </si>
  <si>
    <t>9091 Pine Rd, Los Angeles, CA 81107</t>
  </si>
  <si>
    <t>Z543621</t>
  </si>
  <si>
    <t>https://www.zillow.com/homedetails/32614340_zpid/</t>
  </si>
  <si>
    <t>$137,256</t>
  </si>
  <si>
    <t>6692 Maple Dr, San Diego, IL 53430</t>
  </si>
  <si>
    <t>Z772480</t>
  </si>
  <si>
    <t>https://www.zillow.com/homedetails/42247795_zpid/</t>
  </si>
  <si>
    <t>$919,464</t>
  </si>
  <si>
    <t>7213 Maple Dr, Sacramento, NY 67859</t>
  </si>
  <si>
    <t>Z354716</t>
  </si>
  <si>
    <t>https://www.zillow.com/homedetails/43129155_zpid/</t>
  </si>
  <si>
    <t>$232,686</t>
  </si>
  <si>
    <t>1467 Main St, Fresno, NY 14659</t>
  </si>
  <si>
    <t>Z680418</t>
  </si>
  <si>
    <t>https://www.zillow.com/homedetails/54907492_zpid/</t>
  </si>
  <si>
    <t>$1,376,734</t>
  </si>
  <si>
    <t>9311 Maple Dr, San Diego, NY 66643</t>
  </si>
  <si>
    <t>Z695741</t>
  </si>
  <si>
    <t>https://www.zillow.com/homedetails/38014655_zpid/</t>
  </si>
  <si>
    <t>$888,753</t>
  </si>
  <si>
    <t>4422 Maple Dr, San Francisco, CA 67726</t>
  </si>
  <si>
    <t>Z912771</t>
  </si>
  <si>
    <t>https://www.zillow.com/homedetails/81189733_zpid/</t>
  </si>
  <si>
    <t>$307,504</t>
  </si>
  <si>
    <t>9840 Elm St, San Francisco, FL 27037</t>
  </si>
  <si>
    <t>Z533134</t>
  </si>
  <si>
    <t>https://www.zillow.com/homedetails/85167844_zpid/</t>
  </si>
  <si>
    <t>$592,036</t>
  </si>
  <si>
    <t>8633 Maple Dr, Los Angeles, CA 64507</t>
  </si>
  <si>
    <t>Z539784</t>
  </si>
  <si>
    <t>https://www.zillow.com/homedetails/78112867_zpid/</t>
  </si>
  <si>
    <t>$669,294</t>
  </si>
  <si>
    <t>3401 Elm St, Sacramento, CA 92519</t>
  </si>
  <si>
    <t>Z635454</t>
  </si>
  <si>
    <t>https://www.zillow.com/homedetails/33950777_zpid/</t>
  </si>
  <si>
    <t>$1,185,896</t>
  </si>
  <si>
    <t>520 Maple Dr, Sacramento, FL 85052</t>
  </si>
  <si>
    <t>Z719482</t>
  </si>
  <si>
    <t>https://www.zillow.com/homedetails/16921186_zpid/</t>
  </si>
  <si>
    <t>$728,521</t>
  </si>
  <si>
    <t>8514 Oak Ave, San Diego, IL 91990</t>
  </si>
  <si>
    <t>Z157222</t>
  </si>
  <si>
    <t>https://www.zillow.com/homedetails/11966054_zpid/</t>
  </si>
  <si>
    <t>$609,946</t>
  </si>
  <si>
    <t>8104 Elm St, Los Angeles, IL 67992</t>
  </si>
  <si>
    <t>Z485860</t>
  </si>
  <si>
    <t>https://www.zillow.com/homedetails/72029902_zpid/</t>
  </si>
  <si>
    <t>$311,291</t>
  </si>
  <si>
    <t>9202 Oak Ave, Sacramento, NY 93328</t>
  </si>
  <si>
    <t>Z201098</t>
  </si>
  <si>
    <t>https://www.zillow.com/homedetails/33037084_zpid/</t>
  </si>
  <si>
    <t>$669,489</t>
  </si>
  <si>
    <t>3957 Main St, San Francisco, CA 44960</t>
  </si>
  <si>
    <t>Z289988</t>
  </si>
  <si>
    <t>https://www.zillow.com/homedetails/72789244_zpid/</t>
  </si>
  <si>
    <t>$906,981</t>
  </si>
  <si>
    <t>6510 Maple Dr, San Diego, FL 85377</t>
  </si>
  <si>
    <t>Z118219</t>
  </si>
  <si>
    <t>https://www.zillow.com/homedetails/22594202_zpid/</t>
  </si>
  <si>
    <t>$512,415</t>
  </si>
  <si>
    <t>5647 Oak Ave, Los Angeles, NY 32122</t>
  </si>
  <si>
    <t>Z249035</t>
  </si>
  <si>
    <t>https://www.zillow.com/homedetails/22573956_zpid/</t>
  </si>
  <si>
    <t>$362,598</t>
  </si>
  <si>
    <t>1630 Pine Rd, Los Angeles, CA 63109</t>
  </si>
  <si>
    <t>Z379722</t>
  </si>
  <si>
    <t>https://www.zillow.com/homedetails/44964024_zpid/</t>
  </si>
  <si>
    <t>$636,492</t>
  </si>
  <si>
    <t>9850 Maple Dr, Sacramento, IL 29497</t>
  </si>
  <si>
    <t>Z823302</t>
  </si>
  <si>
    <t>https://www.zillow.com/homedetails/98877747_zpid/</t>
  </si>
  <si>
    <t>$140,316</t>
  </si>
  <si>
    <t>5947 Elm St, Sacramento, NY 22614</t>
  </si>
  <si>
    <t>Z924358</t>
  </si>
  <si>
    <t>https://www.zillow.com/homedetails/43057394_zpid/</t>
  </si>
  <si>
    <t>$547,648</t>
  </si>
  <si>
    <t>4277 Maple Dr, San Diego, IL 17597</t>
  </si>
  <si>
    <t>Z803495</t>
  </si>
  <si>
    <t>https://www.zillow.com/homedetails/92423667_zpid/</t>
  </si>
  <si>
    <t>$889,625</t>
  </si>
  <si>
    <t>1151 Oak Ave, Sacramento, NY 50727</t>
  </si>
  <si>
    <t>Z691405</t>
  </si>
  <si>
    <t>https://www.zillow.com/homedetails/86929173_zpid/</t>
  </si>
  <si>
    <t>$1,432,283</t>
  </si>
  <si>
    <t>7149 Oak Ave, San Diego, NY 22202</t>
  </si>
  <si>
    <t>Z564732</t>
  </si>
  <si>
    <t>https://www.zillow.com/homedetails/35274196_zpid/</t>
  </si>
  <si>
    <t>$1,017,089</t>
  </si>
  <si>
    <t>1696 Pine Rd, San Diego, NY 32625</t>
  </si>
  <si>
    <t>Z241330</t>
  </si>
  <si>
    <t>https://www.zillow.com/homedetails/11478712_zpid/</t>
  </si>
  <si>
    <t>$945,919</t>
  </si>
  <si>
    <t>9803 Maple Dr, San Diego, IL 99077</t>
  </si>
  <si>
    <t>Z442726</t>
  </si>
  <si>
    <t>https://www.zillow.com/homedetails/62773781_zpid/</t>
  </si>
  <si>
    <t>$1,312,269</t>
  </si>
  <si>
    <t>6390 Pine Rd, San Francisco, CA 31277</t>
  </si>
  <si>
    <t>Z397367</t>
  </si>
  <si>
    <t>https://www.zillow.com/homedetails/81929272_zpid/</t>
  </si>
  <si>
    <t>$1,052,897</t>
  </si>
  <si>
    <t>4210 Oak Ave, Fresno, NY 37973</t>
  </si>
  <si>
    <t>Z171542</t>
  </si>
  <si>
    <t>https://www.zillow.com/homedetails/75174033_zpid/</t>
  </si>
  <si>
    <t>$1,270,604</t>
  </si>
  <si>
    <t>2983 Elm St, Fresno, NY 78518</t>
  </si>
  <si>
    <t>Z682472</t>
  </si>
  <si>
    <t>https://www.zillow.com/homedetails/44392974_zpid/</t>
  </si>
  <si>
    <t>$959,885</t>
  </si>
  <si>
    <t>2961 Maple Dr, Los Angeles, CA 19495</t>
  </si>
  <si>
    <t>Z412890</t>
  </si>
  <si>
    <t>https://www.zillow.com/homedetails/68415377_zpid/</t>
  </si>
  <si>
    <t>$1,155,502</t>
  </si>
  <si>
    <t>5372 Oak Ave, Los Angeles, NY 91480</t>
  </si>
  <si>
    <t>Z224203</t>
  </si>
  <si>
    <t>https://www.zillow.com/homedetails/87096695_zpid/</t>
  </si>
  <si>
    <t>$572,120</t>
  </si>
  <si>
    <t>6120 Main St, Fresno, IL 93059</t>
  </si>
  <si>
    <t>Z400432</t>
  </si>
  <si>
    <t>https://www.zillow.com/homedetails/36799846_zpid/</t>
  </si>
  <si>
    <t>$279,494</t>
  </si>
  <si>
    <t>5658 Oak Ave, San Diego, IL 36616</t>
  </si>
  <si>
    <t>Z168752</t>
  </si>
  <si>
    <t>https://www.zillow.com/homedetails/41375113_zpid/</t>
  </si>
  <si>
    <t>$165,820</t>
  </si>
  <si>
    <t>1566 Pine Rd, Sacramento, FL 53456</t>
  </si>
  <si>
    <t>Z565063</t>
  </si>
  <si>
    <t>https://www.zillow.com/homedetails/90517541_zpid/</t>
  </si>
  <si>
    <t>$761,374</t>
  </si>
  <si>
    <t>6111 Pine Rd, Sacramento, IL 55641</t>
  </si>
  <si>
    <t>Z128538</t>
  </si>
  <si>
    <t>https://www.zillow.com/homedetails/35114364_zpid/</t>
  </si>
  <si>
    <t>$922,569</t>
  </si>
  <si>
    <t>8262 Pine Rd, San Diego, FL 23424</t>
  </si>
  <si>
    <t>Z350791</t>
  </si>
  <si>
    <t>https://www.zillow.com/homedetails/86303927_zpid/</t>
  </si>
  <si>
    <t>$968,119</t>
  </si>
  <si>
    <t>6467 Main St, San Diego, IL 75241</t>
  </si>
  <si>
    <t>Z141948</t>
  </si>
  <si>
    <t>https://www.zillow.com/homedetails/33094407_zpid/</t>
  </si>
  <si>
    <t>$1,136,535</t>
  </si>
  <si>
    <t>1750 Pine Rd, Fresno, IL 37778</t>
  </si>
  <si>
    <t>Z405912</t>
  </si>
  <si>
    <t>https://www.zillow.com/homedetails/98979469_zpid/</t>
  </si>
  <si>
    <t>$1,285,850</t>
  </si>
  <si>
    <t>9755 Elm St, Fresno, TX 19568</t>
  </si>
  <si>
    <t>Z158548</t>
  </si>
  <si>
    <t>https://www.zillow.com/homedetails/14132046_zpid/</t>
  </si>
  <si>
    <t>$409,046</t>
  </si>
  <si>
    <t>5792 Maple Dr, Los Angeles, NY 10334</t>
  </si>
  <si>
    <t>Z868857</t>
  </si>
  <si>
    <t>https://www.zillow.com/homedetails/89936259_zpid/</t>
  </si>
  <si>
    <t>$444,640</t>
  </si>
  <si>
    <t>8979 Elm St, San Diego, CA 58326</t>
  </si>
  <si>
    <t>Z952378</t>
  </si>
  <si>
    <t>https://www.zillow.com/homedetails/59334404_zpid/</t>
  </si>
  <si>
    <t>$1,104,138</t>
  </si>
  <si>
    <t>1840 Oak Ave, Los Angeles, CA 48435</t>
  </si>
  <si>
    <t>Z480995</t>
  </si>
  <si>
    <t>https://www.zillow.com/homedetails/58746536_zpid/</t>
  </si>
  <si>
    <t>$963,007</t>
  </si>
  <si>
    <t>6997 Main St, Fresno, IL 83139</t>
  </si>
  <si>
    <t>Z276417</t>
  </si>
  <si>
    <t>https://www.zillow.com/homedetails/32208043_zpid/</t>
  </si>
  <si>
    <t>$1,335,972</t>
  </si>
  <si>
    <t>8368 Oak Ave, Sacramento, NY 55598</t>
  </si>
  <si>
    <t>Z755965</t>
  </si>
  <si>
    <t>https://www.zillow.com/homedetails/96851063_zpid/</t>
  </si>
  <si>
    <t>$1,262,355</t>
  </si>
  <si>
    <t>6465 Oak Ave, Fresno, NY 49075</t>
  </si>
  <si>
    <t>Z671236</t>
  </si>
  <si>
    <t>https://www.zillow.com/homedetails/53426720_zpid/</t>
  </si>
  <si>
    <t>$892,712</t>
  </si>
  <si>
    <t>2653 Oak Ave, Sacramento, NY 97171</t>
  </si>
  <si>
    <t>Z169824</t>
  </si>
  <si>
    <t>https://www.zillow.com/homedetails/45860146_zpid/</t>
  </si>
  <si>
    <t>$1,407,692</t>
  </si>
  <si>
    <t>1470 Oak Ave, San Diego, TX 52184</t>
  </si>
  <si>
    <t>Z700511</t>
  </si>
  <si>
    <t>https://www.zillow.com/homedetails/61328043_zpid/</t>
  </si>
  <si>
    <t>$1,207,592</t>
  </si>
  <si>
    <t>3934 Main St, San Francisco, CA 12658</t>
  </si>
  <si>
    <t>Z113412</t>
  </si>
  <si>
    <t>https://www.zillow.com/homedetails/63307110_zpid/</t>
  </si>
  <si>
    <t>$457,764</t>
  </si>
  <si>
    <t>6804 Oak Ave, Los Angeles, FL 79098</t>
  </si>
  <si>
    <t>Z237422</t>
  </si>
  <si>
    <t>https://www.zillow.com/homedetails/40205422_zpid/</t>
  </si>
  <si>
    <t>$1,465,859</t>
  </si>
  <si>
    <t>3684 Pine Rd, Sacramento, TX 12670</t>
  </si>
  <si>
    <t>Z608855</t>
  </si>
  <si>
    <t>https://www.zillow.com/homedetails/19868576_zpid/</t>
  </si>
  <si>
    <t>$579,088</t>
  </si>
  <si>
    <t>5088 Pine Rd, Sacramento, IL 33000</t>
  </si>
  <si>
    <t>Z679547</t>
  </si>
  <si>
    <t>https://www.zillow.com/homedetails/58649132_zpid/</t>
  </si>
  <si>
    <t>$824,024</t>
  </si>
  <si>
    <t>1211 Elm St, Sacramento, TX 34584</t>
  </si>
  <si>
    <t>Z777293</t>
  </si>
  <si>
    <t>https://www.zillow.com/homedetails/85969720_zpid/</t>
  </si>
  <si>
    <t>$886,354</t>
  </si>
  <si>
    <t>905 Maple Dr, Sacramento, CA 14344</t>
  </si>
  <si>
    <t>Z947617</t>
  </si>
  <si>
    <t>https://www.zillow.com/homedetails/97937784_zpid/</t>
  </si>
  <si>
    <t>$357,599</t>
  </si>
  <si>
    <t>3449 Main St, San Francisco, TX 21963</t>
  </si>
  <si>
    <t>Z615166</t>
  </si>
  <si>
    <t>https://www.zillow.com/homedetails/99225047_zpid/</t>
  </si>
  <si>
    <t>$1,110,404</t>
  </si>
  <si>
    <t>193 Pine Rd, Los Angeles, TX 32546</t>
  </si>
  <si>
    <t>Z406236</t>
  </si>
  <si>
    <t>https://www.zillow.com/homedetails/54567638_zpid/</t>
  </si>
  <si>
    <t>$1,146,308</t>
  </si>
  <si>
    <t>9414 Oak Ave, Fresno, IL 39951</t>
  </si>
  <si>
    <t>Z478989</t>
  </si>
  <si>
    <t>https://www.zillow.com/homedetails/19968619_zpid/</t>
  </si>
  <si>
    <t>$1,209,445</t>
  </si>
  <si>
    <t>1475 Pine Rd, Sacramento, NY 16246</t>
  </si>
  <si>
    <t>Z323192</t>
  </si>
  <si>
    <t>https://www.zillow.com/homedetails/68068816_zpid/</t>
  </si>
  <si>
    <t>$469,613</t>
  </si>
  <si>
    <t>2149 Maple Dr, San Diego, FL 35455</t>
  </si>
  <si>
    <t>Z855827</t>
  </si>
  <si>
    <t>https://www.zillow.com/homedetails/57563315_zpid/</t>
  </si>
  <si>
    <t>$1,482,350</t>
  </si>
  <si>
    <t>4631 Oak Ave, Los Angeles, TX 78192</t>
  </si>
  <si>
    <t>Z595921</t>
  </si>
  <si>
    <t>https://www.zillow.com/homedetails/74055524_zpid/</t>
  </si>
  <si>
    <t>$590,041</t>
  </si>
  <si>
    <t>2589 Pine Rd, Los Angeles, IL 63105</t>
  </si>
  <si>
    <t>Z154651</t>
  </si>
  <si>
    <t>https://www.zillow.com/homedetails/24541403_zpid/</t>
  </si>
  <si>
    <t>$1,259,240</t>
  </si>
  <si>
    <t>253 Pine Rd, San Diego, CA 57203</t>
  </si>
  <si>
    <t>Z816409</t>
  </si>
  <si>
    <t>https://www.zillow.com/homedetails/47427410_zpid/</t>
  </si>
  <si>
    <t>$622,890</t>
  </si>
  <si>
    <t>3029 Elm St, Sacramento, FL 45847</t>
  </si>
  <si>
    <t>Z455911</t>
  </si>
  <si>
    <t>https://www.zillow.com/homedetails/97243901_zpid/</t>
  </si>
  <si>
    <t>$1,012,943</t>
  </si>
  <si>
    <t>592 Pine Rd, Sacramento, CA 60641</t>
  </si>
  <si>
    <t>Z643339</t>
  </si>
  <si>
    <t>https://www.zillow.com/homedetails/32769371_zpid/</t>
  </si>
  <si>
    <t>$679,034</t>
  </si>
  <si>
    <t>9919 Maple Dr, Sacramento, IL 37566</t>
  </si>
  <si>
    <t>Z547377</t>
  </si>
  <si>
    <t>https://www.zillow.com/homedetails/98319222_zpid/</t>
  </si>
  <si>
    <t>$916,544</t>
  </si>
  <si>
    <t>7255 Elm St, Sacramento, IL 96591</t>
  </si>
  <si>
    <t>Z265094</t>
  </si>
  <si>
    <t>https://www.zillow.com/homedetails/66734380_zpid/</t>
  </si>
  <si>
    <t>$999,564</t>
  </si>
  <si>
    <t>457 Oak Ave, Sacramento, TX 25541</t>
  </si>
  <si>
    <t>Z554742</t>
  </si>
  <si>
    <t>https://www.zillow.com/homedetails/64557595_zpid/</t>
  </si>
  <si>
    <t>$969,242</t>
  </si>
  <si>
    <t>308 Pine Rd, San Francisco, IL 69345</t>
  </si>
  <si>
    <t>Z837028</t>
  </si>
  <si>
    <t>https://www.zillow.com/homedetails/13241022_zpid/</t>
  </si>
  <si>
    <t>$1,364,134</t>
  </si>
  <si>
    <t>7464 Pine Rd, San Francisco, FL 12385</t>
  </si>
  <si>
    <t>Z726315</t>
  </si>
  <si>
    <t>https://www.zillow.com/homedetails/39885213_zpid/</t>
  </si>
  <si>
    <t>$887,213</t>
  </si>
  <si>
    <t>440 Elm St, Los Angeles, FL 99474</t>
  </si>
  <si>
    <t>Z364063</t>
  </si>
  <si>
    <t>https://www.zillow.com/homedetails/27819770_zpid/</t>
  </si>
  <si>
    <t>$1,284,963</t>
  </si>
  <si>
    <t>7552 Elm St, Los Angeles, IL 78338</t>
  </si>
  <si>
    <t>Z526686</t>
  </si>
  <si>
    <t>https://www.zillow.com/homedetails/50450409_zpid/</t>
  </si>
  <si>
    <t>$391,248</t>
  </si>
  <si>
    <t>1218 Elm St, Los Angeles, NY 64500</t>
  </si>
  <si>
    <t>Z646521</t>
  </si>
  <si>
    <t>https://www.zillow.com/homedetails/88459642_zpid/</t>
  </si>
  <si>
    <t>$1,288,078</t>
  </si>
  <si>
    <t>2017 Elm St, San Diego, CA 29707</t>
  </si>
  <si>
    <t>Z830637</t>
  </si>
  <si>
    <t>https://www.zillow.com/homedetails/27005304_zpid/</t>
  </si>
  <si>
    <t>$968,615</t>
  </si>
  <si>
    <t>1984 Pine Rd, Fresno, TX 60175</t>
  </si>
  <si>
    <t>Z985316</t>
  </si>
  <si>
    <t>https://www.zillow.com/homedetails/85621377_zpid/</t>
  </si>
  <si>
    <t>$1,218,958</t>
  </si>
  <si>
    <t>5985 Elm St, Sacramento, CA 44426</t>
  </si>
  <si>
    <t>Z569498</t>
  </si>
  <si>
    <t>https://www.zillow.com/homedetails/27566030_zpid/</t>
  </si>
  <si>
    <t>$1,492,072</t>
  </si>
  <si>
    <t>9630 Pine Rd, San Diego, TX 62271</t>
  </si>
  <si>
    <t>Z466279</t>
  </si>
  <si>
    <t>https://www.zillow.com/homedetails/42333913_zpid/</t>
  </si>
  <si>
    <t>$583,720</t>
  </si>
  <si>
    <t>1411 Elm St, San Francisco, TX 70050</t>
  </si>
  <si>
    <t>Z247105</t>
  </si>
  <si>
    <t>https://www.zillow.com/homedetails/88707932_zpid/</t>
  </si>
  <si>
    <t>$627,152</t>
  </si>
  <si>
    <t>4257 Main St, Sacramento, NY 19584</t>
  </si>
  <si>
    <t>Z244129</t>
  </si>
  <si>
    <t>https://www.zillow.com/homedetails/99095324_zpid/</t>
  </si>
  <si>
    <t>$1,060,065</t>
  </si>
  <si>
    <t>2414 Elm St, San Diego, TX 13737</t>
  </si>
  <si>
    <t>Z894271</t>
  </si>
  <si>
    <t>https://www.zillow.com/homedetails/44913981_zpid/</t>
  </si>
  <si>
    <t>$781,564</t>
  </si>
  <si>
    <t>8858 Pine Rd, Sacramento, TX 12697</t>
  </si>
  <si>
    <t>Z784548</t>
  </si>
  <si>
    <t>https://www.zillow.com/homedetails/16254571_zpid/</t>
  </si>
  <si>
    <t>$1,164,379</t>
  </si>
  <si>
    <t>4654 Elm St, San Francisco, IL 57058</t>
  </si>
  <si>
    <t>Z101091</t>
  </si>
  <si>
    <t>https://www.zillow.com/homedetails/85802192_zpid/</t>
  </si>
  <si>
    <t>$891,896</t>
  </si>
  <si>
    <t>987 Oak Ave, San Francisco, CA 12184</t>
  </si>
  <si>
    <t>Z889901</t>
  </si>
  <si>
    <t>https://www.zillow.com/homedetails/99531382_zpid/</t>
  </si>
  <si>
    <t>$866,451</t>
  </si>
  <si>
    <t>4767 Main St, San Francisco, CA 51915</t>
  </si>
  <si>
    <t>Z734885</t>
  </si>
  <si>
    <t>https://www.zillow.com/homedetails/48602536_zpid/</t>
  </si>
  <si>
    <t>$946,285</t>
  </si>
  <si>
    <t>9242 Oak Ave, Fresno, IL 11490</t>
  </si>
  <si>
    <t>Z560604</t>
  </si>
  <si>
    <t>https://www.zillow.com/homedetails/10021721_zpid/</t>
  </si>
  <si>
    <t>$913,221</t>
  </si>
  <si>
    <t>4880 Oak Ave, Los Angeles, CA 29033</t>
  </si>
  <si>
    <t>Z616206</t>
  </si>
  <si>
    <t>https://www.zillow.com/homedetails/14817799_zpid/</t>
  </si>
  <si>
    <t>$981,044</t>
  </si>
  <si>
    <t>5211 Maple Dr, Fresno, CA 54993</t>
  </si>
  <si>
    <t>Z174670</t>
  </si>
  <si>
    <t>https://www.zillow.com/homedetails/24727862_zpid/</t>
  </si>
  <si>
    <t>$1,411,056</t>
  </si>
  <si>
    <t>7951 Maple Dr, San Francisco, NY 68667</t>
  </si>
  <si>
    <t>Z329370</t>
  </si>
  <si>
    <t>https://www.zillow.com/homedetails/22428702_zpid/</t>
  </si>
  <si>
    <t>$1,460,281</t>
  </si>
  <si>
    <t>7801 Main St, San Diego, NY 47929</t>
  </si>
  <si>
    <t>Z666456</t>
  </si>
  <si>
    <t>https://www.zillow.com/homedetails/56409385_zpid/</t>
  </si>
  <si>
    <t>$215,543</t>
  </si>
  <si>
    <t>9114 Pine Rd, San Diego, IL 66456</t>
  </si>
  <si>
    <t>Z129806</t>
  </si>
  <si>
    <t>https://www.zillow.com/homedetails/56289375_zpid/</t>
  </si>
  <si>
    <t>$522,250</t>
  </si>
  <si>
    <t>8224 Main St, San Diego, CA 75023</t>
  </si>
  <si>
    <t>Z246419</t>
  </si>
  <si>
    <t>https://www.zillow.com/homedetails/59159558_zpid/</t>
  </si>
  <si>
    <t>$1,360,547</t>
  </si>
  <si>
    <t>2640 Main St, Sacramento, IL 36123</t>
  </si>
  <si>
    <t>Z741686</t>
  </si>
  <si>
    <t>https://www.zillow.com/homedetails/59926232_zpid/</t>
  </si>
  <si>
    <t>$120,368</t>
  </si>
  <si>
    <t>964 Pine Rd, San Francisco, IL 42352</t>
  </si>
  <si>
    <t>Z198044</t>
  </si>
  <si>
    <t>https://www.zillow.com/homedetails/47390083_zpid/</t>
  </si>
  <si>
    <t>$817,577</t>
  </si>
  <si>
    <t>9969 Elm St, San Francisco, TX 70953</t>
  </si>
  <si>
    <t>Z647563</t>
  </si>
  <si>
    <t>https://www.zillow.com/homedetails/66505327_zpid/</t>
  </si>
  <si>
    <t>$501,201</t>
  </si>
  <si>
    <t>3163 Oak Ave, Los Angeles, NY 45081</t>
  </si>
  <si>
    <t>Z620351</t>
  </si>
  <si>
    <t>https://www.zillow.com/homedetails/86003261_zpid/</t>
  </si>
  <si>
    <t>$136,647</t>
  </si>
  <si>
    <t>8821 Oak Ave, Los Angeles, FL 83045</t>
  </si>
  <si>
    <t>Z541602</t>
  </si>
  <si>
    <t>https://www.zillow.com/homedetails/23351839_zpid/</t>
  </si>
  <si>
    <t>$634,979</t>
  </si>
  <si>
    <t>2763 Main St, San Francisco, IL 29514</t>
  </si>
  <si>
    <t>Z297104</t>
  </si>
  <si>
    <t>https://www.zillow.com/homedetails/78010829_zpid/</t>
  </si>
  <si>
    <t>$1,013,184</t>
  </si>
  <si>
    <t>2197 Elm St, San Diego, FL 84198</t>
  </si>
  <si>
    <t>Z167897</t>
  </si>
  <si>
    <t>https://www.zillow.com/homedetails/94079191_zpid/</t>
  </si>
  <si>
    <t>$119,460</t>
  </si>
  <si>
    <t>9444 Pine Rd, Sacramento, NY 77681</t>
  </si>
  <si>
    <t>Z792153</t>
  </si>
  <si>
    <t>https://www.zillow.com/homedetails/88206275_zpid/</t>
  </si>
  <si>
    <t>$1,424,590</t>
  </si>
  <si>
    <t>8486 Maple Dr, San Francisco, NY 49105</t>
  </si>
  <si>
    <t>Z451086</t>
  </si>
  <si>
    <t>https://www.zillow.com/homedetails/21996776_zpid/</t>
  </si>
  <si>
    <t>$1,392,483</t>
  </si>
  <si>
    <t>8259 Pine Rd, San Francisco, TX 29839</t>
  </si>
  <si>
    <t>Z498212</t>
  </si>
  <si>
    <t>https://www.zillow.com/homedetails/72218446_zpid/</t>
  </si>
  <si>
    <t>$1,063,342</t>
  </si>
  <si>
    <t>4590 Oak Ave, Sacramento, FL 17275</t>
  </si>
  <si>
    <t>Z641875</t>
  </si>
  <si>
    <t>https://www.zillow.com/homedetails/32206597_zpid/</t>
  </si>
  <si>
    <t>$800,635</t>
  </si>
  <si>
    <t>6037 Main St, San Diego, IL 24689</t>
  </si>
  <si>
    <t>Z533460</t>
  </si>
  <si>
    <t>https://www.zillow.com/homedetails/79467188_zpid/</t>
  </si>
  <si>
    <t>$795,509</t>
  </si>
  <si>
    <t>5117 Pine Rd, Fresno, IL 42271</t>
  </si>
  <si>
    <t>Z585925</t>
  </si>
  <si>
    <t>https://www.zillow.com/homedetails/59510725_zpid/</t>
  </si>
  <si>
    <t>$589,404</t>
  </si>
  <si>
    <t>3228 Main St, San Diego, IL 21158</t>
  </si>
  <si>
    <t>Z173417</t>
  </si>
  <si>
    <t>https://www.zillow.com/homedetails/94271664_zpid/</t>
  </si>
  <si>
    <t>$422,841</t>
  </si>
  <si>
    <t>9284 Elm St, San Diego, NY 14696</t>
  </si>
  <si>
    <t>Z149908</t>
  </si>
  <si>
    <t>https://www.zillow.com/homedetails/75248435_zpid/</t>
  </si>
  <si>
    <t>$301,837</t>
  </si>
  <si>
    <t>2590 Oak Ave, San Diego, NY 34517</t>
  </si>
  <si>
    <t>Z920940</t>
  </si>
  <si>
    <t>https://www.zillow.com/homedetails/85129750_zpid/</t>
  </si>
  <si>
    <t>$190,609</t>
  </si>
  <si>
    <t>3173 Main St, San Francisco, NY 93066</t>
  </si>
  <si>
    <t>Z565678</t>
  </si>
  <si>
    <t>https://www.zillow.com/homedetails/75411380_zpid/</t>
  </si>
  <si>
    <t>$1,294,331</t>
  </si>
  <si>
    <t>8503 Pine Rd, Los Angeles, CA 67228</t>
  </si>
  <si>
    <t>Z679456</t>
  </si>
  <si>
    <t>https://www.zillow.com/homedetails/15329380_zpid/</t>
  </si>
  <si>
    <t>$992,302</t>
  </si>
  <si>
    <t>4273 Maple Dr, San Francisco, CA 92828</t>
  </si>
  <si>
    <t>Z648562</t>
  </si>
  <si>
    <t>https://www.zillow.com/homedetails/53324662_zpid/</t>
  </si>
  <si>
    <t>$109,684</t>
  </si>
  <si>
    <t>8586 Elm St, Los Angeles, CA 54178</t>
  </si>
  <si>
    <t>Z717291</t>
  </si>
  <si>
    <t>https://www.zillow.com/homedetails/90290640_zpid/</t>
  </si>
  <si>
    <t>$1,202,188</t>
  </si>
  <si>
    <t>2343 Oak Ave, San Diego, CA 14862</t>
  </si>
  <si>
    <t>Z304000</t>
  </si>
  <si>
    <t>https://www.zillow.com/homedetails/70342182_zpid/</t>
  </si>
  <si>
    <t>$1,445,626</t>
  </si>
  <si>
    <t>9228 Pine Rd, Fresno, NY 42379</t>
  </si>
  <si>
    <t>Z935638</t>
  </si>
  <si>
    <t>https://www.zillow.com/homedetails/72309580_zpid/</t>
  </si>
  <si>
    <t>$454,587</t>
  </si>
  <si>
    <t>4807 Maple Dr, San Francisco, TX 68312</t>
  </si>
  <si>
    <t>Z426408</t>
  </si>
  <si>
    <t>https://www.zillow.com/homedetails/88983992_zpid/</t>
  </si>
  <si>
    <t>$793,154</t>
  </si>
  <si>
    <t>9276 Pine Rd, San Diego, FL 96844</t>
  </si>
  <si>
    <t>Z118787</t>
  </si>
  <si>
    <t>https://www.zillow.com/homedetails/60563355_zpid/</t>
  </si>
  <si>
    <t>$1,389,237</t>
  </si>
  <si>
    <t>8654 Maple Dr, Sacramento, NY 36216</t>
  </si>
  <si>
    <t>Z992986</t>
  </si>
  <si>
    <t>https://www.zillow.com/homedetails/78062186_zpid/</t>
  </si>
  <si>
    <t>$1,223,253</t>
  </si>
  <si>
    <t>7817 Main St, San Francisco, TX 76098</t>
  </si>
  <si>
    <t>Z275223</t>
  </si>
  <si>
    <t>https://www.zillow.com/homedetails/83315078_zpid/</t>
  </si>
  <si>
    <t>$1,483,606</t>
  </si>
  <si>
    <t>8600 Maple Dr, Fresno, FL 11217</t>
  </si>
  <si>
    <t>Z149947</t>
  </si>
  <si>
    <t>https://www.zillow.com/homedetails/15493676_zpid/</t>
  </si>
  <si>
    <t>$964,953</t>
  </si>
  <si>
    <t>1369 Oak Ave, Los Angeles, IL 45712</t>
  </si>
  <si>
    <t>Z636420</t>
  </si>
  <si>
    <t>https://www.zillow.com/homedetails/66305548_zpid/</t>
  </si>
  <si>
    <t>$481,357</t>
  </si>
  <si>
    <t>974 Main St, San Francisco, IL 54997</t>
  </si>
  <si>
    <t>Z399279</t>
  </si>
  <si>
    <t>https://www.zillow.com/homedetails/56407498_zpid/</t>
  </si>
  <si>
    <t>$517,860</t>
  </si>
  <si>
    <t>8560 Main St, Fresno, TX 21350</t>
  </si>
  <si>
    <t>Z757569</t>
  </si>
  <si>
    <t>https://www.zillow.com/homedetails/18760749_zpid/</t>
  </si>
  <si>
    <t>$1,147,016</t>
  </si>
  <si>
    <t>2319 Pine Rd, San Francisco, CA 65526</t>
  </si>
  <si>
    <t>Z647716</t>
  </si>
  <si>
    <t>https://www.zillow.com/homedetails/90358073_zpid/</t>
  </si>
  <si>
    <t>$474,697</t>
  </si>
  <si>
    <t>5952 Pine Rd, Sacramento, NY 74303</t>
  </si>
  <si>
    <t>Z823021</t>
  </si>
  <si>
    <t>https://www.zillow.com/homedetails/22281190_zpid/</t>
  </si>
  <si>
    <t>$673,167</t>
  </si>
  <si>
    <t>586 Elm St, San Francisco, TX 31215</t>
  </si>
  <si>
    <t>Z336190</t>
  </si>
  <si>
    <t>https://www.zillow.com/homedetails/64646260_zpid/</t>
  </si>
  <si>
    <t>$1,177,337</t>
  </si>
  <si>
    <t>8937 Oak Ave, Sacramento, IL 52410</t>
  </si>
  <si>
    <t>Z240444</t>
  </si>
  <si>
    <t>https://www.zillow.com/homedetails/43312647_zpid/</t>
  </si>
  <si>
    <t>$328,206</t>
  </si>
  <si>
    <t>594 Main St, San Francisco, CA 68317</t>
  </si>
  <si>
    <t>Z779391</t>
  </si>
  <si>
    <t>https://www.zillow.com/homedetails/38357784_zpid/</t>
  </si>
  <si>
    <t>$880,890</t>
  </si>
  <si>
    <t>9104 Elm St, Sacramento, NY 91711</t>
  </si>
  <si>
    <t>Z556243</t>
  </si>
  <si>
    <t>https://www.zillow.com/homedetails/25582375_zpid/</t>
  </si>
  <si>
    <t>$1,403,310</t>
  </si>
  <si>
    <t>5917 Pine Rd, Los Angeles, FL 79724</t>
  </si>
  <si>
    <t>Z645087</t>
  </si>
  <si>
    <t>https://www.zillow.com/homedetails/62160619_zpid/</t>
  </si>
  <si>
    <t>$869,770</t>
  </si>
  <si>
    <t>8231 Pine Rd, San Francisco, IL 56536</t>
  </si>
  <si>
    <t>Z734272</t>
  </si>
  <si>
    <t>https://www.zillow.com/homedetails/57261999_zpid/</t>
  </si>
  <si>
    <t>$552,081</t>
  </si>
  <si>
    <t>5480 Oak Ave, San Francisco, CA 18648</t>
  </si>
  <si>
    <t>Z194216</t>
  </si>
  <si>
    <t>https://www.zillow.com/homedetails/76047777_zpid/</t>
  </si>
  <si>
    <t>$876,517</t>
  </si>
  <si>
    <t>3992 Main St, Sacramento, NY 81929</t>
  </si>
  <si>
    <t>Z350146</t>
  </si>
  <si>
    <t>https://www.zillow.com/homedetails/24084753_zpid/</t>
  </si>
  <si>
    <t>$547,912</t>
  </si>
  <si>
    <t>1029 Main St, Los Angeles, FL 20851</t>
  </si>
  <si>
    <t>Z167913</t>
  </si>
  <si>
    <t>https://www.zillow.com/homedetails/24036021_zpid/</t>
  </si>
  <si>
    <t>$154,706</t>
  </si>
  <si>
    <t>823 Oak Ave, San Francisco, TX 72148</t>
  </si>
  <si>
    <t>Z701252</t>
  </si>
  <si>
    <t>https://www.zillow.com/homedetails/89012360_zpid/</t>
  </si>
  <si>
    <t>$301,157</t>
  </si>
  <si>
    <t>8472 Elm St, Los Angeles, FL 25999</t>
  </si>
  <si>
    <t>Z284305</t>
  </si>
  <si>
    <t>https://www.zillow.com/homedetails/66599905_zpid/</t>
  </si>
  <si>
    <t>$378,010</t>
  </si>
  <si>
    <t>3508 Main St, Sacramento, CA 22975</t>
  </si>
  <si>
    <t>Z792648</t>
  </si>
  <si>
    <t>https://www.zillow.com/homedetails/86348932_zpid/</t>
  </si>
  <si>
    <t>$1,292,371</t>
  </si>
  <si>
    <t>7795 Maple Dr, Fresno, TX 35646</t>
  </si>
  <si>
    <t>Z791470</t>
  </si>
  <si>
    <t>https://www.zillow.com/homedetails/99128216_zpid/</t>
  </si>
  <si>
    <t>$917,243</t>
  </si>
  <si>
    <t>385 Oak Ave, San Francisco, NY 52206</t>
  </si>
  <si>
    <t>Z723052</t>
  </si>
  <si>
    <t>https://www.zillow.com/homedetails/81993297_zpid/</t>
  </si>
  <si>
    <t>$1,417,682</t>
  </si>
  <si>
    <t>2340 Oak Ave, Sacramento, IL 64667</t>
  </si>
  <si>
    <t>Z663718</t>
  </si>
  <si>
    <t>https://www.zillow.com/homedetails/62202173_zpid/</t>
  </si>
  <si>
    <t>$575,289</t>
  </si>
  <si>
    <t>186 Maple Dr, Fresno, IL 62369</t>
  </si>
  <si>
    <t>Z344560</t>
  </si>
  <si>
    <t>https://www.zillow.com/homedetails/50385186_zpid/</t>
  </si>
  <si>
    <t>$1,175,776</t>
  </si>
  <si>
    <t>3066 Maple Dr, San Diego, NY 91039</t>
  </si>
  <si>
    <t>Z366137</t>
  </si>
  <si>
    <t>https://www.zillow.com/homedetails/25181155_zpid/</t>
  </si>
  <si>
    <t>$784,779</t>
  </si>
  <si>
    <t>8359 Elm St, San Francisco, NY 46321</t>
  </si>
  <si>
    <t>Z576345</t>
  </si>
  <si>
    <t>https://www.zillow.com/homedetails/30862210_zpid/</t>
  </si>
  <si>
    <t>$163,960</t>
  </si>
  <si>
    <t>6421 Elm St, Los Angeles, CA 13319</t>
  </si>
  <si>
    <t>Z619547</t>
  </si>
  <si>
    <t>https://www.zillow.com/homedetails/57387262_zpid/</t>
  </si>
  <si>
    <t>$979,634</t>
  </si>
  <si>
    <t>2201 Elm St, Sacramento, FL 16968</t>
  </si>
  <si>
    <t>Z346321</t>
  </si>
  <si>
    <t>https://www.zillow.com/homedetails/17060563_zpid/</t>
  </si>
  <si>
    <t>$366,009</t>
  </si>
  <si>
    <t>6259 Elm St, Fresno, CA 92818</t>
  </si>
  <si>
    <t>Z469777</t>
  </si>
  <si>
    <t>https://www.zillow.com/homedetails/59120309_zpid/</t>
  </si>
  <si>
    <t>$740,412</t>
  </si>
  <si>
    <t>1991 Main St, San Diego, CA 68978</t>
  </si>
  <si>
    <t>Z595522</t>
  </si>
  <si>
    <t>https://www.zillow.com/homedetails/93895723_zpid/</t>
  </si>
  <si>
    <t>$810,968</t>
  </si>
  <si>
    <t>8057 Oak Ave, Fresno, NY 62758</t>
  </si>
  <si>
    <t>Z111353</t>
  </si>
  <si>
    <t>https://www.zillow.com/homedetails/15857341_zpid/</t>
  </si>
  <si>
    <t>$1,291,690</t>
  </si>
  <si>
    <t>693 Oak Ave, San Diego, FL 19349</t>
  </si>
  <si>
    <t>Z580024</t>
  </si>
  <si>
    <t>https://www.zillow.com/homedetails/26661362_zpid/</t>
  </si>
  <si>
    <t>$240,229</t>
  </si>
  <si>
    <t>4577 Elm St, Los Angeles, TX 48055</t>
  </si>
  <si>
    <t>Z470183</t>
  </si>
  <si>
    <t>https://www.zillow.com/homedetails/28784947_zpid/</t>
  </si>
  <si>
    <t>$991,672</t>
  </si>
  <si>
    <t>4649 Pine Rd, Sacramento, IL 59736</t>
  </si>
  <si>
    <t>Z636710</t>
  </si>
  <si>
    <t>https://www.zillow.com/homedetails/89696052_zpid/</t>
  </si>
  <si>
    <t>$1,134,606</t>
  </si>
  <si>
    <t>5740 Oak Ave, San Francisco, FL 74766</t>
  </si>
  <si>
    <t>Z666187</t>
  </si>
  <si>
    <t>https://www.zillow.com/homedetails/32623769_zpid/</t>
  </si>
  <si>
    <t>$124,477</t>
  </si>
  <si>
    <t>3081 Oak Ave, Fresno, FL 91628</t>
  </si>
  <si>
    <t>Z574469</t>
  </si>
  <si>
    <t>https://www.zillow.com/homedetails/10416466_zpid/</t>
  </si>
  <si>
    <t>$749,601</t>
  </si>
  <si>
    <t>9036 Maple Dr, Fresno, NY 83413</t>
  </si>
  <si>
    <t>Z525520</t>
  </si>
  <si>
    <t>https://www.zillow.com/homedetails/59153106_zpid/</t>
  </si>
  <si>
    <t>$1,327,823</t>
  </si>
  <si>
    <t>829 Elm St, Los Angeles, IL 41731</t>
  </si>
  <si>
    <t>Z665001</t>
  </si>
  <si>
    <t>https://www.zillow.com/homedetails/28952761_zpid/</t>
  </si>
  <si>
    <t>$1,246,677</t>
  </si>
  <si>
    <t>5630 Maple Dr, San Francisco, FL 93817</t>
  </si>
  <si>
    <t>Z360111</t>
  </si>
  <si>
    <t>https://www.zillow.com/homedetails/70072548_zpid/</t>
  </si>
  <si>
    <t>$380,139</t>
  </si>
  <si>
    <t>1867 Oak Ave, Fresno, NY 91641</t>
  </si>
  <si>
    <t>Z190217</t>
  </si>
  <si>
    <t>https://www.zillow.com/homedetails/44877097_zpid/</t>
  </si>
  <si>
    <t>$1,107,780</t>
  </si>
  <si>
    <t>373 Pine Rd, Los Angeles, FL 71445</t>
  </si>
  <si>
    <t>Z923344</t>
  </si>
  <si>
    <t>https://www.zillow.com/homedetails/28220206_zpid/</t>
  </si>
  <si>
    <t>$144,023</t>
  </si>
  <si>
    <t>3759 Main St, San Diego, TX 30564</t>
  </si>
  <si>
    <t>Z615295</t>
  </si>
  <si>
    <t>https://www.zillow.com/homedetails/54093305_zpid/</t>
  </si>
  <si>
    <t>4679 Main St, San Francisco, IL 76206</t>
  </si>
  <si>
    <t>Z254612</t>
  </si>
  <si>
    <t>https://www.zillow.com/homedetails/95910675_zpid/</t>
  </si>
  <si>
    <t>$1,305,625</t>
  </si>
  <si>
    <t>1448 Elm St, San Francisco, NY 71220</t>
  </si>
  <si>
    <t>Z749391</t>
  </si>
  <si>
    <t>https://www.zillow.com/homedetails/83178786_zpid/</t>
  </si>
  <si>
    <t>$270,245</t>
  </si>
  <si>
    <t>4190 Main St, Los Angeles, NY 73252</t>
  </si>
  <si>
    <t>Z726908</t>
  </si>
  <si>
    <t>https://www.zillow.com/homedetails/83700245_zpid/</t>
  </si>
  <si>
    <t>$1,445,658</t>
  </si>
  <si>
    <t>8628 Elm St, Sacramento, IL 57265</t>
  </si>
  <si>
    <t>Z316992</t>
  </si>
  <si>
    <t>https://www.zillow.com/homedetails/19325944_zpid/</t>
  </si>
  <si>
    <t>$341,634</t>
  </si>
  <si>
    <t>226 Elm St, Los Angeles, CA 54611</t>
  </si>
  <si>
    <t>Z898196</t>
  </si>
  <si>
    <t>https://www.zillow.com/homedetails/87690555_zpid/</t>
  </si>
  <si>
    <t>$1,321,533</t>
  </si>
  <si>
    <t>6293 Maple Dr, San Francisco, FL 62332</t>
  </si>
  <si>
    <t>Z729296</t>
  </si>
  <si>
    <t>https://www.zillow.com/homedetails/59493822_zpid/</t>
  </si>
  <si>
    <t>$377,258</t>
  </si>
  <si>
    <t>1978 Elm St, San Francisco, CA 42736</t>
  </si>
  <si>
    <t>Z193195</t>
  </si>
  <si>
    <t>https://www.zillow.com/homedetails/80778640_zpid/</t>
  </si>
  <si>
    <t>$581,754</t>
  </si>
  <si>
    <t>5218 Oak Ave, Sacramento, FL 37877</t>
  </si>
  <si>
    <t>Z815620</t>
  </si>
  <si>
    <t>https://www.zillow.com/homedetails/31182229_zpid/</t>
  </si>
  <si>
    <t>$1,127,603</t>
  </si>
  <si>
    <t>4746 Oak Ave, Sacramento, TX 30883</t>
  </si>
  <si>
    <t>Z410084</t>
  </si>
  <si>
    <t>https://www.zillow.com/homedetails/94936659_zpid/</t>
  </si>
  <si>
    <t>$989,898</t>
  </si>
  <si>
    <t>6280 Maple Dr, San Francisco, IL 58605</t>
  </si>
  <si>
    <t>Z532652</t>
  </si>
  <si>
    <t>https://www.zillow.com/homedetails/41121454_zpid/</t>
  </si>
  <si>
    <t>$1,412,041</t>
  </si>
  <si>
    <t>1557 Elm St, Fresno, CA 93941</t>
  </si>
  <si>
    <t>Z264822</t>
  </si>
  <si>
    <t>https://www.zillow.com/homedetails/74703368_zpid/</t>
  </si>
  <si>
    <t>$264,357</t>
  </si>
  <si>
    <t>2642 Elm St, Los Angeles, NY 75225</t>
  </si>
  <si>
    <t>Z100492</t>
  </si>
  <si>
    <t>https://www.zillow.com/homedetails/49873143_zpid/</t>
  </si>
  <si>
    <t>$775,233</t>
  </si>
  <si>
    <t>6790 Main St, San Diego, FL 18089</t>
  </si>
  <si>
    <t>Z156440</t>
  </si>
  <si>
    <t>https://www.zillow.com/homedetails/22404696_zpid/</t>
  </si>
  <si>
    <t>$864,731</t>
  </si>
  <si>
    <t>7514 Elm St, Sacramento, CA 13531</t>
  </si>
  <si>
    <t>Z246604</t>
  </si>
  <si>
    <t>https://www.zillow.com/homedetails/60975718_zpid/</t>
  </si>
  <si>
    <t>$233,598</t>
  </si>
  <si>
    <t>2505 Pine Rd, Sacramento, IL 49878</t>
  </si>
  <si>
    <t>Z325508</t>
  </si>
  <si>
    <t>https://www.zillow.com/homedetails/33976805_zpid/</t>
  </si>
  <si>
    <t>$1,063,868</t>
  </si>
  <si>
    <t>9282 Maple Dr, San Francisco, TX 96466</t>
  </si>
  <si>
    <t>Z160592</t>
  </si>
  <si>
    <t>https://www.zillow.com/homedetails/25417671_zpid/</t>
  </si>
  <si>
    <t>$688,429</t>
  </si>
  <si>
    <t>3010 Oak Ave, Fresno, TX 19174</t>
  </si>
  <si>
    <t>Z333547</t>
  </si>
  <si>
    <t>https://www.zillow.com/homedetails/92087880_zpid/</t>
  </si>
  <si>
    <t>$998,003</t>
  </si>
  <si>
    <t>6402 Maple Dr, Fresno, IL 32179</t>
  </si>
  <si>
    <t>Z367885</t>
  </si>
  <si>
    <t>https://www.zillow.com/homedetails/85835806_zpid/</t>
  </si>
  <si>
    <t>$900,787</t>
  </si>
  <si>
    <t>2582 Main St, Sacramento, FL 35096</t>
  </si>
  <si>
    <t>Z482289</t>
  </si>
  <si>
    <t>https://www.zillow.com/homedetails/75355835_zpid/</t>
  </si>
  <si>
    <t>$695,115</t>
  </si>
  <si>
    <t>4922 Oak Ave, Fresno, NY 42123</t>
  </si>
  <si>
    <t>Z851685</t>
  </si>
  <si>
    <t>https://www.zillow.com/homedetails/33444642_zpid/</t>
  </si>
  <si>
    <t>$572,175</t>
  </si>
  <si>
    <t>9675 Pine Rd, San Francisco, IL 90436</t>
  </si>
  <si>
    <t>Z525402</t>
  </si>
  <si>
    <t>https://www.zillow.com/homedetails/40809066_zpid/</t>
  </si>
  <si>
    <t>$517,449</t>
  </si>
  <si>
    <t>267 Elm St, San Francisco, CA 80159</t>
  </si>
  <si>
    <t>Z907698</t>
  </si>
  <si>
    <t>https://www.zillow.com/homedetails/24110793_zpid/</t>
  </si>
  <si>
    <t>$1,486,590</t>
  </si>
  <si>
    <t>497 Maple Dr, Fresno, IL 59014</t>
  </si>
  <si>
    <t>Z346705</t>
  </si>
  <si>
    <t>https://www.zillow.com/homedetails/40932721_zpid/</t>
  </si>
  <si>
    <t>$373,305</t>
  </si>
  <si>
    <t>4643 Main St, Fresno, CA 88744</t>
  </si>
  <si>
    <t>Z124763</t>
  </si>
  <si>
    <t>https://www.zillow.com/homedetails/86703637_zpid/</t>
  </si>
  <si>
    <t>$748,347</t>
  </si>
  <si>
    <t>3544 Pine Rd, Sacramento, FL 60507</t>
  </si>
  <si>
    <t>Z916963</t>
  </si>
  <si>
    <t>https://www.zillow.com/homedetails/77368781_zpid/</t>
  </si>
  <si>
    <t>$1,492,926</t>
  </si>
  <si>
    <t>3777 Main St, San Diego, TX 62447</t>
  </si>
  <si>
    <t>Z508075</t>
  </si>
  <si>
    <t>https://www.zillow.com/homedetails/57220314_zpid/</t>
  </si>
  <si>
    <t>$1,376,673</t>
  </si>
  <si>
    <t>1083 Elm St, Los Angeles, CA 25054</t>
  </si>
  <si>
    <t>Z966187</t>
  </si>
  <si>
    <t>https://www.zillow.com/homedetails/58591834_zpid/</t>
  </si>
  <si>
    <t>$554,163</t>
  </si>
  <si>
    <t>9000 Maple Dr, Los Angeles, NY 66487</t>
  </si>
  <si>
    <t>Z969420</t>
  </si>
  <si>
    <t>https://www.zillow.com/homedetails/39916903_zpid/</t>
  </si>
  <si>
    <t>$752,210</t>
  </si>
  <si>
    <t>9581 Elm St, Sacramento, NY 42611</t>
  </si>
  <si>
    <t>Z662202</t>
  </si>
  <si>
    <t>https://www.zillow.com/homedetails/58298853_zpid/</t>
  </si>
  <si>
    <t>$1,014,846</t>
  </si>
  <si>
    <t>6092 Elm St, Fresno, FL 46903</t>
  </si>
  <si>
    <t>Z508041</t>
  </si>
  <si>
    <t>https://www.zillow.com/homedetails/59561083_zpid/</t>
  </si>
  <si>
    <t>$894,259</t>
  </si>
  <si>
    <t>9233 Oak Ave, Fresno, TX 12761</t>
  </si>
  <si>
    <t>Z229012</t>
  </si>
  <si>
    <t>https://www.zillow.com/homedetails/28701291_zpid/</t>
  </si>
  <si>
    <t>$850,639</t>
  </si>
  <si>
    <t>7781 Oak Ave, San Francisco, TX 80491</t>
  </si>
  <si>
    <t>Z878943</t>
  </si>
  <si>
    <t>https://www.zillow.com/homedetails/94356344_zpid/</t>
  </si>
  <si>
    <t>$446,902</t>
  </si>
  <si>
    <t>3520 Pine Rd, San Francisco, FL 66081</t>
  </si>
  <si>
    <t>Z540957</t>
  </si>
  <si>
    <t>https://www.zillow.com/homedetails/33591942_zpid/</t>
  </si>
  <si>
    <t>$957,764</t>
  </si>
  <si>
    <t>6520 Pine Rd, Los Angeles, CA 16392</t>
  </si>
  <si>
    <t>Z641159</t>
  </si>
  <si>
    <t>https://www.zillow.com/homedetails/51847292_zpid/</t>
  </si>
  <si>
    <t>$1,450,619</t>
  </si>
  <si>
    <t>3317 Maple Dr, Sacramento, NY 62413</t>
  </si>
  <si>
    <t>Z583474</t>
  </si>
  <si>
    <t>https://www.zillow.com/homedetails/64327234_zpid/</t>
  </si>
  <si>
    <t>$556,635</t>
  </si>
  <si>
    <t>2871 Maple Dr, San Diego, CA 81825</t>
  </si>
  <si>
    <t>Z790150</t>
  </si>
  <si>
    <t>https://www.zillow.com/homedetails/99853189_zpid/</t>
  </si>
  <si>
    <t>$925,973</t>
  </si>
  <si>
    <t>1503 Elm St, Sacramento, FL 92292</t>
  </si>
  <si>
    <t>Z985015</t>
  </si>
  <si>
    <t>https://www.zillow.com/homedetails/78793862_zpid/</t>
  </si>
  <si>
    <t>$1,347,555</t>
  </si>
  <si>
    <t>1154 Pine Rd, San Francisco, CA 85224</t>
  </si>
  <si>
    <t>Z593656</t>
  </si>
  <si>
    <t>https://www.zillow.com/homedetails/32396646_zpid/</t>
  </si>
  <si>
    <t>$402,637</t>
  </si>
  <si>
    <t>4120 Elm St, San Francisco, IL 59545</t>
  </si>
  <si>
    <t>Z440160</t>
  </si>
  <si>
    <t>https://www.zillow.com/homedetails/20832437_zpid/</t>
  </si>
  <si>
    <t>$1,185,143</t>
  </si>
  <si>
    <t>1833 Elm St, Los Angeles, IL 69880</t>
  </si>
  <si>
    <t>Z915054</t>
  </si>
  <si>
    <t>https://www.zillow.com/homedetails/73995915_zpid/</t>
  </si>
  <si>
    <t>$730,231</t>
  </si>
  <si>
    <t>3616 Oak Ave, Fresno, CA 22001</t>
  </si>
  <si>
    <t>Z931722</t>
  </si>
  <si>
    <t>https://www.zillow.com/homedetails/79573245_zpid/</t>
  </si>
  <si>
    <t>$1,257,066</t>
  </si>
  <si>
    <t>3846 Main St, Los Angeles, IL 14171</t>
  </si>
  <si>
    <t>Z731736</t>
  </si>
  <si>
    <t>https://www.zillow.com/homedetails/14114663_zpid/</t>
  </si>
  <si>
    <t>$230,868</t>
  </si>
  <si>
    <t>3877 Maple Dr, Sacramento, NY 81379</t>
  </si>
  <si>
    <t>Z825765</t>
  </si>
  <si>
    <t>https://www.zillow.com/homedetails/30085724_zpid/</t>
  </si>
  <si>
    <t>$734,091</t>
  </si>
  <si>
    <t>2077 Elm St, San Diego, TX 28912</t>
  </si>
  <si>
    <t>Z128180</t>
  </si>
  <si>
    <t>https://www.zillow.com/homedetails/39540767_zpid/</t>
  </si>
  <si>
    <t>$1,144,014</t>
  </si>
  <si>
    <t>3813 Pine Rd, Los Angeles, IL 91991</t>
  </si>
  <si>
    <t>Z118656</t>
  </si>
  <si>
    <t>https://www.zillow.com/homedetails/94772301_zpid/</t>
  </si>
  <si>
    <t>$449,307</t>
  </si>
  <si>
    <t>1763 Elm St, Los Angeles, NY 69470</t>
  </si>
  <si>
    <t>Z893538</t>
  </si>
  <si>
    <t>https://www.zillow.com/homedetails/55000867_zpid/</t>
  </si>
  <si>
    <t>$1,379,623</t>
  </si>
  <si>
    <t>3577 Maple Dr, Fresno, IL 97298</t>
  </si>
  <si>
    <t>Z862150</t>
  </si>
  <si>
    <t>https://www.zillow.com/homedetails/72389188_zpid/</t>
  </si>
  <si>
    <t>$245,230</t>
  </si>
  <si>
    <t>5796 Pine Rd, San Diego, FL 84305</t>
  </si>
  <si>
    <t>Z576614</t>
  </si>
  <si>
    <t>https://www.zillow.com/homedetails/84307385_zpid/</t>
  </si>
  <si>
    <t>$549,210</t>
  </si>
  <si>
    <t>2355 Pine Rd, San Diego, IL 84314</t>
  </si>
  <si>
    <t>Z902701</t>
  </si>
  <si>
    <t>https://www.zillow.com/homedetails/65019581_zpid/</t>
  </si>
  <si>
    <t>$458,215</t>
  </si>
  <si>
    <t>1911 Elm St, San Diego, CA 51208</t>
  </si>
  <si>
    <t>Z686281</t>
  </si>
  <si>
    <t>https://www.zillow.com/homedetails/49812187_zpid/</t>
  </si>
  <si>
    <t>$567,245</t>
  </si>
  <si>
    <t>6060 Elm St, Los Angeles, TX 73045</t>
  </si>
  <si>
    <t>Z788531</t>
  </si>
  <si>
    <t>https://www.zillow.com/homedetails/52434313_zpid/</t>
  </si>
  <si>
    <t>$1,342,248</t>
  </si>
  <si>
    <t>886 Oak Ave, San Diego, IL 72249</t>
  </si>
  <si>
    <t>Z547138</t>
  </si>
  <si>
    <t>https://www.zillow.com/homedetails/98361155_zpid/</t>
  </si>
  <si>
    <t>$1,368,329</t>
  </si>
  <si>
    <t>4389 Oak Ave, San Francisco, IL 57861</t>
  </si>
  <si>
    <t>Z127492</t>
  </si>
  <si>
    <t>https://www.zillow.com/homedetails/56634250_zpid/</t>
  </si>
  <si>
    <t>$963,301</t>
  </si>
  <si>
    <t>9070 Elm St, Sacramento, IL 60157</t>
  </si>
  <si>
    <t>Z543937</t>
  </si>
  <si>
    <t>https://www.zillow.com/homedetails/73384871_zpid/</t>
  </si>
  <si>
    <t>$502,165</t>
  </si>
  <si>
    <t>8891 Maple Dr, Sacramento, CA 41797</t>
  </si>
  <si>
    <t>Z639400</t>
  </si>
  <si>
    <t>https://www.zillow.com/homedetails/66828313_zpid/</t>
  </si>
  <si>
    <t>$792,152</t>
  </si>
  <si>
    <t>7836 Main St, Fresno, NY 20922</t>
  </si>
  <si>
    <t>Z441197</t>
  </si>
  <si>
    <t>https://www.zillow.com/homedetails/49410541_zpid/</t>
  </si>
  <si>
    <t>$1,482,167</t>
  </si>
  <si>
    <t>8032 Maple Dr, San Francisco, TX 84600</t>
  </si>
  <si>
    <t>Z853407</t>
  </si>
  <si>
    <t>https://www.zillow.com/homedetails/85519870_zpid/</t>
  </si>
  <si>
    <t>$683,910</t>
  </si>
  <si>
    <t>2759 Elm St, Sacramento, IL 79056</t>
  </si>
  <si>
    <t>Z990535</t>
  </si>
  <si>
    <t>https://www.zillow.com/homedetails/69948324_zpid/</t>
  </si>
  <si>
    <t>$992,882</t>
  </si>
  <si>
    <t>2241 Main St, Fresno, IL 93607</t>
  </si>
  <si>
    <t>Z510616</t>
  </si>
  <si>
    <t>https://www.zillow.com/homedetails/28133409_zpid/</t>
  </si>
  <si>
    <t>$254,470</t>
  </si>
  <si>
    <t>9040 Maple Dr, San Diego, CA 60875</t>
  </si>
  <si>
    <t>Z391795</t>
  </si>
  <si>
    <t>https://www.zillow.com/homedetails/72678389_zpid/</t>
  </si>
  <si>
    <t>$1,094,698</t>
  </si>
  <si>
    <t>9427 Oak Ave, Fresno, CA 21097</t>
  </si>
  <si>
    <t>Z198336</t>
  </si>
  <si>
    <t>https://www.zillow.com/homedetails/17951011_zpid/</t>
  </si>
  <si>
    <t>$541,873</t>
  </si>
  <si>
    <t>9960 Main St, San Francisco, IL 79825</t>
  </si>
  <si>
    <t>Z123696</t>
  </si>
  <si>
    <t>https://www.zillow.com/homedetails/70586931_zpid/</t>
  </si>
  <si>
    <t>$1,328,262</t>
  </si>
  <si>
    <t>5077 Maple Dr, San Diego, NY 99660</t>
  </si>
  <si>
    <t>Z748351</t>
  </si>
  <si>
    <t>https://www.zillow.com/homedetails/87825729_zpid/</t>
  </si>
  <si>
    <t>$1,380,476</t>
  </si>
  <si>
    <t>8971 Oak Ave, Sacramento, TX 51838</t>
  </si>
  <si>
    <t>Z514060</t>
  </si>
  <si>
    <t>https://www.zillow.com/homedetails/56740921_zpid/</t>
  </si>
  <si>
    <t>$1,095,716</t>
  </si>
  <si>
    <t>9823 Maple Dr, Sacramento, CA 52087</t>
  </si>
  <si>
    <t>Z312614</t>
  </si>
  <si>
    <t>https://www.zillow.com/homedetails/72303641_zpid/</t>
  </si>
  <si>
    <t>$998,749</t>
  </si>
  <si>
    <t>3291 Pine Rd, San Diego, NY 35530</t>
  </si>
  <si>
    <t>Z852100</t>
  </si>
  <si>
    <t>https://www.zillow.com/homedetails/97482235_zpid/</t>
  </si>
  <si>
    <t>$1,102,499</t>
  </si>
  <si>
    <t>5687 Oak Ave, San Diego, IL 13222</t>
  </si>
  <si>
    <t>Z692590</t>
  </si>
  <si>
    <t>https://www.zillow.com/homedetails/68808829_zpid/</t>
  </si>
  <si>
    <t>$1,064,819</t>
  </si>
  <si>
    <t>9488 Oak Ave, Los Angeles, FL 38613</t>
  </si>
  <si>
    <t>Z180598</t>
  </si>
  <si>
    <t>https://www.zillow.com/homedetails/41110949_zpid/</t>
  </si>
  <si>
    <t>$173,580</t>
  </si>
  <si>
    <t>2055 Pine Rd, Fresno, IL 12309</t>
  </si>
  <si>
    <t>Z252621</t>
  </si>
  <si>
    <t>https://www.zillow.com/homedetails/90315871_zpid/</t>
  </si>
  <si>
    <t>$507,209</t>
  </si>
  <si>
    <t>2836 Main St, San Francisco, FL 95350</t>
  </si>
  <si>
    <t>Z170148</t>
  </si>
  <si>
    <t>https://www.zillow.com/homedetails/62070031_zpid/</t>
  </si>
  <si>
    <t>$664,032</t>
  </si>
  <si>
    <t>6613 Oak Ave, Los Angeles, NY 62583</t>
  </si>
  <si>
    <t>Z304413</t>
  </si>
  <si>
    <t>https://www.zillow.com/homedetails/84189317_zpid/</t>
  </si>
  <si>
    <t>$824,851</t>
  </si>
  <si>
    <t>3212 Elm St, San Diego, IL 66109</t>
  </si>
  <si>
    <t>Z151300</t>
  </si>
  <si>
    <t>https://www.zillow.com/homedetails/35683294_zpid/</t>
  </si>
  <si>
    <t>$345,717</t>
  </si>
  <si>
    <t>8376 Main St, San Francisco, TX 87803</t>
  </si>
  <si>
    <t>Z660006</t>
  </si>
  <si>
    <t>https://www.zillow.com/homedetails/77950104_zpid/</t>
  </si>
  <si>
    <t>$1,012,634</t>
  </si>
  <si>
    <t>2151 Maple Dr, Sacramento, CA 16022</t>
  </si>
  <si>
    <t>Z281106</t>
  </si>
  <si>
    <t>https://www.zillow.com/homedetails/25654243_zpid/</t>
  </si>
  <si>
    <t>$175,100</t>
  </si>
  <si>
    <t>9600 Oak Ave, Los Angeles, IL 97674</t>
  </si>
  <si>
    <t>Z612400</t>
  </si>
  <si>
    <t>https://www.zillow.com/homedetails/57273828_zpid/</t>
  </si>
  <si>
    <t>$911,898</t>
  </si>
  <si>
    <t>9703 Maple Dr, San Diego, FL 62559</t>
  </si>
  <si>
    <t>Z268678</t>
  </si>
  <si>
    <t>https://www.zillow.com/homedetails/55676966_zpid/</t>
  </si>
  <si>
    <t>$507,926</t>
  </si>
  <si>
    <t>7060 Pine Rd, Sacramento, NY 98562</t>
  </si>
  <si>
    <t>Z227945</t>
  </si>
  <si>
    <t>https://www.zillow.com/homedetails/47476141_zpid/</t>
  </si>
  <si>
    <t>$551,347</t>
  </si>
  <si>
    <t>4195 Main St, Sacramento, NY 18019</t>
  </si>
  <si>
    <t>Z604412</t>
  </si>
  <si>
    <t>https://www.zillow.com/homedetails/17355985_zpid/</t>
  </si>
  <si>
    <t>$1,108,587</t>
  </si>
  <si>
    <t>6054 Oak Ave, San Francisco, TX 89641</t>
  </si>
  <si>
    <t>Z602636</t>
  </si>
  <si>
    <t>https://www.zillow.com/homedetails/13205502_zpid/</t>
  </si>
  <si>
    <t>$1,339,653</t>
  </si>
  <si>
    <t>6431 Oak Ave, San Diego, FL 44504</t>
  </si>
  <si>
    <t>Z526181</t>
  </si>
  <si>
    <t>https://www.zillow.com/homedetails/68625493_zpid/</t>
  </si>
  <si>
    <t>$698,605</t>
  </si>
  <si>
    <t>8285 Pine Rd, Los Angeles, IL 44449</t>
  </si>
  <si>
    <t>Z649249</t>
  </si>
  <si>
    <t>https://www.zillow.com/homedetails/52062417_zpid/</t>
  </si>
  <si>
    <t>$153,639</t>
  </si>
  <si>
    <t>8056 Elm St, San Francisco, IL 37560</t>
  </si>
  <si>
    <t>Z653861</t>
  </si>
  <si>
    <t>https://www.zillow.com/homedetails/19237073_zpid/</t>
  </si>
  <si>
    <t>$1,252,631</t>
  </si>
  <si>
    <t>2337 Oak Ave, Fresno, TX 92901</t>
  </si>
  <si>
    <t>Z433515</t>
  </si>
  <si>
    <t>https://www.zillow.com/homedetails/47086352_zpid/</t>
  </si>
  <si>
    <t>$799,196</t>
  </si>
  <si>
    <t>9837 Oak Ave, San Diego, TX 97723</t>
  </si>
  <si>
    <t>Z207061</t>
  </si>
  <si>
    <t>https://www.zillow.com/homedetails/78849856_zpid/</t>
  </si>
  <si>
    <t>$581,762</t>
  </si>
  <si>
    <t>8855 Maple Dr, Fresno, TX 88406</t>
  </si>
  <si>
    <t>Z259330</t>
  </si>
  <si>
    <t>https://www.zillow.com/homedetails/38906218_zpid/</t>
  </si>
  <si>
    <t>$868,758</t>
  </si>
  <si>
    <t>2915 Oak Ave, Fresno, IL 64363</t>
  </si>
  <si>
    <t>Z628296</t>
  </si>
  <si>
    <t>https://www.zillow.com/homedetails/97664480_zpid/</t>
  </si>
  <si>
    <t>$1,477,408</t>
  </si>
  <si>
    <t>5594 Maple Dr, San Diego, TX 18958</t>
  </si>
  <si>
    <t>Z333912</t>
  </si>
  <si>
    <t>https://www.zillow.com/homedetails/31701728_zpid/</t>
  </si>
  <si>
    <t>$766,178</t>
  </si>
  <si>
    <t>2134 Maple Dr, Sacramento, CA 82125</t>
  </si>
  <si>
    <t>Z442996</t>
  </si>
  <si>
    <t>https://www.zillow.com/homedetails/16997173_zpid/</t>
  </si>
  <si>
    <t>$959,249</t>
  </si>
  <si>
    <t>4232 Pine Rd, Los Angeles, CA 56664</t>
  </si>
  <si>
    <t>Z566173</t>
  </si>
  <si>
    <t>https://www.zillow.com/homedetails/68619466_zpid/</t>
  </si>
  <si>
    <t>$238,077</t>
  </si>
  <si>
    <t>6502 Pine Rd, San Diego, FL 23062</t>
  </si>
  <si>
    <t>Z474186</t>
  </si>
  <si>
    <t>https://www.zillow.com/homedetails/74464699_zpid/</t>
  </si>
  <si>
    <t>$1,403,108</t>
  </si>
  <si>
    <t>2773 Elm St, San Francisco, NY 20961</t>
  </si>
  <si>
    <t>Z972110</t>
  </si>
  <si>
    <t>https://www.zillow.com/homedetails/89851648_zpid/</t>
  </si>
  <si>
    <t>$794,121</t>
  </si>
  <si>
    <t>9325 Elm St, Fresno, CA 50273</t>
  </si>
  <si>
    <t>Z626281</t>
  </si>
  <si>
    <t>https://www.zillow.com/homedetails/32659553_zpid/</t>
  </si>
  <si>
    <t>$1,465,314</t>
  </si>
  <si>
    <t>3185 Oak Ave, San Diego, IL 43420</t>
  </si>
  <si>
    <t>Z561363</t>
  </si>
  <si>
    <t>https://www.zillow.com/homedetails/84285130_zpid/</t>
  </si>
  <si>
    <t>$493,055</t>
  </si>
  <si>
    <t>3423 Maple Dr, Los Angeles, NY 92407</t>
  </si>
  <si>
    <t>Z211812</t>
  </si>
  <si>
    <t>https://www.zillow.com/homedetails/80797520_zpid/</t>
  </si>
  <si>
    <t>$1,167,277</t>
  </si>
  <si>
    <t>4726 Maple Dr, Fresno, IL 34454</t>
  </si>
  <si>
    <t>Z479810</t>
  </si>
  <si>
    <t>https://www.zillow.com/homedetails/18851898_zpid/</t>
  </si>
  <si>
    <t>$1,010,631</t>
  </si>
  <si>
    <t>5034 Main St, Los Angeles, NY 87356</t>
  </si>
  <si>
    <t>Z384523</t>
  </si>
  <si>
    <t>https://www.zillow.com/homedetails/19537268_zpid/</t>
  </si>
  <si>
    <t>$639,426</t>
  </si>
  <si>
    <t>3630 Main St, Sacramento, CA 75868</t>
  </si>
  <si>
    <t>Z759953</t>
  </si>
  <si>
    <t>https://www.zillow.com/homedetails/84172274_zpid/</t>
  </si>
  <si>
    <t>$485,523</t>
  </si>
  <si>
    <t>7311 Maple Dr, Sacramento, TX 65166</t>
  </si>
  <si>
    <t>Z984822</t>
  </si>
  <si>
    <t>https://www.zillow.com/homedetails/40279203_zpid/</t>
  </si>
  <si>
    <t>$1,110,522</t>
  </si>
  <si>
    <t>6673 Main St, Fresno, TX 69272</t>
  </si>
  <si>
    <t>Z624938</t>
  </si>
  <si>
    <t>https://www.zillow.com/homedetails/49083543_zpid/</t>
  </si>
  <si>
    <t>$550,158</t>
  </si>
  <si>
    <t>6301 Main St, Sacramento, FL 88216</t>
  </si>
  <si>
    <t>Z349151</t>
  </si>
  <si>
    <t>https://www.zillow.com/homedetails/12633818_zpid/</t>
  </si>
  <si>
    <t>$1,050,654</t>
  </si>
  <si>
    <t>509 Maple Dr, San Diego, FL 90147</t>
  </si>
  <si>
    <t>Z730807</t>
  </si>
  <si>
    <t>https://www.zillow.com/homedetails/51249559_zpid/</t>
  </si>
  <si>
    <t>$512,547</t>
  </si>
  <si>
    <t>3954 Elm St, Sacramento, FL 91809</t>
  </si>
  <si>
    <t>Z427356</t>
  </si>
  <si>
    <t>https://www.zillow.com/homedetails/65609714_zpid/</t>
  </si>
  <si>
    <t>$729,920</t>
  </si>
  <si>
    <t>4643 Maple Dr, Los Angeles, FL 20151</t>
  </si>
  <si>
    <t>Z480608</t>
  </si>
  <si>
    <t>https://www.zillow.com/homedetails/21448555_zpid/</t>
  </si>
  <si>
    <t>$1,423,548</t>
  </si>
  <si>
    <t>4561 Maple Dr, Fresno, NY 68236</t>
  </si>
  <si>
    <t>Z637986</t>
  </si>
  <si>
    <t>https://www.zillow.com/homedetails/88504757_zpid/</t>
  </si>
  <si>
    <t>$888,455</t>
  </si>
  <si>
    <t>3409 Pine Rd, San Diego, IL 39067</t>
  </si>
  <si>
    <t>Z915062</t>
  </si>
  <si>
    <t>https://www.zillow.com/homedetails/41264840_zpid/</t>
  </si>
  <si>
    <t>$867,045</t>
  </si>
  <si>
    <t>6599 Elm St, Los Angeles, FL 49782</t>
  </si>
  <si>
    <t>Z934670</t>
  </si>
  <si>
    <t>https://www.zillow.com/homedetails/66023981_zpid/</t>
  </si>
  <si>
    <t>$388,016</t>
  </si>
  <si>
    <t>3880 Maple Dr, San Francisco, TX 12037</t>
  </si>
  <si>
    <t>Z816629</t>
  </si>
  <si>
    <t>https://www.zillow.com/homedetails/88318753_zpid/</t>
  </si>
  <si>
    <t>$277,024</t>
  </si>
  <si>
    <t>9694 Pine Rd, Sacramento, CA 72224</t>
  </si>
  <si>
    <t>Z408526</t>
  </si>
  <si>
    <t>https://www.zillow.com/homedetails/43823750_zpid/</t>
  </si>
  <si>
    <t>$643,713</t>
  </si>
  <si>
    <t>6429 Maple Dr, Los Angeles, CA 34706</t>
  </si>
  <si>
    <t>Z229226</t>
  </si>
  <si>
    <t>https://www.zillow.com/homedetails/83297221_zpid/</t>
  </si>
  <si>
    <t>$1,309,159</t>
  </si>
  <si>
    <t>6080 Oak Ave, Los Angeles, FL 16982</t>
  </si>
  <si>
    <t>Z282542</t>
  </si>
  <si>
    <t>https://www.zillow.com/homedetails/69379637_zpid/</t>
  </si>
  <si>
    <t>$767,118</t>
  </si>
  <si>
    <t>5133 Elm St, San Francisco, IL 35549</t>
  </si>
  <si>
    <t>Z738522</t>
  </si>
  <si>
    <t>https://www.zillow.com/homedetails/38042766_zpid/</t>
  </si>
  <si>
    <t>$1,077,526</t>
  </si>
  <si>
    <t>1052 Oak Ave, Fresno, FL 85014</t>
  </si>
  <si>
    <t>Z437782</t>
  </si>
  <si>
    <t>https://www.zillow.com/homedetails/28276481_zpid/</t>
  </si>
  <si>
    <t>$1,443,890</t>
  </si>
  <si>
    <t>2573 Main St, Fresno, TX 46959</t>
  </si>
  <si>
    <t>Z668812</t>
  </si>
  <si>
    <t>https://www.zillow.com/homedetails/69905746_zpid/</t>
  </si>
  <si>
    <t>$1,157,354</t>
  </si>
  <si>
    <t>908 Maple Dr, Fresno, CA 21860</t>
  </si>
  <si>
    <t>Z129844</t>
  </si>
  <si>
    <t>https://www.zillow.com/homedetails/99887319_zpid/</t>
  </si>
  <si>
    <t>$402,339</t>
  </si>
  <si>
    <t>6194 Pine Rd, San Diego, CA 93478</t>
  </si>
  <si>
    <t>Z984302</t>
  </si>
  <si>
    <t>https://www.zillow.com/homedetails/26606579_zpid/</t>
  </si>
  <si>
    <t>$635,830</t>
  </si>
  <si>
    <t>1585 Main St, Fresno, CA 63899</t>
  </si>
  <si>
    <t>Z873025</t>
  </si>
  <si>
    <t>https://www.zillow.com/homedetails/37587228_zpid/</t>
  </si>
  <si>
    <t>$561,390</t>
  </si>
  <si>
    <t>3076 Oak Ave, Sacramento, CA 88464</t>
  </si>
  <si>
    <t>Z750351</t>
  </si>
  <si>
    <t>https://www.zillow.com/homedetails/24832357_zpid/</t>
  </si>
  <si>
    <t>$1,376,066</t>
  </si>
  <si>
    <t>5246 Pine Rd, Sacramento, NY 36185</t>
  </si>
  <si>
    <t>Z599686</t>
  </si>
  <si>
    <t>https://www.zillow.com/homedetails/62837556_zpid/</t>
  </si>
  <si>
    <t>$154,749</t>
  </si>
  <si>
    <t>2224 Maple Dr, Los Angeles, NY 35075</t>
  </si>
  <si>
    <t>Z942870</t>
  </si>
  <si>
    <t>https://www.zillow.com/homedetails/26980257_zpid/</t>
  </si>
  <si>
    <t>$600,024</t>
  </si>
  <si>
    <t>6625 Main St, San Francisco, IL 82166</t>
  </si>
  <si>
    <t>Z621106</t>
  </si>
  <si>
    <t>https://www.zillow.com/homedetails/80870167_zpid/</t>
  </si>
  <si>
    <t>$732,661</t>
  </si>
  <si>
    <t>4539 Oak Ave, Los Angeles, TX 19992</t>
  </si>
  <si>
    <t>Z172859</t>
  </si>
  <si>
    <t>https://www.zillow.com/homedetails/13003665_zpid/</t>
  </si>
  <si>
    <t>$1,242,489</t>
  </si>
  <si>
    <t>9903 Pine Rd, Los Angeles, FL 40319</t>
  </si>
  <si>
    <t>Z756123</t>
  </si>
  <si>
    <t>https://www.zillow.com/homedetails/78279218_zpid/</t>
  </si>
  <si>
    <t>$992,014</t>
  </si>
  <si>
    <t>2142 Maple Dr, San Francisco, FL 85572</t>
  </si>
  <si>
    <t>Z468130</t>
  </si>
  <si>
    <t>https://www.zillow.com/homedetails/67481181_zpid/</t>
  </si>
  <si>
    <t>$323,406</t>
  </si>
  <si>
    <t>3314 Maple Dr, Los Angeles, CA 61427</t>
  </si>
  <si>
    <t>Z927857</t>
  </si>
  <si>
    <t>https://www.zillow.com/homedetails/22343411_zpid/</t>
  </si>
  <si>
    <t>$902,572</t>
  </si>
  <si>
    <t>8767 Pine Rd, Fresno, FL 21356</t>
  </si>
  <si>
    <t>Z427007</t>
  </si>
  <si>
    <t>https://www.zillow.com/homedetails/38977609_zpid/</t>
  </si>
  <si>
    <t>$1,488,630</t>
  </si>
  <si>
    <t>4543 Pine Rd, Los Angeles, FL 11595</t>
  </si>
  <si>
    <t>Z319609</t>
  </si>
  <si>
    <t>https://www.zillow.com/homedetails/12024674_zpid/</t>
  </si>
  <si>
    <t>$1,251,747</t>
  </si>
  <si>
    <t>6383 Elm St, San Diego, FL 70713</t>
  </si>
  <si>
    <t>Z113075</t>
  </si>
  <si>
    <t>https://www.zillow.com/homedetails/61892743_zpid/</t>
  </si>
  <si>
    <t>$1,330,718</t>
  </si>
  <si>
    <t>4090 Main St, San Diego, CA 42092</t>
  </si>
  <si>
    <t>Z682694</t>
  </si>
  <si>
    <t>https://www.zillow.com/homedetails/66220310_zpid/</t>
  </si>
  <si>
    <t>$1,022,516</t>
  </si>
  <si>
    <t>4802 Maple Dr, Los Angeles, NY 17336</t>
  </si>
  <si>
    <t>Z261913</t>
  </si>
  <si>
    <t>https://www.zillow.com/homedetails/28862997_zpid/</t>
  </si>
  <si>
    <t>$816,399</t>
  </si>
  <si>
    <t>8214 Main St, Los Angeles, FL 13336</t>
  </si>
  <si>
    <t>Z212498</t>
  </si>
  <si>
    <t>https://www.zillow.com/homedetails/49432802_zpid/</t>
  </si>
  <si>
    <t>$337,139</t>
  </si>
  <si>
    <t>8963 Pine Rd, Fresno, FL 14695</t>
  </si>
  <si>
    <t>Z301445</t>
  </si>
  <si>
    <t>https://www.zillow.com/homedetails/53096027_zpid/</t>
  </si>
  <si>
    <t>$1,056,968</t>
  </si>
  <si>
    <t>3112 Elm St, San Diego, IL 71107</t>
  </si>
  <si>
    <t>Z294646</t>
  </si>
  <si>
    <t>https://www.zillow.com/homedetails/86905797_zpid/</t>
  </si>
  <si>
    <t>$1,474,598</t>
  </si>
  <si>
    <t>956 Main St, Fresno, CA 94503</t>
  </si>
  <si>
    <t>https://www.zillow.com/homedetails/14087480_zpid/</t>
  </si>
  <si>
    <t>$174,311</t>
  </si>
  <si>
    <t>7017 Main St, San Diego, IL 17198</t>
  </si>
  <si>
    <t>Z317239</t>
  </si>
  <si>
    <t>https://www.zillow.com/homedetails/61842553_zpid/</t>
  </si>
  <si>
    <t>$1,164,086</t>
  </si>
  <si>
    <t>589 Main St, Sacramento, TX 48480</t>
  </si>
  <si>
    <t>Z773529</t>
  </si>
  <si>
    <t>https://www.zillow.com/homedetails/22830077_zpid/</t>
  </si>
  <si>
    <t>$1,328,223</t>
  </si>
  <si>
    <t>5576 Oak Ave, Fresno, TX 29671</t>
  </si>
  <si>
    <t>Z456726</t>
  </si>
  <si>
    <t>https://www.zillow.com/homedetails/27008324_zpid/</t>
  </si>
  <si>
    <t>$859,477</t>
  </si>
  <si>
    <t>7208 Oak Ave, Los Angeles, TX 88270</t>
  </si>
  <si>
    <t>Z992407</t>
  </si>
  <si>
    <t>https://www.zillow.com/homedetails/12127175_zpid/</t>
  </si>
  <si>
    <t>$581,016</t>
  </si>
  <si>
    <t>1835 Oak Ave, Sacramento, IL 87952</t>
  </si>
  <si>
    <t>Z795855</t>
  </si>
  <si>
    <t>https://www.zillow.com/homedetails/98250500_zpid/</t>
  </si>
  <si>
    <t>$207,646</t>
  </si>
  <si>
    <t>7894 Maple Dr, San Diego, CA 74961</t>
  </si>
  <si>
    <t>Z115213</t>
  </si>
  <si>
    <t>https://www.zillow.com/homedetails/76679620_zpid/</t>
  </si>
  <si>
    <t>$772,904</t>
  </si>
  <si>
    <t>3332 Maple Dr, San Francisco, TX 26090</t>
  </si>
  <si>
    <t>Z133089</t>
  </si>
  <si>
    <t>https://www.zillow.com/homedetails/58461475_zpid/</t>
  </si>
  <si>
    <t>$835,365</t>
  </si>
  <si>
    <t>764 Oak Ave, Fresno, IL 19990</t>
  </si>
  <si>
    <t>Z191315</t>
  </si>
  <si>
    <t>https://www.zillow.com/homedetails/46876466_zpid/</t>
  </si>
  <si>
    <t>$664,054</t>
  </si>
  <si>
    <t>1750 Main St, San Diego, NY 59100</t>
  </si>
  <si>
    <t>Z857849</t>
  </si>
  <si>
    <t>https://www.zillow.com/homedetails/87903057_zpid/</t>
  </si>
  <si>
    <t>$751,994</t>
  </si>
  <si>
    <t>6904 Maple Dr, San Diego, NY 69433</t>
  </si>
  <si>
    <t>Z501531</t>
  </si>
  <si>
    <t>https://www.zillow.com/homedetails/28703131_zpid/</t>
  </si>
  <si>
    <t>$1,496,434</t>
  </si>
  <si>
    <t>809 Elm St, San Francisco, IL 52565</t>
  </si>
  <si>
    <t>Z161191</t>
  </si>
  <si>
    <t>https://www.zillow.com/homedetails/22656547_zpid/</t>
  </si>
  <si>
    <t>$801,645</t>
  </si>
  <si>
    <t>4742 Maple Dr, San Francisco, TX 89150</t>
  </si>
  <si>
    <t>Z915845</t>
  </si>
  <si>
    <t>https://www.zillow.com/homedetails/79213861_zpid/</t>
  </si>
  <si>
    <t>$263,469</t>
  </si>
  <si>
    <t>4349 Main St, Fresno, IL 50468</t>
  </si>
  <si>
    <t>Z946286</t>
  </si>
  <si>
    <t>https://www.zillow.com/homedetails/37541621_zpid/</t>
  </si>
  <si>
    <t>$952,640</t>
  </si>
  <si>
    <t>7924 Oak Ave, Fresno, FL 91578</t>
  </si>
  <si>
    <t>Z472605</t>
  </si>
  <si>
    <t>https://www.zillow.com/homedetails/95682634_zpid/</t>
  </si>
  <si>
    <t>$492,639</t>
  </si>
  <si>
    <t>6260 Pine Rd, Fresno, TX 26426</t>
  </si>
  <si>
    <t>Z376312</t>
  </si>
  <si>
    <t>https://www.zillow.com/homedetails/63913124_zpid/</t>
  </si>
  <si>
    <t>$690,617</t>
  </si>
  <si>
    <t>1180 Maple Dr, San Francisco, TX 37461</t>
  </si>
  <si>
    <t>Z360282</t>
  </si>
  <si>
    <t>https://www.zillow.com/homedetails/82636901_zpid/</t>
  </si>
  <si>
    <t>$740,207</t>
  </si>
  <si>
    <t>6279 Maple Dr, San Francisco, IL 68470</t>
  </si>
  <si>
    <t>Z652094</t>
  </si>
  <si>
    <t>https://www.zillow.com/homedetails/92014934_zpid/</t>
  </si>
  <si>
    <t>$1,363,873</t>
  </si>
  <si>
    <t>3271 Main St, Los Angeles, NY 19011</t>
  </si>
  <si>
    <t>Z415142</t>
  </si>
  <si>
    <t>https://www.zillow.com/homedetails/17268582_zpid/</t>
  </si>
  <si>
    <t>$812,147</t>
  </si>
  <si>
    <t>6677 Pine Rd, Los Angeles, FL 47488</t>
  </si>
  <si>
    <t>Z457877</t>
  </si>
  <si>
    <t>https://www.zillow.com/homedetails/35451790_zpid/</t>
  </si>
  <si>
    <t>$543,914</t>
  </si>
  <si>
    <t>7829 Maple Dr, Los Angeles, TX 50049</t>
  </si>
  <si>
    <t>Z866439</t>
  </si>
  <si>
    <t>https://www.zillow.com/homedetails/75642505_zpid/</t>
  </si>
  <si>
    <t>$502,220</t>
  </si>
  <si>
    <t>6190 Pine Rd, Sacramento, IL 52654</t>
  </si>
  <si>
    <t>Z655346</t>
  </si>
  <si>
    <t>https://www.zillow.com/homedetails/83521126_zpid/</t>
  </si>
  <si>
    <t>$145,267</t>
  </si>
  <si>
    <t>3224 Elm St, Sacramento, TX 67674</t>
  </si>
  <si>
    <t>Z656158</t>
  </si>
  <si>
    <t>https://www.zillow.com/homedetails/91918994_zpid/</t>
  </si>
  <si>
    <t>$1,425,188</t>
  </si>
  <si>
    <t>1427 Maple Dr, San Diego, TX 81946</t>
  </si>
  <si>
    <t>Z129175</t>
  </si>
  <si>
    <t>https://www.zillow.com/homedetails/38113864_zpid/</t>
  </si>
  <si>
    <t>$1,092,255</t>
  </si>
  <si>
    <t>3895 Elm St, San Diego, NY 31872</t>
  </si>
  <si>
    <t>Z844757</t>
  </si>
  <si>
    <t>https://www.zillow.com/homedetails/31279944_zpid/</t>
  </si>
  <si>
    <t>$744,075</t>
  </si>
  <si>
    <t>5069 Elm St, Sacramento, FL 19965</t>
  </si>
  <si>
    <t>Z877979</t>
  </si>
  <si>
    <t>https://www.zillow.com/homedetails/18219912_zpid/</t>
  </si>
  <si>
    <t>$643,235</t>
  </si>
  <si>
    <t>2782 Maple Dr, San Francisco, NY 66268</t>
  </si>
  <si>
    <t>Z756981</t>
  </si>
  <si>
    <t>https://www.zillow.com/homedetails/31249165_zpid/</t>
  </si>
  <si>
    <t>$1,449,986</t>
  </si>
  <si>
    <t>4318 Oak Ave, Los Angeles, IL 27879</t>
  </si>
  <si>
    <t>Z126024</t>
  </si>
  <si>
    <t>https://www.zillow.com/homedetails/63109249_zpid/</t>
  </si>
  <si>
    <t>$792,699</t>
  </si>
  <si>
    <t>8008 Pine Rd, Sacramento, CA 55823</t>
  </si>
  <si>
    <t>Z854434</t>
  </si>
  <si>
    <t>https://www.zillow.com/homedetails/65303181_zpid/</t>
  </si>
  <si>
    <t>$526,692</t>
  </si>
  <si>
    <t>3291 Elm St, Sacramento, FL 11175</t>
  </si>
  <si>
    <t>Z269111</t>
  </si>
  <si>
    <t>https://www.zillow.com/homedetails/39940148_zpid/</t>
  </si>
  <si>
    <t>$839,428</t>
  </si>
  <si>
    <t>752 Oak Ave, San Diego, FL 82188</t>
  </si>
  <si>
    <t>Z936435</t>
  </si>
  <si>
    <t>https://www.zillow.com/homedetails/46383782_zpid/</t>
  </si>
  <si>
    <t>$223,608</t>
  </si>
  <si>
    <t>3184 Maple Dr, Los Angeles, FL 49745</t>
  </si>
  <si>
    <t>Z372814</t>
  </si>
  <si>
    <t>https://www.zillow.com/homedetails/36147010_zpid/</t>
  </si>
  <si>
    <t>$734,661</t>
  </si>
  <si>
    <t>1341 Pine Rd, San Francisco, FL 54762</t>
  </si>
  <si>
    <t>Z663221</t>
  </si>
  <si>
    <t>https://www.zillow.com/homedetails/43723349_zpid/</t>
  </si>
  <si>
    <t>$745,278</t>
  </si>
  <si>
    <t>3692 Main St, Fresno, NY 63254</t>
  </si>
  <si>
    <t>Z591444</t>
  </si>
  <si>
    <t>https://www.zillow.com/homedetails/38777970_zpid/</t>
  </si>
  <si>
    <t>$1,381,863</t>
  </si>
  <si>
    <t>9969 Maple Dr, San Francisco, IL 48888</t>
  </si>
  <si>
    <t>Z183827</t>
  </si>
  <si>
    <t>https://www.zillow.com/homedetails/73938527_zpid/</t>
  </si>
  <si>
    <t>$1,378,903</t>
  </si>
  <si>
    <t>584 Pine Rd, Fresno, CA 59274</t>
  </si>
  <si>
    <t>Z466579</t>
  </si>
  <si>
    <t>https://www.zillow.com/homedetails/41751914_zpid/</t>
  </si>
  <si>
    <t>$679,223</t>
  </si>
  <si>
    <t>707 Main St, Los Angeles, NY 49328</t>
  </si>
  <si>
    <t>Z541423</t>
  </si>
  <si>
    <t>https://www.zillow.com/homedetails/56623071_zpid/</t>
  </si>
  <si>
    <t>$299,090</t>
  </si>
  <si>
    <t>7416 Oak Ave, Los Angeles, CA 33353</t>
  </si>
  <si>
    <t>Z758232</t>
  </si>
  <si>
    <t>https://www.zillow.com/homedetails/44088598_zpid/</t>
  </si>
  <si>
    <t>$147,625</t>
  </si>
  <si>
    <t>2061 Pine Rd, San Francisco, TX 82956</t>
  </si>
  <si>
    <t>Z776581</t>
  </si>
  <si>
    <t>https://www.zillow.com/homedetails/83835487_zpid/</t>
  </si>
  <si>
    <t>$399,361</t>
  </si>
  <si>
    <t>2026 Pine Rd, San Diego, CA 53119</t>
  </si>
  <si>
    <t>Z610452</t>
  </si>
  <si>
    <t>https://www.zillow.com/homedetails/57513030_zpid/</t>
  </si>
  <si>
    <t>$267,346</t>
  </si>
  <si>
    <t>4830 Oak Ave, Los Angeles, IL 36720</t>
  </si>
  <si>
    <t>Z705413</t>
  </si>
  <si>
    <t>https://www.zillow.com/homedetails/17793967_zpid/</t>
  </si>
  <si>
    <t>$941,522</t>
  </si>
  <si>
    <t>8807 Pine Rd, Fresno, TX 58683</t>
  </si>
  <si>
    <t>Z921488</t>
  </si>
  <si>
    <t>https://www.zillow.com/homedetails/63787196_zpid/</t>
  </si>
  <si>
    <t>$762,080</t>
  </si>
  <si>
    <t>5572 Elm St, Los Angeles, CA 53835</t>
  </si>
  <si>
    <t>Z544314</t>
  </si>
  <si>
    <t>https://www.zillow.com/homedetails/62141507_zpid/</t>
  </si>
  <si>
    <t>$812,703</t>
  </si>
  <si>
    <t>8721 Pine Rd, Sacramento, CA 25265</t>
  </si>
  <si>
    <t>Z648618</t>
  </si>
  <si>
    <t>https://www.zillow.com/homedetails/85958088_zpid/</t>
  </si>
  <si>
    <t>$825,032</t>
  </si>
  <si>
    <t>9491 Elm St, San Francisco, FL 41817</t>
  </si>
  <si>
    <t>Z552139</t>
  </si>
  <si>
    <t>https://www.zillow.com/homedetails/81117196_zpid/</t>
  </si>
  <si>
    <t>$1,289,111</t>
  </si>
  <si>
    <t>3398 Pine Rd, Fresno, FL 59825</t>
  </si>
  <si>
    <t>Z509283</t>
  </si>
  <si>
    <t>https://www.zillow.com/homedetails/75833874_zpid/</t>
  </si>
  <si>
    <t>$153,968</t>
  </si>
  <si>
    <t>9737 Main St, Fresno, NY 92018</t>
  </si>
  <si>
    <t>Z548687</t>
  </si>
  <si>
    <t>https://www.zillow.com/homedetails/28976027_zpid/</t>
  </si>
  <si>
    <t>$276,658</t>
  </si>
  <si>
    <t>1074 Pine Rd, Sacramento, CA 75619</t>
  </si>
  <si>
    <t>Z698774</t>
  </si>
  <si>
    <t>https://www.zillow.com/homedetails/73004033_zpid/</t>
  </si>
  <si>
    <t>$678,162</t>
  </si>
  <si>
    <t>6010 Main St, Sacramento, NY 80466</t>
  </si>
  <si>
    <t>Z669677</t>
  </si>
  <si>
    <t>https://www.zillow.com/homedetails/53667603_zpid/</t>
  </si>
  <si>
    <t>$517,208</t>
  </si>
  <si>
    <t>5457 Main St, San Diego, TX 18625</t>
  </si>
  <si>
    <t>Z921697</t>
  </si>
  <si>
    <t>https://www.zillow.com/homedetails/77150060_zpid/</t>
  </si>
  <si>
    <t>$1,495,902</t>
  </si>
  <si>
    <t>2025 Maple Dr, San Francisco, TX 21054</t>
  </si>
  <si>
    <t>Z591096</t>
  </si>
  <si>
    <t>https://www.zillow.com/homedetails/64452424_zpid/</t>
  </si>
  <si>
    <t>$816,304</t>
  </si>
  <si>
    <t>6384 Pine Rd, San Diego, TX 11517</t>
  </si>
  <si>
    <t>Z213349</t>
  </si>
  <si>
    <t>https://www.zillow.com/homedetails/63493595_zpid/</t>
  </si>
  <si>
    <t>$847,501</t>
  </si>
  <si>
    <t>1040 Oak Ave, Los Angeles, IL 23456</t>
  </si>
  <si>
    <t>Z968666</t>
  </si>
  <si>
    <t>https://www.zillow.com/homedetails/64735115_zpid/</t>
  </si>
  <si>
    <t>$450,515</t>
  </si>
  <si>
    <t>5910 Oak Ave, San Diego, NY 56617</t>
  </si>
  <si>
    <t>Z372865</t>
  </si>
  <si>
    <t>https://www.zillow.com/homedetails/42778487_zpid/</t>
  </si>
  <si>
    <t>$625,007</t>
  </si>
  <si>
    <t>635 Oak Ave, San Diego, IL 92002</t>
  </si>
  <si>
    <t>Z111710</t>
  </si>
  <si>
    <t>https://www.zillow.com/homedetails/85721264_zpid/</t>
  </si>
  <si>
    <t>$1,348,396</t>
  </si>
  <si>
    <t>7995 Maple Dr, Los Angeles, TX 73223</t>
  </si>
  <si>
    <t>Z631780</t>
  </si>
  <si>
    <t>https://www.zillow.com/homedetails/75002438_zpid/</t>
  </si>
  <si>
    <t>$1,195,827</t>
  </si>
  <si>
    <t>5723 Pine Rd, San Francisco, FL 84862</t>
  </si>
  <si>
    <t>Z338903</t>
  </si>
  <si>
    <t>https://www.zillow.com/homedetails/24228503_zpid/</t>
  </si>
  <si>
    <t>$378,020</t>
  </si>
  <si>
    <t>8314 Main St, Sacramento, FL 62364</t>
  </si>
  <si>
    <t>Z952011</t>
  </si>
  <si>
    <t>https://www.zillow.com/homedetails/48800157_zpid/</t>
  </si>
  <si>
    <t>$420,770</t>
  </si>
  <si>
    <t>2597 Oak Ave, San Diego, FL 13373</t>
  </si>
  <si>
    <t>Z765001</t>
  </si>
  <si>
    <t>https://www.zillow.com/homedetails/32033569_zpid/</t>
  </si>
  <si>
    <t>$472,743</t>
  </si>
  <si>
    <t>4086 Main St, San Diego, IL 36566</t>
  </si>
  <si>
    <t>Z520028</t>
  </si>
  <si>
    <t>https://www.zillow.com/homedetails/15434242_zpid/</t>
  </si>
  <si>
    <t>$687,480</t>
  </si>
  <si>
    <t>8962 Main St, Sacramento, IL 57743</t>
  </si>
  <si>
    <t>Z777843</t>
  </si>
  <si>
    <t>https://www.zillow.com/homedetails/37863741_zpid/</t>
  </si>
  <si>
    <t>$761,495</t>
  </si>
  <si>
    <t>2878 Oak Ave, San Diego, TX 85988</t>
  </si>
  <si>
    <t>Z696829</t>
  </si>
  <si>
    <t>https://www.zillow.com/homedetails/76602247_zpid/</t>
  </si>
  <si>
    <t>$665,695</t>
  </si>
  <si>
    <t>4616 Main St, San Diego, IL 60251</t>
  </si>
  <si>
    <t>Z749000</t>
  </si>
  <si>
    <t>https://www.zillow.com/homedetails/63658547_zpid/</t>
  </si>
  <si>
    <t>$589,177</t>
  </si>
  <si>
    <t>5183 Pine Rd, Sacramento, TX 45058</t>
  </si>
  <si>
    <t>Z497569</t>
  </si>
  <si>
    <t>https://www.zillow.com/homedetails/84838265_zpid/</t>
  </si>
  <si>
    <t>$212,757</t>
  </si>
  <si>
    <t>5990 Maple Dr, Fresno, FL 15208</t>
  </si>
  <si>
    <t>Z882888</t>
  </si>
  <si>
    <t>https://www.zillow.com/homedetails/44784450_zpid/</t>
  </si>
  <si>
    <t>$886,105</t>
  </si>
  <si>
    <t>7108 Elm St, San Diego, NY 86716</t>
  </si>
  <si>
    <t>Z795850</t>
  </si>
  <si>
    <t>https://www.zillow.com/homedetails/82559194_zpid/</t>
  </si>
  <si>
    <t>$141,534</t>
  </si>
  <si>
    <t>1835 Oak Ave, Fresno, CA 79869</t>
  </si>
  <si>
    <t>Z597315</t>
  </si>
  <si>
    <t>https://www.zillow.com/homedetails/71685473_zpid/</t>
  </si>
  <si>
    <t>$1,303,490</t>
  </si>
  <si>
    <t>3719 Elm St, Sacramento, NY 96802</t>
  </si>
  <si>
    <t>Z137742</t>
  </si>
  <si>
    <t>https://www.zillow.com/homedetails/33950662_zpid/</t>
  </si>
  <si>
    <t>$725,022</t>
  </si>
  <si>
    <t>5040 Maple Dr, Fresno, IL 69172</t>
  </si>
  <si>
    <t>Z891821</t>
  </si>
  <si>
    <t>https://www.zillow.com/homedetails/96939692_zpid/</t>
  </si>
  <si>
    <t>$749,878</t>
  </si>
  <si>
    <t>4013 Pine Rd, Sacramento, TX 52085</t>
  </si>
  <si>
    <t>Z428714</t>
  </si>
  <si>
    <t>https://www.zillow.com/homedetails/32038509_zpid/</t>
  </si>
  <si>
    <t>$1,145,357</t>
  </si>
  <si>
    <t>5455 Main St, San Diego, TX 86478</t>
  </si>
  <si>
    <t>Z120801</t>
  </si>
  <si>
    <t>https://www.zillow.com/homedetails/90879871_zpid/</t>
  </si>
  <si>
    <t>$1,164,190</t>
  </si>
  <si>
    <t>5049 Oak Ave, Los Angeles, IL 49058</t>
  </si>
  <si>
    <t>Z176389</t>
  </si>
  <si>
    <t>https://www.zillow.com/homedetails/98592442_zpid/</t>
  </si>
  <si>
    <t>$233,884</t>
  </si>
  <si>
    <t>2529 Oak Ave, San Francisco, FL 44868</t>
  </si>
  <si>
    <t>Z504014</t>
  </si>
  <si>
    <t>https://www.zillow.com/homedetails/62332855_zpid/</t>
  </si>
  <si>
    <t>$229,333</t>
  </si>
  <si>
    <t>7864 Pine Rd, San Diego, TX 58644</t>
  </si>
  <si>
    <t>Z829582</t>
  </si>
  <si>
    <t>https://www.zillow.com/homedetails/51388721_zpid/</t>
  </si>
  <si>
    <t>$374,532</t>
  </si>
  <si>
    <t>2235 Main St, Sacramento, TX 80992</t>
  </si>
  <si>
    <t>Z410017</t>
  </si>
  <si>
    <t>https://www.zillow.com/homedetails/55395790_zpid/</t>
  </si>
  <si>
    <t>$1,392,019</t>
  </si>
  <si>
    <t>3045 Elm St, San Diego, IL 23325</t>
  </si>
  <si>
    <t>Z382313</t>
  </si>
  <si>
    <t>https://www.zillow.com/homedetails/98251104_zpid/</t>
  </si>
  <si>
    <t>$1,395,917</t>
  </si>
  <si>
    <t>5337 Pine Rd, San Francisco, CA 66767</t>
  </si>
  <si>
    <t>Z169704</t>
  </si>
  <si>
    <t>https://www.zillow.com/homedetails/83010275_zpid/</t>
  </si>
  <si>
    <t>$650,733</t>
  </si>
  <si>
    <t>4086 Pine Rd, San Diego, IL 98218</t>
  </si>
  <si>
    <t>Z227864</t>
  </si>
  <si>
    <t>https://www.zillow.com/homedetails/42922778_zpid/</t>
  </si>
  <si>
    <t>$765,584</t>
  </si>
  <si>
    <t>3583 Elm St, San Diego, NY 60212</t>
  </si>
  <si>
    <t>Z429419</t>
  </si>
  <si>
    <t>https://www.zillow.com/homedetails/11981122_zpid/</t>
  </si>
  <si>
    <t>$792,693</t>
  </si>
  <si>
    <t>3844 Oak Ave, Los Angeles, NY 88981</t>
  </si>
  <si>
    <t>Z431909</t>
  </si>
  <si>
    <t>https://www.zillow.com/homedetails/24735874_zpid/</t>
  </si>
  <si>
    <t>$628,319</t>
  </si>
  <si>
    <t>8487 Elm St, Sacramento, FL 56656</t>
  </si>
  <si>
    <t>Z507356</t>
  </si>
  <si>
    <t>https://www.zillow.com/homedetails/38911824_zpid/</t>
  </si>
  <si>
    <t>$924,682</t>
  </si>
  <si>
    <t>2108 Oak Ave, Los Angeles, FL 53119</t>
  </si>
  <si>
    <t>Z317055</t>
  </si>
  <si>
    <t>https://www.zillow.com/homedetails/45358760_zpid/</t>
  </si>
  <si>
    <t>$1,175,183</t>
  </si>
  <si>
    <t>4035 Pine Rd, Fresno, TX 81440</t>
  </si>
  <si>
    <t>Z269129</t>
  </si>
  <si>
    <t>https://www.zillow.com/homedetails/59484710_zpid/</t>
  </si>
  <si>
    <t>$543,938</t>
  </si>
  <si>
    <t>1772 Maple Dr, Fresno, TX 57201</t>
  </si>
  <si>
    <t>Z755426</t>
  </si>
  <si>
    <t>https://www.zillow.com/homedetails/25778975_zpid/</t>
  </si>
  <si>
    <t>$1,315,724</t>
  </si>
  <si>
    <t>8285 Maple Dr, San Diego, CA 65088</t>
  </si>
  <si>
    <t>Z647892</t>
  </si>
  <si>
    <t>https://www.zillow.com/homedetails/48138603_zpid/</t>
  </si>
  <si>
    <t>$833,057</t>
  </si>
  <si>
    <t>6153 Main St, Fresno, TX 88534</t>
  </si>
  <si>
    <t>Z898448</t>
  </si>
  <si>
    <t>https://www.zillow.com/homedetails/98854474_zpid/</t>
  </si>
  <si>
    <t>$1,239,159</t>
  </si>
  <si>
    <t>4316 Maple Dr, San Francisco, CA 20246</t>
  </si>
  <si>
    <t>Z567447</t>
  </si>
  <si>
    <t>https://www.zillow.com/homedetails/31632738_zpid/</t>
  </si>
  <si>
    <t>$611,479</t>
  </si>
  <si>
    <t>9474 Maple Dr, San Diego, CA 14992</t>
  </si>
  <si>
    <t>Z282017</t>
  </si>
  <si>
    <t>https://www.zillow.com/homedetails/80727364_zpid/</t>
  </si>
  <si>
    <t>$805,633</t>
  </si>
  <si>
    <t>8386 Oak Ave, Sacramento, TX 28763</t>
  </si>
  <si>
    <t>Z690248</t>
  </si>
  <si>
    <t>https://www.zillow.com/homedetails/37126974_zpid/</t>
  </si>
  <si>
    <t>$131,883</t>
  </si>
  <si>
    <t>3086 Main St, San Diego, TX 44519</t>
  </si>
  <si>
    <t>Z226671</t>
  </si>
  <si>
    <t>https://www.zillow.com/homedetails/17562890_zpid/</t>
  </si>
  <si>
    <t>$263,337</t>
  </si>
  <si>
    <t>7238 Main St, Fresno, CA 12498</t>
  </si>
  <si>
    <t>Z452757</t>
  </si>
  <si>
    <t>https://www.zillow.com/homedetails/39133145_zpid/</t>
  </si>
  <si>
    <t>$609,804</t>
  </si>
  <si>
    <t>8628 Elm St, San Francisco, NY 41619</t>
  </si>
  <si>
    <t>Z789572</t>
  </si>
  <si>
    <t>https://www.zillow.com/homedetails/17138510_zpid/</t>
  </si>
  <si>
    <t>$1,224,375</t>
  </si>
  <si>
    <t>622 Oak Ave, Sacramento, FL 24576</t>
  </si>
  <si>
    <t>Z106136</t>
  </si>
  <si>
    <t>https://www.zillow.com/homedetails/13236478_zpid/</t>
  </si>
  <si>
    <t>$606,489</t>
  </si>
  <si>
    <t>2981 Maple Dr, San Diego, NY 43051</t>
  </si>
  <si>
    <t>Z353739</t>
  </si>
  <si>
    <t>https://www.zillow.com/homedetails/58494157_zpid/</t>
  </si>
  <si>
    <t>$983,296</t>
  </si>
  <si>
    <t>5074 Maple Dr, San Diego, FL 55020</t>
  </si>
  <si>
    <t>Z347648</t>
  </si>
  <si>
    <t>https://www.zillow.com/homedetails/45682755_zpid/</t>
  </si>
  <si>
    <t>$1,120,178</t>
  </si>
  <si>
    <t>4584 Elm St, Los Angeles, CA 32456</t>
  </si>
  <si>
    <t>Z514677</t>
  </si>
  <si>
    <t>https://www.zillow.com/homedetails/55310948_zpid/</t>
  </si>
  <si>
    <t>$637,526</t>
  </si>
  <si>
    <t>2261 Maple Dr, Los Angeles, TX 43647</t>
  </si>
  <si>
    <t>Z156767</t>
  </si>
  <si>
    <t>https://www.zillow.com/homedetails/54264658_zpid/</t>
  </si>
  <si>
    <t>$489,344</t>
  </si>
  <si>
    <t>6138 Elm St, Sacramento, TX 42121</t>
  </si>
  <si>
    <t>Z487785</t>
  </si>
  <si>
    <t>https://www.zillow.com/homedetails/47709727_zpid/</t>
  </si>
  <si>
    <t>$1,135,740</t>
  </si>
  <si>
    <t>6821 Maple Dr, San Francisco, IL 38871</t>
  </si>
  <si>
    <t>Z679079</t>
  </si>
  <si>
    <t>https://www.zillow.com/homedetails/64180571_zpid/</t>
  </si>
  <si>
    <t>$947,387</t>
  </si>
  <si>
    <t>2744 Maple Dr, San Diego, TX 81109</t>
  </si>
  <si>
    <t>Z261109</t>
  </si>
  <si>
    <t>https://www.zillow.com/homedetails/55690775_zpid/</t>
  </si>
  <si>
    <t>$943,840</t>
  </si>
  <si>
    <t>9163 Elm St, Los Angeles, NY 75220</t>
  </si>
  <si>
    <t>Z506073</t>
  </si>
  <si>
    <t>https://www.zillow.com/homedetails/44041084_zpid/</t>
  </si>
  <si>
    <t>$599,922</t>
  </si>
  <si>
    <t>9579 Elm St, San Francisco, IL 43019</t>
  </si>
  <si>
    <t>Z372904</t>
  </si>
  <si>
    <t>https://www.zillow.com/homedetails/63973228_zpid/</t>
  </si>
  <si>
    <t>$765,935</t>
  </si>
  <si>
    <t>4358 Oak Ave, Los Angeles, TX 83809</t>
  </si>
  <si>
    <t>Z795479</t>
  </si>
  <si>
    <t>https://www.zillow.com/homedetails/22519878_zpid/</t>
  </si>
  <si>
    <t>$702,190</t>
  </si>
  <si>
    <t>6967 Pine Rd, Los Angeles, IL 63376</t>
  </si>
  <si>
    <t>Z344090</t>
  </si>
  <si>
    <t>https://www.zillow.com/homedetails/76147796_zpid/</t>
  </si>
  <si>
    <t>$442,330</t>
  </si>
  <si>
    <t>8927 Elm St, San Francisco, TX 36990</t>
  </si>
  <si>
    <t>Z823106</t>
  </si>
  <si>
    <t>https://www.zillow.com/homedetails/93554920_zpid/</t>
  </si>
  <si>
    <t>$249,161</t>
  </si>
  <si>
    <t>530 Maple Dr, San Francisco, FL 44583</t>
  </si>
  <si>
    <t>Z614891</t>
  </si>
  <si>
    <t>https://www.zillow.com/homedetails/46441991_zpid/</t>
  </si>
  <si>
    <t>$1,233,217</t>
  </si>
  <si>
    <t>3680 Oak Ave, Los Angeles, CA 40751</t>
  </si>
  <si>
    <t>Z476920</t>
  </si>
  <si>
    <t>https://www.zillow.com/homedetails/39794129_zpid/</t>
  </si>
  <si>
    <t>$232,222</t>
  </si>
  <si>
    <t>4253 Elm St, San Diego, TX 97190</t>
  </si>
  <si>
    <t>Z385354</t>
  </si>
  <si>
    <t>https://www.zillow.com/homedetails/60102795_zpid/</t>
  </si>
  <si>
    <t>$1,216,422</t>
  </si>
  <si>
    <t>810 Main St, Sacramento, CA 21289</t>
  </si>
  <si>
    <t>Z134474</t>
  </si>
  <si>
    <t>https://www.zillow.com/homedetails/40901843_zpid/</t>
  </si>
  <si>
    <t>$1,367,331</t>
  </si>
  <si>
    <t>1881 Oak Ave, San Diego, NY 39662</t>
  </si>
  <si>
    <t>Z860682</t>
  </si>
  <si>
    <t>https://www.zillow.com/homedetails/84782037_zpid/</t>
  </si>
  <si>
    <t>$463,948</t>
  </si>
  <si>
    <t>5344 Maple Dr, Sacramento, CA 44461</t>
  </si>
  <si>
    <t>Z984138</t>
  </si>
  <si>
    <t>https://www.zillow.com/homedetails/52290815_zpid/</t>
  </si>
  <si>
    <t>$383,121</t>
  </si>
  <si>
    <t>645 Pine Rd, Fresno, IL 60396</t>
  </si>
  <si>
    <t>Z927320</t>
  </si>
  <si>
    <t>https://www.zillow.com/homedetails/70277635_zpid/</t>
  </si>
  <si>
    <t>$1,110,300</t>
  </si>
  <si>
    <t>6651 Main St, Sacramento, NY 86614</t>
  </si>
  <si>
    <t>Z618653</t>
  </si>
  <si>
    <t>https://www.zillow.com/homedetails/48098650_zpid/</t>
  </si>
  <si>
    <t>$936,790</t>
  </si>
  <si>
    <t>9142 Oak Ave, Los Angeles, NY 90761</t>
  </si>
  <si>
    <t>Z934184</t>
  </si>
  <si>
    <t>https://www.zillow.com/homedetails/77928681_zpid/</t>
  </si>
  <si>
    <t>$168,943</t>
  </si>
  <si>
    <t>9499 Main St, Sacramento, CA 36868</t>
  </si>
  <si>
    <t>Z549373</t>
  </si>
  <si>
    <t>https://www.zillow.com/homedetails/47152675_zpid/</t>
  </si>
  <si>
    <t>$1,485,781</t>
  </si>
  <si>
    <t>503 Elm St, San Francisco, CA 43832</t>
  </si>
  <si>
    <t>Z261610</t>
  </si>
  <si>
    <t>https://www.zillow.com/homedetails/84559914_zpid/</t>
  </si>
  <si>
    <t>$256,040</t>
  </si>
  <si>
    <t>438 Oak Ave, San Diego, CA 79772</t>
  </si>
  <si>
    <t>Z200909</t>
  </si>
  <si>
    <t>https://www.zillow.com/homedetails/87175630_zpid/</t>
  </si>
  <si>
    <t>$1,193,957</t>
  </si>
  <si>
    <t>7915 Maple Dr, Sacramento, FL 72455</t>
  </si>
  <si>
    <t>Z687337</t>
  </si>
  <si>
    <t>https://www.zillow.com/homedetails/78140559_zpid/</t>
  </si>
  <si>
    <t>$1,064,784</t>
  </si>
  <si>
    <t>884 Main St, Los Angeles, NY 72490</t>
  </si>
  <si>
    <t>Z225124</t>
  </si>
  <si>
    <t>https://www.zillow.com/homedetails/35484254_zpid/</t>
  </si>
  <si>
    <t>$1,207,523</t>
  </si>
  <si>
    <t>777 Maple Dr, Fresno, NY 50553</t>
  </si>
  <si>
    <t>Z486338</t>
  </si>
  <si>
    <t>https://www.zillow.com/homedetails/35706066_zpid/</t>
  </si>
  <si>
    <t>$937,423</t>
  </si>
  <si>
    <t>6062 Oak Ave, Los Angeles, FL 64486</t>
  </si>
  <si>
    <t>Z822439</t>
  </si>
  <si>
    <t>https://www.zillow.com/homedetails/28734662_zpid/</t>
  </si>
  <si>
    <t>$744,974</t>
  </si>
  <si>
    <t>9461 Pine Rd, Fresno, CA 93761</t>
  </si>
  <si>
    <t>Z684675</t>
  </si>
  <si>
    <t>https://www.zillow.com/homedetails/23299066_zpid/</t>
  </si>
  <si>
    <t>$221,570</t>
  </si>
  <si>
    <t>1714 Pine Rd, Los Angeles, IL 22560</t>
  </si>
  <si>
    <t>Z815649</t>
  </si>
  <si>
    <t>https://www.zillow.com/homedetails/48936316_zpid/</t>
  </si>
  <si>
    <t>$739,335</t>
  </si>
  <si>
    <t>7037 Main St, Los Angeles, CA 39553</t>
  </si>
  <si>
    <t>Z682240</t>
  </si>
  <si>
    <t>https://www.zillow.com/homedetails/62612188_zpid/</t>
  </si>
  <si>
    <t>$1,065,109</t>
  </si>
  <si>
    <t>9117 Main St, Fresno, CA 90049</t>
  </si>
  <si>
    <t>Z361235</t>
  </si>
  <si>
    <t>https://www.zillow.com/homedetails/43020874_zpid/</t>
  </si>
  <si>
    <t>$611,694</t>
  </si>
  <si>
    <t>4134 Maple Dr, Fresno, TX 81534</t>
  </si>
  <si>
    <t>Z869739</t>
  </si>
  <si>
    <t>https://www.zillow.com/homedetails/17724608_zpid/</t>
  </si>
  <si>
    <t>$287,042</t>
  </si>
  <si>
    <t>163 Pine Rd, Sacramento, CA 38728</t>
  </si>
  <si>
    <t>Z874554</t>
  </si>
  <si>
    <t>https://www.zillow.com/homedetails/42350421_zpid/</t>
  </si>
  <si>
    <t>$1,318,906</t>
  </si>
  <si>
    <t>7665 Elm St, San Francisco, CA 43032</t>
  </si>
  <si>
    <t>Z318405</t>
  </si>
  <si>
    <t>https://www.zillow.com/homedetails/70215113_zpid/</t>
  </si>
  <si>
    <t>$770,157</t>
  </si>
  <si>
    <t>8618 Elm St, Fresno, TX 69983</t>
  </si>
  <si>
    <t>Z738329</t>
  </si>
  <si>
    <t>https://www.zillow.com/homedetails/45375743_zpid/</t>
  </si>
  <si>
    <t>$418,426</t>
  </si>
  <si>
    <t>8769 Main St, San Diego, CA 93305</t>
  </si>
  <si>
    <t>Z218691</t>
  </si>
  <si>
    <t>https://www.zillow.com/homedetails/69262702_zpid/</t>
  </si>
  <si>
    <t>$1,330,162</t>
  </si>
  <si>
    <t>8712 Main St, San Francisco, NY 63758</t>
  </si>
  <si>
    <t>Z786781</t>
  </si>
  <si>
    <t>https://www.zillow.com/homedetails/34710707_zpid/</t>
  </si>
  <si>
    <t>$1,202,180</t>
  </si>
  <si>
    <t>6107 Maple Dr, Fresno, NY 86255</t>
  </si>
  <si>
    <t>Z143125</t>
  </si>
  <si>
    <t>https://www.zillow.com/homedetails/94653749_zpid/</t>
  </si>
  <si>
    <t>$1,360,197</t>
  </si>
  <si>
    <t>3242 Elm St, Los Angeles, TX 86392</t>
  </si>
  <si>
    <t>Z191047</t>
  </si>
  <si>
    <t>https://www.zillow.com/homedetails/55540693_zpid/</t>
  </si>
  <si>
    <t>$585,846</t>
  </si>
  <si>
    <t>220 Maple Dr, Sacramento, IL 87872</t>
  </si>
  <si>
    <t>Z438363</t>
  </si>
  <si>
    <t>https://www.zillow.com/homedetails/65109761_zpid/</t>
  </si>
  <si>
    <t>$1,264,468</t>
  </si>
  <si>
    <t>2307 Elm St, Fresno, TX 10536</t>
  </si>
  <si>
    <t>Z243299</t>
  </si>
  <si>
    <t>https://www.zillow.com/homedetails/15088508_zpid/</t>
  </si>
  <si>
    <t>$1,378,973</t>
  </si>
  <si>
    <t>5599 Elm St, Los Angeles, CA 39632</t>
  </si>
  <si>
    <t>Z880375</t>
  </si>
  <si>
    <t>https://www.zillow.com/homedetails/97613275_zpid/</t>
  </si>
  <si>
    <t>$121,372</t>
  </si>
  <si>
    <t>1217 Pine Rd, Sacramento, IL 91711</t>
  </si>
  <si>
    <t>Z986069</t>
  </si>
  <si>
    <t>https://www.zillow.com/homedetails/86852613_zpid/</t>
  </si>
  <si>
    <t>$110,130</t>
  </si>
  <si>
    <t>2013 Main St, Sacramento, NY 19611</t>
  </si>
  <si>
    <t>Z553759</t>
  </si>
  <si>
    <t>https://www.zillow.com/homedetails/72667744_zpid/</t>
  </si>
  <si>
    <t>$1,201,650</t>
  </si>
  <si>
    <t>4871 Elm St, Los Angeles, FL 30850</t>
  </si>
  <si>
    <t>Z858525</t>
  </si>
  <si>
    <t>https://www.zillow.com/homedetails/27055859_zpid/</t>
  </si>
  <si>
    <t>$1,277,550</t>
  </si>
  <si>
    <t>8494 Maple Dr, Sacramento, IL 87329</t>
  </si>
  <si>
    <t>Z616259</t>
  </si>
  <si>
    <t>https://www.zillow.com/homedetails/30900899_zpid/</t>
  </si>
  <si>
    <t>$321,378</t>
  </si>
  <si>
    <t>1237 Pine Rd, Fresno, CA 42332</t>
  </si>
  <si>
    <t>Z445256</t>
  </si>
  <si>
    <t>https://www.zillow.com/homedetails/45844709_zpid/</t>
  </si>
  <si>
    <t>$893,945</t>
  </si>
  <si>
    <t>6888 Oak Ave, Los Angeles, IL 55515</t>
  </si>
  <si>
    <t>Z515277</t>
  </si>
  <si>
    <t>https://www.zillow.com/homedetails/21091425_zpid/</t>
  </si>
  <si>
    <t>$264,387</t>
  </si>
  <si>
    <t>9909 Elm St, San Francisco, NY 92035</t>
  </si>
  <si>
    <t>Z439524</t>
  </si>
  <si>
    <t>https://www.zillow.com/homedetails/69933830_zpid/</t>
  </si>
  <si>
    <t>$324,554</t>
  </si>
  <si>
    <t>3035 Main St, Los Angeles, FL 83930</t>
  </si>
  <si>
    <t>Z439883</t>
  </si>
  <si>
    <t>https://www.zillow.com/homedetails/62613325_zpid/</t>
  </si>
  <si>
    <t>$1,066,882</t>
  </si>
  <si>
    <t>645 Pine Rd, Fresno, CA 98695</t>
  </si>
  <si>
    <t>Z491194</t>
  </si>
  <si>
    <t>https://www.zillow.com/homedetails/54498313_zpid/</t>
  </si>
  <si>
    <t>$1,418,824</t>
  </si>
  <si>
    <t>2311 Pine Rd, San Diego, TX 96081</t>
  </si>
  <si>
    <t>Z663323</t>
  </si>
  <si>
    <t>https://www.zillow.com/homedetails/35793946_zpid/</t>
  </si>
  <si>
    <t>$124,837</t>
  </si>
  <si>
    <t>2615 Elm St, Sacramento, CA 92484</t>
  </si>
  <si>
    <t>Z202579</t>
  </si>
  <si>
    <t>https://www.zillow.com/homedetails/83270305_zpid/</t>
  </si>
  <si>
    <t>$302,039</t>
  </si>
  <si>
    <t>8885 Elm St, Sacramento, CA 93008</t>
  </si>
  <si>
    <t>Z238350</t>
  </si>
  <si>
    <t>https://www.zillow.com/homedetails/44400774_zpid/</t>
  </si>
  <si>
    <t>$493,579</t>
  </si>
  <si>
    <t>2174 Elm St, Sacramento, TX 61576</t>
  </si>
  <si>
    <t>Z981742</t>
  </si>
  <si>
    <t>https://www.zillow.com/homedetails/90301624_zpid/</t>
  </si>
  <si>
    <t>$382,647</t>
  </si>
  <si>
    <t>3080 Oak Ave, San Francisco, TX 75902</t>
  </si>
  <si>
    <t>Z873758</t>
  </si>
  <si>
    <t>https://www.zillow.com/homedetails/12084745_zpid/</t>
  </si>
  <si>
    <t>$745,415</t>
  </si>
  <si>
    <t>3789 Maple Dr, Fresno, FL 38628</t>
  </si>
  <si>
    <t>Z419403</t>
  </si>
  <si>
    <t>https://www.zillow.com/homedetails/78648987_zpid/</t>
  </si>
  <si>
    <t>$128,786</t>
  </si>
  <si>
    <t>9494 Pine Rd, San Francisco, FL 60225</t>
  </si>
  <si>
    <t>Z724498</t>
  </si>
  <si>
    <t>https://www.zillow.com/homedetails/53829159_zpid/</t>
  </si>
  <si>
    <t>$1,186,905</t>
  </si>
  <si>
    <t>7169 Oak Ave, San Francisco, TX 56905</t>
  </si>
  <si>
    <t>Z603872</t>
  </si>
  <si>
    <t>https://www.zillow.com/homedetails/27899308_zpid/</t>
  </si>
  <si>
    <t>$1,025,387</t>
  </si>
  <si>
    <t>6808 Elm St, San Francisco, CA 33634</t>
  </si>
  <si>
    <t>Z997109</t>
  </si>
  <si>
    <t>https://www.zillow.com/homedetails/96947405_zpid/</t>
  </si>
  <si>
    <t>$1,209,671</t>
  </si>
  <si>
    <t>7479 Oak Ave, Sacramento, FL 85240</t>
  </si>
  <si>
    <t>Z415835</t>
  </si>
  <si>
    <t>https://www.zillow.com/homedetails/38163259_zpid/</t>
  </si>
  <si>
    <t>$489,480</t>
  </si>
  <si>
    <t>3464 Main St, Fresno, CA 27696</t>
  </si>
  <si>
    <t>Z172476</t>
  </si>
  <si>
    <t>https://www.zillow.com/homedetails/59161259_zpid/</t>
  </si>
  <si>
    <t>$924,197</t>
  </si>
  <si>
    <t>6458 Main St, Fresno, TX 57095</t>
  </si>
  <si>
    <t>Z142178</t>
  </si>
  <si>
    <t>https://www.zillow.com/homedetails/33425693_zpid/</t>
  </si>
  <si>
    <t>$728,894</t>
  </si>
  <si>
    <t>1884 Pine Rd, Los Angeles, NY 12662</t>
  </si>
  <si>
    <t>Z896313</t>
  </si>
  <si>
    <t>https://www.zillow.com/homedetails/62555410_zpid/</t>
  </si>
  <si>
    <t>$527,252</t>
  </si>
  <si>
    <t>9627 Maple Dr, Los Angeles, NY 95297</t>
  </si>
  <si>
    <t>Z635957</t>
  </si>
  <si>
    <t>https://www.zillow.com/homedetails/34045642_zpid/</t>
  </si>
  <si>
    <t>$760,732</t>
  </si>
  <si>
    <t>8970 Elm St, Sacramento, NY 24915</t>
  </si>
  <si>
    <t>Z398392</t>
  </si>
  <si>
    <t>https://www.zillow.com/homedetails/30614614_zpid/</t>
  </si>
  <si>
    <t>$912,491</t>
  </si>
  <si>
    <t>9522 Main St, Fresno, NY 76828</t>
  </si>
  <si>
    <t>Z662685</t>
  </si>
  <si>
    <t>https://www.zillow.com/homedetails/57005027_zpid/</t>
  </si>
  <si>
    <t>$1,143,189</t>
  </si>
  <si>
    <t>2541 Elm St, Fresno, NY 35115</t>
  </si>
  <si>
    <t>Z479907</t>
  </si>
  <si>
    <t>https://www.zillow.com/homedetails/94171229_zpid/</t>
  </si>
  <si>
    <t>$1,386,972</t>
  </si>
  <si>
    <t>5659 Pine Rd, Sacramento, NY 37203</t>
  </si>
  <si>
    <t>Z723957</t>
  </si>
  <si>
    <t>https://www.zillow.com/homedetails/32807089_zpid/</t>
  </si>
  <si>
    <t>$631,500</t>
  </si>
  <si>
    <t>8450 Pine Rd, Los Angeles, IL 53697</t>
  </si>
  <si>
    <t>Z628012</t>
  </si>
  <si>
    <t>https://www.zillow.com/homedetails/46198867_zpid/</t>
  </si>
  <si>
    <t>$1,482,609</t>
  </si>
  <si>
    <t>4968 Elm St, Los Angeles, FL 27588</t>
  </si>
  <si>
    <t>Z812711</t>
  </si>
  <si>
    <t>https://www.zillow.com/homedetails/11347846_zpid/</t>
  </si>
  <si>
    <t>$949,364</t>
  </si>
  <si>
    <t>5456 Pine Rd, Sacramento, IL 65857</t>
  </si>
  <si>
    <t>Z587568</t>
  </si>
  <si>
    <t>https://www.zillow.com/homedetails/44681888_zpid/</t>
  </si>
  <si>
    <t>$1,396,812</t>
  </si>
  <si>
    <t>8756 Main St, Sacramento, TX 41371</t>
  </si>
  <si>
    <t>Z257316</t>
  </si>
  <si>
    <t>https://www.zillow.com/homedetails/70777010_zpid/</t>
  </si>
  <si>
    <t>$727,860</t>
  </si>
  <si>
    <t>6383 Maple Dr, Sacramento, IL 84496</t>
  </si>
  <si>
    <t>Z360135</t>
  </si>
  <si>
    <t>https://www.zillow.com/homedetails/22783760_zpid/</t>
  </si>
  <si>
    <t>$1,186,246</t>
  </si>
  <si>
    <t>8852 Main St, Los Angeles, CA 87781</t>
  </si>
  <si>
    <t>Z270159</t>
  </si>
  <si>
    <t>https://www.zillow.com/homedetails/57128872_zpid/</t>
  </si>
  <si>
    <t>$1,053,954</t>
  </si>
  <si>
    <t>5929 Oak Ave, Los Angeles, NY 99258</t>
  </si>
  <si>
    <t>Z740782</t>
  </si>
  <si>
    <t>https://www.zillow.com/homedetails/77923464_zpid/</t>
  </si>
  <si>
    <t>$216,445</t>
  </si>
  <si>
    <t>8995 Oak Ave, Fresno, FL 64412</t>
  </si>
  <si>
    <t>Z956815</t>
  </si>
  <si>
    <t>https://www.zillow.com/homedetails/30429884_zpid/</t>
  </si>
  <si>
    <t>$125,978</t>
  </si>
  <si>
    <t>7600 Main St, Sacramento, CA 16961</t>
  </si>
  <si>
    <t>Z587882</t>
  </si>
  <si>
    <t>https://www.zillow.com/homedetails/21271937_zpid/</t>
  </si>
  <si>
    <t>$916,065</t>
  </si>
  <si>
    <t>656 Pine Rd, Sacramento, IL 76660</t>
  </si>
  <si>
    <t>Z188750</t>
  </si>
  <si>
    <t>https://www.zillow.com/homedetails/26082357_zpid/</t>
  </si>
  <si>
    <t>$156,731</t>
  </si>
  <si>
    <t>8283 Maple Dr, Los Angeles, NY 44822</t>
  </si>
  <si>
    <t>Z802044</t>
  </si>
  <si>
    <t>https://www.zillow.com/homedetails/36765672_zpid/</t>
  </si>
  <si>
    <t>$765,124</t>
  </si>
  <si>
    <t>6473 Pine Rd, Fresno, TX 45404</t>
  </si>
  <si>
    <t>Z195769</t>
  </si>
  <si>
    <t>https://www.zillow.com/homedetails/25615043_zpid/</t>
  </si>
  <si>
    <t>$522,443</t>
  </si>
  <si>
    <t>4800 Elm St, Los Angeles, FL 86034</t>
  </si>
  <si>
    <t>Z973273</t>
  </si>
  <si>
    <t>https://www.zillow.com/homedetails/71203416_zpid/</t>
  </si>
  <si>
    <t>$773,068</t>
  </si>
  <si>
    <t>4210 Pine Rd, San Francisco, CA 15276</t>
  </si>
  <si>
    <t>Z924590</t>
  </si>
  <si>
    <t>https://www.zillow.com/homedetails/66150605_zpid/</t>
  </si>
  <si>
    <t>$662,328</t>
  </si>
  <si>
    <t>2183 Pine Rd, Fresno, NY 83220</t>
  </si>
  <si>
    <t>Z210533</t>
  </si>
  <si>
    <t>https://www.zillow.com/homedetails/44456039_zpid/</t>
  </si>
  <si>
    <t>$1,255,210</t>
  </si>
  <si>
    <t>4960 Oak Ave, San Diego, CA 63640</t>
  </si>
  <si>
    <t>Z336485</t>
  </si>
  <si>
    <t>https://www.zillow.com/homedetails/34167955_zpid/</t>
  </si>
  <si>
    <t>$176,979</t>
  </si>
  <si>
    <t>8564 Main St, San Francisco, TX 64916</t>
  </si>
  <si>
    <t>Z154838</t>
  </si>
  <si>
    <t>https://www.zillow.com/homedetails/79495197_zpid/</t>
  </si>
  <si>
    <t>$570,510</t>
  </si>
  <si>
    <t>7196 Elm St, San Diego, IL 78460</t>
  </si>
  <si>
    <t>Z131161</t>
  </si>
  <si>
    <t>https://www.zillow.com/homedetails/71257253_zpid/</t>
  </si>
  <si>
    <t>$638,912</t>
  </si>
  <si>
    <t>7328 Main St, Los Angeles, FL 42734</t>
  </si>
  <si>
    <t>Z252192</t>
  </si>
  <si>
    <t>https://www.zillow.com/homedetails/88811365_zpid/</t>
  </si>
  <si>
    <t>$677,587</t>
  </si>
  <si>
    <t>897 Maple Dr, Fresno, TX 76238</t>
  </si>
  <si>
    <t>Z472891</t>
  </si>
  <si>
    <t>https://www.zillow.com/homedetails/18431845_zpid/</t>
  </si>
  <si>
    <t>$355,436</t>
  </si>
  <si>
    <t>6496 Oak Ave, Los Angeles, CA 63071</t>
  </si>
  <si>
    <t>Z442719</t>
  </si>
  <si>
    <t>https://www.zillow.com/homedetails/21435734_zpid/</t>
  </si>
  <si>
    <t>$745,981</t>
  </si>
  <si>
    <t>2207 Elm St, San Francisco, FL 21233</t>
  </si>
  <si>
    <t>Z588586</t>
  </si>
  <si>
    <t>https://www.zillow.com/homedetails/44830184_zpid/</t>
  </si>
  <si>
    <t>$1,309,732</t>
  </si>
  <si>
    <t>8418 Oak Ave, San Francisco, FL 13360</t>
  </si>
  <si>
    <t>Z130873</t>
  </si>
  <si>
    <t>https://www.zillow.com/homedetails/78825692_zpid/</t>
  </si>
  <si>
    <t>$316,268</t>
  </si>
  <si>
    <t>2456 Maple Dr, San Francisco, NY 37047</t>
  </si>
  <si>
    <t>Z882034</t>
  </si>
  <si>
    <t>https://www.zillow.com/homedetails/10037468_zpid/</t>
  </si>
  <si>
    <t>$1,044,769</t>
  </si>
  <si>
    <t>7938 Oak Ave, Sacramento, CA 30852</t>
  </si>
  <si>
    <t>Z106074</t>
  </si>
  <si>
    <t>https://www.zillow.com/homedetails/31975784_zpid/</t>
  </si>
  <si>
    <t>$846,683</t>
  </si>
  <si>
    <t>2331 Maple Dr, Fresno, FL 76872</t>
  </si>
  <si>
    <t>Z117415</t>
  </si>
  <si>
    <t>https://www.zillow.com/homedetails/37526813_zpid/</t>
  </si>
  <si>
    <t>$1,107,286</t>
  </si>
  <si>
    <t>2764 Maple Dr, San Francisco, IL 98660</t>
  </si>
  <si>
    <t>Z188052</t>
  </si>
  <si>
    <t>https://www.zillow.com/homedetails/29954514_zpid/</t>
  </si>
  <si>
    <t>$1,002,939</t>
  </si>
  <si>
    <t>5925 Elm St, Fresno, CA 64140</t>
  </si>
  <si>
    <t>Z992296</t>
  </si>
  <si>
    <t>https://www.zillow.com/homedetails/76657377_zpid/</t>
  </si>
  <si>
    <t>$1,465,412</t>
  </si>
  <si>
    <t>3025 Pine Rd, Fresno, NY 44872</t>
  </si>
  <si>
    <t>Z337007</t>
  </si>
  <si>
    <t>https://www.zillow.com/homedetails/87519914_zpid/</t>
  </si>
  <si>
    <t>$1,193,022</t>
  </si>
  <si>
    <t>5411 Main St, Sacramento, TX 66680</t>
  </si>
  <si>
    <t>Z551203</t>
  </si>
  <si>
    <t>https://www.zillow.com/homedetails/94893983_zpid/</t>
  </si>
  <si>
    <t>$173,956</t>
  </si>
  <si>
    <t>4911 Oak Ave, Sacramento, CA 56610</t>
  </si>
  <si>
    <t>Z809273</t>
  </si>
  <si>
    <t>https://www.zillow.com/homedetails/57046967_zpid/</t>
  </si>
  <si>
    <t>$1,263,035</t>
  </si>
  <si>
    <t>6210 Pine Rd, Fresno, FL 94589</t>
  </si>
  <si>
    <t>Z240619</t>
  </si>
  <si>
    <t>https://www.zillow.com/homedetails/31440843_zpid/</t>
  </si>
  <si>
    <t>$391,792</t>
  </si>
  <si>
    <t>4048 Pine Rd, Los Angeles, TX 28238</t>
  </si>
  <si>
    <t>Z481212</t>
  </si>
  <si>
    <t>https://www.zillow.com/homedetails/89167902_zpid/</t>
  </si>
  <si>
    <t>$249,625</t>
  </si>
  <si>
    <t>278 Pine Rd, Los Angeles, TX 47247</t>
  </si>
  <si>
    <t>Z759646</t>
  </si>
  <si>
    <t>https://www.zillow.com/homedetails/38486570_zpid/</t>
  </si>
  <si>
    <t>$1,120,001</t>
  </si>
  <si>
    <t>8804 Pine Rd, San Francisco, FL 82843</t>
  </si>
  <si>
    <t>Z929200</t>
  </si>
  <si>
    <t>https://www.zillow.com/homedetails/44846965_zpid/</t>
  </si>
  <si>
    <t>$996,851</t>
  </si>
  <si>
    <t>1338 Main St, Los Angeles, NY 64566</t>
  </si>
  <si>
    <t>Z492965</t>
  </si>
  <si>
    <t>https://www.zillow.com/homedetails/82566158_zpid/</t>
  </si>
  <si>
    <t>$1,039,764</t>
  </si>
  <si>
    <t>4964 Maple Dr, Los Angeles, IL 41219</t>
  </si>
  <si>
    <t>Z827565</t>
  </si>
  <si>
    <t>https://www.zillow.com/homedetails/81401300_zpid/</t>
  </si>
  <si>
    <t>$722,724</t>
  </si>
  <si>
    <t>3094 Main St, Sacramento, TX 49352</t>
  </si>
  <si>
    <t>Z682889</t>
  </si>
  <si>
    <t>https://www.zillow.com/homedetails/46083854_zpid/</t>
  </si>
  <si>
    <t>$387,750</t>
  </si>
  <si>
    <t>2237 Main St, Los Angeles, CA 47133</t>
  </si>
  <si>
    <t>Z266092</t>
  </si>
  <si>
    <t>https://www.zillow.com/homedetails/65891567_zpid/</t>
  </si>
  <si>
    <t>$369,280</t>
  </si>
  <si>
    <t>1418 Oak Ave, San Francisco, CA 79829</t>
  </si>
  <si>
    <t>Z557064</t>
  </si>
  <si>
    <t>https://www.zillow.com/homedetails/53702510_zpid/</t>
  </si>
  <si>
    <t>$783,550</t>
  </si>
  <si>
    <t>1430 Pine Rd, Fresno, CA 97823</t>
  </si>
  <si>
    <t>Z145937</t>
  </si>
  <si>
    <t>https://www.zillow.com/homedetails/72444072_zpid/</t>
  </si>
  <si>
    <t>$1,431,844</t>
  </si>
  <si>
    <t>9153 Pine Rd, Los Angeles, FL 55537</t>
  </si>
  <si>
    <t>Z861394</t>
  </si>
  <si>
    <t>https://www.zillow.com/homedetails/24581802_zpid/</t>
  </si>
  <si>
    <t>$961,677</t>
  </si>
  <si>
    <t>3188 Maple Dr, Sacramento, NY 38529</t>
  </si>
  <si>
    <t>Z956733</t>
  </si>
  <si>
    <t>https://www.zillow.com/homedetails/67757903_zpid/</t>
  </si>
  <si>
    <t>$1,159,314</t>
  </si>
  <si>
    <t>1561 Oak Ave, San Francisco, FL 31671</t>
  </si>
  <si>
    <t>Z528505</t>
  </si>
  <si>
    <t>https://www.zillow.com/homedetails/81663321_zpid/</t>
  </si>
  <si>
    <t>$1,130,200</t>
  </si>
  <si>
    <t>2377 Main St, San Francisco, CA 35368</t>
  </si>
  <si>
    <t>Z881104</t>
  </si>
  <si>
    <t>https://www.zillow.com/homedetails/41197373_zpid/</t>
  </si>
  <si>
    <t>$183,053</t>
  </si>
  <si>
    <t>2749 Elm St, Los Angeles, CA 37017</t>
  </si>
  <si>
    <t>Z870123</t>
  </si>
  <si>
    <t>https://www.zillow.com/homedetails/83314711_zpid/</t>
  </si>
  <si>
    <t>$910,544</t>
  </si>
  <si>
    <t>8688 Main St, Los Angeles, FL 47278</t>
  </si>
  <si>
    <t>Z391109</t>
  </si>
  <si>
    <t>https://www.zillow.com/homedetails/59316893_zpid/</t>
  </si>
  <si>
    <t>$421,366</t>
  </si>
  <si>
    <t>4733 Pine Rd, San Diego, TX 34088</t>
  </si>
  <si>
    <t>Z694956</t>
  </si>
  <si>
    <t>https://www.zillow.com/homedetails/87399080_zpid/</t>
  </si>
  <si>
    <t>$159,757</t>
  </si>
  <si>
    <t>7585 Maple Dr, San Diego, TX 24971</t>
  </si>
  <si>
    <t>Z128019</t>
  </si>
  <si>
    <t>https://www.zillow.com/homedetails/28441671_zpid/</t>
  </si>
  <si>
    <t>$216,289</t>
  </si>
  <si>
    <t>3181 Elm St, Sacramento, TX 51838</t>
  </si>
  <si>
    <t>Z848465</t>
  </si>
  <si>
    <t>https://www.zillow.com/homedetails/41400196_zpid/</t>
  </si>
  <si>
    <t>$322,412</t>
  </si>
  <si>
    <t>5480 Maple Dr, Sacramento, IL 17843</t>
  </si>
  <si>
    <t>Z140691</t>
  </si>
  <si>
    <t>https://www.zillow.com/homedetails/27507786_zpid/</t>
  </si>
  <si>
    <t>$210,952</t>
  </si>
  <si>
    <t>2832 Elm St, Los Angeles, FL 32705</t>
  </si>
  <si>
    <t>Z989955</t>
  </si>
  <si>
    <t>https://www.zillow.com/homedetails/64741950_zpid/</t>
  </si>
  <si>
    <t>$1,247,795</t>
  </si>
  <si>
    <t>6025 Main St, Los Angeles, CA 84254</t>
  </si>
  <si>
    <t>Z357348</t>
  </si>
  <si>
    <t>https://www.zillow.com/homedetails/59501310_zpid/</t>
  </si>
  <si>
    <t>$513,312</t>
  </si>
  <si>
    <t>2771 Pine Rd, Fresno, NY 48796</t>
  </si>
  <si>
    <t>Z224895</t>
  </si>
  <si>
    <t>https://www.zillow.com/homedetails/45571146_zpid/</t>
  </si>
  <si>
    <t>$1,082,966</t>
  </si>
  <si>
    <t>7617 Elm St, Sacramento, NY 35774</t>
  </si>
  <si>
    <t>Z488428</t>
  </si>
  <si>
    <t>https://www.zillow.com/homedetails/36521839_zpid/</t>
  </si>
  <si>
    <t>$1,164,095</t>
  </si>
  <si>
    <t>9902 Pine Rd, San Diego, FL 96515</t>
  </si>
  <si>
    <t>Z157148</t>
  </si>
  <si>
    <t>https://www.zillow.com/homedetails/41334439_zpid/</t>
  </si>
  <si>
    <t>$169,640</t>
  </si>
  <si>
    <t>1815 Maple Dr, San Diego, IL 61427</t>
  </si>
  <si>
    <t>Z159054</t>
  </si>
  <si>
    <t>https://www.zillow.com/homedetails/79066540_zpid/</t>
  </si>
  <si>
    <t>$617,862</t>
  </si>
  <si>
    <t>6574 Oak Ave, Los Angeles, CA 42468</t>
  </si>
  <si>
    <t>Z268901</t>
  </si>
  <si>
    <t>https://www.zillow.com/homedetails/79146521_zpid/</t>
  </si>
  <si>
    <t>$1,066,163</t>
  </si>
  <si>
    <t>9840 Oak Ave, Los Angeles, CA 33549</t>
  </si>
  <si>
    <t>Z707602</t>
  </si>
  <si>
    <t>https://www.zillow.com/homedetails/27503739_zpid/</t>
  </si>
  <si>
    <t>$509,660</t>
  </si>
  <si>
    <t>7325 Main St, Fresno, FL 65915</t>
  </si>
  <si>
    <t>Z551138</t>
  </si>
  <si>
    <t>https://www.zillow.com/homedetails/17925242_zpid/</t>
  </si>
  <si>
    <t>$865,568</t>
  </si>
  <si>
    <t>9801 Oak Ave, Fresno, FL 14407</t>
  </si>
  <si>
    <t>Z716935</t>
  </si>
  <si>
    <t>https://www.zillow.com/homedetails/33148365_zpid/</t>
  </si>
  <si>
    <t>$292,070</t>
  </si>
  <si>
    <t>6580 Main St, Los Angeles, CA 41858</t>
  </si>
  <si>
    <t>Z858188</t>
  </si>
  <si>
    <t>https://www.zillow.com/homedetails/52116233_zpid/</t>
  </si>
  <si>
    <t>$1,001,321</t>
  </si>
  <si>
    <t>4687 Oak Ave, Los Angeles, FL 57304</t>
  </si>
  <si>
    <t>Z275800</t>
  </si>
  <si>
    <t>https://www.zillow.com/homedetails/25870666_zpid/</t>
  </si>
  <si>
    <t>$602,545</t>
  </si>
  <si>
    <t>7463 Main St, Fresno, IL 56633</t>
  </si>
  <si>
    <t>Z937665</t>
  </si>
  <si>
    <t>https://www.zillow.com/homedetails/19175199_zpid/</t>
  </si>
  <si>
    <t>$476,404</t>
  </si>
  <si>
    <t>2683 Elm St, San Diego, IL 63703</t>
  </si>
  <si>
    <t>Z965869</t>
  </si>
  <si>
    <t>https://www.zillow.com/homedetails/25603364_zpid/</t>
  </si>
  <si>
    <t>$1,260,866</t>
  </si>
  <si>
    <t>5939 Main St, Los Angeles, CA 84873</t>
  </si>
  <si>
    <t>Z310827</t>
  </si>
  <si>
    <t>https://www.zillow.com/homedetails/68977768_zpid/</t>
  </si>
  <si>
    <t>$646,379</t>
  </si>
  <si>
    <t>4664 Oak Ave, Fresno, CA 15079</t>
  </si>
  <si>
    <t>Z635788</t>
  </si>
  <si>
    <t>https://www.zillow.com/homedetails/50758167_zpid/</t>
  </si>
  <si>
    <t>$581,471</t>
  </si>
  <si>
    <t>7554 Elm St, Los Angeles, TX 30522</t>
  </si>
  <si>
    <t>Z786713</t>
  </si>
  <si>
    <t>https://www.zillow.com/homedetails/42016883_zpid/</t>
  </si>
  <si>
    <t>$413,748</t>
  </si>
  <si>
    <t>1356 Oak Ave, Los Angeles, NY 54046</t>
  </si>
  <si>
    <t>Z934061</t>
  </si>
  <si>
    <t>https://www.zillow.com/homedetails/82180713_zpid/</t>
  </si>
  <si>
    <t>$341,523</t>
  </si>
  <si>
    <t>2474 Pine Rd, Los Angeles, NY 57914</t>
  </si>
  <si>
    <t>Z694538</t>
  </si>
  <si>
    <t>https://www.zillow.com/homedetails/26165661_zpid/</t>
  </si>
  <si>
    <t>$395,473</t>
  </si>
  <si>
    <t>6306 Main St, Fresno, IL 43818</t>
  </si>
  <si>
    <t>Z773565</t>
  </si>
  <si>
    <t>https://www.zillow.com/homedetails/42694479_zpid/</t>
  </si>
  <si>
    <t>$808,953</t>
  </si>
  <si>
    <t>3474 Elm St, Sacramento, IL 54592</t>
  </si>
  <si>
    <t>Z772520</t>
  </si>
  <si>
    <t>https://www.zillow.com/homedetails/54044599_zpid/</t>
  </si>
  <si>
    <t>$780,267</t>
  </si>
  <si>
    <t>3097 Main St, Los Angeles, TX 21619</t>
  </si>
  <si>
    <t>Z753574</t>
  </si>
  <si>
    <t>https://www.zillow.com/homedetails/24071553_zpid/</t>
  </si>
  <si>
    <t>$1,083,676</t>
  </si>
  <si>
    <t>4762 Maple Dr, San Francisco, CA 30494</t>
  </si>
  <si>
    <t>Z499358</t>
  </si>
  <si>
    <t>https://www.zillow.com/homedetails/71920716_zpid/</t>
  </si>
  <si>
    <t>$982,214</t>
  </si>
  <si>
    <t>2006 Maple Dr, San Francisco, NY 45954</t>
  </si>
  <si>
    <t>Z945287</t>
  </si>
  <si>
    <t>https://www.zillow.com/homedetails/14433187_zpid/</t>
  </si>
  <si>
    <t>$1,226,738</t>
  </si>
  <si>
    <t>6017 Maple Dr, Los Angeles, FL 82694</t>
  </si>
  <si>
    <t>Z672046</t>
  </si>
  <si>
    <t>https://www.zillow.com/homedetails/53452910_zpid/</t>
  </si>
  <si>
    <t>$1,048,224</t>
  </si>
  <si>
    <t>8027 Elm St, Los Angeles, TX 47247</t>
  </si>
  <si>
    <t>Z736872</t>
  </si>
  <si>
    <t>https://www.zillow.com/homedetails/81016193_zpid/</t>
  </si>
  <si>
    <t>$1,357,543</t>
  </si>
  <si>
    <t>6192 Pine Rd, Sacramento, TX 21178</t>
  </si>
  <si>
    <t>Z887585</t>
  </si>
  <si>
    <t>https://www.zillow.com/homedetails/46725725_zpid/</t>
  </si>
  <si>
    <t>$501,380</t>
  </si>
  <si>
    <t>2033 Oak Ave, San Francisco, TX 94550</t>
  </si>
  <si>
    <t>Z668762</t>
  </si>
  <si>
    <t>https://www.zillow.com/homedetails/12838113_zpid/</t>
  </si>
  <si>
    <t>$154,069</t>
  </si>
  <si>
    <t>7648 Maple Dr, San Diego, NY 22902</t>
  </si>
  <si>
    <t>Z455310</t>
  </si>
  <si>
    <t>https://www.zillow.com/homedetails/75615410_zpid/</t>
  </si>
  <si>
    <t>$591,776</t>
  </si>
  <si>
    <t>1099 Main St, San Diego, TX 57259</t>
  </si>
  <si>
    <t>Z115875</t>
  </si>
  <si>
    <t>https://www.zillow.com/homedetails/24717092_zpid/</t>
  </si>
  <si>
    <t>$971,991</t>
  </si>
  <si>
    <t>3470 Elm St, Fresno, TX 48748</t>
  </si>
  <si>
    <t>Z578997</t>
  </si>
  <si>
    <t>https://www.zillow.com/homedetails/58716918_zpid/</t>
  </si>
  <si>
    <t>$632,379</t>
  </si>
  <si>
    <t>2771 Maple Dr, Los Angeles, FL 38144</t>
  </si>
  <si>
    <t>Z265179</t>
  </si>
  <si>
    <t>https://www.zillow.com/homedetails/63140693_zpid/</t>
  </si>
  <si>
    <t>$1,277,609</t>
  </si>
  <si>
    <t>6443 Pine Rd, San Diego, IL 14783</t>
  </si>
  <si>
    <t>Z375185</t>
  </si>
  <si>
    <t>https://www.zillow.com/homedetails/37257914_zpid/</t>
  </si>
  <si>
    <t>$580,491</t>
  </si>
  <si>
    <t>9902 Maple Dr, Fresno, NY 55175</t>
  </si>
  <si>
    <t>Z702620</t>
  </si>
  <si>
    <t>https://www.zillow.com/homedetails/33130762_zpid/</t>
  </si>
  <si>
    <t>$692,880</t>
  </si>
  <si>
    <t>3817 Elm St, San Francisco, IL 75630</t>
  </si>
  <si>
    <t>Z932034</t>
  </si>
  <si>
    <t>https://www.zillow.com/homedetails/89789652_zpid/</t>
  </si>
  <si>
    <t>$251,432</t>
  </si>
  <si>
    <t>7406 Maple Dr, San Diego, CA 42031</t>
  </si>
  <si>
    <t>Z408228</t>
  </si>
  <si>
    <t>https://www.zillow.com/homedetails/58512463_zpid/</t>
  </si>
  <si>
    <t>$752,795</t>
  </si>
  <si>
    <t>1108 Pine Rd, Fresno, NY 71418</t>
  </si>
  <si>
    <t>Z173965</t>
  </si>
  <si>
    <t>https://www.zillow.com/homedetails/28706958_zpid/</t>
  </si>
  <si>
    <t>$319,210</t>
  </si>
  <si>
    <t>8103 Oak Ave, San Diego, NY 10015</t>
  </si>
  <si>
    <t>Z620558</t>
  </si>
  <si>
    <t>https://www.zillow.com/homedetails/61863293_zpid/</t>
  </si>
  <si>
    <t>$693,672</t>
  </si>
  <si>
    <t>4057 Pine Rd, San Diego, FL 39622</t>
  </si>
  <si>
    <t>Z710233</t>
  </si>
  <si>
    <t>https://www.zillow.com/homedetails/19941119_zpid/</t>
  </si>
  <si>
    <t>$549,690</t>
  </si>
  <si>
    <t>2132 Oak Ave, Los Angeles, TX 10068</t>
  </si>
  <si>
    <t>Z225293</t>
  </si>
  <si>
    <t>https://www.zillow.com/homedetails/13350055_zpid/</t>
  </si>
  <si>
    <t>$172,363</t>
  </si>
  <si>
    <t>3475 Pine Rd, Fresno, CA 91382</t>
  </si>
  <si>
    <t>Z237001</t>
  </si>
  <si>
    <t>https://www.zillow.com/homedetails/98774408_zpid/</t>
  </si>
  <si>
    <t>$1,275,120</t>
  </si>
  <si>
    <t>6471 Main St, San Francisco, CA 16675</t>
  </si>
  <si>
    <t>Z153695</t>
  </si>
  <si>
    <t>https://www.zillow.com/homedetails/36294653_zpid/</t>
  </si>
  <si>
    <t>$802,518</t>
  </si>
  <si>
    <t>6653 Elm St, Sacramento, CA 73131</t>
  </si>
  <si>
    <t>Z402248</t>
  </si>
  <si>
    <t>https://www.zillow.com/homedetails/11409145_zpid/</t>
  </si>
  <si>
    <t>$627,255</t>
  </si>
  <si>
    <t>7601 Maple Dr, Fresno, FL 10177</t>
  </si>
  <si>
    <t>Z268196</t>
  </si>
  <si>
    <t>https://www.zillow.com/homedetails/98246315_zpid/</t>
  </si>
  <si>
    <t>$988,161</t>
  </si>
  <si>
    <t>7099 Oak Ave, Fresno, NY 97897</t>
  </si>
  <si>
    <t>Z580598</t>
  </si>
  <si>
    <t>https://www.zillow.com/homedetails/96279236_zpid/</t>
  </si>
  <si>
    <t>$103,832</t>
  </si>
  <si>
    <t>3460 Main St, San Francisco, TX 20397</t>
  </si>
  <si>
    <t>Z514955</t>
  </si>
  <si>
    <t>https://www.zillow.com/homedetails/91634237_zpid/</t>
  </si>
  <si>
    <t>$768,400</t>
  </si>
  <si>
    <t>3918 Oak Ave, Los Angeles, NY 13028</t>
  </si>
  <si>
    <t>Z921325</t>
  </si>
  <si>
    <t>https://www.zillow.com/homedetails/42828667_zpid/</t>
  </si>
  <si>
    <t>$1,365,874</t>
  </si>
  <si>
    <t>6096 Main St, San Francisco, TX 24068</t>
  </si>
  <si>
    <t>Z759945</t>
  </si>
  <si>
    <t>https://www.zillow.com/homedetails/90496685_zpid/</t>
  </si>
  <si>
    <t>$530,558</t>
  </si>
  <si>
    <t>209 Pine Rd, San Francisco, IL 88717</t>
  </si>
  <si>
    <t>Z383043</t>
  </si>
  <si>
    <t>https://www.zillow.com/homedetails/50063766_zpid/</t>
  </si>
  <si>
    <t>$1,344,907</t>
  </si>
  <si>
    <t>4467 Oak Ave, Fresno, IL 71256</t>
  </si>
  <si>
    <t>Z482460</t>
  </si>
  <si>
    <t>https://www.zillow.com/homedetails/38959187_zpid/</t>
  </si>
  <si>
    <t>$721,359</t>
  </si>
  <si>
    <t>4201 Pine Rd, Fresno, FL 31513</t>
  </si>
  <si>
    <t>Z661076</t>
  </si>
  <si>
    <t>https://www.zillow.com/homedetails/58932190_zpid/</t>
  </si>
  <si>
    <t>$444,483</t>
  </si>
  <si>
    <t>6398 Pine Rd, Fresno, IL 17027</t>
  </si>
  <si>
    <t>Z274693</t>
  </si>
  <si>
    <t>https://www.zillow.com/homedetails/22908134_zpid/</t>
  </si>
  <si>
    <t>$1,178,273</t>
  </si>
  <si>
    <t>6636 Maple Dr, Los Angeles, CA 40641</t>
  </si>
  <si>
    <t>Z126119</t>
  </si>
  <si>
    <t>https://www.zillow.com/homedetails/25660283_zpid/</t>
  </si>
  <si>
    <t>$703,641</t>
  </si>
  <si>
    <t>6813 Pine Rd, Sacramento, FL 28063</t>
  </si>
  <si>
    <t>Z266476</t>
  </si>
  <si>
    <t>https://www.zillow.com/homedetails/91512124_zpid/</t>
  </si>
  <si>
    <t>$645,850</t>
  </si>
  <si>
    <t>8674 Elm St, San Francisco, CA 50263</t>
  </si>
  <si>
    <t>Z158188</t>
  </si>
  <si>
    <t>https://www.zillow.com/homedetails/49311157_zpid/</t>
  </si>
  <si>
    <t>$101,833</t>
  </si>
  <si>
    <t>4704 Oak Ave, Fresno, NY 12937</t>
  </si>
  <si>
    <t>Z877137</t>
  </si>
  <si>
    <t>https://www.zillow.com/homedetails/63199243_zpid/</t>
  </si>
  <si>
    <t>$492,299</t>
  </si>
  <si>
    <t>2267 Main St, San Diego, TX 80716</t>
  </si>
  <si>
    <t>Z672942</t>
  </si>
  <si>
    <t>https://www.zillow.com/homedetails/39112208_zpid/</t>
  </si>
  <si>
    <t>$791,989</t>
  </si>
  <si>
    <t>517 Maple Dr, San Diego, IL 48152</t>
  </si>
  <si>
    <t>Z988317</t>
  </si>
  <si>
    <t>https://www.zillow.com/homedetails/56894971_zpid/</t>
  </si>
  <si>
    <t>$450,700</t>
  </si>
  <si>
    <t>5225 Pine Rd, Los Angeles, FL 72880</t>
  </si>
  <si>
    <t>Z369970</t>
  </si>
  <si>
    <t>https://www.zillow.com/homedetails/93125978_zpid/</t>
  </si>
  <si>
    <t>$1,467,813</t>
  </si>
  <si>
    <t>9720 Elm St, Los Angeles, CA 56372</t>
  </si>
  <si>
    <t>Z393489</t>
  </si>
  <si>
    <t>https://www.zillow.com/homedetails/11609743_zpid/</t>
  </si>
  <si>
    <t>$854,844</t>
  </si>
  <si>
    <t>7791 Main St, Los Angeles, CA 54472</t>
  </si>
  <si>
    <t>Z487223</t>
  </si>
  <si>
    <t>https://www.zillow.com/homedetails/89301999_zpid/</t>
  </si>
  <si>
    <t>$214,822</t>
  </si>
  <si>
    <t>2960 Oak Ave, San Diego, TX 35221</t>
  </si>
  <si>
    <t>Z106353</t>
  </si>
  <si>
    <t>https://www.zillow.com/homedetails/87593112_zpid/</t>
  </si>
  <si>
    <t>$1,177,942</t>
  </si>
  <si>
    <t>2896 Elm St, Fresno, CA 71836</t>
  </si>
  <si>
    <t>Z479194</t>
  </si>
  <si>
    <t>https://www.zillow.com/homedetails/25645024_zpid/</t>
  </si>
  <si>
    <t>$1,253,916</t>
  </si>
  <si>
    <t>6631 Pine Rd, Los Angeles, IL 94687</t>
  </si>
  <si>
    <t>Z242742</t>
  </si>
  <si>
    <t>https://www.zillow.com/homedetails/96918265_zpid/</t>
  </si>
  <si>
    <t>$698,501</t>
  </si>
  <si>
    <t>2483 Pine Rd, San Francisco, TX 12129</t>
  </si>
  <si>
    <t>Z606662</t>
  </si>
  <si>
    <t>https://www.zillow.com/homedetails/40466935_zpid/</t>
  </si>
  <si>
    <t>$1,131,190</t>
  </si>
  <si>
    <t>4624 Maple Dr, Los Angeles, NY 53443</t>
  </si>
  <si>
    <t>Z609345</t>
  </si>
  <si>
    <t>https://www.zillow.com/homedetails/74425309_zpid/</t>
  </si>
  <si>
    <t>$729,432</t>
  </si>
  <si>
    <t>5196 Pine Rd, San Diego, TX 97974</t>
  </si>
  <si>
    <t>Z316039</t>
  </si>
  <si>
    <t>https://www.zillow.com/homedetails/23532178_zpid/</t>
  </si>
  <si>
    <t>$1,365,836</t>
  </si>
  <si>
    <t>1070 Elm St, San Diego, NY 76487</t>
  </si>
  <si>
    <t>Z175378</t>
  </si>
  <si>
    <t>https://www.zillow.com/homedetails/60568226_zpid/</t>
  </si>
  <si>
    <t>$910,254</t>
  </si>
  <si>
    <t>7455 Pine Rd, Fresno, FL 96969</t>
  </si>
  <si>
    <t>Z531411</t>
  </si>
  <si>
    <t>https://www.zillow.com/homedetails/45801613_zpid/</t>
  </si>
  <si>
    <t>$101,178</t>
  </si>
  <si>
    <t>9766 Main St, San Francisco, FL 15800</t>
  </si>
  <si>
    <t>Z244488</t>
  </si>
  <si>
    <t>https://www.zillow.com/homedetails/61428421_zpid/</t>
  </si>
  <si>
    <t>$699,524</t>
  </si>
  <si>
    <t>7305 Oak Ave, Los Angeles, FL 68966</t>
  </si>
  <si>
    <t>Z208939</t>
  </si>
  <si>
    <t>https://www.zillow.com/homedetails/22116749_zpid/</t>
  </si>
  <si>
    <t>$516,185</t>
  </si>
  <si>
    <t>2842 Maple Dr, Sacramento, NY 32713</t>
  </si>
  <si>
    <t>Z698026</t>
  </si>
  <si>
    <t>https://www.zillow.com/homedetails/61943484_zpid/</t>
  </si>
  <si>
    <t>$422,789</t>
  </si>
  <si>
    <t>2577 Elm St, Fresno, FL 71252</t>
  </si>
  <si>
    <t>Z554286</t>
  </si>
  <si>
    <t>https://www.zillow.com/homedetails/56979560_zpid/</t>
  </si>
  <si>
    <t>$1,093,528</t>
  </si>
  <si>
    <t>8842 Elm St, San Diego, FL 14756</t>
  </si>
  <si>
    <t>Z355489</t>
  </si>
  <si>
    <t>https://www.zillow.com/homedetails/50041841_zpid/</t>
  </si>
  <si>
    <t>$742,610</t>
  </si>
  <si>
    <t>6972 Maple Dr, Los Angeles, TX 93006</t>
  </si>
  <si>
    <t>Z115892</t>
  </si>
  <si>
    <t>https://www.zillow.com/homedetails/25473546_zpid/</t>
  </si>
  <si>
    <t>$765,764</t>
  </si>
  <si>
    <t>1767 Pine Rd, Sacramento, FL 54203</t>
  </si>
  <si>
    <t>Z368752</t>
  </si>
  <si>
    <t>https://www.zillow.com/homedetails/84129033_zpid/</t>
  </si>
  <si>
    <t>$631,826</t>
  </si>
  <si>
    <t>5417 Pine Rd, San Diego, FL 15937</t>
  </si>
  <si>
    <t>Z296559</t>
  </si>
  <si>
    <t>https://www.zillow.com/homedetails/74981863_zpid/</t>
  </si>
  <si>
    <t>$992,311</t>
  </si>
  <si>
    <t>3469 Main St, San Diego, IL 46465</t>
  </si>
  <si>
    <t>Z898093</t>
  </si>
  <si>
    <t>https://www.zillow.com/homedetails/83960873_zpid/</t>
  </si>
  <si>
    <t>$1,265,734</t>
  </si>
  <si>
    <t>3423 Maple Dr, Fresno, TX 99071</t>
  </si>
  <si>
    <t>Z865455</t>
  </si>
  <si>
    <t>https://www.zillow.com/homedetails/54668712_zpid/</t>
  </si>
  <si>
    <t>$1,208,739</t>
  </si>
  <si>
    <t>323 Elm St, Sacramento, CA 33180</t>
  </si>
  <si>
    <t>Z975333</t>
  </si>
  <si>
    <t>https://www.zillow.com/homedetails/46899855_zpid/</t>
  </si>
  <si>
    <t>$503,321</t>
  </si>
  <si>
    <t>5421 Pine Rd, San Francisco, CA 31860</t>
  </si>
  <si>
    <t>Z554672</t>
  </si>
  <si>
    <t>https://www.zillow.com/homedetails/40087038_zpid/</t>
  </si>
  <si>
    <t>$1,460,786</t>
  </si>
  <si>
    <t>7772 Maple Dr, San Francisco, TX 14091</t>
  </si>
  <si>
    <t>Z190577</t>
  </si>
  <si>
    <t>https://www.zillow.com/homedetails/70899243_zpid/</t>
  </si>
  <si>
    <t>$1,499,473</t>
  </si>
  <si>
    <t>241 Elm St, Fresno, TX 46489</t>
  </si>
  <si>
    <t>Z167283</t>
  </si>
  <si>
    <t>https://www.zillow.com/homedetails/19412296_zpid/</t>
  </si>
  <si>
    <t>$1,247,702</t>
  </si>
  <si>
    <t>728 Oak Ave, Fresno, IL 14649</t>
  </si>
  <si>
    <t>Z708077</t>
  </si>
  <si>
    <t>https://www.zillow.com/homedetails/20109938_zpid/</t>
  </si>
  <si>
    <t>$104,351</t>
  </si>
  <si>
    <t>289 Elm St, Fresno, FL 37362</t>
  </si>
  <si>
    <t>Z828424</t>
  </si>
  <si>
    <t>https://www.zillow.com/homedetails/31841438_zpid/</t>
  </si>
  <si>
    <t>$187,796</t>
  </si>
  <si>
    <t>117 Pine Rd, Fresno, CA 49637</t>
  </si>
  <si>
    <t>Z637322</t>
  </si>
  <si>
    <t>https://www.zillow.com/homedetails/63681304_zpid/</t>
  </si>
  <si>
    <t>$309,482</t>
  </si>
  <si>
    <t>4633 Maple Dr, Sacramento, TX 14794</t>
  </si>
  <si>
    <t>Z219966</t>
  </si>
  <si>
    <t>https://www.zillow.com/homedetails/12222232_zpid/</t>
  </si>
  <si>
    <t>$1,189,135</t>
  </si>
  <si>
    <t>2604 Elm St, San Francisco, NY 72478</t>
  </si>
  <si>
    <t>Z159136</t>
  </si>
  <si>
    <t>https://www.zillow.com/homedetails/19992778_zpid/</t>
  </si>
  <si>
    <t>$118,498</t>
  </si>
  <si>
    <t>4383 Main St, Los Angeles, NY 98903</t>
  </si>
  <si>
    <t>Z529041</t>
  </si>
  <si>
    <t>https://www.zillow.com/homedetails/89477788_zpid/</t>
  </si>
  <si>
    <t>$971,671</t>
  </si>
  <si>
    <t>429 Elm St, Sacramento, NY 97192</t>
  </si>
  <si>
    <t>Z216690</t>
  </si>
  <si>
    <t>https://www.zillow.com/homedetails/47881641_zpid/</t>
  </si>
  <si>
    <t>$207,700</t>
  </si>
  <si>
    <t>9699 Main St, Sacramento, FL 98581</t>
  </si>
  <si>
    <t>Z305882</t>
  </si>
  <si>
    <t>https://www.zillow.com/homedetails/65919114_zpid/</t>
  </si>
  <si>
    <t>$1,106,000</t>
  </si>
  <si>
    <t>5552 Pine Rd, San Diego, TX 72949</t>
  </si>
  <si>
    <t>Z862833</t>
  </si>
  <si>
    <t>https://www.zillow.com/homedetails/28263884_zpid/</t>
  </si>
  <si>
    <t>$133,923</t>
  </si>
  <si>
    <t>7827 Main St, San Francisco, IL 90870</t>
  </si>
  <si>
    <t>Z220160</t>
  </si>
  <si>
    <t>https://www.zillow.com/homedetails/45217508_zpid/</t>
  </si>
  <si>
    <t>$1,362,246</t>
  </si>
  <si>
    <t>4557 Main St, Sacramento, FL 64643</t>
  </si>
  <si>
    <t>Z395651</t>
  </si>
  <si>
    <t>https://www.zillow.com/homedetails/86168377_zpid/</t>
  </si>
  <si>
    <t>$895,568</t>
  </si>
  <si>
    <t>9167 Elm St, Sacramento, NY 35537</t>
  </si>
  <si>
    <t>Z292242</t>
  </si>
  <si>
    <t>https://www.zillow.com/homedetails/37567720_zpid/</t>
  </si>
  <si>
    <t>$387,441</t>
  </si>
  <si>
    <t>839 Pine Rd, San Francisco, CA 52843</t>
  </si>
  <si>
    <t>Z147032</t>
  </si>
  <si>
    <t>https://www.zillow.com/homedetails/52468725_zpid/</t>
  </si>
  <si>
    <t>$632,396</t>
  </si>
  <si>
    <t>7492 Main St, Los Angeles, FL 41767</t>
  </si>
  <si>
    <t>Z900368</t>
  </si>
  <si>
    <t>https://www.zillow.com/homedetails/43668410_zpid/</t>
  </si>
  <si>
    <t>$892,897</t>
  </si>
  <si>
    <t>6567 Pine Rd, Sacramento, TX 31183</t>
  </si>
  <si>
    <t>Z543801</t>
  </si>
  <si>
    <t>https://www.zillow.com/homedetails/12428735_zpid/</t>
  </si>
  <si>
    <t>$1,406,069</t>
  </si>
  <si>
    <t>4151 Maple Dr, Sacramento, FL 93992</t>
  </si>
  <si>
    <t>Z736089</t>
  </si>
  <si>
    <t>https://www.zillow.com/homedetails/38443175_zpid/</t>
  </si>
  <si>
    <t>$1,215,590</t>
  </si>
  <si>
    <t>2859 Maple Dr, Sacramento, IL 79161</t>
  </si>
  <si>
    <t>Z838211</t>
  </si>
  <si>
    <t>https://www.zillow.com/homedetails/91673511_zpid/</t>
  </si>
  <si>
    <t>$944,158</t>
  </si>
  <si>
    <t>1233 Pine Rd, Sacramento, FL 21071</t>
  </si>
  <si>
    <t>Z958865</t>
  </si>
  <si>
    <t>https://www.zillow.com/homedetails/49249119_zpid/</t>
  </si>
  <si>
    <t>$336,063</t>
  </si>
  <si>
    <t>3206 Maple Dr, San Diego, TX 29957</t>
  </si>
  <si>
    <t>Z718194</t>
  </si>
  <si>
    <t>https://www.zillow.com/homedetails/31326167_zpid/</t>
  </si>
  <si>
    <t>$603,958</t>
  </si>
  <si>
    <t>5773 Elm St, Los Angeles, CA 16787</t>
  </si>
  <si>
    <t>Z525167</t>
  </si>
  <si>
    <t>https://www.zillow.com/homedetails/67073694_zpid/</t>
  </si>
  <si>
    <t>$130,251</t>
  </si>
  <si>
    <t>2748 Pine Rd, San Francisco, NY 71717</t>
  </si>
  <si>
    <t>Z126633</t>
  </si>
  <si>
    <t>https://www.zillow.com/homedetails/13819608_zpid/</t>
  </si>
  <si>
    <t>$1,262,766</t>
  </si>
  <si>
    <t>3197 Pine Rd, Sacramento, TX 63296</t>
  </si>
  <si>
    <t>Z294341</t>
  </si>
  <si>
    <t>https://www.zillow.com/homedetails/63663724_zpid/</t>
  </si>
  <si>
    <t>$1,306,410</t>
  </si>
  <si>
    <t>2944 Maple Dr, Los Angeles, CA 70574</t>
  </si>
  <si>
    <t>Z290878</t>
  </si>
  <si>
    <t>https://www.zillow.com/homedetails/64548916_zpid/</t>
  </si>
  <si>
    <t>$517,845</t>
  </si>
  <si>
    <t>3864 Main St, Los Angeles, CA 85350</t>
  </si>
  <si>
    <t>Z510828</t>
  </si>
  <si>
    <t>https://www.zillow.com/homedetails/10894758_zpid/</t>
  </si>
  <si>
    <t>$288,812</t>
  </si>
  <si>
    <t>4335 Oak Ave, San Diego, CA 27608</t>
  </si>
  <si>
    <t>Z837033</t>
  </si>
  <si>
    <t>https://www.zillow.com/homedetails/57326768_zpid/</t>
  </si>
  <si>
    <t>$996,105</t>
  </si>
  <si>
    <t>7079 Maple Dr, San Francisco, FL 51061</t>
  </si>
  <si>
    <t>Z943445</t>
  </si>
  <si>
    <t>https://www.zillow.com/homedetails/83859821_zpid/</t>
  </si>
  <si>
    <t>$837,572</t>
  </si>
  <si>
    <t>8140 Pine Rd, Sacramento, IL 88532</t>
  </si>
  <si>
    <t>Z562450</t>
  </si>
  <si>
    <t>https://www.zillow.com/homedetails/85374061_zpid/</t>
  </si>
  <si>
    <t>$1,008,190</t>
  </si>
  <si>
    <t>4042 Pine Rd, Sacramento, IL 96442</t>
  </si>
  <si>
    <t>Z950246</t>
  </si>
  <si>
    <t>https://www.zillow.com/homedetails/44612646_zpid/</t>
  </si>
  <si>
    <t>$1,028,164</t>
  </si>
  <si>
    <t>7484 Elm St, San Francisco, FL 36272</t>
  </si>
  <si>
    <t>Z174892</t>
  </si>
  <si>
    <t>https://www.zillow.com/homedetails/51880861_zpid/</t>
  </si>
  <si>
    <t>$533,002</t>
  </si>
  <si>
    <t>1885 Pine Rd, San Francisco, TX 74937</t>
  </si>
  <si>
    <t>Z753104</t>
  </si>
  <si>
    <t>https://www.zillow.com/homedetails/14537860_zpid/</t>
  </si>
  <si>
    <t>$472,692</t>
  </si>
  <si>
    <t>5560 Maple Dr, Sacramento, FL 41440</t>
  </si>
  <si>
    <t>Z509319</t>
  </si>
  <si>
    <t>https://www.zillow.com/homedetails/99129072_zpid/</t>
  </si>
  <si>
    <t>$284,033</t>
  </si>
  <si>
    <t>2963 Main St, Sacramento, NY 62542</t>
  </si>
  <si>
    <t>Z504374</t>
  </si>
  <si>
    <t>https://www.zillow.com/homedetails/70156128_zpid/</t>
  </si>
  <si>
    <t>$861,987</t>
  </si>
  <si>
    <t>4870 Pine Rd, Sacramento, FL 46081</t>
  </si>
  <si>
    <t>Z313139</t>
  </si>
  <si>
    <t>https://www.zillow.com/homedetails/61729824_zpid/</t>
  </si>
  <si>
    <t>$1,431,603</t>
  </si>
  <si>
    <t>4137 Elm St, San Francisco, CA 87215</t>
  </si>
  <si>
    <t>Z179340</t>
  </si>
  <si>
    <t>https://www.zillow.com/homedetails/11871062_zpid/</t>
  </si>
  <si>
    <t>$1,383,766</t>
  </si>
  <si>
    <t>8610 Pine Rd, Fresno, CA 54737</t>
  </si>
  <si>
    <t>Z526886</t>
  </si>
  <si>
    <t>https://www.zillow.com/homedetails/27253344_zpid/</t>
  </si>
  <si>
    <t>$1,197,928</t>
  </si>
  <si>
    <t>5971 Elm St, Los Angeles, FL 99142</t>
  </si>
  <si>
    <t>Z642976</t>
  </si>
  <si>
    <t>https://www.zillow.com/homedetails/89943080_zpid/</t>
  </si>
  <si>
    <t>$1,432,269</t>
  </si>
  <si>
    <t>7417 Pine Rd, Los Angeles, FL 34395</t>
  </si>
  <si>
    <t>Z189503</t>
  </si>
  <si>
    <t>https://www.zillow.com/homedetails/72251690_zpid/</t>
  </si>
  <si>
    <t>$1,123,182</t>
  </si>
  <si>
    <t>7412 Maple Dr, Los Angeles, CA 79755</t>
  </si>
  <si>
    <t>Z909359</t>
  </si>
  <si>
    <t>https://www.zillow.com/homedetails/99474238_zpid/</t>
  </si>
  <si>
    <t>$1,496,721</t>
  </si>
  <si>
    <t>3299 Oak Ave, Sacramento, IL 67956</t>
  </si>
  <si>
    <t>Z239057</t>
  </si>
  <si>
    <t>https://www.zillow.com/homedetails/14488154_zpid/</t>
  </si>
  <si>
    <t>$1,258,147</t>
  </si>
  <si>
    <t>2427 Pine Rd, Sacramento, TX 87399</t>
  </si>
  <si>
    <t>Z597566</t>
  </si>
  <si>
    <t>https://www.zillow.com/homedetails/15049315_zpid/</t>
  </si>
  <si>
    <t>$1,439,743</t>
  </si>
  <si>
    <t>1220 Oak Ave, San Francisco, TX 23668</t>
  </si>
  <si>
    <t>Z592784</t>
  </si>
  <si>
    <t>https://www.zillow.com/homedetails/90824696_zpid/</t>
  </si>
  <si>
    <t>$1,395,131</t>
  </si>
  <si>
    <t>151 Pine Rd, Los Angeles, NY 93832</t>
  </si>
  <si>
    <t>Z921873</t>
  </si>
  <si>
    <t>https://www.zillow.com/homedetails/67717042_zpid/</t>
  </si>
  <si>
    <t>$207,246</t>
  </si>
  <si>
    <t>714 Elm St, Fresno, CA 42083</t>
  </si>
  <si>
    <t>Z932612</t>
  </si>
  <si>
    <t>https://www.zillow.com/homedetails/46485910_zpid/</t>
  </si>
  <si>
    <t>$1,076,673</t>
  </si>
  <si>
    <t>5956 Elm St, San Francisco, FL 58725</t>
  </si>
  <si>
    <t>Z731262</t>
  </si>
  <si>
    <t>https://www.zillow.com/homedetails/71315659_zpid/</t>
  </si>
  <si>
    <t>$716,140</t>
  </si>
  <si>
    <t>3031 Elm St, Fresno, IL 49310</t>
  </si>
  <si>
    <t>Z405765</t>
  </si>
  <si>
    <t>https://www.zillow.com/homedetails/81277085_zpid/</t>
  </si>
  <si>
    <t>$1,153,736</t>
  </si>
  <si>
    <t>3977 Elm St, Fresno, FL 11392</t>
  </si>
  <si>
    <t>Z451193</t>
  </si>
  <si>
    <t>https://www.zillow.com/homedetails/67933714_zpid/</t>
  </si>
  <si>
    <t>$342,663</t>
  </si>
  <si>
    <t>5826 Pine Rd, San Diego, NY 69770</t>
  </si>
  <si>
    <t>Z144764</t>
  </si>
  <si>
    <t>https://www.zillow.com/homedetails/31666337_zpid/</t>
  </si>
  <si>
    <t>$913,054</t>
  </si>
  <si>
    <t>7138 Elm St, San Francisco, TX 99109</t>
  </si>
  <si>
    <t>Z609570</t>
  </si>
  <si>
    <t>https://www.zillow.com/homedetails/92797778_zpid/</t>
  </si>
  <si>
    <t>$1,430,943</t>
  </si>
  <si>
    <t>328 Elm St, San Diego, CA 39273</t>
  </si>
  <si>
    <t>Z410333</t>
  </si>
  <si>
    <t>https://www.zillow.com/homedetails/87255026_zpid/</t>
  </si>
  <si>
    <t>$1,197,039</t>
  </si>
  <si>
    <t>2826 Pine Rd, Los Angeles, TX 82851</t>
  </si>
  <si>
    <t>Z119654</t>
  </si>
  <si>
    <t>https://www.zillow.com/homedetails/81095781_zpid/</t>
  </si>
  <si>
    <t>$325,009</t>
  </si>
  <si>
    <t>2295 Elm St, San Francisco, IL 94122</t>
  </si>
  <si>
    <t>Z799512</t>
  </si>
  <si>
    <t>https://www.zillow.com/homedetails/59333431_zpid/</t>
  </si>
  <si>
    <t>$935,650</t>
  </si>
  <si>
    <t>7982 Elm St, San Francisco, CA 37653</t>
  </si>
  <si>
    <t>Z836750</t>
  </si>
  <si>
    <t>https://www.zillow.com/homedetails/47666617_zpid/</t>
  </si>
  <si>
    <t>$1,106,308</t>
  </si>
  <si>
    <t>630 Maple Dr, Fresno, FL 72704</t>
  </si>
  <si>
    <t>Z692232</t>
  </si>
  <si>
    <t>https://www.zillow.com/homedetails/47652335_zpid/</t>
  </si>
  <si>
    <t>$225,216</t>
  </si>
  <si>
    <t>5821 Oak Ave, San Francisco, NY 75563</t>
  </si>
  <si>
    <t>Z304785</t>
  </si>
  <si>
    <t>https://www.zillow.com/homedetails/66697338_zpid/</t>
  </si>
  <si>
    <t>$640,648</t>
  </si>
  <si>
    <t>7401 Elm St, San Diego, CA 51904</t>
  </si>
  <si>
    <t>Z895430</t>
  </si>
  <si>
    <t>https://www.zillow.com/homedetails/51966910_zpid/</t>
  </si>
  <si>
    <t>$708,703</t>
  </si>
  <si>
    <t>4669 Main St, Sacramento, IL 34748</t>
  </si>
  <si>
    <t>Z538777</t>
  </si>
  <si>
    <t>https://www.zillow.com/homedetails/40351647_zpid/</t>
  </si>
  <si>
    <t>$957,576</t>
  </si>
  <si>
    <t>9739 Main St, San Francisco, CA 12301</t>
  </si>
  <si>
    <t>Z932859</t>
  </si>
  <si>
    <t>https://www.zillow.com/homedetails/49024454_zpid/</t>
  </si>
  <si>
    <t>$999,232</t>
  </si>
  <si>
    <t>3635 Pine Rd, San Diego, FL 42128</t>
  </si>
  <si>
    <t>Z384962</t>
  </si>
  <si>
    <t>https://www.zillow.com/homedetails/54987096_zpid/</t>
  </si>
  <si>
    <t>$1,048,735</t>
  </si>
  <si>
    <t>289 Main St, San Francisco, NY 52335</t>
  </si>
  <si>
    <t>Z773098</t>
  </si>
  <si>
    <t>https://www.zillow.com/homedetails/74543681_zpid/</t>
  </si>
  <si>
    <t>$462,296</t>
  </si>
  <si>
    <t>8527 Maple Dr, San Diego, CA 39144</t>
  </si>
  <si>
    <t>Z450639</t>
  </si>
  <si>
    <t>https://www.zillow.com/homedetails/75289987_zpid/</t>
  </si>
  <si>
    <t>$1,177,290</t>
  </si>
  <si>
    <t>2261 Maple Dr, San Francisco, IL 77910</t>
  </si>
  <si>
    <t>Z395788</t>
  </si>
  <si>
    <t>https://www.zillow.com/homedetails/79440493_zpid/</t>
  </si>
  <si>
    <t>$742,621</t>
  </si>
  <si>
    <t>5550 Oak Ave, San Diego, TX 89949</t>
  </si>
  <si>
    <t>Z625527</t>
  </si>
  <si>
    <t>https://www.zillow.com/homedetails/39639877_zpid/</t>
  </si>
  <si>
    <t>$923,487</t>
  </si>
  <si>
    <t>7171 Maple Dr, Sacramento, TX 70846</t>
  </si>
  <si>
    <t>Z249006</t>
  </si>
  <si>
    <t>https://www.zillow.com/homedetails/51607679_zpid/</t>
  </si>
  <si>
    <t>$1,233,616</t>
  </si>
  <si>
    <t>9076 Main St, Fresno, FL 71049</t>
  </si>
  <si>
    <t>Z823933</t>
  </si>
  <si>
    <t>https://www.zillow.com/homedetails/78329942_zpid/</t>
  </si>
  <si>
    <t>$1,159,949</t>
  </si>
  <si>
    <t>9370 Elm St, Sacramento, FL 15971</t>
  </si>
  <si>
    <t>Z653848</t>
  </si>
  <si>
    <t>https://www.zillow.com/homedetails/10728193_zpid/</t>
  </si>
  <si>
    <t>$663,332</t>
  </si>
  <si>
    <t>8691 Main St, Fresno, FL 61189</t>
  </si>
  <si>
    <t>Z356521</t>
  </si>
  <si>
    <t>https://www.zillow.com/homedetails/45300669_zpid/</t>
  </si>
  <si>
    <t>$1,368,821</t>
  </si>
  <si>
    <t>4694 Elm St, Fresno, TX 87047</t>
  </si>
  <si>
    <t>Z593958</t>
  </si>
  <si>
    <t>https://www.zillow.com/homedetails/73029729_zpid/</t>
  </si>
  <si>
    <t>$1,020,354</t>
  </si>
  <si>
    <t>1742 Elm St, San Francisco, NY 11212</t>
  </si>
  <si>
    <t>Z392503</t>
  </si>
  <si>
    <t>https://www.zillow.com/homedetails/77878883_zpid/</t>
  </si>
  <si>
    <t>$326,480</t>
  </si>
  <si>
    <t>139 Pine Rd, Fresno, TX 85872</t>
  </si>
  <si>
    <t>Z678771</t>
  </si>
  <si>
    <t>https://www.zillow.com/homedetails/11155097_zpid/</t>
  </si>
  <si>
    <t>$1,486,948</t>
  </si>
  <si>
    <t>5580 Main St, Fresno, FL 82252</t>
  </si>
  <si>
    <t>Z283652</t>
  </si>
  <si>
    <t>https://www.zillow.com/homedetails/53892956_zpid/</t>
  </si>
  <si>
    <t>$788,193</t>
  </si>
  <si>
    <t>909 Oak Ave, San Diego, CA 81965</t>
  </si>
  <si>
    <t>Z382581</t>
  </si>
  <si>
    <t>https://www.zillow.com/homedetails/85358417_zpid/</t>
  </si>
  <si>
    <t>$265,192</t>
  </si>
  <si>
    <t>6433 Oak Ave, San Francisco, TX 69022</t>
  </si>
  <si>
    <t>Z610254</t>
  </si>
  <si>
    <t>https://www.zillow.com/homedetails/89953583_zpid/</t>
  </si>
  <si>
    <t>$870,993</t>
  </si>
  <si>
    <t>4585 Oak Ave, Los Angeles, CA 25354</t>
  </si>
  <si>
    <t>Z956242</t>
  </si>
  <si>
    <t>https://www.zillow.com/homedetails/67822621_zpid/</t>
  </si>
  <si>
    <t>$330,783</t>
  </si>
  <si>
    <t>9892 Oak Ave, San Diego, IL 68572</t>
  </si>
  <si>
    <t>Z303067</t>
  </si>
  <si>
    <t>https://www.zillow.com/homedetails/58841555_zpid/</t>
  </si>
  <si>
    <t>$756,025</t>
  </si>
  <si>
    <t>377 Oak Ave, Fresno, TX 39619</t>
  </si>
  <si>
    <t>Z948933</t>
  </si>
  <si>
    <t>https://www.zillow.com/homedetails/12601902_zpid/</t>
  </si>
  <si>
    <t>$1,333,193</t>
  </si>
  <si>
    <t>4381 Elm St, San Francisco, TX 40214</t>
  </si>
  <si>
    <t>Z873144</t>
  </si>
  <si>
    <t>https://www.zillow.com/homedetails/51023484_zpid/</t>
  </si>
  <si>
    <t>$441,126</t>
  </si>
  <si>
    <t>2312 Pine Rd, Fresno, IL 87777</t>
  </si>
  <si>
    <t>Z838955</t>
  </si>
  <si>
    <t>https://www.zillow.com/homedetails/26913745_zpid/</t>
  </si>
  <si>
    <t>$843,829</t>
  </si>
  <si>
    <t>4148 Main St, Los Angeles, IL 49498</t>
  </si>
  <si>
    <t>Z397610</t>
  </si>
  <si>
    <t>https://www.zillow.com/homedetails/66314399_zpid/</t>
  </si>
  <si>
    <t>$1,111,836</t>
  </si>
  <si>
    <t>2879 Maple Dr, Los Angeles, CA 78041</t>
  </si>
  <si>
    <t>Z476951</t>
  </si>
  <si>
    <t>https://www.zillow.com/homedetails/71927932_zpid/</t>
  </si>
  <si>
    <t>$819,446</t>
  </si>
  <si>
    <t>8766 Pine Rd, San Diego, TX 68659</t>
  </si>
  <si>
    <t>Z853579</t>
  </si>
  <si>
    <t>https://www.zillow.com/homedetails/51754648_zpid/</t>
  </si>
  <si>
    <t>$603,712</t>
  </si>
  <si>
    <t>8080 Maple Dr, Los Angeles, TX 21255</t>
  </si>
  <si>
    <t>Z277034</t>
  </si>
  <si>
    <t>https://www.zillow.com/homedetails/48216455_zpid/</t>
  </si>
  <si>
    <t>$1,246,098</t>
  </si>
  <si>
    <t>4619 Pine Rd, San Francisco, NY 54069</t>
  </si>
  <si>
    <t>Z540682</t>
  </si>
  <si>
    <t>https://www.zillow.com/homedetails/83477637_zpid/</t>
  </si>
  <si>
    <t>$1,128,439</t>
  </si>
  <si>
    <t>3727 Pine Rd, San Diego, IL 15359</t>
  </si>
  <si>
    <t>Z193341</t>
  </si>
  <si>
    <t>https://www.zillow.com/homedetails/80758390_zpid/</t>
  </si>
  <si>
    <t>$222,752</t>
  </si>
  <si>
    <t>7516 Oak Ave, Fresno, TX 95064</t>
  </si>
  <si>
    <t>Z803821</t>
  </si>
  <si>
    <t>https://www.zillow.com/homedetails/78325212_zpid/</t>
  </si>
  <si>
    <t>$1,230,304</t>
  </si>
  <si>
    <t>3262 Elm St, San Diego, TX 56546</t>
  </si>
  <si>
    <t>Z387420</t>
  </si>
  <si>
    <t>https://www.zillow.com/homedetails/50985316_zpid/</t>
  </si>
  <si>
    <t>$145,438</t>
  </si>
  <si>
    <t>1467 Maple Dr, San Diego, TX 70440</t>
  </si>
  <si>
    <t>Z363447</t>
  </si>
  <si>
    <t>https://www.zillow.com/homedetails/14649824_zpid/</t>
  </si>
  <si>
    <t>$831,611</t>
  </si>
  <si>
    <t>2940 Main St, Los Angeles, NY 59917</t>
  </si>
  <si>
    <t>Z873736</t>
  </si>
  <si>
    <t>https://www.zillow.com/homedetails/35181645_zpid/</t>
  </si>
  <si>
    <t>$628,980</t>
  </si>
  <si>
    <t>4765 Oak Ave, San Diego, IL 87567</t>
  </si>
  <si>
    <t>Z695903</t>
  </si>
  <si>
    <t>https://www.zillow.com/homedetails/22132648_zpid/</t>
  </si>
  <si>
    <t>$1,085,745</t>
  </si>
  <si>
    <t>5513 Main St, San Diego, TX 64486</t>
  </si>
  <si>
    <t>Z519571</t>
  </si>
  <si>
    <t>https://www.zillow.com/homedetails/61759853_zpid/</t>
  </si>
  <si>
    <t>$1,474,934</t>
  </si>
  <si>
    <t>9389 Main St, Los Angeles, CA 83219</t>
  </si>
  <si>
    <t>Z799617</t>
  </si>
  <si>
    <t>https://www.zillow.com/homedetails/70952109_zpid/</t>
  </si>
  <si>
    <t>$1,266,256</t>
  </si>
  <si>
    <t>3455 Elm St, San Francisco, FL 89048</t>
  </si>
  <si>
    <t>Z786219</t>
  </si>
  <si>
    <t>https://www.zillow.com/homedetails/41149703_zpid/</t>
  </si>
  <si>
    <t>$939,995</t>
  </si>
  <si>
    <t>819 Maple Dr, Fresno, CA 15004</t>
  </si>
  <si>
    <t>Z196432</t>
  </si>
  <si>
    <t>https://www.zillow.com/homedetails/66031828_zpid/</t>
  </si>
  <si>
    <t>$1,429,390</t>
  </si>
  <si>
    <t>179 Elm St, San Francisco, IL 29177</t>
  </si>
  <si>
    <t>Z775058</t>
  </si>
  <si>
    <t>https://www.zillow.com/homedetails/44955142_zpid/</t>
  </si>
  <si>
    <t>$380,154</t>
  </si>
  <si>
    <t>6043 Main St, Sacramento, CA 48888</t>
  </si>
  <si>
    <t>Z383484</t>
  </si>
  <si>
    <t>https://www.zillow.com/homedetails/45474988_zpid/</t>
  </si>
  <si>
    <t>$993,237</t>
  </si>
  <si>
    <t>134 Main St, Fresno, CA 24550</t>
  </si>
  <si>
    <t>Z346221</t>
  </si>
  <si>
    <t>https://www.zillow.com/homedetails/27938908_zpid/</t>
  </si>
  <si>
    <t>$1,117,722</t>
  </si>
  <si>
    <t>7901 Oak Ave, Los Angeles, FL 57691</t>
  </si>
  <si>
    <t>Z252961</t>
  </si>
  <si>
    <t>https://www.zillow.com/homedetails/57267650_zpid/</t>
  </si>
  <si>
    <t>$1,332,809</t>
  </si>
  <si>
    <t>6714 Main St, Fresno, TX 57184</t>
  </si>
  <si>
    <t>Z219696</t>
  </si>
  <si>
    <t>https://www.zillow.com/homedetails/57573342_zpid/</t>
  </si>
  <si>
    <t>$1,063,005</t>
  </si>
  <si>
    <t>4843 Oak Ave, San Diego, IL 25581</t>
  </si>
  <si>
    <t>Z811665</t>
  </si>
  <si>
    <t>https://www.zillow.com/homedetails/87341444_zpid/</t>
  </si>
  <si>
    <t>$584,963</t>
  </si>
  <si>
    <t>7859 Oak Ave, San Francisco, NY 73076</t>
  </si>
  <si>
    <t>Z341201</t>
  </si>
  <si>
    <t>https://www.zillow.com/homedetails/15941099_zpid/</t>
  </si>
  <si>
    <t>$201,039</t>
  </si>
  <si>
    <t>3565 Main St, Los Angeles, NY 15899</t>
  </si>
  <si>
    <t>Z526072</t>
  </si>
  <si>
    <t>https://www.zillow.com/homedetails/79048523_zpid/</t>
  </si>
  <si>
    <t>$294,028</t>
  </si>
  <si>
    <t>7682 Oak Ave, San Diego, IL 49351</t>
  </si>
  <si>
    <t>Z375846</t>
  </si>
  <si>
    <t>https://www.zillow.com/homedetails/52552054_zpid/</t>
  </si>
  <si>
    <t>$1,105,081</t>
  </si>
  <si>
    <t>7255 Oak Ave, San Francisco, TX 60062</t>
  </si>
  <si>
    <t>Z399388</t>
  </si>
  <si>
    <t>https://www.zillow.com/homedetails/83177836_zpid/</t>
  </si>
  <si>
    <t>$157,925</t>
  </si>
  <si>
    <t>6785 Pine Rd, Los Angeles, IL 13121</t>
  </si>
  <si>
    <t>Z489922</t>
  </si>
  <si>
    <t>https://www.zillow.com/homedetails/87831969_zpid/</t>
  </si>
  <si>
    <t>$1,172,082</t>
  </si>
  <si>
    <t>8333 Main St, Fresno, FL 61689</t>
  </si>
  <si>
    <t>Z992851</t>
  </si>
  <si>
    <t>https://www.zillow.com/homedetails/33727923_zpid/</t>
  </si>
  <si>
    <t>$560,442</t>
  </si>
  <si>
    <t>4763 Main St, Fresno, FL 77955</t>
  </si>
  <si>
    <t>Z213705</t>
  </si>
  <si>
    <t>https://www.zillow.com/homedetails/76629451_zpid/</t>
  </si>
  <si>
    <t>$523,011</t>
  </si>
  <si>
    <t>2457 Pine Rd, San Diego, CA 69013</t>
  </si>
  <si>
    <t>Z918213</t>
  </si>
  <si>
    <t>https://www.zillow.com/homedetails/11976374_zpid/</t>
  </si>
  <si>
    <t>$700,635</t>
  </si>
  <si>
    <t>2649 Elm St, Los Angeles, CA 36484</t>
  </si>
  <si>
    <t>Z530077</t>
  </si>
  <si>
    <t>https://www.zillow.com/homedetails/84877919_zpid/</t>
  </si>
  <si>
    <t>$1,288,394</t>
  </si>
  <si>
    <t>5661 Pine Rd, San Francisco, IL 14524</t>
  </si>
  <si>
    <t>Z521003</t>
  </si>
  <si>
    <t>https://www.zillow.com/homedetails/30350583_zpid/</t>
  </si>
  <si>
    <t>$723,160</t>
  </si>
  <si>
    <t>4622 Pine Rd, San Francisco, NY 68864</t>
  </si>
  <si>
    <t>Z895757</t>
  </si>
  <si>
    <t>https://www.zillow.com/homedetails/56151361_zpid/</t>
  </si>
  <si>
    <t>$552,626</t>
  </si>
  <si>
    <t>4655 Main St, Los Angeles, TX 13032</t>
  </si>
  <si>
    <t>Z489289</t>
  </si>
  <si>
    <t>https://www.zillow.com/homedetails/23809098_zpid/</t>
  </si>
  <si>
    <t>$771,277</t>
  </si>
  <si>
    <t>3451 Elm St, Fresno, IL 97789</t>
  </si>
  <si>
    <t>Z302569</t>
  </si>
  <si>
    <t>https://www.zillow.com/homedetails/93272193_zpid/</t>
  </si>
  <si>
    <t>$220,065</t>
  </si>
  <si>
    <t>1310 Main St, San Francisco, FL 22910</t>
  </si>
  <si>
    <t>Z409293</t>
  </si>
  <si>
    <t>https://www.zillow.com/homedetails/72146310_zpid/</t>
  </si>
  <si>
    <t>$547,385</t>
  </si>
  <si>
    <t>9294 Maple Dr, Fresno, NY 94096</t>
  </si>
  <si>
    <t>Z953257</t>
  </si>
  <si>
    <t>https://www.zillow.com/homedetails/99918825_zpid/</t>
  </si>
  <si>
    <t>$1,047,425</t>
  </si>
  <si>
    <t>959 Main St, San Diego, TX 38395</t>
  </si>
  <si>
    <t>Z597183</t>
  </si>
  <si>
    <t>https://www.zillow.com/homedetails/97971639_zpid/</t>
  </si>
  <si>
    <t>$752,214</t>
  </si>
  <si>
    <t>1308 Elm St, Sacramento, NY 64385</t>
  </si>
  <si>
    <t>Z558359</t>
  </si>
  <si>
    <t>https://www.zillow.com/homedetails/55220581_zpid/</t>
  </si>
  <si>
    <t>$1,448,184</t>
  </si>
  <si>
    <t>9134 Elm St, San Francisco, FL 35493</t>
  </si>
  <si>
    <t>Z645812</t>
  </si>
  <si>
    <t>https://www.zillow.com/homedetails/83399729_zpid/</t>
  </si>
  <si>
    <t>$444,950</t>
  </si>
  <si>
    <t>4863 Elm St, San Diego, TX 89979</t>
  </si>
  <si>
    <t>Z180586</t>
  </si>
  <si>
    <t>https://www.zillow.com/homedetails/28910402_zpid/</t>
  </si>
  <si>
    <t>$1,316,335</t>
  </si>
  <si>
    <t>3803 Main St, Fresno, CA 80231</t>
  </si>
  <si>
    <t>Z424454</t>
  </si>
  <si>
    <t>https://www.zillow.com/homedetails/90099083_zpid/</t>
  </si>
  <si>
    <t>$855,500</t>
  </si>
  <si>
    <t>5952 Elm St, Sacramento, FL 22414</t>
  </si>
  <si>
    <t>Z273651</t>
  </si>
  <si>
    <t>https://www.zillow.com/homedetails/18731819_zpid/</t>
  </si>
  <si>
    <t>$683,327</t>
  </si>
  <si>
    <t>6832 Pine Rd, Los Angeles, NY 19656</t>
  </si>
  <si>
    <t>Z675632</t>
  </si>
  <si>
    <t>https://www.zillow.com/homedetails/98675421_zpid/</t>
  </si>
  <si>
    <t>$1,216,780</t>
  </si>
  <si>
    <t>2974 Elm St, San Francisco, CA 80773</t>
  </si>
  <si>
    <t>Z120556</t>
  </si>
  <si>
    <t>https://www.zillow.com/homedetails/39579729_zpid/</t>
  </si>
  <si>
    <t>$692,477</t>
  </si>
  <si>
    <t>831 Elm St, San Diego, NY 42327</t>
  </si>
  <si>
    <t>Z579968</t>
  </si>
  <si>
    <t>https://www.zillow.com/homedetails/78592723_zpid/</t>
  </si>
  <si>
    <t>$1,126,190</t>
  </si>
  <si>
    <t>6526 Elm St, Fresno, IL 52034</t>
  </si>
  <si>
    <t>Z388509</t>
  </si>
  <si>
    <t>https://www.zillow.com/homedetails/75929137_zpid/</t>
  </si>
  <si>
    <t>$687,101</t>
  </si>
  <si>
    <t>6203 Elm St, San Diego, FL 24359</t>
  </si>
  <si>
    <t>Z773047</t>
  </si>
  <si>
    <t>https://www.zillow.com/homedetails/46589610_zpid/</t>
  </si>
  <si>
    <t>$118,223</t>
  </si>
  <si>
    <t>7160 Pine Rd, Los Angeles, IL 26190</t>
  </si>
  <si>
    <t>Z340000</t>
  </si>
  <si>
    <t>https://www.zillow.com/homedetails/61685376_zpid/</t>
  </si>
  <si>
    <t>$1,243,844</t>
  </si>
  <si>
    <t>2266 Main St, San Diego, IL 67088</t>
  </si>
  <si>
    <t>Z364752</t>
  </si>
  <si>
    <t>https://www.zillow.com/homedetails/15030322_zpid/</t>
  </si>
  <si>
    <t>$886,391</t>
  </si>
  <si>
    <t>796 Pine Rd, Sacramento, TX 13557</t>
  </si>
  <si>
    <t>Z155861</t>
  </si>
  <si>
    <t>https://www.zillow.com/homedetails/99740568_zpid/</t>
  </si>
  <si>
    <t>$1,490,566</t>
  </si>
  <si>
    <t>4672 Pine Rd, San Francisco, IL 45797</t>
  </si>
  <si>
    <t>Z587478</t>
  </si>
  <si>
    <t>https://www.zillow.com/homedetails/13107097_zpid/</t>
  </si>
  <si>
    <t>$737,325</t>
  </si>
  <si>
    <t>9498 Elm St, Sacramento, IL 50963</t>
  </si>
  <si>
    <t>Z893935</t>
  </si>
  <si>
    <t>https://www.zillow.com/homedetails/31513947_zpid/</t>
  </si>
  <si>
    <t>$969,176</t>
  </si>
  <si>
    <t>7754 Main St, San Diego, CA 38624</t>
  </si>
  <si>
    <t>Z295797</t>
  </si>
  <si>
    <t>https://www.zillow.com/homedetails/13727012_zpid/</t>
  </si>
  <si>
    <t>$688,285</t>
  </si>
  <si>
    <t>5631 Maple Dr, Fresno, CA 39426</t>
  </si>
  <si>
    <t>Z596938</t>
  </si>
  <si>
    <t>https://www.zillow.com/homedetails/58336628_zpid/</t>
  </si>
  <si>
    <t>$434,210</t>
  </si>
  <si>
    <t>1113 Main St, Sacramento, NY 35587</t>
  </si>
  <si>
    <t>Z837089</t>
  </si>
  <si>
    <t>https://www.zillow.com/homedetails/98199563_zpid/</t>
  </si>
  <si>
    <t>$491,406</t>
  </si>
  <si>
    <t>2353 Maple Dr, San Francisco, FL 73490</t>
  </si>
  <si>
    <t>Z944120</t>
  </si>
  <si>
    <t>https://www.zillow.com/homedetails/15329073_zpid/</t>
  </si>
  <si>
    <t>$1,311,387</t>
  </si>
  <si>
    <t>5810 Main St, San Diego, NY 71253</t>
  </si>
  <si>
    <t>Z951441</t>
  </si>
  <si>
    <t>https://www.zillow.com/homedetails/95960087_zpid/</t>
  </si>
  <si>
    <t>$1,199,146</t>
  </si>
  <si>
    <t>8038 Maple Dr, Sacramento, TX 44938</t>
  </si>
  <si>
    <t>Z173089</t>
  </si>
  <si>
    <t>https://www.zillow.com/homedetails/12362307_zpid/</t>
  </si>
  <si>
    <t>$561,221</t>
  </si>
  <si>
    <t>2405 Elm St, Sacramento, CA 43399</t>
  </si>
  <si>
    <t>Z451187</t>
  </si>
  <si>
    <t>https://www.zillow.com/homedetails/21076337_zpid/</t>
  </si>
  <si>
    <t>$410,437</t>
  </si>
  <si>
    <t>9731 Main St, Sacramento, CA 44942</t>
  </si>
  <si>
    <t>Z985741</t>
  </si>
  <si>
    <t>https://www.zillow.com/homedetails/27880519_zpid/</t>
  </si>
  <si>
    <t>$556,797</t>
  </si>
  <si>
    <t>7840 Maple Dr, Sacramento, NY 79679</t>
  </si>
  <si>
    <t>Z754316</t>
  </si>
  <si>
    <t>https://www.zillow.com/homedetails/75287092_zpid/</t>
  </si>
  <si>
    <t>$546,196</t>
  </si>
  <si>
    <t>8843 Oak Ave, Los Angeles, TX 35408</t>
  </si>
  <si>
    <t>Z843850</t>
  </si>
  <si>
    <t>https://www.zillow.com/homedetails/42176025_zpid/</t>
  </si>
  <si>
    <t>$454,064</t>
  </si>
  <si>
    <t>2502 Oak Ave, Los Angeles, IL 52754</t>
  </si>
  <si>
    <t>Z166242</t>
  </si>
  <si>
    <t>https://www.zillow.com/homedetails/75710032_zpid/</t>
  </si>
  <si>
    <t>$667,653</t>
  </si>
  <si>
    <t>3146 Main St, San Francisco, NY 59991</t>
  </si>
  <si>
    <t>Z381485</t>
  </si>
  <si>
    <t>https://www.zillow.com/homedetails/73746671_zpid/</t>
  </si>
  <si>
    <t>$1,273,467</t>
  </si>
  <si>
    <t>3911 Pine Rd, San Diego, IL 65240</t>
  </si>
  <si>
    <t>Z220201</t>
  </si>
  <si>
    <t>https://www.zillow.com/homedetails/59422148_zpid/</t>
  </si>
  <si>
    <t>$918,155</t>
  </si>
  <si>
    <t>2198 Elm St, San Diego, FL 89898</t>
  </si>
  <si>
    <t>Z291950</t>
  </si>
  <si>
    <t>https://www.zillow.com/homedetails/83461708_zpid/</t>
  </si>
  <si>
    <t>$454,285</t>
  </si>
  <si>
    <t>7063 Maple Dr, Los Angeles, NY 86802</t>
  </si>
  <si>
    <t>Z295508</t>
  </si>
  <si>
    <t>https://www.zillow.com/homedetails/67221493_zpid/</t>
  </si>
  <si>
    <t>$926,781</t>
  </si>
  <si>
    <t>7828 Oak Ave, Los Angeles, NY 86926</t>
  </si>
  <si>
    <t>Z811619</t>
  </si>
  <si>
    <t>https://www.zillow.com/homedetails/67837654_zpid/</t>
  </si>
  <si>
    <t>$372,979</t>
  </si>
  <si>
    <t>417 Oak Ave, Fresno, FL 80351</t>
  </si>
  <si>
    <t>Z171447</t>
  </si>
  <si>
    <t>https://www.zillow.com/homedetails/15131275_zpid/</t>
  </si>
  <si>
    <t>$1,063,935</t>
  </si>
  <si>
    <t>4114 Maple Dr, Fresno, NY 35778</t>
  </si>
  <si>
    <t>Z276627</t>
  </si>
  <si>
    <t>https://www.zillow.com/homedetails/21329428_zpid/</t>
  </si>
  <si>
    <t>$864,386</t>
  </si>
  <si>
    <t>8555 Pine Rd, San Diego, FL 86871</t>
  </si>
  <si>
    <t>Z899697</t>
  </si>
  <si>
    <t>https://www.zillow.com/homedetails/69813965_zpid/</t>
  </si>
  <si>
    <t>$989,896</t>
  </si>
  <si>
    <t>9987 Main St, San Francisco, NY 51805</t>
  </si>
  <si>
    <t>Z218176</t>
  </si>
  <si>
    <t>https://www.zillow.com/homedetails/85490615_zpid/</t>
  </si>
  <si>
    <t>$566,147</t>
  </si>
  <si>
    <t>1251 Maple Dr, Fresno, FL 16407</t>
  </si>
  <si>
    <t>Z512890</t>
  </si>
  <si>
    <t>https://www.zillow.com/homedetails/55335856_zpid/</t>
  </si>
  <si>
    <t>$943,663</t>
  </si>
  <si>
    <t>1560 Oak Ave, Los Angeles, IL 83882</t>
  </si>
  <si>
    <t>Z767400</t>
  </si>
  <si>
    <t>https://www.zillow.com/homedetails/15307563_zpid/</t>
  </si>
  <si>
    <t>$125,165</t>
  </si>
  <si>
    <t>178 Oak Ave, Los Angeles, CA 57464</t>
  </si>
  <si>
    <t>Z141631</t>
  </si>
  <si>
    <t>https://www.zillow.com/homedetails/41491154_zpid/</t>
  </si>
  <si>
    <t>$176,303</t>
  </si>
  <si>
    <t>2087 Maple Dr, San Francisco, NY 55776</t>
  </si>
  <si>
    <t>Z537139</t>
  </si>
  <si>
    <t>https://www.zillow.com/homedetails/35156588_zpid/</t>
  </si>
  <si>
    <t>$541,910</t>
  </si>
  <si>
    <t>6326 Maple Dr, San Diego, FL 62730</t>
  </si>
  <si>
    <t>Z602634</t>
  </si>
  <si>
    <t>https://www.zillow.com/homedetails/25695292_zpid/</t>
  </si>
  <si>
    <t>$398,709</t>
  </si>
  <si>
    <t>567 Maple Dr, Los Angeles, CA 30028</t>
  </si>
  <si>
    <t>Z891238</t>
  </si>
  <si>
    <t>https://www.zillow.com/homedetails/49666701_zpid/</t>
  </si>
  <si>
    <t>$898,766</t>
  </si>
  <si>
    <t>9693 Main St, Sacramento, IL 85906</t>
  </si>
  <si>
    <t>Z817018</t>
  </si>
  <si>
    <t>https://www.zillow.com/homedetails/43214317_zpid/</t>
  </si>
  <si>
    <t>$1,369,287</t>
  </si>
  <si>
    <t>528 Pine Rd, Los Angeles, FL 62853</t>
  </si>
  <si>
    <t>Z728370</t>
  </si>
  <si>
    <t>https://www.zillow.com/homedetails/39303820_zpid/</t>
  </si>
  <si>
    <t>$1,295,690</t>
  </si>
  <si>
    <t>9511 Pine Rd, Los Angeles, NY 35374</t>
  </si>
  <si>
    <t>Z175073</t>
  </si>
  <si>
    <t>https://www.zillow.com/homedetails/56562756_zpid/</t>
  </si>
  <si>
    <t>$204,223</t>
  </si>
  <si>
    <t>1374 Main St, Los Angeles, NY 86128</t>
  </si>
  <si>
    <t>Z334860</t>
  </si>
  <si>
    <t>https://www.zillow.com/homedetails/14638787_zpid/</t>
  </si>
  <si>
    <t>$306,767</t>
  </si>
  <si>
    <t>5957 Oak Ave, San Diego, IL 31284</t>
  </si>
  <si>
    <t>Z986173</t>
  </si>
  <si>
    <t>https://www.zillow.com/homedetails/35209098_zpid/</t>
  </si>
  <si>
    <t>$624,411</t>
  </si>
  <si>
    <t>4605 Oak Ave, San Diego, TX 28207</t>
  </si>
  <si>
    <t>Z641723</t>
  </si>
  <si>
    <t>https://www.zillow.com/homedetails/69614536_zpid/</t>
  </si>
  <si>
    <t>$1,402,993</t>
  </si>
  <si>
    <t>4606 Pine Rd, Los Angeles, NY 70569</t>
  </si>
  <si>
    <t>Z399997</t>
  </si>
  <si>
    <t>https://www.zillow.com/homedetails/68155311_zpid/</t>
  </si>
  <si>
    <t>$1,030,559</t>
  </si>
  <si>
    <t>9989 Elm St, Fresno, CA 63326</t>
  </si>
  <si>
    <t>Z109449</t>
  </si>
  <si>
    <t>https://www.zillow.com/homedetails/63657330_zpid/</t>
  </si>
  <si>
    <t>$510,476</t>
  </si>
  <si>
    <t>9645 Main St, San Francisco, TX 39748</t>
  </si>
  <si>
    <t>Z952439</t>
  </si>
  <si>
    <t>https://www.zillow.com/homedetails/20861915_zpid/</t>
  </si>
  <si>
    <t>$737,510</t>
  </si>
  <si>
    <t>3007 Maple Dr, Fresno, TX 24387</t>
  </si>
  <si>
    <t>Z228422</t>
  </si>
  <si>
    <t>https://www.zillow.com/homedetails/50127798_zpid/</t>
  </si>
  <si>
    <t>$579,709</t>
  </si>
  <si>
    <t>788 Pine Rd, San Diego, NY 21933</t>
  </si>
  <si>
    <t>Z439818</t>
  </si>
  <si>
    <t>https://www.zillow.com/homedetails/44457718_zpid/</t>
  </si>
  <si>
    <t>$397,855</t>
  </si>
  <si>
    <t>3066 Main St, Sacramento, IL 72103</t>
  </si>
  <si>
    <t>Z264408</t>
  </si>
  <si>
    <t>https://www.zillow.com/homedetails/39975494_zpid/</t>
  </si>
  <si>
    <t>$445,276</t>
  </si>
  <si>
    <t>3325 Elm St, San Diego, NY 30325</t>
  </si>
  <si>
    <t>Z750677</t>
  </si>
  <si>
    <t>https://www.zillow.com/homedetails/72609990_zpid/</t>
  </si>
  <si>
    <t>$1,475,870</t>
  </si>
  <si>
    <t>2813 Oak Ave, San Diego, NY 87954</t>
  </si>
  <si>
    <t>Z429805</t>
  </si>
  <si>
    <t>https://www.zillow.com/homedetails/39719114_zpid/</t>
  </si>
  <si>
    <t>$1,191,596</t>
  </si>
  <si>
    <t>8685 Pine Rd, Los Angeles, IL 43975</t>
  </si>
  <si>
    <t>Z556501</t>
  </si>
  <si>
    <t>https://www.zillow.com/homedetails/16480301_zpid/</t>
  </si>
  <si>
    <t>$1,050,628</t>
  </si>
  <si>
    <t>6610 Elm St, Los Angeles, NY 82594</t>
  </si>
  <si>
    <t>Z951447</t>
  </si>
  <si>
    <t>https://www.zillow.com/homedetails/79630782_zpid/</t>
  </si>
  <si>
    <t>$1,421,824</t>
  </si>
  <si>
    <t>809 Oak Ave, San Diego, CA 90159</t>
  </si>
  <si>
    <t>Z563985</t>
  </si>
  <si>
    <t>https://www.zillow.com/homedetails/43224118_zpid/</t>
  </si>
  <si>
    <t>$510,550</t>
  </si>
  <si>
    <t>565 Main St, Sacramento, NY 51702</t>
  </si>
  <si>
    <t>Z553313</t>
  </si>
  <si>
    <t>https://www.zillow.com/homedetails/91114828_zpid/</t>
  </si>
  <si>
    <t>$1,325,023</t>
  </si>
  <si>
    <t>8747 Maple Dr, Los Angeles, IL 29255</t>
  </si>
  <si>
    <t>Z313403</t>
  </si>
  <si>
    <t>https://www.zillow.com/homedetails/24122718_zpid/</t>
  </si>
  <si>
    <t>$1,270,993</t>
  </si>
  <si>
    <t>8071 Pine Rd, Sacramento, TX 25138</t>
  </si>
  <si>
    <t>Z759732</t>
  </si>
  <si>
    <t>https://www.zillow.com/homedetails/58638640_zpid/</t>
  </si>
  <si>
    <t>$664,075</t>
  </si>
  <si>
    <t>2090 Pine Rd, San Diego, IL 86775</t>
  </si>
  <si>
    <t>Z228342</t>
  </si>
  <si>
    <t>https://www.zillow.com/homedetails/60153609_zpid/</t>
  </si>
  <si>
    <t>$736,337</t>
  </si>
  <si>
    <t>3542 Main St, San Francisco, FL 28779</t>
  </si>
  <si>
    <t>Z461882</t>
  </si>
  <si>
    <t>https://www.zillow.com/homedetails/56051535_zpid/</t>
  </si>
  <si>
    <t>$1,042,856</t>
  </si>
  <si>
    <t>9301 Main St, San Diego, FL 41974</t>
  </si>
  <si>
    <t>Z785940</t>
  </si>
  <si>
    <t>https://www.zillow.com/homedetails/14739510_zpid/</t>
  </si>
  <si>
    <t>$365,717</t>
  </si>
  <si>
    <t>644 Maple Dr, San Francisco, TX 46390</t>
  </si>
  <si>
    <t>Z242249</t>
  </si>
  <si>
    <t>https://www.zillow.com/homedetails/44101972_zpid/</t>
  </si>
  <si>
    <t>$149,578</t>
  </si>
  <si>
    <t>8733 Pine Rd, San Francisco, IL 37799</t>
  </si>
  <si>
    <t>Z290820</t>
  </si>
  <si>
    <t>https://www.zillow.com/homedetails/36179702_zpid/</t>
  </si>
  <si>
    <t>$658,686</t>
  </si>
  <si>
    <t>8751 Maple Dr, San Diego, NY 82664</t>
  </si>
  <si>
    <t>Z829757</t>
  </si>
  <si>
    <t>https://www.zillow.com/homedetails/78622942_zpid/</t>
  </si>
  <si>
    <t>$1,108,409</t>
  </si>
  <si>
    <t>9048 Pine Rd, San Diego, CA 17279</t>
  </si>
  <si>
    <t>Z440936</t>
  </si>
  <si>
    <t>https://www.zillow.com/homedetails/52356083_zpid/</t>
  </si>
  <si>
    <t>$198,284</t>
  </si>
  <si>
    <t>4521 Maple Dr, San Francisco, TX 58087</t>
  </si>
  <si>
    <t>Z736812</t>
  </si>
  <si>
    <t>https://www.zillow.com/homedetails/13148399_zpid/</t>
  </si>
  <si>
    <t>$1,065,786</t>
  </si>
  <si>
    <t>2815 Oak Ave, Los Angeles, CA 96815</t>
  </si>
  <si>
    <t>Z193075</t>
  </si>
  <si>
    <t>https://www.zillow.com/homedetails/58563322_zpid/</t>
  </si>
  <si>
    <t>$1,315,096</t>
  </si>
  <si>
    <t>7261 Elm St, San Diego, NY 98880</t>
  </si>
  <si>
    <t>Z633255</t>
  </si>
  <si>
    <t>https://www.zillow.com/homedetails/79330048_zpid/</t>
  </si>
  <si>
    <t>$578,056</t>
  </si>
  <si>
    <t>8923 Main St, Sacramento, TX 97988</t>
  </si>
  <si>
    <t>Z922853</t>
  </si>
  <si>
    <t>https://www.zillow.com/homedetails/20759459_zpid/</t>
  </si>
  <si>
    <t>$1,167,412</t>
  </si>
  <si>
    <t>2180 Main St, San Francisco, TX 85803</t>
  </si>
  <si>
    <t>Z524878</t>
  </si>
  <si>
    <t>https://www.zillow.com/homedetails/58043528_zpid/</t>
  </si>
  <si>
    <t>$1,137,640</t>
  </si>
  <si>
    <t>4933 Pine Rd, San Diego, TX 92796</t>
  </si>
  <si>
    <t>Z817851</t>
  </si>
  <si>
    <t>https://www.zillow.com/homedetails/51909673_zpid/</t>
  </si>
  <si>
    <t>$1,219,561</t>
  </si>
  <si>
    <t>3338 Pine Rd, Fresno, CA 20224</t>
  </si>
  <si>
    <t>Z436997</t>
  </si>
  <si>
    <t>https://www.zillow.com/homedetails/27495633_zpid/</t>
  </si>
  <si>
    <t>$798,149</t>
  </si>
  <si>
    <t>3330 Oak Ave, San Diego, TX 72741</t>
  </si>
  <si>
    <t>Z917578</t>
  </si>
  <si>
    <t>https://www.zillow.com/homedetails/15941115_zpid/</t>
  </si>
  <si>
    <t>$957,203</t>
  </si>
  <si>
    <t>8154 Maple Dr, Los Angeles, NY 30810</t>
  </si>
  <si>
    <t>Z867520</t>
  </si>
  <si>
    <t>https://www.zillow.com/homedetails/70206806_zpid/</t>
  </si>
  <si>
    <t>$1,376,960</t>
  </si>
  <si>
    <t>2595 Maple Dr, Los Angeles, IL 27723</t>
  </si>
  <si>
    <t>Z570140</t>
  </si>
  <si>
    <t>https://www.zillow.com/homedetails/45384909_zpid/</t>
  </si>
  <si>
    <t>$355,812</t>
  </si>
  <si>
    <t>1033 Maple Dr, Fresno, NY 41611</t>
  </si>
  <si>
    <t>Z306430</t>
  </si>
  <si>
    <t>https://www.zillow.com/homedetails/38328401_zpid/</t>
  </si>
  <si>
    <t>$1,484,582</t>
  </si>
  <si>
    <t>2288 Pine Rd, San Francisco, NY 57725</t>
  </si>
  <si>
    <t>Z578764</t>
  </si>
  <si>
    <t>https://www.zillow.com/homedetails/10624438_zpid/</t>
  </si>
  <si>
    <t>$552,789</t>
  </si>
  <si>
    <t>6048 Oak Ave, San Diego, CA 74406</t>
  </si>
  <si>
    <t>Z875912</t>
  </si>
  <si>
    <t>https://www.zillow.com/homedetails/17244113_zpid/</t>
  </si>
  <si>
    <t>$406,699</t>
  </si>
  <si>
    <t>7221 Pine Rd, Sacramento, TX 69180</t>
  </si>
  <si>
    <t>Z467253</t>
  </si>
  <si>
    <t>https://www.zillow.com/homedetails/88615467_zpid/</t>
  </si>
  <si>
    <t>$1,024,477</t>
  </si>
  <si>
    <t>6265 Maple Dr, Fresno, TX 41345</t>
  </si>
  <si>
    <t>Z103099</t>
  </si>
  <si>
    <t>https://www.zillow.com/homedetails/17937772_zpid/</t>
  </si>
  <si>
    <t>$641,930</t>
  </si>
  <si>
    <t>5776 Maple Dr, Los Angeles, NY 38615</t>
  </si>
  <si>
    <t>Z831183</t>
  </si>
  <si>
    <t>https://www.zillow.com/homedetails/94104977_zpid/</t>
  </si>
  <si>
    <t>$388,647</t>
  </si>
  <si>
    <t>3753 Maple Dr, San Francisco, IL 84376</t>
  </si>
  <si>
    <t>Z185922</t>
  </si>
  <si>
    <t>https://www.zillow.com/homedetails/46492362_zpid/</t>
  </si>
  <si>
    <t>$776,027</t>
  </si>
  <si>
    <t>6417 Elm St, San Francisco, TX 18384</t>
  </si>
  <si>
    <t>Z528109</t>
  </si>
  <si>
    <t>https://www.zillow.com/homedetails/73895333_zpid/</t>
  </si>
  <si>
    <t>$833,490</t>
  </si>
  <si>
    <t>5266 Maple Dr, Sacramento, CA 47481</t>
  </si>
  <si>
    <t>Z418153</t>
  </si>
  <si>
    <t>https://www.zillow.com/homedetails/28865103_zpid/</t>
  </si>
  <si>
    <t>$333,231</t>
  </si>
  <si>
    <t>2009 Elm St, San Francisco, TX 55834</t>
  </si>
  <si>
    <t>Z279776</t>
  </si>
  <si>
    <t>https://www.zillow.com/homedetails/96975216_zpid/</t>
  </si>
  <si>
    <t>$225,038</t>
  </si>
  <si>
    <t>7837 Pine Rd, San Francisco, NY 50636</t>
  </si>
  <si>
    <t>Z756142</t>
  </si>
  <si>
    <t>https://www.zillow.com/homedetails/62830934_zpid/</t>
  </si>
  <si>
    <t>$1,258,915</t>
  </si>
  <si>
    <t>4763 Maple Dr, Fresno, CA 90226</t>
  </si>
  <si>
    <t>Z233066</t>
  </si>
  <si>
    <t>https://www.zillow.com/homedetails/15294971_zpid/</t>
  </si>
  <si>
    <t>$843,419</t>
  </si>
  <si>
    <t>111 Maple Dr, Fresno, NY 57885</t>
  </si>
  <si>
    <t>Z643545</t>
  </si>
  <si>
    <t>https://www.zillow.com/homedetails/24791504_zpid/</t>
  </si>
  <si>
    <t>$1,363,733</t>
  </si>
  <si>
    <t>9942 Main St, Sacramento, TX 93874</t>
  </si>
  <si>
    <t>Z779150</t>
  </si>
  <si>
    <t>https://www.zillow.com/homedetails/68042071_zpid/</t>
  </si>
  <si>
    <t>$429,291</t>
  </si>
  <si>
    <t>626 Maple Dr, Fresno, FL 30885</t>
  </si>
  <si>
    <t>Z670953</t>
  </si>
  <si>
    <t>https://www.zillow.com/homedetails/53291858_zpid/</t>
  </si>
  <si>
    <t>$544,557</t>
  </si>
  <si>
    <t>134 Pine Rd, Los Angeles, CA 43095</t>
  </si>
  <si>
    <t>Z669976</t>
  </si>
  <si>
    <t>https://www.zillow.com/homedetails/62263376_zpid/</t>
  </si>
  <si>
    <t>$806,408</t>
  </si>
  <si>
    <t>2154 Main St, San Francisco, IL 16179</t>
  </si>
  <si>
    <t>Z481647</t>
  </si>
  <si>
    <t>https://www.zillow.com/homedetails/97805635_zpid/</t>
  </si>
  <si>
    <t>$564,752</t>
  </si>
  <si>
    <t>2067 Maple Dr, Fresno, FL 18368</t>
  </si>
  <si>
    <t>Z118868</t>
  </si>
  <si>
    <t>https://www.zillow.com/homedetails/15060526_zpid/</t>
  </si>
  <si>
    <t>$817,524</t>
  </si>
  <si>
    <t>4858 Maple Dr, Los Angeles, CA 41408</t>
  </si>
  <si>
    <t>Z500167</t>
  </si>
  <si>
    <t>https://www.zillow.com/homedetails/92398871_zpid/</t>
  </si>
  <si>
    <t>$938,238</t>
  </si>
  <si>
    <t>3832 Main St, Los Angeles, TX 76192</t>
  </si>
  <si>
    <t>Z822004</t>
  </si>
  <si>
    <t>https://www.zillow.com/homedetails/41232685_zpid/</t>
  </si>
  <si>
    <t>$1,260,045</t>
  </si>
  <si>
    <t>511 Main St, Fresno, IL 63613</t>
  </si>
  <si>
    <t>Z966623</t>
  </si>
  <si>
    <t>https://www.zillow.com/homedetails/57006978_zpid/</t>
  </si>
  <si>
    <t>$296,545</t>
  </si>
  <si>
    <t>156 Maple Dr, San Diego, FL 84340</t>
  </si>
  <si>
    <t>Z596112</t>
  </si>
  <si>
    <t>https://www.zillow.com/homedetails/85308117_zpid/</t>
  </si>
  <si>
    <t>$870,333</t>
  </si>
  <si>
    <t>1355 Elm St, Fresno, TX 56087</t>
  </si>
  <si>
    <t>Z854820</t>
  </si>
  <si>
    <t>https://www.zillow.com/homedetails/95150765_zpid/</t>
  </si>
  <si>
    <t>$244,460</t>
  </si>
  <si>
    <t>9149 Main St, San Diego, CA 24019</t>
  </si>
  <si>
    <t>Z170113</t>
  </si>
  <si>
    <t>https://www.zillow.com/homedetails/96133622_zpid/</t>
  </si>
  <si>
    <t>$1,252,831</t>
  </si>
  <si>
    <t>3623 Pine Rd, Los Angeles, TX 98287</t>
  </si>
  <si>
    <t>Z805949</t>
  </si>
  <si>
    <t>https://www.zillow.com/homedetails/30773459_zpid/</t>
  </si>
  <si>
    <t>$382,125</t>
  </si>
  <si>
    <t>4282 Main St, San Diego, FL 95381</t>
  </si>
  <si>
    <t>Z901419</t>
  </si>
  <si>
    <t>https://www.zillow.com/homedetails/90421002_zpid/</t>
  </si>
  <si>
    <t>$324,306</t>
  </si>
  <si>
    <t>826 Oak Ave, Sacramento, IL 67024</t>
  </si>
  <si>
    <t>Z739242</t>
  </si>
  <si>
    <t>https://www.zillow.com/homedetails/14451374_zpid/</t>
  </si>
  <si>
    <t>$1,357,731</t>
  </si>
  <si>
    <t>6814 Main St, Fresno, CA 78123</t>
  </si>
  <si>
    <t>Z979846</t>
  </si>
  <si>
    <t>https://www.zillow.com/homedetails/35773727_zpid/</t>
  </si>
  <si>
    <t>$1,196,873</t>
  </si>
  <si>
    <t>5506 Elm St, San Francisco, NY 81044</t>
  </si>
  <si>
    <t>Z540322</t>
  </si>
  <si>
    <t>https://www.zillow.com/homedetails/84896575_zpid/</t>
  </si>
  <si>
    <t>$299,990</t>
  </si>
  <si>
    <t>7105 Pine Rd, Los Angeles, FL 19164</t>
  </si>
  <si>
    <t>Z100947</t>
  </si>
  <si>
    <t>https://www.zillow.com/homedetails/53402944_zpid/</t>
  </si>
  <si>
    <t>$1,308,064</t>
  </si>
  <si>
    <t>6061 Oak Ave, Fresno, FL 86282</t>
  </si>
  <si>
    <t>Z469866</t>
  </si>
  <si>
    <t>https://www.zillow.com/homedetails/88859862_zpid/</t>
  </si>
  <si>
    <t>$725,164</t>
  </si>
  <si>
    <t>637 Pine Rd, Sacramento, NY 67076</t>
  </si>
  <si>
    <t>Z842291</t>
  </si>
  <si>
    <t>https://www.zillow.com/homedetails/24003580_zpid/</t>
  </si>
  <si>
    <t>$372,641</t>
  </si>
  <si>
    <t>6694 Main St, San Diego, TX 18270</t>
  </si>
  <si>
    <t>Z934882</t>
  </si>
  <si>
    <t>https://www.zillow.com/homedetails/15868074_zpid/</t>
  </si>
  <si>
    <t>$1,333,747</t>
  </si>
  <si>
    <t>3118 Oak Ave, Sacramento, TX 48621</t>
  </si>
  <si>
    <t>Z700857</t>
  </si>
  <si>
    <t>https://www.zillow.com/homedetails/15916883_zpid/</t>
  </si>
  <si>
    <t>$268,166</t>
  </si>
  <si>
    <t>9936 Elm St, San Diego, TX 34479</t>
  </si>
  <si>
    <t>Z168760</t>
  </si>
  <si>
    <t>https://www.zillow.com/homedetails/11879107_zpid/</t>
  </si>
  <si>
    <t>$1,091,840</t>
  </si>
  <si>
    <t>1915 Maple Dr, Fresno, FL 91456</t>
  </si>
  <si>
    <t>Z537961</t>
  </si>
  <si>
    <t>https://www.zillow.com/homedetails/47782715_zpid/</t>
  </si>
  <si>
    <t>$1,305,797</t>
  </si>
  <si>
    <t>9326 Maple Dr, Sacramento, TX 47603</t>
  </si>
  <si>
    <t>Z977120</t>
  </si>
  <si>
    <t>https://www.zillow.com/homedetails/53349475_zpid/</t>
  </si>
  <si>
    <t>$395,512</t>
  </si>
  <si>
    <t>727 Oak Ave, San Francisco, FL 35848</t>
  </si>
  <si>
    <t>Z565750</t>
  </si>
  <si>
    <t>https://www.zillow.com/homedetails/81117783_zpid/</t>
  </si>
  <si>
    <t>$1,194,453</t>
  </si>
  <si>
    <t>4273 Oak Ave, San Francisco, FL 90716</t>
  </si>
  <si>
    <t>Z654358</t>
  </si>
  <si>
    <t>https://www.zillow.com/homedetails/96069247_zpid/</t>
  </si>
  <si>
    <t>$274,635</t>
  </si>
  <si>
    <t>4590 Maple Dr, Sacramento, TX 77443</t>
  </si>
  <si>
    <t>Z727081</t>
  </si>
  <si>
    <t>https://www.zillow.com/homedetails/45477484_zpid/</t>
  </si>
  <si>
    <t>$1,018,590</t>
  </si>
  <si>
    <t>1008 Pine Rd, Sacramento, CA 36321</t>
  </si>
  <si>
    <t>Z788487</t>
  </si>
  <si>
    <t>https://www.zillow.com/homedetails/69989163_zpid/</t>
  </si>
  <si>
    <t>$542,852</t>
  </si>
  <si>
    <t>1322 Pine Rd, Fresno, CA 23513</t>
  </si>
  <si>
    <t>Z154155</t>
  </si>
  <si>
    <t>https://www.zillow.com/homedetails/86109865_zpid/</t>
  </si>
  <si>
    <t>$1,086,904</t>
  </si>
  <si>
    <t>8659 Main St, Sacramento, FL 48318</t>
  </si>
  <si>
    <t>Z923545</t>
  </si>
  <si>
    <t>https://www.zillow.com/homedetails/70403692_zpid/</t>
  </si>
  <si>
    <t>$485,409</t>
  </si>
  <si>
    <t>201 Oak Ave, Fresno, CA 45968</t>
  </si>
  <si>
    <t>Z744981</t>
  </si>
  <si>
    <t>https://www.zillow.com/homedetails/52934389_zpid/</t>
  </si>
  <si>
    <t>$636,359</t>
  </si>
  <si>
    <t>4571 Pine Rd, Sacramento, IL 60698</t>
  </si>
  <si>
    <t>Z727256</t>
  </si>
  <si>
    <t>https://www.zillow.com/homedetails/22359703_zpid/</t>
  </si>
  <si>
    <t>$1,314,092</t>
  </si>
  <si>
    <t>9681 Main St, Sacramento, IL 41117</t>
  </si>
  <si>
    <t>Z290791</t>
  </si>
  <si>
    <t>https://www.zillow.com/homedetails/19247279_zpid/</t>
  </si>
  <si>
    <t>$749,627</t>
  </si>
  <si>
    <t>4648 Oak Ave, Sacramento, IL 51738</t>
  </si>
  <si>
    <t>Z701435</t>
  </si>
  <si>
    <t>https://www.zillow.com/homedetails/72449359_zpid/</t>
  </si>
  <si>
    <t>$731,423</t>
  </si>
  <si>
    <t>3779 Pine Rd, San Diego, IL 63000</t>
  </si>
  <si>
    <t>Z460404</t>
  </si>
  <si>
    <t>https://www.zillow.com/homedetails/86744069_zpid/</t>
  </si>
  <si>
    <t>$500,477</t>
  </si>
  <si>
    <t>1969 Elm St, San Francisco, FL 53861</t>
  </si>
  <si>
    <t>Z735950</t>
  </si>
  <si>
    <t>https://www.zillow.com/homedetails/68690474_zpid/</t>
  </si>
  <si>
    <t>$140,023</t>
  </si>
  <si>
    <t>5797 Maple Dr, Los Angeles, CA 65443</t>
  </si>
  <si>
    <t>Z698364</t>
  </si>
  <si>
    <t>https://www.zillow.com/homedetails/18590915_zpid/</t>
  </si>
  <si>
    <t>$854,226</t>
  </si>
  <si>
    <t>4517 Oak Ave, Fresno, FL 56693</t>
  </si>
  <si>
    <t>Z936785</t>
  </si>
  <si>
    <t>https://www.zillow.com/homedetails/13438162_zpid/</t>
  </si>
  <si>
    <t>$1,084,043</t>
  </si>
  <si>
    <t>3699 Oak Ave, Fresno, FL 36849</t>
  </si>
  <si>
    <t>Z344792</t>
  </si>
  <si>
    <t>https://www.zillow.com/homedetails/93911720_zpid/</t>
  </si>
  <si>
    <t>$1,113,059</t>
  </si>
  <si>
    <t>4642 Main St, Sacramento, TX 91718</t>
  </si>
  <si>
    <t>Z551888</t>
  </si>
  <si>
    <t>https://www.zillow.com/homedetails/56846747_zpid/</t>
  </si>
  <si>
    <t>$296,387</t>
  </si>
  <si>
    <t>566 Pine Rd, Fresno, NY 38380</t>
  </si>
  <si>
    <t>Z709834</t>
  </si>
  <si>
    <t>https://www.zillow.com/homedetails/54825579_zpid/</t>
  </si>
  <si>
    <t>$1,286,329</t>
  </si>
  <si>
    <t>6801 Elm St, Los Angeles, CA 35510</t>
  </si>
  <si>
    <t>Z966467</t>
  </si>
  <si>
    <t>https://www.zillow.com/homedetails/75406454_zpid/</t>
  </si>
  <si>
    <t>$1,217,332</t>
  </si>
  <si>
    <t>3701 Pine Rd, Sacramento, FL 92176</t>
  </si>
  <si>
    <t>Z220198</t>
  </si>
  <si>
    <t>https://www.zillow.com/homedetails/20858178_zpid/</t>
  </si>
  <si>
    <t>$1,329,326</t>
  </si>
  <si>
    <t>452 Maple Dr, Sacramento, TX 83045</t>
  </si>
  <si>
    <t>Z533640</t>
  </si>
  <si>
    <t>https://www.zillow.com/homedetails/36078182_zpid/</t>
  </si>
  <si>
    <t>$1,389,856</t>
  </si>
  <si>
    <t>2996 Elm St, Fresno, NY 57171</t>
  </si>
  <si>
    <t>Z697847</t>
  </si>
  <si>
    <t>https://www.zillow.com/homedetails/11503082_zpid/</t>
  </si>
  <si>
    <t>$1,494,324</t>
  </si>
  <si>
    <t>4086 Maple Dr, San Diego, NY 61047</t>
  </si>
  <si>
    <t>Z976633</t>
  </si>
  <si>
    <t>https://www.zillow.com/homedetails/97016489_zpid/</t>
  </si>
  <si>
    <t>$1,275,867</t>
  </si>
  <si>
    <t>4722 Main St, Sacramento, CA 58637</t>
  </si>
  <si>
    <t>Z310713</t>
  </si>
  <si>
    <t>https://www.zillow.com/homedetails/15830849_zpid/</t>
  </si>
  <si>
    <t>$416,409</t>
  </si>
  <si>
    <t>4286 Main St, San Diego, FL 29963</t>
  </si>
  <si>
    <t>Z826831</t>
  </si>
  <si>
    <t>https://www.zillow.com/homedetails/21162518_zpid/</t>
  </si>
  <si>
    <t>$199,214</t>
  </si>
  <si>
    <t>7664 Maple Dr, San Francisco, FL 79247</t>
  </si>
  <si>
    <t>Z767270</t>
  </si>
  <si>
    <t>https://www.zillow.com/homedetails/97257260_zpid/</t>
  </si>
  <si>
    <t>$1,154,031</t>
  </si>
  <si>
    <t>6005 Main St, Sacramento, NY 85493</t>
  </si>
  <si>
    <t>Z625717</t>
  </si>
  <si>
    <t>https://www.zillow.com/homedetails/55423604_zpid/</t>
  </si>
  <si>
    <t>$1,383,914</t>
  </si>
  <si>
    <t>983 Elm St, Fresno, CA 23016</t>
  </si>
  <si>
    <t>Z154458</t>
  </si>
  <si>
    <t>https://www.zillow.com/homedetails/76312233_zpid/</t>
  </si>
  <si>
    <t>$214,127</t>
  </si>
  <si>
    <t>5310 Pine Rd, Fresno, FL 92602</t>
  </si>
  <si>
    <t>Z923573</t>
  </si>
  <si>
    <t>https://www.zillow.com/homedetails/56707737_zpid/</t>
  </si>
  <si>
    <t>$898,194</t>
  </si>
  <si>
    <t>6623 Elm St, San Francisco, CA 61938</t>
  </si>
  <si>
    <t>Z811155</t>
  </si>
  <si>
    <t>https://www.zillow.com/homedetails/56993334_zpid/</t>
  </si>
  <si>
    <t>$761,218</t>
  </si>
  <si>
    <t>6245 Maple Dr, Los Angeles, TX 10450</t>
  </si>
  <si>
    <t>Z304526</t>
  </si>
  <si>
    <t>https://www.zillow.com/homedetails/54482117_zpid/</t>
  </si>
  <si>
    <t>$1,123,280</t>
  </si>
  <si>
    <t>429 Pine Rd, Los Angeles, NY 22716</t>
  </si>
  <si>
    <t>Z791829</t>
  </si>
  <si>
    <t>https://www.zillow.com/homedetails/19600902_zpid/</t>
  </si>
  <si>
    <t>$1,097,241</t>
  </si>
  <si>
    <t>5832 Oak Ave, Los Angeles, CA 29157</t>
  </si>
  <si>
    <t>Z389776</t>
  </si>
  <si>
    <t>https://www.zillow.com/homedetails/96046599_zpid/</t>
  </si>
  <si>
    <t>$326,219</t>
  </si>
  <si>
    <t>3026 Oak Ave, San Diego, NY 59726</t>
  </si>
  <si>
    <t>Z100579</t>
  </si>
  <si>
    <t>https://www.zillow.com/homedetails/42442062_zpid/</t>
  </si>
  <si>
    <t>$497,194</t>
  </si>
  <si>
    <t>3760 Elm St, San Diego, NY 91619</t>
  </si>
  <si>
    <t>Z325676</t>
  </si>
  <si>
    <t>https://www.zillow.com/homedetails/30334100_zpid/</t>
  </si>
  <si>
    <t>$467,982</t>
  </si>
  <si>
    <t>6119 Main St, San Francisco, TX 85729</t>
  </si>
  <si>
    <t>Z289803</t>
  </si>
  <si>
    <t>https://www.zillow.com/homedetails/45851033_zpid/</t>
  </si>
  <si>
    <t>$310,809</t>
  </si>
  <si>
    <t>3781 Main St, San Francisco, IL 22633</t>
  </si>
  <si>
    <t>Z829647</t>
  </si>
  <si>
    <t>https://www.zillow.com/homedetails/36047187_zpid/</t>
  </si>
  <si>
    <t>$905,495</t>
  </si>
  <si>
    <t>4778 Oak Ave, San Francisco, NY 46688</t>
  </si>
  <si>
    <t>Z283797</t>
  </si>
  <si>
    <t>https://www.zillow.com/homedetails/71567492_zpid/</t>
  </si>
  <si>
    <t>$1,168,371</t>
  </si>
  <si>
    <t>5114 Oak Ave, San Diego, CA 33706</t>
  </si>
  <si>
    <t>Z536299</t>
  </si>
  <si>
    <t>https://www.zillow.com/homedetails/90607559_zpid/</t>
  </si>
  <si>
    <t>$497,042</t>
  </si>
  <si>
    <t>8215 Pine Rd, Sacramento, NY 95684</t>
  </si>
  <si>
    <t>Z373983</t>
  </si>
  <si>
    <t>https://www.zillow.com/homedetails/22702201_zpid/</t>
  </si>
  <si>
    <t>$814,719</t>
  </si>
  <si>
    <t>7223 Pine Rd, Los Angeles, TX 72653</t>
  </si>
  <si>
    <t>Z689438</t>
  </si>
  <si>
    <t>https://www.zillow.com/homedetails/32728652_zpid/</t>
  </si>
  <si>
    <t>$842,595</t>
  </si>
  <si>
    <t>4569 Main St, Los Angeles, FL 20558</t>
  </si>
  <si>
    <t>Z623900</t>
  </si>
  <si>
    <t>https://www.zillow.com/homedetails/67635325_zpid/</t>
  </si>
  <si>
    <t>$1,167,635</t>
  </si>
  <si>
    <t>747 Pine Rd, San Diego, TX 63355</t>
  </si>
  <si>
    <t>Z871262</t>
  </si>
  <si>
    <t>https://www.zillow.com/homedetails/18746566_zpid/</t>
  </si>
  <si>
    <t>$1,417,416</t>
  </si>
  <si>
    <t>6195 Elm St, Los Angeles, CA 78697</t>
  </si>
  <si>
    <t>Z829794</t>
  </si>
  <si>
    <t>https://www.zillow.com/homedetails/48221483_zpid/</t>
  </si>
  <si>
    <t>$846,925</t>
  </si>
  <si>
    <t>7015 Main St, Los Angeles, NY 12354</t>
  </si>
  <si>
    <t>Z999461</t>
  </si>
  <si>
    <t>https://www.zillow.com/homedetails/55688412_zpid/</t>
  </si>
  <si>
    <t>$524,335</t>
  </si>
  <si>
    <t>1862 Elm St, Sacramento, CA 74852</t>
  </si>
  <si>
    <t>Z992972</t>
  </si>
  <si>
    <t>https://www.zillow.com/homedetails/29087038_zpid/</t>
  </si>
  <si>
    <t>$161,115</t>
  </si>
  <si>
    <t>1571 Pine Rd, San Diego, CA 95539</t>
  </si>
  <si>
    <t>Z220893</t>
  </si>
  <si>
    <t>https://www.zillow.com/homedetails/70574661_zpid/</t>
  </si>
  <si>
    <t>$1,029,390</t>
  </si>
  <si>
    <t>974 Elm St, Sacramento, TX 68089</t>
  </si>
  <si>
    <t>Z567887</t>
  </si>
  <si>
    <t>https://www.zillow.com/homedetails/78393977_zpid/</t>
  </si>
  <si>
    <t>$621,411</t>
  </si>
  <si>
    <t>1732 Maple Dr, Sacramento, TX 12493</t>
  </si>
  <si>
    <t>Z830005</t>
  </si>
  <si>
    <t>https://www.zillow.com/homedetails/40558688_zpid/</t>
  </si>
  <si>
    <t>$1,174,887</t>
  </si>
  <si>
    <t>6278 Pine Rd, Sacramento, FL 35806</t>
  </si>
  <si>
    <t>Z478017</t>
  </si>
  <si>
    <t>https://www.zillow.com/homedetails/38207109_zpid/</t>
  </si>
  <si>
    <t>$1,190,241</t>
  </si>
  <si>
    <t>4767 Pine Rd, Fresno, NY 99876</t>
  </si>
  <si>
    <t>Z803276</t>
  </si>
  <si>
    <t>https://www.zillow.com/homedetails/48400678_zpid/</t>
  </si>
  <si>
    <t>$356,873</t>
  </si>
  <si>
    <t>4195 Pine Rd, Los Angeles, TX 70880</t>
  </si>
  <si>
    <t>Z301151</t>
  </si>
  <si>
    <t>https://www.zillow.com/homedetails/38113190_zpid/</t>
  </si>
  <si>
    <t>$818,587</t>
  </si>
  <si>
    <t>8192 Maple Dr, San Francisco, FL 83451</t>
  </si>
  <si>
    <t>Z566961</t>
  </si>
  <si>
    <t>https://www.zillow.com/homedetails/58668140_zpid/</t>
  </si>
  <si>
    <t>$1,241,620</t>
  </si>
  <si>
    <t>1383 Pine Rd, Los Angeles, FL 85992</t>
  </si>
  <si>
    <t>Z832402</t>
  </si>
  <si>
    <t>https://www.zillow.com/homedetails/40283948_zpid/</t>
  </si>
  <si>
    <t>$1,431,093</t>
  </si>
  <si>
    <t>1573 Maple Dr, Los Angeles, NY 52078</t>
  </si>
  <si>
    <t>Z348483</t>
  </si>
  <si>
    <t>https://www.zillow.com/homedetails/50933283_zpid/</t>
  </si>
  <si>
    <t>$1,374,709</t>
  </si>
  <si>
    <t>9361 Maple Dr, San Francisco, FL 62173</t>
  </si>
  <si>
    <t>Z861164</t>
  </si>
  <si>
    <t>https://www.zillow.com/homedetails/35709314_zpid/</t>
  </si>
  <si>
    <t>$674,018</t>
  </si>
  <si>
    <t>5129 Maple Dr, San Francisco, FL 91060</t>
  </si>
  <si>
    <t>Z659031</t>
  </si>
  <si>
    <t>https://www.zillow.com/homedetails/89797300_zpid/</t>
  </si>
  <si>
    <t>$234,244</t>
  </si>
  <si>
    <t>2286 Pine Rd, Los Angeles, TX 94702</t>
  </si>
  <si>
    <t>Z855121</t>
  </si>
  <si>
    <t>https://www.zillow.com/homedetails/46398337_zpid/</t>
  </si>
  <si>
    <t>$1,212,405</t>
  </si>
  <si>
    <t>2802 Pine Rd, Sacramento, CA 85944</t>
  </si>
  <si>
    <t>Z180472</t>
  </si>
  <si>
    <t>https://www.zillow.com/homedetails/81652943_zpid/</t>
  </si>
  <si>
    <t>$340,904</t>
  </si>
  <si>
    <t>5908 Oak Ave, Los Angeles, TX 78842</t>
  </si>
  <si>
    <t>Z553513</t>
  </si>
  <si>
    <t>https://www.zillow.com/homedetails/64737828_zpid/</t>
  </si>
  <si>
    <t>$1,008,405</t>
  </si>
  <si>
    <t>2391 Maple Dr, San Diego, FL 41350</t>
  </si>
  <si>
    <t>Z531178</t>
  </si>
  <si>
    <t>https://www.zillow.com/homedetails/30437822_zpid/</t>
  </si>
  <si>
    <t>$1,404,881</t>
  </si>
  <si>
    <t>9947 Maple Dr, Fresno, TX 41173</t>
  </si>
  <si>
    <t>Z217852</t>
  </si>
  <si>
    <t>https://www.zillow.com/homedetails/97603729_zpid/</t>
  </si>
  <si>
    <t>$685,831</t>
  </si>
  <si>
    <t>1481 Main St, Los Angeles, CA 17314</t>
  </si>
  <si>
    <t>Z142236</t>
  </si>
  <si>
    <t>https://www.zillow.com/homedetails/82817855_zpid/</t>
  </si>
  <si>
    <t>$622,655</t>
  </si>
  <si>
    <t>7919 Elm St, San Diego, CA 30843</t>
  </si>
  <si>
    <t>Z788326</t>
  </si>
  <si>
    <t>https://www.zillow.com/homedetails/60300462_zpid/</t>
  </si>
  <si>
    <t>$401,040</t>
  </si>
  <si>
    <t>7439 Main St, San Francisco, IL 52827</t>
  </si>
  <si>
    <t>Z597018</t>
  </si>
  <si>
    <t>https://www.zillow.com/homedetails/35141902_zpid/</t>
  </si>
  <si>
    <t>$608,037</t>
  </si>
  <si>
    <t>5237 Elm St, San Francisco, FL 27987</t>
  </si>
  <si>
    <t>Z498317</t>
  </si>
  <si>
    <t>https://www.zillow.com/homedetails/93389961_zpid/</t>
  </si>
  <si>
    <t>$1,327,006</t>
  </si>
  <si>
    <t>941 Pine Rd, San Diego, IL 70311</t>
  </si>
  <si>
    <t>Z718403</t>
  </si>
  <si>
    <t>https://www.zillow.com/homedetails/14984095_zpid/</t>
  </si>
  <si>
    <t>$1,026,807</t>
  </si>
  <si>
    <t>8506 Pine Rd, San Francisco, NY 66386</t>
  </si>
  <si>
    <t>Z250635</t>
  </si>
  <si>
    <t>https://www.zillow.com/homedetails/93312754_zpid/</t>
  </si>
  <si>
    <t>$934,997</t>
  </si>
  <si>
    <t>6493 Oak Ave, San Francisco, IL 72524</t>
  </si>
  <si>
    <t>Z714522</t>
  </si>
  <si>
    <t>https://www.zillow.com/homedetails/98667125_zpid/</t>
  </si>
  <si>
    <t>$960,338</t>
  </si>
  <si>
    <t>9850 Pine Rd, Sacramento, CA 39890</t>
  </si>
  <si>
    <t>Z693345</t>
  </si>
  <si>
    <t>https://www.zillow.com/homedetails/14895810_zpid/</t>
  </si>
  <si>
    <t>$830,496</t>
  </si>
  <si>
    <t>4423 Maple Dr, Fresno, FL 98607</t>
  </si>
  <si>
    <t>Z424769</t>
  </si>
  <si>
    <t>https://www.zillow.com/homedetails/60450830_zpid/</t>
  </si>
  <si>
    <t>$123,625</t>
  </si>
  <si>
    <t>2659 Elm St, Los Angeles, FL 42154</t>
  </si>
  <si>
    <t>Z673156</t>
  </si>
  <si>
    <t>https://www.zillow.com/homedetails/67854837_zpid/</t>
  </si>
  <si>
    <t>$1,407,105</t>
  </si>
  <si>
    <t>5391 Elm St, San Diego, IL 57800</t>
  </si>
  <si>
    <t>Z558945</t>
  </si>
  <si>
    <t>https://www.zillow.com/homedetails/24857067_zpid/</t>
  </si>
  <si>
    <t>$563,185</t>
  </si>
  <si>
    <t>4809 Main St, San Francisco, NY 96346</t>
  </si>
  <si>
    <t>Z808643</t>
  </si>
  <si>
    <t>https://www.zillow.com/homedetails/59437120_zpid/</t>
  </si>
  <si>
    <t>$654,339</t>
  </si>
  <si>
    <t>8695 Pine Rd, Fresno, CA 40235</t>
  </si>
  <si>
    <t>Z514605</t>
  </si>
  <si>
    <t>https://www.zillow.com/homedetails/46202416_zpid/</t>
  </si>
  <si>
    <t>$757,274</t>
  </si>
  <si>
    <t>1797 Oak Ave, Fresno, TX 88709</t>
  </si>
  <si>
    <t>Z259301</t>
  </si>
  <si>
    <t>https://www.zillow.com/homedetails/17768446_zpid/</t>
  </si>
  <si>
    <t>$1,151,819</t>
  </si>
  <si>
    <t>2245 Main St, Fresno, TX 26810</t>
  </si>
  <si>
    <t>Z450621</t>
  </si>
  <si>
    <t>https://www.zillow.com/homedetails/37644839_zpid/</t>
  </si>
  <si>
    <t>$739,866</t>
  </si>
  <si>
    <t>1085 Elm St, San Diego, CA 11839</t>
  </si>
  <si>
    <t>Z694999</t>
  </si>
  <si>
    <t>https://www.zillow.com/homedetails/96268133_zpid/</t>
  </si>
  <si>
    <t>$496,342</t>
  </si>
  <si>
    <t>6776 Maple Dr, Fresno, NY 66338</t>
  </si>
  <si>
    <t>Z891567</t>
  </si>
  <si>
    <t>https://www.zillow.com/homedetails/41960416_zpid/</t>
  </si>
  <si>
    <t>$339,553</t>
  </si>
  <si>
    <t>6079 Maple Dr, Los Angeles, CA 65697</t>
  </si>
  <si>
    <t>Z390895</t>
  </si>
  <si>
    <t>https://www.zillow.com/homedetails/80702449_zpid/</t>
  </si>
  <si>
    <t>$1,358,356</t>
  </si>
  <si>
    <t>6474 Pine Rd, Sacramento, TX 71127</t>
  </si>
  <si>
    <t>Z302843</t>
  </si>
  <si>
    <t>https://www.zillow.com/homedetails/96130746_zpid/</t>
  </si>
  <si>
    <t>$218,899</t>
  </si>
  <si>
    <t>3064 Main St, Los Angeles, TX 84106</t>
  </si>
  <si>
    <t>Z311113</t>
  </si>
  <si>
    <t>https://www.zillow.com/homedetails/44917423_zpid/</t>
  </si>
  <si>
    <t>$243,386</t>
  </si>
  <si>
    <t>3013 Pine Rd, San Francisco, NY 96680</t>
  </si>
  <si>
    <t>Z158196</t>
  </si>
  <si>
    <t>https://www.zillow.com/homedetails/77814024_zpid/</t>
  </si>
  <si>
    <t>$401,177</t>
  </si>
  <si>
    <t>3015 Pine Rd, Sacramento, TX 89343</t>
  </si>
  <si>
    <t>Z468894</t>
  </si>
  <si>
    <t>https://www.zillow.com/homedetails/18613048_zpid/</t>
  </si>
  <si>
    <t>$685,130</t>
  </si>
  <si>
    <t>1710 Maple Dr, San Francisco, IL 86526</t>
  </si>
  <si>
    <t>Z449957</t>
  </si>
  <si>
    <t>https://www.zillow.com/homedetails/68406749_zpid/</t>
  </si>
  <si>
    <t>$1,440,863</t>
  </si>
  <si>
    <t>4344 Elm St, Fresno, TX 37227</t>
  </si>
  <si>
    <t>Z918153</t>
  </si>
  <si>
    <t>https://www.zillow.com/homedetails/85553270_zpid/</t>
  </si>
  <si>
    <t>$679,086</t>
  </si>
  <si>
    <t>2632 Maple Dr, San Francisco, CA 12052</t>
  </si>
  <si>
    <t>Z635254</t>
  </si>
  <si>
    <t>https://www.zillow.com/homedetails/78505173_zpid/</t>
  </si>
  <si>
    <t>$1,021,565</t>
  </si>
  <si>
    <t>6913 Main St, San Francisco, TX 20864</t>
  </si>
  <si>
    <t>Z324496</t>
  </si>
  <si>
    <t>https://www.zillow.com/homedetails/59094568_zpid/</t>
  </si>
  <si>
    <t>$818,796</t>
  </si>
  <si>
    <t>4565 Main St, San Diego, CA 53653</t>
  </si>
  <si>
    <t>Z518244</t>
  </si>
  <si>
    <t>https://www.zillow.com/homedetails/78208851_zpid/</t>
  </si>
  <si>
    <t>$416,436</t>
  </si>
  <si>
    <t>5949 Main St, Los Angeles, TX 37076</t>
  </si>
  <si>
    <t>Z605555</t>
  </si>
  <si>
    <t>https://www.zillow.com/homedetails/75061636_zpid/</t>
  </si>
  <si>
    <t>$1,093,419</t>
  </si>
  <si>
    <t>1854 Elm St, Los Angeles, CA 16323</t>
  </si>
  <si>
    <t>Z375423</t>
  </si>
  <si>
    <t>https://www.zillow.com/homedetails/49240156_zpid/</t>
  </si>
  <si>
    <t>$624,263</t>
  </si>
  <si>
    <t>9500 Pine Rd, San Diego, NY 51574</t>
  </si>
  <si>
    <t>Z778845</t>
  </si>
  <si>
    <t>https://www.zillow.com/homedetails/58543272_zpid/</t>
  </si>
  <si>
    <t>$553,467</t>
  </si>
  <si>
    <t>9023 Elm St, Sacramento, IL 23654</t>
  </si>
  <si>
    <t>Z483637</t>
  </si>
  <si>
    <t>https://www.zillow.com/homedetails/27944300_zpid/</t>
  </si>
  <si>
    <t>$1,253,807</t>
  </si>
  <si>
    <t>3425 Pine Rd, San Francisco, FL 64894</t>
  </si>
  <si>
    <t>Z333743</t>
  </si>
  <si>
    <t>https://www.zillow.com/homedetails/84441837_zpid/</t>
  </si>
  <si>
    <t>$970,091</t>
  </si>
  <si>
    <t>2365 Main St, San Diego, FL 78547</t>
  </si>
  <si>
    <t>Z595930</t>
  </si>
  <si>
    <t>https://www.zillow.com/homedetails/62039323_zpid/</t>
  </si>
  <si>
    <t>$730,723</t>
  </si>
  <si>
    <t>8489 Main St, San Diego, CA 50413</t>
  </si>
  <si>
    <t>Z590182</t>
  </si>
  <si>
    <t>https://www.zillow.com/homedetails/31670379_zpid/</t>
  </si>
  <si>
    <t>$985,816</t>
  </si>
  <si>
    <t>124 Oak Ave, Los Angeles, TX 43488</t>
  </si>
  <si>
    <t>Z151970</t>
  </si>
  <si>
    <t>https://www.zillow.com/homedetails/50179362_zpid/</t>
  </si>
  <si>
    <t>$270,319</t>
  </si>
  <si>
    <t>5415 Pine Rd, Los Angeles, NY 83167</t>
  </si>
  <si>
    <t>Z946113</t>
  </si>
  <si>
    <t>https://www.zillow.com/homedetails/89029252_zpid/</t>
  </si>
  <si>
    <t>$210,895</t>
  </si>
  <si>
    <t>7085 Oak Ave, San Diego, CA 85233</t>
  </si>
  <si>
    <t>Z601021</t>
  </si>
  <si>
    <t>https://www.zillow.com/homedetails/15517570_zpid/</t>
  </si>
  <si>
    <t>$446,490</t>
  </si>
  <si>
    <t>1838 Maple Dr, San Diego, NY 81930</t>
  </si>
  <si>
    <t>Z955626</t>
  </si>
  <si>
    <t>https://www.zillow.com/homedetails/54460451_zpid/</t>
  </si>
  <si>
    <t>$680,646</t>
  </si>
  <si>
    <t>5155 Maple Dr, San Diego, NY 21470</t>
  </si>
  <si>
    <t>Z610601</t>
  </si>
  <si>
    <t>https://www.zillow.com/homedetails/21782646_zpid/</t>
  </si>
  <si>
    <t>$1,447,420</t>
  </si>
  <si>
    <t>7228 Elm St, Fresno, CA 67379</t>
  </si>
  <si>
    <t>Z905803</t>
  </si>
  <si>
    <t>https://www.zillow.com/homedetails/30885460_zpid/</t>
  </si>
  <si>
    <t>$376,794</t>
  </si>
  <si>
    <t>3883 Main St, San Diego, FL 25609</t>
  </si>
  <si>
    <t>Z372650</t>
  </si>
  <si>
    <t>https://www.zillow.com/homedetails/49562786_zpid/</t>
  </si>
  <si>
    <t>$823,602</t>
  </si>
  <si>
    <t>7218 Maple Dr, Los Angeles, NY 61827</t>
  </si>
  <si>
    <t>Z539258</t>
  </si>
  <si>
    <t>https://www.zillow.com/homedetails/29674537_zpid/</t>
  </si>
  <si>
    <t>$1,432,147</t>
  </si>
  <si>
    <t>4907 Oak Ave, San Francisco, CA 33365</t>
  </si>
  <si>
    <t>Z216002</t>
  </si>
  <si>
    <t>https://www.zillow.com/homedetails/13784582_zpid/</t>
  </si>
  <si>
    <t>$1,357,686</t>
  </si>
  <si>
    <t>3284 Oak Ave, Los Angeles, NY 45361</t>
  </si>
  <si>
    <t>Z202390</t>
  </si>
  <si>
    <t>https://www.zillow.com/homedetails/95218261_zpid/</t>
  </si>
  <si>
    <t>$1,216,553</t>
  </si>
  <si>
    <t>4949 Main St, San Diego, FL 38507</t>
  </si>
  <si>
    <t>Z513540</t>
  </si>
  <si>
    <t>https://www.zillow.com/homedetails/61049527_zpid/</t>
  </si>
  <si>
    <t>$460,323</t>
  </si>
  <si>
    <t>9687 Pine Rd, San Francisco, FL 12418</t>
  </si>
  <si>
    <t>Z584807</t>
  </si>
  <si>
    <t>https://www.zillow.com/homedetails/32883479_zpid/</t>
  </si>
  <si>
    <t>$574,526</t>
  </si>
  <si>
    <t>4447 Pine Rd, Fresno, NY 79620</t>
  </si>
  <si>
    <t>Z123936</t>
  </si>
  <si>
    <t>https://www.zillow.com/homedetails/62356467_zpid/</t>
  </si>
  <si>
    <t>$266,322</t>
  </si>
  <si>
    <t>7730 Oak Ave, San Diego, CA 62921</t>
  </si>
  <si>
    <t>Z498120</t>
  </si>
  <si>
    <t>https://www.zillow.com/homedetails/68670074_zpid/</t>
  </si>
  <si>
    <t>$1,456,112</t>
  </si>
  <si>
    <t>4117 Main St, Los Angeles, NY 91478</t>
  </si>
  <si>
    <t>Z448050</t>
  </si>
  <si>
    <t>https://www.zillow.com/homedetails/24818557_zpid/</t>
  </si>
  <si>
    <t>$977,845</t>
  </si>
  <si>
    <t>9514 Maple Dr, Sacramento, CA 18472</t>
  </si>
  <si>
    <t>Z745322</t>
  </si>
  <si>
    <t>https://www.zillow.com/homedetails/33289497_zpid/</t>
  </si>
  <si>
    <t>$602,097</t>
  </si>
  <si>
    <t>316 Main St, San Francisco, CA 13622</t>
  </si>
  <si>
    <t>Z542453</t>
  </si>
  <si>
    <t>https://www.zillow.com/homedetails/87405903_zpid/</t>
  </si>
  <si>
    <t>$798,661</t>
  </si>
  <si>
    <t>9475 Pine Rd, Sacramento, NY 86627</t>
  </si>
  <si>
    <t>Z215404</t>
  </si>
  <si>
    <t>https://www.zillow.com/homedetails/34387178_zpid/</t>
  </si>
  <si>
    <t>$1,086,792</t>
  </si>
  <si>
    <t>586 Pine Rd, Fresno, FL 44378</t>
  </si>
  <si>
    <t>Z246892</t>
  </si>
  <si>
    <t>https://www.zillow.com/homedetails/49407241_zpid/</t>
  </si>
  <si>
    <t>$1,061,282</t>
  </si>
  <si>
    <t>8874 Main St, San Diego, CA 22847</t>
  </si>
  <si>
    <t>Z562839</t>
  </si>
  <si>
    <t>https://www.zillow.com/homedetails/90076396_zpid/</t>
  </si>
  <si>
    <t>$1,434,978</t>
  </si>
  <si>
    <t>7909 Oak Ave, Fresno, CA 19720</t>
  </si>
  <si>
    <t>Z951249</t>
  </si>
  <si>
    <t>https://www.zillow.com/homedetails/95935772_zpid/</t>
  </si>
  <si>
    <t>$974,309</t>
  </si>
  <si>
    <t>3015 Pine Rd, San Diego, CA 79001</t>
  </si>
  <si>
    <t>Z599514</t>
  </si>
  <si>
    <t>https://www.zillow.com/homedetails/49231258_zpid/</t>
  </si>
  <si>
    <t>$1,425,236</t>
  </si>
  <si>
    <t>8612 Elm St, Los Angeles, IL 38102</t>
  </si>
  <si>
    <t>Z643068</t>
  </si>
  <si>
    <t>https://www.zillow.com/homedetails/54807542_zpid/</t>
  </si>
  <si>
    <t>$1,411,570</t>
  </si>
  <si>
    <t>9917 Oak Ave, Los Angeles, FL 87189</t>
  </si>
  <si>
    <t>Z736264</t>
  </si>
  <si>
    <t>https://www.zillow.com/homedetails/18645843_zpid/</t>
  </si>
  <si>
    <t>$1,197,615</t>
  </si>
  <si>
    <t>4274 Oak Ave, San Diego, NY 88281</t>
  </si>
  <si>
    <t>Z827720</t>
  </si>
  <si>
    <t>https://www.zillow.com/homedetails/70754026_zpid/</t>
  </si>
  <si>
    <t>$1,433,992</t>
  </si>
  <si>
    <t>8845 Main St, Fresno, CA 55323</t>
  </si>
  <si>
    <t>Z537549</t>
  </si>
  <si>
    <t>https://www.zillow.com/homedetails/85362978_zpid/</t>
  </si>
  <si>
    <t>$1,068,257</t>
  </si>
  <si>
    <t>4340 Maple Dr, San Diego, CA 86089</t>
  </si>
  <si>
    <t>Z459588</t>
  </si>
  <si>
    <t>https://www.zillow.com/homedetails/93220361_zpid/</t>
  </si>
  <si>
    <t>$1,273,089</t>
  </si>
  <si>
    <t>6651 Pine Rd, San Diego, FL 78715</t>
  </si>
  <si>
    <t>Z300977</t>
  </si>
  <si>
    <t>https://www.zillow.com/homedetails/62892482_zpid/</t>
  </si>
  <si>
    <t>$193,458</t>
  </si>
  <si>
    <t>8619 Oak Ave, Sacramento, FL 45908</t>
  </si>
  <si>
    <t>Z740634</t>
  </si>
  <si>
    <t>https://www.zillow.com/homedetails/43666477_zpid/</t>
  </si>
  <si>
    <t>$451,925</t>
  </si>
  <si>
    <t>1041 Main St, Fresno, CA 15862</t>
  </si>
  <si>
    <t>Z787072</t>
  </si>
  <si>
    <t>https://www.zillow.com/homedetails/61241295_zpid/</t>
  </si>
  <si>
    <t>$338,237</t>
  </si>
  <si>
    <t>7455 Main St, Fresno, NY 88057</t>
  </si>
  <si>
    <t>Z392415</t>
  </si>
  <si>
    <t>https://www.zillow.com/homedetails/34913676_zpid/</t>
  </si>
  <si>
    <t>$923,832</t>
  </si>
  <si>
    <t>6060 Oak Ave, Sacramento, IL 27961</t>
  </si>
  <si>
    <t>Z257287</t>
  </si>
  <si>
    <t>https://www.zillow.com/homedetails/84957857_zpid/</t>
  </si>
  <si>
    <t>$326,717</t>
  </si>
  <si>
    <t>9052 Pine Rd, San Diego, NY 97516</t>
  </si>
  <si>
    <t>Z220441</t>
  </si>
  <si>
    <t>https://www.zillow.com/homedetails/75520727_zpid/</t>
  </si>
  <si>
    <t>$1,350,914</t>
  </si>
  <si>
    <t>9957 Pine Rd, Los Angeles, NY 35740</t>
  </si>
  <si>
    <t>Z337473</t>
  </si>
  <si>
    <t>https://www.zillow.com/homedetails/31918491_zpid/</t>
  </si>
  <si>
    <t>$1,461,070</t>
  </si>
  <si>
    <t>1699 Main St, San Diego, TX 59765</t>
  </si>
  <si>
    <t>Z221844</t>
  </si>
  <si>
    <t>https://www.zillow.com/homedetails/32798695_zpid/</t>
  </si>
  <si>
    <t>$717,552</t>
  </si>
  <si>
    <t>8794 Maple Dr, San Diego, CA 16266</t>
  </si>
  <si>
    <t>Z694770</t>
  </si>
  <si>
    <t>https://www.zillow.com/homedetails/97983163_zpid/</t>
  </si>
  <si>
    <t>$1,228,076</t>
  </si>
  <si>
    <t>4067 Elm St, San Francisco, CA 70948</t>
  </si>
  <si>
    <t>Z991696</t>
  </si>
  <si>
    <t>https://www.zillow.com/homedetails/83067478_zpid/</t>
  </si>
  <si>
    <t>$995,222</t>
  </si>
  <si>
    <t>689 Main St, Sacramento, CA 37474</t>
  </si>
  <si>
    <t>Z252631</t>
  </si>
  <si>
    <t>https://www.zillow.com/homedetails/56232543_zpid/</t>
  </si>
  <si>
    <t>$424,766</t>
  </si>
  <si>
    <t>1180 Main St, San Diego, CA 33017</t>
  </si>
  <si>
    <t>Z326915</t>
  </si>
  <si>
    <t>https://www.zillow.com/homedetails/35431471_zpid/</t>
  </si>
  <si>
    <t>$950,988</t>
  </si>
  <si>
    <t>5295 Main St, San Diego, NY 84715</t>
  </si>
  <si>
    <t>Z428637</t>
  </si>
  <si>
    <t>https://www.zillow.com/homedetails/52843433_zpid/</t>
  </si>
  <si>
    <t>$143,167</t>
  </si>
  <si>
    <t>2986 Maple Dr, Los Angeles, TX 64025</t>
  </si>
  <si>
    <t>Z135515</t>
  </si>
  <si>
    <t>https://www.zillow.com/homedetails/45297984_zpid/</t>
  </si>
  <si>
    <t>$138,278</t>
  </si>
  <si>
    <t>8602 Main St, San Francisco, IL 44229</t>
  </si>
  <si>
    <t>Z277901</t>
  </si>
  <si>
    <t>https://www.zillow.com/homedetails/23873507_zpid/</t>
  </si>
  <si>
    <t>$340,199</t>
  </si>
  <si>
    <t>1953 Main St, Sacramento, CA 84786</t>
  </si>
  <si>
    <t>Z119767</t>
  </si>
  <si>
    <t>https://www.zillow.com/homedetails/71430434_zpid/</t>
  </si>
  <si>
    <t>$1,402,468</t>
  </si>
  <si>
    <t>2538 Oak Ave, Sacramento, NY 76941</t>
  </si>
  <si>
    <t>Z386059</t>
  </si>
  <si>
    <t>https://www.zillow.com/homedetails/96342342_zpid/</t>
  </si>
  <si>
    <t>$1,470,553</t>
  </si>
  <si>
    <t>234 Maple Dr, San Diego, FL 46459</t>
  </si>
  <si>
    <t>Z938591</t>
  </si>
  <si>
    <t>https://www.zillow.com/homedetails/37005412_zpid/</t>
  </si>
  <si>
    <t>$1,099,863</t>
  </si>
  <si>
    <t>9997 Maple Dr, Fresno, FL 77711</t>
  </si>
  <si>
    <t>Z261929</t>
  </si>
  <si>
    <t>https://www.zillow.com/homedetails/54829558_zpid/</t>
  </si>
  <si>
    <t>$999,110</t>
  </si>
  <si>
    <t>807 Main St, Fresno, CA 58762</t>
  </si>
  <si>
    <t>Z873948</t>
  </si>
  <si>
    <t>https://www.zillow.com/homedetails/40545295_zpid/</t>
  </si>
  <si>
    <t>$322,944</t>
  </si>
  <si>
    <t>1890 Maple Dr, Fresno, TX 63709</t>
  </si>
  <si>
    <t>Z660983</t>
  </si>
  <si>
    <t>https://www.zillow.com/homedetails/76614625_zpid/</t>
  </si>
  <si>
    <t>$425,156</t>
  </si>
  <si>
    <t>1440 Pine Rd, San Francisco, TX 68029</t>
  </si>
  <si>
    <t>Z180835</t>
  </si>
  <si>
    <t>https://www.zillow.com/homedetails/46773015_zpid/</t>
  </si>
  <si>
    <t>$1,093,748</t>
  </si>
  <si>
    <t>2962 Elm St, Los Angeles, NY 81118</t>
  </si>
  <si>
    <t>Z109865</t>
  </si>
  <si>
    <t>https://www.zillow.com/homedetails/15941342_zpid/</t>
  </si>
  <si>
    <t>$321,468</t>
  </si>
  <si>
    <t>2009 Oak Ave, San Diego, IL 70204</t>
  </si>
  <si>
    <t>Z930270</t>
  </si>
  <si>
    <t>https://www.zillow.com/homedetails/22138918_zpid/</t>
  </si>
  <si>
    <t>$1,470,886</t>
  </si>
  <si>
    <t>8371 Oak Ave, San Diego, NY 61819</t>
  </si>
  <si>
    <t>Z540524</t>
  </si>
  <si>
    <t>https://www.zillow.com/homedetails/86219409_zpid/</t>
  </si>
  <si>
    <t>$850,616</t>
  </si>
  <si>
    <t>2749 Oak Ave, Sacramento, NY 57772</t>
  </si>
  <si>
    <t>Z465456</t>
  </si>
  <si>
    <t>https://www.zillow.com/homedetails/72467393_zpid/</t>
  </si>
  <si>
    <t>$1,177,500</t>
  </si>
  <si>
    <t>417 Main St, Los Angeles, FL 52466</t>
  </si>
  <si>
    <t>Z689773</t>
  </si>
  <si>
    <t>https://www.zillow.com/homedetails/91771660_zpid/</t>
  </si>
  <si>
    <t>$259,450</t>
  </si>
  <si>
    <t>5600 Elm St, Fresno, TX 30783</t>
  </si>
  <si>
    <t>Z726156</t>
  </si>
  <si>
    <t>https://www.zillow.com/homedetails/57381564_zpid/</t>
  </si>
  <si>
    <t>$123,916</t>
  </si>
  <si>
    <t>928 Pine Rd, San Francisco, TX 21351</t>
  </si>
  <si>
    <t>Z864649</t>
  </si>
  <si>
    <t>https://www.zillow.com/homedetails/50304316_zpid/</t>
  </si>
  <si>
    <t>$655,234</t>
  </si>
  <si>
    <t>424 Maple Dr, Fresno, FL 14777</t>
  </si>
  <si>
    <t>Z402288</t>
  </si>
  <si>
    <t>https://www.zillow.com/homedetails/25959429_zpid/</t>
  </si>
  <si>
    <t>$1,043,450</t>
  </si>
  <si>
    <t>7320 Main St, San Diego, CA 42663</t>
  </si>
  <si>
    <t>Z831952</t>
  </si>
  <si>
    <t>https://www.zillow.com/homedetails/62925309_zpid/</t>
  </si>
  <si>
    <t>$423,673</t>
  </si>
  <si>
    <t>7644 Elm St, San Diego, FL 76522</t>
  </si>
  <si>
    <t>Z508291</t>
  </si>
  <si>
    <t>https://www.zillow.com/homedetails/79783153_zpid/</t>
  </si>
  <si>
    <t>$156,591</t>
  </si>
  <si>
    <t>6158 Oak Ave, Sacramento, CA 20843</t>
  </si>
  <si>
    <t>Z769980</t>
  </si>
  <si>
    <t>https://www.zillow.com/homedetails/91094661_zpid/</t>
  </si>
  <si>
    <t>$433,833</t>
  </si>
  <si>
    <t>7256 Main St, Los Angeles, FL 27616</t>
  </si>
  <si>
    <t>Z954738</t>
  </si>
  <si>
    <t>https://www.zillow.com/homedetails/70824895_zpid/</t>
  </si>
  <si>
    <t>$1,471,135</t>
  </si>
  <si>
    <t>965 Pine Rd, San Diego, IL 49096</t>
  </si>
  <si>
    <t>Z618947</t>
  </si>
  <si>
    <t>https://www.zillow.com/homedetails/49056560_zpid/</t>
  </si>
  <si>
    <t>$398,826</t>
  </si>
  <si>
    <t>6607 Oak Ave, San Francisco, TX 22618</t>
  </si>
  <si>
    <t>Z316900</t>
  </si>
  <si>
    <t>https://www.zillow.com/homedetails/93238948_zpid/</t>
  </si>
  <si>
    <t>$741,530</t>
  </si>
  <si>
    <t>3350 Maple Dr, Fresno, TX 75011</t>
  </si>
  <si>
    <t>Z139208</t>
  </si>
  <si>
    <t>https://www.zillow.com/homedetails/13266494_zpid/</t>
  </si>
  <si>
    <t>$589,018</t>
  </si>
  <si>
    <t>7355 Elm St, Fresno, IL 95305</t>
  </si>
  <si>
    <t>Z365721</t>
  </si>
  <si>
    <t>https://www.zillow.com/homedetails/99490419_zpid/</t>
  </si>
  <si>
    <t>$1,325,428</t>
  </si>
  <si>
    <t>2407 Oak Ave, San Francisco, NY 36464</t>
  </si>
  <si>
    <t>Z941797</t>
  </si>
  <si>
    <t>https://www.zillow.com/homedetails/43562701_zpid/</t>
  </si>
  <si>
    <t>$1,330,743</t>
  </si>
  <si>
    <t>4065 Maple Dr, San Diego, FL 52128</t>
  </si>
  <si>
    <t>Z286999</t>
  </si>
  <si>
    <t>https://www.zillow.com/homedetails/21702602_zpid/</t>
  </si>
  <si>
    <t>$1,200,171</t>
  </si>
  <si>
    <t>8942 Oak Ave, Fresno, IL 40800</t>
  </si>
  <si>
    <t>Z431956</t>
  </si>
  <si>
    <t>https://www.zillow.com/homedetails/39089725_zpid/</t>
  </si>
  <si>
    <t>$580,318</t>
  </si>
  <si>
    <t>346 Main St, Los Angeles, FL 44474</t>
  </si>
  <si>
    <t>Z885804</t>
  </si>
  <si>
    <t>https://www.zillow.com/homedetails/40855080_zpid/</t>
  </si>
  <si>
    <t>$211,740</t>
  </si>
  <si>
    <t>8961 Pine Rd, Fresno, TX 12486</t>
  </si>
  <si>
    <t>Z735534</t>
  </si>
  <si>
    <t>https://www.zillow.com/homedetails/37598047_zpid/</t>
  </si>
  <si>
    <t>$330,377</t>
  </si>
  <si>
    <t>5401 Oak Ave, Fresno, IL 19079</t>
  </si>
  <si>
    <t>Z798937</t>
  </si>
  <si>
    <t>https://www.zillow.com/homedetails/13283092_zpid/</t>
  </si>
  <si>
    <t>$942,211</t>
  </si>
  <si>
    <t>4293 Maple Dr, San Francisco, CA 10863</t>
  </si>
  <si>
    <t>Z280967</t>
  </si>
  <si>
    <t>https://www.zillow.com/homedetails/72593182_zpid/</t>
  </si>
  <si>
    <t>$1,172,234</t>
  </si>
  <si>
    <t>1892 Main St, Los Angeles, FL 89715</t>
  </si>
  <si>
    <t>Z787584</t>
  </si>
  <si>
    <t>https://www.zillow.com/homedetails/12084778_zpid/</t>
  </si>
  <si>
    <t>$1,102,666</t>
  </si>
  <si>
    <t>7997 Main St, San Francisco, NY 12985</t>
  </si>
  <si>
    <t>Z483119</t>
  </si>
  <si>
    <t>https://www.zillow.com/homedetails/72906995_zpid/</t>
  </si>
  <si>
    <t>$815,809</t>
  </si>
  <si>
    <t>2283 Elm St, San Diego, IL 10072</t>
  </si>
  <si>
    <t>Z274393</t>
  </si>
  <si>
    <t>https://www.zillow.com/homedetails/18793820_zpid/</t>
  </si>
  <si>
    <t>$657,892</t>
  </si>
  <si>
    <t>3177 Oak Ave, San Diego, FL 65642</t>
  </si>
  <si>
    <t>Z267167</t>
  </si>
  <si>
    <t>https://www.zillow.com/homedetails/65129572_zpid/</t>
  </si>
  <si>
    <t>$175,195</t>
  </si>
  <si>
    <t>2226 Oak Ave, Los Angeles, CA 76215</t>
  </si>
  <si>
    <t>Z552594</t>
  </si>
  <si>
    <t>https://www.zillow.com/homedetails/64811203_zpid/</t>
  </si>
  <si>
    <t>$1,190,257</t>
  </si>
  <si>
    <t>7445 Maple Dr, Los Angeles, CA 89565</t>
  </si>
  <si>
    <t>Z495711</t>
  </si>
  <si>
    <t>https://www.zillow.com/homedetails/45753665_zpid/</t>
  </si>
  <si>
    <t>$1,297,513</t>
  </si>
  <si>
    <t>2552 Maple Dr, Fresno, CA 17469</t>
  </si>
  <si>
    <t>Z657341</t>
  </si>
  <si>
    <t>https://www.zillow.com/homedetails/15423159_zpid/</t>
  </si>
  <si>
    <t>$927,642</t>
  </si>
  <si>
    <t>4083 Oak Ave, Sacramento, NY 82942</t>
  </si>
  <si>
    <t>Z544497</t>
  </si>
  <si>
    <t>https://www.zillow.com/homedetails/33576366_zpid/</t>
  </si>
  <si>
    <t>$1,380,179</t>
  </si>
  <si>
    <t>2830 Oak Ave, Fresno, NY 43605</t>
  </si>
  <si>
    <t>Z773379</t>
  </si>
  <si>
    <t>https://www.zillow.com/homedetails/99239113_zpid/</t>
  </si>
  <si>
    <t>$978,038</t>
  </si>
  <si>
    <t>3049 Elm St, Sacramento, IL 99272</t>
  </si>
  <si>
    <t>Z819961</t>
  </si>
  <si>
    <t>https://www.zillow.com/homedetails/99731032_zpid/</t>
  </si>
  <si>
    <t>$699,502</t>
  </si>
  <si>
    <t>7292 Elm St, San Diego, CA 80202</t>
  </si>
  <si>
    <t>Z216612</t>
  </si>
  <si>
    <t>https://www.zillow.com/homedetails/91647101_zpid/</t>
  </si>
  <si>
    <t>$703,104</t>
  </si>
  <si>
    <t>7036 Elm St, Sacramento, IL 22289</t>
  </si>
  <si>
    <t>Z400340</t>
  </si>
  <si>
    <t>https://www.zillow.com/homedetails/59166732_zpid/</t>
  </si>
  <si>
    <t>$496,299</t>
  </si>
  <si>
    <t>3944 Pine Rd, Los Angeles, TX 98154</t>
  </si>
  <si>
    <t>Z969162</t>
  </si>
  <si>
    <t>https://www.zillow.com/homedetails/46078629_zpid/</t>
  </si>
  <si>
    <t>$1,101,382</t>
  </si>
  <si>
    <t>7218 Oak Ave, Fresno, IL 85461</t>
  </si>
  <si>
    <t>Z740958</t>
  </si>
  <si>
    <t>https://www.zillow.com/homedetails/74296761_zpid/</t>
  </si>
  <si>
    <t>$1,049,061</t>
  </si>
  <si>
    <t>4977 Maple Dr, Los Angeles, CA 25852</t>
  </si>
  <si>
    <t>Z358634</t>
  </si>
  <si>
    <t>https://www.zillow.com/homedetails/88715195_zpid/</t>
  </si>
  <si>
    <t>$1,170,490</t>
  </si>
  <si>
    <t>1883 Maple Dr, San Francisco, IL 51041</t>
  </si>
  <si>
    <t>Z875902</t>
  </si>
  <si>
    <t>https://www.zillow.com/homedetails/62885167_zpid/</t>
  </si>
  <si>
    <t>$972,358</t>
  </si>
  <si>
    <t>7636 Elm St, Sacramento, NY 73820</t>
  </si>
  <si>
    <t>Z268175</t>
  </si>
  <si>
    <t>https://www.zillow.com/homedetails/51313080_zpid/</t>
  </si>
  <si>
    <t>$518,811</t>
  </si>
  <si>
    <t>3894 Pine Rd, Fresno, NY 65592</t>
  </si>
  <si>
    <t>Z575631</t>
  </si>
  <si>
    <t>https://www.zillow.com/homedetails/94175993_zpid/</t>
  </si>
  <si>
    <t>$794,201</t>
  </si>
  <si>
    <t>2565 Maple Dr, Los Angeles, IL 23601</t>
  </si>
  <si>
    <t>Z705809</t>
  </si>
  <si>
    <t>https://www.zillow.com/homedetails/42198598_zpid/</t>
  </si>
  <si>
    <t>$1,153,651</t>
  </si>
  <si>
    <t>7760 Main St, Sacramento, FL 36164</t>
  </si>
  <si>
    <t>Z440495</t>
  </si>
  <si>
    <t>https://www.zillow.com/homedetails/87782909_zpid/</t>
  </si>
  <si>
    <t>$311,336</t>
  </si>
  <si>
    <t>5772 Maple Dr, Los Angeles, IL 85231</t>
  </si>
  <si>
    <t>Z207904</t>
  </si>
  <si>
    <t>https://www.zillow.com/homedetails/24090806_zpid/</t>
  </si>
  <si>
    <t>$1,222,243</t>
  </si>
  <si>
    <t>6608 Oak Ave, Sacramento, TX 96179</t>
  </si>
  <si>
    <t>Z281626</t>
  </si>
  <si>
    <t>https://www.zillow.com/homedetails/62015436_zpid/</t>
  </si>
  <si>
    <t>$1,275,945</t>
  </si>
  <si>
    <t>4681 Pine Rd, San Diego, CA 47565</t>
  </si>
  <si>
    <t>Z567065</t>
  </si>
  <si>
    <t>https://www.zillow.com/homedetails/34497969_zpid/</t>
  </si>
  <si>
    <t>$617,079</t>
  </si>
  <si>
    <t>6567 Elm St, Sacramento, CA 98321</t>
  </si>
  <si>
    <t>Z319387</t>
  </si>
  <si>
    <t>https://www.zillow.com/homedetails/79880597_zpid/</t>
  </si>
  <si>
    <t>$1,143,302</t>
  </si>
  <si>
    <t>3889 Elm St, San Diego, FL 34347</t>
  </si>
  <si>
    <t>Z467681</t>
  </si>
  <si>
    <t>https://www.zillow.com/homedetails/50489064_zpid/</t>
  </si>
  <si>
    <t>$506,080</t>
  </si>
  <si>
    <t>6859 Main St, San Diego, NY 97588</t>
  </si>
  <si>
    <t>Z127054</t>
  </si>
  <si>
    <t>https://www.zillow.com/homedetails/98954122_zpid/</t>
  </si>
  <si>
    <t>$444,833</t>
  </si>
  <si>
    <t>2630 Oak Ave, Sacramento, TX 27878</t>
  </si>
  <si>
    <t>Z596885</t>
  </si>
  <si>
    <t>https://www.zillow.com/homedetails/86031082_zpid/</t>
  </si>
  <si>
    <t>$228,472</t>
  </si>
  <si>
    <t>3012 Oak Ave, Sacramento, NY 87245</t>
  </si>
  <si>
    <t>Z942915</t>
  </si>
  <si>
    <t>https://www.zillow.com/homedetails/66113627_zpid/</t>
  </si>
  <si>
    <t>$1,159,353</t>
  </si>
  <si>
    <t>3802 Elm St, San Diego, FL 15561</t>
  </si>
  <si>
    <t>Z928719</t>
  </si>
  <si>
    <t>https://www.zillow.com/homedetails/87493149_zpid/</t>
  </si>
  <si>
    <t>$159,743</t>
  </si>
  <si>
    <t>9868 Pine Rd, San Francisco, NY 55455</t>
  </si>
  <si>
    <t>Z879336</t>
  </si>
  <si>
    <t>https://www.zillow.com/homedetails/67604473_zpid/</t>
  </si>
  <si>
    <t>$1,456,442</t>
  </si>
  <si>
    <t>5566 Pine Rd, Fresno, FL 71572</t>
  </si>
  <si>
    <t>Z243932</t>
  </si>
  <si>
    <t>https://www.zillow.com/homedetails/52607659_zpid/</t>
  </si>
  <si>
    <t>$987,535</t>
  </si>
  <si>
    <t>3086 Pine Rd, San Diego, FL 32402</t>
  </si>
  <si>
    <t>Z914636</t>
  </si>
  <si>
    <t>https://www.zillow.com/homedetails/46994851_zpid/</t>
  </si>
  <si>
    <t>$216,447</t>
  </si>
  <si>
    <t>7125 Maple Dr, San Diego, CA 13109</t>
  </si>
  <si>
    <t>Z631603</t>
  </si>
  <si>
    <t>https://www.zillow.com/homedetails/19246960_zpid/</t>
  </si>
  <si>
    <t>$281,436</t>
  </si>
  <si>
    <t>1822 Main St, Sacramento, TX 36593</t>
  </si>
  <si>
    <t>Z966328</t>
  </si>
  <si>
    <t>https://www.zillow.com/homedetails/49406244_zpid/</t>
  </si>
  <si>
    <t>$651,450</t>
  </si>
  <si>
    <t>7022 Elm St, Fresno, FL 69768</t>
  </si>
  <si>
    <t>Z465001</t>
  </si>
  <si>
    <t>https://www.zillow.com/homedetails/33986488_zpid/</t>
  </si>
  <si>
    <t>$1,479,856</t>
  </si>
  <si>
    <t>9168 Elm St, Los Angeles, NY 47085</t>
  </si>
  <si>
    <t>Z602231</t>
  </si>
  <si>
    <t>https://www.zillow.com/homedetails/71953425_zpid/</t>
  </si>
  <si>
    <t>$190,824</t>
  </si>
  <si>
    <t>3181 Pine Rd, San Francisco, CA 30879</t>
  </si>
  <si>
    <t>Z425533</t>
  </si>
  <si>
    <t>https://www.zillow.com/homedetails/37820175_zpid/</t>
  </si>
  <si>
    <t>$1,403,737</t>
  </si>
  <si>
    <t>8269 Pine Rd, Fresno, TX 77172</t>
  </si>
  <si>
    <t>Z608733</t>
  </si>
  <si>
    <t>https://www.zillow.com/homedetails/77440196_zpid/</t>
  </si>
  <si>
    <t>$389,653</t>
  </si>
  <si>
    <t>5786 Main St, Fresno, TX 88176</t>
  </si>
  <si>
    <t>Z282135</t>
  </si>
  <si>
    <t>https://www.zillow.com/homedetails/30335406_zpid/</t>
  </si>
  <si>
    <t>$1,446,565</t>
  </si>
  <si>
    <t>6460 Main St, San Diego, TX 96424</t>
  </si>
  <si>
    <t>Z486515</t>
  </si>
  <si>
    <t>https://www.zillow.com/homedetails/61702903_zpid/</t>
  </si>
  <si>
    <t>$116,376</t>
  </si>
  <si>
    <t>3884 Elm St, San Diego, FL 31413</t>
  </si>
  <si>
    <t>Z479844</t>
  </si>
  <si>
    <t>https://www.zillow.com/homedetails/54072549_zpid/</t>
  </si>
  <si>
    <t>$604,616</t>
  </si>
  <si>
    <t>1001 Main St, San Diego, CA 16818</t>
  </si>
  <si>
    <t>Z564644</t>
  </si>
  <si>
    <t>https://www.zillow.com/homedetails/53486223_zpid/</t>
  </si>
  <si>
    <t>$895,042</t>
  </si>
  <si>
    <t>9657 Pine Rd, Sacramento, TX 35544</t>
  </si>
  <si>
    <t>Z596405</t>
  </si>
  <si>
    <t>https://www.zillow.com/homedetails/19721534_zpid/</t>
  </si>
  <si>
    <t>$1,405,348</t>
  </si>
  <si>
    <t>2710 Oak Ave, Sacramento, IL 20235</t>
  </si>
  <si>
    <t>Z509484</t>
  </si>
  <si>
    <t>https://www.zillow.com/homedetails/80982240_zpid/</t>
  </si>
  <si>
    <t>$1,028,996</t>
  </si>
  <si>
    <t>8408 Elm St, Sacramento, TX 36212</t>
  </si>
  <si>
    <t>Z627216</t>
  </si>
  <si>
    <t>https://www.zillow.com/homedetails/45285404_zpid/</t>
  </si>
  <si>
    <t>$105,815</t>
  </si>
  <si>
    <t>8467 Pine Rd, Sacramento, NY 40627</t>
  </si>
  <si>
    <t>Z211205</t>
  </si>
  <si>
    <t>https://www.zillow.com/homedetails/45431334_zpid/</t>
  </si>
  <si>
    <t>$324,648</t>
  </si>
  <si>
    <t>521 Pine Rd, San Francisco, FL 67386</t>
  </si>
  <si>
    <t>https://www.zillow.com/homedetails/70322671_zpid/</t>
  </si>
  <si>
    <t>$564,670</t>
  </si>
  <si>
    <t>8156 Maple Dr, Fresno, FL 49998</t>
  </si>
  <si>
    <t>Z892108</t>
  </si>
  <si>
    <t>https://www.zillow.com/homedetails/45067190_zpid/</t>
  </si>
  <si>
    <t>$1,422,607</t>
  </si>
  <si>
    <t>2449 Maple Dr, Los Angeles, TX 10491</t>
  </si>
  <si>
    <t>Z797629</t>
  </si>
  <si>
    <t>https://www.zillow.com/homedetails/25788403_zpid/</t>
  </si>
  <si>
    <t>$1,466,346</t>
  </si>
  <si>
    <t>6430 Main St, Sacramento, CA 48995</t>
  </si>
  <si>
    <t>Z805938</t>
  </si>
  <si>
    <t>https://www.zillow.com/homedetails/45395344_zpid/</t>
  </si>
  <si>
    <t>$160,897</t>
  </si>
  <si>
    <t>952 Maple Dr, Fresno, NY 40673</t>
  </si>
  <si>
    <t>Z213111</t>
  </si>
  <si>
    <t>https://www.zillow.com/homedetails/50548775_zpid/</t>
  </si>
  <si>
    <t>$436,022</t>
  </si>
  <si>
    <t>8608 Pine Rd, Los Angeles, TX 28140</t>
  </si>
  <si>
    <t>Z804629</t>
  </si>
  <si>
    <t>https://www.zillow.com/homedetails/65377431_zpid/</t>
  </si>
  <si>
    <t>$945,774</t>
  </si>
  <si>
    <t>4639 Elm St, Sacramento, FL 96257</t>
  </si>
  <si>
    <t>Z753112</t>
  </si>
  <si>
    <t>https://www.zillow.com/homedetails/93326297_zpid/</t>
  </si>
  <si>
    <t>$510,098</t>
  </si>
  <si>
    <t>3099 Pine Rd, San Francisco, FL 57075</t>
  </si>
  <si>
    <t>Z830296</t>
  </si>
  <si>
    <t>https://www.zillow.com/homedetails/73608980_zpid/</t>
  </si>
  <si>
    <t>$461,841</t>
  </si>
  <si>
    <t>1296 Oak Ave, San Francisco, NY 20228</t>
  </si>
  <si>
    <t>Z788226</t>
  </si>
  <si>
    <t>https://www.zillow.com/homedetails/71418676_zpid/</t>
  </si>
  <si>
    <t>$576,151</t>
  </si>
  <si>
    <t>3087 Elm St, San Francisco, NY 81096</t>
  </si>
  <si>
    <t>Z728632</t>
  </si>
  <si>
    <t>https://www.zillow.com/homedetails/70126514_zpid/</t>
  </si>
  <si>
    <t>$158,429</t>
  </si>
  <si>
    <t>6067 Main St, Fresno, FL 51176</t>
  </si>
  <si>
    <t>Z382774</t>
  </si>
  <si>
    <t>https://www.zillow.com/homedetails/96561059_zpid/</t>
  </si>
  <si>
    <t>$852,100</t>
  </si>
  <si>
    <t>6549 Main St, Fresno, CA 31282</t>
  </si>
  <si>
    <t>Z608178</t>
  </si>
  <si>
    <t>https://www.zillow.com/homedetails/38468087_zpid/</t>
  </si>
  <si>
    <t>$1,253,720</t>
  </si>
  <si>
    <t>1883 Main St, San Diego, TX 78722</t>
  </si>
  <si>
    <t>Z311687</t>
  </si>
  <si>
    <t>https://www.zillow.com/homedetails/81524202_zpid/</t>
  </si>
  <si>
    <t>$465,743</t>
  </si>
  <si>
    <t>7952 Oak Ave, San Francisco, NY 54506</t>
  </si>
  <si>
    <t>Z532627</t>
  </si>
  <si>
    <t>https://www.zillow.com/homedetails/52995000_zpid/</t>
  </si>
  <si>
    <t>$324,975</t>
  </si>
  <si>
    <t>8696 Oak Ave, Sacramento, NY 91219</t>
  </si>
  <si>
    <t>Z855635</t>
  </si>
  <si>
    <t>https://www.zillow.com/homedetails/61778067_zpid/</t>
  </si>
  <si>
    <t>$574,029</t>
  </si>
  <si>
    <t>5026 Maple Dr, Los Angeles, TX 36687</t>
  </si>
  <si>
    <t>Z364680</t>
  </si>
  <si>
    <t>https://www.zillow.com/homedetails/87324130_zpid/</t>
  </si>
  <si>
    <t>$1,432,839</t>
  </si>
  <si>
    <t>167 Maple Dr, Fresno, TX 97184</t>
  </si>
  <si>
    <t>Z186089</t>
  </si>
  <si>
    <t>https://www.zillow.com/homedetails/89699855_zpid/</t>
  </si>
  <si>
    <t>$1,233,794</t>
  </si>
  <si>
    <t>1402 Pine Rd, San Diego, IL 69637</t>
  </si>
  <si>
    <t>Z728742</t>
  </si>
  <si>
    <t>https://www.zillow.com/homedetails/44106471_zpid/</t>
  </si>
  <si>
    <t>$1,322,594</t>
  </si>
  <si>
    <t>2690 Elm St, San Francisco, TX 64803</t>
  </si>
  <si>
    <t>Z690264</t>
  </si>
  <si>
    <t>https://www.zillow.com/homedetails/40144248_zpid/</t>
  </si>
  <si>
    <t>$1,460,985</t>
  </si>
  <si>
    <t>7481 Main St, Fresno, FL 13536</t>
  </si>
  <si>
    <t>Z900551</t>
  </si>
  <si>
    <t>https://www.zillow.com/homedetails/35107566_zpid/</t>
  </si>
  <si>
    <t>$1,324,558</t>
  </si>
  <si>
    <t>7752 Elm St, Fresno, IL 22788</t>
  </si>
  <si>
    <t>Z424277</t>
  </si>
  <si>
    <t>https://www.zillow.com/homedetails/69736379_zpid/</t>
  </si>
  <si>
    <t>$867,826</t>
  </si>
  <si>
    <t>9447 Elm St, Sacramento, TX 59416</t>
  </si>
  <si>
    <t>Z334851</t>
  </si>
  <si>
    <t>https://www.zillow.com/homedetails/55251483_zpid/</t>
  </si>
  <si>
    <t>$1,035,884</t>
  </si>
  <si>
    <t>8085 Elm St, Los Angeles, IL 79542</t>
  </si>
  <si>
    <t>Z867970</t>
  </si>
  <si>
    <t>https://www.zillow.com/homedetails/40944271_zpid/</t>
  </si>
  <si>
    <t>$334,465</t>
  </si>
  <si>
    <t>5331 Elm St, San Francisco, CA 25725</t>
  </si>
  <si>
    <t>Z357161</t>
  </si>
  <si>
    <t>https://www.zillow.com/homedetails/62376439_zpid/</t>
  </si>
  <si>
    <t>$983,059</t>
  </si>
  <si>
    <t>9196 Pine Rd, San Francisco, CA 42585</t>
  </si>
  <si>
    <t>Z638160</t>
  </si>
  <si>
    <t>https://www.zillow.com/homedetails/74927248_zpid/</t>
  </si>
  <si>
    <t>$883,696</t>
  </si>
  <si>
    <t>7902 Main St, Fresno, IL 12612</t>
  </si>
  <si>
    <t>Z961720</t>
  </si>
  <si>
    <t>https://www.zillow.com/homedetails/12192891_zpid/</t>
  </si>
  <si>
    <t>$671,605</t>
  </si>
  <si>
    <t>6679 Elm St, San Francisco, IL 76081</t>
  </si>
  <si>
    <t>Z763653</t>
  </si>
  <si>
    <t>https://www.zillow.com/homedetails/89100665_zpid/</t>
  </si>
  <si>
    <t>$853,376</t>
  </si>
  <si>
    <t>3930 Pine Rd, Los Angeles, TX 95141</t>
  </si>
  <si>
    <t>Z300429</t>
  </si>
  <si>
    <t>https://www.zillow.com/homedetails/24199428_zpid/</t>
  </si>
  <si>
    <t>$770,472</t>
  </si>
  <si>
    <t>8294 Elm St, San Diego, FL 36770</t>
  </si>
  <si>
    <t>Z753348</t>
  </si>
  <si>
    <t>https://www.zillow.com/homedetails/90459187_zpid/</t>
  </si>
  <si>
    <t>$388,184</t>
  </si>
  <si>
    <t>6474 Maple Dr, San Diego, TX 74466</t>
  </si>
  <si>
    <t>Z592889</t>
  </si>
  <si>
    <t>https://www.zillow.com/homedetails/43035389_zpid/</t>
  </si>
  <si>
    <t>$885,549</t>
  </si>
  <si>
    <t>6715 Main St, Sacramento, NY 35803</t>
  </si>
  <si>
    <t>Z864350</t>
  </si>
  <si>
    <t>https://www.zillow.com/homedetails/87682303_zpid/</t>
  </si>
  <si>
    <t>$625,188</t>
  </si>
  <si>
    <t>7281 Pine Rd, San Diego, IL 94424</t>
  </si>
  <si>
    <t>Z812071</t>
  </si>
  <si>
    <t>https://www.zillow.com/homedetails/13646056_zpid/</t>
  </si>
  <si>
    <t>$1,461,196</t>
  </si>
  <si>
    <t>6660 Main St, Los Angeles, IL 38506</t>
  </si>
  <si>
    <t>Z910225</t>
  </si>
  <si>
    <t>https://www.zillow.com/homedetails/79743710_zpid/</t>
  </si>
  <si>
    <t>$1,052,043</t>
  </si>
  <si>
    <t>1950 Oak Ave, Los Angeles, IL 64432</t>
  </si>
  <si>
    <t>Z157515</t>
  </si>
  <si>
    <t>https://www.zillow.com/homedetails/78911651_zpid/</t>
  </si>
  <si>
    <t>$135,403</t>
  </si>
  <si>
    <t>7914 Elm St, Los Angeles, TX 65534</t>
  </si>
  <si>
    <t>Z499023</t>
  </si>
  <si>
    <t>https://www.zillow.com/homedetails/67675022_zpid/</t>
  </si>
  <si>
    <t>$999,822</t>
  </si>
  <si>
    <t>3099 Elm St, Los Angeles, NY 84171</t>
  </si>
  <si>
    <t>Z617767</t>
  </si>
  <si>
    <t>https://www.zillow.com/homedetails/56881958_zpid/</t>
  </si>
  <si>
    <t>$635,574</t>
  </si>
  <si>
    <t>444 Elm St, Fresno, CA 65770</t>
  </si>
  <si>
    <t>Z726336</t>
  </si>
  <si>
    <t>https://www.zillow.com/homedetails/58526774_zpid/</t>
  </si>
  <si>
    <t>$658,161</t>
  </si>
  <si>
    <t>4892 Oak Ave, San Francisco, NY 67187</t>
  </si>
  <si>
    <t>Z566875</t>
  </si>
  <si>
    <t>https://www.zillow.com/homedetails/73792645_zpid/</t>
  </si>
  <si>
    <t>$453,812</t>
  </si>
  <si>
    <t>9228 Maple Dr, Los Angeles, IL 50359</t>
  </si>
  <si>
    <t>Z433288</t>
  </si>
  <si>
    <t>https://www.zillow.com/homedetails/18592315_zpid/</t>
  </si>
  <si>
    <t>$735,476</t>
  </si>
  <si>
    <t>8692 Pine Rd, San Diego, IL 52545</t>
  </si>
  <si>
    <t>Z264415</t>
  </si>
  <si>
    <t>https://www.zillow.com/homedetails/37849956_zpid/</t>
  </si>
  <si>
    <t>$1,035,174</t>
  </si>
  <si>
    <t>3371 Main St, Sacramento, IL 22390</t>
  </si>
  <si>
    <t>Z149625</t>
  </si>
  <si>
    <t>https://www.zillow.com/homedetails/63833047_zpid/</t>
  </si>
  <si>
    <t>$1,003,613</t>
  </si>
  <si>
    <t>2072 Main St, Sacramento, CA 13327</t>
  </si>
  <si>
    <t>Z618994</t>
  </si>
  <si>
    <t>https://www.zillow.com/homedetails/32186259_zpid/</t>
  </si>
  <si>
    <t>$858,649</t>
  </si>
  <si>
    <t>6443 Oak Ave, Fresno, CA 88090</t>
  </si>
  <si>
    <t>Z434638</t>
  </si>
  <si>
    <t>https://www.zillow.com/homedetails/16332898_zpid/</t>
  </si>
  <si>
    <t>$580,183</t>
  </si>
  <si>
    <t>4608 Main St, San Francisco, NY 83512</t>
  </si>
  <si>
    <t>Z955809</t>
  </si>
  <si>
    <t>https://www.zillow.com/homedetails/32205342_zpid/</t>
  </si>
  <si>
    <t>$1,377,244</t>
  </si>
  <si>
    <t>2261 Maple Dr, Fresno, IL 60525</t>
  </si>
  <si>
    <t>Z197275</t>
  </si>
  <si>
    <t>https://www.zillow.com/homedetails/21739243_zpid/</t>
  </si>
  <si>
    <t>$1,238,285</t>
  </si>
  <si>
    <t>4326 Pine Rd, Fresno, CA 35039</t>
  </si>
  <si>
    <t>Z702766</t>
  </si>
  <si>
    <t>https://www.zillow.com/homedetails/32390794_zpid/</t>
  </si>
  <si>
    <t>$1,151,470</t>
  </si>
  <si>
    <t>9901 Elm St, San Diego, IL 41905</t>
  </si>
  <si>
    <t>Z375724</t>
  </si>
  <si>
    <t>https://www.zillow.com/homedetails/32530297_zpid/</t>
  </si>
  <si>
    <t>$643,240</t>
  </si>
  <si>
    <t>9748 Pine Rd, San Diego, TX 31755</t>
  </si>
  <si>
    <t>Z748937</t>
  </si>
  <si>
    <t>https://www.zillow.com/homedetails/50230821_zpid/</t>
  </si>
  <si>
    <t>$709,999</t>
  </si>
  <si>
    <t>8338 Oak Ave, San Francisco, TX 22545</t>
  </si>
  <si>
    <t>Z923215</t>
  </si>
  <si>
    <t>https://www.zillow.com/homedetails/94539083_zpid/</t>
  </si>
  <si>
    <t>$1,167,986</t>
  </si>
  <si>
    <t>9758 Main St, Sacramento, FL 27085</t>
  </si>
  <si>
    <t>Z606990</t>
  </si>
  <si>
    <t>https://www.zillow.com/homedetails/72675017_zpid/</t>
  </si>
  <si>
    <t>$1,342,049</t>
  </si>
  <si>
    <t>5906 Elm St, San Diego, NY 62862</t>
  </si>
  <si>
    <t>Z664661</t>
  </si>
  <si>
    <t>https://www.zillow.com/homedetails/59213653_zpid/</t>
  </si>
  <si>
    <t>$1,065,578</t>
  </si>
  <si>
    <t>4520 Oak Ave, Fresno, FL 12390</t>
  </si>
  <si>
    <t>Z653449</t>
  </si>
  <si>
    <t>https://www.zillow.com/homedetails/52432663_zpid/</t>
  </si>
  <si>
    <t>$738,309</t>
  </si>
  <si>
    <t>2923 Maple Dr, Los Angeles, NY 72696</t>
  </si>
  <si>
    <t>Z133669</t>
  </si>
  <si>
    <t>https://www.zillow.com/homedetails/53902759_zpid/</t>
  </si>
  <si>
    <t>$1,036,105</t>
  </si>
  <si>
    <t>9582 Pine Rd, Sacramento, CA 96358</t>
  </si>
  <si>
    <t>Z208265</t>
  </si>
  <si>
    <t>https://www.zillow.com/homedetails/41376248_zpid/</t>
  </si>
  <si>
    <t>$193,808</t>
  </si>
  <si>
    <t>6576 Oak Ave, San Diego, IL 25597</t>
  </si>
  <si>
    <t>Z253555</t>
  </si>
  <si>
    <t>https://www.zillow.com/homedetails/33183361_zpid/</t>
  </si>
  <si>
    <t>$195,265</t>
  </si>
  <si>
    <t>3056 Elm St, San Diego, IL 35123</t>
  </si>
  <si>
    <t>Z160868</t>
  </si>
  <si>
    <t>https://www.zillow.com/homedetails/88475186_zpid/</t>
  </si>
  <si>
    <t>$1,158,742</t>
  </si>
  <si>
    <t>9040 Pine Rd, Sacramento, IL 80471</t>
  </si>
  <si>
    <t>Z183167</t>
  </si>
  <si>
    <t>https://www.zillow.com/homedetails/28693007_zpid/</t>
  </si>
  <si>
    <t>$801,824</t>
  </si>
  <si>
    <t>4167 Oak Ave, San Diego, TX 78499</t>
  </si>
  <si>
    <t>Z284935</t>
  </si>
  <si>
    <t>https://www.zillow.com/homedetails/50860042_zpid/</t>
  </si>
  <si>
    <t>$843,703</t>
  </si>
  <si>
    <t>5606 Pine Rd, Sacramento, CA 39627</t>
  </si>
  <si>
    <t>Z842214</t>
  </si>
  <si>
    <t>https://www.zillow.com/homedetails/33603937_zpid/</t>
  </si>
  <si>
    <t>$743,513</t>
  </si>
  <si>
    <t>6230 Maple Dr, Fresno, TX 62804</t>
  </si>
  <si>
    <t>Z350999</t>
  </si>
  <si>
    <t>https://www.zillow.com/homedetails/44710479_zpid/</t>
  </si>
  <si>
    <t>$211,664</t>
  </si>
  <si>
    <t>8683 Main St, San Diego, TX 99740</t>
  </si>
  <si>
    <t>Z748192</t>
  </si>
  <si>
    <t>https://www.zillow.com/homedetails/41368665_zpid/</t>
  </si>
  <si>
    <t>$712,029</t>
  </si>
  <si>
    <t>4392 Maple Dr, Los Angeles, NY 89198</t>
  </si>
  <si>
    <t>Z876426</t>
  </si>
  <si>
    <t>https://www.zillow.com/homedetails/64854326_zpid/</t>
  </si>
  <si>
    <t>Area (Sqft)</t>
  </si>
  <si>
    <t>Lot Size(Sqft)</t>
  </si>
  <si>
    <t>Duplicated MLS</t>
  </si>
  <si>
    <t>Duplicacy status</t>
  </si>
  <si>
    <t>Area Category</t>
  </si>
  <si>
    <t>Age of Property</t>
  </si>
  <si>
    <t>Age Category</t>
  </si>
  <si>
    <t>No. of Properties</t>
  </si>
  <si>
    <t>Lot Size</t>
  </si>
  <si>
    <t>Max Price</t>
  </si>
  <si>
    <t>Average Price</t>
  </si>
  <si>
    <t>No. Of Bedrooms</t>
  </si>
  <si>
    <t>Area</t>
  </si>
  <si>
    <t>Average Days on Market</t>
  </si>
  <si>
    <t>600-1600</t>
  </si>
  <si>
    <t>1600-2600</t>
  </si>
  <si>
    <t>2600-3600</t>
  </si>
  <si>
    <t>3600+</t>
  </si>
  <si>
    <t>No. of Properties sold</t>
  </si>
  <si>
    <t>AVERAGE of Days on Market</t>
  </si>
  <si>
    <t>AVERAGE of Price</t>
  </si>
  <si>
    <t>Mid</t>
  </si>
  <si>
    <t>New</t>
  </si>
  <si>
    <t>Old</t>
  </si>
  <si>
    <t>Very 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</si>
</sst>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  <font>
      <sz val="12.0"/>
      <color theme="1"/>
      <name val="Calibri"/>
      <scheme val="minor"/>
    </font>
    <font>
      <b/>
      <color theme="1"/>
      <name val="Calibri"/>
      <scheme val="minor"/>
    </font>
    <font>
      <b/>
      <color rgb="FF000000"/>
      <name val="Calibri"/>
      <scheme val="minor"/>
    </font>
    <font>
      <b/>
      <sz val="12.0"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vertical="center"/>
    </xf>
    <xf borderId="0" fillId="0" fontId="1" numFmtId="2" xfId="0" applyFont="1" applyNumberFormat="1"/>
    <xf borderId="0" fillId="2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horizontal="center" readingOrder="0" vertical="center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6" fontId="1" numFmtId="0" xfId="0" applyAlignment="1" applyFill="1" applyFont="1">
      <alignment readingOrder="0"/>
    </xf>
    <xf borderId="0" fillId="6" fontId="1" numFmtId="164" xfId="0" applyFont="1" applyNumberFormat="1"/>
    <xf borderId="0" fillId="7" fontId="1" numFmtId="0" xfId="0" applyAlignment="1" applyFill="1" applyFont="1">
      <alignment readingOrder="0"/>
    </xf>
    <xf borderId="0" fillId="7" fontId="1" numFmtId="164" xfId="0" applyFont="1" applyNumberFormat="1"/>
    <xf borderId="0" fillId="8" fontId="1" numFmtId="0" xfId="0" applyAlignment="1" applyFill="1" applyFont="1">
      <alignment horizontal="center"/>
    </xf>
    <xf borderId="0" fillId="8" fontId="1" numFmtId="164" xfId="0" applyAlignment="1" applyFont="1" applyNumberFormat="1">
      <alignment horizontal="center"/>
    </xf>
    <xf borderId="0" fillId="7" fontId="4" numFmtId="0" xfId="0" applyFont="1"/>
    <xf borderId="0" fillId="7" fontId="4" numFmtId="164" xfId="0" applyFont="1" applyNumberFormat="1"/>
    <xf borderId="0" fillId="8" fontId="4" numFmtId="0" xfId="0" applyAlignment="1" applyFont="1">
      <alignment horizontal="center"/>
    </xf>
    <xf borderId="0" fillId="8" fontId="4" numFmtId="16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7" fontId="1" numFmtId="0" xfId="0" applyFont="1"/>
    <xf borderId="0" fillId="6" fontId="4" numFmtId="0" xfId="0" applyAlignment="1" applyFont="1">
      <alignment readingOrder="0"/>
    </xf>
    <xf borderId="0" fillId="6" fontId="4" numFmtId="164" xfId="0" applyFont="1" applyNumberFormat="1"/>
    <xf borderId="0" fillId="3" fontId="4" numFmtId="0" xfId="0" applyAlignment="1" applyFont="1">
      <alignment readingOrder="0"/>
    </xf>
    <xf borderId="0" fillId="3" fontId="4" numFmtId="0" xfId="0" applyFont="1"/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2" fontId="1" numFmtId="164" xfId="0" applyFont="1" applyNumberFormat="1"/>
    <xf borderId="0" fillId="8" fontId="1" numFmtId="0" xfId="0" applyFont="1"/>
    <xf borderId="0" fillId="12" fontId="4" numFmtId="0" xfId="0" applyAlignment="1" applyFont="1">
      <alignment readingOrder="0"/>
    </xf>
    <xf borderId="0" fillId="12" fontId="4" numFmtId="164" xfId="0" applyFont="1" applyNumberFormat="1"/>
    <xf borderId="0" fillId="8" fontId="4" numFmtId="0" xfId="0" applyFont="1"/>
    <xf borderId="0" fillId="13" fontId="4" numFmtId="0" xfId="0" applyAlignment="1" applyFill="1" applyFont="1">
      <alignment readingOrder="0"/>
    </xf>
    <xf borderId="0" fillId="14" fontId="4" numFmtId="0" xfId="0" applyAlignment="1" applyFill="1" applyFont="1">
      <alignment readingOrder="0"/>
    </xf>
    <xf borderId="0" fillId="2" fontId="4" numFmtId="0" xfId="0" applyFont="1"/>
    <xf borderId="0" fillId="2" fontId="5" numFmtId="0" xfId="0" applyFont="1"/>
    <xf borderId="0" fillId="8" fontId="4" numFmtId="0" xfId="0" applyAlignment="1" applyFont="1">
      <alignment readingOrder="0"/>
    </xf>
    <xf borderId="0" fillId="10" fontId="4" numFmtId="0" xfId="0" applyFont="1"/>
    <xf borderId="0" fillId="10" fontId="5" numFmtId="0" xfId="0" applyFont="1"/>
    <xf borderId="0" fillId="15" fontId="4" numFmtId="0" xfId="0" applyFill="1" applyFont="1"/>
    <xf borderId="0" fillId="15" fontId="5" numFmtId="0" xfId="0" applyFont="1"/>
    <xf borderId="0" fillId="8" fontId="4" numFmtId="164" xfId="0" applyFont="1" applyNumberFormat="1"/>
    <xf borderId="0" fillId="6" fontId="1" numFmtId="0" xfId="0" applyFont="1"/>
    <xf borderId="0" fillId="8" fontId="1" numFmtId="164" xfId="0" applyFont="1" applyNumberFormat="1"/>
    <xf borderId="0" fillId="6" fontId="4" numFmtId="0" xfId="0" applyFont="1"/>
    <xf borderId="0" fillId="16" fontId="1" numFmtId="0" xfId="0" applyFill="1" applyFont="1"/>
    <xf borderId="0" fillId="3" fontId="1" numFmtId="0" xfId="0" applyFont="1"/>
    <xf borderId="0" fillId="4" fontId="4" numFmtId="0" xfId="0" applyFont="1"/>
    <xf borderId="0" fillId="4" fontId="5" numFmtId="0" xfId="0" applyFont="1"/>
    <xf borderId="0" fillId="6" fontId="1" numFmtId="164" xfId="0" applyFont="1" applyNumberFormat="1"/>
    <xf borderId="0" fillId="6" fontId="4" numFmtId="164" xfId="0" applyFont="1" applyNumberFormat="1"/>
    <xf borderId="0" fillId="0" fontId="1" numFmtId="0" xfId="0" applyAlignment="1" applyFont="1">
      <alignment shrinkToFit="0" vertical="center" wrapText="0"/>
    </xf>
    <xf borderId="0" fillId="3" fontId="1" numFmtId="164" xfId="0" applyFont="1" applyNumberFormat="1"/>
    <xf borderId="0" fillId="3" fontId="1" numFmtId="0" xfId="0" applyAlignment="1" applyFont="1">
      <alignment readingOrder="0"/>
    </xf>
    <xf borderId="0" fillId="3" fontId="2" numFmtId="0" xfId="0" applyAlignment="1" applyFon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0" fillId="3" fontId="6" numFmtId="2" xfId="0" applyAlignment="1" applyFont="1" applyNumberForma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ysis-style 2">
      <tableStyleElement dxfId="5" type="headerRow"/>
      <tableStyleElement dxfId="6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Most Expensive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Analysis!$AA$6</c:f>
            </c:strRef>
          </c:tx>
          <c:spPr>
            <a:solidFill>
              <a:srgbClr val="8E7CC3"/>
            </a:solidFill>
            <a:ln cmpd="sng">
              <a:solidFill>
                <a:srgbClr val="000000">
                  <a:alpha val="50196"/>
                </a:srgbClr>
              </a:solidFill>
            </a:ln>
          </c:spPr>
          <c:dPt>
            <c:idx val="1"/>
            <c:spPr>
              <a:solidFill>
                <a:srgbClr val="E06666"/>
              </a:solidFill>
              <a:ln cmpd="sng">
                <a:solidFill>
                  <a:srgbClr val="EA9999">
                    <a:alpha val="100000"/>
                  </a:srgbClr>
                </a:solidFill>
                <a:prstDash val="solid"/>
              </a:ln>
            </c:spPr>
          </c:dPt>
          <c:dPt>
            <c:idx val="3"/>
          </c:dPt>
          <c:cat>
            <c:strRef>
              <c:f>Analysis!$Z$7:$Z$11</c:f>
            </c:strRef>
          </c:cat>
          <c:val>
            <c:numRef>
              <c:f>Analysis!$AA$7:$AA$11</c:f>
              <c:numCache/>
            </c:numRef>
          </c:val>
        </c:ser>
        <c:axId val="641538722"/>
        <c:axId val="1579673791"/>
      </c:barChart>
      <c:catAx>
        <c:axId val="641538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673791"/>
      </c:catAx>
      <c:valAx>
        <c:axId val="1579673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538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Most Expensive Property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Analysis!$AE$6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F9CB9C"/>
              </a:solidFill>
              <a:ln cmpd="sng">
                <a:solidFill>
                  <a:srgbClr val="E69138">
                    <a:alpha val="100000"/>
                  </a:srgbClr>
                </a:solidFill>
              </a:ln>
            </c:spPr>
          </c:dPt>
          <c:cat>
            <c:strRef>
              <c:f>Analysis!$AD$7:$AD$11</c:f>
            </c:strRef>
          </c:cat>
          <c:val>
            <c:numRef>
              <c:f>Analysis!$AE$7:$AE$11</c:f>
              <c:numCache/>
            </c:numRef>
          </c:val>
        </c:ser>
        <c:axId val="1507583697"/>
        <c:axId val="1563848843"/>
      </c:barChart>
      <c:catAx>
        <c:axId val="15075836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Property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848843"/>
      </c:catAx>
      <c:valAx>
        <c:axId val="15638488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5836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Fastest Property Seller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Analysis!$AE$27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9EAD3"/>
              </a:solidFill>
              <a:ln cmpd="sng">
                <a:solidFill>
                  <a:srgbClr val="999999">
                    <a:alpha val="100000"/>
                  </a:srgbClr>
                </a:solidFill>
              </a:ln>
            </c:spPr>
          </c:dPt>
          <c:cat>
            <c:strRef>
              <c:f>Analysis!$AD$28:$AD$32</c:f>
            </c:strRef>
          </c:cat>
          <c:val>
            <c:numRef>
              <c:f>Analysis!$AE$28:$AE$32</c:f>
              <c:numCache/>
            </c:numRef>
          </c:val>
        </c:ser>
        <c:overlap val="100"/>
        <c:axId val="1831513639"/>
        <c:axId val="1306213006"/>
      </c:barChart>
      <c:catAx>
        <c:axId val="1831513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Listing Agent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213006"/>
      </c:catAx>
      <c:valAx>
        <c:axId val="1306213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Days on Market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513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Earliest Selling Property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Analysis!$AE$16</c:f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Analysis!$AD$17:$AD$21</c:f>
            </c:strRef>
          </c:cat>
          <c:val>
            <c:numRef>
              <c:f>Analysis!$AE$17:$AE$21</c:f>
              <c:numCache/>
            </c:numRef>
          </c:val>
        </c:ser>
        <c:axId val="212763666"/>
        <c:axId val="194106689"/>
      </c:barChart>
      <c:catAx>
        <c:axId val="212763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Property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</a:p>
        </c:txPr>
        <c:crossAx val="194106689"/>
      </c:catAx>
      <c:valAx>
        <c:axId val="194106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Days on Market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63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In Market Days per City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Analysis!$W$27</c:f>
            </c:strRef>
          </c:tx>
          <c:dPt>
            <c:idx val="0"/>
            <c:spPr>
              <a:solidFill>
                <a:srgbClr val="A61C00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Analysis!$V$28:$V$32</c:f>
            </c:strRef>
          </c:cat>
          <c:val>
            <c:numRef>
              <c:f>Analysis!$W$28:$W$32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No. of Properties sold per Salesperson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Analysis!$AA$27</c:f>
            </c:strRef>
          </c:tx>
          <c:dPt>
            <c:idx val="0"/>
            <c:explosion val="0"/>
            <c:spPr>
              <a:solidFill>
                <a:srgbClr val="CC4125"/>
              </a:solidFill>
            </c:spPr>
          </c:dPt>
          <c:dPt>
            <c:idx val="1"/>
            <c:spPr>
              <a:solidFill>
                <a:srgbClr val="F1C232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8E7CC3"/>
              </a:solidFill>
            </c:spPr>
          </c:dPt>
          <c:dPt>
            <c:idx val="4"/>
            <c:spPr>
              <a:solidFill>
                <a:srgbClr val="EAD1D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Analysis!$Z$28:$Z$32</c:f>
            </c:strRef>
          </c:cat>
          <c:val>
            <c:numRef>
              <c:f>Analysis!$AA$28:$AA$32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Time Trend of Property Sold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Analysis!$AA$36</c:f>
            </c:strRef>
          </c:tx>
          <c:spPr>
            <a:solidFill>
              <a:srgbClr val="F6B26B"/>
            </a:solidFill>
            <a:ln cmpd="sng">
              <a:solidFill>
                <a:srgbClr val="E69138">
                  <a:alpha val="100000"/>
                </a:srgbClr>
              </a:solidFill>
              <a:prstDash val="solid"/>
            </a:ln>
          </c:spPr>
          <c:dPt>
            <c:idx val="0"/>
          </c:dPt>
          <c:dPt>
            <c:idx val="1"/>
            <c:spPr>
              <a:solidFill>
                <a:srgbClr val="B6D7A8"/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dPt>
          <c:cat>
            <c:strRef>
              <c:f>Analysis!$Z$37:$Z$40</c:f>
            </c:strRef>
          </c:cat>
          <c:val>
            <c:numRef>
              <c:f>Analysis!$AA$37:$AA$40</c:f>
              <c:numCache/>
            </c:numRef>
          </c:val>
        </c:ser>
        <c:axId val="463270525"/>
        <c:axId val="706766577"/>
      </c:barChart>
      <c:catAx>
        <c:axId val="4632705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766577"/>
      </c:catAx>
      <c:valAx>
        <c:axId val="7067665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Days on Market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2705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Price vs. No. of Bedrooms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Analysis!$W$16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CC0000">
                  <a:alpha val="100000"/>
                </a:srgbClr>
              </a:solidFill>
              <a:ln cmpd="sng">
                <a:solidFill>
                  <a:srgbClr val="CC0000">
                    <a:alpha val="100000"/>
                  </a:srgbClr>
                </a:solidFill>
              </a:ln>
            </c:spPr>
          </c:marker>
          <c:cat>
            <c:strRef>
              <c:f>Analysis!$V$17:$V$22</c:f>
            </c:strRef>
          </c:cat>
          <c:val>
            <c:numRef>
              <c:f>Analysis!$W$17:$W$22</c:f>
              <c:numCache/>
            </c:numRef>
          </c:val>
          <c:smooth val="0"/>
        </c:ser>
        <c:axId val="1313848810"/>
        <c:axId val="391384827"/>
      </c:lineChart>
      <c:catAx>
        <c:axId val="1313848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Bedrooms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384827"/>
      </c:catAx>
      <c:valAx>
        <c:axId val="391384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848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4533900" cy="3295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685800</xdr:colOff>
      <xdr:row>0</xdr:row>
      <xdr:rowOff>0</xdr:rowOff>
    </xdr:from>
    <xdr:ext cx="4362450" cy="3295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952500</xdr:colOff>
      <xdr:row>17</xdr:row>
      <xdr:rowOff>57150</xdr:rowOff>
    </xdr:from>
    <xdr:ext cx="4533900" cy="3429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685800</xdr:colOff>
      <xdr:row>17</xdr:row>
      <xdr:rowOff>57150</xdr:rowOff>
    </xdr:from>
    <xdr:ext cx="4362450" cy="3429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247650</xdr:colOff>
      <xdr:row>0</xdr:row>
      <xdr:rowOff>0</xdr:rowOff>
    </xdr:from>
    <xdr:ext cx="4362450" cy="3295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257175</xdr:colOff>
      <xdr:row>17</xdr:row>
      <xdr:rowOff>57150</xdr:rowOff>
    </xdr:from>
    <xdr:ext cx="4362450" cy="34290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16</xdr:col>
      <xdr:colOff>771525</xdr:colOff>
      <xdr:row>0</xdr:row>
      <xdr:rowOff>0</xdr:rowOff>
    </xdr:from>
    <xdr:ext cx="4933950" cy="3295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16</xdr:col>
      <xdr:colOff>762000</xdr:colOff>
      <xdr:row>17</xdr:row>
      <xdr:rowOff>57150</xdr:rowOff>
    </xdr:from>
    <xdr:ext cx="4943475" cy="34290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152400</xdr:colOff>
      <xdr:row>37</xdr:row>
      <xdr:rowOff>152400</xdr:rowOff>
    </xdr:from>
    <xdr:ext cx="6715125" cy="457200"/>
    <xdr:grpSp>
      <xdr:nvGrpSpPr>
        <xdr:cNvPr id="2" name="Shape 2" title="Drawing"/>
        <xdr:cNvGrpSpPr/>
      </xdr:nvGrpSpPr>
      <xdr:grpSpPr>
        <a:xfrm>
          <a:off x="753200" y="864850"/>
          <a:ext cx="6699675" cy="440825"/>
          <a:chOff x="753200" y="864850"/>
          <a:chExt cx="6699675" cy="440825"/>
        </a:xfrm>
      </xdr:grpSpPr>
      <xdr:sp>
        <xdr:nvSpPr>
          <xdr:cNvPr id="3" name="Shape 3"/>
          <xdr:cNvSpPr txBox="1"/>
        </xdr:nvSpPr>
        <xdr:spPr>
          <a:xfrm>
            <a:off x="1605875" y="905475"/>
            <a:ext cx="5847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753200" y="864850"/>
            <a:ext cx="5621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0</xdr:colOff>
      <xdr:row>0</xdr:row>
      <xdr:rowOff>0</xdr:rowOff>
    </xdr:from>
    <xdr:ext cx="2876550" cy="6724650"/>
    <xdr:grpSp>
      <xdr:nvGrpSpPr>
        <xdr:cNvPr id="2" name="Shape 2" title="Drawing"/>
        <xdr:cNvGrpSpPr/>
      </xdr:nvGrpSpPr>
      <xdr:grpSpPr>
        <a:xfrm>
          <a:off x="2905200" y="702450"/>
          <a:ext cx="2415900" cy="4029900"/>
          <a:chOff x="2905200" y="702450"/>
          <a:chExt cx="2415900" cy="4029900"/>
        </a:xfrm>
      </xdr:grpSpPr>
      <xdr:sp>
        <xdr:nvSpPr>
          <xdr:cNvPr id="5" name="Shape 5"/>
          <xdr:cNvSpPr/>
        </xdr:nvSpPr>
        <xdr:spPr>
          <a:xfrm>
            <a:off x="2905200" y="702450"/>
            <a:ext cx="2415900" cy="4029900"/>
          </a:xfrm>
          <a:prstGeom prst="rect">
            <a:avLst/>
          </a:prstGeom>
          <a:solidFill>
            <a:srgbClr val="99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3504125" y="895325"/>
            <a:ext cx="1360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KPI CARD</a:t>
            </a:r>
            <a:endParaRPr b="1" sz="1400"/>
          </a:p>
        </xdr:txBody>
      </xdr:sp>
      <xdr:sp>
        <xdr:nvSpPr>
          <xdr:cNvPr id="7" name="Shape 7"/>
          <xdr:cNvSpPr txBox="1"/>
        </xdr:nvSpPr>
        <xdr:spPr>
          <a:xfrm>
            <a:off x="3098100" y="1565275"/>
            <a:ext cx="1837200" cy="457800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D9D9D9"/>
                </a:solidFill>
              </a:rPr>
              <a:t>For Sale      31.90 %</a:t>
            </a:r>
            <a:endParaRPr b="1" sz="1400">
              <a:solidFill>
                <a:srgbClr val="D9D9D9"/>
              </a:solidFill>
            </a:endParaRPr>
          </a:p>
        </xdr:txBody>
      </xdr:sp>
      <xdr:sp>
        <xdr:nvSpPr>
          <xdr:cNvPr id="8" name="Shape 8"/>
          <xdr:cNvSpPr txBox="1"/>
        </xdr:nvSpPr>
        <xdr:spPr>
          <a:xfrm>
            <a:off x="3098250" y="2331557"/>
            <a:ext cx="1837200" cy="457800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EFEFEF"/>
                </a:solidFill>
              </a:rPr>
              <a:t>Pending </a:t>
            </a:r>
            <a:r>
              <a:rPr lang="en-US" sz="1400"/>
              <a:t>      </a:t>
            </a:r>
            <a:r>
              <a:rPr lang="en-US" sz="1400">
                <a:solidFill>
                  <a:srgbClr val="EFEFEF"/>
                </a:solidFill>
              </a:rPr>
              <a:t>33.27 %</a:t>
            </a:r>
            <a:endParaRPr sz="1400">
              <a:solidFill>
                <a:srgbClr val="EFEFEF"/>
              </a:solidFill>
            </a:endParaRPr>
          </a:p>
        </xdr:txBody>
      </xdr:sp>
      <xdr:sp>
        <xdr:nvSpPr>
          <xdr:cNvPr id="9" name="Shape 9"/>
          <xdr:cNvSpPr txBox="1"/>
        </xdr:nvSpPr>
        <xdr:spPr>
          <a:xfrm>
            <a:off x="3098100" y="3097839"/>
            <a:ext cx="1837200" cy="406200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EFEFEF"/>
                </a:solidFill>
              </a:rPr>
              <a:t>Sold  </a:t>
            </a:r>
            <a:r>
              <a:rPr lang="en-US" sz="1400"/>
              <a:t>           </a:t>
            </a:r>
            <a:r>
              <a:rPr lang="en-US" sz="1400">
                <a:solidFill>
                  <a:srgbClr val="EFEFEF"/>
                </a:solidFill>
              </a:rPr>
              <a:t>34.83 %</a:t>
            </a:r>
            <a:endParaRPr sz="1400">
              <a:solidFill>
                <a:srgbClr val="EFEFEF"/>
              </a:solidFill>
            </a:endParaRPr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3001" sheet="Analysis"/>
  </cacheSource>
  <cacheFields>
    <cacheField name="Price" numFmtId="164">
      <sharedItems containsSemiMixedTypes="0" containsString="0" containsNumber="1" containsInteger="1">
        <n v="554217.0"/>
        <n v="100866.0"/>
        <n v="1249331.0"/>
        <n v="101833.0"/>
        <n v="465778.0"/>
        <n v="738357.0"/>
        <n v="1325395.0"/>
        <n v="1158003.0"/>
        <n v="240095.0"/>
        <n v="1356448.0"/>
        <n v="678604.0"/>
        <n v="102028.0"/>
        <n v="645962.0"/>
        <n v="575637.0"/>
        <n v="103682.0"/>
        <n v="1171629.0"/>
        <n v="698570.0"/>
        <n v="534688.0"/>
        <n v="1108288.0"/>
        <n v="1173697.0"/>
        <n v="980716.0"/>
        <n v="527238.0"/>
        <n v="104351.0"/>
        <n v="1381949.0"/>
        <n v="898597.0"/>
        <n v="1335481.0"/>
        <n v="1444036.0"/>
        <n v="831525.0"/>
        <n v="911317.0"/>
        <n v="858386.0"/>
        <n v="705506.0"/>
        <n v="1461297.0"/>
        <n v="630339.0"/>
        <n v="268142.0"/>
        <n v="1250016.0"/>
        <n v="1231600.0"/>
        <n v="1073723.0"/>
        <n v="1353530.0"/>
        <n v="272592.0"/>
        <n v="1401287.0"/>
        <n v="255138.0"/>
        <n v="235690.0"/>
        <n v="1286157.0"/>
        <n v="1197675.0"/>
        <n v="130113.0"/>
        <n v="327247.0"/>
        <n v="1253172.0"/>
        <n v="947261.0"/>
        <n v="928085.0"/>
        <n v="108787.0"/>
        <n v="704012.0"/>
        <n v="894851.0"/>
        <n v="1062706.0"/>
        <n v="1293272.0"/>
        <n v="121941.0"/>
        <n v="1054157.0"/>
        <n v="1064596.0"/>
        <n v="1301207.0"/>
        <n v="1429718.0"/>
        <n v="570284.0"/>
        <n v="136498.0"/>
        <n v="1118129.0"/>
        <n v="348881.0"/>
        <n v="1224280.0"/>
        <n v="435555.0"/>
        <n v="1142134.0"/>
        <n v="929862.0"/>
        <n v="110097.0"/>
        <n v="282593.0"/>
        <n v="390371.0"/>
        <n v="1103898.0"/>
        <n v="114286.0"/>
        <n v="442170.0"/>
        <n v="1081035.0"/>
        <n v="121284.0"/>
        <n v="754480.0"/>
        <n v="362957.0"/>
        <n v="1387573.0"/>
        <n v="121708.0"/>
        <n v="1217931.0"/>
        <n v="1369617.0"/>
        <n v="1367380.0"/>
        <n v="653513.0"/>
        <n v="1052313.0"/>
        <n v="124477.0"/>
        <n v="258025.0"/>
        <n v="1346411.0"/>
        <n v="130840.0"/>
        <n v="1478929.0"/>
        <n v="138025.0"/>
        <n v="1089190.0"/>
        <n v="733862.0"/>
        <n v="367764.0"/>
        <n v="890978.0"/>
        <n v="139928.0"/>
        <n v="574704.0"/>
        <n v="139505.0"/>
        <n v="548614.0"/>
        <n v="741710.0"/>
        <n v="1300809.0"/>
        <n v="347172.0"/>
        <n v="141534.0"/>
        <n v="833347.0"/>
        <n v="1440759.0"/>
        <n v="1100894.0"/>
        <n v="671356.0"/>
        <n v="1194026.0"/>
        <n v="258887.0"/>
        <n v="204548.0"/>
        <n v="142558.0"/>
        <n v="1009558.0"/>
        <n v="1256611.0"/>
        <n v="439407.0"/>
        <n v="115004.0"/>
        <n v="204351.0"/>
        <n v="231952.0"/>
        <n v="1451974.0"/>
        <n v="970820.0"/>
        <n v="327979.0"/>
        <n v="153968.0"/>
        <n v="1411376.0"/>
        <n v="603748.0"/>
        <n v="1388656.0"/>
        <n v="155283.0"/>
        <n v="878059.0"/>
        <n v="581015.0"/>
        <n v="1129910.0"/>
        <n v="1122084.0"/>
        <n v="903726.0"/>
        <n v="242071.0"/>
        <n v="208486.0"/>
        <n v="860219.0"/>
        <n v="215904.0"/>
        <n v="1355937.0"/>
        <n v="158429.0"/>
        <n v="1131957.0"/>
        <n v="441645.0"/>
        <n v="1296346.0"/>
        <n v="162697.0"/>
        <n v="233832.0"/>
        <n v="160897.0"/>
        <n v="164454.0"/>
        <n v="996664.0"/>
        <n v="891575.0"/>
        <n v="725711.0"/>
        <n v="172363.0"/>
        <n v="173580.0"/>
        <n v="204309.0"/>
        <n v="517031.0"/>
        <n v="1204990.0"/>
        <n v="1001011.0"/>
        <n v="1021673.0"/>
        <n v="1289770.0"/>
        <n v="1107344.0"/>
        <n v="369317.0"/>
        <n v="895834.0"/>
        <n v="174251.0"/>
        <n v="177022.0"/>
        <n v="1425415.0"/>
        <n v="998214.0"/>
        <n v="183860.0"/>
        <n v="187796.0"/>
        <n v="1400298.0"/>
        <n v="633891.0"/>
        <n v="365175.0"/>
        <n v="1137506.0"/>
        <n v="188207.0"/>
        <n v="189267.0"/>
        <n v="321323.0"/>
        <n v="130843.0"/>
        <n v="466691.0"/>
        <n v="430345.0"/>
        <n v="179767.0"/>
        <n v="190705.0"/>
        <n v="814097.0"/>
        <n v="305871.0"/>
        <n v="511660.0"/>
        <n v="100366.0"/>
        <n v="482895.0"/>
        <n v="1205338.0"/>
        <n v="191377.0"/>
        <n v="1399592.0"/>
        <n v="257927.0"/>
        <n v="632033.0"/>
        <n v="328592.0"/>
        <n v="199906.0"/>
        <n v="241995.0"/>
        <n v="183679.0"/>
        <n v="803730.0"/>
        <n v="707137.0"/>
        <n v="200218.0"/>
        <n v="430954.0"/>
        <n v="890970.0"/>
        <n v="459948.0"/>
        <n v="1060149.0"/>
        <n v="556583.0"/>
        <n v="200783.0"/>
        <n v="243533.0"/>
        <n v="203604.0"/>
        <n v="207246.0"/>
        <n v="207544.0"/>
        <n v="208579.0"/>
        <n v="211740.0"/>
        <n v="1427494.0"/>
        <n v="1230642.0"/>
        <n v="1304385.0"/>
        <n v="747218.0"/>
        <n v="414153.0"/>
        <n v="1471246.0"/>
        <n v="233461.0"/>
        <n v="415590.0"/>
        <n v="628913.0"/>
        <n v="212757.0"/>
        <n v="1187629.0"/>
        <n v="214127.0"/>
        <n v="631172.0"/>
        <n v="1453453.0"/>
        <n v="157884.0"/>
        <n v="216445.0"/>
        <n v="566443.0"/>
        <n v="540820.0"/>
        <n v="148463.0"/>
        <n v="922164.0"/>
        <n v="925438.0"/>
        <n v="421606.0"/>
        <n v="913878.0"/>
        <n v="1258728.0"/>
        <n v="672952.0"/>
        <n v="1254323.0"/>
        <n v="157609.0"/>
        <n v="1319677.0"/>
        <n v="144964.0"/>
        <n v="1246074.0"/>
        <n v="339783.0"/>
        <n v="1069438.0"/>
        <n v="391685.0"/>
        <n v="1273944.0"/>
        <n v="832115.0"/>
        <n v="738248.0"/>
        <n v="190155.0"/>
        <n v="603539.0"/>
        <n v="578510.0"/>
        <n v="1103122.0"/>
        <n v="615962.0"/>
        <n v="222752.0"/>
        <n v="1246322.0"/>
        <n v="128445.0"/>
        <n v="1399813.0"/>
        <n v="246724.0"/>
        <n v="223910.0"/>
        <n v="489643.0"/>
        <n v="183352.0"/>
        <n v="490661.0"/>
        <n v="730647.0"/>
        <n v="1123836.0"/>
        <n v="800312.0"/>
        <n v="224903.0"/>
        <n v="879038.0"/>
        <n v="226311.0"/>
        <n v="1315315.0"/>
        <n v="703493.0"/>
        <n v="1449651.0"/>
        <n v="429050.0"/>
        <n v="436227.0"/>
        <n v="1043402.0"/>
        <n v="1472476.0"/>
        <n v="101342.0"/>
        <n v="232686.0"/>
        <n v="257758.0"/>
        <n v="159682.0"/>
        <n v="1368906.0"/>
        <n v="237088.0"/>
        <n v="242280.0"/>
        <n v="1371316.0"/>
        <n v="987853.0"/>
        <n v="461357.0"/>
        <n v="349197.0"/>
        <n v="244695.0"/>
        <n v="1271947.0"/>
        <n v="830918.0"/>
        <n v="671864.0"/>
        <n v="247370.0"/>
        <n v="247619.0"/>
        <n v="1338663.0"/>
        <n v="249975.0"/>
        <n v="646444.0"/>
        <n v="1413534.0"/>
        <n v="878844.0"/>
        <n v="190823.0"/>
        <n v="248712.0"/>
        <n v="274794.0"/>
        <n v="249833.0"/>
        <n v="1025908.0"/>
        <n v="274061.0"/>
        <n v="1092223.0"/>
        <n v="1249985.0"/>
        <n v="256879.0"/>
        <n v="825149.0"/>
        <n v="1411144.0"/>
        <n v="860572.0"/>
        <n v="727584.0"/>
        <n v="259450.0"/>
        <n v="849860.0"/>
        <n v="798115.0"/>
        <n v="773067.0"/>
        <n v="260417.0"/>
        <n v="1047769.0"/>
        <n v="259927.0"/>
        <n v="493415.0"/>
        <n v="263337.0"/>
        <n v="1085094.0"/>
        <n v="892569.0"/>
        <n v="1238734.0"/>
        <n v="1386947.0"/>
        <n v="236746.0"/>
        <n v="263469.0"/>
        <n v="482165.0"/>
        <n v="266057.0"/>
        <n v="950150.0"/>
        <n v="465036.0"/>
        <n v="269487.0"/>
        <n v="368960.0"/>
        <n v="1182854.0"/>
        <n v="516722.0"/>
        <n v="410680.0"/>
        <n v="579380.0"/>
        <n v="1474045.0"/>
        <n v="1441227.0"/>
        <n v="1110787.0"/>
        <n v="894755.0"/>
        <n v="1340985.0"/>
        <n v="1118325.0"/>
        <n v="1148708.0"/>
        <n v="286476.0"/>
        <n v="948322.0"/>
        <n v="274902.0"/>
        <n v="1154506.0"/>
        <n v="323674.0"/>
        <n v="512841.0"/>
        <n v="1280680.0"/>
        <n v="888840.0"/>
        <n v="930535.0"/>
        <n v="571179.0"/>
        <n v="1026442.0"/>
        <n v="572510.0"/>
        <n v="1472070.0"/>
        <n v="772817.0"/>
        <n v="1387582.0"/>
        <n v="1046192.0"/>
        <n v="1300827.0"/>
        <n v="275759.0"/>
        <n v="388769.0"/>
        <n v="1261138.0"/>
        <n v="1101329.0"/>
        <n v="1265663.0"/>
        <n v="750711.0"/>
        <n v="565021.0"/>
        <n v="849581.0"/>
        <n v="1242207.0"/>
        <n v="201977.0"/>
        <n v="370684.0"/>
        <n v="278862.0"/>
        <n v="588503.0"/>
        <n v="974380.0"/>
        <n v="917965.0"/>
        <n v="1148502.0"/>
        <n v="788528.0"/>
        <n v="818315.0"/>
        <n v="1092879.0"/>
        <n v="1320556.0"/>
        <n v="516119.0"/>
        <n v="480363.0"/>
        <n v="496535.0"/>
        <n v="1251066.0"/>
        <n v="284784.0"/>
        <n v="1121373.0"/>
        <n v="285725.0"/>
        <n v="374385.0"/>
        <n v="288565.0"/>
        <n v="788640.0"/>
        <n v="848296.0"/>
        <n v="864975.0"/>
        <n v="914722.0"/>
        <n v="571756.0"/>
        <n v="292045.0"/>
        <n v="1239119.0"/>
        <n v="204505.0"/>
        <n v="294826.0"/>
        <n v="992364.0"/>
        <n v="296387.0"/>
        <n v="605861.0"/>
        <n v="302419.0"/>
        <n v="427572.0"/>
        <n v="1161421.0"/>
        <n v="314414.0"/>
        <n v="1265777.0"/>
        <n v="789955.0"/>
        <n v="304055.0"/>
        <n v="315073.0"/>
        <n v="321307.0"/>
        <n v="1325154.0"/>
        <n v="1136243.0"/>
        <n v="624612.0"/>
        <n v="321378.0"/>
        <n v="1410781.0"/>
        <n v="900400.0"/>
        <n v="770905.0"/>
        <n v="322944.0"/>
        <n v="499747.0"/>
        <n v="712555.0"/>
        <n v="619571.0"/>
        <n v="324492.0"/>
        <n v="389699.0"/>
        <n v="1045885.0"/>
        <n v="326480.0"/>
        <n v="1112286.0"/>
        <n v="1477628.0"/>
        <n v="353344.0"/>
        <n v="299777.0"/>
        <n v="1200545.0"/>
        <n v="453846.0"/>
        <n v="1309279.0"/>
        <n v="294270.0"/>
        <n v="227369.0"/>
        <n v="1079451.0"/>
        <n v="811641.0"/>
        <n v="1206970.0"/>
        <n v="359738.0"/>
        <n v="328074.0"/>
        <n v="1496467.0"/>
        <n v="1243614.0"/>
        <n v="328266.0"/>
        <n v="329187.0"/>
        <n v="842454.0"/>
        <n v="329837.0"/>
        <n v="510123.0"/>
        <n v="1336927.0"/>
        <n v="1377802.0"/>
        <n v="287677.0"/>
        <n v="1409098.0"/>
        <n v="1236695.0"/>
        <n v="850519.0"/>
        <n v="330245.0"/>
        <n v="393811.0"/>
        <n v="1211963.0"/>
        <n v="467298.0"/>
        <n v="546329.0"/>
        <n v="330377.0"/>
        <n v="854770.0"/>
        <n v="1159956.0"/>
        <n v="337139.0"/>
        <n v="338004.0"/>
        <n v="543804.0"/>
        <n v="338237.0"/>
        <n v="146864.0"/>
        <n v="339864.0"/>
        <n v="273704.0"/>
        <n v="732277.0"/>
        <n v="1139836.0"/>
        <n v="840528.0"/>
        <n v="353101.0"/>
        <n v="355812.0"/>
        <n v="423783.0"/>
        <n v="554124.0"/>
        <n v="729055.0"/>
        <n v="1280219.0"/>
        <n v="743014.0"/>
        <n v="1122707.0"/>
        <n v="113084.0"/>
        <n v="206332.0"/>
        <n v="358119.0"/>
        <n v="361658.0"/>
        <n v="1009530.0"/>
        <n v="545380.0"/>
        <n v="357273.0"/>
        <n v="537598.0"/>
        <n v="263351.0"/>
        <n v="883643.0"/>
        <n v="654277.0"/>
        <n v="855844.0"/>
        <n v="286416.0"/>
        <n v="1471386.0"/>
        <n v="843704.0"/>
        <n v="558267.0"/>
        <n v="575209.0"/>
        <n v="788343.0"/>
        <n v="1175985.0"/>
        <n v="389748.0"/>
        <n v="297796.0"/>
        <n v="117540.0"/>
        <n v="320520.0"/>
        <n v="319961.0"/>
        <n v="563715.0"/>
        <n v="842075.0"/>
        <n v="1394343.0"/>
        <n v="1219513.0"/>
        <n v="805615.0"/>
        <n v="366009.0"/>
        <n v="371380.0"/>
        <n v="983080.0"/>
        <n v="1001958.0"/>
        <n v="1465899.0"/>
        <n v="875089.0"/>
        <n v="630401.0"/>
        <n v="541228.0"/>
        <n v="900860.0"/>
        <n v="197773.0"/>
        <n v="975227.0"/>
        <n v="1113507.0"/>
        <n v="372979.0"/>
        <n v="1055684.0"/>
        <n v="396731.0"/>
        <n v="869597.0"/>
        <n v="860503.0"/>
        <n v="1408977.0"/>
        <n v="151541.0"/>
        <n v="1406366.0"/>
        <n v="373305.0"/>
        <n v="1077238.0"/>
        <n v="708347.0"/>
        <n v="380139.0"/>
        <n v="1274393.0"/>
        <n v="1314599.0"/>
        <n v="1186759.0"/>
        <n v="383121.0"/>
        <n v="386515.0"/>
        <n v="1256875.0"/>
        <n v="230146.0"/>
        <n v="757948.0"/>
        <n v="446258.0"/>
        <n v="387069.0"/>
        <n v="395747.0"/>
        <n v="757183.0"/>
        <n v="388660.0"/>
        <n v="389653.0"/>
        <n v="1228020.0"/>
        <n v="1055904.0"/>
        <n v="850524.0"/>
        <n v="374194.0"/>
        <n v="277923.0"/>
        <n v="930934.0"/>
        <n v="390844.0"/>
        <n v="499090.0"/>
        <n v="1107473.0"/>
        <n v="859034.0"/>
        <n v="1082651.0"/>
        <n v="208387.0"/>
        <n v="564122.0"/>
        <n v="987975.0"/>
        <n v="491022.0"/>
        <n v="305465.0"/>
        <n v="334971.0"/>
        <n v="395473.0"/>
        <n v="586833.0"/>
        <n v="1458637.0"/>
        <n v="375021.0"/>
        <n v="1250673.0"/>
        <n v="668183.0"/>
        <n v="397028.0"/>
        <n v="478198.0"/>
        <n v="398506.0"/>
        <n v="1434930.0"/>
        <n v="1312715.0"/>
        <n v="1361982.0"/>
        <n v="1376159.0"/>
        <n v="119222.0"/>
        <n v="976821.0"/>
        <n v="530400.0"/>
        <n v="524279.0"/>
        <n v="1333867.0"/>
        <n v="368896.0"/>
        <n v="380565.0"/>
        <n v="1197421.0"/>
        <n v="399142.0"/>
        <n v="1040215.0"/>
        <n v="503182.0"/>
        <n v="403704.0"/>
        <n v="1410074.0"/>
        <n v="406535.0"/>
        <n v="1047205.0"/>
        <n v="1115773.0"/>
        <n v="1470452.0"/>
        <n v="408518.0"/>
        <n v="1482612.0"/>
        <n v="195826.0"/>
        <n v="984633.0"/>
        <n v="722912.0"/>
        <n v="1442863.0"/>
        <n v="409090.0"/>
        <n v="1375641.0"/>
        <n v="547298.0"/>
        <n v="1168200.0"/>
        <n v="728249.0"/>
        <n v="998871.0"/>
        <n v="1122337.0"/>
        <n v="190329.0"/>
        <n v="410666.0"/>
        <n v="1489699.0"/>
        <n v="1382451.0"/>
        <n v="258490.0"/>
        <n v="161267.0"/>
        <n v="1411656.0"/>
        <n v="980741.0"/>
        <n v="309134.0"/>
        <n v="586196.0"/>
        <n v="596947.0"/>
        <n v="193325.0"/>
        <n v="1178393.0"/>
        <n v="243343.0"/>
        <n v="414754.0"/>
        <n v="668833.0"/>
        <n v="732202.0"/>
        <n v="414961.0"/>
        <n v="537863.0"/>
        <n v="827893.0"/>
        <n v="1418370.0"/>
        <n v="996528.0"/>
        <n v="697087.0"/>
        <n v="417290.0"/>
        <n v="1321679.0"/>
        <n v="812527.0"/>
        <n v="534310.0"/>
        <n v="402672.0"/>
        <n v="697945.0"/>
        <n v="1387098.0"/>
        <n v="451247.0"/>
        <n v="825806.0"/>
        <n v="104306.0"/>
        <n v="579576.0"/>
        <n v="982001.0"/>
        <n v="417718.0"/>
        <n v="1261938.0"/>
        <n v="453129.0"/>
        <n v="347890.0"/>
        <n v="825324.0"/>
        <n v="1131077.0"/>
        <n v="1433969.0"/>
        <n v="1440490.0"/>
        <n v="539037.0"/>
        <n v="1465615.0"/>
        <n v="1448976.0"/>
        <n v="420055.0"/>
        <n v="704660.0"/>
        <n v="508759.0"/>
        <n v="198100.0"/>
        <n v="1171593.0"/>
        <n v="421154.0"/>
        <n v="1046834.0"/>
        <n v="422369.0"/>
        <n v="1114155.0"/>
        <n v="980574.0"/>
        <n v="1036583.0"/>
        <n v="398021.0"/>
        <n v="735817.0"/>
        <n v="422789.0"/>
        <n v="1397853.0"/>
        <n v="426442.0"/>
        <n v="922155.0"/>
        <n v="1304944.0"/>
        <n v="910408.0"/>
        <n v="429291.0"/>
        <n v="706540.0"/>
        <n v="798896.0"/>
        <n v="437137.0"/>
        <n v="1076134.0"/>
        <n v="213805.0"/>
        <n v="1152978.0"/>
        <n v="437818.0"/>
        <n v="440689.0"/>
        <n v="638010.0"/>
        <n v="883012.0"/>
        <n v="546284.0"/>
        <n v="392126.0"/>
        <n v="1105600.0"/>
        <n v="936991.0"/>
        <n v="1203446.0"/>
        <n v="1456198.0"/>
        <n v="422981.0"/>
        <n v="441126.0"/>
        <n v="562937.0"/>
        <n v="1222304.0"/>
        <n v="560234.0"/>
        <n v="166868.0"/>
        <n v="524109.0"/>
        <n v="434921.0"/>
        <n v="1083361.0"/>
        <n v="1167836.0"/>
        <n v="443507.0"/>
        <n v="1281515.0"/>
        <n v="1080061.0"/>
        <n v="1303467.0"/>
        <n v="925872.0"/>
        <n v="979559.0"/>
        <n v="451830.0"/>
        <n v="1428613.0"/>
        <n v="444483.0"/>
        <n v="793777.0"/>
        <n v="1372428.0"/>
        <n v="596612.0"/>
        <n v="1307358.0"/>
        <n v="1352612.0"/>
        <n v="642419.0"/>
        <n v="961607.0"/>
        <n v="292055.0"/>
        <n v="591446.0"/>
        <n v="1064262.0"/>
        <n v="846494.0"/>
        <n v="1414445.0"/>
        <n v="1248043.0"/>
        <n v="1067540.0"/>
        <n v="857797.0"/>
        <n v="396831.0"/>
        <n v="451925.0"/>
        <n v="1257643.0"/>
        <n v="454473.0"/>
        <n v="1360246.0"/>
        <n v="1452143.0"/>
        <n v="113001.0"/>
        <n v="936069.0"/>
        <n v="1206928.0"/>
        <n v="835493.0"/>
        <n v="1001135.0"/>
        <n v="468367.0"/>
        <n v="1178128.0"/>
        <n v="469172.0"/>
        <n v="543847.0"/>
        <n v="308811.0"/>
        <n v="915237.0"/>
        <n v="1427605.0"/>
        <n v="474491.0"/>
        <n v="1314753.0"/>
        <n v="476564.0"/>
        <n v="1025348.0"/>
        <n v="1229367.0"/>
        <n v="651790.0"/>
        <n v="1359843.0"/>
        <n v="564035.0"/>
        <n v="1181346.0"/>
        <n v="698712.0"/>
        <n v="1331935.0"/>
        <n v="221942.0"/>
        <n v="237627.0"/>
        <n v="936123.0"/>
        <n v="891266.0"/>
        <n v="564030.0"/>
        <n v="1220906.0"/>
        <n v="478395.0"/>
        <n v="1249075.0"/>
        <n v="463854.0"/>
        <n v="1250374.0"/>
        <n v="480974.0"/>
        <n v="1014410.0"/>
        <n v="236666.0"/>
        <n v="1321463.0"/>
        <n v="1416409.0"/>
        <n v="229675.0"/>
        <n v="414018.0"/>
        <n v="434016.0"/>
        <n v="411851.0"/>
        <n v="1062025.0"/>
        <n v="717498.0"/>
        <n v="1112100.0"/>
        <n v="890769.0"/>
        <n v="617617.0"/>
        <n v="475989.0"/>
        <n v="482156.0"/>
        <n v="455797.0"/>
        <n v="1090941.0"/>
        <n v="699839.0"/>
        <n v="975466.0"/>
        <n v="161264.0"/>
        <n v="1342267.0"/>
        <n v="235502.0"/>
        <n v="1382618.0"/>
        <n v="1016919.0"/>
        <n v="373698.0"/>
        <n v="481322.0"/>
        <n v="484981.0"/>
        <n v="923080.0"/>
        <n v="1411902.0"/>
        <n v="1464732.0"/>
        <n v="485409.0"/>
        <n v="1096197.0"/>
        <n v="152511.0"/>
        <n v="941690.0"/>
        <n v="1400044.0"/>
        <n v="474461.0"/>
        <n v="486791.0"/>
        <n v="489480.0"/>
        <n v="492639.0"/>
        <n v="1266372.0"/>
        <n v="1436634.0"/>
        <n v="1135748.0"/>
        <n v="1445315.0"/>
        <n v="710158.0"/>
        <n v="493145.0"/>
        <n v="474005.0"/>
        <n v="1171830.0"/>
        <n v="660843.0"/>
        <n v="1071749.0"/>
        <n v="470645.0"/>
        <n v="1015628.0"/>
        <n v="962971.0"/>
        <n v="496342.0"/>
        <n v="500037.0"/>
        <n v="406159.0"/>
        <n v="1129152.0"/>
        <n v="280337.0"/>
        <n v="500875.0"/>
        <n v="351462.0"/>
        <n v="210113.0"/>
        <n v="1255047.0"/>
        <n v="699231.0"/>
        <n v="772910.0"/>
        <n v="506109.0"/>
        <n v="1138482.0"/>
        <n v="948743.0"/>
        <n v="279426.0"/>
        <n v="285969.0"/>
        <n v="1127463.0"/>
        <n v="723852.0"/>
        <n v="1074925.0"/>
        <n v="450784.0"/>
        <n v="506158.0"/>
        <n v="825178.0"/>
        <n v="245952.0"/>
        <n v="433253.0"/>
        <n v="745190.0"/>
        <n v="507793.0"/>
        <n v="1008831.0"/>
        <n v="227204.0"/>
        <n v="745289.0"/>
        <n v="1483987.0"/>
        <n v="128853.0"/>
        <n v="509205.0"/>
        <n v="478498.0"/>
        <n v="779579.0"/>
        <n v="459607.0"/>
        <n v="1325699.0"/>
        <n v="509660.0"/>
        <n v="1017616.0"/>
        <n v="905273.0"/>
        <n v="929598.0"/>
        <n v="512474.0"/>
        <n v="1246523.0"/>
        <n v="779712.0"/>
        <n v="113372.0"/>
        <n v="513312.0"/>
        <n v="803646.0"/>
        <n v="299347.0"/>
        <n v="751719.0"/>
        <n v="517860.0"/>
        <n v="442260.0"/>
        <n v="467871.0"/>
        <n v="1246389.0"/>
        <n v="1454268.0"/>
        <n v="201436.0"/>
        <n v="1286048.0"/>
        <n v="518222.0"/>
        <n v="1189972.0"/>
        <n v="1363612.0"/>
        <n v="996190.0"/>
        <n v="518811.0"/>
        <n v="1426721.0"/>
        <n v="1193769.0"/>
        <n v="1458463.0"/>
        <n v="1496151.0"/>
        <n v="526134.0"/>
        <n v="431967.0"/>
        <n v="1192923.0"/>
        <n v="529982.0"/>
        <n v="1478203.0"/>
        <n v="1259364.0"/>
        <n v="531098.0"/>
        <n v="953983.0"/>
        <n v="392778.0"/>
        <n v="533084.0"/>
        <n v="394824.0"/>
        <n v="132626.0"/>
        <n v="535024.0"/>
        <n v="171018.0"/>
        <n v="1428670.0"/>
        <n v="516901.0"/>
        <n v="401072.0"/>
        <n v="535463.0"/>
        <n v="1456318.0"/>
        <n v="539722.0"/>
        <n v="619389.0"/>
        <n v="869419.0"/>
        <n v="384317.0"/>
        <n v="850010.0"/>
        <n v="1466927.0"/>
        <n v="463990.0"/>
        <n v="1237293.0"/>
        <n v="208954.0"/>
        <n v="542852.0"/>
        <n v="868534.0"/>
        <n v="1133100.0"/>
        <n v="1396517.0"/>
        <n v="1159677.0"/>
        <n v="543938.0"/>
        <n v="911278.0"/>
        <n v="1171839.0"/>
        <n v="754257.0"/>
        <n v="632651.0"/>
        <n v="547385.0"/>
        <n v="1102363.0"/>
        <n v="800196.0"/>
        <n v="249358.0"/>
        <n v="302114.0"/>
        <n v="742536.0"/>
        <n v="191048.0"/>
        <n v="1123358.0"/>
        <n v="800072.0"/>
        <n v="762346.0"/>
        <n v="862718.0"/>
        <n v="573942.0"/>
        <n v="241211.0"/>
        <n v="1153825.0"/>
        <n v="369281.0"/>
        <n v="570529.0"/>
        <n v="224348.0"/>
        <n v="551665.0"/>
        <n v="592454.0"/>
        <n v="905860.0"/>
        <n v="552551.0"/>
        <n v="890786.0"/>
        <n v="437511.0"/>
        <n v="552759.0"/>
        <n v="1003604.0"/>
        <n v="764241.0"/>
        <n v="557894.0"/>
        <n v="491796.0"/>
        <n v="107634.0"/>
        <n v="560442.0"/>
        <n v="724110.0"/>
        <n v="562297.0"/>
        <n v="655953.0"/>
        <n v="837749.0"/>
        <n v="498606.0"/>
        <n v="688959.0"/>
        <n v="1005631.0"/>
        <n v="985654.0"/>
        <n v="1200264.0"/>
        <n v="563528.0"/>
        <n v="658283.0"/>
        <n v="980749.0"/>
        <n v="590836.0"/>
        <n v="1124902.0"/>
        <n v="1055664.0"/>
        <n v="1228378.0"/>
        <n v="563864.0"/>
        <n v="564670.0"/>
        <n v="564752.0"/>
        <n v="874245.0"/>
        <n v="1417766.0"/>
        <n v="1460654.0"/>
        <n v="1455417.0"/>
        <n v="1253458.0"/>
        <n v="484967.0"/>
        <n v="565244.0"/>
        <n v="566147.0"/>
        <n v="688763.0"/>
        <n v="848451.0"/>
        <n v="437080.0"/>
        <n v="1227751.0"/>
        <n v="533645.0"/>
        <n v="790073.0"/>
        <n v="1283155.0"/>
        <n v="571121.0"/>
        <n v="923083.0"/>
        <n v="151810.0"/>
        <n v="318897.0"/>
        <n v="563082.0"/>
        <n v="1481779.0"/>
        <n v="1116179.0"/>
        <n v="572120.0"/>
        <n v="574526.0"/>
        <n v="575289.0"/>
        <n v="344950.0"/>
        <n v="433189.0"/>
        <n v="580380.0"/>
        <n v="795699.0"/>
        <n v="530184.0"/>
        <n v="580491.0"/>
        <n v="496223.0"/>
        <n v="142832.0"/>
        <n v="526359.0"/>
        <n v="176255.0"/>
        <n v="906658.0"/>
        <n v="390894.0"/>
        <n v="676318.0"/>
        <n v="423257.0"/>
        <n v="1026238.0"/>
        <n v="1289517.0"/>
        <n v="803057.0"/>
        <n v="785531.0"/>
        <n v="320312.0"/>
        <n v="417279.0"/>
        <n v="473195.0"/>
        <n v="580818.0"/>
        <n v="581762.0"/>
        <n v="872311.0"/>
        <n v="1123484.0"/>
        <n v="908029.0"/>
        <n v="858758.0"/>
        <n v="130430.0"/>
        <n v="1152868.0"/>
        <n v="951210.0"/>
        <n v="799710.0"/>
        <n v="585085.0"/>
        <n v="1181226.0"/>
        <n v="1141219.0"/>
        <n v="455913.0"/>
        <n v="589012.0"/>
        <n v="282695.0"/>
        <n v="589018.0"/>
        <n v="589245.0"/>
        <n v="598034.0"/>
        <n v="1313735.0"/>
        <n v="601508.0"/>
        <n v="602545.0"/>
        <n v="606184.0"/>
        <n v="607071.0"/>
        <n v="680198.0"/>
        <n v="379538.0"/>
        <n v="607972.0"/>
        <n v="469414.0"/>
        <n v="853353.0"/>
        <n v="1276290.0"/>
        <n v="395657.0"/>
        <n v="610670.0"/>
        <n v="1312306.0"/>
        <n v="772408.0"/>
        <n v="221390.0"/>
        <n v="380336.0"/>
        <n v="686236.0"/>
        <n v="842483.0"/>
        <n v="176130.0"/>
        <n v="1001401.0"/>
        <n v="765739.0"/>
        <n v="611694.0"/>
        <n v="173054.0"/>
        <n v="836369.0"/>
        <n v="1214653.0"/>
        <n v="613429.0"/>
        <n v="1287048.0"/>
        <n v="1140261.0"/>
        <n v="166017.0"/>
        <n v="1175358.0"/>
        <n v="1134124.0"/>
        <n v="983337.0"/>
        <n v="557489.0"/>
        <n v="1453148.0"/>
        <n v="556554.0"/>
        <n v="1273603.0"/>
        <n v="1214336.0"/>
        <n v="616741.0"/>
        <n v="854669.0"/>
        <n v="698107.0"/>
        <n v="208299.0"/>
        <n v="802037.0"/>
        <n v="242635.0"/>
        <n v="164337.0"/>
        <n v="100764.0"/>
        <n v="756933.0"/>
        <n v="209720.0"/>
        <n v="246361.0"/>
        <n v="1103488.0"/>
        <n v="276902.0"/>
        <n v="777133.0"/>
        <n v="588396.0"/>
        <n v="624172.0"/>
        <n v="1097319.0"/>
        <n v="627255.0"/>
        <n v="1133236.0"/>
        <n v="912802.0"/>
        <n v="583291.0"/>
        <n v="320388.0"/>
        <n v="174689.0"/>
        <n v="211758.0"/>
        <n v="1202747.0"/>
        <n v="706435.0"/>
        <n v="151954.0"/>
        <n v="1250763.0"/>
        <n v="985809.0"/>
        <n v="780930.0"/>
        <n v="1395740.0"/>
        <n v="628075.0"/>
        <n v="130879.0"/>
        <n v="586629.0"/>
        <n v="848988.0"/>
        <n v="1092098.0"/>
        <n v="193142.0"/>
        <n v="715251.0"/>
        <n v="1070802.0"/>
        <n v="911772.0"/>
        <n v="1095500.0"/>
        <n v="868293.0"/>
        <n v="628592.0"/>
        <n v="906684.0"/>
        <n v="811801.0"/>
        <n v="631278.0"/>
        <n v="980757.0"/>
        <n v="327249.0"/>
        <n v="941729.0"/>
        <n v="1333634.0"/>
        <n v="132181.0"/>
        <n v="632140.0"/>
        <n v="634220.0"/>
        <n v="1333651.0"/>
        <n v="635574.0"/>
        <n v="1415873.0"/>
        <n v="635830.0"/>
        <n v="940838.0"/>
        <n v="792689.0"/>
        <n v="285698.0"/>
        <n v="361783.0"/>
        <n v="545103.0"/>
        <n v="1050912.0"/>
        <n v="1315813.0"/>
        <n v="1091643.0"/>
        <n v="301429.0"/>
        <n v="105850.0"/>
        <n v="1152184.0"/>
        <n v="387863.0"/>
        <n v="713451.0"/>
        <n v="697104.0"/>
        <n v="107584.0"/>
        <n v="539489.0"/>
        <n v="741663.0"/>
        <n v="558631.0"/>
        <n v="643087.0"/>
        <n v="566038.0"/>
        <n v="1026003.0"/>
        <n v="644055.0"/>
        <n v="1101864.0"/>
        <n v="450730.0"/>
        <n v="232780.0"/>
        <n v="816152.0"/>
        <n v="644764.0"/>
        <n v="1360828.0"/>
        <n v="937063.0"/>
        <n v="340574.0"/>
        <n v="645454.0"/>
        <n v="661201.0"/>
        <n v="424500.0"/>
        <n v="646379.0"/>
        <n v="503097.0"/>
        <n v="1147486.0"/>
        <n v="325165.0"/>
        <n v="952328.0"/>
        <n v="838113.0"/>
        <n v="415528.0"/>
        <n v="649507.0"/>
        <n v="1306432.0"/>
        <n v="650763.0"/>
        <n v="651450.0"/>
        <n v="258042.0"/>
        <n v="326070.0"/>
        <n v="1203382.0"/>
        <n v="654339.0"/>
        <n v="426197.0"/>
        <n v="655234.0"/>
        <n v="611986.0"/>
        <n v="1354118.0"/>
        <n v="242973.0"/>
        <n v="727472.0"/>
        <n v="640552.0"/>
        <n v="658392.0"/>
        <n v="662328.0"/>
        <n v="504384.0"/>
        <n v="663332.0"/>
        <n v="664416.0"/>
        <n v="116136.0"/>
        <n v="1346277.0"/>
        <n v="384545.0"/>
        <n v="667232.0"/>
        <n v="1098610.0"/>
        <n v="835582.0"/>
        <n v="994818.0"/>
        <n v="667300.0"/>
        <n v="741445.0"/>
        <n v="677587.0"/>
        <n v="1391650.0"/>
        <n v="677597.0"/>
        <n v="812674.0"/>
        <n v="1464001.0"/>
        <n v="602563.0"/>
        <n v="325763.0"/>
        <n v="575934.0"/>
        <n v="680402.0"/>
        <n v="680603.0"/>
        <n v="512195.0"/>
        <n v="721273.0"/>
        <n v="1433695.0"/>
        <n v="1310805.0"/>
        <n v="203965.0"/>
        <n v="635048.0"/>
        <n v="1254859.0"/>
        <n v="1186869.0"/>
        <n v="1460250.0"/>
        <n v="1224116.0"/>
        <n v="115744.0"/>
        <n v="1469258.0"/>
        <n v="1314524.0"/>
        <n v="687426.0"/>
        <n v="1499218.0"/>
        <n v="1212223.0"/>
        <n v="765341.0"/>
        <n v="682633.0"/>
        <n v="683535.0"/>
        <n v="683573.0"/>
        <n v="337362.0"/>
        <n v="740701.0"/>
        <n v="1181779.0"/>
        <n v="1052477.0"/>
        <n v="823571.0"/>
        <n v="1427202.0"/>
        <n v="628568.0"/>
        <n v="696092.0"/>
        <n v="127321.0"/>
        <n v="417293.0"/>
        <n v="445101.0"/>
        <n v="238951.0"/>
        <n v="323309.0"/>
        <n v="583154.0"/>
        <n v="948012.0"/>
        <n v="334932.0"/>
        <n v="731180.0"/>
        <n v="335042.0"/>
        <n v="264127.0"/>
        <n v="1157381.0"/>
        <n v="619431.0"/>
        <n v="362754.0"/>
        <n v="685711.0"/>
        <n v="1169718.0"/>
        <n v="686609.0"/>
        <n v="686842.0"/>
        <n v="1283669.0"/>
        <n v="377819.0"/>
        <n v="688285.0"/>
        <n v="828082.0"/>
        <n v="915791.0"/>
        <n v="688429.0"/>
        <n v="1054702.0"/>
        <n v="474319.0"/>
        <n v="501890.0"/>
        <n v="677428.0"/>
        <n v="378181.0"/>
        <n v="410698.0"/>
        <n v="692345.0"/>
        <n v="918160.0"/>
        <n v="694525.0"/>
        <n v="417545.0"/>
        <n v="834757.0"/>
        <n v="1057374.0"/>
        <n v="315634.0"/>
        <n v="1053211.0"/>
        <n v="179797.0"/>
        <n v="1381948.0"/>
        <n v="1221223.0"/>
        <n v="174659.0"/>
        <n v="695115.0"/>
        <n v="1090823.0"/>
        <n v="697793.0"/>
        <n v="1217532.0"/>
        <n v="1258730.0"/>
        <n v="705333.0"/>
        <n v="1366314.0"/>
        <n v="104493.0"/>
        <n v="1451100.0"/>
        <n v="691218.0"/>
        <n v="705960.0"/>
        <n v="1357857.0"/>
        <n v="716140.0"/>
        <n v="963039.0"/>
        <n v="183360.0"/>
        <n v="1059126.0"/>
        <n v="719382.0"/>
        <n v="876296.0"/>
        <n v="1414762.0"/>
        <n v="878723.0"/>
        <n v="679584.0"/>
        <n v="1117712.0"/>
        <n v="1358422.0"/>
        <n v="262520.0"/>
        <n v="721359.0"/>
        <n v="1280348.0"/>
        <n v="1020459.0"/>
        <n v="503512.0"/>
        <n v="723940.0"/>
        <n v="1209761.0"/>
        <n v="1379446.0"/>
        <n v="725022.0"/>
        <n v="727665.0"/>
        <n v="1179701.0"/>
        <n v="1426326.0"/>
        <n v="211750.0"/>
        <n v="730201.0"/>
        <n v="937185.0"/>
        <n v="191426.0"/>
        <n v="706620.0"/>
        <n v="730231.0"/>
        <n v="929559.0"/>
        <n v="735604.0"/>
        <n v="1407926.0"/>
        <n v="1066056.0"/>
        <n v="1126603.0"/>
        <n v="465265.0"/>
        <n v="737510.0"/>
        <n v="1218168.0"/>
        <n v="715976.0"/>
        <n v="344668.0"/>
        <n v="400744.0"/>
        <n v="972477.0"/>
        <n v="1089772.0"/>
        <n v="681817.0"/>
        <n v="945467.0"/>
        <n v="310781.0"/>
        <n v="1392133.0"/>
        <n v="1226168.0"/>
        <n v="151730.0"/>
        <n v="1323474.0"/>
        <n v="171171.0"/>
        <n v="576963.0"/>
        <n v="738847.0"/>
        <n v="775005.0"/>
        <n v="314574.0"/>
        <n v="1043558.0"/>
        <n v="741530.0"/>
        <n v="423192.0"/>
        <n v="1226639.0"/>
        <n v="499972.0"/>
        <n v="743513.0"/>
        <n v="1223865.0"/>
        <n v="378465.0"/>
        <n v="1170279.0"/>
        <n v="1456218.0"/>
        <n v="592771.0"/>
        <n v="449429.0"/>
        <n v="1200867.0"/>
        <n v="147111.0"/>
        <n v="847617.0"/>
        <n v="526045.0"/>
        <n v="1361056.0"/>
        <n v="782095.0"/>
        <n v="1103146.0"/>
        <n v="744974.0"/>
        <n v="268004.0"/>
        <n v="1421337.0"/>
        <n v="977475.0"/>
        <n v="406192.0"/>
        <n v="145136.0"/>
        <n v="1169326.0"/>
        <n v="851439.0"/>
        <n v="493384.0"/>
        <n v="702616.0"/>
        <n v="1444049.0"/>
        <n v="691610.0"/>
        <n v="745278.0"/>
        <n v="462828.0"/>
        <n v="813988.0"/>
        <n v="1442853.0"/>
        <n v="1131018.0"/>
        <n v="745415.0"/>
        <n v="419698.0"/>
        <n v="745730.0"/>
        <n v="746966.0"/>
        <n v="378449.0"/>
        <n v="495312.0"/>
        <n v="662727.0"/>
        <n v="353584.0"/>
        <n v="1442996.0"/>
        <n v="557640.0"/>
        <n v="643639.0"/>
        <n v="229145.0"/>
        <n v="1219813.0"/>
        <n v="940081.0"/>
        <n v="435007.0"/>
        <n v="435821.0"/>
        <n v="1105789.0"/>
        <n v="1456728.0"/>
        <n v="330624.0"/>
        <n v="537103.0"/>
        <n v="330544.0"/>
        <n v="339064.0"/>
        <n v="903893.0"/>
        <n v="749601.0"/>
        <n v="1301461.0"/>
        <n v="697001.0"/>
        <n v="1015024.0"/>
        <n v="1469651.0"/>
        <n v="1449947.0"/>
        <n v="1368349.0"/>
        <n v="403326.0"/>
        <n v="703004.0"/>
        <n v="1077979.0"/>
        <n v="1377628.0"/>
        <n v="979483.0"/>
        <n v="751038.0"/>
        <n v="1112794.0"/>
        <n v="1012826.0"/>
        <n v="572355.0"/>
        <n v="336640.0"/>
        <n v="577795.0"/>
        <n v="1455708.0"/>
        <n v="1225749.0"/>
        <n v="576495.0"/>
        <n v="654485.0"/>
        <n v="1102154.0"/>
        <n v="870466.0"/>
        <n v="273995.0"/>
        <n v="751425.0"/>
        <n v="392020.0"/>
        <n v="752795.0"/>
        <n v="1410174.0"/>
        <n v="935900.0"/>
        <n v="792207.0"/>
        <n v="1034308.0"/>
        <n v="754651.0"/>
        <n v="1225062.0"/>
        <n v="756025.0"/>
        <n v="757274.0"/>
        <n v="761390.0"/>
        <n v="975397.0"/>
        <n v="179425.0"/>
        <n v="761820.0"/>
        <n v="1077300.0"/>
        <n v="765124.0"/>
        <n v="765276.0"/>
        <n v="292506.0"/>
        <n v="1334871.0"/>
        <n v="1359613.0"/>
        <n v="1061821.0"/>
        <n v="630286.0"/>
        <n v="766154.0"/>
        <n v="605221.0"/>
        <n v="446674.0"/>
        <n v="993686.0"/>
        <n v="226693.0"/>
        <n v="1319712.0"/>
        <n v="1288890.0"/>
        <n v="956034.0"/>
        <n v="520950.0"/>
        <n v="142594.0"/>
        <n v="770157.0"/>
        <n v="770630.0"/>
        <n v="410142.0"/>
        <n v="634856.0"/>
        <n v="736810.0"/>
        <n v="802318.0"/>
        <n v="475065.0"/>
        <n v="851420.0"/>
        <n v="771277.0"/>
        <n v="772844.0"/>
        <n v="550731.0"/>
        <n v="780079.0"/>
        <n v="1385988.0"/>
        <n v="1490235.0"/>
        <n v="270055.0"/>
        <n v="550460.0"/>
        <n v="464626.0"/>
        <n v="564774.0"/>
        <n v="780966.0"/>
        <n v="438301.0"/>
        <n v="1058552.0"/>
        <n v="1274693.0"/>
        <n v="591413.0"/>
        <n v="202048.0"/>
        <n v="484824.0"/>
        <n v="975639.0"/>
        <n v="375868.0"/>
        <n v="1382800.0"/>
        <n v="926788.0"/>
        <n v="783550.0"/>
        <n v="571568.0"/>
        <n v="310835.0"/>
        <n v="508171.0"/>
        <n v="493637.0"/>
        <n v="125582.0"/>
        <n v="358855.0"/>
        <n v="333088.0"/>
        <n v="784628.0"/>
        <n v="841326.0"/>
        <n v="128867.0"/>
        <n v="748777.0"/>
        <n v="221782.0"/>
        <n v="678686.0"/>
        <n v="1029713.0"/>
        <n v="792152.0"/>
        <n v="794121.0"/>
        <n v="925095.0"/>
        <n v="581161.0"/>
        <n v="795435.0"/>
        <n v="795509.0"/>
        <n v="457327.0"/>
        <n v="146019.0"/>
        <n v="1282414.0"/>
        <n v="570292.0"/>
        <n v="798012.0"/>
        <n v="728684.0"/>
        <n v="1404704.0"/>
        <n v="837702.0"/>
        <n v="801696.0"/>
        <n v="380705.0"/>
        <n v="1444268.0"/>
        <n v="810765.0"/>
        <n v="804005.0"/>
        <n v="711326.0"/>
        <n v="810968.0"/>
        <n v="1195807.0"/>
        <n v="577577.0"/>
        <n v="891336.0"/>
        <n v="841531.0"/>
        <n v="1237879.0"/>
        <n v="464902.0"/>
        <n v="978336.0"/>
        <n v="1009011.0"/>
        <n v="248621.0"/>
        <n v="1037281.0"/>
        <n v="813788.0"/>
        <n v="1132804.0"/>
        <n v="459734.0"/>
        <n v="796312.0"/>
        <n v="1340648.0"/>
        <n v="188953.0"/>
        <n v="1164352.0"/>
        <n v="129652.0"/>
        <n v="1176035.0"/>
        <n v="135966.0"/>
        <n v="714070.0"/>
        <n v="1023977.0"/>
        <n v="407981.0"/>
        <n v="447706.0"/>
        <n v="814836.0"/>
        <n v="637069.0"/>
        <n v="1481833.0"/>
        <n v="1312514.0"/>
        <n v="815451.0"/>
        <n v="822548.0"/>
        <n v="1000752.0"/>
        <n v="830496.0"/>
        <n v="833057.0"/>
        <n v="835365.0"/>
        <n v="878588.0"/>
        <n v="835837.0"/>
        <n v="903226.0"/>
        <n v="1433590.0"/>
        <n v="1244267.0"/>
        <n v="837398.0"/>
        <n v="776904.0"/>
        <n v="1076130.0"/>
        <n v="883773.0"/>
        <n v="629929.0"/>
        <n v="1364814.0"/>
        <n v="1389794.0"/>
        <n v="1380632.0"/>
        <n v="621685.0"/>
        <n v="932923.0"/>
        <n v="849363.0"/>
        <n v="842927.0"/>
        <n v="836243.0"/>
        <n v="1038877.0"/>
        <n v="138456.0"/>
        <n v="1285395.0"/>
        <n v="725098.0"/>
        <n v="1212791.0"/>
        <n v="843419.0"/>
        <n v="611900.0"/>
        <n v="1088823.0"/>
        <n v="214432.0"/>
        <n v="843750.0"/>
        <n v="846683.0"/>
        <n v="848850.0"/>
        <n v="803014.0"/>
        <n v="253568.0"/>
        <n v="964648.0"/>
        <n v="848974.0"/>
        <n v="283646.0"/>
        <n v="1387108.0"/>
        <n v="851444.0"/>
        <n v="852100.0"/>
        <n v="854226.0"/>
        <n v="858707.0"/>
        <n v="554405.0"/>
        <n v="1038423.0"/>
        <n v="856260.0"/>
        <n v="970897.0"/>
        <n v="778419.0"/>
        <n v="856876.0"/>
        <n v="100283.0"/>
        <n v="1091920.0"/>
        <n v="699748.0"/>
        <n v="1446602.0"/>
        <n v="936502.0"/>
        <n v="1419776.0"/>
        <n v="865923.0"/>
        <n v="556136.0"/>
        <n v="857857.0"/>
        <n v="329125.0"/>
        <n v="858249.0"/>
        <n v="520617.0"/>
        <n v="858649.0"/>
        <n v="1417093.0"/>
        <n v="483245.0"/>
        <n v="431030.0"/>
        <n v="769259.0"/>
        <n v="508789.0"/>
        <n v="593887.0"/>
        <n v="497316.0"/>
        <n v="1215321.0"/>
        <n v="1492700.0"/>
        <n v="110859.0"/>
        <n v="1410792.0"/>
        <n v="1362844.0"/>
        <n v="680842.0"/>
        <n v="1476212.0"/>
        <n v="1329052.0"/>
        <n v="1148383.0"/>
        <n v="140103.0"/>
        <n v="981879.0"/>
        <n v="104321.0"/>
        <n v="865568.0"/>
        <n v="867570.0"/>
        <n v="868311.0"/>
        <n v="868546.0"/>
        <n v="1203558.0"/>
        <n v="1053481.0"/>
        <n v="1116330.0"/>
        <n v="649561.0"/>
        <n v="1313935.0"/>
        <n v="1435866.0"/>
        <n v="523054.0"/>
        <n v="1136478.0"/>
        <n v="591497.0"/>
        <n v="868758.0"/>
        <n v="817052.0"/>
        <n v="167620.0"/>
        <n v="286587.0"/>
        <n v="870333.0"/>
        <n v="162524.0"/>
        <n v="1359466.0"/>
        <n v="181093.0"/>
        <n v="781451.0"/>
        <n v="111428.0"/>
        <n v="704899.0"/>
        <n v="1311994.0"/>
        <n v="933573.0"/>
        <n v="576335.0"/>
        <n v="879570.0"/>
        <n v="915201.0"/>
        <n v="883696.0"/>
        <n v="663384.0"/>
        <n v="887115.0"/>
        <n v="1081583.0"/>
        <n v="147047.0"/>
        <n v="894259.0"/>
        <n v="764186.0"/>
        <n v="453512.0"/>
        <n v="827388.0"/>
        <n v="1310763.0"/>
        <n v="668647.0"/>
        <n v="900797.0"/>
        <n v="584306.0"/>
        <n v="1418754.0"/>
        <n v="618573.0"/>
        <n v="890281.0"/>
        <n v="1496209.0"/>
        <n v="352485.0"/>
        <n v="742169.0"/>
        <n v="541666.0"/>
        <n v="839325.0"/>
        <n v="1075708.0"/>
        <n v="931701.0"/>
        <n v="1095371.0"/>
        <n v="902572.0"/>
        <n v="288123.0"/>
        <n v="1227874.0"/>
        <n v="868262.0"/>
        <n v="1339463.0"/>
        <n v="989357.0"/>
        <n v="903149.0"/>
        <n v="630234.0"/>
        <n v="1252974.0"/>
        <n v="365076.0"/>
        <n v="1190951.0"/>
        <n v="977697.0"/>
        <n v="903375.0"/>
        <n v="1404171.0"/>
        <n v="1362472.0"/>
        <n v="903859.0"/>
        <n v="1361614.0"/>
        <n v="1022305.0"/>
        <n v="262341.0"/>
        <n v="1239263.0"/>
        <n v="542776.0"/>
        <n v="426337.0"/>
        <n v="1438956.0"/>
        <n v="429828.0"/>
        <n v="357213.0"/>
        <n v="906038.0"/>
        <n v="873714.0"/>
        <n v="631293.0"/>
        <n v="907603.0"/>
        <n v="1188237.0"/>
        <n v="944393.0"/>
        <n v="1153210.0"/>
        <n v="1364608.0"/>
        <n v="993011.0"/>
        <n v="1455317.0"/>
        <n v="582180.0"/>
        <n v="1394289.0"/>
        <n v="909232.0"/>
        <n v="788063.0"/>
        <n v="910254.0"/>
        <n v="289224.0"/>
        <n v="304268.0"/>
        <n v="286355.0"/>
        <n v="912491.0"/>
        <n v="1242314.0"/>
        <n v="607785.0"/>
        <n v="1334512.0"/>
        <n v="589344.0"/>
        <n v="695004.0"/>
        <n v="880609.0"/>
        <n v="765589.0"/>
        <n v="173195.0"/>
        <n v="914842.0"/>
        <n v="490836.0"/>
        <n v="1372278.0"/>
        <n v="924197.0"/>
        <n v="735605.0"/>
        <n v="514584.0"/>
        <n v="1458769.0"/>
        <n v="911593.0"/>
        <n v="882369.0"/>
        <n v="523704.0"/>
        <n v="1156785.0"/>
        <n v="1426040.0"/>
        <n v="933014.0"/>
        <n v="933171.0"/>
        <n v="935362.0"/>
        <n v="1063326.0"/>
        <n v="892349.0"/>
        <n v="966864.0"/>
        <n v="938789.0"/>
        <n v="510491.0"/>
        <n v="939995.0"/>
        <n v="340762.0"/>
        <n v="1423184.0"/>
        <n v="404252.0"/>
        <n v="940609.0"/>
        <n v="941522.0"/>
        <n v="941784.0"/>
        <n v="942562.0"/>
        <n v="634518.0"/>
        <n v="942683.0"/>
        <n v="942804.0"/>
        <n v="943403.0"/>
        <n v="991924.0"/>
        <n v="944010.0"/>
        <n v="472624.0"/>
        <n v="779212.0"/>
        <n v="1464464.0"/>
        <n v="455746.0"/>
        <n v="1267990.0"/>
        <n v="942400.0"/>
        <n v="948826.0"/>
        <n v="323148.0"/>
        <n v="385824.0"/>
        <n v="451523.0"/>
        <n v="290051.0"/>
        <n v="964260.0"/>
        <n v="945815.0"/>
        <n v="946285.0"/>
        <n v="1233537.0"/>
        <n v="127143.0"/>
        <n v="935219.0"/>
        <n v="1173683.0"/>
        <n v="1266532.0"/>
        <n v="924794.0"/>
        <n v="402250.0"/>
        <n v="889745.0"/>
        <n v="1450914.0"/>
        <n v="946472.0"/>
        <n v="1276754.0"/>
        <n v="947510.0"/>
        <n v="829817.0"/>
        <n v="250343.0"/>
        <n v="993426.0"/>
        <n v="992809.0"/>
        <n v="633814.0"/>
        <n v="1174412.0"/>
        <n v="948645.0"/>
        <n v="1109257.0"/>
        <n v="423729.0"/>
        <n v="424673.0"/>
        <n v="1192506.0"/>
        <n v="1099602.0"/>
        <n v="206508.0"/>
        <n v="952028.0"/>
        <n v="1232947.0"/>
        <n v="952640.0"/>
        <n v="901849.0"/>
        <n v="957223.0"/>
        <n v="1462110.0"/>
        <n v="957604.0"/>
        <n v="786855.0"/>
        <n v="222555.0"/>
        <n v="960407.0"/>
        <n v="781461.0"/>
        <n v="672743.0"/>
        <n v="1183386.0"/>
        <n v="963007.0"/>
        <n v="1249372.0"/>
        <n v="1491915.0"/>
        <n v="841296.0"/>
        <n v="967316.0"/>
        <n v="968615.0"/>
        <n v="908122.0"/>
        <n v="127390.0"/>
        <n v="1039105.0"/>
        <n v="831403.0"/>
        <n v="716358.0"/>
        <n v="651627.0"/>
        <n v="981826.0"/>
        <n v="712624.0"/>
        <n v="969325.0"/>
        <n v="717467.0"/>
        <n v="273905.0"/>
        <n v="330016.0"/>
        <n v="1020669.0"/>
        <n v="824375.0"/>
        <n v="311629.0"/>
        <n v="867206.0"/>
        <n v="796329.0"/>
        <n v="971258.0"/>
        <n v="1420675.0"/>
        <n v="617620.0"/>
        <n v="971991.0"/>
        <n v="1470699.0"/>
        <n v="1254861.0"/>
        <n v="199191.0"/>
        <n v="973256.0"/>
        <n v="1022640.0"/>
        <n v="271192.0"/>
        <n v="976078.0"/>
        <n v="732123.0"/>
        <n v="885498.0"/>
        <n v="778574.0"/>
        <n v="1491852.0"/>
        <n v="976667.0"/>
        <n v="1157118.0"/>
        <n v="977721.0"/>
        <n v="978002.0"/>
        <n v="958904.0"/>
        <n v="1213198.0"/>
        <n v="1429416.0"/>
        <n v="1160505.0"/>
        <n v="734444.0"/>
        <n v="981044.0"/>
        <n v="988161.0"/>
        <n v="287475.0"/>
        <n v="262684.0"/>
        <n v="1496345.0"/>
        <n v="1322012.0"/>
        <n v="450980.0"/>
        <n v="1041999.0"/>
        <n v="193541.0"/>
        <n v="816755.0"/>
        <n v="347514.0"/>
        <n v="112180.0"/>
        <n v="1184343.0"/>
        <n v="1279191.0"/>
        <n v="349997.0"/>
        <n v="911746.0"/>
        <n v="816254.0"/>
        <n v="838822.0"/>
        <n v="393230.0"/>
        <n v="225327.0"/>
        <n v="118489.0"/>
        <n v="565668.0"/>
        <n v="980511.0"/>
        <n v="938654.0"/>
        <n v="991560.0"/>
        <n v="1413904.0"/>
        <n v="992882.0"/>
        <n v="254946.0"/>
        <n v="563319.0"/>
        <n v="993237.0"/>
        <n v="994591.0"/>
        <n v="1417864.0"/>
        <n v="998003.0"/>
        <n v="479296.0"/>
        <n v="999110.0"/>
        <n v="333354.0"/>
        <n v="462942.0"/>
        <n v="100359.0"/>
        <n v="861114.0"/>
        <n v="781259.0"/>
        <n v="260105.0"/>
        <n v="1002939.0"/>
        <n v="934181.0"/>
        <n v="830727.0"/>
        <n v="1003420.0"/>
        <n v="1198238.0"/>
        <n v="1087111.0"/>
        <n v="438591.0"/>
        <n v="180214.0"/>
        <n v="1140983.0"/>
        <n v="831489.0"/>
        <n v="137256.0"/>
        <n v="919464.0"/>
        <n v="1011604.0"/>
        <n v="1376734.0"/>
        <n v="888753.0"/>
        <n v="307504.0"/>
        <n v="592036.0"/>
        <n v="669294.0"/>
        <n v="1185896.0"/>
        <n v="728521.0"/>
        <n v="609946.0"/>
        <n v="311291.0"/>
        <n v="669489.0"/>
        <n v="906981.0"/>
        <n v="512415.0"/>
        <n v="362598.0"/>
        <n v="636492.0"/>
        <n v="140316.0"/>
        <n v="547648.0"/>
        <n v="889625.0"/>
        <n v="1432283.0"/>
        <n v="1017089.0"/>
        <n v="945919.0"/>
        <n v="1312269.0"/>
        <n v="1012565.0"/>
        <n v="1014846.0"/>
        <n v="959885.0"/>
        <n v="1155502.0"/>
        <n v="1016112.0"/>
        <n v="279494.0"/>
        <n v="165820.0"/>
        <n v="761374.0"/>
        <n v="922569.0"/>
        <n v="968119.0"/>
        <n v="1019191.0"/>
        <n v="1024477.0"/>
        <n v="409046.0"/>
        <n v="444640.0"/>
        <n v="1104138.0"/>
        <n v="1024884.0"/>
        <n v="1335972.0"/>
        <n v="1030559.0"/>
        <n v="892712.0"/>
        <n v="1407692.0"/>
        <n v="1207592.0"/>
        <n v="457764.0"/>
        <n v="1465859.0"/>
        <n v="579088.0"/>
        <n v="824024.0"/>
        <n v="886354.0"/>
        <n v="357599.0"/>
        <n v="1110404.0"/>
        <n v="1031274.0"/>
        <n v="1209445.0"/>
        <n v="469613.0"/>
        <n v="1482350.0"/>
        <n v="590041.0"/>
        <n v="1259240.0"/>
        <n v="622890.0"/>
        <n v="1012943.0"/>
        <n v="679034.0"/>
        <n v="916544.0"/>
        <n v="999564.0"/>
        <n v="969242.0"/>
        <n v="1364134.0"/>
        <n v="887213.0"/>
        <n v="1284963.0"/>
        <n v="391248.0"/>
        <n v="1288078.0"/>
        <n v="1033041.0"/>
        <n v="1218958.0"/>
        <n v="1492072.0"/>
        <n v="583720.0"/>
        <n v="627152.0"/>
        <n v="1060065.0"/>
        <n v="781564.0"/>
        <n v="1164379.0"/>
        <n v="891896.0"/>
        <n v="866451.0"/>
        <n v="1042458.0"/>
        <n v="913221.0"/>
        <n v="1043199.0"/>
        <n v="1411056.0"/>
        <n v="1460281.0"/>
        <n v="215543.0"/>
        <n v="522250.0"/>
        <n v="1360547.0"/>
        <n v="120368.0"/>
        <n v="817577.0"/>
        <n v="501201.0"/>
        <n v="136647.0"/>
        <n v="634979.0"/>
        <n v="1013184.0"/>
        <n v="119460.0"/>
        <n v="1424590.0"/>
        <n v="1392483.0"/>
        <n v="1063342.0"/>
        <n v="800635.0"/>
        <n v="1046694.0"/>
        <n v="589404.0"/>
        <n v="422841.0"/>
        <n v="301837.0"/>
        <n v="190609.0"/>
        <n v="1294331.0"/>
        <n v="992302.0"/>
        <n v="109684.0"/>
        <n v="1202188.0"/>
        <n v="1052096.0"/>
        <n v="454587.0"/>
        <n v="793154.0"/>
        <n v="1389237.0"/>
        <n v="1223253.0"/>
        <n v="1052897.0"/>
        <n v="964953.0"/>
        <n v="481357.0"/>
        <n v="1056509.0"/>
        <n v="1147016.0"/>
        <n v="474697.0"/>
        <n v="673167.0"/>
        <n v="1177337.0"/>
        <n v="328206.0"/>
        <n v="880890.0"/>
        <n v="1403310.0"/>
        <n v="869770.0"/>
        <n v="552081.0"/>
        <n v="876517.0"/>
        <n v="547912.0"/>
        <n v="154706.0"/>
        <n v="301157.0"/>
        <n v="378010.0"/>
        <n v="1058406.0"/>
        <n v="917243.0"/>
        <n v="1417682.0"/>
        <n v="1060026.0"/>
        <n v="1175776.0"/>
        <n v="784779.0"/>
        <n v="163960.0"/>
        <n v="979634.0"/>
        <n v="1061447.0"/>
        <n v="740412.0"/>
        <n v="1063935.0"/>
        <n v="1291690.0"/>
        <n v="240229.0"/>
        <n v="991672.0"/>
        <n v="1134606.0"/>
        <n v="1065109.0"/>
        <n v="1065578.0"/>
        <n v="1327823.0"/>
        <n v="1246677.0"/>
        <n v="1065686.0"/>
        <n v="1107780.0"/>
        <n v="144023.0"/>
        <n v="1387365.0"/>
        <n v="1305625.0"/>
        <n v="270245.0"/>
        <n v="1445658.0"/>
        <n v="341634.0"/>
        <n v="1321533.0"/>
        <n v="377258.0"/>
        <n v="581754.0"/>
        <n v="1127603.0"/>
        <n v="989898.0"/>
        <n v="1066882.0"/>
        <n v="264357.0"/>
        <n v="775233.0"/>
        <n v="864731.0"/>
        <n v="233598.0"/>
        <n v="1063868.0"/>
        <n v="1074024.0"/>
        <n v="1075059.0"/>
        <n v="900787.0"/>
        <n v="1077526.0"/>
        <n v="572175.0"/>
        <n v="517449.0"/>
        <n v="1080304.0"/>
        <n v="1084043.0"/>
        <n v="748347.0"/>
        <n v="1492926.0"/>
        <n v="1376673.0"/>
        <n v="554163.0"/>
        <n v="752210.0"/>
        <n v="1086792.0"/>
        <n v="1091840.0"/>
        <n v="850639.0"/>
        <n v="446902.0"/>
        <n v="957764.0"/>
        <n v="1450619.0"/>
        <n v="556635.0"/>
        <n v="925973.0"/>
        <n v="1347555.0"/>
        <n v="402637.0"/>
        <n v="1185143.0"/>
        <n v="1093409.0"/>
        <n v="1257066.0"/>
        <n v="230868.0"/>
        <n v="734091.0"/>
        <n v="1144014.0"/>
        <n v="449307.0"/>
        <n v="1094698.0"/>
        <n v="245230.0"/>
        <n v="549210.0"/>
        <n v="458215.0"/>
        <n v="567245.0"/>
        <n v="1342248.0"/>
        <n v="1368329.0"/>
        <n v="963301.0"/>
        <n v="502165.0"/>
        <n v="1099863.0"/>
        <n v="1482167.0"/>
        <n v="683910.0"/>
        <n v="1101382.0"/>
        <n v="254470.0"/>
        <n v="1102017.0"/>
        <n v="541873.0"/>
        <n v="1328262.0"/>
        <n v="1380476.0"/>
        <n v="1095716.0"/>
        <n v="998749.0"/>
        <n v="1102499.0"/>
        <n v="1064819.0"/>
        <n v="1106308.0"/>
        <n v="507209.0"/>
        <n v="664032.0"/>
        <n v="824851.0"/>
        <n v="345717.0"/>
        <n v="1012634.0"/>
        <n v="175100.0"/>
        <n v="911898.0"/>
        <n v="507926.0"/>
        <n v="551347.0"/>
        <n v="1108587.0"/>
        <n v="1339653.0"/>
        <n v="698605.0"/>
        <n v="153639.0"/>
        <n v="1110522.0"/>
        <n v="799196.0"/>
        <n v="1115403.0"/>
        <n v="1117002.0"/>
        <n v="1477408.0"/>
        <n v="766178.0"/>
        <n v="959249.0"/>
        <n v="238077.0"/>
        <n v="1403108.0"/>
        <n v="1120934.0"/>
        <n v="1465314.0"/>
        <n v="493055.0"/>
        <n v="1126190.0"/>
        <n v="1010631.0"/>
        <n v="639426.0"/>
        <n v="485523.0"/>
        <n v="1131618.0"/>
        <n v="550158.0"/>
        <n v="1050654.0"/>
        <n v="512547.0"/>
        <n v="729920.0"/>
        <n v="1136535.0"/>
        <n v="888455.0"/>
        <n v="867045.0"/>
        <n v="388016.0"/>
        <n v="277024.0"/>
        <n v="643713.0"/>
        <n v="1309159.0"/>
        <n v="767118.0"/>
        <n v="1140029.0"/>
        <n v="1142398.0"/>
        <n v="1143189.0"/>
        <n v="402339.0"/>
        <n v="1144956.0"/>
        <n v="561390.0"/>
        <n v="1376066.0"/>
        <n v="154749.0"/>
        <n v="600024.0"/>
        <n v="732661.0"/>
        <n v="1242489.0"/>
        <n v="992014.0"/>
        <n v="323406.0"/>
        <n v="1146308.0"/>
        <n v="1488630.0"/>
        <n v="1251747.0"/>
        <n v="1330718.0"/>
        <n v="1022516.0"/>
        <n v="816399.0"/>
        <n v="1151819.0"/>
        <n v="1056968.0"/>
        <n v="1153736.0"/>
        <n v="174311.0"/>
        <n v="1164086.0"/>
        <n v="1154452.0"/>
        <n v="859477.0"/>
        <n v="581016.0"/>
        <n v="207646.0"/>
        <n v="772904.0"/>
        <n v="1157354.0"/>
        <n v="664054.0"/>
        <n v="751994.0"/>
        <n v="1496434.0"/>
        <n v="801645.0"/>
        <n v="1160990.0"/>
        <n v="1161136.0"/>
        <n v="1167277.0"/>
        <n v="690617.0"/>
        <n v="740207.0"/>
        <n v="1363873.0"/>
        <n v="812147.0"/>
        <n v="543914.0"/>
        <n v="502220.0"/>
        <n v="145267.0"/>
        <n v="1425188.0"/>
        <n v="1092255.0"/>
        <n v="744075.0"/>
        <n v="643235.0"/>
        <n v="1449986.0"/>
        <n v="792699.0"/>
        <n v="526692.0"/>
        <n v="839428.0"/>
        <n v="223608.0"/>
        <n v="734661.0"/>
        <n v="1167370.0"/>
        <n v="1381863.0"/>
        <n v="1172082.0"/>
        <n v="679223.0"/>
        <n v="299090.0"/>
        <n v="147625.0"/>
        <n v="399361.0"/>
        <n v="267346.0"/>
        <n v="1173967.0"/>
        <n v="762080.0"/>
        <n v="812703.0"/>
        <n v="825032.0"/>
        <n v="1175183.0"/>
        <n v="1177942.0"/>
        <n v="276658.0"/>
        <n v="678162.0"/>
        <n v="517208.0"/>
        <n v="1495902.0"/>
        <n v="816304.0"/>
        <n v="847501.0"/>
        <n v="450515.0"/>
        <n v="625007.0"/>
        <n v="1348396.0"/>
        <n v="1195827.0"/>
        <n v="378020.0"/>
        <n v="420770.0"/>
        <n v="472743.0"/>
        <n v="687480.0"/>
        <n v="761495.0"/>
        <n v="665695.0"/>
        <n v="589177.0"/>
        <n v="1187392.0"/>
        <n v="886105.0"/>
        <n v="1190241.0"/>
        <n v="1303490.0"/>
        <n v="1191472.0"/>
        <n v="749878.0"/>
        <n v="1145357.0"/>
        <n v="1164190.0"/>
        <n v="233884.0"/>
        <n v="229333.0"/>
        <n v="374532.0"/>
        <n v="1392019.0"/>
        <n v="1395917.0"/>
        <n v="650733.0"/>
        <n v="765584.0"/>
        <n v="792693.0"/>
        <n v="628319.0"/>
        <n v="924682.0"/>
        <n v="1191840.0"/>
        <n v="1193460.0"/>
        <n v="1315724.0"/>
        <n v="1194017.0"/>
        <n v="1239159.0"/>
        <n v="611479.0"/>
        <n v="805633.0"/>
        <n v="131883.0"/>
        <n v="1195037.0"/>
        <n v="609804.0"/>
        <n v="1224375.0"/>
        <n v="606489.0"/>
        <n v="983296.0"/>
        <n v="1120178.0"/>
        <n v="637526.0"/>
        <n v="489344.0"/>
        <n v="1135740.0"/>
        <n v="947387.0"/>
        <n v="943840.0"/>
        <n v="599922.0"/>
        <n v="765935.0"/>
        <n v="702190.0"/>
        <n v="442330.0"/>
        <n v="249161.0"/>
        <n v="1233217.0"/>
        <n v="232222.0"/>
        <n v="1216422.0"/>
        <n v="1367331.0"/>
        <n v="463948.0"/>
        <n v="1197720.0"/>
        <n v="1110300.0"/>
        <n v="936790.0"/>
        <n v="168943.0"/>
        <n v="1485781.0"/>
        <n v="256040.0"/>
        <n v="1193957.0"/>
        <n v="1064784.0"/>
        <n v="1200171.0"/>
        <n v="937423.0"/>
        <n v="1202180.0"/>
        <n v="221570.0"/>
        <n v="739335.0"/>
        <n v="1207235.0"/>
        <n v="1207523.0"/>
        <n v="287042.0"/>
        <n v="1318906.0"/>
        <n v="1208371.0"/>
        <n v="418426.0"/>
        <n v="1330162.0"/>
        <n v="1208849.0"/>
        <n v="1360197.0"/>
        <n v="585846.0"/>
        <n v="1210031.0"/>
        <n v="1378973.0"/>
        <n v="121372.0"/>
        <n v="110130.0"/>
        <n v="1201650.0"/>
        <n v="1277550.0"/>
        <n v="1213359.0"/>
        <n v="893945.0"/>
        <n v="264387.0"/>
        <n v="324554.0"/>
        <n v="1216751.0"/>
        <n v="1418824.0"/>
        <n v="124837.0"/>
        <n v="302039.0"/>
        <n v="493579.0"/>
        <n v="382647.0"/>
        <n v="1217073.0"/>
        <n v="128786.0"/>
        <n v="1186905.0"/>
        <n v="1025387.0"/>
        <n v="1209671.0"/>
        <n v="1219024.0"/>
        <n v="1219561.0"/>
        <n v="728894.0"/>
        <n v="527252.0"/>
        <n v="760732.0"/>
        <n v="1225786.0"/>
        <n v="1228208.0"/>
        <n v="1386972.0"/>
        <n v="631500.0"/>
        <n v="1482609.0"/>
        <n v="949364.0"/>
        <n v="1396812.0"/>
        <n v="727860.0"/>
        <n v="1186246.0"/>
        <n v="1053954.0"/>
        <n v="1228673.0"/>
        <n v="125978.0"/>
        <n v="916065.0"/>
        <n v="156731.0"/>
        <n v="1229258.0"/>
        <n v="522443.0"/>
        <n v="773068.0"/>
        <n v="1233616.0"/>
        <n v="1255210.0"/>
        <n v="176979.0"/>
        <n v="570510.0"/>
        <n v="638912.0"/>
        <n v="1238285.0"/>
        <n v="355436.0"/>
        <n v="745981.0"/>
        <n v="1309732.0"/>
        <n v="316268.0"/>
        <n v="1044769.0"/>
        <n v="1247702.0"/>
        <n v="1107286.0"/>
        <n v="1251781.0"/>
        <n v="1252631.0"/>
        <n v="1193022.0"/>
        <n v="173956.0"/>
        <n v="1257567.0"/>
        <n v="391792.0"/>
        <n v="249625.0"/>
        <n v="1120001.0"/>
        <n v="996851.0"/>
        <n v="1039764.0"/>
        <n v="722724.0"/>
        <n v="387750.0"/>
        <n v="369280.0"/>
        <n v="1257749.0"/>
        <n v="1431844.0"/>
        <n v="961677.0"/>
        <n v="1159314.0"/>
        <n v="1130200.0"/>
        <n v="183053.0"/>
        <n v="910544.0"/>
        <n v="421366.0"/>
        <n v="159757.0"/>
        <n v="216289.0"/>
        <n v="322412.0"/>
        <n v="210952.0"/>
        <n v="1247795.0"/>
        <n v="1258068.0"/>
        <n v="1082966.0"/>
        <n v="1164095.0"/>
        <n v="169640.0"/>
        <n v="617862.0"/>
        <n v="1066163.0"/>
        <n v="1258915.0"/>
        <n v="1260045.0"/>
        <n v="292070.0"/>
        <n v="1001321.0"/>
        <n v="1262355.0"/>
        <n v="476404.0"/>
        <n v="1260866.0"/>
        <n v="1263035.0"/>
        <n v="581471.0"/>
        <n v="413748.0"/>
        <n v="341523.0"/>
        <n v="1263497.0"/>
        <n v="808953.0"/>
        <n v="780267.0"/>
        <n v="1083676.0"/>
        <n v="982214.0"/>
        <n v="1226738.0"/>
        <n v="1048224.0"/>
        <n v="1357543.0"/>
        <n v="501380.0"/>
        <n v="154069.0"/>
        <n v="591776.0"/>
        <n v="1263891.0"/>
        <n v="632379.0"/>
        <n v="1277609.0"/>
        <n v="1264468.0"/>
        <n v="692880.0"/>
        <n v="251432.0"/>
        <n v="1264833.0"/>
        <n v="319210.0"/>
        <n v="693672.0"/>
        <n v="549690.0"/>
        <n v="1264926.0"/>
        <n v="1275120.0"/>
        <n v="802518.0"/>
        <n v="1265734.0"/>
        <n v="1268317.0"/>
        <n v="103832.0"/>
        <n v="768400.0"/>
        <n v="1365874.0"/>
        <n v="530558.0"/>
        <n v="1269682.0"/>
        <n v="1270604.0"/>
        <n v="1277005.0"/>
        <n v="1178273.0"/>
        <n v="703641.0"/>
        <n v="645850.0"/>
        <n v="1280322.0"/>
        <n v="492299.0"/>
        <n v="791989.0"/>
        <n v="450700.0"/>
        <n v="1467813.0"/>
        <n v="854844.0"/>
        <n v="214822.0"/>
        <n v="1283223.0"/>
        <n v="1253916.0"/>
        <n v="698501.0"/>
        <n v="1131190.0"/>
        <n v="729432.0"/>
        <n v="1365836.0"/>
        <n v="1285850.0"/>
        <n v="101178.0"/>
        <n v="699524.0"/>
        <n v="516185.0"/>
        <n v="1289111.0"/>
        <n v="1093528.0"/>
        <n v="742610.0"/>
        <n v="765764.0"/>
        <n v="631826.0"/>
        <n v="992311.0"/>
        <n v="1292371.0"/>
        <n v="1208739.0"/>
        <n v="503321.0"/>
        <n v="1460786.0"/>
        <n v="1292907.0"/>
        <n v="1293478.0"/>
        <n v="1297513.0"/>
        <n v="1304257.0"/>
        <n v="309482.0"/>
        <n v="1189135.0"/>
        <n v="118498.0"/>
        <n v="971671.0"/>
        <n v="207700.0"/>
        <n v="1106000.0"/>
        <n v="133923.0"/>
        <n v="1362246.0"/>
        <n v="895568.0"/>
        <n v="387441.0"/>
        <n v="632396.0"/>
        <n v="892897.0"/>
        <n v="1406069.0"/>
        <n v="1215590.0"/>
        <n v="944158.0"/>
        <n v="336063.0"/>
        <n v="603958.0"/>
        <n v="130251.0"/>
        <n v="1262766.0"/>
        <n v="1306410.0"/>
        <n v="517845.0"/>
        <n v="288812.0"/>
        <n v="996105.0"/>
        <n v="837572.0"/>
        <n v="1008190.0"/>
        <n v="1028164.0"/>
        <n v="533002.0"/>
        <n v="472692.0"/>
        <n v="284033.0"/>
        <n v="861987.0"/>
        <n v="1431603.0"/>
        <n v="1306875.0"/>
        <n v="1197928.0"/>
        <n v="1432269.0"/>
        <n v="1123182.0"/>
        <n v="1496721.0"/>
        <n v="1258147.0"/>
        <n v="1439743.0"/>
        <n v="1395131.0"/>
        <n v="1308064.0"/>
        <n v="1076673.0"/>
        <n v="1316335.0"/>
        <n v="1318586.0"/>
        <n v="342663.0"/>
        <n v="913054.0"/>
        <n v="1430943.0"/>
        <n v="1197039.0"/>
        <n v="325009.0"/>
        <n v="935650.0"/>
        <n v="1321540.0"/>
        <n v="225216.0"/>
        <n v="640648.0"/>
        <n v="708703.0"/>
        <n v="957576.0"/>
        <n v="999232.0"/>
        <n v="1048735.0"/>
        <n v="462296.0"/>
        <n v="1177290.0"/>
        <n v="742621.0"/>
        <n v="923487.0"/>
        <n v="1324558.0"/>
        <n v="1159949.0"/>
        <n v="1324583.0"/>
        <n v="1328223.0"/>
        <n v="1020354.0"/>
        <n v="1332809.0"/>
        <n v="1334500.0"/>
        <n v="788193.0"/>
        <n v="265192.0"/>
        <n v="870993.0"/>
        <n v="330783.0"/>
        <n v="1340655.0"/>
        <n v="1333193.0"/>
        <n v="1342910.0"/>
        <n v="843829.0"/>
        <n v="1111836.0"/>
        <n v="819446.0"/>
        <n v="603712.0"/>
        <n v="1246098.0"/>
        <n v="1128439.0"/>
        <n v="1344907.0"/>
        <n v="1230304.0"/>
        <n v="145438.0"/>
        <n v="831611.0"/>
        <n v="628980.0"/>
        <n v="1085745.0"/>
        <n v="1474934.0"/>
        <n v="1266256.0"/>
        <n v="1345391.0"/>
        <n v="1429390.0"/>
        <n v="380154.0"/>
        <n v="1350028.0"/>
        <n v="1117722.0"/>
        <n v="1357731.0"/>
        <n v="1063005.0"/>
        <n v="584963.0"/>
        <n v="201039.0"/>
        <n v="294028.0"/>
        <n v="1105081.0"/>
        <n v="157925.0"/>
        <n v="1359152.0"/>
        <n v="1359155.0"/>
        <n v="523011.0"/>
        <n v="700635.0"/>
        <n v="1288394.0"/>
        <n v="723160.0"/>
        <n v="552626.0"/>
        <n v="1363186.0"/>
        <n v="220065.0"/>
        <n v="1363548.0"/>
        <n v="1047425.0"/>
        <n v="752214.0"/>
        <n v="1448184.0"/>
        <n v="444950.0"/>
        <n v="1364756.0"/>
        <n v="855500.0"/>
        <n v="683327.0"/>
        <n v="1216780.0"/>
        <n v="692477.0"/>
        <n v="1367995.0"/>
        <n v="687101.0"/>
        <n v="118223.0"/>
        <n v="1243844.0"/>
        <n v="886391.0"/>
        <n v="1490566.0"/>
        <n v="737325.0"/>
        <n v="969176.0"/>
        <n v="1368821.0"/>
        <n v="434210.0"/>
        <n v="491406.0"/>
        <n v="1311387.0"/>
        <n v="1199146.0"/>
        <n v="561221.0"/>
        <n v="410437.0"/>
        <n v="556797.0"/>
        <n v="546196.0"/>
        <n v="454064.0"/>
        <n v="667653.0"/>
        <n v="1273467.0"/>
        <n v="918155.0"/>
        <n v="454285.0"/>
        <n v="926781.0"/>
        <n v="1371610.0"/>
        <n v="1377069.0"/>
        <n v="864386.0"/>
        <n v="989896.0"/>
        <n v="1377244.0"/>
        <n v="943663.0"/>
        <n v="125165.0"/>
        <n v="176303.0"/>
        <n v="541910.0"/>
        <n v="398709.0"/>
        <n v="898766.0"/>
        <n v="1369287.0"/>
        <n v="1295690.0"/>
        <n v="204223.0"/>
        <n v="306767.0"/>
        <n v="624411.0"/>
        <n v="1402993.0"/>
        <n v="1378903.0"/>
        <n v="510476.0"/>
        <n v="1379623.0"/>
        <n v="579709.0"/>
        <n v="397855.0"/>
        <n v="445276.0"/>
        <n v="1475870.0"/>
        <n v="1191596.0"/>
        <n v="1050628.0"/>
        <n v="1421824.0"/>
        <n v="510550.0"/>
        <n v="1325023.0"/>
        <n v="1270993.0"/>
        <n v="664075.0"/>
        <n v="736337.0"/>
        <n v="1042856.0"/>
        <n v="365717.0"/>
        <n v="149578.0"/>
        <n v="658686.0"/>
        <n v="1108409.0"/>
        <n v="198284.0"/>
        <n v="1065786.0"/>
        <n v="1315096.0"/>
        <n v="578056.0"/>
        <n v="1167412.0"/>
        <n v="1137640.0"/>
        <n v="1380179.0"/>
        <n v="798149.0"/>
        <n v="957203.0"/>
        <n v="1376960.0"/>
        <n v="1382669.0"/>
        <n v="1484582.0"/>
        <n v="552789.0"/>
        <n v="406699.0"/>
        <n v="1383766.0"/>
        <n v="641930.0"/>
        <n v="388647.0"/>
        <n v="776027.0"/>
        <n v="833490.0"/>
        <n v="333231.0"/>
        <n v="225038.0"/>
        <n v="1383914.0"/>
        <n v="1384056.0"/>
        <n v="1363733.0"/>
        <n v="544557.0"/>
        <n v="806408.0"/>
        <n v="1389856.0"/>
        <n v="817524.0"/>
        <n v="938238.0"/>
        <n v="1390208.0"/>
        <n v="296545.0"/>
        <n v="1390353.0"/>
        <n v="244460.0"/>
        <n v="1252831.0"/>
        <n v="382125.0"/>
        <n v="324306.0"/>
        <n v="1394784.0"/>
        <n v="1196873.0"/>
        <n v="299990.0"/>
        <n v="1396414.0"/>
        <n v="725164.0"/>
        <n v="372641.0"/>
        <n v="1333747.0"/>
        <n v="268166.0"/>
        <n v="1399032.0"/>
        <n v="1305797.0"/>
        <n v="395512.0"/>
        <n v="1194453.0"/>
        <n v="274635.0"/>
        <n v="1018590.0"/>
        <n v="1401606.0"/>
        <n v="1086904.0"/>
        <n v="1402065.0"/>
        <n v="636359.0"/>
        <n v="1314092.0"/>
        <n v="749627.0"/>
        <n v="731423.0"/>
        <n v="500477.0"/>
        <n v="140023.0"/>
        <n v="1403737.0"/>
        <n v="1404881.0"/>
        <n v="1113059.0"/>
        <n v="1407385.0"/>
        <n v="1286329.0"/>
        <n v="1217332.0"/>
        <n v="1329326.0"/>
        <n v="1408110.0"/>
        <n v="1494324.0"/>
        <n v="1275867.0"/>
        <n v="416409.0"/>
        <n v="199214.0"/>
        <n v="1154031.0"/>
        <n v="1409033.0"/>
        <n v="1411862.0"/>
        <n v="898194.0"/>
        <n v="761218.0"/>
        <n v="1123280.0"/>
        <n v="1097241.0"/>
        <n v="326219.0"/>
        <n v="497194.0"/>
        <n v="467982.0"/>
        <n v="310809.0"/>
        <n v="905495.0"/>
        <n v="1168371.0"/>
        <n v="497042.0"/>
        <n v="814719.0"/>
        <n v="842595.0"/>
        <n v="1167635.0"/>
        <n v="1417416.0"/>
        <n v="846925.0"/>
        <n v="524335.0"/>
        <n v="161115.0"/>
        <n v="1029390.0"/>
        <n v="621411.0"/>
        <n v="1174887.0"/>
        <n v="1412041.0"/>
        <n v="356873.0"/>
        <n v="818587.0"/>
        <n v="1241620.0"/>
        <n v="1431093.0"/>
        <n v="1374709.0"/>
        <n v="674018.0"/>
        <n v="234244.0"/>
        <n v="1212405.0"/>
        <n v="340904.0"/>
        <n v="1008405.0"/>
        <n v="1414669.0"/>
        <n v="685831.0"/>
        <n v="622655.0"/>
        <n v="401040.0"/>
        <n v="608037.0"/>
        <n v="1327006.0"/>
        <n v="1026807.0"/>
        <n v="934997.0"/>
        <n v="960338.0"/>
        <n v="1415195.0"/>
        <n v="123625.0"/>
        <n v="1407105.0"/>
        <n v="563185.0"/>
        <n v="1415825.0"/>
        <n v="1419240.0"/>
        <n v="1420500.0"/>
        <n v="739866.0"/>
        <n v="1423548.0"/>
        <n v="339553.0"/>
        <n v="1358356.0"/>
        <n v="218899.0"/>
        <n v="243386.0"/>
        <n v="401177.0"/>
        <n v="685130.0"/>
        <n v="1424084.0"/>
        <n v="679086.0"/>
        <n v="1021565.0"/>
        <n v="818796.0"/>
        <n v="416436.0"/>
        <n v="1093419.0"/>
        <n v="624263.0"/>
        <n v="553467.0"/>
        <n v="1253807.0"/>
        <n v="970091.0"/>
        <n v="730723.0"/>
        <n v="985816.0"/>
        <n v="270319.0"/>
        <n v="210895.0"/>
        <n v="446490.0"/>
        <n v="680646.0"/>
        <n v="1424797.0"/>
        <n v="376794.0"/>
        <n v="823602.0"/>
        <n v="1432147.0"/>
        <n v="1357686.0"/>
        <n v="1216553.0"/>
        <n v="460323.0"/>
        <n v="1425500.0"/>
        <n v="266322.0"/>
        <n v="1456112.0"/>
        <n v="977845.0"/>
        <n v="602097.0"/>
        <n v="798661.0"/>
        <n v="1428849.0"/>
        <n v="1061282.0"/>
        <n v="1430971.0"/>
        <n v="974309.0"/>
        <n v="1425236.0"/>
        <n v="1411570.0"/>
        <n v="1197615.0"/>
        <n v="1432839.0"/>
        <n v="1068257.0"/>
        <n v="1273089.0"/>
        <n v="193458.0"/>
        <n v="1433049.0"/>
        <n v="1433992.0"/>
        <n v="923832.0"/>
        <n v="326717.0"/>
        <n v="1350914.0"/>
        <n v="1461070.0"/>
        <n v="717552.0"/>
        <n v="1228076.0"/>
        <n v="995222.0"/>
        <n v="424766.0"/>
        <n v="950988.0"/>
        <n v="143167.0"/>
        <n v="138278.0"/>
        <n v="340199.0"/>
        <n v="1402468.0"/>
        <n v="1470553.0"/>
        <n v="1434978.0"/>
        <n v="1436174.0"/>
        <n v="1436618.0"/>
        <n v="425156.0"/>
        <n v="1093748.0"/>
        <n v="321468.0"/>
        <n v="1470886.0"/>
        <n v="850616.0"/>
        <n v="1177500.0"/>
        <n v="1440454.0"/>
        <n v="123916.0"/>
        <n v="1440863.0"/>
        <n v="1043450.0"/>
        <n v="423673.0"/>
        <n v="156591.0"/>
        <n v="433833.0"/>
        <n v="1471135.0"/>
        <n v="398826.0"/>
        <n v="1443890.0"/>
        <n v="1445108.0"/>
        <n v="1325428.0"/>
        <n v="1330743.0"/>
        <n v="1445626.0"/>
        <n v="580318.0"/>
        <n v="1447420.0"/>
        <n v="1447743.0"/>
        <n v="942211.0"/>
        <n v="1172234.0"/>
        <n v="1102666.0"/>
        <n v="815809.0"/>
        <n v="657892.0"/>
        <n v="175195.0"/>
        <n v="1190257.0"/>
        <n v="1449697.0"/>
        <n v="927642.0"/>
        <n v="1453664.0"/>
        <n v="978038.0"/>
        <n v="699502.0"/>
        <n v="703104.0"/>
        <n v="496299.0"/>
        <n v="1454344.0"/>
        <n v="1049061.0"/>
        <n v="1170490.0"/>
        <n v="972358.0"/>
        <n v="1456442.0"/>
        <n v="794201.0"/>
        <n v="1153651.0"/>
        <n v="311336.0"/>
        <n v="1222243.0"/>
        <n v="1275945.0"/>
        <n v="617079.0"/>
        <n v="1143302.0"/>
        <n v="506080.0"/>
        <n v="444833.0"/>
        <n v="228472.0"/>
        <n v="1159353.0"/>
        <n v="159743.0"/>
        <n v="1458415.0"/>
        <n v="987535.0"/>
        <n v="216447.0"/>
        <n v="281436.0"/>
        <n v="1460985.0"/>
        <n v="1479856.0"/>
        <n v="190824.0"/>
        <n v="1463056.0"/>
        <n v="1465412.0"/>
        <n v="1446565.0"/>
        <n v="116376.0"/>
        <n v="604616.0"/>
        <n v="895042.0"/>
        <n v="1405348.0"/>
        <n v="1028996.0"/>
        <n v="105815.0"/>
        <n v="324648.0"/>
        <n v="1469257.0"/>
        <n v="1422607.0"/>
        <n v="1466346.0"/>
        <n v="1469707.0"/>
        <n v="436022.0"/>
        <n v="945774.0"/>
        <n v="510098.0"/>
        <n v="461841.0"/>
        <n v="576151.0"/>
        <n v="1472375.0"/>
        <n v="1472458.0"/>
        <n v="1253720.0"/>
        <n v="465743.0"/>
        <n v="324975.0"/>
        <n v="574029.0"/>
        <n v="1472857.0"/>
        <n v="1233794.0"/>
        <n v="1322594.0"/>
        <n v="1474598.0"/>
        <n v="1477906.0"/>
        <n v="867826.0"/>
        <n v="1035884.0"/>
        <n v="334465.0"/>
        <n v="983059.0"/>
        <n v="1483606.0"/>
        <n v="671605.0"/>
        <n v="853376.0"/>
        <n v="770472.0"/>
        <n v="388184.0"/>
        <n v="885549.0"/>
        <n v="625188.0"/>
        <n v="1461196.0"/>
        <n v="1052043.0"/>
        <n v="135403.0"/>
        <n v="999822.0"/>
        <n v="1484620.0"/>
        <n v="658161.0"/>
        <n v="453812.0"/>
        <n v="735476.0"/>
        <n v="1035174.0"/>
        <n v="1003613.0"/>
        <n v="1486590.0"/>
        <n v="580183.0"/>
        <n v="1486948.0"/>
        <n v="1491526.0"/>
        <n v="1151470.0"/>
        <n v="643240.0"/>
        <n v="709999.0"/>
        <n v="1167986.0"/>
        <n v="1342049.0"/>
        <n v="1498990.0"/>
        <n v="738309.0"/>
        <n v="1036105.0"/>
        <n v="193808.0"/>
        <n v="195265.0"/>
        <n v="1158742.0"/>
        <n v="801824.0"/>
        <n v="843703.0"/>
        <n v="1499473.0"/>
        <n v="211664.0"/>
        <n v="712029.0"/>
      </sharedItems>
    </cacheField>
    <cacheField name="Address" numFmtId="0">
      <sharedItems>
        <s v="5926 Oak Ave, San Diego, CA 65383"/>
        <s v="1395 Elm St, Fresno, NY 47843"/>
        <s v="9583 Oak Ave, Fresno, IL 79339"/>
        <s v="4704 Oak Ave, Fresno, NY 12937"/>
        <s v="5446 Pine Rd, Los Angeles, CA 23989"/>
        <s v="9202 Maple Dr, Sacramento, NY 71318"/>
        <s v="2698 Elm St, Sacramento, NY 57421"/>
        <s v="2118 Main St, San Diego, IL 64361"/>
        <s v="9474 Main St, San Francisco, FL 13227"/>
        <s v="8803 Maple Dr, San Diego, NY 57397"/>
        <s v="7535 Elm St, San Diego, FL 70072"/>
        <s v="4880 Elm St, Fresno, CA 60495"/>
        <s v="9692 Maple Dr, Los Angeles, CA 91395"/>
        <s v="905 Oak Ave, Sacramento, NY 28568"/>
        <s v="2786 Elm St, Fresno, NY 79620"/>
        <s v="2475 Elm St, Sacramento, TX 63853"/>
        <s v="5887 Oak Ave, Sacramento, CA 57513"/>
        <s v="3934 Elm St, San Francisco, TX 17359"/>
        <s v="3087 Maple Dr, Los Angeles, NY 11690"/>
        <s v="4360 Maple Dr, Los Angeles, TX 97442"/>
        <s v="8332 Oak Ave, Los Angeles, IL 12888"/>
        <s v="4702 Pine Rd, Los Angeles, NY 63443"/>
        <s v="289 Elm St, Fresno, FL 37362"/>
        <s v="9953 Maple Dr, San Francisco, TX 33081"/>
        <s v="3530 Oak Ave, Sacramento, FL 16851"/>
        <s v="8606 Main St, Los Angeles, IL 31581"/>
        <s v="517 Elm St, San Diego, CA 73665"/>
        <s v="982 Oak Ave, Sacramento, CA 45375"/>
        <s v="7675 Maple Dr, Los Angeles, NY 25618"/>
        <s v="1580 Elm St, San Francisco, FL 11309"/>
        <s v="8382 Main St, Sacramento, CA 74703"/>
        <s v="1193 Oak Ave, San Diego, NY 19858"/>
        <s v="4020 Elm St, San Diego, IL 93752"/>
        <s v="7473 Maple Dr, Los Angeles, CA 61325"/>
        <s v="4820 Pine Rd, San Francisco, NY 44242"/>
        <s v="345 Elm St, San Diego, CA 65902"/>
        <s v="5156 Maple Dr, San Diego, NY 70313"/>
        <s v="9323 Maple Dr, Los Angeles, FL 59381"/>
        <s v="9346 Pine Rd, San Diego, CA 22610"/>
        <s v="5261 Pine Rd, Los Angeles, NY 89328"/>
        <s v="9841 Main St, San Diego, FL 57088"/>
        <s v="5061 Main St, San Francisco, FL 35239"/>
        <s v="8009 Main St, San Diego, CA 66947"/>
        <s v="9066 Pine Rd, Sacramento, CA 70379"/>
        <s v="2635 Main St, San Diego, IL 37297"/>
        <s v="9343 Main St, San Francisco, FL 71862"/>
        <s v="3200 Maple Dr, Sacramento, NY 54468"/>
        <s v="9129 Elm St, San Diego, CA 40064"/>
        <s v="1644 Oak Ave, Sacramento, FL 54502"/>
        <s v="8638 Elm St, Fresno, NY 67573"/>
        <s v="9681 Maple Dr, San Francisco, TX 39228"/>
        <s v="850 Maple Dr, Los Angeles, NY 25964"/>
        <s v="385 Maple Dr, San Diego, FL 61792"/>
        <s v="2669 Oak Ave, San Diego, TX 91305"/>
        <s v="1352 Main St, San Diego, IL 79089"/>
        <s v="1966 Pine Rd, Los Angeles, CA 69291"/>
        <s v="593 Main St, San Francisco, FL 88366"/>
        <s v="1732 Pine Rd, Sacramento, TX 97624"/>
        <s v="3811 Elm St, San Francisco, FL 87038"/>
        <s v="8985 Main St, Sacramento, CA 71760"/>
        <s v="6616 Oak Ave, Los Angeles, CA 60339"/>
        <s v="9346 Elm St, San Diego, CA 47852"/>
        <s v="7692 Elm St, Los Angeles, NY 20582"/>
        <s v="7234 Oak Ave, San Diego, CA 87797"/>
        <s v="2047 Main St, Los Angeles, FL 17654"/>
        <s v="154 Main St, Los Angeles, NY 76220"/>
        <s v="9343 Maple Dr, Sacramento, NY 27909"/>
        <s v="1777 Elm St, Fresno, IL 11996"/>
        <s v="8789 Oak Ave, San Francisco, TX 99388"/>
        <s v="524 Elm St, Sacramento, NY 74756"/>
        <s v="8234 Elm St, Sacramento, TX 36251"/>
        <s v="788 Oak Ave, Fresno, TX 95641"/>
        <s v="464 Pine Rd, San Francisco, CA 63085"/>
        <s v="7627 Main St, Los Angeles, NY 23864"/>
        <s v="3323 Maple Dr, Fresno, FL 52256"/>
        <s v="522 Main St, San Diego, IL 83545"/>
        <s v="5171 Pine Rd, Los Angeles, IL 39506"/>
        <s v="3305 Main St, San Diego, IL 98587"/>
        <s v="5986 Main St, Fresno, NY 76056"/>
        <s v="9646 Main St, San Diego, IL 55101"/>
        <s v="3673 Maple Dr, San Diego, FL 35654"/>
        <s v="6206 Main St, Los Angeles, FL 28260"/>
        <s v="905 Main St, San Francisco, CA 24367"/>
        <s v="5501 Oak Ave, Sacramento, IL 37372"/>
        <s v="3081 Oak Ave, Fresno, FL 91628"/>
        <s v="6288 Main St, Sacramento, TX 11097"/>
        <s v="3168 Maple Dr, San Francisco, FL 48078"/>
        <s v="599 Maple Dr, Fresno, NY 72733"/>
        <s v="8073 Maple Dr, Los Angeles, NY 48984"/>
        <s v="7211 Pine Rd, Fresno, TX 19420"/>
        <s v="2771 Main St, San Francisco, CA 93992"/>
        <s v="2973 Maple Dr, Sacramento, IL 94674"/>
        <s v="4172 Pine Rd, San Diego, NY 60724"/>
        <s v="4942 Maple Dr, Sacramento, IL 80299"/>
        <s v="7283 Pine Rd, San Francisco, CA 63039"/>
        <s v="1976 Maple Dr, Los Angeles, NY 88108"/>
        <s v="7034 Elm St, Fresno, TX 73437"/>
        <s v="8859 Pine Rd, Sacramento, IL 85891"/>
        <s v="8545 Pine Rd, Sacramento, CA 61514"/>
        <s v="9922 Oak Ave, San Francisco, CA 84532"/>
        <s v="8940 Pine Rd, Los Angeles, CA 66497"/>
        <s v="1835 Oak Ave, Fresno, CA 79869"/>
        <s v="1117 Oak Ave, San Diego, TX 87642"/>
        <s v="4328 Pine Rd, San Diego, TX 55033"/>
        <s v="9353 Elm St, San Diego, NY 59136"/>
        <s v="2287 Main St, San Francisco, IL 80680"/>
        <s v="5875 Maple Dr, Los Angeles, IL 55266"/>
        <s v="5539 Elm St, Los Angeles, IL 85581"/>
        <s v="7245 Main St, San Francisco, NY 35785"/>
        <s v="5459 Pine Rd, Fresno, NY 83599"/>
        <s v="3387 Main St, Sacramento, NY 86748"/>
        <s v="3492 Pine Rd, Sacramento, CA 23389"/>
        <s v="1157 Pine Rd, San Francisco, IL 97204"/>
        <s v="4143 Main St, San Francisco, FL 28572"/>
        <s v="7772 Maple Dr, Los Angeles, NY 94493"/>
        <s v="8632 Main St, San Francisco, CA 99466"/>
        <s v="452 Elm St, Sacramento, CA 79802"/>
        <s v="865 Maple Dr, Sacramento, CA 97567"/>
        <s v="9729 Main St, San Francisco, TX 93091"/>
        <s v="9737 Main St, Fresno, NY 92018"/>
        <s v="4212 Main St, San Diego, NY 94614"/>
        <s v="3726 Maple Dr, San Diego, IL 67157"/>
        <s v="4533 Oak Ave, Sacramento, NY 23470"/>
        <s v="3516 Elm St, Fresno, FL 18979"/>
        <s v="6411 Pine Rd, Sacramento, NY 39637"/>
        <s v="1316 Pine Rd, San Diego, CA 76613"/>
        <s v="8115 Elm St, San Francisco, CA 48137"/>
        <s v="6791 Oak Ave, San Diego, NY 80136"/>
        <s v="1064 Main St, Los Angeles, FL 42568"/>
        <s v="1518 Oak Ave, Los Angeles, IL 32340"/>
        <s v="5562 Main St, Los Angeles, CA 30265"/>
        <s v="843 Oak Ave, San Francisco, NY 88019"/>
        <s v="1429 Main St, San Diego, TX 63640"/>
        <s v="964 Main St, Sacramento, CA 72385"/>
        <s v="6067 Main St, Fresno, FL 51176"/>
        <s v="2385 Main St, San Francisco, IL 63077"/>
        <s v="2130 Oak Ave, San Diego, CA 32946"/>
        <s v="9703 Elm St, Los Angeles, FL 24352"/>
        <s v="7322 Oak Ave, Sacramento, IL 32785"/>
        <s v="2986 Main St, Los Angeles, IL 39301"/>
        <s v="952 Maple Dr, Fresno, NY 40673"/>
        <s v="3546 Oak Ave, San Diego, CA 79681"/>
        <s v="6259 Pine Rd, Sacramento, FL 96050"/>
        <s v="4733 Pine Rd, San Francisco, CA 11339"/>
        <s v="3475 Pine Rd, Fresno, CA 91382"/>
        <s v="2055 Pine Rd, Fresno, IL 12309"/>
        <s v="8849 Oak Ave, San Francisco, NY 54311"/>
        <s v="7762 Pine Rd, San Francisco, IL 16056"/>
        <s v="7537 Oak Ave, San Francisco, CA 10943"/>
        <s v="1012 Maple Dr, San Diego, IL 69693"/>
        <s v="8746 Elm St, San Francisco, FL 78745"/>
        <s v="1055 Pine Rd, Los Angeles, IL 83301"/>
        <s v="6204 Oak Ave, San Diego, CA 82941"/>
        <s v="652 Elm St, San Francisco, IL 71481"/>
        <s v="2929 Maple Dr, Sacramento, NY 40991"/>
        <s v="2240 Oak Ave, Fresno, FL 70215"/>
        <s v="6249 Maple Dr, Fresno, CA 98694"/>
        <s v="8022 Main St, San Diego, CA 46625"/>
        <s v="7838 Pine Rd, Sacramento, NY 61130"/>
        <s v="3909 Oak Ave, Fresno, FL 14495"/>
        <s v="117 Pine Rd, Fresno, CA 49637"/>
        <s v="1863 Maple Dr, Los Angeles, FL 67845"/>
        <s v="5092 Pine Rd, San Francisco, NY 21343"/>
        <s v="739 Maple Dr, San Francisco, CA 20858"/>
        <s v="5801 Elm St, Sacramento, CA 98816"/>
        <s v="5152 Oak Ave, Fresno, IL 64747"/>
        <s v="232 Oak Ave, Fresno, TX 38666"/>
        <s v="7576 Maple Dr, San Francisco, IL 15409"/>
        <s v="3347 Pine Rd, Los Angeles, IL 93947"/>
        <s v="8650 Main St, San Francisco, CA 98708"/>
        <s v="9053 Oak Ave, San Francisco, CA 34458"/>
        <s v="7036 Oak Ave, Sacramento, NY 97922"/>
        <s v="7296 Oak Ave, Fresno, NY 98601"/>
        <s v="6350 Oak Ave, San Francisco, FL 58752"/>
        <s v="4443 Pine Rd, San Diego, NY 18497"/>
        <s v="1245 Main St, Los Angeles, FL 78755"/>
        <s v="5301 Main St, Los Angeles, IL 84616"/>
        <s v="2982 Elm St, San Francisco, IL 25648"/>
        <s v="7050 Main St, Sacramento, FL 90006"/>
        <s v="336 Elm St, Fresno, NY 91466"/>
        <s v="5659 Elm St, San Francisco, FL 86772"/>
        <s v="2883 Elm St, San Diego, NY 29937"/>
        <s v="6171 Oak Ave, Los Angeles, IL 19052"/>
        <s v="5581 Maple Dr, Los Angeles, TX 15311"/>
        <s v="5188 Oak Ave, Fresno, CA 37195"/>
        <s v="2834 Elm St, Los Angeles, FL 38983"/>
        <s v="9752 Maple Dr, San Francisco, FL 95768"/>
        <s v="412 Pine Rd, San Diego, IL 30565"/>
        <s v="5684 Oak Ave, San Diego, IL 50470"/>
        <s v="6692 Main St, Fresno, NY 92482"/>
        <s v="2688 Maple Dr, Los Angeles, FL 18835"/>
        <s v="2985 Maple Dr, Sacramento, IL 55131"/>
        <s v="6160 Oak Ave, Los Angeles, IL 80688"/>
        <s v="2455 Oak Ave, Sacramento, FL 22392"/>
        <s v="658 Oak Ave, San Francisco, TX 27352"/>
        <s v="7964 Pine Rd, San Diego, IL 61136"/>
        <s v="9452 Oak Ave, San Diego, NY 75218"/>
        <s v="8715 Elm St, Fresno, FL 14986"/>
        <s v="714 Elm St, Fresno, CA 42083"/>
        <s v="677 Pine Rd, Fresno, FL 97626"/>
        <s v="8217 Oak Ave, Fresno, NY 31166"/>
        <s v="8961 Pine Rd, Fresno, TX 12486"/>
        <s v="2813 Main St, Los Angeles, NY 14674"/>
        <s v="3836 Oak Ave, San Francisco, FL 82340"/>
        <s v="6054 Oak Ave, Los Angeles, NY 66352"/>
        <s v="7279 Elm St, San Diego, CA 58001"/>
        <s v="2336 Oak Ave, San Diego, FL 64992"/>
        <s v="5317 Main St, San Francisco, FL 71698"/>
        <s v="844 Maple Dr, San Diego, TX 35380"/>
        <s v="6642 Oak Ave, Sacramento, FL 61851"/>
        <s v="7396 Pine Rd, San Francisco, CA 65026"/>
        <s v="5990 Maple Dr, Fresno, FL 15208"/>
        <s v="598 Pine Rd, Los Angeles, FL 22864"/>
        <s v="5310 Pine Rd, Fresno, FL 92602"/>
        <s v="8872 Pine Rd, San Francisco, IL 65583"/>
        <s v="7837 Maple Dr, San Francisco, FL 45138"/>
        <s v="4300 Maple Dr, Los Angeles, TX 94630"/>
        <s v="8995 Oak Ave, Fresno, FL 64412"/>
        <s v="2683 Oak Ave, Los Angeles, NY 77646"/>
        <s v="2941 Maple Dr, Sacramento, TX 38759"/>
        <s v="4824 Main St, San Francisco, TX 99056"/>
        <s v="2064 Elm St, Los Angeles, IL 92930"/>
        <s v="6372 Oak Ave, Sacramento, CA 45299"/>
        <s v="5565 Maple Dr, Sacramento, NY 20074"/>
        <s v="1656 Oak Ave, Sacramento, FL 29610"/>
        <s v="2165 Elm St, San Francisco, IL 92847"/>
        <s v="7575 Elm St, San Diego, NY 48097"/>
        <s v="326 Maple Dr, Los Angeles, CA 13752"/>
        <s v="2060 Maple Dr, Los Angeles, CA 89342"/>
        <s v="6853 Elm St, Los Angeles, TX 18778"/>
        <s v="6550 Main St, Sacramento, IL 81788"/>
        <s v="1450 Pine Rd, San Francisco, IL 59809"/>
        <s v="9384 Maple Dr, Sacramento, FL 41014"/>
        <s v="2222 Elm St, Los Angeles, IL 16823"/>
        <s v="8296 Maple Dr, Los Angeles, NY 99592"/>
        <s v="940 Oak Ave, Los Angeles, CA 54352"/>
        <s v="1613 Maple Dr, Sacramento, TX 51205"/>
        <s v="7714 Elm St, Los Angeles, CA 58293"/>
        <s v="5367 Pine Rd, Los Angeles, NY 83221"/>
        <s v="5267 Main St, Los Angeles, NY 25359"/>
        <s v="2632 Main St, San Diego, TX 74968"/>
        <s v="217 Oak Ave, Sacramento, CA 65871"/>
        <s v="8271 Main St, Los Angeles, CA 37127"/>
        <s v="7516 Oak Ave, Fresno, TX 95064"/>
        <s v="2037 Main St, Los Angeles, FL 37523"/>
        <s v="3700 Oak Ave, San Francisco, TX 21028"/>
        <s v="2387 Elm St, Los Angeles, FL 59912"/>
        <s v="4500 Main St, Sacramento, IL 14174"/>
        <s v="3113 Maple Dr, Fresno, TX 54993"/>
        <s v="1827 Oak Ave, San Diego, IL 14187"/>
        <s v="8518 Maple Dr, San Diego, CA 81397"/>
        <s v="4611 Pine Rd, San Francisco, IL 33183"/>
        <s v="6966 Elm St, San Francisco, IL 89531"/>
        <s v="2549 Elm St, San Francisco, NY 76365"/>
        <s v="5207 Elm St, San Diego, NY 83246"/>
        <s v="7036 Main St, Fresno, IL 19254"/>
        <s v="7124 Pine Rd, Los Angeles, FL 96325"/>
        <s v="2341 Oak Ave, Fresno, CA 27026"/>
        <s v="7967 Elm St, San Francisco, FL 29040"/>
        <s v="8000 Main St, Los Angeles, NY 20699"/>
        <s v="9926 Elm St, Los Angeles, TX 29271"/>
        <s v="499 Maple Dr, San Diego, CA 89790"/>
        <s v="4502 Main St, Los Angeles, TX 30987"/>
        <s v="4408 Oak Ave, San Francisco, NY 19426"/>
        <s v="6305 Main St, San Francisco, FL 77074"/>
        <s v="4584 Main St, Sacramento, NY 26064"/>
        <s v="1467 Main St, Fresno, NY 14659"/>
        <s v="8344 Oak Ave, San Diego, TX 26675"/>
        <s v="5514 Main St, Sacramento, CA 63062"/>
        <s v="5922 Main St, San Diego, TX 73100"/>
        <s v="9493 Main St, Fresno, IL 23130"/>
        <s v="2035 Elm St, San Diego, NY 94923"/>
        <s v="343 Main St, Sacramento, TX 17784"/>
        <s v="2450 Maple Dr, San Francisco, FL 33938"/>
        <s v="2361 Oak Ave, San Diego, NY 45025"/>
        <s v="5175 Pine Rd, Sacramento, NY 76986"/>
        <s v="8842 Pine Rd, Fresno, TX 72173"/>
        <s v="1587 Elm St, San Diego, FL 83265"/>
        <s v="3517 Main St, Los Angeles, NY 68268"/>
        <s v="5809 Pine Rd, Los Angeles, NY 82504"/>
        <s v="6080 Pine Rd, Fresno, TX 72560"/>
        <s v="2635 Main St, Fresno, FL 95150"/>
        <s v="8922 Elm St, San Diego, CA 69169"/>
        <s v="2204 Pine Rd, Fresno, TX 21440"/>
        <s v="9840 Oak Ave, San Francisco, CA 61212"/>
        <s v="1807 Maple Dr, San Francisco, CA 33992"/>
        <s v="6997 Pine Rd, Sacramento, NY 89948"/>
        <s v="9878 Maple Dr, Los Angeles, NY 39510"/>
        <s v="1390 Maple Dr, Los Angeles, TX 43515"/>
        <s v="2305 Maple Dr, San Diego, CA 18058"/>
        <s v="5461 Pine Rd, San Diego, CA 77353"/>
        <s v="5397 Elm St, Sacramento, NY 42636"/>
        <s v="5793 Elm St, San Francisco, TX 68531"/>
        <s v="427 Pine Rd, San Francisco, NY 81859"/>
        <s v="6785 Elm St, Sacramento, FL 72975"/>
        <s v="6741 Maple Dr, Fresno, FL 25830"/>
        <s v="6865 Main St, Sacramento, NY 79684"/>
        <s v="4340 Oak Ave, San Diego, IL 72177"/>
        <s v="3450 Main St, Sacramento, NY 81038"/>
        <s v="2285 Pine Rd, Los Angeles, IL 68343"/>
        <s v="5600 Elm St, Fresno, TX 30783"/>
        <s v="2765 Pine Rd, San Diego, IL 68426"/>
        <s v="9740 Oak Ave, Sacramento, TX 93892"/>
        <s v="4380 Maple Dr, San Francisco, IL 19908"/>
        <s v="7217 Pine Rd, San Francisco, CA 54146"/>
        <s v="7427 Elm St, San Diego, CA 11489"/>
        <s v="5704 Pine Rd, Fresno, IL 97417"/>
        <s v="3095 Pine Rd, San Francisco, NY 51963"/>
        <s v="7238 Main St, Fresno, CA 12498"/>
        <s v="7911 Elm St, San Francisco, TX 94121"/>
        <s v="8501 Maple Dr, San Diego, TX 24264"/>
        <s v="3301 Pine Rd, San Diego, FL 89635"/>
        <s v="3231 Main St, Sacramento, CA 50757"/>
        <s v="7679 Pine Rd, Sacramento, CA 17681"/>
        <s v="4349 Main St, Fresno, IL 50468"/>
        <s v="780 Maple Dr, San Diego, CA 69573"/>
        <s v="4983 Maple Dr, Fresno, TX 48991"/>
        <s v="4528 Elm St, Los Angeles, TX 54871"/>
        <s v="5071 Pine Rd, San Francisco, TX 17869"/>
        <s v="3708 Oak Ave, Fresno, FL 50573"/>
        <s v="4383 Oak Ave, Los Angeles, NY 97233"/>
        <s v="8966 Maple Dr, San Francisco, CA 29647"/>
        <s v="6996 Pine Rd, San Diego, NY 38001"/>
        <s v="8877 Oak Ave, Sacramento, CA 87840"/>
        <s v="4185 Elm St, San Diego, TX 58273"/>
        <s v="5719 Oak Ave, Los Angeles, FL 15134"/>
        <s v="3065 Main St, San Diego, CA 11522"/>
        <s v="5817 Oak Ave, San Diego, FL 58457"/>
        <s v="5009 Oak Ave, Sacramento, TX 57822"/>
        <s v="1809 Oak Ave, Los Angeles, FL 18590"/>
        <s v="3819 Main St, Los Angeles, TX 32540"/>
        <s v="6773 Oak Ave, Sacramento, NY 95061"/>
        <s v="5651 Oak Ave, Los Angeles, IL 56870"/>
        <s v="1746 Oak Ave, Los Angeles, TX 70276"/>
        <s v="8972 Oak Ave, Fresno, CA 29272"/>
        <s v="1668 Maple Dr, Sacramento, TX 40884"/>
        <s v="7324 Main St, San Diego, NY 97622"/>
        <s v="3508 Maple Dr, San Francisco, NY 45725"/>
        <s v="909 Oak Ave, San Diego, CA 18928"/>
        <s v="3711 Pine Rd, San Francisco, FL 19441"/>
        <s v="7677 Maple Dr, San Diego, IL 93570"/>
        <s v="8215 Pine Rd, Los Angeles, CA 69765"/>
        <s v="1204 Elm St, Sacramento, TX 78801"/>
        <s v="8599 Main St, San Francisco, NY 51007"/>
        <s v="8231 Main St, San Diego, CA 10238"/>
        <s v="1592 Elm St, Los Angeles, IL 60485"/>
        <s v="7708 Maple Dr, San Diego, NY 76921"/>
        <s v="9465 Maple Dr, Sacramento, NY 20830"/>
        <s v="174 Elm St, Sacramento, FL 75928"/>
        <s v="5873 Pine Rd, Fresno, NY 94352"/>
        <s v="8664 Oak Ave, San Francisco, IL 15945"/>
        <s v="7124 Pine Rd, Los Angeles, NY 23082"/>
        <s v="2557 Pine Rd, Sacramento, CA 42548"/>
        <s v="2875 Elm St, San Diego, CA 44650"/>
        <s v="2228 Pine Rd, Los Angeles, NY 33826"/>
        <s v="6341 Main St, Sacramento, FL 14887"/>
        <s v="8008 Elm St, Los Angeles, IL 39118"/>
        <s v="366 Pine Rd, Los Angeles, CA 22656"/>
        <s v="8761 Elm St, Sacramento, FL 93371"/>
        <s v="761 Pine Rd, Sacramento, NY 95473"/>
        <s v="8351 Main St, Fresno, TX 27368"/>
        <s v="9391 Elm St, Sacramento, IL 11489"/>
        <s v="8685 Elm St, Sacramento, IL 27970"/>
        <s v="4171 Pine Rd, San Diego, NY 97217"/>
        <s v="5289 Maple Dr, Sacramento, FL 89624"/>
        <s v="8949 Maple Dr, San Francisco, CA 37518"/>
        <s v="4654 Maple Dr, San Francisco, CA 22482"/>
        <s v="4327 Maple Dr, Los Angeles, NY 96529"/>
        <s v="6841 Elm St, Los Angeles, TX 19798"/>
        <s v="8340 Oak Ave, San Francisco, NY 74420"/>
        <s v="1358 Elm St, Los Angeles, IL 40585"/>
        <s v="3156 Oak Ave, San Francisco, IL 66688"/>
        <s v="5244 Maple Dr, San Diego, TX 82734"/>
        <s v="8639 Maple Dr, Fresno, TX 72494"/>
        <s v="7161 Main St, Sacramento, CA 94325"/>
        <s v="9418 Oak Ave, Fresno, IL 75571"/>
        <s v="3286 Oak Ave, Sacramento, CA 50594"/>
        <s v="6740 Maple Dr, Fresno, FL 72813"/>
        <s v="1693 Maple Dr, Los Angeles, IL 87661"/>
        <s v="5141 Main St, Sacramento, CA 34902"/>
        <s v="696 Elm St, Sacramento, CA 80939"/>
        <s v="3326 Maple Dr, Los Angeles, CA 76331"/>
        <s v="2730 Oak Ave, San Diego, IL 85196"/>
        <s v="5036 Oak Ave, Fresno, TX 59637"/>
        <s v="9826 Elm St, San Diego, CA 55545"/>
        <s v="3750 Pine Rd, Los Angeles, TX 35979"/>
        <s v="7598 Maple Dr, Fresno, NY 87737"/>
        <s v="3698 Pine Rd, Sacramento, TX 39898"/>
        <s v="566 Pine Rd, Fresno, NY 38380"/>
        <s v="9700 Pine Rd, Los Angeles, CA 55207"/>
        <s v="8327 Oak Ave, Fresno, CA 85098"/>
        <s v="3272 Oak Ave, San Francisco, TX 47035"/>
        <s v="3897 Pine Rd, Sacramento, CA 80455"/>
        <s v="7267 Pine Rd, Los Angeles, FL 66368"/>
        <s v="4778 Main St, San Francisco, NY 36428"/>
        <s v="1559 Main St, San Diego, NY 40382"/>
        <s v="981 Maple Dr, Fresno, CA 53066"/>
        <s v="3448 Maple Dr, Fresno, CA 13171"/>
        <s v="2000 Pine Rd, Fresno, IL 88151"/>
        <s v="4549 Oak Ave, San Francisco, CA 74845"/>
        <s v="1566 Maple Dr, San Francisco, NY 77717"/>
        <s v="8477 Oak Ave, San Francisco, CA 45435"/>
        <s v="1237 Pine Rd, Fresno, CA 42332"/>
        <s v="4302 Elm St, San Francisco, NY 21095"/>
        <s v="6868 Pine Rd, Los Angeles, NY 37962"/>
        <s v="9200 Elm St, Los Angeles, IL 24534"/>
        <s v="1890 Maple Dr, Fresno, TX 63709"/>
        <s v="870 Oak Ave, San Diego, NY 54416"/>
        <s v="269 Pine Rd, Sacramento, IL 76996"/>
        <s v="5667 Oak Ave, Sacramento, CA 86858"/>
        <s v="841 Maple Dr, Fresno, FL 78532"/>
        <s v="884 Pine Rd, Los Angeles, NY 79617"/>
        <s v="3687 Maple Dr, Sacramento, CA 63418"/>
        <s v="139 Pine Rd, Fresno, TX 85872"/>
        <s v="303 Pine Rd, San Diego, CA 16283"/>
        <s v="8951 Pine Rd, Los Angeles, CA 79047"/>
        <s v="962 Pine Rd, Sacramento, FL 75930"/>
        <s v="6319 Main St, San Francisco, IL 36162"/>
        <s v="9836 Oak Ave, San Diego, CA 99323"/>
        <s v="2771 Main St, San Francisco, CA 82910"/>
        <s v="1117 Oak Ave, San Diego, FL 65593"/>
        <s v="6119 Maple Dr, Sacramento, FL 18285"/>
        <s v="7933 Oak Ave, San Francisco, NY 67839"/>
        <s v="2070 Maple Dr, San Francisco, TX 59594"/>
        <s v="9118 Maple Dr, Sacramento, CA 23393"/>
        <s v="6434 Maple Dr, Sacramento, IL 76728"/>
        <s v="5856 Maple Dr, San Francisco, TX 20376"/>
        <s v="8482 Elm St, Fresno, CA 94175"/>
        <s v="2113 Pine Rd, Los Angeles, NY 21826"/>
        <s v="5407 Pine Rd, Sacramento, CA 52402"/>
        <s v="2484 Pine Rd, Fresno, FL 39489"/>
        <s v="7182 Pine Rd, Fresno, NY 39961"/>
        <s v="5205 Maple Dr, San Diego, NY 15718"/>
        <s v="9088 Maple Dr, Fresno, CA 48994"/>
        <s v="9390 Oak Ave, Sacramento, FL 85118"/>
        <s v="4790 Oak Ave, Sacramento, NY 45772"/>
        <s v="9871 Elm St, San Francisco, CA 75282"/>
        <s v="4699 Elm St, San Diego, IL 31572"/>
        <s v="1275 Pine Rd, Los Angeles, IL 26523"/>
        <s v="5572 Pine Rd, Sacramento, IL 84551"/>
        <s v="2375 Elm St, Sacramento, IL 51763"/>
        <s v="7197 Oak Ave, Fresno, CA 79211"/>
        <s v="2531 Pine Rd, Sacramento, TX 36438"/>
        <s v="3558 Maple Dr, San Francisco, FL 97647"/>
        <s v="1843 Elm St, Los Angeles, TX 85311"/>
        <s v="7509 Main St, San Diego, IL 21852"/>
        <s v="5401 Oak Ave, Fresno, IL 19079"/>
        <s v="9004 Main St, Sacramento, CA 20349"/>
        <s v="9027 Pine Rd, Los Angeles, NY 97824"/>
        <s v="8963 Pine Rd, Fresno, FL 14695"/>
        <s v="9653 Oak Ave, Fresno, FL 58030"/>
        <s v="6574 Elm St, San Diego, CA 19935"/>
        <s v="7455 Main St, Fresno, NY 88057"/>
        <s v="1171 Main St, Sacramento, NY 34517"/>
        <s v="3637 Pine Rd, Fresno, FL 63885"/>
        <s v="8613 Main St, Sacramento, FL 80702"/>
        <s v="8622 Maple Dr, San Diego, NY 26771"/>
        <s v="8992 Maple Dr, Los Angeles, TX 23438"/>
        <s v="961 Main St, Los Angeles, FL 29161"/>
        <s v="5563 Pine Rd, Fresno, FL 13983"/>
        <s v="1033 Maple Dr, Fresno, NY 41611"/>
        <s v="1116 Oak Ave, Los Angeles, IL 96388"/>
        <s v="8176 Maple Dr, Los Angeles, CA 68265"/>
        <s v="9918 Maple Dr, San Diego, FL 52635"/>
        <s v="2584 Oak Ave, San Francisco, TX 77562"/>
        <s v="1894 Oak Ave, Los Angeles, NY 42337"/>
        <s v="7819 Oak Ave, Los Angeles, CA 41713"/>
        <s v="9304 Pine Rd, San Diego, NY 16656"/>
        <s v="8912 Main St, Los Angeles, FL 49604"/>
        <s v="7096 Main St, Fresno, NY 88240"/>
        <s v="1158 Oak Ave, Fresno, IL 96198"/>
        <s v="1408 Pine Rd, San Francisco, IL 56080"/>
        <s v="7478 Maple Dr, Los Angeles, CA 35544"/>
        <s v="5634 Elm St, San Diego, TX 29803"/>
        <s v="5907 Maple Dr, San Francisco, IL 11210"/>
        <s v="1919 Main St, Los Angeles, FL 50766"/>
        <s v="5424 Elm St, Los Angeles, TX 94827"/>
        <s v="3080 Elm St, San Francisco, IL 89195"/>
        <s v="9665 Elm St, San Diego, NY 48115"/>
        <s v="3899 Oak Ave, Los Angeles, NY 99183"/>
        <s v="3901 Pine Rd, Los Angeles, IL 28501"/>
        <s v="6835 Maple Dr, Los Angeles, TX 95821"/>
        <s v="5074 Maple Dr, San Francisco, NY 35045"/>
        <s v="7600 Main St, San Diego, IL 94919"/>
        <s v="6586 Main St, San Francisco, FL 20373"/>
        <s v="3734 Pine Rd, Sacramento, IL 82995"/>
        <s v="143 Pine Rd, Sacramento, NY 58019"/>
        <s v="4483 Maple Dr, San Francisco, FL 47018"/>
        <s v="4005 Maple Dr, Los Angeles, TX 44250"/>
        <s v="5951 Main St, San Diego, TX 40066"/>
        <s v="4726 Maple Dr, Sacramento, TX 67883"/>
        <s v="9423 Elm St, Los Angeles, FL 88335"/>
        <s v="1716 Pine Rd, San Francisco, TX 77567"/>
        <s v="4907 Pine Rd, San Diego, NY 65461"/>
        <s v="9353 Oak Ave, San Diego, FL 93955"/>
        <s v="8287 Main St, Los Angeles, NY 17410"/>
        <s v="6259 Elm St, Fresno, CA 92818"/>
        <s v="8650 Oak Ave, Fresno, CA 96383"/>
        <s v="1372 Maple Dr, Sacramento, NY 53607"/>
        <s v="866 Maple Dr, San Francisco, NY 10311"/>
        <s v="1367 Maple Dr, San Diego, CA 32173"/>
        <s v="4513 Maple Dr, San Diego, FL 27832"/>
        <s v="1717 Pine Rd, Sacramento, NY 31075"/>
        <s v="2127 Pine Rd, Sacramento, FL 27470"/>
        <s v="2613 Oak Ave, San Francisco, FL 68868"/>
        <s v="6081 Maple Dr, Los Angeles, TX 23693"/>
        <s v="1158 Elm St, Sacramento, TX 72738"/>
        <s v="2380 Pine Rd, Los Angeles, FL 80412"/>
        <s v="1474 Elm St, Sacramento, NY 32115"/>
        <s v="417 Oak Ave, Fresno, FL 80351"/>
        <s v="9720 Maple Dr, San Diego, IL 56888"/>
        <s v="8042 Oak Ave, San Diego, IL 94192"/>
        <s v="156 Maple Dr, San Francisco, CA 45081"/>
        <s v="3639 Elm St, San Diego, TX 28105"/>
        <s v="5776 Main St, Los Angeles, TX 67939"/>
        <s v="4490 Main St, San Diego, CA 35797"/>
        <s v="4385 Main St, Los Angeles, IL 51679"/>
        <s v="4643 Main St, Fresno, CA 88744"/>
        <s v="8464 Pine Rd, San Francisco, TX 39812"/>
        <s v="725 Elm St, Los Angeles, CA 61780"/>
        <s v="1867 Oak Ave, Fresno, NY 91641"/>
        <s v="5812 Oak Ave, San Diego, IL 74415"/>
        <s v="6580 Oak Ave, Los Angeles, CA 55480"/>
        <s v="5570 Maple Dr, Sacramento, CA 65418"/>
        <s v="645 Pine Rd, Fresno, IL 60396"/>
        <s v="239 Pine Rd, Fresno, IL 73202"/>
        <s v="1695 Main St, Sacramento, IL 65996"/>
        <s v="3011 Oak Ave, San Francisco, TX 47810"/>
        <s v="6175 Oak Ave, Los Angeles, IL 25777"/>
        <s v="8164 Elm St, Los Angeles, NY 58433"/>
        <s v="1112 Elm St, Fresno, FL 97242"/>
        <s v="8346 Oak Ave, San Diego, NY 61026"/>
        <s v="2815 Pine Rd, San Diego, TX 43557"/>
        <s v="9246 Maple Dr, Fresno, TX 65725"/>
        <s v="5786 Main St, Fresno, TX 88176"/>
        <s v="2847 Elm St, Los Angeles, IL 37339"/>
        <s v="5783 Elm St, San Francisco, IL 14212"/>
        <s v="8466 Maple Dr, Los Angeles, IL 35378"/>
        <s v="3584 Elm St, Los Angeles, NY 87488"/>
        <s v="6963 Maple Dr, San Diego, FL 55567"/>
        <s v="3672 Maple Dr, San Francisco, IL 88302"/>
        <s v="3306 Main St, Fresno, FL 20603"/>
        <s v="1709 Main St, Sacramento, NY 14685"/>
        <s v="1476 Maple Dr, Los Angeles, IL 18152"/>
        <s v="7019 Elm St, Sacramento, TX 73267"/>
        <s v="2235 Pine Rd, Sacramento, NY 82661"/>
        <s v="5156 Main St, San Francisco, CA 93635"/>
        <s v="4841 Maple Dr, San Francisco, IL 78415"/>
        <s v="8112 Oak Ave, San Diego, TX 59583"/>
        <s v="3043 Pine Rd, San Diego, NY 29719"/>
        <s v="6929 Elm St, San Diego, TX 78275"/>
        <s v="1887 Maple Dr, Sacramento, TX 78040"/>
        <s v="6306 Main St, Fresno, IL 43818"/>
        <s v="5348 Main St, Sacramento, CA 93094"/>
        <s v="1283 Elm St, San Diego, IL 41680"/>
        <s v="3276 Main St, Sacramento, IL 10818"/>
        <s v="4937 Pine Rd, Sacramento, NY 55808"/>
        <s v="7595 Oak Ave, Sacramento, IL 36098"/>
        <s v="7586 Elm St, Fresno, TX 66852"/>
        <s v="894 Oak Ave, San Diego, CA 43152"/>
        <s v="6041 Maple Dr, Fresno, FL 34652"/>
        <s v="8843 Elm St, San Diego, CA 96391"/>
        <s v="5868 Oak Ave, San Diego, NY 90523"/>
        <s v="1930 Maple Dr, San Francisco, NY 51332"/>
        <s v="1861 Pine Rd, San Francisco, NY 20764"/>
        <s v="6204 Main St, San Diego, NY 92972"/>
        <s v="5559 Elm St, San Diego, FL 75163"/>
        <s v="351 Oak Ave, San Francisco, NY 29586"/>
        <s v="834 Main St, Los Angeles, CA 45798"/>
        <s v="7256 Maple Dr, Los Angeles, FL 83126"/>
        <s v="1048 Pine Rd, San Diego, FL 74857"/>
        <s v="969 Maple Dr, San Diego, NY 80154"/>
        <s v="9527 Oak Ave, San Francisco, TX 64532"/>
        <s v="5311 Oak Ave, Fresno, IL 55782"/>
        <s v="3118 Maple Dr, Los Angeles, FL 55444"/>
        <s v="5498 Elm St, Sacramento, CA 30347"/>
        <s v="8683 Maple Dr, Fresno, CA 13545"/>
        <s v="5558 Oak Ave, Los Angeles, IL 74523"/>
        <s v="8131 Maple Dr, Fresno, IL 33457"/>
        <s v="842 Maple Dr, San Diego, NY 23507"/>
        <s v="2966 Oak Ave, San Diego, IL 46749"/>
        <s v="4979 Elm St, Los Angeles, FL 81900"/>
        <s v="3714 Main St, Fresno, FL 87522"/>
        <s v="9182 Main St, San Diego, FL 11664"/>
        <s v="4663 Elm St, Los Angeles, FL 26355"/>
        <s v="3266 Maple Dr, Los Angeles, CA 27317"/>
        <s v="2528 Maple Dr, Sacramento, TX 52052"/>
        <s v="612 Pine Rd, San Diego, FL 66605"/>
        <s v="6087 Elm St, Los Angeles, CA 90177"/>
        <s v="495 Maple Dr, Fresno, NY 40049"/>
        <s v="7546 Oak Ave, San Diego, CA 63599"/>
        <s v="8176 Main St, Los Angeles, IL 81824"/>
        <s v="9665 Maple Dr, San Francisco, NY 74633"/>
        <s v="9998 Pine Rd, Sacramento, IL 87520"/>
        <s v="6401 Pine Rd, San Francisco, FL 45648"/>
        <s v="2318 Elm St, San Francisco, IL 52454"/>
        <s v="136 Elm St, Los Angeles, TX 66135"/>
        <s v="3221 Elm St, Fresno, FL 43311"/>
        <s v="4318 Maple Dr, San Diego, FL 29464"/>
        <s v="8046 Pine Rd, San Francisco, CA 80206"/>
        <s v="970 Main St, Sacramento, NY 64621"/>
        <s v="1356 Elm St, Sacramento, IL 63439"/>
        <s v="5185 Pine Rd, San Diego, NY 62811"/>
        <s v="3865 Main St, Sacramento, CA 91105"/>
        <s v="3071 Pine Rd, Los Angeles, FL 32641"/>
        <s v="1291 Elm St, San Diego, FL 77805"/>
        <s v="6974 Elm St, San Diego, TX 82273"/>
        <s v="1106 Main St, Sacramento, CA 98214"/>
        <s v="4509 Oak Ave, Los Angeles, TX 45468"/>
        <s v="2240 Maple Dr, San Diego, TX 81784"/>
        <s v="8194 Oak Ave, Fresno, CA 86532"/>
        <s v="7677 Pine Rd, Los Angeles, FL 66826"/>
        <s v="5350 Oak Ave, Sacramento, TX 19962"/>
        <s v="3017 Pine Rd, Fresno, IL 41056"/>
        <s v="2217 Oak Ave, San Diego, CA 50347"/>
        <s v="4244 Maple Dr, Sacramento, TX 28407"/>
        <s v="6282 Pine Rd, Los Angeles, NY 92569"/>
        <s v="8676 Pine Rd, San Diego, NY 28635"/>
        <s v="1004 Main St, Sacramento, IL 93261"/>
        <s v="4735 Pine Rd, Fresno, FL 33202"/>
        <s v="1414 Main St, San Diego, CA 99094"/>
        <s v="5462 Oak Ave, Los Angeles, TX 13830"/>
        <s v="3416 Oak Ave, San Francisco, CA 82969"/>
        <s v="1300 Main St, San Diego, NY 18244"/>
        <s v="9025 Main St, San Diego, FL 55155"/>
        <s v="2879 Oak Ave, Los Angeles, TX 70939"/>
        <s v="2964 Oak Ave, San Francisco, TX 63514"/>
        <s v="9585 Pine Rd, Sacramento, CA 78721"/>
        <s v="7483 Elm St, San Francisco, CA 47337"/>
        <s v="4981 Maple Dr, Sacramento, IL 27185"/>
        <s v="739 Main St, San Diego, TX 63053"/>
        <s v="929 Oak Ave, Fresno, CA 56423"/>
        <s v="5758 Oak Ave, San Francisco, FL 45469"/>
        <s v="432 Pine Rd, Los Angeles, FL 38082"/>
        <s v="2126 Pine Rd, San Francisco, FL 34230"/>
        <s v="6824 Oak Ave, Sacramento, IL 72726"/>
        <s v="5065 Oak Ave, Los Angeles, NY 71424"/>
        <s v="7628 Main St, Los Angeles, NY 81291"/>
        <s v="7142 Elm St, San Diego, CA 36666"/>
        <s v="6720 Oak Ave, San Diego, FL 20161"/>
        <s v="2932 Elm St, Los Angeles, FL 40426"/>
        <s v="4878 Maple Dr, Sacramento, TX 19836"/>
        <s v="7022 Pine Rd, Fresno, IL 82261"/>
        <s v="5353 Pine Rd, Los Angeles, TX 68561"/>
        <s v="1510 Pine Rd, San Diego, NY 47970"/>
        <s v="7902 Pine Rd, Los Angeles, FL 69780"/>
        <s v="9171 Main St, San Francisco, CA 38092"/>
        <s v="3220 Maple Dr, Fresno, FL 40098"/>
        <s v="7014 Pine Rd, Los Angeles, CA 18709"/>
        <s v="8562 Pine Rd, Fresno, NY 89639"/>
        <s v="5157 Elm St, Los Angeles, NY 42449"/>
        <s v="9789 Main St, San Francisco, IL 19527"/>
        <s v="3602 Oak Ave, Sacramento, IL 58984"/>
        <s v="1001 Oak Ave, San Diego, CA 75125"/>
        <s v="8407 Oak Ave, Sacramento, CA 89405"/>
        <s v="2577 Elm St, Fresno, FL 71252"/>
        <s v="4911 Elm St, Los Angeles, IL 61754"/>
        <s v="4935 Main St, Fresno, IL 40814"/>
        <s v="685 Oak Ave, San Francisco, TX 40195"/>
        <s v="3081 Maple Dr, Los Angeles, CA 77333"/>
        <s v="1942 Elm St, Sacramento, CA 19709"/>
        <s v="626 Maple Dr, Fresno, FL 30885"/>
        <s v="4936 Main St, Los Angeles, IL 78631"/>
        <s v="9559 Elm St, Sacramento, IL 15377"/>
        <s v="2939 Main St, Fresno, CA 78357"/>
        <s v="2374 Maple Dr, San Francisco, IL 32018"/>
        <s v="3600 Main St, Sacramento, CA 31318"/>
        <s v="8242 Main St, Sacramento, CA 80409"/>
        <s v="1001 Pine Rd, Fresno, TX 65816"/>
        <s v="650 Oak Ave, San Francisco, CA 18857"/>
        <s v="2209 Main St, Sacramento, NY 93308"/>
        <s v="1730 Elm St, San Francisco, TX 66275"/>
        <s v="2755 Oak Ave, San Diego, TX 76029"/>
        <s v="2249 Oak Ave, Los Angeles, IL 83251"/>
        <s v="1210 Oak Ave, San Francisco, CA 63073"/>
        <s v="9889 Maple Dr, Sacramento, TX 37843"/>
        <s v="7349 Elm St, Sacramento, FL 98024"/>
        <s v="6548 Pine Rd, San Diego, IL 77634"/>
        <s v="3211 Pine Rd, San Diego, TX 87315"/>
        <s v="2312 Pine Rd, Fresno, IL 87777"/>
        <s v="5038 Oak Ave, Sacramento, TX 63240"/>
        <s v="7914 Pine Rd, San Francisco, IL 89641"/>
        <s v="8000 Main St, Sacramento, TX 76866"/>
        <s v="9980 Elm St, Sacramento, IL 77255"/>
        <s v="6690 Main St, Sacramento, CA 80756"/>
        <s v="4980 Elm St, Los Angeles, CA 94803"/>
        <s v="4468 Pine Rd, Sacramento, FL 64762"/>
        <s v="7868 Main St, Los Angeles, TX 68715"/>
        <s v="4355 Pine Rd, Fresno, FL 79704"/>
        <s v="8428 Elm St, San Francisco, FL 30227"/>
        <s v="5488 Maple Dr, San Francisco, IL 18441"/>
        <s v="1744 Main St, Sacramento, CA 44806"/>
        <s v="6898 Elm St, Sacramento, TX 13361"/>
        <s v="2604 Main St, Sacramento, NY 42661"/>
        <s v="3063 Oak Ave, San Diego, CA 59147"/>
        <s v="9128 Elm St, San Francisco, IL 29994"/>
        <s v="6398 Pine Rd, Fresno, IL 17027"/>
        <s v="1265 Pine Rd, Sacramento, NY 14389"/>
        <s v="5062 Maple Dr, San Diego, TX 57376"/>
        <s v="6783 Elm St, San Francisco, CA 17048"/>
        <s v="4097 Elm St, Sacramento, FL 19411"/>
        <s v="5257 Elm St, Sacramento, NY 59105"/>
        <s v="6408 Oak Ave, San Francisco, NY 69662"/>
        <s v="5866 Elm St, Sacramento, IL 36242"/>
        <s v="3019 Pine Rd, San Diego, IL 43942"/>
        <s v="4092 Main St, Sacramento, NY 90940"/>
        <s v="2663 Maple Dr, Sacramento, CA 23919"/>
        <s v="5210 Main St, San Diego, IL 10463"/>
        <s v="8770 Main St, San Francisco, FL 45720"/>
        <s v="3459 Pine Rd, Los Angeles, IL 28141"/>
        <s v="4742 Elm St, Los Angeles, CA 46051"/>
        <s v="8625 Maple Dr, San Diego, TX 45263"/>
        <s v="7346 Oak Ave, San Francisco, IL 90781"/>
        <s v="1041 Main St, Fresno, CA 15862"/>
        <s v="6686 Main St, San Francisco, IL 41315"/>
        <s v="9341 Oak Ave, Fresno, IL 64486"/>
        <s v="3844 Pine Rd, Sacramento, IL 10497"/>
        <s v="9367 Elm St, San Diego, IL 93193"/>
        <s v="3181 Oak Ave, San Francisco, CA 35930"/>
        <s v="8184 Pine Rd, San Diego, NY 77374"/>
        <s v="7149 Main St, Sacramento, TX 45005"/>
        <s v="4057 Oak Ave, Sacramento, IL 43472"/>
        <s v="7527 Main St, San Diego, IL 96400"/>
        <s v="1050 Elm St, Fresno, TX 23802"/>
        <s v="8501 Main St, Los Angeles, CA 19472"/>
        <s v="3217 Elm St, Fresno, IL 71447"/>
        <s v="9888 Pine Rd, Los Angeles, IL 24009"/>
        <s v="4421 Pine Rd, Los Angeles, CA 88307"/>
        <s v="2959 Elm St, Sacramento, CA 35214"/>
        <s v="8257 Pine Rd, Sacramento, IL 11286"/>
        <s v="337 Pine Rd, Fresno, FL 45184"/>
        <s v="9334 Main St, Los Angeles, CA 46396"/>
        <s v="8952 Elm St, Fresno, NY 45136"/>
        <s v="9544 Maple Dr, Sacramento, IL 54020"/>
        <s v="4427 Pine Rd, Sacramento, TX 62655"/>
        <s v="8946 Maple Dr, San Francisco, CA 15264"/>
        <s v="5868 Maple Dr, San Francisco, TX 41053"/>
        <s v="7124 Oak Ave, San Diego, TX 54870"/>
        <s v="9198 Oak Ave, San Diego, IL 24302"/>
        <s v="3679 Pine Rd, Los Angeles, CA 28809"/>
        <s v="6968 Main St, Los Angeles, NY 73989"/>
        <s v="395 Maple Dr, San Francisco, CA 27882"/>
        <s v="6083 Pine Rd, San Diego, TX 24734"/>
        <s v="2239 Pine Rd, San Diego, NY 58737"/>
        <s v="6518 Maple Dr, San Diego, CA 88255"/>
        <s v="2977 Elm St, Sacramento, FL 53113"/>
        <s v="6309 Oak Ave, Los Angeles, FL 79319"/>
        <s v="2386 Pine Rd, Fresno, IL 58931"/>
        <s v="485 Oak Ave, San Diego, FL 88560"/>
        <s v="7412 Main St, Los Angeles, IL 10506"/>
        <s v="9328 Main St, San Diego, TX 89557"/>
        <s v="9572 Elm St, Fresno, NY 51917"/>
        <s v="7142 Elm St, Sacramento, CA 57436"/>
        <s v="2208 Maple Dr, Sacramento, TX 67537"/>
        <s v="3176 Pine Rd, San Diego, FL 23637"/>
        <s v="207 Elm St, San Francisco, FL 27396"/>
        <s v="889 Main St, San Diego, FL 48584"/>
        <s v="4458 Elm St, Sacramento, CA 77410"/>
        <s v="4418 Maple Dr, San Diego, CA 25867"/>
        <s v="692 Elm St, Los Angeles, IL 75253"/>
        <s v="7065 Oak Ave, Los Angeles, CA 83724"/>
        <s v="7516 Elm St, San Francisco, TX 11432"/>
        <s v="2621 Elm St, San Diego, FL 80722"/>
        <s v="2282 Maple Dr, San Francisco, IL 71524"/>
        <s v="3965 Maple Dr, San Diego, IL 98236"/>
        <s v="4607 Elm St, Los Angeles, TX 89919"/>
        <s v="1763 Main St, San Diego, NY 65564"/>
        <s v="6084 Main St, San Diego, IL 46273"/>
        <s v="911 Oak Ave, San Diego, FL 77457"/>
        <s v="7606 Elm St, Sacramento, CA 47736"/>
        <s v="9456 Maple Dr, San Diego, TX 33841"/>
        <s v="2394 Oak Ave, San Francisco, IL 89187"/>
        <s v="421 Elm St, Los Angeles, IL 58462"/>
        <s v="1389 Pine Rd, Los Angeles, NY 61679"/>
        <s v="5999 Main St, Sacramento, TX 33285"/>
        <s v="2142 Maple Dr, Sacramento, FL 45702"/>
        <s v="4432 Pine Rd, Los Angeles, IL 90010"/>
        <s v="5945 Pine Rd, Fresno, NY 28842"/>
        <s v="3918 Pine Rd, Fresno, IL 22863"/>
        <s v="8083 Oak Ave, Los Angeles, IL 23668"/>
        <s v="7443 Oak Ave, Sacramento, FL 38562"/>
        <s v="142 Oak Ave, San Francisco, TX 26396"/>
        <s v="201 Oak Ave, Fresno, CA 45968"/>
        <s v="7362 Maple Dr, San Diego, FL 54933"/>
        <s v="5402 Oak Ave, Los Angeles, IL 28325"/>
        <s v="4864 Maple Dr, San Diego, IL 86353"/>
        <s v="2135 Maple Dr, Sacramento, TX 26044"/>
        <s v="3422 Elm St, San Francisco, IL 55615"/>
        <s v="4005 Maple Dr, Fresno, FL 55624"/>
        <s v="3464 Main St, Fresno, CA 27696"/>
        <s v="6260 Pine Rd, Fresno, TX 26426"/>
        <s v="1679 Maple Dr, Los Angeles, FL 66115"/>
        <s v="1082 Oak Ave, San Francisco, NY 62932"/>
        <s v="929 Maple Dr, San Diego, TX 42286"/>
        <s v="9758 Oak Ave, Los Angeles, IL 93603"/>
        <s v="5433 Pine Rd, San Francisco, NY 78415"/>
        <s v="9227 Maple Dr, Fresno, TX 95106"/>
        <s v="277 Maple Dr, San Francisco, IL 98362"/>
        <s v="555 Main St, Sacramento, TX 97031"/>
        <s v="5728 Main St, San Diego, IL 70965"/>
        <s v="4922 Pine Rd, Los Angeles, NY 57579"/>
        <s v="4191 Main St, San Diego, CA 12729"/>
        <s v="1042 Elm St, San Diego, FL 75919"/>
        <s v="3393 Elm St, San Francisco, IL 24923"/>
        <s v="2865 Oak Ave, Sacramento, NY 88614"/>
        <s v="6776 Maple Dr, Fresno, NY 66338"/>
        <s v="7522 Pine Rd, Fresno, CA 95888"/>
        <s v="7769 Main St, Sacramento, TX 14892"/>
        <s v="7667 Oak Ave, Sacramento, CA 12477"/>
        <s v="4342 Pine Rd, Sacramento, IL 52311"/>
        <s v="267 Maple Dr, Fresno, IL 39103"/>
        <s v="4040 Oak Ave, Sacramento, TX 78963"/>
        <s v="5428 Main St, Sacramento, IL 99538"/>
        <s v="4453 Main St, San Francisco, NY 65918"/>
        <s v="1152 Oak Ave, San Diego, IL 20679"/>
        <s v="2026 Pine Rd, San Francisco, TX 14339"/>
        <s v="6631 Main St, Fresno, TX 46866"/>
        <s v="7451 Main St, Sacramento, FL 64089"/>
        <s v="8596 Main St, San Francisco, FL 34766"/>
        <s v="4409 Elm St, San Diego, IL 99507"/>
        <s v="2679 Pine Rd, Los Angeles, NY 39530"/>
        <s v="8637 Main St, Los Angeles, FL 50916"/>
        <s v="6469 Maple Dr, San Francisco, CA 71130"/>
        <s v="2465 Main St, San Diego, CA 38257"/>
        <s v="4924 Elm St, Los Angeles, CA 14062"/>
        <s v="7977 Oak Ave, Fresno, CA 97228"/>
        <s v="2836 Elm St, Los Angeles, TX 48570"/>
        <s v="8065 Oak Ave, San Francisco, IL 84319"/>
        <s v="1247 Elm St, San Diego, TX 21216"/>
        <s v="6676 Elm St, Los Angeles, TX 95808"/>
        <s v="8699 Elm St, Fresno, CA 29191"/>
        <s v="4001 Pine Rd, San Francisco, TX 81827"/>
        <s v="6870 Elm St, San Diego, NY 23226"/>
        <s v="954 Oak Ave, San Diego, CA 23788"/>
        <s v="4744 Oak Ave, San Francisco, FL 98527"/>
        <s v="8354 Maple Dr, Los Angeles, IL 85529"/>
        <s v="4551 Oak Ave, Fresno, TX 94640"/>
        <s v="4607 Elm St, Los Angeles, TX 97828"/>
        <s v="4096 Elm St, San Francisco, CA 67577"/>
        <s v="7649 Oak Ave, Los Angeles, NY 82462"/>
        <s v="1601 Elm St, Los Angeles, IL 77037"/>
        <s v="7325 Main St, Fresno, FL 65915"/>
        <s v="4282 Pine Rd, Sacramento, FL 85987"/>
        <s v="3506 Elm St, San Francisco, CA 77179"/>
        <s v="6128 Pine Rd, Sacramento, IL 54113"/>
        <s v="6829 Main St, Fresno, TX 58601"/>
        <s v="845 Pine Rd, San Francisco, IL 23613"/>
        <s v="3285 Main St, San Diego, FL 42387"/>
        <s v="4005 Elm St, San Francisco, NY 57518"/>
        <s v="2771 Pine Rd, Fresno, NY 48796"/>
        <s v="699 Elm St, Los Angeles, FL 79826"/>
        <s v="6964 Oak Ave, Sacramento, NY 64861"/>
        <s v="4223 Oak Ave, San Francisco, IL 87473"/>
        <s v="8560 Main St, Fresno, TX 21350"/>
        <s v="8769 Oak Ave, Los Angeles, TX 70928"/>
        <s v="1711 Main St, Sacramento, FL 15604"/>
        <s v="3411 Elm St, Sacramento, IL 79757"/>
        <s v="4987 Elm St, San Francisco, IL 95098"/>
        <s v="3839 Pine Rd, San Diego, CA 20368"/>
        <s v="4967 Main St, Los Angeles, TX 54147"/>
        <s v="2328 Elm St, Fresno, NY 84200"/>
        <s v="7923 Main St, San Francisco, IL 24763"/>
        <s v="836 Elm St, San Francisco, IL 67802"/>
        <s v="8465 Maple Dr, Los Angeles, NY 45498"/>
        <s v="3894 Pine Rd, Fresno, NY 65592"/>
        <s v="4202 Oak Ave, San Francisco, FL 48593"/>
        <s v="8418 Elm St, San Francisco, CA 31544"/>
        <s v="5971 Maple Dr, Los Angeles, NY 37866"/>
        <s v="5699 Maple Dr, Sacramento, FL 62476"/>
        <s v="889 Oak Ave, Fresno, IL 14760"/>
        <s v="4808 Elm St, San Francisco, FL 79165"/>
        <s v="908 Main St, San Diego, CA 26898"/>
        <s v="4368 Oak Ave, Fresno, CA 92928"/>
        <s v="1085 Oak Ave, San Diego, FL 99061"/>
        <s v="8921 Main St, Sacramento, TX 25588"/>
        <s v="5999 Maple Dr, Fresno, IL 51303"/>
        <s v="2124 Maple Dr, San Diego, FL 70380"/>
        <s v="3684 Oak Ave, San Francisco, NY 67259"/>
        <s v="8375 Pine Rd, Fresno, FL 46347"/>
        <s v="205 Main St, Los Angeles, FL 99705"/>
        <s v="7573 Pine Rd, Los Angeles, IL 81064"/>
        <s v="113 Main St, Fresno, FL 41971"/>
        <s v="8941 Oak Ave, San Francisco, FL 18188"/>
        <s v="1199 Elm St, Los Angeles, IL 48336"/>
        <s v="7548 Maple Dr, San Francisco, IL 98522"/>
        <s v="7489 Maple Dr, Los Angeles, CA 86828"/>
        <s v="9246 Main St, Fresno, CA 17671"/>
        <s v="4249 Main St, Sacramento, FL 67032"/>
        <s v="3405 Main St, Fresno, FL 74354"/>
        <s v="1051 Pine Rd, San Francisco, FL 89824"/>
        <s v="9628 Elm St, San Diego, TX 63159"/>
        <s v="6051 Elm St, Los Angeles, FL 72459"/>
        <s v="7052 Main St, Sacramento, FL 10339"/>
        <s v="728 Elm St, Sacramento, IL 63572"/>
        <s v="8725 Pine Rd, Sacramento, NY 75749"/>
        <s v="7537 Elm St, Sacramento, CA 56410"/>
        <s v="6934 Oak Ave, San Francisco, FL 37583"/>
        <s v="1322 Pine Rd, Fresno, CA 23513"/>
        <s v="1794 Main St, San Diego, NY 42349"/>
        <s v="6323 Maple Dr, Sacramento, FL 75688"/>
        <s v="6642 Pine Rd, Sacramento, NY 21619"/>
        <s v="5749 Pine Rd, Los Angeles, TX 83680"/>
        <s v="1772 Maple Dr, Fresno, TX 57201"/>
        <s v="2066 Pine Rd, Sacramento, TX 26360"/>
        <s v="783 Pine Rd, Sacramento, TX 48702"/>
        <s v="6050 Main St, Sacramento, CA 79263"/>
        <s v="7430 Pine Rd, Sacramento, FL 39844"/>
        <s v="9294 Maple Dr, Fresno, NY 94096"/>
        <s v="6252 Maple Dr, San Francisco, FL 30748"/>
        <s v="7280 Main St, San Francisco, CA 82706"/>
        <s v="2264 Elm St, Los Angeles, CA 81173"/>
        <s v="3619 Elm St, Los Angeles, FL 25628"/>
        <s v="7843 Maple Dr, San Francisco, FL 97889"/>
        <s v="566 Oak Ave, San Francisco, NY 21240"/>
        <s v="8480 Main St, Los Angeles, TX 10643"/>
        <s v="9558 Pine Rd, San Francisco, FL 33359"/>
        <s v="819 Main St, Los Angeles, TX 55662"/>
        <s v="7481 Elm St, Sacramento, IL 36680"/>
        <s v="8297 Elm St, San Francisco, IL 89169"/>
        <s v="6724 Elm St, Sacramento, CA 59994"/>
        <s v="4017 Elm St, San Diego, CA 62437"/>
        <s v="9159 Pine Rd, San Diego, TX 50148"/>
        <s v="7720 Elm St, Sacramento, NY 12730"/>
        <s v="5880 Pine Rd, Los Angeles, NY 77020"/>
        <s v="3625 Oak Ave, Fresno, TX 74963"/>
        <s v="2677 Pine Rd, Los Angeles, IL 57711"/>
        <s v="619 Pine Rd, Sacramento, CA 16674"/>
        <s v="8145 Oak Ave, Fresno, CA 85195"/>
        <s v="9800 Elm St, San Francisco, FL 23506"/>
        <s v="7908 Maple Dr, San Diego, TX 18919"/>
        <s v="7576 Elm St, Fresno, NY 19807"/>
        <s v="6705 Elm St, San Francisco, CA 29378"/>
        <s v="7273 Main St, San Francisco, CA 63040"/>
        <s v="7038 Elm St, Fresno, IL 52141"/>
        <s v="4946 Pine Rd, San Diego, IL 60385"/>
        <s v="5823 Main St, Los Angeles, TX 67231"/>
        <s v="4763 Main St, Fresno, FL 77955"/>
        <s v="9097 Elm St, San Diego, NY 36444"/>
        <s v="6261 Maple Dr, Fresno, TX 38332"/>
        <s v="1991 Maple Dr, Sacramento, FL 77412"/>
        <s v="9467 Pine Rd, San Francisco, TX 66809"/>
        <s v="7301 Oak Ave, Sacramento, FL 33151"/>
        <s v="2449 Main St, San Diego, IL 73609"/>
        <s v="7541 Main St, San Francisco, IL 60168"/>
        <s v="6717 Maple Dr, Los Angeles, FL 61336"/>
        <s v="7957 Pine Rd, San Francisco, CA 39601"/>
        <s v="1073 Pine Rd, Fresno, TX 16892"/>
        <s v="2780 Main St, Sacramento, FL 37559"/>
        <s v="8093 Maple Dr, Los Angeles, CA 38914"/>
        <s v="4622 Elm St, Los Angeles, TX 77726"/>
        <s v="8494 Elm St, San Francisco, TX 98081"/>
        <s v="5613 Pine Rd, San Francisco, CA 90885"/>
        <s v="9472 Oak Ave, Sacramento, CA 74884"/>
        <s v="5061 Oak Ave, Fresno, FL 61586"/>
        <s v="8156 Maple Dr, Fresno, FL 49998"/>
        <s v="2067 Maple Dr, Fresno, FL 18368"/>
        <s v="4447 Maple Dr, Sacramento, CA 48361"/>
        <s v="5433 Pine Rd, San Francisco, TX 91508"/>
        <s v="8259 Maple Dr, Los Angeles, CA 86267"/>
        <s v="3893 Pine Rd, San Diego, FL 68218"/>
        <s v="6925 Oak Ave, San Diego, TX 89720"/>
        <s v="6987 Maple Dr, Sacramento, FL 29123"/>
        <s v="6565 Pine Rd, Fresno, FL 57967"/>
        <s v="1251 Maple Dr, Fresno, FL 16407"/>
        <s v="5453 Main St, San Diego, IL 92096"/>
        <s v="9667 Pine Rd, San Diego, CA 79289"/>
        <s v="1357 Maple Dr, Los Angeles, NY 28489"/>
        <s v="5507 Main St, San Francisco, NY 73849"/>
        <s v="3725 Elm St, San Francisco, NY 95184"/>
        <s v="5231 Main St, San Diego, TX 35467"/>
        <s v="771 Oak Ave, Los Angeles, FL 35889"/>
        <s v="1946 Main St, Fresno, FL 40774"/>
        <s v="182 Elm St, San Francisco, NY 83659"/>
        <s v="4486 Elm St, San Diego, IL 91142"/>
        <s v="9914 Main St, Sacramento, TX 20887"/>
        <s v="3003 Elm St, San Diego, IL 29137"/>
        <s v="8012 Pine Rd, Sacramento, NY 20598"/>
        <s v="2615 Pine Rd, Sacramento, IL 34382"/>
        <s v="6120 Main St, Fresno, IL 93059"/>
        <s v="4447 Pine Rd, Fresno, NY 79620"/>
        <s v="186 Maple Dr, Fresno, IL 62369"/>
        <s v="4083 Elm St, Los Angeles, FL 56574"/>
        <s v="275 Pine Rd, San Francisco, TX 88715"/>
        <s v="5423 Pine Rd, Fresno, NY 73090"/>
        <s v="9410 Oak Ave, Los Angeles, TX 35944"/>
        <s v="2943 Elm St, San Diego, NY 55913"/>
        <s v="9902 Maple Dr, Fresno, NY 55175"/>
        <s v="172 Main St, San Francisco, FL 88144"/>
        <s v="789 Pine Rd, Sacramento, FL 14393"/>
        <s v="2939 Maple Dr, San Francisco, NY 29858"/>
        <s v="540 Pine Rd, Sacramento, FL 44381"/>
        <s v="1863 Elm St, San Diego, CA 60005"/>
        <s v="424 Main St, San Francisco, FL 31365"/>
        <s v="1970 Maple Dr, Sacramento, NY 92999"/>
        <s v="5542 Elm St, San Francisco, FL 46034"/>
        <s v="3897 Pine Rd, San Diego, IL 18529"/>
        <s v="6678 Maple Dr, San Diego, NY 44148"/>
        <s v="9573 Maple Dr, Los Angeles, FL 87490"/>
        <s v="2534 Main St, Los Angeles, TX 30384"/>
        <s v="4873 Maple Dr, Sacramento, FL 49761"/>
        <s v="4582 Elm St, Sacramento, CA 91575"/>
        <s v="2259 Pine Rd, San Francisco, FL 20811"/>
        <s v="6867 Maple Dr, Fresno, IL 22458"/>
        <s v="8855 Maple Dr, Fresno, TX 88406"/>
        <s v="6881 Pine Rd, Sacramento, TX 57079"/>
        <s v="7752 Pine Rd, San Diego, NY 81853"/>
        <s v="3596 Oak Ave, Los Angeles, IL 24663"/>
        <s v="3069 Elm St, Los Angeles, CA 88380"/>
        <s v="9523 Main St, San Francisco, CA 98355"/>
        <s v="9535 Maple Dr, Sacramento, CA 65167"/>
        <s v="4076 Elm St, Los Angeles, NY 38616"/>
        <s v="2410 Oak Ave, San Diego, TX 74545"/>
        <s v="1881 Oak Ave, Fresno, FL 18937"/>
        <s v="1410 Elm St, San Francisco, CA 13718"/>
        <s v="3968 Main St, Sacramento, NY 21680"/>
        <s v="5172 Elm St, Sacramento, IL 78010"/>
        <s v="8414 Elm St, Fresno, TX 66654"/>
        <s v="1562 Elm St, San Diego, IL 97210"/>
        <s v="7355 Elm St, Fresno, IL 95305"/>
        <s v="3894 Maple Dr, Fresno, CA 57020"/>
        <s v="9217 Main St, Fresno, CA 33935"/>
        <s v="1170 Elm St, San Francisco, FL 50174"/>
        <s v="5963 Main St, Fresno, FL 87430"/>
        <s v="7463 Main St, Fresno, IL 56633"/>
        <s v="4450 Maple Dr, Fresno, IL 12532"/>
        <s v="1531 Pine Rd, Fresno, CA 32435"/>
        <s v="2147 Maple Dr, San Diego, CA 29109"/>
        <s v="8764 Maple Dr, San Francisco, NY 22219"/>
        <s v="7361 Main St, Fresno, CA 96549"/>
        <s v="1961 Maple Dr, San Francisco, NY 99931"/>
        <s v="1479 Maple Dr, San Francisco, TX 88211"/>
        <s v="328 Oak Ave, Los Angeles, FL 70285"/>
        <s v="6100 Main St, Sacramento, CA 49161"/>
        <s v="8945 Pine Rd, Fresno, FL 46716"/>
        <s v="6943 Pine Rd, San Diego, FL 17110"/>
        <s v="3246 Oak Ave, Los Angeles, NY 52450"/>
        <s v="2291 Pine Rd, Sacramento, NY 90015"/>
        <s v="7497 Oak Ave, Los Angeles, FL 77649"/>
        <s v="2204 Pine Rd, San Diego, NY 47469"/>
        <s v="7296 Maple Dr, San Francisco, IL 38263"/>
        <s v="4765 Oak Ave, San Francisco, TX 99845"/>
        <s v="4693 Pine Rd, San Francisco, TX 42599"/>
        <s v="3919 Main St, Sacramento, CA 90056"/>
        <s v="4134 Maple Dr, Fresno, TX 81534"/>
        <s v="4745 Elm St, San Diego, FL 21488"/>
        <s v="7157 Elm St, San Francisco, FL 47349"/>
        <s v="8494 Pine Rd, Los Angeles, IL 73115"/>
        <s v="827 Oak Ave, Fresno, CA 72546"/>
        <s v="7828 Elm St, San Diego, FL 62025"/>
        <s v="8680 Pine Rd, San Diego, IL 25704"/>
        <s v="6374 Pine Rd, San Francisco, TX 88279"/>
        <s v="6369 Pine Rd, Sacramento, TX 72578"/>
        <s v="7552 Maple Dr, San Diego, FL 71044"/>
        <s v="9213 Elm St, San Diego, IL 81110"/>
        <s v="3422 Pine Rd, San Francisco, IL 42781"/>
        <s v="2742 Main St, Sacramento, NY 82732"/>
        <s v="8740 Pine Rd, San Francisco, TX 56312"/>
        <s v="6440 Main St, Sacramento, FL 59720"/>
        <s v="759 Elm St, San Diego, TX 49598"/>
        <s v="1911 Oak Ave, Fresno, FL 92471"/>
        <s v="244 Pine Rd, Los Angeles, FL 80765"/>
        <s v="1354 Oak Ave, San Diego, NY 57171"/>
        <s v="6378 Main St, Sacramento, CA 49084"/>
        <s v="5238 Maple Dr, San Diego, TX 21055"/>
        <s v="657 Oak Ave, Los Angeles, TX 67428"/>
        <s v="3363 Oak Ave, San Francisco, IL 48114"/>
        <s v="6341 Pine Rd, San Diego, CA 63771"/>
        <s v="5806 Main St, Los Angeles, TX 38900"/>
        <s v="4887 Pine Rd, San Francisco, CA 25446"/>
        <s v="5046 Maple Dr, San Diego, NY 29956"/>
        <s v="7891 Main St, San Francisco, FL 49247"/>
        <s v="4928 Oak Ave, Sacramento, IL 95685"/>
        <s v="5925 Pine Rd, Los Angeles, FL 73692"/>
        <s v="2720 Maple Dr, San Diego, TX 46347"/>
        <s v="9687 Oak Ave, Fresno, CA 58626"/>
        <s v="8123 Main St, Sacramento, FL 48149"/>
        <s v="7601 Maple Dr, Fresno, FL 10177"/>
        <s v="6871 Elm St, Los Angeles, CA 51028"/>
        <s v="6495 Pine Rd, San Diego, FL 33055"/>
        <s v="6704 Maple Dr, San Francisco, FL 20542"/>
        <s v="2088 Maple Dr, Sacramento, NY 51883"/>
        <s v="3436 Pine Rd, Los Angeles, IL 69649"/>
        <s v="8972 Main St, Sacramento, NY 26310"/>
        <s v="9504 Elm St, San Diego, NY 87696"/>
        <s v="4488 Main St, Sacramento, NY 68739"/>
        <s v="1422 Main St, Sacramento, TX 19818"/>
        <s v="1535 Oak Ave, San Francisco, CA 14016"/>
        <s v="5686 Main St, San Diego, IL 57110"/>
        <s v="6716 Oak Ave, San Francisco, CA 67146"/>
        <s v="4878 Main St, San Diego, CA 37975"/>
        <s v="4207 Pine Rd, Fresno, IL 94763"/>
        <s v="5557 Main St, Los Angeles, FL 16548"/>
        <s v="6941 Pine Rd, Los Angeles, CA 30666"/>
        <s v="3708 Maple Dr, Sacramento, NY 58922"/>
        <s v="1618 Maple Dr, San Diego, NY 96253"/>
        <s v="3493 Elm St, San Francisco, FL 51463"/>
        <s v="6548 Main St, Sacramento, FL 84864"/>
        <s v="7557 Oak Ave, San Francisco, NY 57762"/>
        <s v="9143 Main St, Sacramento, CA 72473"/>
        <s v="4054 Oak Ave, San Francisco, TX 95757"/>
        <s v="7538 Oak Ave, San Francisco, TX 33840"/>
        <s v="1484 Main St, Fresno, TX 64477"/>
        <s v="9958 Elm St, San Diego, TX 56900"/>
        <s v="4888 Maple Dr, San Francisco, CA 24929"/>
        <s v="6694 Oak Ave, Fresno, CA 46082"/>
        <s v="969 Oak Ave, San Francisco, TX 38448"/>
        <s v="8570 Maple Dr, San Diego, CA 62075"/>
        <s v="4237 Oak Ave, Los Angeles, CA 29846"/>
        <s v="7861 Elm St, San Francisco, NY 15184"/>
        <s v="7681 Main St, San Diego, FL 20551"/>
        <s v="9337 Main St, Fresno, NY 16558"/>
        <s v="9808 Main St, Fresno, NY 84456"/>
        <s v="4556 Maple Dr, Los Angeles, NY 60214"/>
        <s v="444 Elm St, Fresno, CA 65770"/>
        <s v="8090 Oak Ave, Sacramento, IL 99365"/>
        <s v="1585 Main St, Fresno, CA 63899"/>
        <s v="3343 Pine Rd, San Francisco, NY 53920"/>
        <s v="7941 Main St, Los Angeles, TX 76014"/>
        <s v="552 Maple Dr, Los Angeles, IL 45807"/>
        <s v="5331 Pine Rd, Los Angeles, CA 68651"/>
        <s v="6311 Elm St, San Francisco, TX 62739"/>
        <s v="8908 Main St, San Francisco, CA 27780"/>
        <s v="2826 Pine Rd, San Diego, IL 16773"/>
        <s v="8026 Elm St, San Diego, FL 75584"/>
        <s v="4407 Maple Dr, San Francisco, FL 58344"/>
        <s v="3369 Elm St, San Francisco, IL 41891"/>
        <s v="9623 Oak Ave, Sacramento, FL 59337"/>
        <s v="4087 Elm St, San Francisco, CA 52483"/>
        <s v="5410 Elm St, Los Angeles, NY 26644"/>
        <s v="4575 Main St, Sacramento, NY 89113"/>
        <s v="4674 Main St, Los Angeles, FL 68674"/>
        <s v="5766 Main St, San Francisco, NY 51861"/>
        <s v="9250 Pine Rd, Los Angeles, FL 67671"/>
        <s v="4333 Elm St, Sacramento, IL 38964"/>
        <s v="5989 Oak Ave, Fresno, FL 58387"/>
        <s v="3935 Main St, Sacramento, CA 71953"/>
        <s v="6240 Main St, San Francisco, NY 95520"/>
        <s v="3551 Pine Rd, Fresno, NY 36556"/>
        <s v="7303 Main St, San Diego, CA 40512"/>
        <s v="4316 Oak Ave, Los Angeles, FL 70874"/>
        <s v="8511 Oak Ave, Los Angeles, TX 58442"/>
        <s v="8505 Maple Dr, San Francisco, TX 59016"/>
        <s v="4615 Pine Rd, Fresno, TX 91504"/>
        <s v="9691 Main St, Sacramento, IL 43817"/>
        <s v="9366 Main St, San Francisco, CA 22221"/>
        <s v="9771 Pine Rd, Sacramento, TX 37285"/>
        <s v="7750 Maple Dr, Fresno, IL 30310"/>
        <s v="8143 Maple Dr, Sacramento, CA 28441"/>
        <s v="5495 Elm St, San Francisco, IL 23068"/>
        <s v="4664 Oak Ave, Fresno, CA 15079"/>
        <s v="8864 Pine Rd, Sacramento, NY 65991"/>
        <s v="549 Maple Dr, Los Angeles, CA 14297"/>
        <s v="472 Elm St, San Francisco, IL 74800"/>
        <s v="6236 Main St, San Diego, CA 25023"/>
        <s v="2372 Main St, San Diego, NY 66128"/>
        <s v="6773 Main St, Sacramento, NY 50616"/>
        <s v="3702 Oak Ave, Fresno, NY 88446"/>
        <s v="4691 Elm St, Sacramento, FL 65559"/>
        <s v="1852 Main St, Fresno, TX 99103"/>
        <s v="7022 Elm St, Fresno, FL 69768"/>
        <s v="1448 Main St, Los Angeles, FL 80681"/>
        <s v="1715 Maple Dr, San Diego, CA 69699"/>
        <s v="6027 Pine Rd, Sacramento, CA 88829"/>
        <s v="8695 Pine Rd, Fresno, CA 40235"/>
        <s v="1295 Main St, Sacramento, IL 67091"/>
        <s v="424 Maple Dr, Fresno, FL 14777"/>
        <s v="7557 Oak Ave, San Francisco, FL 39241"/>
        <s v="5313 Main St, Sacramento, NY 19745"/>
        <s v="1423 Maple Dr, San Diego, NY 50124"/>
        <s v="1369 Oak Ave, Los Angeles, CA 47813"/>
        <s v="3964 Elm St, San Diego, TX 54247"/>
        <s v="2411 Main St, Fresno, NY 98045"/>
        <s v="2183 Pine Rd, Fresno, NY 83220"/>
        <s v="8147 Oak Ave, San Francisco, CA 21874"/>
        <s v="8691 Main St, Fresno, FL 61189"/>
        <s v="4072 Pine Rd, Fresno, CA 90922"/>
        <s v="2764 Main St, San Diego, CA 96362"/>
        <s v="7943 Main St, San Diego, TX 74145"/>
        <s v="7734 Oak Ave, San Diego, NY 58360"/>
        <s v="5746 Pine Rd, Fresno, CA 59040"/>
        <s v="5698 Elm St, Los Angeles, IL 29741"/>
        <s v="2614 Main St, San Francisco, FL 25426"/>
        <s v="4626 Maple Dr, Los Angeles, IL 16334"/>
        <s v="3481 Main St, Fresno, CA 23730"/>
        <s v="4352 Oak Ave, San Francisco, IL 71889"/>
        <s v="897 Maple Dr, Fresno, TX 76238"/>
        <s v="4872 Oak Ave, San Francisco, IL 75736"/>
        <s v="7183 Elm St, Fresno, IL 66275"/>
        <s v="6383 Elm St, Sacramento, IL 85924"/>
        <s v="1715 Elm St, San Francisco, FL 41242"/>
        <s v="1482 Maple Dr, Sacramento, NY 67799"/>
        <s v="4636 Elm St, Sacramento, IL 52732"/>
        <s v="9952 Elm St, Sacramento, NY 50751"/>
        <s v="4365 Oak Ave, Fresno, FL 53172"/>
        <s v="7794 Maple Dr, Fresno, CA 72484"/>
        <s v="2559 Maple Dr, San Diego, NY 49959"/>
        <s v="2467 Main St, Sacramento, TX 56352"/>
        <s v="1956 Main St, Los Angeles, FL 37005"/>
        <s v="9707 Pine Rd, San Diego, CA 29634"/>
        <s v="6953 Elm St, San Francisco, IL 37723"/>
        <s v="9450 Elm St, San Francisco, CA 87325"/>
        <s v="5158 Maple Dr, San Francisco, CA 67365"/>
        <s v="9415 Pine Rd, San Francisco, CA 21339"/>
        <s v="8951 Pine Rd, Sacramento, CA 89824"/>
        <s v="4008 Main St, San Francisco, TX 94071"/>
        <s v="9651 Main St, Los Angeles, TX 88040"/>
        <s v="9798 Oak Ave, San Francisco, FL 44455"/>
        <s v="907 Oak Ave, Sacramento, FL 36145"/>
        <s v="119 Pine Rd, San Francisco, IL 25480"/>
        <s v="5201 Main St, San Diego, CA 47577"/>
        <s v="1964 Elm St, Sacramento, FL 44730"/>
        <s v="5223 Elm St, San Diego, IL 39821"/>
        <s v="3915 Elm St, Fresno, NY 78072"/>
        <s v="4770 Oak Ave, Fresno, IL 54206"/>
        <s v="7496 Maple Dr, Fresno, TX 95683"/>
        <s v="2871 Elm St, San Francisco, CA 34436"/>
        <s v="654 Elm St, San Francisco, FL 37026"/>
        <s v="2957 Oak Ave, Sacramento, FL 48832"/>
        <s v="8595 Main St, Sacramento, IL 86185"/>
        <s v="8082 Elm St, San Francisco, FL 75048"/>
        <s v="4783 Elm St, San Francisco, IL 97697"/>
        <s v="292 Maple Dr, Sacramento, IL 75834"/>
        <s v="5610 Oak Ave, San Francisco, IL 34478"/>
        <s v="610 Elm St, Los Angeles, NY 78574"/>
        <s v="9678 Pine Rd, Los Angeles, IL 30794"/>
        <s v="2740 Elm St, Los Angeles, CA 52810"/>
        <s v="9222 Pine Rd, Sacramento, NY 66309"/>
        <s v="6428 Maple Dr, Sacramento, CA 77872"/>
        <s v="6238 Oak Ave, Sacramento, CA 17616"/>
        <s v="3165 Maple Dr, San Francisco, FL 23087"/>
        <s v="7209 Elm St, San Francisco, NY 39549"/>
        <s v="2969 Pine Rd, Sacramento, IL 55091"/>
        <s v="2911 Maple Dr, Sacramento, CA 27772"/>
        <s v="5152 Elm St, Sacramento, TX 92924"/>
        <s v="920 Maple Dr, Los Angeles, NY 58518"/>
        <s v="5329 Elm St, San Diego, IL 25303"/>
        <s v="8970 Maple Dr, San Diego, IL 86063"/>
        <s v="9594 Elm St, Fresno, FL 18615"/>
        <s v="3929 Pine Rd, Sacramento, CA 87798"/>
        <s v="8698 Pine Rd, Fresno, IL 47743"/>
        <s v="6848 Elm St, Fresno, CA 94337"/>
        <s v="7617 Oak Ave, San Diego, CA 27529"/>
        <s v="757 Oak Ave, Sacramento, TX 10143"/>
        <s v="5631 Maple Dr, Fresno, CA 39426"/>
        <s v="8747 Oak Ave, San Diego, TX 19844"/>
        <s v="7257 Elm St, Los Angeles, NY 79505"/>
        <s v="3010 Oak Ave, Fresno, TX 19174"/>
        <s v="205 Elm St, San Francisco, IL 62457"/>
        <s v="528 Pine Rd, Sacramento, NY 13849"/>
        <s v="3242 Pine Rd, Sacramento, CA 47203"/>
        <s v="8973 Main St, San Diego, NY 89347"/>
        <s v="2915 Elm St, San Francisco, IL 55163"/>
        <s v="9852 Main St, Los Angeles, NY 71350"/>
        <s v="959 Elm St, Fresno, CA 20838"/>
        <s v="7370 Maple Dr, San Francisco, TX 79190"/>
        <s v="3716 Main St, Fresno, NY 59303"/>
        <s v="4596 Elm St, San Francisco, FL 86638"/>
        <s v="8880 Elm St, San Francisco, NY 16939"/>
        <s v="1807 Main St, San Diego, IL 89598"/>
        <s v="9109 Maple Dr, Los Angeles, IL 64628"/>
        <s v="8525 Main St, San Francisco, FL 30160"/>
        <s v="4521 Main St, San Francisco, TX 99211"/>
        <s v="5030 Oak Ave, Los Angeles, IL 62062"/>
        <s v="137 Oak Ave, Los Angeles, FL 10006"/>
        <s v="1721 Maple Dr, San Francisco, TX 37948"/>
        <s v="4922 Oak Ave, Fresno, NY 42123"/>
        <s v="8181 Oak Ave, Los Angeles, TX 89851"/>
        <s v="4199 Maple Dr, Fresno, TX 91478"/>
        <s v="6943 Main St, Los Angeles, NY 40283"/>
        <s v="5313 Maple Dr, Sacramento, FL 81388"/>
        <s v="1792 Oak Ave, Fresno, FL 17784"/>
        <s v="7561 Maple Dr, San Francisco, NY 85201"/>
        <s v="3697 Elm St, Los Angeles, TX 42451"/>
        <s v="669 Main St, Los Angeles, TX 88679"/>
        <s v="6889 Pine Rd, San Francisco, FL 16383"/>
        <s v="4582 Oak Ave, San Diego, FL 64880"/>
        <s v="6555 Pine Rd, Los Angeles, FL 97402"/>
        <s v="3031 Elm St, Fresno, IL 49310"/>
        <s v="1513 Oak Ave, San Francisco, NY 98928"/>
        <s v="4564 Main St, Sacramento, NY 28013"/>
        <s v="2510 Oak Ave, Los Angeles, NY 14973"/>
        <s v="3642 Oak Ave, Fresno, FL 45418"/>
        <s v="767 Oak Ave, San Diego, NY 80624"/>
        <s v="5596 Elm St, Sacramento, TX 60812"/>
        <s v="4157 Elm St, Los Angeles, FL 65847"/>
        <s v="4848 Maple Dr, Los Angeles, IL 67572"/>
        <s v="6311 Oak Ave, Sacramento, IL 19739"/>
        <s v="7180 Oak Ave, Los Angeles, IL 15876"/>
        <s v="5080 Pine Rd, San Francisco, CA 65506"/>
        <s v="4201 Pine Rd, Fresno, FL 31513"/>
        <s v="5592 Pine Rd, San Diego, CA 49271"/>
        <s v="3766 Oak Ave, Sacramento, NY 48167"/>
        <s v="5308 Main St, San Francisco, NY 53010"/>
        <s v="5955 Elm St, Fresno, NY 34006"/>
        <s v="4909 Elm St, Los Angeles, IL 11524"/>
        <s v="6894 Main St, San Francisco, IL 48164"/>
        <s v="5040 Maple Dr, Fresno, IL 69172"/>
        <s v="473 Elm St, Fresno, CA 57242"/>
        <s v="7016 Maple Dr, San Francisco, IL 40966"/>
        <s v="6065 Elm St, San Francisco, NY 88991"/>
        <s v="4077 Oak Ave, Sacramento, NY 46838"/>
        <s v="143 Maple Dr, Fresno, TX 98952"/>
        <s v="7725 Pine Rd, Los Angeles, IL 23918"/>
        <s v="2198 Oak Ave, Los Angeles, IL 82076"/>
        <s v="1017 Maple Dr, Los Angeles, TX 14373"/>
        <s v="3616 Oak Ave, Fresno, CA 22001"/>
        <s v="8475 Maple Dr, San Diego, NY 49755"/>
        <s v="5849 Main St, Fresno, NY 57102"/>
        <s v="1989 Oak Ave, Los Angeles, TX 33637"/>
        <s v="2180 Main St, Sacramento, NY 62358"/>
        <s v="823 Main St, Los Angeles, TX 73560"/>
        <s v="3307 Elm St, San Francisco, NY 17440"/>
        <s v="3007 Maple Dr, Fresno, TX 24387"/>
        <s v="5615 Pine Rd, San Francisco, IL 13587"/>
        <s v="2106 Oak Ave, Los Angeles, IL 95216"/>
        <s v="8665 Pine Rd, San Francisco, NY 43522"/>
        <s v="8666 Main St, San Francisco, TX 21785"/>
        <s v="830 Main St, Sacramento, NY 36100"/>
        <s v="2103 Oak Ave, Sacramento, FL 65482"/>
        <s v="2307 Elm St, Sacramento, TX 51936"/>
        <s v="5463 Main St, San Francisco, IL 21798"/>
        <s v="7012 Pine Rd, Sacramento, CA 99327"/>
        <s v="2254 Pine Rd, San Francisco, NY 87961"/>
        <s v="3362 Oak Ave, Sacramento, NY 39459"/>
        <s v="9970 Maple Dr, San Diego, FL 94807"/>
        <s v="3995 Elm St, San Francisco, TX 74937"/>
        <s v="8468 Oak Ave, Sacramento, TX 71653"/>
        <s v="3013 Oak Ave, Los Angeles, CA 72442"/>
        <s v="8548 Oak Ave, Fresno, CA 36357"/>
        <s v="611 Pine Rd, San Francisco, TX 59250"/>
        <s v="7498 Main St, Los Angeles, NY 85533"/>
        <s v="2310 Maple Dr, Los Angeles, IL 11630"/>
        <s v="3350 Maple Dr, Fresno, TX 75011"/>
        <s v="4551 Maple Dr, San Francisco, CA 96180"/>
        <s v="6133 Pine Rd, Los Angeles, FL 75773"/>
        <s v="5046 Oak Ave, San Francisco, NY 83852"/>
        <s v="6230 Maple Dr, Fresno, TX 62804"/>
        <s v="9760 Maple Dr, San Francisco, IL 62250"/>
        <s v="1925 Pine Rd, Los Angeles, FL 58871"/>
        <s v="1143 Main St, Sacramento, FL 87611"/>
        <s v="457 Maple Dr, Sacramento, CA 43034"/>
        <s v="2809 Elm St, Sacramento, FL 64106"/>
        <s v="254 Oak Ave, Sacramento, NY 14444"/>
        <s v="477 Oak Ave, San Francisco, TX 44997"/>
        <s v="5950 Main St, San Francisco, CA 64978"/>
        <s v="3249 Oak Ave, San Francisco, FL 88554"/>
        <s v="3552 Maple Dr, Sacramento, IL 92223"/>
        <s v="1093 Pine Rd, Los Angeles, NY 39637"/>
        <s v="556 Elm St, San Diego, TX 49528"/>
        <s v="3092 Elm St, San Diego, FL 14744"/>
        <s v="9461 Pine Rd, Fresno, CA 93761"/>
        <s v="3602 Maple Dr, Los Angeles, IL 84948"/>
        <s v="9145 Maple Dr, Sacramento, TX 34535"/>
        <s v="6044 Main St, Sacramento, IL 74353"/>
        <s v="7776 Oak Ave, Sacramento, IL 44554"/>
        <s v="4115 Maple Dr, San Diego, CA 37330"/>
        <s v="2042 Pine Rd, Los Angeles, NY 25727"/>
        <s v="6427 Pine Rd, San Diego, CA 77829"/>
        <s v="4760 Pine Rd, Sacramento, FL 96815"/>
        <s v="8671 Maple Dr, San Diego, CA 43982"/>
        <s v="8617 Oak Ave, Sacramento, IL 57281"/>
        <s v="1136 Maple Dr, San Francisco, FL 63545"/>
        <s v="3692 Main St, Fresno, NY 63254"/>
        <s v="2595 Oak Ave, San Diego, TX 98979"/>
        <s v="2315 Oak Ave, Sacramento, TX 70724"/>
        <s v="976 Oak Ave, San Diego, IL 32794"/>
        <s v="5226 Maple Dr, San Diego, FL 91896"/>
        <s v="3789 Maple Dr, Fresno, FL 38628"/>
        <s v="5187 Maple Dr, San Diego, CA 11546"/>
        <s v="5121 Pine Rd, Fresno, TX 16001"/>
        <s v="4548 Elm St, Fresno, TX 33519"/>
        <s v="6176 Oak Ave, Los Angeles, CA 74325"/>
        <s v="1863 Main St, Sacramento, NY 10634"/>
        <s v="5976 Maple Dr, San Diego, FL 96555"/>
        <s v="3373 Elm St, San Francisco, CA 38222"/>
        <s v="4190 Pine Rd, Los Angeles, TX 21034"/>
        <s v="402 Oak Ave, Sacramento, CA 81544"/>
        <s v="2283 Oak Ave, San Francisco, NY 80401"/>
        <s v="9872 Pine Rd, Los Angeles, FL 19196"/>
        <s v="9933 Oak Ave, Sacramento, TX 95536"/>
        <s v="1175 Maple Dr, San Diego, IL 90961"/>
        <s v="382 Pine Rd, San Diego, NY 56099"/>
        <s v="9568 Maple Dr, San Diego, IL 97907"/>
        <s v="2574 Main St, San Francisco, FL 12051"/>
        <s v="3762 Maple Dr, San Francisco, NY 17955"/>
        <s v="9026 Maple Dr, Los Angeles, IL 49084"/>
        <s v="3825 Main St, San Diego, NY 81454"/>
        <s v="4554 Elm St, San Diego, FL 73076"/>
        <s v="4197 Maple Dr, Los Angeles, NY 71720"/>
        <s v="9617 Main St, Sacramento, IL 46598"/>
        <s v="9036 Maple Dr, Fresno, NY 83413"/>
        <s v="8300 Elm St, Los Angeles, IL 73076"/>
        <s v="1668 Maple Dr, Los Angeles, IL 83705"/>
        <s v="1304 Main St, Sacramento, IL 63825"/>
        <s v="8244 Elm St, San Diego, IL 51725"/>
        <s v="5663 Oak Ave, Los Angeles, NY 31656"/>
        <s v="3425 Elm St, Sacramento, TX 40452"/>
        <s v="9810 Oak Ave, Sacramento, CA 45299"/>
        <s v="7054 Pine Rd, San Diego, TX 69638"/>
        <s v="2326 Pine Rd, Los Angeles, CA 85976"/>
        <s v="9714 Main St, San Francisco, NY 15650"/>
        <s v="4518 Maple Dr, San Francisco, CA 48296"/>
        <s v="4876 Oak Ave, Fresno, TX 92714"/>
        <s v="8366 Maple Dr, Los Angeles, IL 83851"/>
        <s v="4038 Main St, Los Angeles, NY 46718"/>
        <s v="921 Oak Ave, San Diego, NY 37003"/>
        <s v="7470 Pine Rd, Sacramento, NY 14781"/>
        <s v="4815 Maple Dr, San Diego, CA 33178"/>
        <s v="9571 Elm St, Los Angeles, NY 21112"/>
        <s v="912 Main St, Sacramento, CA 73257"/>
        <s v="4113 Oak Ave, San Diego, TX 41457"/>
        <s v="8383 Main St, Los Angeles, TX 67605"/>
        <s v="5869 Oak Ave, San Francisco, CA 46426"/>
        <s v="534 Main St, Los Angeles, CA 10094"/>
        <s v="6970 Pine Rd, San Francisco, NY 56441"/>
        <s v="5357 Pine Rd, Fresno, TX 46647"/>
        <s v="2501 Main St, San Diego, NY 85892"/>
        <s v="1108 Pine Rd, Fresno, NY 71418"/>
        <s v="6526 Main St, Sacramento, FL 97181"/>
        <s v="6462 Maple Dr, San Diego, TX 33686"/>
        <s v="8939 Main St, Sacramento, IL 91469"/>
        <s v="7600 Maple Dr, Los Angeles, CA 78693"/>
        <s v="8841 Pine Rd, Fresno, CA 45750"/>
        <s v="5235 Oak Ave, Los Angeles, CA 39917"/>
        <s v="377 Oak Ave, Fresno, TX 39619"/>
        <s v="1797 Oak Ave, Fresno, TX 88709"/>
        <s v="867 Pine Rd, Fresno, NY 63752"/>
        <s v="2888 Maple Dr, San Francisco, IL 33337"/>
        <s v="7011 Pine Rd, San Diego, TX 49965"/>
        <s v="4940 Elm St, Fresno, NY 15369"/>
        <s v="8350 Pine Rd, San Francisco, NY 93937"/>
        <s v="6473 Pine Rd, Fresno, TX 45404"/>
        <s v="5750 Oak Ave, Fresno, TX 55038"/>
        <s v="7600 Oak Ave, Los Angeles, CA 88468"/>
        <s v="8396 Maple Dr, San Francisco, IL 33913"/>
        <s v="2704 Pine Rd, San Francisco, TX 38037"/>
        <s v="9900 Pine Rd, Sacramento, CA 23444"/>
        <s v="9784 Elm St, Sacramento, NY 75342"/>
        <s v="7550 Oak Ave, Fresno, NY 41583"/>
        <s v="8994 Oak Ave, Sacramento, NY 60800"/>
        <s v="8509 Oak Ave, Los Angeles, TX 98485"/>
        <s v="8452 Elm St, San Francisco, TX 79458"/>
        <s v="2575 Main St, Sacramento, TX 53695"/>
        <s v="8546 Elm St, San Francisco, FL 31676"/>
        <s v="9880 Maple Dr, Los Angeles, TX 72493"/>
        <s v="9238 Elm St, San Diego, CA 77866"/>
        <s v="9711 Elm St, San Francisco, CA 30651"/>
        <s v="7612 Elm St, San Diego, CA 48533"/>
        <s v="8618 Elm St, Fresno, TX 69983"/>
        <s v="3705 Elm St, Fresno, IL 17167"/>
        <s v="6759 Maple Dr, Los Angeles, NY 16632"/>
        <s v="9342 Maple Dr, Sacramento, CA 88286"/>
        <s v="7497 Maple Dr, San Francisco, FL 13831"/>
        <s v="748 Main St, San Francisco, CA 58519"/>
        <s v="7628 Pine Rd, Los Angeles, IL 88449"/>
        <s v="5664 Elm St, Sacramento, NY 20336"/>
        <s v="3451 Elm St, Fresno, IL 97789"/>
        <s v="1738 Maple Dr, Fresno, NY 48506"/>
        <s v="3284 Maple Dr, San Diego, NY 43311"/>
        <s v="3202 Oak Ave, Fresno, TX 83240"/>
        <s v="6644 Oak Ave, Los Angeles, TX 89134"/>
        <s v="5127 Pine Rd, San Diego, TX 83362"/>
        <s v="6582 Oak Ave, Sacramento, NY 69720"/>
        <s v="1539 Elm St, San Francisco, TX 93926"/>
        <s v="2398 Elm St, Sacramento, TX 75022"/>
        <s v="1785 Pine Rd, Sacramento, CA 13806"/>
        <s v="7655 Elm St, Fresno, IL 82044"/>
        <s v="350 Elm St, San Francisco, TX 46345"/>
        <s v="1218 Main St, Sacramento, IL 77377"/>
        <s v="7879 Main St, San Diego, IL 27746"/>
        <s v="6614 Elm St, Sacramento, NY 29253"/>
        <s v="2410 Elm St, San Francisco, NY 50058"/>
        <s v="2981 Pine Rd, Sacramento, NY 78417"/>
        <s v="1685 Pine Rd, San Francisco, FL 62236"/>
        <s v="7093 Oak Ave, San Diego, NY 76509"/>
        <s v="3862 Maple Dr, San Diego, IL 10617"/>
        <s v="1843 Elm St, Sacramento, CA 39573"/>
        <s v="1430 Pine Rd, Fresno, CA 97823"/>
        <s v="1986 Pine Rd, San Diego, FL 47551"/>
        <s v="2262 Elm St, Sacramento, TX 47857"/>
        <s v="1004 Oak Ave, San Francisco, TX 22352"/>
        <s v="7226 Oak Ave, San Diego, IL 45350"/>
        <s v="3478 Pine Rd, San Francisco, CA 63682"/>
        <s v="2050 Elm St, San Francisco, IL 14953"/>
        <s v="4168 Maple Dr, Los Angeles, FL 11197"/>
        <s v="2519 Elm St, Fresno, FL 13951"/>
        <s v="7016 Elm St, Los Angeles, FL 67275"/>
        <s v="2001 Oak Ave, San Francisco, IL 56583"/>
        <s v="8907 Oak Ave, Sacramento, IL 21455"/>
        <s v="2919 Maple Dr, Sacramento, TX 38208"/>
        <s v="8767 Pine Rd, Los Angeles, IL 35507"/>
        <s v="3172 Maple Dr, Los Angeles, TX 34696"/>
        <s v="7836 Main St, Fresno, NY 20922"/>
        <s v="9325 Elm St, Fresno, CA 50273"/>
        <s v="4432 Oak Ave, Sacramento, IL 39262"/>
        <s v="2210 Pine Rd, Los Angeles, TX 13381"/>
        <s v="1396 Maple Dr, Fresno, IL 99215"/>
        <s v="5117 Pine Rd, Fresno, IL 42271"/>
        <s v="6100 Oak Ave, San Diego, FL 35494"/>
        <s v="3610 Elm St, San Francisco, IL 99955"/>
        <s v="7573 Pine Rd, San Diego, IL 70133"/>
        <s v="8868 Main St, Los Angeles, CA 66789"/>
        <s v="5215 Oak Ave, Fresno, CA 14788"/>
        <s v="7725 Maple Dr, Sacramento, NY 41566"/>
        <s v="6758 Main St, Los Angeles, IL 54302"/>
        <s v="8630 Maple Dr, Sacramento, IL 93365"/>
        <s v="1502 Oak Ave, Fresno, NY 49816"/>
        <s v="5094 Oak Ave, Sacramento, CA 31364"/>
        <s v="446 Pine Rd, San Francisco, NY 84752"/>
        <s v="9964 Main St, Fresno, FL 32293"/>
        <s v="4836 Pine Rd, Sacramento, CA 76924"/>
        <s v="6029 Oak Ave, Los Angeles, FL 96371"/>
        <s v="8057 Oak Ave, Fresno, NY 62758"/>
        <s v="6184 Maple Dr, San Diego, IL 50834"/>
        <s v="1950 Elm St, San Francisco, CA 52705"/>
        <s v="4000 Elm St, Los Angeles, CA 62063"/>
        <s v="5129 Oak Ave, San Diego, TX 98726"/>
        <s v="6128 Oak Ave, San Diego, IL 22445"/>
        <s v="5071 Maple Dr, San Francisco, NY 51002"/>
        <s v="8055 Oak Ave, San Francisco, TX 41506"/>
        <s v="5470 Pine Rd, San Francisco, CA 92333"/>
        <s v="2676 Main St, Sacramento, NY 48036"/>
        <s v="9469 Main St, San Francisco, FL 45047"/>
        <s v="8569 Elm St, Fresno, TX 23788"/>
        <s v="8401 Elm St, San Diego, NY 35198"/>
        <s v="3068 Elm St, San Francisco, FL 82428"/>
        <s v="1773 Pine Rd, San Diego, NY 66000"/>
        <s v="1713 Pine Rd, Sacramento, NY 15583"/>
        <s v="5421 Elm St, Sacramento, FL 92649"/>
        <s v="5369 Main St, San Diego, NY 92760"/>
        <s v="530 Maple Dr, San Francisco, FL 35662"/>
        <s v="9137 Main St, Los Angeles, FL 95565"/>
        <s v="4079 Elm St, Los Angeles, CA 97508"/>
        <s v="4177 Pine Rd, San Francisco, CA 61959"/>
        <s v="4275 Main St, San Francisco, TX 27440"/>
        <s v="1148 Maple Dr, Los Angeles, NY 31427"/>
        <s v="9625 Pine Rd, San Francisco, IL 79435"/>
        <s v="3002 Pine Rd, Fresno, FL 13916"/>
        <s v="3019 Maple Dr, San Francisco, CA 69412"/>
        <s v="1865 Elm St, Sacramento, NY 53941"/>
        <s v="2252 Pine Rd, San Diego, FL 48650"/>
        <s v="6103 Oak Ave, Fresno, CA 95682"/>
        <s v="2130 Main St, Fresno, FL 59397"/>
        <s v="7904 Main St, San Francisco, IL 36860"/>
        <s v="4423 Maple Dr, Fresno, FL 98607"/>
        <s v="6153 Main St, Fresno, TX 88534"/>
        <s v="764 Oak Ave, Fresno, IL 19990"/>
        <s v="1780 Pine Rd, San Francisco, FL 17886"/>
        <s v="1334 Maple Dr, Fresno, IL 16887"/>
        <s v="3988 Elm St, San Francisco, NY 37989"/>
        <s v="6235 Pine Rd, San Diego, TX 70384"/>
        <s v="3848 Maple Dr, Los Angeles, FL 13119"/>
        <s v="6279 Maple Dr, Fresno, FL 90168"/>
        <s v="1464 Oak Ave, San Diego, CA 21066"/>
        <s v="2981 Main St, San Diego, IL 56122"/>
        <s v="7001 Maple Dr, Los Angeles, NY 25237"/>
        <s v="5701 Pine Rd, Los Angeles, TX 27691"/>
        <s v="6873 Oak Ave, San Diego, NY 80943"/>
        <s v="5688 Elm St, San Francisco, CA 38367"/>
        <s v="3692 Pine Rd, Sacramento, TX 14136"/>
        <s v="1812 Main St, San Francisco, NY 18319"/>
        <s v="1684 Elm St, Los Angeles, IL 22124"/>
        <s v="3326 Elm St, Los Angeles, IL 88526"/>
        <s v="472 Elm St, Fresno, TX 85253"/>
        <s v="312 Main St, San Diego, FL 50673"/>
        <s v="9787 Pine Rd, Sacramento, CA 79405"/>
        <s v="7439 Maple Dr, Los Angeles, IL 85999"/>
        <s v="7784 Maple Dr, Los Angeles, FL 23857"/>
        <s v="2111 Elm St, Los Angeles, FL 92240"/>
        <s v="8282 Pine Rd, San Diego, TX 60459"/>
        <s v="111 Maple Dr, Fresno, NY 57885"/>
        <s v="5661 Maple Dr, Sacramento, TX 88736"/>
        <s v="2719 Elm St, Sacramento, NY 71689"/>
        <s v="7675 Maple Dr, San Francisco, CA 23327"/>
        <s v="3857 Maple Dr, Fresno, CA 46631"/>
        <s v="2331 Maple Dr, Fresno, FL 76872"/>
        <s v="7343 Main St, Fresno, CA 19834"/>
        <s v="5769 Oak Ave, Los Angeles, TX 92336"/>
        <s v="8376 Pine Rd, San Francisco, IL 70025"/>
        <s v="4139 Main St, Los Angeles, IL 48014"/>
        <s v="6538 Main St, Fresno, TX 18987"/>
        <s v="5269 Maple Dr, Los Angeles, TX 67134"/>
        <s v="9941 Oak Ave, Los Angeles, FL 36541"/>
        <s v="906 Main St, Fresno, TX 63625"/>
        <s v="6549 Main St, Fresno, CA 31282"/>
        <s v="4517 Oak Ave, Fresno, FL 56693"/>
        <s v="4399 Elm St, Los Angeles, NY 38181"/>
        <s v="6157 Main St, San Francisco, NY 61785"/>
        <s v="8888 Elm St, San Diego, CA 92122"/>
        <s v="4479 Maple Dr, Fresno, IL 98387"/>
        <s v="343 Elm St, Sacramento, NY 64105"/>
        <s v="9562 Pine Rd, Los Angeles, FL 95199"/>
        <s v="6573 Pine Rd, Fresno, NY 41561"/>
        <s v="6711 Elm St, Los Angeles, FL 11684"/>
        <s v="3765 Maple Dr, Sacramento, FL 39040"/>
        <s v="7684 Main St, Sacramento, CA 41560"/>
        <s v="4213 Pine Rd, Sacramento, FL 94828"/>
        <s v="3424 Maple Dr, San Francisco, NY 39671"/>
        <s v="1307 Elm St, Los Angeles, NY 12078"/>
        <s v="2722 Elm St, San Francisco, FL 81195"/>
        <s v="9647 Pine Rd, Sacramento, CA 18659"/>
        <s v="3353 Maple Dr, Fresno, NY 96038"/>
        <s v="9800 Maple Dr, San Diego, CA 81664"/>
        <s v="3775 Main St, Fresno, TX 27528"/>
        <s v="2966 Maple Dr, Sacramento, NY 99469"/>
        <s v="6443 Oak Ave, Fresno, CA 88090"/>
        <s v="8853 Main St, San Francisco, IL 89613"/>
        <s v="6008 Pine Rd, San Francisco, NY 47999"/>
        <s v="6278 Oak Ave, Los Angeles, NY 84052"/>
        <s v="9524 Main St, San Francisco, CA 67894"/>
        <s v="7402 Oak Ave, San Francisco, TX 78665"/>
        <s v="2178 Pine Rd, Los Angeles, TX 18513"/>
        <s v="697 Oak Ave, San Francisco, FL 23237"/>
        <s v="4914 Elm St, San Francisco, CA 44651"/>
        <s v="6532 Main St, Sacramento, CA 70082"/>
        <s v="8921 Oak Ave, San Francisco, TX 35912"/>
        <s v="2771 Maple Dr, Sacramento, TX 20444"/>
        <s v="1313 Elm St, San Francisco, IL 28838"/>
        <s v="2099 Oak Ave, San Diego, NY 40598"/>
        <s v="2170 Oak Ave, Los Angeles, CA 36915"/>
        <s v="5340 Main St, San Diego, IL 84590"/>
        <s v="5566 Elm St, San Francisco, TX 51813"/>
        <s v="2744 Main St, Los Angeles, CA 49902"/>
        <s v="9140 Elm St, San Diego, TX 74657"/>
        <s v="8769 Pine Rd, Sacramento, IL 72702"/>
        <s v="9801 Oak Ave, Fresno, FL 14407"/>
        <s v="2549 Maple Dr, Fresno, TX 99270"/>
        <s v="6992 Elm St, Fresno, TX 22024"/>
        <s v="7693 Elm St, Fresno, NY 31004"/>
        <s v="6027 Main St, San Francisco, CA 49017"/>
        <s v="4557 Elm St, San Francisco, FL 44968"/>
        <s v="9832 Maple Dr, San Diego, NY 46612"/>
        <s v="8052 Oak Ave, Sacramento, NY 57945"/>
        <s v="9601 Oak Ave, San Diego, TX 49609"/>
        <s v="1604 Elm St, Sacramento, IL 44927"/>
        <s v="666 Main St, San Diego, FL 21893"/>
        <s v="354 Oak Ave, Sacramento, FL 44376"/>
        <s v="1814 Pine Rd, San Francisco, IL 92847"/>
        <s v="2915 Oak Ave, Fresno, IL 64363"/>
        <s v="4650 Elm St, San Diego, NY 32524"/>
        <s v="5668 Pine Rd, San Francisco, FL 54024"/>
        <s v="4125 Main St, San Francisco, NY 68130"/>
        <s v="1355 Elm St, Fresno, TX 56087"/>
        <s v="7416 Oak Ave, San Diego, CA 60440"/>
        <s v="3481 Pine Rd, San Diego, FL 56768"/>
        <s v="6029 Oak Ave, San Diego, IL 21705"/>
        <s v="8067 Pine Rd, Los Angeles, NY 35395"/>
        <s v="7516 Maple Dr, Los Angeles, CA 47236"/>
        <s v="7805 Pine Rd, Los Angeles, TX 59479"/>
        <s v="6838 Oak Ave, San Diego, NY 12372"/>
        <s v="1557 Pine Rd, Sacramento, NY 35223"/>
        <s v="941 Maple Dr, Los Angeles, CA 84493"/>
        <s v="9803 Pine Rd, Fresno, IL 57121"/>
        <s v="3811 Elm St, San Francisco, FL 60231"/>
        <s v="7902 Main St, Fresno, IL 12612"/>
        <s v="9691 Pine Rd, Los Angeles, FL 88530"/>
        <s v="5255 Pine Rd, Fresno, CA 16271"/>
        <s v="8623 Oak Ave, Los Angeles, TX 85045"/>
        <s v="7439 Main St, San Francisco, TX 55113"/>
        <s v="9233 Oak Ave, Fresno, TX 12761"/>
        <s v="8454 Oak Ave, San Francisco, TX 87865"/>
        <s v="8567 Maple Dr, San Francisco, FL 59792"/>
        <s v="6886 Elm St, Sacramento, NY 56988"/>
        <s v="115 Main St, Los Angeles, IL 77095"/>
        <s v="3300 Oak Ave, San Francisco, CA 20111"/>
        <s v="4626 Pine Rd, Fresno, TX 18870"/>
        <s v="5254 Oak Ave, Los Angeles, FL 28585"/>
        <s v="9916 Oak Ave, Sacramento, NY 19965"/>
        <s v="7408 Elm St, Los Angeles, TX 16960"/>
        <s v="9050 Pine Rd, Los Angeles, CA 26677"/>
        <s v="6672 Oak Ave, Los Angeles, NY 69486"/>
        <s v="8517 Maple Dr, Sacramento, CA 42718"/>
        <s v="8462 Pine Rd, San Diego, FL 10416"/>
        <s v="4927 Elm St, San Francisco, NY 31458"/>
        <s v="8912 Elm St, San Francisco, IL 50549"/>
        <s v="8923 Maple Dr, Los Angeles, FL 75254"/>
        <s v="8684 Maple Dr, Los Angeles, FL 18307"/>
        <s v="4463 Pine Rd, Los Angeles, NY 54519"/>
        <s v="8767 Pine Rd, Fresno, FL 21356"/>
        <s v="146 Elm St, San Diego, FL 41233"/>
        <s v="3216 Oak Ave, Los Angeles, FL 10978"/>
        <s v="5102 Maple Dr, San Diego, FL 99226"/>
        <s v="6003 Main St, Los Angeles, NY 66023"/>
        <s v="4074 Main St, San Diego, IL 58479"/>
        <s v="1573 Pine Rd, Los Angeles, IL 73605"/>
        <s v="6013 Main St, Los Angeles, TX 47765"/>
        <s v="4269 Elm St, San Diego, TX 77508"/>
        <s v="3444 Maple Dr, San Diego, NY 66033"/>
        <s v="3541 Maple Dr, Los Angeles, IL 55291"/>
        <s v="4813 Main St, Sacramento, FL 69128"/>
        <s v="1498 Oak Ave, Fresno, IL 74744"/>
        <s v="8135 Pine Rd, Sacramento, NY 52069"/>
        <s v="1858 Oak Ave, San Diego, TX 62752"/>
        <s v="2105 Elm St, Fresno, CA 23854"/>
        <s v="6923 Oak Ave, San Francisco, FL 32256"/>
        <s v="6573 Main St, Sacramento, CA 72193"/>
        <s v="1810 Main St, Los Angeles, CA 26032"/>
        <s v="8312 Pine Rd, San Francisco, CA 85041"/>
        <s v="3628 Elm St, Los Angeles, CA 93184"/>
        <s v="5754 Oak Ave, San Francisco, CA 64707"/>
        <s v="3967 Pine Rd, Los Angeles, CA 45798"/>
        <s v="235 Pine Rd, Sacramento, TX 98635"/>
        <s v="8379 Elm St, San Francisco, CA 47969"/>
        <s v="7041 Oak Ave, Fresno, IL 28975"/>
        <s v="1737 Oak Ave, San Francisco, FL 33511"/>
        <s v="792 Main St, San Francisco, NY 73137"/>
        <s v="1058 Main St, Fresno, IL 30523"/>
        <s v="793 Maple Dr, Los Angeles, FL 21192"/>
        <s v="1748 Maple Dr, San Francisco, IL 50906"/>
        <s v="4409 Pine Rd, Los Angeles, CA 62280"/>
        <s v="2607 Pine Rd, San Francisco, IL 19447"/>
        <s v="5830 Maple Dr, San Francisco, NY 89904"/>
        <s v="1588 Oak Ave, Sacramento, IL 38784"/>
        <s v="7439 Main St, Los Angeles, IL 91963"/>
        <s v="1147 Pine Rd, Los Angeles, CA 47210"/>
        <s v="3849 Oak Ave, Fresno, TX 93235"/>
        <s v="8999 Pine Rd, Sacramento, IL 54548"/>
        <s v="7455 Pine Rd, Fresno, FL 96969"/>
        <s v="6113 Main St, San Diego, IL 53067"/>
        <s v="7328 Maple Dr, Los Angeles, CA 75233"/>
        <s v="7104 Maple Dr, San Diego, TX 41914"/>
        <s v="9522 Main St, Fresno, NY 76828"/>
        <s v="1697 Pine Rd, Sacramento, CA 27579"/>
        <s v="9695 Pine Rd, Sacramento, TX 32785"/>
        <s v="1946 Main St, San Diego, FL 37751"/>
        <s v="7382 Main St, Sacramento, CA 42099"/>
        <s v="1291 Oak Ave, Sacramento, CA 13733"/>
        <s v="7214 Main St, San Francisco, TX 93199"/>
        <s v="7862 Elm St, Sacramento, CA 79873"/>
        <s v="8683 Maple Dr, Sacramento, CA 45292"/>
        <s v="7454 Main St, Fresno, FL 59956"/>
        <s v="2289 Pine Rd, San Francisco, IL 56669"/>
        <s v="2956 Main St, San Diego, CA 22444"/>
        <s v="6458 Main St, Fresno, TX 57095"/>
        <s v="831 Elm St, San Diego, TX 59855"/>
        <s v="1368 Oak Ave, San Diego, CA 47734"/>
        <s v="1248 Maple Dr, San Francisco, FL 99940"/>
        <s v="7403 Main St, Sacramento, IL 33519"/>
        <s v="6635 Elm St, San Francisco, TX 45493"/>
        <s v="4297 Oak Ave, San Diego, IL 17567"/>
        <s v="2763 Maple Dr, Los Angeles, TX 80793"/>
        <s v="7141 Main St, Los Angeles, NY 53682"/>
        <s v="5147 Oak Ave, Fresno, TX 49179"/>
        <s v="308 Main St, Fresno, CA 46537"/>
        <s v="3520 Maple Dr, Fresno, TX 71928"/>
        <s v="7186 Main St, Sacramento, CA 62633"/>
        <s v="9075 Main St, San Francisco, CA 96678"/>
        <s v="7516 Main St, San Francisco, IL 29567"/>
        <s v="5436 Pine Rd, Fresno, TX 23436"/>
        <s v="2287 Maple Dr, Sacramento, CA 40146"/>
        <s v="819 Maple Dr, Fresno, CA 15004"/>
        <s v="5544 Maple Dr, San Diego, CA 24650"/>
        <s v="5777 Oak Ave, San Francisco, FL 83965"/>
        <s v="789 Pine Rd, Los Angeles, TX 90909"/>
        <s v="1509 Elm St, Fresno, TX 32550"/>
        <s v="8807 Pine Rd, Fresno, TX 58683"/>
        <s v="2293 Maple Dr, Fresno, CA 36258"/>
        <s v="1726 Main St, Fresno, FL 39321"/>
        <s v="2640 Elm St, San Diego, CA 18795"/>
        <s v="5978 Main St, Fresno, CA 18290"/>
        <s v="4169 Oak Ave, Fresno, FL 52199"/>
        <s v="4812 Maple Dr, Fresno, NY 31004"/>
        <s v="2924 Elm St, Los Angeles, CA 45099"/>
        <s v="1797 Maple Dr, Fresno, TX 98894"/>
        <s v="4736 Maple Dr, Sacramento, NY 55582"/>
        <s v="3534 Pine Rd, San Diego, CA 74405"/>
        <s v="3680 Maple Dr, San Diego, CA 67980"/>
        <s v="2205 Elm St, San Diego, TX 24295"/>
        <s v="8880 Oak Ave, Los Angeles, NY 73870"/>
        <s v="4670 Elm St, Sacramento, IL 53719"/>
        <s v="804 Oak Ave, San Francisco, FL 94653"/>
        <s v="5208 Maple Dr, San Diego, TX 11161"/>
        <s v="3748 Main St, San Francisco, FL 36942"/>
        <s v="3998 Elm St, San Diego, TX 89282"/>
        <s v="7911 Maple Dr, San Diego, FL 23484"/>
        <s v="1288 Oak Ave, Los Angeles, CA 99833"/>
        <s v="5010 Maple Dr, Fresno, TX 76958"/>
        <s v="9242 Oak Ave, Fresno, IL 11490"/>
        <s v="8427 Oak Ave, Los Angeles, TX 48649"/>
        <s v="2240 Maple Dr, Sacramento, IL 77686"/>
        <s v="8437 Maple Dr, Los Angeles, CA 87095"/>
        <s v="6822 Oak Ave, San Diego, IL 31733"/>
        <s v="9914 Main St, San Francisco, CA 41775"/>
        <s v="8402 Pine Rd, San Francisco, NY 38499"/>
        <s v="1197 Maple Dr, San Francisco, FL 54158"/>
        <s v="8775 Oak Ave, Sacramento, TX 39086"/>
        <s v="169 Oak Ave, San Diego, FL 50594"/>
        <s v="4835 Maple Dr, Fresno, CA 28333"/>
        <s v="9426 Main St, Los Angeles, CA 14869"/>
        <s v="8381 Main St, Fresno, TX 90863"/>
        <s v="9091 Oak Ave, San Francisco, TX 74559"/>
        <s v="6947 Main St, San Francisco, CA 59168"/>
        <s v="8976 Main St, San Diego, CA 81788"/>
        <s v="3668 Main St, Sacramento, IL 99458"/>
        <s v="856 Main St, San Francisco, TX 63394"/>
        <s v="4165 Pine Rd, Los Angeles, CA 54265"/>
        <s v="1807 Pine Rd, Fresno, IL 86928"/>
        <s v="5233 Oak Ave, Sacramento, IL 81002"/>
        <s v="2996 Maple Dr, San Francisco, IL 60302"/>
        <s v="843 Oak Ave, Sacramento, CA 27614"/>
        <s v="9427 Maple Dr, San Francisco, IL 24515"/>
        <s v="8579 Main St, Sacramento, NY 18166"/>
        <s v="6097 Pine Rd, Sacramento, IL 73499"/>
        <s v="6232 Maple Dr, Fresno, TX 87814"/>
        <s v="9929 Oak Ave, San Diego, FL 47585"/>
        <s v="7924 Oak Ave, Fresno, FL 91578"/>
        <s v="5913 Oak Ave, San Francisco, FL 29419"/>
        <s v="1363 Main St, Fresno, IL 75019"/>
        <s v="435 Pine Rd, Los Angeles, NY 74534"/>
        <s v="193 Pine Rd, Fresno, NY 99255"/>
        <s v="3328 Oak Ave, Sacramento, FL 82216"/>
        <s v="1065 Maple Dr, Los Angeles, CA 42151"/>
        <s v="7826 Elm St, Fresno, FL 35524"/>
        <s v="2592 Maple Dr, Sacramento, IL 99411"/>
        <s v="5796 Maple Dr, Sacramento, NY 75044"/>
        <s v="2925 Maple Dr, Los Angeles, TX 64043"/>
        <s v="6997 Main St, Fresno, IL 83139"/>
        <s v="4305 Main St, Los Angeles, CA 12824"/>
        <s v="9715 Pine Rd, Sacramento, NY 24833"/>
        <s v="4539 Oak Ave, Sacramento, CA 74923"/>
        <s v="1500 Elm St, Fresno, FL 80142"/>
        <s v="1984 Pine Rd, Fresno, TX 60175"/>
        <s v="2804 Main St, San Francisco, TX 98765"/>
        <s v="9068 Elm St, San Francisco, NY 13791"/>
        <s v="3000 Oak Ave, San Diego, FL 30020"/>
        <s v="6677 Maple Dr, Los Angeles, NY 10580"/>
        <s v="679 Oak Ave, Sacramento, NY 90175"/>
        <s v="5301 Elm St, Los Angeles, CA 55660"/>
        <s v="4673 Elm St, San Diego, NY 80255"/>
        <s v="6617 Main St, Los Angeles, TX 85304"/>
        <s v="5618 Oak Ave, Fresno, FL 21246"/>
        <s v="8786 Maple Dr, San Francisco, FL 47109"/>
        <s v="8579 Oak Ave, Sacramento, NY 49587"/>
        <s v="7454 Oak Ave, Sacramento, FL 96526"/>
        <s v="1854 Elm St, San Diego, IL 38046"/>
        <s v="7147 Pine Rd, San Diego, IL 60417"/>
        <s v="1163 Elm St, Sacramento, TX 73855"/>
        <s v="8867 Main St, Los Angeles, TX 55397"/>
        <s v="5649 Pine Rd, San Francisco, TX 86142"/>
        <s v="8194 Maple Dr, Fresno, TX 34761"/>
        <s v="6866 Elm St, Sacramento, FL 85564"/>
        <s v="5162 Elm St, San Francisco, TX 79196"/>
        <s v="3470 Elm St, Fresno, TX 48748"/>
        <s v="7310 Pine Rd, San Diego, CA 29047"/>
        <s v="7840 Oak Ave, San Francisco, CA 52094"/>
        <s v="1308 Elm St, San Francisco, IL 68735"/>
        <s v="8944 Main St, Fresno, FL 42380"/>
        <s v="6323 Main St, Los Angeles, IL 16519"/>
        <s v="1832 Pine Rd, San Francisco, FL 91208"/>
        <s v="6306 Maple Dr, Fresno, IL 47098"/>
        <s v="5499 Maple Dr, San Francisco, FL 13564"/>
        <s v="6467 Maple Dr, Los Angeles, FL 77472"/>
        <s v="416 Maple Dr, Sacramento, NY 94078"/>
        <s v="6283 Oak Ave, San Diego, IL 49251"/>
        <s v="2012 Main St, Fresno, TX 13967"/>
        <s v="3672 Elm St, San Diego, CA 82020"/>
        <s v="1761 Pine Rd, Fresno, FL 47215"/>
        <s v="8279 Elm St, Fresno, CA 15623"/>
        <s v="7258 Elm St, San Diego, CA 38521"/>
        <s v="8328 Oak Ave, San Diego, TX 35007"/>
        <s v="3955 Main St, San Diego, NY 59418"/>
        <s v="9948 Maple Dr, Los Angeles, NY 88644"/>
        <s v="9272 Oak Ave, San Francisco, NY 57158"/>
        <s v="5211 Maple Dr, Fresno, CA 54993"/>
        <s v="7099 Oak Ave, Fresno, NY 97897"/>
        <s v="609 Oak Ave, Sacramento, CA 53411"/>
        <s v="128 Elm St, San Francisco, CA 45612"/>
        <s v="7880 Maple Dr, San Diego, FL 64384"/>
        <s v="4242 Main St, San Francisco, FL 57352"/>
        <s v="5500 Oak Ave, Sacramento, NY 44660"/>
        <s v="3184 Elm St, Los Angeles, CA 14871"/>
        <s v="3509 Main St, San Diego, IL 33243"/>
        <s v="1064 Oak Ave, Los Angeles, FL 31199"/>
        <s v="3899 Main St, San Francisco, IL 61889"/>
        <s v="5208 Elm St, Sacramento, NY 93475"/>
        <s v="8609 Maple Dr, San Diego, IL 94949"/>
        <s v="3641 Maple Dr, Sacramento, CA 49155"/>
        <s v="4786 Pine Rd, San Diego, CA 17898"/>
        <s v="6881 Elm St, San Francisco, IL 85654"/>
        <s v="7287 Oak Ave, San Francisco, FL 22485"/>
        <s v="8571 Main St, Sacramento, TX 77190"/>
        <s v="6468 Maple Dr, Sacramento, IL 74608"/>
        <s v="617 Oak Ave, San Francisco, TX 85430"/>
        <s v="975 Maple Dr, San Diego, CA 75915"/>
        <s v="551 Pine Rd, Sacramento, CA 24761"/>
        <s v="8614 Main St, San Diego, FL 72503"/>
        <s v="5360 Oak Ave, San Diego, NY 95615"/>
        <s v="2873 Elm St, Fresno, CA 17782"/>
        <s v="482 Elm St, San Diego, TX 25297"/>
        <s v="2241 Main St, Fresno, IL 93607"/>
        <s v="8857 Oak Ave, Sacramento, FL 25867"/>
        <s v="6218 Main St, San Diego, IL 79585"/>
        <s v="134 Main St, Fresno, CA 24550"/>
        <s v="1065 Maple Dr, Fresno, IL 72829"/>
        <s v="4872 Elm St, San Francisco, NY 64492"/>
        <s v="6402 Maple Dr, Fresno, IL 32179"/>
        <s v="9505 Oak Ave, San Francisco, CA 90874"/>
        <s v="807 Main St, Fresno, CA 58762"/>
        <s v="8000 Pine Rd, San Diego, IL 28138"/>
        <s v="5861 Pine Rd, Los Angeles, FL 21056"/>
        <s v="5221 Pine Rd, Sacramento, FL 70372"/>
        <s v="4486 Pine Rd, San Francisco, FL 57003"/>
        <s v="1965 Oak Ave, Los Angeles, FL 34275"/>
        <s v="6290 Pine Rd, San Diego, FL 69070"/>
        <s v="5925 Elm St, Fresno, CA 64140"/>
        <s v="9780 Main St, Los Angeles, FL 54344"/>
        <s v="9059 Oak Ave, San Francisco, FL 49783"/>
        <s v="7186 Oak Ave, Fresno, IL 32190"/>
        <s v="8159 Oak Ave, Sacramento, CA 67646"/>
        <s v="297 Elm St, Los Angeles, FL 43139"/>
        <s v="6566 Pine Rd, Sacramento, CA 60095"/>
        <s v="4903 Oak Ave, Los Angeles, TX 65504"/>
        <s v="2145 Pine Rd, San Francisco, IL 28163"/>
        <s v="9091 Pine Rd, Los Angeles, CA 81107"/>
        <s v="6692 Maple Dr, San Diego, IL 53430"/>
        <s v="7213 Maple Dr, Sacramento, NY 67859"/>
        <s v="2523 Pine Rd, Fresno, IL 50137"/>
        <s v="9311 Maple Dr, San Diego, NY 66643"/>
        <s v="4422 Maple Dr, San Francisco, CA 67726"/>
        <s v="9840 Elm St, San Francisco, FL 27037"/>
        <s v="8633 Maple Dr, Los Angeles, CA 64507"/>
        <s v="3401 Elm St, Sacramento, CA 92519"/>
        <s v="520 Maple Dr, Sacramento, FL 85052"/>
        <s v="8514 Oak Ave, San Diego, IL 91990"/>
        <s v="8104 Elm St, Los Angeles, IL 67992"/>
        <s v="9202 Oak Ave, Sacramento, NY 93328"/>
        <s v="3957 Main St, San Francisco, CA 44960"/>
        <s v="6510 Maple Dr, San Diego, FL 85377"/>
        <s v="5647 Oak Ave, Los Angeles, NY 32122"/>
        <s v="1630 Pine Rd, Los Angeles, CA 63109"/>
        <s v="9850 Maple Dr, Sacramento, IL 29497"/>
        <s v="5947 Elm St, Sacramento, NY 22614"/>
        <s v="4277 Maple Dr, San Diego, IL 17597"/>
        <s v="1151 Oak Ave, Sacramento, NY 50727"/>
        <s v="7149 Oak Ave, San Diego, NY 22202"/>
        <s v="1696 Pine Rd, San Diego, NY 32625"/>
        <s v="9803 Maple Dr, San Diego, IL 99077"/>
        <s v="6390 Pine Rd, San Francisco, CA 31277"/>
        <s v="4751 Maple Dr, Fresno, FL 15796"/>
        <s v="6092 Elm St, Fresno, FL 46903"/>
        <s v="2961 Maple Dr, Los Angeles, CA 19495"/>
        <s v="5372 Oak Ave, Los Angeles, NY 91480"/>
        <s v="5230 Pine Rd, Fresno, TX 20382"/>
        <s v="5658 Oak Ave, San Diego, IL 36616"/>
        <s v="1566 Pine Rd, Sacramento, FL 53456"/>
        <s v="6111 Pine Rd, Sacramento, IL 55641"/>
        <s v="8262 Pine Rd, San Diego, FL 23424"/>
        <s v="6467 Main St, San Diego, IL 75241"/>
        <s v="6494 Elm St, Fresno, CA 39464"/>
        <s v="6265 Maple Dr, Fresno, TX 41345"/>
        <s v="5792 Maple Dr, Los Angeles, NY 10334"/>
        <s v="8979 Elm St, San Diego, CA 58326"/>
        <s v="1840 Oak Ave, Los Angeles, CA 48435"/>
        <s v="9246 Pine Rd, Fresno, IL 22793"/>
        <s v="8368 Oak Ave, Sacramento, NY 55598"/>
        <s v="9989 Elm St, Fresno, CA 63326"/>
        <s v="2653 Oak Ave, Sacramento, NY 97171"/>
        <s v="1470 Oak Ave, San Diego, TX 52184"/>
        <s v="3934 Main St, San Francisco, CA 12658"/>
        <s v="6804 Oak Ave, Los Angeles, FL 79098"/>
        <s v="3684 Pine Rd, Sacramento, TX 12670"/>
        <s v="5088 Pine Rd, Sacramento, IL 33000"/>
        <s v="1211 Elm St, Sacramento, TX 34584"/>
        <s v="905 Maple Dr, Sacramento, CA 14344"/>
        <s v="3449 Main St, San Francisco, TX 21963"/>
        <s v="193 Pine Rd, Los Angeles, TX 32546"/>
        <s v="5319 Elm St, Fresno, TX 48351"/>
        <s v="1475 Pine Rd, Sacramento, NY 16246"/>
        <s v="2149 Maple Dr, San Diego, FL 35455"/>
        <s v="4631 Oak Ave, Los Angeles, TX 78192"/>
        <s v="2589 Pine Rd, Los Angeles, IL 63105"/>
        <s v="253 Pine Rd, San Diego, CA 57203"/>
        <s v="3029 Elm St, Sacramento, FL 45847"/>
        <s v="592 Pine Rd, Sacramento, CA 60641"/>
        <s v="9919 Maple Dr, Sacramento, IL 37566"/>
        <s v="7255 Elm St, Sacramento, IL 96591"/>
        <s v="457 Oak Ave, Sacramento, TX 25541"/>
        <s v="308 Pine Rd, San Francisco, IL 69345"/>
        <s v="7464 Pine Rd, San Francisco, FL 12385"/>
        <s v="440 Elm St, Los Angeles, FL 99474"/>
        <s v="7552 Elm St, Los Angeles, IL 78338"/>
        <s v="1218 Elm St, Los Angeles, NY 64500"/>
        <s v="2017 Elm St, San Diego, CA 29707"/>
        <s v="6557 Pine Rd, Fresno, CA 63203"/>
        <s v="5985 Elm St, Sacramento, CA 44426"/>
        <s v="9630 Pine Rd, San Diego, TX 62271"/>
        <s v="1411 Elm St, San Francisco, TX 70050"/>
        <s v="4257 Main St, Sacramento, NY 19584"/>
        <s v="2414 Elm St, San Diego, TX 13737"/>
        <s v="8858 Pine Rd, Sacramento, TX 12697"/>
        <s v="4654 Elm St, San Francisco, IL 57058"/>
        <s v="987 Oak Ave, San Francisco, CA 12184"/>
        <s v="4767 Main St, San Francisco, CA 51915"/>
        <s v="7368 Main St, Fresno, IL 52312"/>
        <s v="4880 Oak Ave, Los Angeles, CA 29033"/>
        <s v="3469 Oak Ave, Fresno, IL 79672"/>
        <s v="7951 Maple Dr, San Francisco, NY 68667"/>
        <s v="7801 Main St, San Diego, NY 47929"/>
        <s v="9114 Pine Rd, San Diego, IL 66456"/>
        <s v="8224 Main St, San Diego, CA 75023"/>
        <s v="2640 Main St, Sacramento, IL 36123"/>
        <s v="964 Pine Rd, San Francisco, IL 42352"/>
        <s v="9969 Elm St, San Francisco, TX 70953"/>
        <s v="3163 Oak Ave, Los Angeles, NY 45081"/>
        <s v="8821 Oak Ave, Los Angeles, FL 83045"/>
        <s v="2763 Main St, San Francisco, IL 29514"/>
        <s v="2197 Elm St, San Diego, FL 84198"/>
        <s v="9444 Pine Rd, Sacramento, NY 77681"/>
        <s v="8486 Maple Dr, San Francisco, NY 49105"/>
        <s v="8259 Pine Rd, San Francisco, TX 29839"/>
        <s v="4590 Oak Ave, Sacramento, FL 17275"/>
        <s v="6037 Main St, San Diego, IL 24689"/>
        <s v="7988 Oak Ave, Fresno, CA 67015"/>
        <s v="3228 Main St, San Diego, IL 21158"/>
        <s v="9284 Elm St, San Diego, NY 14696"/>
        <s v="2590 Oak Ave, San Diego, NY 34517"/>
        <s v="3173 Main St, San Francisco, NY 93066"/>
        <s v="8503 Pine Rd, Los Angeles, CA 67228"/>
        <s v="4273 Maple Dr, San Francisco, CA 92828"/>
        <s v="8586 Elm St, Los Angeles, CA 54178"/>
        <s v="2343 Oak Ave, San Diego, CA 14862"/>
        <s v="6034 Main St, Fresno, IL 31017"/>
        <s v="4807 Maple Dr, San Francisco, TX 68312"/>
        <s v="9276 Pine Rd, San Diego, FL 96844"/>
        <s v="8654 Maple Dr, Sacramento, NY 36216"/>
        <s v="7817 Main St, San Francisco, TX 76098"/>
        <s v="4210 Oak Ave, Fresno, NY 37973"/>
        <s v="1369 Oak Ave, Los Angeles, IL 45712"/>
        <s v="974 Main St, San Francisco, IL 54997"/>
        <s v="8472 Elm St, Fresno, IL 50971"/>
        <s v="2319 Pine Rd, San Francisco, CA 65526"/>
        <s v="5952 Pine Rd, Sacramento, NY 74303"/>
        <s v="586 Elm St, San Francisco, TX 31215"/>
        <s v="8937 Oak Ave, Sacramento, IL 52410"/>
        <s v="594 Main St, San Francisco, CA 68317"/>
        <s v="9104 Elm St, Sacramento, NY 91711"/>
        <s v="5917 Pine Rd, Los Angeles, FL 79724"/>
        <s v="8231 Pine Rd, San Francisco, IL 56536"/>
        <s v="5480 Oak Ave, San Francisco, CA 18648"/>
        <s v="3992 Main St, Sacramento, NY 81929"/>
        <s v="1029 Main St, Los Angeles, FL 20851"/>
        <s v="823 Oak Ave, San Francisco, TX 72148"/>
        <s v="8472 Elm St, Los Angeles, FL 25999"/>
        <s v="3508 Main St, Sacramento, CA 22975"/>
        <s v="2340 Main St, Fresno, IL 62223"/>
        <s v="385 Oak Ave, San Francisco, NY 52206"/>
        <s v="2340 Oak Ave, Sacramento, IL 64667"/>
        <s v="9049 Maple Dr, Fresno, CA 48618"/>
        <s v="3066 Maple Dr, San Diego, NY 91039"/>
        <s v="8359 Elm St, San Francisco, NY 46321"/>
        <s v="6421 Elm St, Los Angeles, CA 13319"/>
        <s v="2201 Elm St, Sacramento, FL 16968"/>
        <s v="8964 Maple Dr, Fresno, TX 59560"/>
        <s v="1991 Main St, San Diego, CA 68978"/>
        <s v="4114 Maple Dr, Fresno, NY 35778"/>
        <s v="693 Oak Ave, San Diego, FL 19349"/>
        <s v="4577 Elm St, Los Angeles, TX 48055"/>
        <s v="4649 Pine Rd, Sacramento, IL 59736"/>
        <s v="5740 Oak Ave, San Francisco, FL 74766"/>
        <s v="9117 Main St, Fresno, CA 90049"/>
        <s v="4520 Oak Ave, Fresno, FL 12390"/>
        <s v="829 Elm St, Los Angeles, IL 41731"/>
        <s v="5630 Maple Dr, San Francisco, FL 93817"/>
        <s v="6550 Elm St, Fresno, CA 92161"/>
        <s v="373 Pine Rd, Los Angeles, FL 71445"/>
        <s v="3759 Main St, San Diego, TX 30564"/>
        <s v="4679 Main St, San Francisco, IL 76206"/>
        <s v="1448 Elm St, San Francisco, NY 71220"/>
        <s v="4190 Main St, Los Angeles, NY 73252"/>
        <s v="8628 Elm St, Sacramento, IL 57265"/>
        <s v="226 Elm St, Los Angeles, CA 54611"/>
        <s v="6293 Maple Dr, San Francisco, FL 62332"/>
        <s v="1978 Elm St, San Francisco, CA 42736"/>
        <s v="5218 Oak Ave, Sacramento, FL 37877"/>
        <s v="4746 Oak Ave, Sacramento, TX 30883"/>
        <s v="6280 Maple Dr, San Francisco, IL 58605"/>
        <s v="645 Pine Rd, Fresno, CA 98695"/>
        <s v="2642 Elm St, Los Angeles, NY 75225"/>
        <s v="6790 Main St, San Diego, FL 18089"/>
        <s v="7514 Elm St, Sacramento, CA 13531"/>
        <s v="2505 Pine Rd, Sacramento, IL 49878"/>
        <s v="9282 Maple Dr, San Francisco, TX 96466"/>
        <s v="1645 Main St, Fresno, NY 12157"/>
        <s v="8001 Elm St, Fresno, CA 26896"/>
        <s v="2582 Main St, Sacramento, FL 35096"/>
        <s v="1052 Oak Ave, Fresno, FL 85014"/>
        <s v="9675 Pine Rd, San Francisco, IL 90436"/>
        <s v="267 Elm St, San Francisco, CA 80159"/>
        <s v="9394 Oak Ave, Fresno, IL 83560"/>
        <s v="3699 Oak Ave, Fresno, FL 36849"/>
        <s v="3544 Pine Rd, Sacramento, FL 60507"/>
        <s v="3777 Main St, San Diego, TX 62447"/>
        <s v="1083 Elm St, Los Angeles, CA 25054"/>
        <s v="9000 Maple Dr, Los Angeles, NY 66487"/>
        <s v="9581 Elm St, Sacramento, NY 42611"/>
        <s v="586 Pine Rd, Fresno, FL 44378"/>
        <s v="1915 Maple Dr, Fresno, FL 91456"/>
        <s v="7781 Oak Ave, San Francisco, TX 80491"/>
        <s v="3520 Pine Rd, San Francisco, FL 66081"/>
        <s v="6520 Pine Rd, Los Angeles, CA 16392"/>
        <s v="3317 Maple Dr, Sacramento, NY 62413"/>
        <s v="2871 Maple Dr, San Diego, CA 81825"/>
        <s v="1503 Elm St, Sacramento, FL 92292"/>
        <s v="1154 Pine Rd, San Francisco, CA 85224"/>
        <s v="4120 Elm St, San Francisco, IL 59545"/>
        <s v="1833 Elm St, Los Angeles, IL 69880"/>
        <s v="2912 Main St, Fresno, IL 17323"/>
        <s v="3846 Main St, Los Angeles, IL 14171"/>
        <s v="3877 Maple Dr, Sacramento, NY 81379"/>
        <s v="2077 Elm St, San Diego, TX 28912"/>
        <s v="3813 Pine Rd, Los Angeles, IL 91991"/>
        <s v="1763 Elm St, Los Angeles, NY 69470"/>
        <s v="9427 Oak Ave, Fresno, CA 21097"/>
        <s v="5796 Pine Rd, San Diego, FL 84305"/>
        <s v="2355 Pine Rd, San Diego, IL 84314"/>
        <s v="1911 Elm St, San Diego, CA 51208"/>
        <s v="6060 Elm St, Los Angeles, TX 73045"/>
        <s v="886 Oak Ave, San Diego, IL 72249"/>
        <s v="4389 Oak Ave, San Francisco, IL 57861"/>
        <s v="9070 Elm St, Sacramento, IL 60157"/>
        <s v="8891 Maple Dr, Sacramento, CA 41797"/>
        <s v="9997 Maple Dr, Fresno, FL 77711"/>
        <s v="8032 Maple Dr, San Francisco, TX 84600"/>
        <s v="2759 Elm St, Sacramento, IL 79056"/>
        <s v="7218 Oak Ave, Fresno, IL 85461"/>
        <s v="9040 Maple Dr, San Diego, CA 60875"/>
        <s v="6889 Elm St, Fresno, NY 22468"/>
        <s v="9960 Main St, San Francisco, IL 79825"/>
        <s v="5077 Maple Dr, San Diego, NY 99660"/>
        <s v="8971 Oak Ave, Sacramento, TX 51838"/>
        <s v="9823 Maple Dr, Sacramento, CA 52087"/>
        <s v="3291 Pine Rd, San Diego, NY 35530"/>
        <s v="5687 Oak Ave, San Diego, IL 13222"/>
        <s v="9488 Oak Ave, Los Angeles, FL 38613"/>
        <s v="630 Maple Dr, Fresno, FL 72704"/>
        <s v="2836 Main St, San Francisco, FL 95350"/>
        <s v="6613 Oak Ave, Los Angeles, NY 62583"/>
        <s v="3212 Elm St, San Diego, IL 66109"/>
        <s v="8376 Main St, San Francisco, TX 87803"/>
        <s v="2151 Maple Dr, Sacramento, CA 16022"/>
        <s v="9600 Oak Ave, Los Angeles, IL 97674"/>
        <s v="9703 Maple Dr, San Diego, FL 62559"/>
        <s v="7060 Pine Rd, Sacramento, NY 98562"/>
        <s v="4195 Main St, Sacramento, NY 18019"/>
        <s v="6054 Oak Ave, San Francisco, TX 89641"/>
        <s v="6431 Oak Ave, San Diego, FL 44504"/>
        <s v="8285 Pine Rd, Los Angeles, IL 44449"/>
        <s v="8056 Elm St, San Francisco, IL 37560"/>
        <s v="6673 Main St, Fresno, TX 69272"/>
        <s v="9837 Oak Ave, San Diego, TX 97723"/>
        <s v="6352 Pine Rd, Fresno, IL 65768"/>
        <s v="2835 Oak Ave, Fresno, IL 48794"/>
        <s v="5594 Maple Dr, San Diego, TX 18958"/>
        <s v="2134 Maple Dr, Sacramento, CA 82125"/>
        <s v="4232 Pine Rd, Los Angeles, CA 56664"/>
        <s v="6502 Pine Rd, San Diego, FL 23062"/>
        <s v="2773 Elm St, San Francisco, NY 20961"/>
        <s v="9847 Maple Dr, Fresno, FL 97237"/>
        <s v="3185 Oak Ave, San Diego, IL 43420"/>
        <s v="3423 Maple Dr, Los Angeles, NY 92407"/>
        <s v="6526 Elm St, Fresno, IL 52034"/>
        <s v="5034 Main St, Los Angeles, NY 87356"/>
        <s v="3630 Main St, Sacramento, CA 75868"/>
        <s v="7311 Maple Dr, Sacramento, TX 65166"/>
        <s v="2040 Oak Ave, Fresno, TX 77679"/>
        <s v="6301 Main St, Sacramento, FL 88216"/>
        <s v="509 Maple Dr, San Diego, FL 90147"/>
        <s v="3954 Elm St, Sacramento, FL 91809"/>
        <s v="4643 Maple Dr, Los Angeles, FL 20151"/>
        <s v="1750 Pine Rd, Fresno, IL 37778"/>
        <s v="3409 Pine Rd, San Diego, IL 39067"/>
        <s v="6599 Elm St, Los Angeles, FL 49782"/>
        <s v="3880 Maple Dr, San Francisco, TX 12037"/>
        <s v="9694 Pine Rd, Sacramento, CA 72224"/>
        <s v="6429 Maple Dr, Los Angeles, CA 34706"/>
        <s v="6080 Oak Ave, Los Angeles, FL 16982"/>
        <s v="5133 Elm St, San Francisco, IL 35549"/>
        <s v="7615 Oak Ave, Fresno, NY 57838"/>
        <s v="3286 Elm St, Fresno, FL 74946"/>
        <s v="2541 Elm St, Fresno, NY 35115"/>
        <s v="6194 Pine Rd, San Diego, CA 93478"/>
        <s v="1310 Maple Dr, Fresno, CA 57975"/>
        <s v="3076 Oak Ave, Sacramento, CA 88464"/>
        <s v="5246 Pine Rd, Sacramento, NY 36185"/>
        <s v="2224 Maple Dr, Los Angeles, NY 35075"/>
        <s v="6625 Main St, San Francisco, IL 82166"/>
        <s v="4539 Oak Ave, Los Angeles, TX 19992"/>
        <s v="9903 Pine Rd, Los Angeles, FL 40319"/>
        <s v="2142 Maple Dr, San Francisco, FL 85572"/>
        <s v="3314 Maple Dr, Los Angeles, CA 61427"/>
        <s v="9414 Oak Ave, Fresno, IL 39951"/>
        <s v="4543 Pine Rd, Los Angeles, FL 11595"/>
        <s v="6383 Elm St, San Diego, FL 70713"/>
        <s v="4090 Main St, San Diego, CA 42092"/>
        <s v="4802 Maple Dr, Los Angeles, NY 17336"/>
        <s v="8214 Main St, Los Angeles, FL 13336"/>
        <s v="2245 Main St, Fresno, TX 26810"/>
        <s v="3112 Elm St, San Diego, IL 71107"/>
        <s v="3977 Elm St, Fresno, FL 11392"/>
        <s v="7017 Main St, San Diego, IL 17198"/>
        <s v="589 Main St, Sacramento, TX 48480"/>
        <s v="9389 Maple Dr, Fresno, CA 29174"/>
        <s v="7208 Oak Ave, Los Angeles, TX 88270"/>
        <s v="1835 Oak Ave, Sacramento, IL 87952"/>
        <s v="7894 Maple Dr, San Diego, CA 74961"/>
        <s v="3332 Maple Dr, San Francisco, TX 26090"/>
        <s v="908 Maple Dr, Fresno, CA 21860"/>
        <s v="1750 Main St, San Diego, NY 59100"/>
        <s v="6904 Maple Dr, San Diego, NY 69433"/>
        <s v="809 Elm St, San Francisco, IL 52565"/>
        <s v="4742 Maple Dr, San Francisco, TX 89150"/>
        <s v="6768 Maple Dr, Fresno, TX 32159"/>
        <s v="1268 Elm St, Fresno, TX 61835"/>
        <s v="4726 Maple Dr, Fresno, IL 34454"/>
        <s v="1180 Maple Dr, San Francisco, TX 37461"/>
        <s v="6279 Maple Dr, San Francisco, IL 68470"/>
        <s v="3271 Main St, Los Angeles, NY 19011"/>
        <s v="6677 Pine Rd, Los Angeles, FL 47488"/>
        <s v="7829 Maple Dr, Los Angeles, TX 50049"/>
        <s v="6190 Pine Rd, Sacramento, IL 52654"/>
        <s v="3224 Elm St, Sacramento, TX 67674"/>
        <s v="1427 Maple Dr, San Diego, TX 81946"/>
        <s v="3895 Elm St, San Diego, NY 31872"/>
        <s v="5069 Elm St, Sacramento, FL 19965"/>
        <s v="2782 Maple Dr, San Francisco, NY 66268"/>
        <s v="4318 Oak Ave, Los Angeles, IL 27879"/>
        <s v="8008 Pine Rd, Sacramento, CA 55823"/>
        <s v="3291 Elm St, Sacramento, FL 11175"/>
        <s v="752 Oak Ave, San Diego, FL 82188"/>
        <s v="3184 Maple Dr, Los Angeles, FL 49745"/>
        <s v="1341 Pine Rd, San Francisco, FL 54762"/>
        <s v="443 Pine Rd, Fresno, IL 26151"/>
        <s v="9969 Maple Dr, San Francisco, IL 48888"/>
        <s v="8333 Main St, Fresno, FL 61689"/>
        <s v="707 Main St, Los Angeles, NY 49328"/>
        <s v="7416 Oak Ave, Los Angeles, CA 33353"/>
        <s v="2061 Pine Rd, San Francisco, TX 82956"/>
        <s v="2026 Pine Rd, San Diego, CA 53119"/>
        <s v="4830 Oak Ave, Los Angeles, IL 36720"/>
        <s v="1487 Oak Ave, Fresno, IL 22268"/>
        <s v="5572 Elm St, Los Angeles, CA 53835"/>
        <s v="8721 Pine Rd, Sacramento, CA 25265"/>
        <s v="9491 Elm St, San Francisco, FL 41817"/>
        <s v="4035 Pine Rd, Fresno, TX 81440"/>
        <s v="2896 Elm St, Fresno, CA 71836"/>
        <s v="1074 Pine Rd, Sacramento, CA 75619"/>
        <s v="6010 Main St, Sacramento, NY 80466"/>
        <s v="5457 Main St, San Diego, TX 18625"/>
        <s v="2025 Maple Dr, San Francisco, TX 21054"/>
        <s v="6384 Pine Rd, San Diego, TX 11517"/>
        <s v="1040 Oak Ave, Los Angeles, IL 23456"/>
        <s v="5910 Oak Ave, San Diego, NY 56617"/>
        <s v="635 Oak Ave, San Diego, IL 92002"/>
        <s v="7995 Maple Dr, Los Angeles, TX 73223"/>
        <s v="5723 Pine Rd, San Francisco, FL 84862"/>
        <s v="8314 Main St, Sacramento, FL 62364"/>
        <s v="2597 Oak Ave, San Diego, FL 13373"/>
        <s v="4086 Main St, San Diego, IL 36566"/>
        <s v="8962 Main St, Sacramento, IL 57743"/>
        <s v="2878 Oak Ave, San Diego, TX 85988"/>
        <s v="4616 Main St, San Diego, IL 60251"/>
        <s v="5183 Pine Rd, Sacramento, TX 45058"/>
        <s v="2118 Maple Dr, Fresno, NY 40666"/>
        <s v="7108 Elm St, San Diego, NY 86716"/>
        <s v="4767 Pine Rd, Fresno, NY 99876"/>
        <s v="3719 Elm St, Sacramento, NY 96802"/>
        <s v="6140 Elm St, Fresno, FL 63939"/>
        <s v="4013 Pine Rd, Sacramento, TX 52085"/>
        <s v="5455 Main St, San Diego, TX 86478"/>
        <s v="5049 Oak Ave, Los Angeles, IL 49058"/>
        <s v="2529 Oak Ave, San Francisco, FL 44868"/>
        <s v="7864 Pine Rd, San Diego, TX 58644"/>
        <s v="2235 Main St, Sacramento, TX 80992"/>
        <s v="3045 Elm St, San Diego, IL 23325"/>
        <s v="5337 Pine Rd, San Francisco, CA 66767"/>
        <s v="4086 Pine Rd, San Diego, IL 98218"/>
        <s v="3583 Elm St, San Diego, NY 60212"/>
        <s v="3844 Oak Ave, Los Angeles, NY 88981"/>
        <s v="8487 Elm St, Sacramento, FL 56656"/>
        <s v="2108 Oak Ave, Los Angeles, FL 53119"/>
        <s v="3732 Pine Rd, Fresno, IL 67080"/>
        <s v="6363 Elm St, Fresno, IL 82157"/>
        <s v="8285 Maple Dr, San Diego, CA 65088"/>
        <s v="8043 Elm St, Fresno, NY 62786"/>
        <s v="4316 Maple Dr, San Francisco, CA 20246"/>
        <s v="9474 Maple Dr, San Diego, CA 14992"/>
        <s v="8386 Oak Ave, Sacramento, TX 28763"/>
        <s v="3086 Main St, San Diego, TX 44519"/>
        <s v="3941 Pine Rd, Fresno, IL 73698"/>
        <s v="8628 Elm St, San Francisco, NY 41619"/>
        <s v="622 Oak Ave, Sacramento, FL 24576"/>
        <s v="2981 Maple Dr, San Diego, NY 43051"/>
        <s v="5074 Maple Dr, San Diego, FL 55020"/>
        <s v="4584 Elm St, Los Angeles, CA 32456"/>
        <s v="2261 Maple Dr, Los Angeles, TX 43647"/>
        <s v="6138 Elm St, Sacramento, TX 42121"/>
        <s v="6821 Maple Dr, San Francisco, IL 38871"/>
        <s v="2744 Maple Dr, San Diego, TX 81109"/>
        <s v="9163 Elm St, Los Angeles, NY 75220"/>
        <s v="9579 Elm St, San Francisco, IL 43019"/>
        <s v="4358 Oak Ave, Los Angeles, TX 83809"/>
        <s v="6967 Pine Rd, Los Angeles, IL 63376"/>
        <s v="8927 Elm St, San Francisco, TX 36990"/>
        <s v="530 Maple Dr, San Francisco, FL 44583"/>
        <s v="3680 Oak Ave, Los Angeles, CA 40751"/>
        <s v="4253 Elm St, San Diego, TX 97190"/>
        <s v="810 Main St, Sacramento, CA 21289"/>
        <s v="1881 Oak Ave, San Diego, NY 39662"/>
        <s v="5344 Maple Dr, Sacramento, CA 44461"/>
        <s v="4048 Maple Dr, Fresno, FL 51510"/>
        <s v="6651 Main St, Sacramento, NY 86614"/>
        <s v="9142 Oak Ave, Los Angeles, NY 90761"/>
        <s v="9499 Main St, Sacramento, CA 36868"/>
        <s v="503 Elm St, San Francisco, CA 43832"/>
        <s v="438 Oak Ave, San Diego, CA 79772"/>
        <s v="7915 Maple Dr, Sacramento, FL 72455"/>
        <s v="884 Main St, Los Angeles, NY 72490"/>
        <s v="8942 Oak Ave, Fresno, IL 40800"/>
        <s v="6062 Oak Ave, Los Angeles, FL 64486"/>
        <s v="6107 Maple Dr, Fresno, NY 86255"/>
        <s v="1714 Pine Rd, Los Angeles, IL 22560"/>
        <s v="7037 Main St, Los Angeles, CA 39553"/>
        <s v="6177 Maple Dr, Fresno, IL 82632"/>
        <s v="777 Maple Dr, Fresno, NY 50553"/>
        <s v="163 Pine Rd, Sacramento, CA 38728"/>
        <s v="7665 Elm St, San Francisco, CA 43032"/>
        <s v="3201 Main St, Fresno, IL 60086"/>
        <s v="8769 Main St, San Diego, CA 93305"/>
        <s v="8712 Main St, San Francisco, NY 63758"/>
        <s v="8733 Oak Ave, Fresno, FL 64153"/>
        <s v="3242 Elm St, Los Angeles, TX 86392"/>
        <s v="220 Maple Dr, Sacramento, IL 87872"/>
        <s v="7338 Main St, Fresno, NY 58935"/>
        <s v="5599 Elm St, Los Angeles, CA 39632"/>
        <s v="1217 Pine Rd, Sacramento, IL 91711"/>
        <s v="2013 Main St, Sacramento, NY 19611"/>
        <s v="4871 Elm St, Los Angeles, FL 30850"/>
        <s v="8494 Maple Dr, Sacramento, IL 87329"/>
        <s v="4073 Oak Ave, Fresno, IL 73207"/>
        <s v="6888 Oak Ave, Los Angeles, IL 55515"/>
        <s v="9909 Elm St, San Francisco, NY 92035"/>
        <s v="3035 Main St, Los Angeles, FL 83930"/>
        <s v="2229 Oak Ave, Fresno, FL 67919"/>
        <s v="2311 Pine Rd, San Diego, TX 96081"/>
        <s v="2615 Elm St, Sacramento, CA 92484"/>
        <s v="8885 Elm St, Sacramento, CA 93008"/>
        <s v="2174 Elm St, Sacramento, TX 61576"/>
        <s v="3080 Oak Ave, San Francisco, TX 75902"/>
        <s v="6113 Elm St, Fresno, IL 33023"/>
        <s v="9494 Pine Rd, San Francisco, FL 60225"/>
        <s v="7169 Oak Ave, San Francisco, TX 56905"/>
        <s v="6808 Elm St, San Francisco, CA 33634"/>
        <s v="7479 Oak Ave, Sacramento, FL 85240"/>
        <s v="1742 Pine Rd, Fresno, IL 11818"/>
        <s v="3338 Pine Rd, Fresno, CA 20224"/>
        <s v="1884 Pine Rd, Los Angeles, NY 12662"/>
        <s v="9627 Maple Dr, Los Angeles, NY 95297"/>
        <s v="8970 Elm St, Sacramento, NY 24915"/>
        <s v="7863 Maple Dr, Fresno, FL 71486"/>
        <s v="2652 Maple Dr, Fresno, NY 30014"/>
        <s v="5659 Pine Rd, Sacramento, NY 37203"/>
        <s v="8450 Pine Rd, Los Angeles, IL 53697"/>
        <s v="4968 Elm St, Los Angeles, FL 27588"/>
        <s v="5456 Pine Rd, Sacramento, IL 65857"/>
        <s v="8756 Main St, Sacramento, TX 41371"/>
        <s v="6383 Maple Dr, Sacramento, IL 84496"/>
        <s v="8852 Main St, Los Angeles, CA 87781"/>
        <s v="5929 Oak Ave, Los Angeles, NY 99258"/>
        <s v="8417 Pine Rd, Fresno, CA 49968"/>
        <s v="7600 Main St, Sacramento, CA 16961"/>
        <s v="656 Pine Rd, Sacramento, IL 76660"/>
        <s v="8283 Maple Dr, Los Angeles, NY 44822"/>
        <s v="5412 Pine Rd, Fresno, NY 41174"/>
        <s v="4800 Elm St, Los Angeles, FL 86034"/>
        <s v="4210 Pine Rd, San Francisco, CA 15276"/>
        <s v="9076 Main St, Fresno, FL 71049"/>
        <s v="4960 Oak Ave, San Diego, CA 63640"/>
        <s v="8564 Main St, San Francisco, TX 64916"/>
        <s v="7196 Elm St, San Diego, IL 78460"/>
        <s v="7328 Main St, Los Angeles, FL 42734"/>
        <s v="4326 Pine Rd, Fresno, CA 35039"/>
        <s v="6496 Oak Ave, Los Angeles, CA 63071"/>
        <s v="2207 Elm St, San Francisco, FL 21233"/>
        <s v="8418 Oak Ave, San Francisco, FL 13360"/>
        <s v="2456 Maple Dr, San Francisco, NY 37047"/>
        <s v="7938 Oak Ave, Sacramento, CA 30852"/>
        <s v="728 Oak Ave, Fresno, IL 14649"/>
        <s v="2764 Maple Dr, San Francisco, IL 98660"/>
        <s v="2186 Pine Rd, Fresno, TX 74293"/>
        <s v="2337 Oak Ave, Fresno, TX 92901"/>
        <s v="5411 Main St, Sacramento, TX 66680"/>
        <s v="4911 Oak Ave, Sacramento, CA 56610"/>
        <s v="3106 Oak Ave, Fresno, IL 66989"/>
        <s v="4048 Pine Rd, Los Angeles, TX 28238"/>
        <s v="278 Pine Rd, Los Angeles, TX 47247"/>
        <s v="8804 Pine Rd, San Francisco, FL 82843"/>
        <s v="1338 Main St, Los Angeles, NY 64566"/>
        <s v="4964 Maple Dr, Los Angeles, IL 41219"/>
        <s v="3094 Main St, Sacramento, TX 49352"/>
        <s v="2237 Main St, Los Angeles, CA 47133"/>
        <s v="1418 Oak Ave, San Francisco, CA 79829"/>
        <s v="1895 Main St, Fresno, IL 64765"/>
        <s v="9153 Pine Rd, Los Angeles, FL 55537"/>
        <s v="3188 Maple Dr, Sacramento, NY 38529"/>
        <s v="1561 Oak Ave, San Francisco, FL 31671"/>
        <s v="2377 Main St, San Francisco, CA 35368"/>
        <s v="2749 Elm St, Los Angeles, CA 37017"/>
        <s v="8688 Main St, Los Angeles, FL 47278"/>
        <s v="4733 Pine Rd, San Diego, TX 34088"/>
        <s v="7585 Maple Dr, San Diego, TX 24971"/>
        <s v="3181 Elm St, Sacramento, TX 51838"/>
        <s v="5480 Maple Dr, Sacramento, IL 17843"/>
        <s v="2832 Elm St, Los Angeles, FL 32705"/>
        <s v="6025 Main St, Los Angeles, CA 84254"/>
        <s v="7011 Oak Ave, Fresno, FL 27071"/>
        <s v="7617 Elm St, Sacramento, NY 35774"/>
        <s v="9902 Pine Rd, San Diego, FL 96515"/>
        <s v="1815 Maple Dr, San Diego, IL 61427"/>
        <s v="6574 Oak Ave, Los Angeles, CA 42468"/>
        <s v="9840 Oak Ave, Los Angeles, CA 33549"/>
        <s v="4763 Maple Dr, Fresno, CA 90226"/>
        <s v="511 Main St, Fresno, IL 63613"/>
        <s v="6580 Main St, Los Angeles, CA 41858"/>
        <s v="4687 Oak Ave, Los Angeles, FL 57304"/>
        <s v="6465 Oak Ave, Fresno, NY 49075"/>
        <s v="2683 Elm St, San Diego, IL 63703"/>
        <s v="5939 Main St, Los Angeles, CA 84873"/>
        <s v="6210 Pine Rd, Fresno, FL 94589"/>
        <s v="7554 Elm St, Los Angeles, TX 30522"/>
        <s v="1356 Oak Ave, Los Angeles, NY 54046"/>
        <s v="2474 Pine Rd, Los Angeles, NY 57914"/>
        <s v="3109 Pine Rd, Fresno, TX 86690"/>
        <s v="3474 Elm St, Sacramento, IL 54592"/>
        <s v="3097 Main St, Los Angeles, TX 21619"/>
        <s v="4762 Maple Dr, San Francisco, CA 30494"/>
        <s v="2006 Maple Dr, San Francisco, NY 45954"/>
        <s v="6017 Maple Dr, Los Angeles, FL 82694"/>
        <s v="8027 Elm St, Los Angeles, TX 47247"/>
        <s v="6192 Pine Rd, Sacramento, TX 21178"/>
        <s v="2033 Oak Ave, San Francisco, TX 94550"/>
        <s v="7648 Maple Dr, San Diego, NY 22902"/>
        <s v="1099 Main St, San Diego, TX 57259"/>
        <s v="921 Elm St, Fresno, IL 60012"/>
        <s v="2771 Maple Dr, Los Angeles, FL 38144"/>
        <s v="6443 Pine Rd, San Diego, IL 14783"/>
        <s v="2307 Elm St, Fresno, TX 10536"/>
        <s v="3817 Elm St, San Francisco, IL 75630"/>
        <s v="7406 Maple Dr, San Diego, CA 42031"/>
        <s v="7399 Pine Rd, Fresno, TX 49505"/>
        <s v="8103 Oak Ave, San Diego, NY 10015"/>
        <s v="4057 Pine Rd, San Diego, FL 39622"/>
        <s v="2132 Oak Ave, Los Angeles, TX 10068"/>
        <s v="413 Main St, Fresno, CA 57401"/>
        <s v="6471 Main St, San Francisco, CA 16675"/>
        <s v="6653 Elm St, Sacramento, CA 73131"/>
        <s v="3423 Maple Dr, Fresno, TX 99071"/>
        <s v="5088 Elm St, Fresno, TX 75950"/>
        <s v="3460 Main St, San Francisco, TX 20397"/>
        <s v="3918 Oak Ave, Los Angeles, NY 13028"/>
        <s v="6096 Main St, San Francisco, TX 24068"/>
        <s v="209 Pine Rd, San Francisco, IL 88717"/>
        <s v="6513 Main St, Fresno, CA 49064"/>
        <s v="2983 Elm St, Fresno, NY 78518"/>
        <s v="5556 Pine Rd, Fresno, IL 69229"/>
        <s v="6636 Maple Dr, Los Angeles, CA 40641"/>
        <s v="6813 Pine Rd, Sacramento, FL 28063"/>
        <s v="8674 Elm St, San Francisco, CA 50263"/>
        <s v="8540 Maple Dr, Fresno, TX 41512"/>
        <s v="2267 Main St, San Diego, TX 80716"/>
        <s v="517 Maple Dr, San Diego, IL 48152"/>
        <s v="5225 Pine Rd, Los Angeles, FL 72880"/>
        <s v="9720 Elm St, Los Angeles, CA 56372"/>
        <s v="7791 Main St, Los Angeles, CA 54472"/>
        <s v="2960 Oak Ave, San Diego, TX 35221"/>
        <s v="3412 Pine Rd, Fresno, IL 44519"/>
        <s v="6631 Pine Rd, Los Angeles, IL 94687"/>
        <s v="2483 Pine Rd, San Francisco, TX 12129"/>
        <s v="4624 Maple Dr, Los Angeles, NY 53443"/>
        <s v="5196 Pine Rd, San Diego, TX 97974"/>
        <s v="1070 Elm St, San Diego, NY 76487"/>
        <s v="9755 Elm St, Fresno, TX 19568"/>
        <s v="9766 Main St, San Francisco, FL 15800"/>
        <s v="7305 Oak Ave, Los Angeles, FL 68966"/>
        <s v="2842 Maple Dr, Sacramento, NY 32713"/>
        <s v="3398 Pine Rd, Fresno, FL 59825"/>
        <s v="8842 Elm St, San Diego, FL 14756"/>
        <s v="6972 Maple Dr, Los Angeles, TX 93006"/>
        <s v="1767 Pine Rd, Sacramento, FL 54203"/>
        <s v="5417 Pine Rd, San Diego, FL 15937"/>
        <s v="3469 Main St, San Diego, IL 46465"/>
        <s v="7795 Maple Dr, Fresno, TX 35646"/>
        <s v="323 Elm St, Sacramento, CA 33180"/>
        <s v="5421 Pine Rd, San Francisco, CA 31860"/>
        <s v="7772 Maple Dr, San Francisco, TX 14091"/>
        <s v="2265 Main St, Fresno, CA 42023"/>
        <s v="6066 Maple Dr, Fresno, NY 36565"/>
        <s v="2552 Maple Dr, Fresno, CA 17469"/>
        <s v="1586 Pine Rd, Fresno, CA 52305"/>
        <s v="4633 Maple Dr, Sacramento, TX 14794"/>
        <s v="2604 Elm St, San Francisco, NY 72478"/>
        <s v="4383 Main St, Los Angeles, NY 98903"/>
        <s v="429 Elm St, Sacramento, NY 97192"/>
        <s v="9699 Main St, Sacramento, FL 98581"/>
        <s v="5552 Pine Rd, San Diego, TX 72949"/>
        <s v="7827 Main St, San Francisco, IL 90870"/>
        <s v="4557 Main St, Sacramento, FL 64643"/>
        <s v="9167 Elm St, Sacramento, NY 35537"/>
        <s v="839 Pine Rd, San Francisco, CA 52843"/>
        <s v="7492 Main St, Los Angeles, FL 41767"/>
        <s v="6567 Pine Rd, Sacramento, TX 31183"/>
        <s v="4151 Maple Dr, Sacramento, FL 93992"/>
        <s v="2859 Maple Dr, Sacramento, IL 79161"/>
        <s v="1233 Pine Rd, Sacramento, FL 21071"/>
        <s v="3206 Maple Dr, San Diego, TX 29957"/>
        <s v="5773 Elm St, Los Angeles, CA 16787"/>
        <s v="2748 Pine Rd, San Francisco, NY 71717"/>
        <s v="3197 Pine Rd, Sacramento, TX 63296"/>
        <s v="2944 Maple Dr, Los Angeles, CA 70574"/>
        <s v="3864 Main St, Los Angeles, CA 85350"/>
        <s v="4335 Oak Ave, San Diego, CA 27608"/>
        <s v="7079 Maple Dr, San Francisco, FL 51061"/>
        <s v="8140 Pine Rd, Sacramento, IL 88532"/>
        <s v="4042 Pine Rd, Sacramento, IL 96442"/>
        <s v="7484 Elm St, San Francisco, FL 36272"/>
        <s v="1885 Pine Rd, San Francisco, TX 74937"/>
        <s v="5560 Maple Dr, Sacramento, FL 41440"/>
        <s v="2963 Main St, Sacramento, NY 62542"/>
        <s v="4870 Pine Rd, Sacramento, FL 46081"/>
        <s v="4137 Elm St, San Francisco, CA 87215"/>
        <s v="9460 Maple Dr, Fresno, FL 95831"/>
        <s v="5971 Elm St, Los Angeles, FL 99142"/>
        <s v="7417 Pine Rd, Los Angeles, FL 34395"/>
        <s v="7412 Maple Dr, Los Angeles, CA 79755"/>
        <s v="3299 Oak Ave, Sacramento, IL 67956"/>
        <s v="2427 Pine Rd, Sacramento, TX 87399"/>
        <s v="1220 Oak Ave, San Francisco, TX 23668"/>
        <s v="151 Pine Rd, Los Angeles, NY 93832"/>
        <s v="6061 Oak Ave, Fresno, FL 86282"/>
        <s v="5956 Elm St, San Francisco, FL 58725"/>
        <s v="3803 Main St, Fresno, CA 80231"/>
        <s v="4121 Pine Rd, Fresno, CA 73201"/>
        <s v="5826 Pine Rd, San Diego, NY 69770"/>
        <s v="7138 Elm St, San Francisco, TX 99109"/>
        <s v="328 Elm St, San Diego, CA 39273"/>
        <s v="2826 Pine Rd, Los Angeles, TX 82851"/>
        <s v="2295 Elm St, San Francisco, IL 94122"/>
        <s v="7982 Elm St, San Francisco, CA 37653"/>
        <s v="7952 Main St, Fresno, FL 56386"/>
        <s v="5821 Oak Ave, San Francisco, NY 75563"/>
        <s v="7401 Elm St, San Diego, CA 51904"/>
        <s v="4669 Main St, Sacramento, IL 34748"/>
        <s v="9739 Main St, San Francisco, CA 12301"/>
        <s v="3635 Pine Rd, San Diego, FL 42128"/>
        <s v="289 Main St, San Francisco, NY 52335"/>
        <s v="8527 Maple Dr, San Diego, CA 39144"/>
        <s v="2261 Maple Dr, San Francisco, IL 77910"/>
        <s v="5550 Oak Ave, San Diego, TX 89949"/>
        <s v="7171 Maple Dr, Sacramento, TX 70846"/>
        <s v="7752 Elm St, Fresno, IL 22788"/>
        <s v="9370 Elm St, Sacramento, FL 15971"/>
        <s v="4165 Maple Dr, Fresno, IL 14836"/>
        <s v="5576 Oak Ave, Fresno, TX 29671"/>
        <s v="1742 Elm St, San Francisco, NY 11212"/>
        <s v="6714 Main St, Fresno, TX 57184"/>
        <s v="6046 Oak Ave, Fresno, FL 75339"/>
        <s v="909 Oak Ave, San Diego, CA 81965"/>
        <s v="6433 Oak Ave, San Francisco, TX 69022"/>
        <s v="4585 Oak Ave, Los Angeles, CA 25354"/>
        <s v="9892 Oak Ave, San Diego, IL 68572"/>
        <s v="3884 Oak Ave, Fresno, FL 74333"/>
        <s v="4381 Elm St, San Francisco, TX 40214"/>
        <s v="2266 Main St, Fresno, IL 63614"/>
        <s v="4148 Main St, Los Angeles, IL 49498"/>
        <s v="2879 Maple Dr, Los Angeles, CA 78041"/>
        <s v="8766 Pine Rd, San Diego, TX 68659"/>
        <s v="8080 Maple Dr, Los Angeles, TX 21255"/>
        <s v="4619 Pine Rd, San Francisco, NY 54069"/>
        <s v="3727 Pine Rd, San Diego, IL 15359"/>
        <s v="4467 Oak Ave, Fresno, IL 71256"/>
        <s v="3262 Elm St, San Diego, TX 56546"/>
        <s v="1467 Maple Dr, San Diego, TX 70440"/>
        <s v="2940 Main St, Los Angeles, NY 59917"/>
        <s v="4765 Oak Ave, San Diego, IL 87567"/>
        <s v="5513 Main St, San Diego, TX 64486"/>
        <s v="9389 Main St, Los Angeles, CA 83219"/>
        <s v="3455 Elm St, San Francisco, FL 89048"/>
        <s v="6794 Pine Rd, Fresno, IL 92296"/>
        <s v="179 Elm St, San Francisco, IL 29177"/>
        <s v="6043 Main St, Sacramento, CA 48888"/>
        <s v="5815 Oak Ave, Fresno, CA 75286"/>
        <s v="7901 Oak Ave, Los Angeles, FL 57691"/>
        <s v="6814 Main St, Fresno, CA 78123"/>
        <s v="4843 Oak Ave, San Diego, IL 25581"/>
        <s v="7859 Oak Ave, San Francisco, NY 73076"/>
        <s v="3565 Main St, Los Angeles, NY 15899"/>
        <s v="7682 Oak Ave, San Diego, IL 49351"/>
        <s v="7255 Oak Ave, San Francisco, TX 60062"/>
        <s v="6785 Pine Rd, Los Angeles, IL 13121"/>
        <s v="6172 Oak Ave, Fresno, TX 93308"/>
        <s v="6842 Elm St, Fresno, TX 89787"/>
        <s v="2457 Pine Rd, San Diego, CA 69013"/>
        <s v="2649 Elm St, Los Angeles, CA 36484"/>
        <s v="5661 Pine Rd, San Francisco, IL 14524"/>
        <s v="4622 Pine Rd, San Francisco, NY 68864"/>
        <s v="4655 Main St, Los Angeles, TX 13032"/>
        <s v="1126 Elm St, Fresno, CA 91225"/>
        <s v="1310 Main St, San Francisco, FL 22910"/>
        <s v="4158 Elm St, Fresno, FL 33153"/>
        <s v="959 Main St, San Diego, TX 38395"/>
        <s v="1308 Elm St, Sacramento, NY 64385"/>
        <s v="9134 Elm St, San Francisco, FL 35493"/>
        <s v="4863 Elm St, San Diego, TX 89979"/>
        <s v="5021 Pine Rd, Fresno, NY 24152"/>
        <s v="5952 Elm St, Sacramento, FL 22414"/>
        <s v="6832 Pine Rd, Los Angeles, NY 19656"/>
        <s v="2974 Elm St, San Francisco, CA 80773"/>
        <s v="831 Elm St, San Diego, NY 42327"/>
        <s v="7229 Oak Ave, Fresno, FL 60346"/>
        <s v="6203 Elm St, San Diego, FL 24359"/>
        <s v="7160 Pine Rd, Los Angeles, IL 26190"/>
        <s v="2266 Main St, San Diego, IL 67088"/>
        <s v="796 Pine Rd, Sacramento, TX 13557"/>
        <s v="4672 Pine Rd, San Francisco, IL 45797"/>
        <s v="9498 Elm St, Sacramento, IL 50963"/>
        <s v="7754 Main St, San Diego, CA 38624"/>
        <s v="4694 Elm St, Fresno, TX 87047"/>
        <s v="1113 Main St, Sacramento, NY 35587"/>
        <s v="2353 Maple Dr, San Francisco, FL 73490"/>
        <s v="5810 Main St, San Diego, NY 71253"/>
        <s v="8038 Maple Dr, Sacramento, TX 44938"/>
        <s v="2405 Elm St, Sacramento, CA 43399"/>
        <s v="9731 Main St, Sacramento, CA 44942"/>
        <s v="7840 Maple Dr, Sacramento, NY 79679"/>
        <s v="8843 Oak Ave, Los Angeles, TX 35408"/>
        <s v="2502 Oak Ave, Los Angeles, IL 52754"/>
        <s v="3146 Main St, San Francisco, NY 59991"/>
        <s v="3911 Pine Rd, San Diego, IL 65240"/>
        <s v="2198 Elm St, San Diego, FL 89898"/>
        <s v="7063 Maple Dr, Los Angeles, NY 86802"/>
        <s v="7828 Oak Ave, Los Angeles, NY 86926"/>
        <s v="8658 Pine Rd, Fresno, NY 22296"/>
        <s v="2239 Main St, Fresno, IL 87610"/>
        <s v="8555 Pine Rd, San Diego, FL 86871"/>
        <s v="9987 Main St, San Francisco, NY 51805"/>
        <s v="2261 Maple Dr, Fresno, IL 60525"/>
        <s v="1560 Oak Ave, Los Angeles, IL 83882"/>
        <s v="178 Oak Ave, Los Angeles, CA 57464"/>
        <s v="2087 Maple Dr, San Francisco, NY 55776"/>
        <s v="6326 Maple Dr, San Diego, FL 62730"/>
        <s v="567 Maple Dr, Los Angeles, CA 30028"/>
        <s v="9693 Main St, Sacramento, IL 85906"/>
        <s v="528 Pine Rd, Los Angeles, FL 62853"/>
        <s v="9511 Pine Rd, Los Angeles, NY 35374"/>
        <s v="1374 Main St, Los Angeles, NY 86128"/>
        <s v="5957 Oak Ave, San Diego, IL 31284"/>
        <s v="4605 Oak Ave, San Diego, TX 28207"/>
        <s v="4606 Pine Rd, Los Angeles, NY 70569"/>
        <s v="584 Pine Rd, Fresno, CA 59274"/>
        <s v="9645 Main St, San Francisco, TX 39748"/>
        <s v="3577 Maple Dr, Fresno, IL 97298"/>
        <s v="788 Pine Rd, San Diego, NY 21933"/>
        <s v="3066 Main St, Sacramento, IL 72103"/>
        <s v="3325 Elm St, San Diego, NY 30325"/>
        <s v="2813 Oak Ave, San Diego, NY 87954"/>
        <s v="8685 Pine Rd, Los Angeles, IL 43975"/>
        <s v="6610 Elm St, Los Angeles, NY 82594"/>
        <s v="809 Oak Ave, San Diego, CA 90159"/>
        <s v="565 Main St, Sacramento, NY 51702"/>
        <s v="8747 Maple Dr, Los Angeles, IL 29255"/>
        <s v="8071 Pine Rd, Sacramento, TX 25138"/>
        <s v="2090 Pine Rd, San Diego, IL 86775"/>
        <s v="3542 Main St, San Francisco, FL 28779"/>
        <s v="9301 Main St, San Diego, FL 41974"/>
        <s v="644 Maple Dr, San Francisco, TX 46390"/>
        <s v="8733 Pine Rd, San Francisco, IL 37799"/>
        <s v="8751 Maple Dr, San Diego, NY 82664"/>
        <s v="9048 Pine Rd, San Diego, CA 17279"/>
        <s v="4521 Maple Dr, San Francisco, TX 58087"/>
        <s v="2815 Oak Ave, Los Angeles, CA 96815"/>
        <s v="7261 Elm St, San Diego, NY 98880"/>
        <s v="8923 Main St, Sacramento, TX 97988"/>
        <s v="2180 Main St, San Francisco, TX 85803"/>
        <s v="4933 Pine Rd, San Diego, TX 92796"/>
        <s v="2830 Oak Ave, Fresno, NY 43605"/>
        <s v="3330 Oak Ave, San Diego, TX 72741"/>
        <s v="8154 Maple Dr, Los Angeles, NY 30810"/>
        <s v="2595 Maple Dr, Los Angeles, IL 27723"/>
        <s v="5501 Maple Dr, Fresno, CA 79516"/>
        <s v="2288 Pine Rd, San Francisco, NY 57725"/>
        <s v="6048 Oak Ave, San Diego, CA 74406"/>
        <s v="7221 Pine Rd, Sacramento, TX 69180"/>
        <s v="8610 Pine Rd, Fresno, CA 54737"/>
        <s v="5776 Maple Dr, Los Angeles, NY 38615"/>
        <s v="3753 Maple Dr, San Francisco, IL 84376"/>
        <s v="6417 Elm St, San Francisco, TX 18384"/>
        <s v="5266 Maple Dr, Sacramento, CA 47481"/>
        <s v="2009 Elm St, San Francisco, TX 55834"/>
        <s v="7837 Pine Rd, San Francisco, NY 50636"/>
        <s v="983 Elm St, Fresno, CA 23016"/>
        <s v="8687 Maple Dr, Fresno, CA 89688"/>
        <s v="9942 Main St, Sacramento, TX 93874"/>
        <s v="4816 Oak Ave, Fresno, FL 44922"/>
        <s v="134 Pine Rd, Los Angeles, CA 43095"/>
        <s v="2154 Main St, San Francisco, IL 16179"/>
        <s v="2996 Elm St, Fresno, NY 57171"/>
        <s v="4858 Maple Dr, Los Angeles, CA 41408"/>
        <s v="3832 Main St, Los Angeles, TX 76192"/>
        <s v="4973 Maple Dr, Fresno, TX 84482"/>
        <s v="156 Maple Dr, San Diego, FL 84340"/>
        <s v="1075 Oak Ave, Fresno, IL 81291"/>
        <s v="9149 Main St, San Diego, CA 24019"/>
        <s v="3623 Pine Rd, Los Angeles, TX 98287"/>
        <s v="4282 Main St, San Diego, FL 95381"/>
        <s v="826 Oak Ave, Sacramento, IL 67024"/>
        <s v="1946 Elm St, Fresno, FL 85937"/>
        <s v="5506 Elm St, San Francisco, NY 81044"/>
        <s v="7105 Pine Rd, Los Angeles, FL 19164"/>
        <s v="2719 Main St, Fresno, IL 65847"/>
        <s v="637 Pine Rd, Sacramento, NY 67076"/>
        <s v="6694 Main St, San Diego, TX 18270"/>
        <s v="3118 Oak Ave, Sacramento, TX 48621"/>
        <s v="9936 Elm St, San Diego, TX 34479"/>
        <s v="4349 Maple Dr, Fresno, IL 19237"/>
        <s v="9326 Maple Dr, Sacramento, TX 47603"/>
        <s v="727 Oak Ave, San Francisco, FL 35848"/>
        <s v="4273 Oak Ave, San Francisco, FL 90716"/>
        <s v="4590 Maple Dr, Sacramento, TX 77443"/>
        <s v="1008 Pine Rd, Sacramento, CA 36321"/>
        <s v="6213 Elm St, Fresno, NY 52083"/>
        <s v="8659 Main St, Sacramento, FL 48318"/>
        <s v="6181 Main St, Fresno, NY 10445"/>
        <s v="4571 Pine Rd, Sacramento, IL 60698"/>
        <s v="9681 Main St, Sacramento, IL 41117"/>
        <s v="4648 Oak Ave, Sacramento, IL 51738"/>
        <s v="3779 Pine Rd, San Diego, IL 63000"/>
        <s v="1969 Elm St, San Francisco, FL 53861"/>
        <s v="5797 Maple Dr, Los Angeles, CA 65443"/>
        <s v="8269 Pine Rd, Fresno, TX 77172"/>
        <s v="9947 Maple Dr, Fresno, TX 41173"/>
        <s v="4642 Main St, Sacramento, TX 91718"/>
        <s v="8351 Pine Rd, Fresno, NY 16603"/>
        <s v="6801 Elm St, Los Angeles, CA 35510"/>
        <s v="3701 Pine Rd, Sacramento, FL 92176"/>
        <s v="452 Maple Dr, Sacramento, TX 83045"/>
        <s v="6286 Maple Dr, Fresno, CA 15309"/>
        <s v="4086 Maple Dr, San Diego, NY 61047"/>
        <s v="4722 Main St, Sacramento, CA 58637"/>
        <s v="4286 Main St, San Diego, FL 29963"/>
        <s v="7664 Maple Dr, San Francisco, FL 79247"/>
        <s v="6005 Main St, Sacramento, NY 85493"/>
        <s v="751 Elm St, Fresno, CA 60679"/>
        <s v="2351 Maple Dr, Fresno, NY 46679"/>
        <s v="6623 Elm St, San Francisco, CA 61938"/>
        <s v="6245 Maple Dr, Los Angeles, TX 10450"/>
        <s v="429 Pine Rd, Los Angeles, NY 22716"/>
        <s v="5832 Oak Ave, Los Angeles, CA 29157"/>
        <s v="3026 Oak Ave, San Diego, NY 59726"/>
        <s v="3760 Elm St, San Diego, NY 91619"/>
        <s v="6119 Main St, San Francisco, TX 85729"/>
        <s v="3781 Main St, San Francisco, IL 22633"/>
        <s v="4778 Oak Ave, San Francisco, NY 46688"/>
        <s v="5114 Oak Ave, San Diego, CA 33706"/>
        <s v="8215 Pine Rd, Sacramento, NY 95684"/>
        <s v="7223 Pine Rd, Los Angeles, TX 72653"/>
        <s v="4569 Main St, Los Angeles, FL 20558"/>
        <s v="747 Pine Rd, San Diego, TX 63355"/>
        <s v="6195 Elm St, Los Angeles, CA 78697"/>
        <s v="7015 Main St, Los Angeles, NY 12354"/>
        <s v="1862 Elm St, Sacramento, CA 74852"/>
        <s v="1571 Pine Rd, San Diego, CA 95539"/>
        <s v="974 Elm St, Sacramento, TX 68089"/>
        <s v="1732 Maple Dr, Sacramento, TX 12493"/>
        <s v="6278 Pine Rd, Sacramento, FL 35806"/>
        <s v="1557 Elm St, Fresno, CA 93941"/>
        <s v="4195 Pine Rd, Los Angeles, TX 70880"/>
        <s v="8192 Maple Dr, San Francisco, FL 83451"/>
        <s v="1383 Pine Rd, Los Angeles, FL 85992"/>
        <s v="1573 Maple Dr, Los Angeles, NY 52078"/>
        <s v="9361 Maple Dr, San Francisco, FL 62173"/>
        <s v="5129 Maple Dr, San Francisco, FL 91060"/>
        <s v="2286 Pine Rd, Los Angeles, TX 94702"/>
        <s v="2802 Pine Rd, Sacramento, CA 85944"/>
        <s v="5908 Oak Ave, Los Angeles, TX 78842"/>
        <s v="2391 Maple Dr, San Diego, FL 41350"/>
        <s v="4931 Pine Rd, Fresno, NY 68184"/>
        <s v="1481 Main St, Los Angeles, CA 17314"/>
        <s v="7919 Elm St, San Diego, CA 30843"/>
        <s v="7439 Main St, San Francisco, IL 52827"/>
        <s v="5237 Elm St, San Francisco, FL 27987"/>
        <s v="941 Pine Rd, San Diego, IL 70311"/>
        <s v="8506 Pine Rd, San Francisco, NY 66386"/>
        <s v="6493 Oak Ave, San Francisco, IL 72524"/>
        <s v="9850 Pine Rd, Sacramento, CA 39890"/>
        <s v="2603 Elm St, Fresno, IL 60647"/>
        <s v="2659 Elm St, Los Angeles, FL 42154"/>
        <s v="5391 Elm St, San Diego, IL 57800"/>
        <s v="4809 Main St, San Francisco, NY 96346"/>
        <s v="7791 Main St, Fresno, IL 94609"/>
        <s v="3124 Elm St, Fresno, TX 57526"/>
        <s v="2086 Oak Ave, Fresno, TX 19350"/>
        <s v="1085 Elm St, San Diego, CA 11839"/>
        <s v="4561 Maple Dr, Fresno, NY 68236"/>
        <s v="6079 Maple Dr, Los Angeles, CA 65697"/>
        <s v="6474 Pine Rd, Sacramento, TX 71127"/>
        <s v="3064 Main St, Los Angeles, TX 84106"/>
        <s v="3013 Pine Rd, San Francisco, NY 96680"/>
        <s v="3015 Pine Rd, Sacramento, TX 89343"/>
        <s v="1710 Maple Dr, San Francisco, IL 86526"/>
        <s v="1443 Elm St, Fresno, FL 12119"/>
        <s v="2632 Maple Dr, San Francisco, CA 12052"/>
        <s v="6913 Main St, San Francisco, TX 20864"/>
        <s v="4565 Main St, San Diego, CA 53653"/>
        <s v="5949 Main St, Los Angeles, TX 37076"/>
        <s v="1854 Elm St, Los Angeles, CA 16323"/>
        <s v="9500 Pine Rd, San Diego, NY 51574"/>
        <s v="9023 Elm St, Sacramento, IL 23654"/>
        <s v="3425 Pine Rd, San Francisco, FL 64894"/>
        <s v="2365 Main St, San Diego, FL 78547"/>
        <s v="8489 Main St, San Diego, CA 50413"/>
        <s v="124 Oak Ave, Los Angeles, TX 43488"/>
        <s v="5415 Pine Rd, Los Angeles, NY 83167"/>
        <s v="7085 Oak Ave, San Diego, CA 85233"/>
        <s v="1838 Maple Dr, San Diego, NY 81930"/>
        <s v="5155 Maple Dr, San Diego, NY 21470"/>
        <s v="1876 Main St, Fresno, CA 28493"/>
        <s v="3883 Main St, San Diego, FL 25609"/>
        <s v="7218 Maple Dr, Los Angeles, NY 61827"/>
        <s v="4907 Oak Ave, San Francisco, CA 33365"/>
        <s v="3284 Oak Ave, Los Angeles, NY 45361"/>
        <s v="4949 Main St, San Diego, FL 38507"/>
        <s v="9687 Pine Rd, San Francisco, FL 12418"/>
        <s v="6668 Pine Rd, Fresno, CA 67436"/>
        <s v="7730 Oak Ave, San Diego, CA 62921"/>
        <s v="4117 Main St, Los Angeles, NY 91478"/>
        <s v="9514 Maple Dr, Sacramento, CA 18472"/>
        <s v="316 Main St, San Francisco, CA 13622"/>
        <s v="9475 Pine Rd, Sacramento, NY 86627"/>
        <s v="5897 Maple Dr, Fresno, IL 17428"/>
        <s v="8874 Main St, San Diego, CA 22847"/>
        <s v="2628 Oak Ave, Fresno, FL 42583"/>
        <s v="3015 Pine Rd, San Diego, CA 79001"/>
        <s v="8612 Elm St, Los Angeles, IL 38102"/>
        <s v="9917 Oak Ave, Los Angeles, FL 87189"/>
        <s v="4274 Oak Ave, San Diego, NY 88281"/>
        <s v="167 Maple Dr, Fresno, TX 97184"/>
        <s v="4340 Maple Dr, San Diego, CA 86089"/>
        <s v="6651 Pine Rd, San Diego, FL 78715"/>
        <s v="8619 Oak Ave, Sacramento, FL 45908"/>
        <s v="5994 Elm St, Fresno, CA 66545"/>
        <s v="8845 Main St, Fresno, CA 55323"/>
        <s v="6060 Oak Ave, Sacramento, IL 27961"/>
        <s v="9052 Pine Rd, San Diego, NY 97516"/>
        <s v="9957 Pine Rd, Los Angeles, NY 35740"/>
        <s v="1699 Main St, San Diego, TX 59765"/>
        <s v="8794 Maple Dr, San Diego, CA 16266"/>
        <s v="4067 Elm St, San Francisco, CA 70948"/>
        <s v="689 Main St, Sacramento, CA 37474"/>
        <s v="1180 Main St, San Diego, CA 33017"/>
        <s v="5295 Main St, San Diego, NY 84715"/>
        <s v="2986 Maple Dr, Los Angeles, TX 64025"/>
        <s v="8602 Main St, San Francisco, IL 44229"/>
        <s v="1953 Main St, Sacramento, CA 84786"/>
        <s v="2538 Oak Ave, Sacramento, NY 76941"/>
        <s v="234 Maple Dr, San Diego, FL 46459"/>
        <s v="7909 Oak Ave, Fresno, CA 19720"/>
        <s v="7331 Oak Ave, Fresno, CA 54345"/>
        <s v="740 Pine Rd, Fresno, TX 63407"/>
        <s v="1440 Pine Rd, San Francisco, TX 68029"/>
        <s v="2962 Elm St, Los Angeles, NY 81118"/>
        <s v="2009 Oak Ave, San Diego, IL 70204"/>
        <s v="8371 Oak Ave, San Diego, NY 61819"/>
        <s v="2749 Oak Ave, Sacramento, NY 57772"/>
        <s v="417 Main St, Los Angeles, FL 52466"/>
        <s v="3996 Elm St, Fresno, CA 24208"/>
        <s v="928 Pine Rd, San Francisco, TX 21351"/>
        <s v="4344 Elm St, Fresno, TX 37227"/>
        <s v="7320 Main St, San Diego, CA 42663"/>
        <s v="7644 Elm St, San Diego, FL 76522"/>
        <s v="6158 Oak Ave, Sacramento, CA 20843"/>
        <s v="7256 Main St, Los Angeles, FL 27616"/>
        <s v="965 Pine Rd, San Diego, IL 49096"/>
        <s v="6607 Oak Ave, San Francisco, TX 22618"/>
        <s v="2573 Main St, Fresno, TX 46959"/>
        <s v="2126 Maple Dr, Fresno, NY 39662"/>
        <s v="2407 Oak Ave, San Francisco, NY 36464"/>
        <s v="4065 Maple Dr, San Diego, FL 52128"/>
        <s v="9228 Pine Rd, Fresno, NY 42379"/>
        <s v="346 Main St, Los Angeles, FL 44474"/>
        <s v="7228 Elm St, Fresno, CA 67379"/>
        <s v="3349 Oak Ave, Fresno, NY 48074"/>
        <s v="4293 Maple Dr, San Francisco, CA 10863"/>
        <s v="1892 Main St, Los Angeles, FL 89715"/>
        <s v="7997 Main St, San Francisco, NY 12985"/>
        <s v="2283 Elm St, San Diego, IL 10072"/>
        <s v="3177 Oak Ave, San Diego, FL 65642"/>
        <s v="2226 Oak Ave, Los Angeles, CA 76215"/>
        <s v="7445 Maple Dr, Los Angeles, CA 89565"/>
        <s v="2230 Elm St, Fresno, CA 14363"/>
        <s v="4083 Oak Ave, Sacramento, NY 82942"/>
        <s v="171 Elm St, Fresno, TX 86778"/>
        <s v="3049 Elm St, Sacramento, IL 99272"/>
        <s v="7292 Elm St, San Diego, CA 80202"/>
        <s v="7036 Elm St, Sacramento, IL 22289"/>
        <s v="3944 Pine Rd, Los Angeles, TX 98154"/>
        <s v="8961 Oak Ave, Fresno, TX 46047"/>
        <s v="4977 Maple Dr, Los Angeles, CA 25852"/>
        <s v="1883 Maple Dr, San Francisco, IL 51041"/>
        <s v="7636 Elm St, Sacramento, NY 73820"/>
        <s v="5566 Pine Rd, Fresno, FL 71572"/>
        <s v="2565 Maple Dr, Los Angeles, IL 23601"/>
        <s v="7760 Main St, Sacramento, FL 36164"/>
        <s v="5772 Maple Dr, Los Angeles, IL 85231"/>
        <s v="6608 Oak Ave, Sacramento, TX 96179"/>
        <s v="4681 Pine Rd, San Diego, CA 47565"/>
        <s v="6567 Elm St, Sacramento, CA 98321"/>
        <s v="3889 Elm St, San Diego, FL 34347"/>
        <s v="6859 Main St, San Diego, NY 97588"/>
        <s v="2630 Oak Ave, Sacramento, TX 27878"/>
        <s v="3012 Oak Ave, Sacramento, NY 87245"/>
        <s v="3802 Elm St, San Diego, FL 15561"/>
        <s v="9868 Pine Rd, San Francisco, NY 55455"/>
        <s v="8268 Oak Ave, Fresno, FL 55613"/>
        <s v="3086 Pine Rd, San Diego, FL 32402"/>
        <s v="7125 Maple Dr, San Diego, CA 13109"/>
        <s v="1822 Main St, Sacramento, TX 36593"/>
        <s v="7481 Main St, Fresno, FL 13536"/>
        <s v="9168 Elm St, Los Angeles, NY 47085"/>
        <s v="3181 Pine Rd, San Francisco, CA 30879"/>
        <s v="6706 Pine Rd, Fresno, CA 72047"/>
        <s v="3025 Pine Rd, Fresno, NY 44872"/>
        <s v="6460 Main St, San Diego, TX 96424"/>
        <s v="3884 Elm St, San Diego, FL 31413"/>
        <s v="1001 Main St, San Diego, CA 16818"/>
        <s v="9657 Pine Rd, Sacramento, TX 35544"/>
        <s v="2710 Oak Ave, Sacramento, IL 20235"/>
        <s v="8408 Elm St, Sacramento, TX 36212"/>
        <s v="8467 Pine Rd, Sacramento, NY 40627"/>
        <s v="521 Pine Rd, San Francisco, FL 67386"/>
        <s v="1993 Maple Dr, Fresno, IL 38811"/>
        <s v="2449 Maple Dr, Los Angeles, TX 10491"/>
        <s v="6430 Main St, Sacramento, CA 48995"/>
        <s v="7437 Maple Dr, Fresno, NY 44244"/>
        <s v="8608 Pine Rd, Los Angeles, TX 28140"/>
        <s v="4639 Elm St, Sacramento, FL 96257"/>
        <s v="3099 Pine Rd, San Francisco, FL 57075"/>
        <s v="1296 Oak Ave, San Francisco, NY 20228"/>
        <s v="3087 Elm St, San Francisco, NY 81096"/>
        <s v="8100 Maple Dr, Fresno, CA 59919"/>
        <s v="5600 Main St, Fresno, IL 76431"/>
        <s v="1883 Main St, San Diego, TX 78722"/>
        <s v="7952 Oak Ave, San Francisco, NY 54506"/>
        <s v="8696 Oak Ave, Sacramento, NY 91219"/>
        <s v="5026 Maple Dr, Los Angeles, TX 36687"/>
        <s v="2519 Pine Rd, Fresno, FL 97893"/>
        <s v="1402 Pine Rd, San Diego, IL 69637"/>
        <s v="2690 Elm St, San Francisco, TX 64803"/>
        <s v="956 Main St, Fresno, CA 94503"/>
        <s v="9868 Elm St, Fresno, FL 36635"/>
        <s v="9447 Elm St, Sacramento, TX 59416"/>
        <s v="8085 Elm St, Los Angeles, IL 79542"/>
        <s v="5331 Elm St, San Francisco, CA 25725"/>
        <s v="9196 Pine Rd, San Francisco, CA 42585"/>
        <s v="8600 Maple Dr, Fresno, FL 11217"/>
        <s v="6679 Elm St, San Francisco, IL 76081"/>
        <s v="3930 Pine Rd, Los Angeles, TX 95141"/>
        <s v="8294 Elm St, San Diego, FL 36770"/>
        <s v="6474 Maple Dr, San Diego, TX 74466"/>
        <s v="6715 Main St, Sacramento, NY 35803"/>
        <s v="7281 Pine Rd, San Diego, IL 94424"/>
        <s v="6660 Main St, Los Angeles, IL 38506"/>
        <s v="1950 Oak Ave, Los Angeles, IL 64432"/>
        <s v="7914 Elm St, Los Angeles, TX 65534"/>
        <s v="3099 Elm St, Los Angeles, NY 84171"/>
        <s v="6707 Maple Dr, Fresno, IL 91496"/>
        <s v="4892 Oak Ave, San Francisco, NY 67187"/>
        <s v="9228 Maple Dr, Los Angeles, IL 50359"/>
        <s v="8692 Pine Rd, San Diego, IL 52545"/>
        <s v="3371 Main St, Sacramento, IL 22390"/>
        <s v="2072 Main St, Sacramento, CA 13327"/>
        <s v="497 Maple Dr, Fresno, IL 59014"/>
        <s v="4608 Main St, San Francisco, NY 83512"/>
        <s v="5580 Main St, Fresno, FL 82252"/>
        <s v="4160 Elm St, Fresno, NY 52313"/>
        <s v="9901 Elm St, San Diego, IL 41905"/>
        <s v="9748 Pine Rd, San Diego, TX 31755"/>
        <s v="8338 Oak Ave, San Francisco, TX 22545"/>
        <s v="9758 Main St, Sacramento, FL 27085"/>
        <s v="5906 Elm St, San Diego, NY 62862"/>
        <s v="4408 Pine Rd, Fresno, NY 62544"/>
        <s v="2923 Maple Dr, Los Angeles, NY 72696"/>
        <s v="9582 Pine Rd, Sacramento, CA 96358"/>
        <s v="6576 Oak Ave, San Diego, IL 25597"/>
        <s v="3056 Elm St, San Diego, IL 35123"/>
        <s v="9040 Pine Rd, Sacramento, IL 80471"/>
        <s v="4167 Oak Ave, San Diego, TX 78499"/>
        <s v="5606 Pine Rd, Sacramento, CA 39627"/>
        <s v="241 Elm St, Fresno, TX 46489"/>
        <s v="8683 Main St, San Diego, TX 99740"/>
        <s v="4392 Maple Dr, Los Angeles, NY 89198"/>
      </sharedItems>
    </cacheField>
    <cacheField name="City" numFmtId="0">
      <sharedItems>
        <s v="San Diego"/>
        <s v="Fresno"/>
        <s v="Sacramento"/>
        <s v="Los Angeles"/>
        <s v="San Francisco"/>
      </sharedItems>
    </cacheField>
    <cacheField name="Zipcode" numFmtId="0">
      <sharedItems containsSemiMixedTypes="0" containsString="0" containsNumber="1" containsInteger="1">
        <n v="65383.0"/>
        <n v="47843.0"/>
        <n v="87393.0"/>
        <n v="12937.0"/>
        <n v="23989.0"/>
        <n v="71318.0"/>
        <n v="57421.0"/>
        <n v="64361.0"/>
        <n v="13227.0"/>
        <n v="57397.0"/>
        <n v="70072.0"/>
        <n v="60495.0"/>
        <n v="91395.0"/>
        <n v="28568.0"/>
        <n v="79620.0"/>
        <n v="63853.0"/>
        <n v="57513.0"/>
        <n v="17359.0"/>
        <n v="11690.0"/>
        <n v="97442.0"/>
        <n v="12888.0"/>
        <n v="63443.0"/>
        <n v="37362.0"/>
        <n v="33081.0"/>
        <n v="16851.0"/>
        <n v="31581.0"/>
        <n v="73665.0"/>
        <n v="45375.0"/>
        <n v="25618.0"/>
        <n v="11309.0"/>
        <n v="74703.0"/>
        <n v="19858.0"/>
        <n v="93752.0"/>
        <n v="61325.0"/>
        <n v="44242.0"/>
        <n v="65902.0"/>
        <n v="70313.0"/>
        <n v="59381.0"/>
        <n v="22610.0"/>
        <n v="89328.0"/>
        <n v="57088.0"/>
        <n v="35239.0"/>
        <n v="66947.0"/>
        <n v="70379.0"/>
        <n v="37297.0"/>
        <n v="71862.0"/>
        <n v="54468.0"/>
        <n v="40064.0"/>
        <n v="54502.0"/>
        <n v="67573.0"/>
        <n v="39228.0"/>
        <n v="25964.0"/>
        <n v="61792.0"/>
        <n v="91305.0"/>
        <n v="79089.0"/>
        <n v="69291.0"/>
        <n v="88366.0"/>
        <n v="97624.0"/>
        <n v="87038.0"/>
        <n v="71760.0"/>
        <n v="60339.0"/>
        <n v="47852.0"/>
        <n v="20582.0"/>
        <n v="87797.0"/>
        <n v="17654.0"/>
        <n v="76220.0"/>
        <n v="27909.0"/>
        <n v="11996.0"/>
        <n v="99388.0"/>
        <n v="74756.0"/>
        <n v="36251.0"/>
        <n v="95641.0"/>
        <n v="63085.0"/>
        <n v="23864.0"/>
        <n v="52256.0"/>
        <n v="83545.0"/>
        <n v="39506.0"/>
        <n v="98587.0"/>
        <n v="76056.0"/>
        <n v="55101.0"/>
        <n v="35654.0"/>
        <n v="28260.0"/>
        <n v="24367.0"/>
        <n v="37372.0"/>
        <n v="91628.0"/>
        <n v="11097.0"/>
        <n v="48078.0"/>
        <n v="72733.0"/>
        <n v="48984.0"/>
        <n v="19420.0"/>
        <n v="93992.0"/>
        <n v="94674.0"/>
        <n v="60724.0"/>
        <n v="80299.0"/>
        <n v="63039.0"/>
        <n v="88108.0"/>
        <n v="73437.0"/>
        <n v="85891.0"/>
        <n v="61514.0"/>
        <n v="84532.0"/>
        <n v="66497.0"/>
        <n v="79869.0"/>
        <n v="87642.0"/>
        <n v="55033.0"/>
        <n v="59136.0"/>
        <n v="80680.0"/>
        <n v="55266.0"/>
        <n v="85581.0"/>
        <n v="35785.0"/>
        <n v="83599.0"/>
        <n v="86748.0"/>
        <n v="23389.0"/>
        <n v="97204.0"/>
        <n v="28572.0"/>
        <n v="94493.0"/>
        <n v="99466.0"/>
        <n v="79802.0"/>
        <n v="97567.0"/>
        <n v="93091.0"/>
        <n v="92018.0"/>
        <n v="94614.0"/>
        <n v="67157.0"/>
        <n v="23470.0"/>
        <n v="18979.0"/>
        <n v="39637.0"/>
        <n v="76613.0"/>
        <n v="48137.0"/>
        <n v="80136.0"/>
        <n v="42568.0"/>
        <n v="32340.0"/>
        <n v="30265.0"/>
        <n v="88019.0"/>
        <n v="63640.0"/>
        <n v="72385.0"/>
        <n v="51176.0"/>
        <n v="63077.0"/>
        <n v="32946.0"/>
        <n v="24352.0"/>
        <n v="32785.0"/>
        <n v="39301.0"/>
        <n v="40673.0"/>
        <n v="79339.0"/>
        <n v="79681.0"/>
        <n v="96050.0"/>
        <n v="11339.0"/>
        <n v="91382.0"/>
        <n v="12309.0"/>
        <n v="54311.0"/>
        <n v="16056.0"/>
        <n v="10943.0"/>
        <n v="69693.0"/>
        <n v="78745.0"/>
        <n v="83301.0"/>
        <n v="82941.0"/>
        <n v="71481.0"/>
        <n v="40991.0"/>
        <n v="70215.0"/>
        <n v="98694.0"/>
        <n v="46625.0"/>
        <n v="61130.0"/>
        <n v="14495.0"/>
        <n v="49637.0"/>
        <n v="67845.0"/>
        <n v="21343.0"/>
        <n v="20858.0"/>
        <n v="98816.0"/>
        <n v="64747.0"/>
        <n v="38666.0"/>
        <n v="15409.0"/>
        <n v="93947.0"/>
        <n v="98708.0"/>
        <n v="34458.0"/>
        <n v="97922.0"/>
        <n v="98601.0"/>
        <n v="58752.0"/>
        <n v="18497.0"/>
        <n v="78755.0"/>
        <n v="84616.0"/>
        <n v="25648.0"/>
        <n v="90006.0"/>
        <n v="91466.0"/>
        <n v="86772.0"/>
        <n v="29937.0"/>
        <n v="19052.0"/>
        <n v="15311.0"/>
        <n v="37195.0"/>
        <n v="38983.0"/>
        <n v="95768.0"/>
        <n v="30565.0"/>
        <n v="50470.0"/>
        <n v="92482.0"/>
        <n v="18835.0"/>
        <n v="55131.0"/>
        <n v="80688.0"/>
        <n v="22392.0"/>
        <n v="27352.0"/>
        <n v="61136.0"/>
        <n v="75218.0"/>
        <n v="14986.0"/>
        <n v="42083.0"/>
        <n v="97626.0"/>
        <n v="31166.0"/>
        <n v="12486.0"/>
        <n v="14674.0"/>
        <n v="82340.0"/>
        <n v="66352.0"/>
        <n v="58001.0"/>
        <n v="64992.0"/>
        <n v="71698.0"/>
        <n v="35380.0"/>
        <n v="61851.0"/>
        <n v="65026.0"/>
        <n v="15208.0"/>
        <n v="22864.0"/>
        <n v="92602.0"/>
        <n v="65583.0"/>
        <n v="45138.0"/>
        <n v="94630.0"/>
        <n v="64412.0"/>
        <n v="77646.0"/>
        <n v="38759.0"/>
        <n v="99056.0"/>
        <n v="92930.0"/>
        <n v="45299.0"/>
        <n v="20074.0"/>
        <n v="29610.0"/>
        <n v="92847.0"/>
        <n v="48097.0"/>
        <n v="13752.0"/>
        <n v="89342.0"/>
        <n v="18778.0"/>
        <n v="81788.0"/>
        <n v="59809.0"/>
        <n v="41014.0"/>
        <n v="16823.0"/>
        <n v="99592.0"/>
        <n v="54352.0"/>
        <n v="51205.0"/>
        <n v="58293.0"/>
        <n v="83221.0"/>
        <n v="25359.0"/>
        <n v="74968.0"/>
        <n v="65871.0"/>
        <n v="37127.0"/>
        <n v="95064.0"/>
        <n v="37523.0"/>
        <n v="21028.0"/>
        <n v="59912.0"/>
        <n v="14174.0"/>
        <n v="54993.0"/>
        <n v="14187.0"/>
        <n v="81397.0"/>
        <n v="33183.0"/>
        <n v="89531.0"/>
        <n v="76365.0"/>
        <n v="83246.0"/>
        <n v="19254.0"/>
        <n v="96325.0"/>
        <n v="27026.0"/>
        <n v="29040.0"/>
        <n v="20699.0"/>
        <n v="29271.0"/>
        <n v="89790.0"/>
        <n v="30987.0"/>
        <n v="19426.0"/>
        <n v="77074.0"/>
        <n v="26064.0"/>
        <n v="14659.0"/>
        <n v="26675.0"/>
        <n v="63062.0"/>
        <n v="73100.0"/>
        <n v="23130.0"/>
        <n v="94923.0"/>
        <n v="17784.0"/>
        <n v="33938.0"/>
        <n v="45025.0"/>
        <n v="76986.0"/>
        <n v="72173.0"/>
        <n v="83265.0"/>
        <n v="68268.0"/>
        <n v="82504.0"/>
        <n v="72560.0"/>
        <n v="95150.0"/>
        <n v="69169.0"/>
        <n v="21440.0"/>
        <n v="61212.0"/>
        <n v="33992.0"/>
        <n v="89948.0"/>
        <n v="39510.0"/>
        <n v="43515.0"/>
        <n v="18058.0"/>
        <n v="77353.0"/>
        <n v="42636.0"/>
        <n v="68531.0"/>
        <n v="81859.0"/>
        <n v="72975.0"/>
        <n v="25830.0"/>
        <n v="79684.0"/>
        <n v="72177.0"/>
        <n v="81038.0"/>
        <n v="68343.0"/>
        <n v="30783.0"/>
        <n v="68426.0"/>
        <n v="93892.0"/>
        <n v="19908.0"/>
        <n v="54146.0"/>
        <n v="11489.0"/>
        <n v="97417.0"/>
        <n v="51963.0"/>
        <n v="12498.0"/>
        <n v="94121.0"/>
        <n v="24264.0"/>
        <n v="89635.0"/>
        <n v="50757.0"/>
        <n v="17681.0"/>
        <n v="50468.0"/>
        <n v="69573.0"/>
        <n v="48991.0"/>
        <n v="54871.0"/>
        <n v="17869.0"/>
        <n v="50573.0"/>
        <n v="97233.0"/>
        <n v="29647.0"/>
        <n v="38001.0"/>
        <n v="87840.0"/>
        <n v="58273.0"/>
        <n v="15134.0"/>
        <n v="11522.0"/>
        <n v="58457.0"/>
        <n v="57822.0"/>
        <n v="18590.0"/>
        <n v="32540.0"/>
        <n v="95061.0"/>
        <n v="56870.0"/>
        <n v="70276.0"/>
        <n v="29272.0"/>
        <n v="40884.0"/>
        <n v="97622.0"/>
        <n v="45725.0"/>
        <n v="18928.0"/>
        <n v="19441.0"/>
        <n v="93570.0"/>
        <n v="69765.0"/>
        <n v="78801.0"/>
        <n v="51007.0"/>
        <n v="10238.0"/>
        <n v="60485.0"/>
        <n v="76921.0"/>
        <n v="20830.0"/>
        <n v="75928.0"/>
        <n v="94352.0"/>
        <n v="15945.0"/>
        <n v="23082.0"/>
        <n v="42548.0"/>
        <n v="44650.0"/>
        <n v="33826.0"/>
        <n v="14887.0"/>
        <n v="39118.0"/>
        <n v="22656.0"/>
        <n v="93371.0"/>
        <n v="95473.0"/>
        <n v="27368.0"/>
        <n v="27970.0"/>
        <n v="97217.0"/>
        <n v="89624.0"/>
        <n v="37518.0"/>
        <n v="22482.0"/>
        <n v="96529.0"/>
        <n v="19798.0"/>
        <n v="74420.0"/>
        <n v="40585.0"/>
        <n v="66688.0"/>
        <n v="82734.0"/>
        <n v="72494.0"/>
        <n v="94325.0"/>
        <n v="75571.0"/>
        <n v="50594.0"/>
        <n v="72813.0"/>
        <n v="87661.0"/>
        <n v="34902.0"/>
        <n v="80939.0"/>
        <n v="76331.0"/>
        <n v="85196.0"/>
        <n v="59637.0"/>
        <n v="55545.0"/>
        <n v="35979.0"/>
        <n v="87737.0"/>
        <n v="39898.0"/>
        <n v="38380.0"/>
        <n v="55207.0"/>
        <n v="85098.0"/>
        <n v="47035.0"/>
        <n v="80455.0"/>
        <n v="66368.0"/>
        <n v="36428.0"/>
        <n v="40382.0"/>
        <n v="53066.0"/>
        <n v="13171.0"/>
        <n v="88151.0"/>
        <n v="74845.0"/>
        <n v="77717.0"/>
        <n v="45435.0"/>
        <n v="42332.0"/>
        <n v="21095.0"/>
        <n v="37962.0"/>
        <n v="24534.0"/>
        <n v="63709.0"/>
        <n v="54416.0"/>
        <n v="76996.0"/>
        <n v="86858.0"/>
        <n v="78532.0"/>
        <n v="79617.0"/>
        <n v="63418.0"/>
        <n v="85872.0"/>
        <n v="16283.0"/>
        <n v="79047.0"/>
        <n v="75930.0"/>
        <n v="36162.0"/>
        <n v="99323.0"/>
        <n v="82910.0"/>
        <n v="65593.0"/>
        <n v="18285.0"/>
        <n v="67839.0"/>
        <n v="59594.0"/>
        <n v="23393.0"/>
        <n v="76728.0"/>
        <n v="20376.0"/>
        <n v="94175.0"/>
        <n v="21826.0"/>
        <n v="52402.0"/>
        <n v="39489.0"/>
        <n v="39961.0"/>
        <n v="15718.0"/>
        <n v="48994.0"/>
        <n v="85118.0"/>
        <n v="45772.0"/>
        <n v="75282.0"/>
        <n v="31572.0"/>
        <n v="26523.0"/>
        <n v="84551.0"/>
        <n v="51763.0"/>
        <n v="79211.0"/>
        <n v="36438.0"/>
        <n v="97647.0"/>
        <n v="85311.0"/>
        <n v="21852.0"/>
        <n v="19079.0"/>
        <n v="20349.0"/>
        <n v="97824.0"/>
        <n v="14695.0"/>
        <n v="58030.0"/>
        <n v="19935.0"/>
        <n v="88057.0"/>
        <n v="34517.0"/>
        <n v="63885.0"/>
        <n v="80702.0"/>
        <n v="26771.0"/>
        <n v="23438.0"/>
        <n v="29161.0"/>
        <n v="13983.0"/>
        <n v="41611.0"/>
        <n v="96388.0"/>
        <n v="68265.0"/>
        <n v="52635.0"/>
        <n v="77562.0"/>
        <n v="42337.0"/>
        <n v="41713.0"/>
        <n v="16656.0"/>
        <n v="49604.0"/>
        <n v="88240.0"/>
        <n v="96198.0"/>
        <n v="56080.0"/>
        <n v="35544.0"/>
        <n v="29803.0"/>
        <n v="11210.0"/>
        <n v="50766.0"/>
        <n v="94827.0"/>
        <n v="89195.0"/>
        <n v="48115.0"/>
        <n v="99183.0"/>
        <n v="28501.0"/>
        <n v="95821.0"/>
        <n v="35045.0"/>
        <n v="94919.0"/>
        <n v="20373.0"/>
        <n v="82995.0"/>
        <n v="58019.0"/>
        <n v="47018.0"/>
        <n v="44250.0"/>
        <n v="40066.0"/>
        <n v="67883.0"/>
        <n v="88335.0"/>
        <n v="77567.0"/>
        <n v="65461.0"/>
        <n v="93955.0"/>
        <n v="17410.0"/>
        <n v="92818.0"/>
        <n v="96383.0"/>
        <n v="53607.0"/>
        <n v="10311.0"/>
        <n v="32173.0"/>
        <n v="27832.0"/>
        <n v="31075.0"/>
        <n v="27470.0"/>
        <n v="68868.0"/>
        <n v="23693.0"/>
        <n v="72738.0"/>
        <n v="80412.0"/>
        <n v="32115.0"/>
        <n v="80351.0"/>
        <n v="56888.0"/>
        <n v="94192.0"/>
        <n v="45081.0"/>
        <n v="28105.0"/>
        <n v="67939.0"/>
        <n v="35797.0"/>
        <n v="51679.0"/>
        <n v="88744.0"/>
        <n v="39812.0"/>
        <n v="61780.0"/>
        <n v="91641.0"/>
        <n v="74415.0"/>
        <n v="55480.0"/>
        <n v="65418.0"/>
        <n v="60396.0"/>
        <n v="73202.0"/>
        <n v="65996.0"/>
        <n v="47810.0"/>
        <n v="25777.0"/>
        <n v="58433.0"/>
        <n v="97242.0"/>
        <n v="61026.0"/>
        <n v="43557.0"/>
        <n v="65725.0"/>
        <n v="88176.0"/>
        <n v="37339.0"/>
        <n v="14212.0"/>
        <n v="35378.0"/>
        <n v="87488.0"/>
        <n v="55567.0"/>
        <n v="88302.0"/>
        <n v="20603.0"/>
        <n v="14685.0"/>
        <n v="18152.0"/>
        <n v="73267.0"/>
        <n v="82661.0"/>
        <n v="93635.0"/>
        <n v="78415.0"/>
        <n v="59583.0"/>
        <n v="29719.0"/>
        <n v="78275.0"/>
        <n v="78040.0"/>
        <n v="43818.0"/>
        <n v="93094.0"/>
        <n v="41680.0"/>
        <n v="10818.0"/>
        <n v="55808.0"/>
        <n v="36098.0"/>
        <n v="66852.0"/>
        <n v="43152.0"/>
        <n v="34652.0"/>
        <n v="96391.0"/>
        <n v="90523.0"/>
        <n v="51332.0"/>
        <n v="20764.0"/>
        <n v="92972.0"/>
        <n v="75163.0"/>
        <n v="29586.0"/>
        <n v="45798.0"/>
        <n v="83126.0"/>
        <n v="74857.0"/>
        <n v="80154.0"/>
        <n v="64532.0"/>
        <n v="55782.0"/>
        <n v="55444.0"/>
        <n v="30347.0"/>
        <n v="13545.0"/>
        <n v="74523.0"/>
        <n v="33457.0"/>
        <n v="23507.0"/>
        <n v="46749.0"/>
        <n v="81900.0"/>
        <n v="87522.0"/>
        <n v="11664.0"/>
        <n v="26355.0"/>
        <n v="27317.0"/>
        <n v="52052.0"/>
        <n v="66605.0"/>
        <n v="90177.0"/>
        <n v="40049.0"/>
        <n v="63599.0"/>
        <n v="81824.0"/>
        <n v="74633.0"/>
        <n v="87520.0"/>
        <n v="45648.0"/>
        <n v="52454.0"/>
        <n v="66135.0"/>
        <n v="43311.0"/>
        <n v="29464.0"/>
        <n v="80206.0"/>
        <n v="64621.0"/>
        <n v="63439.0"/>
        <n v="62811.0"/>
        <n v="91105.0"/>
        <n v="32641.0"/>
        <n v="77805.0"/>
        <n v="82273.0"/>
        <n v="98214.0"/>
        <n v="45468.0"/>
        <n v="81784.0"/>
        <n v="86532.0"/>
        <n v="66826.0"/>
        <n v="19962.0"/>
        <n v="41056.0"/>
        <n v="50347.0"/>
        <n v="28407.0"/>
        <n v="92569.0"/>
        <n v="28635.0"/>
        <n v="93261.0"/>
        <n v="33202.0"/>
        <n v="99094.0"/>
        <n v="13830.0"/>
        <n v="82969.0"/>
        <n v="18244.0"/>
        <n v="55155.0"/>
        <n v="70939.0"/>
        <n v="63514.0"/>
        <n v="78721.0"/>
        <n v="47337.0"/>
        <n v="27185.0"/>
        <n v="63053.0"/>
        <n v="56423.0"/>
        <n v="45469.0"/>
        <n v="38082.0"/>
        <n v="34230.0"/>
        <n v="72726.0"/>
        <n v="71424.0"/>
        <n v="81291.0"/>
        <n v="36666.0"/>
        <n v="20161.0"/>
        <n v="40426.0"/>
        <n v="19836.0"/>
        <n v="82261.0"/>
        <n v="68561.0"/>
        <n v="47970.0"/>
        <n v="69780.0"/>
        <n v="38092.0"/>
        <n v="40098.0"/>
        <n v="18709.0"/>
        <n v="89639.0"/>
        <n v="42449.0"/>
        <n v="19527.0"/>
        <n v="58984.0"/>
        <n v="75125.0"/>
        <n v="89405.0"/>
        <n v="71252.0"/>
        <n v="61754.0"/>
        <n v="40814.0"/>
        <n v="40195.0"/>
        <n v="77333.0"/>
        <n v="19709.0"/>
        <n v="30885.0"/>
        <n v="78631.0"/>
        <n v="15377.0"/>
        <n v="78357.0"/>
        <n v="32018.0"/>
        <n v="31318.0"/>
        <n v="80409.0"/>
        <n v="65816.0"/>
        <n v="18857.0"/>
        <n v="93308.0"/>
        <n v="66275.0"/>
        <n v="76029.0"/>
        <n v="83251.0"/>
        <n v="63073.0"/>
        <n v="37843.0"/>
        <n v="98024.0"/>
        <n v="77634.0"/>
        <n v="87315.0"/>
        <n v="87777.0"/>
        <n v="63240.0"/>
        <n v="89641.0"/>
        <n v="76866.0"/>
        <n v="77255.0"/>
        <n v="80756.0"/>
        <n v="94803.0"/>
        <n v="64762.0"/>
        <n v="68715.0"/>
        <n v="79704.0"/>
        <n v="30227.0"/>
        <n v="18441.0"/>
        <n v="44806.0"/>
        <n v="13361.0"/>
        <n v="42661.0"/>
        <n v="59147.0"/>
        <n v="29994.0"/>
        <n v="17027.0"/>
        <n v="14389.0"/>
        <n v="57376.0"/>
        <n v="17048.0"/>
        <n v="19411.0"/>
        <n v="59105.0"/>
        <n v="69662.0"/>
        <n v="36242.0"/>
        <n v="43942.0"/>
        <n v="90940.0"/>
        <n v="23919.0"/>
        <n v="10463.0"/>
        <n v="45720.0"/>
        <n v="28141.0"/>
        <n v="46051.0"/>
        <n v="45263.0"/>
        <n v="90781.0"/>
        <n v="15862.0"/>
        <n v="41315.0"/>
        <n v="64486.0"/>
        <n v="10497.0"/>
        <n v="93193.0"/>
        <n v="35930.0"/>
        <n v="77374.0"/>
        <n v="45005.0"/>
        <n v="43472.0"/>
        <n v="96400.0"/>
        <n v="23802.0"/>
        <n v="19472.0"/>
        <n v="71447.0"/>
        <n v="24009.0"/>
        <n v="88307.0"/>
        <n v="35214.0"/>
        <n v="11286.0"/>
        <n v="45184.0"/>
        <n v="46396.0"/>
        <n v="45136.0"/>
        <n v="54020.0"/>
        <n v="62655.0"/>
        <n v="15264.0"/>
        <n v="41053.0"/>
        <n v="54870.0"/>
        <n v="24302.0"/>
        <n v="28809.0"/>
        <n v="73989.0"/>
        <n v="27882.0"/>
        <n v="24734.0"/>
        <n v="58737.0"/>
        <n v="88255.0"/>
        <n v="53113.0"/>
        <n v="79319.0"/>
        <n v="58931.0"/>
        <n v="88560.0"/>
        <n v="10506.0"/>
        <n v="89557.0"/>
        <n v="51917.0"/>
        <n v="57436.0"/>
        <n v="67537.0"/>
        <n v="23637.0"/>
        <n v="27396.0"/>
        <n v="48584.0"/>
        <n v="77410.0"/>
        <n v="25867.0"/>
        <n v="75253.0"/>
        <n v="83724.0"/>
        <n v="11432.0"/>
        <n v="80722.0"/>
        <n v="71524.0"/>
        <n v="98236.0"/>
        <n v="89919.0"/>
        <n v="65564.0"/>
        <n v="46273.0"/>
        <n v="77457.0"/>
        <n v="47736.0"/>
        <n v="33841.0"/>
        <n v="89187.0"/>
        <n v="58462.0"/>
        <n v="61679.0"/>
        <n v="33285.0"/>
        <n v="45702.0"/>
        <n v="90010.0"/>
        <n v="28842.0"/>
        <n v="22863.0"/>
        <n v="23668.0"/>
        <n v="38562.0"/>
        <n v="26396.0"/>
        <n v="45968.0"/>
        <n v="54933.0"/>
        <n v="28325.0"/>
        <n v="86353.0"/>
        <n v="26044.0"/>
        <n v="55615.0"/>
        <n v="55624.0"/>
        <n v="27696.0"/>
        <n v="26426.0"/>
        <n v="66115.0"/>
        <n v="62932.0"/>
        <n v="42286.0"/>
        <n v="93603.0"/>
        <n v="95106.0"/>
        <n v="98362.0"/>
        <n v="97031.0"/>
        <n v="70965.0"/>
        <n v="57579.0"/>
        <n v="12729.0"/>
        <n v="75919.0"/>
        <n v="24923.0"/>
        <n v="88614.0"/>
        <n v="66338.0"/>
        <n v="95888.0"/>
        <n v="14892.0"/>
        <n v="12477.0"/>
        <n v="52311.0"/>
        <n v="39103.0"/>
        <n v="78963.0"/>
        <n v="99538.0"/>
        <n v="65918.0"/>
        <n v="20679.0"/>
        <n v="14339.0"/>
        <n v="46866.0"/>
        <n v="64089.0"/>
        <n v="34766.0"/>
        <n v="99507.0"/>
        <n v="39530.0"/>
        <n v="50916.0"/>
        <n v="71130.0"/>
        <n v="38257.0"/>
        <n v="14062.0"/>
        <n v="97228.0"/>
        <n v="48570.0"/>
        <n v="84319.0"/>
        <n v="21216.0"/>
        <n v="95808.0"/>
        <n v="29191.0"/>
        <n v="81827.0"/>
        <n v="23226.0"/>
        <n v="23788.0"/>
        <n v="98527.0"/>
        <n v="85529.0"/>
        <n v="94640.0"/>
        <n v="97828.0"/>
        <n v="67577.0"/>
        <n v="82462.0"/>
        <n v="77037.0"/>
        <n v="65915.0"/>
        <n v="85987.0"/>
        <n v="77179.0"/>
        <n v="54113.0"/>
        <n v="58601.0"/>
        <n v="23613.0"/>
        <n v="42387.0"/>
        <n v="57518.0"/>
        <n v="48796.0"/>
        <n v="79826.0"/>
        <n v="64861.0"/>
        <n v="87473.0"/>
        <n v="21350.0"/>
        <n v="70928.0"/>
        <n v="15604.0"/>
        <n v="79757.0"/>
        <n v="95098.0"/>
        <n v="20368.0"/>
        <n v="54147.0"/>
        <n v="84200.0"/>
        <n v="24763.0"/>
        <n v="67802.0"/>
        <n v="45498.0"/>
        <n v="65592.0"/>
        <n v="48593.0"/>
        <n v="31544.0"/>
        <n v="37866.0"/>
        <n v="62476.0"/>
        <n v="14760.0"/>
        <n v="79165.0"/>
        <n v="26898.0"/>
        <n v="92928.0"/>
        <n v="99061.0"/>
        <n v="25588.0"/>
        <n v="51303.0"/>
        <n v="70380.0"/>
        <n v="67259.0"/>
        <n v="46347.0"/>
        <n v="99705.0"/>
        <n v="81064.0"/>
        <n v="41971.0"/>
        <n v="18188.0"/>
        <n v="48336.0"/>
        <n v="98522.0"/>
        <n v="86828.0"/>
        <n v="17671.0"/>
        <n v="67032.0"/>
        <n v="74354.0"/>
        <n v="89824.0"/>
        <n v="63159.0"/>
        <n v="72459.0"/>
        <n v="10339.0"/>
        <n v="63572.0"/>
        <n v="75749.0"/>
        <n v="56410.0"/>
        <n v="37583.0"/>
        <n v="23513.0"/>
        <n v="42349.0"/>
        <n v="75688.0"/>
        <n v="21619.0"/>
        <n v="83680.0"/>
        <n v="57201.0"/>
        <n v="26360.0"/>
        <n v="48702.0"/>
        <n v="79263.0"/>
        <n v="39844.0"/>
        <n v="94096.0"/>
        <n v="30748.0"/>
        <n v="82706.0"/>
        <n v="81173.0"/>
        <n v="25628.0"/>
        <n v="97889.0"/>
        <n v="21240.0"/>
        <n v="10643.0"/>
        <n v="33359.0"/>
        <n v="55662.0"/>
        <n v="36680.0"/>
        <n v="89169.0"/>
        <n v="59994.0"/>
        <n v="62437.0"/>
        <n v="50148.0"/>
        <n v="12730.0"/>
        <n v="77020.0"/>
        <n v="74963.0"/>
        <n v="57711.0"/>
        <n v="16674.0"/>
        <n v="85195.0"/>
        <n v="23506.0"/>
        <n v="18919.0"/>
        <n v="19807.0"/>
        <n v="29378.0"/>
        <n v="63040.0"/>
        <n v="52141.0"/>
        <n v="60385.0"/>
        <n v="67231.0"/>
        <n v="77955.0"/>
        <n v="36444.0"/>
        <n v="38332.0"/>
        <n v="77412.0"/>
        <n v="66809.0"/>
        <n v="33151.0"/>
        <n v="73609.0"/>
        <n v="60168.0"/>
        <n v="61336.0"/>
        <n v="39601.0"/>
        <n v="16892.0"/>
        <n v="37559.0"/>
        <n v="38914.0"/>
        <n v="77726.0"/>
        <n v="98081.0"/>
        <n v="90885.0"/>
        <n v="74884.0"/>
        <n v="61586.0"/>
        <n v="49998.0"/>
        <n v="18368.0"/>
        <n v="48361.0"/>
        <n v="91508.0"/>
        <n v="86267.0"/>
        <n v="68218.0"/>
        <n v="89720.0"/>
        <n v="29123.0"/>
        <n v="57967.0"/>
        <n v="16407.0"/>
        <n v="92096.0"/>
        <n v="79289.0"/>
        <n v="28489.0"/>
        <n v="73849.0"/>
        <n v="95184.0"/>
        <n v="35467.0"/>
        <n v="35889.0"/>
        <n v="40774.0"/>
        <n v="83659.0"/>
        <n v="91142.0"/>
        <n v="20887.0"/>
        <n v="29137.0"/>
        <n v="20598.0"/>
        <n v="34382.0"/>
        <n v="93059.0"/>
        <n v="62369.0"/>
        <n v="56574.0"/>
        <n v="88715.0"/>
        <n v="73090.0"/>
        <n v="35944.0"/>
        <n v="55913.0"/>
        <n v="55175.0"/>
        <n v="88144.0"/>
        <n v="14393.0"/>
        <n v="29858.0"/>
        <n v="44381.0"/>
        <n v="60005.0"/>
        <n v="31365.0"/>
        <n v="92999.0"/>
        <n v="46034.0"/>
        <n v="18529.0"/>
        <n v="44148.0"/>
        <n v="87490.0"/>
        <n v="30384.0"/>
        <n v="49761.0"/>
        <n v="91575.0"/>
        <n v="20811.0"/>
        <n v="22458.0"/>
        <n v="88406.0"/>
        <n v="57079.0"/>
        <n v="81853.0"/>
        <n v="24663.0"/>
        <n v="88380.0"/>
        <n v="98355.0"/>
        <n v="65167.0"/>
        <n v="38616.0"/>
        <n v="74545.0"/>
        <n v="18937.0"/>
        <n v="13718.0"/>
        <n v="21680.0"/>
        <n v="78010.0"/>
        <n v="66654.0"/>
        <n v="97210.0"/>
        <n v="95305.0"/>
        <n v="57020.0"/>
        <n v="33935.0"/>
        <n v="50174.0"/>
        <n v="87430.0"/>
        <n v="56633.0"/>
        <n v="12532.0"/>
        <n v="32435.0"/>
        <n v="29109.0"/>
        <n v="22219.0"/>
        <n v="96549.0"/>
        <n v="99931.0"/>
        <n v="88211.0"/>
        <n v="70285.0"/>
        <n v="49161.0"/>
        <n v="46716.0"/>
        <n v="17110.0"/>
        <n v="52450.0"/>
        <n v="90015.0"/>
        <n v="77649.0"/>
        <n v="47469.0"/>
        <n v="38263.0"/>
        <n v="99845.0"/>
        <n v="42599.0"/>
        <n v="90056.0"/>
        <n v="81534.0"/>
        <n v="21488.0"/>
        <n v="47349.0"/>
        <n v="73115.0"/>
        <n v="72546.0"/>
        <n v="62025.0"/>
        <n v="25704.0"/>
        <n v="88279.0"/>
        <n v="72578.0"/>
        <n v="71044.0"/>
        <n v="81110.0"/>
        <n v="42781.0"/>
        <n v="82732.0"/>
        <n v="56312.0"/>
        <n v="59720.0"/>
        <n v="49598.0"/>
        <n v="92471.0"/>
        <n v="80765.0"/>
        <n v="57171.0"/>
        <n v="49084.0"/>
        <n v="21055.0"/>
        <n v="67428.0"/>
        <n v="48114.0"/>
        <n v="63771.0"/>
        <n v="38900.0"/>
        <n v="25446.0"/>
        <n v="29956.0"/>
        <n v="49247.0"/>
        <n v="95685.0"/>
        <n v="73692.0"/>
        <n v="58626.0"/>
        <n v="48149.0"/>
        <n v="10177.0"/>
        <n v="51028.0"/>
        <n v="33055.0"/>
        <n v="20542.0"/>
        <n v="51883.0"/>
        <n v="69649.0"/>
        <n v="26310.0"/>
        <n v="87696.0"/>
        <n v="68739.0"/>
        <n v="19818.0"/>
        <n v="14016.0"/>
        <n v="57110.0"/>
        <n v="67146.0"/>
        <n v="37975.0"/>
        <n v="94763.0"/>
        <n v="16548.0"/>
        <n v="30666.0"/>
        <n v="58922.0"/>
        <n v="96253.0"/>
        <n v="51463.0"/>
        <n v="84864.0"/>
        <n v="57762.0"/>
        <n v="72473.0"/>
        <n v="95757.0"/>
        <n v="33840.0"/>
        <n v="64477.0"/>
        <n v="56900.0"/>
        <n v="24929.0"/>
        <n v="46082.0"/>
        <n v="38448.0"/>
        <n v="62075.0"/>
        <n v="29846.0"/>
        <n v="15184.0"/>
        <n v="20551.0"/>
        <n v="16558.0"/>
        <n v="84456.0"/>
        <n v="60214.0"/>
        <n v="65770.0"/>
        <n v="99365.0"/>
        <n v="63899.0"/>
        <n v="53920.0"/>
        <n v="76014.0"/>
        <n v="45807.0"/>
        <n v="68651.0"/>
        <n v="62739.0"/>
        <n v="27780.0"/>
        <n v="16773.0"/>
        <n v="75584.0"/>
        <n v="58344.0"/>
        <n v="41891.0"/>
        <n v="59337.0"/>
        <n v="52483.0"/>
        <n v="26644.0"/>
        <n v="89113.0"/>
        <n v="68674.0"/>
        <n v="51861.0"/>
        <n v="67671.0"/>
        <n v="38964.0"/>
        <n v="58387.0"/>
        <n v="71953.0"/>
        <n v="95520.0"/>
        <n v="36556.0"/>
        <n v="40512.0"/>
        <n v="70874.0"/>
        <n v="58442.0"/>
        <n v="59016.0"/>
        <n v="91504.0"/>
        <n v="43817.0"/>
        <n v="22221.0"/>
        <n v="37285.0"/>
        <n v="30310.0"/>
        <n v="28441.0"/>
        <n v="23068.0"/>
        <n v="15079.0"/>
        <n v="65991.0"/>
        <n v="14297.0"/>
        <n v="74800.0"/>
        <n v="25023.0"/>
        <n v="66128.0"/>
        <n v="50616.0"/>
        <n v="88446.0"/>
        <n v="65559.0"/>
        <n v="99103.0"/>
        <n v="69768.0"/>
        <n v="80681.0"/>
        <n v="69699.0"/>
        <n v="88829.0"/>
        <n v="40235.0"/>
        <n v="67091.0"/>
        <n v="14777.0"/>
        <n v="39241.0"/>
        <n v="19745.0"/>
        <n v="50124.0"/>
        <n v="47813.0"/>
        <n v="54247.0"/>
        <n v="98045.0"/>
        <n v="83220.0"/>
        <n v="21874.0"/>
        <n v="61189.0"/>
        <n v="90922.0"/>
        <n v="96362.0"/>
        <n v="74145.0"/>
        <n v="58360.0"/>
        <n v="59040.0"/>
        <n v="29741.0"/>
        <n v="25426.0"/>
        <n v="16334.0"/>
        <n v="23730.0"/>
        <n v="71889.0"/>
        <n v="76238.0"/>
        <n v="75736.0"/>
        <n v="85924.0"/>
        <n v="41242.0"/>
        <n v="67799.0"/>
        <n v="52732.0"/>
        <n v="50751.0"/>
        <n v="53172.0"/>
        <n v="72484.0"/>
        <n v="49959.0"/>
        <n v="56352.0"/>
        <n v="37005.0"/>
        <n v="29634.0"/>
        <n v="37723.0"/>
        <n v="87325.0"/>
        <n v="67365.0"/>
        <n v="21339.0"/>
        <n v="94071.0"/>
        <n v="88040.0"/>
        <n v="44455.0"/>
        <n v="36145.0"/>
        <n v="25480.0"/>
        <n v="47577.0"/>
        <n v="44730.0"/>
        <n v="39821.0"/>
        <n v="78072.0"/>
        <n v="54206.0"/>
        <n v="95683.0"/>
        <n v="34436.0"/>
        <n v="37026.0"/>
        <n v="48832.0"/>
        <n v="86185.0"/>
        <n v="75048.0"/>
        <n v="97697.0"/>
        <n v="75834.0"/>
        <n v="34478.0"/>
        <n v="78574.0"/>
        <n v="30794.0"/>
        <n v="52810.0"/>
        <n v="66309.0"/>
        <n v="77872.0"/>
        <n v="17616.0"/>
        <n v="23087.0"/>
        <n v="39549.0"/>
        <n v="55091.0"/>
        <n v="27772.0"/>
        <n v="92924.0"/>
        <n v="58518.0"/>
        <n v="25303.0"/>
        <n v="86063.0"/>
        <n v="18615.0"/>
        <n v="87798.0"/>
        <n v="47743.0"/>
        <n v="94337.0"/>
        <n v="27529.0"/>
        <n v="10143.0"/>
        <n v="39426.0"/>
        <n v="19844.0"/>
        <n v="79505.0"/>
        <n v="19174.0"/>
        <n v="62457.0"/>
        <n v="13849.0"/>
        <n v="47203.0"/>
        <n v="89347.0"/>
        <n v="55163.0"/>
        <n v="71350.0"/>
        <n v="20838.0"/>
        <n v="79190.0"/>
        <n v="59303.0"/>
        <n v="86638.0"/>
        <n v="16939.0"/>
        <n v="89598.0"/>
        <n v="64628.0"/>
        <n v="30160.0"/>
        <n v="99211.0"/>
        <n v="62062.0"/>
        <n v="10006.0"/>
        <n v="37948.0"/>
        <n v="42123.0"/>
        <n v="89851.0"/>
        <n v="91478.0"/>
        <n v="40283.0"/>
        <n v="81388.0"/>
        <n v="85201.0"/>
        <n v="42451.0"/>
        <n v="88679.0"/>
        <n v="16383.0"/>
        <n v="64880.0"/>
        <n v="97402.0"/>
        <n v="49310.0"/>
        <n v="98928.0"/>
        <n v="28013.0"/>
        <n v="14973.0"/>
        <n v="45418.0"/>
        <n v="80624.0"/>
        <n v="60812.0"/>
        <n v="65847.0"/>
        <n v="67572.0"/>
        <n v="19739.0"/>
        <n v="15876.0"/>
        <n v="65506.0"/>
        <n v="31513.0"/>
        <n v="49271.0"/>
        <n v="48167.0"/>
        <n v="53010.0"/>
        <n v="34006.0"/>
        <n v="11524.0"/>
        <n v="48164.0"/>
        <n v="69172.0"/>
        <n v="57242.0"/>
        <n v="40966.0"/>
        <n v="88991.0"/>
        <n v="46838.0"/>
        <n v="98952.0"/>
        <n v="23918.0"/>
        <n v="82076.0"/>
        <n v="14373.0"/>
        <n v="22001.0"/>
        <n v="49755.0"/>
        <n v="57102.0"/>
        <n v="33637.0"/>
        <n v="62358.0"/>
        <n v="73560.0"/>
        <n v="17440.0"/>
        <n v="24387.0"/>
        <n v="13587.0"/>
        <n v="95216.0"/>
        <n v="43522.0"/>
        <n v="21785.0"/>
        <n v="36100.0"/>
        <n v="65482.0"/>
        <n v="51936.0"/>
        <n v="21798.0"/>
        <n v="99327.0"/>
        <n v="87961.0"/>
        <n v="39459.0"/>
        <n v="94807.0"/>
        <n v="74937.0"/>
        <n v="71653.0"/>
        <n v="72442.0"/>
        <n v="36357.0"/>
        <n v="59250.0"/>
        <n v="85533.0"/>
        <n v="11630.0"/>
        <n v="75011.0"/>
        <n v="96180.0"/>
        <n v="75773.0"/>
        <n v="83852.0"/>
        <n v="62804.0"/>
        <n v="62250.0"/>
        <n v="58871.0"/>
        <n v="87611.0"/>
        <n v="43034.0"/>
        <n v="64106.0"/>
        <n v="14444.0"/>
        <n v="44997.0"/>
        <n v="64978.0"/>
        <n v="88554.0"/>
        <n v="92223.0"/>
        <n v="49528.0"/>
        <n v="14744.0"/>
        <n v="93761.0"/>
        <n v="84948.0"/>
        <n v="34535.0"/>
        <n v="74353.0"/>
        <n v="44554.0"/>
        <n v="37330.0"/>
        <n v="25727.0"/>
        <n v="77829.0"/>
        <n v="96815.0"/>
        <n v="43982.0"/>
        <n v="57281.0"/>
        <n v="63545.0"/>
        <n v="63254.0"/>
        <n v="98979.0"/>
        <n v="70724.0"/>
        <n v="32794.0"/>
        <n v="91896.0"/>
        <n v="38628.0"/>
        <n v="11546.0"/>
        <n v="16001.0"/>
        <n v="33519.0"/>
        <n v="74325.0"/>
        <n v="10634.0"/>
        <n v="96555.0"/>
        <n v="38222.0"/>
        <n v="21034.0"/>
        <n v="81544.0"/>
        <n v="80401.0"/>
        <n v="19196.0"/>
        <n v="95536.0"/>
        <n v="90961.0"/>
        <n v="56099.0"/>
        <n v="97907.0"/>
        <n v="12051.0"/>
        <n v="17955.0"/>
        <n v="81454.0"/>
        <n v="73076.0"/>
        <n v="71720.0"/>
        <n v="46598.0"/>
        <n v="83413.0"/>
        <n v="83705.0"/>
        <n v="63825.0"/>
        <n v="51725.0"/>
        <n v="31656.0"/>
        <n v="40452.0"/>
        <n v="69638.0"/>
        <n v="85976.0"/>
        <n v="15650.0"/>
        <n v="48296.0"/>
        <n v="92714.0"/>
        <n v="83851.0"/>
        <n v="46718.0"/>
        <n v="37003.0"/>
        <n v="14781.0"/>
        <n v="33178.0"/>
        <n v="21112.0"/>
        <n v="73257.0"/>
        <n v="41457.0"/>
        <n v="67605.0"/>
        <n v="46426.0"/>
        <n v="10094.0"/>
        <n v="56441.0"/>
        <n v="46647.0"/>
        <n v="85892.0"/>
        <n v="71418.0"/>
        <n v="97181.0"/>
        <n v="33686.0"/>
        <n v="91469.0"/>
        <n v="78693.0"/>
        <n v="45750.0"/>
        <n v="39917.0"/>
        <n v="39619.0"/>
        <n v="88709.0"/>
        <n v="63752.0"/>
        <n v="33337.0"/>
        <n v="49965.0"/>
        <n v="15369.0"/>
        <n v="93937.0"/>
        <n v="45404.0"/>
        <n v="55038.0"/>
        <n v="88468.0"/>
        <n v="33913.0"/>
        <n v="38037.0"/>
        <n v="23444.0"/>
        <n v="75342.0"/>
        <n v="41583.0"/>
        <n v="60800.0"/>
        <n v="98485.0"/>
        <n v="79458.0"/>
        <n v="53695.0"/>
        <n v="31676.0"/>
        <n v="72493.0"/>
        <n v="77866.0"/>
        <n v="30651.0"/>
        <n v="48533.0"/>
        <n v="69983.0"/>
        <n v="17167.0"/>
        <n v="16632.0"/>
        <n v="88286.0"/>
        <n v="13831.0"/>
        <n v="58519.0"/>
        <n v="88449.0"/>
        <n v="20336.0"/>
        <n v="97789.0"/>
        <n v="48506.0"/>
        <n v="83240.0"/>
        <n v="89134.0"/>
        <n v="83362.0"/>
        <n v="69720.0"/>
        <n v="93926.0"/>
        <n v="75022.0"/>
        <n v="13806.0"/>
        <n v="82044.0"/>
        <n v="46345.0"/>
        <n v="77377.0"/>
        <n v="27746.0"/>
        <n v="29253.0"/>
        <n v="50058.0"/>
        <n v="78417.0"/>
        <n v="62236.0"/>
        <n v="76509.0"/>
        <n v="10617.0"/>
        <n v="39573.0"/>
        <n v="97823.0"/>
        <n v="47551.0"/>
        <n v="47857.0"/>
        <n v="22352.0"/>
        <n v="45350.0"/>
        <n v="63682.0"/>
        <n v="14953.0"/>
        <n v="11197.0"/>
        <n v="13951.0"/>
        <n v="67275.0"/>
        <n v="56583.0"/>
        <n v="21455.0"/>
        <n v="38208.0"/>
        <n v="35507.0"/>
        <n v="34696.0"/>
        <n v="20922.0"/>
        <n v="50273.0"/>
        <n v="39262.0"/>
        <n v="13381.0"/>
        <n v="99215.0"/>
        <n v="42271.0"/>
        <n v="35494.0"/>
        <n v="99955.0"/>
        <n v="70133.0"/>
        <n v="66789.0"/>
        <n v="14788.0"/>
        <n v="41566.0"/>
        <n v="54302.0"/>
        <n v="93365.0"/>
        <n v="49816.0"/>
        <n v="31364.0"/>
        <n v="84752.0"/>
        <n v="32293.0"/>
        <n v="76924.0"/>
        <n v="96371.0"/>
        <n v="62758.0"/>
        <n v="50834.0"/>
        <n v="52705.0"/>
        <n v="62063.0"/>
        <n v="98726.0"/>
        <n v="22445.0"/>
        <n v="51002.0"/>
        <n v="41506.0"/>
        <n v="92333.0"/>
        <n v="48036.0"/>
        <n v="45047.0"/>
        <n v="35198.0"/>
        <n v="82428.0"/>
        <n v="66000.0"/>
        <n v="15583.0"/>
        <n v="92649.0"/>
        <n v="92760.0"/>
        <n v="35662.0"/>
        <n v="95565.0"/>
        <n v="97508.0"/>
        <n v="61959.0"/>
        <n v="27440.0"/>
        <n v="31427.0"/>
        <n v="79435.0"/>
        <n v="13916.0"/>
        <n v="69412.0"/>
        <n v="53941.0"/>
        <n v="48650.0"/>
        <n v="95682.0"/>
        <n v="59397.0"/>
        <n v="36860.0"/>
        <n v="98607.0"/>
        <n v="88534.0"/>
        <n v="19990.0"/>
        <n v="17886.0"/>
        <n v="16887.0"/>
        <n v="37989.0"/>
        <n v="70384.0"/>
        <n v="13119.0"/>
        <n v="90168.0"/>
        <n v="21066.0"/>
        <n v="56122.0"/>
        <n v="25237.0"/>
        <n v="27691.0"/>
        <n v="80943.0"/>
        <n v="38367.0"/>
        <n v="14136.0"/>
        <n v="18319.0"/>
        <n v="22124.0"/>
        <n v="88526.0"/>
        <n v="85253.0"/>
        <n v="50673.0"/>
        <n v="79405.0"/>
        <n v="85999.0"/>
        <n v="23857.0"/>
        <n v="92240.0"/>
        <n v="60459.0"/>
        <n v="57885.0"/>
        <n v="88736.0"/>
        <n v="71689.0"/>
        <n v="23327.0"/>
        <n v="46631.0"/>
        <n v="76872.0"/>
        <n v="19834.0"/>
        <n v="92336.0"/>
        <n v="70025.0"/>
        <n v="48014.0"/>
        <n v="18987.0"/>
        <n v="67134.0"/>
        <n v="36541.0"/>
        <n v="63625.0"/>
        <n v="31282.0"/>
        <n v="56693.0"/>
        <n v="38181.0"/>
        <n v="61785.0"/>
        <n v="92122.0"/>
        <n v="98387.0"/>
        <n v="64105.0"/>
        <n v="95199.0"/>
        <n v="41561.0"/>
        <n v="11684.0"/>
        <n v="39040.0"/>
        <n v="41560.0"/>
        <n v="94828.0"/>
        <n v="39671.0"/>
        <n v="12078.0"/>
        <n v="81195.0"/>
        <n v="18659.0"/>
        <n v="96038.0"/>
        <n v="81664.0"/>
        <n v="27528.0"/>
        <n v="99469.0"/>
        <n v="88090.0"/>
        <n v="89613.0"/>
        <n v="47999.0"/>
        <n v="84052.0"/>
        <n v="67894.0"/>
        <n v="78665.0"/>
        <n v="18513.0"/>
        <n v="23237.0"/>
        <n v="44651.0"/>
        <n v="70082.0"/>
        <n v="35912.0"/>
        <n v="20444.0"/>
        <n v="28838.0"/>
        <n v="40598.0"/>
        <n v="36915.0"/>
        <n v="84590.0"/>
        <n v="51813.0"/>
        <n v="49902.0"/>
        <n v="74657.0"/>
        <n v="72702.0"/>
        <n v="14407.0"/>
        <n v="99270.0"/>
        <n v="22024.0"/>
        <n v="31004.0"/>
        <n v="49017.0"/>
        <n v="44968.0"/>
        <n v="46612.0"/>
        <n v="57945.0"/>
        <n v="49609.0"/>
        <n v="44927.0"/>
        <n v="21893.0"/>
        <n v="44376.0"/>
        <n v="64363.0"/>
        <n v="32524.0"/>
        <n v="54024.0"/>
        <n v="68130.0"/>
        <n v="56087.0"/>
        <n v="60440.0"/>
        <n v="56768.0"/>
        <n v="21705.0"/>
        <n v="35395.0"/>
        <n v="47236.0"/>
        <n v="59479.0"/>
        <n v="12372.0"/>
        <n v="35223.0"/>
        <n v="84493.0"/>
        <n v="57121.0"/>
        <n v="60231.0"/>
        <n v="12612.0"/>
        <n v="88530.0"/>
        <n v="16271.0"/>
        <n v="85045.0"/>
        <n v="55113.0"/>
        <n v="12761.0"/>
        <n v="87865.0"/>
        <n v="59792.0"/>
        <n v="56988.0"/>
        <n v="77095.0"/>
        <n v="20111.0"/>
        <n v="18870.0"/>
        <n v="28585.0"/>
        <n v="19965.0"/>
        <n v="16960.0"/>
        <n v="26677.0"/>
        <n v="69486.0"/>
        <n v="42718.0"/>
        <n v="10416.0"/>
        <n v="31458.0"/>
        <n v="50549.0"/>
        <n v="75254.0"/>
        <n v="18307.0"/>
        <n v="54519.0"/>
        <n v="21356.0"/>
        <n v="41233.0"/>
        <n v="10978.0"/>
        <n v="99226.0"/>
        <n v="66023.0"/>
        <n v="58479.0"/>
        <n v="73605.0"/>
        <n v="47765.0"/>
        <n v="77508.0"/>
        <n v="66033.0"/>
        <n v="55291.0"/>
        <n v="69128.0"/>
        <n v="74744.0"/>
        <n v="52069.0"/>
        <n v="62752.0"/>
        <n v="23854.0"/>
        <n v="32256.0"/>
        <n v="72193.0"/>
        <n v="26032.0"/>
        <n v="85041.0"/>
        <n v="93184.0"/>
        <n v="64707.0"/>
        <n v="98635.0"/>
        <n v="47969.0"/>
        <n v="28975.0"/>
        <n v="33511.0"/>
        <n v="73137.0"/>
        <n v="30523.0"/>
        <n v="21192.0"/>
        <n v="50906.0"/>
        <n v="62280.0"/>
        <n v="19447.0"/>
        <n v="89904.0"/>
        <n v="38784.0"/>
        <n v="91963.0"/>
        <n v="47210.0"/>
        <n v="93235.0"/>
        <n v="54548.0"/>
        <n v="96969.0"/>
        <n v="53067.0"/>
        <n v="75233.0"/>
        <n v="41914.0"/>
        <n v="76828.0"/>
        <n v="27579.0"/>
        <n v="37751.0"/>
        <n v="42099.0"/>
        <n v="13733.0"/>
        <n v="93199.0"/>
        <n v="79873.0"/>
        <n v="45292.0"/>
        <n v="59956.0"/>
        <n v="56669.0"/>
        <n v="22444.0"/>
        <n v="57095.0"/>
        <n v="59855.0"/>
        <n v="47734.0"/>
        <n v="99940.0"/>
        <n v="45493.0"/>
        <n v="17567.0"/>
        <n v="80793.0"/>
        <n v="53682.0"/>
        <n v="49179.0"/>
        <n v="46537.0"/>
        <n v="71928.0"/>
        <n v="62633.0"/>
        <n v="96678.0"/>
        <n v="29567.0"/>
        <n v="23436.0"/>
        <n v="40146.0"/>
        <n v="15004.0"/>
        <n v="24650.0"/>
        <n v="83965.0"/>
        <n v="90909.0"/>
        <n v="32550.0"/>
        <n v="58683.0"/>
        <n v="36258.0"/>
        <n v="39321.0"/>
        <n v="18795.0"/>
        <n v="18290.0"/>
        <n v="52199.0"/>
        <n v="45099.0"/>
        <n v="98894.0"/>
        <n v="55582.0"/>
        <n v="74405.0"/>
        <n v="67980.0"/>
        <n v="24295.0"/>
        <n v="73870.0"/>
        <n v="53719.0"/>
        <n v="94653.0"/>
        <n v="11161.0"/>
        <n v="36942.0"/>
        <n v="89282.0"/>
        <n v="23484.0"/>
        <n v="99833.0"/>
        <n v="76958.0"/>
        <n v="11490.0"/>
        <n v="48649.0"/>
        <n v="77686.0"/>
        <n v="87095.0"/>
        <n v="31733.0"/>
        <n v="41775.0"/>
        <n v="38499.0"/>
        <n v="54158.0"/>
        <n v="39086.0"/>
        <n v="28333.0"/>
        <n v="14869.0"/>
        <n v="90863.0"/>
        <n v="74559.0"/>
        <n v="59168.0"/>
        <n v="99458.0"/>
        <n v="63394.0"/>
        <n v="54265.0"/>
        <n v="86928.0"/>
        <n v="81002.0"/>
        <n v="60302.0"/>
        <n v="27614.0"/>
        <n v="24515.0"/>
        <n v="18166.0"/>
        <n v="73499.0"/>
        <n v="87814.0"/>
        <n v="47585.0"/>
        <n v="91578.0"/>
        <n v="29419.0"/>
        <n v="75019.0"/>
        <n v="74534.0"/>
        <n v="99255.0"/>
        <n v="82216.0"/>
        <n v="42151.0"/>
        <n v="35524.0"/>
        <n v="99411.0"/>
        <n v="75044.0"/>
        <n v="64043.0"/>
        <n v="83139.0"/>
        <n v="12824.0"/>
        <n v="24833.0"/>
        <n v="74923.0"/>
        <n v="80142.0"/>
        <n v="60175.0"/>
        <n v="98765.0"/>
        <n v="13791.0"/>
        <n v="30020.0"/>
        <n v="10580.0"/>
        <n v="90175.0"/>
        <n v="55660.0"/>
        <n v="80255.0"/>
        <n v="85304.0"/>
        <n v="21246.0"/>
        <n v="47109.0"/>
        <n v="49587.0"/>
        <n v="96526.0"/>
        <n v="38046.0"/>
        <n v="60417.0"/>
        <n v="73855.0"/>
        <n v="55397.0"/>
        <n v="86142.0"/>
        <n v="34761.0"/>
        <n v="85564.0"/>
        <n v="79196.0"/>
        <n v="48748.0"/>
        <n v="29047.0"/>
        <n v="52094.0"/>
        <n v="68735.0"/>
        <n v="42380.0"/>
        <n v="16519.0"/>
        <n v="91208.0"/>
        <n v="47098.0"/>
        <n v="13564.0"/>
        <n v="77472.0"/>
        <n v="94078.0"/>
        <n v="49251.0"/>
        <n v="13967.0"/>
        <n v="82020.0"/>
        <n v="47215.0"/>
        <n v="15623.0"/>
        <n v="38521.0"/>
        <n v="35007.0"/>
        <n v="59418.0"/>
        <n v="88644.0"/>
        <n v="57158.0"/>
        <n v="97897.0"/>
        <n v="53411.0"/>
        <n v="45612.0"/>
        <n v="64384.0"/>
        <n v="57352.0"/>
        <n v="44660.0"/>
        <n v="14871.0"/>
        <n v="33243.0"/>
        <n v="31199.0"/>
        <n v="61889.0"/>
        <n v="93475.0"/>
        <n v="94949.0"/>
        <n v="49155.0"/>
        <n v="17898.0"/>
        <n v="85654.0"/>
        <n v="22485.0"/>
        <n v="77190.0"/>
        <n v="74608.0"/>
        <n v="85430.0"/>
        <n v="75915.0"/>
        <n v="24761.0"/>
        <n v="72503.0"/>
        <n v="95615.0"/>
        <n v="17782.0"/>
        <n v="25297.0"/>
        <n v="93607.0"/>
        <n v="79585.0"/>
        <n v="24550.0"/>
        <n v="72829.0"/>
        <n v="64492.0"/>
        <n v="32179.0"/>
        <n v="90874.0"/>
        <n v="58762.0"/>
        <n v="28138.0"/>
        <n v="21056.0"/>
        <n v="70372.0"/>
        <n v="57003.0"/>
        <n v="34275.0"/>
        <n v="69070.0"/>
        <n v="64140.0"/>
        <n v="54344.0"/>
        <n v="49783.0"/>
        <n v="32190.0"/>
        <n v="67646.0"/>
        <n v="43139.0"/>
        <n v="60095.0"/>
        <n v="65504.0"/>
        <n v="28163.0"/>
        <n v="81107.0"/>
        <n v="53430.0"/>
        <n v="67859.0"/>
        <n v="50137.0"/>
        <n v="66643.0"/>
        <n v="67726.0"/>
        <n v="27037.0"/>
        <n v="64507.0"/>
        <n v="92519.0"/>
        <n v="85052.0"/>
        <n v="91990.0"/>
        <n v="67992.0"/>
        <n v="93328.0"/>
        <n v="44960.0"/>
        <n v="85377.0"/>
        <n v="32122.0"/>
        <n v="63109.0"/>
        <n v="29497.0"/>
        <n v="22614.0"/>
        <n v="17597.0"/>
        <n v="50727.0"/>
        <n v="22202.0"/>
        <n v="32625.0"/>
        <n v="99077.0"/>
        <n v="31277.0"/>
        <n v="15796.0"/>
        <n v="46903.0"/>
        <n v="19495.0"/>
        <n v="91480.0"/>
        <n v="20382.0"/>
        <n v="36616.0"/>
        <n v="53456.0"/>
        <n v="55641.0"/>
        <n v="23424.0"/>
        <n v="75241.0"/>
        <n v="39464.0"/>
        <n v="41345.0"/>
        <n v="10334.0"/>
        <n v="58326.0"/>
        <n v="48435.0"/>
        <n v="22793.0"/>
        <n v="55598.0"/>
        <n v="63326.0"/>
        <n v="97171.0"/>
        <n v="52184.0"/>
        <n v="12658.0"/>
        <n v="79098.0"/>
        <n v="12670.0"/>
        <n v="33000.0"/>
        <n v="34584.0"/>
        <n v="14344.0"/>
        <n v="21963.0"/>
        <n v="32546.0"/>
        <n v="48351.0"/>
        <n v="16246.0"/>
        <n v="35455.0"/>
        <n v="78192.0"/>
        <n v="63105.0"/>
        <n v="57203.0"/>
        <n v="45847.0"/>
        <n v="60641.0"/>
        <n v="37566.0"/>
        <n v="96591.0"/>
        <n v="25541.0"/>
        <n v="69345.0"/>
        <n v="12385.0"/>
        <n v="99474.0"/>
        <n v="78338.0"/>
        <n v="64500.0"/>
        <n v="29707.0"/>
        <n v="63203.0"/>
        <n v="44426.0"/>
        <n v="62271.0"/>
        <n v="70050.0"/>
        <n v="19584.0"/>
        <n v="13737.0"/>
        <n v="12697.0"/>
        <n v="57058.0"/>
        <n v="12184.0"/>
        <n v="51915.0"/>
        <n v="52312.0"/>
        <n v="29033.0"/>
        <n v="79672.0"/>
        <n v="68667.0"/>
        <n v="47929.0"/>
        <n v="66456.0"/>
        <n v="75023.0"/>
        <n v="36123.0"/>
        <n v="42352.0"/>
        <n v="70953.0"/>
        <n v="83045.0"/>
        <n v="29514.0"/>
        <n v="84198.0"/>
        <n v="77681.0"/>
        <n v="49105.0"/>
        <n v="29839.0"/>
        <n v="17275.0"/>
        <n v="24689.0"/>
        <n v="67015.0"/>
        <n v="21158.0"/>
        <n v="14696.0"/>
        <n v="93066.0"/>
        <n v="67228.0"/>
        <n v="92828.0"/>
        <n v="54178.0"/>
        <n v="14862.0"/>
        <n v="31017.0"/>
        <n v="68312.0"/>
        <n v="96844.0"/>
        <n v="36216.0"/>
        <n v="76098.0"/>
        <n v="37973.0"/>
        <n v="45712.0"/>
        <n v="54997.0"/>
        <n v="50971.0"/>
        <n v="65526.0"/>
        <n v="74303.0"/>
        <n v="31215.0"/>
        <n v="52410.0"/>
        <n v="68317.0"/>
        <n v="91711.0"/>
        <n v="79724.0"/>
        <n v="56536.0"/>
        <n v="18648.0"/>
        <n v="81929.0"/>
        <n v="20851.0"/>
        <n v="72148.0"/>
        <n v="25999.0"/>
        <n v="22975.0"/>
        <n v="62223.0"/>
        <n v="52206.0"/>
        <n v="64667.0"/>
        <n v="48618.0"/>
        <n v="91039.0"/>
        <n v="46321.0"/>
        <n v="13319.0"/>
        <n v="16968.0"/>
        <n v="59560.0"/>
        <n v="68978.0"/>
        <n v="35778.0"/>
        <n v="19349.0"/>
        <n v="48055.0"/>
        <n v="59736.0"/>
        <n v="74766.0"/>
        <n v="90049.0"/>
        <n v="12390.0"/>
        <n v="41731.0"/>
        <n v="93817.0"/>
        <n v="92161.0"/>
        <n v="71445.0"/>
        <n v="30564.0"/>
        <n v="76206.0"/>
        <n v="71220.0"/>
        <n v="73252.0"/>
        <n v="57265.0"/>
        <n v="54611.0"/>
        <n v="62332.0"/>
        <n v="42736.0"/>
        <n v="37877.0"/>
        <n v="30883.0"/>
        <n v="58605.0"/>
        <n v="98695.0"/>
        <n v="75225.0"/>
        <n v="18089.0"/>
        <n v="13531.0"/>
        <n v="49878.0"/>
        <n v="96466.0"/>
        <n v="12157.0"/>
        <n v="26896.0"/>
        <n v="35096.0"/>
        <n v="85014.0"/>
        <n v="90436.0"/>
        <n v="80159.0"/>
        <n v="83560.0"/>
        <n v="36849.0"/>
        <n v="60507.0"/>
        <n v="62447.0"/>
        <n v="25054.0"/>
        <n v="66487.0"/>
        <n v="42611.0"/>
        <n v="44378.0"/>
        <n v="91456.0"/>
        <n v="80491.0"/>
        <n v="66081.0"/>
        <n v="16392.0"/>
        <n v="62413.0"/>
        <n v="81825.0"/>
        <n v="92292.0"/>
        <n v="85224.0"/>
        <n v="59545.0"/>
        <n v="69880.0"/>
        <n v="17323.0"/>
        <n v="14171.0"/>
        <n v="81379.0"/>
        <n v="28912.0"/>
        <n v="91991.0"/>
        <n v="69470.0"/>
        <n v="21097.0"/>
        <n v="84305.0"/>
        <n v="84314.0"/>
        <n v="51208.0"/>
        <n v="73045.0"/>
        <n v="72249.0"/>
        <n v="57861.0"/>
        <n v="60157.0"/>
        <n v="41797.0"/>
        <n v="77711.0"/>
        <n v="84600.0"/>
        <n v="79056.0"/>
        <n v="85461.0"/>
        <n v="60875.0"/>
        <n v="22468.0"/>
        <n v="79825.0"/>
        <n v="99660.0"/>
        <n v="51838.0"/>
        <n v="52087.0"/>
        <n v="35530.0"/>
        <n v="13222.0"/>
        <n v="38613.0"/>
        <n v="72704.0"/>
        <n v="95350.0"/>
        <n v="62583.0"/>
        <n v="66109.0"/>
        <n v="87803.0"/>
        <n v="16022.0"/>
        <n v="97674.0"/>
        <n v="62559.0"/>
        <n v="98562.0"/>
        <n v="18019.0"/>
        <n v="44504.0"/>
        <n v="44449.0"/>
        <n v="37560.0"/>
        <n v="69272.0"/>
        <n v="97723.0"/>
        <n v="65768.0"/>
        <n v="48794.0"/>
        <n v="18958.0"/>
        <n v="82125.0"/>
        <n v="56664.0"/>
        <n v="23062.0"/>
        <n v="20961.0"/>
        <n v="97237.0"/>
        <n v="43420.0"/>
        <n v="92407.0"/>
        <n v="52034.0"/>
        <n v="87356.0"/>
        <n v="75868.0"/>
        <n v="65166.0"/>
        <n v="77679.0"/>
        <n v="88216.0"/>
        <n v="90147.0"/>
        <n v="91809.0"/>
        <n v="20151.0"/>
        <n v="37778.0"/>
        <n v="39067.0"/>
        <n v="49782.0"/>
        <n v="12037.0"/>
        <n v="72224.0"/>
        <n v="34706.0"/>
        <n v="16982.0"/>
        <n v="35549.0"/>
        <n v="57838.0"/>
        <n v="74946.0"/>
        <n v="35115.0"/>
        <n v="93478.0"/>
        <n v="57975.0"/>
        <n v="88464.0"/>
        <n v="36185.0"/>
        <n v="35075.0"/>
        <n v="82166.0"/>
        <n v="19992.0"/>
        <n v="40319.0"/>
        <n v="85572.0"/>
        <n v="61427.0"/>
        <n v="39951.0"/>
        <n v="11595.0"/>
        <n v="70713.0"/>
        <n v="42092.0"/>
        <n v="17336.0"/>
        <n v="13336.0"/>
        <n v="26810.0"/>
        <n v="71107.0"/>
        <n v="11392.0"/>
        <n v="17198.0"/>
        <n v="48480.0"/>
        <n v="29174.0"/>
        <n v="88270.0"/>
        <n v="87952.0"/>
        <n v="74961.0"/>
        <n v="26090.0"/>
        <n v="21860.0"/>
        <n v="59100.0"/>
        <n v="69433.0"/>
        <n v="52565.0"/>
        <n v="89150.0"/>
        <n v="32159.0"/>
        <n v="61835.0"/>
        <n v="34454.0"/>
        <n v="37461.0"/>
        <n v="68470.0"/>
        <n v="19011.0"/>
        <n v="47488.0"/>
        <n v="50049.0"/>
        <n v="52654.0"/>
        <n v="67674.0"/>
        <n v="81946.0"/>
        <n v="31872.0"/>
        <n v="66268.0"/>
        <n v="27879.0"/>
        <n v="55823.0"/>
        <n v="11175.0"/>
        <n v="82188.0"/>
        <n v="49745.0"/>
        <n v="54762.0"/>
        <n v="26151.0"/>
        <n v="48888.0"/>
        <n v="61689.0"/>
        <n v="49328.0"/>
        <n v="33353.0"/>
        <n v="82956.0"/>
        <n v="53119.0"/>
        <n v="36720.0"/>
        <n v="22268.0"/>
        <n v="53835.0"/>
        <n v="25265.0"/>
        <n v="41817.0"/>
        <n v="81440.0"/>
        <n v="71836.0"/>
        <n v="75619.0"/>
        <n v="80466.0"/>
        <n v="18625.0"/>
        <n v="21054.0"/>
        <n v="11517.0"/>
        <n v="23456.0"/>
        <n v="56617.0"/>
        <n v="92002.0"/>
        <n v="73223.0"/>
        <n v="84862.0"/>
        <n v="62364.0"/>
        <n v="13373.0"/>
        <n v="36566.0"/>
        <n v="57743.0"/>
        <n v="85988.0"/>
        <n v="60251.0"/>
        <n v="45058.0"/>
        <n v="40666.0"/>
        <n v="86716.0"/>
        <n v="99876.0"/>
        <n v="96802.0"/>
        <n v="63939.0"/>
        <n v="52085.0"/>
        <n v="86478.0"/>
        <n v="49058.0"/>
        <n v="44868.0"/>
        <n v="58644.0"/>
        <n v="80992.0"/>
        <n v="23325.0"/>
        <n v="66767.0"/>
        <n v="98218.0"/>
        <n v="60212.0"/>
        <n v="88981.0"/>
        <n v="56656.0"/>
        <n v="67080.0"/>
        <n v="82157.0"/>
        <n v="65088.0"/>
        <n v="62786.0"/>
        <n v="20246.0"/>
        <n v="14992.0"/>
        <n v="28763.0"/>
        <n v="44519.0"/>
        <n v="73698.0"/>
        <n v="41619.0"/>
        <n v="24576.0"/>
        <n v="43051.0"/>
        <n v="55020.0"/>
        <n v="32456.0"/>
        <n v="43647.0"/>
        <n v="42121.0"/>
        <n v="38871.0"/>
        <n v="81109.0"/>
        <n v="75220.0"/>
        <n v="43019.0"/>
        <n v="83809.0"/>
        <n v="63376.0"/>
        <n v="36990.0"/>
        <n v="44583.0"/>
        <n v="40751.0"/>
        <n v="97190.0"/>
        <n v="21289.0"/>
        <n v="39662.0"/>
        <n v="44461.0"/>
        <n v="51510.0"/>
        <n v="86614.0"/>
        <n v="90761.0"/>
        <n v="36868.0"/>
        <n v="43832.0"/>
        <n v="79772.0"/>
        <n v="72455.0"/>
        <n v="72490.0"/>
        <n v="40800.0"/>
        <n v="86255.0"/>
        <n v="22560.0"/>
        <n v="39553.0"/>
        <n v="82632.0"/>
        <n v="50553.0"/>
        <n v="38728.0"/>
        <n v="43032.0"/>
        <n v="60086.0"/>
        <n v="93305.0"/>
        <n v="63758.0"/>
        <n v="64153.0"/>
        <n v="86392.0"/>
        <n v="87872.0"/>
        <n v="58935.0"/>
        <n v="39632.0"/>
        <n v="19611.0"/>
        <n v="30850.0"/>
        <n v="87329.0"/>
        <n v="73207.0"/>
        <n v="55515.0"/>
        <n v="92035.0"/>
        <n v="83930.0"/>
        <n v="67919.0"/>
        <n v="96081.0"/>
        <n v="92484.0"/>
        <n v="93008.0"/>
        <n v="61576.0"/>
        <n v="75902.0"/>
        <n v="33023.0"/>
        <n v="60225.0"/>
        <n v="56905.0"/>
        <n v="33634.0"/>
        <n v="85240.0"/>
        <n v="11818.0"/>
        <n v="20224.0"/>
        <n v="12662.0"/>
        <n v="95297.0"/>
        <n v="24915.0"/>
        <n v="71486.0"/>
        <n v="30014.0"/>
        <n v="37203.0"/>
        <n v="53697.0"/>
        <n v="27588.0"/>
        <n v="65857.0"/>
        <n v="41371.0"/>
        <n v="84496.0"/>
        <n v="87781.0"/>
        <n v="99258.0"/>
        <n v="49968.0"/>
        <n v="16961.0"/>
        <n v="76660.0"/>
        <n v="44822.0"/>
        <n v="41174.0"/>
        <n v="86034.0"/>
        <n v="15276.0"/>
        <n v="71049.0"/>
        <n v="64916.0"/>
        <n v="78460.0"/>
        <n v="42734.0"/>
        <n v="35039.0"/>
        <n v="63071.0"/>
        <n v="21233.0"/>
        <n v="13360.0"/>
        <n v="37047.0"/>
        <n v="30852.0"/>
        <n v="14649.0"/>
        <n v="98660.0"/>
        <n v="74293.0"/>
        <n v="92901.0"/>
        <n v="66680.0"/>
        <n v="56610.0"/>
        <n v="66989.0"/>
        <n v="28238.0"/>
        <n v="47247.0"/>
        <n v="82843.0"/>
        <n v="64566.0"/>
        <n v="41219.0"/>
        <n v="49352.0"/>
        <n v="47133.0"/>
        <n v="79829.0"/>
        <n v="64765.0"/>
        <n v="55537.0"/>
        <n v="38529.0"/>
        <n v="31671.0"/>
        <n v="35368.0"/>
        <n v="37017.0"/>
        <n v="47278.0"/>
        <n v="34088.0"/>
        <n v="24971.0"/>
        <n v="17843.0"/>
        <n v="32705.0"/>
        <n v="84254.0"/>
        <n v="27071.0"/>
        <n v="35774.0"/>
        <n v="96515.0"/>
        <n v="42468.0"/>
        <n v="33549.0"/>
        <n v="90226.0"/>
        <n v="63613.0"/>
        <n v="41858.0"/>
        <n v="57304.0"/>
        <n v="49075.0"/>
        <n v="63703.0"/>
        <n v="84873.0"/>
        <n v="94589.0"/>
        <n v="30522.0"/>
        <n v="54046.0"/>
        <n v="57914.0"/>
        <n v="86690.0"/>
        <n v="54592.0"/>
        <n v="30494.0"/>
        <n v="45954.0"/>
        <n v="82694.0"/>
        <n v="21178.0"/>
        <n v="94550.0"/>
        <n v="22902.0"/>
        <n v="57259.0"/>
        <n v="60012.0"/>
        <n v="38144.0"/>
        <n v="14783.0"/>
        <n v="10536.0"/>
        <n v="75630.0"/>
        <n v="42031.0"/>
        <n v="49505.0"/>
        <n v="10015.0"/>
        <n v="39622.0"/>
        <n v="10068.0"/>
        <n v="57401.0"/>
        <n v="16675.0"/>
        <n v="73131.0"/>
        <n v="99071.0"/>
        <n v="75950.0"/>
        <n v="20397.0"/>
        <n v="13028.0"/>
        <n v="24068.0"/>
        <n v="88717.0"/>
        <n v="49064.0"/>
        <n v="78518.0"/>
        <n v="69229.0"/>
        <n v="40641.0"/>
        <n v="28063.0"/>
        <n v="50263.0"/>
        <n v="41512.0"/>
        <n v="80716.0"/>
        <n v="48152.0"/>
        <n v="72880.0"/>
        <n v="56372.0"/>
        <n v="54472.0"/>
        <n v="35221.0"/>
        <n v="94687.0"/>
        <n v="12129.0"/>
        <n v="53443.0"/>
        <n v="97974.0"/>
        <n v="76487.0"/>
        <n v="19568.0"/>
        <n v="15800.0"/>
        <n v="68966.0"/>
        <n v="32713.0"/>
        <n v="59825.0"/>
        <n v="14756.0"/>
        <n v="93006.0"/>
        <n v="54203.0"/>
        <n v="15937.0"/>
        <n v="46465.0"/>
        <n v="35646.0"/>
        <n v="33180.0"/>
        <n v="31860.0"/>
        <n v="14091.0"/>
        <n v="42023.0"/>
        <n v="36565.0"/>
        <n v="17469.0"/>
        <n v="52305.0"/>
        <n v="14794.0"/>
        <n v="72478.0"/>
        <n v="98903.0"/>
        <n v="97192.0"/>
        <n v="98581.0"/>
        <n v="72949.0"/>
        <n v="90870.0"/>
        <n v="64643.0"/>
        <n v="35537.0"/>
        <n v="52843.0"/>
        <n v="41767.0"/>
        <n v="31183.0"/>
        <n v="79161.0"/>
        <n v="21071.0"/>
        <n v="29957.0"/>
        <n v="16787.0"/>
        <n v="71717.0"/>
        <n v="63296.0"/>
        <n v="70574.0"/>
        <n v="85350.0"/>
        <n v="27608.0"/>
        <n v="51061.0"/>
        <n v="88532.0"/>
        <n v="96442.0"/>
        <n v="36272.0"/>
        <n v="41440.0"/>
        <n v="62542.0"/>
        <n v="46081.0"/>
        <n v="87215.0"/>
        <n v="95831.0"/>
        <n v="99142.0"/>
        <n v="34395.0"/>
        <n v="79755.0"/>
        <n v="67956.0"/>
        <n v="87399.0"/>
        <n v="93832.0"/>
        <n v="86282.0"/>
        <n v="58725.0"/>
        <n v="80231.0"/>
        <n v="73201.0"/>
        <n v="69770.0"/>
        <n v="99109.0"/>
        <n v="39273.0"/>
        <n v="82851.0"/>
        <n v="94122.0"/>
        <n v="37653.0"/>
        <n v="56386.0"/>
        <n v="75563.0"/>
        <n v="51904.0"/>
        <n v="34748.0"/>
        <n v="12301.0"/>
        <n v="42128.0"/>
        <n v="52335.0"/>
        <n v="39144.0"/>
        <n v="77910.0"/>
        <n v="89949.0"/>
        <n v="70846.0"/>
        <n v="22788.0"/>
        <n v="15971.0"/>
        <n v="14836.0"/>
        <n v="29671.0"/>
        <n v="11212.0"/>
        <n v="57184.0"/>
        <n v="75339.0"/>
        <n v="81965.0"/>
        <n v="69022.0"/>
        <n v="25354.0"/>
        <n v="68572.0"/>
        <n v="74333.0"/>
        <n v="40214.0"/>
        <n v="63614.0"/>
        <n v="49498.0"/>
        <n v="78041.0"/>
        <n v="68659.0"/>
        <n v="21255.0"/>
        <n v="54069.0"/>
        <n v="15359.0"/>
        <n v="71256.0"/>
        <n v="56546.0"/>
        <n v="70440.0"/>
        <n v="59917.0"/>
        <n v="87567.0"/>
        <n v="83219.0"/>
        <n v="89048.0"/>
        <n v="92296.0"/>
        <n v="29177.0"/>
        <n v="75286.0"/>
        <n v="57691.0"/>
        <n v="78123.0"/>
        <n v="25581.0"/>
        <n v="15899.0"/>
        <n v="49351.0"/>
        <n v="60062.0"/>
        <n v="13121.0"/>
        <n v="89787.0"/>
        <n v="69013.0"/>
        <n v="36484.0"/>
        <n v="14524.0"/>
        <n v="68864.0"/>
        <n v="13032.0"/>
        <n v="91225.0"/>
        <n v="22910.0"/>
        <n v="33153.0"/>
        <n v="38395.0"/>
        <n v="64385.0"/>
        <n v="35493.0"/>
        <n v="89979.0"/>
        <n v="24152.0"/>
        <n v="22414.0"/>
        <n v="19656.0"/>
        <n v="80773.0"/>
        <n v="42327.0"/>
        <n v="60346.0"/>
        <n v="24359.0"/>
        <n v="26190.0"/>
        <n v="67088.0"/>
        <n v="13557.0"/>
        <n v="45797.0"/>
        <n v="50963.0"/>
        <n v="38624.0"/>
        <n v="87047.0"/>
        <n v="35587.0"/>
        <n v="73490.0"/>
        <n v="71253.0"/>
        <n v="44938.0"/>
        <n v="43399.0"/>
        <n v="44942.0"/>
        <n v="79679.0"/>
        <n v="35408.0"/>
        <n v="52754.0"/>
        <n v="59991.0"/>
        <n v="65240.0"/>
        <n v="89898.0"/>
        <n v="86802.0"/>
        <n v="86926.0"/>
        <n v="22296.0"/>
        <n v="87610.0"/>
        <n v="86871.0"/>
        <n v="51805.0"/>
        <n v="60525.0"/>
        <n v="83882.0"/>
        <n v="57464.0"/>
        <n v="55776.0"/>
        <n v="62730.0"/>
        <n v="30028.0"/>
        <n v="85906.0"/>
        <n v="62853.0"/>
        <n v="35374.0"/>
        <n v="86128.0"/>
        <n v="31284.0"/>
        <n v="28207.0"/>
        <n v="70569.0"/>
        <n v="59274.0"/>
        <n v="39748.0"/>
        <n v="97298.0"/>
        <n v="21933.0"/>
        <n v="72103.0"/>
        <n v="30325.0"/>
        <n v="87954.0"/>
        <n v="43975.0"/>
        <n v="82594.0"/>
        <n v="90159.0"/>
        <n v="51702.0"/>
        <n v="29255.0"/>
        <n v="25138.0"/>
        <n v="86775.0"/>
        <n v="28779.0"/>
        <n v="41974.0"/>
        <n v="46390.0"/>
        <n v="37799.0"/>
        <n v="82664.0"/>
        <n v="17279.0"/>
        <n v="58087.0"/>
        <n v="98880.0"/>
        <n v="97988.0"/>
        <n v="85803.0"/>
        <n v="92796.0"/>
        <n v="43605.0"/>
        <n v="72741.0"/>
        <n v="30810.0"/>
        <n v="27723.0"/>
        <n v="79516.0"/>
        <n v="57725.0"/>
        <n v="74406.0"/>
        <n v="69180.0"/>
        <n v="54737.0"/>
        <n v="38615.0"/>
        <n v="84376.0"/>
        <n v="18384.0"/>
        <n v="47481.0"/>
        <n v="55834.0"/>
        <n v="50636.0"/>
        <n v="23016.0"/>
        <n v="89688.0"/>
        <n v="93874.0"/>
        <n v="44922.0"/>
        <n v="43095.0"/>
        <n v="16179.0"/>
        <n v="41408.0"/>
        <n v="76192.0"/>
        <n v="84482.0"/>
        <n v="84340.0"/>
        <n v="24019.0"/>
        <n v="98287.0"/>
        <n v="95381.0"/>
        <n v="67024.0"/>
        <n v="85937.0"/>
        <n v="81044.0"/>
        <n v="19164.0"/>
        <n v="67076.0"/>
        <n v="18270.0"/>
        <n v="48621.0"/>
        <n v="34479.0"/>
        <n v="19237.0"/>
        <n v="47603.0"/>
        <n v="35848.0"/>
        <n v="90716.0"/>
        <n v="77443.0"/>
        <n v="36321.0"/>
        <n v="52083.0"/>
        <n v="48318.0"/>
        <n v="10445.0"/>
        <n v="60698.0"/>
        <n v="41117.0"/>
        <n v="51738.0"/>
        <n v="63000.0"/>
        <n v="53861.0"/>
        <n v="65443.0"/>
        <n v="77172.0"/>
        <n v="41173.0"/>
        <n v="91718.0"/>
        <n v="16603.0"/>
        <n v="35510.0"/>
        <n v="92176.0"/>
        <n v="15309.0"/>
        <n v="61047.0"/>
        <n v="58637.0"/>
        <n v="29963.0"/>
        <n v="79247.0"/>
        <n v="85493.0"/>
        <n v="60679.0"/>
        <n v="46679.0"/>
        <n v="61938.0"/>
        <n v="10450.0"/>
        <n v="22716.0"/>
        <n v="29157.0"/>
        <n v="59726.0"/>
        <n v="91619.0"/>
        <n v="85729.0"/>
        <n v="22633.0"/>
        <n v="46688.0"/>
        <n v="33706.0"/>
        <n v="95684.0"/>
        <n v="72653.0"/>
        <n v="20558.0"/>
        <n v="63355.0"/>
        <n v="78697.0"/>
        <n v="12354.0"/>
        <n v="74852.0"/>
        <n v="95539.0"/>
        <n v="68089.0"/>
        <n v="12493.0"/>
        <n v="35806.0"/>
        <n v="93941.0"/>
        <n v="70880.0"/>
        <n v="83451.0"/>
        <n v="85992.0"/>
        <n v="52078.0"/>
        <n v="62173.0"/>
        <n v="91060.0"/>
        <n v="94702.0"/>
        <n v="85944.0"/>
        <n v="78842.0"/>
        <n v="41350.0"/>
        <n v="68184.0"/>
        <n v="17314.0"/>
        <n v="30843.0"/>
        <n v="52827.0"/>
        <n v="27987.0"/>
        <n v="70311.0"/>
        <n v="66386.0"/>
        <n v="72524.0"/>
        <n v="39890.0"/>
        <n v="60647.0"/>
        <n v="42154.0"/>
        <n v="57800.0"/>
        <n v="96346.0"/>
        <n v="94609.0"/>
        <n v="57526.0"/>
        <n v="19350.0"/>
        <n v="11839.0"/>
        <n v="68236.0"/>
        <n v="65697.0"/>
        <n v="71127.0"/>
        <n v="84106.0"/>
        <n v="96680.0"/>
        <n v="89343.0"/>
        <n v="86526.0"/>
        <n v="12119.0"/>
        <n v="12052.0"/>
        <n v="20864.0"/>
        <n v="53653.0"/>
        <n v="37076.0"/>
        <n v="16323.0"/>
        <n v="51574.0"/>
        <n v="23654.0"/>
        <n v="64894.0"/>
        <n v="78547.0"/>
        <n v="50413.0"/>
        <n v="43488.0"/>
        <n v="83167.0"/>
        <n v="85233.0"/>
        <n v="81930.0"/>
        <n v="21470.0"/>
        <n v="28493.0"/>
        <n v="25609.0"/>
        <n v="61827.0"/>
        <n v="33365.0"/>
        <n v="45361.0"/>
        <n v="38507.0"/>
        <n v="12418.0"/>
        <n v="67436.0"/>
        <n v="62921.0"/>
        <n v="18472.0"/>
        <n v="13622.0"/>
        <n v="86627.0"/>
        <n v="17428.0"/>
        <n v="22847.0"/>
        <n v="42583.0"/>
        <n v="79001.0"/>
        <n v="38102.0"/>
        <n v="87189.0"/>
        <n v="88281.0"/>
        <n v="97184.0"/>
        <n v="86089.0"/>
        <n v="78715.0"/>
        <n v="45908.0"/>
        <n v="66545.0"/>
        <n v="55323.0"/>
        <n v="27961.0"/>
        <n v="97516.0"/>
        <n v="35740.0"/>
        <n v="59765.0"/>
        <n v="16266.0"/>
        <n v="70948.0"/>
        <n v="37474.0"/>
        <n v="33017.0"/>
        <n v="84715.0"/>
        <n v="64025.0"/>
        <n v="44229.0"/>
        <n v="84786.0"/>
        <n v="76941.0"/>
        <n v="46459.0"/>
        <n v="19720.0"/>
        <n v="54345.0"/>
        <n v="63407.0"/>
        <n v="68029.0"/>
        <n v="81118.0"/>
        <n v="70204.0"/>
        <n v="61819.0"/>
        <n v="57772.0"/>
        <n v="52466.0"/>
        <n v="24208.0"/>
        <n v="21351.0"/>
        <n v="37227.0"/>
        <n v="42663.0"/>
        <n v="76522.0"/>
        <n v="20843.0"/>
        <n v="27616.0"/>
        <n v="49096.0"/>
        <n v="22618.0"/>
        <n v="46959.0"/>
        <n v="36464.0"/>
        <n v="52128.0"/>
        <n v="42379.0"/>
        <n v="44474.0"/>
        <n v="67379.0"/>
        <n v="48074.0"/>
        <n v="10863.0"/>
        <n v="89715.0"/>
        <n v="12985.0"/>
        <n v="10072.0"/>
        <n v="65642.0"/>
        <n v="76215.0"/>
        <n v="89565.0"/>
        <n v="14363.0"/>
        <n v="82942.0"/>
        <n v="86778.0"/>
        <n v="99272.0"/>
        <n v="80202.0"/>
        <n v="22289.0"/>
        <n v="98154.0"/>
        <n v="46047.0"/>
        <n v="25852.0"/>
        <n v="51041.0"/>
        <n v="73820.0"/>
        <n v="71572.0"/>
        <n v="23601.0"/>
        <n v="36164.0"/>
        <n v="85231.0"/>
        <n v="96179.0"/>
        <n v="47565.0"/>
        <n v="98321.0"/>
        <n v="34347.0"/>
        <n v="97588.0"/>
        <n v="27878.0"/>
        <n v="87245.0"/>
        <n v="15561.0"/>
        <n v="55455.0"/>
        <n v="55613.0"/>
        <n v="32402.0"/>
        <n v="13109.0"/>
        <n v="36593.0"/>
        <n v="13536.0"/>
        <n v="47085.0"/>
        <n v="30879.0"/>
        <n v="72047.0"/>
        <n v="44872.0"/>
        <n v="96424.0"/>
        <n v="31413.0"/>
        <n v="16818.0"/>
        <n v="20235.0"/>
        <n v="36212.0"/>
        <n v="40627.0"/>
        <n v="67386.0"/>
        <n v="38811.0"/>
        <n v="10491.0"/>
        <n v="48995.0"/>
        <n v="44244.0"/>
        <n v="28140.0"/>
        <n v="96257.0"/>
        <n v="57075.0"/>
        <n v="20228.0"/>
        <n v="81096.0"/>
        <n v="59919.0"/>
        <n v="76431.0"/>
        <n v="78722.0"/>
        <n v="54506.0"/>
        <n v="91219.0"/>
        <n v="36687.0"/>
        <n v="97893.0"/>
        <n v="69637.0"/>
        <n v="64803.0"/>
        <n v="94503.0"/>
        <n v="36635.0"/>
        <n v="59416.0"/>
        <n v="79542.0"/>
        <n v="25725.0"/>
        <n v="42585.0"/>
        <n v="11217.0"/>
        <n v="76081.0"/>
        <n v="95141.0"/>
        <n v="36770.0"/>
        <n v="74466.0"/>
        <n v="35803.0"/>
        <n v="94424.0"/>
        <n v="38506.0"/>
        <n v="64432.0"/>
        <n v="65534.0"/>
        <n v="84171.0"/>
        <n v="91496.0"/>
        <n v="67187.0"/>
        <n v="50359.0"/>
        <n v="52545.0"/>
        <n v="22390.0"/>
        <n v="13327.0"/>
        <n v="59014.0"/>
        <n v="83512.0"/>
        <n v="82252.0"/>
        <n v="52313.0"/>
        <n v="41905.0"/>
        <n v="31755.0"/>
        <n v="22545.0"/>
        <n v="27085.0"/>
        <n v="62862.0"/>
        <n v="62544.0"/>
        <n v="72696.0"/>
        <n v="96358.0"/>
        <n v="25597.0"/>
        <n v="35123.0"/>
        <n v="80471.0"/>
        <n v="78499.0"/>
        <n v="39627.0"/>
        <n v="46489.0"/>
        <n v="99740.0"/>
        <n v="89198.0"/>
      </sharedItems>
    </cacheField>
    <cacheField name="State" numFmtId="0">
      <sharedItems>
        <s v="CA"/>
        <s v="NY"/>
        <s v="TX"/>
        <s v="IL"/>
        <s v="FL"/>
      </sharedItems>
    </cacheField>
    <cacheField name="Bedrooms" numFmtId="0">
      <sharedItems>
        <s v="1 bds"/>
        <s v="6 bds"/>
        <s v="3 bds"/>
        <s v="5 bds"/>
        <s v="2 bds"/>
        <s v="4 bds"/>
      </sharedItems>
    </cacheField>
    <cacheField name="Bathrooms" numFmtId="0">
      <sharedItems>
        <s v="3 ba"/>
        <s v="1 ba"/>
        <s v="2 ba"/>
        <s v="4 ba"/>
      </sharedItems>
    </cacheField>
    <cacheField name="Area (Sqft)" numFmtId="0">
      <sharedItems containsSemiMixedTypes="0" containsString="0" containsNumber="1" containsInteger="1">
        <n v="772.0"/>
        <n v="2107.0"/>
        <n v="3630.0"/>
        <n v="2943.0"/>
        <n v="1711.0"/>
        <n v="1177.0"/>
        <n v="1990.0"/>
        <n v="1008.0"/>
        <n v="929.0"/>
        <n v="2094.0"/>
        <n v="2350.0"/>
        <n v="1824.0"/>
        <n v="2746.0"/>
        <n v="3387.0"/>
        <n v="1451.0"/>
        <n v="2351.0"/>
        <n v="722.0"/>
        <n v="2356.0"/>
        <n v="1156.0"/>
        <n v="1554.0"/>
        <n v="982.0"/>
        <n v="3164.0"/>
        <n v="3663.0"/>
        <n v="2966.0"/>
        <n v="3814.0"/>
        <n v="1583.0"/>
        <n v="743.0"/>
        <n v="1165.0"/>
        <n v="908.0"/>
        <n v="1475.0"/>
        <n v="3892.0"/>
        <n v="3156.0"/>
        <n v="1752.0"/>
        <n v="3778.0"/>
        <n v="3551.0"/>
        <n v="3640.0"/>
        <n v="1396.0"/>
        <n v="3442.0"/>
        <n v="3641.0"/>
        <n v="824.0"/>
        <n v="3704.0"/>
        <n v="3150.0"/>
        <n v="1130.0"/>
        <n v="2418.0"/>
        <n v="641.0"/>
        <n v="692.0"/>
        <n v="1718.0"/>
        <n v="1515.0"/>
        <n v="3201.0"/>
        <n v="3249.0"/>
        <n v="2192.0"/>
        <n v="2983.0"/>
        <n v="1143.0"/>
        <n v="1004.0"/>
        <n v="1266.0"/>
        <n v="3080.0"/>
        <n v="2383.0"/>
        <n v="659.0"/>
        <n v="3082.0"/>
        <n v="2654.0"/>
        <n v="3410.0"/>
        <n v="3593.0"/>
        <n v="3368.0"/>
        <n v="1071.0"/>
        <n v="2403.0"/>
        <n v="3515.0"/>
        <n v="1640.0"/>
        <n v="1398.0"/>
        <n v="2153.0"/>
        <n v="3539.0"/>
        <n v="1088.0"/>
        <n v="1970.0"/>
        <n v="1647.0"/>
        <n v="2892.0"/>
        <n v="3267.0"/>
        <n v="2042.0"/>
        <n v="3482.0"/>
        <n v="1949.0"/>
        <n v="3978.0"/>
        <n v="2977.0"/>
        <n v="2199.0"/>
        <n v="2960.0"/>
        <n v="862.0"/>
        <n v="2552.0"/>
        <n v="1495.0"/>
        <n v="2930.0"/>
        <n v="2849.0"/>
        <n v="3594.0"/>
        <n v="3351.0"/>
        <n v="2080.0"/>
        <n v="787.0"/>
        <n v="2342.0"/>
        <n v="2761.0"/>
        <n v="3887.0"/>
        <n v="2093.0"/>
        <n v="903.0"/>
        <n v="2310.0"/>
        <n v="3527.0"/>
        <n v="1224.0"/>
        <n v="2543.0"/>
        <n v="3638.0"/>
        <n v="3185.0"/>
        <n v="2669.0"/>
        <n v="1012.0"/>
        <n v="1741.0"/>
        <n v="734.0"/>
        <n v="3407.0"/>
        <n v="1232.0"/>
        <n v="2665.0"/>
        <n v="3454.0"/>
        <n v="3944.0"/>
        <n v="3037.0"/>
        <n v="2796.0"/>
        <n v="2671.0"/>
        <n v="1540.0"/>
        <n v="3428.0"/>
        <n v="2284.0"/>
        <n v="1506.0"/>
        <n v="2154.0"/>
        <n v="3420.0"/>
        <n v="2666.0"/>
        <n v="3411.0"/>
        <n v="1628.0"/>
        <n v="2452.0"/>
        <n v="3060.0"/>
        <n v="1800.0"/>
        <n v="1809.0"/>
        <n v="3061.0"/>
        <n v="2988.0"/>
        <n v="2897.0"/>
        <n v="3524.0"/>
        <n v="963.0"/>
        <n v="2701.0"/>
        <n v="904.0"/>
        <n v="3000.0"/>
        <n v="2573.0"/>
        <n v="3733.0"/>
        <n v="3232.0"/>
        <n v="1624.0"/>
        <n v="2722.0"/>
        <n v="3935.0"/>
        <n v="2348.0"/>
        <n v="939.0"/>
        <n v="1845.0"/>
        <n v="803.0"/>
        <n v="1842.0"/>
        <n v="3603.0"/>
        <n v="3377.0"/>
        <n v="2633.0"/>
        <n v="2785.0"/>
        <n v="1905.0"/>
        <n v="3019.0"/>
        <n v="3728.0"/>
        <n v="1448.0"/>
        <n v="2607.0"/>
        <n v="1418.0"/>
        <n v="2037.0"/>
        <n v="1385.0"/>
        <n v="3225.0"/>
        <n v="1102.0"/>
        <n v="2616.0"/>
        <n v="2547.0"/>
        <n v="3481.0"/>
        <n v="3651.0"/>
        <n v="2347.0"/>
        <n v="605.0"/>
        <n v="1053.0"/>
        <n v="1430.0"/>
        <n v="3871.0"/>
        <n v="2531.0"/>
        <n v="3167.0"/>
        <n v="1874.0"/>
        <n v="1084.0"/>
        <n v="1268.0"/>
        <n v="1383.0"/>
        <n v="1942.0"/>
        <n v="3763.0"/>
        <n v="2946.0"/>
        <n v="3845.0"/>
        <n v="2424.0"/>
        <n v="782.0"/>
        <n v="1066.0"/>
        <n v="2842.0"/>
        <n v="3566.0"/>
        <n v="2648.0"/>
        <n v="1860.0"/>
        <n v="764.0"/>
        <n v="3929.0"/>
        <n v="1287.0"/>
        <n v="1000.0"/>
        <n v="2585.0"/>
        <n v="2784.0"/>
        <n v="2702.0"/>
        <n v="877.0"/>
        <n v="2428.0"/>
        <n v="1832.0"/>
        <n v="3367.0"/>
        <n v="2514.0"/>
        <n v="878.0"/>
        <n v="2623.0"/>
        <n v="1065.0"/>
        <n v="3930.0"/>
        <n v="2715.0"/>
        <n v="820.0"/>
        <n v="3131.0"/>
        <n v="830.0"/>
        <n v="1977.0"/>
        <n v="2762.0"/>
        <n v="3655.0"/>
        <n v="1300.0"/>
        <n v="1577.0"/>
        <n v="2645.0"/>
        <n v="665.0"/>
        <n v="3824.0"/>
        <n v="3549.0"/>
        <n v="2329.0"/>
        <n v="2307.0"/>
        <n v="2345.0"/>
        <n v="3288.0"/>
        <n v="2128.0"/>
        <n v="1166.0"/>
        <n v="1051.0"/>
        <n v="1100.0"/>
        <n v="1310.0"/>
        <n v="1141.0"/>
        <n v="1907.0"/>
        <n v="3346.0"/>
        <n v="1684.0"/>
        <n v="1816.0"/>
        <n v="2465.0"/>
        <n v="3103.0"/>
        <n v="1081.0"/>
        <n v="1668.0"/>
        <n v="1086.0"/>
        <n v="2581.0"/>
        <n v="2931.0"/>
        <n v="3176.0"/>
        <n v="1262.0"/>
        <n v="912.0"/>
        <n v="2206.0"/>
        <n v="726.0"/>
        <n v="3255.0"/>
        <n v="1806.0"/>
        <n v="3166.0"/>
        <n v="2241.0"/>
        <n v="2584.0"/>
        <n v="2075.0"/>
        <n v="919.0"/>
        <n v="2014.0"/>
        <n v="2064.0"/>
        <n v="1801.0"/>
        <n v="2021.0"/>
        <n v="1895.0"/>
        <n v="2228.0"/>
        <n v="2332.0"/>
        <n v="2089.0"/>
        <n v="881.0"/>
        <n v="2741.0"/>
        <n v="2997.0"/>
        <n v="1658.0"/>
        <n v="1144.0"/>
        <n v="2700.0"/>
        <n v="3421.0"/>
        <n v="3111.0"/>
        <n v="3560.0"/>
        <n v="1173.0"/>
        <n v="1380.0"/>
        <n v="3427.0"/>
        <n v="3026.0"/>
        <n v="3119.0"/>
        <n v="2786.0"/>
        <n v="1392.0"/>
        <n v="3679.0"/>
        <n v="2229.0"/>
        <n v="1697.0"/>
        <n v="1334.0"/>
        <n v="2625.0"/>
        <n v="2609.0"/>
        <n v="2480.0"/>
        <n v="3946.0"/>
        <n v="1360.0"/>
        <n v="975.0"/>
        <n v="3658.0"/>
        <n v="899.0"/>
        <n v="705.0"/>
        <n v="1298.0"/>
        <n v="3779.0"/>
        <n v="1482.0"/>
        <n v="838.0"/>
        <n v="3059.0"/>
        <n v="620.0"/>
        <n v="1184.0"/>
        <n v="3777.0"/>
        <n v="644.0"/>
        <n v="2789.0"/>
        <n v="3003.0"/>
        <n v="3207.0"/>
        <n v="3189.0"/>
        <n v="3905.0"/>
        <n v="2240.0"/>
        <n v="2258.0"/>
        <n v="2594.0"/>
        <n v="745.0"/>
        <n v="656.0"/>
        <n v="2110.0"/>
        <n v="1213.0"/>
        <n v="3116.0"/>
        <n v="1727.0"/>
        <n v="3040.0"/>
        <n v="1447.0"/>
        <n v="887.0"/>
        <n v="3242.0"/>
        <n v="1597.0"/>
        <n v="3165.0"/>
        <n v="3031.0"/>
        <n v="1445.0"/>
        <n v="3736.0"/>
        <n v="1618.0"/>
        <n v="2004.0"/>
        <n v="2255.0"/>
        <n v="769.0"/>
        <n v="2115.0"/>
        <n v="3826.0"/>
        <n v="2735.0"/>
        <n v="796.0"/>
        <n v="2476.0"/>
        <n v="3745.0"/>
        <n v="2333.0"/>
        <n v="3199.0"/>
        <n v="1548.0"/>
        <n v="2603.0"/>
        <n v="602.0"/>
        <n v="1636.0"/>
        <n v="2500.0"/>
        <n v="1338.0"/>
        <n v="993.0"/>
        <n v="1999.0"/>
        <n v="1269.0"/>
        <n v="1944.0"/>
        <n v="714.0"/>
        <n v="1862.0"/>
        <n v="2560.0"/>
        <n v="3967.0"/>
        <n v="3601.0"/>
        <n v="3250.0"/>
        <n v="1164.0"/>
        <n v="2311.0"/>
        <n v="2683.0"/>
        <n v="1439.0"/>
        <n v="3041.0"/>
        <n v="2055.0"/>
        <n v="2506.0"/>
        <n v="1743.0"/>
        <n v="2902.0"/>
        <n v="953.0"/>
        <n v="3590.0"/>
        <n v="3990.0"/>
        <n v="1588.0"/>
        <n v="922.0"/>
        <n v="1148.0"/>
        <n v="1237.0"/>
        <n v="752.0"/>
        <n v="2895.0"/>
        <n v="2050.0"/>
        <n v="2707.0"/>
        <n v="3053.0"/>
        <n v="758.0"/>
        <n v="2770.0"/>
        <n v="1690.0"/>
        <n v="815.0"/>
        <n v="973.0"/>
        <n v="1534.0"/>
        <n v="1265.0"/>
        <n v="3940.0"/>
        <n v="3313.0"/>
        <n v="1659.0"/>
        <n v="2036.0"/>
        <n v="1244.0"/>
        <n v="688.0"/>
        <n v="2010.0"/>
        <n v="2367.0"/>
        <n v="1462.0"/>
        <n v="2662.0"/>
        <n v="689.0"/>
        <n v="2898.0"/>
        <n v="1978.0"/>
        <n v="3618.0"/>
        <n v="1769.0"/>
        <n v="3923.0"/>
        <n v="1885.0"/>
        <n v="2062.0"/>
        <n v="2909.0"/>
        <n v="609.0"/>
        <n v="3562.0"/>
        <n v="2744.0"/>
        <n v="3177.0"/>
        <n v="2935.0"/>
        <n v="3136.0"/>
        <n v="3322.0"/>
        <n v="874.0"/>
        <n v="1160.0"/>
        <n v="2438.0"/>
        <n v="849.0"/>
        <n v="2295.0"/>
        <n v="2939.0"/>
        <n v="2033.0"/>
        <n v="1883.0"/>
        <n v="3361.0"/>
        <n v="2879.0"/>
        <n v="2431.0"/>
        <n v="960.0"/>
        <n v="1252.0"/>
        <n v="2456.0"/>
        <n v="1209.0"/>
        <n v="2377.0"/>
        <n v="885.0"/>
        <n v="1202.0"/>
        <n v="3732.0"/>
        <n v="775.0"/>
        <n v="1351.0"/>
        <n v="3584.0"/>
        <n v="3431.0"/>
        <n v="3759.0"/>
        <n v="2794.0"/>
        <n v="2346.0"/>
        <n v="2451.0"/>
        <n v="1119.0"/>
        <n v="2610.0"/>
        <n v="2652.0"/>
        <n v="1831.0"/>
        <n v="1507.0"/>
        <n v="3226.0"/>
        <n v="2148.0"/>
        <n v="3235.0"/>
        <n v="3083.0"/>
        <n v="2723.0"/>
        <n v="3694.0"/>
        <n v="1746.0"/>
        <n v="841.0"/>
        <n v="741.0"/>
        <n v="3404.0"/>
        <n v="2294.0"/>
        <n v="622.0"/>
        <n v="3816.0"/>
        <n v="1502.0"/>
        <n v="3771.0"/>
        <n v="718.0"/>
        <n v="1725.0"/>
        <n v="1188.0"/>
        <n v="1748.0"/>
        <n v="2415.0"/>
        <n v="3290.0"/>
        <n v="894.0"/>
        <n v="2143.0"/>
        <n v="3563.0"/>
        <n v="1464.0"/>
        <n v="1116.0"/>
        <n v="3376.0"/>
        <n v="3764.0"/>
        <n v="1975.0"/>
        <n v="2413.0"/>
        <n v="1557.0"/>
        <n v="3931.0"/>
        <n v="3999.0"/>
        <n v="1788.0"/>
        <n v="3301.0"/>
        <n v="2129.0"/>
        <n v="716.0"/>
        <n v="3393.0"/>
        <n v="1443.0"/>
        <n v="1169.0"/>
        <n v="1476.0"/>
        <n v="1665.0"/>
        <n v="1456.0"/>
        <n v="3062.0"/>
        <n v="2161.0"/>
        <n v="1852.0"/>
        <n v="2114.0"/>
        <n v="3023.0"/>
        <n v="1099.0"/>
        <n v="2829.0"/>
        <n v="1823.0"/>
        <n v="794.0"/>
        <n v="1034.0"/>
        <n v="3390.0"/>
        <n v="2081.0"/>
        <n v="1983.0"/>
        <n v="1176.0"/>
        <n v="3597.0"/>
        <n v="2630.0"/>
        <n v="3783.0"/>
        <n v="2866.0"/>
        <n v="807.0"/>
        <n v="3219.0"/>
        <n v="3770.0"/>
        <n v="3614.0"/>
        <n v="795.0"/>
        <n v="2088.0"/>
        <n v="3042.0"/>
        <n v="2807.0"/>
        <n v="1590.0"/>
        <n v="1416.0"/>
        <n v="3645.0"/>
        <n v="927.0"/>
        <n v="1948.0"/>
        <n v="2054.0"/>
        <n v="1617.0"/>
        <n v="2257.0"/>
        <n v="3881.0"/>
        <n v="2013.0"/>
        <n v="2971.0"/>
        <n v="2822.0"/>
        <n v="1365.0"/>
        <n v="1601.0"/>
        <n v="2820.0"/>
        <n v="2168.0"/>
        <n v="2894.0"/>
        <n v="1072.0"/>
        <n v="2739.0"/>
        <n v="2371.0"/>
        <n v="3440.0"/>
        <n v="1781.0"/>
        <n v="3509.0"/>
        <n v="3406.0"/>
        <n v="1815.0"/>
        <n v="2130.0"/>
        <n v="2362.0"/>
        <n v="3129.0"/>
        <n v="860.0"/>
        <n v="886.0"/>
        <n v="2651.0"/>
        <n v="1880.0"/>
        <n v="1152.0"/>
        <n v="3996.0"/>
        <n v="1965.0"/>
        <n v="1014.0"/>
        <n v="2852.0"/>
        <n v="3402.0"/>
        <n v="2278.0"/>
        <n v="3217.0"/>
        <n v="3398.0"/>
        <n v="2133.0"/>
        <n v="1947.0"/>
        <n v="3215.0"/>
        <n v="2306.0"/>
        <n v="2003.0"/>
        <n v="1024.0"/>
        <n v="3650.0"/>
        <n v="1403.0"/>
        <n v="3540.0"/>
        <n v="1917.0"/>
        <n v="2473.0"/>
        <n v="3958.0"/>
        <n v="1932.0"/>
        <n v="1894.0"/>
        <n v="2072.0"/>
        <n v="3616.0"/>
        <n v="2813.0"/>
        <n v="2006.0"/>
        <n v="3295.0"/>
        <n v="2374.0"/>
        <n v="1446.0"/>
        <n v="2890.0"/>
        <n v="2400.0"/>
        <n v="1231.0"/>
        <n v="1023.0"/>
        <n v="2713.0"/>
        <n v="3476.0"/>
        <n v="2249.0"/>
        <n v="2708.0"/>
        <n v="1837.0"/>
        <n v="3765.0"/>
        <n v="2468.0"/>
        <n v="1988.0"/>
        <n v="3876.0"/>
        <n v="2937.0"/>
        <n v="3051.0"/>
        <n v="2749.0"/>
        <n v="2877.0"/>
        <n v="3942.0"/>
        <n v="857.0"/>
        <n v="1840.0"/>
        <n v="1440.0"/>
        <n v="2420.0"/>
        <n v="2339.0"/>
        <n v="1083.0"/>
        <n v="3752.0"/>
        <n v="3740.0"/>
        <n v="1286.0"/>
        <n v="1513.0"/>
        <n v="1924.0"/>
        <n v="2100.0"/>
        <n v="1575.0"/>
        <n v="1543.0"/>
        <n v="2535.0"/>
        <n v="3047.0"/>
        <n v="1532.0"/>
        <n v="1639.0"/>
        <n v="2177.0"/>
        <n v="2040.0"/>
        <n v="1545.0"/>
        <n v="3888.0"/>
        <n v="3975.0"/>
        <n v="1493.0"/>
        <n v="3913.0"/>
        <n v="1375.0"/>
        <n v="3737.0"/>
        <n v="3915.0"/>
        <n v="1613.0"/>
        <n v="2586.0"/>
        <n v="2044.0"/>
        <n v="2479.0"/>
        <n v="1249.0"/>
        <n v="2283.0"/>
        <n v="3517.0"/>
        <n v="3018.0"/>
        <n v="2214.0"/>
        <n v="1471.0"/>
        <n v="1573.0"/>
        <n v="2091.0"/>
        <n v="1337.0"/>
        <n v="1616.0"/>
        <n v="1729.0"/>
        <n v="1056.0"/>
        <n v="1216.0"/>
        <n v="1175.0"/>
        <n v="3528.0"/>
        <n v="1744.0"/>
        <n v="2057.0"/>
        <n v="618.0"/>
        <n v="1976.0"/>
        <n v="2578.0"/>
        <n v="3135.0"/>
        <n v="1570.0"/>
        <n v="709.0"/>
        <n v="3693.0"/>
        <n v="2296.0"/>
        <n v="2797.0"/>
        <n v="2282.0"/>
        <n v="1906.0"/>
        <n v="3787.0"/>
        <n v="3621.0"/>
        <n v="3953.0"/>
        <n v="642.0"/>
        <n v="3813.0"/>
        <n v="3689.0"/>
        <n v="2469.0"/>
        <n v="1655.0"/>
        <n v="2827.0"/>
        <n v="731.0"/>
        <n v="2672.0"/>
        <n v="1256.0"/>
        <n v="1712.0"/>
        <n v="3247.0"/>
        <n v="2011.0"/>
        <n v="3191.0"/>
        <n v="2197.0"/>
        <n v="1516.0"/>
        <n v="690.0"/>
        <n v="2608.0"/>
        <n v="3648.0"/>
        <n v="2583.0"/>
        <n v="1444.0"/>
        <n v="1555.0"/>
        <n v="2901.0"/>
        <n v="2884.0"/>
        <n v="3857.0"/>
        <n v="3600.0"/>
        <n v="798.0"/>
        <n v="2292.0"/>
        <n v="3157.0"/>
        <n v="863.0"/>
        <n v="1333.0"/>
        <n v="3379.0"/>
        <n v="1378.0"/>
        <n v="2731.0"/>
        <n v="3102.0"/>
        <n v="3948.0"/>
        <n v="786.0"/>
        <n v="890.0"/>
        <n v="1851.0"/>
        <n v="2991.0"/>
        <n v="2828.0"/>
        <n v="1791.0"/>
        <n v="2434.0"/>
        <n v="3721.0"/>
        <n v="2696.0"/>
        <n v="3579.0"/>
        <n v="1121.0"/>
        <n v="3122.0"/>
        <n v="2742.0"/>
        <n v="3163.0"/>
        <n v="3327.0"/>
        <n v="1993.0"/>
        <n v="3460.0"/>
        <n v="661.0"/>
        <n v="2160.0"/>
        <n v="2743.0"/>
        <n v="2840.0"/>
        <n v="3792.0"/>
        <n v="3326.0"/>
        <n v="3321.0"/>
        <n v="2915.0"/>
        <n v="3126.0"/>
        <n v="1897.0"/>
        <n v="2880.0"/>
        <n v="650.0"/>
        <n v="2322.0"/>
        <n v="3890.0"/>
        <n v="3391.0"/>
        <n v="2998.0"/>
        <n v="3677.0"/>
        <n v="3352.0"/>
        <n v="1491.0"/>
        <n v="2533.0"/>
        <n v="1311.0"/>
        <n v="3145.0"/>
        <n v="2271.0"/>
        <n v="3866.0"/>
        <n v="3009.0"/>
        <n v="1393.0"/>
        <n v="1410.0"/>
        <n v="3174.0"/>
        <n v="1829.0"/>
        <n v="3904.0"/>
        <n v="3611.0"/>
        <n v="2940.0"/>
        <n v="2459.0"/>
        <n v="994.0"/>
        <n v="2907.0"/>
        <n v="1317.0"/>
        <n v="2046.0"/>
        <n v="3855.0"/>
        <n v="2572.0"/>
        <n v="3480.0"/>
        <n v="1050.0"/>
        <n v="1186.0"/>
        <n v="725.0"/>
        <n v="892.0"/>
        <n v="2606.0"/>
        <n v="762.0"/>
        <n v="2352.0"/>
        <n v="1663.0"/>
        <n v="1619.0"/>
        <n v="2704.0"/>
        <n v="3446.0"/>
        <n v="1228.0"/>
        <n v="3084.0"/>
        <n v="1689.0"/>
        <n v="2211.0"/>
        <n v="760.0"/>
        <n v="1768.0"/>
        <n v="1761.0"/>
        <n v="3114.0"/>
        <n v="1724.0"/>
        <n v="2028.0"/>
        <n v="2837.0"/>
        <n v="3918.0"/>
        <n v="679.0"/>
        <n v="3870.0"/>
        <n v="2819.0"/>
        <n v="2687.0"/>
        <n v="1795.0"/>
        <n v="2244.0"/>
        <n v="3445.0"/>
        <n v="1409.0"/>
        <n v="2861.0"/>
        <n v="2726.0"/>
        <n v="3686.0"/>
        <n v="3581.0"/>
        <n v="1487.0"/>
        <n v="3332.0"/>
        <n v="1708.0"/>
        <n v="2392.0"/>
        <n v="826.0"/>
        <n v="3790.0"/>
        <n v="923.0"/>
        <n v="616.0"/>
        <n v="3316.0"/>
        <n v="1246.0"/>
        <n v="2204.0"/>
        <n v="3289.0"/>
        <n v="2867.0"/>
        <n v="2419.0"/>
        <n v="1280.0"/>
        <n v="3069.0"/>
        <n v="2488.0"/>
        <n v="1485.0"/>
        <n v="683.0"/>
        <n v="942.0"/>
        <n v="2365.0"/>
        <n v="2421.0"/>
        <n v="3908.0"/>
        <n v="3957.0"/>
        <n v="1069.0"/>
        <n v="1792.0"/>
        <n v="1405.0"/>
        <n v="2082.0"/>
        <n v="1763.0"/>
        <n v="3187.0"/>
        <n v="695.0"/>
        <n v="2605.0"/>
        <n v="3220.0"/>
        <n v="1149.0"/>
        <n v="984.0"/>
        <n v="1779.0"/>
        <n v="2619.0"/>
        <n v="2831.0"/>
        <n v="2925.0"/>
        <n v="1431.0"/>
        <n v="2478.0"/>
        <n v="748.0"/>
        <n v="1117.0"/>
        <n v="2457.0"/>
        <n v="3726.0"/>
        <n v="3633.0"/>
        <n v="2551.0"/>
        <n v="2223.0"/>
        <n v="915.0"/>
        <n v="623.0"/>
        <n v="3399.0"/>
        <n v="2799.0"/>
        <n v="1323.0"/>
        <n v="1437.0"/>
        <n v="3776.0"/>
        <n v="1319.0"/>
        <n v="2487.0"/>
        <n v="834.0"/>
        <n v="983.0"/>
        <n v="2685.0"/>
        <n v="1984.0"/>
        <n v="3158.0"/>
        <n v="3713.0"/>
        <n v="3205.0"/>
        <n v="2442.0"/>
        <n v="2236.0"/>
        <n v="1320.0"/>
        <n v="2720.0"/>
        <n v="2660.0"/>
        <n v="1087.0"/>
        <n v="2049.0"/>
        <n v="1358.0"/>
        <n v="740.0"/>
        <n v="1382.0"/>
        <n v="2513.0"/>
        <n v="3417.0"/>
        <n v="1825.0"/>
        <n v="3598.0"/>
        <n v="1199.0"/>
        <n v="1458.0"/>
        <n v="2995.0"/>
        <n v="1020.0"/>
        <n v="1371.0"/>
        <n v="968.0"/>
        <n v="972.0"/>
        <n v="1560.0"/>
        <n v="1179.0"/>
        <n v="3656.0"/>
        <n v="2079.0"/>
        <n v="707.0"/>
        <n v="1343.0"/>
        <n v="3265.0"/>
        <n v="3882.0"/>
        <n v="2969.0"/>
        <n v="3531.0"/>
        <n v="1772.0"/>
        <n v="3862.0"/>
        <n v="3333.0"/>
        <n v="710.0"/>
        <n v="1551.0"/>
        <n v="1035.0"/>
        <n v="3795.0"/>
        <n v="1133.0"/>
        <n v="2063.0"/>
        <n v="2164.0"/>
        <n v="916.0"/>
        <n v="1361.0"/>
        <n v="646.0"/>
        <n v="3827.0"/>
        <n v="2989.0"/>
        <n v="3121.0"/>
        <n v="3769.0"/>
        <n v="1238.0"/>
        <n v="1404.0"/>
        <n v="989.0"/>
        <n v="1786.0"/>
        <n v="1582.0"/>
        <n v="3426.0"/>
        <n v="2174.0"/>
        <n v="2993.0"/>
        <n v="1005.0"/>
        <n v="3202.0"/>
        <n v="2641.0"/>
        <n v="1974.0"/>
        <n v="2109.0"/>
        <n v="3125.0"/>
        <n v="2221.0"/>
        <n v="1030.0"/>
        <n v="2266.0"/>
        <n v="947.0"/>
        <n v="3054.0"/>
        <n v="2213.0"/>
        <n v="810.0"/>
        <n v="3810.0"/>
        <n v="3818.0"/>
        <n v="3340.0"/>
        <n v="2137.0"/>
        <n v="2474.0"/>
        <n v="3140.0"/>
        <n v="2872.0"/>
        <n v="2076.0"/>
        <n v="3233.0"/>
        <n v="1549.0"/>
        <n v="1340.0"/>
        <n v="1460.0"/>
        <n v="1886.0"/>
        <n v="1258.0"/>
        <n v="1950.0"/>
        <n v="2549.0"/>
        <n v="3794.0"/>
        <n v="1556.0"/>
        <n v="970.0"/>
        <n v="992.0"/>
        <n v="1687.0"/>
        <n v="3266.0"/>
        <n v="2926.0"/>
        <n v="2493.0"/>
        <n v="2643.0"/>
        <n v="1558.0"/>
        <n v="3055.0"/>
        <n v="1607.0"/>
        <n v="3933.0"/>
        <n v="3902.0"/>
        <n v="3591.0"/>
        <n v="3609.0"/>
        <n v="3624.0"/>
        <n v="846.0"/>
        <n v="2074.0"/>
        <n v="1531.0"/>
        <n v="1958.0"/>
        <n v="3767.0"/>
        <n v="3602.0"/>
        <n v="3141.0"/>
        <n v="2422.0"/>
        <n v="1873.0"/>
        <n v="2099.0"/>
        <n v="1285.0"/>
        <n v="1480.0"/>
        <n v="3811.0"/>
        <n v="624.0"/>
        <n v="3573.0"/>
        <n v="3172.0"/>
        <n v="636.0"/>
        <n v="3231.0"/>
        <n v="2634.0"/>
        <n v="2159.0"/>
        <n v="1299.0"/>
        <n v="3864.0"/>
        <n v="3033.0"/>
        <n v="792.0"/>
        <n v="3429.0"/>
        <n v="1484.0"/>
        <n v="3029.0"/>
        <n v="2783.0"/>
        <n v="913.0"/>
        <n v="1288.0"/>
        <n v="3513.0"/>
        <n v="1888.0"/>
        <n v="3444.0"/>
        <n v="1415.0"/>
        <n v="3561.0"/>
        <n v="660.0"/>
        <n v="3542.0"/>
        <n v="2483.0"/>
        <n v="1913.0"/>
        <n v="1972.0"/>
        <n v="2602.0"/>
        <n v="3832.0"/>
        <n v="2972.0"/>
        <n v="1481.0"/>
        <n v="1737.0"/>
        <n v="3743.0"/>
        <n v="3628.0"/>
        <n v="1510.0"/>
        <n v="2101.0"/>
        <n v="2764.0"/>
        <n v="1861.0"/>
        <n v="1492.0"/>
        <n v="941.0"/>
        <n v="920.0"/>
        <n v="1946.0"/>
        <n v="717.0"/>
        <n v="615.0"/>
        <n v="3684.0"/>
        <n v="1037.0"/>
        <n v="3004.0"/>
        <n v="3544.0"/>
        <n v="1171.0"/>
        <n v="1113.0"/>
        <n v="895.0"/>
        <n v="3012.0"/>
        <n v="918.0"/>
        <n v="1782.0"/>
        <n v="2510.0"/>
        <n v="3492.0"/>
        <n v="2830.0"/>
        <n v="3652.0"/>
        <n v="3299.0"/>
        <n v="3198.0"/>
        <n v="735.0"/>
        <n v="2778.0"/>
        <n v="1384.0"/>
        <n v="3922.0"/>
        <n v="2131.0"/>
        <n v="2985.0"/>
        <n v="3699.0"/>
        <n v="2165.0"/>
        <n v="2291.0"/>
        <n v="897.0"/>
        <n v="3485.0"/>
        <n v="3354.0"/>
        <n v="1094.0"/>
        <n v="2565.0"/>
        <n v="729.0"/>
        <n v="1599.0"/>
        <n v="1785.0"/>
        <n v="3244.0"/>
        <n v="1533.0"/>
        <n v="3627.0"/>
        <n v="3017.0"/>
        <n v="1592.0"/>
        <n v="3214.0"/>
        <n v="827.0"/>
        <n v="3774.0"/>
        <n v="3211.0"/>
        <n v="3789.0"/>
        <n v="1892.0"/>
        <n v="883.0"/>
        <n v="1693.0"/>
        <n v="1402.0"/>
        <n v="2534.0"/>
        <n v="2678.0"/>
        <n v="3366.0"/>
        <n v="3649.0"/>
        <n v="3353.0"/>
        <n v="1921.0"/>
        <n v="3589.0"/>
        <n v="2402.0"/>
        <n v="3339.0"/>
        <n v="2566.0"/>
        <n v="2883.0"/>
        <n v="3825.0"/>
        <n v="1638.0"/>
        <n v="3281.0"/>
        <n v="2253.0"/>
        <n v="3529.0"/>
        <n v="1656.0"/>
        <n v="1374.0"/>
        <n v="1914.0"/>
        <n v="653.0"/>
        <n v="2092.0"/>
        <n v="3916.0"/>
        <n v="1671.0"/>
        <n v="1214.0"/>
        <n v="955.0"/>
        <n v="962.0"/>
        <n v="1062.0"/>
        <n v="2034.0"/>
        <n v="1407.0"/>
        <n v="2580.0"/>
        <n v="1386.0"/>
        <n v="1678.0"/>
        <n v="2298.0"/>
        <n v="1085.0"/>
        <n v="2280.0"/>
        <n v="1669.0"/>
        <n v="1336.0"/>
        <n v="987.0"/>
        <n v="3027.0"/>
        <n v="1868.0"/>
        <n v="1038.0"/>
        <n v="2316.0"/>
        <n v="1929.0"/>
        <n v="3750.0"/>
        <n v="2661.0"/>
        <n v="1147.0"/>
        <n v="1089.0"/>
        <n v="3654.0"/>
        <n v="2195.0"/>
        <n v="864.0"/>
        <n v="2582.0"/>
        <n v="2851.0"/>
        <n v="985.0"/>
        <n v="1854.0"/>
        <n v="3848.0"/>
        <n v="2445.0"/>
        <n v="1417.0"/>
        <n v="1477.0"/>
        <n v="1751.0"/>
        <n v="3329.0"/>
        <n v="3449.0"/>
        <n v="3489.0"/>
        <n v="3782.0"/>
        <n v="3842.0"/>
        <n v="3646.0"/>
        <n v="3951.0"/>
        <n v="774.0"/>
        <n v="702.0"/>
        <n v="2289.0"/>
        <n v="1461.0"/>
        <n v="3577.0"/>
        <n v="3979.0"/>
        <n v="3665.0"/>
        <n v="2358.0"/>
        <n v="1812.0"/>
        <n v="3860.0"/>
        <n v="2416.0"/>
        <n v="2933.0"/>
        <n v="684.0"/>
        <n v="3874.0"/>
        <n v="1859.0"/>
        <n v="2318.0"/>
        <n v="3118.0"/>
        <n v="1466.0"/>
        <n v="1707.0"/>
        <n v="891.0"/>
        <n v="2489.0"/>
        <n v="3586.0"/>
        <n v="2921.0"/>
        <n v="2668.0"/>
        <n v="788.0"/>
        <n v="715.0"/>
        <n v="1122.0"/>
        <n v="2503.0"/>
        <n v="3095.0"/>
        <n v="965.0"/>
        <n v="1395.0"/>
        <n v="1589.0"/>
        <n v="2575.0"/>
        <n v="3998.0"/>
        <n v="2018.0"/>
        <n v="1110.0"/>
        <n v="3879.0"/>
        <n v="1704.0"/>
        <n v="1893.0"/>
        <n v="721.0"/>
        <n v="840.0"/>
        <n v="1195.0"/>
        <n v="1714.0"/>
        <n v="2124.0"/>
        <n v="3453.0"/>
        <n v="3708.0"/>
        <n v="1925.0"/>
        <n v="2612.0"/>
        <n v="1992.0"/>
        <n v="3076.0"/>
        <n v="2084.0"/>
        <n v="2670.0"/>
        <n v="3596.0"/>
        <n v="1465.0"/>
        <n v="1017.0"/>
        <n v="1032.0"/>
        <n v="2611.0"/>
        <n v="1760.0"/>
        <n v="828.0"/>
        <n v="2888.0"/>
        <n v="3987.0"/>
        <n v="2838.0"/>
        <n v="1067.0"/>
        <n v="3499.0"/>
        <n v="3181.0"/>
        <n v="2787.0"/>
        <n v="3285.0"/>
        <n v="3308.0"/>
        <n v="1264.0"/>
        <n v="778.0"/>
        <n v="2850.0"/>
        <n v="2330.0"/>
        <n v="2771.0"/>
        <n v="3837.0"/>
        <n v="1488.0"/>
        <n v="3496.0"/>
        <n v="2425.0"/>
        <n v="944.0"/>
        <n v="2817.0"/>
        <n v="2567.0"/>
        <n v="3895.0"/>
        <n v="1270.0"/>
        <n v="3312.0"/>
        <n v="3359.0"/>
        <n v="2410.0"/>
        <n v="3725.0"/>
        <n v="2286.0"/>
        <n v="675.0"/>
        <n v="3101.0"/>
        <n v="1326.0"/>
        <n v="884.0"/>
        <n v="2460.0"/>
        <n v="2622.0"/>
        <n v="3909.0"/>
        <n v="674.0"/>
        <n v="2231.0"/>
        <n v="1449.0"/>
        <n v="2923.0"/>
        <n v="3143.0"/>
        <n v="2881.0"/>
        <n v="3854.0"/>
        <n v="3341.0"/>
        <n v="967.0"/>
        <n v="2942.0"/>
        <n v="2290.0"/>
        <n v="2804.0"/>
        <n v="2405.0"/>
        <n v="1178.0"/>
        <n v="2893.0"/>
        <n v="2906.0"/>
        <n v="3375.0"/>
        <n v="1294.0"/>
        <n v="3690.0"/>
        <n v="2755.0"/>
        <n v="3212.0"/>
        <n v="3282.0"/>
        <n v="1747.0"/>
        <n v="3973.0"/>
        <n v="2471.0"/>
        <n v="3511.0"/>
        <n v="2886.0"/>
        <n v="2769.0"/>
        <n v="1822.0"/>
        <n v="2219.0"/>
        <n v="2144.0"/>
        <n v="3941.0"/>
        <n v="1212.0"/>
        <n v="1064.0"/>
        <n v="3160.0"/>
        <n v="3038.0"/>
        <n v="814.0"/>
        <n v="3669.0"/>
        <n v="3949.0"/>
        <n v="2767.0"/>
        <n v="3847.0"/>
        <n v="3360.0"/>
        <n v="666.0"/>
        <n v="2728.0"/>
        <n v="3149.0"/>
        <n v="3276.0"/>
        <n v="634.0"/>
        <n v="2714.0"/>
        <n v="3807.0"/>
        <n v="2716.0"/>
        <n v="1682.0"/>
        <n v="1691.0"/>
        <n v="3865.0"/>
        <n v="3190.0"/>
        <n v="3868.0"/>
        <n v="677.0"/>
        <n v="3261.0"/>
        <n v="1006.0"/>
        <n v="3416.0"/>
        <n v="3965.0"/>
        <n v="1225.0"/>
        <n v="2001.0"/>
        <n v="936.0"/>
        <n v="2492.0"/>
        <n v="1505.0"/>
        <n v="3405.0"/>
        <n v="3090.0"/>
        <n v="3991.0"/>
        <n v="3487.0"/>
        <n v="2386.0"/>
        <n v="2017.0"/>
        <n v="2757.0"/>
        <n v="3490.0"/>
        <n v="2862.0"/>
        <n v="746.0"/>
        <n v="3673.0"/>
        <n v="2085.0"/>
        <n v="2440.0"/>
        <n v="3007.0"/>
        <n v="3503.0"/>
        <n v="1291.0"/>
        <n v="3893.0"/>
        <n v="3798.0"/>
        <n v="2443.0"/>
        <n v="2384.0"/>
        <n v="3608.0"/>
        <n v="2139.0"/>
        <n v="3730.0"/>
        <n v="2317.0"/>
        <n v="3642.0"/>
        <n v="2212.0"/>
        <n v="1723.0"/>
        <n v="3127.0"/>
        <n v="1637.0"/>
        <n v="2776.0"/>
        <n v="1797.0"/>
        <n v="3571.0"/>
        <n v="607.0"/>
        <n v="1525.0"/>
        <n v="1675.0"/>
        <n v="2948.0"/>
        <n v="3468.0"/>
        <n v="1345.0"/>
        <n v="2449.0"/>
        <n v="1645.0"/>
        <n v="1680.0"/>
        <n v="723.0"/>
        <n v="3437.0"/>
        <n v="1754.0"/>
        <n v="1951.0"/>
        <n v="3471.0"/>
        <n v="3142.0"/>
        <n v="3025.0"/>
        <n v="2982.0"/>
        <n v="3074.0"/>
        <n v="3112.0"/>
        <n v="1190.0"/>
        <n v="2752.0"/>
        <n v="1770.0"/>
        <n v="724.0"/>
        <n v="3184.0"/>
        <n v="906.0"/>
        <n v="2737.0"/>
        <n v="1517.0"/>
        <n v="1625.0"/>
        <n v="2117.0"/>
        <n v="3370.0"/>
        <n v="1898.0"/>
        <n v="3123.0"/>
        <n v="3886.0"/>
        <n v="3985.0"/>
        <n v="931.0"/>
        <n v="3401.0"/>
        <n v="2695.0"/>
        <n v="3785.0"/>
        <n v="966.0"/>
        <n v="2843.0"/>
        <n v="3467.0"/>
        <n v="1857.0"/>
        <n v="3911.0"/>
        <n v="3556.0"/>
        <n v="1764.0"/>
        <n v="3349.0"/>
        <n v="2170.0"/>
        <n v="1369.0"/>
        <n v="1720.0"/>
        <n v="1433.0"/>
        <n v="1255.0"/>
        <n v="2768.0"/>
        <n v="1574.0"/>
        <n v="928.0"/>
        <n v="3403.0"/>
        <n v="3147.0"/>
        <n v="3988.0"/>
        <n v="2299.0"/>
        <n v="3253.0"/>
        <n v="2821.0"/>
        <n v="3861.0"/>
        <n v="3756.0"/>
        <n v="2896.0"/>
        <n v="2404.0"/>
        <n v="969.0"/>
        <n v="2246.0"/>
        <n v="3304.0"/>
        <n v="1979.0"/>
        <n v="1022.0"/>
        <n v="1819.0"/>
        <n v="2730.0"/>
        <n v="1044.0"/>
        <n v="1701.0"/>
        <n v="3508.0"/>
        <n v="3016.0"/>
        <n v="2353.0"/>
        <n v="935.0"/>
        <n v="3065.0"/>
        <n v="2277.0"/>
        <n v="2508.0"/>
        <n v="3381.0"/>
        <n v="2841.0"/>
        <n v="681.0"/>
        <n v="1681.0"/>
        <n v="1996.0"/>
        <n v="1027.0"/>
        <n v="2220.0"/>
        <n v="1427.0"/>
        <n v="2458.0"/>
        <n v="1934.0"/>
        <n v="1546.0"/>
        <n v="2454.0"/>
        <n v="3662.0"/>
        <n v="3371.0"/>
        <n v="1920.0"/>
        <n v="917.0"/>
        <n v="621.0"/>
        <n v="2795.0"/>
        <n v="3079.0"/>
        <n v="1850.0"/>
        <n v="1657.0"/>
        <n v="1455.0"/>
        <n v="869.0"/>
        <n v="2132.0"/>
        <n v="1802.0"/>
        <n v="3898.0"/>
        <n v="3137.0"/>
        <n v="3392.0"/>
        <n v="1796.0"/>
        <n v="3013.0"/>
        <n v="1578.0"/>
        <n v="3450.0"/>
        <n v="3565.0"/>
        <n v="1009.0"/>
        <n v="1281.0"/>
        <n v="3812.0"/>
        <n v="2364.0"/>
        <n v="2113.0"/>
        <n v="3227.0"/>
        <n v="802.0"/>
        <n v="2464.0"/>
        <n v="2359.0"/>
        <n v="1457.0"/>
        <n v="3758.0"/>
        <n v="2484.0"/>
        <n v="893.0"/>
        <n v="3687.0"/>
        <n v="940.0"/>
        <n v="3838.0"/>
        <n v="1236.0"/>
        <n v="2242.0"/>
        <n v="2467.0"/>
        <n v="1230.0"/>
        <n v="2270.0"/>
        <n v="1174.0"/>
        <n v="2646.0"/>
        <n v="1101.0"/>
        <n v="2802.0"/>
        <n v="3213.0"/>
        <n v="1775.0"/>
        <n v="632.0"/>
        <n v="2412.0"/>
        <n v="812.0"/>
        <n v="1394.0"/>
        <n v="3057.0"/>
        <n v="1939.0"/>
        <n v="1041.0"/>
        <n v="2502.0"/>
        <n v="682.0"/>
        <n v="3109.0"/>
        <n v="3869.0"/>
        <n v="3182.0"/>
        <n v="2172.0"/>
        <n v="2900.0"/>
        <n v="1869.0"/>
        <n v="1753.0"/>
        <n v="3512.0"/>
        <n v="2570.0"/>
        <n v="2052.0"/>
        <n v="1218.0"/>
        <n v="3070.0"/>
        <n v="1961.0"/>
        <n v="3097.0"/>
        <n v="2913.0"/>
        <n v="2870.0"/>
        <n v="3716.0"/>
        <n v="3588.0"/>
        <n v="3154.0"/>
        <n v="2370.0"/>
        <n v="3188.0"/>
        <n v="811.0"/>
        <n v="2183.0"/>
        <n v="3554.0"/>
        <n v="3575.0"/>
        <n v="2724.0"/>
        <n v="2579.0"/>
        <n v="1615.0"/>
        <n v="3063.0"/>
        <n v="1414.0"/>
        <n v="667.0"/>
        <n v="3960.0"/>
        <n v="3452.0"/>
        <n v="2555.0"/>
        <n v="2444.0"/>
        <n v="635.0"/>
        <n v="1566.0"/>
        <n v="977.0"/>
        <n v="1827.0"/>
        <n v="3510.0"/>
        <n v="3461.0"/>
        <n v="2571.0"/>
        <n v="3385.0"/>
        <n v="1452.0"/>
        <n v="1962.0"/>
        <n v="2357.0"/>
        <n v="2934.0"/>
        <n v="2681.0"/>
        <n v="1908.0"/>
        <n v="1139.0"/>
        <n v="2162.0"/>
        <n v="2936.0"/>
        <n v="1370.0"/>
        <n v="1078.0"/>
        <n v="610.0"/>
        <n v="1401.0"/>
        <n v="771.0"/>
        <n v="698.0"/>
        <n v="852.0"/>
        <n v="799.0"/>
        <n v="3928.0"/>
        <n v="3236.0"/>
        <n v="2126.0"/>
        <n v="3739.0"/>
        <n v="2176.0"/>
        <n v="3458.0"/>
        <n v="2301.0"/>
        <n v="2593.0"/>
        <n v="998.0"/>
        <n v="1527.0"/>
        <n v="2729.0"/>
        <n v="1648.0"/>
        <n v="2878.0"/>
        <n v="3817.0"/>
        <n v="1422.0"/>
        <n v="3036.0"/>
        <n v="2399.0"/>
        <n v="2022.0"/>
        <n v="1118.0"/>
        <n v="1355.0"/>
        <n v="655.0"/>
        <n v="2617.0"/>
        <n v="3228.0"/>
        <n v="3753.0"/>
        <n v="2604.0"/>
        <n v="2976.0"/>
        <n v="809.0"/>
        <n v="1400.0"/>
        <n v="627.0"/>
        <n v="1887.0"/>
        <n v="1098.0"/>
        <n v="3422.0"/>
        <n v="2224.0"/>
        <n v="2790.0"/>
        <n v="2690.0"/>
        <n v="2065.0"/>
        <n v="3314.0"/>
        <n v="3622.0"/>
        <n v="3297.0"/>
        <n v="3688.0"/>
        <n v="2180.0"/>
        <n v="628.0"/>
        <n v="1106.0"/>
        <n v="1572.0"/>
        <n v="2765.0"/>
        <n v="3494.0"/>
        <n v="1629.0"/>
        <n v="1490.0"/>
        <n v="1387.0"/>
        <n v="3972.0"/>
        <n v="1198.0"/>
        <n v="766.0"/>
        <n v="3292.0"/>
        <n v="2855.0"/>
        <n v="3604.0"/>
        <n v="3727.0"/>
        <n v="1424.0"/>
        <n v="3472.0"/>
        <n v="2908.0"/>
        <n v="1817.0"/>
        <n v="1567.0"/>
        <n v="2398.0"/>
        <n v="2887.0"/>
        <n v="3706.0"/>
        <n v="1766.0"/>
        <n v="3719.0"/>
        <n v="806.0"/>
        <n v="3910.0"/>
        <n v="3264.0"/>
        <n v="3204.0"/>
        <n v="1808.0"/>
        <n v="2978.0"/>
        <n v="2530.0"/>
        <n v="2808.0"/>
        <n v="3338.0"/>
        <n v="1644.0"/>
        <n v="1526.0"/>
        <n v="3104.0"/>
        <n v="3984.0"/>
        <n v="3647.0"/>
        <n v="1389.0"/>
        <n v="3877.0"/>
        <n v="2959.0"/>
        <n v="1941.0"/>
        <n v="2194.0"/>
        <n v="3396.0"/>
        <n v="2169.0"/>
        <n v="652.0"/>
        <n v="747.0"/>
        <n v="2388.0"/>
        <n v="2293.0"/>
        <n v="3078.0"/>
        <n v="3224.0"/>
        <n v="925.0"/>
        <n v="2905.0"/>
        <n v="2538.0"/>
        <n v="1335.0"/>
        <n v="2527.0"/>
        <n v="1126.0"/>
        <n v="670.0"/>
        <n v="1243.0"/>
        <n v="1511.0"/>
        <n v="1610.0"/>
        <n v="603.0"/>
        <n v="1109.0"/>
        <n v="3052.0"/>
        <n v="1080.0"/>
        <n v="2122.0"/>
        <n v="1706.0"/>
        <n v="1093.0"/>
        <n v="825.0"/>
        <n v="2069.0"/>
        <n v="997.0"/>
        <n v="2496.0"/>
        <n v="2857.0"/>
        <n v="2429.0"/>
        <n v="1297.0"/>
        <n v="2181.0"/>
        <n v="3257.0"/>
        <n v="3064.0"/>
        <n v="651.0"/>
        <n v="3585.0"/>
        <n v="1783.0"/>
        <n v="3335.0"/>
        <n v="2856.0"/>
        <n v="2753.0"/>
        <n v="856.0"/>
        <n v="2507.0"/>
        <n v="832.0"/>
        <n v="2882.0"/>
        <n v="1973.0"/>
        <n v="1025.0"/>
        <n v="3853.0"/>
        <n v="2675.0"/>
        <n v="3443.0"/>
        <n v="2179.0"/>
        <n v="2984.0"/>
        <n v="1019.0"/>
        <n v="2574.0"/>
        <n v="1576.0"/>
        <n v="2439.0"/>
        <n v="2754.0"/>
        <n v="600.0"/>
        <n v="1866.0"/>
        <n v="1750.0"/>
        <n v="2952.0"/>
        <n v="1372.0"/>
        <n v="1586.0"/>
        <n v="1695.0"/>
        <n v="823.0"/>
        <n v="2775.0"/>
        <n v="3034.0"/>
        <n v="1302.0"/>
        <n v="946.0"/>
        <n v="1581.0"/>
        <n v="3653.0"/>
        <n v="3781.0"/>
        <n v="2423.0"/>
        <n v="1470.0"/>
        <n v="1959.0"/>
        <n v="2815.0"/>
        <n v="1318.0"/>
        <n v="2447.0"/>
        <n v="949.0"/>
        <n v="1773.0"/>
        <n v="2273.0"/>
        <n v="3497.0"/>
        <n v="1322.0"/>
        <n v="1054.0"/>
        <n v="2680.0"/>
        <n v="693.0"/>
        <n v="909.0"/>
        <n v="2522.0"/>
        <n v="3006.0"/>
        <n v="3325.0"/>
        <n v="3553.0"/>
        <n v="3852.0"/>
        <n v="2389.0"/>
        <n v="3094.0"/>
        <n v="1229.0"/>
        <n v="2965.0"/>
        <n v="2237.0"/>
        <n v="1605.0"/>
        <n v="1412.0"/>
        <n v="3456.0"/>
        <n v="2632.0"/>
        <n v="2674.0"/>
        <n v="3077.0"/>
        <n v="1441.0"/>
        <n v="3969.0"/>
        <n v="3039.0"/>
        <n v="1694.0"/>
        <n v="2705.0"/>
        <n v="2825.0"/>
        <n v="1606.0"/>
        <n v="1745.0"/>
        <n v="2863.0"/>
        <n v="875.0"/>
        <n v="1217.0"/>
        <n v="3270.0"/>
        <n v="1933.0"/>
        <n v="882.0"/>
        <n v="3797.0"/>
        <n v="2288.0"/>
        <n v="3578.0"/>
        <n v="1187.0"/>
        <n v="1848.0"/>
        <n v="3828.0"/>
        <n v="1254.0"/>
        <n v="1580.0"/>
        <n v="2361.0"/>
        <n v="1275.0"/>
        <n v="932.0"/>
        <n v="1703.0"/>
        <n v="751.0"/>
        <n v="3672.0"/>
        <n v="2146.0"/>
        <n v="1612.0"/>
        <n v="3216.0"/>
        <n v="1872.0"/>
        <n v="1686.0"/>
        <n v="850.0"/>
        <n v="843.0"/>
        <n v="1930.0"/>
        <n v="3303.0"/>
        <n v="2816.0"/>
        <n v="3541.0"/>
        <n v="3046.0"/>
        <n v="1142.0"/>
        <n v="921.0"/>
        <n v="1419.0"/>
        <n v="2086.0"/>
        <n v="2727.0"/>
        <n v="3894.0"/>
        <n v="2628.0"/>
        <n v="3815.0"/>
        <n v="2824.0"/>
        <n v="3280.0"/>
        <n v="3872.0"/>
        <n v="2546.0"/>
        <n v="3522.0"/>
        <n v="2078.0"/>
        <n v="959.0"/>
        <n v="3350.0"/>
        <n v="2435.0"/>
        <n v="3305.0"/>
        <n v="3952.0"/>
        <n v="2155.0"/>
        <n v="2387.0"/>
        <n v="736.0"/>
        <n v="1508.0"/>
        <n v="3968.0"/>
        <n v="2441.0"/>
        <n v="1413.0"/>
        <n v="2597.0"/>
        <n v="2974.0"/>
        <n v="1630.0"/>
        <n v="2261.0"/>
        <n v="1289.0"/>
        <n v="1834.0"/>
        <n v="1222.0"/>
        <n v="3246.0"/>
        <n v="2136.0"/>
        <n v="3947.0"/>
        <n v="2407.0"/>
        <n v="1564.0"/>
        <n v="1077.0"/>
        <n v="1097.0"/>
        <n v="1201.0"/>
        <n v="3518.0"/>
        <n v="2835.0"/>
        <n v="1016.0"/>
        <n v="1151.0"/>
        <n v="2495.0"/>
        <n v="2717.0"/>
        <n v="1096.0"/>
        <n v="2774.0"/>
        <n v="1168.0"/>
        <n v="3364.0"/>
        <n v="728.0"/>
        <n v="2201.0"/>
        <n v="1943.0"/>
        <n v="1608.0"/>
        <n v="2380.0"/>
        <n v="1036.0"/>
        <n v="2734.0"/>
        <n v="2321.0"/>
        <n v="2951.0"/>
        <n v="3548.0"/>
        <n v="3414.0"/>
        <n v="3821.0"/>
        <n v="3424.0"/>
        <n v="1204.0"/>
        <n v="3179.0"/>
        <n v="2012.0"/>
        <n v="1899.0"/>
        <n v="2313.0"/>
        <n v="1853.0"/>
        <n v="640.0"/>
        <n v="2559.0"/>
        <n v="1074.0"/>
        <n v="1146.0"/>
        <n v="765.0"/>
        <n v="2725.0"/>
        <n v="1767.0"/>
        <n v="2087.0"/>
        <n v="1787.0"/>
        <n v="937.0"/>
        <n v="797.0"/>
        <n v="1273.0"/>
        <n v="848.0"/>
        <n v="3954.0"/>
        <n v="1839.0"/>
        <n v="1421.0"/>
        <n v="3275.0"/>
        <n v="1991.0"/>
        <n v="3388.0"/>
        <n v="1847.0"/>
        <n v="2376.0"/>
        <n v="3473.0"/>
        <n v="2302.0"/>
        <n v="3263.0"/>
        <n v="3197.0"/>
        <n v="3657.0"/>
        <n v="3773.0"/>
        <n v="2461.0"/>
        <n v="2873.0"/>
        <n v="2276.0"/>
        <n v="1211.0"/>
        <n v="3075.0"/>
        <n v="1479.0"/>
        <n v="1705.0"/>
        <n v="3839.0"/>
        <n v="3358.0"/>
        <n v="1587.0"/>
        <n v="1055.0"/>
        <n v="2123.0"/>
        <n v="1918.0"/>
        <n v="1931.0"/>
        <n v="1115.0"/>
        <n v="2504.0"/>
        <n v="1325.0"/>
        <n v="3678.0"/>
        <n v="1353.0"/>
        <n v="1512.0"/>
        <n v="1200.0"/>
        <n v="873.0"/>
        <n v="612.0"/>
        <n v="3607.0"/>
        <n v="1664.0"/>
        <n v="3859.0"/>
        <n v="3240.0"/>
        <n v="2501.0"/>
        <n v="3194.0"/>
        <n v="3117.0"/>
        <n v="719.0"/>
        <n v="3530.0"/>
        <n v="847.0"/>
        <n v="3498.0"/>
        <n v="1784.0"/>
        <n v="1047.0"/>
        <n v="1634.0"/>
        <n v="3373.0"/>
        <n v="1863.0"/>
        <n v="2312.0"/>
        <n v="672.0"/>
        <n v="1611.0"/>
        <n v="1045.0"/>
        <n v="2540.0"/>
        <n v="2232.0"/>
        <n v="3035.0"/>
        <n v="819.0"/>
        <n v="2962.0"/>
        <n v="1312.0"/>
        <n v="871.0"/>
        <n v="2472.0"/>
        <n v="3703.0"/>
        <n v="1191.0"/>
        <n v="1903.0"/>
        <n v="1828.0"/>
        <n v="1057.0"/>
        <n v="1423.0"/>
        <n v="3696.0"/>
        <n v="2265.0"/>
        <n v="1145.0"/>
        <n v="2509.0"/>
        <n v="1194.0"/>
        <n v="3803.0"/>
        <n v="1641.0"/>
        <n v="2756.0"/>
        <n v="837.0"/>
        <n v="3595.0"/>
        <n v="3504.0"/>
        <n v="1662.0"/>
        <n v="3535.0"/>
        <n v="1450.0"/>
        <n v="3132.0"/>
        <n v="1498.0"/>
        <n v="3664.0"/>
        <n v="1971.0"/>
        <n v="1278.0"/>
        <n v="1952.0"/>
        <n v="1602.0"/>
        <n v="648.0"/>
        <n v="1966.0"/>
        <n v="1324.0"/>
        <n v="3357.0"/>
        <n v="2184.0"/>
        <n v="2759.0"/>
        <n v="2563.0"/>
        <n v="1316.0"/>
        <n v="3030.0"/>
        <n v="1489.0"/>
        <n v="2498.0"/>
        <n v="3552.0"/>
        <n v="1805.0"/>
        <n v="1997.0"/>
        <n v="1346.0"/>
        <n v="2354.0"/>
        <n v="2303.0"/>
        <n v="2545.0"/>
        <n v="2656.0"/>
        <n v="1833.0"/>
        <n v="3659.0"/>
        <n v="1565.0"/>
        <n v="2788.0"/>
        <n v="1001.0"/>
        <n v="2150.0"/>
        <n v="1349.0"/>
        <n v="1292.0"/>
        <n v="3755.0"/>
        <n v="1835.0"/>
        <n v="3324.0"/>
        <n v="2056.0"/>
        <n v="2692.0"/>
        <n v="1814.0"/>
        <n v="3903.0"/>
        <n v="2980.0"/>
        <n v="3043.0"/>
        <n v="2845.0"/>
        <n v="2426.0"/>
        <n v="3310.0"/>
        <n v="2182.0"/>
        <n v="3683.0"/>
        <n v="643.0"/>
        <n v="1879.0"/>
        <n v="2524.0"/>
        <n v="2512.0"/>
        <n v="1496.0"/>
        <n v="2924.0"/>
        <n v="1915.0"/>
        <n v="3455.0"/>
        <n v="3355.0"/>
        <n v="3734.0"/>
        <n v="3599.0"/>
        <n v="3700.0"/>
        <n v="1731.0"/>
        <n v="2655.0"/>
        <n v="2393.0"/>
        <n v="3567.0"/>
        <n v="1635.0"/>
        <n v="1836.0"/>
        <n v="2395.0"/>
        <n v="2932.0"/>
        <n v="2826.0"/>
        <n v="957.0"/>
        <n v="1135.0"/>
        <n v="1124.0"/>
        <n v="2801.0"/>
        <n v="3525.0"/>
        <n v="2955.0"/>
        <n v="888.0"/>
        <n v="2247.0"/>
        <n v="2151.0"/>
        <n v="2557.0"/>
        <n v="3754.0"/>
        <n v="2659.0"/>
        <n v="732.0"/>
        <n v="1633.0"/>
        <n v="1803.0"/>
        <n v="1296.0"/>
        <n v="608.0"/>
        <n v="2015.0"/>
        <n v="2000.0"/>
        <n v="2095.0"/>
        <n v="2135.0"/>
        <n v="1223.0"/>
        <n v="2677.0"/>
        <n v="1347.0"/>
        <n v="1765.0"/>
        <n v="3433.0"/>
        <n v="1321.0"/>
        <n v="2967.0"/>
        <n v="2379.0"/>
        <n v="1846.0"/>
        <n v="2961.0"/>
        <n v="3066.0"/>
        <n v="2058.0"/>
        <n v="2171.0"/>
        <n v="2338.0"/>
        <n v="1226.0"/>
        <n v="1600.0"/>
        <n v="2396.0"/>
        <n v="3884.0"/>
        <n v="3318.0"/>
        <n v="900.0"/>
        <n v="701.0"/>
      </sharedItems>
    </cacheField>
    <cacheField name="Lot Size(Sqft)" numFmtId="0">
      <sharedItems containsSemiMixedTypes="0" containsString="0" containsNumber="1" containsInteger="1">
        <n v="4757.0"/>
        <n v="6485.0"/>
        <n v="9369.0"/>
        <n v="5547.0"/>
        <n v="9260.0"/>
        <n v="8317.0"/>
        <n v="5592.0"/>
        <n v="6010.0"/>
        <n v="5449.0"/>
        <n v="2179.0"/>
        <n v="3341.0"/>
        <n v="8908.0"/>
        <n v="8256.0"/>
        <n v="1740.0"/>
        <n v="4606.0"/>
        <n v="2275.0"/>
        <n v="6443.0"/>
        <n v="3883.0"/>
        <n v="1218.0"/>
        <n v="9408.0"/>
        <n v="7527.0"/>
        <n v="9694.0"/>
        <n v="8122.0"/>
        <n v="2421.0"/>
        <n v="2093.0"/>
        <n v="6306.0"/>
        <n v="8853.0"/>
        <n v="3128.0"/>
        <n v="1492.0"/>
        <n v="1926.0"/>
        <n v="4133.0"/>
        <n v="2935.0"/>
        <n v="3040.0"/>
        <n v="3988.0"/>
        <n v="1230.0"/>
        <n v="9593.0"/>
        <n v="7815.0"/>
        <n v="3651.0"/>
        <n v="9671.0"/>
        <n v="5426.0"/>
        <n v="2027.0"/>
        <n v="8121.0"/>
        <n v="9652.0"/>
        <n v="4843.0"/>
        <n v="6571.0"/>
        <n v="8938.0"/>
        <n v="4766.0"/>
        <n v="1817.0"/>
        <n v="6981.0"/>
        <n v="4366.0"/>
        <n v="2491.0"/>
        <n v="6389.0"/>
        <n v="3561.0"/>
        <n v="4822.0"/>
        <n v="6554.0"/>
        <n v="2905.0"/>
        <n v="7954.0"/>
        <n v="9317.0"/>
        <n v="4211.0"/>
        <n v="1426.0"/>
        <n v="4595.0"/>
        <n v="8559.0"/>
        <n v="1942.0"/>
        <n v="3640.0"/>
        <n v="8914.0"/>
        <n v="6385.0"/>
        <n v="2571.0"/>
        <n v="8381.0"/>
        <n v="6999.0"/>
        <n v="9313.0"/>
        <n v="4186.0"/>
        <n v="7313.0"/>
        <n v="6299.0"/>
        <n v="8833.0"/>
        <n v="8097.0"/>
        <n v="4863.0"/>
        <n v="1702.0"/>
        <n v="5913.0"/>
        <n v="2483.0"/>
        <n v="3400.0"/>
        <n v="3140.0"/>
        <n v="8344.0"/>
        <n v="6303.0"/>
        <n v="4272.0"/>
        <n v="2449.0"/>
        <n v="9853.0"/>
        <n v="8155.0"/>
        <n v="6692.0"/>
        <n v="1858.0"/>
        <n v="9860.0"/>
        <n v="5227.0"/>
        <n v="5419.0"/>
        <n v="9262.0"/>
        <n v="3596.0"/>
        <n v="1094.0"/>
        <n v="6122.0"/>
        <n v="4096.0"/>
        <n v="3201.0"/>
        <n v="3876.0"/>
        <n v="7979.0"/>
        <n v="2063.0"/>
        <n v="4105.0"/>
        <n v="3606.0"/>
        <n v="6279.0"/>
        <n v="5632.0"/>
        <n v="1972.0"/>
        <n v="3199.0"/>
        <n v="3758.0"/>
        <n v="4095.0"/>
        <n v="1432.0"/>
        <n v="7637.0"/>
        <n v="9989.0"/>
        <n v="7855.0"/>
        <n v="8290.0"/>
        <n v="4699.0"/>
        <n v="3914.0"/>
        <n v="4615.0"/>
        <n v="3116.0"/>
        <n v="9985.0"/>
        <n v="7535.0"/>
        <n v="5243.0"/>
        <n v="6632.0"/>
        <n v="2454.0"/>
        <n v="2886.0"/>
        <n v="4666.0"/>
        <n v="8145.0"/>
        <n v="2168.0"/>
        <n v="7286.0"/>
        <n v="9444.0"/>
        <n v="3925.0"/>
        <n v="5769.0"/>
        <n v="9476.0"/>
        <n v="9151.0"/>
        <n v="3035.0"/>
        <n v="6461.0"/>
        <n v="1332.0"/>
        <n v="2119.0"/>
        <n v="1726.0"/>
        <n v="8216.0"/>
        <n v="2887.0"/>
        <n v="3615.0"/>
        <n v="9095.0"/>
        <n v="3851.0"/>
        <n v="6903.0"/>
        <n v="9218.0"/>
        <n v="5090.0"/>
        <n v="6022.0"/>
        <n v="4383.0"/>
        <n v="6544.0"/>
        <n v="4957.0"/>
        <n v="8469.0"/>
        <n v="4055.0"/>
        <n v="8937.0"/>
        <n v="3593.0"/>
        <n v="9398.0"/>
        <n v="3781.0"/>
        <n v="7713.0"/>
        <n v="7924.0"/>
        <n v="7579.0"/>
        <n v="1461.0"/>
        <n v="9437.0"/>
        <n v="4739.0"/>
        <n v="8346.0"/>
        <n v="7482.0"/>
        <n v="3062.0"/>
        <n v="8668.0"/>
        <n v="8804.0"/>
        <n v="7863.0"/>
        <n v="5008.0"/>
        <n v="2238.0"/>
        <n v="8875.0"/>
        <n v="9649.0"/>
        <n v="9130.0"/>
        <n v="3262.0"/>
        <n v="6213.0"/>
        <n v="6416.0"/>
        <n v="1172.0"/>
        <n v="6402.0"/>
        <n v="5643.0"/>
        <n v="1428.0"/>
        <n v="3647.0"/>
        <n v="2577.0"/>
        <n v="9094.0"/>
        <n v="7738.0"/>
        <n v="8918.0"/>
        <n v="4737.0"/>
        <n v="2593.0"/>
        <n v="4097.0"/>
        <n v="1279.0"/>
        <n v="8438.0"/>
        <n v="3879.0"/>
        <n v="6154.0"/>
        <n v="5152.0"/>
        <n v="4951.0"/>
        <n v="3762.0"/>
        <n v="1944.0"/>
        <n v="3639.0"/>
        <n v="7829.0"/>
        <n v="5619.0"/>
        <n v="8339.0"/>
        <n v="7081.0"/>
        <n v="2926.0"/>
        <n v="7593.0"/>
        <n v="6874.0"/>
        <n v="4083.0"/>
        <n v="1356.0"/>
        <n v="3682.0"/>
        <n v="3160.0"/>
        <n v="2504.0"/>
        <n v="8355.0"/>
        <n v="6904.0"/>
        <n v="7568.0"/>
        <n v="7601.0"/>
        <n v="4177.0"/>
        <n v="8072.0"/>
        <n v="3142.0"/>
        <n v="6868.0"/>
        <n v="8445.0"/>
        <n v="2481.0"/>
        <n v="1336.0"/>
        <n v="4940.0"/>
        <n v="2940.0"/>
        <n v="7339.0"/>
        <n v="7348.0"/>
        <n v="1472.0"/>
        <n v="1335.0"/>
        <n v="6068.0"/>
        <n v="6205.0"/>
        <n v="8618.0"/>
        <n v="6670.0"/>
        <n v="8933.0"/>
        <n v="6531.0"/>
        <n v="6926.0"/>
        <n v="6802.0"/>
        <n v="7277.0"/>
        <n v="8960.0"/>
        <n v="7144.0"/>
        <n v="6201.0"/>
        <n v="9748.0"/>
        <n v="3929.0"/>
        <n v="2355.0"/>
        <n v="2144.0"/>
        <n v="7268.0"/>
        <n v="6808.0"/>
        <n v="1399.0"/>
        <n v="5397.0"/>
        <n v="3438.0"/>
        <n v="5242.0"/>
        <n v="4921.0"/>
        <n v="8056.0"/>
        <n v="2927.0"/>
        <n v="4257.0"/>
        <n v="6556.0"/>
        <n v="2859.0"/>
        <n v="4491.0"/>
        <n v="1484.0"/>
        <n v="8163.0"/>
        <n v="4224.0"/>
        <n v="5244.0"/>
        <n v="4235.0"/>
        <n v="5162.0"/>
        <n v="1670.0"/>
        <n v="6549.0"/>
        <n v="4716.0"/>
        <n v="9733.0"/>
        <n v="6726.0"/>
        <n v="9067.0"/>
        <n v="2996.0"/>
        <n v="2137.0"/>
        <n v="7802.0"/>
        <n v="5320.0"/>
        <n v="7073.0"/>
        <n v="3778.0"/>
        <n v="6943.0"/>
        <n v="7118.0"/>
        <n v="6742.0"/>
        <n v="1793.0"/>
        <n v="3648.0"/>
        <n v="2956.0"/>
        <n v="6047.0"/>
        <n v="2200.0"/>
        <n v="1444.0"/>
        <n v="5667.0"/>
        <n v="6325.0"/>
        <n v="6952.0"/>
        <n v="4589.0"/>
        <n v="1509.0"/>
        <n v="6778.0"/>
        <n v="6947.0"/>
        <n v="3978.0"/>
        <n v="7281.0"/>
        <n v="8551.0"/>
        <n v="6698.0"/>
        <n v="9755.0"/>
        <n v="8805.0"/>
        <n v="1355.0"/>
        <n v="7283.0"/>
        <n v="4115.0"/>
        <n v="3573.0"/>
        <n v="8726.0"/>
        <n v="3451.0"/>
        <n v="6797.0"/>
        <n v="7794.0"/>
        <n v="3326.0"/>
        <n v="3074.0"/>
        <n v="4457.0"/>
        <n v="6897.0"/>
        <n v="9123.0"/>
        <n v="3138.0"/>
        <n v="4950.0"/>
        <n v="3799.0"/>
        <n v="3070.0"/>
        <n v="1908.0"/>
        <n v="5859.0"/>
        <n v="9786.0"/>
        <n v="6462.0"/>
        <n v="5285.0"/>
        <n v="4778.0"/>
        <n v="3020.0"/>
        <n v="3584.0"/>
        <n v="9096.0"/>
        <n v="3907.0"/>
        <n v="7690.0"/>
        <n v="7696.0"/>
        <n v="8418.0"/>
        <n v="4361.0"/>
        <n v="4500.0"/>
        <n v="9277.0"/>
        <n v="5824.0"/>
        <n v="8405.0"/>
        <n v="8176.0"/>
        <n v="7909.0"/>
        <n v="7911.0"/>
        <n v="2659.0"/>
        <n v="2310.0"/>
        <n v="9513.0"/>
        <n v="2769.0"/>
        <n v="7792.0"/>
        <n v="8006.0"/>
        <n v="3991.0"/>
        <n v="1413.0"/>
        <n v="3141.0"/>
        <n v="4509.0"/>
        <n v="6137.0"/>
        <n v="3931.0"/>
        <n v="4567.0"/>
        <n v="8697.0"/>
        <n v="6247.0"/>
        <n v="1148.0"/>
        <n v="4597.0"/>
        <n v="1360.0"/>
        <n v="9529.0"/>
        <n v="7714.0"/>
        <n v="6991.0"/>
        <n v="2847.0"/>
        <n v="1610.0"/>
        <n v="4874.0"/>
        <n v="6051.0"/>
        <n v="7843.0"/>
        <n v="1758.0"/>
        <n v="7074.0"/>
        <n v="4876.0"/>
        <n v="4101.0"/>
        <n v="1305.0"/>
        <n v="9567.0"/>
        <n v="3182.0"/>
        <n v="1395.0"/>
        <n v="6404.0"/>
        <n v="2197.0"/>
        <n v="3339.0"/>
        <n v="4126.0"/>
        <n v="8638.0"/>
        <n v="6767.0"/>
        <n v="2493.0"/>
        <n v="6856.0"/>
        <n v="6814.0"/>
        <n v="2341.0"/>
        <n v="2494.0"/>
        <n v="9964.0"/>
        <n v="3780.0"/>
        <n v="4047.0"/>
        <n v="1634.0"/>
        <n v="5520.0"/>
        <n v="9112.0"/>
        <n v="7485.0"/>
        <n v="6116.0"/>
        <n v="6020.0"/>
        <n v="9461.0"/>
        <n v="9098.0"/>
        <n v="9610.0"/>
        <n v="3292.0"/>
        <n v="9996.0"/>
        <n v="8558.0"/>
        <n v="3586.0"/>
        <n v="7426.0"/>
        <n v="5098.0"/>
        <n v="5861.0"/>
        <n v="2931.0"/>
        <n v="6792.0"/>
        <n v="1215.0"/>
        <n v="6768.0"/>
        <n v="4271.0"/>
        <n v="9258.0"/>
        <n v="3709.0"/>
        <n v="4317.0"/>
        <n v="8386.0"/>
        <n v="7449.0"/>
        <n v="4141.0"/>
        <n v="6832.0"/>
        <n v="4344.0"/>
        <n v="1695.0"/>
        <n v="5883.0"/>
        <n v="9418.0"/>
        <n v="9511.0"/>
        <n v="8912.0"/>
        <n v="6378.0"/>
        <n v="4428.0"/>
        <n v="5835.0"/>
        <n v="5688.0"/>
        <n v="5936.0"/>
        <n v="9159.0"/>
        <n v="9306.0"/>
        <n v="4516.0"/>
        <n v="1487.0"/>
        <n v="1346.0"/>
        <n v="3029.0"/>
        <n v="8903.0"/>
        <n v="6966.0"/>
        <n v="8603.0"/>
        <n v="9468.0"/>
        <n v="8525.0"/>
        <n v="1752.0"/>
        <n v="7153.0"/>
        <n v="3959.0"/>
        <n v="6870.0"/>
        <n v="8910.0"/>
        <n v="3899.0"/>
        <n v="8527.0"/>
        <n v="1898.0"/>
        <n v="5891.0"/>
        <n v="6481.0"/>
        <n v="7018.0"/>
        <n v="8156.0"/>
        <n v="8537.0"/>
        <n v="1117.0"/>
        <n v="1287.0"/>
        <n v="1449.0"/>
        <n v="3625.0"/>
        <n v="9423.0"/>
        <n v="6734.0"/>
        <n v="9741.0"/>
        <n v="6335.0"/>
        <n v="8780.0"/>
        <n v="5338.0"/>
        <n v="4792.0"/>
        <n v="4659.0"/>
        <n v="8044.0"/>
        <n v="4493.0"/>
        <n v="9539.0"/>
        <n v="3939.0"/>
        <n v="6941.0"/>
        <n v="8448.0"/>
        <n v="6805.0"/>
        <n v="6968.0"/>
        <n v="9944.0"/>
        <n v="9811.0"/>
        <n v="5960.0"/>
        <n v="8032.0"/>
        <n v="6596.0"/>
        <n v="5246.0"/>
        <n v="4625.0"/>
        <n v="7652.0"/>
        <n v="7040.0"/>
        <n v="2665.0"/>
        <n v="1624.0"/>
        <n v="5053.0"/>
        <n v="7429.0"/>
        <n v="7189.0"/>
        <n v="7240.0"/>
        <n v="3111.0"/>
        <n v="6877.0"/>
        <n v="3548.0"/>
        <n v="2581.0"/>
        <n v="4430.0"/>
        <n v="2514.0"/>
        <n v="4682.0"/>
        <n v="3690.0"/>
        <n v="9535.0"/>
        <n v="7910.0"/>
        <n v="9804.0"/>
        <n v="9320.0"/>
        <n v="8662.0"/>
        <n v="2295.0"/>
        <n v="3447.0"/>
        <n v="5300.0"/>
        <n v="2937.0"/>
        <n v="7102.0"/>
        <n v="1882.0"/>
        <n v="9986.0"/>
        <n v="9102.0"/>
        <n v="9574.0"/>
        <n v="3329.0"/>
        <n v="3691.0"/>
        <n v="8429.0"/>
        <n v="7555.0"/>
        <n v="5742.0"/>
        <n v="7550.0"/>
        <n v="5852.0"/>
        <n v="7766.0"/>
        <n v="7376.0"/>
        <n v="4286.0"/>
        <n v="6434.0"/>
        <n v="2773.0"/>
        <n v="1927.0"/>
        <n v="7054.0"/>
        <n v="4346.0"/>
        <n v="2425.0"/>
        <n v="7379.0"/>
        <n v="4775.0"/>
        <n v="4741.0"/>
        <n v="3948.0"/>
        <n v="3730.0"/>
        <n v="9873.0"/>
        <n v="6706.0"/>
        <n v="3036.0"/>
        <n v="5944.0"/>
        <n v="8079.0"/>
        <n v="5185.0"/>
        <n v="4546.0"/>
        <n v="3674.0"/>
        <n v="1515.0"/>
        <n v="4692.0"/>
        <n v="5586.0"/>
        <n v="1584.0"/>
        <n v="2474.0"/>
        <n v="4784.0"/>
        <n v="1556.0"/>
        <n v="6677.0"/>
        <n v="5257.0"/>
        <n v="9959.0"/>
        <n v="6566.0"/>
        <n v="6611.0"/>
        <n v="1846.0"/>
        <n v="3325.0"/>
        <n v="2079.0"/>
        <n v="5745.0"/>
        <n v="2738.0"/>
        <n v="3214.0"/>
        <n v="2832.0"/>
        <n v="2813.0"/>
        <n v="4972.0"/>
        <n v="5975.0"/>
        <n v="8066.0"/>
        <n v="5120.0"/>
        <n v="6569.0"/>
        <n v="9641.0"/>
        <n v="6097.0"/>
        <n v="8743.0"/>
        <n v="7471.0"/>
        <n v="2838.0"/>
        <n v="6833.0"/>
        <n v="2891.0"/>
        <n v="4219.0"/>
        <n v="1151.0"/>
        <n v="8146.0"/>
        <n v="1919.0"/>
        <n v="5704.0"/>
        <n v="8965.0"/>
        <n v="8180.0"/>
        <n v="9647.0"/>
        <n v="3835.0"/>
        <n v="7750.0"/>
        <n v="7233.0"/>
        <n v="3328.0"/>
        <n v="3995.0"/>
        <n v="8651.0"/>
        <n v="1159.0"/>
        <n v="1657.0"/>
        <n v="3192.0"/>
        <n v="9065.0"/>
        <n v="6476.0"/>
        <n v="6748.0"/>
        <n v="6539.0"/>
        <n v="6149.0"/>
        <n v="2789.0"/>
        <n v="9358.0"/>
        <n v="5451.0"/>
        <n v="1936.0"/>
        <n v="3415.0"/>
        <n v="5146.0"/>
        <n v="2578.0"/>
        <n v="9594.0"/>
        <n v="7784.0"/>
        <n v="9576.0"/>
        <n v="2091.0"/>
        <n v="1016.0"/>
        <n v="8749.0"/>
        <n v="9265.0"/>
        <n v="8068.0"/>
        <n v="9357.0"/>
        <n v="4291.0"/>
        <n v="7325.0"/>
        <n v="4038.0"/>
        <n v="1621.0"/>
        <n v="7477.0"/>
        <n v="5287.0"/>
        <n v="2604.0"/>
        <n v="1145.0"/>
        <n v="4892.0"/>
        <n v="9118.0"/>
        <n v="2090.0"/>
        <n v="9835.0"/>
        <n v="7846.0"/>
        <n v="5101.0"/>
        <n v="8917.0"/>
        <n v="2061.0"/>
        <n v="7030.0"/>
        <n v="6869.0"/>
        <n v="8340.0"/>
        <n v="3952.0"/>
        <n v="4881.0"/>
        <n v="2046.0"/>
        <n v="1811.0"/>
        <n v="4971.0"/>
        <n v="1592.0"/>
        <n v="8974.0"/>
        <n v="2372.0"/>
        <n v="5731.0"/>
        <n v="1292.0"/>
        <n v="4980.0"/>
        <n v="8560.0"/>
        <n v="2668.0"/>
        <n v="4338.0"/>
        <n v="6787.0"/>
        <n v="7908.0"/>
        <n v="4817.0"/>
        <n v="6424.0"/>
        <n v="3685.0"/>
        <n v="3409.0"/>
        <n v="5478.0"/>
        <n v="4169.0"/>
        <n v="8855.0"/>
        <n v="2153.0"/>
        <n v="4867.0"/>
        <n v="7838.0"/>
        <n v="7177.0"/>
        <n v="3011.0"/>
        <n v="9298.0"/>
        <n v="7035.0"/>
        <n v="4824.0"/>
        <n v="3716.0"/>
        <n v="6406.0"/>
        <n v="8178.0"/>
        <n v="9711.0"/>
        <n v="2748.0"/>
        <n v="5324.0"/>
        <n v="1303.0"/>
        <n v="9278.0"/>
        <n v="5067.0"/>
        <n v="9828.0"/>
        <n v="1384.0"/>
        <n v="7330.0"/>
        <n v="3028.0"/>
        <n v="9381.0"/>
        <n v="9507.0"/>
        <n v="4233.0"/>
        <n v="5505.0"/>
        <n v="9753.0"/>
        <n v="8033.0"/>
        <n v="8476.0"/>
        <n v="2543.0"/>
        <n v="8572.0"/>
        <n v="2219.0"/>
        <n v="2281.0"/>
        <n v="2961.0"/>
        <n v="1254.0"/>
        <n v="5106.0"/>
        <n v="5905.0"/>
        <n v="1775.0"/>
        <n v="1203.0"/>
        <n v="6302.0"/>
        <n v="8820.0"/>
        <n v="9158.0"/>
        <n v="5425.0"/>
        <n v="5357.0"/>
        <n v="9896.0"/>
        <n v="3109.0"/>
        <n v="2687.0"/>
        <n v="4554.0"/>
        <n v="5597.0"/>
        <n v="3379.0"/>
        <n v="6045.0"/>
        <n v="3770.0"/>
        <n v="3330.0"/>
        <n v="4223.0"/>
        <n v="5156.0"/>
        <n v="4624.0"/>
        <n v="9518.0"/>
        <n v="2860.0"/>
        <n v="1185.0"/>
        <n v="3158.0"/>
        <n v="1630.0"/>
        <n v="7083.0"/>
        <n v="6391.0"/>
        <n v="9446.0"/>
        <n v="7350.0"/>
        <n v="2470.0"/>
        <n v="8311.0"/>
        <n v="6455.0"/>
        <n v="2575.0"/>
        <n v="4759.0"/>
        <n v="5459.0"/>
        <n v="8424.0"/>
        <n v="4785.0"/>
        <n v="2510.0"/>
        <n v="8536.0"/>
        <n v="2427.0"/>
        <n v="5827.0"/>
        <n v="2587.0"/>
        <n v="1662.0"/>
        <n v="4820.0"/>
        <n v="4258.0"/>
        <n v="3523.0"/>
        <n v="8715.0"/>
        <n v="8054.0"/>
        <n v="2972.0"/>
        <n v="5579.0"/>
        <n v="8457.0"/>
        <n v="3598.0"/>
        <n v="8884.0"/>
        <n v="4407.0"/>
        <n v="3972.0"/>
        <n v="6488.0"/>
        <n v="4253.0"/>
        <n v="5942.0"/>
        <n v="6226.0"/>
        <n v="6489.0"/>
        <n v="1778.0"/>
        <n v="7470.0"/>
        <n v="1988.0"/>
        <n v="6501.0"/>
        <n v="7132.0"/>
        <n v="8955.0"/>
        <n v="2532.0"/>
        <n v="4261.0"/>
        <n v="3886.0"/>
        <n v="2878.0"/>
        <n v="7656.0"/>
        <n v="1052.0"/>
        <n v="1193.0"/>
        <n v="5581.0"/>
        <n v="3225.0"/>
        <n v="2846.0"/>
        <n v="2181.0"/>
        <n v="8980.0"/>
        <n v="8535.0"/>
        <n v="7066.0"/>
        <n v="6511.0"/>
        <n v="9019.0"/>
        <n v="7934.0"/>
        <n v="4046.0"/>
        <n v="4300.0"/>
        <n v="8200.0"/>
        <n v="8039.0"/>
        <n v="2740.0"/>
        <n v="2476.0"/>
        <n v="2155.0"/>
        <n v="7953.0"/>
        <n v="1309.0"/>
        <n v="3304.0"/>
        <n v="9760.0"/>
        <n v="2788.0"/>
        <n v="3335.0"/>
        <n v="6096.0"/>
        <n v="5889.0"/>
        <n v="4528.0"/>
        <n v="1997.0"/>
        <n v="6190.0"/>
        <n v="1796.0"/>
        <n v="9879.0"/>
        <n v="2641.0"/>
        <n v="4054.0"/>
        <n v="7928.0"/>
        <n v="2912.0"/>
        <n v="5193.0"/>
        <n v="3117.0"/>
        <n v="7112.0"/>
        <n v="9743.0"/>
        <n v="7071.0"/>
        <n v="5822.0"/>
        <n v="5647.0"/>
        <n v="2495.0"/>
        <n v="1361.0"/>
        <n v="9938.0"/>
        <n v="2022.0"/>
        <n v="1119.0"/>
        <n v="9202.0"/>
        <n v="3723.0"/>
        <n v="7670.0"/>
        <n v="9263.0"/>
        <n v="8183.0"/>
        <n v="4920.0"/>
        <n v="3462.0"/>
        <n v="8601.0"/>
        <n v="8877.0"/>
        <n v="1517.0"/>
        <n v="6627.0"/>
        <n v="7502.0"/>
        <n v="1347.0"/>
        <n v="9925.0"/>
        <n v="6115.0"/>
        <n v="2899.0"/>
        <n v="8669.0"/>
        <n v="8836.0"/>
        <n v="3656.0"/>
        <n v="1199.0"/>
        <n v="4280.0"/>
        <n v="9362.0"/>
        <n v="9717.0"/>
        <n v="1272.0"/>
        <n v="7650.0"/>
        <n v="7362.0"/>
        <n v="3960.0"/>
        <n v="2320.0"/>
        <n v="7607.0"/>
        <n v="6239.0"/>
        <n v="4259.0"/>
        <n v="7024.0"/>
        <n v="3184.0"/>
        <n v="2512.0"/>
        <n v="6626.0"/>
        <n v="7944.0"/>
        <n v="6433.0"/>
        <n v="5814.0"/>
        <n v="3527.0"/>
        <n v="9668.0"/>
        <n v="9110.0"/>
        <n v="3979.0"/>
        <n v="7622.0"/>
        <n v="6394.0"/>
        <n v="5412.0"/>
        <n v="3173.0"/>
        <n v="2338.0"/>
        <n v="5657.0"/>
        <n v="6101.0"/>
        <n v="1518.0"/>
        <n v="2533.0"/>
        <n v="4501.0"/>
        <n v="9451.0"/>
        <n v="5733.0"/>
        <n v="2794.0"/>
        <n v="8423.0"/>
        <n v="8684.0"/>
        <n v="8766.0"/>
        <n v="6525.0"/>
        <n v="9478.0"/>
        <n v="4574.0"/>
        <n v="4670.0"/>
        <n v="6946.0"/>
        <n v="6983.0"/>
        <n v="3997.0"/>
        <n v="1632.0"/>
        <n v="2348.0"/>
        <n v="5533.0"/>
        <n v="7534.0"/>
        <n v="9220.0"/>
        <n v="3712.0"/>
        <n v="8885.0"/>
        <n v="6974.0"/>
        <n v="5076.0"/>
        <n v="5342.0"/>
        <n v="7019.0"/>
        <n v="5030.0"/>
        <n v="8971.0"/>
        <n v="1446.0"/>
        <n v="6640.0"/>
        <n v="2308.0"/>
        <n v="3156.0"/>
        <n v="5135.0"/>
        <n v="7086.0"/>
        <n v="8592.0"/>
        <n v="3673.0"/>
        <n v="2136.0"/>
        <n v="5501.0"/>
        <n v="6224.0"/>
        <n v="2991.0"/>
        <n v="5569.0"/>
        <n v="9554.0"/>
        <n v="2319.0"/>
        <n v="4691.0"/>
        <n v="2782.0"/>
        <n v="3014.0"/>
        <n v="9732.0"/>
        <n v="8024.0"/>
        <n v="5399.0"/>
        <n v="3053.0"/>
        <n v="8678.0"/>
        <n v="7811.0"/>
        <n v="4978.0"/>
        <n v="3459.0"/>
        <n v="3608.0"/>
        <n v="5382.0"/>
        <n v="7280.0"/>
        <n v="2031.0"/>
        <n v="9439.0"/>
        <n v="3839.0"/>
        <n v="9401.0"/>
        <n v="1181.0"/>
        <n v="2398.0"/>
        <n v="7538.0"/>
        <n v="3949.0"/>
        <n v="4531.0"/>
        <n v="6265.0"/>
        <n v="9869.0"/>
        <n v="7873.0"/>
        <n v="8708.0"/>
        <n v="1777.0"/>
        <n v="3105.0"/>
        <n v="6914.0"/>
        <n v="8511.0"/>
        <n v="9210.0"/>
        <n v="5525.0"/>
        <n v="2019.0"/>
        <n v="7577.0"/>
        <n v="1046.0"/>
        <n v="7358.0"/>
        <n v="8797.0"/>
        <n v="1853.0"/>
        <n v="6671.0"/>
        <n v="2333.0"/>
        <n v="1047.0"/>
        <n v="2028.0"/>
        <n v="6331.0"/>
        <n v="3672.0"/>
        <n v="1465.0"/>
        <n v="3030.0"/>
        <n v="8792.0"/>
        <n v="3576.0"/>
        <n v="1691.0"/>
        <n v="8430.0"/>
        <n v="7186.0"/>
        <n v="4284.0"/>
        <n v="2993.0"/>
        <n v="9534.0"/>
        <n v="3212.0"/>
        <n v="5012.0"/>
        <n v="7124.0"/>
        <n v="5783.0"/>
        <n v="9816.0"/>
        <n v="5761.0"/>
        <n v="9626.0"/>
        <n v="4165.0"/>
        <n v="9672.0"/>
        <n v="4193.0"/>
        <n v="9409.0"/>
        <n v="6496.0"/>
        <n v="6971.0"/>
        <n v="5247.0"/>
        <n v="4393.0"/>
        <n v="1256.0"/>
        <n v="8110.0"/>
        <n v="3243.0"/>
        <n v="7943.0"/>
        <n v="4966.0"/>
        <n v="3613.0"/>
        <n v="9282.0"/>
        <n v="1424.0"/>
        <n v="7936.0"/>
        <n v="4037.0"/>
        <n v="9940.0"/>
        <n v="1177.0"/>
        <n v="3623.0"/>
        <n v="5427.0"/>
        <n v="7553.0"/>
        <n v="6375.0"/>
        <n v="9466.0"/>
        <n v="6081.0"/>
        <n v="3327.0"/>
        <n v="4275.0"/>
        <n v="4791.0"/>
        <n v="8566.0"/>
        <n v="2112.0"/>
        <n v="7592.0"/>
        <n v="8274.0"/>
        <n v="5196.0"/>
        <n v="2017.0"/>
        <n v="4448.0"/>
        <n v="4928.0"/>
        <n v="6628.0"/>
        <n v="6162.0"/>
        <n v="3859.0"/>
        <n v="9866.0"/>
        <n v="1470.0"/>
        <n v="9797.0"/>
        <n v="5945.0"/>
        <n v="9127.0"/>
        <n v="2949.0"/>
        <n v="3110.0"/>
        <n v="3784.0"/>
        <n v="8192.0"/>
        <n v="9759.0"/>
        <n v="9464.0"/>
        <n v="3678.0"/>
        <n v="5943.0"/>
        <n v="4102.0"/>
        <n v="2818.0"/>
        <n v="8973.0"/>
        <n v="5661.0"/>
        <n v="3510.0"/>
        <n v="7044.0"/>
        <n v="7775.0"/>
        <n v="6031.0"/>
        <n v="9727.0"/>
        <n v="6884.0"/>
        <n v="9813.0"/>
        <n v="2625.0"/>
        <n v="1253.0"/>
        <n v="4251.0"/>
        <n v="3564.0"/>
        <n v="6024.0"/>
        <n v="5364.0"/>
        <n v="7085.0"/>
        <n v="3911.0"/>
        <n v="4342.0"/>
        <n v="1978.0"/>
        <n v="3083.0"/>
        <n v="5359.0"/>
        <n v="2602.0"/>
        <n v="6962.0"/>
        <n v="7785.0"/>
        <n v="6680.0"/>
        <n v="3371.0"/>
        <n v="5198.0"/>
        <n v="8547.0"/>
        <n v="7982.0"/>
        <n v="8542.0"/>
        <n v="6875.0"/>
        <n v="1293.0"/>
        <n v="6716.0"/>
        <n v="6800.0"/>
        <n v="7229.0"/>
        <n v="7730.0"/>
        <n v="1523.0"/>
        <n v="1234.0"/>
        <n v="7729.0"/>
        <n v="2369.0"/>
        <n v="3670.0"/>
        <n v="4373.0"/>
        <n v="6517.0"/>
        <n v="3986.0"/>
        <n v="2528.0"/>
        <n v="6075.0"/>
        <n v="8629.0"/>
        <n v="9789.0"/>
        <n v="7036.0"/>
        <n v="6054.0"/>
        <n v="7503.0"/>
        <n v="1922.0"/>
        <n v="1302.0"/>
        <n v="2243.0"/>
        <n v="4544.0"/>
        <n v="2784.0"/>
        <n v="7932.0"/>
        <n v="8989.0"/>
        <n v="5845.0"/>
        <n v="6973.0"/>
        <n v="5114.0"/>
        <n v="2690.0"/>
        <n v="5806.0"/>
        <n v="4316.0"/>
        <n v="8861.0"/>
        <n v="3233.0"/>
        <n v="8029.0"/>
        <n v="1242.0"/>
        <n v="9515.0"/>
        <n v="1820.0"/>
        <n v="2008.0"/>
        <n v="5735.0"/>
        <n v="8967.0"/>
        <n v="6521.0"/>
        <n v="4621.0"/>
        <n v="7752.0"/>
        <n v="4506.0"/>
        <n v="7017.0"/>
        <n v="8736.0"/>
        <n v="5413.0"/>
        <n v="2318.0"/>
        <n v="1722.0"/>
        <n v="7446.0"/>
        <n v="3301.0"/>
        <n v="7511.0"/>
        <n v="1631.0"/>
        <n v="8027.0"/>
        <n v="9660.0"/>
        <n v="4278.0"/>
        <n v="6562.0"/>
        <n v="9978.0"/>
        <n v="4770.0"/>
        <n v="3252.0"/>
        <n v="2754.0"/>
        <n v="1537.0"/>
        <n v="3101.0"/>
        <n v="1741.0"/>
        <n v="2088.0"/>
        <n v="7496.0"/>
        <n v="2471.0"/>
        <n v="2429.0"/>
        <n v="7676.0"/>
        <n v="2913.0"/>
        <n v="6731.0"/>
        <n v="8347.0"/>
        <n v="3588.0"/>
        <n v="8523.0"/>
        <n v="8246.0"/>
        <n v="1257.0"/>
        <n v="4932.0"/>
        <n v="3104.0"/>
        <n v="4183.0"/>
        <n v="8492.0"/>
        <n v="6478.0"/>
        <n v="9021.0"/>
        <n v="9074.0"/>
        <n v="1018.0"/>
        <n v="4155.0"/>
        <n v="3274.0"/>
        <n v="8491.0"/>
        <n v="9864.0"/>
        <n v="9826.0"/>
        <n v="2831.0"/>
        <n v="7084.0"/>
        <n v="5939.0"/>
        <n v="5301.0"/>
        <n v="2812.0"/>
        <n v="1289.0"/>
        <n v="8702.0"/>
        <n v="9532.0"/>
        <n v="5131.0"/>
        <n v="1605.0"/>
        <n v="1464.0"/>
        <n v="9073.0"/>
        <n v="1668.0"/>
        <n v="4140.0"/>
        <n v="4653.0"/>
        <n v="1734.0"/>
        <n v="4246.0"/>
        <n v="8539.0"/>
        <n v="7355.0"/>
        <n v="4570.0"/>
        <n v="8997.0"/>
        <n v="2981.0"/>
        <n v="8400.0"/>
        <n v="6168.0"/>
        <n v="5436.0"/>
        <n v="6959.0"/>
        <n v="9337.0"/>
        <n v="4756.0"/>
        <n v="4018.0"/>
        <n v="2039.0"/>
        <n v="7418.0"/>
        <n v="7031.0"/>
        <n v="6676.0"/>
        <n v="6890.0"/>
        <n v="4660.0"/>
        <n v="3530.0"/>
        <n v="7163.0"/>
        <n v="8404.0"/>
        <n v="7434.0"/>
        <n v="4960.0"/>
        <n v="9776.0"/>
        <n v="8672.0"/>
        <n v="1720.0"/>
        <n v="6685.0"/>
        <n v="6659.0"/>
        <n v="8717.0"/>
        <n v="8002.0"/>
        <n v="1226.0"/>
        <n v="4406.0"/>
        <n v="4179.0"/>
        <n v="7617.0"/>
        <n v="8285.0"/>
        <n v="3464.0"/>
        <n v="6357.0"/>
        <n v="7653.0"/>
        <n v="6412.0"/>
        <n v="4008.0"/>
        <n v="9715.0"/>
        <n v="8446.0"/>
        <n v="3579.0"/>
        <n v="6701.0"/>
        <n v="1295.0"/>
        <n v="8287.0"/>
        <n v="7761.0"/>
        <n v="4250.0"/>
        <n v="2374.0"/>
        <n v="4292.0"/>
        <n v="1892.0"/>
        <n v="1396.0"/>
        <n v="9239.0"/>
        <n v="7101.0"/>
        <n v="3171.0"/>
        <n v="7857.0"/>
        <n v="9907.0"/>
        <n v="1688.0"/>
        <n v="2240.0"/>
        <n v="5486.0"/>
        <n v="7623.0"/>
        <n v="6301.0"/>
        <n v="8716.0"/>
        <n v="4742.0"/>
        <n v="9495.0"/>
        <n v="9036.0"/>
        <n v="2272.0"/>
        <n v="7562.0"/>
        <n v="9667.0"/>
        <n v="9808.0"/>
        <n v="9314.0"/>
        <n v="4276.0"/>
        <n v="4147.0"/>
        <n v="8552.0"/>
        <n v="9093.0"/>
        <n v="9658.0"/>
        <n v="6583.0"/>
        <n v="3790.0"/>
        <n v="1098.0"/>
        <n v="1948.0"/>
        <n v="3078.0"/>
        <n v="1924.0"/>
        <n v="3901.0"/>
        <n v="2793.0"/>
        <n v="2453.0"/>
        <n v="6712.0"/>
        <n v="6951.0"/>
        <n v="3457.0"/>
        <n v="5062.0"/>
        <n v="2365.0"/>
        <n v="8926.0"/>
        <n v="6575.0"/>
        <n v="1536.0"/>
        <n v="8167.0"/>
        <n v="2508.0"/>
        <n v="9064.0"/>
        <n v="7195.0"/>
        <n v="6466.0"/>
        <n v="3384.0"/>
        <n v="3075.0"/>
        <n v="8727.0"/>
        <n v="8098.0"/>
        <n v="9951.0"/>
        <n v="5474.0"/>
        <n v="2424.0"/>
        <n v="9249.0"/>
        <n v="2613.0"/>
        <n v="4806.0"/>
        <n v="2041.0"/>
        <n v="8563.0"/>
        <n v="3442.0"/>
        <n v="7694.0"/>
        <n v="7185.0"/>
        <n v="2469.0"/>
        <n v="7630.0"/>
        <n v="1334.0"/>
        <n v="2131.0"/>
        <n v="6245.0"/>
        <n v="9537.0"/>
        <n v="6894.0"/>
        <n v="6871.0"/>
        <n v="5928.0"/>
        <n v="2535.0"/>
        <n v="3973.0"/>
        <n v="1269.0"/>
        <n v="9592.0"/>
        <n v="2466.0"/>
        <n v="2394.0"/>
        <n v="6514.0"/>
        <n v="6783.0"/>
        <n v="3934.0"/>
        <n v="9315.0"/>
        <n v="8803.0"/>
        <n v="6961.0"/>
        <n v="9605.0"/>
        <n v="4722.0"/>
        <n v="5601.0"/>
        <n v="8133.0"/>
        <n v="2208.0"/>
        <n v="9831.0"/>
        <n v="2386.0"/>
        <n v="2507.0"/>
        <n v="7422.0"/>
        <n v="6548.0"/>
        <n v="4411.0"/>
        <n v="1105.0"/>
        <n v="8848.0"/>
        <n v="9030.0"/>
        <n v="2553.0"/>
        <n v="6688.0"/>
        <n v="7861.0"/>
        <n v="2142.0"/>
        <n v="4676.0"/>
        <n v="8005.0"/>
        <n v="6304.0"/>
        <n v="8275.0"/>
        <n v="6027.0"/>
        <n v="2730.0"/>
        <n v="5578.0"/>
        <n v="7868.0"/>
        <n v="5532.0"/>
        <n v="8329.0"/>
        <n v="8692.0"/>
        <n v="8832.0"/>
        <n v="8593.0"/>
        <n v="4774.0"/>
        <n v="1504.0"/>
        <n v="5456.0"/>
        <n v="8436.0"/>
        <n v="4347.0"/>
        <n v="2490.0"/>
        <n v="8051.0"/>
        <n v="5113.0"/>
        <n v="2624.0"/>
        <n v="9800.0"/>
        <n v="2415.0"/>
        <n v="6362.0"/>
        <n v="4956.0"/>
        <n v="2711.0"/>
        <n v="7087.0"/>
        <n v="4746.0"/>
        <n v="8266.0"/>
        <n v="2411.0"/>
        <n v="1291.0"/>
        <n v="9438.0"/>
        <n v="7033.0"/>
        <n v="3942.0"/>
        <n v="2391.0"/>
        <n v="1482.0"/>
        <n v="1681.0"/>
        <n v="7419.0"/>
        <n v="9234.0"/>
        <n v="4599.0"/>
        <n v="2669.0"/>
        <n v="6387.0"/>
        <n v="4885.0"/>
        <n v="4696.0"/>
        <n v="5711.0"/>
        <n v="4582.0"/>
        <n v="5672.0"/>
        <n v="9623.0"/>
        <n v="6419.0"/>
        <n v="7598.0"/>
        <n v="6448.0"/>
        <n v="4605.0"/>
        <n v="3343.0"/>
        <n v="1460.0"/>
        <n v="3846.0"/>
        <n v="2605.0"/>
        <n v="4337.0"/>
        <n v="1766.0"/>
        <n v="3049.0"/>
        <n v="5888.0"/>
        <n v="1991.0"/>
        <n v="6616.0"/>
        <n v="2258.0"/>
        <n v="5418.0"/>
        <n v="6403.0"/>
        <n v="9326.0"/>
        <n v="3166.0"/>
        <n v="2752.0"/>
        <n v="2464.0"/>
        <n v="6463.0"/>
        <n v="9681.0"/>
        <n v="9618.0"/>
        <n v="3431.0"/>
        <n v="5001.0"/>
        <n v="9189.0"/>
        <n v="6784.0"/>
        <n v="5757.0"/>
        <n v="7406.0"/>
        <n v="4485.0"/>
        <n v="1797.0"/>
        <n v="8426.0"/>
        <n v="9386.0"/>
        <n v="6244.0"/>
        <n v="4028.0"/>
        <n v="8461.0"/>
        <n v="9351.0"/>
        <n v="3616.0"/>
        <n v="2075.0"/>
        <n v="8979.0"/>
        <n v="8859.0"/>
        <n v="3650.0"/>
        <n v="1682.0"/>
        <n v="4813.0"/>
        <n v="5271.0"/>
        <n v="1888.0"/>
        <n v="6199.0"/>
        <n v="7253.0"/>
        <n v="1476.0"/>
        <n v="9374.0"/>
        <n v="1138.0"/>
        <n v="1481.0"/>
        <n v="9595.0"/>
        <n v="8129.0"/>
        <n v="9208.0"/>
        <n v="7204.0"/>
        <n v="3841.0"/>
        <n v="3890.0"/>
        <n v="9673.0"/>
        <n v="6358.0"/>
        <n v="9079.0"/>
        <n v="3402.0"/>
        <n v="4232.0"/>
        <n v="6288.0"/>
        <n v="7865.0"/>
        <n v="6312.0"/>
        <n v="5223.0"/>
        <n v="7912.0"/>
        <n v="7984.0"/>
        <n v="2589.0"/>
        <n v="1097.0"/>
        <n v="5838.0"/>
        <n v="6366.0"/>
        <n v="9114.0"/>
        <n v="7916.0"/>
        <n v="8212.0"/>
        <n v="5929.0"/>
        <n v="2835.0"/>
        <n v="8818.0"/>
        <n v="3209.0"/>
        <n v="6036.0"/>
        <n v="6527.0"/>
        <n v="7113.0"/>
        <n v="5712.0"/>
        <n v="2648.0"/>
        <n v="4330.0"/>
        <n v="9768.0"/>
        <n v="2807.0"/>
        <n v="1435.0"/>
        <n v="6776.0"/>
        <n v="1342.0"/>
        <n v="6495.0"/>
        <n v="4873.0"/>
        <n v="5327.0"/>
        <n v="9862.0"/>
        <n v="1524.0"/>
        <n v="2428.0"/>
        <n v="8567.0"/>
        <n v="4898.0"/>
        <n v="4530.0"/>
        <n v="3622.0"/>
        <n v="3506.0"/>
        <n v="4423.0"/>
        <n v="1207.0"/>
        <n v="3385.0"/>
        <n v="5673.0"/>
        <n v="5049.0"/>
        <n v="9904.0"/>
        <n v="5680.0"/>
        <n v="1147.0"/>
        <n v="7314.0"/>
        <n v="2584.0"/>
        <n v="4203.0"/>
        <n v="8488.0"/>
        <n v="8631.0"/>
        <n v="4614.0"/>
        <n v="2632.0"/>
        <n v="3509.0"/>
        <n v="1073.0"/>
        <n v="5551.0"/>
        <n v="5182.0"/>
        <n v="6166.0"/>
        <n v="5976.0"/>
        <n v="7181.0"/>
        <n v="9782.0"/>
        <n v="9705.0"/>
        <n v="5294.0"/>
        <n v="8384.0"/>
        <n v="5927.0"/>
        <n v="2569.0"/>
        <n v="2151.0"/>
        <n v="9634.0"/>
        <n v="6307.0"/>
        <n v="1747.0"/>
        <n v="5038.0"/>
        <n v="1953.0"/>
        <n v="2138.0"/>
        <n v="9552.0"/>
        <n v="2488.0"/>
        <n v="4987.0"/>
        <n v="2623.0"/>
        <n v="5463.0"/>
        <n v="4426.0"/>
        <n v="5802.0"/>
        <n v="7159.0"/>
        <n v="5624.0"/>
        <n v="1486.0"/>
        <n v="2244.0"/>
        <n v="3735.0"/>
        <n v="4991.0"/>
        <n v="4375.0"/>
        <n v="7008.0"/>
        <n v="9012.0"/>
        <n v="1667.0"/>
        <n v="5588.0"/>
        <n v="1674.0"/>
        <n v="4857.0"/>
        <n v="2343.0"/>
        <n v="3095.0"/>
        <n v="6108.0"/>
        <n v="8342.0"/>
        <n v="9794.0"/>
        <n v="8277.0"/>
        <n v="2786.0"/>
        <n v="6714.0"/>
        <n v="3386.0"/>
        <n v="4845.0"/>
        <n v="5583.0"/>
        <n v="8829.0"/>
        <n v="4021.0"/>
        <n v="7456.0"/>
        <n v="8067.0"/>
        <n v="8508.0"/>
        <n v="5055.0"/>
        <n v="7421.0"/>
        <n v="9636.0"/>
        <n v="9644.0"/>
        <n v="6667.0"/>
        <n v="1184.0"/>
        <n v="1043.0"/>
        <n v="1462.0"/>
        <n v="6978.0"/>
        <n v="2796.0"/>
        <n v="6672.0"/>
        <n v="8693.0"/>
        <n v="6095.0"/>
        <n v="5839.0"/>
        <n v="4404.0"/>
        <n v="8450.0"/>
        <n v="8444.0"/>
        <n v="5751.0"/>
        <n v="8802.0"/>
        <n v="1687.0"/>
        <n v="1530.0"/>
        <n v="9075.0"/>
        <n v="9718.0"/>
        <n v="8588.0"/>
        <n v="2301.0"/>
        <n v="7698.0"/>
        <n v="2741.0"/>
        <n v="2529.0"/>
        <n v="1886.0"/>
        <n v="6518.0"/>
        <n v="9193.0"/>
        <n v="3430.0"/>
        <n v="6155.0"/>
        <n v="2127.0"/>
        <n v="1106.0"/>
        <n v="2352.0"/>
        <n v="2959.0"/>
        <n v="8950.0"/>
        <n v="9780.0"/>
        <n v="1931.0"/>
        <n v="1026.0"/>
        <n v="7662.0"/>
        <n v="4662.0"/>
        <n v="5274.0"/>
        <n v="4527.0"/>
        <n v="8577.0"/>
        <n v="7373.0"/>
        <n v="7604.0"/>
        <n v="7016.0"/>
        <n v="8087.0"/>
        <n v="3087.0"/>
        <n v="9197.0"/>
        <n v="6913.0"/>
        <n v="9045.0"/>
        <n v="8331.0"/>
        <n v="9872.0"/>
        <n v="3039.0"/>
        <n v="3751.0"/>
        <n v="4168.0"/>
        <n v="6370.0"/>
        <n v="7687.0"/>
        <n v="8330.0"/>
        <n v="7930.0"/>
        <n v="5984.0"/>
        <n v="1625.0"/>
        <n v="8162.0"/>
        <n v="3441.0"/>
        <n v="2821.0"/>
        <n v="8477.0"/>
        <n v="9472.0"/>
        <n v="8321.0"/>
        <n v="4297.0"/>
        <n v="8326.0"/>
        <n v="6494.0"/>
        <n v="8698.0"/>
        <n v="5105.0"/>
        <n v="2122.0"/>
        <n v="7089.0"/>
        <n v="3470.0"/>
        <n v="2188.0"/>
        <n v="5582.0"/>
        <n v="7011.0"/>
        <n v="9987.0"/>
        <n v="5887.0"/>
        <n v="5527.0"/>
        <n v="6249.0"/>
        <n v="2475.0"/>
        <n v="3215.0"/>
        <n v="1646.0"/>
        <n v="1749.0"/>
        <n v="8115.0"/>
        <n v="3566.0"/>
        <n v="5600.0"/>
        <n v="2712.0"/>
        <n v="5512.0"/>
        <n v="8687.0"/>
        <n v="1959.0"/>
        <n v="2776.0"/>
        <n v="2109.0"/>
        <n v="9803.0"/>
        <n v="2005.0"/>
        <n v="1872.0"/>
        <n v="1110.0"/>
        <n v="9053.0"/>
        <n v="1371.0"/>
        <n v="5481.0"/>
        <n v="3985.0"/>
        <n v="2603.0"/>
        <n v="9331.0"/>
        <n v="8257.0"/>
        <n v="1910.0"/>
        <n v="8969.0"/>
        <n v="5710.0"/>
        <n v="6400.0"/>
        <n v="1453.0"/>
        <n v="8226.0"/>
        <n v="2237.0"/>
        <n v="2042.0"/>
        <n v="4541.0"/>
        <n v="4964.0"/>
        <n v="3700.0"/>
        <n v="1628.0"/>
        <n v="5047.0"/>
        <n v="5074.0"/>
        <n v="3646.0"/>
        <n v="8626.0"/>
        <n v="8648.0"/>
        <n v="7894.0"/>
        <n v="4226.0"/>
        <n v="4499.0"/>
        <n v="5885.0"/>
        <n v="4678.0"/>
        <n v="8666.0"/>
        <n v="2758.0"/>
        <n v="2779.0"/>
        <n v="7208.0"/>
        <n v="2797.0"/>
        <n v="4520.0"/>
        <n v="4065.0"/>
        <n v="2980.0"/>
        <n v="6607.0"/>
        <n v="2170.0"/>
        <n v="9721.0"/>
        <n v="1109.0"/>
        <n v="7673.0"/>
        <n v="3348.0"/>
        <n v="7316.0"/>
        <n v="7193.0"/>
        <n v="9195.0"/>
        <n v="8308.0"/>
        <n v="2183.0"/>
        <n v="8584.0"/>
        <n v="2530.0"/>
        <n v="4091.0"/>
        <n v="5435.0"/>
        <n v="9384.0"/>
        <n v="4173.0"/>
        <n v="1479.0"/>
        <n v="3542.0"/>
        <n v="3840.0"/>
        <n v="1715.0"/>
        <n v="6534.0"/>
        <n v="9103.0"/>
        <n v="8315.0"/>
        <n v="3398.0"/>
        <n v="5304.0"/>
        <n v="4268.0"/>
        <n v="9966.0"/>
        <n v="4947.0"/>
        <n v="7021.0"/>
        <n v="2311.0"/>
        <n v="8023.0"/>
        <n v="2680.0"/>
        <n v="7167.0"/>
        <n v="3484.0"/>
        <n v="4318.0"/>
        <n v="5289.0"/>
        <n v="7517.0"/>
        <n v="1114.0"/>
        <n v="9785.0"/>
        <n v="8704.0"/>
        <n v="6376.0"/>
        <n v="2965.0"/>
        <n v="6197.0"/>
        <n v="1489.0"/>
        <n v="9625.0"/>
        <n v="7925.0"/>
        <n v="1278.0"/>
        <n v="3375.0"/>
        <n v="5099.0"/>
        <n v="1438.0"/>
        <n v="3307.0"/>
        <n v="3353.0"/>
        <n v="5963.0"/>
        <n v="6836.0"/>
        <n v="8781.0"/>
        <n v="6969.0"/>
        <n v="6069.0"/>
        <n v="4728.0"/>
        <n v="5985.0"/>
        <n v="4370.0"/>
        <n v="8907.0"/>
        <n v="1379.0"/>
        <n v="5682.0"/>
        <n v="5869.0"/>
        <n v="8288.0"/>
        <n v="7058.0"/>
        <n v="4938.0"/>
        <n v="1006.0"/>
        <n v="1045.0"/>
        <n v="9209.0"/>
        <n v="2733.0"/>
        <n v="1189.0"/>
        <n v="6578.0"/>
        <n v="3469.0"/>
        <n v="2997.0"/>
        <n v="9981.0"/>
        <n v="2721.0"/>
        <n v="7638.0"/>
        <n v="4850.0"/>
        <n v="3863.0"/>
        <n v="3600.0"/>
        <n v="2305.0"/>
        <n v="6216.0"/>
        <n v="8959.0"/>
        <n v="5225.0"/>
        <n v="9275.0"/>
        <n v="4053.0"/>
        <n v="2772.0"/>
        <n v="7248.0"/>
        <n v="9471.0"/>
        <n v="3574.0"/>
        <n v="7635.0"/>
        <n v="7284.0"/>
        <n v="7762.0"/>
        <n v="4743.0"/>
        <n v="5447.0"/>
        <n v="3662.0"/>
        <n v="1468.0"/>
        <n v="3178.0"/>
        <n v="1508.0"/>
        <n v="8013.0"/>
        <n v="2999.0"/>
        <n v="7897.0"/>
        <n v="3628.0"/>
        <n v="4487.0"/>
        <n v="2830.0"/>
        <n v="8075.0"/>
        <n v="1654.0"/>
        <n v="5948.0"/>
        <n v="7266.0"/>
        <n v="5560.0"/>
        <n v="1541.0"/>
        <n v="6119.0"/>
        <n v="8181.0"/>
        <n v="2657.0"/>
        <n v="8876.0"/>
        <n v="3051.0"/>
        <n v="8852.0"/>
        <n v="8398.0"/>
        <n v="6683.0"/>
        <n v="1436.0"/>
        <n v="7361.0"/>
        <n v="2761.0"/>
        <n v="5508.0"/>
        <n v="9805.0"/>
        <n v="7958.0"/>
        <n v="8617.0"/>
        <n v="1187.0"/>
        <n v="4301.0"/>
        <n v="3003.0"/>
        <n v="5638.0"/>
        <n v="7791.0"/>
        <n v="9749.0"/>
        <n v="5605.0"/>
        <n v="1259.0"/>
        <n v="6351.0"/>
        <n v="4190.0"/>
        <n v="6405.0"/>
        <n v="7671.0"/>
        <n v="8414.0"/>
        <n v="1563.0"/>
        <n v="8745.0"/>
        <n v="1554.0"/>
        <n v="9790.0"/>
        <n v="8954.0"/>
        <n v="5002.0"/>
        <n v="2049.0"/>
        <n v="9614.0"/>
        <n v="2015.0"/>
        <n v="3403.0"/>
        <n v="8495.0"/>
        <n v="9611.0"/>
        <n v="8891.0"/>
        <n v="9175.0"/>
        <n v="4999.0"/>
        <n v="8722.0"/>
        <n v="2076.0"/>
        <n v="2591.0"/>
        <n v="1813.0"/>
        <n v="1409.0"/>
        <n v="8879.0"/>
        <n v="5686.0"/>
        <n v="9081.0"/>
        <n v="1089.0"/>
        <n v="9930.0"/>
        <n v="3822.0"/>
        <n v="4948.0"/>
        <n v="5771.0"/>
        <n v="4496.0"/>
        <n v="3750.0"/>
        <n v="2677.0"/>
        <n v="6129.0"/>
        <n v="3783.0"/>
        <n v="2452.0"/>
        <n v="8824.0"/>
        <n v="5933.0"/>
        <n v="9083.0"/>
        <n v="2279.0"/>
        <n v="2622.0"/>
        <n v="9590.0"/>
        <n v="6813.0"/>
        <n v="5622.0"/>
        <n v="9177.0"/>
        <n v="8936.0"/>
        <n v="4969.0"/>
        <n v="9020.0"/>
        <n v="5205.0"/>
        <n v="7416.0"/>
        <n v="3820.0"/>
        <n v="5149.0"/>
        <n v="1885.0"/>
        <n v="9580.0"/>
        <n v="6790.0"/>
        <n v="7374.0"/>
        <n v="3928.0"/>
        <n v="6831.0"/>
        <n v="3635.0"/>
        <n v="2479.0"/>
        <n v="6955.0"/>
        <n v="1967.0"/>
        <n v="1393.0"/>
        <n v="4547.0"/>
        <n v="1249.0"/>
        <n v="5191.0"/>
        <n v="1551.0"/>
        <n v="6207.0"/>
        <n v="4616.0"/>
        <n v="1068.0"/>
        <n v="6977.0"/>
        <n v="9663.0"/>
        <n v="5870.0"/>
        <n v="1805.0"/>
        <n v="5699.0"/>
        <n v="2762.0"/>
        <n v="3300.0"/>
        <n v="6060.0"/>
        <n v="3936.0"/>
        <n v="2102.0"/>
        <n v="3558.0"/>
        <n v="1315.0"/>
        <n v="1799.0"/>
        <n v="3554.0"/>
        <n v="8549.0"/>
        <n v="8865.0"/>
        <n v="5719.0"/>
        <n v="6750.0"/>
        <n v="4888.0"/>
        <n v="1557.0"/>
        <n v="3200.0"/>
        <n v="6454.0"/>
        <n v="2973.0"/>
        <n v="8284.0"/>
        <n v="7976.0"/>
        <n v="4142.0"/>
        <n v="7798.0"/>
        <n v="1874.0"/>
        <n v="5199.0"/>
        <n v="1344.0"/>
        <n v="5893.0"/>
        <n v="4954.0"/>
        <n v="1128.0"/>
        <n v="1975.0"/>
        <n v="2554.0"/>
        <n v="9187.0"/>
        <n v="7062.0"/>
        <n v="4510.0"/>
        <n v="4113.0"/>
        <n v="8377.0"/>
        <n v="3093.0"/>
        <n v="4783.0"/>
        <n v="6073.0"/>
        <n v="4508.0"/>
        <n v="2426.0"/>
        <n v="5847.0"/>
        <n v="1096.0"/>
        <n v="7069.0"/>
        <n v="1425.0"/>
        <n v="4381.0"/>
        <n v="1397.0"/>
        <n v="7949.0"/>
        <n v="7567.0"/>
        <n v="7580.0"/>
        <n v="7488.0"/>
        <n v="9679.0"/>
        <n v="2820.0"/>
        <n v="2239.0"/>
        <n v="3089.0"/>
        <n v="7352.0"/>
        <n v="1317.0"/>
        <n v="1478.0"/>
        <n v="2065.0"/>
        <n v="2503.0"/>
        <n v="4992.0"/>
        <n v="3698.0"/>
        <n v="4515.0"/>
        <n v="2000.0"/>
        <n v="7096.0"/>
        <n v="5829.0"/>
        <n v="4001.0"/>
        <n v="1000.0"/>
        <n v="8073.0"/>
        <n v="1266.0"/>
        <n v="4819.0"/>
        <n v="6337.0"/>
        <n v="6138.0"/>
        <n v="5930.0"/>
        <n v="3603.0"/>
        <n v="7661.0"/>
        <n v="9324.0"/>
        <n v="9042.0"/>
        <n v="2501.0"/>
        <n v="6238.0"/>
        <n v="6876.0"/>
        <n v="8827.0"/>
        <n v="3887.0"/>
        <n v="2944.0"/>
        <n v="3867.0"/>
        <n v="7685.0"/>
        <n v="9244.0"/>
        <n v="1614.0"/>
        <n v="7396.0"/>
        <n v="8264.0"/>
        <n v="3186.0"/>
        <n v="9052.0"/>
        <n v="3811.0"/>
        <n v="7710.0"/>
        <n v="8223.0"/>
        <n v="5978.0"/>
        <n v="1780.0"/>
        <n v="3947.0"/>
        <n v="5763.0"/>
        <n v="2212.0"/>
        <n v="4380.0"/>
        <n v="9486.0"/>
        <n v="5472.0"/>
        <n v="5966.0"/>
        <n v="2422.0"/>
        <n v="9129.0"/>
        <n v="5703.0"/>
        <n v="7959.0"/>
        <n v="8177.0"/>
        <n v="9685.0"/>
        <n v="7194.0"/>
        <n v="4310.0"/>
        <n v="1100.0"/>
        <n v="9375.0"/>
        <n v="9856.0"/>
        <n v="6775.0"/>
        <n v="4067.0"/>
        <n v="4882.0"/>
        <n v="8211.0"/>
        <n v="2988.0"/>
        <n v="4837.0"/>
        <n v="5150.0"/>
        <n v="7459.0"/>
        <n v="3165.0"/>
        <n v="9654.0"/>
        <n v="2755.0"/>
        <n v="5352.0"/>
        <n v="4449.0"/>
        <n v="8689.0"/>
        <n v="7683.0"/>
        <n v="5892.0"/>
        <n v="9192.0"/>
        <n v="7688.0"/>
        <n v="2798.0"/>
        <n v="8061.0"/>
        <n v="9111.0"/>
        <n v="1358.0"/>
        <n v="8026.0"/>
        <n v="1918.0"/>
        <n v="5940.0"/>
        <n v="4919.0"/>
        <n v="5724.0"/>
        <n v="9622.0"/>
        <n v="5990.0"/>
        <n v="2315.0"/>
        <n v="9661.0"/>
        <n v="6315.0"/>
        <n v="6414.0"/>
        <n v="3631.0"/>
        <n v="1493.0"/>
        <n v="4917.0"/>
        <n v="9931.0"/>
        <n v="7445.0"/>
        <n v="1037.0"/>
        <n v="1362.0"/>
        <n v="4498.0"/>
        <n v="6287.0"/>
        <n v="3518.0"/>
        <n v="2324.0"/>
        <n v="5850.0"/>
        <n v="8658.0"/>
        <n v="1422.0"/>
        <n v="1265.0"/>
        <n v="7278.0"/>
        <n v="9194.0"/>
        <n v="6754.0"/>
        <n v="4111.0"/>
        <n v="2149.0"/>
        <n v="8249.0"/>
        <n v="2115.0"/>
        <n v="1613.0"/>
        <n v="8517.0"/>
        <n v="5344.0"/>
        <n v="4217.0"/>
        <n v="9793.0"/>
        <n v="5832.0"/>
        <n v="5444.0"/>
        <n v="3519.0"/>
        <n v="8847.0"/>
        <n v="3351.0"/>
        <n v="6422.0"/>
        <n v="8191.0"/>
        <n v="8114.0"/>
        <n v="1054.0"/>
        <n v="2778.0"/>
        <n v="3998.0"/>
        <n v="1985.0"/>
        <n v="8738.0"/>
        <n v="7906.0"/>
        <n v="7187.0"/>
        <n v="1074.0"/>
        <n v="2697.0"/>
        <n v="6006.0"/>
        <n v="5625.0"/>
        <n v="5909.0"/>
        <n v="5158.0"/>
        <n v="5493.0"/>
        <n v="4841.0"/>
        <n v="6369.0"/>
        <n v="8369.0"/>
        <n v="4652.0"/>
        <n v="7003.0"/>
        <n v="9553.0"/>
        <n v="5809.0"/>
        <n v="4632.0"/>
        <n v="8739.0"/>
        <n v="4647.0"/>
        <n v="2596.0"/>
        <n v="1160.0"/>
        <n v="1832.0"/>
        <n v="4893.0"/>
        <n v="9678.0"/>
        <n v="9842.0"/>
        <n v="9188.0"/>
        <n v="7400.0"/>
        <n v="4176.0"/>
        <n v="1284.0"/>
        <n v="7279.0"/>
        <n v="9709.0"/>
        <n v="4041.0"/>
        <n v="9105.0"/>
        <n v="2858.0"/>
        <n v="2020.0"/>
        <n v="6985.0"/>
        <n v="9203.0"/>
        <n v="3636.0"/>
        <n v="9155.0"/>
        <n v="2945.0"/>
        <n v="8047.0"/>
        <n v="5394.0"/>
        <n v="2373.0"/>
        <n v="8981.0"/>
        <n v="4447.0"/>
        <n v="3253.0"/>
        <n v="8158.0"/>
        <n v="4769.0"/>
        <n v="3954.0"/>
        <n v="8607.0"/>
        <n v="2746.0"/>
        <n v="5795.0"/>
        <n v="9868.0"/>
        <n v="5897.0"/>
        <n v="4914.0"/>
        <n v="1004.0"/>
        <n v="8616.0"/>
        <n v="1738.0"/>
        <n v="6795.0"/>
        <n v="1960.0"/>
        <n v="2645.0"/>
        <n v="6570.0"/>
        <n v="4583.0"/>
        <n v="7945.0"/>
        <n v="2092.0"/>
        <n v="8524.0"/>
        <n v="9348.0"/>
        <n v="6282.0"/>
        <n v="5339.0"/>
        <n v="4973.0"/>
        <n v="9425.0"/>
        <n v="8199.0"/>
        <n v="7264.0"/>
        <n v="2670.0"/>
        <n v="3347.0"/>
        <n v="2133.0"/>
        <n v="1458.0"/>
        <n v="4993.0"/>
        <n v="9707.0"/>
        <n v="1647.0"/>
        <n v="1660.0"/>
        <n v="6777.0"/>
        <n v="3729.0"/>
        <n v="2777.0"/>
        <n v="3137.0"/>
        <n v="4633.0"/>
        <n v="7103.0"/>
        <n v="8712.0"/>
        <n v="2256.0"/>
        <n v="3349.0"/>
        <n v="5717.0"/>
        <n v="1673.0"/>
        <n v="3845.0"/>
        <n v="4014.0"/>
        <n v="9288.0"/>
        <n v="9538.0"/>
        <n v="9897.0"/>
        <n v="9116.0"/>
        <n v="1038.0"/>
        <n v="4490.0"/>
        <n v="4505.0"/>
        <n v="9510.0"/>
        <n v="2609.0"/>
        <n v="4303.0"/>
        <n v="3226.0"/>
        <n v="7338.0"/>
        <n v="7414.0"/>
        <n v="4790.0"/>
        <n v="1263.0"/>
        <n v="1231.0"/>
        <n v="1993.0"/>
        <n v="5620.0"/>
        <n v="7438.0"/>
        <n v="5211.0"/>
        <n v="7939.0"/>
        <n v="4308.0"/>
        <n v="7345.0"/>
        <n v="6887.0"/>
        <n v="2982.0"/>
        <n v="2456.0"/>
        <n v="1267.0"/>
        <n v="3399.0"/>
        <n v="5402.0"/>
        <n v="6821.0"/>
        <n v="8665.0"/>
        <n v="5323.0"/>
        <n v="4175.0"/>
        <n v="4802.0"/>
        <n v="6268.0"/>
        <n v="9947.0"/>
        <n v="2492.0"/>
        <n v="4801.0"/>
        <n v="9200.0"/>
        <n v="1491.0"/>
        <n v="6752.0"/>
        <n v="5780.0"/>
        <n v="2413.0"/>
        <n v="9666.0"/>
        <n v="1340.0"/>
        <n v="1591.0"/>
        <n v="9135.0"/>
        <n v="5764.0"/>
        <n v="8100.0"/>
        <n v="3731.0"/>
        <n v="2406.0"/>
        <n v="7507.0"/>
        <n v="3048.0"/>
        <n v="7516.0"/>
        <n v="8605.0"/>
        <n v="7525.0"/>
        <n v="3819.0"/>
        <n v="4851.0"/>
        <n v="8639.0"/>
        <n v="2658.0"/>
        <n v="6508.0"/>
        <n v="8581.0"/>
        <n v="4005.0"/>
        <n v="8485.0"/>
        <n v="4137.0"/>
        <n v="9817.0"/>
        <n v="4564.0"/>
        <n v="1401.0"/>
        <n v="4410.0"/>
        <n v="8456.0"/>
        <n v="6017.0"/>
        <n v="8886.0"/>
        <n v="8055.0"/>
        <n v="3282.0"/>
        <n v="7923.0"/>
        <n v="7329.0"/>
        <n v="6203.0"/>
        <n v="2720.0"/>
        <n v="3492.0"/>
        <n v="2002.0"/>
        <n v="3019.0"/>
        <n v="9452.0"/>
        <n v="4818.0"/>
        <n v="5126.0"/>
        <n v="8203.0"/>
        <n v="9310.0"/>
        <n v="7441.0"/>
        <n v="4382.0"/>
        <n v="3256.0"/>
        <n v="5042.0"/>
        <n v="8269.0"/>
        <n v="4205.0"/>
        <n v="6979.0"/>
        <n v="6911.0"/>
        <n v="3933.0"/>
        <n v="4026.0"/>
        <n v="1194.0"/>
        <n v="6229.0"/>
        <n v="7649.0"/>
        <n v="7506.0"/>
        <n v="2548.0"/>
        <n v="4846.0"/>
        <n v="9880.0"/>
        <n v="6540.0"/>
        <n v="3297.0"/>
        <n v="4753.0"/>
        <n v="6121.0"/>
        <n v="7324.0"/>
        <n v="5654.0"/>
        <n v="3387.0"/>
        <n v="8863.0"/>
        <n v="9952.0"/>
        <n v="2175.0"/>
        <n v="6859.0"/>
        <n v="8030.0"/>
        <n v="4519.0"/>
        <n v="2461.0"/>
        <n v="3791.0"/>
        <n v="8615.0"/>
        <n v="2056.0"/>
        <n v="5955.0"/>
        <n v="4456.0"/>
        <n v="1209.0"/>
        <n v="3424.0"/>
        <n v="4982.0"/>
        <n v="5265.0"/>
        <n v="8333.0"/>
        <n v="9006.0"/>
        <n v="8659.0"/>
        <n v="4933.0"/>
        <n v="9777.0"/>
        <n v="7956.0"/>
        <n v="1804.0"/>
        <n v="7174.0"/>
        <n v="3663.0"/>
        <n v="3281.0"/>
        <n v="4458.0"/>
        <n v="8564.0"/>
        <n v="9932.0"/>
        <n v="3505.0"/>
        <n v="5439.0"/>
        <n v="5094.0"/>
        <n v="3259.0"/>
        <n v="8392.0"/>
        <n v="5454.0"/>
        <n v="7651.0"/>
        <n v="6242.0"/>
        <n v="6338.0"/>
        <n v="5705.0"/>
        <n v="3870.0"/>
        <n v="9659.0"/>
        <n v="5881.0"/>
        <n v="1166.0"/>
        <n v="6619.0"/>
        <n v="6174.0"/>
        <n v="6673.0"/>
        <n v="8095.0"/>
        <n v="8337.0"/>
        <n v="7935.0"/>
        <n v="2541.0"/>
        <n v="4274.0"/>
        <n v="3216.0"/>
        <n v="3313.0"/>
        <n v="7156.0"/>
        <n v="7427.0"/>
        <n v="9895.0"/>
        <n v="8587.0"/>
        <n v="1212.0"/>
        <n v="7988.0"/>
        <n v="6327.0"/>
        <n v="2834.0"/>
        <n v="8619.0"/>
        <n v="1933.0"/>
        <n v="5453.0"/>
        <n v="9457.0"/>
        <n v="8988.0"/>
        <n v="9961.0"/>
        <n v="7807.0"/>
        <n v="9710.0"/>
        <n v="9009.0"/>
        <n v="3303.0"/>
        <n v="4803.0"/>
        <n v="3374.0"/>
        <n v="5916.0"/>
        <n v="1819.0"/>
        <n v="7504.0"/>
        <n v="5210.0"/>
        <n v="4858.0"/>
        <n v="5946.0"/>
        <n v="3277.0"/>
        <n v="3877.0"/>
        <n v="2633.0"/>
        <n v="1505.0"/>
        <n v="8388.0"/>
        <n v="6631.0"/>
        <n v="4199.0"/>
        <n v="4600.0"/>
        <n v="2400.0"/>
        <n v="1765.0"/>
        <n v="4120.0"/>
        <n v="4908.0"/>
        <n v="7884.0"/>
        <n v="1976.0"/>
        <n v="7896.0"/>
        <n v="1112.0"/>
        <n v="4995.0"/>
        <n v="8779.0"/>
        <n v="1406.0"/>
        <n v="8677.0"/>
        <n v="7773.0"/>
        <n v="2029.0"/>
        <n v="4967.0"/>
        <n v="1929.0"/>
        <n v="6565.0"/>
        <n v="1134.0"/>
        <n v="4952.0"/>
        <n v="5222.0"/>
        <n v="5902.0"/>
        <n v="6085.0"/>
        <n v="5089.0"/>
        <n v="9555.0"/>
        <n v="8982.0"/>
        <n v="8031.0"/>
        <n v="4687.0"/>
        <n v="4463.0"/>
        <n v="8422.0"/>
        <n v="4604.0"/>
        <n v="4862.0"/>
        <n v="8828.0"/>
        <n v="4314.0"/>
        <n v="2511.0"/>
        <n v="7161.0"/>
        <n v="9270.0"/>
        <n v="3026.0"/>
        <n v="1003.0"/>
        <n v="3854.0"/>
        <n v="7808.0"/>
        <n v="4376.0"/>
        <n v="5575.0"/>
        <n v="3418.0"/>
        <n v="2291.0"/>
        <n v="7056.0"/>
        <n v="6788.0"/>
        <n v="5540.0"/>
        <n v="9645.0"/>
        <n v="1380.0"/>
        <n v="2728.0"/>
        <n v="9214.0"/>
        <n v="5465.0"/>
        <n v="6202.0"/>
        <n v="1191.0"/>
        <n v="4299.0"/>
        <n v="1996.0"/>
        <n v="1881.0"/>
        <n v="6001.0"/>
        <n v="8864.0"/>
        <n v="6766.0"/>
        <n v="9449.0"/>
        <n v="7225.0"/>
        <n v="6770.0"/>
        <n v="3643.0"/>
        <n v="1450.0"/>
        <n v="6243.0"/>
        <n v="1884.0"/>
        <n v="9941.0"/>
        <n v="9001.0"/>
        <n v="5229.0"/>
        <n v="1069.0"/>
        <n v="4029.0"/>
        <n v="7564.0"/>
        <n v="3401.0"/>
        <n v="7430.0"/>
        <n v="9921.0"/>
        <n v="2233.0"/>
        <n v="2601.0"/>
        <n v="1173.0"/>
        <n v="9979.0"/>
        <n v="9380.0"/>
        <n v="2565.0"/>
        <n v="9297.0"/>
        <n v="4150.0"/>
        <n v="4086.0"/>
        <n v="1149.0"/>
        <n v="7129.0"/>
        <n v="7246.0"/>
        <n v="5677.0"/>
        <n v="6165.0"/>
        <n v="2024.0"/>
        <n v="7859.0"/>
        <n v="1951.0"/>
        <n v="3471.0"/>
        <n v="9257.0"/>
        <n v="7397.0"/>
        <n v="3261.0"/>
        <n v="3713.0"/>
        <n v="4963.0"/>
        <n v="2012.0"/>
        <n v="8090.0"/>
        <n v="4838.0"/>
        <n v="4196.0"/>
        <n v="2901.0"/>
        <n v="2167.0"/>
        <n v="4797.0"/>
        <n v="1827.0"/>
        <n v="2225.0"/>
        <n v="8387.0"/>
        <n v="8874.0"/>
        <n v="8809.0"/>
        <n v="9339.0"/>
        <n v="8248.0"/>
        <n v="9017.0"/>
        <n v="9573.0"/>
        <n v="4861.0"/>
        <n v="2731.0"/>
        <n v="9039.0"/>
        <n v="6318.0"/>
        <n v="9430.0"/>
        <n v="7296.0"/>
        <n v="8012.0"/>
        <n v="3722.0"/>
        <n v="5857.0"/>
        <n v="9929.0"/>
        <n v="7354.0"/>
        <n v="8443.0"/>
        <n v="7000.0"/>
        <n v="4729.0"/>
        <n v="7572.0"/>
        <n v="7349.0"/>
        <n v="7088.0"/>
        <n v="5416.0"/>
        <n v="7611.0"/>
        <n v="6132.0"/>
        <n v="1153.0"/>
        <n v="7915.0"/>
        <n v="8084.0"/>
        <n v="2375.0"/>
        <n v="3680.0"/>
        <n v="6322.0"/>
        <n v="6152.0"/>
        <n v="5121.0"/>
        <n v="3485.0"/>
        <n v="8385.0"/>
        <n v="5971.0"/>
        <n v="3453.0"/>
        <n v="7597.0"/>
        <n v="2978.0"/>
        <n v="8301.0"/>
        <n v="2298.0"/>
        <n v="1130.0"/>
        <n v="9750.0"/>
        <n v="3222.0"/>
        <n v="9429.0"/>
        <n v="7168.0"/>
        <n v="8807.0"/>
        <n v="6781.0"/>
        <n v="2264.0"/>
        <n v="2615.0"/>
        <n v="7526.0"/>
        <n v="1915.0"/>
        <n v="8363.0"/>
        <n v="5073.0"/>
        <n v="7387.0"/>
        <n v="4763.0"/>
        <n v="7667.0"/>
        <n v="9824.0"/>
        <n v="5800.0"/>
        <n v="7220.0"/>
        <n v="3830.0"/>
        <n v="9730.0"/>
        <n v="9371.0"/>
        <n v="6175.0"/>
        <n v="6552.0"/>
        <n v="1757.0"/>
        <n v="2671.0"/>
        <n v="1619.0"/>
        <n v="7782.0"/>
        <n v="8941.0"/>
        <n v="7359.0"/>
        <n v="2485.0"/>
        <n v="4359.0"/>
        <n v="8752.0"/>
        <n v="4180.0"/>
        <n v="7053.0"/>
        <n v="5947.0"/>
        <n v="6745.0"/>
        <n v="8046.0"/>
        <n v="8071.0"/>
      </sharedItems>
    </cacheField>
    <cacheField name="Year Built" numFmtId="0">
      <sharedItems containsSemiMixedTypes="0" containsString="0" containsNumber="1" containsInteger="1">
        <n v="1959.0"/>
        <n v="2012.0"/>
        <n v="1990.0"/>
        <n v="2017.0"/>
        <n v="2020.0"/>
        <n v="2015.0"/>
        <n v="1975.0"/>
        <n v="1970.0"/>
        <n v="2013.0"/>
        <n v="2008.0"/>
        <n v="1966.0"/>
        <n v="2001.0"/>
        <n v="2007.0"/>
        <n v="1953.0"/>
        <n v="1958.0"/>
        <n v="1982.0"/>
        <n v="1983.0"/>
        <n v="1955.0"/>
        <n v="1989.0"/>
        <n v="1997.0"/>
        <n v="1957.0"/>
        <n v="1979.0"/>
        <n v="2018.0"/>
        <n v="1954.0"/>
        <n v="1963.0"/>
        <n v="1985.0"/>
        <n v="1961.0"/>
        <n v="1993.0"/>
        <n v="1952.0"/>
        <n v="1988.0"/>
        <n v="1960.0"/>
        <n v="1968.0"/>
        <n v="1978.0"/>
        <n v="1998.0"/>
        <n v="1996.0"/>
        <n v="2014.0"/>
        <n v="2022.0"/>
        <n v="2006.0"/>
        <n v="1981.0"/>
        <n v="1995.0"/>
        <n v="1974.0"/>
        <n v="1965.0"/>
        <n v="1950.0"/>
        <n v="1962.0"/>
        <n v="1977.0"/>
        <n v="2002.0"/>
        <n v="2011.0"/>
        <n v="2004.0"/>
        <n v="1972.0"/>
        <n v="1999.0"/>
        <n v="1984.0"/>
        <n v="2000.0"/>
        <n v="2009.0"/>
        <n v="1976.0"/>
        <n v="1956.0"/>
        <n v="1969.0"/>
        <n v="1967.0"/>
        <n v="1964.0"/>
        <n v="1971.0"/>
        <n v="1973.0"/>
        <n v="2016.0"/>
        <n v="1987.0"/>
        <n v="2019.0"/>
        <n v="1980.0"/>
        <n v="2010.0"/>
        <n v="2005.0"/>
        <n v="1991.0"/>
        <n v="1992.0"/>
        <n v="1994.0"/>
        <n v="2021.0"/>
        <n v="1951.0"/>
        <n v="2003.0"/>
        <n v="1986.0"/>
        <n v="2023.0"/>
      </sharedItems>
    </cacheField>
    <cacheField name="Days on Market" numFmtId="0">
      <sharedItems containsSemiMixedTypes="0" containsString="0" containsNumber="1" containsInteger="1">
        <n v="101.0"/>
        <n v="10.0"/>
        <n v="59.0"/>
        <n v="55.0"/>
        <n v="26.0"/>
        <n v="35.0"/>
        <n v="94.0"/>
        <n v="75.0"/>
        <n v="79.0"/>
        <n v="111.0"/>
        <n v="25.0"/>
        <n v="42.0"/>
        <n v="11.0"/>
        <n v="97.0"/>
        <n v="99.0"/>
        <n v="46.0"/>
        <n v="72.0"/>
        <n v="114.0"/>
        <n v="28.0"/>
        <n v="1.0"/>
        <n v="58.0"/>
        <n v="33.0"/>
        <n v="68.0"/>
        <n v="38.0"/>
        <n v="71.0"/>
        <n v="30.0"/>
        <n v="50.0"/>
        <n v="57.0"/>
        <n v="102.0"/>
        <n v="113.0"/>
        <n v="61.0"/>
        <n v="8.0"/>
        <n v="108.0"/>
        <n v="88.0"/>
        <n v="115.0"/>
        <n v="64.0"/>
        <n v="84.0"/>
        <n v="60.0"/>
        <n v="15.0"/>
        <n v="103.0"/>
        <n v="23.0"/>
        <n v="90.0"/>
        <n v="95.0"/>
        <n v="3.0"/>
        <n v="63.0"/>
        <n v="82.0"/>
        <n v="89.0"/>
        <n v="45.0"/>
        <n v="2.0"/>
        <n v="73.0"/>
        <n v="51.0"/>
        <n v="81.0"/>
        <n v="18.0"/>
        <n v="49.0"/>
        <n v="47.0"/>
        <n v="31.0"/>
        <n v="52.0"/>
        <n v="116.0"/>
        <n v="120.0"/>
        <n v="92.0"/>
        <n v="112.0"/>
        <n v="62.0"/>
        <n v="104.0"/>
        <n v="65.0"/>
        <n v="44.0"/>
        <n v="119.0"/>
        <n v="34.0"/>
        <n v="43.0"/>
        <n v="27.0"/>
        <n v="40.0"/>
        <n v="86.0"/>
        <n v="96.0"/>
        <n v="117.0"/>
        <n v="16.0"/>
        <n v="76.0"/>
        <n v="87.0"/>
        <n v="78.0"/>
        <n v="36.0"/>
        <n v="22.0"/>
        <n v="14.0"/>
        <n v="66.0"/>
        <n v="91.0"/>
        <n v="109.0"/>
        <n v="12.0"/>
        <n v="39.0"/>
        <n v="6.0"/>
        <n v="54.0"/>
        <n v="74.0"/>
        <n v="20.0"/>
        <n v="41.0"/>
        <n v="24.0"/>
        <n v="32.0"/>
        <n v="83.0"/>
        <n v="48.0"/>
        <n v="13.0"/>
        <n v="106.0"/>
        <n v="100.0"/>
        <n v="9.0"/>
        <n v="69.0"/>
        <n v="29.0"/>
        <n v="53.0"/>
        <n v="37.0"/>
        <n v="98.0"/>
        <n v="70.0"/>
        <n v="105.0"/>
        <n v="85.0"/>
        <n v="67.0"/>
        <n v="5.0"/>
        <n v="17.0"/>
        <n v="118.0"/>
        <n v="21.0"/>
        <n v="80.0"/>
        <n v="110.0"/>
        <n v="77.0"/>
        <n v="93.0"/>
        <n v="19.0"/>
        <n v="7.0"/>
        <n v="107.0"/>
        <n v="4.0"/>
        <n v="56.0"/>
      </sharedItems>
    </cacheField>
    <cacheField name="Property Type" numFmtId="0">
      <sharedItems>
        <s v="Townhouse"/>
        <s v="Apartment"/>
        <s v="Single Family"/>
        <s v="Multi-Family"/>
        <s v="Condo"/>
      </sharedItems>
    </cacheField>
    <cacheField name="MLS ID" numFmtId="0">
      <sharedItems>
        <s v="Z104635"/>
        <s v="Z577065"/>
        <s v="Z900458"/>
        <s v="Z877137"/>
        <s v="Z899716"/>
        <s v="Z865468"/>
        <s v="Z689873"/>
        <s v="Z329631"/>
        <s v="Z839936"/>
        <s v="Z264011"/>
        <s v="Z298501"/>
        <s v="Z103938"/>
        <s v="Z855977"/>
        <s v="Z166677"/>
        <s v="Z931895"/>
        <s v="Z325594"/>
        <s v="Z502987"/>
        <s v="Z726231"/>
        <s v="Z302684"/>
        <s v="Z879412"/>
        <s v="Z433130"/>
        <s v="Z835234"/>
        <s v="Z828424"/>
        <s v="Z166756"/>
        <s v="Z574837"/>
        <s v="Z227123"/>
        <s v="Z964910"/>
        <s v="Z275900"/>
        <s v="Z313548"/>
        <s v="Z747104"/>
        <s v="Z131077"/>
        <s v="Z713668"/>
        <s v="Z221816"/>
        <s v="Z231590"/>
        <s v="Z326594"/>
        <s v="Z651394"/>
        <s v="Z163650"/>
        <s v="Z669827"/>
        <s v="Z730220"/>
        <s v="Z599881"/>
        <s v="Z483947"/>
        <s v="Z136454"/>
        <s v="Z337688"/>
        <s v="Z830009"/>
        <s v="Z946321"/>
        <s v="Z966437"/>
        <s v="Z939241"/>
        <s v="Z390811"/>
        <s v="Z300717"/>
        <s v="Z801993"/>
        <s v="Z133221"/>
        <s v="Z145933"/>
        <s v="Z362904"/>
        <s v="Z764655"/>
        <s v="Z140940"/>
        <s v="Z995727"/>
        <s v="Z348439"/>
        <s v="Z524275"/>
        <s v="Z390055"/>
        <s v="Z262315"/>
        <s v="Z855466"/>
        <s v="Z679889"/>
        <s v="Z742779"/>
        <s v="Z816201"/>
        <s v="Z524082"/>
        <s v="Z448583"/>
        <s v="Z235580"/>
        <s v="Z533666"/>
        <s v="Z620042"/>
        <s v="Z449768"/>
        <s v="Z738821"/>
        <s v="Z329052"/>
        <s v="Z193241"/>
        <s v="Z142018"/>
        <s v="Z322685"/>
        <s v="Z763768"/>
        <s v="Z869944"/>
        <s v="Z148977"/>
        <s v="Z778079"/>
        <s v="Z318081"/>
        <s v="Z397159"/>
        <s v="Z977398"/>
        <s v="Z684717"/>
        <s v="Z233641"/>
        <s v="Z574469"/>
        <s v="Z231870"/>
        <s v="Z682312"/>
        <s v="Z484638"/>
        <s v="Z394602"/>
        <s v="Z142568"/>
        <s v="Z164322"/>
        <s v="Z301609"/>
        <s v="Z564259"/>
        <s v="Z638431"/>
        <s v="Z162140"/>
        <s v="Z931659"/>
        <s v="Z424130"/>
        <s v="Z525763"/>
        <s v="Z342636"/>
        <s v="Z717722"/>
        <s v="Z643800"/>
        <s v="Z597315"/>
        <s v="Z789934"/>
        <s v="Z833664"/>
        <s v="Z496728"/>
        <s v="Z994774"/>
        <s v="Z780138"/>
        <s v="Z538065"/>
        <s v="Z390085"/>
        <s v="Z541309"/>
        <s v="Z779303"/>
        <s v="Z587830"/>
        <s v="Z685882"/>
        <s v="Z451420"/>
        <s v="Z599335"/>
        <s v="Z899336"/>
        <s v="Z161703"/>
        <s v="Z865226"/>
        <s v="Z667921"/>
        <s v="Z548687"/>
        <s v="Z917501"/>
        <s v="Z634496"/>
        <s v="Z463975"/>
        <s v="Z812944"/>
        <s v="Z406763"/>
        <s v="Z389002"/>
        <s v="Z862980"/>
        <s v="Z214122"/>
        <s v="Z258075"/>
        <s v="Z805629"/>
        <s v="Z516300"/>
        <s v="Z658626"/>
        <s v="Z501809"/>
        <s v="Z183363"/>
        <s v="Z382774"/>
        <s v="Z683856"/>
        <s v="Z284002"/>
        <s v="Z121731"/>
        <s v="Z238874"/>
        <s v="Z175452"/>
        <s v="Z213111"/>
        <s v="Z535721"/>
        <s v="Z196514"/>
        <s v="Z255382"/>
        <s v="Z263730"/>
        <s v="Z237001"/>
        <s v="Z252621"/>
        <s v="Z646579"/>
        <s v="Z416621"/>
        <s v="Z935760"/>
        <s v="Z570340"/>
        <s v="Z974190"/>
        <s v="Z676423"/>
        <s v="Z462158"/>
        <s v="Z309599"/>
        <s v="Z297205"/>
        <s v="Z404604"/>
        <s v="Z651626"/>
        <s v="Z776273"/>
        <s v="Z243082"/>
        <s v="Z767523"/>
        <s v="Z637322"/>
        <s v="Z870749"/>
        <s v="Z177113"/>
        <s v="Z119856"/>
        <s v="Z379606"/>
        <s v="Z817597"/>
        <s v="Z318589"/>
        <s v="Z262829"/>
        <s v="Z656060"/>
        <s v="Z962395"/>
        <s v="Z921723"/>
        <s v="Z936998"/>
        <s v="Z359735"/>
        <s v="Z814879"/>
        <s v="Z950492"/>
        <s v="Z765326"/>
        <s v="Z944020"/>
        <s v="Z898311"/>
        <s v="Z842333"/>
        <s v="Z626768"/>
        <s v="Z107372"/>
        <s v="Z232920"/>
        <s v="Z972091"/>
        <s v="Z528745"/>
        <s v="Z957117"/>
        <s v="Z110411"/>
        <s v="Z116849"/>
        <s v="Z657215"/>
        <s v="Z102238"/>
        <s v="Z495468"/>
        <s v="Z272372"/>
        <s v="Z573946"/>
        <s v="Z336937"/>
        <s v="Z638010"/>
        <s v="Z515422"/>
        <s v="Z118418"/>
        <s v="Z147878"/>
        <s v="Z165458"/>
        <s v="Z932612"/>
        <s v="Z160878"/>
        <s v="Z472380"/>
        <s v="Z735534"/>
        <s v="Z307664"/>
        <s v="Z540795"/>
        <s v="Z358205"/>
        <s v="Z154957"/>
        <s v="Z384719"/>
        <s v="Z903323"/>
        <s v="Z767438"/>
        <s v="Z683490"/>
        <s v="Z848050"/>
        <s v="Z882888"/>
        <s v="Z125003"/>
        <s v="Z923573"/>
        <s v="Z540956"/>
        <s v="Z723909"/>
        <s v="Z724741"/>
        <s v="Z956815"/>
        <s v="Z209789"/>
        <s v="Z999964"/>
        <s v="Z739678"/>
        <s v="Z378952"/>
        <s v="Z965755"/>
        <s v="Z374124"/>
        <s v="Z856614"/>
        <s v="Z799381"/>
        <s v="Z119872"/>
        <s v="Z165689"/>
        <s v="Z289935"/>
        <s v="Z967602"/>
        <s v="Z515391"/>
        <s v="Z659893"/>
        <s v="Z819742"/>
        <s v="Z525928"/>
        <s v="Z312018"/>
        <s v="Z834095"/>
        <s v="Z906426"/>
        <s v="Z566056"/>
        <s v="Z439388"/>
        <s v="Z661992"/>
        <s v="Z402448"/>
        <s v="Z806877"/>
        <s v="Z165146"/>
        <s v="Z803821"/>
        <s v="Z701098"/>
        <s v="Z932333"/>
        <s v="Z597871"/>
        <s v="Z604384"/>
        <s v="Z251729"/>
        <s v="Z877499"/>
        <s v="Z243021"/>
        <s v="Z706747"/>
        <s v="Z396035"/>
        <s v="Z588790"/>
        <s v="Z258554"/>
        <s v="Z250525"/>
        <s v="Z576755"/>
        <s v="Z198021"/>
        <s v="Z245402"/>
        <s v="Z244022"/>
        <s v="Z110431"/>
        <s v="Z833635"/>
        <s v="Z555531"/>
        <s v="Z355318"/>
        <s v="Z185469"/>
        <s v="Z311877"/>
        <s v="Z680418"/>
        <s v="Z386035"/>
        <s v="Z762393"/>
        <s v="Z496236"/>
        <s v="Z447635"/>
        <s v="Z617531"/>
        <s v="Z328755"/>
        <s v="Z967843"/>
        <s v="Z812378"/>
        <s v="Z588255"/>
        <s v="Z468526"/>
        <s v="Z902537"/>
        <s v="Z684839"/>
        <s v="Z489649"/>
        <s v="Z479066"/>
        <s v="Z250306"/>
        <s v="Z961917"/>
        <s v="Z997581"/>
        <s v="Z760671"/>
        <s v="Z689262"/>
        <s v="Z667089"/>
        <s v="Z754711"/>
        <s v="Z305142"/>
        <s v="Z752665"/>
        <s v="Z545472"/>
        <s v="Z204328"/>
        <s v="Z669376"/>
        <s v="Z270133"/>
        <s v="Z619633"/>
        <s v="Z563702"/>
        <s v="Z586918"/>
        <s v="Z786131"/>
        <s v="Z351405"/>
        <s v="Z847985"/>
        <s v="Z726156"/>
        <s v="Z191723"/>
        <s v="Z149453"/>
        <s v="Z294707"/>
        <s v="Z259320"/>
        <s v="Z370507"/>
        <s v="Z727483"/>
        <s v="Z142183"/>
        <s v="Z452757"/>
        <s v="Z679853"/>
        <s v="Z611354"/>
        <s v="Z348110"/>
        <s v="Z873927"/>
        <s v="Z820094"/>
        <s v="Z946286"/>
        <s v="Z847613"/>
        <s v="Z631313"/>
        <s v="Z991301"/>
        <s v="Z358313"/>
        <s v="Z999685"/>
        <s v="Z756126"/>
        <s v="Z395167"/>
        <s v="Z119727"/>
        <s v="Z155128"/>
        <s v="Z731935"/>
        <s v="Z172786"/>
        <s v="Z398847"/>
        <s v="Z881907"/>
        <s v="Z507135"/>
        <s v="Z128562"/>
        <s v="Z299863"/>
        <s v="Z551193"/>
        <s v="Z359502"/>
        <s v="Z475563"/>
        <s v="Z923785"/>
        <s v="Z448704"/>
        <s v="Z470769"/>
        <s v="Z182090"/>
        <s v="Z167293"/>
        <s v="Z818762"/>
        <s v="Z644355"/>
        <s v="Z425345"/>
        <s v="Z821626"/>
        <s v="Z213229"/>
        <s v="Z722416"/>
        <s v="Z896464"/>
        <s v="Z610640"/>
        <s v="Z502509"/>
        <s v="Z651808"/>
        <s v="Z668549"/>
        <s v="Z598945"/>
        <s v="Z910228"/>
        <s v="Z440307"/>
        <s v="Z299587"/>
        <s v="Z644770"/>
        <s v="Z815178"/>
        <s v="Z212786"/>
        <s v="Z868381"/>
        <s v="Z236320"/>
        <s v="Z318792"/>
        <s v="Z389447"/>
        <s v="Z256038"/>
        <s v="Z477296"/>
        <s v="Z613387"/>
        <s v="Z661811"/>
        <s v="Z349508"/>
        <s v="Z561453"/>
        <s v="Z629938"/>
        <s v="Z591348"/>
        <s v="Z428654"/>
        <s v="Z348107"/>
        <s v="Z147650"/>
        <s v="Z529332"/>
        <s v="Z984118"/>
        <s v="Z422364"/>
        <s v="Z478658"/>
        <s v="Z386116"/>
        <s v="Z958873"/>
        <s v="Z659564"/>
        <s v="Z430398"/>
        <s v="Z265346"/>
        <s v="Z666971"/>
        <s v="Z924446"/>
        <s v="Z665039"/>
        <s v="Z617476"/>
        <s v="Z469417"/>
        <s v="Z158637"/>
        <s v="Z505545"/>
        <s v="Z709834"/>
        <s v="Z707204"/>
        <s v="Z797213"/>
        <s v="Z906041"/>
        <s v="Z208659"/>
        <s v="Z893122"/>
        <s v="Z143953"/>
        <s v="Z384596"/>
        <s v="Z321244"/>
        <s v="Z583519"/>
        <s v="Z752073"/>
        <s v="Z228863"/>
        <s v="Z482058"/>
        <s v="Z367349"/>
        <s v="Z445256"/>
        <s v="Z874135"/>
        <s v="Z195974"/>
        <s v="Z424601"/>
        <s v="Z660983"/>
        <s v="Z769880"/>
        <s v="Z584839"/>
        <s v="Z595467"/>
        <s v="Z328126"/>
        <s v="Z769619"/>
        <s v="Z448326"/>
        <s v="Z678771"/>
        <s v="Z197999"/>
        <s v="Z245330"/>
        <s v="Z800590"/>
        <s v="Z599306"/>
        <s v="Z568569"/>
        <s v="Z302593"/>
        <s v="Z473998"/>
        <s v="Z114533"/>
        <s v="Z483461"/>
        <s v="Z401157"/>
        <s v="Z150752"/>
        <s v="Z485940"/>
        <s v="Z736786"/>
        <s v="Z193154"/>
        <s v="Z873224"/>
        <s v="Z976384"/>
        <s v="Z958469"/>
        <s v="Z726873"/>
        <s v="Z646745"/>
        <s v="Z360647"/>
        <s v="Z943472"/>
        <s v="Z875589"/>
        <s v="Z490476"/>
        <s v="Z923872"/>
        <s v="Z337103"/>
        <s v="Z959491"/>
        <s v="Z915289"/>
        <s v="Z498013"/>
        <s v="Z182909"/>
        <s v="Z453165"/>
        <s v="Z153860"/>
        <s v="Z455076"/>
        <s v="Z798937"/>
        <s v="Z532776"/>
        <s v="Z620045"/>
        <s v="Z301445"/>
        <s v="Z597703"/>
        <s v="Z376009"/>
        <s v="Z392415"/>
        <s v="Z804319"/>
        <s v="Z187704"/>
        <s v="Z222656"/>
        <s v="Z855300"/>
        <s v="Z712361"/>
        <s v="Z328505"/>
        <s v="Z812360"/>
        <s v="Z306430"/>
        <s v="Z490810"/>
        <s v="Z916101"/>
        <s v="Z357367"/>
        <s v="Z121296"/>
        <s v="Z443025"/>
        <s v="Z445969"/>
        <s v="Z109846"/>
        <s v="Z912996"/>
        <s v="Z344969"/>
        <s v="Z493298"/>
        <s v="Z864143"/>
        <s v="Z710935"/>
        <s v="Z174547"/>
        <s v="Z393567"/>
        <s v="Z815149"/>
        <s v="Z960069"/>
        <s v="Z472338"/>
        <s v="Z571938"/>
        <s v="Z591666"/>
        <s v="Z178333"/>
        <s v="Z395094"/>
        <s v="Z785389"/>
        <s v="Z611296"/>
        <s v="Z663269"/>
        <s v="Z685300"/>
        <s v="Z593800"/>
        <s v="Z289956"/>
        <s v="Z534793"/>
        <s v="Z919668"/>
        <s v="Z416880"/>
        <s v="Z390968"/>
        <s v="Z624870"/>
        <s v="Z627865"/>
        <s v="Z926631"/>
        <s v="Z717138"/>
        <s v="Z469777"/>
        <s v="Z317567"/>
        <s v="Z416850"/>
        <s v="Z191738"/>
        <s v="Z286352"/>
        <s v="Z626740"/>
        <s v="Z297571"/>
        <s v="Z232684"/>
        <s v="Z741075"/>
        <s v="Z457597"/>
        <s v="Z178018"/>
        <s v="Z241264"/>
        <s v="Z588153"/>
        <s v="Z171447"/>
        <s v="Z345861"/>
        <s v="Z144414"/>
        <s v="Z287608"/>
        <s v="Z955591"/>
        <s v="Z633492"/>
        <s v="Z842287"/>
        <s v="Z363515"/>
        <s v="Z124763"/>
        <s v="Z514415"/>
        <s v="Z656128"/>
        <s v="Z190217"/>
        <s v="Z904983"/>
        <s v="Z956631"/>
        <s v="Z345225"/>
        <s v="Z927320"/>
        <s v="Z406372"/>
        <s v="Z289879"/>
        <s v="Z772371"/>
        <s v="Z958177"/>
        <s v="Z722513"/>
        <s v="Z911853"/>
        <s v="Z292472"/>
        <s v="Z581059"/>
        <s v="Z438657"/>
        <s v="Z282135"/>
        <s v="Z160134"/>
        <s v="Z858277"/>
        <s v="Z886315"/>
        <s v="Z393725"/>
        <s v="Z707817"/>
        <s v="Z339811"/>
        <s v="Z527931"/>
        <s v="Z271922"/>
        <s v="Z430989"/>
        <s v="Z458631"/>
        <s v="Z760496"/>
        <s v="Z177196"/>
        <s v="Z967649"/>
        <s v="Z434100"/>
        <s v="Z603705"/>
        <s v="Z198406"/>
        <s v="Z450051"/>
        <s v="Z773565"/>
        <s v="Z112551"/>
        <s v="Z556039"/>
        <s v="Z540076"/>
        <s v="Z950709"/>
        <s v="Z723137"/>
        <s v="Z463740"/>
        <s v="Z592854"/>
        <s v="Z293311"/>
        <s v="Z747779"/>
        <s v="Z652171"/>
        <s v="Z393568"/>
        <s v="Z499141"/>
        <s v="Z978737"/>
        <s v="Z123396"/>
        <s v="Z966505"/>
        <s v="Z802108"/>
        <s v="Z717656"/>
        <s v="Z694800"/>
        <s v="Z578726"/>
        <s v="Z415973"/>
        <s v="Z147021"/>
        <s v="Z688333"/>
        <s v="Z445734"/>
        <s v="Z249867"/>
        <s v="Z683277"/>
        <s v="Z694666"/>
        <s v="Z835130"/>
        <s v="Z992084"/>
        <s v="Z154183"/>
        <s v="Z912413"/>
        <s v="Z833781"/>
        <s v="Z494455"/>
        <s v="Z720462"/>
        <s v="Z595684"/>
        <s v="Z362482"/>
        <s v="Z474980"/>
        <s v="Z675883"/>
        <s v="Z161309"/>
        <s v="Z333745"/>
        <s v="Z191856"/>
        <s v="Z996792"/>
        <s v="Z686211"/>
        <s v="Z470916"/>
        <s v="Z525155"/>
        <s v="Z212911"/>
        <s v="Z958868"/>
        <s v="Z752210"/>
        <s v="Z841314"/>
        <s v="Z802885"/>
        <s v="Z398934"/>
        <s v="Z898364"/>
        <s v="Z894148"/>
        <s v="Z851783"/>
        <s v="Z160447"/>
        <s v="Z841432"/>
        <s v="Z531194"/>
        <s v="Z766765"/>
        <s v="Z249398"/>
        <s v="Z847408"/>
        <s v="Z315471"/>
        <s v="Z261320"/>
        <s v="Z151563"/>
        <s v="Z409254"/>
        <s v="Z685111"/>
        <s v="Z987168"/>
        <s v="Z729834"/>
        <s v="Z746198"/>
        <s v="Z528338"/>
        <s v="Z185189"/>
        <s v="Z335022"/>
        <s v="Z581498"/>
        <s v="Z997007"/>
        <s v="Z797834"/>
        <s v="Z306381"/>
        <s v="Z659459"/>
        <s v="Z658348"/>
        <s v="Z245462"/>
        <s v="Z861847"/>
        <s v="Z800170"/>
        <s v="Z270651"/>
        <s v="Z504898"/>
        <s v="Z669562"/>
        <s v="Z956416"/>
        <s v="Z145700"/>
        <s v="Z858388"/>
        <s v="Z566692"/>
        <s v="Z243228"/>
        <s v="Z203748"/>
        <s v="Z328958"/>
        <s v="Z576180"/>
        <s v="Z465096"/>
        <s v="Z823289"/>
        <s v="Z634850"/>
        <s v="Z417065"/>
        <s v="Z930711"/>
        <s v="Z604749"/>
        <s v="Z160219"/>
        <s v="Z336759"/>
        <s v="Z821405"/>
        <s v="Z477589"/>
        <s v="Z338064"/>
        <s v="Z162399"/>
        <s v="Z554286"/>
        <s v="Z200632"/>
        <s v="Z278605"/>
        <s v="Z846030"/>
        <s v="Z915075"/>
        <s v="Z778284"/>
        <s v="Z670953"/>
        <s v="Z163203"/>
        <s v="Z887562"/>
        <s v="Z973362"/>
        <s v="Z522681"/>
        <s v="Z226145"/>
        <s v="Z244944"/>
        <s v="Z163297"/>
        <s v="Z604655"/>
        <s v="Z647450"/>
        <s v="Z125803"/>
        <s v="Z746908"/>
        <s v="Z945878"/>
        <s v="Z341042"/>
        <s v="Z583203"/>
        <s v="Z236241"/>
        <s v="Z885423"/>
        <s v="Z401987"/>
        <s v="Z838955"/>
        <s v="Z972811"/>
        <s v="Z905643"/>
        <s v="Z379793"/>
        <s v="Z274077"/>
        <s v="Z827480"/>
        <s v="Z312593"/>
        <s v="Z399042"/>
        <s v="Z481889"/>
        <s v="Z806761"/>
        <s v="Z257118"/>
        <s v="Z685266"/>
        <s v="Z876960"/>
        <s v="Z634947"/>
        <s v="Z534020"/>
        <s v="Z378326"/>
        <s v="Z563211"/>
        <s v="Z274693"/>
        <s v="Z394570"/>
        <s v="Z597685"/>
        <s v="Z200591"/>
        <s v="Z211151"/>
        <s v="Z847977"/>
        <s v="Z309255"/>
        <s v="Z579829"/>
        <s v="Z593038"/>
        <s v="Z728295"/>
        <s v="Z457353"/>
        <s v="Z468551"/>
        <s v="Z618055"/>
        <s v="Z731341"/>
        <s v="Z509879"/>
        <s v="Z965843"/>
        <s v="Z800858"/>
        <s v="Z787072"/>
        <s v="Z252183"/>
        <s v="Z817902"/>
        <s v="Z729485"/>
        <s v="Z672760"/>
        <s v="Z744596"/>
        <s v="Z466286"/>
        <s v="Z637990"/>
        <s v="Z310195"/>
        <s v="Z759014"/>
        <s v="Z930905"/>
        <s v="Z486132"/>
        <s v="Z630680"/>
        <s v="Z334106"/>
        <s v="Z889155"/>
        <s v="Z284091"/>
        <s v="Z453308"/>
        <s v="Z283179"/>
        <s v="Z735393"/>
        <s v="Z546765"/>
        <s v="Z863870"/>
        <s v="Z787292"/>
        <s v="Z839741"/>
        <s v="Z259281"/>
        <s v="Z190259"/>
        <s v="Z761808"/>
        <s v="Z866228"/>
        <s v="Z710217"/>
        <s v="Z496240"/>
        <s v="Z455221"/>
        <s v="Z920665"/>
        <s v="Z980310"/>
        <s v="Z727740"/>
        <s v="Z507343"/>
        <s v="Z858156"/>
        <s v="Z821189"/>
        <s v="Z733280"/>
        <s v="Z359963"/>
        <s v="Z901428"/>
        <s v="Z125810"/>
        <s v="Z346951"/>
        <s v="Z465737"/>
        <s v="Z653170"/>
        <s v="Z529280"/>
        <s v="Z585676"/>
        <s v="Z784042"/>
        <s v="Z117542"/>
        <s v="Z353167"/>
        <s v="Z514683"/>
        <s v="Z830700"/>
        <s v="Z134502"/>
        <s v="Z782736"/>
        <s v="Z834701"/>
        <s v="Z375599"/>
        <s v="Z544349"/>
        <s v="Z161631"/>
        <s v="Z242960"/>
        <s v="Z504458"/>
        <s v="Z175804"/>
        <s v="Z828705"/>
        <s v="Z283936"/>
        <s v="Z469345"/>
        <s v="Z706589"/>
        <s v="Z437341"/>
        <s v="Z255843"/>
        <s v="Z974030"/>
        <s v="Z542462"/>
        <s v="Z110651"/>
        <s v="Z917739"/>
        <s v="Z744981"/>
        <s v="Z980751"/>
        <s v="Z695781"/>
        <s v="Z656092"/>
        <s v="Z812626"/>
        <s v="Z864909"/>
        <s v="Z825709"/>
        <s v="Z172476"/>
        <s v="Z376312"/>
        <s v="Z196054"/>
        <s v="Z463990"/>
        <s v="Z505052"/>
        <s v="Z835869"/>
        <s v="Z529830"/>
        <s v="Z864815"/>
        <s v="Z326844"/>
        <s v="Z176504"/>
        <s v="Z651516"/>
        <s v="Z720835"/>
        <s v="Z657911"/>
        <s v="Z420855"/>
        <s v="Z346684"/>
        <s v="Z985632"/>
        <s v="Z891567"/>
        <s v="Z433274"/>
        <s v="Z143519"/>
        <s v="Z993105"/>
        <s v="Z513279"/>
        <s v="Z923382"/>
        <s v="Z241698"/>
        <s v="Z637417"/>
        <s v="Z728420"/>
        <s v="Z511427"/>
        <s v="Z954129"/>
        <s v="Z992053"/>
        <s v="Z596501"/>
        <s v="Z416164"/>
        <s v="Z154909"/>
        <s v="Z424872"/>
        <s v="Z954668"/>
        <s v="Z367066"/>
        <s v="Z925601"/>
        <s v="Z245199"/>
        <s v="Z689755"/>
        <s v="Z311105"/>
        <s v="Z784603"/>
        <s v="Z338458"/>
        <s v="Z281132"/>
        <s v="Z751795"/>
        <s v="Z962157"/>
        <s v="Z282731"/>
        <s v="Z463266"/>
        <s v="Z710434"/>
        <s v="Z579805"/>
        <s v="Z565120"/>
        <s v="Z441673"/>
        <s v="Z764423"/>
        <s v="Z557110"/>
        <s v="Z625485"/>
        <s v="Z551138"/>
        <s v="Z513343"/>
        <s v="Z221217"/>
        <s v="Z237507"/>
        <s v="Z823642"/>
        <s v="Z826524"/>
        <s v="Z539871"/>
        <s v="Z291396"/>
        <s v="Z224895"/>
        <s v="Z227379"/>
        <s v="Z385554"/>
        <s v="Z895132"/>
        <s v="Z757569"/>
        <s v="Z851475"/>
        <s v="Z421990"/>
        <s v="Z297688"/>
        <s v="Z553223"/>
        <s v="Z993330"/>
        <s v="Z620921"/>
        <s v="Z371880"/>
        <s v="Z426139"/>
        <s v="Z365864"/>
        <s v="Z671708"/>
        <s v="Z575631"/>
        <s v="Z612036"/>
        <s v="Z298574"/>
        <s v="Z686634"/>
        <s v="Z588789"/>
        <s v="Z198017"/>
        <s v="Z614744"/>
        <s v="Z928518"/>
        <s v="Z678839"/>
        <s v="Z828553"/>
        <s v="Z842532"/>
        <s v="Z590213"/>
        <s v="Z210579"/>
        <s v="Z563573"/>
        <s v="Z961185"/>
        <s v="Z228440"/>
        <s v="Z802390"/>
        <s v="Z881616"/>
        <s v="Z904724"/>
        <s v="Z580825"/>
        <s v="Z996820"/>
        <s v="Z570572"/>
        <s v="Z660306"/>
        <s v="Z364332"/>
        <s v="Z841661"/>
        <s v="Z313562"/>
        <s v="Z439454"/>
        <s v="Z497909"/>
        <s v="Z680208"/>
        <s v="Z463718"/>
        <s v="Z469562"/>
        <s v="Z907444"/>
        <s v="Z353027"/>
        <s v="Z154155"/>
        <s v="Z613746"/>
        <s v="Z757006"/>
        <s v="Z414965"/>
        <s v="Z844992"/>
        <s v="Z755426"/>
        <s v="Z494817"/>
        <s v="Z358439"/>
        <s v="Z459075"/>
        <s v="Z616710"/>
        <s v="Z953257"/>
        <s v="Z417233"/>
        <s v="Z857440"/>
        <s v="Z677660"/>
        <s v="Z682168"/>
        <s v="Z828737"/>
        <s v="Z809758"/>
        <s v="Z563790"/>
        <s v="Z229875"/>
        <s v="Z374407"/>
        <s v="Z806003"/>
        <s v="Z671481"/>
        <s v="Z893157"/>
        <s v="Z475595"/>
        <s v="Z975994"/>
        <s v="Z831849"/>
        <s v="Z416653"/>
        <s v="Z718750"/>
        <s v="Z522522"/>
        <s v="Z370201"/>
        <s v="Z281885"/>
        <s v="Z669789"/>
        <s v="Z505643"/>
        <s v="Z228168"/>
        <s v="Z652115"/>
        <s v="Z866470"/>
        <s v="Z989654"/>
        <s v="Z781840"/>
        <s v="Z720045"/>
        <s v="Z213705"/>
        <s v="Z468864"/>
        <s v="Z506086"/>
        <s v="Z371285"/>
        <s v="Z483389"/>
        <s v="Z977488"/>
        <s v="Z595313"/>
        <s v="Z370294"/>
        <s v="Z799423"/>
        <s v="Z173396"/>
        <s v="Z693708"/>
        <s v="Z805377"/>
        <s v="Z908858"/>
        <s v="Z129960"/>
        <s v="Z344708"/>
        <s v="Z574768"/>
        <s v="Z139942"/>
        <s v="Z247058"/>
        <s v="Z892108"/>
        <s v="Z118868"/>
        <s v="Z133645"/>
        <s v="Z448434"/>
        <s v="Z915313"/>
        <s v="Z312051"/>
        <s v="Z665850"/>
        <s v="Z419502"/>
        <s v="Z562610"/>
        <s v="Z512890"/>
        <s v="Z218178"/>
        <s v="Z748389"/>
        <s v="Z125281"/>
        <s v="Z891211"/>
        <s v="Z330812"/>
        <s v="Z999145"/>
        <s v="Z628682"/>
        <s v="Z548993"/>
        <s v="Z718772"/>
        <s v="Z255644"/>
        <s v="Z350634"/>
        <s v="Z317717"/>
        <s v="Z793604"/>
        <s v="Z990219"/>
        <s v="Z400432"/>
        <s v="Z123936"/>
        <s v="Z344560"/>
        <s v="Z978340"/>
        <s v="Z638021"/>
        <s v="Z576804"/>
        <s v="Z119620"/>
        <s v="Z807204"/>
        <s v="Z702620"/>
        <s v="Z871329"/>
        <s v="Z465326"/>
        <s v="Z408213"/>
        <s v="Z261171"/>
        <s v="Z262758"/>
        <s v="Z521520"/>
        <s v="Z839154"/>
        <s v="Z309084"/>
        <s v="Z220229"/>
        <s v="Z923511"/>
        <s v="Z898987"/>
        <s v="Z946875"/>
        <s v="Z689745"/>
        <s v="Z507102"/>
        <s v="Z499319"/>
        <s v="Z640147"/>
        <s v="Z259330"/>
        <s v="Z299877"/>
        <s v="Z116211"/>
        <s v="Z657205"/>
        <s v="Z863860"/>
        <s v="Z995192"/>
        <s v="Z727986"/>
        <s v="Z502044"/>
        <s v="Z277998"/>
        <s v="Z371307"/>
        <s v="Z222379"/>
        <s v="Z449013"/>
        <s v="Z771953"/>
        <s v="Z601628"/>
        <s v="Z951930"/>
        <s v="Z365721"/>
        <s v="Z408115"/>
        <s v="Z985415"/>
        <s v="Z285624"/>
        <s v="Z998311"/>
        <s v="Z937665"/>
        <s v="Z581640"/>
        <s v="Z125952"/>
        <s v="Z674909"/>
        <s v="Z274071"/>
        <s v="Z875362"/>
        <s v="Z712450"/>
        <s v="Z114552"/>
        <s v="Z462875"/>
        <s v="Z112753"/>
        <s v="Z811864"/>
        <s v="Z309949"/>
        <s v="Z278609"/>
        <s v="Z431277"/>
        <s v="Z207431"/>
        <s v="Z650473"/>
        <s v="Z944541"/>
        <s v="Z153912"/>
        <s v="Z824490"/>
        <s v="Z521404"/>
        <s v="Z869739"/>
        <s v="Z131536"/>
        <s v="Z491034"/>
        <s v="Z248231"/>
        <s v="Z690164"/>
        <s v="Z293685"/>
        <s v="Z737039"/>
        <s v="Z791719"/>
        <s v="Z198280"/>
        <s v="Z630113"/>
        <s v="Z217826"/>
        <s v="Z890773"/>
        <s v="Z258566"/>
        <s v="Z149245"/>
        <s v="Z366304"/>
        <s v="Z728967"/>
        <s v="Z234529"/>
        <s v="Z544389"/>
        <s v="Z473897"/>
        <s v="Z852599"/>
        <s v="Z810009"/>
        <s v="Z620746"/>
        <s v="Z584131"/>
        <s v="Z581280"/>
        <s v="Z934378"/>
        <s v="Z837272"/>
        <s v="Z652600"/>
        <s v="Z461417"/>
        <s v="Z762344"/>
        <s v="Z173338"/>
        <s v="Z890235"/>
        <s v="Z615545"/>
        <s v="Z294572"/>
        <s v="Z268196"/>
        <s v="Z676812"/>
        <s v="Z392755"/>
        <s v="Z630892"/>
        <s v="Z862179"/>
        <s v="Z698917"/>
        <s v="Z196614"/>
        <s v="Z706187"/>
        <s v="Z873504"/>
        <s v="Z877362"/>
        <s v="Z678810"/>
        <s v="Z402885"/>
        <s v="Z941563"/>
        <s v="Z249824"/>
        <s v="Z583927"/>
        <s v="Z607096"/>
        <s v="Z299062"/>
        <s v="Z878212"/>
        <s v="Z573582"/>
        <s v="Z807460"/>
        <s v="Z497292"/>
        <s v="Z515517"/>
        <s v="Z818472"/>
        <s v="Z564207"/>
        <s v="Z500221"/>
        <s v="Z190634"/>
        <s v="Z517925"/>
        <s v="Z662901"/>
        <s v="Z584345"/>
        <s v="Z870127"/>
        <s v="Z683816"/>
        <s v="Z958806"/>
        <s v="Z744769"/>
        <s v="Z315900"/>
        <s v="Z992768"/>
        <s v="Z583280"/>
        <s v="Z942395"/>
        <s v="Z726336"/>
        <s v="Z307261"/>
        <s v="Z873025"/>
        <s v="Z476425"/>
        <s v="Z516873"/>
        <s v="Z904103"/>
        <s v="Z343009"/>
        <s v="Z345371"/>
        <s v="Z407176"/>
        <s v="Z474534"/>
        <s v="Z440724"/>
        <s v="Z564373"/>
        <s v="Z795098"/>
        <s v="Z649746"/>
        <s v="Z405903"/>
        <s v="Z450721"/>
        <s v="Z194413"/>
        <s v="Z298998"/>
        <s v="Z677120"/>
        <s v="Z242637"/>
        <s v="Z354246"/>
        <s v="Z769155"/>
        <s v="Z807045"/>
        <s v="Z339574"/>
        <s v="Z696107"/>
        <s v="Z581706"/>
        <s v="Z630250"/>
        <s v="Z789730"/>
        <s v="Z760446"/>
        <s v="Z169775"/>
        <s v="Z803841"/>
        <s v="Z898293"/>
        <s v="Z507638"/>
        <s v="Z194810"/>
        <s v="Z709741"/>
        <s v="Z959421"/>
        <s v="Z635788"/>
        <s v="Z645267"/>
        <s v="Z566580"/>
        <s v="Z758880"/>
        <s v="Z748055"/>
        <s v="Z813976"/>
        <s v="Z742107"/>
        <s v="Z294465"/>
        <s v="Z844417"/>
        <s v="Z451754"/>
        <s v="Z465001"/>
        <s v="Z481390"/>
        <s v="Z768210"/>
        <s v="Z856210"/>
        <s v="Z514605"/>
        <s v="Z533012"/>
        <s v="Z402288"/>
        <s v="Z347481"/>
        <s v="Z107813"/>
        <s v="Z822170"/>
        <s v="Z137738"/>
        <s v="Z304396"/>
        <s v="Z218651"/>
        <s v="Z210533"/>
        <s v="Z245260"/>
        <s v="Z356521"/>
        <s v="Z916032"/>
        <s v="Z806580"/>
        <s v="Z936363"/>
        <s v="Z966831"/>
        <s v="Z498135"/>
        <s v="Z308707"/>
        <s v="Z580942"/>
        <s v="Z554312"/>
        <s v="Z323990"/>
        <s v="Z244718"/>
        <s v="Z472891"/>
        <s v="Z948701"/>
        <s v="Z197871"/>
        <s v="Z224294"/>
        <s v="Z663904"/>
        <s v="Z775353"/>
        <s v="Z820433"/>
        <s v="Z420325"/>
        <s v="Z159536"/>
        <s v="Z109226"/>
        <s v="Z822126"/>
        <s v="Z977327"/>
        <s v="Z361544"/>
        <s v="Z220485"/>
        <s v="Z403080"/>
        <s v="Z251104"/>
        <s v="Z635639"/>
        <s v="Z157313"/>
        <s v="Z292510"/>
        <s v="Z411358"/>
        <s v="Z749264"/>
        <s v="Z326095"/>
        <s v="Z649322"/>
        <s v="Z274541"/>
        <s v="Z746142"/>
        <s v="Z695954"/>
        <s v="Z395903"/>
        <s v="Z520403"/>
        <s v="Z735459"/>
        <s v="Z684878"/>
        <s v="Z648669"/>
        <s v="Z524665"/>
        <s v="Z480296"/>
        <s v="Z110077"/>
        <s v="Z891791"/>
        <s v="Z638274"/>
        <s v="Z533813"/>
        <s v="Z138111"/>
        <s v="Z120123"/>
        <s v="Z319583"/>
        <s v="Z684218"/>
        <s v="Z974343"/>
        <s v="Z911510"/>
        <s v="Z441484"/>
        <s v="Z750700"/>
        <s v="Z592365"/>
        <s v="Z323174"/>
        <s v="Z139011"/>
        <s v="Z841768"/>
        <s v="Z197444"/>
        <s v="Z651432"/>
        <s v="Z632291"/>
        <s v="Z378111"/>
        <s v="Z165030"/>
        <s v="Z821315"/>
        <s v="Z142970"/>
        <s v="Z885937"/>
        <s v="Z658039"/>
        <s v="Z596938"/>
        <s v="Z133679"/>
        <s v="Z660617"/>
        <s v="Z333547"/>
        <s v="Z843433"/>
        <s v="Z162099"/>
        <s v="Z117970"/>
        <s v="Z448783"/>
        <s v="Z747912"/>
        <s v="Z878286"/>
        <s v="Z778473"/>
        <s v="Z918076"/>
        <s v="Z920180"/>
        <s v="Z347151"/>
        <s v="Z481440"/>
        <s v="Z517365"/>
        <s v="Z809289"/>
        <s v="Z846015"/>
        <s v="Z318125"/>
        <s v="Z657806"/>
        <s v="Z355692"/>
        <s v="Z759616"/>
        <s v="Z851685"/>
        <s v="Z456253"/>
        <s v="Z405643"/>
        <s v="Z541475"/>
        <s v="Z180043"/>
        <s v="Z907094"/>
        <s v="Z162385"/>
        <s v="Z410154"/>
        <s v="Z426299"/>
        <s v="Z455785"/>
        <s v="Z763762"/>
        <s v="Z576850"/>
        <s v="Z405765"/>
        <s v="Z938332"/>
        <s v="Z851614"/>
        <s v="Z451761"/>
        <s v="Z238965"/>
        <s v="Z921588"/>
        <s v="Z247446"/>
        <s v="Z568014"/>
        <s v="Z260793"/>
        <s v="Z549861"/>
        <s v="Z935344"/>
        <s v="Z114025"/>
        <s v="Z661076"/>
        <s v="Z647648"/>
        <s v="Z697431"/>
        <s v="Z322201"/>
        <s v="Z451502"/>
        <s v="Z410592"/>
        <s v="Z167597"/>
        <s v="Z891821"/>
        <s v="Z399934"/>
        <s v="Z336518"/>
        <s v="Z583825"/>
        <s v="Z520314"/>
        <s v="Z835211"/>
        <s v="Z510372"/>
        <s v="Z857264"/>
        <s v="Z382714"/>
        <s v="Z931722"/>
        <s v="Z775159"/>
        <s v="Z132195"/>
        <s v="Z586731"/>
        <s v="Z318363"/>
        <s v="Z731413"/>
        <s v="Z364003"/>
        <s v="Z228422"/>
        <s v="Z828912"/>
        <s v="Z109548"/>
        <s v="Z291166"/>
        <s v="Z637177"/>
        <s v="Z562008"/>
        <s v="Z385249"/>
        <s v="Z556183"/>
        <s v="Z155164"/>
        <s v="Z902598"/>
        <s v="Z623417"/>
        <s v="Z933597"/>
        <s v="Z860497"/>
        <s v="Z134117"/>
        <s v="Z751369"/>
        <s v="Z256769"/>
        <s v="Z638632"/>
        <s v="Z838502"/>
        <s v="Z610841"/>
        <s v="Z498077"/>
        <s v="Z139208"/>
        <s v="Z160336"/>
        <s v="Z506795"/>
        <s v="Z223392"/>
        <s v="Z350999"/>
        <s v="Z439706"/>
        <s v="Z200194"/>
        <s v="Z730370"/>
        <s v="Z621075"/>
        <s v="Z551973"/>
        <s v="Z145771"/>
        <s v="Z854076"/>
        <s v="Z466906"/>
        <s v="Z760998"/>
        <s v="Z449046"/>
        <s v="Z879801"/>
        <s v="Z850827"/>
        <s v="Z322347"/>
        <s v="Z684675"/>
        <s v="Z855124"/>
        <s v="Z644034"/>
        <s v="Z857555"/>
        <s v="Z372530"/>
        <s v="Z247965"/>
        <s v="Z683332"/>
        <s v="Z996390"/>
        <s v="Z424450"/>
        <s v="Z869823"/>
        <s v="Z540483"/>
        <s v="Z138106"/>
        <s v="Z591444"/>
        <s v="Z412447"/>
        <s v="Z815888"/>
        <s v="Z151863"/>
        <s v="Z230201"/>
        <s v="Z419403"/>
        <s v="Z683261"/>
        <s v="Z770564"/>
        <s v="Z429230"/>
        <s v="Z808235"/>
        <s v="Z164399"/>
        <s v="Z470162"/>
        <s v="Z612003"/>
        <s v="Z759632"/>
        <s v="Z192925"/>
        <s v="Z311984"/>
        <s v="Z888525"/>
        <s v="Z673332"/>
        <s v="Z777814"/>
        <s v="Z843669"/>
        <s v="Z368116"/>
        <s v="Z881538"/>
        <s v="Z231382"/>
        <s v="Z848736"/>
        <s v="Z526427"/>
        <s v="Z132054"/>
        <s v="Z693314"/>
        <s v="Z525520"/>
        <s v="Z607557"/>
        <s v="Z664361"/>
        <s v="Z696908"/>
        <s v="Z129666"/>
        <s v="Z161013"/>
        <s v="Z731399"/>
        <s v="Z454448"/>
        <s v="Z113330"/>
        <s v="Z649595"/>
        <s v="Z227679"/>
        <s v="Z969351"/>
        <s v="Z105335"/>
        <s v="Z618238"/>
        <s v="Z815061"/>
        <s v="Z969907"/>
        <s v="Z379514"/>
        <s v="Z206323"/>
        <s v="Z383697"/>
        <s v="Z891262"/>
        <s v="Z955965"/>
        <s v="Z588524"/>
        <s v="Z841888"/>
        <s v="Z768018"/>
        <s v="Z145971"/>
        <s v="Z140506"/>
        <s v="Z244493"/>
        <s v="Z173965"/>
        <s v="Z949445"/>
        <s v="Z353355"/>
        <s v="Z244619"/>
        <s v="Z102417"/>
        <s v="Z946646"/>
        <s v="Z363604"/>
        <s v="Z948933"/>
        <s v="Z259301"/>
        <s v="Z754449"/>
        <s v="Z602747"/>
        <s v="Z121444"/>
        <s v="Z311397"/>
        <s v="Z215537"/>
        <s v="Z195769"/>
        <s v="Z339506"/>
        <s v="Z348326"/>
        <s v="Z976639"/>
        <s v="Z556321"/>
        <s v="Z335923"/>
        <s v="Z480303"/>
        <s v="Z499961"/>
        <s v="Z699079"/>
        <s v="Z523878"/>
        <s v="Z718642"/>
        <s v="Z836052"/>
        <s v="Z381554"/>
        <s v="Z384635"/>
        <s v="Z408626"/>
        <s v="Z584485"/>
        <s v="Z660980"/>
        <s v="Z738329"/>
        <s v="Z617342"/>
        <s v="Z922929"/>
        <s v="Z463561"/>
        <s v="Z533889"/>
        <s v="Z650599"/>
        <s v="Z250580"/>
        <s v="Z528963"/>
        <s v="Z302569"/>
        <s v="Z473742"/>
        <s v="Z461227"/>
        <s v="Z205737"/>
        <s v="Z479558"/>
        <s v="Z184034"/>
        <s v="Z816713"/>
        <s v="Z100893"/>
        <s v="Z722154"/>
        <s v="Z722041"/>
        <s v="Z648809"/>
        <s v="Z297200"/>
        <s v="Z176495"/>
        <s v="Z443344"/>
        <s v="Z778409"/>
        <s v="Z480250"/>
        <s v="Z961910"/>
        <s v="Z900609"/>
        <s v="Z227791"/>
        <s v="Z672625"/>
        <s v="Z119632"/>
        <s v="Z145937"/>
        <s v="Z824497"/>
        <s v="Z115088"/>
        <s v="Z224469"/>
        <s v="Z998804"/>
        <s v="Z416674"/>
        <s v="Z592395"/>
        <s v="Z624194"/>
        <s v="Z581731"/>
        <s v="Z287035"/>
        <s v="Z756024"/>
        <s v="Z120515"/>
        <s v="Z916655"/>
        <s v="Z315003"/>
        <s v="Z914262"/>
        <s v="Z441197"/>
        <s v="Z626281"/>
        <s v="Z338381"/>
        <s v="Z521564"/>
        <s v="Z772577"/>
        <s v="Z585925"/>
        <s v="Z497028"/>
        <s v="Z505930"/>
        <s v="Z971906"/>
        <s v="Z640845"/>
        <s v="Z387681"/>
        <s v="Z122652"/>
        <s v="Z413306"/>
        <s v="Z556197"/>
        <s v="Z799823"/>
        <s v="Z915441"/>
        <s v="Z375650"/>
        <s v="Z627171"/>
        <s v="Z878397"/>
        <s v="Z835257"/>
        <s v="Z111353"/>
        <s v="Z383229"/>
        <s v="Z780614"/>
        <s v="Z976088"/>
        <s v="Z341457"/>
        <s v="Z313912"/>
        <s v="Z569109"/>
        <s v="Z799721"/>
        <s v="Z897496"/>
        <s v="Z450292"/>
        <s v="Z561723"/>
        <s v="Z899466"/>
        <s v="Z797886"/>
        <s v="Z730345"/>
        <s v="Z425896"/>
        <s v="Z550507"/>
        <s v="Z314758"/>
        <s v="Z643681"/>
        <s v="Z696020"/>
        <s v="Z465660"/>
        <s v="Z657461"/>
        <s v="Z163880"/>
        <s v="Z918415"/>
        <s v="Z632701"/>
        <s v="Z145694"/>
        <s v="Z860278"/>
        <s v="Z377603"/>
        <s v="Z567212"/>
        <s v="Z170874"/>
        <s v="Z570990"/>
        <s v="Z842194"/>
        <s v="Z568508"/>
        <s v="Z424769"/>
        <s v="Z898448"/>
        <s v="Z191315"/>
        <s v="Z142052"/>
        <s v="Z818583"/>
        <s v="Z208328"/>
        <s v="Z176642"/>
        <s v="Z201834"/>
        <s v="Z286558"/>
        <s v="Z599931"/>
        <s v="Z602216"/>
        <s v="Z638158"/>
        <s v="Z809126"/>
        <s v="Z180175"/>
        <s v="Z581982"/>
        <s v="Z496539"/>
        <s v="Z379210"/>
        <s v="Z773122"/>
        <s v="Z761465"/>
        <s v="Z999619"/>
        <s v="Z683168"/>
        <s v="Z299872"/>
        <s v="Z947550"/>
        <s v="Z977922"/>
        <s v="Z274922"/>
        <s v="Z910428"/>
        <s v="Z643545"/>
        <s v="Z915693"/>
        <s v="Z161194"/>
        <s v="Z705245"/>
        <s v="Z112914"/>
        <s v="Z117415"/>
        <s v="Z239739"/>
        <s v="Z791440"/>
        <s v="Z237687"/>
        <s v="Z211841"/>
        <s v="Z652104"/>
        <s v="Z892325"/>
        <s v="Z264480"/>
        <s v="Z420035"/>
        <s v="Z608178"/>
        <s v="Z936785"/>
        <s v="Z517072"/>
        <s v="Z879240"/>
        <s v="Z522049"/>
        <s v="Z934639"/>
        <s v="Z834504"/>
        <s v="Z380223"/>
        <s v="Z584332"/>
        <s v="Z516947"/>
        <s v="Z591903"/>
        <s v="Z428329"/>
        <s v="Z604176"/>
        <s v="Z135034"/>
        <s v="Z654255"/>
        <s v="Z638327"/>
        <s v="Z991442"/>
        <s v="Z886521"/>
        <s v="Z493643"/>
        <s v="Z443373"/>
        <s v="Z588451"/>
        <s v="Z434638"/>
        <s v="Z878881"/>
        <s v="Z408425"/>
        <s v="Z246979"/>
        <s v="Z217131"/>
        <s v="Z569838"/>
        <s v="Z404306"/>
        <s v="Z425158"/>
        <s v="Z408549"/>
        <s v="Z992313"/>
        <s v="Z661069"/>
        <s v="Z333954"/>
        <s v="Z381804"/>
        <s v="Z376735"/>
        <s v="Z682892"/>
        <s v="Z117550"/>
        <s v="Z670212"/>
        <s v="Z448025"/>
        <s v="Z182790"/>
        <s v="Z780787"/>
        <s v="Z716935"/>
        <s v="Z850483"/>
        <s v="Z564701"/>
        <s v="Z587819"/>
        <s v="Z561249"/>
        <s v="Z234200"/>
        <s v="Z615126"/>
        <s v="Z117252"/>
        <s v="Z381542"/>
        <s v="Z240706"/>
        <s v="Z479990"/>
        <s v="Z675616"/>
        <s v="Z498353"/>
        <s v="Z628296"/>
        <s v="Z472169"/>
        <s v="Z515306"/>
        <s v="Z443470"/>
        <s v="Z854820"/>
        <s v="Z497506"/>
        <s v="Z575271"/>
        <s v="Z528459"/>
        <s v="Z615885"/>
        <s v="Z420308"/>
        <s v="Z675967"/>
        <s v="Z987134"/>
        <s v="Z558821"/>
        <s v="Z432007"/>
        <s v="Z343023"/>
        <s v="Z521411"/>
        <s v="Z961720"/>
        <s v="Z494269"/>
        <s v="Z187321"/>
        <s v="Z440774"/>
        <s v="Z472103"/>
        <s v="Z229012"/>
        <s v="Z878554"/>
        <s v="Z273727"/>
        <s v="Z653505"/>
        <s v="Z291020"/>
        <s v="Z172814"/>
        <s v="Z100830"/>
        <s v="Z835243"/>
        <s v="Z732396"/>
        <s v="Z653588"/>
        <s v="Z459041"/>
        <s v="Z500619"/>
        <s v="Z734877"/>
        <s v="Z980010"/>
        <s v="Z262202"/>
        <s v="Z858086"/>
        <s v="Z527398"/>
        <s v="Z876013"/>
        <s v="Z200665"/>
        <s v="Z427007"/>
        <s v="Z742527"/>
        <s v="Z625730"/>
        <s v="Z322262"/>
        <s v="Z491272"/>
        <s v="Z929312"/>
        <s v="Z808637"/>
        <s v="Z187638"/>
        <s v="Z999219"/>
        <s v="Z917763"/>
        <s v="Z476392"/>
        <s v="Z187409"/>
        <s v="Z242291"/>
        <s v="Z853349"/>
        <s v="Z676740"/>
        <s v="Z236707"/>
        <s v="Z170701"/>
        <s v="Z670083"/>
        <s v="Z840918"/>
        <s v="Z621392"/>
        <s v="Z460779"/>
        <s v="Z745373"/>
        <s v="Z569418"/>
        <s v="Z637508"/>
        <s v="Z715979"/>
        <s v="Z697828"/>
        <s v="Z505680"/>
        <s v="Z793775"/>
        <s v="Z736540"/>
        <s v="Z873316"/>
        <s v="Z233534"/>
        <s v="Z475845"/>
        <s v="Z215215"/>
        <s v="Z330692"/>
        <s v="Z578298"/>
        <s v="Z194824"/>
        <s v="Z410074"/>
        <s v="Z976085"/>
        <s v="Z716530"/>
        <s v="Z531411"/>
        <s v="Z924991"/>
        <s v="Z699890"/>
        <s v="Z223974"/>
        <s v="Z662685"/>
        <s v="Z927921"/>
        <s v="Z880747"/>
        <s v="Z824509"/>
        <s v="Z212179"/>
        <s v="Z608860"/>
        <s v="Z688510"/>
        <s v="Z271071"/>
        <s v="Z925060"/>
        <s v="Z498834"/>
        <s v="Z948673"/>
        <s v="Z642500"/>
        <s v="Z142178"/>
        <s v="Z382066"/>
        <s v="Z729534"/>
        <s v="Z338371"/>
        <s v="Z660803"/>
        <s v="Z952911"/>
        <s v="Z513174"/>
        <s v="Z457263"/>
        <s v="Z327836"/>
        <s v="Z344919"/>
        <s v="Z167041"/>
        <s v="Z188846"/>
        <s v="Z676708"/>
        <s v="Z689651"/>
        <s v="Z598961"/>
        <s v="Z332539"/>
        <s v="Z609683"/>
        <s v="Z196432"/>
        <s v="Z789657"/>
        <s v="Z479571"/>
        <s v="Z554680"/>
        <s v="Z169739"/>
        <s v="Z921488"/>
        <s v="Z768023"/>
        <s v="Z913245"/>
        <s v="Z669323"/>
        <s v="Z797153"/>
        <s v="Z897511"/>
        <s v="Z834008"/>
        <s v="Z488767"/>
        <s v="Z490042"/>
        <s v="Z511607"/>
        <s v="Z913364"/>
        <s v="Z906264"/>
        <s v="Z907386"/>
        <s v="Z859468"/>
        <s v="Z195442"/>
        <s v="Z681110"/>
        <s v="Z624905"/>
        <s v="Z509971"/>
        <s v="Z750784"/>
        <s v="Z715284"/>
        <s v="Z933832"/>
        <s v="Z320567"/>
        <s v="Z560604"/>
        <s v="Z299425"/>
        <s v="Z510113"/>
        <s v="Z266062"/>
        <s v="Z262554"/>
        <s v="Z667970"/>
        <s v="Z211468"/>
        <s v="Z797982"/>
        <s v="Z102149"/>
        <s v="Z951203"/>
        <s v="Z266179"/>
        <s v="Z432210"/>
        <s v="Z980020"/>
        <s v="Z481289"/>
        <s v="Z297574"/>
        <s v="Z634765"/>
        <s v="Z768516"/>
        <s v="Z277959"/>
        <s v="Z462583"/>
        <s v="Z583065"/>
        <s v="Z623609"/>
        <s v="Z326970"/>
        <s v="Z526584"/>
        <s v="Z177075"/>
        <s v="Z548205"/>
        <s v="Z366418"/>
        <s v="Z284590"/>
        <s v="Z691043"/>
        <s v="Z472605"/>
        <s v="Z329607"/>
        <s v="Z249287"/>
        <s v="Z144220"/>
        <s v="Z140684"/>
        <s v="Z909237"/>
        <s v="Z746150"/>
        <s v="Z167402"/>
        <s v="Z285282"/>
        <s v="Z558539"/>
        <s v="Z328149"/>
        <s v="Z276417"/>
        <s v="Z363327"/>
        <s v="Z580885"/>
        <s v="Z573815"/>
        <s v="Z239217"/>
        <s v="Z985316"/>
        <s v="Z491465"/>
        <s v="Z145284"/>
        <s v="Z973026"/>
        <s v="Z417921"/>
        <s v="Z341725"/>
        <s v="Z222586"/>
        <s v="Z991868"/>
        <s v="Z743786"/>
        <s v="Z853555"/>
        <s v="Z346117"/>
        <s v="Z439297"/>
        <s v="Z796658"/>
        <s v="Z295934"/>
        <s v="Z660897"/>
        <s v="Z405944"/>
        <s v="Z560838"/>
        <s v="Z281404"/>
        <s v="Z727018"/>
        <s v="Z279674"/>
        <s v="Z325195"/>
        <s v="Z578997"/>
        <s v="Z428626"/>
        <s v="Z488395"/>
        <s v="Z373544"/>
        <s v="Z175247"/>
        <s v="Z542567"/>
        <s v="Z678639"/>
        <s v="Z436857"/>
        <s v="Z477580"/>
        <s v="Z363473"/>
        <s v="Z962957"/>
        <s v="Z812700"/>
        <s v="Z472325"/>
        <s v="Z238405"/>
        <s v="Z408209"/>
        <s v="Z570437"/>
        <s v="Z469833"/>
        <s v="Z338256"/>
        <s v="Z634890"/>
        <s v="Z122586"/>
        <s v="Z235747"/>
        <s v="Z174670"/>
        <s v="Z580598"/>
        <s v="Z116611"/>
        <s v="Z789467"/>
        <s v="Z539950"/>
        <s v="Z178776"/>
        <s v="Z250212"/>
        <s v="Z862784"/>
        <s v="Z189115"/>
        <s v="Z186649"/>
        <s v="Z668070"/>
        <s v="Z456095"/>
        <s v="Z379658"/>
        <s v="Z145202"/>
        <s v="Z941605"/>
        <s v="Z833889"/>
        <s v="Z353328"/>
        <s v="Z980659"/>
        <s v="Z909819"/>
        <s v="Z422667"/>
        <s v="Z656637"/>
        <s v="Z313848"/>
        <s v="Z665915"/>
        <s v="Z818196"/>
        <s v="Z384988"/>
        <s v="Z441862"/>
        <s v="Z510616"/>
        <s v="Z206213"/>
        <s v="Z493657"/>
        <s v="Z346221"/>
        <s v="Z724635"/>
        <s v="Z436265"/>
        <s v="Z367885"/>
        <s v="Z452259"/>
        <s v="Z873948"/>
        <s v="Z204471"/>
        <s v="Z846549"/>
        <s v="Z608622"/>
        <s v="Z541579"/>
        <s v="Z571077"/>
        <s v="Z703941"/>
        <s v="Z992296"/>
        <s v="Z585877"/>
        <s v="Z381046"/>
        <s v="Z821668"/>
        <s v="Z286375"/>
        <s v="Z728771"/>
        <s v="Z298227"/>
        <s v="Z428002"/>
        <s v="Z227584"/>
        <s v="Z543621"/>
        <s v="Z772480"/>
        <s v="Z354716"/>
        <s v="Z487807"/>
        <s v="Z695741"/>
        <s v="Z912771"/>
        <s v="Z533134"/>
        <s v="Z539784"/>
        <s v="Z635454"/>
        <s v="Z719482"/>
        <s v="Z157222"/>
        <s v="Z485860"/>
        <s v="Z201098"/>
        <s v="Z289988"/>
        <s v="Z118219"/>
        <s v="Z249035"/>
        <s v="Z379722"/>
        <s v="Z823302"/>
        <s v="Z924358"/>
        <s v="Z803495"/>
        <s v="Z691405"/>
        <s v="Z564732"/>
        <s v="Z241330"/>
        <s v="Z442726"/>
        <s v="Z397367"/>
        <s v="Z234211"/>
        <s v="Z508041"/>
        <s v="Z412890"/>
        <s v="Z224203"/>
        <s v="Z709901"/>
        <s v="Z168752"/>
        <s v="Z565063"/>
        <s v="Z128538"/>
        <s v="Z350791"/>
        <s v="Z141948"/>
        <s v="Z193365"/>
        <s v="Z103099"/>
        <s v="Z868857"/>
        <s v="Z952378"/>
        <s v="Z480995"/>
        <s v="Z885063"/>
        <s v="Z755965"/>
        <s v="Z109449"/>
        <s v="Z169824"/>
        <s v="Z700511"/>
        <s v="Z113412"/>
        <s v="Z237422"/>
        <s v="Z608855"/>
        <s v="Z679547"/>
        <s v="Z777293"/>
        <s v="Z947617"/>
        <s v="Z615166"/>
        <s v="Z406236"/>
        <s v="Z506752"/>
        <s v="Z323192"/>
        <s v="Z855827"/>
        <s v="Z595921"/>
        <s v="Z154651"/>
        <s v="Z816409"/>
        <s v="Z455911"/>
        <s v="Z643339"/>
        <s v="Z547377"/>
        <s v="Z265094"/>
        <s v="Z554742"/>
        <s v="Z837028"/>
        <s v="Z726315"/>
        <s v="Z364063"/>
        <s v="Z526686"/>
        <s v="Z646521"/>
        <s v="Z830637"/>
        <s v="Z210140"/>
        <s v="Z569498"/>
        <s v="Z466279"/>
        <s v="Z247105"/>
        <s v="Z244129"/>
        <s v="Z894271"/>
        <s v="Z784548"/>
        <s v="Z101091"/>
        <s v="Z889901"/>
        <s v="Z734885"/>
        <s v="Z511175"/>
        <s v="Z616206"/>
        <s v="Z613833"/>
        <s v="Z329370"/>
        <s v="Z666456"/>
        <s v="Z129806"/>
        <s v="Z246419"/>
        <s v="Z741686"/>
        <s v="Z198044"/>
        <s v="Z647563"/>
        <s v="Z620351"/>
        <s v="Z541602"/>
        <s v="Z297104"/>
        <s v="Z167897"/>
        <s v="Z792153"/>
        <s v="Z451086"/>
        <s v="Z498212"/>
        <s v="Z641875"/>
        <s v="Z533460"/>
        <s v="Z463458"/>
        <s v="Z173417"/>
        <s v="Z149908"/>
        <s v="Z920940"/>
        <s v="Z565678"/>
        <s v="Z679456"/>
        <s v="Z648562"/>
        <s v="Z717291"/>
        <s v="Z304000"/>
        <s v="Z524598"/>
        <s v="Z426408"/>
        <s v="Z118787"/>
        <s v="Z992986"/>
        <s v="Z275223"/>
        <s v="Z171542"/>
        <s v="Z636420"/>
        <s v="Z399279"/>
        <s v="Z631871"/>
        <s v="Z647716"/>
        <s v="Z823021"/>
        <s v="Z336190"/>
        <s v="Z240444"/>
        <s v="Z779391"/>
        <s v="Z556243"/>
        <s v="Z645087"/>
        <s v="Z734272"/>
        <s v="Z194216"/>
        <s v="Z350146"/>
        <s v="Z167913"/>
        <s v="Z701252"/>
        <s v="Z284305"/>
        <s v="Z792648"/>
        <s v="Z843103"/>
        <s v="Z723052"/>
        <s v="Z663718"/>
        <s v="Z762412"/>
        <s v="Z366137"/>
        <s v="Z576345"/>
        <s v="Z619547"/>
        <s v="Z346321"/>
        <s v="Z223792"/>
        <s v="Z595522"/>
        <s v="Z276627"/>
        <s v="Z580024"/>
        <s v="Z470183"/>
        <s v="Z636710"/>
        <s v="Z666187"/>
        <s v="Z361235"/>
        <s v="Z653449"/>
        <s v="Z665001"/>
        <s v="Z360111"/>
        <s v="Z152070"/>
        <s v="Z923344"/>
        <s v="Z615295"/>
        <s v="Z254612"/>
        <s v="Z749391"/>
        <s v="Z726908"/>
        <s v="Z316992"/>
        <s v="Z898196"/>
        <s v="Z729296"/>
        <s v="Z193195"/>
        <s v="Z815620"/>
        <s v="Z410084"/>
        <s v="Z532652"/>
        <s v="Z491194"/>
        <s v="Z100492"/>
        <s v="Z156440"/>
        <s v="Z246604"/>
        <s v="Z325508"/>
        <s v="Z160592"/>
        <s v="Z139692"/>
        <s v="Z980388"/>
        <s v="Z482289"/>
        <s v="Z437782"/>
        <s v="Z525402"/>
        <s v="Z907698"/>
        <s v="Z725419"/>
        <s v="Z344792"/>
        <s v="Z916963"/>
        <s v="Z508075"/>
        <s v="Z966187"/>
        <s v="Z969420"/>
        <s v="Z662202"/>
        <s v="Z246892"/>
        <s v="Z537961"/>
        <s v="Z878943"/>
        <s v="Z540957"/>
        <s v="Z641159"/>
        <s v="Z583474"/>
        <s v="Z790150"/>
        <s v="Z985015"/>
        <s v="Z593656"/>
        <s v="Z440160"/>
        <s v="Z915054"/>
        <s v="Z285939"/>
        <s v="Z731736"/>
        <s v="Z825765"/>
        <s v="Z128180"/>
        <s v="Z118656"/>
        <s v="Z893538"/>
        <s v="Z198336"/>
        <s v="Z576614"/>
        <s v="Z902701"/>
        <s v="Z686281"/>
        <s v="Z788531"/>
        <s v="Z547138"/>
        <s v="Z127492"/>
        <s v="Z543937"/>
        <s v="Z639400"/>
        <s v="Z261929"/>
        <s v="Z853407"/>
        <s v="Z990535"/>
        <s v="Z740958"/>
        <s v="Z391795"/>
        <s v="Z531075"/>
        <s v="Z123696"/>
        <s v="Z748351"/>
        <s v="Z514060"/>
        <s v="Z312614"/>
        <s v="Z852100"/>
        <s v="Z692590"/>
        <s v="Z180598"/>
        <s v="Z692232"/>
        <s v="Z170148"/>
        <s v="Z304413"/>
        <s v="Z151300"/>
        <s v="Z660006"/>
        <s v="Z281106"/>
        <s v="Z612400"/>
        <s v="Z268678"/>
        <s v="Z227945"/>
        <s v="Z604412"/>
        <s v="Z602636"/>
        <s v="Z526181"/>
        <s v="Z649249"/>
        <s v="Z653861"/>
        <s v="Z624938"/>
        <s v="Z207061"/>
        <s v="Z983517"/>
        <s v="Z850551"/>
        <s v="Z333912"/>
        <s v="Z442996"/>
        <s v="Z566173"/>
        <s v="Z474186"/>
        <s v="Z972110"/>
        <s v="Z886506"/>
        <s v="Z561363"/>
        <s v="Z211812"/>
        <s v="Z388509"/>
        <s v="Z384523"/>
        <s v="Z759953"/>
        <s v="Z984822"/>
        <s v="Z835217"/>
        <s v="Z349151"/>
        <s v="Z730807"/>
        <s v="Z427356"/>
        <s v="Z480608"/>
        <s v="Z405912"/>
        <s v="Z915062"/>
        <s v="Z934670"/>
        <s v="Z816629"/>
        <s v="Z408526"/>
        <s v="Z229226"/>
        <s v="Z282542"/>
        <s v="Z738522"/>
        <s v="Z318931"/>
        <s v="Z154932"/>
        <s v="Z479907"/>
        <s v="Z984302"/>
        <s v="Z231335"/>
        <s v="Z750351"/>
        <s v="Z599686"/>
        <s v="Z942870"/>
        <s v="Z621106"/>
        <s v="Z172859"/>
        <s v="Z756123"/>
        <s v="Z468130"/>
        <s v="Z927857"/>
        <s v="Z478989"/>
        <s v="Z319609"/>
        <s v="Z113075"/>
        <s v="Z682694"/>
        <s v="Z261913"/>
        <s v="Z212498"/>
        <s v="Z450621"/>
        <s v="Z294646"/>
        <s v="Z451193"/>
        <s v="Z317239"/>
        <s v="Z773529"/>
        <s v="Z542394"/>
        <s v="Z992407"/>
        <s v="Z795855"/>
        <s v="Z115213"/>
        <s v="Z133089"/>
        <s v="Z129844"/>
        <s v="Z857849"/>
        <s v="Z501531"/>
        <s v="Z161191"/>
        <s v="Z915845"/>
        <s v="Z335412"/>
        <s v="Z281083"/>
        <s v="Z479810"/>
        <s v="Z360282"/>
        <s v="Z652094"/>
        <s v="Z415142"/>
        <s v="Z457877"/>
        <s v="Z866439"/>
        <s v="Z655346"/>
        <s v="Z656158"/>
        <s v="Z129175"/>
        <s v="Z844757"/>
        <s v="Z877979"/>
        <s v="Z756981"/>
        <s v="Z126024"/>
        <s v="Z854434"/>
        <s v="Z269111"/>
        <s v="Z936435"/>
        <s v="Z372814"/>
        <s v="Z663221"/>
        <s v="Z390961"/>
        <s v="Z183827"/>
        <s v="Z992851"/>
        <s v="Z541423"/>
        <s v="Z758232"/>
        <s v="Z776581"/>
        <s v="Z610452"/>
        <s v="Z705413"/>
        <s v="Z640122"/>
        <s v="Z544314"/>
        <s v="Z648618"/>
        <s v="Z552139"/>
        <s v="Z269129"/>
        <s v="Z479194"/>
        <s v="Z698774"/>
        <s v="Z669677"/>
        <s v="Z921697"/>
        <s v="Z591096"/>
        <s v="Z213349"/>
        <s v="Z968666"/>
        <s v="Z372865"/>
        <s v="Z111710"/>
        <s v="Z631780"/>
        <s v="Z338903"/>
        <s v="Z952011"/>
        <s v="Z765001"/>
        <s v="Z520028"/>
        <s v="Z777843"/>
        <s v="Z696829"/>
        <s v="Z749000"/>
        <s v="Z497569"/>
        <s v="Z788934"/>
        <s v="Z795850"/>
        <s v="Z803276"/>
        <s v="Z137742"/>
        <s v="Z951085"/>
        <s v="Z428714"/>
        <s v="Z120801"/>
        <s v="Z176389"/>
        <s v="Z504014"/>
        <s v="Z829582"/>
        <s v="Z410017"/>
        <s v="Z382313"/>
        <s v="Z169704"/>
        <s v="Z227864"/>
        <s v="Z429419"/>
        <s v="Z431909"/>
        <s v="Z507356"/>
        <s v="Z317055"/>
        <s v="Z610542"/>
        <s v="Z314343"/>
        <s v="Z647892"/>
        <s v="Z599130"/>
        <s v="Z567447"/>
        <s v="Z282017"/>
        <s v="Z690248"/>
        <s v="Z226671"/>
        <s v="Z624266"/>
        <s v="Z789572"/>
        <s v="Z106136"/>
        <s v="Z353739"/>
        <s v="Z347648"/>
        <s v="Z514677"/>
        <s v="Z156767"/>
        <s v="Z487785"/>
        <s v="Z679079"/>
        <s v="Z261109"/>
        <s v="Z506073"/>
        <s v="Z372904"/>
        <s v="Z795479"/>
        <s v="Z344090"/>
        <s v="Z823106"/>
        <s v="Z614891"/>
        <s v="Z476920"/>
        <s v="Z385354"/>
        <s v="Z134474"/>
        <s v="Z860682"/>
        <s v="Z984138"/>
        <s v="Z841673"/>
        <s v="Z618653"/>
        <s v="Z934184"/>
        <s v="Z549373"/>
        <s v="Z261610"/>
        <s v="Z200909"/>
        <s v="Z687337"/>
        <s v="Z225124"/>
        <s v="Z431956"/>
        <s v="Z822439"/>
        <s v="Z143125"/>
        <s v="Z815649"/>
        <s v="Z682240"/>
        <s v="Z930793"/>
        <s v="Z486338"/>
        <s v="Z874554"/>
        <s v="Z318405"/>
        <s v="Z632446"/>
        <s v="Z218691"/>
        <s v="Z786781"/>
        <s v="Z389206"/>
        <s v="Z191047"/>
        <s v="Z438363"/>
        <s v="Z961699"/>
        <s v="Z880375"/>
        <s v="Z986069"/>
        <s v="Z553759"/>
        <s v="Z858525"/>
        <s v="Z616259"/>
        <s v="Z178139"/>
        <s v="Z515277"/>
        <s v="Z439524"/>
        <s v="Z439883"/>
        <s v="Z414968"/>
        <s v="Z663323"/>
        <s v="Z202579"/>
        <s v="Z238350"/>
        <s v="Z981742"/>
        <s v="Z873758"/>
        <s v="Z461548"/>
        <s v="Z724498"/>
        <s v="Z603872"/>
        <s v="Z997109"/>
        <s v="Z415835"/>
        <s v="Z550214"/>
        <s v="Z436997"/>
        <s v="Z896313"/>
        <s v="Z635957"/>
        <s v="Z398392"/>
        <s v="Z616231"/>
        <s v="Z450554"/>
        <s v="Z723957"/>
        <s v="Z628012"/>
        <s v="Z812711"/>
        <s v="Z587568"/>
        <s v="Z257316"/>
        <s v="Z360135"/>
        <s v="Z270159"/>
        <s v="Z740782"/>
        <s v="Z679736"/>
        <s v="Z587882"/>
        <s v="Z188750"/>
        <s v="Z802044"/>
        <s v="Z470152"/>
        <s v="Z973273"/>
        <s v="Z924590"/>
        <s v="Z823933"/>
        <s v="Z336485"/>
        <s v="Z154838"/>
        <s v="Z131161"/>
        <s v="Z252192"/>
        <s v="Z702766"/>
        <s v="Z442719"/>
        <s v="Z588586"/>
        <s v="Z130873"/>
        <s v="Z882034"/>
        <s v="Z106074"/>
        <s v="Z708077"/>
        <s v="Z188052"/>
        <s v="Z822228"/>
        <s v="Z433515"/>
        <s v="Z551203"/>
        <s v="Z809273"/>
        <s v="Z842773"/>
        <s v="Z481212"/>
        <s v="Z759646"/>
        <s v="Z929200"/>
        <s v="Z492965"/>
        <s v="Z827565"/>
        <s v="Z682889"/>
        <s v="Z266092"/>
        <s v="Z557064"/>
        <s v="Z837372"/>
        <s v="Z861394"/>
        <s v="Z956733"/>
        <s v="Z528505"/>
        <s v="Z881104"/>
        <s v="Z870123"/>
        <s v="Z391109"/>
        <s v="Z694956"/>
        <s v="Z128019"/>
        <s v="Z848465"/>
        <s v="Z140691"/>
        <s v="Z989955"/>
        <s v="Z357348"/>
        <s v="Z632180"/>
        <s v="Z488428"/>
        <s v="Z157148"/>
        <s v="Z159054"/>
        <s v="Z268901"/>
        <s v="Z707602"/>
        <s v="Z233066"/>
        <s v="Z966623"/>
        <s v="Z858188"/>
        <s v="Z275800"/>
        <s v="Z671236"/>
        <s v="Z965869"/>
        <s v="Z310827"/>
        <s v="Z240619"/>
        <s v="Z786713"/>
        <s v="Z934061"/>
        <s v="Z694538"/>
        <s v="Z546175"/>
        <s v="Z772520"/>
        <s v="Z753574"/>
        <s v="Z499358"/>
        <s v="Z945287"/>
        <s v="Z672046"/>
        <s v="Z736872"/>
        <s v="Z887585"/>
        <s v="Z668762"/>
        <s v="Z455310"/>
        <s v="Z115875"/>
        <s v="Z177376"/>
        <s v="Z265179"/>
        <s v="Z375185"/>
        <s v="Z243299"/>
        <s v="Z932034"/>
        <s v="Z408228"/>
        <s v="Z829708"/>
        <s v="Z620558"/>
        <s v="Z710233"/>
        <s v="Z225293"/>
        <s v="Z282442"/>
        <s v="Z153695"/>
        <s v="Z402248"/>
        <s v="Z865455"/>
        <s v="Z288912"/>
        <s v="Z514955"/>
        <s v="Z921325"/>
        <s v="Z759945"/>
        <s v="Z383043"/>
        <s v="Z133144"/>
        <s v="Z682472"/>
        <s v="Z585705"/>
        <s v="Z126119"/>
        <s v="Z266476"/>
        <s v="Z158188"/>
        <s v="Z933835"/>
        <s v="Z672942"/>
        <s v="Z988317"/>
        <s v="Z369970"/>
        <s v="Z393489"/>
        <s v="Z487223"/>
        <s v="Z106353"/>
        <s v="Z176050"/>
        <s v="Z242742"/>
        <s v="Z606662"/>
        <s v="Z609345"/>
        <s v="Z316039"/>
        <s v="Z175378"/>
        <s v="Z158548"/>
        <s v="Z244488"/>
        <s v="Z208939"/>
        <s v="Z698026"/>
        <s v="Z509283"/>
        <s v="Z355489"/>
        <s v="Z115892"/>
        <s v="Z368752"/>
        <s v="Z296559"/>
        <s v="Z898093"/>
        <s v="Z791470"/>
        <s v="Z975333"/>
        <s v="Z554672"/>
        <s v="Z190577"/>
        <s v="Z620466"/>
        <s v="Z331755"/>
        <s v="Z657341"/>
        <s v="Z984897"/>
        <s v="Z219966"/>
        <s v="Z159136"/>
        <s v="Z529041"/>
        <s v="Z216690"/>
        <s v="Z305882"/>
        <s v="Z862833"/>
        <s v="Z220160"/>
        <s v="Z395651"/>
        <s v="Z292242"/>
        <s v="Z147032"/>
        <s v="Z900368"/>
        <s v="Z543801"/>
        <s v="Z736089"/>
        <s v="Z838211"/>
        <s v="Z958865"/>
        <s v="Z718194"/>
        <s v="Z525167"/>
        <s v="Z126633"/>
        <s v="Z294341"/>
        <s v="Z290878"/>
        <s v="Z510828"/>
        <s v="Z837033"/>
        <s v="Z943445"/>
        <s v="Z562450"/>
        <s v="Z950246"/>
        <s v="Z174892"/>
        <s v="Z753104"/>
        <s v="Z509319"/>
        <s v="Z504374"/>
        <s v="Z313139"/>
        <s v="Z179340"/>
        <s v="Z971536"/>
        <s v="Z642976"/>
        <s v="Z189503"/>
        <s v="Z909359"/>
        <s v="Z239057"/>
        <s v="Z597566"/>
        <s v="Z592784"/>
        <s v="Z921873"/>
        <s v="Z469866"/>
        <s v="Z731262"/>
        <s v="Z424454"/>
        <s v="Z841050"/>
        <s v="Z144764"/>
        <s v="Z609570"/>
        <s v="Z410333"/>
        <s v="Z119654"/>
        <s v="Z799512"/>
        <s v="Z836750"/>
        <s v="Z988784"/>
        <s v="Z304785"/>
        <s v="Z895430"/>
        <s v="Z538777"/>
        <s v="Z932859"/>
        <s v="Z384962"/>
        <s v="Z773098"/>
        <s v="Z450639"/>
        <s v="Z395788"/>
        <s v="Z625527"/>
        <s v="Z249006"/>
        <s v="Z424277"/>
        <s v="Z653848"/>
        <s v="Z225103"/>
        <s v="Z456726"/>
        <s v="Z392503"/>
        <s v="Z219696"/>
        <s v="Z272760"/>
        <s v="Z382581"/>
        <s v="Z610254"/>
        <s v="Z956242"/>
        <s v="Z303067"/>
        <s v="Z774905"/>
        <s v="Z873144"/>
        <s v="Z603819"/>
        <s v="Z397610"/>
        <s v="Z476951"/>
        <s v="Z853579"/>
        <s v="Z277034"/>
        <s v="Z540682"/>
        <s v="Z193341"/>
        <s v="Z482460"/>
        <s v="Z387420"/>
        <s v="Z363447"/>
        <s v="Z873736"/>
        <s v="Z695903"/>
        <s v="Z519571"/>
        <s v="Z799617"/>
        <s v="Z786219"/>
        <s v="Z647702"/>
        <s v="Z775058"/>
        <s v="Z383484"/>
        <s v="Z995130"/>
        <s v="Z252961"/>
        <s v="Z979846"/>
        <s v="Z811665"/>
        <s v="Z341201"/>
        <s v="Z526072"/>
        <s v="Z375846"/>
        <s v="Z399388"/>
        <s v="Z489922"/>
        <s v="Z893394"/>
        <s v="Z613703"/>
        <s v="Z918213"/>
        <s v="Z530077"/>
        <s v="Z521003"/>
        <s v="Z895757"/>
        <s v="Z489289"/>
        <s v="Z612493"/>
        <s v="Z409293"/>
        <s v="Z235270"/>
        <s v="Z597183"/>
        <s v="Z558359"/>
        <s v="Z645812"/>
        <s v="Z180586"/>
        <s v="Z715796"/>
        <s v="Z273651"/>
        <s v="Z675632"/>
        <s v="Z120556"/>
        <s v="Z579968"/>
        <s v="Z440422"/>
        <s v="Z773047"/>
        <s v="Z340000"/>
        <s v="Z364752"/>
        <s v="Z155861"/>
        <s v="Z587478"/>
        <s v="Z893935"/>
        <s v="Z295797"/>
        <s v="Z593958"/>
        <s v="Z837089"/>
        <s v="Z944120"/>
        <s v="Z951441"/>
        <s v="Z173089"/>
        <s v="Z451187"/>
        <s v="Z985741"/>
        <s v="Z754316"/>
        <s v="Z843850"/>
        <s v="Z166242"/>
        <s v="Z381485"/>
        <s v="Z220201"/>
        <s v="Z291950"/>
        <s v="Z295508"/>
        <s v="Z811619"/>
        <s v="Z877306"/>
        <s v="Z879249"/>
        <s v="Z899697"/>
        <s v="Z218176"/>
        <s v="Z197275"/>
        <s v="Z767400"/>
        <s v="Z141631"/>
        <s v="Z537139"/>
        <s v="Z602634"/>
        <s v="Z891238"/>
        <s v="Z817018"/>
        <s v="Z728370"/>
        <s v="Z175073"/>
        <s v="Z334860"/>
        <s v="Z986173"/>
        <s v="Z641723"/>
        <s v="Z399997"/>
        <s v="Z466579"/>
        <s v="Z952439"/>
        <s v="Z862150"/>
        <s v="Z439818"/>
        <s v="Z264408"/>
        <s v="Z750677"/>
        <s v="Z429805"/>
        <s v="Z556501"/>
        <s v="Z951447"/>
        <s v="Z563985"/>
        <s v="Z553313"/>
        <s v="Z313403"/>
        <s v="Z759732"/>
        <s v="Z228342"/>
        <s v="Z461882"/>
        <s v="Z785940"/>
        <s v="Z242249"/>
        <s v="Z290820"/>
        <s v="Z829757"/>
        <s v="Z440936"/>
        <s v="Z736812"/>
        <s v="Z193075"/>
        <s v="Z633255"/>
        <s v="Z922853"/>
        <s v="Z524878"/>
        <s v="Z817851"/>
        <s v="Z773379"/>
        <s v="Z917578"/>
        <s v="Z867520"/>
        <s v="Z570140"/>
        <s v="Z668038"/>
        <s v="Z578764"/>
        <s v="Z875912"/>
        <s v="Z467253"/>
        <s v="Z526886"/>
        <s v="Z831183"/>
        <s v="Z185922"/>
        <s v="Z528109"/>
        <s v="Z418153"/>
        <s v="Z279776"/>
        <s v="Z756142"/>
        <s v="Z154458"/>
        <s v="Z336626"/>
        <s v="Z779150"/>
        <s v="Z891668"/>
        <s v="Z669976"/>
        <s v="Z481647"/>
        <s v="Z697847"/>
        <s v="Z500167"/>
        <s v="Z822004"/>
        <s v="Z660765"/>
        <s v="Z596112"/>
        <s v="Z750668"/>
        <s v="Z170113"/>
        <s v="Z805949"/>
        <s v="Z901419"/>
        <s v="Z739242"/>
        <s v="Z260586"/>
        <s v="Z540322"/>
        <s v="Z100947"/>
        <s v="Z685698"/>
        <s v="Z842291"/>
        <s v="Z934882"/>
        <s v="Z700857"/>
        <s v="Z168760"/>
        <s v="Z517856"/>
        <s v="Z977120"/>
        <s v="Z565750"/>
        <s v="Z654358"/>
        <s v="Z727081"/>
        <s v="Z788487"/>
        <s v="Z133784"/>
        <s v="Z923545"/>
        <s v="Z290319"/>
        <s v="Z727256"/>
        <s v="Z290791"/>
        <s v="Z701435"/>
        <s v="Z460404"/>
        <s v="Z735950"/>
        <s v="Z698364"/>
        <s v="Z608733"/>
        <s v="Z217852"/>
        <s v="Z551888"/>
        <s v="Z900695"/>
        <s v="Z966467"/>
        <s v="Z220198"/>
        <s v="Z533640"/>
        <s v="Z401039"/>
        <s v="Z976633"/>
        <s v="Z310713"/>
        <s v="Z826831"/>
        <s v="Z767270"/>
        <s v="Z625717"/>
        <s v="Z800625"/>
        <s v="Z825915"/>
        <s v="Z811155"/>
        <s v="Z304526"/>
        <s v="Z791829"/>
        <s v="Z389776"/>
        <s v="Z100579"/>
        <s v="Z325676"/>
        <s v="Z289803"/>
        <s v="Z829647"/>
        <s v="Z283797"/>
        <s v="Z536299"/>
        <s v="Z373983"/>
        <s v="Z689438"/>
        <s v="Z623900"/>
        <s v="Z871262"/>
        <s v="Z829794"/>
        <s v="Z999461"/>
        <s v="Z992972"/>
        <s v="Z220893"/>
        <s v="Z567887"/>
        <s v="Z830005"/>
        <s v="Z478017"/>
        <s v="Z264822"/>
        <s v="Z301151"/>
        <s v="Z566961"/>
        <s v="Z832402"/>
        <s v="Z348483"/>
        <s v="Z861164"/>
        <s v="Z659031"/>
        <s v="Z855121"/>
        <s v="Z180472"/>
        <s v="Z553513"/>
        <s v="Z531178"/>
        <s v="Z349076"/>
        <s v="Z142236"/>
        <s v="Z788326"/>
        <s v="Z597018"/>
        <s v="Z498317"/>
        <s v="Z718403"/>
        <s v="Z250635"/>
        <s v="Z714522"/>
        <s v="Z693345"/>
        <s v="Z133371"/>
        <s v="Z673156"/>
        <s v="Z558945"/>
        <s v="Z808643"/>
        <s v="Z985852"/>
        <s v="Z118601"/>
        <s v="Z581199"/>
        <s v="Z694999"/>
        <s v="Z637986"/>
        <s v="Z390895"/>
        <s v="Z302843"/>
        <s v="Z311113"/>
        <s v="Z158196"/>
        <s v="Z468894"/>
        <s v="Z449957"/>
        <s v="Z143856"/>
        <s v="Z635254"/>
        <s v="Z324496"/>
        <s v="Z518244"/>
        <s v="Z605555"/>
        <s v="Z375423"/>
        <s v="Z778845"/>
        <s v="Z483637"/>
        <s v="Z333743"/>
        <s v="Z595930"/>
        <s v="Z590182"/>
        <s v="Z151970"/>
        <s v="Z946113"/>
        <s v="Z601021"/>
        <s v="Z955626"/>
        <s v="Z610601"/>
        <s v="Z353329"/>
        <s v="Z372650"/>
        <s v="Z539258"/>
        <s v="Z216002"/>
        <s v="Z202390"/>
        <s v="Z513540"/>
        <s v="Z584807"/>
        <s v="Z624860"/>
        <s v="Z498120"/>
        <s v="Z448050"/>
        <s v="Z745322"/>
        <s v="Z542453"/>
        <s v="Z215404"/>
        <s v="Z687298"/>
        <s v="Z562839"/>
        <s v="Z105488"/>
        <s v="Z599514"/>
        <s v="Z643068"/>
        <s v="Z736264"/>
        <s v="Z827720"/>
        <s v="Z186089"/>
        <s v="Z459588"/>
        <s v="Z300977"/>
        <s v="Z740634"/>
        <s v="Z846365"/>
        <s v="Z537549"/>
        <s v="Z257287"/>
        <s v="Z220441"/>
        <s v="Z337473"/>
        <s v="Z221844"/>
        <s v="Z694770"/>
        <s v="Z991696"/>
        <s v="Z252631"/>
        <s v="Z326915"/>
        <s v="Z428637"/>
        <s v="Z135515"/>
        <s v="Z277901"/>
        <s v="Z119767"/>
        <s v="Z386059"/>
        <s v="Z938591"/>
        <s v="Z951249"/>
        <s v="Z696637"/>
        <s v="Z651375"/>
        <s v="Z180835"/>
        <s v="Z109865"/>
        <s v="Z930270"/>
        <s v="Z540524"/>
        <s v="Z465456"/>
        <s v="Z689773"/>
        <s v="Z878451"/>
        <s v="Z864649"/>
        <s v="Z918153"/>
        <s v="Z831952"/>
        <s v="Z508291"/>
        <s v="Z769980"/>
        <s v="Z954738"/>
        <s v="Z618947"/>
        <s v="Z316900"/>
        <s v="Z668812"/>
        <s v="Z771228"/>
        <s v="Z941797"/>
        <s v="Z286999"/>
        <s v="Z935638"/>
        <s v="Z885804"/>
        <s v="Z905803"/>
        <s v="Z971023"/>
        <s v="Z280967"/>
        <s v="Z787584"/>
        <s v="Z483119"/>
        <s v="Z274393"/>
        <s v="Z267167"/>
        <s v="Z552594"/>
        <s v="Z495711"/>
        <s v="Z350745"/>
        <s v="Z544497"/>
        <s v="Z964864"/>
        <s v="Z819961"/>
        <s v="Z216612"/>
        <s v="Z400340"/>
        <s v="Z969162"/>
        <s v="Z725262"/>
        <s v="Z358634"/>
        <s v="Z875902"/>
        <s v="Z268175"/>
        <s v="Z243932"/>
        <s v="Z705809"/>
        <s v="Z440495"/>
        <s v="Z207904"/>
        <s v="Z281626"/>
        <s v="Z567065"/>
        <s v="Z319387"/>
        <s v="Z467681"/>
        <s v="Z127054"/>
        <s v="Z596885"/>
        <s v="Z942915"/>
        <s v="Z928719"/>
        <s v="Z879336"/>
        <s v="Z906240"/>
        <s v="Z914636"/>
        <s v="Z631603"/>
        <s v="Z966328"/>
        <s v="Z900551"/>
        <s v="Z602231"/>
        <s v="Z425533"/>
        <s v="Z672081"/>
        <s v="Z337007"/>
        <s v="Z486515"/>
        <s v="Z479844"/>
        <s v="Z564644"/>
        <s v="Z596405"/>
        <s v="Z509484"/>
        <s v="Z627216"/>
        <s v="Z211205"/>
        <s v="Z310222"/>
        <s v="Z797629"/>
        <s v="Z805938"/>
        <s v="Z567760"/>
        <s v="Z804629"/>
        <s v="Z753112"/>
        <s v="Z830296"/>
        <s v="Z788226"/>
        <s v="Z728632"/>
        <s v="Z647013"/>
        <s v="Z726295"/>
        <s v="Z311687"/>
        <s v="Z532627"/>
        <s v="Z855635"/>
        <s v="Z364680"/>
        <s v="Z669008"/>
        <s v="Z728742"/>
        <s v="Z690264"/>
        <s v="Z353204"/>
        <s v="Z334851"/>
        <s v="Z867970"/>
        <s v="Z357161"/>
        <s v="Z638160"/>
        <s v="Z149947"/>
        <s v="Z763653"/>
        <s v="Z300429"/>
        <s v="Z753348"/>
        <s v="Z592889"/>
        <s v="Z864350"/>
        <s v="Z812071"/>
        <s v="Z910225"/>
        <s v="Z157515"/>
        <s v="Z499023"/>
        <s v="Z617767"/>
        <s v="Z502537"/>
        <s v="Z566875"/>
        <s v="Z433288"/>
        <s v="Z264415"/>
        <s v="Z149625"/>
        <s v="Z618994"/>
        <s v="Z346705"/>
        <s v="Z955809"/>
        <s v="Z283652"/>
        <s v="Z376339"/>
        <s v="Z375724"/>
        <s v="Z748937"/>
        <s v="Z923215"/>
        <s v="Z606990"/>
        <s v="Z664661"/>
        <s v="Z861255"/>
        <s v="Z133669"/>
        <s v="Z208265"/>
        <s v="Z253555"/>
        <s v="Z160868"/>
        <s v="Z183167"/>
        <s v="Z284935"/>
        <s v="Z842214"/>
        <s v="Z167283"/>
        <s v="Z748192"/>
        <s v="Z876426"/>
      </sharedItems>
    </cacheField>
    <cacheField name="Listing Agent" numFmtId="0">
      <sharedItems>
        <s v="Alex Johnson - Compass"/>
        <s v="Mike Lee - Coldwell Banker"/>
        <s v="John Doe - RE/MAX"/>
        <s v="Jane Smith - Keller Williams"/>
        <s v="Emily Davis - Century 21"/>
      </sharedItems>
    </cacheField>
    <cacheField name="Status" numFmtId="0">
      <sharedItems>
        <s v="For Sale"/>
        <s v="Sold"/>
        <s v="Pending"/>
      </sharedItems>
    </cacheField>
    <cacheField name="Duplicated MLS" numFmtId="0">
      <sharedItems containsSemiMixedTypes="0" containsString="0" containsNumber="1" containsInteger="1">
        <n v="1.0"/>
        <n v="2.0"/>
      </sharedItems>
    </cacheField>
    <cacheField name="Duplicacy status" numFmtId="0">
      <sharedItems>
        <s v="OK"/>
        <s v="Duplicate"/>
      </sharedItems>
    </cacheField>
    <cacheField name="Area Category" numFmtId="0">
      <sharedItems>
        <s v="600-1600"/>
        <s v="1600-2600"/>
        <s v="3600+"/>
        <s v="2600-3600"/>
      </sharedItems>
    </cacheField>
    <cacheField name="Age of Property" numFmtId="0">
      <sharedItems containsSemiMixedTypes="0" containsString="0" containsNumber="1" containsInteger="1">
        <n v="67.0"/>
        <n v="14.0"/>
        <n v="36.0"/>
        <n v="9.0"/>
        <n v="6.0"/>
        <n v="11.0"/>
        <n v="51.0"/>
        <n v="56.0"/>
        <n v="13.0"/>
        <n v="18.0"/>
        <n v="60.0"/>
        <n v="25.0"/>
        <n v="19.0"/>
        <n v="73.0"/>
        <n v="68.0"/>
        <n v="44.0"/>
        <n v="43.0"/>
        <n v="71.0"/>
        <n v="37.0"/>
        <n v="29.0"/>
        <n v="69.0"/>
        <n v="47.0"/>
        <n v="8.0"/>
        <n v="72.0"/>
        <n v="63.0"/>
        <n v="41.0"/>
        <n v="65.0"/>
        <n v="33.0"/>
        <n v="74.0"/>
        <n v="38.0"/>
        <n v="66.0"/>
        <n v="58.0"/>
        <n v="48.0"/>
        <n v="28.0"/>
        <n v="30.0"/>
        <n v="12.0"/>
        <n v="4.0"/>
        <n v="20.0"/>
        <n v="45.0"/>
        <n v="31.0"/>
        <n v="52.0"/>
        <n v="61.0"/>
        <n v="76.0"/>
        <n v="64.0"/>
        <n v="49.0"/>
        <n v="24.0"/>
        <n v="15.0"/>
        <n v="22.0"/>
        <n v="54.0"/>
        <n v="27.0"/>
        <n v="42.0"/>
        <n v="26.0"/>
        <n v="17.0"/>
        <n v="50.0"/>
        <n v="70.0"/>
        <n v="57.0"/>
        <n v="59.0"/>
        <n v="62.0"/>
        <n v="55.0"/>
        <n v="53.0"/>
        <n v="10.0"/>
        <n v="39.0"/>
        <n v="7.0"/>
        <n v="46.0"/>
        <n v="16.0"/>
        <n v="21.0"/>
        <n v="35.0"/>
        <n v="34.0"/>
        <n v="32.0"/>
        <n v="5.0"/>
        <n v="75.0"/>
        <n v="23.0"/>
        <n v="40.0"/>
        <n v="3.0"/>
      </sharedItems>
    </cacheField>
    <cacheField name="Age Category" numFmtId="0">
      <sharedItems>
        <s v="Very Old"/>
        <s v="Mid"/>
        <s v="Old"/>
        <s v="Ne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rowGrandTotals="0" compact="0" compactData="0">
  <location ref="AD27:AE32" firstHeaderRow="0" firstDataRow="1" firstDataCol="0" rowPageCount="1" colPageCount="1"/>
  <pivotFields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athrooms" compact="0" outline="0" multipleItemSelectionAllowed="1" showAll="0">
      <items>
        <item x="0"/>
        <item x="1"/>
        <item x="2"/>
        <item x="3"/>
        <item t="default"/>
      </items>
    </pivotField>
    <pivotField name="Area 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t="default"/>
      </items>
    </pivotField>
    <pivotField name="Lot Size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t="default"/>
      </items>
    </pivotField>
    <pivotField name="Year Bui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ays on Marke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Property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LS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t="default"/>
      </items>
    </pivotField>
    <pivotField name="Listing Agent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us" axis="axisPage" compact="0" outline="0" multipleItemSelectionAllowed="1" showAll="0">
      <items>
        <item h="1" x="0"/>
        <item x="1"/>
        <item h="1" x="2"/>
        <item t="default"/>
      </items>
    </pivotField>
    <pivotField name="Duplicated MLS" compact="0" outline="0" multipleItemSelectionAllowed="1" showAll="0">
      <items>
        <item x="0"/>
        <item x="1"/>
        <item t="default"/>
      </items>
    </pivotField>
    <pivotField name="Duplicacy status" compact="0" outline="0" multipleItemSelectionAllowed="1" showAll="0">
      <items>
        <item x="0"/>
        <item x="1"/>
        <item t="default"/>
      </items>
    </pivotField>
    <pivotField name="Area Category" compact="0" outline="0" multipleItemSelectionAllowed="1" showAll="0">
      <items>
        <item x="0"/>
        <item x="1"/>
        <item x="2"/>
        <item x="3"/>
        <item t="default"/>
      </items>
    </pivotField>
    <pivotField name="Age of Proper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Age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3"/>
  </rowFields>
  <pageFields>
    <pageField fld="14"/>
  </pageFields>
  <dataFields>
    <dataField name="AVERAGE of Days on Market" fld="10" subtotal="average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rowGrandTotals="0" compact="0" compactData="0">
  <location ref="V36:W41" firstHeaderRow="0" firstDataRow="1" firstDataCol="0"/>
  <pivotFields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athrooms" compact="0" outline="0" multipleItemSelectionAllowed="1" showAll="0">
      <items>
        <item x="0"/>
        <item x="1"/>
        <item x="2"/>
        <item x="3"/>
        <item t="default"/>
      </items>
    </pivotField>
    <pivotField name="Area 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t="default"/>
      </items>
    </pivotField>
    <pivotField name="Lot Size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t="default"/>
      </items>
    </pivotField>
    <pivotField name="Year Bui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ays on 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Property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LS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t="default"/>
      </items>
    </pivotField>
    <pivotField name="Listing Agent" axis="axisRow" compact="0" outline="0" multipleItemSelectionAllowed="1" showAll="0" sortType="descending">
      <items>
        <item x="1"/>
        <item x="2"/>
        <item x="3"/>
        <item x="4"/>
        <item x="0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uplicated MLS" compact="0" outline="0" multipleItemSelectionAllowed="1" showAll="0">
      <items>
        <item x="0"/>
        <item x="1"/>
        <item t="default"/>
      </items>
    </pivotField>
    <pivotField name="Duplicacy status" compact="0" outline="0" multipleItemSelectionAllowed="1" showAll="0">
      <items>
        <item x="0"/>
        <item x="1"/>
        <item t="default"/>
      </items>
    </pivotField>
    <pivotField name="Area Category" compact="0" outline="0" multipleItemSelectionAllowed="1" showAll="0">
      <items>
        <item x="0"/>
        <item x="1"/>
        <item x="2"/>
        <item x="3"/>
        <item t="default"/>
      </items>
    </pivotField>
    <pivotField name="Age of Proper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Age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3"/>
  </rowFields>
  <dataFields>
    <dataField name="AVERAGE of Price" fld="0" subtotal="average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rowGrandTotals="0" compact="0" compactData="0">
  <location ref="Z36:AA40" firstHeaderRow="0" firstDataRow="1" firstDataCol="0"/>
  <pivotFields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athrooms" compact="0" outline="0" multipleItemSelectionAllowed="1" showAll="0">
      <items>
        <item x="0"/>
        <item x="1"/>
        <item x="2"/>
        <item x="3"/>
        <item t="default"/>
      </items>
    </pivotField>
    <pivotField name="Area 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t="default"/>
      </items>
    </pivotField>
    <pivotField name="Lot Size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t="default"/>
      </items>
    </pivotField>
    <pivotField name="Year Bui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ays on Marke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Property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LS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t="default"/>
      </items>
    </pivotField>
    <pivotField name="Listing Ag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uplicated MLS" compact="0" outline="0" multipleItemSelectionAllowed="1" showAll="0">
      <items>
        <item x="0"/>
        <item x="1"/>
        <item t="default"/>
      </items>
    </pivotField>
    <pivotField name="Duplicacy status" compact="0" outline="0" multipleItemSelectionAllowed="1" showAll="0">
      <items>
        <item x="0"/>
        <item x="1"/>
        <item t="default"/>
      </items>
    </pivotField>
    <pivotField name="Area Category" compact="0" outline="0" multipleItemSelectionAllowed="1" showAll="0">
      <items>
        <item x="0"/>
        <item x="1"/>
        <item x="2"/>
        <item x="3"/>
        <item t="default"/>
      </items>
    </pivotField>
    <pivotField name="Age of Proper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Age Category" axis="axisRow" compact="0" outline="0" multipleItemSelectionAllowed="1" showAll="0" sortType="ascending">
      <items>
        <item x="1"/>
        <item x="3"/>
        <item x="2"/>
        <item x="0"/>
        <item t="default"/>
      </items>
    </pivotField>
  </pivotFields>
  <rowFields>
    <field x="19"/>
  </rowFields>
  <dataFields>
    <dataField name="AVERAGE of Days on Market" fld="10" subtotal="average" baseField="0"/>
  </dataFields>
</pivotTableDefinition>
</file>

<file path=xl/pivotTables/pivotTable4.xml><?xml version="1.0" encoding="utf-8"?>
<pivotTableDefinition xmlns="http://schemas.openxmlformats.org/spreadsheetml/2006/main" name="Analysis 4" cacheId="0" dataCaption="" rowGrandTotals="0" compact="0" compactData="0">
  <location ref="V45:W49" firstHeaderRow="0" firstDataRow="1" firstDataCol="0"/>
  <pivotFields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athrooms" compact="0" outline="0" multipleItemSelectionAllowed="1" showAll="0">
      <items>
        <item x="0"/>
        <item x="1"/>
        <item x="2"/>
        <item x="3"/>
        <item t="default"/>
      </items>
    </pivotField>
    <pivotField name="Area 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t="default"/>
      </items>
    </pivotField>
    <pivotField name="Lot Size(Sqf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t="default"/>
      </items>
    </pivotField>
    <pivotField name="Year Bui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Days on 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Property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LS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t="default"/>
      </items>
    </pivotField>
    <pivotField name="Listing Ag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uplicated MLS" compact="0" outline="0" multipleItemSelectionAllowed="1" showAll="0">
      <items>
        <item x="0"/>
        <item x="1"/>
        <item t="default"/>
      </items>
    </pivotField>
    <pivotField name="Duplicacy status" compact="0" outline="0" multipleItemSelectionAllowed="1" showAll="0">
      <items>
        <item x="0"/>
        <item x="1"/>
        <item t="default"/>
      </items>
    </pivotField>
    <pivotField name="Area Category" compact="0" outline="0" multipleItemSelectionAllowed="1" showAll="0">
      <items>
        <item x="0"/>
        <item x="1"/>
        <item x="2"/>
        <item x="3"/>
        <item t="default"/>
      </items>
    </pivotField>
    <pivotField name="Age of Proper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Age Category" axis="axisRow" compact="0" outline="0" multipleItemSelectionAllowed="1" showAll="0" sortType="ascending">
      <items>
        <item x="1"/>
        <item x="3"/>
        <item x="2"/>
        <item x="0"/>
        <item t="default"/>
      </items>
    </pivotField>
  </pivotFields>
  <rowFields>
    <field x="19"/>
  </rowFields>
  <dataFields>
    <dataField name="AVERAGE of Price" fld="0" subtotal="average" baseField="0"/>
  </dataFields>
</pivotTableDefinition>
</file>

<file path=xl/tables/table1.xml><?xml version="1.0" encoding="utf-8"?>
<table xmlns="http://schemas.openxmlformats.org/spreadsheetml/2006/main" ref="A1:T3001" displayName="Listings" name="Listings" id="1">
  <autoFilter ref="$A$1:$T$3001"/>
  <tableColumns count="20">
    <tableColumn name="Price" id="1"/>
    <tableColumn name="Address" id="2"/>
    <tableColumn name="City" id="3"/>
    <tableColumn name="Zipcode" id="4"/>
    <tableColumn name="State" id="5"/>
    <tableColumn name="Bedrooms" id="6"/>
    <tableColumn name="Bathrooms" id="7"/>
    <tableColumn name="Area (Sqft)" id="8"/>
    <tableColumn name="Lot Size(Sqft)" id="9"/>
    <tableColumn name="Year Built" id="10"/>
    <tableColumn name="Days on Market" id="11"/>
    <tableColumn name="Property Type" id="12"/>
    <tableColumn name="MLS ID" id="13"/>
    <tableColumn name="Listing Agent" id="14"/>
    <tableColumn name="Status" id="15"/>
    <tableColumn name="Duplicated MLS" id="16"/>
    <tableColumn name="Duplicacy status" id="17"/>
    <tableColumn name="Area Category" id="18"/>
    <tableColumn name="Age of Property" id="19"/>
    <tableColumn name="Age Category" id="20"/>
  </tableColumns>
  <tableStyleInfo name="Analysis-style" showColumnStripes="0" showFirstColumn="1" showLastColumn="1" showRowStripes="1"/>
</table>
</file>

<file path=xl/tables/table2.xml><?xml version="1.0" encoding="utf-8"?>
<table xmlns="http://schemas.openxmlformats.org/spreadsheetml/2006/main" ref="BH5:BX229" displayName="Alex_Johnson__Compass" name="Alex_Johnson__Compass" id="2">
  <tableColumns count="17">
    <tableColumn name="Price" id="1"/>
    <tableColumn name="Address" id="2"/>
    <tableColumn name="City" id="3"/>
    <tableColumn name="Zipcode" id="4"/>
    <tableColumn name="State" id="5"/>
    <tableColumn name="Bedrooms" id="6"/>
    <tableColumn name="Bathrooms" id="7"/>
    <tableColumn name="Area (Sqft)" id="8"/>
    <tableColumn name="Lot Size" id="9"/>
    <tableColumn name="Year Built" id="10"/>
    <tableColumn name="Days on Market" id="11"/>
    <tableColumn name="Property Type" id="12"/>
    <tableColumn name="MLS ID" id="13"/>
    <tableColumn name="Listing Agent" id="14"/>
    <tableColumn name="Status" id="15"/>
    <tableColumn name="Duplicated MLS" id="16"/>
    <tableColumn name="Duplicacy status" id="17"/>
  </tableColumns>
  <tableStyleInfo name="Analysi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2.xml"/><Relationship Id="rId5" Type="http://schemas.openxmlformats.org/officeDocument/2006/relationships/drawing" Target="../drawings/drawing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3.86"/>
    <col customWidth="1" min="12" max="12" width="12.29"/>
    <col customWidth="1" min="13" max="13" width="7.86"/>
    <col customWidth="1" min="14" max="14" width="23.43"/>
    <col customWidth="1" min="15" max="1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 t="s">
        <v>16</v>
      </c>
      <c r="B2" s="1" t="s">
        <v>17</v>
      </c>
      <c r="C2" s="1" t="s">
        <v>18</v>
      </c>
      <c r="D2" s="1">
        <v>65383.0</v>
      </c>
      <c r="E2" s="1" t="s">
        <v>19</v>
      </c>
      <c r="F2" s="1" t="s">
        <v>20</v>
      </c>
      <c r="G2" s="1" t="s">
        <v>21</v>
      </c>
      <c r="H2" s="2">
        <v>772.0</v>
      </c>
      <c r="I2" s="2">
        <v>4757.0</v>
      </c>
      <c r="J2" s="1">
        <v>1959.0</v>
      </c>
      <c r="K2" s="1">
        <v>101.0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</row>
    <row r="3" ht="14.25" customHeight="1">
      <c r="A3" s="1" t="s">
        <v>27</v>
      </c>
      <c r="B3" s="1" t="s">
        <v>28</v>
      </c>
      <c r="C3" s="1" t="s">
        <v>29</v>
      </c>
      <c r="D3" s="1">
        <v>79339.0</v>
      </c>
      <c r="E3" s="1" t="s">
        <v>30</v>
      </c>
      <c r="F3" s="1" t="s">
        <v>20</v>
      </c>
      <c r="G3" s="1" t="s">
        <v>31</v>
      </c>
      <c r="H3" s="2">
        <v>2348.0</v>
      </c>
      <c r="I3" s="2">
        <v>3615.0</v>
      </c>
      <c r="J3" s="1">
        <v>1969.0</v>
      </c>
      <c r="K3" s="1">
        <v>46.0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</row>
    <row r="4" ht="14.25" customHeight="1">
      <c r="A4" s="1" t="s">
        <v>37</v>
      </c>
      <c r="B4" s="1" t="s">
        <v>38</v>
      </c>
      <c r="C4" s="1" t="s">
        <v>39</v>
      </c>
      <c r="D4" s="1">
        <v>87393.0</v>
      </c>
      <c r="E4" s="1" t="s">
        <v>40</v>
      </c>
      <c r="F4" s="1" t="s">
        <v>41</v>
      </c>
      <c r="G4" s="1" t="s">
        <v>31</v>
      </c>
      <c r="H4" s="2">
        <v>3630.0</v>
      </c>
      <c r="I4" s="2">
        <v>9369.0</v>
      </c>
      <c r="J4" s="1">
        <v>1990.0</v>
      </c>
      <c r="K4" s="1">
        <v>59.0</v>
      </c>
      <c r="L4" s="1" t="s">
        <v>22</v>
      </c>
      <c r="M4" s="1" t="s">
        <v>42</v>
      </c>
      <c r="N4" s="1" t="s">
        <v>43</v>
      </c>
      <c r="O4" s="1" t="s">
        <v>25</v>
      </c>
      <c r="P4" s="1" t="s">
        <v>36</v>
      </c>
    </row>
    <row r="5" ht="14.25" customHeight="1">
      <c r="A5" s="1" t="s">
        <v>44</v>
      </c>
      <c r="B5" s="1" t="s">
        <v>45</v>
      </c>
      <c r="C5" s="1" t="s">
        <v>29</v>
      </c>
      <c r="D5" s="1">
        <v>38666.0</v>
      </c>
      <c r="E5" s="1" t="s">
        <v>40</v>
      </c>
      <c r="F5" s="1" t="s">
        <v>46</v>
      </c>
      <c r="G5" s="1" t="s">
        <v>31</v>
      </c>
      <c r="H5" s="2">
        <v>605.0</v>
      </c>
      <c r="I5" s="2">
        <v>8804.0</v>
      </c>
      <c r="J5" s="1">
        <v>1958.0</v>
      </c>
      <c r="K5" s="1">
        <v>119.0</v>
      </c>
      <c r="L5" s="1" t="s">
        <v>32</v>
      </c>
      <c r="M5" s="1" t="s">
        <v>47</v>
      </c>
      <c r="N5" s="1" t="s">
        <v>48</v>
      </c>
      <c r="O5" s="1" t="s">
        <v>49</v>
      </c>
      <c r="P5" s="1" t="s">
        <v>50</v>
      </c>
    </row>
    <row r="6" ht="14.25" customHeight="1">
      <c r="A6" s="1" t="s">
        <v>51</v>
      </c>
      <c r="B6" s="1" t="s">
        <v>52</v>
      </c>
      <c r="C6" s="1" t="s">
        <v>53</v>
      </c>
      <c r="D6" s="1">
        <v>23989.0</v>
      </c>
      <c r="E6" s="1" t="s">
        <v>19</v>
      </c>
      <c r="F6" s="1" t="s">
        <v>54</v>
      </c>
      <c r="G6" s="1" t="s">
        <v>55</v>
      </c>
      <c r="H6" s="2">
        <v>1711.0</v>
      </c>
      <c r="I6" s="2">
        <v>9260.0</v>
      </c>
      <c r="J6" s="1">
        <v>2020.0</v>
      </c>
      <c r="K6" s="1">
        <v>26.0</v>
      </c>
      <c r="L6" s="1" t="s">
        <v>22</v>
      </c>
      <c r="M6" s="1" t="s">
        <v>56</v>
      </c>
      <c r="N6" s="1" t="s">
        <v>48</v>
      </c>
      <c r="O6" s="1" t="s">
        <v>49</v>
      </c>
      <c r="P6" s="1" t="s">
        <v>57</v>
      </c>
    </row>
    <row r="7" ht="14.25" customHeight="1">
      <c r="A7" s="1" t="s">
        <v>58</v>
      </c>
      <c r="B7" s="1" t="s">
        <v>59</v>
      </c>
      <c r="C7" s="1" t="s">
        <v>39</v>
      </c>
      <c r="D7" s="1">
        <v>71318.0</v>
      </c>
      <c r="E7" s="1" t="s">
        <v>60</v>
      </c>
      <c r="F7" s="1" t="s">
        <v>61</v>
      </c>
      <c r="G7" s="1" t="s">
        <v>21</v>
      </c>
      <c r="H7" s="2">
        <v>1177.0</v>
      </c>
      <c r="I7" s="2">
        <v>8317.0</v>
      </c>
      <c r="J7" s="1">
        <v>2015.0</v>
      </c>
      <c r="K7" s="1">
        <v>35.0</v>
      </c>
      <c r="L7" s="1" t="s">
        <v>62</v>
      </c>
      <c r="M7" s="1" t="s">
        <v>63</v>
      </c>
      <c r="N7" s="1" t="s">
        <v>64</v>
      </c>
      <c r="O7" s="1" t="s">
        <v>49</v>
      </c>
      <c r="P7" s="1" t="s">
        <v>65</v>
      </c>
    </row>
    <row r="8" ht="14.25" customHeight="1">
      <c r="A8" s="1" t="s">
        <v>66</v>
      </c>
      <c r="B8" s="1" t="s">
        <v>67</v>
      </c>
      <c r="C8" s="1" t="s">
        <v>39</v>
      </c>
      <c r="D8" s="1">
        <v>57421.0</v>
      </c>
      <c r="E8" s="1" t="s">
        <v>60</v>
      </c>
      <c r="F8" s="1" t="s">
        <v>41</v>
      </c>
      <c r="G8" s="1" t="s">
        <v>31</v>
      </c>
      <c r="H8" s="2">
        <v>1990.0</v>
      </c>
      <c r="I8" s="2">
        <v>5592.0</v>
      </c>
      <c r="J8" s="1">
        <v>2012.0</v>
      </c>
      <c r="K8" s="1">
        <v>94.0</v>
      </c>
      <c r="L8" s="1" t="s">
        <v>22</v>
      </c>
      <c r="M8" s="1" t="s">
        <v>68</v>
      </c>
      <c r="N8" s="1" t="s">
        <v>24</v>
      </c>
      <c r="O8" s="1" t="s">
        <v>49</v>
      </c>
      <c r="P8" s="1" t="s">
        <v>69</v>
      </c>
    </row>
    <row r="9" ht="14.25" customHeight="1">
      <c r="A9" s="1" t="s">
        <v>70</v>
      </c>
      <c r="B9" s="1" t="s">
        <v>71</v>
      </c>
      <c r="C9" s="1" t="s">
        <v>18</v>
      </c>
      <c r="D9" s="1">
        <v>64361.0</v>
      </c>
      <c r="E9" s="1" t="s">
        <v>30</v>
      </c>
      <c r="F9" s="1" t="s">
        <v>46</v>
      </c>
      <c r="G9" s="1" t="s">
        <v>55</v>
      </c>
      <c r="H9" s="2">
        <v>1008.0</v>
      </c>
      <c r="I9" s="2">
        <v>6010.0</v>
      </c>
      <c r="J9" s="1">
        <v>1975.0</v>
      </c>
      <c r="K9" s="1">
        <v>75.0</v>
      </c>
      <c r="L9" s="1" t="s">
        <v>22</v>
      </c>
      <c r="M9" s="1" t="s">
        <v>72</v>
      </c>
      <c r="N9" s="1" t="s">
        <v>48</v>
      </c>
      <c r="O9" s="1" t="s">
        <v>25</v>
      </c>
      <c r="P9" s="1" t="s">
        <v>73</v>
      </c>
    </row>
    <row r="10" ht="14.25" customHeight="1">
      <c r="A10" s="1" t="s">
        <v>74</v>
      </c>
      <c r="B10" s="1" t="s">
        <v>75</v>
      </c>
      <c r="C10" s="1" t="s">
        <v>76</v>
      </c>
      <c r="D10" s="1">
        <v>13227.0</v>
      </c>
      <c r="E10" s="1" t="s">
        <v>77</v>
      </c>
      <c r="F10" s="1" t="s">
        <v>41</v>
      </c>
      <c r="G10" s="1" t="s">
        <v>55</v>
      </c>
      <c r="H10" s="2">
        <v>929.0</v>
      </c>
      <c r="I10" s="2">
        <v>5449.0</v>
      </c>
      <c r="J10" s="1">
        <v>1975.0</v>
      </c>
      <c r="K10" s="1">
        <v>79.0</v>
      </c>
      <c r="L10" s="1" t="s">
        <v>22</v>
      </c>
      <c r="M10" s="1" t="s">
        <v>78</v>
      </c>
      <c r="N10" s="1" t="s">
        <v>48</v>
      </c>
      <c r="O10" s="1" t="s">
        <v>49</v>
      </c>
      <c r="P10" s="1" t="s">
        <v>79</v>
      </c>
    </row>
    <row r="11" ht="14.25" customHeight="1">
      <c r="A11" s="1" t="s">
        <v>80</v>
      </c>
      <c r="B11" s="1" t="s">
        <v>81</v>
      </c>
      <c r="C11" s="1" t="s">
        <v>18</v>
      </c>
      <c r="D11" s="1">
        <v>57397.0</v>
      </c>
      <c r="E11" s="1" t="s">
        <v>60</v>
      </c>
      <c r="F11" s="1" t="s">
        <v>46</v>
      </c>
      <c r="G11" s="1" t="s">
        <v>21</v>
      </c>
      <c r="H11" s="2">
        <v>2094.0</v>
      </c>
      <c r="I11" s="2">
        <v>2179.0</v>
      </c>
      <c r="J11" s="1">
        <v>1970.0</v>
      </c>
      <c r="K11" s="1">
        <v>111.0</v>
      </c>
      <c r="L11" s="1" t="s">
        <v>62</v>
      </c>
      <c r="M11" s="1" t="s">
        <v>82</v>
      </c>
      <c r="N11" s="1" t="s">
        <v>48</v>
      </c>
      <c r="O11" s="1" t="s">
        <v>49</v>
      </c>
      <c r="P11" s="1" t="s">
        <v>83</v>
      </c>
    </row>
    <row r="12" ht="14.25" customHeight="1">
      <c r="A12" s="1" t="s">
        <v>84</v>
      </c>
      <c r="B12" s="1" t="s">
        <v>85</v>
      </c>
      <c r="C12" s="1" t="s">
        <v>18</v>
      </c>
      <c r="D12" s="1">
        <v>70072.0</v>
      </c>
      <c r="E12" s="1" t="s">
        <v>77</v>
      </c>
      <c r="F12" s="1" t="s">
        <v>54</v>
      </c>
      <c r="G12" s="1" t="s">
        <v>21</v>
      </c>
      <c r="H12" s="2">
        <v>2350.0</v>
      </c>
      <c r="I12" s="2">
        <v>3341.0</v>
      </c>
      <c r="J12" s="1">
        <v>2013.0</v>
      </c>
      <c r="K12" s="1">
        <v>25.0</v>
      </c>
      <c r="L12" s="1" t="s">
        <v>62</v>
      </c>
      <c r="M12" s="1" t="s">
        <v>86</v>
      </c>
      <c r="N12" s="1" t="s">
        <v>48</v>
      </c>
      <c r="O12" s="1" t="s">
        <v>49</v>
      </c>
      <c r="P12" s="1" t="s">
        <v>87</v>
      </c>
    </row>
    <row r="13" ht="14.25" customHeight="1">
      <c r="A13" s="1" t="s">
        <v>88</v>
      </c>
      <c r="B13" s="1" t="s">
        <v>89</v>
      </c>
      <c r="C13" s="1" t="s">
        <v>29</v>
      </c>
      <c r="D13" s="1">
        <v>57401.0</v>
      </c>
      <c r="E13" s="1" t="s">
        <v>19</v>
      </c>
      <c r="F13" s="1" t="s">
        <v>54</v>
      </c>
      <c r="G13" s="1" t="s">
        <v>31</v>
      </c>
      <c r="H13" s="2">
        <v>2407.0</v>
      </c>
      <c r="I13" s="2">
        <v>2609.0</v>
      </c>
      <c r="J13" s="1">
        <v>1989.0</v>
      </c>
      <c r="K13" s="1">
        <v>79.0</v>
      </c>
      <c r="L13" s="1" t="s">
        <v>32</v>
      </c>
      <c r="M13" s="1" t="s">
        <v>90</v>
      </c>
      <c r="N13" s="1" t="s">
        <v>34</v>
      </c>
      <c r="O13" s="1" t="s">
        <v>35</v>
      </c>
      <c r="P13" s="1" t="s">
        <v>91</v>
      </c>
    </row>
    <row r="14" ht="14.25" customHeight="1">
      <c r="A14" s="1" t="s">
        <v>92</v>
      </c>
      <c r="B14" s="1" t="s">
        <v>93</v>
      </c>
      <c r="C14" s="1" t="s">
        <v>53</v>
      </c>
      <c r="D14" s="1">
        <v>91395.0</v>
      </c>
      <c r="E14" s="1" t="s">
        <v>19</v>
      </c>
      <c r="F14" s="1" t="s">
        <v>94</v>
      </c>
      <c r="G14" s="1" t="s">
        <v>21</v>
      </c>
      <c r="H14" s="2">
        <v>2746.0</v>
      </c>
      <c r="I14" s="2">
        <v>8256.0</v>
      </c>
      <c r="J14" s="1">
        <v>2008.0</v>
      </c>
      <c r="K14" s="1">
        <v>11.0</v>
      </c>
      <c r="L14" s="1" t="s">
        <v>95</v>
      </c>
      <c r="M14" s="1" t="s">
        <v>96</v>
      </c>
      <c r="N14" s="1" t="s">
        <v>34</v>
      </c>
      <c r="O14" s="1" t="s">
        <v>49</v>
      </c>
      <c r="P14" s="1" t="s">
        <v>97</v>
      </c>
    </row>
    <row r="15" ht="14.25" customHeight="1">
      <c r="A15" s="1" t="s">
        <v>98</v>
      </c>
      <c r="B15" s="1" t="s">
        <v>99</v>
      </c>
      <c r="C15" s="1" t="s">
        <v>39</v>
      </c>
      <c r="D15" s="1">
        <v>28568.0</v>
      </c>
      <c r="E15" s="1" t="s">
        <v>60</v>
      </c>
      <c r="F15" s="1" t="s">
        <v>20</v>
      </c>
      <c r="G15" s="1" t="s">
        <v>100</v>
      </c>
      <c r="H15" s="2">
        <v>3387.0</v>
      </c>
      <c r="I15" s="2">
        <v>1740.0</v>
      </c>
      <c r="J15" s="1">
        <v>1966.0</v>
      </c>
      <c r="K15" s="1">
        <v>97.0</v>
      </c>
      <c r="L15" s="1" t="s">
        <v>95</v>
      </c>
      <c r="M15" s="1" t="s">
        <v>101</v>
      </c>
      <c r="N15" s="1" t="s">
        <v>64</v>
      </c>
      <c r="O15" s="1" t="s">
        <v>49</v>
      </c>
      <c r="P15" s="1" t="s">
        <v>102</v>
      </c>
    </row>
    <row r="16" ht="14.25" customHeight="1">
      <c r="A16" s="1" t="s">
        <v>103</v>
      </c>
      <c r="B16" s="1" t="s">
        <v>104</v>
      </c>
      <c r="C16" s="1" t="s">
        <v>29</v>
      </c>
      <c r="D16" s="1">
        <v>29191.0</v>
      </c>
      <c r="E16" s="1" t="s">
        <v>19</v>
      </c>
      <c r="F16" s="1" t="s">
        <v>61</v>
      </c>
      <c r="G16" s="1" t="s">
        <v>100</v>
      </c>
      <c r="H16" s="2">
        <v>3480.0</v>
      </c>
      <c r="I16" s="2">
        <v>2022.0</v>
      </c>
      <c r="J16" s="1">
        <v>2007.0</v>
      </c>
      <c r="K16" s="1">
        <v>66.0</v>
      </c>
      <c r="L16" s="1" t="s">
        <v>62</v>
      </c>
      <c r="M16" s="1" t="s">
        <v>105</v>
      </c>
      <c r="N16" s="1" t="s">
        <v>34</v>
      </c>
      <c r="O16" s="1" t="s">
        <v>35</v>
      </c>
      <c r="P16" s="1" t="s">
        <v>106</v>
      </c>
    </row>
    <row r="17" ht="14.25" customHeight="1">
      <c r="A17" s="1" t="s">
        <v>107</v>
      </c>
      <c r="B17" s="1" t="s">
        <v>108</v>
      </c>
      <c r="C17" s="1" t="s">
        <v>39</v>
      </c>
      <c r="D17" s="1">
        <v>63853.0</v>
      </c>
      <c r="E17" s="1" t="s">
        <v>40</v>
      </c>
      <c r="F17" s="1" t="s">
        <v>46</v>
      </c>
      <c r="G17" s="1" t="s">
        <v>100</v>
      </c>
      <c r="H17" s="2">
        <v>2351.0</v>
      </c>
      <c r="I17" s="2">
        <v>2275.0</v>
      </c>
      <c r="J17" s="1">
        <v>2007.0</v>
      </c>
      <c r="K17" s="1">
        <v>46.0</v>
      </c>
      <c r="L17" s="1" t="s">
        <v>95</v>
      </c>
      <c r="M17" s="1" t="s">
        <v>109</v>
      </c>
      <c r="N17" s="1" t="s">
        <v>24</v>
      </c>
      <c r="O17" s="1" t="s">
        <v>25</v>
      </c>
      <c r="P17" s="1" t="s">
        <v>110</v>
      </c>
    </row>
    <row r="18" ht="14.25" customHeight="1">
      <c r="A18" s="1" t="s">
        <v>111</v>
      </c>
      <c r="B18" s="1" t="s">
        <v>112</v>
      </c>
      <c r="C18" s="1" t="s">
        <v>39</v>
      </c>
      <c r="D18" s="1">
        <v>57513.0</v>
      </c>
      <c r="E18" s="1" t="s">
        <v>19</v>
      </c>
      <c r="F18" s="1" t="s">
        <v>54</v>
      </c>
      <c r="G18" s="1" t="s">
        <v>55</v>
      </c>
      <c r="H18" s="2">
        <v>722.0</v>
      </c>
      <c r="I18" s="2">
        <v>6443.0</v>
      </c>
      <c r="J18" s="1">
        <v>1953.0</v>
      </c>
      <c r="K18" s="1">
        <v>72.0</v>
      </c>
      <c r="L18" s="1" t="s">
        <v>32</v>
      </c>
      <c r="M18" s="1" t="s">
        <v>113</v>
      </c>
      <c r="N18" s="1" t="s">
        <v>43</v>
      </c>
      <c r="O18" s="1" t="s">
        <v>35</v>
      </c>
      <c r="P18" s="1" t="s">
        <v>114</v>
      </c>
    </row>
    <row r="19" ht="14.25" customHeight="1">
      <c r="A19" s="1" t="s">
        <v>115</v>
      </c>
      <c r="B19" s="1" t="s">
        <v>116</v>
      </c>
      <c r="C19" s="1" t="s">
        <v>76</v>
      </c>
      <c r="D19" s="1">
        <v>17359.0</v>
      </c>
      <c r="E19" s="1" t="s">
        <v>40</v>
      </c>
      <c r="F19" s="1" t="s">
        <v>54</v>
      </c>
      <c r="G19" s="1" t="s">
        <v>31</v>
      </c>
      <c r="H19" s="2">
        <v>2356.0</v>
      </c>
      <c r="I19" s="2">
        <v>3883.0</v>
      </c>
      <c r="J19" s="1">
        <v>1958.0</v>
      </c>
      <c r="K19" s="1">
        <v>114.0</v>
      </c>
      <c r="L19" s="1" t="s">
        <v>22</v>
      </c>
      <c r="M19" s="1" t="s">
        <v>117</v>
      </c>
      <c r="N19" s="1" t="s">
        <v>48</v>
      </c>
      <c r="O19" s="1" t="s">
        <v>49</v>
      </c>
      <c r="P19" s="1" t="s">
        <v>118</v>
      </c>
    </row>
    <row r="20" ht="14.25" customHeight="1">
      <c r="A20" s="1" t="s">
        <v>119</v>
      </c>
      <c r="B20" s="1" t="s">
        <v>120</v>
      </c>
      <c r="C20" s="1" t="s">
        <v>53</v>
      </c>
      <c r="D20" s="1">
        <v>11690.0</v>
      </c>
      <c r="E20" s="1" t="s">
        <v>60</v>
      </c>
      <c r="F20" s="1" t="s">
        <v>41</v>
      </c>
      <c r="G20" s="1" t="s">
        <v>21</v>
      </c>
      <c r="H20" s="2">
        <v>1156.0</v>
      </c>
      <c r="I20" s="2">
        <v>1218.0</v>
      </c>
      <c r="J20" s="1">
        <v>1958.0</v>
      </c>
      <c r="K20" s="1">
        <v>28.0</v>
      </c>
      <c r="L20" s="1" t="s">
        <v>95</v>
      </c>
      <c r="M20" s="1" t="s">
        <v>121</v>
      </c>
      <c r="N20" s="1" t="s">
        <v>34</v>
      </c>
      <c r="O20" s="1" t="s">
        <v>35</v>
      </c>
      <c r="P20" s="1" t="s">
        <v>122</v>
      </c>
    </row>
    <row r="21" ht="14.25" customHeight="1">
      <c r="A21" s="1" t="s">
        <v>123</v>
      </c>
      <c r="B21" s="1" t="s">
        <v>124</v>
      </c>
      <c r="C21" s="1" t="s">
        <v>53</v>
      </c>
      <c r="D21" s="1">
        <v>97442.0</v>
      </c>
      <c r="E21" s="1" t="s">
        <v>40</v>
      </c>
      <c r="F21" s="1" t="s">
        <v>46</v>
      </c>
      <c r="G21" s="1" t="s">
        <v>100</v>
      </c>
      <c r="H21" s="2">
        <v>1554.0</v>
      </c>
      <c r="I21" s="2">
        <v>9408.0</v>
      </c>
      <c r="J21" s="1">
        <v>1982.0</v>
      </c>
      <c r="K21" s="1">
        <v>1.0</v>
      </c>
      <c r="L21" s="1" t="s">
        <v>62</v>
      </c>
      <c r="M21" s="1" t="s">
        <v>125</v>
      </c>
      <c r="N21" s="1" t="s">
        <v>43</v>
      </c>
      <c r="O21" s="1" t="s">
        <v>49</v>
      </c>
      <c r="P21" s="1" t="s">
        <v>126</v>
      </c>
    </row>
    <row r="22" ht="14.25" customHeight="1">
      <c r="A22" s="1" t="s">
        <v>127</v>
      </c>
      <c r="B22" s="1" t="s">
        <v>128</v>
      </c>
      <c r="C22" s="1" t="s">
        <v>53</v>
      </c>
      <c r="D22" s="1">
        <v>12888.0</v>
      </c>
      <c r="E22" s="1" t="s">
        <v>30</v>
      </c>
      <c r="F22" s="1" t="s">
        <v>46</v>
      </c>
      <c r="G22" s="1" t="s">
        <v>55</v>
      </c>
      <c r="H22" s="2">
        <v>982.0</v>
      </c>
      <c r="I22" s="2">
        <v>7527.0</v>
      </c>
      <c r="J22" s="1">
        <v>1983.0</v>
      </c>
      <c r="K22" s="1">
        <v>58.0</v>
      </c>
      <c r="L22" s="1" t="s">
        <v>62</v>
      </c>
      <c r="M22" s="1" t="s">
        <v>129</v>
      </c>
      <c r="N22" s="1" t="s">
        <v>64</v>
      </c>
      <c r="O22" s="1" t="s">
        <v>35</v>
      </c>
      <c r="P22" s="1" t="s">
        <v>130</v>
      </c>
    </row>
    <row r="23" ht="14.25" customHeight="1">
      <c r="A23" s="1" t="s">
        <v>131</v>
      </c>
      <c r="B23" s="1" t="s">
        <v>132</v>
      </c>
      <c r="C23" s="1" t="s">
        <v>53</v>
      </c>
      <c r="D23" s="1">
        <v>63443.0</v>
      </c>
      <c r="E23" s="1" t="s">
        <v>60</v>
      </c>
      <c r="F23" s="1" t="s">
        <v>94</v>
      </c>
      <c r="G23" s="1" t="s">
        <v>100</v>
      </c>
      <c r="H23" s="2">
        <v>3164.0</v>
      </c>
      <c r="I23" s="2">
        <v>9694.0</v>
      </c>
      <c r="J23" s="1">
        <v>1955.0</v>
      </c>
      <c r="K23" s="1">
        <v>33.0</v>
      </c>
      <c r="L23" s="1" t="s">
        <v>95</v>
      </c>
      <c r="M23" s="1" t="s">
        <v>133</v>
      </c>
      <c r="N23" s="1" t="s">
        <v>64</v>
      </c>
      <c r="O23" s="1" t="s">
        <v>49</v>
      </c>
      <c r="P23" s="1" t="s">
        <v>134</v>
      </c>
    </row>
    <row r="24" ht="14.25" customHeight="1">
      <c r="A24" s="1" t="s">
        <v>135</v>
      </c>
      <c r="B24" s="1" t="s">
        <v>136</v>
      </c>
      <c r="C24" s="1" t="s">
        <v>29</v>
      </c>
      <c r="D24" s="1">
        <v>38811.0</v>
      </c>
      <c r="E24" s="1" t="s">
        <v>30</v>
      </c>
      <c r="F24" s="1" t="s">
        <v>61</v>
      </c>
      <c r="G24" s="1" t="s">
        <v>21</v>
      </c>
      <c r="H24" s="2">
        <v>635.0</v>
      </c>
      <c r="I24" s="2">
        <v>1130.0</v>
      </c>
      <c r="J24" s="1">
        <v>1990.0</v>
      </c>
      <c r="K24" s="1">
        <v>42.0</v>
      </c>
      <c r="L24" s="1" t="s">
        <v>62</v>
      </c>
      <c r="M24" s="1" t="s">
        <v>137</v>
      </c>
      <c r="N24" s="1" t="s">
        <v>34</v>
      </c>
      <c r="O24" s="1" t="s">
        <v>49</v>
      </c>
      <c r="P24" s="1" t="s">
        <v>138</v>
      </c>
    </row>
    <row r="25" ht="14.25" customHeight="1">
      <c r="A25" s="1" t="s">
        <v>139</v>
      </c>
      <c r="B25" s="1" t="s">
        <v>140</v>
      </c>
      <c r="C25" s="1" t="s">
        <v>76</v>
      </c>
      <c r="D25" s="1">
        <v>33081.0</v>
      </c>
      <c r="E25" s="1" t="s">
        <v>40</v>
      </c>
      <c r="F25" s="1" t="s">
        <v>94</v>
      </c>
      <c r="G25" s="1" t="s">
        <v>100</v>
      </c>
      <c r="H25" s="2">
        <v>2966.0</v>
      </c>
      <c r="I25" s="2">
        <v>2421.0</v>
      </c>
      <c r="J25" s="1">
        <v>1997.0</v>
      </c>
      <c r="K25" s="1">
        <v>38.0</v>
      </c>
      <c r="L25" s="1" t="s">
        <v>141</v>
      </c>
      <c r="M25" s="1" t="s">
        <v>142</v>
      </c>
      <c r="N25" s="1" t="s">
        <v>34</v>
      </c>
      <c r="O25" s="1" t="s">
        <v>35</v>
      </c>
      <c r="P25" s="1" t="s">
        <v>143</v>
      </c>
    </row>
    <row r="26" ht="14.25" customHeight="1">
      <c r="A26" s="1" t="s">
        <v>144</v>
      </c>
      <c r="B26" s="1" t="s">
        <v>145</v>
      </c>
      <c r="C26" s="1" t="s">
        <v>39</v>
      </c>
      <c r="D26" s="1">
        <v>16851.0</v>
      </c>
      <c r="E26" s="1" t="s">
        <v>77</v>
      </c>
      <c r="F26" s="1" t="s">
        <v>41</v>
      </c>
      <c r="G26" s="1" t="s">
        <v>21</v>
      </c>
      <c r="H26" s="2">
        <v>3814.0</v>
      </c>
      <c r="I26" s="2">
        <v>2093.0</v>
      </c>
      <c r="J26" s="1">
        <v>1957.0</v>
      </c>
      <c r="K26" s="1">
        <v>71.0</v>
      </c>
      <c r="L26" s="1" t="s">
        <v>95</v>
      </c>
      <c r="M26" s="1" t="s">
        <v>146</v>
      </c>
      <c r="N26" s="1" t="s">
        <v>64</v>
      </c>
      <c r="O26" s="1" t="s">
        <v>35</v>
      </c>
      <c r="P26" s="1" t="s">
        <v>147</v>
      </c>
    </row>
    <row r="27" ht="14.25" customHeight="1">
      <c r="A27" s="1" t="s">
        <v>148</v>
      </c>
      <c r="B27" s="1" t="s">
        <v>149</v>
      </c>
      <c r="C27" s="1" t="s">
        <v>53</v>
      </c>
      <c r="D27" s="1">
        <v>31581.0</v>
      </c>
      <c r="E27" s="1" t="s">
        <v>30</v>
      </c>
      <c r="F27" s="1" t="s">
        <v>46</v>
      </c>
      <c r="G27" s="1" t="s">
        <v>100</v>
      </c>
      <c r="H27" s="2">
        <v>1583.0</v>
      </c>
      <c r="I27" s="2">
        <v>6306.0</v>
      </c>
      <c r="J27" s="1">
        <v>1979.0</v>
      </c>
      <c r="K27" s="1">
        <v>30.0</v>
      </c>
      <c r="L27" s="1" t="s">
        <v>32</v>
      </c>
      <c r="M27" s="1" t="s">
        <v>150</v>
      </c>
      <c r="N27" s="1" t="s">
        <v>24</v>
      </c>
      <c r="O27" s="1" t="s">
        <v>25</v>
      </c>
      <c r="P27" s="1" t="s">
        <v>151</v>
      </c>
    </row>
    <row r="28" ht="14.25" customHeight="1">
      <c r="A28" s="1" t="s">
        <v>152</v>
      </c>
      <c r="B28" s="1" t="s">
        <v>153</v>
      </c>
      <c r="C28" s="1" t="s">
        <v>18</v>
      </c>
      <c r="D28" s="1">
        <v>73665.0</v>
      </c>
      <c r="E28" s="1" t="s">
        <v>19</v>
      </c>
      <c r="F28" s="1" t="s">
        <v>41</v>
      </c>
      <c r="G28" s="1" t="s">
        <v>21</v>
      </c>
      <c r="H28" s="2">
        <v>743.0</v>
      </c>
      <c r="I28" s="2">
        <v>8853.0</v>
      </c>
      <c r="J28" s="1">
        <v>2018.0</v>
      </c>
      <c r="K28" s="1">
        <v>50.0</v>
      </c>
      <c r="L28" s="1" t="s">
        <v>22</v>
      </c>
      <c r="M28" s="1" t="s">
        <v>154</v>
      </c>
      <c r="N28" s="1" t="s">
        <v>48</v>
      </c>
      <c r="O28" s="1" t="s">
        <v>35</v>
      </c>
      <c r="P28" s="1" t="s">
        <v>155</v>
      </c>
    </row>
    <row r="29" ht="14.25" customHeight="1">
      <c r="A29" s="1" t="s">
        <v>156</v>
      </c>
      <c r="B29" s="1" t="s">
        <v>157</v>
      </c>
      <c r="C29" s="1" t="s">
        <v>39</v>
      </c>
      <c r="D29" s="1">
        <v>45375.0</v>
      </c>
      <c r="E29" s="1" t="s">
        <v>19</v>
      </c>
      <c r="F29" s="1" t="s">
        <v>94</v>
      </c>
      <c r="G29" s="1" t="s">
        <v>21</v>
      </c>
      <c r="H29" s="2">
        <v>1165.0</v>
      </c>
      <c r="I29" s="2">
        <v>3128.0</v>
      </c>
      <c r="J29" s="1">
        <v>1954.0</v>
      </c>
      <c r="K29" s="1">
        <v>57.0</v>
      </c>
      <c r="L29" s="1" t="s">
        <v>22</v>
      </c>
      <c r="M29" s="1" t="s">
        <v>158</v>
      </c>
      <c r="N29" s="1" t="s">
        <v>24</v>
      </c>
      <c r="O29" s="1" t="s">
        <v>25</v>
      </c>
      <c r="P29" s="1" t="s">
        <v>159</v>
      </c>
    </row>
    <row r="30" ht="14.25" customHeight="1">
      <c r="A30" s="1" t="s">
        <v>160</v>
      </c>
      <c r="B30" s="1" t="s">
        <v>161</v>
      </c>
      <c r="C30" s="1" t="s">
        <v>53</v>
      </c>
      <c r="D30" s="1">
        <v>25618.0</v>
      </c>
      <c r="E30" s="1" t="s">
        <v>60</v>
      </c>
      <c r="F30" s="1" t="s">
        <v>54</v>
      </c>
      <c r="G30" s="1" t="s">
        <v>55</v>
      </c>
      <c r="H30" s="2">
        <v>908.0</v>
      </c>
      <c r="I30" s="2">
        <v>1492.0</v>
      </c>
      <c r="J30" s="1">
        <v>1963.0</v>
      </c>
      <c r="K30" s="1">
        <v>42.0</v>
      </c>
      <c r="L30" s="1" t="s">
        <v>32</v>
      </c>
      <c r="M30" s="1" t="s">
        <v>162</v>
      </c>
      <c r="N30" s="1" t="s">
        <v>34</v>
      </c>
      <c r="O30" s="1" t="s">
        <v>35</v>
      </c>
      <c r="P30" s="1" t="s">
        <v>163</v>
      </c>
    </row>
    <row r="31" ht="14.25" customHeight="1">
      <c r="A31" s="1" t="s">
        <v>164</v>
      </c>
      <c r="B31" s="1" t="s">
        <v>165</v>
      </c>
      <c r="C31" s="1" t="s">
        <v>76</v>
      </c>
      <c r="D31" s="1">
        <v>11309.0</v>
      </c>
      <c r="E31" s="1" t="s">
        <v>77</v>
      </c>
      <c r="F31" s="1" t="s">
        <v>46</v>
      </c>
      <c r="G31" s="1" t="s">
        <v>55</v>
      </c>
      <c r="H31" s="2">
        <v>1475.0</v>
      </c>
      <c r="I31" s="2">
        <v>1926.0</v>
      </c>
      <c r="J31" s="1">
        <v>1983.0</v>
      </c>
      <c r="K31" s="1">
        <v>102.0</v>
      </c>
      <c r="L31" s="1" t="s">
        <v>62</v>
      </c>
      <c r="M31" s="1" t="s">
        <v>166</v>
      </c>
      <c r="N31" s="1" t="s">
        <v>34</v>
      </c>
      <c r="O31" s="1" t="s">
        <v>35</v>
      </c>
      <c r="P31" s="1" t="s">
        <v>167</v>
      </c>
    </row>
    <row r="32" ht="14.25" customHeight="1">
      <c r="A32" s="1" t="s">
        <v>168</v>
      </c>
      <c r="B32" s="1" t="s">
        <v>169</v>
      </c>
      <c r="C32" s="1" t="s">
        <v>39</v>
      </c>
      <c r="D32" s="1">
        <v>74703.0</v>
      </c>
      <c r="E32" s="1" t="s">
        <v>19</v>
      </c>
      <c r="F32" s="1" t="s">
        <v>41</v>
      </c>
      <c r="G32" s="1" t="s">
        <v>31</v>
      </c>
      <c r="H32" s="2">
        <v>3892.0</v>
      </c>
      <c r="I32" s="2">
        <v>4133.0</v>
      </c>
      <c r="J32" s="1">
        <v>1985.0</v>
      </c>
      <c r="K32" s="1">
        <v>113.0</v>
      </c>
      <c r="L32" s="1" t="s">
        <v>22</v>
      </c>
      <c r="M32" s="1" t="s">
        <v>170</v>
      </c>
      <c r="N32" s="1" t="s">
        <v>64</v>
      </c>
      <c r="O32" s="1" t="s">
        <v>49</v>
      </c>
      <c r="P32" s="1" t="s">
        <v>171</v>
      </c>
    </row>
    <row r="33" ht="14.25" customHeight="1">
      <c r="A33" s="1" t="s">
        <v>172</v>
      </c>
      <c r="B33" s="1" t="s">
        <v>173</v>
      </c>
      <c r="C33" s="1" t="s">
        <v>18</v>
      </c>
      <c r="D33" s="1">
        <v>19858.0</v>
      </c>
      <c r="E33" s="1" t="s">
        <v>60</v>
      </c>
      <c r="F33" s="1" t="s">
        <v>20</v>
      </c>
      <c r="G33" s="1" t="s">
        <v>21</v>
      </c>
      <c r="H33" s="2">
        <v>3156.0</v>
      </c>
      <c r="I33" s="2">
        <v>2935.0</v>
      </c>
      <c r="J33" s="1">
        <v>1961.0</v>
      </c>
      <c r="K33" s="1">
        <v>61.0</v>
      </c>
      <c r="L33" s="1" t="s">
        <v>32</v>
      </c>
      <c r="M33" s="1" t="s">
        <v>174</v>
      </c>
      <c r="N33" s="1" t="s">
        <v>64</v>
      </c>
      <c r="O33" s="1" t="s">
        <v>35</v>
      </c>
      <c r="P33" s="1" t="s">
        <v>175</v>
      </c>
    </row>
    <row r="34" ht="14.25" customHeight="1">
      <c r="A34" s="1" t="s">
        <v>176</v>
      </c>
      <c r="B34" s="1" t="s">
        <v>177</v>
      </c>
      <c r="C34" s="1" t="s">
        <v>18</v>
      </c>
      <c r="D34" s="1">
        <v>93752.0</v>
      </c>
      <c r="E34" s="1" t="s">
        <v>30</v>
      </c>
      <c r="F34" s="1" t="s">
        <v>20</v>
      </c>
      <c r="G34" s="1" t="s">
        <v>100</v>
      </c>
      <c r="H34" s="2">
        <v>1752.0</v>
      </c>
      <c r="I34" s="2">
        <v>3040.0</v>
      </c>
      <c r="J34" s="1">
        <v>1993.0</v>
      </c>
      <c r="K34" s="1">
        <v>61.0</v>
      </c>
      <c r="L34" s="1" t="s">
        <v>141</v>
      </c>
      <c r="M34" s="1" t="s">
        <v>178</v>
      </c>
      <c r="N34" s="1" t="s">
        <v>43</v>
      </c>
      <c r="O34" s="1" t="s">
        <v>25</v>
      </c>
      <c r="P34" s="1" t="s">
        <v>179</v>
      </c>
    </row>
    <row r="35" ht="14.25" customHeight="1">
      <c r="A35" s="1" t="s">
        <v>180</v>
      </c>
      <c r="B35" s="1" t="s">
        <v>181</v>
      </c>
      <c r="C35" s="1" t="s">
        <v>53</v>
      </c>
      <c r="D35" s="1">
        <v>61325.0</v>
      </c>
      <c r="E35" s="1" t="s">
        <v>19</v>
      </c>
      <c r="F35" s="1" t="s">
        <v>41</v>
      </c>
      <c r="G35" s="1" t="s">
        <v>100</v>
      </c>
      <c r="H35" s="2">
        <v>3778.0</v>
      </c>
      <c r="I35" s="2">
        <v>3988.0</v>
      </c>
      <c r="J35" s="1">
        <v>2012.0</v>
      </c>
      <c r="K35" s="1">
        <v>8.0</v>
      </c>
      <c r="L35" s="1" t="s">
        <v>141</v>
      </c>
      <c r="M35" s="1" t="s">
        <v>182</v>
      </c>
      <c r="N35" s="1" t="s">
        <v>64</v>
      </c>
      <c r="O35" s="1" t="s">
        <v>25</v>
      </c>
      <c r="P35" s="1" t="s">
        <v>183</v>
      </c>
    </row>
    <row r="36" ht="14.25" customHeight="1">
      <c r="A36" s="1" t="s">
        <v>184</v>
      </c>
      <c r="B36" s="1" t="s">
        <v>185</v>
      </c>
      <c r="C36" s="1" t="s">
        <v>76</v>
      </c>
      <c r="D36" s="1">
        <v>44242.0</v>
      </c>
      <c r="E36" s="1" t="s">
        <v>60</v>
      </c>
      <c r="F36" s="1" t="s">
        <v>54</v>
      </c>
      <c r="G36" s="1" t="s">
        <v>100</v>
      </c>
      <c r="H36" s="2">
        <v>3551.0</v>
      </c>
      <c r="I36" s="2">
        <v>1230.0</v>
      </c>
      <c r="J36" s="1">
        <v>1961.0</v>
      </c>
      <c r="K36" s="1">
        <v>58.0</v>
      </c>
      <c r="L36" s="1" t="s">
        <v>62</v>
      </c>
      <c r="M36" s="1" t="s">
        <v>186</v>
      </c>
      <c r="N36" s="1" t="s">
        <v>64</v>
      </c>
      <c r="O36" s="1" t="s">
        <v>25</v>
      </c>
      <c r="P36" s="1" t="s">
        <v>187</v>
      </c>
    </row>
    <row r="37" ht="14.25" customHeight="1">
      <c r="A37" s="1" t="s">
        <v>188</v>
      </c>
      <c r="B37" s="1" t="s">
        <v>189</v>
      </c>
      <c r="C37" s="1" t="s">
        <v>18</v>
      </c>
      <c r="D37" s="1">
        <v>65902.0</v>
      </c>
      <c r="E37" s="1" t="s">
        <v>19</v>
      </c>
      <c r="F37" s="1" t="s">
        <v>20</v>
      </c>
      <c r="G37" s="1" t="s">
        <v>21</v>
      </c>
      <c r="H37" s="2">
        <v>3640.0</v>
      </c>
      <c r="I37" s="2">
        <v>9593.0</v>
      </c>
      <c r="J37" s="1">
        <v>2008.0</v>
      </c>
      <c r="K37" s="1">
        <v>108.0</v>
      </c>
      <c r="L37" s="1" t="s">
        <v>141</v>
      </c>
      <c r="M37" s="1" t="s">
        <v>190</v>
      </c>
      <c r="N37" s="1" t="s">
        <v>43</v>
      </c>
      <c r="O37" s="1" t="s">
        <v>35</v>
      </c>
      <c r="P37" s="1" t="s">
        <v>191</v>
      </c>
    </row>
    <row r="38" ht="14.25" customHeight="1">
      <c r="A38" s="1" t="s">
        <v>192</v>
      </c>
      <c r="B38" s="1" t="s">
        <v>193</v>
      </c>
      <c r="C38" s="1" t="s">
        <v>18</v>
      </c>
      <c r="D38" s="1">
        <v>70313.0</v>
      </c>
      <c r="E38" s="1" t="s">
        <v>60</v>
      </c>
      <c r="F38" s="1" t="s">
        <v>41</v>
      </c>
      <c r="G38" s="1" t="s">
        <v>31</v>
      </c>
      <c r="H38" s="2">
        <v>1396.0</v>
      </c>
      <c r="I38" s="2">
        <v>7815.0</v>
      </c>
      <c r="J38" s="1">
        <v>1989.0</v>
      </c>
      <c r="K38" s="1">
        <v>88.0</v>
      </c>
      <c r="L38" s="1" t="s">
        <v>32</v>
      </c>
      <c r="M38" s="1" t="s">
        <v>194</v>
      </c>
      <c r="N38" s="1" t="s">
        <v>48</v>
      </c>
      <c r="O38" s="1" t="s">
        <v>25</v>
      </c>
      <c r="P38" s="1" t="s">
        <v>195</v>
      </c>
    </row>
    <row r="39" ht="14.25" customHeight="1">
      <c r="A39" s="1" t="s">
        <v>196</v>
      </c>
      <c r="B39" s="1" t="s">
        <v>197</v>
      </c>
      <c r="C39" s="1" t="s">
        <v>53</v>
      </c>
      <c r="D39" s="1">
        <v>59381.0</v>
      </c>
      <c r="E39" s="1" t="s">
        <v>77</v>
      </c>
      <c r="F39" s="1" t="s">
        <v>46</v>
      </c>
      <c r="G39" s="1" t="s">
        <v>100</v>
      </c>
      <c r="H39" s="2">
        <v>3442.0</v>
      </c>
      <c r="I39" s="2">
        <v>3651.0</v>
      </c>
      <c r="J39" s="1">
        <v>1952.0</v>
      </c>
      <c r="K39" s="1">
        <v>108.0</v>
      </c>
      <c r="L39" s="1" t="s">
        <v>62</v>
      </c>
      <c r="M39" s="1" t="s">
        <v>198</v>
      </c>
      <c r="N39" s="1" t="s">
        <v>24</v>
      </c>
      <c r="O39" s="1" t="s">
        <v>49</v>
      </c>
      <c r="P39" s="1" t="s">
        <v>199</v>
      </c>
    </row>
    <row r="40" ht="14.25" customHeight="1">
      <c r="A40" s="1" t="s">
        <v>200</v>
      </c>
      <c r="B40" s="1" t="s">
        <v>201</v>
      </c>
      <c r="C40" s="1" t="s">
        <v>18</v>
      </c>
      <c r="D40" s="1">
        <v>22610.0</v>
      </c>
      <c r="E40" s="1" t="s">
        <v>19</v>
      </c>
      <c r="F40" s="1" t="s">
        <v>54</v>
      </c>
      <c r="G40" s="1" t="s">
        <v>21</v>
      </c>
      <c r="H40" s="2">
        <v>3641.0</v>
      </c>
      <c r="I40" s="2">
        <v>9671.0</v>
      </c>
      <c r="J40" s="1">
        <v>1988.0</v>
      </c>
      <c r="K40" s="1">
        <v>115.0</v>
      </c>
      <c r="L40" s="1" t="s">
        <v>22</v>
      </c>
      <c r="M40" s="1" t="s">
        <v>202</v>
      </c>
      <c r="N40" s="1" t="s">
        <v>43</v>
      </c>
      <c r="O40" s="1" t="s">
        <v>25</v>
      </c>
      <c r="P40" s="1" t="s">
        <v>203</v>
      </c>
    </row>
    <row r="41" ht="14.25" customHeight="1">
      <c r="A41" s="1" t="s">
        <v>204</v>
      </c>
      <c r="B41" s="1" t="s">
        <v>205</v>
      </c>
      <c r="C41" s="1" t="s">
        <v>53</v>
      </c>
      <c r="D41" s="1">
        <v>89328.0</v>
      </c>
      <c r="E41" s="1" t="s">
        <v>60</v>
      </c>
      <c r="F41" s="1" t="s">
        <v>61</v>
      </c>
      <c r="G41" s="1" t="s">
        <v>100</v>
      </c>
      <c r="H41" s="2">
        <v>824.0</v>
      </c>
      <c r="I41" s="2">
        <v>5426.0</v>
      </c>
      <c r="J41" s="1">
        <v>2008.0</v>
      </c>
      <c r="K41" s="1">
        <v>64.0</v>
      </c>
      <c r="L41" s="1" t="s">
        <v>32</v>
      </c>
      <c r="M41" s="1" t="s">
        <v>206</v>
      </c>
      <c r="N41" s="1" t="s">
        <v>48</v>
      </c>
      <c r="O41" s="1" t="s">
        <v>25</v>
      </c>
      <c r="P41" s="1" t="s">
        <v>207</v>
      </c>
    </row>
    <row r="42" ht="14.25" customHeight="1">
      <c r="A42" s="1" t="s">
        <v>208</v>
      </c>
      <c r="B42" s="1" t="s">
        <v>209</v>
      </c>
      <c r="C42" s="1" t="s">
        <v>18</v>
      </c>
      <c r="D42" s="1">
        <v>57088.0</v>
      </c>
      <c r="E42" s="1" t="s">
        <v>77</v>
      </c>
      <c r="F42" s="1" t="s">
        <v>94</v>
      </c>
      <c r="G42" s="1" t="s">
        <v>100</v>
      </c>
      <c r="H42" s="2">
        <v>3704.0</v>
      </c>
      <c r="I42" s="2">
        <v>2027.0</v>
      </c>
      <c r="J42" s="1">
        <v>1960.0</v>
      </c>
      <c r="K42" s="1">
        <v>84.0</v>
      </c>
      <c r="L42" s="1" t="s">
        <v>95</v>
      </c>
      <c r="M42" s="1" t="s">
        <v>210</v>
      </c>
      <c r="N42" s="1" t="s">
        <v>64</v>
      </c>
      <c r="O42" s="1" t="s">
        <v>25</v>
      </c>
      <c r="P42" s="1" t="s">
        <v>211</v>
      </c>
    </row>
    <row r="43" ht="14.25" customHeight="1">
      <c r="A43" s="1" t="s">
        <v>212</v>
      </c>
      <c r="B43" s="1" t="s">
        <v>213</v>
      </c>
      <c r="C43" s="1" t="s">
        <v>76</v>
      </c>
      <c r="D43" s="1">
        <v>35239.0</v>
      </c>
      <c r="E43" s="1" t="s">
        <v>77</v>
      </c>
      <c r="F43" s="1" t="s">
        <v>94</v>
      </c>
      <c r="G43" s="1" t="s">
        <v>55</v>
      </c>
      <c r="H43" s="2">
        <v>3150.0</v>
      </c>
      <c r="I43" s="2">
        <v>8121.0</v>
      </c>
      <c r="J43" s="1">
        <v>1968.0</v>
      </c>
      <c r="K43" s="1">
        <v>60.0</v>
      </c>
      <c r="L43" s="1" t="s">
        <v>22</v>
      </c>
      <c r="M43" s="1" t="s">
        <v>214</v>
      </c>
      <c r="N43" s="1" t="s">
        <v>24</v>
      </c>
      <c r="O43" s="1" t="s">
        <v>25</v>
      </c>
      <c r="P43" s="1" t="s">
        <v>215</v>
      </c>
    </row>
    <row r="44" ht="14.25" customHeight="1">
      <c r="A44" s="1" t="s">
        <v>216</v>
      </c>
      <c r="B44" s="1" t="s">
        <v>217</v>
      </c>
      <c r="C44" s="1" t="s">
        <v>18</v>
      </c>
      <c r="D44" s="1">
        <v>66947.0</v>
      </c>
      <c r="E44" s="1" t="s">
        <v>19</v>
      </c>
      <c r="F44" s="1" t="s">
        <v>46</v>
      </c>
      <c r="G44" s="1" t="s">
        <v>31</v>
      </c>
      <c r="H44" s="2">
        <v>1130.0</v>
      </c>
      <c r="I44" s="2">
        <v>9652.0</v>
      </c>
      <c r="J44" s="1">
        <v>2008.0</v>
      </c>
      <c r="K44" s="1">
        <v>15.0</v>
      </c>
      <c r="L44" s="1" t="s">
        <v>32</v>
      </c>
      <c r="M44" s="1" t="s">
        <v>218</v>
      </c>
      <c r="N44" s="1" t="s">
        <v>34</v>
      </c>
      <c r="O44" s="1" t="s">
        <v>49</v>
      </c>
      <c r="P44" s="1" t="s">
        <v>219</v>
      </c>
    </row>
    <row r="45" ht="14.25" customHeight="1">
      <c r="A45" s="1" t="s">
        <v>220</v>
      </c>
      <c r="B45" s="1" t="s">
        <v>221</v>
      </c>
      <c r="C45" s="1" t="s">
        <v>39</v>
      </c>
      <c r="D45" s="1">
        <v>70379.0</v>
      </c>
      <c r="E45" s="1" t="s">
        <v>19</v>
      </c>
      <c r="F45" s="1" t="s">
        <v>94</v>
      </c>
      <c r="G45" s="1" t="s">
        <v>31</v>
      </c>
      <c r="H45" s="2">
        <v>2418.0</v>
      </c>
      <c r="I45" s="2">
        <v>4843.0</v>
      </c>
      <c r="J45" s="1">
        <v>1978.0</v>
      </c>
      <c r="K45" s="1">
        <v>103.0</v>
      </c>
      <c r="L45" s="1" t="s">
        <v>32</v>
      </c>
      <c r="M45" s="1" t="s">
        <v>222</v>
      </c>
      <c r="N45" s="1" t="s">
        <v>64</v>
      </c>
      <c r="O45" s="1" t="s">
        <v>25</v>
      </c>
      <c r="P45" s="1" t="s">
        <v>223</v>
      </c>
    </row>
    <row r="46" ht="14.25" customHeight="1">
      <c r="A46" s="1" t="s">
        <v>224</v>
      </c>
      <c r="B46" s="1" t="s">
        <v>225</v>
      </c>
      <c r="C46" s="1" t="s">
        <v>18</v>
      </c>
      <c r="D46" s="1">
        <v>37297.0</v>
      </c>
      <c r="E46" s="1" t="s">
        <v>30</v>
      </c>
      <c r="F46" s="1" t="s">
        <v>41</v>
      </c>
      <c r="G46" s="1" t="s">
        <v>31</v>
      </c>
      <c r="H46" s="2">
        <v>641.0</v>
      </c>
      <c r="I46" s="2">
        <v>6571.0</v>
      </c>
      <c r="J46" s="1">
        <v>1998.0</v>
      </c>
      <c r="K46" s="1">
        <v>23.0</v>
      </c>
      <c r="L46" s="1" t="s">
        <v>62</v>
      </c>
      <c r="M46" s="1" t="s">
        <v>226</v>
      </c>
      <c r="N46" s="1" t="s">
        <v>48</v>
      </c>
      <c r="O46" s="1" t="s">
        <v>49</v>
      </c>
      <c r="P46" s="1" t="s">
        <v>227</v>
      </c>
    </row>
    <row r="47" ht="14.25" customHeight="1">
      <c r="A47" s="1" t="s">
        <v>228</v>
      </c>
      <c r="B47" s="1" t="s">
        <v>229</v>
      </c>
      <c r="C47" s="1" t="s">
        <v>76</v>
      </c>
      <c r="D47" s="1">
        <v>71862.0</v>
      </c>
      <c r="E47" s="1" t="s">
        <v>77</v>
      </c>
      <c r="F47" s="1" t="s">
        <v>41</v>
      </c>
      <c r="G47" s="1" t="s">
        <v>100</v>
      </c>
      <c r="H47" s="2">
        <v>692.0</v>
      </c>
      <c r="I47" s="2">
        <v>8938.0</v>
      </c>
      <c r="J47" s="1">
        <v>1996.0</v>
      </c>
      <c r="K47" s="1">
        <v>90.0</v>
      </c>
      <c r="L47" s="1" t="s">
        <v>95</v>
      </c>
      <c r="M47" s="1" t="s">
        <v>230</v>
      </c>
      <c r="N47" s="1" t="s">
        <v>24</v>
      </c>
      <c r="O47" s="1" t="s">
        <v>49</v>
      </c>
      <c r="P47" s="1" t="s">
        <v>231</v>
      </c>
    </row>
    <row r="48" ht="14.25" customHeight="1">
      <c r="A48" s="1" t="s">
        <v>232</v>
      </c>
      <c r="B48" s="1" t="s">
        <v>233</v>
      </c>
      <c r="C48" s="1" t="s">
        <v>39</v>
      </c>
      <c r="D48" s="1">
        <v>54468.0</v>
      </c>
      <c r="E48" s="1" t="s">
        <v>60</v>
      </c>
      <c r="F48" s="1" t="s">
        <v>46</v>
      </c>
      <c r="G48" s="1" t="s">
        <v>55</v>
      </c>
      <c r="H48" s="2">
        <v>1718.0</v>
      </c>
      <c r="I48" s="2">
        <v>4766.0</v>
      </c>
      <c r="J48" s="1">
        <v>1993.0</v>
      </c>
      <c r="K48" s="1">
        <v>95.0</v>
      </c>
      <c r="L48" s="1" t="s">
        <v>22</v>
      </c>
      <c r="M48" s="1" t="s">
        <v>234</v>
      </c>
      <c r="N48" s="1" t="s">
        <v>43</v>
      </c>
      <c r="O48" s="1" t="s">
        <v>25</v>
      </c>
      <c r="P48" s="1" t="s">
        <v>235</v>
      </c>
    </row>
    <row r="49" ht="14.25" customHeight="1">
      <c r="A49" s="1" t="s">
        <v>236</v>
      </c>
      <c r="B49" s="1" t="s">
        <v>237</v>
      </c>
      <c r="C49" s="1" t="s">
        <v>18</v>
      </c>
      <c r="D49" s="1">
        <v>40064.0</v>
      </c>
      <c r="E49" s="1" t="s">
        <v>19</v>
      </c>
      <c r="F49" s="1" t="s">
        <v>54</v>
      </c>
      <c r="G49" s="1" t="s">
        <v>31</v>
      </c>
      <c r="H49" s="2">
        <v>1515.0</v>
      </c>
      <c r="I49" s="2">
        <v>1817.0</v>
      </c>
      <c r="J49" s="1">
        <v>2013.0</v>
      </c>
      <c r="K49" s="1">
        <v>3.0</v>
      </c>
      <c r="L49" s="1" t="s">
        <v>95</v>
      </c>
      <c r="M49" s="1" t="s">
        <v>238</v>
      </c>
      <c r="N49" s="1" t="s">
        <v>43</v>
      </c>
      <c r="O49" s="1" t="s">
        <v>35</v>
      </c>
      <c r="P49" s="1" t="s">
        <v>239</v>
      </c>
    </row>
    <row r="50" ht="14.25" customHeight="1">
      <c r="A50" s="1" t="s">
        <v>240</v>
      </c>
      <c r="B50" s="1" t="s">
        <v>241</v>
      </c>
      <c r="C50" s="1" t="s">
        <v>39</v>
      </c>
      <c r="D50" s="1">
        <v>54502.0</v>
      </c>
      <c r="E50" s="1" t="s">
        <v>77</v>
      </c>
      <c r="F50" s="1" t="s">
        <v>46</v>
      </c>
      <c r="G50" s="1" t="s">
        <v>21</v>
      </c>
      <c r="H50" s="2">
        <v>3201.0</v>
      </c>
      <c r="I50" s="2">
        <v>6981.0</v>
      </c>
      <c r="J50" s="1">
        <v>2014.0</v>
      </c>
      <c r="K50" s="1">
        <v>63.0</v>
      </c>
      <c r="L50" s="1" t="s">
        <v>62</v>
      </c>
      <c r="M50" s="1" t="s">
        <v>242</v>
      </c>
      <c r="N50" s="1" t="s">
        <v>43</v>
      </c>
      <c r="O50" s="1" t="s">
        <v>49</v>
      </c>
      <c r="P50" s="1" t="s">
        <v>243</v>
      </c>
    </row>
    <row r="51" ht="14.25" customHeight="1">
      <c r="A51" s="1" t="s">
        <v>244</v>
      </c>
      <c r="B51" s="1" t="s">
        <v>245</v>
      </c>
      <c r="C51" s="1" t="s">
        <v>29</v>
      </c>
      <c r="D51" s="1">
        <v>26896.0</v>
      </c>
      <c r="E51" s="1" t="s">
        <v>19</v>
      </c>
      <c r="F51" s="1" t="s">
        <v>94</v>
      </c>
      <c r="G51" s="1" t="s">
        <v>55</v>
      </c>
      <c r="H51" s="2">
        <v>806.0</v>
      </c>
      <c r="I51" s="2">
        <v>5870.0</v>
      </c>
      <c r="J51" s="1">
        <v>1990.0</v>
      </c>
      <c r="K51" s="1">
        <v>22.0</v>
      </c>
      <c r="L51" s="1" t="s">
        <v>32</v>
      </c>
      <c r="M51" s="1" t="s">
        <v>246</v>
      </c>
      <c r="N51" s="1" t="s">
        <v>34</v>
      </c>
      <c r="O51" s="1" t="s">
        <v>49</v>
      </c>
      <c r="P51" s="1" t="s">
        <v>247</v>
      </c>
    </row>
    <row r="52" ht="14.25" customHeight="1">
      <c r="A52" s="1" t="s">
        <v>248</v>
      </c>
      <c r="B52" s="1" t="s">
        <v>249</v>
      </c>
      <c r="C52" s="1" t="s">
        <v>76</v>
      </c>
      <c r="D52" s="1">
        <v>39228.0</v>
      </c>
      <c r="E52" s="1" t="s">
        <v>40</v>
      </c>
      <c r="F52" s="1" t="s">
        <v>46</v>
      </c>
      <c r="G52" s="1" t="s">
        <v>55</v>
      </c>
      <c r="H52" s="2">
        <v>2192.0</v>
      </c>
      <c r="I52" s="2">
        <v>2491.0</v>
      </c>
      <c r="J52" s="1">
        <v>2022.0</v>
      </c>
      <c r="K52" s="1">
        <v>82.0</v>
      </c>
      <c r="L52" s="1" t="s">
        <v>62</v>
      </c>
      <c r="M52" s="1" t="s">
        <v>250</v>
      </c>
      <c r="N52" s="1" t="s">
        <v>24</v>
      </c>
      <c r="O52" s="1" t="s">
        <v>25</v>
      </c>
      <c r="P52" s="1" t="s">
        <v>251</v>
      </c>
    </row>
    <row r="53" ht="14.25" customHeight="1">
      <c r="A53" s="1" t="s">
        <v>252</v>
      </c>
      <c r="B53" s="1" t="s">
        <v>253</v>
      </c>
      <c r="C53" s="1" t="s">
        <v>53</v>
      </c>
      <c r="D53" s="1">
        <v>25964.0</v>
      </c>
      <c r="E53" s="1" t="s">
        <v>60</v>
      </c>
      <c r="F53" s="1" t="s">
        <v>20</v>
      </c>
      <c r="G53" s="1" t="s">
        <v>31</v>
      </c>
      <c r="H53" s="2">
        <v>2983.0</v>
      </c>
      <c r="I53" s="2">
        <v>6389.0</v>
      </c>
      <c r="J53" s="1">
        <v>1975.0</v>
      </c>
      <c r="K53" s="1">
        <v>89.0</v>
      </c>
      <c r="L53" s="1" t="s">
        <v>141</v>
      </c>
      <c r="M53" s="1" t="s">
        <v>254</v>
      </c>
      <c r="N53" s="1" t="s">
        <v>43</v>
      </c>
      <c r="O53" s="1" t="s">
        <v>25</v>
      </c>
      <c r="P53" s="1" t="s">
        <v>255</v>
      </c>
    </row>
    <row r="54" ht="14.25" customHeight="1">
      <c r="A54" s="1" t="s">
        <v>256</v>
      </c>
      <c r="B54" s="1" t="s">
        <v>257</v>
      </c>
      <c r="C54" s="1" t="s">
        <v>18</v>
      </c>
      <c r="D54" s="1">
        <v>61792.0</v>
      </c>
      <c r="E54" s="1" t="s">
        <v>77</v>
      </c>
      <c r="F54" s="1" t="s">
        <v>46</v>
      </c>
      <c r="G54" s="1" t="s">
        <v>100</v>
      </c>
      <c r="H54" s="2">
        <v>1143.0</v>
      </c>
      <c r="I54" s="2">
        <v>3561.0</v>
      </c>
      <c r="J54" s="1">
        <v>2006.0</v>
      </c>
      <c r="K54" s="1">
        <v>28.0</v>
      </c>
      <c r="L54" s="1" t="s">
        <v>62</v>
      </c>
      <c r="M54" s="1" t="s">
        <v>258</v>
      </c>
      <c r="N54" s="1" t="s">
        <v>64</v>
      </c>
      <c r="O54" s="1" t="s">
        <v>49</v>
      </c>
      <c r="P54" s="1" t="s">
        <v>259</v>
      </c>
    </row>
    <row r="55" ht="14.25" customHeight="1">
      <c r="A55" s="1" t="s">
        <v>260</v>
      </c>
      <c r="B55" s="1" t="s">
        <v>261</v>
      </c>
      <c r="C55" s="1" t="s">
        <v>18</v>
      </c>
      <c r="D55" s="1">
        <v>91305.0</v>
      </c>
      <c r="E55" s="1" t="s">
        <v>40</v>
      </c>
      <c r="F55" s="1" t="s">
        <v>20</v>
      </c>
      <c r="G55" s="1" t="s">
        <v>21</v>
      </c>
      <c r="H55" s="2">
        <v>1004.0</v>
      </c>
      <c r="I55" s="2">
        <v>4822.0</v>
      </c>
      <c r="J55" s="1">
        <v>1982.0</v>
      </c>
      <c r="K55" s="1">
        <v>28.0</v>
      </c>
      <c r="L55" s="1" t="s">
        <v>32</v>
      </c>
      <c r="M55" s="1" t="s">
        <v>262</v>
      </c>
      <c r="N55" s="1" t="s">
        <v>43</v>
      </c>
      <c r="O55" s="1" t="s">
        <v>49</v>
      </c>
      <c r="P55" s="1" t="s">
        <v>263</v>
      </c>
    </row>
    <row r="56" ht="14.25" customHeight="1">
      <c r="A56" s="1" t="s">
        <v>264</v>
      </c>
      <c r="B56" s="1" t="s">
        <v>265</v>
      </c>
      <c r="C56" s="1" t="s">
        <v>18</v>
      </c>
      <c r="D56" s="1">
        <v>79089.0</v>
      </c>
      <c r="E56" s="1" t="s">
        <v>30</v>
      </c>
      <c r="F56" s="1" t="s">
        <v>94</v>
      </c>
      <c r="G56" s="1" t="s">
        <v>31</v>
      </c>
      <c r="H56" s="2">
        <v>1266.0</v>
      </c>
      <c r="I56" s="2">
        <v>6554.0</v>
      </c>
      <c r="J56" s="1">
        <v>1961.0</v>
      </c>
      <c r="K56" s="1">
        <v>45.0</v>
      </c>
      <c r="L56" s="1" t="s">
        <v>22</v>
      </c>
      <c r="M56" s="1" t="s">
        <v>266</v>
      </c>
      <c r="N56" s="1" t="s">
        <v>48</v>
      </c>
      <c r="O56" s="1" t="s">
        <v>25</v>
      </c>
      <c r="P56" s="1" t="s">
        <v>267</v>
      </c>
    </row>
    <row r="57" ht="14.25" customHeight="1">
      <c r="A57" s="1" t="s">
        <v>268</v>
      </c>
      <c r="B57" s="1" t="s">
        <v>269</v>
      </c>
      <c r="C57" s="1" t="s">
        <v>53</v>
      </c>
      <c r="D57" s="1">
        <v>69291.0</v>
      </c>
      <c r="E57" s="1" t="s">
        <v>19</v>
      </c>
      <c r="F57" s="1" t="s">
        <v>54</v>
      </c>
      <c r="G57" s="1" t="s">
        <v>55</v>
      </c>
      <c r="H57" s="2">
        <v>3080.0</v>
      </c>
      <c r="I57" s="2">
        <v>2905.0</v>
      </c>
      <c r="J57" s="1">
        <v>1981.0</v>
      </c>
      <c r="K57" s="1">
        <v>2.0</v>
      </c>
      <c r="L57" s="1" t="s">
        <v>32</v>
      </c>
      <c r="M57" s="1" t="s">
        <v>270</v>
      </c>
      <c r="N57" s="1" t="s">
        <v>48</v>
      </c>
      <c r="O57" s="1" t="s">
        <v>25</v>
      </c>
      <c r="P57" s="1" t="s">
        <v>271</v>
      </c>
    </row>
    <row r="58" ht="14.25" customHeight="1">
      <c r="A58" s="1" t="s">
        <v>272</v>
      </c>
      <c r="B58" s="1" t="s">
        <v>273</v>
      </c>
      <c r="C58" s="1" t="s">
        <v>76</v>
      </c>
      <c r="D58" s="1">
        <v>88366.0</v>
      </c>
      <c r="E58" s="1" t="s">
        <v>77</v>
      </c>
      <c r="F58" s="1" t="s">
        <v>61</v>
      </c>
      <c r="G58" s="1" t="s">
        <v>31</v>
      </c>
      <c r="H58" s="2">
        <v>2383.0</v>
      </c>
      <c r="I58" s="2">
        <v>7954.0</v>
      </c>
      <c r="J58" s="1">
        <v>1995.0</v>
      </c>
      <c r="K58" s="1">
        <v>73.0</v>
      </c>
      <c r="L58" s="1" t="s">
        <v>95</v>
      </c>
      <c r="M58" s="1" t="s">
        <v>274</v>
      </c>
      <c r="N58" s="1" t="s">
        <v>48</v>
      </c>
      <c r="O58" s="1" t="s">
        <v>35</v>
      </c>
      <c r="P58" s="1" t="s">
        <v>275</v>
      </c>
    </row>
    <row r="59" ht="14.25" customHeight="1">
      <c r="A59" s="1" t="s">
        <v>276</v>
      </c>
      <c r="B59" s="1" t="s">
        <v>277</v>
      </c>
      <c r="C59" s="1" t="s">
        <v>39</v>
      </c>
      <c r="D59" s="1">
        <v>97624.0</v>
      </c>
      <c r="E59" s="1" t="s">
        <v>40</v>
      </c>
      <c r="F59" s="1" t="s">
        <v>61</v>
      </c>
      <c r="G59" s="1" t="s">
        <v>100</v>
      </c>
      <c r="H59" s="2">
        <v>659.0</v>
      </c>
      <c r="I59" s="2">
        <v>9317.0</v>
      </c>
      <c r="J59" s="1">
        <v>1985.0</v>
      </c>
      <c r="K59" s="1">
        <v>46.0</v>
      </c>
      <c r="L59" s="1" t="s">
        <v>141</v>
      </c>
      <c r="M59" s="1" t="s">
        <v>278</v>
      </c>
      <c r="N59" s="1" t="s">
        <v>64</v>
      </c>
      <c r="O59" s="1" t="s">
        <v>25</v>
      </c>
      <c r="P59" s="1" t="s">
        <v>279</v>
      </c>
    </row>
    <row r="60" ht="14.25" customHeight="1">
      <c r="A60" s="1" t="s">
        <v>280</v>
      </c>
      <c r="B60" s="1" t="s">
        <v>281</v>
      </c>
      <c r="C60" s="1" t="s">
        <v>76</v>
      </c>
      <c r="D60" s="1">
        <v>87038.0</v>
      </c>
      <c r="E60" s="1" t="s">
        <v>77</v>
      </c>
      <c r="F60" s="1" t="s">
        <v>20</v>
      </c>
      <c r="G60" s="1" t="s">
        <v>100</v>
      </c>
      <c r="H60" s="2">
        <v>3082.0</v>
      </c>
      <c r="I60" s="2">
        <v>4211.0</v>
      </c>
      <c r="J60" s="1">
        <v>1974.0</v>
      </c>
      <c r="K60" s="1">
        <v>55.0</v>
      </c>
      <c r="L60" s="1" t="s">
        <v>141</v>
      </c>
      <c r="M60" s="1" t="s">
        <v>282</v>
      </c>
      <c r="N60" s="1" t="s">
        <v>48</v>
      </c>
      <c r="O60" s="1" t="s">
        <v>25</v>
      </c>
      <c r="P60" s="1" t="s">
        <v>283</v>
      </c>
    </row>
    <row r="61" ht="14.25" customHeight="1">
      <c r="A61" s="1" t="s">
        <v>284</v>
      </c>
      <c r="B61" s="1" t="s">
        <v>285</v>
      </c>
      <c r="C61" s="1" t="s">
        <v>39</v>
      </c>
      <c r="D61" s="1">
        <v>71760.0</v>
      </c>
      <c r="E61" s="1" t="s">
        <v>19</v>
      </c>
      <c r="F61" s="1" t="s">
        <v>20</v>
      </c>
      <c r="G61" s="1" t="s">
        <v>31</v>
      </c>
      <c r="H61" s="2">
        <v>2654.0</v>
      </c>
      <c r="I61" s="2">
        <v>1426.0</v>
      </c>
      <c r="J61" s="1">
        <v>1990.0</v>
      </c>
      <c r="K61" s="1">
        <v>57.0</v>
      </c>
      <c r="L61" s="1" t="s">
        <v>95</v>
      </c>
      <c r="M61" s="1" t="s">
        <v>286</v>
      </c>
      <c r="N61" s="1" t="s">
        <v>64</v>
      </c>
      <c r="O61" s="1" t="s">
        <v>35</v>
      </c>
      <c r="P61" s="1" t="s">
        <v>287</v>
      </c>
    </row>
    <row r="62" ht="14.25" customHeight="1">
      <c r="A62" s="1" t="s">
        <v>288</v>
      </c>
      <c r="B62" s="1" t="s">
        <v>289</v>
      </c>
      <c r="C62" s="1" t="s">
        <v>53</v>
      </c>
      <c r="D62" s="1">
        <v>60339.0</v>
      </c>
      <c r="E62" s="1" t="s">
        <v>19</v>
      </c>
      <c r="F62" s="1" t="s">
        <v>61</v>
      </c>
      <c r="G62" s="1" t="s">
        <v>100</v>
      </c>
      <c r="H62" s="2">
        <v>3410.0</v>
      </c>
      <c r="I62" s="2">
        <v>4595.0</v>
      </c>
      <c r="J62" s="1">
        <v>1988.0</v>
      </c>
      <c r="K62" s="1">
        <v>71.0</v>
      </c>
      <c r="L62" s="1" t="s">
        <v>22</v>
      </c>
      <c r="M62" s="1" t="s">
        <v>290</v>
      </c>
      <c r="N62" s="1" t="s">
        <v>24</v>
      </c>
      <c r="O62" s="1" t="s">
        <v>49</v>
      </c>
      <c r="P62" s="1" t="s">
        <v>291</v>
      </c>
    </row>
    <row r="63" ht="14.25" customHeight="1">
      <c r="A63" s="1" t="s">
        <v>292</v>
      </c>
      <c r="B63" s="1" t="s">
        <v>293</v>
      </c>
      <c r="C63" s="1" t="s">
        <v>18</v>
      </c>
      <c r="D63" s="1">
        <v>47852.0</v>
      </c>
      <c r="E63" s="1" t="s">
        <v>19</v>
      </c>
      <c r="F63" s="1" t="s">
        <v>94</v>
      </c>
      <c r="G63" s="1" t="s">
        <v>31</v>
      </c>
      <c r="H63" s="2">
        <v>3593.0</v>
      </c>
      <c r="I63" s="2">
        <v>8559.0</v>
      </c>
      <c r="J63" s="1">
        <v>2006.0</v>
      </c>
      <c r="K63" s="1">
        <v>51.0</v>
      </c>
      <c r="L63" s="1" t="s">
        <v>141</v>
      </c>
      <c r="M63" s="1" t="s">
        <v>294</v>
      </c>
      <c r="N63" s="1" t="s">
        <v>64</v>
      </c>
      <c r="O63" s="1" t="s">
        <v>49</v>
      </c>
      <c r="P63" s="1" t="s">
        <v>295</v>
      </c>
    </row>
    <row r="64" ht="14.25" customHeight="1">
      <c r="A64" s="1" t="s">
        <v>296</v>
      </c>
      <c r="B64" s="1" t="s">
        <v>297</v>
      </c>
      <c r="C64" s="1" t="s">
        <v>53</v>
      </c>
      <c r="D64" s="1">
        <v>20582.0</v>
      </c>
      <c r="E64" s="1" t="s">
        <v>60</v>
      </c>
      <c r="F64" s="1" t="s">
        <v>61</v>
      </c>
      <c r="G64" s="1" t="s">
        <v>31</v>
      </c>
      <c r="H64" s="2">
        <v>3368.0</v>
      </c>
      <c r="I64" s="2">
        <v>1942.0</v>
      </c>
      <c r="J64" s="1">
        <v>1954.0</v>
      </c>
      <c r="K64" s="1">
        <v>81.0</v>
      </c>
      <c r="L64" s="1" t="s">
        <v>62</v>
      </c>
      <c r="M64" s="1" t="s">
        <v>298</v>
      </c>
      <c r="N64" s="1" t="s">
        <v>64</v>
      </c>
      <c r="O64" s="1" t="s">
        <v>49</v>
      </c>
      <c r="P64" s="1" t="s">
        <v>299</v>
      </c>
    </row>
    <row r="65" ht="14.25" customHeight="1">
      <c r="A65" s="1" t="s">
        <v>300</v>
      </c>
      <c r="B65" s="1" t="s">
        <v>301</v>
      </c>
      <c r="C65" s="1" t="s">
        <v>18</v>
      </c>
      <c r="D65" s="1">
        <v>87797.0</v>
      </c>
      <c r="E65" s="1" t="s">
        <v>19</v>
      </c>
      <c r="F65" s="1" t="s">
        <v>54</v>
      </c>
      <c r="G65" s="1" t="s">
        <v>21</v>
      </c>
      <c r="H65" s="2">
        <v>1071.0</v>
      </c>
      <c r="I65" s="2">
        <v>3640.0</v>
      </c>
      <c r="J65" s="1">
        <v>1965.0</v>
      </c>
      <c r="K65" s="1">
        <v>95.0</v>
      </c>
      <c r="L65" s="1" t="s">
        <v>95</v>
      </c>
      <c r="M65" s="1" t="s">
        <v>302</v>
      </c>
      <c r="N65" s="1" t="s">
        <v>48</v>
      </c>
      <c r="O65" s="1" t="s">
        <v>25</v>
      </c>
      <c r="P65" s="1" t="s">
        <v>303</v>
      </c>
    </row>
    <row r="66" ht="14.25" customHeight="1">
      <c r="A66" s="1" t="s">
        <v>304</v>
      </c>
      <c r="B66" s="1" t="s">
        <v>305</v>
      </c>
      <c r="C66" s="1" t="s">
        <v>53</v>
      </c>
      <c r="D66" s="1">
        <v>17654.0</v>
      </c>
      <c r="E66" s="1" t="s">
        <v>77</v>
      </c>
      <c r="F66" s="1" t="s">
        <v>46</v>
      </c>
      <c r="G66" s="1" t="s">
        <v>55</v>
      </c>
      <c r="H66" s="2">
        <v>2403.0</v>
      </c>
      <c r="I66" s="2">
        <v>8914.0</v>
      </c>
      <c r="J66" s="1">
        <v>1955.0</v>
      </c>
      <c r="K66" s="1">
        <v>18.0</v>
      </c>
      <c r="L66" s="1" t="s">
        <v>95</v>
      </c>
      <c r="M66" s="1" t="s">
        <v>306</v>
      </c>
      <c r="N66" s="1" t="s">
        <v>64</v>
      </c>
      <c r="O66" s="1" t="s">
        <v>49</v>
      </c>
      <c r="P66" s="1" t="s">
        <v>307</v>
      </c>
    </row>
    <row r="67" ht="14.25" customHeight="1">
      <c r="A67" s="1" t="s">
        <v>308</v>
      </c>
      <c r="B67" s="1" t="s">
        <v>309</v>
      </c>
      <c r="C67" s="1" t="s">
        <v>53</v>
      </c>
      <c r="D67" s="1">
        <v>76220.0</v>
      </c>
      <c r="E67" s="1" t="s">
        <v>60</v>
      </c>
      <c r="F67" s="1" t="s">
        <v>46</v>
      </c>
      <c r="G67" s="1" t="s">
        <v>21</v>
      </c>
      <c r="H67" s="2">
        <v>3515.0</v>
      </c>
      <c r="I67" s="2">
        <v>6385.0</v>
      </c>
      <c r="J67" s="1">
        <v>2018.0</v>
      </c>
      <c r="K67" s="1">
        <v>49.0</v>
      </c>
      <c r="L67" s="1" t="s">
        <v>62</v>
      </c>
      <c r="M67" s="1" t="s">
        <v>310</v>
      </c>
      <c r="N67" s="1" t="s">
        <v>24</v>
      </c>
      <c r="O67" s="1" t="s">
        <v>49</v>
      </c>
      <c r="P67" s="1" t="s">
        <v>311</v>
      </c>
    </row>
    <row r="68" ht="14.25" customHeight="1">
      <c r="A68" s="1" t="s">
        <v>312</v>
      </c>
      <c r="B68" s="1" t="s">
        <v>313</v>
      </c>
      <c r="C68" s="1" t="s">
        <v>39</v>
      </c>
      <c r="D68" s="1">
        <v>27909.0</v>
      </c>
      <c r="E68" s="1" t="s">
        <v>60</v>
      </c>
      <c r="F68" s="1" t="s">
        <v>54</v>
      </c>
      <c r="G68" s="1" t="s">
        <v>31</v>
      </c>
      <c r="H68" s="2">
        <v>1640.0</v>
      </c>
      <c r="I68" s="2">
        <v>2571.0</v>
      </c>
      <c r="J68" s="1">
        <v>1950.0</v>
      </c>
      <c r="K68" s="1">
        <v>58.0</v>
      </c>
      <c r="L68" s="1" t="s">
        <v>62</v>
      </c>
      <c r="M68" s="1" t="s">
        <v>314</v>
      </c>
      <c r="N68" s="1" t="s">
        <v>48</v>
      </c>
      <c r="O68" s="1" t="s">
        <v>35</v>
      </c>
      <c r="P68" s="1" t="s">
        <v>315</v>
      </c>
    </row>
    <row r="69" ht="14.25" customHeight="1">
      <c r="A69" s="1" t="s">
        <v>316</v>
      </c>
      <c r="B69" s="1" t="s">
        <v>317</v>
      </c>
      <c r="C69" s="1" t="s">
        <v>29</v>
      </c>
      <c r="D69" s="1">
        <v>52141.0</v>
      </c>
      <c r="E69" s="1" t="s">
        <v>30</v>
      </c>
      <c r="F69" s="1" t="s">
        <v>61</v>
      </c>
      <c r="G69" s="1" t="s">
        <v>31</v>
      </c>
      <c r="H69" s="2">
        <v>2551.0</v>
      </c>
      <c r="I69" s="2">
        <v>3014.0</v>
      </c>
      <c r="J69" s="1">
        <v>2006.0</v>
      </c>
      <c r="K69" s="1">
        <v>76.0</v>
      </c>
      <c r="L69" s="1" t="s">
        <v>22</v>
      </c>
      <c r="M69" s="1" t="s">
        <v>318</v>
      </c>
      <c r="N69" s="1" t="s">
        <v>43</v>
      </c>
      <c r="O69" s="1" t="s">
        <v>35</v>
      </c>
      <c r="P69" s="1" t="s">
        <v>319</v>
      </c>
    </row>
    <row r="70" ht="14.25" customHeight="1">
      <c r="A70" s="1" t="s">
        <v>320</v>
      </c>
      <c r="B70" s="1" t="s">
        <v>321</v>
      </c>
      <c r="C70" s="1" t="s">
        <v>76</v>
      </c>
      <c r="D70" s="1">
        <v>99388.0</v>
      </c>
      <c r="E70" s="1" t="s">
        <v>40</v>
      </c>
      <c r="F70" s="1" t="s">
        <v>41</v>
      </c>
      <c r="G70" s="1" t="s">
        <v>55</v>
      </c>
      <c r="H70" s="2">
        <v>2153.0</v>
      </c>
      <c r="I70" s="2">
        <v>6999.0</v>
      </c>
      <c r="J70" s="1">
        <v>1977.0</v>
      </c>
      <c r="K70" s="1">
        <v>31.0</v>
      </c>
      <c r="L70" s="1" t="s">
        <v>141</v>
      </c>
      <c r="M70" s="1" t="s">
        <v>322</v>
      </c>
      <c r="N70" s="1" t="s">
        <v>24</v>
      </c>
      <c r="O70" s="1" t="s">
        <v>35</v>
      </c>
      <c r="P70" s="1" t="s">
        <v>323</v>
      </c>
    </row>
    <row r="71" ht="14.25" customHeight="1">
      <c r="A71" s="1" t="s">
        <v>324</v>
      </c>
      <c r="B71" s="1" t="s">
        <v>325</v>
      </c>
      <c r="C71" s="1" t="s">
        <v>39</v>
      </c>
      <c r="D71" s="1">
        <v>74756.0</v>
      </c>
      <c r="E71" s="1" t="s">
        <v>60</v>
      </c>
      <c r="F71" s="1" t="s">
        <v>61</v>
      </c>
      <c r="G71" s="1" t="s">
        <v>100</v>
      </c>
      <c r="H71" s="2">
        <v>3539.0</v>
      </c>
      <c r="I71" s="2">
        <v>9313.0</v>
      </c>
      <c r="J71" s="1">
        <v>1985.0</v>
      </c>
      <c r="K71" s="1">
        <v>47.0</v>
      </c>
      <c r="L71" s="1" t="s">
        <v>62</v>
      </c>
      <c r="M71" s="1" t="s">
        <v>326</v>
      </c>
      <c r="N71" s="1" t="s">
        <v>34</v>
      </c>
      <c r="O71" s="1" t="s">
        <v>49</v>
      </c>
      <c r="P71" s="1" t="s">
        <v>327</v>
      </c>
    </row>
    <row r="72" ht="14.25" customHeight="1">
      <c r="A72" s="1" t="s">
        <v>328</v>
      </c>
      <c r="B72" s="1" t="s">
        <v>329</v>
      </c>
      <c r="C72" s="1" t="s">
        <v>39</v>
      </c>
      <c r="D72" s="1">
        <v>36251.0</v>
      </c>
      <c r="E72" s="1" t="s">
        <v>40</v>
      </c>
      <c r="F72" s="1" t="s">
        <v>46</v>
      </c>
      <c r="G72" s="1" t="s">
        <v>31</v>
      </c>
      <c r="H72" s="2">
        <v>1088.0</v>
      </c>
      <c r="I72" s="2">
        <v>4186.0</v>
      </c>
      <c r="J72" s="1">
        <v>1983.0</v>
      </c>
      <c r="K72" s="1">
        <v>58.0</v>
      </c>
      <c r="L72" s="1" t="s">
        <v>62</v>
      </c>
      <c r="M72" s="1" t="s">
        <v>330</v>
      </c>
      <c r="N72" s="1" t="s">
        <v>48</v>
      </c>
      <c r="O72" s="1" t="s">
        <v>35</v>
      </c>
      <c r="P72" s="1" t="s">
        <v>331</v>
      </c>
    </row>
    <row r="73" ht="14.25" customHeight="1">
      <c r="A73" s="1" t="s">
        <v>332</v>
      </c>
      <c r="B73" s="1" t="s">
        <v>333</v>
      </c>
      <c r="C73" s="1" t="s">
        <v>29</v>
      </c>
      <c r="D73" s="1">
        <v>78532.0</v>
      </c>
      <c r="E73" s="1" t="s">
        <v>77</v>
      </c>
      <c r="F73" s="1" t="s">
        <v>46</v>
      </c>
      <c r="G73" s="1" t="s">
        <v>31</v>
      </c>
      <c r="H73" s="2">
        <v>3618.0</v>
      </c>
      <c r="I73" s="2">
        <v>4317.0</v>
      </c>
      <c r="J73" s="1">
        <v>1998.0</v>
      </c>
      <c r="K73" s="1">
        <v>116.0</v>
      </c>
      <c r="L73" s="1" t="s">
        <v>32</v>
      </c>
      <c r="M73" s="1" t="s">
        <v>334</v>
      </c>
      <c r="N73" s="1" t="s">
        <v>24</v>
      </c>
      <c r="O73" s="1" t="s">
        <v>35</v>
      </c>
      <c r="P73" s="1" t="s">
        <v>335</v>
      </c>
    </row>
    <row r="74" ht="14.25" customHeight="1">
      <c r="A74" s="1" t="s">
        <v>336</v>
      </c>
      <c r="B74" s="1" t="s">
        <v>337</v>
      </c>
      <c r="C74" s="1" t="s">
        <v>76</v>
      </c>
      <c r="D74" s="1">
        <v>63085.0</v>
      </c>
      <c r="E74" s="1" t="s">
        <v>19</v>
      </c>
      <c r="F74" s="1" t="s">
        <v>41</v>
      </c>
      <c r="G74" s="1" t="s">
        <v>100</v>
      </c>
      <c r="H74" s="2">
        <v>1647.0</v>
      </c>
      <c r="I74" s="2">
        <v>6299.0</v>
      </c>
      <c r="J74" s="1">
        <v>2008.0</v>
      </c>
      <c r="K74" s="1">
        <v>52.0</v>
      </c>
      <c r="L74" s="1" t="s">
        <v>32</v>
      </c>
      <c r="M74" s="1" t="s">
        <v>338</v>
      </c>
      <c r="N74" s="1" t="s">
        <v>64</v>
      </c>
      <c r="O74" s="1" t="s">
        <v>35</v>
      </c>
      <c r="P74" s="1" t="s">
        <v>339</v>
      </c>
    </row>
    <row r="75" ht="14.25" customHeight="1">
      <c r="A75" s="1" t="s">
        <v>340</v>
      </c>
      <c r="B75" s="1" t="s">
        <v>341</v>
      </c>
      <c r="C75" s="1" t="s">
        <v>53</v>
      </c>
      <c r="D75" s="1">
        <v>23864.0</v>
      </c>
      <c r="E75" s="1" t="s">
        <v>60</v>
      </c>
      <c r="F75" s="1" t="s">
        <v>61</v>
      </c>
      <c r="G75" s="1" t="s">
        <v>100</v>
      </c>
      <c r="H75" s="2">
        <v>2892.0</v>
      </c>
      <c r="I75" s="2">
        <v>8833.0</v>
      </c>
      <c r="J75" s="1">
        <v>2002.0</v>
      </c>
      <c r="K75" s="1">
        <v>52.0</v>
      </c>
      <c r="L75" s="1" t="s">
        <v>62</v>
      </c>
      <c r="M75" s="1" t="s">
        <v>342</v>
      </c>
      <c r="N75" s="1" t="s">
        <v>43</v>
      </c>
      <c r="O75" s="1" t="s">
        <v>25</v>
      </c>
      <c r="P75" s="1" t="s">
        <v>343</v>
      </c>
    </row>
    <row r="76" ht="14.25" customHeight="1">
      <c r="A76" s="1" t="s">
        <v>344</v>
      </c>
      <c r="B76" s="1" t="s">
        <v>345</v>
      </c>
      <c r="C76" s="1" t="s">
        <v>29</v>
      </c>
      <c r="D76" s="1">
        <v>21440.0</v>
      </c>
      <c r="E76" s="1" t="s">
        <v>40</v>
      </c>
      <c r="F76" s="1" t="s">
        <v>61</v>
      </c>
      <c r="G76" s="1" t="s">
        <v>31</v>
      </c>
      <c r="H76" s="2">
        <v>2625.0</v>
      </c>
      <c r="I76" s="2">
        <v>5667.0</v>
      </c>
      <c r="J76" s="1">
        <v>1968.0</v>
      </c>
      <c r="K76" s="1">
        <v>96.0</v>
      </c>
      <c r="L76" s="1" t="s">
        <v>22</v>
      </c>
      <c r="M76" s="1" t="s">
        <v>346</v>
      </c>
      <c r="N76" s="1" t="s">
        <v>34</v>
      </c>
      <c r="O76" s="1" t="s">
        <v>35</v>
      </c>
      <c r="P76" s="1" t="s">
        <v>347</v>
      </c>
    </row>
    <row r="77" ht="14.25" customHeight="1">
      <c r="A77" s="1" t="s">
        <v>348</v>
      </c>
      <c r="B77" s="1" t="s">
        <v>349</v>
      </c>
      <c r="C77" s="1" t="s">
        <v>18</v>
      </c>
      <c r="D77" s="1">
        <v>83545.0</v>
      </c>
      <c r="E77" s="1" t="s">
        <v>30</v>
      </c>
      <c r="F77" s="1" t="s">
        <v>20</v>
      </c>
      <c r="G77" s="1" t="s">
        <v>100</v>
      </c>
      <c r="H77" s="2">
        <v>2042.0</v>
      </c>
      <c r="I77" s="2">
        <v>4863.0</v>
      </c>
      <c r="J77" s="1">
        <v>1958.0</v>
      </c>
      <c r="K77" s="1">
        <v>120.0</v>
      </c>
      <c r="L77" s="1" t="s">
        <v>62</v>
      </c>
      <c r="M77" s="1" t="s">
        <v>350</v>
      </c>
      <c r="N77" s="1" t="s">
        <v>24</v>
      </c>
      <c r="O77" s="1" t="s">
        <v>49</v>
      </c>
      <c r="P77" s="1" t="s">
        <v>351</v>
      </c>
    </row>
    <row r="78" ht="14.25" customHeight="1">
      <c r="A78" s="1" t="s">
        <v>352</v>
      </c>
      <c r="B78" s="1" t="s">
        <v>353</v>
      </c>
      <c r="C78" s="1" t="s">
        <v>53</v>
      </c>
      <c r="D78" s="1">
        <v>39506.0</v>
      </c>
      <c r="E78" s="1" t="s">
        <v>30</v>
      </c>
      <c r="F78" s="1" t="s">
        <v>61</v>
      </c>
      <c r="G78" s="1" t="s">
        <v>55</v>
      </c>
      <c r="H78" s="2">
        <v>3482.0</v>
      </c>
      <c r="I78" s="2">
        <v>1702.0</v>
      </c>
      <c r="J78" s="1">
        <v>2011.0</v>
      </c>
      <c r="K78" s="1">
        <v>92.0</v>
      </c>
      <c r="L78" s="1" t="s">
        <v>32</v>
      </c>
      <c r="M78" s="1" t="s">
        <v>354</v>
      </c>
      <c r="N78" s="1" t="s">
        <v>64</v>
      </c>
      <c r="O78" s="1" t="s">
        <v>35</v>
      </c>
      <c r="P78" s="1" t="s">
        <v>355</v>
      </c>
    </row>
    <row r="79" ht="14.25" customHeight="1">
      <c r="A79" s="1" t="s">
        <v>356</v>
      </c>
      <c r="B79" s="1" t="s">
        <v>357</v>
      </c>
      <c r="C79" s="1" t="s">
        <v>18</v>
      </c>
      <c r="D79" s="1">
        <v>98587.0</v>
      </c>
      <c r="E79" s="1" t="s">
        <v>30</v>
      </c>
      <c r="F79" s="1" t="s">
        <v>54</v>
      </c>
      <c r="G79" s="1" t="s">
        <v>100</v>
      </c>
      <c r="H79" s="2">
        <v>1949.0</v>
      </c>
      <c r="I79" s="2">
        <v>5913.0</v>
      </c>
      <c r="J79" s="1">
        <v>1975.0</v>
      </c>
      <c r="K79" s="1">
        <v>84.0</v>
      </c>
      <c r="L79" s="1" t="s">
        <v>141</v>
      </c>
      <c r="M79" s="1" t="s">
        <v>358</v>
      </c>
      <c r="N79" s="1" t="s">
        <v>24</v>
      </c>
      <c r="O79" s="1" t="s">
        <v>49</v>
      </c>
      <c r="P79" s="1" t="s">
        <v>359</v>
      </c>
    </row>
    <row r="80" ht="14.25" customHeight="1">
      <c r="A80" s="1" t="s">
        <v>360</v>
      </c>
      <c r="B80" s="1" t="s">
        <v>361</v>
      </c>
      <c r="C80" s="1" t="s">
        <v>29</v>
      </c>
      <c r="D80" s="1">
        <v>66989.0</v>
      </c>
      <c r="E80" s="1" t="s">
        <v>30</v>
      </c>
      <c r="F80" s="1" t="s">
        <v>46</v>
      </c>
      <c r="G80" s="1" t="s">
        <v>31</v>
      </c>
      <c r="H80" s="2">
        <v>3887.0</v>
      </c>
      <c r="I80" s="2">
        <v>8829.0</v>
      </c>
      <c r="J80" s="1">
        <v>1957.0</v>
      </c>
      <c r="K80" s="1">
        <v>43.0</v>
      </c>
      <c r="L80" s="1" t="s">
        <v>95</v>
      </c>
      <c r="M80" s="1" t="s">
        <v>362</v>
      </c>
      <c r="N80" s="1" t="s">
        <v>24</v>
      </c>
      <c r="O80" s="1" t="s">
        <v>35</v>
      </c>
      <c r="P80" s="1" t="s">
        <v>363</v>
      </c>
    </row>
    <row r="81" ht="14.25" customHeight="1">
      <c r="A81" s="1" t="s">
        <v>364</v>
      </c>
      <c r="B81" s="1" t="s">
        <v>365</v>
      </c>
      <c r="C81" s="1" t="s">
        <v>18</v>
      </c>
      <c r="D81" s="1">
        <v>55101.0</v>
      </c>
      <c r="E81" s="1" t="s">
        <v>30</v>
      </c>
      <c r="F81" s="1" t="s">
        <v>20</v>
      </c>
      <c r="G81" s="1" t="s">
        <v>21</v>
      </c>
      <c r="H81" s="2">
        <v>2977.0</v>
      </c>
      <c r="I81" s="2">
        <v>3400.0</v>
      </c>
      <c r="J81" s="1">
        <v>2004.0</v>
      </c>
      <c r="K81" s="1">
        <v>62.0</v>
      </c>
      <c r="L81" s="1" t="s">
        <v>62</v>
      </c>
      <c r="M81" s="1" t="s">
        <v>366</v>
      </c>
      <c r="N81" s="1" t="s">
        <v>24</v>
      </c>
      <c r="O81" s="1" t="s">
        <v>25</v>
      </c>
      <c r="P81" s="1" t="s">
        <v>367</v>
      </c>
    </row>
    <row r="82" ht="14.25" customHeight="1">
      <c r="A82" s="1" t="s">
        <v>368</v>
      </c>
      <c r="B82" s="1" t="s">
        <v>369</v>
      </c>
      <c r="C82" s="1" t="s">
        <v>18</v>
      </c>
      <c r="D82" s="1">
        <v>35654.0</v>
      </c>
      <c r="E82" s="1" t="s">
        <v>77</v>
      </c>
      <c r="F82" s="1" t="s">
        <v>94</v>
      </c>
      <c r="G82" s="1" t="s">
        <v>21</v>
      </c>
      <c r="H82" s="2">
        <v>2199.0</v>
      </c>
      <c r="I82" s="2">
        <v>3140.0</v>
      </c>
      <c r="J82" s="1">
        <v>1974.0</v>
      </c>
      <c r="K82" s="1">
        <v>64.0</v>
      </c>
      <c r="L82" s="1" t="s">
        <v>32</v>
      </c>
      <c r="M82" s="1" t="s">
        <v>370</v>
      </c>
      <c r="N82" s="1" t="s">
        <v>24</v>
      </c>
      <c r="O82" s="1" t="s">
        <v>49</v>
      </c>
      <c r="P82" s="1" t="s">
        <v>371</v>
      </c>
    </row>
    <row r="83" ht="14.25" customHeight="1">
      <c r="A83" s="1" t="s">
        <v>372</v>
      </c>
      <c r="B83" s="1" t="s">
        <v>373</v>
      </c>
      <c r="C83" s="1" t="s">
        <v>53</v>
      </c>
      <c r="D83" s="1">
        <v>28260.0</v>
      </c>
      <c r="E83" s="1" t="s">
        <v>77</v>
      </c>
      <c r="F83" s="1" t="s">
        <v>41</v>
      </c>
      <c r="G83" s="1" t="s">
        <v>55</v>
      </c>
      <c r="H83" s="2">
        <v>2960.0</v>
      </c>
      <c r="I83" s="2">
        <v>8344.0</v>
      </c>
      <c r="J83" s="1">
        <v>2011.0</v>
      </c>
      <c r="K83" s="1">
        <v>33.0</v>
      </c>
      <c r="L83" s="1" t="s">
        <v>62</v>
      </c>
      <c r="M83" s="1" t="s">
        <v>374</v>
      </c>
      <c r="N83" s="1" t="s">
        <v>43</v>
      </c>
      <c r="O83" s="1" t="s">
        <v>35</v>
      </c>
      <c r="P83" s="1" t="s">
        <v>375</v>
      </c>
    </row>
    <row r="84" ht="14.25" customHeight="1">
      <c r="A84" s="1" t="s">
        <v>376</v>
      </c>
      <c r="B84" s="1" t="s">
        <v>377</v>
      </c>
      <c r="C84" s="1" t="s">
        <v>76</v>
      </c>
      <c r="D84" s="1">
        <v>24367.0</v>
      </c>
      <c r="E84" s="1" t="s">
        <v>19</v>
      </c>
      <c r="F84" s="1" t="s">
        <v>54</v>
      </c>
      <c r="G84" s="1" t="s">
        <v>55</v>
      </c>
      <c r="H84" s="2">
        <v>862.0</v>
      </c>
      <c r="I84" s="2">
        <v>6303.0</v>
      </c>
      <c r="J84" s="1">
        <v>1972.0</v>
      </c>
      <c r="K84" s="1">
        <v>64.0</v>
      </c>
      <c r="L84" s="1" t="s">
        <v>62</v>
      </c>
      <c r="M84" s="1" t="s">
        <v>378</v>
      </c>
      <c r="N84" s="1" t="s">
        <v>64</v>
      </c>
      <c r="O84" s="1" t="s">
        <v>49</v>
      </c>
      <c r="P84" s="1" t="s">
        <v>379</v>
      </c>
    </row>
    <row r="85" ht="14.25" customHeight="1">
      <c r="A85" s="1" t="s">
        <v>380</v>
      </c>
      <c r="B85" s="1" t="s">
        <v>381</v>
      </c>
      <c r="C85" s="1" t="s">
        <v>39</v>
      </c>
      <c r="D85" s="1">
        <v>37372.0</v>
      </c>
      <c r="E85" s="1" t="s">
        <v>30</v>
      </c>
      <c r="F85" s="1" t="s">
        <v>20</v>
      </c>
      <c r="G85" s="1" t="s">
        <v>100</v>
      </c>
      <c r="H85" s="2">
        <v>2552.0</v>
      </c>
      <c r="I85" s="2">
        <v>4272.0</v>
      </c>
      <c r="J85" s="1">
        <v>1998.0</v>
      </c>
      <c r="K85" s="1">
        <v>81.0</v>
      </c>
      <c r="L85" s="1" t="s">
        <v>141</v>
      </c>
      <c r="M85" s="1" t="s">
        <v>382</v>
      </c>
      <c r="N85" s="1" t="s">
        <v>64</v>
      </c>
      <c r="O85" s="1" t="s">
        <v>35</v>
      </c>
      <c r="P85" s="1" t="s">
        <v>383</v>
      </c>
    </row>
    <row r="86" ht="14.25" customHeight="1">
      <c r="A86" s="1" t="s">
        <v>384</v>
      </c>
      <c r="B86" s="1" t="s">
        <v>385</v>
      </c>
      <c r="C86" s="1" t="s">
        <v>29</v>
      </c>
      <c r="D86" s="1">
        <v>10445.0</v>
      </c>
      <c r="E86" s="1" t="s">
        <v>60</v>
      </c>
      <c r="F86" s="1" t="s">
        <v>41</v>
      </c>
      <c r="G86" s="1" t="s">
        <v>31</v>
      </c>
      <c r="H86" s="2">
        <v>3504.0</v>
      </c>
      <c r="I86" s="2">
        <v>3470.0</v>
      </c>
      <c r="J86" s="1">
        <v>1952.0</v>
      </c>
      <c r="K86" s="1">
        <v>45.0</v>
      </c>
      <c r="L86" s="1" t="s">
        <v>22</v>
      </c>
      <c r="M86" s="1" t="s">
        <v>386</v>
      </c>
      <c r="N86" s="1" t="s">
        <v>24</v>
      </c>
      <c r="O86" s="1" t="s">
        <v>35</v>
      </c>
      <c r="P86" s="1" t="s">
        <v>387</v>
      </c>
    </row>
    <row r="87" ht="14.25" customHeight="1">
      <c r="A87" s="1" t="s">
        <v>388</v>
      </c>
      <c r="B87" s="1" t="s">
        <v>389</v>
      </c>
      <c r="C87" s="1" t="s">
        <v>39</v>
      </c>
      <c r="D87" s="1">
        <v>11097.0</v>
      </c>
      <c r="E87" s="1" t="s">
        <v>40</v>
      </c>
      <c r="F87" s="1" t="s">
        <v>46</v>
      </c>
      <c r="G87" s="1" t="s">
        <v>55</v>
      </c>
      <c r="H87" s="2">
        <v>2930.0</v>
      </c>
      <c r="I87" s="2">
        <v>9853.0</v>
      </c>
      <c r="J87" s="1">
        <v>1993.0</v>
      </c>
      <c r="K87" s="1">
        <v>8.0</v>
      </c>
      <c r="L87" s="1" t="s">
        <v>62</v>
      </c>
      <c r="M87" s="1" t="s">
        <v>390</v>
      </c>
      <c r="N87" s="1" t="s">
        <v>43</v>
      </c>
      <c r="O87" s="1" t="s">
        <v>35</v>
      </c>
      <c r="P87" s="1" t="s">
        <v>391</v>
      </c>
    </row>
    <row r="88" ht="14.25" customHeight="1">
      <c r="A88" s="1" t="s">
        <v>392</v>
      </c>
      <c r="B88" s="1" t="s">
        <v>393</v>
      </c>
      <c r="C88" s="1" t="s">
        <v>76</v>
      </c>
      <c r="D88" s="1">
        <v>48078.0</v>
      </c>
      <c r="E88" s="1" t="s">
        <v>77</v>
      </c>
      <c r="F88" s="1" t="s">
        <v>20</v>
      </c>
      <c r="G88" s="1" t="s">
        <v>31</v>
      </c>
      <c r="H88" s="2">
        <v>2849.0</v>
      </c>
      <c r="I88" s="2">
        <v>8155.0</v>
      </c>
      <c r="J88" s="1">
        <v>1952.0</v>
      </c>
      <c r="K88" s="1">
        <v>104.0</v>
      </c>
      <c r="L88" s="1" t="s">
        <v>95</v>
      </c>
      <c r="M88" s="1" t="s">
        <v>394</v>
      </c>
      <c r="N88" s="1" t="s">
        <v>34</v>
      </c>
      <c r="O88" s="1" t="s">
        <v>35</v>
      </c>
      <c r="P88" s="1" t="s">
        <v>395</v>
      </c>
    </row>
    <row r="89" ht="14.25" customHeight="1">
      <c r="A89" s="1" t="s">
        <v>396</v>
      </c>
      <c r="B89" s="1" t="s">
        <v>397</v>
      </c>
      <c r="C89" s="1" t="s">
        <v>29</v>
      </c>
      <c r="D89" s="1">
        <v>55038.0</v>
      </c>
      <c r="E89" s="1" t="s">
        <v>40</v>
      </c>
      <c r="F89" s="1" t="s">
        <v>61</v>
      </c>
      <c r="G89" s="1" t="s">
        <v>55</v>
      </c>
      <c r="H89" s="2">
        <v>2415.0</v>
      </c>
      <c r="I89" s="2">
        <v>6387.0</v>
      </c>
      <c r="J89" s="1">
        <v>1950.0</v>
      </c>
      <c r="K89" s="1">
        <v>50.0</v>
      </c>
      <c r="L89" s="1" t="s">
        <v>141</v>
      </c>
      <c r="M89" s="1" t="s">
        <v>398</v>
      </c>
      <c r="N89" s="1" t="s">
        <v>34</v>
      </c>
      <c r="O89" s="1" t="s">
        <v>49</v>
      </c>
      <c r="P89" s="1" t="s">
        <v>399</v>
      </c>
    </row>
    <row r="90" ht="14.25" customHeight="1">
      <c r="A90" s="1" t="s">
        <v>400</v>
      </c>
      <c r="B90" s="1" t="s">
        <v>401</v>
      </c>
      <c r="C90" s="1" t="s">
        <v>53</v>
      </c>
      <c r="D90" s="1">
        <v>48984.0</v>
      </c>
      <c r="E90" s="1" t="s">
        <v>60</v>
      </c>
      <c r="F90" s="1" t="s">
        <v>20</v>
      </c>
      <c r="G90" s="1" t="s">
        <v>55</v>
      </c>
      <c r="H90" s="2">
        <v>3351.0</v>
      </c>
      <c r="I90" s="2">
        <v>1858.0</v>
      </c>
      <c r="J90" s="1">
        <v>1962.0</v>
      </c>
      <c r="K90" s="1">
        <v>102.0</v>
      </c>
      <c r="L90" s="1" t="s">
        <v>95</v>
      </c>
      <c r="M90" s="1" t="s">
        <v>402</v>
      </c>
      <c r="N90" s="1" t="s">
        <v>34</v>
      </c>
      <c r="O90" s="1" t="s">
        <v>35</v>
      </c>
      <c r="P90" s="1" t="s">
        <v>403</v>
      </c>
    </row>
    <row r="91" ht="14.25" customHeight="1">
      <c r="A91" s="1" t="s">
        <v>404</v>
      </c>
      <c r="B91" s="1" t="s">
        <v>405</v>
      </c>
      <c r="C91" s="1" t="s">
        <v>29</v>
      </c>
      <c r="D91" s="1">
        <v>92471.0</v>
      </c>
      <c r="E91" s="1" t="s">
        <v>77</v>
      </c>
      <c r="F91" s="1" t="s">
        <v>46</v>
      </c>
      <c r="G91" s="1" t="s">
        <v>31</v>
      </c>
      <c r="H91" s="2">
        <v>1258.0</v>
      </c>
      <c r="I91" s="2">
        <v>2818.0</v>
      </c>
      <c r="J91" s="1">
        <v>1966.0</v>
      </c>
      <c r="K91" s="1">
        <v>73.0</v>
      </c>
      <c r="L91" s="1" t="s">
        <v>32</v>
      </c>
      <c r="M91" s="1" t="s">
        <v>406</v>
      </c>
      <c r="N91" s="1" t="s">
        <v>43</v>
      </c>
      <c r="O91" s="1" t="s">
        <v>49</v>
      </c>
      <c r="P91" s="1" t="s">
        <v>407</v>
      </c>
    </row>
    <row r="92" ht="14.25" customHeight="1">
      <c r="A92" s="1" t="s">
        <v>408</v>
      </c>
      <c r="B92" s="1" t="s">
        <v>409</v>
      </c>
      <c r="C92" s="1" t="s">
        <v>76</v>
      </c>
      <c r="D92" s="1">
        <v>93992.0</v>
      </c>
      <c r="E92" s="1" t="s">
        <v>19</v>
      </c>
      <c r="F92" s="1" t="s">
        <v>94</v>
      </c>
      <c r="G92" s="1" t="s">
        <v>31</v>
      </c>
      <c r="H92" s="2">
        <v>787.0</v>
      </c>
      <c r="I92" s="2">
        <v>5227.0</v>
      </c>
      <c r="J92" s="1">
        <v>1999.0</v>
      </c>
      <c r="K92" s="1">
        <v>119.0</v>
      </c>
      <c r="L92" s="1" t="s">
        <v>141</v>
      </c>
      <c r="M92" s="1" t="s">
        <v>410</v>
      </c>
      <c r="N92" s="1" t="s">
        <v>34</v>
      </c>
      <c r="O92" s="1" t="s">
        <v>25</v>
      </c>
      <c r="P92" s="1" t="s">
        <v>411</v>
      </c>
    </row>
    <row r="93" ht="14.25" customHeight="1">
      <c r="A93" s="1" t="s">
        <v>412</v>
      </c>
      <c r="B93" s="1" t="s">
        <v>413</v>
      </c>
      <c r="C93" s="1" t="s">
        <v>39</v>
      </c>
      <c r="D93" s="1">
        <v>94674.0</v>
      </c>
      <c r="E93" s="1" t="s">
        <v>30</v>
      </c>
      <c r="F93" s="1" t="s">
        <v>41</v>
      </c>
      <c r="G93" s="1" t="s">
        <v>31</v>
      </c>
      <c r="H93" s="2">
        <v>2342.0</v>
      </c>
      <c r="I93" s="2">
        <v>5419.0</v>
      </c>
      <c r="J93" s="1">
        <v>1984.0</v>
      </c>
      <c r="K93" s="1">
        <v>46.0</v>
      </c>
      <c r="L93" s="1" t="s">
        <v>32</v>
      </c>
      <c r="M93" s="1" t="s">
        <v>414</v>
      </c>
      <c r="N93" s="1" t="s">
        <v>43</v>
      </c>
      <c r="O93" s="1" t="s">
        <v>25</v>
      </c>
      <c r="P93" s="1" t="s">
        <v>415</v>
      </c>
    </row>
    <row r="94" ht="14.25" customHeight="1">
      <c r="A94" s="1" t="s">
        <v>416</v>
      </c>
      <c r="B94" s="1" t="s">
        <v>417</v>
      </c>
      <c r="C94" s="1" t="s">
        <v>18</v>
      </c>
      <c r="D94" s="1">
        <v>60724.0</v>
      </c>
      <c r="E94" s="1" t="s">
        <v>60</v>
      </c>
      <c r="F94" s="1" t="s">
        <v>54</v>
      </c>
      <c r="G94" s="1" t="s">
        <v>31</v>
      </c>
      <c r="H94" s="2">
        <v>2761.0</v>
      </c>
      <c r="I94" s="2">
        <v>9262.0</v>
      </c>
      <c r="J94" s="1">
        <v>1960.0</v>
      </c>
      <c r="K94" s="1">
        <v>99.0</v>
      </c>
      <c r="L94" s="1" t="s">
        <v>22</v>
      </c>
      <c r="M94" s="1" t="s">
        <v>418</v>
      </c>
      <c r="N94" s="1" t="s">
        <v>34</v>
      </c>
      <c r="O94" s="1" t="s">
        <v>25</v>
      </c>
      <c r="P94" s="1" t="s">
        <v>419</v>
      </c>
    </row>
    <row r="95" ht="14.25" customHeight="1">
      <c r="A95" s="1" t="s">
        <v>420</v>
      </c>
      <c r="B95" s="1" t="s">
        <v>421</v>
      </c>
      <c r="C95" s="1" t="s">
        <v>39</v>
      </c>
      <c r="D95" s="1">
        <v>80299.0</v>
      </c>
      <c r="E95" s="1" t="s">
        <v>30</v>
      </c>
      <c r="F95" s="1" t="s">
        <v>20</v>
      </c>
      <c r="G95" s="1" t="s">
        <v>100</v>
      </c>
      <c r="H95" s="2">
        <v>3887.0</v>
      </c>
      <c r="I95" s="2">
        <v>3596.0</v>
      </c>
      <c r="J95" s="1">
        <v>2000.0</v>
      </c>
      <c r="K95" s="1">
        <v>119.0</v>
      </c>
      <c r="L95" s="1" t="s">
        <v>62</v>
      </c>
      <c r="M95" s="1" t="s">
        <v>422</v>
      </c>
      <c r="N95" s="1" t="s">
        <v>43</v>
      </c>
      <c r="O95" s="1" t="s">
        <v>25</v>
      </c>
      <c r="P95" s="1" t="s">
        <v>423</v>
      </c>
    </row>
    <row r="96" ht="14.25" customHeight="1">
      <c r="A96" s="1" t="s">
        <v>424</v>
      </c>
      <c r="B96" s="1" t="s">
        <v>425</v>
      </c>
      <c r="C96" s="1" t="s">
        <v>76</v>
      </c>
      <c r="D96" s="1">
        <v>63039.0</v>
      </c>
      <c r="E96" s="1" t="s">
        <v>19</v>
      </c>
      <c r="F96" s="1" t="s">
        <v>20</v>
      </c>
      <c r="G96" s="1" t="s">
        <v>21</v>
      </c>
      <c r="H96" s="2">
        <v>2093.0</v>
      </c>
      <c r="I96" s="2">
        <v>1094.0</v>
      </c>
      <c r="J96" s="1">
        <v>1977.0</v>
      </c>
      <c r="K96" s="1">
        <v>34.0</v>
      </c>
      <c r="L96" s="1" t="s">
        <v>32</v>
      </c>
      <c r="M96" s="1" t="s">
        <v>426</v>
      </c>
      <c r="N96" s="1" t="s">
        <v>34</v>
      </c>
      <c r="O96" s="1" t="s">
        <v>49</v>
      </c>
      <c r="P96" s="1" t="s">
        <v>427</v>
      </c>
    </row>
    <row r="97" ht="14.25" customHeight="1">
      <c r="A97" s="1" t="s">
        <v>428</v>
      </c>
      <c r="B97" s="1" t="s">
        <v>429</v>
      </c>
      <c r="C97" s="1" t="s">
        <v>53</v>
      </c>
      <c r="D97" s="1">
        <v>88108.0</v>
      </c>
      <c r="E97" s="1" t="s">
        <v>60</v>
      </c>
      <c r="F97" s="1" t="s">
        <v>20</v>
      </c>
      <c r="G97" s="1" t="s">
        <v>31</v>
      </c>
      <c r="H97" s="2">
        <v>903.0</v>
      </c>
      <c r="I97" s="2">
        <v>6122.0</v>
      </c>
      <c r="J97" s="1">
        <v>2006.0</v>
      </c>
      <c r="K97" s="1">
        <v>43.0</v>
      </c>
      <c r="L97" s="1" t="s">
        <v>32</v>
      </c>
      <c r="M97" s="1" t="s">
        <v>430</v>
      </c>
      <c r="N97" s="1" t="s">
        <v>43</v>
      </c>
      <c r="O97" s="1" t="s">
        <v>25</v>
      </c>
      <c r="P97" s="1" t="s">
        <v>431</v>
      </c>
    </row>
    <row r="98" ht="14.25" customHeight="1">
      <c r="A98" s="1" t="s">
        <v>432</v>
      </c>
      <c r="B98" s="1" t="s">
        <v>433</v>
      </c>
      <c r="C98" s="1" t="s">
        <v>29</v>
      </c>
      <c r="D98" s="1">
        <v>64486.0</v>
      </c>
      <c r="E98" s="1" t="s">
        <v>30</v>
      </c>
      <c r="F98" s="1" t="s">
        <v>61</v>
      </c>
      <c r="G98" s="1" t="s">
        <v>55</v>
      </c>
      <c r="H98" s="2">
        <v>3693.0</v>
      </c>
      <c r="I98" s="2">
        <v>9896.0</v>
      </c>
      <c r="J98" s="1">
        <v>1951.0</v>
      </c>
      <c r="K98" s="1">
        <v>87.0</v>
      </c>
      <c r="L98" s="1" t="s">
        <v>32</v>
      </c>
      <c r="M98" s="1" t="s">
        <v>434</v>
      </c>
      <c r="N98" s="1" t="s">
        <v>48</v>
      </c>
      <c r="O98" s="1" t="s">
        <v>25</v>
      </c>
      <c r="P98" s="1" t="s">
        <v>435</v>
      </c>
    </row>
    <row r="99" ht="14.25" customHeight="1">
      <c r="A99" s="1" t="s">
        <v>436</v>
      </c>
      <c r="B99" s="1" t="s">
        <v>437</v>
      </c>
      <c r="C99" s="1" t="s">
        <v>39</v>
      </c>
      <c r="D99" s="1">
        <v>85891.0</v>
      </c>
      <c r="E99" s="1" t="s">
        <v>30</v>
      </c>
      <c r="F99" s="1" t="s">
        <v>54</v>
      </c>
      <c r="G99" s="1" t="s">
        <v>31</v>
      </c>
      <c r="H99" s="2">
        <v>3527.0</v>
      </c>
      <c r="I99" s="2">
        <v>3201.0</v>
      </c>
      <c r="J99" s="1">
        <v>2008.0</v>
      </c>
      <c r="K99" s="1">
        <v>108.0</v>
      </c>
      <c r="L99" s="1" t="s">
        <v>95</v>
      </c>
      <c r="M99" s="1" t="s">
        <v>438</v>
      </c>
      <c r="N99" s="1" t="s">
        <v>48</v>
      </c>
      <c r="O99" s="1" t="s">
        <v>25</v>
      </c>
      <c r="P99" s="1" t="s">
        <v>439</v>
      </c>
    </row>
    <row r="100" ht="14.25" customHeight="1">
      <c r="A100" s="1" t="s">
        <v>440</v>
      </c>
      <c r="B100" s="1" t="s">
        <v>441</v>
      </c>
      <c r="C100" s="1" t="s">
        <v>39</v>
      </c>
      <c r="D100" s="1">
        <v>61514.0</v>
      </c>
      <c r="E100" s="1" t="s">
        <v>19</v>
      </c>
      <c r="F100" s="1" t="s">
        <v>20</v>
      </c>
      <c r="G100" s="1" t="s">
        <v>100</v>
      </c>
      <c r="H100" s="2">
        <v>1224.0</v>
      </c>
      <c r="I100" s="2">
        <v>3876.0</v>
      </c>
      <c r="J100" s="1">
        <v>2001.0</v>
      </c>
      <c r="K100" s="1">
        <v>27.0</v>
      </c>
      <c r="L100" s="1" t="s">
        <v>22</v>
      </c>
      <c r="M100" s="1" t="s">
        <v>442</v>
      </c>
      <c r="N100" s="1" t="s">
        <v>43</v>
      </c>
      <c r="O100" s="1" t="s">
        <v>35</v>
      </c>
      <c r="P100" s="1" t="s">
        <v>443</v>
      </c>
    </row>
    <row r="101" ht="14.25" customHeight="1">
      <c r="A101" s="1" t="s">
        <v>444</v>
      </c>
      <c r="B101" s="1" t="s">
        <v>445</v>
      </c>
      <c r="C101" s="1" t="s">
        <v>76</v>
      </c>
      <c r="D101" s="1">
        <v>84532.0</v>
      </c>
      <c r="E101" s="1" t="s">
        <v>19</v>
      </c>
      <c r="F101" s="1" t="s">
        <v>61</v>
      </c>
      <c r="G101" s="1" t="s">
        <v>100</v>
      </c>
      <c r="H101" s="2">
        <v>2543.0</v>
      </c>
      <c r="I101" s="2">
        <v>7979.0</v>
      </c>
      <c r="J101" s="1">
        <v>2001.0</v>
      </c>
      <c r="K101" s="1">
        <v>108.0</v>
      </c>
      <c r="L101" s="1" t="s">
        <v>62</v>
      </c>
      <c r="M101" s="1" t="s">
        <v>446</v>
      </c>
      <c r="N101" s="1" t="s">
        <v>43</v>
      </c>
      <c r="O101" s="1" t="s">
        <v>25</v>
      </c>
      <c r="P101" s="1" t="s">
        <v>447</v>
      </c>
    </row>
    <row r="102" ht="14.25" customHeight="1">
      <c r="A102" s="1" t="s">
        <v>448</v>
      </c>
      <c r="B102" s="1" t="s">
        <v>449</v>
      </c>
      <c r="C102" s="1" t="s">
        <v>53</v>
      </c>
      <c r="D102" s="1">
        <v>66497.0</v>
      </c>
      <c r="E102" s="1" t="s">
        <v>19</v>
      </c>
      <c r="F102" s="1" t="s">
        <v>61</v>
      </c>
      <c r="G102" s="1" t="s">
        <v>31</v>
      </c>
      <c r="H102" s="2">
        <v>3638.0</v>
      </c>
      <c r="I102" s="2">
        <v>2063.0</v>
      </c>
      <c r="J102" s="1">
        <v>2017.0</v>
      </c>
      <c r="K102" s="1">
        <v>43.0</v>
      </c>
      <c r="L102" s="1" t="s">
        <v>95</v>
      </c>
      <c r="M102" s="1" t="s">
        <v>450</v>
      </c>
      <c r="N102" s="1" t="s">
        <v>34</v>
      </c>
      <c r="O102" s="1" t="s">
        <v>35</v>
      </c>
      <c r="P102" s="1" t="s">
        <v>451</v>
      </c>
    </row>
    <row r="103" ht="14.25" customHeight="1">
      <c r="A103" s="1" t="s">
        <v>452</v>
      </c>
      <c r="B103" s="1" t="s">
        <v>453</v>
      </c>
      <c r="C103" s="1" t="s">
        <v>29</v>
      </c>
      <c r="D103" s="1">
        <v>46631.0</v>
      </c>
      <c r="E103" s="1" t="s">
        <v>19</v>
      </c>
      <c r="F103" s="1" t="s">
        <v>20</v>
      </c>
      <c r="G103" s="1" t="s">
        <v>21</v>
      </c>
      <c r="H103" s="2">
        <v>1069.0</v>
      </c>
      <c r="I103" s="2">
        <v>3385.0</v>
      </c>
      <c r="J103" s="1">
        <v>2010.0</v>
      </c>
      <c r="K103" s="1">
        <v>43.0</v>
      </c>
      <c r="L103" s="1" t="s">
        <v>32</v>
      </c>
      <c r="M103" s="1" t="s">
        <v>454</v>
      </c>
      <c r="N103" s="1" t="s">
        <v>24</v>
      </c>
      <c r="O103" s="1" t="s">
        <v>25</v>
      </c>
      <c r="P103" s="1" t="s">
        <v>455</v>
      </c>
    </row>
    <row r="104" ht="14.25" customHeight="1">
      <c r="A104" s="1" t="s">
        <v>456</v>
      </c>
      <c r="B104" s="1" t="s">
        <v>457</v>
      </c>
      <c r="C104" s="1" t="s">
        <v>18</v>
      </c>
      <c r="D104" s="1">
        <v>87642.0</v>
      </c>
      <c r="E104" s="1" t="s">
        <v>40</v>
      </c>
      <c r="F104" s="1" t="s">
        <v>94</v>
      </c>
      <c r="G104" s="1" t="s">
        <v>100</v>
      </c>
      <c r="H104" s="2">
        <v>2669.0</v>
      </c>
      <c r="I104" s="2">
        <v>3606.0</v>
      </c>
      <c r="J104" s="1">
        <v>1958.0</v>
      </c>
      <c r="K104" s="1">
        <v>40.0</v>
      </c>
      <c r="L104" s="1" t="s">
        <v>62</v>
      </c>
      <c r="M104" s="1" t="s">
        <v>458</v>
      </c>
      <c r="N104" s="1" t="s">
        <v>64</v>
      </c>
      <c r="O104" s="1" t="s">
        <v>35</v>
      </c>
      <c r="P104" s="1" t="s">
        <v>459</v>
      </c>
    </row>
    <row r="105" ht="14.25" customHeight="1">
      <c r="A105" s="1" t="s">
        <v>460</v>
      </c>
      <c r="B105" s="1" t="s">
        <v>461</v>
      </c>
      <c r="C105" s="1" t="s">
        <v>18</v>
      </c>
      <c r="D105" s="1">
        <v>55033.0</v>
      </c>
      <c r="E105" s="1" t="s">
        <v>40</v>
      </c>
      <c r="F105" s="1" t="s">
        <v>61</v>
      </c>
      <c r="G105" s="1" t="s">
        <v>21</v>
      </c>
      <c r="H105" s="2">
        <v>1012.0</v>
      </c>
      <c r="I105" s="2">
        <v>6279.0</v>
      </c>
      <c r="J105" s="1">
        <v>1954.0</v>
      </c>
      <c r="K105" s="1">
        <v>94.0</v>
      </c>
      <c r="L105" s="1" t="s">
        <v>95</v>
      </c>
      <c r="M105" s="1" t="s">
        <v>462</v>
      </c>
      <c r="N105" s="1" t="s">
        <v>24</v>
      </c>
      <c r="O105" s="1" t="s">
        <v>35</v>
      </c>
      <c r="P105" s="1" t="s">
        <v>463</v>
      </c>
    </row>
    <row r="106" ht="14.25" customHeight="1">
      <c r="A106" s="1" t="s">
        <v>464</v>
      </c>
      <c r="B106" s="1" t="s">
        <v>465</v>
      </c>
      <c r="C106" s="1" t="s">
        <v>18</v>
      </c>
      <c r="D106" s="1">
        <v>59136.0</v>
      </c>
      <c r="E106" s="1" t="s">
        <v>60</v>
      </c>
      <c r="F106" s="1" t="s">
        <v>41</v>
      </c>
      <c r="G106" s="1" t="s">
        <v>100</v>
      </c>
      <c r="H106" s="2">
        <v>1741.0</v>
      </c>
      <c r="I106" s="2">
        <v>5632.0</v>
      </c>
      <c r="J106" s="1">
        <v>1970.0</v>
      </c>
      <c r="K106" s="1">
        <v>86.0</v>
      </c>
      <c r="L106" s="1" t="s">
        <v>32</v>
      </c>
      <c r="M106" s="1" t="s">
        <v>466</v>
      </c>
      <c r="N106" s="1" t="s">
        <v>34</v>
      </c>
      <c r="O106" s="1" t="s">
        <v>49</v>
      </c>
      <c r="P106" s="1" t="s">
        <v>467</v>
      </c>
    </row>
    <row r="107" ht="14.25" customHeight="1">
      <c r="A107" s="1" t="s">
        <v>468</v>
      </c>
      <c r="B107" s="1" t="s">
        <v>469</v>
      </c>
      <c r="C107" s="1" t="s">
        <v>76</v>
      </c>
      <c r="D107" s="1">
        <v>80680.0</v>
      </c>
      <c r="E107" s="1" t="s">
        <v>30</v>
      </c>
      <c r="F107" s="1" t="s">
        <v>61</v>
      </c>
      <c r="G107" s="1" t="s">
        <v>100</v>
      </c>
      <c r="H107" s="2">
        <v>734.0</v>
      </c>
      <c r="I107" s="2">
        <v>1972.0</v>
      </c>
      <c r="J107" s="1">
        <v>2006.0</v>
      </c>
      <c r="K107" s="1">
        <v>1.0</v>
      </c>
      <c r="L107" s="1" t="s">
        <v>62</v>
      </c>
      <c r="M107" s="1" t="s">
        <v>470</v>
      </c>
      <c r="N107" s="1" t="s">
        <v>24</v>
      </c>
      <c r="O107" s="1" t="s">
        <v>49</v>
      </c>
      <c r="P107" s="1" t="s">
        <v>471</v>
      </c>
    </row>
    <row r="108" ht="14.25" customHeight="1">
      <c r="A108" s="1" t="s">
        <v>472</v>
      </c>
      <c r="B108" s="1" t="s">
        <v>473</v>
      </c>
      <c r="C108" s="1" t="s">
        <v>53</v>
      </c>
      <c r="D108" s="1">
        <v>55266.0</v>
      </c>
      <c r="E108" s="1" t="s">
        <v>30</v>
      </c>
      <c r="F108" s="1" t="s">
        <v>94</v>
      </c>
      <c r="G108" s="1" t="s">
        <v>55</v>
      </c>
      <c r="H108" s="2">
        <v>3407.0</v>
      </c>
      <c r="I108" s="2">
        <v>3199.0</v>
      </c>
      <c r="J108" s="1">
        <v>2009.0</v>
      </c>
      <c r="K108" s="1">
        <v>96.0</v>
      </c>
      <c r="L108" s="1" t="s">
        <v>32</v>
      </c>
      <c r="M108" s="1" t="s">
        <v>474</v>
      </c>
      <c r="N108" s="1" t="s">
        <v>64</v>
      </c>
      <c r="O108" s="1" t="s">
        <v>25</v>
      </c>
      <c r="P108" s="1" t="s">
        <v>475</v>
      </c>
    </row>
    <row r="109" ht="14.25" customHeight="1">
      <c r="A109" s="1" t="s">
        <v>476</v>
      </c>
      <c r="B109" s="1" t="s">
        <v>477</v>
      </c>
      <c r="C109" s="1" t="s">
        <v>53</v>
      </c>
      <c r="D109" s="1">
        <v>85581.0</v>
      </c>
      <c r="E109" s="1" t="s">
        <v>30</v>
      </c>
      <c r="F109" s="1" t="s">
        <v>61</v>
      </c>
      <c r="G109" s="1" t="s">
        <v>21</v>
      </c>
      <c r="H109" s="2">
        <v>1232.0</v>
      </c>
      <c r="I109" s="2">
        <v>3758.0</v>
      </c>
      <c r="J109" s="1">
        <v>1976.0</v>
      </c>
      <c r="K109" s="1">
        <v>57.0</v>
      </c>
      <c r="L109" s="1" t="s">
        <v>95</v>
      </c>
      <c r="M109" s="1" t="s">
        <v>478</v>
      </c>
      <c r="N109" s="1" t="s">
        <v>43</v>
      </c>
      <c r="O109" s="1" t="s">
        <v>49</v>
      </c>
      <c r="P109" s="1" t="s">
        <v>479</v>
      </c>
    </row>
    <row r="110" ht="14.25" customHeight="1">
      <c r="A110" s="1" t="s">
        <v>480</v>
      </c>
      <c r="B110" s="1" t="s">
        <v>481</v>
      </c>
      <c r="C110" s="1" t="s">
        <v>76</v>
      </c>
      <c r="D110" s="1">
        <v>35785.0</v>
      </c>
      <c r="E110" s="1" t="s">
        <v>60</v>
      </c>
      <c r="F110" s="1" t="s">
        <v>54</v>
      </c>
      <c r="G110" s="1" t="s">
        <v>100</v>
      </c>
      <c r="H110" s="2">
        <v>2665.0</v>
      </c>
      <c r="I110" s="2">
        <v>4095.0</v>
      </c>
      <c r="J110" s="1">
        <v>2020.0</v>
      </c>
      <c r="K110" s="1">
        <v>61.0</v>
      </c>
      <c r="L110" s="1" t="s">
        <v>32</v>
      </c>
      <c r="M110" s="1" t="s">
        <v>482</v>
      </c>
      <c r="N110" s="1" t="s">
        <v>24</v>
      </c>
      <c r="O110" s="1" t="s">
        <v>25</v>
      </c>
      <c r="P110" s="1" t="s">
        <v>483</v>
      </c>
    </row>
    <row r="111" ht="14.25" customHeight="1">
      <c r="A111" s="1" t="s">
        <v>484</v>
      </c>
      <c r="B111" s="1" t="s">
        <v>485</v>
      </c>
      <c r="C111" s="1" t="s">
        <v>29</v>
      </c>
      <c r="D111" s="1">
        <v>26151.0</v>
      </c>
      <c r="E111" s="1" t="s">
        <v>30</v>
      </c>
      <c r="F111" s="1" t="s">
        <v>61</v>
      </c>
      <c r="G111" s="1" t="s">
        <v>31</v>
      </c>
      <c r="H111" s="2">
        <v>823.0</v>
      </c>
      <c r="I111" s="2">
        <v>4310.0</v>
      </c>
      <c r="J111" s="1">
        <v>2021.0</v>
      </c>
      <c r="K111" s="1">
        <v>88.0</v>
      </c>
      <c r="L111" s="1" t="s">
        <v>22</v>
      </c>
      <c r="M111" s="1" t="s">
        <v>486</v>
      </c>
      <c r="N111" s="1" t="s">
        <v>48</v>
      </c>
      <c r="O111" s="1" t="s">
        <v>25</v>
      </c>
      <c r="P111" s="1" t="s">
        <v>487</v>
      </c>
    </row>
    <row r="112" ht="14.25" customHeight="1">
      <c r="A112" s="1" t="s">
        <v>488</v>
      </c>
      <c r="B112" s="1" t="s">
        <v>489</v>
      </c>
      <c r="C112" s="1" t="s">
        <v>39</v>
      </c>
      <c r="D112" s="1">
        <v>86748.0</v>
      </c>
      <c r="E112" s="1" t="s">
        <v>60</v>
      </c>
      <c r="F112" s="1" t="s">
        <v>94</v>
      </c>
      <c r="G112" s="1" t="s">
        <v>55</v>
      </c>
      <c r="H112" s="2">
        <v>3944.0</v>
      </c>
      <c r="I112" s="2">
        <v>7637.0</v>
      </c>
      <c r="J112" s="1">
        <v>1983.0</v>
      </c>
      <c r="K112" s="1">
        <v>27.0</v>
      </c>
      <c r="L112" s="1" t="s">
        <v>22</v>
      </c>
      <c r="M112" s="1" t="s">
        <v>490</v>
      </c>
      <c r="N112" s="1" t="s">
        <v>48</v>
      </c>
      <c r="O112" s="1" t="s">
        <v>35</v>
      </c>
      <c r="P112" s="1" t="s">
        <v>491</v>
      </c>
    </row>
    <row r="113" ht="14.25" customHeight="1">
      <c r="A113" s="1" t="s">
        <v>492</v>
      </c>
      <c r="B113" s="1" t="s">
        <v>493</v>
      </c>
      <c r="C113" s="1" t="s">
        <v>39</v>
      </c>
      <c r="D113" s="1">
        <v>23389.0</v>
      </c>
      <c r="E113" s="1" t="s">
        <v>19</v>
      </c>
      <c r="F113" s="1" t="s">
        <v>46</v>
      </c>
      <c r="G113" s="1" t="s">
        <v>100</v>
      </c>
      <c r="H113" s="2">
        <v>3037.0</v>
      </c>
      <c r="I113" s="2">
        <v>9989.0</v>
      </c>
      <c r="J113" s="1">
        <v>1956.0</v>
      </c>
      <c r="K113" s="1">
        <v>25.0</v>
      </c>
      <c r="L113" s="1" t="s">
        <v>22</v>
      </c>
      <c r="M113" s="1" t="s">
        <v>494</v>
      </c>
      <c r="N113" s="1" t="s">
        <v>24</v>
      </c>
      <c r="O113" s="1" t="s">
        <v>35</v>
      </c>
      <c r="P113" s="1" t="s">
        <v>495</v>
      </c>
    </row>
    <row r="114" ht="14.25" customHeight="1">
      <c r="A114" s="1" t="s">
        <v>496</v>
      </c>
      <c r="B114" s="1" t="s">
        <v>497</v>
      </c>
      <c r="C114" s="1" t="s">
        <v>76</v>
      </c>
      <c r="D114" s="1">
        <v>97204.0</v>
      </c>
      <c r="E114" s="1" t="s">
        <v>30</v>
      </c>
      <c r="F114" s="1" t="s">
        <v>46</v>
      </c>
      <c r="G114" s="1" t="s">
        <v>100</v>
      </c>
      <c r="H114" s="2">
        <v>2796.0</v>
      </c>
      <c r="I114" s="2">
        <v>7855.0</v>
      </c>
      <c r="J114" s="1">
        <v>1969.0</v>
      </c>
      <c r="K114" s="1">
        <v>15.0</v>
      </c>
      <c r="L114" s="1" t="s">
        <v>32</v>
      </c>
      <c r="M114" s="1" t="s">
        <v>498</v>
      </c>
      <c r="N114" s="1" t="s">
        <v>24</v>
      </c>
      <c r="O114" s="1" t="s">
        <v>35</v>
      </c>
      <c r="P114" s="1" t="s">
        <v>499</v>
      </c>
    </row>
    <row r="115" ht="14.25" customHeight="1">
      <c r="A115" s="1" t="s">
        <v>500</v>
      </c>
      <c r="B115" s="1" t="s">
        <v>501</v>
      </c>
      <c r="C115" s="1" t="s">
        <v>76</v>
      </c>
      <c r="D115" s="1">
        <v>28572.0</v>
      </c>
      <c r="E115" s="1" t="s">
        <v>77</v>
      </c>
      <c r="F115" s="1" t="s">
        <v>94</v>
      </c>
      <c r="G115" s="1" t="s">
        <v>21</v>
      </c>
      <c r="H115" s="2">
        <v>2671.0</v>
      </c>
      <c r="I115" s="2">
        <v>8290.0</v>
      </c>
      <c r="J115" s="1">
        <v>1967.0</v>
      </c>
      <c r="K115" s="1">
        <v>11.0</v>
      </c>
      <c r="L115" s="1" t="s">
        <v>95</v>
      </c>
      <c r="M115" s="1" t="s">
        <v>502</v>
      </c>
      <c r="N115" s="1" t="s">
        <v>64</v>
      </c>
      <c r="O115" s="1" t="s">
        <v>25</v>
      </c>
      <c r="P115" s="1" t="s">
        <v>503</v>
      </c>
    </row>
    <row r="116" ht="14.25" customHeight="1">
      <c r="A116" s="1" t="s">
        <v>504</v>
      </c>
      <c r="B116" s="1" t="s">
        <v>505</v>
      </c>
      <c r="C116" s="1" t="s">
        <v>53</v>
      </c>
      <c r="D116" s="1">
        <v>94493.0</v>
      </c>
      <c r="E116" s="1" t="s">
        <v>60</v>
      </c>
      <c r="F116" s="1" t="s">
        <v>94</v>
      </c>
      <c r="G116" s="1" t="s">
        <v>21</v>
      </c>
      <c r="H116" s="2">
        <v>1540.0</v>
      </c>
      <c r="I116" s="2">
        <v>4699.0</v>
      </c>
      <c r="J116" s="1">
        <v>1962.0</v>
      </c>
      <c r="K116" s="1">
        <v>34.0</v>
      </c>
      <c r="L116" s="1" t="s">
        <v>62</v>
      </c>
      <c r="M116" s="1" t="s">
        <v>506</v>
      </c>
      <c r="N116" s="1" t="s">
        <v>24</v>
      </c>
      <c r="O116" s="1" t="s">
        <v>35</v>
      </c>
      <c r="P116" s="1" t="s">
        <v>507</v>
      </c>
    </row>
    <row r="117" ht="14.25" customHeight="1">
      <c r="A117" s="1" t="s">
        <v>508</v>
      </c>
      <c r="B117" s="1" t="s">
        <v>509</v>
      </c>
      <c r="C117" s="1" t="s">
        <v>76</v>
      </c>
      <c r="D117" s="1">
        <v>99466.0</v>
      </c>
      <c r="E117" s="1" t="s">
        <v>19</v>
      </c>
      <c r="F117" s="1" t="s">
        <v>61</v>
      </c>
      <c r="G117" s="1" t="s">
        <v>21</v>
      </c>
      <c r="H117" s="2">
        <v>3428.0</v>
      </c>
      <c r="I117" s="2">
        <v>3914.0</v>
      </c>
      <c r="J117" s="1">
        <v>2015.0</v>
      </c>
      <c r="K117" s="1">
        <v>43.0</v>
      </c>
      <c r="L117" s="1" t="s">
        <v>95</v>
      </c>
      <c r="M117" s="1" t="s">
        <v>510</v>
      </c>
      <c r="N117" s="1" t="s">
        <v>43</v>
      </c>
      <c r="O117" s="1" t="s">
        <v>35</v>
      </c>
      <c r="P117" s="1" t="s">
        <v>511</v>
      </c>
    </row>
    <row r="118" ht="14.25" customHeight="1">
      <c r="A118" s="1" t="s">
        <v>512</v>
      </c>
      <c r="B118" s="1" t="s">
        <v>513</v>
      </c>
      <c r="C118" s="1" t="s">
        <v>39</v>
      </c>
      <c r="D118" s="1">
        <v>79802.0</v>
      </c>
      <c r="E118" s="1" t="s">
        <v>19</v>
      </c>
      <c r="F118" s="1" t="s">
        <v>41</v>
      </c>
      <c r="G118" s="1" t="s">
        <v>21</v>
      </c>
      <c r="H118" s="2">
        <v>2284.0</v>
      </c>
      <c r="I118" s="2">
        <v>4615.0</v>
      </c>
      <c r="J118" s="1">
        <v>1964.0</v>
      </c>
      <c r="K118" s="1">
        <v>55.0</v>
      </c>
      <c r="L118" s="1" t="s">
        <v>62</v>
      </c>
      <c r="M118" s="1" t="s">
        <v>514</v>
      </c>
      <c r="N118" s="1" t="s">
        <v>24</v>
      </c>
      <c r="O118" s="1" t="s">
        <v>49</v>
      </c>
      <c r="P118" s="1" t="s">
        <v>515</v>
      </c>
    </row>
    <row r="119" ht="14.25" customHeight="1">
      <c r="A119" s="1" t="s">
        <v>516</v>
      </c>
      <c r="B119" s="1" t="s">
        <v>517</v>
      </c>
      <c r="C119" s="1" t="s">
        <v>39</v>
      </c>
      <c r="D119" s="1">
        <v>97567.0</v>
      </c>
      <c r="E119" s="1" t="s">
        <v>19</v>
      </c>
      <c r="F119" s="1" t="s">
        <v>61</v>
      </c>
      <c r="G119" s="1" t="s">
        <v>21</v>
      </c>
      <c r="H119" s="2">
        <v>1506.0</v>
      </c>
      <c r="I119" s="2">
        <v>3116.0</v>
      </c>
      <c r="J119" s="1">
        <v>2004.0</v>
      </c>
      <c r="K119" s="1">
        <v>117.0</v>
      </c>
      <c r="L119" s="1" t="s">
        <v>22</v>
      </c>
      <c r="M119" s="1" t="s">
        <v>518</v>
      </c>
      <c r="N119" s="1" t="s">
        <v>24</v>
      </c>
      <c r="O119" s="1" t="s">
        <v>35</v>
      </c>
      <c r="P119" s="1" t="s">
        <v>519</v>
      </c>
    </row>
    <row r="120" ht="14.25" customHeight="1">
      <c r="A120" s="1" t="s">
        <v>520</v>
      </c>
      <c r="B120" s="1" t="s">
        <v>521</v>
      </c>
      <c r="C120" s="1" t="s">
        <v>76</v>
      </c>
      <c r="D120" s="1">
        <v>93091.0</v>
      </c>
      <c r="E120" s="1" t="s">
        <v>40</v>
      </c>
      <c r="F120" s="1" t="s">
        <v>94</v>
      </c>
      <c r="G120" s="1" t="s">
        <v>55</v>
      </c>
      <c r="H120" s="2">
        <v>2154.0</v>
      </c>
      <c r="I120" s="2">
        <v>9985.0</v>
      </c>
      <c r="J120" s="1">
        <v>1971.0</v>
      </c>
      <c r="K120" s="1">
        <v>71.0</v>
      </c>
      <c r="L120" s="1" t="s">
        <v>141</v>
      </c>
      <c r="M120" s="1" t="s">
        <v>522</v>
      </c>
      <c r="N120" s="1" t="s">
        <v>34</v>
      </c>
      <c r="O120" s="1" t="s">
        <v>49</v>
      </c>
      <c r="P120" s="1" t="s">
        <v>523</v>
      </c>
    </row>
    <row r="121" ht="14.25" customHeight="1">
      <c r="A121" s="1" t="s">
        <v>524</v>
      </c>
      <c r="B121" s="1" t="s">
        <v>525</v>
      </c>
      <c r="C121" s="1" t="s">
        <v>29</v>
      </c>
      <c r="D121" s="1">
        <v>69229.0</v>
      </c>
      <c r="E121" s="1" t="s">
        <v>30</v>
      </c>
      <c r="F121" s="1" t="s">
        <v>61</v>
      </c>
      <c r="G121" s="1" t="s">
        <v>21</v>
      </c>
      <c r="H121" s="2">
        <v>3518.0</v>
      </c>
      <c r="I121" s="2">
        <v>5620.0</v>
      </c>
      <c r="J121" s="1">
        <v>2002.0</v>
      </c>
      <c r="K121" s="1">
        <v>12.0</v>
      </c>
      <c r="L121" s="1" t="s">
        <v>22</v>
      </c>
      <c r="M121" s="1" t="s">
        <v>526</v>
      </c>
      <c r="N121" s="1" t="s">
        <v>24</v>
      </c>
      <c r="O121" s="1" t="s">
        <v>49</v>
      </c>
      <c r="P121" s="1" t="s">
        <v>527</v>
      </c>
    </row>
    <row r="122" ht="14.25" customHeight="1">
      <c r="A122" s="1" t="s">
        <v>528</v>
      </c>
      <c r="B122" s="1" t="s">
        <v>529</v>
      </c>
      <c r="C122" s="1" t="s">
        <v>18</v>
      </c>
      <c r="D122" s="1">
        <v>94614.0</v>
      </c>
      <c r="E122" s="1" t="s">
        <v>60</v>
      </c>
      <c r="F122" s="1" t="s">
        <v>61</v>
      </c>
      <c r="G122" s="1" t="s">
        <v>21</v>
      </c>
      <c r="H122" s="2">
        <v>2666.0</v>
      </c>
      <c r="I122" s="2">
        <v>5243.0</v>
      </c>
      <c r="J122" s="1">
        <v>1995.0</v>
      </c>
      <c r="K122" s="1">
        <v>16.0</v>
      </c>
      <c r="L122" s="1" t="s">
        <v>95</v>
      </c>
      <c r="M122" s="1" t="s">
        <v>530</v>
      </c>
      <c r="N122" s="1" t="s">
        <v>24</v>
      </c>
      <c r="O122" s="1" t="s">
        <v>25</v>
      </c>
      <c r="P122" s="1" t="s">
        <v>531</v>
      </c>
    </row>
    <row r="123" ht="14.25" customHeight="1">
      <c r="A123" s="1" t="s">
        <v>532</v>
      </c>
      <c r="B123" s="1" t="s">
        <v>533</v>
      </c>
      <c r="C123" s="1" t="s">
        <v>18</v>
      </c>
      <c r="D123" s="1">
        <v>67157.0</v>
      </c>
      <c r="E123" s="1" t="s">
        <v>30</v>
      </c>
      <c r="F123" s="1" t="s">
        <v>54</v>
      </c>
      <c r="G123" s="1" t="s">
        <v>31</v>
      </c>
      <c r="H123" s="2">
        <v>3411.0</v>
      </c>
      <c r="I123" s="2">
        <v>6632.0</v>
      </c>
      <c r="J123" s="1">
        <v>1956.0</v>
      </c>
      <c r="K123" s="1">
        <v>88.0</v>
      </c>
      <c r="L123" s="1" t="s">
        <v>95</v>
      </c>
      <c r="M123" s="1" t="s">
        <v>534</v>
      </c>
      <c r="N123" s="1" t="s">
        <v>48</v>
      </c>
      <c r="O123" s="1" t="s">
        <v>25</v>
      </c>
      <c r="P123" s="1" t="s">
        <v>535</v>
      </c>
    </row>
    <row r="124" ht="14.25" customHeight="1">
      <c r="A124" s="1" t="s">
        <v>536</v>
      </c>
      <c r="B124" s="1" t="s">
        <v>537</v>
      </c>
      <c r="C124" s="1" t="s">
        <v>39</v>
      </c>
      <c r="D124" s="1">
        <v>23470.0</v>
      </c>
      <c r="E124" s="1" t="s">
        <v>60</v>
      </c>
      <c r="F124" s="1" t="s">
        <v>61</v>
      </c>
      <c r="G124" s="1" t="s">
        <v>21</v>
      </c>
      <c r="H124" s="2">
        <v>1628.0</v>
      </c>
      <c r="I124" s="2">
        <v>2454.0</v>
      </c>
      <c r="J124" s="1">
        <v>2002.0</v>
      </c>
      <c r="K124" s="1">
        <v>76.0</v>
      </c>
      <c r="L124" s="1" t="s">
        <v>32</v>
      </c>
      <c r="M124" s="1" t="s">
        <v>538</v>
      </c>
      <c r="N124" s="1" t="s">
        <v>43</v>
      </c>
      <c r="O124" s="1" t="s">
        <v>49</v>
      </c>
      <c r="P124" s="1" t="s">
        <v>539</v>
      </c>
    </row>
    <row r="125" ht="14.25" customHeight="1">
      <c r="A125" s="1" t="s">
        <v>540</v>
      </c>
      <c r="B125" s="1" t="s">
        <v>541</v>
      </c>
      <c r="C125" s="1" t="s">
        <v>29</v>
      </c>
      <c r="D125" s="1">
        <v>98601.0</v>
      </c>
      <c r="E125" s="1" t="s">
        <v>60</v>
      </c>
      <c r="F125" s="1" t="s">
        <v>41</v>
      </c>
      <c r="G125" s="1" t="s">
        <v>55</v>
      </c>
      <c r="H125" s="2">
        <v>3167.0</v>
      </c>
      <c r="I125" s="2">
        <v>9130.0</v>
      </c>
      <c r="J125" s="1">
        <v>1957.0</v>
      </c>
      <c r="K125" s="1">
        <v>120.0</v>
      </c>
      <c r="L125" s="1" t="s">
        <v>22</v>
      </c>
      <c r="M125" s="1" t="s">
        <v>542</v>
      </c>
      <c r="N125" s="1" t="s">
        <v>64</v>
      </c>
      <c r="O125" s="1" t="s">
        <v>35</v>
      </c>
      <c r="P125" s="1" t="s">
        <v>543</v>
      </c>
    </row>
    <row r="126" ht="14.25" customHeight="1">
      <c r="A126" s="1" t="s">
        <v>544</v>
      </c>
      <c r="B126" s="1" t="s">
        <v>545</v>
      </c>
      <c r="C126" s="1" t="s">
        <v>39</v>
      </c>
      <c r="D126" s="1">
        <v>39637.0</v>
      </c>
      <c r="E126" s="1" t="s">
        <v>60</v>
      </c>
      <c r="F126" s="1" t="s">
        <v>20</v>
      </c>
      <c r="G126" s="1" t="s">
        <v>21</v>
      </c>
      <c r="H126" s="2">
        <v>3060.0</v>
      </c>
      <c r="I126" s="2">
        <v>4666.0</v>
      </c>
      <c r="J126" s="1">
        <v>1974.0</v>
      </c>
      <c r="K126" s="1">
        <v>46.0</v>
      </c>
      <c r="L126" s="1" t="s">
        <v>62</v>
      </c>
      <c r="M126" s="1" t="s">
        <v>546</v>
      </c>
      <c r="N126" s="1" t="s">
        <v>64</v>
      </c>
      <c r="O126" s="1" t="s">
        <v>25</v>
      </c>
      <c r="P126" s="1" t="s">
        <v>547</v>
      </c>
    </row>
    <row r="127" ht="14.25" customHeight="1">
      <c r="A127" s="1" t="s">
        <v>548</v>
      </c>
      <c r="B127" s="1" t="s">
        <v>549</v>
      </c>
      <c r="C127" s="1" t="s">
        <v>18</v>
      </c>
      <c r="D127" s="1">
        <v>76613.0</v>
      </c>
      <c r="E127" s="1" t="s">
        <v>19</v>
      </c>
      <c r="F127" s="1" t="s">
        <v>61</v>
      </c>
      <c r="G127" s="1" t="s">
        <v>55</v>
      </c>
      <c r="H127" s="2">
        <v>1800.0</v>
      </c>
      <c r="I127" s="2">
        <v>8145.0</v>
      </c>
      <c r="J127" s="1">
        <v>1987.0</v>
      </c>
      <c r="K127" s="1">
        <v>49.0</v>
      </c>
      <c r="L127" s="1" t="s">
        <v>141</v>
      </c>
      <c r="M127" s="1" t="s">
        <v>550</v>
      </c>
      <c r="N127" s="1" t="s">
        <v>34</v>
      </c>
      <c r="O127" s="1" t="s">
        <v>25</v>
      </c>
      <c r="P127" s="1" t="s">
        <v>551</v>
      </c>
    </row>
    <row r="128" ht="14.25" customHeight="1">
      <c r="A128" s="1" t="s">
        <v>552</v>
      </c>
      <c r="B128" s="1" t="s">
        <v>553</v>
      </c>
      <c r="C128" s="1" t="s">
        <v>76</v>
      </c>
      <c r="D128" s="1">
        <v>48137.0</v>
      </c>
      <c r="E128" s="1" t="s">
        <v>19</v>
      </c>
      <c r="F128" s="1" t="s">
        <v>46</v>
      </c>
      <c r="G128" s="1" t="s">
        <v>21</v>
      </c>
      <c r="H128" s="2">
        <v>1809.0</v>
      </c>
      <c r="I128" s="2">
        <v>2168.0</v>
      </c>
      <c r="J128" s="1">
        <v>1988.0</v>
      </c>
      <c r="K128" s="1">
        <v>26.0</v>
      </c>
      <c r="L128" s="1" t="s">
        <v>95</v>
      </c>
      <c r="M128" s="1" t="s">
        <v>554</v>
      </c>
      <c r="N128" s="1" t="s">
        <v>48</v>
      </c>
      <c r="O128" s="1" t="s">
        <v>25</v>
      </c>
      <c r="P128" s="1" t="s">
        <v>555</v>
      </c>
    </row>
    <row r="129" ht="14.25" customHeight="1">
      <c r="A129" s="1" t="s">
        <v>556</v>
      </c>
      <c r="B129" s="1" t="s">
        <v>557</v>
      </c>
      <c r="C129" s="1" t="s">
        <v>18</v>
      </c>
      <c r="D129" s="1">
        <v>80136.0</v>
      </c>
      <c r="E129" s="1" t="s">
        <v>60</v>
      </c>
      <c r="F129" s="1" t="s">
        <v>41</v>
      </c>
      <c r="G129" s="1" t="s">
        <v>55</v>
      </c>
      <c r="H129" s="2">
        <v>3061.0</v>
      </c>
      <c r="I129" s="2">
        <v>8290.0</v>
      </c>
      <c r="J129" s="1">
        <v>2000.0</v>
      </c>
      <c r="K129" s="1">
        <v>78.0</v>
      </c>
      <c r="L129" s="1" t="s">
        <v>22</v>
      </c>
      <c r="M129" s="1" t="s">
        <v>558</v>
      </c>
      <c r="N129" s="1" t="s">
        <v>24</v>
      </c>
      <c r="O129" s="1" t="s">
        <v>35</v>
      </c>
      <c r="P129" s="1" t="s">
        <v>559</v>
      </c>
    </row>
    <row r="130" ht="14.25" customHeight="1">
      <c r="A130" s="1" t="s">
        <v>560</v>
      </c>
      <c r="B130" s="1" t="s">
        <v>561</v>
      </c>
      <c r="C130" s="1" t="s">
        <v>53</v>
      </c>
      <c r="D130" s="1">
        <v>42568.0</v>
      </c>
      <c r="E130" s="1" t="s">
        <v>77</v>
      </c>
      <c r="F130" s="1" t="s">
        <v>54</v>
      </c>
      <c r="G130" s="1" t="s">
        <v>31</v>
      </c>
      <c r="H130" s="2">
        <v>2988.0</v>
      </c>
      <c r="I130" s="2">
        <v>7286.0</v>
      </c>
      <c r="J130" s="1">
        <v>2017.0</v>
      </c>
      <c r="K130" s="1">
        <v>36.0</v>
      </c>
      <c r="L130" s="1" t="s">
        <v>32</v>
      </c>
      <c r="M130" s="1" t="s">
        <v>562</v>
      </c>
      <c r="N130" s="1" t="s">
        <v>48</v>
      </c>
      <c r="O130" s="1" t="s">
        <v>49</v>
      </c>
      <c r="P130" s="1" t="s">
        <v>563</v>
      </c>
    </row>
    <row r="131" ht="14.25" customHeight="1">
      <c r="A131" s="1" t="s">
        <v>564</v>
      </c>
      <c r="B131" s="1" t="s">
        <v>565</v>
      </c>
      <c r="C131" s="1" t="s">
        <v>53</v>
      </c>
      <c r="D131" s="1">
        <v>32340.0</v>
      </c>
      <c r="E131" s="1" t="s">
        <v>30</v>
      </c>
      <c r="F131" s="1" t="s">
        <v>54</v>
      </c>
      <c r="G131" s="1" t="s">
        <v>31</v>
      </c>
      <c r="H131" s="2">
        <v>2897.0</v>
      </c>
      <c r="I131" s="2">
        <v>9444.0</v>
      </c>
      <c r="J131" s="1">
        <v>1997.0</v>
      </c>
      <c r="K131" s="1">
        <v>90.0</v>
      </c>
      <c r="L131" s="1" t="s">
        <v>141</v>
      </c>
      <c r="M131" s="1" t="s">
        <v>566</v>
      </c>
      <c r="N131" s="1" t="s">
        <v>34</v>
      </c>
      <c r="O131" s="1" t="s">
        <v>49</v>
      </c>
      <c r="P131" s="1" t="s">
        <v>567</v>
      </c>
    </row>
    <row r="132" ht="14.25" customHeight="1">
      <c r="A132" s="1" t="s">
        <v>568</v>
      </c>
      <c r="B132" s="1" t="s">
        <v>569</v>
      </c>
      <c r="C132" s="1" t="s">
        <v>53</v>
      </c>
      <c r="D132" s="1">
        <v>30265.0</v>
      </c>
      <c r="E132" s="1" t="s">
        <v>19</v>
      </c>
      <c r="F132" s="1" t="s">
        <v>94</v>
      </c>
      <c r="G132" s="1" t="s">
        <v>55</v>
      </c>
      <c r="H132" s="2">
        <v>3524.0</v>
      </c>
      <c r="I132" s="2">
        <v>3925.0</v>
      </c>
      <c r="J132" s="1">
        <v>1955.0</v>
      </c>
      <c r="K132" s="1">
        <v>115.0</v>
      </c>
      <c r="L132" s="1" t="s">
        <v>32</v>
      </c>
      <c r="M132" s="1" t="s">
        <v>570</v>
      </c>
      <c r="N132" s="1" t="s">
        <v>43</v>
      </c>
      <c r="O132" s="1" t="s">
        <v>35</v>
      </c>
      <c r="P132" s="1" t="s">
        <v>571</v>
      </c>
    </row>
    <row r="133" ht="14.25" customHeight="1">
      <c r="A133" s="1" t="s">
        <v>572</v>
      </c>
      <c r="B133" s="1" t="s">
        <v>573</v>
      </c>
      <c r="C133" s="1" t="s">
        <v>76</v>
      </c>
      <c r="D133" s="1">
        <v>88019.0</v>
      </c>
      <c r="E133" s="1" t="s">
        <v>60</v>
      </c>
      <c r="F133" s="1" t="s">
        <v>41</v>
      </c>
      <c r="G133" s="1" t="s">
        <v>31</v>
      </c>
      <c r="H133" s="2">
        <v>963.0</v>
      </c>
      <c r="I133" s="2">
        <v>5769.0</v>
      </c>
      <c r="J133" s="1">
        <v>2008.0</v>
      </c>
      <c r="K133" s="1">
        <v>78.0</v>
      </c>
      <c r="L133" s="1" t="s">
        <v>95</v>
      </c>
      <c r="M133" s="1" t="s">
        <v>574</v>
      </c>
      <c r="N133" s="1" t="s">
        <v>48</v>
      </c>
      <c r="O133" s="1" t="s">
        <v>25</v>
      </c>
      <c r="P133" s="1" t="s">
        <v>575</v>
      </c>
    </row>
    <row r="134" ht="14.25" customHeight="1">
      <c r="A134" s="1" t="s">
        <v>576</v>
      </c>
      <c r="B134" s="1" t="s">
        <v>577</v>
      </c>
      <c r="C134" s="1" t="s">
        <v>18</v>
      </c>
      <c r="D134" s="1">
        <v>63640.0</v>
      </c>
      <c r="E134" s="1" t="s">
        <v>40</v>
      </c>
      <c r="F134" s="1" t="s">
        <v>41</v>
      </c>
      <c r="G134" s="1" t="s">
        <v>100</v>
      </c>
      <c r="H134" s="2">
        <v>2701.0</v>
      </c>
      <c r="I134" s="2">
        <v>9476.0</v>
      </c>
      <c r="J134" s="1">
        <v>1995.0</v>
      </c>
      <c r="K134" s="1">
        <v>47.0</v>
      </c>
      <c r="L134" s="1" t="s">
        <v>62</v>
      </c>
      <c r="M134" s="1" t="s">
        <v>578</v>
      </c>
      <c r="N134" s="1" t="s">
        <v>24</v>
      </c>
      <c r="O134" s="1" t="s">
        <v>35</v>
      </c>
      <c r="P134" s="1" t="s">
        <v>579</v>
      </c>
    </row>
    <row r="135" ht="14.25" customHeight="1">
      <c r="A135" s="1" t="s">
        <v>580</v>
      </c>
      <c r="B135" s="1" t="s">
        <v>581</v>
      </c>
      <c r="C135" s="1" t="s">
        <v>39</v>
      </c>
      <c r="D135" s="1">
        <v>72385.0</v>
      </c>
      <c r="E135" s="1" t="s">
        <v>19</v>
      </c>
      <c r="F135" s="1" t="s">
        <v>61</v>
      </c>
      <c r="G135" s="1" t="s">
        <v>55</v>
      </c>
      <c r="H135" s="2">
        <v>904.0</v>
      </c>
      <c r="I135" s="2">
        <v>9151.0</v>
      </c>
      <c r="J135" s="1">
        <v>1956.0</v>
      </c>
      <c r="K135" s="1">
        <v>75.0</v>
      </c>
      <c r="L135" s="1" t="s">
        <v>32</v>
      </c>
      <c r="M135" s="1" t="s">
        <v>582</v>
      </c>
      <c r="N135" s="1" t="s">
        <v>64</v>
      </c>
      <c r="O135" s="1" t="s">
        <v>35</v>
      </c>
      <c r="P135" s="1" t="s">
        <v>583</v>
      </c>
    </row>
    <row r="136" ht="14.25" customHeight="1">
      <c r="A136" s="1" t="s">
        <v>584</v>
      </c>
      <c r="B136" s="1" t="s">
        <v>585</v>
      </c>
      <c r="C136" s="1" t="s">
        <v>29</v>
      </c>
      <c r="D136" s="1">
        <v>47843.0</v>
      </c>
      <c r="E136" s="1" t="s">
        <v>60</v>
      </c>
      <c r="F136" s="1" t="s">
        <v>20</v>
      </c>
      <c r="G136" s="1" t="s">
        <v>31</v>
      </c>
      <c r="H136" s="2">
        <v>2107.0</v>
      </c>
      <c r="I136" s="2">
        <v>6485.0</v>
      </c>
      <c r="J136" s="1">
        <v>2012.0</v>
      </c>
      <c r="K136" s="1">
        <v>10.0</v>
      </c>
      <c r="L136" s="1" t="s">
        <v>32</v>
      </c>
      <c r="M136" s="1" t="s">
        <v>586</v>
      </c>
      <c r="N136" s="1" t="s">
        <v>43</v>
      </c>
      <c r="O136" s="1" t="s">
        <v>35</v>
      </c>
      <c r="P136" s="1" t="s">
        <v>587</v>
      </c>
    </row>
    <row r="137" ht="14.25" customHeight="1">
      <c r="A137" s="1" t="s">
        <v>588</v>
      </c>
      <c r="B137" s="1" t="s">
        <v>589</v>
      </c>
      <c r="C137" s="1" t="s">
        <v>76</v>
      </c>
      <c r="D137" s="1">
        <v>63077.0</v>
      </c>
      <c r="E137" s="1" t="s">
        <v>30</v>
      </c>
      <c r="F137" s="1" t="s">
        <v>20</v>
      </c>
      <c r="G137" s="1" t="s">
        <v>100</v>
      </c>
      <c r="H137" s="2">
        <v>2573.0</v>
      </c>
      <c r="I137" s="2">
        <v>6461.0</v>
      </c>
      <c r="J137" s="1">
        <v>2022.0</v>
      </c>
      <c r="K137" s="1">
        <v>22.0</v>
      </c>
      <c r="L137" s="1" t="s">
        <v>32</v>
      </c>
      <c r="M137" s="1" t="s">
        <v>590</v>
      </c>
      <c r="N137" s="1" t="s">
        <v>24</v>
      </c>
      <c r="O137" s="1" t="s">
        <v>49</v>
      </c>
      <c r="P137" s="1" t="s">
        <v>591</v>
      </c>
    </row>
    <row r="138" ht="14.25" customHeight="1">
      <c r="A138" s="1" t="s">
        <v>592</v>
      </c>
      <c r="B138" s="1" t="s">
        <v>593</v>
      </c>
      <c r="C138" s="1" t="s">
        <v>18</v>
      </c>
      <c r="D138" s="1">
        <v>32946.0</v>
      </c>
      <c r="E138" s="1" t="s">
        <v>19</v>
      </c>
      <c r="F138" s="1" t="s">
        <v>46</v>
      </c>
      <c r="G138" s="1" t="s">
        <v>31</v>
      </c>
      <c r="H138" s="2">
        <v>3733.0</v>
      </c>
      <c r="I138" s="2">
        <v>1332.0</v>
      </c>
      <c r="J138" s="1">
        <v>1960.0</v>
      </c>
      <c r="K138" s="1">
        <v>114.0</v>
      </c>
      <c r="L138" s="1" t="s">
        <v>95</v>
      </c>
      <c r="M138" s="1" t="s">
        <v>594</v>
      </c>
      <c r="N138" s="1" t="s">
        <v>48</v>
      </c>
      <c r="O138" s="1" t="s">
        <v>35</v>
      </c>
      <c r="P138" s="1" t="s">
        <v>595</v>
      </c>
    </row>
    <row r="139" ht="14.25" customHeight="1">
      <c r="A139" s="1" t="s">
        <v>596</v>
      </c>
      <c r="B139" s="1" t="s">
        <v>597</v>
      </c>
      <c r="C139" s="1" t="s">
        <v>53</v>
      </c>
      <c r="D139" s="1">
        <v>24352.0</v>
      </c>
      <c r="E139" s="1" t="s">
        <v>77</v>
      </c>
      <c r="F139" s="1" t="s">
        <v>61</v>
      </c>
      <c r="G139" s="1" t="s">
        <v>31</v>
      </c>
      <c r="H139" s="2">
        <v>3232.0</v>
      </c>
      <c r="I139" s="2">
        <v>2119.0</v>
      </c>
      <c r="J139" s="1">
        <v>2019.0</v>
      </c>
      <c r="K139" s="1">
        <v>43.0</v>
      </c>
      <c r="L139" s="1" t="s">
        <v>62</v>
      </c>
      <c r="M139" s="1" t="s">
        <v>598</v>
      </c>
      <c r="N139" s="1" t="s">
        <v>34</v>
      </c>
      <c r="O139" s="1" t="s">
        <v>25</v>
      </c>
      <c r="P139" s="1" t="s">
        <v>599</v>
      </c>
    </row>
    <row r="140" ht="14.25" customHeight="1">
      <c r="A140" s="1" t="s">
        <v>600</v>
      </c>
      <c r="B140" s="1" t="s">
        <v>601</v>
      </c>
      <c r="C140" s="1" t="s">
        <v>39</v>
      </c>
      <c r="D140" s="1">
        <v>32785.0</v>
      </c>
      <c r="E140" s="1" t="s">
        <v>30</v>
      </c>
      <c r="F140" s="1" t="s">
        <v>41</v>
      </c>
      <c r="G140" s="1" t="s">
        <v>21</v>
      </c>
      <c r="H140" s="2">
        <v>1624.0</v>
      </c>
      <c r="I140" s="2">
        <v>1726.0</v>
      </c>
      <c r="J140" s="1">
        <v>1972.0</v>
      </c>
      <c r="K140" s="1">
        <v>18.0</v>
      </c>
      <c r="L140" s="1" t="s">
        <v>22</v>
      </c>
      <c r="M140" s="1" t="s">
        <v>602</v>
      </c>
      <c r="N140" s="1" t="s">
        <v>34</v>
      </c>
      <c r="O140" s="1" t="s">
        <v>25</v>
      </c>
      <c r="P140" s="1" t="s">
        <v>603</v>
      </c>
    </row>
    <row r="141" ht="14.25" customHeight="1">
      <c r="A141" s="1" t="s">
        <v>604</v>
      </c>
      <c r="B141" s="1" t="s">
        <v>605</v>
      </c>
      <c r="C141" s="1" t="s">
        <v>53</v>
      </c>
      <c r="D141" s="1">
        <v>39301.0</v>
      </c>
      <c r="E141" s="1" t="s">
        <v>30</v>
      </c>
      <c r="F141" s="1" t="s">
        <v>54</v>
      </c>
      <c r="G141" s="1" t="s">
        <v>100</v>
      </c>
      <c r="H141" s="2">
        <v>2722.0</v>
      </c>
      <c r="I141" s="2">
        <v>8216.0</v>
      </c>
      <c r="J141" s="1">
        <v>1998.0</v>
      </c>
      <c r="K141" s="1">
        <v>14.0</v>
      </c>
      <c r="L141" s="1" t="s">
        <v>95</v>
      </c>
      <c r="M141" s="1" t="s">
        <v>606</v>
      </c>
      <c r="N141" s="1" t="s">
        <v>24</v>
      </c>
      <c r="O141" s="1" t="s">
        <v>49</v>
      </c>
      <c r="P141" s="1" t="s">
        <v>607</v>
      </c>
    </row>
    <row r="142" ht="14.25" customHeight="1">
      <c r="A142" s="1" t="s">
        <v>608</v>
      </c>
      <c r="B142" s="1" t="s">
        <v>609</v>
      </c>
      <c r="C142" s="1" t="s">
        <v>29</v>
      </c>
      <c r="D142" s="1">
        <v>28333.0</v>
      </c>
      <c r="E142" s="1" t="s">
        <v>19</v>
      </c>
      <c r="F142" s="1" t="s">
        <v>46</v>
      </c>
      <c r="G142" s="1" t="s">
        <v>21</v>
      </c>
      <c r="H142" s="2">
        <v>1009.0</v>
      </c>
      <c r="I142" s="2">
        <v>8969.0</v>
      </c>
      <c r="J142" s="1">
        <v>2022.0</v>
      </c>
      <c r="K142" s="1">
        <v>58.0</v>
      </c>
      <c r="L142" s="1" t="s">
        <v>95</v>
      </c>
      <c r="M142" s="1" t="s">
        <v>610</v>
      </c>
      <c r="N142" s="1" t="s">
        <v>24</v>
      </c>
      <c r="O142" s="1" t="s">
        <v>35</v>
      </c>
      <c r="P142" s="1" t="s">
        <v>611</v>
      </c>
    </row>
    <row r="143" ht="14.25" customHeight="1">
      <c r="A143" s="1" t="s">
        <v>612</v>
      </c>
      <c r="B143" s="1" t="s">
        <v>613</v>
      </c>
      <c r="C143" s="1" t="s">
        <v>29</v>
      </c>
      <c r="D143" s="1">
        <v>63885.0</v>
      </c>
      <c r="E143" s="1" t="s">
        <v>77</v>
      </c>
      <c r="F143" s="1" t="s">
        <v>54</v>
      </c>
      <c r="G143" s="1" t="s">
        <v>31</v>
      </c>
      <c r="H143" s="2">
        <v>3584.0</v>
      </c>
      <c r="I143" s="2">
        <v>1287.0</v>
      </c>
      <c r="J143" s="1">
        <v>1968.0</v>
      </c>
      <c r="K143" s="1">
        <v>109.0</v>
      </c>
      <c r="L143" s="1" t="s">
        <v>22</v>
      </c>
      <c r="M143" s="1" t="s">
        <v>614</v>
      </c>
      <c r="N143" s="1" t="s">
        <v>24</v>
      </c>
      <c r="O143" s="1" t="s">
        <v>35</v>
      </c>
      <c r="P143" s="1" t="s">
        <v>615</v>
      </c>
    </row>
    <row r="144" ht="14.25" customHeight="1">
      <c r="A144" s="1" t="s">
        <v>616</v>
      </c>
      <c r="B144" s="1" t="s">
        <v>617</v>
      </c>
      <c r="C144" s="1" t="s">
        <v>18</v>
      </c>
      <c r="D144" s="1">
        <v>79681.0</v>
      </c>
      <c r="E144" s="1" t="s">
        <v>19</v>
      </c>
      <c r="F144" s="1" t="s">
        <v>61</v>
      </c>
      <c r="G144" s="1" t="s">
        <v>21</v>
      </c>
      <c r="H144" s="2">
        <v>939.0</v>
      </c>
      <c r="I144" s="2">
        <v>9095.0</v>
      </c>
      <c r="J144" s="1">
        <v>1982.0</v>
      </c>
      <c r="K144" s="1">
        <v>66.0</v>
      </c>
      <c r="L144" s="1" t="s">
        <v>141</v>
      </c>
      <c r="M144" s="1" t="s">
        <v>618</v>
      </c>
      <c r="N144" s="1" t="s">
        <v>64</v>
      </c>
      <c r="O144" s="1" t="s">
        <v>25</v>
      </c>
      <c r="P144" s="1" t="s">
        <v>619</v>
      </c>
    </row>
    <row r="145" ht="14.25" customHeight="1">
      <c r="A145" s="1" t="s">
        <v>620</v>
      </c>
      <c r="B145" s="1" t="s">
        <v>621</v>
      </c>
      <c r="C145" s="1" t="s">
        <v>39</v>
      </c>
      <c r="D145" s="1">
        <v>96050.0</v>
      </c>
      <c r="E145" s="1" t="s">
        <v>77</v>
      </c>
      <c r="F145" s="1" t="s">
        <v>46</v>
      </c>
      <c r="G145" s="1" t="s">
        <v>100</v>
      </c>
      <c r="H145" s="2">
        <v>1845.0</v>
      </c>
      <c r="I145" s="2">
        <v>3851.0</v>
      </c>
      <c r="J145" s="1">
        <v>1998.0</v>
      </c>
      <c r="K145" s="1">
        <v>91.0</v>
      </c>
      <c r="L145" s="1" t="s">
        <v>62</v>
      </c>
      <c r="M145" s="1" t="s">
        <v>622</v>
      </c>
      <c r="N145" s="1" t="s">
        <v>34</v>
      </c>
      <c r="O145" s="1" t="s">
        <v>35</v>
      </c>
      <c r="P145" s="1" t="s">
        <v>623</v>
      </c>
    </row>
    <row r="146" ht="14.25" customHeight="1">
      <c r="A146" s="1" t="s">
        <v>624</v>
      </c>
      <c r="B146" s="1" t="s">
        <v>625</v>
      </c>
      <c r="C146" s="1" t="s">
        <v>76</v>
      </c>
      <c r="D146" s="1">
        <v>11339.0</v>
      </c>
      <c r="E146" s="1" t="s">
        <v>19</v>
      </c>
      <c r="F146" s="1" t="s">
        <v>41</v>
      </c>
      <c r="G146" s="1" t="s">
        <v>31</v>
      </c>
      <c r="H146" s="2">
        <v>803.0</v>
      </c>
      <c r="I146" s="2">
        <v>6903.0</v>
      </c>
      <c r="J146" s="1">
        <v>2010.0</v>
      </c>
      <c r="K146" s="1">
        <v>27.0</v>
      </c>
      <c r="L146" s="1" t="s">
        <v>32</v>
      </c>
      <c r="M146" s="1" t="s">
        <v>626</v>
      </c>
      <c r="N146" s="1" t="s">
        <v>34</v>
      </c>
      <c r="O146" s="1" t="s">
        <v>25</v>
      </c>
      <c r="P146" s="1" t="s">
        <v>627</v>
      </c>
    </row>
    <row r="147" ht="14.25" customHeight="1">
      <c r="A147" s="1" t="s">
        <v>628</v>
      </c>
      <c r="B147" s="1" t="s">
        <v>629</v>
      </c>
      <c r="C147" s="1" t="s">
        <v>29</v>
      </c>
      <c r="D147" s="1">
        <v>36556.0</v>
      </c>
      <c r="E147" s="1" t="s">
        <v>60</v>
      </c>
      <c r="F147" s="1" t="s">
        <v>20</v>
      </c>
      <c r="G147" s="1" t="s">
        <v>21</v>
      </c>
      <c r="H147" s="2">
        <v>2972.0</v>
      </c>
      <c r="I147" s="2">
        <v>5735.0</v>
      </c>
      <c r="J147" s="1">
        <v>1955.0</v>
      </c>
      <c r="K147" s="1">
        <v>81.0</v>
      </c>
      <c r="L147" s="1" t="s">
        <v>22</v>
      </c>
      <c r="M147" s="1" t="s">
        <v>630</v>
      </c>
      <c r="N147" s="1" t="s">
        <v>48</v>
      </c>
      <c r="O147" s="1" t="s">
        <v>35</v>
      </c>
      <c r="P147" s="1" t="s">
        <v>631</v>
      </c>
    </row>
    <row r="148" ht="14.25" customHeight="1">
      <c r="A148" s="1" t="s">
        <v>632</v>
      </c>
      <c r="B148" s="1" t="s">
        <v>633</v>
      </c>
      <c r="C148" s="1" t="s">
        <v>29</v>
      </c>
      <c r="D148" s="1">
        <v>95106.0</v>
      </c>
      <c r="E148" s="1" t="s">
        <v>40</v>
      </c>
      <c r="F148" s="1" t="s">
        <v>61</v>
      </c>
      <c r="G148" s="1" t="s">
        <v>55</v>
      </c>
      <c r="H148" s="2">
        <v>2880.0</v>
      </c>
      <c r="I148" s="2">
        <v>2593.0</v>
      </c>
      <c r="J148" s="1">
        <v>1981.0</v>
      </c>
      <c r="K148" s="1">
        <v>82.0</v>
      </c>
      <c r="L148" s="1" t="s">
        <v>95</v>
      </c>
      <c r="M148" s="1" t="s">
        <v>634</v>
      </c>
      <c r="N148" s="1" t="s">
        <v>24</v>
      </c>
      <c r="O148" s="1" t="s">
        <v>35</v>
      </c>
      <c r="P148" s="1" t="s">
        <v>635</v>
      </c>
    </row>
    <row r="149" ht="14.25" customHeight="1">
      <c r="A149" s="1" t="s">
        <v>636</v>
      </c>
      <c r="B149" s="1" t="s">
        <v>637</v>
      </c>
      <c r="C149" s="1" t="s">
        <v>76</v>
      </c>
      <c r="D149" s="1">
        <v>54311.0</v>
      </c>
      <c r="E149" s="1" t="s">
        <v>60</v>
      </c>
      <c r="F149" s="1" t="s">
        <v>94</v>
      </c>
      <c r="G149" s="1" t="s">
        <v>21</v>
      </c>
      <c r="H149" s="2">
        <v>3377.0</v>
      </c>
      <c r="I149" s="2">
        <v>6022.0</v>
      </c>
      <c r="J149" s="1">
        <v>2010.0</v>
      </c>
      <c r="K149" s="1">
        <v>38.0</v>
      </c>
      <c r="L149" s="1" t="s">
        <v>95</v>
      </c>
      <c r="M149" s="1" t="s">
        <v>638</v>
      </c>
      <c r="N149" s="1" t="s">
        <v>48</v>
      </c>
      <c r="O149" s="1" t="s">
        <v>49</v>
      </c>
      <c r="P149" s="1" t="s">
        <v>639</v>
      </c>
    </row>
    <row r="150" ht="14.25" customHeight="1">
      <c r="A150" s="1" t="s">
        <v>640</v>
      </c>
      <c r="B150" s="1" t="s">
        <v>641</v>
      </c>
      <c r="C150" s="1" t="s">
        <v>76</v>
      </c>
      <c r="D150" s="1">
        <v>16056.0</v>
      </c>
      <c r="E150" s="1" t="s">
        <v>30</v>
      </c>
      <c r="F150" s="1" t="s">
        <v>54</v>
      </c>
      <c r="G150" s="1" t="s">
        <v>31</v>
      </c>
      <c r="H150" s="2">
        <v>2633.0</v>
      </c>
      <c r="I150" s="2">
        <v>4383.0</v>
      </c>
      <c r="J150" s="1">
        <v>1972.0</v>
      </c>
      <c r="K150" s="1">
        <v>49.0</v>
      </c>
      <c r="L150" s="1" t="s">
        <v>141</v>
      </c>
      <c r="M150" s="1" t="s">
        <v>642</v>
      </c>
      <c r="N150" s="1" t="s">
        <v>43</v>
      </c>
      <c r="O150" s="1" t="s">
        <v>35</v>
      </c>
      <c r="P150" s="1" t="s">
        <v>643</v>
      </c>
    </row>
    <row r="151" ht="14.25" customHeight="1">
      <c r="A151" s="1" t="s">
        <v>644</v>
      </c>
      <c r="B151" s="1" t="s">
        <v>645</v>
      </c>
      <c r="C151" s="1" t="s">
        <v>76</v>
      </c>
      <c r="D151" s="1">
        <v>10943.0</v>
      </c>
      <c r="E151" s="1" t="s">
        <v>19</v>
      </c>
      <c r="F151" s="1" t="s">
        <v>54</v>
      </c>
      <c r="G151" s="1" t="s">
        <v>31</v>
      </c>
      <c r="H151" s="2">
        <v>2785.0</v>
      </c>
      <c r="I151" s="2">
        <v>6544.0</v>
      </c>
      <c r="J151" s="1">
        <v>2009.0</v>
      </c>
      <c r="K151" s="1">
        <v>47.0</v>
      </c>
      <c r="L151" s="1" t="s">
        <v>32</v>
      </c>
      <c r="M151" s="1" t="s">
        <v>646</v>
      </c>
      <c r="N151" s="1" t="s">
        <v>64</v>
      </c>
      <c r="O151" s="1" t="s">
        <v>35</v>
      </c>
      <c r="P151" s="1" t="s">
        <v>647</v>
      </c>
    </row>
    <row r="152" ht="14.25" customHeight="1">
      <c r="A152" s="1" t="s">
        <v>648</v>
      </c>
      <c r="B152" s="1" t="s">
        <v>649</v>
      </c>
      <c r="C152" s="1" t="s">
        <v>18</v>
      </c>
      <c r="D152" s="1">
        <v>69693.0</v>
      </c>
      <c r="E152" s="1" t="s">
        <v>30</v>
      </c>
      <c r="F152" s="1" t="s">
        <v>41</v>
      </c>
      <c r="G152" s="1" t="s">
        <v>31</v>
      </c>
      <c r="H152" s="2">
        <v>1905.0</v>
      </c>
      <c r="I152" s="2">
        <v>4957.0</v>
      </c>
      <c r="J152" s="1">
        <v>1975.0</v>
      </c>
      <c r="K152" s="1">
        <v>12.0</v>
      </c>
      <c r="L152" s="1" t="s">
        <v>32</v>
      </c>
      <c r="M152" s="1" t="s">
        <v>650</v>
      </c>
      <c r="N152" s="1" t="s">
        <v>24</v>
      </c>
      <c r="O152" s="1" t="s">
        <v>35</v>
      </c>
      <c r="P152" s="1" t="s">
        <v>651</v>
      </c>
    </row>
    <row r="153" ht="14.25" customHeight="1">
      <c r="A153" s="1" t="s">
        <v>652</v>
      </c>
      <c r="B153" s="1" t="s">
        <v>653</v>
      </c>
      <c r="C153" s="1" t="s">
        <v>76</v>
      </c>
      <c r="D153" s="1">
        <v>78745.0</v>
      </c>
      <c r="E153" s="1" t="s">
        <v>77</v>
      </c>
      <c r="F153" s="1" t="s">
        <v>94</v>
      </c>
      <c r="G153" s="1" t="s">
        <v>55</v>
      </c>
      <c r="H153" s="2">
        <v>3019.0</v>
      </c>
      <c r="I153" s="2">
        <v>8469.0</v>
      </c>
      <c r="J153" s="1">
        <v>1969.0</v>
      </c>
      <c r="K153" s="1">
        <v>57.0</v>
      </c>
      <c r="L153" s="1" t="s">
        <v>95</v>
      </c>
      <c r="M153" s="1" t="s">
        <v>654</v>
      </c>
      <c r="N153" s="1" t="s">
        <v>43</v>
      </c>
      <c r="O153" s="1" t="s">
        <v>35</v>
      </c>
      <c r="P153" s="1" t="s">
        <v>655</v>
      </c>
    </row>
    <row r="154" ht="14.25" customHeight="1">
      <c r="A154" s="1" t="s">
        <v>656</v>
      </c>
      <c r="B154" s="1" t="s">
        <v>657</v>
      </c>
      <c r="C154" s="1" t="s">
        <v>53</v>
      </c>
      <c r="D154" s="1">
        <v>83301.0</v>
      </c>
      <c r="E154" s="1" t="s">
        <v>30</v>
      </c>
      <c r="F154" s="1" t="s">
        <v>54</v>
      </c>
      <c r="G154" s="1" t="s">
        <v>55</v>
      </c>
      <c r="H154" s="2">
        <v>3728.0</v>
      </c>
      <c r="I154" s="2">
        <v>4055.0</v>
      </c>
      <c r="J154" s="1">
        <v>1980.0</v>
      </c>
      <c r="K154" s="1">
        <v>50.0</v>
      </c>
      <c r="L154" s="1" t="s">
        <v>95</v>
      </c>
      <c r="M154" s="1" t="s">
        <v>658</v>
      </c>
      <c r="N154" s="1" t="s">
        <v>64</v>
      </c>
      <c r="O154" s="1" t="s">
        <v>25</v>
      </c>
      <c r="P154" s="1" t="s">
        <v>659</v>
      </c>
    </row>
    <row r="155" ht="14.25" customHeight="1">
      <c r="A155" s="1" t="s">
        <v>660</v>
      </c>
      <c r="B155" s="1" t="s">
        <v>661</v>
      </c>
      <c r="C155" s="1" t="s">
        <v>18</v>
      </c>
      <c r="D155" s="1">
        <v>82941.0</v>
      </c>
      <c r="E155" s="1" t="s">
        <v>19</v>
      </c>
      <c r="F155" s="1" t="s">
        <v>41</v>
      </c>
      <c r="G155" s="1" t="s">
        <v>55</v>
      </c>
      <c r="H155" s="2">
        <v>1448.0</v>
      </c>
      <c r="I155" s="2">
        <v>8937.0</v>
      </c>
      <c r="J155" s="1">
        <v>1990.0</v>
      </c>
      <c r="K155" s="1">
        <v>87.0</v>
      </c>
      <c r="L155" s="1" t="s">
        <v>62</v>
      </c>
      <c r="M155" s="1" t="s">
        <v>662</v>
      </c>
      <c r="N155" s="1" t="s">
        <v>48</v>
      </c>
      <c r="O155" s="1" t="s">
        <v>49</v>
      </c>
      <c r="P155" s="1" t="s">
        <v>663</v>
      </c>
    </row>
    <row r="156" ht="14.25" customHeight="1">
      <c r="A156" s="1" t="s">
        <v>664</v>
      </c>
      <c r="B156" s="1" t="s">
        <v>665</v>
      </c>
      <c r="C156" s="1" t="s">
        <v>76</v>
      </c>
      <c r="D156" s="1">
        <v>71481.0</v>
      </c>
      <c r="E156" s="1" t="s">
        <v>30</v>
      </c>
      <c r="F156" s="1" t="s">
        <v>61</v>
      </c>
      <c r="G156" s="1" t="s">
        <v>100</v>
      </c>
      <c r="H156" s="2">
        <v>2607.0</v>
      </c>
      <c r="I156" s="2">
        <v>3593.0</v>
      </c>
      <c r="J156" s="1">
        <v>2010.0</v>
      </c>
      <c r="K156" s="1">
        <v>91.0</v>
      </c>
      <c r="L156" s="1" t="s">
        <v>22</v>
      </c>
      <c r="M156" s="1" t="s">
        <v>666</v>
      </c>
      <c r="N156" s="1" t="s">
        <v>43</v>
      </c>
      <c r="O156" s="1" t="s">
        <v>35</v>
      </c>
      <c r="P156" s="1" t="s">
        <v>667</v>
      </c>
    </row>
    <row r="157" ht="14.25" customHeight="1">
      <c r="A157" s="1" t="s">
        <v>668</v>
      </c>
      <c r="B157" s="1" t="s">
        <v>669</v>
      </c>
      <c r="C157" s="1" t="s">
        <v>39</v>
      </c>
      <c r="D157" s="1">
        <v>40991.0</v>
      </c>
      <c r="E157" s="1" t="s">
        <v>60</v>
      </c>
      <c r="F157" s="1" t="s">
        <v>20</v>
      </c>
      <c r="G157" s="1" t="s">
        <v>55</v>
      </c>
      <c r="H157" s="2">
        <v>1418.0</v>
      </c>
      <c r="I157" s="2">
        <v>9398.0</v>
      </c>
      <c r="J157" s="1">
        <v>1975.0</v>
      </c>
      <c r="K157" s="1">
        <v>47.0</v>
      </c>
      <c r="L157" s="1" t="s">
        <v>62</v>
      </c>
      <c r="M157" s="1" t="s">
        <v>670</v>
      </c>
      <c r="N157" s="1" t="s">
        <v>48</v>
      </c>
      <c r="O157" s="1" t="s">
        <v>49</v>
      </c>
      <c r="P157" s="1" t="s">
        <v>671</v>
      </c>
    </row>
    <row r="158" ht="14.25" customHeight="1">
      <c r="A158" s="1" t="s">
        <v>672</v>
      </c>
      <c r="B158" s="1" t="s">
        <v>673</v>
      </c>
      <c r="C158" s="1" t="s">
        <v>29</v>
      </c>
      <c r="D158" s="1">
        <v>41174.0</v>
      </c>
      <c r="E158" s="1" t="s">
        <v>60</v>
      </c>
      <c r="F158" s="1" t="s">
        <v>46</v>
      </c>
      <c r="G158" s="1" t="s">
        <v>31</v>
      </c>
      <c r="H158" s="2">
        <v>2690.0</v>
      </c>
      <c r="I158" s="2">
        <v>3636.0</v>
      </c>
      <c r="J158" s="1">
        <v>1955.0</v>
      </c>
      <c r="K158" s="1">
        <v>56.0</v>
      </c>
      <c r="L158" s="1" t="s">
        <v>95</v>
      </c>
      <c r="M158" s="1" t="s">
        <v>674</v>
      </c>
      <c r="N158" s="1" t="s">
        <v>34</v>
      </c>
      <c r="O158" s="1" t="s">
        <v>35</v>
      </c>
      <c r="P158" s="1" t="s">
        <v>675</v>
      </c>
    </row>
    <row r="159" ht="14.25" customHeight="1">
      <c r="A159" s="1" t="s">
        <v>676</v>
      </c>
      <c r="B159" s="1" t="s">
        <v>677</v>
      </c>
      <c r="C159" s="1" t="s">
        <v>29</v>
      </c>
      <c r="D159" s="1">
        <v>33935.0</v>
      </c>
      <c r="E159" s="1" t="s">
        <v>19</v>
      </c>
      <c r="F159" s="1" t="s">
        <v>94</v>
      </c>
      <c r="G159" s="1" t="s">
        <v>21</v>
      </c>
      <c r="H159" s="2">
        <v>2174.0</v>
      </c>
      <c r="I159" s="2">
        <v>3623.0</v>
      </c>
      <c r="J159" s="1">
        <v>1970.0</v>
      </c>
      <c r="K159" s="1">
        <v>65.0</v>
      </c>
      <c r="L159" s="1" t="s">
        <v>22</v>
      </c>
      <c r="M159" s="1" t="s">
        <v>678</v>
      </c>
      <c r="N159" s="1" t="s">
        <v>43</v>
      </c>
      <c r="O159" s="1" t="s">
        <v>25</v>
      </c>
      <c r="P159" s="1" t="s">
        <v>679</v>
      </c>
    </row>
    <row r="160" ht="14.25" customHeight="1">
      <c r="A160" s="1" t="s">
        <v>680</v>
      </c>
      <c r="B160" s="1" t="s">
        <v>681</v>
      </c>
      <c r="C160" s="1" t="s">
        <v>18</v>
      </c>
      <c r="D160" s="1">
        <v>46625.0</v>
      </c>
      <c r="E160" s="1" t="s">
        <v>19</v>
      </c>
      <c r="F160" s="1" t="s">
        <v>54</v>
      </c>
      <c r="G160" s="1" t="s">
        <v>100</v>
      </c>
      <c r="H160" s="2">
        <v>3225.0</v>
      </c>
      <c r="I160" s="2">
        <v>7924.0</v>
      </c>
      <c r="J160" s="1">
        <v>1972.0</v>
      </c>
      <c r="K160" s="1">
        <v>22.0</v>
      </c>
      <c r="L160" s="1" t="s">
        <v>22</v>
      </c>
      <c r="M160" s="1" t="s">
        <v>682</v>
      </c>
      <c r="N160" s="1" t="s">
        <v>34</v>
      </c>
      <c r="O160" s="1" t="s">
        <v>35</v>
      </c>
      <c r="P160" s="1" t="s">
        <v>683</v>
      </c>
    </row>
    <row r="161" ht="14.25" customHeight="1">
      <c r="A161" s="1" t="s">
        <v>684</v>
      </c>
      <c r="B161" s="1" t="s">
        <v>685</v>
      </c>
      <c r="C161" s="1" t="s">
        <v>39</v>
      </c>
      <c r="D161" s="1">
        <v>61130.0</v>
      </c>
      <c r="E161" s="1" t="s">
        <v>60</v>
      </c>
      <c r="F161" s="1" t="s">
        <v>54</v>
      </c>
      <c r="G161" s="1" t="s">
        <v>55</v>
      </c>
      <c r="H161" s="2">
        <v>1102.0</v>
      </c>
      <c r="I161" s="2">
        <v>7579.0</v>
      </c>
      <c r="J161" s="1">
        <v>2010.0</v>
      </c>
      <c r="K161" s="1">
        <v>6.0</v>
      </c>
      <c r="L161" s="1" t="s">
        <v>32</v>
      </c>
      <c r="M161" s="1" t="s">
        <v>686</v>
      </c>
      <c r="N161" s="1" t="s">
        <v>34</v>
      </c>
      <c r="O161" s="1" t="s">
        <v>25</v>
      </c>
      <c r="P161" s="1" t="s">
        <v>687</v>
      </c>
    </row>
    <row r="162" ht="14.25" customHeight="1">
      <c r="A162" s="1" t="s">
        <v>688</v>
      </c>
      <c r="B162" s="1" t="s">
        <v>689</v>
      </c>
      <c r="C162" s="1" t="s">
        <v>29</v>
      </c>
      <c r="D162" s="1">
        <v>15623.0</v>
      </c>
      <c r="E162" s="1" t="s">
        <v>19</v>
      </c>
      <c r="F162" s="1" t="s">
        <v>54</v>
      </c>
      <c r="G162" s="1" t="s">
        <v>21</v>
      </c>
      <c r="H162" s="2">
        <v>2310.0</v>
      </c>
      <c r="I162" s="2">
        <v>2680.0</v>
      </c>
      <c r="J162" s="1">
        <v>1968.0</v>
      </c>
      <c r="K162" s="1">
        <v>108.0</v>
      </c>
      <c r="L162" s="1" t="s">
        <v>32</v>
      </c>
      <c r="M162" s="1" t="s">
        <v>690</v>
      </c>
      <c r="N162" s="1" t="s">
        <v>24</v>
      </c>
      <c r="O162" s="1" t="s">
        <v>35</v>
      </c>
      <c r="P162" s="1" t="s">
        <v>691</v>
      </c>
    </row>
    <row r="163" ht="14.25" customHeight="1">
      <c r="A163" s="1" t="s">
        <v>692</v>
      </c>
      <c r="B163" s="1" t="s">
        <v>693</v>
      </c>
      <c r="C163" s="1" t="s">
        <v>29</v>
      </c>
      <c r="D163" s="1">
        <v>33202.0</v>
      </c>
      <c r="E163" s="1" t="s">
        <v>77</v>
      </c>
      <c r="F163" s="1" t="s">
        <v>54</v>
      </c>
      <c r="G163" s="1" t="s">
        <v>21</v>
      </c>
      <c r="H163" s="2">
        <v>2374.0</v>
      </c>
      <c r="I163" s="2">
        <v>9265.0</v>
      </c>
      <c r="J163" s="1">
        <v>1950.0</v>
      </c>
      <c r="K163" s="1">
        <v>46.0</v>
      </c>
      <c r="L163" s="1" t="s">
        <v>22</v>
      </c>
      <c r="M163" s="1" t="s">
        <v>694</v>
      </c>
      <c r="N163" s="1" t="s">
        <v>43</v>
      </c>
      <c r="O163" s="1" t="s">
        <v>35</v>
      </c>
      <c r="P163" s="1" t="s">
        <v>695</v>
      </c>
    </row>
    <row r="164" ht="14.25" customHeight="1">
      <c r="A164" s="1" t="s">
        <v>696</v>
      </c>
      <c r="B164" s="1" t="s">
        <v>697</v>
      </c>
      <c r="C164" s="1" t="s">
        <v>53</v>
      </c>
      <c r="D164" s="1">
        <v>67845.0</v>
      </c>
      <c r="E164" s="1" t="s">
        <v>77</v>
      </c>
      <c r="F164" s="1" t="s">
        <v>41</v>
      </c>
      <c r="G164" s="1" t="s">
        <v>55</v>
      </c>
      <c r="H164" s="2">
        <v>2943.0</v>
      </c>
      <c r="I164" s="2">
        <v>4739.0</v>
      </c>
      <c r="J164" s="1">
        <v>1975.0</v>
      </c>
      <c r="K164" s="1">
        <v>3.0</v>
      </c>
      <c r="L164" s="1" t="s">
        <v>62</v>
      </c>
      <c r="M164" s="1" t="s">
        <v>698</v>
      </c>
      <c r="N164" s="1" t="s">
        <v>64</v>
      </c>
      <c r="O164" s="1" t="s">
        <v>25</v>
      </c>
      <c r="P164" s="1" t="s">
        <v>699</v>
      </c>
    </row>
    <row r="165" ht="14.25" customHeight="1">
      <c r="A165" s="1" t="s">
        <v>700</v>
      </c>
      <c r="B165" s="1" t="s">
        <v>701</v>
      </c>
      <c r="C165" s="1" t="s">
        <v>76</v>
      </c>
      <c r="D165" s="1">
        <v>21343.0</v>
      </c>
      <c r="E165" s="1" t="s">
        <v>60</v>
      </c>
      <c r="F165" s="1" t="s">
        <v>94</v>
      </c>
      <c r="G165" s="1" t="s">
        <v>100</v>
      </c>
      <c r="H165" s="2">
        <v>3481.0</v>
      </c>
      <c r="I165" s="2">
        <v>8346.0</v>
      </c>
      <c r="J165" s="1">
        <v>1967.0</v>
      </c>
      <c r="K165" s="1">
        <v>14.0</v>
      </c>
      <c r="L165" s="1" t="s">
        <v>22</v>
      </c>
      <c r="M165" s="1" t="s">
        <v>702</v>
      </c>
      <c r="N165" s="1" t="s">
        <v>24</v>
      </c>
      <c r="O165" s="1" t="s">
        <v>35</v>
      </c>
      <c r="P165" s="1" t="s">
        <v>703</v>
      </c>
    </row>
    <row r="166" ht="14.25" customHeight="1">
      <c r="A166" s="1" t="s">
        <v>704</v>
      </c>
      <c r="B166" s="1" t="s">
        <v>705</v>
      </c>
      <c r="C166" s="1" t="s">
        <v>76</v>
      </c>
      <c r="D166" s="1">
        <v>20858.0</v>
      </c>
      <c r="E166" s="1" t="s">
        <v>19</v>
      </c>
      <c r="F166" s="1" t="s">
        <v>20</v>
      </c>
      <c r="G166" s="1" t="s">
        <v>55</v>
      </c>
      <c r="H166" s="2">
        <v>3651.0</v>
      </c>
      <c r="I166" s="2">
        <v>7482.0</v>
      </c>
      <c r="J166" s="1">
        <v>1954.0</v>
      </c>
      <c r="K166" s="1">
        <v>18.0</v>
      </c>
      <c r="L166" s="1" t="s">
        <v>62</v>
      </c>
      <c r="M166" s="1" t="s">
        <v>706</v>
      </c>
      <c r="N166" s="1" t="s">
        <v>24</v>
      </c>
      <c r="O166" s="1" t="s">
        <v>25</v>
      </c>
      <c r="P166" s="1" t="s">
        <v>707</v>
      </c>
    </row>
    <row r="167" ht="14.25" customHeight="1">
      <c r="A167" s="1" t="s">
        <v>708</v>
      </c>
      <c r="B167" s="1" t="s">
        <v>709</v>
      </c>
      <c r="C167" s="1" t="s">
        <v>39</v>
      </c>
      <c r="D167" s="1">
        <v>98816.0</v>
      </c>
      <c r="E167" s="1" t="s">
        <v>19</v>
      </c>
      <c r="F167" s="1" t="s">
        <v>46</v>
      </c>
      <c r="G167" s="1" t="s">
        <v>31</v>
      </c>
      <c r="H167" s="2">
        <v>1385.0</v>
      </c>
      <c r="I167" s="2">
        <v>3062.0</v>
      </c>
      <c r="J167" s="1">
        <v>2009.0</v>
      </c>
      <c r="K167" s="1">
        <v>42.0</v>
      </c>
      <c r="L167" s="1" t="s">
        <v>141</v>
      </c>
      <c r="M167" s="1" t="s">
        <v>710</v>
      </c>
      <c r="N167" s="1" t="s">
        <v>64</v>
      </c>
      <c r="O167" s="1" t="s">
        <v>25</v>
      </c>
      <c r="P167" s="1" t="s">
        <v>711</v>
      </c>
    </row>
    <row r="168" ht="14.25" customHeight="1">
      <c r="A168" s="1" t="s">
        <v>712</v>
      </c>
      <c r="B168" s="1" t="s">
        <v>713</v>
      </c>
      <c r="C168" s="1" t="s">
        <v>29</v>
      </c>
      <c r="D168" s="1">
        <v>97228.0</v>
      </c>
      <c r="E168" s="1" t="s">
        <v>19</v>
      </c>
      <c r="F168" s="1" t="s">
        <v>61</v>
      </c>
      <c r="G168" s="1" t="s">
        <v>100</v>
      </c>
      <c r="H168" s="2">
        <v>2306.0</v>
      </c>
      <c r="I168" s="2">
        <v>1972.0</v>
      </c>
      <c r="J168" s="1">
        <v>1985.0</v>
      </c>
      <c r="K168" s="1">
        <v>8.0</v>
      </c>
      <c r="L168" s="1" t="s">
        <v>62</v>
      </c>
      <c r="M168" s="1" t="s">
        <v>714</v>
      </c>
      <c r="N168" s="1" t="s">
        <v>64</v>
      </c>
      <c r="O168" s="1" t="s">
        <v>35</v>
      </c>
      <c r="P168" s="1" t="s">
        <v>715</v>
      </c>
    </row>
    <row r="169" ht="14.25" customHeight="1">
      <c r="A169" s="1" t="s">
        <v>716</v>
      </c>
      <c r="B169" s="1" t="s">
        <v>717</v>
      </c>
      <c r="C169" s="1" t="s">
        <v>29</v>
      </c>
      <c r="D169" s="1">
        <v>84200.0</v>
      </c>
      <c r="E169" s="1" t="s">
        <v>60</v>
      </c>
      <c r="F169" s="1" t="s">
        <v>94</v>
      </c>
      <c r="G169" s="1" t="s">
        <v>55</v>
      </c>
      <c r="H169" s="2">
        <v>1462.0</v>
      </c>
      <c r="I169" s="2">
        <v>2320.0</v>
      </c>
      <c r="J169" s="1">
        <v>2000.0</v>
      </c>
      <c r="K169" s="1">
        <v>114.0</v>
      </c>
      <c r="L169" s="1" t="s">
        <v>141</v>
      </c>
      <c r="M169" s="1" t="s">
        <v>718</v>
      </c>
      <c r="N169" s="1" t="s">
        <v>34</v>
      </c>
      <c r="O169" s="1" t="s">
        <v>49</v>
      </c>
      <c r="P169" s="1" t="s">
        <v>719</v>
      </c>
    </row>
    <row r="170" ht="14.25" customHeight="1">
      <c r="A170" s="1" t="s">
        <v>720</v>
      </c>
      <c r="B170" s="1" t="s">
        <v>721</v>
      </c>
      <c r="C170" s="1" t="s">
        <v>76</v>
      </c>
      <c r="D170" s="1">
        <v>15409.0</v>
      </c>
      <c r="E170" s="1" t="s">
        <v>30</v>
      </c>
      <c r="F170" s="1" t="s">
        <v>41</v>
      </c>
      <c r="G170" s="1" t="s">
        <v>31</v>
      </c>
      <c r="H170" s="2">
        <v>1053.0</v>
      </c>
      <c r="I170" s="2">
        <v>7863.0</v>
      </c>
      <c r="J170" s="1">
        <v>2012.0</v>
      </c>
      <c r="K170" s="1">
        <v>30.0</v>
      </c>
      <c r="L170" s="1" t="s">
        <v>95</v>
      </c>
      <c r="M170" s="1" t="s">
        <v>722</v>
      </c>
      <c r="N170" s="1" t="s">
        <v>43</v>
      </c>
      <c r="O170" s="1" t="s">
        <v>35</v>
      </c>
      <c r="P170" s="1" t="s">
        <v>723</v>
      </c>
    </row>
    <row r="171" ht="14.25" customHeight="1">
      <c r="A171" s="1" t="s">
        <v>724</v>
      </c>
      <c r="B171" s="1" t="s">
        <v>725</v>
      </c>
      <c r="C171" s="1" t="s">
        <v>53</v>
      </c>
      <c r="D171" s="1">
        <v>93947.0</v>
      </c>
      <c r="E171" s="1" t="s">
        <v>30</v>
      </c>
      <c r="F171" s="1" t="s">
        <v>54</v>
      </c>
      <c r="G171" s="1" t="s">
        <v>55</v>
      </c>
      <c r="H171" s="2">
        <v>1430.0</v>
      </c>
      <c r="I171" s="2">
        <v>5008.0</v>
      </c>
      <c r="J171" s="1">
        <v>2008.0</v>
      </c>
      <c r="K171" s="1">
        <v>54.0</v>
      </c>
      <c r="L171" s="1" t="s">
        <v>141</v>
      </c>
      <c r="M171" s="1" t="s">
        <v>726</v>
      </c>
      <c r="N171" s="1" t="s">
        <v>34</v>
      </c>
      <c r="O171" s="1" t="s">
        <v>25</v>
      </c>
      <c r="P171" s="1" t="s">
        <v>727</v>
      </c>
    </row>
    <row r="172" ht="14.25" customHeight="1">
      <c r="A172" s="1" t="s">
        <v>728</v>
      </c>
      <c r="B172" s="1" t="s">
        <v>729</v>
      </c>
      <c r="C172" s="1" t="s">
        <v>76</v>
      </c>
      <c r="D172" s="1">
        <v>98708.0</v>
      </c>
      <c r="E172" s="1" t="s">
        <v>19</v>
      </c>
      <c r="F172" s="1" t="s">
        <v>20</v>
      </c>
      <c r="G172" s="1" t="s">
        <v>55</v>
      </c>
      <c r="H172" s="2">
        <v>1741.0</v>
      </c>
      <c r="I172" s="2">
        <v>2238.0</v>
      </c>
      <c r="J172" s="1">
        <v>2014.0</v>
      </c>
      <c r="K172" s="1">
        <v>18.0</v>
      </c>
      <c r="L172" s="1" t="s">
        <v>95</v>
      </c>
      <c r="M172" s="1" t="s">
        <v>730</v>
      </c>
      <c r="N172" s="1" t="s">
        <v>24</v>
      </c>
      <c r="O172" s="1" t="s">
        <v>25</v>
      </c>
      <c r="P172" s="1" t="s">
        <v>731</v>
      </c>
    </row>
    <row r="173" ht="14.25" customHeight="1">
      <c r="A173" s="1" t="s">
        <v>732</v>
      </c>
      <c r="B173" s="1" t="s">
        <v>733</v>
      </c>
      <c r="C173" s="1" t="s">
        <v>76</v>
      </c>
      <c r="D173" s="1">
        <v>34458.0</v>
      </c>
      <c r="E173" s="1" t="s">
        <v>19</v>
      </c>
      <c r="F173" s="1" t="s">
        <v>46</v>
      </c>
      <c r="G173" s="1" t="s">
        <v>31</v>
      </c>
      <c r="H173" s="2">
        <v>3871.0</v>
      </c>
      <c r="I173" s="2">
        <v>8875.0</v>
      </c>
      <c r="J173" s="1">
        <v>1990.0</v>
      </c>
      <c r="K173" s="1">
        <v>44.0</v>
      </c>
      <c r="L173" s="1" t="s">
        <v>32</v>
      </c>
      <c r="M173" s="1" t="s">
        <v>734</v>
      </c>
      <c r="N173" s="1" t="s">
        <v>64</v>
      </c>
      <c r="O173" s="1" t="s">
        <v>35</v>
      </c>
      <c r="P173" s="1" t="s">
        <v>735</v>
      </c>
    </row>
    <row r="174" ht="14.25" customHeight="1">
      <c r="A174" s="1" t="s">
        <v>736</v>
      </c>
      <c r="B174" s="1" t="s">
        <v>737</v>
      </c>
      <c r="C174" s="1" t="s">
        <v>39</v>
      </c>
      <c r="D174" s="1">
        <v>97922.0</v>
      </c>
      <c r="E174" s="1" t="s">
        <v>60</v>
      </c>
      <c r="F174" s="1" t="s">
        <v>54</v>
      </c>
      <c r="G174" s="1" t="s">
        <v>55</v>
      </c>
      <c r="H174" s="2">
        <v>2531.0</v>
      </c>
      <c r="I174" s="2">
        <v>9649.0</v>
      </c>
      <c r="J174" s="1">
        <v>1987.0</v>
      </c>
      <c r="K174" s="1">
        <v>47.0</v>
      </c>
      <c r="L174" s="1" t="s">
        <v>141</v>
      </c>
      <c r="M174" s="1" t="s">
        <v>738</v>
      </c>
      <c r="N174" s="1" t="s">
        <v>34</v>
      </c>
      <c r="O174" s="1" t="s">
        <v>49</v>
      </c>
      <c r="P174" s="1" t="s">
        <v>739</v>
      </c>
    </row>
    <row r="175" ht="14.25" customHeight="1">
      <c r="A175" s="1" t="s">
        <v>740</v>
      </c>
      <c r="B175" s="1" t="s">
        <v>741</v>
      </c>
      <c r="C175" s="1" t="s">
        <v>29</v>
      </c>
      <c r="D175" s="1">
        <v>56386.0</v>
      </c>
      <c r="E175" s="1" t="s">
        <v>77</v>
      </c>
      <c r="F175" s="1" t="s">
        <v>20</v>
      </c>
      <c r="G175" s="1" t="s">
        <v>100</v>
      </c>
      <c r="H175" s="2">
        <v>1697.0</v>
      </c>
      <c r="I175" s="2">
        <v>3282.0</v>
      </c>
      <c r="J175" s="1">
        <v>1964.0</v>
      </c>
      <c r="K175" s="1">
        <v>108.0</v>
      </c>
      <c r="L175" s="1" t="s">
        <v>141</v>
      </c>
      <c r="M175" s="1" t="s">
        <v>742</v>
      </c>
      <c r="N175" s="1" t="s">
        <v>34</v>
      </c>
      <c r="O175" s="1" t="s">
        <v>25</v>
      </c>
      <c r="P175" s="1" t="s">
        <v>743</v>
      </c>
    </row>
    <row r="176" ht="14.25" customHeight="1">
      <c r="A176" s="1" t="s">
        <v>744</v>
      </c>
      <c r="B176" s="1" t="s">
        <v>745</v>
      </c>
      <c r="C176" s="1" t="s">
        <v>76</v>
      </c>
      <c r="D176" s="1">
        <v>58752.0</v>
      </c>
      <c r="E176" s="1" t="s">
        <v>77</v>
      </c>
      <c r="F176" s="1" t="s">
        <v>94</v>
      </c>
      <c r="G176" s="1" t="s">
        <v>21</v>
      </c>
      <c r="H176" s="2">
        <v>1874.0</v>
      </c>
      <c r="I176" s="2">
        <v>3262.0</v>
      </c>
      <c r="J176" s="1">
        <v>2006.0</v>
      </c>
      <c r="K176" s="1">
        <v>74.0</v>
      </c>
      <c r="L176" s="1" t="s">
        <v>95</v>
      </c>
      <c r="M176" s="1" t="s">
        <v>746</v>
      </c>
      <c r="N176" s="1" t="s">
        <v>43</v>
      </c>
      <c r="O176" s="1" t="s">
        <v>49</v>
      </c>
      <c r="P176" s="1" t="s">
        <v>747</v>
      </c>
    </row>
    <row r="177" ht="14.25" customHeight="1">
      <c r="A177" s="1" t="s">
        <v>748</v>
      </c>
      <c r="B177" s="1" t="s">
        <v>749</v>
      </c>
      <c r="C177" s="1" t="s">
        <v>18</v>
      </c>
      <c r="D177" s="1">
        <v>18497.0</v>
      </c>
      <c r="E177" s="1" t="s">
        <v>60</v>
      </c>
      <c r="F177" s="1" t="s">
        <v>46</v>
      </c>
      <c r="G177" s="1" t="s">
        <v>31</v>
      </c>
      <c r="H177" s="2">
        <v>1084.0</v>
      </c>
      <c r="I177" s="2">
        <v>6213.0</v>
      </c>
      <c r="J177" s="1">
        <v>1982.0</v>
      </c>
      <c r="K177" s="1">
        <v>20.0</v>
      </c>
      <c r="L177" s="1" t="s">
        <v>62</v>
      </c>
      <c r="M177" s="1" t="s">
        <v>750</v>
      </c>
      <c r="N177" s="1" t="s">
        <v>64</v>
      </c>
      <c r="O177" s="1" t="s">
        <v>35</v>
      </c>
      <c r="P177" s="1" t="s">
        <v>751</v>
      </c>
    </row>
    <row r="178" ht="14.25" customHeight="1">
      <c r="A178" s="1" t="s">
        <v>752</v>
      </c>
      <c r="B178" s="1" t="s">
        <v>753</v>
      </c>
      <c r="C178" s="1" t="s">
        <v>53</v>
      </c>
      <c r="D178" s="1">
        <v>78755.0</v>
      </c>
      <c r="E178" s="1" t="s">
        <v>77</v>
      </c>
      <c r="F178" s="1" t="s">
        <v>41</v>
      </c>
      <c r="G178" s="1" t="s">
        <v>100</v>
      </c>
      <c r="H178" s="2">
        <v>1268.0</v>
      </c>
      <c r="I178" s="2">
        <v>6416.0</v>
      </c>
      <c r="J178" s="1">
        <v>1988.0</v>
      </c>
      <c r="K178" s="1">
        <v>45.0</v>
      </c>
      <c r="L178" s="1" t="s">
        <v>32</v>
      </c>
      <c r="M178" s="1" t="s">
        <v>754</v>
      </c>
      <c r="N178" s="1" t="s">
        <v>48</v>
      </c>
      <c r="O178" s="1" t="s">
        <v>25</v>
      </c>
      <c r="P178" s="1" t="s">
        <v>755</v>
      </c>
    </row>
    <row r="179" ht="14.25" customHeight="1">
      <c r="A179" s="1" t="s">
        <v>756</v>
      </c>
      <c r="B179" s="1" t="s">
        <v>757</v>
      </c>
      <c r="C179" s="1" t="s">
        <v>53</v>
      </c>
      <c r="D179" s="1">
        <v>84616.0</v>
      </c>
      <c r="E179" s="1" t="s">
        <v>30</v>
      </c>
      <c r="F179" s="1" t="s">
        <v>61</v>
      </c>
      <c r="G179" s="1" t="s">
        <v>21</v>
      </c>
      <c r="H179" s="2">
        <v>1383.0</v>
      </c>
      <c r="I179" s="2">
        <v>1172.0</v>
      </c>
      <c r="J179" s="1">
        <v>1966.0</v>
      </c>
      <c r="K179" s="1">
        <v>102.0</v>
      </c>
      <c r="L179" s="1" t="s">
        <v>95</v>
      </c>
      <c r="M179" s="1" t="s">
        <v>758</v>
      </c>
      <c r="N179" s="1" t="s">
        <v>24</v>
      </c>
      <c r="O179" s="1" t="s">
        <v>49</v>
      </c>
      <c r="P179" s="1" t="s">
        <v>759</v>
      </c>
    </row>
    <row r="180" ht="14.25" customHeight="1">
      <c r="A180" s="1" t="s">
        <v>760</v>
      </c>
      <c r="B180" s="1" t="s">
        <v>761</v>
      </c>
      <c r="C180" s="1" t="s">
        <v>76</v>
      </c>
      <c r="D180" s="1">
        <v>25648.0</v>
      </c>
      <c r="E180" s="1" t="s">
        <v>30</v>
      </c>
      <c r="F180" s="1" t="s">
        <v>46</v>
      </c>
      <c r="G180" s="1" t="s">
        <v>21</v>
      </c>
      <c r="H180" s="2">
        <v>1942.0</v>
      </c>
      <c r="I180" s="2">
        <v>6402.0</v>
      </c>
      <c r="J180" s="1">
        <v>1967.0</v>
      </c>
      <c r="K180" s="1">
        <v>103.0</v>
      </c>
      <c r="L180" s="1" t="s">
        <v>141</v>
      </c>
      <c r="M180" s="1" t="s">
        <v>762</v>
      </c>
      <c r="N180" s="1" t="s">
        <v>24</v>
      </c>
      <c r="O180" s="1" t="s">
        <v>49</v>
      </c>
      <c r="P180" s="1" t="s">
        <v>763</v>
      </c>
    </row>
    <row r="181" ht="14.25" customHeight="1">
      <c r="A181" s="1" t="s">
        <v>764</v>
      </c>
      <c r="B181" s="1" t="s">
        <v>765</v>
      </c>
      <c r="C181" s="1" t="s">
        <v>39</v>
      </c>
      <c r="D181" s="1">
        <v>90006.0</v>
      </c>
      <c r="E181" s="1" t="s">
        <v>77</v>
      </c>
      <c r="F181" s="1" t="s">
        <v>41</v>
      </c>
      <c r="G181" s="1" t="s">
        <v>100</v>
      </c>
      <c r="H181" s="2">
        <v>3763.0</v>
      </c>
      <c r="I181" s="2">
        <v>5643.0</v>
      </c>
      <c r="J181" s="1">
        <v>1990.0</v>
      </c>
      <c r="K181" s="1">
        <v>68.0</v>
      </c>
      <c r="L181" s="1" t="s">
        <v>22</v>
      </c>
      <c r="M181" s="1" t="s">
        <v>766</v>
      </c>
      <c r="N181" s="1" t="s">
        <v>43</v>
      </c>
      <c r="O181" s="1" t="s">
        <v>25</v>
      </c>
      <c r="P181" s="1" t="s">
        <v>767</v>
      </c>
    </row>
    <row r="182" ht="14.25" customHeight="1">
      <c r="A182" s="1" t="s">
        <v>768</v>
      </c>
      <c r="B182" s="1" t="s">
        <v>769</v>
      </c>
      <c r="C182" s="1" t="s">
        <v>29</v>
      </c>
      <c r="D182" s="1">
        <v>17782.0</v>
      </c>
      <c r="E182" s="1" t="s">
        <v>19</v>
      </c>
      <c r="F182" s="1" t="s">
        <v>54</v>
      </c>
      <c r="G182" s="1" t="s">
        <v>31</v>
      </c>
      <c r="H182" s="2">
        <v>3594.0</v>
      </c>
      <c r="I182" s="2">
        <v>8781.0</v>
      </c>
      <c r="J182" s="1">
        <v>2004.0</v>
      </c>
      <c r="K182" s="1">
        <v>32.0</v>
      </c>
      <c r="L182" s="1" t="s">
        <v>95</v>
      </c>
      <c r="M182" s="1" t="s">
        <v>770</v>
      </c>
      <c r="N182" s="1" t="s">
        <v>34</v>
      </c>
      <c r="O182" s="1" t="s">
        <v>25</v>
      </c>
      <c r="P182" s="1" t="s">
        <v>771</v>
      </c>
    </row>
    <row r="183" ht="14.25" customHeight="1">
      <c r="A183" s="1" t="s">
        <v>772</v>
      </c>
      <c r="B183" s="1" t="s">
        <v>773</v>
      </c>
      <c r="C183" s="1" t="s">
        <v>76</v>
      </c>
      <c r="D183" s="1">
        <v>86772.0</v>
      </c>
      <c r="E183" s="1" t="s">
        <v>77</v>
      </c>
      <c r="F183" s="1" t="s">
        <v>54</v>
      </c>
      <c r="G183" s="1" t="s">
        <v>21</v>
      </c>
      <c r="H183" s="2">
        <v>2107.0</v>
      </c>
      <c r="I183" s="2">
        <v>3647.0</v>
      </c>
      <c r="J183" s="1">
        <v>1974.0</v>
      </c>
      <c r="K183" s="1">
        <v>41.0</v>
      </c>
      <c r="L183" s="1" t="s">
        <v>141</v>
      </c>
      <c r="M183" s="1" t="s">
        <v>774</v>
      </c>
      <c r="N183" s="1" t="s">
        <v>34</v>
      </c>
      <c r="O183" s="1" t="s">
        <v>25</v>
      </c>
      <c r="P183" s="1" t="s">
        <v>775</v>
      </c>
    </row>
    <row r="184" ht="14.25" customHeight="1">
      <c r="A184" s="1" t="s">
        <v>776</v>
      </c>
      <c r="B184" s="1" t="s">
        <v>777</v>
      </c>
      <c r="C184" s="1" t="s">
        <v>18</v>
      </c>
      <c r="D184" s="1">
        <v>29937.0</v>
      </c>
      <c r="E184" s="1" t="s">
        <v>60</v>
      </c>
      <c r="F184" s="1" t="s">
        <v>41</v>
      </c>
      <c r="G184" s="1" t="s">
        <v>55</v>
      </c>
      <c r="H184" s="2">
        <v>3845.0</v>
      </c>
      <c r="I184" s="2">
        <v>2577.0</v>
      </c>
      <c r="J184" s="1">
        <v>2019.0</v>
      </c>
      <c r="K184" s="1">
        <v>108.0</v>
      </c>
      <c r="L184" s="1" t="s">
        <v>32</v>
      </c>
      <c r="M184" s="1" t="s">
        <v>778</v>
      </c>
      <c r="N184" s="1" t="s">
        <v>43</v>
      </c>
      <c r="O184" s="1" t="s">
        <v>25</v>
      </c>
      <c r="P184" s="1" t="s">
        <v>779</v>
      </c>
    </row>
    <row r="185" ht="14.25" customHeight="1">
      <c r="A185" s="1" t="s">
        <v>780</v>
      </c>
      <c r="B185" s="1" t="s">
        <v>781</v>
      </c>
      <c r="C185" s="1" t="s">
        <v>53</v>
      </c>
      <c r="D185" s="1">
        <v>19052.0</v>
      </c>
      <c r="E185" s="1" t="s">
        <v>30</v>
      </c>
      <c r="F185" s="1" t="s">
        <v>94</v>
      </c>
      <c r="G185" s="1" t="s">
        <v>55</v>
      </c>
      <c r="H185" s="2">
        <v>2424.0</v>
      </c>
      <c r="I185" s="2">
        <v>9094.0</v>
      </c>
      <c r="J185" s="1">
        <v>1964.0</v>
      </c>
      <c r="K185" s="1">
        <v>97.0</v>
      </c>
      <c r="L185" s="1" t="s">
        <v>95</v>
      </c>
      <c r="M185" s="1" t="s">
        <v>782</v>
      </c>
      <c r="N185" s="1" t="s">
        <v>48</v>
      </c>
      <c r="O185" s="1" t="s">
        <v>25</v>
      </c>
      <c r="P185" s="1" t="s">
        <v>783</v>
      </c>
    </row>
    <row r="186" ht="14.25" customHeight="1">
      <c r="A186" s="1" t="s">
        <v>784</v>
      </c>
      <c r="B186" s="1" t="s">
        <v>785</v>
      </c>
      <c r="C186" s="1" t="s">
        <v>53</v>
      </c>
      <c r="D186" s="1">
        <v>15311.0</v>
      </c>
      <c r="E186" s="1" t="s">
        <v>40</v>
      </c>
      <c r="F186" s="1" t="s">
        <v>61</v>
      </c>
      <c r="G186" s="1" t="s">
        <v>55</v>
      </c>
      <c r="H186" s="2">
        <v>782.0</v>
      </c>
      <c r="I186" s="2">
        <v>7738.0</v>
      </c>
      <c r="J186" s="1">
        <v>1981.0</v>
      </c>
      <c r="K186" s="1">
        <v>60.0</v>
      </c>
      <c r="L186" s="1" t="s">
        <v>95</v>
      </c>
      <c r="M186" s="1" t="s">
        <v>786</v>
      </c>
      <c r="N186" s="1" t="s">
        <v>24</v>
      </c>
      <c r="O186" s="1" t="s">
        <v>25</v>
      </c>
      <c r="P186" s="1" t="s">
        <v>787</v>
      </c>
    </row>
    <row r="187" ht="14.25" customHeight="1">
      <c r="A187" s="1" t="s">
        <v>788</v>
      </c>
      <c r="B187" s="1" t="s">
        <v>789</v>
      </c>
      <c r="C187" s="1" t="s">
        <v>29</v>
      </c>
      <c r="D187" s="1">
        <v>52313.0</v>
      </c>
      <c r="E187" s="1" t="s">
        <v>60</v>
      </c>
      <c r="F187" s="1" t="s">
        <v>20</v>
      </c>
      <c r="G187" s="1" t="s">
        <v>31</v>
      </c>
      <c r="H187" s="2">
        <v>1372.0</v>
      </c>
      <c r="I187" s="2">
        <v>7782.0</v>
      </c>
      <c r="J187" s="1">
        <v>2001.0</v>
      </c>
      <c r="K187" s="1">
        <v>82.0</v>
      </c>
      <c r="L187" s="1" t="s">
        <v>32</v>
      </c>
      <c r="M187" s="1" t="s">
        <v>790</v>
      </c>
      <c r="N187" s="1" t="s">
        <v>48</v>
      </c>
      <c r="O187" s="1" t="s">
        <v>25</v>
      </c>
      <c r="P187" s="1" t="s">
        <v>791</v>
      </c>
    </row>
    <row r="188" ht="14.25" customHeight="1">
      <c r="A188" s="1" t="s">
        <v>792</v>
      </c>
      <c r="B188" s="1" t="s">
        <v>793</v>
      </c>
      <c r="C188" s="1" t="s">
        <v>53</v>
      </c>
      <c r="D188" s="1">
        <v>38983.0</v>
      </c>
      <c r="E188" s="1" t="s">
        <v>77</v>
      </c>
      <c r="F188" s="1" t="s">
        <v>94</v>
      </c>
      <c r="G188" s="1" t="s">
        <v>100</v>
      </c>
      <c r="H188" s="2">
        <v>2842.0</v>
      </c>
      <c r="I188" s="2">
        <v>4737.0</v>
      </c>
      <c r="J188" s="1">
        <v>1987.0</v>
      </c>
      <c r="K188" s="1">
        <v>24.0</v>
      </c>
      <c r="L188" s="1" t="s">
        <v>141</v>
      </c>
      <c r="M188" s="1" t="s">
        <v>794</v>
      </c>
      <c r="N188" s="1" t="s">
        <v>24</v>
      </c>
      <c r="O188" s="1" t="s">
        <v>25</v>
      </c>
      <c r="P188" s="1" t="s">
        <v>795</v>
      </c>
    </row>
    <row r="189" ht="14.25" customHeight="1">
      <c r="A189" s="1" t="s">
        <v>796</v>
      </c>
      <c r="B189" s="1" t="s">
        <v>797</v>
      </c>
      <c r="C189" s="1" t="s">
        <v>76</v>
      </c>
      <c r="D189" s="1">
        <v>95768.0</v>
      </c>
      <c r="E189" s="1" t="s">
        <v>77</v>
      </c>
      <c r="F189" s="1" t="s">
        <v>61</v>
      </c>
      <c r="G189" s="1" t="s">
        <v>31</v>
      </c>
      <c r="H189" s="2">
        <v>3566.0</v>
      </c>
      <c r="I189" s="2">
        <v>2593.0</v>
      </c>
      <c r="J189" s="1">
        <v>1968.0</v>
      </c>
      <c r="K189" s="1">
        <v>32.0</v>
      </c>
      <c r="L189" s="1" t="s">
        <v>22</v>
      </c>
      <c r="M189" s="1" t="s">
        <v>798</v>
      </c>
      <c r="N189" s="1" t="s">
        <v>48</v>
      </c>
      <c r="O189" s="1" t="s">
        <v>25</v>
      </c>
      <c r="P189" s="1" t="s">
        <v>799</v>
      </c>
    </row>
    <row r="190" ht="14.25" customHeight="1">
      <c r="A190" s="1" t="s">
        <v>800</v>
      </c>
      <c r="B190" s="1" t="s">
        <v>801</v>
      </c>
      <c r="C190" s="1" t="s">
        <v>18</v>
      </c>
      <c r="D190" s="1">
        <v>30565.0</v>
      </c>
      <c r="E190" s="1" t="s">
        <v>30</v>
      </c>
      <c r="F190" s="1" t="s">
        <v>46</v>
      </c>
      <c r="G190" s="1" t="s">
        <v>21</v>
      </c>
      <c r="H190" s="2">
        <v>2648.0</v>
      </c>
      <c r="I190" s="2">
        <v>4097.0</v>
      </c>
      <c r="J190" s="1">
        <v>1962.0</v>
      </c>
      <c r="K190" s="1">
        <v>83.0</v>
      </c>
      <c r="L190" s="1" t="s">
        <v>22</v>
      </c>
      <c r="M190" s="1" t="s">
        <v>802</v>
      </c>
      <c r="N190" s="1" t="s">
        <v>34</v>
      </c>
      <c r="O190" s="1" t="s">
        <v>35</v>
      </c>
      <c r="P190" s="1" t="s">
        <v>803</v>
      </c>
    </row>
    <row r="191" ht="14.25" customHeight="1">
      <c r="A191" s="1" t="s">
        <v>804</v>
      </c>
      <c r="B191" s="1" t="s">
        <v>805</v>
      </c>
      <c r="C191" s="1" t="s">
        <v>18</v>
      </c>
      <c r="D191" s="1">
        <v>50470.0</v>
      </c>
      <c r="E191" s="1" t="s">
        <v>30</v>
      </c>
      <c r="F191" s="1" t="s">
        <v>41</v>
      </c>
      <c r="G191" s="1" t="s">
        <v>100</v>
      </c>
      <c r="H191" s="2">
        <v>1102.0</v>
      </c>
      <c r="I191" s="2">
        <v>1279.0</v>
      </c>
      <c r="J191" s="1">
        <v>1954.0</v>
      </c>
      <c r="K191" s="1">
        <v>48.0</v>
      </c>
      <c r="L191" s="1" t="s">
        <v>32</v>
      </c>
      <c r="M191" s="1" t="s">
        <v>806</v>
      </c>
      <c r="N191" s="1" t="s">
        <v>34</v>
      </c>
      <c r="O191" s="1" t="s">
        <v>35</v>
      </c>
      <c r="P191" s="1" t="s">
        <v>807</v>
      </c>
    </row>
    <row r="192" ht="14.25" customHeight="1">
      <c r="A192" s="1" t="s">
        <v>808</v>
      </c>
      <c r="B192" s="1" t="s">
        <v>809</v>
      </c>
      <c r="C192" s="1" t="s">
        <v>29</v>
      </c>
      <c r="D192" s="1">
        <v>52256.0</v>
      </c>
      <c r="E192" s="1" t="s">
        <v>77</v>
      </c>
      <c r="F192" s="1" t="s">
        <v>41</v>
      </c>
      <c r="G192" s="1" t="s">
        <v>21</v>
      </c>
      <c r="H192" s="2">
        <v>3267.0</v>
      </c>
      <c r="I192" s="2">
        <v>8097.0</v>
      </c>
      <c r="J192" s="1">
        <v>1998.0</v>
      </c>
      <c r="K192" s="1">
        <v>116.0</v>
      </c>
      <c r="L192" s="1" t="s">
        <v>141</v>
      </c>
      <c r="M192" s="1" t="s">
        <v>810</v>
      </c>
      <c r="N192" s="1" t="s">
        <v>48</v>
      </c>
      <c r="O192" s="1" t="s">
        <v>35</v>
      </c>
      <c r="P192" s="1" t="s">
        <v>811</v>
      </c>
    </row>
    <row r="193" ht="14.25" customHeight="1">
      <c r="A193" s="1" t="s">
        <v>812</v>
      </c>
      <c r="B193" s="1" t="s">
        <v>813</v>
      </c>
      <c r="C193" s="1" t="s">
        <v>53</v>
      </c>
      <c r="D193" s="1">
        <v>18835.0</v>
      </c>
      <c r="E193" s="1" t="s">
        <v>77</v>
      </c>
      <c r="F193" s="1" t="s">
        <v>41</v>
      </c>
      <c r="G193" s="1" t="s">
        <v>100</v>
      </c>
      <c r="H193" s="2">
        <v>764.0</v>
      </c>
      <c r="I193" s="2">
        <v>3879.0</v>
      </c>
      <c r="J193" s="1">
        <v>1975.0</v>
      </c>
      <c r="K193" s="1">
        <v>3.0</v>
      </c>
      <c r="L193" s="1" t="s">
        <v>141</v>
      </c>
      <c r="M193" s="1" t="s">
        <v>814</v>
      </c>
      <c r="N193" s="1" t="s">
        <v>24</v>
      </c>
      <c r="O193" s="1" t="s">
        <v>49</v>
      </c>
      <c r="P193" s="1" t="s">
        <v>815</v>
      </c>
    </row>
    <row r="194" ht="14.25" customHeight="1">
      <c r="A194" s="1" t="s">
        <v>816</v>
      </c>
      <c r="B194" s="1" t="s">
        <v>817</v>
      </c>
      <c r="C194" s="1" t="s">
        <v>39</v>
      </c>
      <c r="D194" s="1">
        <v>55131.0</v>
      </c>
      <c r="E194" s="1" t="s">
        <v>30</v>
      </c>
      <c r="F194" s="1" t="s">
        <v>46</v>
      </c>
      <c r="G194" s="1" t="s">
        <v>55</v>
      </c>
      <c r="H194" s="2">
        <v>3929.0</v>
      </c>
      <c r="I194" s="2">
        <v>6154.0</v>
      </c>
      <c r="J194" s="1">
        <v>1991.0</v>
      </c>
      <c r="K194" s="1">
        <v>108.0</v>
      </c>
      <c r="L194" s="1" t="s">
        <v>22</v>
      </c>
      <c r="M194" s="1" t="s">
        <v>818</v>
      </c>
      <c r="N194" s="1" t="s">
        <v>48</v>
      </c>
      <c r="O194" s="1" t="s">
        <v>35</v>
      </c>
      <c r="P194" s="1" t="s">
        <v>819</v>
      </c>
    </row>
    <row r="195" ht="14.25" customHeight="1">
      <c r="A195" s="1" t="s">
        <v>820</v>
      </c>
      <c r="B195" s="1" t="s">
        <v>821</v>
      </c>
      <c r="C195" s="1" t="s">
        <v>53</v>
      </c>
      <c r="D195" s="1">
        <v>80688.0</v>
      </c>
      <c r="E195" s="1" t="s">
        <v>30</v>
      </c>
      <c r="F195" s="1" t="s">
        <v>61</v>
      </c>
      <c r="G195" s="1" t="s">
        <v>31</v>
      </c>
      <c r="H195" s="2">
        <v>1287.0</v>
      </c>
      <c r="I195" s="2">
        <v>5152.0</v>
      </c>
      <c r="J195" s="1">
        <v>2000.0</v>
      </c>
      <c r="K195" s="1">
        <v>114.0</v>
      </c>
      <c r="L195" s="1" t="s">
        <v>22</v>
      </c>
      <c r="M195" s="1" t="s">
        <v>822</v>
      </c>
      <c r="N195" s="1" t="s">
        <v>64</v>
      </c>
      <c r="O195" s="1" t="s">
        <v>35</v>
      </c>
      <c r="P195" s="1" t="s">
        <v>823</v>
      </c>
    </row>
    <row r="196" ht="14.25" customHeight="1">
      <c r="A196" s="1" t="s">
        <v>824</v>
      </c>
      <c r="B196" s="1" t="s">
        <v>825</v>
      </c>
      <c r="C196" s="1" t="s">
        <v>39</v>
      </c>
      <c r="D196" s="1">
        <v>22392.0</v>
      </c>
      <c r="E196" s="1" t="s">
        <v>77</v>
      </c>
      <c r="F196" s="1" t="s">
        <v>61</v>
      </c>
      <c r="G196" s="1" t="s">
        <v>21</v>
      </c>
      <c r="H196" s="2">
        <v>1000.0</v>
      </c>
      <c r="I196" s="2">
        <v>4951.0</v>
      </c>
      <c r="J196" s="1">
        <v>1982.0</v>
      </c>
      <c r="K196" s="1">
        <v>40.0</v>
      </c>
      <c r="L196" s="1" t="s">
        <v>22</v>
      </c>
      <c r="M196" s="1" t="s">
        <v>826</v>
      </c>
      <c r="N196" s="1" t="s">
        <v>43</v>
      </c>
      <c r="O196" s="1" t="s">
        <v>25</v>
      </c>
      <c r="P196" s="1" t="s">
        <v>827</v>
      </c>
    </row>
    <row r="197" ht="14.25" customHeight="1">
      <c r="A197" s="1" t="s">
        <v>828</v>
      </c>
      <c r="B197" s="1" t="s">
        <v>829</v>
      </c>
      <c r="C197" s="1" t="s">
        <v>76</v>
      </c>
      <c r="D197" s="1">
        <v>27352.0</v>
      </c>
      <c r="E197" s="1" t="s">
        <v>40</v>
      </c>
      <c r="F197" s="1" t="s">
        <v>20</v>
      </c>
      <c r="G197" s="1" t="s">
        <v>55</v>
      </c>
      <c r="H197" s="2">
        <v>2585.0</v>
      </c>
      <c r="I197" s="2">
        <v>3762.0</v>
      </c>
      <c r="J197" s="1">
        <v>1982.0</v>
      </c>
      <c r="K197" s="1">
        <v>44.0</v>
      </c>
      <c r="L197" s="1" t="s">
        <v>95</v>
      </c>
      <c r="M197" s="1" t="s">
        <v>830</v>
      </c>
      <c r="N197" s="1" t="s">
        <v>43</v>
      </c>
      <c r="O197" s="1" t="s">
        <v>49</v>
      </c>
      <c r="P197" s="1" t="s">
        <v>831</v>
      </c>
    </row>
    <row r="198" ht="14.25" customHeight="1">
      <c r="A198" s="1" t="s">
        <v>832</v>
      </c>
      <c r="B198" s="1" t="s">
        <v>833</v>
      </c>
      <c r="C198" s="1" t="s">
        <v>18</v>
      </c>
      <c r="D198" s="1">
        <v>61136.0</v>
      </c>
      <c r="E198" s="1" t="s">
        <v>30</v>
      </c>
      <c r="F198" s="1" t="s">
        <v>94</v>
      </c>
      <c r="G198" s="1" t="s">
        <v>31</v>
      </c>
      <c r="H198" s="2">
        <v>2784.0</v>
      </c>
      <c r="I198" s="2">
        <v>1944.0</v>
      </c>
      <c r="J198" s="1">
        <v>1983.0</v>
      </c>
      <c r="K198" s="1">
        <v>102.0</v>
      </c>
      <c r="L198" s="1" t="s">
        <v>32</v>
      </c>
      <c r="M198" s="1" t="s">
        <v>834</v>
      </c>
      <c r="N198" s="1" t="s">
        <v>43</v>
      </c>
      <c r="O198" s="1" t="s">
        <v>49</v>
      </c>
      <c r="P198" s="1" t="s">
        <v>835</v>
      </c>
    </row>
    <row r="199" ht="14.25" customHeight="1">
      <c r="A199" s="1" t="s">
        <v>836</v>
      </c>
      <c r="B199" s="1" t="s">
        <v>837</v>
      </c>
      <c r="C199" s="1" t="s">
        <v>18</v>
      </c>
      <c r="D199" s="1">
        <v>75218.0</v>
      </c>
      <c r="E199" s="1" t="s">
        <v>60</v>
      </c>
      <c r="F199" s="1" t="s">
        <v>94</v>
      </c>
      <c r="G199" s="1" t="s">
        <v>21</v>
      </c>
      <c r="H199" s="2">
        <v>2702.0</v>
      </c>
      <c r="I199" s="2">
        <v>3639.0</v>
      </c>
      <c r="J199" s="1">
        <v>1969.0</v>
      </c>
      <c r="K199" s="1">
        <v>79.0</v>
      </c>
      <c r="L199" s="1" t="s">
        <v>95</v>
      </c>
      <c r="M199" s="1" t="s">
        <v>838</v>
      </c>
      <c r="N199" s="1" t="s">
        <v>48</v>
      </c>
      <c r="O199" s="1" t="s">
        <v>35</v>
      </c>
      <c r="P199" s="1" t="s">
        <v>839</v>
      </c>
    </row>
    <row r="200" ht="14.25" customHeight="1">
      <c r="A200" s="1" t="s">
        <v>840</v>
      </c>
      <c r="B200" s="1" t="s">
        <v>841</v>
      </c>
      <c r="C200" s="1" t="s">
        <v>29</v>
      </c>
      <c r="D200" s="1">
        <v>87522.0</v>
      </c>
      <c r="E200" s="1" t="s">
        <v>77</v>
      </c>
      <c r="F200" s="1" t="s">
        <v>20</v>
      </c>
      <c r="G200" s="1" t="s">
        <v>21</v>
      </c>
      <c r="H200" s="2">
        <v>1152.0</v>
      </c>
      <c r="I200" s="2">
        <v>4219.0</v>
      </c>
      <c r="J200" s="1">
        <v>2012.0</v>
      </c>
      <c r="K200" s="1">
        <v>49.0</v>
      </c>
      <c r="L200" s="1" t="s">
        <v>141</v>
      </c>
      <c r="M200" s="1" t="s">
        <v>842</v>
      </c>
      <c r="N200" s="1" t="s">
        <v>48</v>
      </c>
      <c r="O200" s="1" t="s">
        <v>35</v>
      </c>
      <c r="P200" s="1" t="s">
        <v>843</v>
      </c>
    </row>
    <row r="201" ht="14.25" customHeight="1">
      <c r="A201" s="1" t="s">
        <v>844</v>
      </c>
      <c r="B201" s="1" t="s">
        <v>845</v>
      </c>
      <c r="C201" s="1" t="s">
        <v>29</v>
      </c>
      <c r="D201" s="1">
        <v>22296.0</v>
      </c>
      <c r="E201" s="1" t="s">
        <v>60</v>
      </c>
      <c r="F201" s="1" t="s">
        <v>94</v>
      </c>
      <c r="G201" s="1" t="s">
        <v>55</v>
      </c>
      <c r="H201" s="2">
        <v>2668.0</v>
      </c>
      <c r="I201" s="2">
        <v>5454.0</v>
      </c>
      <c r="J201" s="1">
        <v>1968.0</v>
      </c>
      <c r="K201" s="1">
        <v>89.0</v>
      </c>
      <c r="L201" s="1" t="s">
        <v>95</v>
      </c>
      <c r="M201" s="1" t="s">
        <v>846</v>
      </c>
      <c r="N201" s="1" t="s">
        <v>43</v>
      </c>
      <c r="O201" s="1" t="s">
        <v>25</v>
      </c>
      <c r="P201" s="1" t="s">
        <v>847</v>
      </c>
    </row>
    <row r="202" ht="14.25" customHeight="1">
      <c r="A202" s="1" t="s">
        <v>848</v>
      </c>
      <c r="B202" s="1" t="s">
        <v>849</v>
      </c>
      <c r="C202" s="1" t="s">
        <v>29</v>
      </c>
      <c r="D202" s="1">
        <v>63407.0</v>
      </c>
      <c r="E202" s="1" t="s">
        <v>40</v>
      </c>
      <c r="F202" s="1" t="s">
        <v>94</v>
      </c>
      <c r="G202" s="1" t="s">
        <v>55</v>
      </c>
      <c r="H202" s="2">
        <v>1979.0</v>
      </c>
      <c r="I202" s="2">
        <v>2167.0</v>
      </c>
      <c r="J202" s="1">
        <v>1956.0</v>
      </c>
      <c r="K202" s="1">
        <v>53.0</v>
      </c>
      <c r="L202" s="1" t="s">
        <v>62</v>
      </c>
      <c r="M202" s="1" t="s">
        <v>850</v>
      </c>
      <c r="N202" s="1" t="s">
        <v>43</v>
      </c>
      <c r="O202" s="1" t="s">
        <v>49</v>
      </c>
      <c r="P202" s="1" t="s">
        <v>851</v>
      </c>
    </row>
    <row r="203" ht="14.25" customHeight="1">
      <c r="A203" s="1" t="s">
        <v>852</v>
      </c>
      <c r="B203" s="1" t="s">
        <v>853</v>
      </c>
      <c r="C203" s="1" t="s">
        <v>29</v>
      </c>
      <c r="D203" s="1">
        <v>93308.0</v>
      </c>
      <c r="E203" s="1" t="s">
        <v>40</v>
      </c>
      <c r="F203" s="1" t="s">
        <v>46</v>
      </c>
      <c r="G203" s="1" t="s">
        <v>55</v>
      </c>
      <c r="H203" s="2">
        <v>3125.0</v>
      </c>
      <c r="I203" s="2">
        <v>2175.0</v>
      </c>
      <c r="J203" s="1">
        <v>2001.0</v>
      </c>
      <c r="K203" s="1">
        <v>25.0</v>
      </c>
      <c r="L203" s="1" t="s">
        <v>22</v>
      </c>
      <c r="M203" s="1" t="s">
        <v>854</v>
      </c>
      <c r="N203" s="1" t="s">
        <v>48</v>
      </c>
      <c r="O203" s="1" t="s">
        <v>49</v>
      </c>
      <c r="P203" s="1" t="s">
        <v>855</v>
      </c>
    </row>
    <row r="204" ht="14.25" customHeight="1">
      <c r="A204" s="1" t="s">
        <v>856</v>
      </c>
      <c r="B204" s="1" t="s">
        <v>857</v>
      </c>
      <c r="C204" s="1" t="s">
        <v>29</v>
      </c>
      <c r="D204" s="1">
        <v>57020.0</v>
      </c>
      <c r="E204" s="1" t="s">
        <v>19</v>
      </c>
      <c r="F204" s="1" t="s">
        <v>20</v>
      </c>
      <c r="G204" s="1" t="s">
        <v>31</v>
      </c>
      <c r="H204" s="2">
        <v>794.0</v>
      </c>
      <c r="I204" s="2">
        <v>1177.0</v>
      </c>
      <c r="J204" s="1">
        <v>1987.0</v>
      </c>
      <c r="K204" s="1">
        <v>39.0</v>
      </c>
      <c r="L204" s="1" t="s">
        <v>22</v>
      </c>
      <c r="M204" s="1" t="s">
        <v>858</v>
      </c>
      <c r="N204" s="1" t="s">
        <v>64</v>
      </c>
      <c r="O204" s="1" t="s">
        <v>25</v>
      </c>
      <c r="P204" s="1" t="s">
        <v>859</v>
      </c>
    </row>
    <row r="205" ht="14.25" customHeight="1">
      <c r="A205" s="1" t="s">
        <v>860</v>
      </c>
      <c r="B205" s="1" t="s">
        <v>861</v>
      </c>
      <c r="C205" s="1" t="s">
        <v>53</v>
      </c>
      <c r="D205" s="1">
        <v>14674.0</v>
      </c>
      <c r="E205" s="1" t="s">
        <v>60</v>
      </c>
      <c r="F205" s="1" t="s">
        <v>94</v>
      </c>
      <c r="G205" s="1" t="s">
        <v>100</v>
      </c>
      <c r="H205" s="2">
        <v>2514.0</v>
      </c>
      <c r="I205" s="2">
        <v>7593.0</v>
      </c>
      <c r="J205" s="1">
        <v>1994.0</v>
      </c>
      <c r="K205" s="1">
        <v>100.0</v>
      </c>
      <c r="L205" s="1" t="s">
        <v>22</v>
      </c>
      <c r="M205" s="1" t="s">
        <v>862</v>
      </c>
      <c r="N205" s="1" t="s">
        <v>43</v>
      </c>
      <c r="O205" s="1" t="s">
        <v>35</v>
      </c>
      <c r="P205" s="1" t="s">
        <v>863</v>
      </c>
    </row>
    <row r="206" ht="14.25" customHeight="1">
      <c r="A206" s="1" t="s">
        <v>864</v>
      </c>
      <c r="B206" s="1" t="s">
        <v>865</v>
      </c>
      <c r="C206" s="1" t="s">
        <v>76</v>
      </c>
      <c r="D206" s="1">
        <v>82340.0</v>
      </c>
      <c r="E206" s="1" t="s">
        <v>77</v>
      </c>
      <c r="F206" s="1" t="s">
        <v>61</v>
      </c>
      <c r="G206" s="1" t="s">
        <v>100</v>
      </c>
      <c r="H206" s="2">
        <v>2342.0</v>
      </c>
      <c r="I206" s="2">
        <v>6874.0</v>
      </c>
      <c r="J206" s="1">
        <v>2021.0</v>
      </c>
      <c r="K206" s="1">
        <v>61.0</v>
      </c>
      <c r="L206" s="1" t="s">
        <v>95</v>
      </c>
      <c r="M206" s="1" t="s">
        <v>866</v>
      </c>
      <c r="N206" s="1" t="s">
        <v>43</v>
      </c>
      <c r="O206" s="1" t="s">
        <v>25</v>
      </c>
      <c r="P206" s="1" t="s">
        <v>867</v>
      </c>
    </row>
    <row r="207" ht="14.25" customHeight="1">
      <c r="A207" s="1" t="s">
        <v>868</v>
      </c>
      <c r="B207" s="1" t="s">
        <v>869</v>
      </c>
      <c r="C207" s="1" t="s">
        <v>53</v>
      </c>
      <c r="D207" s="1">
        <v>66352.0</v>
      </c>
      <c r="E207" s="1" t="s">
        <v>60</v>
      </c>
      <c r="F207" s="1" t="s">
        <v>94</v>
      </c>
      <c r="G207" s="1" t="s">
        <v>21</v>
      </c>
      <c r="H207" s="2">
        <v>878.0</v>
      </c>
      <c r="I207" s="2">
        <v>4083.0</v>
      </c>
      <c r="J207" s="1">
        <v>2004.0</v>
      </c>
      <c r="K207" s="1">
        <v>41.0</v>
      </c>
      <c r="L207" s="1" t="s">
        <v>95</v>
      </c>
      <c r="M207" s="1" t="s">
        <v>870</v>
      </c>
      <c r="N207" s="1" t="s">
        <v>24</v>
      </c>
      <c r="O207" s="1" t="s">
        <v>25</v>
      </c>
      <c r="P207" s="1" t="s">
        <v>871</v>
      </c>
    </row>
    <row r="208" ht="14.25" customHeight="1">
      <c r="A208" s="1" t="s">
        <v>872</v>
      </c>
      <c r="B208" s="1" t="s">
        <v>873</v>
      </c>
      <c r="C208" s="1" t="s">
        <v>18</v>
      </c>
      <c r="D208" s="1">
        <v>58001.0</v>
      </c>
      <c r="E208" s="1" t="s">
        <v>19</v>
      </c>
      <c r="F208" s="1" t="s">
        <v>54</v>
      </c>
      <c r="G208" s="1" t="s">
        <v>100</v>
      </c>
      <c r="H208" s="2">
        <v>2623.0</v>
      </c>
      <c r="I208" s="2">
        <v>1356.0</v>
      </c>
      <c r="J208" s="1">
        <v>2020.0</v>
      </c>
      <c r="K208" s="1">
        <v>44.0</v>
      </c>
      <c r="L208" s="1" t="s">
        <v>95</v>
      </c>
      <c r="M208" s="1" t="s">
        <v>874</v>
      </c>
      <c r="N208" s="1" t="s">
        <v>34</v>
      </c>
      <c r="O208" s="1" t="s">
        <v>25</v>
      </c>
      <c r="P208" s="1" t="s">
        <v>875</v>
      </c>
    </row>
    <row r="209" ht="14.25" customHeight="1">
      <c r="A209" s="1" t="s">
        <v>876</v>
      </c>
      <c r="B209" s="1" t="s">
        <v>877</v>
      </c>
      <c r="C209" s="1" t="s">
        <v>18</v>
      </c>
      <c r="D209" s="1">
        <v>64992.0</v>
      </c>
      <c r="E209" s="1" t="s">
        <v>77</v>
      </c>
      <c r="F209" s="1" t="s">
        <v>20</v>
      </c>
      <c r="G209" s="1" t="s">
        <v>100</v>
      </c>
      <c r="H209" s="2">
        <v>1065.0</v>
      </c>
      <c r="I209" s="2">
        <v>3682.0</v>
      </c>
      <c r="J209" s="1">
        <v>1956.0</v>
      </c>
      <c r="K209" s="1">
        <v>113.0</v>
      </c>
      <c r="L209" s="1" t="s">
        <v>95</v>
      </c>
      <c r="M209" s="1" t="s">
        <v>878</v>
      </c>
      <c r="N209" s="1" t="s">
        <v>24</v>
      </c>
      <c r="O209" s="1" t="s">
        <v>35</v>
      </c>
      <c r="P209" s="1" t="s">
        <v>879</v>
      </c>
    </row>
    <row r="210" ht="14.25" customHeight="1">
      <c r="A210" s="1" t="s">
        <v>880</v>
      </c>
      <c r="B210" s="1" t="s">
        <v>881</v>
      </c>
      <c r="C210" s="1" t="s">
        <v>76</v>
      </c>
      <c r="D210" s="1">
        <v>71698.0</v>
      </c>
      <c r="E210" s="1" t="s">
        <v>77</v>
      </c>
      <c r="F210" s="1" t="s">
        <v>94</v>
      </c>
      <c r="G210" s="1" t="s">
        <v>100</v>
      </c>
      <c r="H210" s="2">
        <v>3930.0</v>
      </c>
      <c r="I210" s="2">
        <v>3160.0</v>
      </c>
      <c r="J210" s="1">
        <v>1992.0</v>
      </c>
      <c r="K210" s="1">
        <v>71.0</v>
      </c>
      <c r="L210" s="1" t="s">
        <v>62</v>
      </c>
      <c r="M210" s="1" t="s">
        <v>882</v>
      </c>
      <c r="N210" s="1" t="s">
        <v>34</v>
      </c>
      <c r="O210" s="1" t="s">
        <v>25</v>
      </c>
      <c r="P210" s="1" t="s">
        <v>883</v>
      </c>
    </row>
    <row r="211" ht="14.25" customHeight="1">
      <c r="A211" s="1" t="s">
        <v>884</v>
      </c>
      <c r="B211" s="1" t="s">
        <v>885</v>
      </c>
      <c r="C211" s="1" t="s">
        <v>18</v>
      </c>
      <c r="D211" s="1">
        <v>35380.0</v>
      </c>
      <c r="E211" s="1" t="s">
        <v>40</v>
      </c>
      <c r="F211" s="1" t="s">
        <v>46</v>
      </c>
      <c r="G211" s="1" t="s">
        <v>100</v>
      </c>
      <c r="H211" s="2">
        <v>2715.0</v>
      </c>
      <c r="I211" s="2">
        <v>2504.0</v>
      </c>
      <c r="J211" s="1">
        <v>1987.0</v>
      </c>
      <c r="K211" s="1">
        <v>41.0</v>
      </c>
      <c r="L211" s="1" t="s">
        <v>95</v>
      </c>
      <c r="M211" s="1" t="s">
        <v>886</v>
      </c>
      <c r="N211" s="1" t="s">
        <v>48</v>
      </c>
      <c r="O211" s="1" t="s">
        <v>35</v>
      </c>
      <c r="P211" s="1" t="s">
        <v>887</v>
      </c>
    </row>
    <row r="212" ht="14.25" customHeight="1">
      <c r="A212" s="1" t="s">
        <v>888</v>
      </c>
      <c r="B212" s="1" t="s">
        <v>889</v>
      </c>
      <c r="C212" s="1" t="s">
        <v>39</v>
      </c>
      <c r="D212" s="1">
        <v>61851.0</v>
      </c>
      <c r="E212" s="1" t="s">
        <v>77</v>
      </c>
      <c r="F212" s="1" t="s">
        <v>46</v>
      </c>
      <c r="G212" s="1" t="s">
        <v>100</v>
      </c>
      <c r="H212" s="2">
        <v>820.0</v>
      </c>
      <c r="I212" s="2">
        <v>8355.0</v>
      </c>
      <c r="J212" s="1">
        <v>1958.0</v>
      </c>
      <c r="K212" s="1">
        <v>43.0</v>
      </c>
      <c r="L212" s="1" t="s">
        <v>32</v>
      </c>
      <c r="M212" s="1" t="s">
        <v>890</v>
      </c>
      <c r="N212" s="1" t="s">
        <v>34</v>
      </c>
      <c r="O212" s="1" t="s">
        <v>25</v>
      </c>
      <c r="P212" s="1" t="s">
        <v>891</v>
      </c>
    </row>
    <row r="213" ht="14.25" customHeight="1">
      <c r="A213" s="1" t="s">
        <v>892</v>
      </c>
      <c r="B213" s="1" t="s">
        <v>893</v>
      </c>
      <c r="C213" s="1" t="s">
        <v>76</v>
      </c>
      <c r="D213" s="1">
        <v>65026.0</v>
      </c>
      <c r="E213" s="1" t="s">
        <v>19</v>
      </c>
      <c r="F213" s="1" t="s">
        <v>20</v>
      </c>
      <c r="G213" s="1" t="s">
        <v>55</v>
      </c>
      <c r="H213" s="2">
        <v>3131.0</v>
      </c>
      <c r="I213" s="2">
        <v>6904.0</v>
      </c>
      <c r="J213" s="1">
        <v>1980.0</v>
      </c>
      <c r="K213" s="1">
        <v>9.0</v>
      </c>
      <c r="L213" s="1" t="s">
        <v>95</v>
      </c>
      <c r="M213" s="1" t="s">
        <v>894</v>
      </c>
      <c r="N213" s="1" t="s">
        <v>43</v>
      </c>
      <c r="O213" s="1" t="s">
        <v>35</v>
      </c>
      <c r="P213" s="1" t="s">
        <v>895</v>
      </c>
    </row>
    <row r="214" ht="14.25" customHeight="1">
      <c r="A214" s="1" t="s">
        <v>896</v>
      </c>
      <c r="B214" s="1" t="s">
        <v>897</v>
      </c>
      <c r="C214" s="1" t="s">
        <v>29</v>
      </c>
      <c r="D214" s="1">
        <v>61835.0</v>
      </c>
      <c r="E214" s="1" t="s">
        <v>40</v>
      </c>
      <c r="F214" s="1" t="s">
        <v>61</v>
      </c>
      <c r="G214" s="1" t="s">
        <v>100</v>
      </c>
      <c r="H214" s="2">
        <v>1576.0</v>
      </c>
      <c r="I214" s="2">
        <v>3947.0</v>
      </c>
      <c r="J214" s="1">
        <v>1983.0</v>
      </c>
      <c r="K214" s="1">
        <v>4.0</v>
      </c>
      <c r="L214" s="1" t="s">
        <v>22</v>
      </c>
      <c r="M214" s="1" t="s">
        <v>898</v>
      </c>
      <c r="N214" s="1" t="s">
        <v>34</v>
      </c>
      <c r="O214" s="1" t="s">
        <v>49</v>
      </c>
      <c r="P214" s="1" t="s">
        <v>899</v>
      </c>
    </row>
    <row r="215" ht="14.25" customHeight="1">
      <c r="A215" s="1" t="s">
        <v>900</v>
      </c>
      <c r="B215" s="1" t="s">
        <v>901</v>
      </c>
      <c r="C215" s="1" t="s">
        <v>53</v>
      </c>
      <c r="D215" s="1">
        <v>22864.0</v>
      </c>
      <c r="E215" s="1" t="s">
        <v>77</v>
      </c>
      <c r="F215" s="1" t="s">
        <v>94</v>
      </c>
      <c r="G215" s="1" t="s">
        <v>100</v>
      </c>
      <c r="H215" s="2">
        <v>1977.0</v>
      </c>
      <c r="I215" s="2">
        <v>7601.0</v>
      </c>
      <c r="J215" s="1">
        <v>1981.0</v>
      </c>
      <c r="K215" s="1">
        <v>73.0</v>
      </c>
      <c r="L215" s="1" t="s">
        <v>95</v>
      </c>
      <c r="M215" s="1" t="s">
        <v>902</v>
      </c>
      <c r="N215" s="1" t="s">
        <v>64</v>
      </c>
      <c r="O215" s="1" t="s">
        <v>35</v>
      </c>
      <c r="P215" s="1" t="s">
        <v>903</v>
      </c>
    </row>
    <row r="216" ht="14.25" customHeight="1">
      <c r="A216" s="1" t="s">
        <v>904</v>
      </c>
      <c r="B216" s="1" t="s">
        <v>905</v>
      </c>
      <c r="C216" s="1" t="s">
        <v>29</v>
      </c>
      <c r="D216" s="1">
        <v>46679.0</v>
      </c>
      <c r="E216" s="1" t="s">
        <v>60</v>
      </c>
      <c r="F216" s="1" t="s">
        <v>54</v>
      </c>
      <c r="G216" s="1" t="s">
        <v>55</v>
      </c>
      <c r="H216" s="2">
        <v>650.0</v>
      </c>
      <c r="I216" s="2">
        <v>2491.0</v>
      </c>
      <c r="J216" s="1">
        <v>1976.0</v>
      </c>
      <c r="K216" s="1">
        <v>56.0</v>
      </c>
      <c r="L216" s="1" t="s">
        <v>95</v>
      </c>
      <c r="M216" s="1" t="s">
        <v>906</v>
      </c>
      <c r="N216" s="1" t="s">
        <v>48</v>
      </c>
      <c r="O216" s="1" t="s">
        <v>49</v>
      </c>
      <c r="P216" s="1" t="s">
        <v>907</v>
      </c>
    </row>
    <row r="217" ht="14.25" customHeight="1">
      <c r="A217" s="1" t="s">
        <v>908</v>
      </c>
      <c r="B217" s="1" t="s">
        <v>909</v>
      </c>
      <c r="C217" s="1" t="s">
        <v>76</v>
      </c>
      <c r="D217" s="1">
        <v>65583.0</v>
      </c>
      <c r="E217" s="1" t="s">
        <v>30</v>
      </c>
      <c r="F217" s="1" t="s">
        <v>41</v>
      </c>
      <c r="G217" s="1" t="s">
        <v>21</v>
      </c>
      <c r="H217" s="2">
        <v>3655.0</v>
      </c>
      <c r="I217" s="2">
        <v>8072.0</v>
      </c>
      <c r="J217" s="1">
        <v>1983.0</v>
      </c>
      <c r="K217" s="1">
        <v>18.0</v>
      </c>
      <c r="L217" s="1" t="s">
        <v>32</v>
      </c>
      <c r="M217" s="1" t="s">
        <v>910</v>
      </c>
      <c r="N217" s="1" t="s">
        <v>34</v>
      </c>
      <c r="O217" s="1" t="s">
        <v>49</v>
      </c>
      <c r="P217" s="1" t="s">
        <v>911</v>
      </c>
    </row>
    <row r="218" ht="14.25" customHeight="1">
      <c r="A218" s="1" t="s">
        <v>912</v>
      </c>
      <c r="B218" s="1" t="s">
        <v>913</v>
      </c>
      <c r="C218" s="1" t="s">
        <v>76</v>
      </c>
      <c r="D218" s="1">
        <v>45138.0</v>
      </c>
      <c r="E218" s="1" t="s">
        <v>77</v>
      </c>
      <c r="F218" s="1" t="s">
        <v>41</v>
      </c>
      <c r="G218" s="1" t="s">
        <v>31</v>
      </c>
      <c r="H218" s="2">
        <v>1300.0</v>
      </c>
      <c r="I218" s="2">
        <v>3142.0</v>
      </c>
      <c r="J218" s="1">
        <v>2004.0</v>
      </c>
      <c r="K218" s="1">
        <v>29.0</v>
      </c>
      <c r="L218" s="1" t="s">
        <v>32</v>
      </c>
      <c r="M218" s="1" t="s">
        <v>914</v>
      </c>
      <c r="N218" s="1" t="s">
        <v>34</v>
      </c>
      <c r="O218" s="1" t="s">
        <v>25</v>
      </c>
      <c r="P218" s="1" t="s">
        <v>915</v>
      </c>
    </row>
    <row r="219" ht="14.25" customHeight="1">
      <c r="A219" s="1" t="s">
        <v>916</v>
      </c>
      <c r="B219" s="1" t="s">
        <v>917</v>
      </c>
      <c r="C219" s="1" t="s">
        <v>53</v>
      </c>
      <c r="D219" s="1">
        <v>94630.0</v>
      </c>
      <c r="E219" s="1" t="s">
        <v>40</v>
      </c>
      <c r="F219" s="1" t="s">
        <v>54</v>
      </c>
      <c r="G219" s="1" t="s">
        <v>100</v>
      </c>
      <c r="H219" s="2">
        <v>1577.0</v>
      </c>
      <c r="I219" s="2">
        <v>6868.0</v>
      </c>
      <c r="J219" s="1">
        <v>1965.0</v>
      </c>
      <c r="K219" s="1">
        <v>39.0</v>
      </c>
      <c r="L219" s="1" t="s">
        <v>62</v>
      </c>
      <c r="M219" s="1" t="s">
        <v>918</v>
      </c>
      <c r="N219" s="1" t="s">
        <v>34</v>
      </c>
      <c r="O219" s="1" t="s">
        <v>35</v>
      </c>
      <c r="P219" s="1" t="s">
        <v>919</v>
      </c>
    </row>
    <row r="220" ht="14.25" customHeight="1">
      <c r="A220" s="1" t="s">
        <v>920</v>
      </c>
      <c r="B220" s="1" t="s">
        <v>921</v>
      </c>
      <c r="C220" s="1" t="s">
        <v>29</v>
      </c>
      <c r="D220" s="1">
        <v>82157.0</v>
      </c>
      <c r="E220" s="1" t="s">
        <v>30</v>
      </c>
      <c r="F220" s="1" t="s">
        <v>41</v>
      </c>
      <c r="G220" s="1" t="s">
        <v>55</v>
      </c>
      <c r="H220" s="2">
        <v>1775.0</v>
      </c>
      <c r="I220" s="2">
        <v>3631.0</v>
      </c>
      <c r="J220" s="1">
        <v>1952.0</v>
      </c>
      <c r="K220" s="1">
        <v>93.0</v>
      </c>
      <c r="L220" s="1" t="s">
        <v>62</v>
      </c>
      <c r="M220" s="1" t="s">
        <v>922</v>
      </c>
      <c r="N220" s="1" t="s">
        <v>64</v>
      </c>
      <c r="O220" s="1" t="s">
        <v>25</v>
      </c>
      <c r="P220" s="1" t="s">
        <v>923</v>
      </c>
    </row>
    <row r="221" ht="14.25" customHeight="1">
      <c r="A221" s="1" t="s">
        <v>924</v>
      </c>
      <c r="B221" s="1" t="s">
        <v>925</v>
      </c>
      <c r="C221" s="1" t="s">
        <v>53</v>
      </c>
      <c r="D221" s="1">
        <v>77646.0</v>
      </c>
      <c r="E221" s="1" t="s">
        <v>60</v>
      </c>
      <c r="F221" s="1" t="s">
        <v>46</v>
      </c>
      <c r="G221" s="1" t="s">
        <v>55</v>
      </c>
      <c r="H221" s="2">
        <v>665.0</v>
      </c>
      <c r="I221" s="2">
        <v>2481.0</v>
      </c>
      <c r="J221" s="1">
        <v>1988.0</v>
      </c>
      <c r="K221" s="1">
        <v>53.0</v>
      </c>
      <c r="L221" s="1" t="s">
        <v>95</v>
      </c>
      <c r="M221" s="1" t="s">
        <v>926</v>
      </c>
      <c r="N221" s="1" t="s">
        <v>24</v>
      </c>
      <c r="O221" s="1" t="s">
        <v>49</v>
      </c>
      <c r="P221" s="1" t="s">
        <v>927</v>
      </c>
    </row>
    <row r="222" ht="14.25" customHeight="1">
      <c r="A222" s="1" t="s">
        <v>928</v>
      </c>
      <c r="B222" s="1" t="s">
        <v>929</v>
      </c>
      <c r="C222" s="1" t="s">
        <v>39</v>
      </c>
      <c r="D222" s="1">
        <v>38759.0</v>
      </c>
      <c r="E222" s="1" t="s">
        <v>40</v>
      </c>
      <c r="F222" s="1" t="s">
        <v>61</v>
      </c>
      <c r="G222" s="1" t="s">
        <v>21</v>
      </c>
      <c r="H222" s="2">
        <v>3824.0</v>
      </c>
      <c r="I222" s="2">
        <v>1336.0</v>
      </c>
      <c r="J222" s="1">
        <v>1973.0</v>
      </c>
      <c r="K222" s="1">
        <v>29.0</v>
      </c>
      <c r="L222" s="1" t="s">
        <v>141</v>
      </c>
      <c r="M222" s="1" t="s">
        <v>930</v>
      </c>
      <c r="N222" s="1" t="s">
        <v>48</v>
      </c>
      <c r="O222" s="1" t="s">
        <v>35</v>
      </c>
      <c r="P222" s="1" t="s">
        <v>931</v>
      </c>
    </row>
    <row r="223" ht="14.25" customHeight="1">
      <c r="A223" s="1" t="s">
        <v>932</v>
      </c>
      <c r="B223" s="1" t="s">
        <v>933</v>
      </c>
      <c r="C223" s="1" t="s">
        <v>76</v>
      </c>
      <c r="D223" s="1">
        <v>99056.0</v>
      </c>
      <c r="E223" s="1" t="s">
        <v>40</v>
      </c>
      <c r="F223" s="1" t="s">
        <v>54</v>
      </c>
      <c r="G223" s="1" t="s">
        <v>55</v>
      </c>
      <c r="H223" s="2">
        <v>3549.0</v>
      </c>
      <c r="I223" s="2">
        <v>4940.0</v>
      </c>
      <c r="J223" s="1">
        <v>1962.0</v>
      </c>
      <c r="K223" s="1">
        <v>16.0</v>
      </c>
      <c r="L223" s="1" t="s">
        <v>32</v>
      </c>
      <c r="M223" s="1" t="s">
        <v>934</v>
      </c>
      <c r="N223" s="1" t="s">
        <v>64</v>
      </c>
      <c r="O223" s="1" t="s">
        <v>49</v>
      </c>
      <c r="P223" s="1" t="s">
        <v>935</v>
      </c>
    </row>
    <row r="224" ht="14.25" customHeight="1">
      <c r="A224" s="1" t="s">
        <v>936</v>
      </c>
      <c r="B224" s="1" t="s">
        <v>937</v>
      </c>
      <c r="C224" s="1" t="s">
        <v>53</v>
      </c>
      <c r="D224" s="1">
        <v>92930.0</v>
      </c>
      <c r="E224" s="1" t="s">
        <v>30</v>
      </c>
      <c r="F224" s="1" t="s">
        <v>94</v>
      </c>
      <c r="G224" s="1" t="s">
        <v>21</v>
      </c>
      <c r="H224" s="2">
        <v>2329.0</v>
      </c>
      <c r="I224" s="2">
        <v>2940.0</v>
      </c>
      <c r="J224" s="1">
        <v>2019.0</v>
      </c>
      <c r="K224" s="1">
        <v>69.0</v>
      </c>
      <c r="L224" s="1" t="s">
        <v>32</v>
      </c>
      <c r="M224" s="1" t="s">
        <v>938</v>
      </c>
      <c r="N224" s="1" t="s">
        <v>64</v>
      </c>
      <c r="O224" s="1" t="s">
        <v>25</v>
      </c>
      <c r="P224" s="1" t="s">
        <v>939</v>
      </c>
    </row>
    <row r="225" ht="14.25" customHeight="1">
      <c r="A225" s="1" t="s">
        <v>940</v>
      </c>
      <c r="B225" s="1" t="s">
        <v>941</v>
      </c>
      <c r="C225" s="1" t="s">
        <v>39</v>
      </c>
      <c r="D225" s="1">
        <v>45299.0</v>
      </c>
      <c r="E225" s="1" t="s">
        <v>19</v>
      </c>
      <c r="F225" s="1" t="s">
        <v>46</v>
      </c>
      <c r="G225" s="1" t="s">
        <v>21</v>
      </c>
      <c r="H225" s="2">
        <v>2307.0</v>
      </c>
      <c r="I225" s="2">
        <v>7339.0</v>
      </c>
      <c r="J225" s="1">
        <v>2019.0</v>
      </c>
      <c r="K225" s="1">
        <v>37.0</v>
      </c>
      <c r="L225" s="1" t="s">
        <v>32</v>
      </c>
      <c r="M225" s="1" t="s">
        <v>942</v>
      </c>
      <c r="N225" s="1" t="s">
        <v>24</v>
      </c>
      <c r="O225" s="1" t="s">
        <v>35</v>
      </c>
      <c r="P225" s="1" t="s">
        <v>943</v>
      </c>
    </row>
    <row r="226" ht="14.25" customHeight="1">
      <c r="A226" s="1" t="s">
        <v>944</v>
      </c>
      <c r="B226" s="1" t="s">
        <v>945</v>
      </c>
      <c r="C226" s="1" t="s">
        <v>39</v>
      </c>
      <c r="D226" s="1">
        <v>20074.0</v>
      </c>
      <c r="E226" s="1" t="s">
        <v>60</v>
      </c>
      <c r="F226" s="1" t="s">
        <v>41</v>
      </c>
      <c r="G226" s="1" t="s">
        <v>31</v>
      </c>
      <c r="H226" s="2">
        <v>2345.0</v>
      </c>
      <c r="I226" s="2">
        <v>7348.0</v>
      </c>
      <c r="J226" s="1">
        <v>2009.0</v>
      </c>
      <c r="K226" s="1">
        <v>22.0</v>
      </c>
      <c r="L226" s="1" t="s">
        <v>32</v>
      </c>
      <c r="M226" s="1" t="s">
        <v>946</v>
      </c>
      <c r="N226" s="1" t="s">
        <v>34</v>
      </c>
      <c r="O226" s="1" t="s">
        <v>25</v>
      </c>
      <c r="P226" s="1" t="s">
        <v>947</v>
      </c>
    </row>
    <row r="227" ht="14.25" customHeight="1">
      <c r="A227" s="1" t="s">
        <v>948</v>
      </c>
      <c r="B227" s="1" t="s">
        <v>949</v>
      </c>
      <c r="C227" s="1" t="s">
        <v>39</v>
      </c>
      <c r="D227" s="1">
        <v>29610.0</v>
      </c>
      <c r="E227" s="1" t="s">
        <v>77</v>
      </c>
      <c r="F227" s="1" t="s">
        <v>46</v>
      </c>
      <c r="G227" s="1" t="s">
        <v>31</v>
      </c>
      <c r="H227" s="2">
        <v>3288.0</v>
      </c>
      <c r="I227" s="2">
        <v>1472.0</v>
      </c>
      <c r="J227" s="1">
        <v>1984.0</v>
      </c>
      <c r="K227" s="1">
        <v>38.0</v>
      </c>
      <c r="L227" s="1" t="s">
        <v>62</v>
      </c>
      <c r="M227" s="1" t="s">
        <v>950</v>
      </c>
      <c r="N227" s="1" t="s">
        <v>24</v>
      </c>
      <c r="O227" s="1" t="s">
        <v>35</v>
      </c>
      <c r="P227" s="1" t="s">
        <v>951</v>
      </c>
    </row>
    <row r="228" ht="14.25" customHeight="1">
      <c r="A228" s="1" t="s">
        <v>952</v>
      </c>
      <c r="B228" s="1" t="s">
        <v>953</v>
      </c>
      <c r="C228" s="1" t="s">
        <v>76</v>
      </c>
      <c r="D228" s="1">
        <v>92847.0</v>
      </c>
      <c r="E228" s="1" t="s">
        <v>30</v>
      </c>
      <c r="F228" s="1" t="s">
        <v>54</v>
      </c>
      <c r="G228" s="1" t="s">
        <v>100</v>
      </c>
      <c r="H228" s="2">
        <v>2128.0</v>
      </c>
      <c r="I228" s="2">
        <v>1335.0</v>
      </c>
      <c r="J228" s="1">
        <v>1992.0</v>
      </c>
      <c r="K228" s="1">
        <v>100.0</v>
      </c>
      <c r="L228" s="1" t="s">
        <v>141</v>
      </c>
      <c r="M228" s="1" t="s">
        <v>954</v>
      </c>
      <c r="N228" s="1" t="s">
        <v>24</v>
      </c>
      <c r="O228" s="1" t="s">
        <v>49</v>
      </c>
      <c r="P228" s="1" t="s">
        <v>955</v>
      </c>
    </row>
    <row r="229" ht="14.25" customHeight="1">
      <c r="A229" s="1" t="s">
        <v>956</v>
      </c>
      <c r="B229" s="1" t="s">
        <v>957</v>
      </c>
      <c r="C229" s="1" t="s">
        <v>18</v>
      </c>
      <c r="D229" s="1">
        <v>48097.0</v>
      </c>
      <c r="E229" s="1" t="s">
        <v>60</v>
      </c>
      <c r="F229" s="1" t="s">
        <v>54</v>
      </c>
      <c r="G229" s="1" t="s">
        <v>100</v>
      </c>
      <c r="H229" s="2">
        <v>1166.0</v>
      </c>
      <c r="I229" s="2">
        <v>6068.0</v>
      </c>
      <c r="J229" s="1">
        <v>2002.0</v>
      </c>
      <c r="K229" s="1">
        <v>34.0</v>
      </c>
      <c r="L229" s="1" t="s">
        <v>141</v>
      </c>
      <c r="M229" s="1" t="s">
        <v>958</v>
      </c>
      <c r="N229" s="1" t="s">
        <v>24</v>
      </c>
      <c r="O229" s="1" t="s">
        <v>35</v>
      </c>
      <c r="P229" s="1" t="s">
        <v>959</v>
      </c>
    </row>
    <row r="230" ht="14.25" customHeight="1">
      <c r="A230" s="1" t="s">
        <v>960</v>
      </c>
      <c r="B230" s="1" t="s">
        <v>961</v>
      </c>
      <c r="C230" s="1" t="s">
        <v>53</v>
      </c>
      <c r="D230" s="1">
        <v>13752.0</v>
      </c>
      <c r="E230" s="1" t="s">
        <v>19</v>
      </c>
      <c r="F230" s="1" t="s">
        <v>94</v>
      </c>
      <c r="G230" s="1" t="s">
        <v>21</v>
      </c>
      <c r="H230" s="2">
        <v>1051.0</v>
      </c>
      <c r="I230" s="2">
        <v>6205.0</v>
      </c>
      <c r="J230" s="1">
        <v>2019.0</v>
      </c>
      <c r="K230" s="1">
        <v>72.0</v>
      </c>
      <c r="L230" s="1" t="s">
        <v>62</v>
      </c>
      <c r="M230" s="1" t="s">
        <v>962</v>
      </c>
      <c r="N230" s="1" t="s">
        <v>24</v>
      </c>
      <c r="O230" s="1" t="s">
        <v>49</v>
      </c>
      <c r="P230" s="1" t="s">
        <v>963</v>
      </c>
    </row>
    <row r="231" ht="14.25" customHeight="1">
      <c r="A231" s="1" t="s">
        <v>964</v>
      </c>
      <c r="B231" s="1" t="s">
        <v>965</v>
      </c>
      <c r="C231" s="1" t="s">
        <v>53</v>
      </c>
      <c r="D231" s="1">
        <v>89342.0</v>
      </c>
      <c r="E231" s="1" t="s">
        <v>19</v>
      </c>
      <c r="F231" s="1" t="s">
        <v>54</v>
      </c>
      <c r="G231" s="1" t="s">
        <v>55</v>
      </c>
      <c r="H231" s="2">
        <v>1100.0</v>
      </c>
      <c r="I231" s="2">
        <v>8618.0</v>
      </c>
      <c r="J231" s="1">
        <v>2019.0</v>
      </c>
      <c r="K231" s="1">
        <v>11.0</v>
      </c>
      <c r="L231" s="1" t="s">
        <v>62</v>
      </c>
      <c r="M231" s="1" t="s">
        <v>966</v>
      </c>
      <c r="N231" s="1" t="s">
        <v>43</v>
      </c>
      <c r="O231" s="1" t="s">
        <v>35</v>
      </c>
      <c r="P231" s="1" t="s">
        <v>967</v>
      </c>
    </row>
    <row r="232" ht="14.25" customHeight="1">
      <c r="A232" s="1" t="s">
        <v>968</v>
      </c>
      <c r="B232" s="1" t="s">
        <v>969</v>
      </c>
      <c r="C232" s="1" t="s">
        <v>53</v>
      </c>
      <c r="D232" s="1">
        <v>18778.0</v>
      </c>
      <c r="E232" s="1" t="s">
        <v>40</v>
      </c>
      <c r="F232" s="1" t="s">
        <v>41</v>
      </c>
      <c r="G232" s="1" t="s">
        <v>21</v>
      </c>
      <c r="H232" s="2">
        <v>1310.0</v>
      </c>
      <c r="I232" s="2">
        <v>6670.0</v>
      </c>
      <c r="J232" s="1">
        <v>1967.0</v>
      </c>
      <c r="K232" s="1">
        <v>120.0</v>
      </c>
      <c r="L232" s="1" t="s">
        <v>22</v>
      </c>
      <c r="M232" s="1" t="s">
        <v>970</v>
      </c>
      <c r="N232" s="1" t="s">
        <v>64</v>
      </c>
      <c r="O232" s="1" t="s">
        <v>25</v>
      </c>
      <c r="P232" s="1" t="s">
        <v>971</v>
      </c>
    </row>
    <row r="233" ht="14.25" customHeight="1">
      <c r="A233" s="1" t="s">
        <v>972</v>
      </c>
      <c r="B233" s="1" t="s">
        <v>973</v>
      </c>
      <c r="C233" s="1" t="s">
        <v>39</v>
      </c>
      <c r="D233" s="1">
        <v>81788.0</v>
      </c>
      <c r="E233" s="1" t="s">
        <v>30</v>
      </c>
      <c r="F233" s="1" t="s">
        <v>61</v>
      </c>
      <c r="G233" s="1" t="s">
        <v>21</v>
      </c>
      <c r="H233" s="2">
        <v>1141.0</v>
      </c>
      <c r="I233" s="2">
        <v>8933.0</v>
      </c>
      <c r="J233" s="1">
        <v>1994.0</v>
      </c>
      <c r="K233" s="1">
        <v>62.0</v>
      </c>
      <c r="L233" s="1" t="s">
        <v>32</v>
      </c>
      <c r="M233" s="1" t="s">
        <v>974</v>
      </c>
      <c r="N233" s="1" t="s">
        <v>24</v>
      </c>
      <c r="O233" s="1" t="s">
        <v>35</v>
      </c>
      <c r="P233" s="1" t="s">
        <v>975</v>
      </c>
    </row>
    <row r="234" ht="14.25" customHeight="1">
      <c r="A234" s="1" t="s">
        <v>976</v>
      </c>
      <c r="B234" s="1" t="s">
        <v>977</v>
      </c>
      <c r="C234" s="1" t="s">
        <v>76</v>
      </c>
      <c r="D234" s="1">
        <v>59809.0</v>
      </c>
      <c r="E234" s="1" t="s">
        <v>30</v>
      </c>
      <c r="F234" s="1" t="s">
        <v>94</v>
      </c>
      <c r="G234" s="1" t="s">
        <v>21</v>
      </c>
      <c r="H234" s="2">
        <v>1907.0</v>
      </c>
      <c r="I234" s="2">
        <v>6531.0</v>
      </c>
      <c r="J234" s="1">
        <v>2007.0</v>
      </c>
      <c r="K234" s="1">
        <v>52.0</v>
      </c>
      <c r="L234" s="1" t="s">
        <v>141</v>
      </c>
      <c r="M234" s="1" t="s">
        <v>978</v>
      </c>
      <c r="N234" s="1" t="s">
        <v>64</v>
      </c>
      <c r="O234" s="1" t="s">
        <v>25</v>
      </c>
      <c r="P234" s="1" t="s">
        <v>979</v>
      </c>
    </row>
    <row r="235" ht="14.25" customHeight="1">
      <c r="A235" s="1" t="s">
        <v>980</v>
      </c>
      <c r="B235" s="1" t="s">
        <v>981</v>
      </c>
      <c r="C235" s="1" t="s">
        <v>39</v>
      </c>
      <c r="D235" s="1">
        <v>41014.0</v>
      </c>
      <c r="E235" s="1" t="s">
        <v>77</v>
      </c>
      <c r="F235" s="1" t="s">
        <v>20</v>
      </c>
      <c r="G235" s="1" t="s">
        <v>100</v>
      </c>
      <c r="H235" s="2">
        <v>3346.0</v>
      </c>
      <c r="I235" s="2">
        <v>6926.0</v>
      </c>
      <c r="J235" s="1">
        <v>1953.0</v>
      </c>
      <c r="K235" s="1">
        <v>100.0</v>
      </c>
      <c r="L235" s="1" t="s">
        <v>141</v>
      </c>
      <c r="M235" s="1" t="s">
        <v>982</v>
      </c>
      <c r="N235" s="1" t="s">
        <v>24</v>
      </c>
      <c r="O235" s="1" t="s">
        <v>49</v>
      </c>
      <c r="P235" s="1" t="s">
        <v>983</v>
      </c>
    </row>
    <row r="236" ht="14.25" customHeight="1">
      <c r="A236" s="1" t="s">
        <v>984</v>
      </c>
      <c r="B236" s="1" t="s">
        <v>985</v>
      </c>
      <c r="C236" s="1" t="s">
        <v>53</v>
      </c>
      <c r="D236" s="1">
        <v>16823.0</v>
      </c>
      <c r="E236" s="1" t="s">
        <v>30</v>
      </c>
      <c r="F236" s="1" t="s">
        <v>20</v>
      </c>
      <c r="G236" s="1" t="s">
        <v>21</v>
      </c>
      <c r="H236" s="2">
        <v>1684.0</v>
      </c>
      <c r="I236" s="2">
        <v>6802.0</v>
      </c>
      <c r="J236" s="1">
        <v>1992.0</v>
      </c>
      <c r="K236" s="1">
        <v>82.0</v>
      </c>
      <c r="L236" s="1" t="s">
        <v>62</v>
      </c>
      <c r="M236" s="1" t="s">
        <v>986</v>
      </c>
      <c r="N236" s="1" t="s">
        <v>48</v>
      </c>
      <c r="O236" s="1" t="s">
        <v>49</v>
      </c>
      <c r="P236" s="1" t="s">
        <v>987</v>
      </c>
    </row>
    <row r="237" ht="14.25" customHeight="1">
      <c r="A237" s="1" t="s">
        <v>988</v>
      </c>
      <c r="B237" s="1" t="s">
        <v>989</v>
      </c>
      <c r="C237" s="1" t="s">
        <v>53</v>
      </c>
      <c r="D237" s="1">
        <v>99592.0</v>
      </c>
      <c r="E237" s="1" t="s">
        <v>60</v>
      </c>
      <c r="F237" s="1" t="s">
        <v>61</v>
      </c>
      <c r="G237" s="1" t="s">
        <v>55</v>
      </c>
      <c r="H237" s="2">
        <v>1816.0</v>
      </c>
      <c r="I237" s="2">
        <v>7277.0</v>
      </c>
      <c r="J237" s="1">
        <v>1983.0</v>
      </c>
      <c r="K237" s="1">
        <v>36.0</v>
      </c>
      <c r="L237" s="1" t="s">
        <v>95</v>
      </c>
      <c r="M237" s="1" t="s">
        <v>990</v>
      </c>
      <c r="N237" s="1" t="s">
        <v>64</v>
      </c>
      <c r="O237" s="1" t="s">
        <v>25</v>
      </c>
      <c r="P237" s="1" t="s">
        <v>991</v>
      </c>
    </row>
    <row r="238" ht="14.25" customHeight="1">
      <c r="A238" s="1" t="s">
        <v>992</v>
      </c>
      <c r="B238" s="1" t="s">
        <v>993</v>
      </c>
      <c r="C238" s="1" t="s">
        <v>53</v>
      </c>
      <c r="D238" s="1">
        <v>54352.0</v>
      </c>
      <c r="E238" s="1" t="s">
        <v>19</v>
      </c>
      <c r="F238" s="1" t="s">
        <v>54</v>
      </c>
      <c r="G238" s="1" t="s">
        <v>21</v>
      </c>
      <c r="H238" s="2">
        <v>2465.0</v>
      </c>
      <c r="I238" s="2">
        <v>8960.0</v>
      </c>
      <c r="J238" s="1">
        <v>1993.0</v>
      </c>
      <c r="K238" s="1">
        <v>31.0</v>
      </c>
      <c r="L238" s="1" t="s">
        <v>32</v>
      </c>
      <c r="M238" s="1" t="s">
        <v>994</v>
      </c>
      <c r="N238" s="1" t="s">
        <v>64</v>
      </c>
      <c r="O238" s="1" t="s">
        <v>25</v>
      </c>
      <c r="P238" s="1" t="s">
        <v>995</v>
      </c>
    </row>
    <row r="239" ht="14.25" customHeight="1">
      <c r="A239" s="1" t="s">
        <v>996</v>
      </c>
      <c r="B239" s="1" t="s">
        <v>997</v>
      </c>
      <c r="C239" s="1" t="s">
        <v>39</v>
      </c>
      <c r="D239" s="1">
        <v>51205.0</v>
      </c>
      <c r="E239" s="1" t="s">
        <v>40</v>
      </c>
      <c r="F239" s="1" t="s">
        <v>54</v>
      </c>
      <c r="G239" s="1" t="s">
        <v>31</v>
      </c>
      <c r="H239" s="2">
        <v>3103.0</v>
      </c>
      <c r="I239" s="2">
        <v>7144.0</v>
      </c>
      <c r="J239" s="1">
        <v>2016.0</v>
      </c>
      <c r="K239" s="1">
        <v>75.0</v>
      </c>
      <c r="L239" s="1" t="s">
        <v>141</v>
      </c>
      <c r="M239" s="1" t="s">
        <v>998</v>
      </c>
      <c r="N239" s="1" t="s">
        <v>64</v>
      </c>
      <c r="O239" s="1" t="s">
        <v>49</v>
      </c>
      <c r="P239" s="1" t="s">
        <v>999</v>
      </c>
    </row>
    <row r="240" ht="14.25" customHeight="1">
      <c r="A240" s="1" t="s">
        <v>1000</v>
      </c>
      <c r="B240" s="1" t="s">
        <v>1001</v>
      </c>
      <c r="C240" s="1" t="s">
        <v>53</v>
      </c>
      <c r="D240" s="1">
        <v>58293.0</v>
      </c>
      <c r="E240" s="1" t="s">
        <v>19</v>
      </c>
      <c r="F240" s="1" t="s">
        <v>20</v>
      </c>
      <c r="G240" s="1" t="s">
        <v>21</v>
      </c>
      <c r="H240" s="2">
        <v>1081.0</v>
      </c>
      <c r="I240" s="2">
        <v>6201.0</v>
      </c>
      <c r="J240" s="1">
        <v>1960.0</v>
      </c>
      <c r="K240" s="1">
        <v>98.0</v>
      </c>
      <c r="L240" s="1" t="s">
        <v>95</v>
      </c>
      <c r="M240" s="1" t="s">
        <v>1002</v>
      </c>
      <c r="N240" s="1" t="s">
        <v>34</v>
      </c>
      <c r="O240" s="1" t="s">
        <v>25</v>
      </c>
      <c r="P240" s="1" t="s">
        <v>1003</v>
      </c>
    </row>
    <row r="241" ht="14.25" customHeight="1">
      <c r="A241" s="1" t="s">
        <v>1004</v>
      </c>
      <c r="B241" s="1" t="s">
        <v>1005</v>
      </c>
      <c r="C241" s="1" t="s">
        <v>53</v>
      </c>
      <c r="D241" s="1">
        <v>83221.0</v>
      </c>
      <c r="E241" s="1" t="s">
        <v>60</v>
      </c>
      <c r="F241" s="1" t="s">
        <v>41</v>
      </c>
      <c r="G241" s="1" t="s">
        <v>21</v>
      </c>
      <c r="H241" s="2">
        <v>1668.0</v>
      </c>
      <c r="I241" s="2">
        <v>9748.0</v>
      </c>
      <c r="J241" s="1">
        <v>1970.0</v>
      </c>
      <c r="K241" s="1">
        <v>68.0</v>
      </c>
      <c r="L241" s="1" t="s">
        <v>141</v>
      </c>
      <c r="M241" s="1" t="s">
        <v>1006</v>
      </c>
      <c r="N241" s="1" t="s">
        <v>48</v>
      </c>
      <c r="O241" s="1" t="s">
        <v>25</v>
      </c>
      <c r="P241" s="1" t="s">
        <v>1007</v>
      </c>
    </row>
    <row r="242" ht="14.25" customHeight="1">
      <c r="A242" s="1" t="s">
        <v>1008</v>
      </c>
      <c r="B242" s="1" t="s">
        <v>1009</v>
      </c>
      <c r="C242" s="1" t="s">
        <v>53</v>
      </c>
      <c r="D242" s="1">
        <v>25359.0</v>
      </c>
      <c r="E242" s="1" t="s">
        <v>60</v>
      </c>
      <c r="F242" s="1" t="s">
        <v>46</v>
      </c>
      <c r="G242" s="1" t="s">
        <v>21</v>
      </c>
      <c r="H242" s="2">
        <v>1086.0</v>
      </c>
      <c r="I242" s="2">
        <v>3929.0</v>
      </c>
      <c r="J242" s="1">
        <v>1976.0</v>
      </c>
      <c r="K242" s="1">
        <v>50.0</v>
      </c>
      <c r="L242" s="1" t="s">
        <v>62</v>
      </c>
      <c r="M242" s="1" t="s">
        <v>1010</v>
      </c>
      <c r="N242" s="1" t="s">
        <v>48</v>
      </c>
      <c r="O242" s="1" t="s">
        <v>35</v>
      </c>
      <c r="P242" s="1" t="s">
        <v>1011</v>
      </c>
    </row>
    <row r="243" ht="14.25" customHeight="1">
      <c r="A243" s="1" t="s">
        <v>1012</v>
      </c>
      <c r="B243" s="1" t="s">
        <v>1013</v>
      </c>
      <c r="C243" s="1" t="s">
        <v>18</v>
      </c>
      <c r="D243" s="1">
        <v>74968.0</v>
      </c>
      <c r="E243" s="1" t="s">
        <v>40</v>
      </c>
      <c r="F243" s="1" t="s">
        <v>61</v>
      </c>
      <c r="G243" s="1" t="s">
        <v>21</v>
      </c>
      <c r="H243" s="2">
        <v>2581.0</v>
      </c>
      <c r="I243" s="2">
        <v>2355.0</v>
      </c>
      <c r="J243" s="1">
        <v>1954.0</v>
      </c>
      <c r="K243" s="1">
        <v>20.0</v>
      </c>
      <c r="L243" s="1" t="s">
        <v>141</v>
      </c>
      <c r="M243" s="1" t="s">
        <v>1014</v>
      </c>
      <c r="N243" s="1" t="s">
        <v>34</v>
      </c>
      <c r="O243" s="1" t="s">
        <v>35</v>
      </c>
      <c r="P243" s="1" t="s">
        <v>1015</v>
      </c>
    </row>
    <row r="244" ht="14.25" customHeight="1">
      <c r="A244" s="1" t="s">
        <v>1016</v>
      </c>
      <c r="B244" s="1" t="s">
        <v>1017</v>
      </c>
      <c r="C244" s="1" t="s">
        <v>39</v>
      </c>
      <c r="D244" s="1">
        <v>65871.0</v>
      </c>
      <c r="E244" s="1" t="s">
        <v>19</v>
      </c>
      <c r="F244" s="1" t="s">
        <v>46</v>
      </c>
      <c r="G244" s="1" t="s">
        <v>55</v>
      </c>
      <c r="H244" s="2">
        <v>2931.0</v>
      </c>
      <c r="I244" s="2">
        <v>2144.0</v>
      </c>
      <c r="J244" s="1">
        <v>1970.0</v>
      </c>
      <c r="K244" s="1">
        <v>98.0</v>
      </c>
      <c r="L244" s="1" t="s">
        <v>62</v>
      </c>
      <c r="M244" s="1" t="s">
        <v>1018</v>
      </c>
      <c r="N244" s="1" t="s">
        <v>34</v>
      </c>
      <c r="O244" s="1" t="s">
        <v>35</v>
      </c>
      <c r="P244" s="1" t="s">
        <v>1019</v>
      </c>
    </row>
    <row r="245" ht="14.25" customHeight="1">
      <c r="A245" s="1" t="s">
        <v>1020</v>
      </c>
      <c r="B245" s="1" t="s">
        <v>1021</v>
      </c>
      <c r="C245" s="1" t="s">
        <v>53</v>
      </c>
      <c r="D245" s="1">
        <v>37127.0</v>
      </c>
      <c r="E245" s="1" t="s">
        <v>19</v>
      </c>
      <c r="F245" s="1" t="s">
        <v>46</v>
      </c>
      <c r="G245" s="1" t="s">
        <v>21</v>
      </c>
      <c r="H245" s="2">
        <v>3176.0</v>
      </c>
      <c r="I245" s="2">
        <v>7268.0</v>
      </c>
      <c r="J245" s="1">
        <v>1953.0</v>
      </c>
      <c r="K245" s="1">
        <v>40.0</v>
      </c>
      <c r="L245" s="1" t="s">
        <v>62</v>
      </c>
      <c r="M245" s="1" t="s">
        <v>1022</v>
      </c>
      <c r="N245" s="1" t="s">
        <v>43</v>
      </c>
      <c r="O245" s="1" t="s">
        <v>49</v>
      </c>
      <c r="P245" s="1" t="s">
        <v>1023</v>
      </c>
    </row>
    <row r="246" ht="14.25" customHeight="1">
      <c r="A246" s="1" t="s">
        <v>1024</v>
      </c>
      <c r="B246" s="1" t="s">
        <v>1025</v>
      </c>
      <c r="C246" s="1" t="s">
        <v>29</v>
      </c>
      <c r="D246" s="1">
        <v>15796.0</v>
      </c>
      <c r="E246" s="1" t="s">
        <v>77</v>
      </c>
      <c r="F246" s="1" t="s">
        <v>41</v>
      </c>
      <c r="G246" s="1" t="s">
        <v>100</v>
      </c>
      <c r="H246" s="2">
        <v>965.0</v>
      </c>
      <c r="I246" s="2">
        <v>1073.0</v>
      </c>
      <c r="J246" s="1">
        <v>1970.0</v>
      </c>
      <c r="K246" s="1">
        <v>95.0</v>
      </c>
      <c r="L246" s="1" t="s">
        <v>62</v>
      </c>
      <c r="M246" s="1" t="s">
        <v>1026</v>
      </c>
      <c r="N246" s="1" t="s">
        <v>64</v>
      </c>
      <c r="O246" s="1" t="s">
        <v>25</v>
      </c>
      <c r="P246" s="1" t="s">
        <v>1027</v>
      </c>
    </row>
    <row r="247" ht="14.25" customHeight="1">
      <c r="A247" s="1" t="s">
        <v>1028</v>
      </c>
      <c r="B247" s="1" t="s">
        <v>1029</v>
      </c>
      <c r="C247" s="1" t="s">
        <v>53</v>
      </c>
      <c r="D247" s="1">
        <v>37523.0</v>
      </c>
      <c r="E247" s="1" t="s">
        <v>77</v>
      </c>
      <c r="F247" s="1" t="s">
        <v>41</v>
      </c>
      <c r="G247" s="1" t="s">
        <v>100</v>
      </c>
      <c r="H247" s="2">
        <v>912.0</v>
      </c>
      <c r="I247" s="2">
        <v>1399.0</v>
      </c>
      <c r="J247" s="1">
        <v>1961.0</v>
      </c>
      <c r="K247" s="1">
        <v>41.0</v>
      </c>
      <c r="L247" s="1" t="s">
        <v>22</v>
      </c>
      <c r="M247" s="1" t="s">
        <v>1030</v>
      </c>
      <c r="N247" s="1" t="s">
        <v>48</v>
      </c>
      <c r="O247" s="1" t="s">
        <v>25</v>
      </c>
      <c r="P247" s="1" t="s">
        <v>1031</v>
      </c>
    </row>
    <row r="248" ht="14.25" customHeight="1">
      <c r="A248" s="1" t="s">
        <v>1032</v>
      </c>
      <c r="B248" s="1" t="s">
        <v>1033</v>
      </c>
      <c r="C248" s="1" t="s">
        <v>76</v>
      </c>
      <c r="D248" s="1">
        <v>21028.0</v>
      </c>
      <c r="E248" s="1" t="s">
        <v>40</v>
      </c>
      <c r="F248" s="1" t="s">
        <v>20</v>
      </c>
      <c r="G248" s="1" t="s">
        <v>31</v>
      </c>
      <c r="H248" s="2">
        <v>2206.0</v>
      </c>
      <c r="I248" s="2">
        <v>5397.0</v>
      </c>
      <c r="J248" s="1">
        <v>1982.0</v>
      </c>
      <c r="K248" s="1">
        <v>111.0</v>
      </c>
      <c r="L248" s="1" t="s">
        <v>32</v>
      </c>
      <c r="M248" s="1" t="s">
        <v>1034</v>
      </c>
      <c r="N248" s="1" t="s">
        <v>43</v>
      </c>
      <c r="O248" s="1" t="s">
        <v>49</v>
      </c>
      <c r="P248" s="1" t="s">
        <v>1035</v>
      </c>
    </row>
    <row r="249" ht="14.25" customHeight="1">
      <c r="A249" s="1" t="s">
        <v>1036</v>
      </c>
      <c r="B249" s="1" t="s">
        <v>1037</v>
      </c>
      <c r="C249" s="1" t="s">
        <v>53</v>
      </c>
      <c r="D249" s="1">
        <v>59912.0</v>
      </c>
      <c r="E249" s="1" t="s">
        <v>77</v>
      </c>
      <c r="F249" s="1" t="s">
        <v>20</v>
      </c>
      <c r="G249" s="1" t="s">
        <v>55</v>
      </c>
      <c r="H249" s="2">
        <v>726.0</v>
      </c>
      <c r="I249" s="2">
        <v>3438.0</v>
      </c>
      <c r="J249" s="1">
        <v>1957.0</v>
      </c>
      <c r="K249" s="1">
        <v>38.0</v>
      </c>
      <c r="L249" s="1" t="s">
        <v>62</v>
      </c>
      <c r="M249" s="1" t="s">
        <v>1038</v>
      </c>
      <c r="N249" s="1" t="s">
        <v>24</v>
      </c>
      <c r="O249" s="1" t="s">
        <v>49</v>
      </c>
      <c r="P249" s="1" t="s">
        <v>1039</v>
      </c>
    </row>
    <row r="250" ht="14.25" customHeight="1">
      <c r="A250" s="1" t="s">
        <v>1040</v>
      </c>
      <c r="B250" s="1" t="s">
        <v>1041</v>
      </c>
      <c r="C250" s="1" t="s">
        <v>39</v>
      </c>
      <c r="D250" s="1">
        <v>14174.0</v>
      </c>
      <c r="E250" s="1" t="s">
        <v>30</v>
      </c>
      <c r="F250" s="1" t="s">
        <v>54</v>
      </c>
      <c r="G250" s="1" t="s">
        <v>55</v>
      </c>
      <c r="H250" s="2">
        <v>3255.0</v>
      </c>
      <c r="I250" s="2">
        <v>5242.0</v>
      </c>
      <c r="J250" s="1">
        <v>1970.0</v>
      </c>
      <c r="K250" s="1">
        <v>95.0</v>
      </c>
      <c r="L250" s="1" t="s">
        <v>141</v>
      </c>
      <c r="M250" s="1" t="s">
        <v>1042</v>
      </c>
      <c r="N250" s="1" t="s">
        <v>48</v>
      </c>
      <c r="O250" s="1" t="s">
        <v>25</v>
      </c>
      <c r="P250" s="1" t="s">
        <v>1043</v>
      </c>
    </row>
    <row r="251" ht="14.25" customHeight="1">
      <c r="A251" s="1" t="s">
        <v>1044</v>
      </c>
      <c r="B251" s="1" t="s">
        <v>1045</v>
      </c>
      <c r="C251" s="1" t="s">
        <v>29</v>
      </c>
      <c r="D251" s="1">
        <v>39662.0</v>
      </c>
      <c r="E251" s="1" t="s">
        <v>60</v>
      </c>
      <c r="F251" s="1" t="s">
        <v>46</v>
      </c>
      <c r="G251" s="1" t="s">
        <v>100</v>
      </c>
      <c r="H251" s="2">
        <v>2395.0</v>
      </c>
      <c r="I251" s="2">
        <v>9573.0</v>
      </c>
      <c r="J251" s="1">
        <v>2000.0</v>
      </c>
      <c r="K251" s="1">
        <v>31.0</v>
      </c>
      <c r="L251" s="1" t="s">
        <v>22</v>
      </c>
      <c r="M251" s="1" t="s">
        <v>1046</v>
      </c>
      <c r="N251" s="1" t="s">
        <v>24</v>
      </c>
      <c r="O251" s="1" t="s">
        <v>49</v>
      </c>
      <c r="P251" s="1" t="s">
        <v>1047</v>
      </c>
    </row>
    <row r="252" ht="14.25" customHeight="1">
      <c r="A252" s="1" t="s">
        <v>1048</v>
      </c>
      <c r="B252" s="1" t="s">
        <v>1049</v>
      </c>
      <c r="C252" s="1" t="s">
        <v>18</v>
      </c>
      <c r="D252" s="1">
        <v>14187.0</v>
      </c>
      <c r="E252" s="1" t="s">
        <v>30</v>
      </c>
      <c r="F252" s="1" t="s">
        <v>41</v>
      </c>
      <c r="G252" s="1" t="s">
        <v>31</v>
      </c>
      <c r="H252" s="2">
        <v>3166.0</v>
      </c>
      <c r="I252" s="2">
        <v>8056.0</v>
      </c>
      <c r="J252" s="1">
        <v>1960.0</v>
      </c>
      <c r="K252" s="1">
        <v>25.0</v>
      </c>
      <c r="L252" s="1" t="s">
        <v>32</v>
      </c>
      <c r="M252" s="1" t="s">
        <v>1050</v>
      </c>
      <c r="N252" s="1" t="s">
        <v>24</v>
      </c>
      <c r="O252" s="1" t="s">
        <v>25</v>
      </c>
      <c r="P252" s="1" t="s">
        <v>1051</v>
      </c>
    </row>
    <row r="253" ht="14.25" customHeight="1">
      <c r="A253" s="1" t="s">
        <v>1052</v>
      </c>
      <c r="B253" s="1" t="s">
        <v>1053</v>
      </c>
      <c r="C253" s="1" t="s">
        <v>18</v>
      </c>
      <c r="D253" s="1">
        <v>81397.0</v>
      </c>
      <c r="E253" s="1" t="s">
        <v>19</v>
      </c>
      <c r="F253" s="1" t="s">
        <v>41</v>
      </c>
      <c r="G253" s="1" t="s">
        <v>55</v>
      </c>
      <c r="H253" s="2">
        <v>2241.0</v>
      </c>
      <c r="I253" s="2">
        <v>1726.0</v>
      </c>
      <c r="J253" s="1">
        <v>1961.0</v>
      </c>
      <c r="K253" s="1">
        <v>70.0</v>
      </c>
      <c r="L253" s="1" t="s">
        <v>62</v>
      </c>
      <c r="M253" s="1" t="s">
        <v>1054</v>
      </c>
      <c r="N253" s="1" t="s">
        <v>34</v>
      </c>
      <c r="O253" s="1" t="s">
        <v>49</v>
      </c>
      <c r="P253" s="1" t="s">
        <v>1055</v>
      </c>
    </row>
    <row r="254" ht="14.25" customHeight="1">
      <c r="A254" s="1" t="s">
        <v>1056</v>
      </c>
      <c r="B254" s="1" t="s">
        <v>1057</v>
      </c>
      <c r="C254" s="1" t="s">
        <v>76</v>
      </c>
      <c r="D254" s="1">
        <v>33183.0</v>
      </c>
      <c r="E254" s="1" t="s">
        <v>30</v>
      </c>
      <c r="F254" s="1" t="s">
        <v>94</v>
      </c>
      <c r="G254" s="1" t="s">
        <v>100</v>
      </c>
      <c r="H254" s="2">
        <v>2584.0</v>
      </c>
      <c r="I254" s="2">
        <v>2927.0</v>
      </c>
      <c r="J254" s="1">
        <v>1962.0</v>
      </c>
      <c r="K254" s="1">
        <v>34.0</v>
      </c>
      <c r="L254" s="1" t="s">
        <v>141</v>
      </c>
      <c r="M254" s="1" t="s">
        <v>1058</v>
      </c>
      <c r="N254" s="1" t="s">
        <v>43</v>
      </c>
      <c r="O254" s="1" t="s">
        <v>25</v>
      </c>
      <c r="P254" s="1" t="s">
        <v>1059</v>
      </c>
    </row>
    <row r="255" ht="14.25" customHeight="1">
      <c r="A255" s="1" t="s">
        <v>1060</v>
      </c>
      <c r="B255" s="1" t="s">
        <v>1061</v>
      </c>
      <c r="C255" s="1" t="s">
        <v>76</v>
      </c>
      <c r="D255" s="1">
        <v>89531.0</v>
      </c>
      <c r="E255" s="1" t="s">
        <v>30</v>
      </c>
      <c r="F255" s="1" t="s">
        <v>61</v>
      </c>
      <c r="G255" s="1" t="s">
        <v>31</v>
      </c>
      <c r="H255" s="2">
        <v>2075.0</v>
      </c>
      <c r="I255" s="2">
        <v>4257.0</v>
      </c>
      <c r="J255" s="1">
        <v>2013.0</v>
      </c>
      <c r="K255" s="1">
        <v>55.0</v>
      </c>
      <c r="L255" s="1" t="s">
        <v>32</v>
      </c>
      <c r="M255" s="1" t="s">
        <v>1062</v>
      </c>
      <c r="N255" s="1" t="s">
        <v>24</v>
      </c>
      <c r="O255" s="1" t="s">
        <v>25</v>
      </c>
      <c r="P255" s="1" t="s">
        <v>1063</v>
      </c>
    </row>
    <row r="256" ht="14.25" customHeight="1">
      <c r="A256" s="1" t="s">
        <v>1064</v>
      </c>
      <c r="B256" s="1" t="s">
        <v>1065</v>
      </c>
      <c r="C256" s="1" t="s">
        <v>76</v>
      </c>
      <c r="D256" s="1">
        <v>76365.0</v>
      </c>
      <c r="E256" s="1" t="s">
        <v>60</v>
      </c>
      <c r="F256" s="1" t="s">
        <v>20</v>
      </c>
      <c r="G256" s="1" t="s">
        <v>55</v>
      </c>
      <c r="H256" s="2">
        <v>919.0</v>
      </c>
      <c r="I256" s="2">
        <v>6556.0</v>
      </c>
      <c r="J256" s="1">
        <v>1989.0</v>
      </c>
      <c r="K256" s="1">
        <v>78.0</v>
      </c>
      <c r="L256" s="1" t="s">
        <v>22</v>
      </c>
      <c r="M256" s="1" t="s">
        <v>1066</v>
      </c>
      <c r="N256" s="1" t="s">
        <v>24</v>
      </c>
      <c r="O256" s="1" t="s">
        <v>25</v>
      </c>
      <c r="P256" s="1" t="s">
        <v>1067</v>
      </c>
    </row>
    <row r="257" ht="14.25" customHeight="1">
      <c r="A257" s="1" t="s">
        <v>1068</v>
      </c>
      <c r="B257" s="1" t="s">
        <v>1069</v>
      </c>
      <c r="C257" s="1" t="s">
        <v>18</v>
      </c>
      <c r="D257" s="1">
        <v>83246.0</v>
      </c>
      <c r="E257" s="1" t="s">
        <v>60</v>
      </c>
      <c r="F257" s="1" t="s">
        <v>46</v>
      </c>
      <c r="G257" s="1" t="s">
        <v>55</v>
      </c>
      <c r="H257" s="2">
        <v>2014.0</v>
      </c>
      <c r="I257" s="2">
        <v>2859.0</v>
      </c>
      <c r="J257" s="1">
        <v>1960.0</v>
      </c>
      <c r="K257" s="1">
        <v>111.0</v>
      </c>
      <c r="L257" s="1" t="s">
        <v>62</v>
      </c>
      <c r="M257" s="1" t="s">
        <v>1070</v>
      </c>
      <c r="N257" s="1" t="s">
        <v>43</v>
      </c>
      <c r="O257" s="1" t="s">
        <v>49</v>
      </c>
      <c r="P257" s="1" t="s">
        <v>1071</v>
      </c>
    </row>
    <row r="258" ht="14.25" customHeight="1">
      <c r="A258" s="1" t="s">
        <v>1072</v>
      </c>
      <c r="B258" s="1" t="s">
        <v>1073</v>
      </c>
      <c r="C258" s="1" t="s">
        <v>29</v>
      </c>
      <c r="D258" s="1">
        <v>95150.0</v>
      </c>
      <c r="E258" s="1" t="s">
        <v>77</v>
      </c>
      <c r="F258" s="1" t="s">
        <v>94</v>
      </c>
      <c r="G258" s="1" t="s">
        <v>31</v>
      </c>
      <c r="H258" s="2">
        <v>1697.0</v>
      </c>
      <c r="I258" s="2">
        <v>2200.0</v>
      </c>
      <c r="J258" s="1">
        <v>1997.0</v>
      </c>
      <c r="K258" s="1">
        <v>119.0</v>
      </c>
      <c r="L258" s="1" t="s">
        <v>32</v>
      </c>
      <c r="M258" s="1" t="s">
        <v>1074</v>
      </c>
      <c r="N258" s="1" t="s">
        <v>64</v>
      </c>
      <c r="O258" s="1" t="s">
        <v>25</v>
      </c>
      <c r="P258" s="1" t="s">
        <v>1075</v>
      </c>
    </row>
    <row r="259" ht="14.25" customHeight="1">
      <c r="A259" s="1" t="s">
        <v>1076</v>
      </c>
      <c r="B259" s="1" t="s">
        <v>1077</v>
      </c>
      <c r="C259" s="1" t="s">
        <v>53</v>
      </c>
      <c r="D259" s="1">
        <v>96325.0</v>
      </c>
      <c r="E259" s="1" t="s">
        <v>77</v>
      </c>
      <c r="F259" s="1" t="s">
        <v>46</v>
      </c>
      <c r="G259" s="1" t="s">
        <v>31</v>
      </c>
      <c r="H259" s="2">
        <v>1801.0</v>
      </c>
      <c r="I259" s="2">
        <v>1484.0</v>
      </c>
      <c r="J259" s="1">
        <v>1998.0</v>
      </c>
      <c r="K259" s="1">
        <v>1.0</v>
      </c>
      <c r="L259" s="1" t="s">
        <v>22</v>
      </c>
      <c r="M259" s="1" t="s">
        <v>1078</v>
      </c>
      <c r="N259" s="1" t="s">
        <v>64</v>
      </c>
      <c r="O259" s="1" t="s">
        <v>49</v>
      </c>
      <c r="P259" s="1" t="s">
        <v>1079</v>
      </c>
    </row>
    <row r="260" ht="14.25" customHeight="1">
      <c r="A260" s="1" t="s">
        <v>1080</v>
      </c>
      <c r="B260" s="1" t="s">
        <v>1081</v>
      </c>
      <c r="C260" s="1" t="s">
        <v>29</v>
      </c>
      <c r="D260" s="1">
        <v>57102.0</v>
      </c>
      <c r="E260" s="1" t="s">
        <v>60</v>
      </c>
      <c r="F260" s="1" t="s">
        <v>46</v>
      </c>
      <c r="G260" s="1" t="s">
        <v>21</v>
      </c>
      <c r="H260" s="2">
        <v>3951.0</v>
      </c>
      <c r="I260" s="2">
        <v>3078.0</v>
      </c>
      <c r="J260" s="1">
        <v>1983.0</v>
      </c>
      <c r="K260" s="1">
        <v>9.0</v>
      </c>
      <c r="L260" s="1" t="s">
        <v>141</v>
      </c>
      <c r="M260" s="1" t="s">
        <v>1082</v>
      </c>
      <c r="N260" s="1" t="s">
        <v>24</v>
      </c>
      <c r="O260" s="1" t="s">
        <v>25</v>
      </c>
      <c r="P260" s="1" t="s">
        <v>1083</v>
      </c>
    </row>
    <row r="261" ht="14.25" customHeight="1">
      <c r="A261" s="1" t="s">
        <v>1084</v>
      </c>
      <c r="B261" s="1" t="s">
        <v>1085</v>
      </c>
      <c r="C261" s="1" t="s">
        <v>76</v>
      </c>
      <c r="D261" s="1">
        <v>29040.0</v>
      </c>
      <c r="E261" s="1" t="s">
        <v>77</v>
      </c>
      <c r="F261" s="1" t="s">
        <v>20</v>
      </c>
      <c r="G261" s="1" t="s">
        <v>31</v>
      </c>
      <c r="H261" s="2">
        <v>1895.0</v>
      </c>
      <c r="I261" s="2">
        <v>4224.0</v>
      </c>
      <c r="J261" s="1">
        <v>2002.0</v>
      </c>
      <c r="K261" s="1">
        <v>39.0</v>
      </c>
      <c r="L261" s="1" t="s">
        <v>62</v>
      </c>
      <c r="M261" s="1" t="s">
        <v>1086</v>
      </c>
      <c r="N261" s="1" t="s">
        <v>64</v>
      </c>
      <c r="O261" s="1" t="s">
        <v>49</v>
      </c>
      <c r="P261" s="1" t="s">
        <v>1087</v>
      </c>
    </row>
    <row r="262" ht="14.25" customHeight="1">
      <c r="A262" s="1" t="s">
        <v>1088</v>
      </c>
      <c r="B262" s="1" t="s">
        <v>1089</v>
      </c>
      <c r="C262" s="1" t="s">
        <v>53</v>
      </c>
      <c r="D262" s="1">
        <v>20699.0</v>
      </c>
      <c r="E262" s="1" t="s">
        <v>60</v>
      </c>
      <c r="F262" s="1" t="s">
        <v>41</v>
      </c>
      <c r="G262" s="1" t="s">
        <v>21</v>
      </c>
      <c r="H262" s="2">
        <v>2228.0</v>
      </c>
      <c r="I262" s="2">
        <v>5244.0</v>
      </c>
      <c r="J262" s="1">
        <v>1964.0</v>
      </c>
      <c r="K262" s="1">
        <v>91.0</v>
      </c>
      <c r="L262" s="1" t="s">
        <v>32</v>
      </c>
      <c r="M262" s="1" t="s">
        <v>1090</v>
      </c>
      <c r="N262" s="1" t="s">
        <v>43</v>
      </c>
      <c r="O262" s="1" t="s">
        <v>25</v>
      </c>
      <c r="P262" s="1" t="s">
        <v>1091</v>
      </c>
    </row>
    <row r="263" ht="14.25" customHeight="1">
      <c r="A263" s="1" t="s">
        <v>1092</v>
      </c>
      <c r="B263" s="1" t="s">
        <v>1093</v>
      </c>
      <c r="C263" s="1" t="s">
        <v>53</v>
      </c>
      <c r="D263" s="1">
        <v>29271.0</v>
      </c>
      <c r="E263" s="1" t="s">
        <v>40</v>
      </c>
      <c r="F263" s="1" t="s">
        <v>61</v>
      </c>
      <c r="G263" s="1" t="s">
        <v>21</v>
      </c>
      <c r="H263" s="2">
        <v>2332.0</v>
      </c>
      <c r="I263" s="2">
        <v>4235.0</v>
      </c>
      <c r="J263" s="1">
        <v>1953.0</v>
      </c>
      <c r="K263" s="1">
        <v>113.0</v>
      </c>
      <c r="L263" s="1" t="s">
        <v>62</v>
      </c>
      <c r="M263" s="1" t="s">
        <v>1094</v>
      </c>
      <c r="N263" s="1" t="s">
        <v>43</v>
      </c>
      <c r="O263" s="1" t="s">
        <v>25</v>
      </c>
      <c r="P263" s="1" t="s">
        <v>1095</v>
      </c>
    </row>
    <row r="264" ht="14.25" customHeight="1">
      <c r="A264" s="1" t="s">
        <v>1096</v>
      </c>
      <c r="B264" s="1" t="s">
        <v>1097</v>
      </c>
      <c r="C264" s="1" t="s">
        <v>18</v>
      </c>
      <c r="D264" s="1">
        <v>89790.0</v>
      </c>
      <c r="E264" s="1" t="s">
        <v>19</v>
      </c>
      <c r="F264" s="1" t="s">
        <v>20</v>
      </c>
      <c r="G264" s="1" t="s">
        <v>55</v>
      </c>
      <c r="H264" s="2">
        <v>2089.0</v>
      </c>
      <c r="I264" s="2">
        <v>5162.0</v>
      </c>
      <c r="J264" s="1">
        <v>2015.0</v>
      </c>
      <c r="K264" s="1">
        <v>66.0</v>
      </c>
      <c r="L264" s="1" t="s">
        <v>32</v>
      </c>
      <c r="M264" s="1" t="s">
        <v>1098</v>
      </c>
      <c r="N264" s="1" t="s">
        <v>34</v>
      </c>
      <c r="O264" s="1" t="s">
        <v>49</v>
      </c>
      <c r="P264" s="1" t="s">
        <v>1099</v>
      </c>
    </row>
    <row r="265" ht="14.25" customHeight="1">
      <c r="A265" s="1" t="s">
        <v>1100</v>
      </c>
      <c r="B265" s="1" t="s">
        <v>1101</v>
      </c>
      <c r="C265" s="1" t="s">
        <v>53</v>
      </c>
      <c r="D265" s="1">
        <v>30987.0</v>
      </c>
      <c r="E265" s="1" t="s">
        <v>40</v>
      </c>
      <c r="F265" s="1" t="s">
        <v>61</v>
      </c>
      <c r="G265" s="1" t="s">
        <v>55</v>
      </c>
      <c r="H265" s="2">
        <v>881.0</v>
      </c>
      <c r="I265" s="2">
        <v>1670.0</v>
      </c>
      <c r="J265" s="1">
        <v>1974.0</v>
      </c>
      <c r="K265" s="1">
        <v>46.0</v>
      </c>
      <c r="L265" s="1" t="s">
        <v>22</v>
      </c>
      <c r="M265" s="1" t="s">
        <v>1102</v>
      </c>
      <c r="N265" s="1" t="s">
        <v>64</v>
      </c>
      <c r="O265" s="1" t="s">
        <v>25</v>
      </c>
      <c r="P265" s="1" t="s">
        <v>1103</v>
      </c>
    </row>
    <row r="266" ht="14.25" customHeight="1">
      <c r="A266" s="1" t="s">
        <v>1104</v>
      </c>
      <c r="B266" s="1" t="s">
        <v>1105</v>
      </c>
      <c r="C266" s="1" t="s">
        <v>76</v>
      </c>
      <c r="D266" s="1">
        <v>19426.0</v>
      </c>
      <c r="E266" s="1" t="s">
        <v>60</v>
      </c>
      <c r="F266" s="1" t="s">
        <v>41</v>
      </c>
      <c r="G266" s="1" t="s">
        <v>21</v>
      </c>
      <c r="H266" s="2">
        <v>2741.0</v>
      </c>
      <c r="I266" s="2">
        <v>6549.0</v>
      </c>
      <c r="J266" s="1">
        <v>1968.0</v>
      </c>
      <c r="K266" s="1">
        <v>47.0</v>
      </c>
      <c r="L266" s="1" t="s">
        <v>141</v>
      </c>
      <c r="M266" s="1" t="s">
        <v>1106</v>
      </c>
      <c r="N266" s="1" t="s">
        <v>34</v>
      </c>
      <c r="O266" s="1" t="s">
        <v>35</v>
      </c>
      <c r="P266" s="1" t="s">
        <v>1107</v>
      </c>
    </row>
    <row r="267" ht="14.25" customHeight="1">
      <c r="A267" s="1" t="s">
        <v>1108</v>
      </c>
      <c r="B267" s="1" t="s">
        <v>1109</v>
      </c>
      <c r="C267" s="1" t="s">
        <v>76</v>
      </c>
      <c r="D267" s="1">
        <v>77074.0</v>
      </c>
      <c r="E267" s="1" t="s">
        <v>77</v>
      </c>
      <c r="F267" s="1" t="s">
        <v>46</v>
      </c>
      <c r="G267" s="1" t="s">
        <v>55</v>
      </c>
      <c r="H267" s="2">
        <v>2997.0</v>
      </c>
      <c r="I267" s="2">
        <v>4716.0</v>
      </c>
      <c r="J267" s="1">
        <v>1957.0</v>
      </c>
      <c r="K267" s="1">
        <v>111.0</v>
      </c>
      <c r="L267" s="1" t="s">
        <v>141</v>
      </c>
      <c r="M267" s="1" t="s">
        <v>1110</v>
      </c>
      <c r="N267" s="1" t="s">
        <v>64</v>
      </c>
      <c r="O267" s="1" t="s">
        <v>35</v>
      </c>
      <c r="P267" s="1" t="s">
        <v>1111</v>
      </c>
    </row>
    <row r="268" ht="14.25" customHeight="1">
      <c r="A268" s="1" t="s">
        <v>1112</v>
      </c>
      <c r="B268" s="1" t="s">
        <v>1113</v>
      </c>
      <c r="C268" s="1" t="s">
        <v>39</v>
      </c>
      <c r="D268" s="1">
        <v>26064.0</v>
      </c>
      <c r="E268" s="1" t="s">
        <v>60</v>
      </c>
      <c r="F268" s="1" t="s">
        <v>54</v>
      </c>
      <c r="G268" s="1" t="s">
        <v>31</v>
      </c>
      <c r="H268" s="2">
        <v>1658.0</v>
      </c>
      <c r="I268" s="2">
        <v>9733.0</v>
      </c>
      <c r="J268" s="1">
        <v>2021.0</v>
      </c>
      <c r="K268" s="1">
        <v>34.0</v>
      </c>
      <c r="L268" s="1" t="s">
        <v>32</v>
      </c>
      <c r="M268" s="1" t="s">
        <v>1114</v>
      </c>
      <c r="N268" s="1" t="s">
        <v>34</v>
      </c>
      <c r="O268" s="1" t="s">
        <v>49</v>
      </c>
      <c r="P268" s="1" t="s">
        <v>1115</v>
      </c>
    </row>
    <row r="269" ht="14.25" customHeight="1">
      <c r="A269" s="1" t="s">
        <v>1116</v>
      </c>
      <c r="B269" s="1" t="s">
        <v>1117</v>
      </c>
      <c r="C269" s="1" t="s">
        <v>29</v>
      </c>
      <c r="D269" s="1">
        <v>57975.0</v>
      </c>
      <c r="E269" s="1" t="s">
        <v>19</v>
      </c>
      <c r="F269" s="1" t="s">
        <v>41</v>
      </c>
      <c r="G269" s="1" t="s">
        <v>31</v>
      </c>
      <c r="H269" s="2">
        <v>1783.0</v>
      </c>
      <c r="I269" s="2">
        <v>6138.0</v>
      </c>
      <c r="J269" s="1">
        <v>1966.0</v>
      </c>
      <c r="K269" s="1">
        <v>78.0</v>
      </c>
      <c r="L269" s="1" t="s">
        <v>32</v>
      </c>
      <c r="M269" s="1" t="s">
        <v>1118</v>
      </c>
      <c r="N269" s="1" t="s">
        <v>43</v>
      </c>
      <c r="O269" s="1" t="s">
        <v>35</v>
      </c>
      <c r="P269" s="1" t="s">
        <v>1119</v>
      </c>
    </row>
    <row r="270" ht="14.25" customHeight="1">
      <c r="A270" s="1" t="s">
        <v>1120</v>
      </c>
      <c r="B270" s="1" t="s">
        <v>1121</v>
      </c>
      <c r="C270" s="1" t="s">
        <v>18</v>
      </c>
      <c r="D270" s="1">
        <v>26675.0</v>
      </c>
      <c r="E270" s="1" t="s">
        <v>40</v>
      </c>
      <c r="F270" s="1" t="s">
        <v>54</v>
      </c>
      <c r="G270" s="1" t="s">
        <v>31</v>
      </c>
      <c r="H270" s="2">
        <v>2700.0</v>
      </c>
      <c r="I270" s="2">
        <v>9067.0</v>
      </c>
      <c r="J270" s="1">
        <v>1989.0</v>
      </c>
      <c r="K270" s="1">
        <v>44.0</v>
      </c>
      <c r="L270" s="1" t="s">
        <v>95</v>
      </c>
      <c r="M270" s="1" t="s">
        <v>1122</v>
      </c>
      <c r="N270" s="1" t="s">
        <v>34</v>
      </c>
      <c r="O270" s="1" t="s">
        <v>35</v>
      </c>
      <c r="P270" s="1" t="s">
        <v>1123</v>
      </c>
    </row>
    <row r="271" ht="14.25" customHeight="1">
      <c r="A271" s="1" t="s">
        <v>1124</v>
      </c>
      <c r="B271" s="1" t="s">
        <v>1125</v>
      </c>
      <c r="C271" s="1" t="s">
        <v>39</v>
      </c>
      <c r="D271" s="1">
        <v>63062.0</v>
      </c>
      <c r="E271" s="1" t="s">
        <v>19</v>
      </c>
      <c r="F271" s="1" t="s">
        <v>54</v>
      </c>
      <c r="G271" s="1" t="s">
        <v>31</v>
      </c>
      <c r="H271" s="2">
        <v>3421.0</v>
      </c>
      <c r="I271" s="2">
        <v>2996.0</v>
      </c>
      <c r="J271" s="1">
        <v>1992.0</v>
      </c>
      <c r="K271" s="1">
        <v>39.0</v>
      </c>
      <c r="L271" s="1" t="s">
        <v>62</v>
      </c>
      <c r="M271" s="1" t="s">
        <v>1126</v>
      </c>
      <c r="N271" s="1" t="s">
        <v>24</v>
      </c>
      <c r="O271" s="1" t="s">
        <v>35</v>
      </c>
      <c r="P271" s="1" t="s">
        <v>1127</v>
      </c>
    </row>
    <row r="272" ht="14.25" customHeight="1">
      <c r="A272" s="1" t="s">
        <v>1128</v>
      </c>
      <c r="B272" s="1" t="s">
        <v>1129</v>
      </c>
      <c r="C272" s="1" t="s">
        <v>18</v>
      </c>
      <c r="D272" s="1">
        <v>73100.0</v>
      </c>
      <c r="E272" s="1" t="s">
        <v>40</v>
      </c>
      <c r="F272" s="1" t="s">
        <v>46</v>
      </c>
      <c r="G272" s="1" t="s">
        <v>55</v>
      </c>
      <c r="H272" s="2">
        <v>692.0</v>
      </c>
      <c r="I272" s="2">
        <v>2137.0</v>
      </c>
      <c r="J272" s="1">
        <v>2003.0</v>
      </c>
      <c r="K272" s="1">
        <v>57.0</v>
      </c>
      <c r="L272" s="1" t="s">
        <v>22</v>
      </c>
      <c r="M272" s="1" t="s">
        <v>1130</v>
      </c>
      <c r="N272" s="1" t="s">
        <v>64</v>
      </c>
      <c r="O272" s="1" t="s">
        <v>49</v>
      </c>
      <c r="P272" s="1" t="s">
        <v>1131</v>
      </c>
    </row>
    <row r="273" ht="14.25" customHeight="1">
      <c r="A273" s="1" t="s">
        <v>1132</v>
      </c>
      <c r="B273" s="1" t="s">
        <v>1133</v>
      </c>
      <c r="C273" s="1" t="s">
        <v>29</v>
      </c>
      <c r="D273" s="1">
        <v>27026.0</v>
      </c>
      <c r="E273" s="1" t="s">
        <v>19</v>
      </c>
      <c r="F273" s="1" t="s">
        <v>41</v>
      </c>
      <c r="G273" s="1" t="s">
        <v>55</v>
      </c>
      <c r="H273" s="2">
        <v>2021.0</v>
      </c>
      <c r="I273" s="2">
        <v>8163.0</v>
      </c>
      <c r="J273" s="1">
        <v>1951.0</v>
      </c>
      <c r="K273" s="1">
        <v>88.0</v>
      </c>
      <c r="L273" s="1" t="s">
        <v>62</v>
      </c>
      <c r="M273" s="1" t="s">
        <v>1134</v>
      </c>
      <c r="N273" s="1" t="s">
        <v>48</v>
      </c>
      <c r="O273" s="1" t="s">
        <v>25</v>
      </c>
      <c r="P273" s="1" t="s">
        <v>1135</v>
      </c>
    </row>
    <row r="274" ht="14.25" customHeight="1">
      <c r="A274" s="1" t="s">
        <v>1136</v>
      </c>
      <c r="B274" s="1" t="s">
        <v>1137</v>
      </c>
      <c r="C274" s="1" t="s">
        <v>18</v>
      </c>
      <c r="D274" s="1">
        <v>94923.0</v>
      </c>
      <c r="E274" s="1" t="s">
        <v>60</v>
      </c>
      <c r="F274" s="1" t="s">
        <v>46</v>
      </c>
      <c r="G274" s="1" t="s">
        <v>21</v>
      </c>
      <c r="H274" s="2">
        <v>3560.0</v>
      </c>
      <c r="I274" s="2">
        <v>5320.0</v>
      </c>
      <c r="J274" s="1">
        <v>1972.0</v>
      </c>
      <c r="K274" s="1">
        <v>71.0</v>
      </c>
      <c r="L274" s="1" t="s">
        <v>62</v>
      </c>
      <c r="M274" s="1" t="s">
        <v>1138</v>
      </c>
      <c r="N274" s="1" t="s">
        <v>43</v>
      </c>
      <c r="O274" s="1" t="s">
        <v>25</v>
      </c>
      <c r="P274" s="1" t="s">
        <v>1139</v>
      </c>
    </row>
    <row r="275" ht="14.25" customHeight="1">
      <c r="A275" s="1" t="s">
        <v>1140</v>
      </c>
      <c r="B275" s="1" t="s">
        <v>1141</v>
      </c>
      <c r="C275" s="1" t="s">
        <v>39</v>
      </c>
      <c r="D275" s="1">
        <v>17784.0</v>
      </c>
      <c r="E275" s="1" t="s">
        <v>40</v>
      </c>
      <c r="F275" s="1" t="s">
        <v>20</v>
      </c>
      <c r="G275" s="1" t="s">
        <v>100</v>
      </c>
      <c r="H275" s="2">
        <v>1173.0</v>
      </c>
      <c r="I275" s="2">
        <v>7073.0</v>
      </c>
      <c r="J275" s="1">
        <v>2012.0</v>
      </c>
      <c r="K275" s="1">
        <v>98.0</v>
      </c>
      <c r="L275" s="1" t="s">
        <v>141</v>
      </c>
      <c r="M275" s="1" t="s">
        <v>1142</v>
      </c>
      <c r="N275" s="1" t="s">
        <v>34</v>
      </c>
      <c r="O275" s="1" t="s">
        <v>49</v>
      </c>
      <c r="P275" s="1" t="s">
        <v>1143</v>
      </c>
    </row>
    <row r="276" ht="14.25" customHeight="1">
      <c r="A276" s="1" t="s">
        <v>1144</v>
      </c>
      <c r="B276" s="1" t="s">
        <v>1145</v>
      </c>
      <c r="C276" s="1" t="s">
        <v>76</v>
      </c>
      <c r="D276" s="1">
        <v>33938.0</v>
      </c>
      <c r="E276" s="1" t="s">
        <v>77</v>
      </c>
      <c r="F276" s="1" t="s">
        <v>41</v>
      </c>
      <c r="G276" s="1" t="s">
        <v>55</v>
      </c>
      <c r="H276" s="2">
        <v>1380.0</v>
      </c>
      <c r="I276" s="2">
        <v>3778.0</v>
      </c>
      <c r="J276" s="1">
        <v>1964.0</v>
      </c>
      <c r="K276" s="1">
        <v>85.0</v>
      </c>
      <c r="L276" s="1" t="s">
        <v>22</v>
      </c>
      <c r="M276" s="1" t="s">
        <v>1146</v>
      </c>
      <c r="N276" s="1" t="s">
        <v>48</v>
      </c>
      <c r="O276" s="1" t="s">
        <v>35</v>
      </c>
      <c r="P276" s="1" t="s">
        <v>1147</v>
      </c>
    </row>
    <row r="277" ht="14.25" customHeight="1">
      <c r="A277" s="1" t="s">
        <v>1148</v>
      </c>
      <c r="B277" s="1" t="s">
        <v>1149</v>
      </c>
      <c r="C277" s="1" t="s">
        <v>18</v>
      </c>
      <c r="D277" s="1">
        <v>45025.0</v>
      </c>
      <c r="E277" s="1" t="s">
        <v>60</v>
      </c>
      <c r="F277" s="1" t="s">
        <v>20</v>
      </c>
      <c r="G277" s="1" t="s">
        <v>21</v>
      </c>
      <c r="H277" s="2">
        <v>3427.0</v>
      </c>
      <c r="I277" s="2">
        <v>6943.0</v>
      </c>
      <c r="J277" s="1">
        <v>1980.0</v>
      </c>
      <c r="K277" s="1">
        <v>59.0</v>
      </c>
      <c r="L277" s="1" t="s">
        <v>32</v>
      </c>
      <c r="M277" s="1" t="s">
        <v>1150</v>
      </c>
      <c r="N277" s="1" t="s">
        <v>64</v>
      </c>
      <c r="O277" s="1" t="s">
        <v>35</v>
      </c>
      <c r="P277" s="1" t="s">
        <v>1151</v>
      </c>
    </row>
    <row r="278" ht="14.25" customHeight="1">
      <c r="A278" s="1" t="s">
        <v>1152</v>
      </c>
      <c r="B278" s="1" t="s">
        <v>1153</v>
      </c>
      <c r="C278" s="1" t="s">
        <v>39</v>
      </c>
      <c r="D278" s="1">
        <v>76986.0</v>
      </c>
      <c r="E278" s="1" t="s">
        <v>60</v>
      </c>
      <c r="F278" s="1" t="s">
        <v>41</v>
      </c>
      <c r="G278" s="1" t="s">
        <v>31</v>
      </c>
      <c r="H278" s="2">
        <v>3026.0</v>
      </c>
      <c r="I278" s="2">
        <v>7118.0</v>
      </c>
      <c r="J278" s="1">
        <v>2020.0</v>
      </c>
      <c r="K278" s="1">
        <v>67.0</v>
      </c>
      <c r="L278" s="1" t="s">
        <v>22</v>
      </c>
      <c r="M278" s="1" t="s">
        <v>1154</v>
      </c>
      <c r="N278" s="1" t="s">
        <v>48</v>
      </c>
      <c r="O278" s="1" t="s">
        <v>35</v>
      </c>
      <c r="P278" s="1" t="s">
        <v>1155</v>
      </c>
    </row>
    <row r="279" ht="14.25" customHeight="1">
      <c r="A279" s="1" t="s">
        <v>1156</v>
      </c>
      <c r="B279" s="1" t="s">
        <v>1157</v>
      </c>
      <c r="C279" s="1" t="s">
        <v>29</v>
      </c>
      <c r="D279" s="1">
        <v>87737.0</v>
      </c>
      <c r="E279" s="1" t="s">
        <v>60</v>
      </c>
      <c r="F279" s="1" t="s">
        <v>20</v>
      </c>
      <c r="G279" s="1" t="s">
        <v>100</v>
      </c>
      <c r="H279" s="2">
        <v>1690.0</v>
      </c>
      <c r="I279" s="2">
        <v>9112.0</v>
      </c>
      <c r="J279" s="1">
        <v>1963.0</v>
      </c>
      <c r="K279" s="1">
        <v>40.0</v>
      </c>
      <c r="L279" s="1" t="s">
        <v>62</v>
      </c>
      <c r="M279" s="1" t="s">
        <v>1158</v>
      </c>
      <c r="N279" s="1" t="s">
        <v>48</v>
      </c>
      <c r="O279" s="1" t="s">
        <v>25</v>
      </c>
      <c r="P279" s="1" t="s">
        <v>1159</v>
      </c>
    </row>
    <row r="280" ht="14.25" customHeight="1">
      <c r="A280" s="1" t="s">
        <v>1160</v>
      </c>
      <c r="B280" s="1" t="s">
        <v>1161</v>
      </c>
      <c r="C280" s="1" t="s">
        <v>18</v>
      </c>
      <c r="D280" s="1">
        <v>83265.0</v>
      </c>
      <c r="E280" s="1" t="s">
        <v>77</v>
      </c>
      <c r="F280" s="1" t="s">
        <v>41</v>
      </c>
      <c r="G280" s="1" t="s">
        <v>31</v>
      </c>
      <c r="H280" s="2">
        <v>2786.0</v>
      </c>
      <c r="I280" s="2">
        <v>1793.0</v>
      </c>
      <c r="J280" s="1">
        <v>1955.0</v>
      </c>
      <c r="K280" s="1">
        <v>25.0</v>
      </c>
      <c r="L280" s="1" t="s">
        <v>22</v>
      </c>
      <c r="M280" s="1" t="s">
        <v>1162</v>
      </c>
      <c r="N280" s="1" t="s">
        <v>43</v>
      </c>
      <c r="O280" s="1" t="s">
        <v>49</v>
      </c>
      <c r="P280" s="1" t="s">
        <v>1163</v>
      </c>
    </row>
    <row r="281" ht="14.25" customHeight="1">
      <c r="A281" s="1" t="s">
        <v>1164</v>
      </c>
      <c r="B281" s="1" t="s">
        <v>1165</v>
      </c>
      <c r="C281" s="1" t="s">
        <v>53</v>
      </c>
      <c r="D281" s="1">
        <v>68268.0</v>
      </c>
      <c r="E281" s="1" t="s">
        <v>60</v>
      </c>
      <c r="F281" s="1" t="s">
        <v>54</v>
      </c>
      <c r="G281" s="1" t="s">
        <v>21</v>
      </c>
      <c r="H281" s="2">
        <v>1392.0</v>
      </c>
      <c r="I281" s="2">
        <v>3648.0</v>
      </c>
      <c r="J281" s="1">
        <v>1997.0</v>
      </c>
      <c r="K281" s="1">
        <v>68.0</v>
      </c>
      <c r="L281" s="1" t="s">
        <v>22</v>
      </c>
      <c r="M281" s="1" t="s">
        <v>1166</v>
      </c>
      <c r="N281" s="1" t="s">
        <v>24</v>
      </c>
      <c r="O281" s="1" t="s">
        <v>35</v>
      </c>
      <c r="P281" s="1" t="s">
        <v>1167</v>
      </c>
    </row>
    <row r="282" ht="14.25" customHeight="1">
      <c r="A282" s="1" t="s">
        <v>1168</v>
      </c>
      <c r="B282" s="1" t="s">
        <v>1169</v>
      </c>
      <c r="C282" s="1" t="s">
        <v>53</v>
      </c>
      <c r="D282" s="1">
        <v>82504.0</v>
      </c>
      <c r="E282" s="1" t="s">
        <v>60</v>
      </c>
      <c r="F282" s="1" t="s">
        <v>20</v>
      </c>
      <c r="G282" s="1" t="s">
        <v>55</v>
      </c>
      <c r="H282" s="2">
        <v>3679.0</v>
      </c>
      <c r="I282" s="2">
        <v>2956.0</v>
      </c>
      <c r="J282" s="1">
        <v>1984.0</v>
      </c>
      <c r="K282" s="1">
        <v>5.0</v>
      </c>
      <c r="L282" s="1" t="s">
        <v>32</v>
      </c>
      <c r="M282" s="1" t="s">
        <v>1170</v>
      </c>
      <c r="N282" s="1" t="s">
        <v>64</v>
      </c>
      <c r="O282" s="1" t="s">
        <v>49</v>
      </c>
      <c r="P282" s="1" t="s">
        <v>1171</v>
      </c>
    </row>
    <row r="283" ht="14.25" customHeight="1">
      <c r="A283" s="1" t="s">
        <v>1172</v>
      </c>
      <c r="B283" s="1" t="s">
        <v>1173</v>
      </c>
      <c r="C283" s="1" t="s">
        <v>29</v>
      </c>
      <c r="D283" s="1">
        <v>85098.0</v>
      </c>
      <c r="E283" s="1" t="s">
        <v>19</v>
      </c>
      <c r="F283" s="1" t="s">
        <v>94</v>
      </c>
      <c r="G283" s="1" t="s">
        <v>100</v>
      </c>
      <c r="H283" s="2">
        <v>1265.0</v>
      </c>
      <c r="I283" s="2">
        <v>9461.0</v>
      </c>
      <c r="J283" s="1">
        <v>1989.0</v>
      </c>
      <c r="K283" s="1">
        <v>25.0</v>
      </c>
      <c r="L283" s="1" t="s">
        <v>141</v>
      </c>
      <c r="M283" s="1" t="s">
        <v>1174</v>
      </c>
      <c r="N283" s="1" t="s">
        <v>48</v>
      </c>
      <c r="O283" s="1" t="s">
        <v>49</v>
      </c>
      <c r="P283" s="1" t="s">
        <v>1175</v>
      </c>
    </row>
    <row r="284" ht="14.25" customHeight="1">
      <c r="A284" s="1" t="s">
        <v>1176</v>
      </c>
      <c r="B284" s="1" t="s">
        <v>1177</v>
      </c>
      <c r="C284" s="1" t="s">
        <v>29</v>
      </c>
      <c r="D284" s="1">
        <v>65725.0</v>
      </c>
      <c r="E284" s="1" t="s">
        <v>40</v>
      </c>
      <c r="F284" s="1" t="s">
        <v>54</v>
      </c>
      <c r="G284" s="1" t="s">
        <v>31</v>
      </c>
      <c r="H284" s="2">
        <v>1983.0</v>
      </c>
      <c r="I284" s="2">
        <v>4741.0</v>
      </c>
      <c r="J284" s="1">
        <v>2017.0</v>
      </c>
      <c r="K284" s="1">
        <v>93.0</v>
      </c>
      <c r="L284" s="1" t="s">
        <v>22</v>
      </c>
      <c r="M284" s="1" t="s">
        <v>1178</v>
      </c>
      <c r="N284" s="1" t="s">
        <v>43</v>
      </c>
      <c r="O284" s="1" t="s">
        <v>25</v>
      </c>
      <c r="P284" s="1" t="s">
        <v>1179</v>
      </c>
    </row>
    <row r="285" ht="14.25" customHeight="1">
      <c r="A285" s="1" t="s">
        <v>1180</v>
      </c>
      <c r="B285" s="1" t="s">
        <v>1181</v>
      </c>
      <c r="C285" s="1" t="s">
        <v>18</v>
      </c>
      <c r="D285" s="1">
        <v>69169.0</v>
      </c>
      <c r="E285" s="1" t="s">
        <v>19</v>
      </c>
      <c r="F285" s="1" t="s">
        <v>41</v>
      </c>
      <c r="G285" s="1" t="s">
        <v>55</v>
      </c>
      <c r="H285" s="2">
        <v>1334.0</v>
      </c>
      <c r="I285" s="2">
        <v>1444.0</v>
      </c>
      <c r="J285" s="1">
        <v>1967.0</v>
      </c>
      <c r="K285" s="1">
        <v>45.0</v>
      </c>
      <c r="L285" s="1" t="s">
        <v>22</v>
      </c>
      <c r="M285" s="1" t="s">
        <v>1182</v>
      </c>
      <c r="N285" s="1" t="s">
        <v>48</v>
      </c>
      <c r="O285" s="1" t="s">
        <v>25</v>
      </c>
      <c r="P285" s="1" t="s">
        <v>1183</v>
      </c>
    </row>
    <row r="286" ht="14.25" customHeight="1">
      <c r="A286" s="1" t="s">
        <v>1184</v>
      </c>
      <c r="B286" s="1" t="s">
        <v>1185</v>
      </c>
      <c r="C286" s="1" t="s">
        <v>29</v>
      </c>
      <c r="D286" s="1">
        <v>66545.0</v>
      </c>
      <c r="E286" s="1" t="s">
        <v>19</v>
      </c>
      <c r="F286" s="1" t="s">
        <v>94</v>
      </c>
      <c r="G286" s="1" t="s">
        <v>55</v>
      </c>
      <c r="H286" s="2">
        <v>1496.0</v>
      </c>
      <c r="I286" s="2">
        <v>6335.0</v>
      </c>
      <c r="J286" s="1">
        <v>1961.0</v>
      </c>
      <c r="K286" s="1">
        <v>55.0</v>
      </c>
      <c r="L286" s="1" t="s">
        <v>62</v>
      </c>
      <c r="M286" s="1" t="s">
        <v>1186</v>
      </c>
      <c r="N286" s="1" t="s">
        <v>34</v>
      </c>
      <c r="O286" s="1" t="s">
        <v>49</v>
      </c>
      <c r="P286" s="1" t="s">
        <v>1187</v>
      </c>
    </row>
    <row r="287" ht="14.25" customHeight="1">
      <c r="A287" s="1" t="s">
        <v>1188</v>
      </c>
      <c r="B287" s="1" t="s">
        <v>1189</v>
      </c>
      <c r="C287" s="1" t="s">
        <v>76</v>
      </c>
      <c r="D287" s="1">
        <v>61212.0</v>
      </c>
      <c r="E287" s="1" t="s">
        <v>19</v>
      </c>
      <c r="F287" s="1" t="s">
        <v>46</v>
      </c>
      <c r="G287" s="1" t="s">
        <v>55</v>
      </c>
      <c r="H287" s="2">
        <v>1647.0</v>
      </c>
      <c r="I287" s="2">
        <v>6325.0</v>
      </c>
      <c r="J287" s="1">
        <v>2004.0</v>
      </c>
      <c r="K287" s="1">
        <v>73.0</v>
      </c>
      <c r="L287" s="1" t="s">
        <v>62</v>
      </c>
      <c r="M287" s="1" t="s">
        <v>1190</v>
      </c>
      <c r="N287" s="1" t="s">
        <v>34</v>
      </c>
      <c r="O287" s="1" t="s">
        <v>25</v>
      </c>
      <c r="P287" s="1" t="s">
        <v>1191</v>
      </c>
    </row>
    <row r="288" ht="14.25" customHeight="1">
      <c r="A288" s="1" t="s">
        <v>1192</v>
      </c>
      <c r="B288" s="1" t="s">
        <v>1193</v>
      </c>
      <c r="C288" s="1" t="s">
        <v>76</v>
      </c>
      <c r="D288" s="1">
        <v>33992.0</v>
      </c>
      <c r="E288" s="1" t="s">
        <v>19</v>
      </c>
      <c r="F288" s="1" t="s">
        <v>41</v>
      </c>
      <c r="G288" s="1" t="s">
        <v>55</v>
      </c>
      <c r="H288" s="2">
        <v>2609.0</v>
      </c>
      <c r="I288" s="2">
        <v>6952.0</v>
      </c>
      <c r="J288" s="1">
        <v>1967.0</v>
      </c>
      <c r="K288" s="1">
        <v>38.0</v>
      </c>
      <c r="L288" s="1" t="s">
        <v>95</v>
      </c>
      <c r="M288" s="1" t="s">
        <v>1194</v>
      </c>
      <c r="N288" s="1" t="s">
        <v>24</v>
      </c>
      <c r="O288" s="1" t="s">
        <v>35</v>
      </c>
      <c r="P288" s="1" t="s">
        <v>1195</v>
      </c>
    </row>
    <row r="289" ht="14.25" customHeight="1">
      <c r="A289" s="1" t="s">
        <v>1196</v>
      </c>
      <c r="B289" s="1" t="s">
        <v>1197</v>
      </c>
      <c r="C289" s="1" t="s">
        <v>39</v>
      </c>
      <c r="D289" s="1">
        <v>89948.0</v>
      </c>
      <c r="E289" s="1" t="s">
        <v>60</v>
      </c>
      <c r="F289" s="1" t="s">
        <v>46</v>
      </c>
      <c r="G289" s="1" t="s">
        <v>21</v>
      </c>
      <c r="H289" s="2">
        <v>2480.0</v>
      </c>
      <c r="I289" s="2">
        <v>4589.0</v>
      </c>
      <c r="J289" s="1">
        <v>1980.0</v>
      </c>
      <c r="K289" s="1">
        <v>51.0</v>
      </c>
      <c r="L289" s="1" t="s">
        <v>32</v>
      </c>
      <c r="M289" s="1" t="s">
        <v>1198</v>
      </c>
      <c r="N289" s="1" t="s">
        <v>48</v>
      </c>
      <c r="O289" s="1" t="s">
        <v>49</v>
      </c>
      <c r="P289" s="1" t="s">
        <v>1199</v>
      </c>
    </row>
    <row r="290" ht="14.25" customHeight="1">
      <c r="A290" s="1" t="s">
        <v>1200</v>
      </c>
      <c r="B290" s="1" t="s">
        <v>1201</v>
      </c>
      <c r="C290" s="1" t="s">
        <v>53</v>
      </c>
      <c r="D290" s="1">
        <v>39510.0</v>
      </c>
      <c r="E290" s="1" t="s">
        <v>60</v>
      </c>
      <c r="F290" s="1" t="s">
        <v>54</v>
      </c>
      <c r="G290" s="1" t="s">
        <v>21</v>
      </c>
      <c r="H290" s="2">
        <v>3946.0</v>
      </c>
      <c r="I290" s="2">
        <v>1509.0</v>
      </c>
      <c r="J290" s="1">
        <v>2003.0</v>
      </c>
      <c r="K290" s="1">
        <v>48.0</v>
      </c>
      <c r="L290" s="1" t="s">
        <v>32</v>
      </c>
      <c r="M290" s="1" t="s">
        <v>1202</v>
      </c>
      <c r="N290" s="1" t="s">
        <v>48</v>
      </c>
      <c r="O290" s="1" t="s">
        <v>35</v>
      </c>
      <c r="P290" s="1" t="s">
        <v>1203</v>
      </c>
    </row>
    <row r="291" ht="14.25" customHeight="1">
      <c r="A291" s="1" t="s">
        <v>1204</v>
      </c>
      <c r="B291" s="1" t="s">
        <v>1205</v>
      </c>
      <c r="C291" s="1" t="s">
        <v>53</v>
      </c>
      <c r="D291" s="1">
        <v>43515.0</v>
      </c>
      <c r="E291" s="1" t="s">
        <v>40</v>
      </c>
      <c r="F291" s="1" t="s">
        <v>94</v>
      </c>
      <c r="G291" s="1" t="s">
        <v>31</v>
      </c>
      <c r="H291" s="2">
        <v>903.0</v>
      </c>
      <c r="I291" s="2">
        <v>6778.0</v>
      </c>
      <c r="J291" s="1">
        <v>1995.0</v>
      </c>
      <c r="K291" s="1">
        <v>16.0</v>
      </c>
      <c r="L291" s="1" t="s">
        <v>22</v>
      </c>
      <c r="M291" s="1" t="s">
        <v>1206</v>
      </c>
      <c r="N291" s="1" t="s">
        <v>48</v>
      </c>
      <c r="O291" s="1" t="s">
        <v>25</v>
      </c>
      <c r="P291" s="1" t="s">
        <v>1207</v>
      </c>
    </row>
    <row r="292" ht="14.25" customHeight="1">
      <c r="A292" s="1" t="s">
        <v>1208</v>
      </c>
      <c r="B292" s="1" t="s">
        <v>1209</v>
      </c>
      <c r="C292" s="1" t="s">
        <v>18</v>
      </c>
      <c r="D292" s="1">
        <v>18058.0</v>
      </c>
      <c r="E292" s="1" t="s">
        <v>19</v>
      </c>
      <c r="F292" s="1" t="s">
        <v>20</v>
      </c>
      <c r="G292" s="1" t="s">
        <v>31</v>
      </c>
      <c r="H292" s="2">
        <v>1360.0</v>
      </c>
      <c r="I292" s="2">
        <v>6947.0</v>
      </c>
      <c r="J292" s="1">
        <v>1953.0</v>
      </c>
      <c r="K292" s="1">
        <v>36.0</v>
      </c>
      <c r="L292" s="1" t="s">
        <v>141</v>
      </c>
      <c r="M292" s="1" t="s">
        <v>1210</v>
      </c>
      <c r="N292" s="1" t="s">
        <v>64</v>
      </c>
      <c r="O292" s="1" t="s">
        <v>35</v>
      </c>
      <c r="P292" s="1" t="s">
        <v>1211</v>
      </c>
    </row>
    <row r="293" ht="14.25" customHeight="1">
      <c r="A293" s="1" t="s">
        <v>1212</v>
      </c>
      <c r="B293" s="1" t="s">
        <v>1213</v>
      </c>
      <c r="C293" s="1" t="s">
        <v>18</v>
      </c>
      <c r="D293" s="1">
        <v>77353.0</v>
      </c>
      <c r="E293" s="1" t="s">
        <v>19</v>
      </c>
      <c r="F293" s="1" t="s">
        <v>61</v>
      </c>
      <c r="G293" s="1" t="s">
        <v>55</v>
      </c>
      <c r="H293" s="2">
        <v>975.0</v>
      </c>
      <c r="I293" s="2">
        <v>3978.0</v>
      </c>
      <c r="J293" s="1">
        <v>1977.0</v>
      </c>
      <c r="K293" s="1">
        <v>43.0</v>
      </c>
      <c r="L293" s="1" t="s">
        <v>32</v>
      </c>
      <c r="M293" s="1" t="s">
        <v>1214</v>
      </c>
      <c r="N293" s="1" t="s">
        <v>43</v>
      </c>
      <c r="O293" s="1" t="s">
        <v>25</v>
      </c>
      <c r="P293" s="1" t="s">
        <v>1215</v>
      </c>
    </row>
    <row r="294" ht="14.25" customHeight="1">
      <c r="A294" s="1" t="s">
        <v>1216</v>
      </c>
      <c r="B294" s="1" t="s">
        <v>1217</v>
      </c>
      <c r="C294" s="1" t="s">
        <v>39</v>
      </c>
      <c r="D294" s="1">
        <v>42636.0</v>
      </c>
      <c r="E294" s="1" t="s">
        <v>60</v>
      </c>
      <c r="F294" s="1" t="s">
        <v>41</v>
      </c>
      <c r="G294" s="1" t="s">
        <v>55</v>
      </c>
      <c r="H294" s="2">
        <v>3658.0</v>
      </c>
      <c r="I294" s="2">
        <v>7281.0</v>
      </c>
      <c r="J294" s="1">
        <v>1985.0</v>
      </c>
      <c r="K294" s="1">
        <v>43.0</v>
      </c>
      <c r="L294" s="1" t="s">
        <v>62</v>
      </c>
      <c r="M294" s="1" t="s">
        <v>1218</v>
      </c>
      <c r="N294" s="1" t="s">
        <v>64</v>
      </c>
      <c r="O294" s="1" t="s">
        <v>49</v>
      </c>
      <c r="P294" s="1" t="s">
        <v>1219</v>
      </c>
    </row>
    <row r="295" ht="14.25" customHeight="1">
      <c r="A295" s="1" t="s">
        <v>1220</v>
      </c>
      <c r="B295" s="1" t="s">
        <v>1221</v>
      </c>
      <c r="C295" s="1" t="s">
        <v>76</v>
      </c>
      <c r="D295" s="1">
        <v>68531.0</v>
      </c>
      <c r="E295" s="1" t="s">
        <v>40</v>
      </c>
      <c r="F295" s="1" t="s">
        <v>20</v>
      </c>
      <c r="G295" s="1" t="s">
        <v>21</v>
      </c>
      <c r="H295" s="2">
        <v>899.0</v>
      </c>
      <c r="I295" s="2">
        <v>8551.0</v>
      </c>
      <c r="J295" s="1">
        <v>1978.0</v>
      </c>
      <c r="K295" s="1">
        <v>34.0</v>
      </c>
      <c r="L295" s="1" t="s">
        <v>95</v>
      </c>
      <c r="M295" s="1" t="s">
        <v>1222</v>
      </c>
      <c r="N295" s="1" t="s">
        <v>43</v>
      </c>
      <c r="O295" s="1" t="s">
        <v>49</v>
      </c>
      <c r="P295" s="1" t="s">
        <v>1223</v>
      </c>
    </row>
    <row r="296" ht="14.25" customHeight="1">
      <c r="A296" s="1" t="s">
        <v>1224</v>
      </c>
      <c r="B296" s="1" t="s">
        <v>1225</v>
      </c>
      <c r="C296" s="1" t="s">
        <v>76</v>
      </c>
      <c r="D296" s="1">
        <v>81859.0</v>
      </c>
      <c r="E296" s="1" t="s">
        <v>60</v>
      </c>
      <c r="F296" s="1" t="s">
        <v>20</v>
      </c>
      <c r="G296" s="1" t="s">
        <v>100</v>
      </c>
      <c r="H296" s="2">
        <v>705.0</v>
      </c>
      <c r="I296" s="2">
        <v>6698.0</v>
      </c>
      <c r="J296" s="1">
        <v>2012.0</v>
      </c>
      <c r="K296" s="1">
        <v>99.0</v>
      </c>
      <c r="L296" s="1" t="s">
        <v>62</v>
      </c>
      <c r="M296" s="1" t="s">
        <v>1226</v>
      </c>
      <c r="N296" s="1" t="s">
        <v>43</v>
      </c>
      <c r="O296" s="1" t="s">
        <v>25</v>
      </c>
      <c r="P296" s="1" t="s">
        <v>1227</v>
      </c>
    </row>
    <row r="297" ht="14.25" customHeight="1">
      <c r="A297" s="1" t="s">
        <v>1228</v>
      </c>
      <c r="B297" s="1" t="s">
        <v>1229</v>
      </c>
      <c r="C297" s="1" t="s">
        <v>39</v>
      </c>
      <c r="D297" s="1">
        <v>72975.0</v>
      </c>
      <c r="E297" s="1" t="s">
        <v>77</v>
      </c>
      <c r="F297" s="1" t="s">
        <v>54</v>
      </c>
      <c r="G297" s="1" t="s">
        <v>55</v>
      </c>
      <c r="H297" s="2">
        <v>1298.0</v>
      </c>
      <c r="I297" s="2">
        <v>9755.0</v>
      </c>
      <c r="J297" s="1">
        <v>1997.0</v>
      </c>
      <c r="K297" s="1">
        <v>44.0</v>
      </c>
      <c r="L297" s="1" t="s">
        <v>95</v>
      </c>
      <c r="M297" s="1" t="s">
        <v>1230</v>
      </c>
      <c r="N297" s="1" t="s">
        <v>64</v>
      </c>
      <c r="O297" s="1" t="s">
        <v>35</v>
      </c>
      <c r="P297" s="1" t="s">
        <v>1231</v>
      </c>
    </row>
    <row r="298" ht="14.25" customHeight="1">
      <c r="A298" s="1" t="s">
        <v>1232</v>
      </c>
      <c r="B298" s="1" t="s">
        <v>1233</v>
      </c>
      <c r="C298" s="1" t="s">
        <v>29</v>
      </c>
      <c r="D298" s="1">
        <v>31017.0</v>
      </c>
      <c r="E298" s="1" t="s">
        <v>30</v>
      </c>
      <c r="F298" s="1" t="s">
        <v>94</v>
      </c>
      <c r="G298" s="1" t="s">
        <v>100</v>
      </c>
      <c r="H298" s="2">
        <v>2604.0</v>
      </c>
      <c r="I298" s="2">
        <v>1813.0</v>
      </c>
      <c r="J298" s="1">
        <v>2019.0</v>
      </c>
      <c r="K298" s="1">
        <v>51.0</v>
      </c>
      <c r="L298" s="1" t="s">
        <v>62</v>
      </c>
      <c r="M298" s="1" t="s">
        <v>1234</v>
      </c>
      <c r="N298" s="1" t="s">
        <v>43</v>
      </c>
      <c r="O298" s="1" t="s">
        <v>49</v>
      </c>
      <c r="P298" s="1" t="s">
        <v>1235</v>
      </c>
    </row>
    <row r="299" ht="14.25" customHeight="1">
      <c r="A299" s="1" t="s">
        <v>1236</v>
      </c>
      <c r="B299" s="1" t="s">
        <v>1237</v>
      </c>
      <c r="C299" s="1" t="s">
        <v>39</v>
      </c>
      <c r="D299" s="1">
        <v>79684.0</v>
      </c>
      <c r="E299" s="1" t="s">
        <v>60</v>
      </c>
      <c r="F299" s="1" t="s">
        <v>41</v>
      </c>
      <c r="G299" s="1" t="s">
        <v>21</v>
      </c>
      <c r="H299" s="2">
        <v>1482.0</v>
      </c>
      <c r="I299" s="2">
        <v>1355.0</v>
      </c>
      <c r="J299" s="1">
        <v>1952.0</v>
      </c>
      <c r="K299" s="1">
        <v>63.0</v>
      </c>
      <c r="L299" s="1" t="s">
        <v>22</v>
      </c>
      <c r="M299" s="1" t="s">
        <v>1238</v>
      </c>
      <c r="N299" s="1" t="s">
        <v>43</v>
      </c>
      <c r="O299" s="1" t="s">
        <v>25</v>
      </c>
      <c r="P299" s="1" t="s">
        <v>1239</v>
      </c>
    </row>
    <row r="300" ht="14.25" customHeight="1">
      <c r="A300" s="1" t="s">
        <v>1240</v>
      </c>
      <c r="B300" s="1" t="s">
        <v>1241</v>
      </c>
      <c r="C300" s="1" t="s">
        <v>18</v>
      </c>
      <c r="D300" s="1">
        <v>72177.0</v>
      </c>
      <c r="E300" s="1" t="s">
        <v>30</v>
      </c>
      <c r="F300" s="1" t="s">
        <v>54</v>
      </c>
      <c r="G300" s="1" t="s">
        <v>31</v>
      </c>
      <c r="H300" s="2">
        <v>838.0</v>
      </c>
      <c r="I300" s="2">
        <v>7283.0</v>
      </c>
      <c r="J300" s="1">
        <v>1963.0</v>
      </c>
      <c r="K300" s="1">
        <v>103.0</v>
      </c>
      <c r="L300" s="1" t="s">
        <v>95</v>
      </c>
      <c r="M300" s="1" t="s">
        <v>1242</v>
      </c>
      <c r="N300" s="1" t="s">
        <v>43</v>
      </c>
      <c r="O300" s="1" t="s">
        <v>25</v>
      </c>
      <c r="P300" s="1" t="s">
        <v>1243</v>
      </c>
    </row>
    <row r="301" ht="14.25" customHeight="1">
      <c r="A301" s="1" t="s">
        <v>1244</v>
      </c>
      <c r="B301" s="1" t="s">
        <v>1245</v>
      </c>
      <c r="C301" s="1" t="s">
        <v>39</v>
      </c>
      <c r="D301" s="1">
        <v>81038.0</v>
      </c>
      <c r="E301" s="1" t="s">
        <v>60</v>
      </c>
      <c r="F301" s="1" t="s">
        <v>46</v>
      </c>
      <c r="G301" s="1" t="s">
        <v>21</v>
      </c>
      <c r="H301" s="2">
        <v>3059.0</v>
      </c>
      <c r="I301" s="2">
        <v>4115.0</v>
      </c>
      <c r="J301" s="1">
        <v>1974.0</v>
      </c>
      <c r="K301" s="1">
        <v>12.0</v>
      </c>
      <c r="L301" s="1" t="s">
        <v>141</v>
      </c>
      <c r="M301" s="1" t="s">
        <v>1246</v>
      </c>
      <c r="N301" s="1" t="s">
        <v>43</v>
      </c>
      <c r="O301" s="1" t="s">
        <v>35</v>
      </c>
      <c r="P301" s="1" t="s">
        <v>1247</v>
      </c>
    </row>
    <row r="302" ht="14.25" customHeight="1">
      <c r="A302" s="1" t="s">
        <v>1248</v>
      </c>
      <c r="B302" s="1" t="s">
        <v>1249</v>
      </c>
      <c r="C302" s="1" t="s">
        <v>53</v>
      </c>
      <c r="D302" s="1">
        <v>68343.0</v>
      </c>
      <c r="E302" s="1" t="s">
        <v>30</v>
      </c>
      <c r="F302" s="1" t="s">
        <v>61</v>
      </c>
      <c r="G302" s="1" t="s">
        <v>31</v>
      </c>
      <c r="H302" s="2">
        <v>620.0</v>
      </c>
      <c r="I302" s="2">
        <v>3573.0</v>
      </c>
      <c r="J302" s="1">
        <v>2008.0</v>
      </c>
      <c r="K302" s="1">
        <v>23.0</v>
      </c>
      <c r="L302" s="1" t="s">
        <v>22</v>
      </c>
      <c r="M302" s="1" t="s">
        <v>1250</v>
      </c>
      <c r="N302" s="1" t="s">
        <v>24</v>
      </c>
      <c r="O302" s="1" t="s">
        <v>35</v>
      </c>
      <c r="P302" s="1" t="s">
        <v>1251</v>
      </c>
    </row>
    <row r="303" ht="14.25" customHeight="1">
      <c r="A303" s="1" t="s">
        <v>1252</v>
      </c>
      <c r="B303" s="1" t="s">
        <v>1253</v>
      </c>
      <c r="C303" s="1" t="s">
        <v>29</v>
      </c>
      <c r="D303" s="1">
        <v>99215.0</v>
      </c>
      <c r="E303" s="1" t="s">
        <v>30</v>
      </c>
      <c r="F303" s="1" t="s">
        <v>41</v>
      </c>
      <c r="G303" s="1" t="s">
        <v>31</v>
      </c>
      <c r="H303" s="2">
        <v>620.0</v>
      </c>
      <c r="I303" s="2">
        <v>6199.0</v>
      </c>
      <c r="J303" s="1">
        <v>1991.0</v>
      </c>
      <c r="K303" s="1">
        <v>62.0</v>
      </c>
      <c r="L303" s="1" t="s">
        <v>22</v>
      </c>
      <c r="M303" s="1" t="s">
        <v>1254</v>
      </c>
      <c r="N303" s="1" t="s">
        <v>64</v>
      </c>
      <c r="O303" s="1" t="s">
        <v>49</v>
      </c>
      <c r="P303" s="1" t="s">
        <v>1255</v>
      </c>
    </row>
    <row r="304" ht="14.25" customHeight="1">
      <c r="A304" s="1" t="s">
        <v>1256</v>
      </c>
      <c r="B304" s="1" t="s">
        <v>1257</v>
      </c>
      <c r="C304" s="1" t="s">
        <v>18</v>
      </c>
      <c r="D304" s="1">
        <v>68426.0</v>
      </c>
      <c r="E304" s="1" t="s">
        <v>30</v>
      </c>
      <c r="F304" s="1" t="s">
        <v>54</v>
      </c>
      <c r="G304" s="1" t="s">
        <v>31</v>
      </c>
      <c r="H304" s="2">
        <v>3777.0</v>
      </c>
      <c r="I304" s="2">
        <v>3451.0</v>
      </c>
      <c r="J304" s="1">
        <v>2008.0</v>
      </c>
      <c r="K304" s="1">
        <v>63.0</v>
      </c>
      <c r="L304" s="1" t="s">
        <v>95</v>
      </c>
      <c r="M304" s="1" t="s">
        <v>1258</v>
      </c>
      <c r="N304" s="1" t="s">
        <v>34</v>
      </c>
      <c r="O304" s="1" t="s">
        <v>35</v>
      </c>
      <c r="P304" s="1" t="s">
        <v>1259</v>
      </c>
    </row>
    <row r="305" ht="14.25" customHeight="1">
      <c r="A305" s="1" t="s">
        <v>1260</v>
      </c>
      <c r="B305" s="1" t="s">
        <v>1261</v>
      </c>
      <c r="C305" s="1" t="s">
        <v>39</v>
      </c>
      <c r="D305" s="1">
        <v>93892.0</v>
      </c>
      <c r="E305" s="1" t="s">
        <v>40</v>
      </c>
      <c r="F305" s="1" t="s">
        <v>20</v>
      </c>
      <c r="G305" s="1" t="s">
        <v>21</v>
      </c>
      <c r="H305" s="2">
        <v>644.0</v>
      </c>
      <c r="I305" s="2">
        <v>6797.0</v>
      </c>
      <c r="J305" s="1">
        <v>1979.0</v>
      </c>
      <c r="K305" s="1">
        <v>17.0</v>
      </c>
      <c r="L305" s="1" t="s">
        <v>22</v>
      </c>
      <c r="M305" s="1" t="s">
        <v>1262</v>
      </c>
      <c r="N305" s="1" t="s">
        <v>48</v>
      </c>
      <c r="O305" s="1" t="s">
        <v>49</v>
      </c>
      <c r="P305" s="1" t="s">
        <v>1263</v>
      </c>
    </row>
    <row r="306" ht="14.25" customHeight="1">
      <c r="A306" s="1" t="s">
        <v>1264</v>
      </c>
      <c r="B306" s="1" t="s">
        <v>1265</v>
      </c>
      <c r="C306" s="1" t="s">
        <v>76</v>
      </c>
      <c r="D306" s="1">
        <v>19908.0</v>
      </c>
      <c r="E306" s="1" t="s">
        <v>30</v>
      </c>
      <c r="F306" s="1" t="s">
        <v>94</v>
      </c>
      <c r="G306" s="1" t="s">
        <v>21</v>
      </c>
      <c r="H306" s="2">
        <v>2789.0</v>
      </c>
      <c r="I306" s="2">
        <v>7794.0</v>
      </c>
      <c r="J306" s="1">
        <v>2001.0</v>
      </c>
      <c r="K306" s="1">
        <v>48.0</v>
      </c>
      <c r="L306" s="1" t="s">
        <v>62</v>
      </c>
      <c r="M306" s="1" t="s">
        <v>1266</v>
      </c>
      <c r="N306" s="1" t="s">
        <v>64</v>
      </c>
      <c r="O306" s="1" t="s">
        <v>35</v>
      </c>
      <c r="P306" s="1" t="s">
        <v>1267</v>
      </c>
    </row>
    <row r="307" ht="14.25" customHeight="1">
      <c r="A307" s="1" t="s">
        <v>1268</v>
      </c>
      <c r="B307" s="1" t="s">
        <v>1269</v>
      </c>
      <c r="C307" s="1" t="s">
        <v>76</v>
      </c>
      <c r="D307" s="1">
        <v>54146.0</v>
      </c>
      <c r="E307" s="1" t="s">
        <v>19</v>
      </c>
      <c r="F307" s="1" t="s">
        <v>54</v>
      </c>
      <c r="G307" s="1" t="s">
        <v>31</v>
      </c>
      <c r="H307" s="2">
        <v>3003.0</v>
      </c>
      <c r="I307" s="2">
        <v>3326.0</v>
      </c>
      <c r="J307" s="1">
        <v>2015.0</v>
      </c>
      <c r="K307" s="1">
        <v>95.0</v>
      </c>
      <c r="L307" s="1" t="s">
        <v>95</v>
      </c>
      <c r="M307" s="1" t="s">
        <v>1270</v>
      </c>
      <c r="N307" s="1" t="s">
        <v>64</v>
      </c>
      <c r="O307" s="1" t="s">
        <v>49</v>
      </c>
      <c r="P307" s="1" t="s">
        <v>1271</v>
      </c>
    </row>
    <row r="308" ht="14.25" customHeight="1">
      <c r="A308" s="1" t="s">
        <v>1272</v>
      </c>
      <c r="B308" s="1" t="s">
        <v>1273</v>
      </c>
      <c r="C308" s="1" t="s">
        <v>18</v>
      </c>
      <c r="D308" s="1">
        <v>11489.0</v>
      </c>
      <c r="E308" s="1" t="s">
        <v>19</v>
      </c>
      <c r="F308" s="1" t="s">
        <v>94</v>
      </c>
      <c r="G308" s="1" t="s">
        <v>55</v>
      </c>
      <c r="H308" s="2">
        <v>3207.0</v>
      </c>
      <c r="I308" s="2">
        <v>3074.0</v>
      </c>
      <c r="J308" s="1">
        <v>1965.0</v>
      </c>
      <c r="K308" s="1">
        <v>118.0</v>
      </c>
      <c r="L308" s="1" t="s">
        <v>141</v>
      </c>
      <c r="M308" s="1" t="s">
        <v>1274</v>
      </c>
      <c r="N308" s="1" t="s">
        <v>24</v>
      </c>
      <c r="O308" s="1" t="s">
        <v>25</v>
      </c>
      <c r="P308" s="1" t="s">
        <v>1275</v>
      </c>
    </row>
    <row r="309" ht="14.25" customHeight="1">
      <c r="A309" s="1" t="s">
        <v>1276</v>
      </c>
      <c r="B309" s="1" t="s">
        <v>1277</v>
      </c>
      <c r="C309" s="1" t="s">
        <v>29</v>
      </c>
      <c r="D309" s="1">
        <v>16892.0</v>
      </c>
      <c r="E309" s="1" t="s">
        <v>40</v>
      </c>
      <c r="F309" s="1" t="s">
        <v>46</v>
      </c>
      <c r="G309" s="1" t="s">
        <v>100</v>
      </c>
      <c r="H309" s="2">
        <v>1319.0</v>
      </c>
      <c r="I309" s="2">
        <v>2031.0</v>
      </c>
      <c r="J309" s="1">
        <v>2007.0</v>
      </c>
      <c r="K309" s="1">
        <v>72.0</v>
      </c>
      <c r="L309" s="1" t="s">
        <v>22</v>
      </c>
      <c r="M309" s="1" t="s">
        <v>1278</v>
      </c>
      <c r="N309" s="1" t="s">
        <v>34</v>
      </c>
      <c r="O309" s="1" t="s">
        <v>35</v>
      </c>
      <c r="P309" s="1" t="s">
        <v>1279</v>
      </c>
    </row>
    <row r="310" ht="14.25" customHeight="1">
      <c r="A310" s="1" t="s">
        <v>1280</v>
      </c>
      <c r="B310" s="1" t="s">
        <v>1281</v>
      </c>
      <c r="C310" s="1" t="s">
        <v>76</v>
      </c>
      <c r="D310" s="1">
        <v>51963.0</v>
      </c>
      <c r="E310" s="1" t="s">
        <v>60</v>
      </c>
      <c r="F310" s="1" t="s">
        <v>54</v>
      </c>
      <c r="G310" s="1" t="s">
        <v>21</v>
      </c>
      <c r="H310" s="2">
        <v>3905.0</v>
      </c>
      <c r="I310" s="2">
        <v>6897.0</v>
      </c>
      <c r="J310" s="1">
        <v>1994.0</v>
      </c>
      <c r="K310" s="1">
        <v>40.0</v>
      </c>
      <c r="L310" s="1" t="s">
        <v>141</v>
      </c>
      <c r="M310" s="1" t="s">
        <v>1282</v>
      </c>
      <c r="N310" s="1" t="s">
        <v>48</v>
      </c>
      <c r="O310" s="1" t="s">
        <v>35</v>
      </c>
      <c r="P310" s="1" t="s">
        <v>1283</v>
      </c>
    </row>
    <row r="311" ht="14.25" customHeight="1">
      <c r="A311" s="1" t="s">
        <v>1284</v>
      </c>
      <c r="B311" s="1" t="s">
        <v>1285</v>
      </c>
      <c r="C311" s="1" t="s">
        <v>29</v>
      </c>
      <c r="D311" s="1">
        <v>60346.0</v>
      </c>
      <c r="E311" s="1" t="s">
        <v>77</v>
      </c>
      <c r="F311" s="1" t="s">
        <v>20</v>
      </c>
      <c r="G311" s="1" t="s">
        <v>31</v>
      </c>
      <c r="H311" s="2">
        <v>3929.0</v>
      </c>
      <c r="I311" s="2">
        <v>8333.0</v>
      </c>
      <c r="J311" s="1">
        <v>1981.0</v>
      </c>
      <c r="K311" s="1">
        <v>64.0</v>
      </c>
      <c r="L311" s="1" t="s">
        <v>62</v>
      </c>
      <c r="M311" s="1" t="s">
        <v>1286</v>
      </c>
      <c r="N311" s="1" t="s">
        <v>43</v>
      </c>
      <c r="O311" s="1" t="s">
        <v>25</v>
      </c>
      <c r="P311" s="1" t="s">
        <v>1287</v>
      </c>
    </row>
    <row r="312" ht="14.25" customHeight="1">
      <c r="A312" s="1" t="s">
        <v>1288</v>
      </c>
      <c r="B312" s="1" t="s">
        <v>1289</v>
      </c>
      <c r="C312" s="1" t="s">
        <v>76</v>
      </c>
      <c r="D312" s="1">
        <v>94121.0</v>
      </c>
      <c r="E312" s="1" t="s">
        <v>40</v>
      </c>
      <c r="F312" s="1" t="s">
        <v>61</v>
      </c>
      <c r="G312" s="1" t="s">
        <v>21</v>
      </c>
      <c r="H312" s="2">
        <v>2199.0</v>
      </c>
      <c r="I312" s="2">
        <v>3138.0</v>
      </c>
      <c r="J312" s="1">
        <v>2017.0</v>
      </c>
      <c r="K312" s="1">
        <v>62.0</v>
      </c>
      <c r="L312" s="1" t="s">
        <v>95</v>
      </c>
      <c r="M312" s="1" t="s">
        <v>1290</v>
      </c>
      <c r="N312" s="1" t="s">
        <v>64</v>
      </c>
      <c r="O312" s="1" t="s">
        <v>49</v>
      </c>
      <c r="P312" s="1" t="s">
        <v>1291</v>
      </c>
    </row>
    <row r="313" ht="14.25" customHeight="1">
      <c r="A313" s="1" t="s">
        <v>1292</v>
      </c>
      <c r="B313" s="1" t="s">
        <v>1293</v>
      </c>
      <c r="C313" s="1" t="s">
        <v>18</v>
      </c>
      <c r="D313" s="1">
        <v>24264.0</v>
      </c>
      <c r="E313" s="1" t="s">
        <v>40</v>
      </c>
      <c r="F313" s="1" t="s">
        <v>20</v>
      </c>
      <c r="G313" s="1" t="s">
        <v>100</v>
      </c>
      <c r="H313" s="2">
        <v>2258.0</v>
      </c>
      <c r="I313" s="2">
        <v>4950.0</v>
      </c>
      <c r="J313" s="1">
        <v>1963.0</v>
      </c>
      <c r="K313" s="1">
        <v>82.0</v>
      </c>
      <c r="L313" s="1" t="s">
        <v>141</v>
      </c>
      <c r="M313" s="1" t="s">
        <v>1294</v>
      </c>
      <c r="N313" s="1" t="s">
        <v>24</v>
      </c>
      <c r="O313" s="1" t="s">
        <v>25</v>
      </c>
      <c r="P313" s="1" t="s">
        <v>1295</v>
      </c>
    </row>
    <row r="314" ht="14.25" customHeight="1">
      <c r="A314" s="1" t="s">
        <v>1296</v>
      </c>
      <c r="B314" s="1" t="s">
        <v>1297</v>
      </c>
      <c r="C314" s="1" t="s">
        <v>18</v>
      </c>
      <c r="D314" s="1">
        <v>89635.0</v>
      </c>
      <c r="E314" s="1" t="s">
        <v>77</v>
      </c>
      <c r="F314" s="1" t="s">
        <v>46</v>
      </c>
      <c r="G314" s="1" t="s">
        <v>100</v>
      </c>
      <c r="H314" s="2">
        <v>2594.0</v>
      </c>
      <c r="I314" s="2">
        <v>3799.0</v>
      </c>
      <c r="J314" s="1">
        <v>1960.0</v>
      </c>
      <c r="K314" s="1">
        <v>46.0</v>
      </c>
      <c r="L314" s="1" t="s">
        <v>141</v>
      </c>
      <c r="M314" s="1" t="s">
        <v>1298</v>
      </c>
      <c r="N314" s="1" t="s">
        <v>64</v>
      </c>
      <c r="O314" s="1" t="s">
        <v>49</v>
      </c>
      <c r="P314" s="1" t="s">
        <v>1299</v>
      </c>
    </row>
    <row r="315" ht="14.25" customHeight="1">
      <c r="A315" s="1" t="s">
        <v>1300</v>
      </c>
      <c r="B315" s="1" t="s">
        <v>1301</v>
      </c>
      <c r="C315" s="1" t="s">
        <v>39</v>
      </c>
      <c r="D315" s="1">
        <v>50757.0</v>
      </c>
      <c r="E315" s="1" t="s">
        <v>19</v>
      </c>
      <c r="F315" s="1" t="s">
        <v>94</v>
      </c>
      <c r="G315" s="1" t="s">
        <v>100</v>
      </c>
      <c r="H315" s="2">
        <v>745.0</v>
      </c>
      <c r="I315" s="2">
        <v>6797.0</v>
      </c>
      <c r="J315" s="1">
        <v>1969.0</v>
      </c>
      <c r="K315" s="1">
        <v>24.0</v>
      </c>
      <c r="L315" s="1" t="s">
        <v>95</v>
      </c>
      <c r="M315" s="1" t="s">
        <v>1302</v>
      </c>
      <c r="N315" s="1" t="s">
        <v>24</v>
      </c>
      <c r="O315" s="1" t="s">
        <v>35</v>
      </c>
      <c r="P315" s="1" t="s">
        <v>1303</v>
      </c>
    </row>
    <row r="316" ht="14.25" customHeight="1">
      <c r="A316" s="1" t="s">
        <v>1304</v>
      </c>
      <c r="B316" s="1" t="s">
        <v>1305</v>
      </c>
      <c r="C316" s="1" t="s">
        <v>39</v>
      </c>
      <c r="D316" s="1">
        <v>17681.0</v>
      </c>
      <c r="E316" s="1" t="s">
        <v>19</v>
      </c>
      <c r="F316" s="1" t="s">
        <v>41</v>
      </c>
      <c r="G316" s="1" t="s">
        <v>100</v>
      </c>
      <c r="H316" s="2">
        <v>656.0</v>
      </c>
      <c r="I316" s="2">
        <v>3070.0</v>
      </c>
      <c r="J316" s="1">
        <v>1985.0</v>
      </c>
      <c r="K316" s="1">
        <v>21.0</v>
      </c>
      <c r="L316" s="1" t="s">
        <v>62</v>
      </c>
      <c r="M316" s="1" t="s">
        <v>1306</v>
      </c>
      <c r="N316" s="1" t="s">
        <v>64</v>
      </c>
      <c r="O316" s="1" t="s">
        <v>35</v>
      </c>
      <c r="P316" s="1" t="s">
        <v>1307</v>
      </c>
    </row>
    <row r="317" ht="14.25" customHeight="1">
      <c r="A317" s="1" t="s">
        <v>1308</v>
      </c>
      <c r="B317" s="1" t="s">
        <v>1309</v>
      </c>
      <c r="C317" s="1" t="s">
        <v>29</v>
      </c>
      <c r="D317" s="1">
        <v>55624.0</v>
      </c>
      <c r="E317" s="1" t="s">
        <v>77</v>
      </c>
      <c r="F317" s="1" t="s">
        <v>20</v>
      </c>
      <c r="G317" s="1" t="s">
        <v>31</v>
      </c>
      <c r="H317" s="2">
        <v>2840.0</v>
      </c>
      <c r="I317" s="2">
        <v>8535.0</v>
      </c>
      <c r="J317" s="1">
        <v>2023.0</v>
      </c>
      <c r="K317" s="1">
        <v>118.0</v>
      </c>
      <c r="L317" s="1" t="s">
        <v>95</v>
      </c>
      <c r="M317" s="1" t="s">
        <v>1310</v>
      </c>
      <c r="N317" s="1" t="s">
        <v>34</v>
      </c>
      <c r="O317" s="1" t="s">
        <v>49</v>
      </c>
      <c r="P317" s="1" t="s">
        <v>1311</v>
      </c>
    </row>
    <row r="318" ht="14.25" customHeight="1">
      <c r="A318" s="1" t="s">
        <v>1312</v>
      </c>
      <c r="B318" s="1" t="s">
        <v>1313</v>
      </c>
      <c r="C318" s="1" t="s">
        <v>18</v>
      </c>
      <c r="D318" s="1">
        <v>69573.0</v>
      </c>
      <c r="E318" s="1" t="s">
        <v>19</v>
      </c>
      <c r="F318" s="1" t="s">
        <v>61</v>
      </c>
      <c r="G318" s="1" t="s">
        <v>100</v>
      </c>
      <c r="H318" s="2">
        <v>2110.0</v>
      </c>
      <c r="I318" s="2">
        <v>5859.0</v>
      </c>
      <c r="J318" s="1">
        <v>1980.0</v>
      </c>
      <c r="K318" s="1">
        <v>109.0</v>
      </c>
      <c r="L318" s="1" t="s">
        <v>141</v>
      </c>
      <c r="M318" s="1" t="s">
        <v>1314</v>
      </c>
      <c r="N318" s="1" t="s">
        <v>24</v>
      </c>
      <c r="O318" s="1" t="s">
        <v>49</v>
      </c>
      <c r="P318" s="1" t="s">
        <v>1315</v>
      </c>
    </row>
    <row r="319" ht="14.25" customHeight="1">
      <c r="A319" s="1" t="s">
        <v>1316</v>
      </c>
      <c r="B319" s="1" t="s">
        <v>1317</v>
      </c>
      <c r="C319" s="1" t="s">
        <v>29</v>
      </c>
      <c r="D319" s="1">
        <v>40666.0</v>
      </c>
      <c r="E319" s="1" t="s">
        <v>60</v>
      </c>
      <c r="F319" s="1" t="s">
        <v>46</v>
      </c>
      <c r="G319" s="1" t="s">
        <v>55</v>
      </c>
      <c r="H319" s="2">
        <v>949.0</v>
      </c>
      <c r="I319" s="2">
        <v>1361.0</v>
      </c>
      <c r="J319" s="1">
        <v>2004.0</v>
      </c>
      <c r="K319" s="1">
        <v>76.0</v>
      </c>
      <c r="L319" s="1" t="s">
        <v>141</v>
      </c>
      <c r="M319" s="1" t="s">
        <v>1318</v>
      </c>
      <c r="N319" s="1" t="s">
        <v>43</v>
      </c>
      <c r="O319" s="1" t="s">
        <v>49</v>
      </c>
      <c r="P319" s="1" t="s">
        <v>1319</v>
      </c>
    </row>
    <row r="320" ht="14.25" customHeight="1">
      <c r="A320" s="1" t="s">
        <v>1320</v>
      </c>
      <c r="B320" s="1" t="s">
        <v>1321</v>
      </c>
      <c r="C320" s="1" t="s">
        <v>53</v>
      </c>
      <c r="D320" s="1">
        <v>54871.0</v>
      </c>
      <c r="E320" s="1" t="s">
        <v>40</v>
      </c>
      <c r="F320" s="1" t="s">
        <v>61</v>
      </c>
      <c r="G320" s="1" t="s">
        <v>21</v>
      </c>
      <c r="H320" s="2">
        <v>3116.0</v>
      </c>
      <c r="I320" s="2">
        <v>6462.0</v>
      </c>
      <c r="J320" s="1">
        <v>1997.0</v>
      </c>
      <c r="K320" s="1">
        <v>98.0</v>
      </c>
      <c r="L320" s="1" t="s">
        <v>32</v>
      </c>
      <c r="M320" s="1" t="s">
        <v>1322</v>
      </c>
      <c r="N320" s="1" t="s">
        <v>34</v>
      </c>
      <c r="O320" s="1" t="s">
        <v>35</v>
      </c>
      <c r="P320" s="1" t="s">
        <v>1323</v>
      </c>
    </row>
    <row r="321" ht="14.25" customHeight="1">
      <c r="A321" s="1" t="s">
        <v>1324</v>
      </c>
      <c r="B321" s="1" t="s">
        <v>1325</v>
      </c>
      <c r="C321" s="1" t="s">
        <v>76</v>
      </c>
      <c r="D321" s="1">
        <v>17869.0</v>
      </c>
      <c r="E321" s="1" t="s">
        <v>40</v>
      </c>
      <c r="F321" s="1" t="s">
        <v>46</v>
      </c>
      <c r="G321" s="1" t="s">
        <v>21</v>
      </c>
      <c r="H321" s="2">
        <v>1727.0</v>
      </c>
      <c r="I321" s="2">
        <v>5285.0</v>
      </c>
      <c r="J321" s="1">
        <v>1986.0</v>
      </c>
      <c r="K321" s="1">
        <v>119.0</v>
      </c>
      <c r="L321" s="1" t="s">
        <v>95</v>
      </c>
      <c r="M321" s="1" t="s">
        <v>1326</v>
      </c>
      <c r="N321" s="1" t="s">
        <v>48</v>
      </c>
      <c r="O321" s="1" t="s">
        <v>49</v>
      </c>
      <c r="P321" s="1" t="s">
        <v>1327</v>
      </c>
    </row>
    <row r="322" ht="14.25" customHeight="1">
      <c r="A322" s="1" t="s">
        <v>1328</v>
      </c>
      <c r="B322" s="1" t="s">
        <v>1329</v>
      </c>
      <c r="C322" s="1" t="s">
        <v>29</v>
      </c>
      <c r="D322" s="1">
        <v>33519.0</v>
      </c>
      <c r="E322" s="1" t="s">
        <v>40</v>
      </c>
      <c r="F322" s="1" t="s">
        <v>94</v>
      </c>
      <c r="G322" s="1" t="s">
        <v>55</v>
      </c>
      <c r="H322" s="2">
        <v>1714.0</v>
      </c>
      <c r="I322" s="2">
        <v>9446.0</v>
      </c>
      <c r="J322" s="1">
        <v>2022.0</v>
      </c>
      <c r="K322" s="1">
        <v>102.0</v>
      </c>
      <c r="L322" s="1" t="s">
        <v>95</v>
      </c>
      <c r="M322" s="1" t="s">
        <v>1330</v>
      </c>
      <c r="N322" s="1" t="s">
        <v>24</v>
      </c>
      <c r="O322" s="1" t="s">
        <v>35</v>
      </c>
      <c r="P322" s="1" t="s">
        <v>1331</v>
      </c>
    </row>
    <row r="323" ht="14.25" customHeight="1">
      <c r="A323" s="1" t="s">
        <v>1332</v>
      </c>
      <c r="B323" s="1" t="s">
        <v>1333</v>
      </c>
      <c r="C323" s="1" t="s">
        <v>53</v>
      </c>
      <c r="D323" s="1">
        <v>97233.0</v>
      </c>
      <c r="E323" s="1" t="s">
        <v>60</v>
      </c>
      <c r="F323" s="1" t="s">
        <v>54</v>
      </c>
      <c r="G323" s="1" t="s">
        <v>31</v>
      </c>
      <c r="H323" s="2">
        <v>1447.0</v>
      </c>
      <c r="I323" s="2">
        <v>3020.0</v>
      </c>
      <c r="J323" s="1">
        <v>2009.0</v>
      </c>
      <c r="K323" s="1">
        <v>30.0</v>
      </c>
      <c r="L323" s="1" t="s">
        <v>141</v>
      </c>
      <c r="M323" s="1" t="s">
        <v>1334</v>
      </c>
      <c r="N323" s="1" t="s">
        <v>24</v>
      </c>
      <c r="O323" s="1" t="s">
        <v>35</v>
      </c>
      <c r="P323" s="1" t="s">
        <v>1335</v>
      </c>
    </row>
    <row r="324" ht="14.25" customHeight="1">
      <c r="A324" s="1" t="s">
        <v>1336</v>
      </c>
      <c r="B324" s="1" t="s">
        <v>1337</v>
      </c>
      <c r="C324" s="1" t="s">
        <v>76</v>
      </c>
      <c r="D324" s="1">
        <v>29647.0</v>
      </c>
      <c r="E324" s="1" t="s">
        <v>19</v>
      </c>
      <c r="F324" s="1" t="s">
        <v>46</v>
      </c>
      <c r="G324" s="1" t="s">
        <v>31</v>
      </c>
      <c r="H324" s="2">
        <v>887.0</v>
      </c>
      <c r="I324" s="2">
        <v>3584.0</v>
      </c>
      <c r="J324" s="1">
        <v>1970.0</v>
      </c>
      <c r="K324" s="1">
        <v>17.0</v>
      </c>
      <c r="L324" s="1" t="s">
        <v>141</v>
      </c>
      <c r="M324" s="1" t="s">
        <v>1338</v>
      </c>
      <c r="N324" s="1" t="s">
        <v>34</v>
      </c>
      <c r="O324" s="1" t="s">
        <v>49</v>
      </c>
      <c r="P324" s="1" t="s">
        <v>1339</v>
      </c>
    </row>
    <row r="325" ht="14.25" customHeight="1">
      <c r="A325" s="1" t="s">
        <v>1340</v>
      </c>
      <c r="B325" s="1" t="s">
        <v>1341</v>
      </c>
      <c r="C325" s="1" t="s">
        <v>18</v>
      </c>
      <c r="D325" s="1">
        <v>38001.0</v>
      </c>
      <c r="E325" s="1" t="s">
        <v>60</v>
      </c>
      <c r="F325" s="1" t="s">
        <v>20</v>
      </c>
      <c r="G325" s="1" t="s">
        <v>100</v>
      </c>
      <c r="H325" s="2">
        <v>3242.0</v>
      </c>
      <c r="I325" s="2">
        <v>9096.0</v>
      </c>
      <c r="J325" s="1">
        <v>1955.0</v>
      </c>
      <c r="K325" s="1">
        <v>40.0</v>
      </c>
      <c r="L325" s="1" t="s">
        <v>141</v>
      </c>
      <c r="M325" s="1" t="s">
        <v>1342</v>
      </c>
      <c r="N325" s="1" t="s">
        <v>24</v>
      </c>
      <c r="O325" s="1" t="s">
        <v>35</v>
      </c>
      <c r="P325" s="1" t="s">
        <v>1343</v>
      </c>
    </row>
    <row r="326" ht="14.25" customHeight="1">
      <c r="A326" s="1" t="s">
        <v>1344</v>
      </c>
      <c r="B326" s="1" t="s">
        <v>1345</v>
      </c>
      <c r="C326" s="1" t="s">
        <v>39</v>
      </c>
      <c r="D326" s="1">
        <v>87840.0</v>
      </c>
      <c r="E326" s="1" t="s">
        <v>19</v>
      </c>
      <c r="F326" s="1" t="s">
        <v>20</v>
      </c>
      <c r="G326" s="1" t="s">
        <v>31</v>
      </c>
      <c r="H326" s="2">
        <v>1597.0</v>
      </c>
      <c r="I326" s="2">
        <v>3907.0</v>
      </c>
      <c r="J326" s="1">
        <v>2021.0</v>
      </c>
      <c r="K326" s="1">
        <v>111.0</v>
      </c>
      <c r="L326" s="1" t="s">
        <v>95</v>
      </c>
      <c r="M326" s="1" t="s">
        <v>1346</v>
      </c>
      <c r="N326" s="1" t="s">
        <v>43</v>
      </c>
      <c r="O326" s="1" t="s">
        <v>35</v>
      </c>
      <c r="P326" s="1" t="s">
        <v>1347</v>
      </c>
    </row>
    <row r="327" ht="14.25" customHeight="1">
      <c r="A327" s="1" t="s">
        <v>1348</v>
      </c>
      <c r="B327" s="1" t="s">
        <v>1349</v>
      </c>
      <c r="C327" s="1" t="s">
        <v>18</v>
      </c>
      <c r="D327" s="1">
        <v>58273.0</v>
      </c>
      <c r="E327" s="1" t="s">
        <v>40</v>
      </c>
      <c r="F327" s="1" t="s">
        <v>20</v>
      </c>
      <c r="G327" s="1" t="s">
        <v>55</v>
      </c>
      <c r="H327" s="2">
        <v>3165.0</v>
      </c>
      <c r="I327" s="2">
        <v>7690.0</v>
      </c>
      <c r="J327" s="1">
        <v>1995.0</v>
      </c>
      <c r="K327" s="1">
        <v>2.0</v>
      </c>
      <c r="L327" s="1" t="s">
        <v>62</v>
      </c>
      <c r="M327" s="1" t="s">
        <v>1350</v>
      </c>
      <c r="N327" s="1" t="s">
        <v>48</v>
      </c>
      <c r="O327" s="1" t="s">
        <v>49</v>
      </c>
      <c r="P327" s="1" t="s">
        <v>1351</v>
      </c>
    </row>
    <row r="328" ht="14.25" customHeight="1">
      <c r="A328" s="1" t="s">
        <v>1352</v>
      </c>
      <c r="B328" s="1" t="s">
        <v>1353</v>
      </c>
      <c r="C328" s="1" t="s">
        <v>53</v>
      </c>
      <c r="D328" s="1">
        <v>15134.0</v>
      </c>
      <c r="E328" s="1" t="s">
        <v>77</v>
      </c>
      <c r="F328" s="1" t="s">
        <v>46</v>
      </c>
      <c r="G328" s="1" t="s">
        <v>100</v>
      </c>
      <c r="H328" s="2">
        <v>3031.0</v>
      </c>
      <c r="I328" s="2">
        <v>7696.0</v>
      </c>
      <c r="J328" s="1">
        <v>1982.0</v>
      </c>
      <c r="K328" s="1">
        <v>89.0</v>
      </c>
      <c r="L328" s="1" t="s">
        <v>141</v>
      </c>
      <c r="M328" s="1" t="s">
        <v>1354</v>
      </c>
      <c r="N328" s="1" t="s">
        <v>43</v>
      </c>
      <c r="O328" s="1" t="s">
        <v>35</v>
      </c>
      <c r="P328" s="1" t="s">
        <v>1355</v>
      </c>
    </row>
    <row r="329" ht="14.25" customHeight="1">
      <c r="A329" s="1" t="s">
        <v>1356</v>
      </c>
      <c r="B329" s="1" t="s">
        <v>1357</v>
      </c>
      <c r="C329" s="1" t="s">
        <v>18</v>
      </c>
      <c r="D329" s="1">
        <v>11522.0</v>
      </c>
      <c r="E329" s="1" t="s">
        <v>19</v>
      </c>
      <c r="F329" s="1" t="s">
        <v>20</v>
      </c>
      <c r="G329" s="1" t="s">
        <v>31</v>
      </c>
      <c r="H329" s="2">
        <v>1445.0</v>
      </c>
      <c r="I329" s="2">
        <v>8418.0</v>
      </c>
      <c r="J329" s="1">
        <v>1971.0</v>
      </c>
      <c r="K329" s="1">
        <v>15.0</v>
      </c>
      <c r="L329" s="1" t="s">
        <v>141</v>
      </c>
      <c r="M329" s="1" t="s">
        <v>1358</v>
      </c>
      <c r="N329" s="1" t="s">
        <v>34</v>
      </c>
      <c r="O329" s="1" t="s">
        <v>49</v>
      </c>
      <c r="P329" s="1" t="s">
        <v>1359</v>
      </c>
    </row>
    <row r="330" ht="14.25" customHeight="1">
      <c r="A330" s="1" t="s">
        <v>1360</v>
      </c>
      <c r="B330" s="1" t="s">
        <v>1361</v>
      </c>
      <c r="C330" s="1" t="s">
        <v>18</v>
      </c>
      <c r="D330" s="1">
        <v>58457.0</v>
      </c>
      <c r="E330" s="1" t="s">
        <v>77</v>
      </c>
      <c r="F330" s="1" t="s">
        <v>20</v>
      </c>
      <c r="G330" s="1" t="s">
        <v>31</v>
      </c>
      <c r="H330" s="2">
        <v>3736.0</v>
      </c>
      <c r="I330" s="2">
        <v>4361.0</v>
      </c>
      <c r="J330" s="1">
        <v>2017.0</v>
      </c>
      <c r="K330" s="1">
        <v>27.0</v>
      </c>
      <c r="L330" s="1" t="s">
        <v>22</v>
      </c>
      <c r="M330" s="1" t="s">
        <v>1362</v>
      </c>
      <c r="N330" s="1" t="s">
        <v>64</v>
      </c>
      <c r="O330" s="1" t="s">
        <v>49</v>
      </c>
      <c r="P330" s="1" t="s">
        <v>1363</v>
      </c>
    </row>
    <row r="331" ht="14.25" customHeight="1">
      <c r="A331" s="1" t="s">
        <v>1364</v>
      </c>
      <c r="B331" s="1" t="s">
        <v>1365</v>
      </c>
      <c r="C331" s="1" t="s">
        <v>39</v>
      </c>
      <c r="D331" s="1">
        <v>57822.0</v>
      </c>
      <c r="E331" s="1" t="s">
        <v>40</v>
      </c>
      <c r="F331" s="1" t="s">
        <v>61</v>
      </c>
      <c r="G331" s="1" t="s">
        <v>31</v>
      </c>
      <c r="H331" s="2">
        <v>3242.0</v>
      </c>
      <c r="I331" s="2">
        <v>4500.0</v>
      </c>
      <c r="J331" s="1">
        <v>2021.0</v>
      </c>
      <c r="K331" s="1">
        <v>3.0</v>
      </c>
      <c r="L331" s="1" t="s">
        <v>22</v>
      </c>
      <c r="M331" s="1" t="s">
        <v>1366</v>
      </c>
      <c r="N331" s="1" t="s">
        <v>43</v>
      </c>
      <c r="O331" s="1" t="s">
        <v>25</v>
      </c>
      <c r="P331" s="1" t="s">
        <v>1367</v>
      </c>
    </row>
    <row r="332" ht="14.25" customHeight="1">
      <c r="A332" s="1" t="s">
        <v>1368</v>
      </c>
      <c r="B332" s="1" t="s">
        <v>1369</v>
      </c>
      <c r="C332" s="1" t="s">
        <v>53</v>
      </c>
      <c r="D332" s="1">
        <v>18590.0</v>
      </c>
      <c r="E332" s="1" t="s">
        <v>77</v>
      </c>
      <c r="F332" s="1" t="s">
        <v>94</v>
      </c>
      <c r="G332" s="1" t="s">
        <v>21</v>
      </c>
      <c r="H332" s="2">
        <v>1618.0</v>
      </c>
      <c r="I332" s="2">
        <v>9277.0</v>
      </c>
      <c r="J332" s="1">
        <v>1970.0</v>
      </c>
      <c r="K332" s="1">
        <v>42.0</v>
      </c>
      <c r="L332" s="1" t="s">
        <v>141</v>
      </c>
      <c r="M332" s="1" t="s">
        <v>1370</v>
      </c>
      <c r="N332" s="1" t="s">
        <v>43</v>
      </c>
      <c r="O332" s="1" t="s">
        <v>25</v>
      </c>
      <c r="P332" s="1" t="s">
        <v>1371</v>
      </c>
    </row>
    <row r="333" ht="14.25" customHeight="1">
      <c r="A333" s="1" t="s">
        <v>1372</v>
      </c>
      <c r="B333" s="1" t="s">
        <v>1373</v>
      </c>
      <c r="C333" s="1" t="s">
        <v>53</v>
      </c>
      <c r="D333" s="1">
        <v>32540.0</v>
      </c>
      <c r="E333" s="1" t="s">
        <v>40</v>
      </c>
      <c r="F333" s="1" t="s">
        <v>61</v>
      </c>
      <c r="G333" s="1" t="s">
        <v>21</v>
      </c>
      <c r="H333" s="2">
        <v>2004.0</v>
      </c>
      <c r="I333" s="2">
        <v>5824.0</v>
      </c>
      <c r="J333" s="1">
        <v>1995.0</v>
      </c>
      <c r="K333" s="1">
        <v>42.0</v>
      </c>
      <c r="L333" s="1" t="s">
        <v>141</v>
      </c>
      <c r="M333" s="1" t="s">
        <v>1374</v>
      </c>
      <c r="N333" s="1" t="s">
        <v>64</v>
      </c>
      <c r="O333" s="1" t="s">
        <v>49</v>
      </c>
      <c r="P333" s="1" t="s">
        <v>1375</v>
      </c>
    </row>
    <row r="334" ht="14.25" customHeight="1">
      <c r="A334" s="1" t="s">
        <v>1376</v>
      </c>
      <c r="B334" s="1" t="s">
        <v>1377</v>
      </c>
      <c r="C334" s="1" t="s">
        <v>39</v>
      </c>
      <c r="D334" s="1">
        <v>95061.0</v>
      </c>
      <c r="E334" s="1" t="s">
        <v>60</v>
      </c>
      <c r="F334" s="1" t="s">
        <v>20</v>
      </c>
      <c r="G334" s="1" t="s">
        <v>55</v>
      </c>
      <c r="H334" s="2">
        <v>2255.0</v>
      </c>
      <c r="I334" s="2">
        <v>8405.0</v>
      </c>
      <c r="J334" s="1">
        <v>2006.0</v>
      </c>
      <c r="K334" s="1">
        <v>80.0</v>
      </c>
      <c r="L334" s="1" t="s">
        <v>62</v>
      </c>
      <c r="M334" s="1" t="s">
        <v>1378</v>
      </c>
      <c r="N334" s="1" t="s">
        <v>48</v>
      </c>
      <c r="O334" s="1" t="s">
        <v>35</v>
      </c>
      <c r="P334" s="1" t="s">
        <v>1379</v>
      </c>
    </row>
    <row r="335" ht="14.25" customHeight="1">
      <c r="A335" s="1" t="s">
        <v>1380</v>
      </c>
      <c r="B335" s="1" t="s">
        <v>1381</v>
      </c>
      <c r="C335" s="1" t="s">
        <v>53</v>
      </c>
      <c r="D335" s="1">
        <v>56870.0</v>
      </c>
      <c r="E335" s="1" t="s">
        <v>30</v>
      </c>
      <c r="F335" s="1" t="s">
        <v>46</v>
      </c>
      <c r="G335" s="1" t="s">
        <v>31</v>
      </c>
      <c r="H335" s="2">
        <v>3663.0</v>
      </c>
      <c r="I335" s="2">
        <v>8176.0</v>
      </c>
      <c r="J335" s="1">
        <v>2017.0</v>
      </c>
      <c r="K335" s="1">
        <v>47.0</v>
      </c>
      <c r="L335" s="1" t="s">
        <v>95</v>
      </c>
      <c r="M335" s="1" t="s">
        <v>1382</v>
      </c>
      <c r="N335" s="1" t="s">
        <v>24</v>
      </c>
      <c r="O335" s="1" t="s">
        <v>49</v>
      </c>
      <c r="P335" s="1" t="s">
        <v>1383</v>
      </c>
    </row>
    <row r="336" ht="14.25" customHeight="1">
      <c r="A336" s="1" t="s">
        <v>1384</v>
      </c>
      <c r="B336" s="1" t="s">
        <v>1385</v>
      </c>
      <c r="C336" s="1" t="s">
        <v>53</v>
      </c>
      <c r="D336" s="1">
        <v>70276.0</v>
      </c>
      <c r="E336" s="1" t="s">
        <v>40</v>
      </c>
      <c r="F336" s="1" t="s">
        <v>46</v>
      </c>
      <c r="G336" s="1" t="s">
        <v>31</v>
      </c>
      <c r="H336" s="2">
        <v>769.0</v>
      </c>
      <c r="I336" s="2">
        <v>7909.0</v>
      </c>
      <c r="J336" s="1">
        <v>1974.0</v>
      </c>
      <c r="K336" s="1">
        <v>110.0</v>
      </c>
      <c r="L336" s="1" t="s">
        <v>141</v>
      </c>
      <c r="M336" s="1" t="s">
        <v>1386</v>
      </c>
      <c r="N336" s="1" t="s">
        <v>43</v>
      </c>
      <c r="O336" s="1" t="s">
        <v>25</v>
      </c>
      <c r="P336" s="1" t="s">
        <v>1387</v>
      </c>
    </row>
    <row r="337" ht="14.25" customHeight="1">
      <c r="A337" s="1" t="s">
        <v>1388</v>
      </c>
      <c r="B337" s="1" t="s">
        <v>1389</v>
      </c>
      <c r="C337" s="1" t="s">
        <v>29</v>
      </c>
      <c r="D337" s="1">
        <v>42380.0</v>
      </c>
      <c r="E337" s="1" t="s">
        <v>77</v>
      </c>
      <c r="F337" s="1" t="s">
        <v>20</v>
      </c>
      <c r="G337" s="1" t="s">
        <v>100</v>
      </c>
      <c r="H337" s="2">
        <v>1393.0</v>
      </c>
      <c r="I337" s="2">
        <v>7622.0</v>
      </c>
      <c r="J337" s="1">
        <v>1982.0</v>
      </c>
      <c r="K337" s="1">
        <v>89.0</v>
      </c>
      <c r="L337" s="1" t="s">
        <v>95</v>
      </c>
      <c r="M337" s="1" t="s">
        <v>1390</v>
      </c>
      <c r="N337" s="1" t="s">
        <v>43</v>
      </c>
      <c r="O337" s="1" t="s">
        <v>25</v>
      </c>
      <c r="P337" s="1" t="s">
        <v>1391</v>
      </c>
    </row>
    <row r="338" ht="14.25" customHeight="1">
      <c r="A338" s="1" t="s">
        <v>1392</v>
      </c>
      <c r="B338" s="1" t="s">
        <v>1393</v>
      </c>
      <c r="C338" s="1" t="s">
        <v>39</v>
      </c>
      <c r="D338" s="1">
        <v>40884.0</v>
      </c>
      <c r="E338" s="1" t="s">
        <v>40</v>
      </c>
      <c r="F338" s="1" t="s">
        <v>54</v>
      </c>
      <c r="G338" s="1" t="s">
        <v>55</v>
      </c>
      <c r="H338" s="2">
        <v>2342.0</v>
      </c>
      <c r="I338" s="2">
        <v>2659.0</v>
      </c>
      <c r="J338" s="1">
        <v>2009.0</v>
      </c>
      <c r="K338" s="1">
        <v>74.0</v>
      </c>
      <c r="L338" s="1" t="s">
        <v>32</v>
      </c>
      <c r="M338" s="1" t="s">
        <v>1394</v>
      </c>
      <c r="N338" s="1" t="s">
        <v>24</v>
      </c>
      <c r="O338" s="1" t="s">
        <v>35</v>
      </c>
      <c r="P338" s="1" t="s">
        <v>1395</v>
      </c>
    </row>
    <row r="339" ht="14.25" customHeight="1">
      <c r="A339" s="1" t="s">
        <v>1396</v>
      </c>
      <c r="B339" s="1" t="s">
        <v>1397</v>
      </c>
      <c r="C339" s="1" t="s">
        <v>18</v>
      </c>
      <c r="D339" s="1">
        <v>97622.0</v>
      </c>
      <c r="E339" s="1" t="s">
        <v>60</v>
      </c>
      <c r="F339" s="1" t="s">
        <v>54</v>
      </c>
      <c r="G339" s="1" t="s">
        <v>21</v>
      </c>
      <c r="H339" s="2">
        <v>3826.0</v>
      </c>
      <c r="I339" s="2">
        <v>2310.0</v>
      </c>
      <c r="J339" s="1">
        <v>2016.0</v>
      </c>
      <c r="K339" s="1">
        <v>50.0</v>
      </c>
      <c r="L339" s="1" t="s">
        <v>95</v>
      </c>
      <c r="M339" s="1" t="s">
        <v>1398</v>
      </c>
      <c r="N339" s="1" t="s">
        <v>34</v>
      </c>
      <c r="O339" s="1" t="s">
        <v>25</v>
      </c>
      <c r="P339" s="1" t="s">
        <v>1399</v>
      </c>
    </row>
    <row r="340" ht="14.25" customHeight="1">
      <c r="A340" s="1" t="s">
        <v>1400</v>
      </c>
      <c r="B340" s="1" t="s">
        <v>1401</v>
      </c>
      <c r="C340" s="1" t="s">
        <v>76</v>
      </c>
      <c r="D340" s="1">
        <v>45725.0</v>
      </c>
      <c r="E340" s="1" t="s">
        <v>60</v>
      </c>
      <c r="F340" s="1" t="s">
        <v>41</v>
      </c>
      <c r="G340" s="1" t="s">
        <v>31</v>
      </c>
      <c r="H340" s="2">
        <v>2735.0</v>
      </c>
      <c r="I340" s="2">
        <v>9513.0</v>
      </c>
      <c r="J340" s="1">
        <v>2012.0</v>
      </c>
      <c r="K340" s="1">
        <v>76.0</v>
      </c>
      <c r="L340" s="1" t="s">
        <v>95</v>
      </c>
      <c r="M340" s="1" t="s">
        <v>1402</v>
      </c>
      <c r="N340" s="1" t="s">
        <v>43</v>
      </c>
      <c r="O340" s="1" t="s">
        <v>49</v>
      </c>
      <c r="P340" s="1" t="s">
        <v>1403</v>
      </c>
    </row>
    <row r="341" ht="14.25" customHeight="1">
      <c r="A341" s="1" t="s">
        <v>1404</v>
      </c>
      <c r="B341" s="1" t="s">
        <v>1405</v>
      </c>
      <c r="C341" s="1" t="s">
        <v>18</v>
      </c>
      <c r="D341" s="1">
        <v>18928.0</v>
      </c>
      <c r="E341" s="1" t="s">
        <v>19</v>
      </c>
      <c r="F341" s="1" t="s">
        <v>20</v>
      </c>
      <c r="G341" s="1" t="s">
        <v>100</v>
      </c>
      <c r="H341" s="2">
        <v>1800.0</v>
      </c>
      <c r="I341" s="2">
        <v>2769.0</v>
      </c>
      <c r="J341" s="1">
        <v>1969.0</v>
      </c>
      <c r="K341" s="1">
        <v>117.0</v>
      </c>
      <c r="L341" s="1" t="s">
        <v>141</v>
      </c>
      <c r="M341" s="1" t="s">
        <v>1406</v>
      </c>
      <c r="N341" s="1" t="s">
        <v>34</v>
      </c>
      <c r="O341" s="1" t="s">
        <v>35</v>
      </c>
      <c r="P341" s="1" t="s">
        <v>1407</v>
      </c>
    </row>
    <row r="342" ht="14.25" customHeight="1">
      <c r="A342" s="1" t="s">
        <v>1408</v>
      </c>
      <c r="B342" s="1" t="s">
        <v>1409</v>
      </c>
      <c r="C342" s="1" t="s">
        <v>76</v>
      </c>
      <c r="D342" s="1">
        <v>19441.0</v>
      </c>
      <c r="E342" s="1" t="s">
        <v>77</v>
      </c>
      <c r="F342" s="1" t="s">
        <v>61</v>
      </c>
      <c r="G342" s="1" t="s">
        <v>55</v>
      </c>
      <c r="H342" s="2">
        <v>796.0</v>
      </c>
      <c r="I342" s="2">
        <v>3561.0</v>
      </c>
      <c r="J342" s="1">
        <v>2000.0</v>
      </c>
      <c r="K342" s="1">
        <v>85.0</v>
      </c>
      <c r="L342" s="1" t="s">
        <v>32</v>
      </c>
      <c r="M342" s="1" t="s">
        <v>1410</v>
      </c>
      <c r="N342" s="1" t="s">
        <v>48</v>
      </c>
      <c r="O342" s="1" t="s">
        <v>35</v>
      </c>
      <c r="P342" s="1" t="s">
        <v>1411</v>
      </c>
    </row>
    <row r="343" ht="14.25" customHeight="1">
      <c r="A343" s="1" t="s">
        <v>1412</v>
      </c>
      <c r="B343" s="1" t="s">
        <v>1413</v>
      </c>
      <c r="C343" s="1" t="s">
        <v>18</v>
      </c>
      <c r="D343" s="1">
        <v>93570.0</v>
      </c>
      <c r="E343" s="1" t="s">
        <v>30</v>
      </c>
      <c r="F343" s="1" t="s">
        <v>41</v>
      </c>
      <c r="G343" s="1" t="s">
        <v>31</v>
      </c>
      <c r="H343" s="2">
        <v>2476.0</v>
      </c>
      <c r="I343" s="2">
        <v>7792.0</v>
      </c>
      <c r="J343" s="1">
        <v>1962.0</v>
      </c>
      <c r="K343" s="1">
        <v>116.0</v>
      </c>
      <c r="L343" s="1" t="s">
        <v>22</v>
      </c>
      <c r="M343" s="1" t="s">
        <v>1414</v>
      </c>
      <c r="N343" s="1" t="s">
        <v>64</v>
      </c>
      <c r="O343" s="1" t="s">
        <v>35</v>
      </c>
      <c r="P343" s="1" t="s">
        <v>1415</v>
      </c>
    </row>
    <row r="344" ht="14.25" customHeight="1">
      <c r="A344" s="1" t="s">
        <v>1416</v>
      </c>
      <c r="B344" s="1" t="s">
        <v>1417</v>
      </c>
      <c r="C344" s="1" t="s">
        <v>53</v>
      </c>
      <c r="D344" s="1">
        <v>69765.0</v>
      </c>
      <c r="E344" s="1" t="s">
        <v>19</v>
      </c>
      <c r="F344" s="1" t="s">
        <v>54</v>
      </c>
      <c r="G344" s="1" t="s">
        <v>21</v>
      </c>
      <c r="H344" s="2">
        <v>3745.0</v>
      </c>
      <c r="I344" s="2">
        <v>8006.0</v>
      </c>
      <c r="J344" s="1">
        <v>1959.0</v>
      </c>
      <c r="K344" s="1">
        <v>96.0</v>
      </c>
      <c r="L344" s="1" t="s">
        <v>22</v>
      </c>
      <c r="M344" s="1" t="s">
        <v>1418</v>
      </c>
      <c r="N344" s="1" t="s">
        <v>48</v>
      </c>
      <c r="O344" s="1" t="s">
        <v>25</v>
      </c>
      <c r="P344" s="1" t="s">
        <v>1419</v>
      </c>
    </row>
    <row r="345" ht="14.25" customHeight="1">
      <c r="A345" s="1" t="s">
        <v>1420</v>
      </c>
      <c r="B345" s="1" t="s">
        <v>1421</v>
      </c>
      <c r="C345" s="1" t="s">
        <v>39</v>
      </c>
      <c r="D345" s="1">
        <v>78801.0</v>
      </c>
      <c r="E345" s="1" t="s">
        <v>40</v>
      </c>
      <c r="F345" s="1" t="s">
        <v>46</v>
      </c>
      <c r="G345" s="1" t="s">
        <v>55</v>
      </c>
      <c r="H345" s="2">
        <v>2333.0</v>
      </c>
      <c r="I345" s="2">
        <v>3991.0</v>
      </c>
      <c r="J345" s="1">
        <v>1999.0</v>
      </c>
      <c r="K345" s="1">
        <v>74.0</v>
      </c>
      <c r="L345" s="1" t="s">
        <v>141</v>
      </c>
      <c r="M345" s="1" t="s">
        <v>1422</v>
      </c>
      <c r="N345" s="1" t="s">
        <v>48</v>
      </c>
      <c r="O345" s="1" t="s">
        <v>25</v>
      </c>
      <c r="P345" s="1" t="s">
        <v>1423</v>
      </c>
    </row>
    <row r="346" ht="14.25" customHeight="1">
      <c r="A346" s="1" t="s">
        <v>1424</v>
      </c>
      <c r="B346" s="1" t="s">
        <v>1425</v>
      </c>
      <c r="C346" s="1" t="s">
        <v>76</v>
      </c>
      <c r="D346" s="1">
        <v>51007.0</v>
      </c>
      <c r="E346" s="1" t="s">
        <v>60</v>
      </c>
      <c r="F346" s="1" t="s">
        <v>61</v>
      </c>
      <c r="G346" s="1" t="s">
        <v>100</v>
      </c>
      <c r="H346" s="2">
        <v>3199.0</v>
      </c>
      <c r="I346" s="2">
        <v>1413.0</v>
      </c>
      <c r="J346" s="1">
        <v>2006.0</v>
      </c>
      <c r="K346" s="1">
        <v>77.0</v>
      </c>
      <c r="L346" s="1" t="s">
        <v>32</v>
      </c>
      <c r="M346" s="1" t="s">
        <v>1426</v>
      </c>
      <c r="N346" s="1" t="s">
        <v>24</v>
      </c>
      <c r="O346" s="1" t="s">
        <v>35</v>
      </c>
      <c r="P346" s="1" t="s">
        <v>1427</v>
      </c>
    </row>
    <row r="347" ht="14.25" customHeight="1">
      <c r="A347" s="1" t="s">
        <v>1428</v>
      </c>
      <c r="B347" s="1" t="s">
        <v>1429</v>
      </c>
      <c r="C347" s="1" t="s">
        <v>18</v>
      </c>
      <c r="D347" s="1">
        <v>10238.0</v>
      </c>
      <c r="E347" s="1" t="s">
        <v>19</v>
      </c>
      <c r="F347" s="1" t="s">
        <v>46</v>
      </c>
      <c r="G347" s="1" t="s">
        <v>100</v>
      </c>
      <c r="H347" s="2">
        <v>1548.0</v>
      </c>
      <c r="I347" s="2">
        <v>3141.0</v>
      </c>
      <c r="J347" s="1">
        <v>1984.0</v>
      </c>
      <c r="K347" s="1">
        <v>71.0</v>
      </c>
      <c r="L347" s="1" t="s">
        <v>95</v>
      </c>
      <c r="M347" s="1" t="s">
        <v>1430</v>
      </c>
      <c r="N347" s="1" t="s">
        <v>24</v>
      </c>
      <c r="O347" s="1" t="s">
        <v>25</v>
      </c>
      <c r="P347" s="1" t="s">
        <v>1431</v>
      </c>
    </row>
    <row r="348" ht="14.25" customHeight="1">
      <c r="A348" s="1" t="s">
        <v>1432</v>
      </c>
      <c r="B348" s="1" t="s">
        <v>1433</v>
      </c>
      <c r="C348" s="1" t="s">
        <v>53</v>
      </c>
      <c r="D348" s="1">
        <v>60485.0</v>
      </c>
      <c r="E348" s="1" t="s">
        <v>30</v>
      </c>
      <c r="F348" s="1" t="s">
        <v>20</v>
      </c>
      <c r="G348" s="1" t="s">
        <v>55</v>
      </c>
      <c r="H348" s="2">
        <v>2603.0</v>
      </c>
      <c r="I348" s="2">
        <v>4509.0</v>
      </c>
      <c r="J348" s="1">
        <v>1960.0</v>
      </c>
      <c r="K348" s="1">
        <v>45.0</v>
      </c>
      <c r="L348" s="1" t="s">
        <v>141</v>
      </c>
      <c r="M348" s="1" t="s">
        <v>1434</v>
      </c>
      <c r="N348" s="1" t="s">
        <v>43</v>
      </c>
      <c r="O348" s="1" t="s">
        <v>49</v>
      </c>
      <c r="P348" s="1" t="s">
        <v>1435</v>
      </c>
    </row>
    <row r="349" ht="14.25" customHeight="1">
      <c r="A349" s="1" t="s">
        <v>1436</v>
      </c>
      <c r="B349" s="1" t="s">
        <v>1437</v>
      </c>
      <c r="C349" s="1" t="s">
        <v>18</v>
      </c>
      <c r="D349" s="1">
        <v>76921.0</v>
      </c>
      <c r="E349" s="1" t="s">
        <v>60</v>
      </c>
      <c r="F349" s="1" t="s">
        <v>46</v>
      </c>
      <c r="G349" s="1" t="s">
        <v>31</v>
      </c>
      <c r="H349" s="2">
        <v>602.0</v>
      </c>
      <c r="I349" s="2">
        <v>6137.0</v>
      </c>
      <c r="J349" s="1">
        <v>1994.0</v>
      </c>
      <c r="K349" s="1">
        <v>51.0</v>
      </c>
      <c r="L349" s="1" t="s">
        <v>22</v>
      </c>
      <c r="M349" s="1" t="s">
        <v>1438</v>
      </c>
      <c r="N349" s="1" t="s">
        <v>34</v>
      </c>
      <c r="O349" s="1" t="s">
        <v>35</v>
      </c>
      <c r="P349" s="1" t="s">
        <v>1439</v>
      </c>
    </row>
    <row r="350" ht="14.25" customHeight="1">
      <c r="A350" s="1" t="s">
        <v>1440</v>
      </c>
      <c r="B350" s="1" t="s">
        <v>1441</v>
      </c>
      <c r="C350" s="1" t="s">
        <v>39</v>
      </c>
      <c r="D350" s="1">
        <v>20830.0</v>
      </c>
      <c r="E350" s="1" t="s">
        <v>60</v>
      </c>
      <c r="F350" s="1" t="s">
        <v>46</v>
      </c>
      <c r="G350" s="1" t="s">
        <v>100</v>
      </c>
      <c r="H350" s="2">
        <v>1636.0</v>
      </c>
      <c r="I350" s="2">
        <v>3931.0</v>
      </c>
      <c r="J350" s="1">
        <v>2005.0</v>
      </c>
      <c r="K350" s="1">
        <v>97.0</v>
      </c>
      <c r="L350" s="1" t="s">
        <v>22</v>
      </c>
      <c r="M350" s="1" t="s">
        <v>1442</v>
      </c>
      <c r="N350" s="1" t="s">
        <v>24</v>
      </c>
      <c r="O350" s="1" t="s">
        <v>49</v>
      </c>
      <c r="P350" s="1" t="s">
        <v>1443</v>
      </c>
    </row>
    <row r="351" ht="14.25" customHeight="1">
      <c r="A351" s="1" t="s">
        <v>1444</v>
      </c>
      <c r="B351" s="1" t="s">
        <v>1445</v>
      </c>
      <c r="C351" s="1" t="s">
        <v>39</v>
      </c>
      <c r="D351" s="1">
        <v>75928.0</v>
      </c>
      <c r="E351" s="1" t="s">
        <v>77</v>
      </c>
      <c r="F351" s="1" t="s">
        <v>20</v>
      </c>
      <c r="G351" s="1" t="s">
        <v>21</v>
      </c>
      <c r="H351" s="2">
        <v>2500.0</v>
      </c>
      <c r="I351" s="2">
        <v>4567.0</v>
      </c>
      <c r="J351" s="1">
        <v>1950.0</v>
      </c>
      <c r="K351" s="1">
        <v>94.0</v>
      </c>
      <c r="L351" s="1" t="s">
        <v>32</v>
      </c>
      <c r="M351" s="1" t="s">
        <v>1446</v>
      </c>
      <c r="N351" s="1" t="s">
        <v>34</v>
      </c>
      <c r="O351" s="1" t="s">
        <v>49</v>
      </c>
      <c r="P351" s="1" t="s">
        <v>1447</v>
      </c>
    </row>
    <row r="352" ht="14.25" customHeight="1">
      <c r="A352" s="1" t="s">
        <v>1448</v>
      </c>
      <c r="B352" s="1" t="s">
        <v>1449</v>
      </c>
      <c r="C352" s="1" t="s">
        <v>29</v>
      </c>
      <c r="D352" s="1">
        <v>33153.0</v>
      </c>
      <c r="E352" s="1" t="s">
        <v>77</v>
      </c>
      <c r="F352" s="1" t="s">
        <v>61</v>
      </c>
      <c r="G352" s="1" t="s">
        <v>21</v>
      </c>
      <c r="H352" s="2">
        <v>1918.0</v>
      </c>
      <c r="I352" s="2">
        <v>5955.0</v>
      </c>
      <c r="J352" s="1">
        <v>2023.0</v>
      </c>
      <c r="K352" s="1">
        <v>24.0</v>
      </c>
      <c r="L352" s="1" t="s">
        <v>62</v>
      </c>
      <c r="M352" s="1" t="s">
        <v>1450</v>
      </c>
      <c r="N352" s="1" t="s">
        <v>48</v>
      </c>
      <c r="O352" s="1" t="s">
        <v>35</v>
      </c>
      <c r="P352" s="1" t="s">
        <v>1451</v>
      </c>
    </row>
    <row r="353" ht="14.25" customHeight="1">
      <c r="A353" s="1" t="s">
        <v>1452</v>
      </c>
      <c r="B353" s="1" t="s">
        <v>1453</v>
      </c>
      <c r="C353" s="1" t="s">
        <v>76</v>
      </c>
      <c r="D353" s="1">
        <v>15945.0</v>
      </c>
      <c r="E353" s="1" t="s">
        <v>30</v>
      </c>
      <c r="F353" s="1" t="s">
        <v>61</v>
      </c>
      <c r="G353" s="1" t="s">
        <v>55</v>
      </c>
      <c r="H353" s="2">
        <v>993.0</v>
      </c>
      <c r="I353" s="2">
        <v>6247.0</v>
      </c>
      <c r="J353" s="1">
        <v>2011.0</v>
      </c>
      <c r="K353" s="1">
        <v>8.0</v>
      </c>
      <c r="L353" s="1" t="s">
        <v>32</v>
      </c>
      <c r="M353" s="1" t="s">
        <v>1454</v>
      </c>
      <c r="N353" s="1" t="s">
        <v>34</v>
      </c>
      <c r="O353" s="1" t="s">
        <v>35</v>
      </c>
      <c r="P353" s="1" t="s">
        <v>1455</v>
      </c>
    </row>
    <row r="354" ht="14.25" customHeight="1">
      <c r="A354" s="1" t="s">
        <v>1456</v>
      </c>
      <c r="B354" s="1" t="s">
        <v>1457</v>
      </c>
      <c r="C354" s="1" t="s">
        <v>53</v>
      </c>
      <c r="D354" s="1">
        <v>23082.0</v>
      </c>
      <c r="E354" s="1" t="s">
        <v>60</v>
      </c>
      <c r="F354" s="1" t="s">
        <v>20</v>
      </c>
      <c r="G354" s="1" t="s">
        <v>100</v>
      </c>
      <c r="H354" s="2">
        <v>1999.0</v>
      </c>
      <c r="I354" s="2">
        <v>1148.0</v>
      </c>
      <c r="J354" s="1">
        <v>2006.0</v>
      </c>
      <c r="K354" s="1">
        <v>87.0</v>
      </c>
      <c r="L354" s="1" t="s">
        <v>141</v>
      </c>
      <c r="M354" s="1" t="s">
        <v>1458</v>
      </c>
      <c r="N354" s="1" t="s">
        <v>24</v>
      </c>
      <c r="O354" s="1" t="s">
        <v>25</v>
      </c>
      <c r="P354" s="1" t="s">
        <v>1459</v>
      </c>
    </row>
    <row r="355" ht="14.25" customHeight="1">
      <c r="A355" s="1" t="s">
        <v>1460</v>
      </c>
      <c r="B355" s="1" t="s">
        <v>1461</v>
      </c>
      <c r="C355" s="1" t="s">
        <v>39</v>
      </c>
      <c r="D355" s="1">
        <v>42548.0</v>
      </c>
      <c r="E355" s="1" t="s">
        <v>19</v>
      </c>
      <c r="F355" s="1" t="s">
        <v>46</v>
      </c>
      <c r="G355" s="1" t="s">
        <v>31</v>
      </c>
      <c r="H355" s="2">
        <v>1269.0</v>
      </c>
      <c r="I355" s="2">
        <v>4597.0</v>
      </c>
      <c r="J355" s="1">
        <v>2006.0</v>
      </c>
      <c r="K355" s="1">
        <v>41.0</v>
      </c>
      <c r="L355" s="1" t="s">
        <v>62</v>
      </c>
      <c r="M355" s="1" t="s">
        <v>1462</v>
      </c>
      <c r="N355" s="1" t="s">
        <v>24</v>
      </c>
      <c r="O355" s="1" t="s">
        <v>25</v>
      </c>
      <c r="P355" s="1" t="s">
        <v>1463</v>
      </c>
    </row>
    <row r="356" ht="14.25" customHeight="1">
      <c r="A356" s="1" t="s">
        <v>1464</v>
      </c>
      <c r="B356" s="1" t="s">
        <v>1465</v>
      </c>
      <c r="C356" s="1" t="s">
        <v>18</v>
      </c>
      <c r="D356" s="1">
        <v>44650.0</v>
      </c>
      <c r="E356" s="1" t="s">
        <v>19</v>
      </c>
      <c r="F356" s="1" t="s">
        <v>41</v>
      </c>
      <c r="G356" s="1" t="s">
        <v>100</v>
      </c>
      <c r="H356" s="2">
        <v>1944.0</v>
      </c>
      <c r="I356" s="2">
        <v>1360.0</v>
      </c>
      <c r="J356" s="1">
        <v>1951.0</v>
      </c>
      <c r="K356" s="1">
        <v>51.0</v>
      </c>
      <c r="L356" s="1" t="s">
        <v>62</v>
      </c>
      <c r="M356" s="1" t="s">
        <v>1466</v>
      </c>
      <c r="N356" s="1" t="s">
        <v>24</v>
      </c>
      <c r="O356" s="1" t="s">
        <v>35</v>
      </c>
      <c r="P356" s="1" t="s">
        <v>1467</v>
      </c>
    </row>
    <row r="357" ht="14.25" customHeight="1">
      <c r="A357" s="1" t="s">
        <v>1468</v>
      </c>
      <c r="B357" s="1" t="s">
        <v>1469</v>
      </c>
      <c r="C357" s="1" t="s">
        <v>53</v>
      </c>
      <c r="D357" s="1">
        <v>33826.0</v>
      </c>
      <c r="E357" s="1" t="s">
        <v>60</v>
      </c>
      <c r="F357" s="1" t="s">
        <v>46</v>
      </c>
      <c r="G357" s="1" t="s">
        <v>100</v>
      </c>
      <c r="H357" s="2">
        <v>714.0</v>
      </c>
      <c r="I357" s="2">
        <v>9529.0</v>
      </c>
      <c r="J357" s="1">
        <v>1959.0</v>
      </c>
      <c r="K357" s="1">
        <v>98.0</v>
      </c>
      <c r="L357" s="1" t="s">
        <v>95</v>
      </c>
      <c r="M357" s="1" t="s">
        <v>1470</v>
      </c>
      <c r="N357" s="1" t="s">
        <v>24</v>
      </c>
      <c r="O357" s="1" t="s">
        <v>35</v>
      </c>
      <c r="P357" s="1" t="s">
        <v>1471</v>
      </c>
    </row>
    <row r="358" ht="14.25" customHeight="1">
      <c r="A358" s="1" t="s">
        <v>1472</v>
      </c>
      <c r="B358" s="1" t="s">
        <v>1473</v>
      </c>
      <c r="C358" s="1" t="s">
        <v>39</v>
      </c>
      <c r="D358" s="1">
        <v>14887.0</v>
      </c>
      <c r="E358" s="1" t="s">
        <v>77</v>
      </c>
      <c r="F358" s="1" t="s">
        <v>46</v>
      </c>
      <c r="G358" s="1" t="s">
        <v>31</v>
      </c>
      <c r="H358" s="2">
        <v>1862.0</v>
      </c>
      <c r="I358" s="2">
        <v>7714.0</v>
      </c>
      <c r="J358" s="1">
        <v>2010.0</v>
      </c>
      <c r="K358" s="1">
        <v>65.0</v>
      </c>
      <c r="L358" s="1" t="s">
        <v>95</v>
      </c>
      <c r="M358" s="1" t="s">
        <v>1474</v>
      </c>
      <c r="N358" s="1" t="s">
        <v>43</v>
      </c>
      <c r="O358" s="1" t="s">
        <v>25</v>
      </c>
      <c r="P358" s="1" t="s">
        <v>1475</v>
      </c>
    </row>
    <row r="359" ht="14.25" customHeight="1">
      <c r="A359" s="1" t="s">
        <v>1476</v>
      </c>
      <c r="B359" s="1" t="s">
        <v>1477</v>
      </c>
      <c r="C359" s="1" t="s">
        <v>53</v>
      </c>
      <c r="D359" s="1">
        <v>39118.0</v>
      </c>
      <c r="E359" s="1" t="s">
        <v>30</v>
      </c>
      <c r="F359" s="1" t="s">
        <v>46</v>
      </c>
      <c r="G359" s="1" t="s">
        <v>31</v>
      </c>
      <c r="H359" s="2">
        <v>2560.0</v>
      </c>
      <c r="I359" s="2">
        <v>6991.0</v>
      </c>
      <c r="J359" s="1">
        <v>1963.0</v>
      </c>
      <c r="K359" s="1">
        <v>50.0</v>
      </c>
      <c r="L359" s="1" t="s">
        <v>95</v>
      </c>
      <c r="M359" s="1" t="s">
        <v>1478</v>
      </c>
      <c r="N359" s="1" t="s">
        <v>48</v>
      </c>
      <c r="O359" s="1" t="s">
        <v>35</v>
      </c>
      <c r="P359" s="1" t="s">
        <v>1479</v>
      </c>
    </row>
    <row r="360" ht="14.25" customHeight="1">
      <c r="A360" s="1" t="s">
        <v>1480</v>
      </c>
      <c r="B360" s="1" t="s">
        <v>1481</v>
      </c>
      <c r="C360" s="1" t="s">
        <v>53</v>
      </c>
      <c r="D360" s="1">
        <v>22656.0</v>
      </c>
      <c r="E360" s="1" t="s">
        <v>19</v>
      </c>
      <c r="F360" s="1" t="s">
        <v>61</v>
      </c>
      <c r="G360" s="1" t="s">
        <v>55</v>
      </c>
      <c r="H360" s="2">
        <v>2623.0</v>
      </c>
      <c r="I360" s="2">
        <v>2847.0</v>
      </c>
      <c r="J360" s="1">
        <v>1954.0</v>
      </c>
      <c r="K360" s="1">
        <v>120.0</v>
      </c>
      <c r="L360" s="1" t="s">
        <v>32</v>
      </c>
      <c r="M360" s="1" t="s">
        <v>1482</v>
      </c>
      <c r="N360" s="1" t="s">
        <v>43</v>
      </c>
      <c r="O360" s="1" t="s">
        <v>25</v>
      </c>
      <c r="P360" s="1" t="s">
        <v>1483</v>
      </c>
    </row>
    <row r="361" ht="14.25" customHeight="1">
      <c r="A361" s="1" t="s">
        <v>1484</v>
      </c>
      <c r="B361" s="1" t="s">
        <v>1485</v>
      </c>
      <c r="C361" s="1" t="s">
        <v>39</v>
      </c>
      <c r="D361" s="1">
        <v>93371.0</v>
      </c>
      <c r="E361" s="1" t="s">
        <v>77</v>
      </c>
      <c r="F361" s="1" t="s">
        <v>94</v>
      </c>
      <c r="G361" s="1" t="s">
        <v>100</v>
      </c>
      <c r="H361" s="2">
        <v>3967.0</v>
      </c>
      <c r="I361" s="2">
        <v>1610.0</v>
      </c>
      <c r="J361" s="1">
        <v>1989.0</v>
      </c>
      <c r="K361" s="1">
        <v>38.0</v>
      </c>
      <c r="L361" s="1" t="s">
        <v>32</v>
      </c>
      <c r="M361" s="1" t="s">
        <v>1486</v>
      </c>
      <c r="N361" s="1" t="s">
        <v>24</v>
      </c>
      <c r="O361" s="1" t="s">
        <v>49</v>
      </c>
      <c r="P361" s="1" t="s">
        <v>1487</v>
      </c>
    </row>
    <row r="362" ht="14.25" customHeight="1">
      <c r="A362" s="1" t="s">
        <v>1488</v>
      </c>
      <c r="B362" s="1" t="s">
        <v>1489</v>
      </c>
      <c r="C362" s="1" t="s">
        <v>39</v>
      </c>
      <c r="D362" s="1">
        <v>95473.0</v>
      </c>
      <c r="E362" s="1" t="s">
        <v>60</v>
      </c>
      <c r="F362" s="1" t="s">
        <v>46</v>
      </c>
      <c r="G362" s="1" t="s">
        <v>55</v>
      </c>
      <c r="H362" s="2">
        <v>3601.0</v>
      </c>
      <c r="I362" s="2">
        <v>4874.0</v>
      </c>
      <c r="J362" s="1">
        <v>2022.0</v>
      </c>
      <c r="K362" s="1">
        <v>116.0</v>
      </c>
      <c r="L362" s="1" t="s">
        <v>95</v>
      </c>
      <c r="M362" s="1" t="s">
        <v>1490</v>
      </c>
      <c r="N362" s="1" t="s">
        <v>64</v>
      </c>
      <c r="O362" s="1" t="s">
        <v>35</v>
      </c>
      <c r="P362" s="1" t="s">
        <v>1491</v>
      </c>
    </row>
    <row r="363" ht="14.25" customHeight="1">
      <c r="A363" s="1" t="s">
        <v>1492</v>
      </c>
      <c r="B363" s="1" t="s">
        <v>1493</v>
      </c>
      <c r="C363" s="1" t="s">
        <v>29</v>
      </c>
      <c r="D363" s="1">
        <v>98045.0</v>
      </c>
      <c r="E363" s="1" t="s">
        <v>60</v>
      </c>
      <c r="F363" s="1" t="s">
        <v>54</v>
      </c>
      <c r="G363" s="1" t="s">
        <v>21</v>
      </c>
      <c r="H363" s="2">
        <v>3652.0</v>
      </c>
      <c r="I363" s="2">
        <v>2429.0</v>
      </c>
      <c r="J363" s="1">
        <v>2012.0</v>
      </c>
      <c r="K363" s="1">
        <v>107.0</v>
      </c>
      <c r="L363" s="1" t="s">
        <v>32</v>
      </c>
      <c r="M363" s="1" t="s">
        <v>1494</v>
      </c>
      <c r="N363" s="1" t="s">
        <v>43</v>
      </c>
      <c r="O363" s="1" t="s">
        <v>25</v>
      </c>
      <c r="P363" s="1" t="s">
        <v>1495</v>
      </c>
    </row>
    <row r="364" ht="14.25" customHeight="1">
      <c r="A364" s="1" t="s">
        <v>1496</v>
      </c>
      <c r="B364" s="1" t="s">
        <v>1497</v>
      </c>
      <c r="C364" s="1" t="s">
        <v>39</v>
      </c>
      <c r="D364" s="1">
        <v>11489.0</v>
      </c>
      <c r="E364" s="1" t="s">
        <v>30</v>
      </c>
      <c r="F364" s="1" t="s">
        <v>46</v>
      </c>
      <c r="G364" s="1" t="s">
        <v>55</v>
      </c>
      <c r="H364" s="2">
        <v>1164.0</v>
      </c>
      <c r="I364" s="2">
        <v>7843.0</v>
      </c>
      <c r="J364" s="1">
        <v>1985.0</v>
      </c>
      <c r="K364" s="1">
        <v>14.0</v>
      </c>
      <c r="L364" s="1" t="s">
        <v>95</v>
      </c>
      <c r="M364" s="1" t="s">
        <v>1498</v>
      </c>
      <c r="N364" s="1" t="s">
        <v>43</v>
      </c>
      <c r="O364" s="1" t="s">
        <v>25</v>
      </c>
      <c r="P364" s="1" t="s">
        <v>1499</v>
      </c>
    </row>
    <row r="365" ht="14.25" customHeight="1">
      <c r="A365" s="1" t="s">
        <v>1500</v>
      </c>
      <c r="B365" s="1" t="s">
        <v>1501</v>
      </c>
      <c r="C365" s="1" t="s">
        <v>39</v>
      </c>
      <c r="D365" s="1">
        <v>27970.0</v>
      </c>
      <c r="E365" s="1" t="s">
        <v>30</v>
      </c>
      <c r="F365" s="1" t="s">
        <v>54</v>
      </c>
      <c r="G365" s="1" t="s">
        <v>21</v>
      </c>
      <c r="H365" s="2">
        <v>2311.0</v>
      </c>
      <c r="I365" s="2">
        <v>1758.0</v>
      </c>
      <c r="J365" s="1">
        <v>2002.0</v>
      </c>
      <c r="K365" s="1">
        <v>43.0</v>
      </c>
      <c r="L365" s="1" t="s">
        <v>32</v>
      </c>
      <c r="M365" s="1" t="s">
        <v>1502</v>
      </c>
      <c r="N365" s="1" t="s">
        <v>24</v>
      </c>
      <c r="O365" s="1" t="s">
        <v>35</v>
      </c>
      <c r="P365" s="1" t="s">
        <v>1503</v>
      </c>
    </row>
    <row r="366" ht="14.25" customHeight="1">
      <c r="A366" s="1" t="s">
        <v>1504</v>
      </c>
      <c r="B366" s="1" t="s">
        <v>1505</v>
      </c>
      <c r="C366" s="1" t="s">
        <v>18</v>
      </c>
      <c r="D366" s="1">
        <v>97217.0</v>
      </c>
      <c r="E366" s="1" t="s">
        <v>60</v>
      </c>
      <c r="F366" s="1" t="s">
        <v>54</v>
      </c>
      <c r="G366" s="1" t="s">
        <v>31</v>
      </c>
      <c r="H366" s="2">
        <v>2683.0</v>
      </c>
      <c r="I366" s="2">
        <v>7074.0</v>
      </c>
      <c r="J366" s="1">
        <v>1983.0</v>
      </c>
      <c r="K366" s="1">
        <v>59.0</v>
      </c>
      <c r="L366" s="1" t="s">
        <v>22</v>
      </c>
      <c r="M366" s="1" t="s">
        <v>1506</v>
      </c>
      <c r="N366" s="1" t="s">
        <v>48</v>
      </c>
      <c r="O366" s="1" t="s">
        <v>35</v>
      </c>
      <c r="P366" s="1" t="s">
        <v>1507</v>
      </c>
    </row>
    <row r="367" ht="14.25" customHeight="1">
      <c r="A367" s="1" t="s">
        <v>1508</v>
      </c>
      <c r="B367" s="1" t="s">
        <v>1509</v>
      </c>
      <c r="C367" s="1" t="s">
        <v>39</v>
      </c>
      <c r="D367" s="1">
        <v>89624.0</v>
      </c>
      <c r="E367" s="1" t="s">
        <v>77</v>
      </c>
      <c r="F367" s="1" t="s">
        <v>46</v>
      </c>
      <c r="G367" s="1" t="s">
        <v>31</v>
      </c>
      <c r="H367" s="2">
        <v>1439.0</v>
      </c>
      <c r="I367" s="2">
        <v>4876.0</v>
      </c>
      <c r="J367" s="1">
        <v>1964.0</v>
      </c>
      <c r="K367" s="1">
        <v>119.0</v>
      </c>
      <c r="L367" s="1" t="s">
        <v>32</v>
      </c>
      <c r="M367" s="1" t="s">
        <v>1510</v>
      </c>
      <c r="N367" s="1" t="s">
        <v>48</v>
      </c>
      <c r="O367" s="1" t="s">
        <v>49</v>
      </c>
      <c r="P367" s="1" t="s">
        <v>1511</v>
      </c>
    </row>
    <row r="368" ht="14.25" customHeight="1">
      <c r="A368" s="1" t="s">
        <v>1512</v>
      </c>
      <c r="B368" s="1" t="s">
        <v>1513</v>
      </c>
      <c r="C368" s="1" t="s">
        <v>76</v>
      </c>
      <c r="D368" s="1">
        <v>37518.0</v>
      </c>
      <c r="E368" s="1" t="s">
        <v>19</v>
      </c>
      <c r="F368" s="1" t="s">
        <v>41</v>
      </c>
      <c r="G368" s="1" t="s">
        <v>21</v>
      </c>
      <c r="H368" s="2">
        <v>3041.0</v>
      </c>
      <c r="I368" s="2">
        <v>4101.0</v>
      </c>
      <c r="J368" s="1">
        <v>1998.0</v>
      </c>
      <c r="K368" s="1">
        <v>57.0</v>
      </c>
      <c r="L368" s="1" t="s">
        <v>141</v>
      </c>
      <c r="M368" s="1" t="s">
        <v>1514</v>
      </c>
      <c r="N368" s="1" t="s">
        <v>34</v>
      </c>
      <c r="O368" s="1" t="s">
        <v>35</v>
      </c>
      <c r="P368" s="1" t="s">
        <v>1515</v>
      </c>
    </row>
    <row r="369" ht="14.25" customHeight="1">
      <c r="A369" s="1" t="s">
        <v>1516</v>
      </c>
      <c r="B369" s="1" t="s">
        <v>1517</v>
      </c>
      <c r="C369" s="1" t="s">
        <v>76</v>
      </c>
      <c r="D369" s="1">
        <v>22482.0</v>
      </c>
      <c r="E369" s="1" t="s">
        <v>19</v>
      </c>
      <c r="F369" s="1" t="s">
        <v>41</v>
      </c>
      <c r="G369" s="1" t="s">
        <v>31</v>
      </c>
      <c r="H369" s="2">
        <v>2055.0</v>
      </c>
      <c r="I369" s="2">
        <v>1305.0</v>
      </c>
      <c r="J369" s="1">
        <v>2005.0</v>
      </c>
      <c r="K369" s="1">
        <v>83.0</v>
      </c>
      <c r="L369" s="1" t="s">
        <v>95</v>
      </c>
      <c r="M369" s="1" t="s">
        <v>1518</v>
      </c>
      <c r="N369" s="1" t="s">
        <v>34</v>
      </c>
      <c r="O369" s="1" t="s">
        <v>25</v>
      </c>
      <c r="P369" s="1" t="s">
        <v>1519</v>
      </c>
    </row>
    <row r="370" ht="14.25" customHeight="1">
      <c r="A370" s="1" t="s">
        <v>1520</v>
      </c>
      <c r="B370" s="1" t="s">
        <v>1521</v>
      </c>
      <c r="C370" s="1" t="s">
        <v>53</v>
      </c>
      <c r="D370" s="1">
        <v>96529.0</v>
      </c>
      <c r="E370" s="1" t="s">
        <v>60</v>
      </c>
      <c r="F370" s="1" t="s">
        <v>20</v>
      </c>
      <c r="G370" s="1" t="s">
        <v>100</v>
      </c>
      <c r="H370" s="2">
        <v>2506.0</v>
      </c>
      <c r="I370" s="2">
        <v>9567.0</v>
      </c>
      <c r="J370" s="1">
        <v>1973.0</v>
      </c>
      <c r="K370" s="1">
        <v>104.0</v>
      </c>
      <c r="L370" s="1" t="s">
        <v>95</v>
      </c>
      <c r="M370" s="1" t="s">
        <v>1522</v>
      </c>
      <c r="N370" s="1" t="s">
        <v>43</v>
      </c>
      <c r="O370" s="1" t="s">
        <v>49</v>
      </c>
      <c r="P370" s="1" t="s">
        <v>1523</v>
      </c>
    </row>
    <row r="371" ht="14.25" customHeight="1">
      <c r="A371" s="1" t="s">
        <v>1524</v>
      </c>
      <c r="B371" s="1" t="s">
        <v>1525</v>
      </c>
      <c r="C371" s="1" t="s">
        <v>53</v>
      </c>
      <c r="D371" s="1">
        <v>19798.0</v>
      </c>
      <c r="E371" s="1" t="s">
        <v>40</v>
      </c>
      <c r="F371" s="1" t="s">
        <v>41</v>
      </c>
      <c r="G371" s="1" t="s">
        <v>31</v>
      </c>
      <c r="H371" s="2">
        <v>1743.0</v>
      </c>
      <c r="I371" s="2">
        <v>3182.0</v>
      </c>
      <c r="J371" s="1">
        <v>2008.0</v>
      </c>
      <c r="K371" s="1">
        <v>82.0</v>
      </c>
      <c r="L371" s="1" t="s">
        <v>95</v>
      </c>
      <c r="M371" s="1" t="s">
        <v>1526</v>
      </c>
      <c r="N371" s="1" t="s">
        <v>48</v>
      </c>
      <c r="O371" s="1" t="s">
        <v>25</v>
      </c>
      <c r="P371" s="1" t="s">
        <v>1527</v>
      </c>
    </row>
    <row r="372" ht="14.25" customHeight="1">
      <c r="A372" s="1" t="s">
        <v>1528</v>
      </c>
      <c r="B372" s="1" t="s">
        <v>1529</v>
      </c>
      <c r="C372" s="1" t="s">
        <v>76</v>
      </c>
      <c r="D372" s="1">
        <v>74420.0</v>
      </c>
      <c r="E372" s="1" t="s">
        <v>60</v>
      </c>
      <c r="F372" s="1" t="s">
        <v>46</v>
      </c>
      <c r="G372" s="1" t="s">
        <v>55</v>
      </c>
      <c r="H372" s="2">
        <v>2902.0</v>
      </c>
      <c r="I372" s="2">
        <v>1395.0</v>
      </c>
      <c r="J372" s="1">
        <v>2013.0</v>
      </c>
      <c r="K372" s="1">
        <v>58.0</v>
      </c>
      <c r="L372" s="1" t="s">
        <v>22</v>
      </c>
      <c r="M372" s="1" t="s">
        <v>1530</v>
      </c>
      <c r="N372" s="1" t="s">
        <v>48</v>
      </c>
      <c r="O372" s="1" t="s">
        <v>35</v>
      </c>
      <c r="P372" s="1" t="s">
        <v>1531</v>
      </c>
    </row>
    <row r="373" ht="14.25" customHeight="1">
      <c r="A373" s="1" t="s">
        <v>1532</v>
      </c>
      <c r="B373" s="1" t="s">
        <v>1533</v>
      </c>
      <c r="C373" s="1" t="s">
        <v>53</v>
      </c>
      <c r="D373" s="1">
        <v>40585.0</v>
      </c>
      <c r="E373" s="1" t="s">
        <v>30</v>
      </c>
      <c r="F373" s="1" t="s">
        <v>54</v>
      </c>
      <c r="G373" s="1" t="s">
        <v>21</v>
      </c>
      <c r="H373" s="2">
        <v>953.0</v>
      </c>
      <c r="I373" s="2">
        <v>6404.0</v>
      </c>
      <c r="J373" s="1">
        <v>2000.0</v>
      </c>
      <c r="K373" s="1">
        <v>40.0</v>
      </c>
      <c r="L373" s="1" t="s">
        <v>95</v>
      </c>
      <c r="M373" s="1" t="s">
        <v>1534</v>
      </c>
      <c r="N373" s="1" t="s">
        <v>43</v>
      </c>
      <c r="O373" s="1" t="s">
        <v>25</v>
      </c>
      <c r="P373" s="1" t="s">
        <v>1535</v>
      </c>
    </row>
    <row r="374" ht="14.25" customHeight="1">
      <c r="A374" s="1" t="s">
        <v>1536</v>
      </c>
      <c r="B374" s="1" t="s">
        <v>1537</v>
      </c>
      <c r="C374" s="1" t="s">
        <v>76</v>
      </c>
      <c r="D374" s="1">
        <v>66688.0</v>
      </c>
      <c r="E374" s="1" t="s">
        <v>30</v>
      </c>
      <c r="F374" s="1" t="s">
        <v>54</v>
      </c>
      <c r="G374" s="1" t="s">
        <v>21</v>
      </c>
      <c r="H374" s="2">
        <v>3590.0</v>
      </c>
      <c r="I374" s="2">
        <v>2197.0</v>
      </c>
      <c r="J374" s="1">
        <v>2013.0</v>
      </c>
      <c r="K374" s="1">
        <v>30.0</v>
      </c>
      <c r="L374" s="1" t="s">
        <v>62</v>
      </c>
      <c r="M374" s="1" t="s">
        <v>1538</v>
      </c>
      <c r="N374" s="1" t="s">
        <v>64</v>
      </c>
      <c r="O374" s="1" t="s">
        <v>25</v>
      </c>
      <c r="P374" s="1" t="s">
        <v>1539</v>
      </c>
    </row>
    <row r="375" ht="14.25" customHeight="1">
      <c r="A375" s="1" t="s">
        <v>1540</v>
      </c>
      <c r="B375" s="1" t="s">
        <v>1541</v>
      </c>
      <c r="C375" s="1" t="s">
        <v>18</v>
      </c>
      <c r="D375" s="1">
        <v>82734.0</v>
      </c>
      <c r="E375" s="1" t="s">
        <v>40</v>
      </c>
      <c r="F375" s="1" t="s">
        <v>46</v>
      </c>
      <c r="G375" s="1" t="s">
        <v>100</v>
      </c>
      <c r="H375" s="2">
        <v>3990.0</v>
      </c>
      <c r="I375" s="2">
        <v>3339.0</v>
      </c>
      <c r="J375" s="1">
        <v>2020.0</v>
      </c>
      <c r="K375" s="1">
        <v>14.0</v>
      </c>
      <c r="L375" s="1" t="s">
        <v>32</v>
      </c>
      <c r="M375" s="1" t="s">
        <v>1542</v>
      </c>
      <c r="N375" s="1" t="s">
        <v>64</v>
      </c>
      <c r="O375" s="1" t="s">
        <v>49</v>
      </c>
      <c r="P375" s="1" t="s">
        <v>1543</v>
      </c>
    </row>
    <row r="376" ht="14.25" customHeight="1">
      <c r="A376" s="1" t="s">
        <v>1544</v>
      </c>
      <c r="B376" s="1" t="s">
        <v>1545</v>
      </c>
      <c r="C376" s="1" t="s">
        <v>29</v>
      </c>
      <c r="D376" s="1">
        <v>19237.0</v>
      </c>
      <c r="E376" s="1" t="s">
        <v>30</v>
      </c>
      <c r="F376" s="1" t="s">
        <v>94</v>
      </c>
      <c r="G376" s="1" t="s">
        <v>21</v>
      </c>
      <c r="H376" s="2">
        <v>1641.0</v>
      </c>
      <c r="I376" s="2">
        <v>4515.0</v>
      </c>
      <c r="J376" s="1">
        <v>2020.0</v>
      </c>
      <c r="K376" s="1">
        <v>52.0</v>
      </c>
      <c r="L376" s="1" t="s">
        <v>32</v>
      </c>
      <c r="M376" s="1" t="s">
        <v>1546</v>
      </c>
      <c r="N376" s="1" t="s">
        <v>48</v>
      </c>
      <c r="O376" s="1" t="s">
        <v>25</v>
      </c>
      <c r="P376" s="1" t="s">
        <v>1547</v>
      </c>
    </row>
    <row r="377" ht="14.25" customHeight="1">
      <c r="A377" s="1" t="s">
        <v>1548</v>
      </c>
      <c r="B377" s="1" t="s">
        <v>1549</v>
      </c>
      <c r="C377" s="1" t="s">
        <v>39</v>
      </c>
      <c r="D377" s="1">
        <v>94325.0</v>
      </c>
      <c r="E377" s="1" t="s">
        <v>19</v>
      </c>
      <c r="F377" s="1" t="s">
        <v>46</v>
      </c>
      <c r="G377" s="1" t="s">
        <v>31</v>
      </c>
      <c r="H377" s="2">
        <v>922.0</v>
      </c>
      <c r="I377" s="2">
        <v>8638.0</v>
      </c>
      <c r="J377" s="1">
        <v>2002.0</v>
      </c>
      <c r="K377" s="1">
        <v>115.0</v>
      </c>
      <c r="L377" s="1" t="s">
        <v>141</v>
      </c>
      <c r="M377" s="1" t="s">
        <v>1550</v>
      </c>
      <c r="N377" s="1" t="s">
        <v>24</v>
      </c>
      <c r="O377" s="1" t="s">
        <v>25</v>
      </c>
      <c r="P377" s="1" t="s">
        <v>1551</v>
      </c>
    </row>
    <row r="378" ht="14.25" customHeight="1">
      <c r="A378" s="1" t="s">
        <v>1552</v>
      </c>
      <c r="B378" s="1" t="s">
        <v>1553</v>
      </c>
      <c r="C378" s="1" t="s">
        <v>29</v>
      </c>
      <c r="D378" s="1">
        <v>36357.0</v>
      </c>
      <c r="E378" s="1" t="s">
        <v>19</v>
      </c>
      <c r="F378" s="1" t="s">
        <v>94</v>
      </c>
      <c r="G378" s="1" t="s">
        <v>100</v>
      </c>
      <c r="H378" s="2">
        <v>2318.0</v>
      </c>
      <c r="I378" s="2">
        <v>8727.0</v>
      </c>
      <c r="J378" s="1">
        <v>1977.0</v>
      </c>
      <c r="K378" s="1">
        <v>26.0</v>
      </c>
      <c r="L378" s="1" t="s">
        <v>32</v>
      </c>
      <c r="M378" s="1" t="s">
        <v>1554</v>
      </c>
      <c r="N378" s="1" t="s">
        <v>34</v>
      </c>
      <c r="O378" s="1" t="s">
        <v>35</v>
      </c>
      <c r="P378" s="1" t="s">
        <v>1555</v>
      </c>
    </row>
    <row r="379" ht="14.25" customHeight="1">
      <c r="A379" s="1" t="s">
        <v>1556</v>
      </c>
      <c r="B379" s="1" t="s">
        <v>1557</v>
      </c>
      <c r="C379" s="1" t="s">
        <v>39</v>
      </c>
      <c r="D379" s="1">
        <v>50594.0</v>
      </c>
      <c r="E379" s="1" t="s">
        <v>19</v>
      </c>
      <c r="F379" s="1" t="s">
        <v>20</v>
      </c>
      <c r="G379" s="1" t="s">
        <v>21</v>
      </c>
      <c r="H379" s="2">
        <v>1237.0</v>
      </c>
      <c r="I379" s="2">
        <v>2493.0</v>
      </c>
      <c r="J379" s="1">
        <v>1995.0</v>
      </c>
      <c r="K379" s="1">
        <v>17.0</v>
      </c>
      <c r="L379" s="1" t="s">
        <v>141</v>
      </c>
      <c r="M379" s="1" t="s">
        <v>1558</v>
      </c>
      <c r="N379" s="1" t="s">
        <v>43</v>
      </c>
      <c r="O379" s="1" t="s">
        <v>25</v>
      </c>
      <c r="P379" s="1" t="s">
        <v>1559</v>
      </c>
    </row>
    <row r="380" ht="14.25" customHeight="1">
      <c r="A380" s="1" t="s">
        <v>1560</v>
      </c>
      <c r="B380" s="1" t="s">
        <v>1561</v>
      </c>
      <c r="C380" s="1" t="s">
        <v>29</v>
      </c>
      <c r="D380" s="1">
        <v>31004.0</v>
      </c>
      <c r="E380" s="1" t="s">
        <v>60</v>
      </c>
      <c r="F380" s="1" t="s">
        <v>46</v>
      </c>
      <c r="G380" s="1" t="s">
        <v>21</v>
      </c>
      <c r="H380" s="2">
        <v>2514.0</v>
      </c>
      <c r="I380" s="2">
        <v>8687.0</v>
      </c>
      <c r="J380" s="1">
        <v>2000.0</v>
      </c>
      <c r="K380" s="1">
        <v>118.0</v>
      </c>
      <c r="L380" s="1" t="s">
        <v>32</v>
      </c>
      <c r="M380" s="1" t="s">
        <v>1562</v>
      </c>
      <c r="N380" s="1" t="s">
        <v>64</v>
      </c>
      <c r="O380" s="1" t="s">
        <v>25</v>
      </c>
      <c r="P380" s="1" t="s">
        <v>1563</v>
      </c>
    </row>
    <row r="381" ht="14.25" customHeight="1">
      <c r="A381" s="1" t="s">
        <v>1564</v>
      </c>
      <c r="B381" s="1" t="s">
        <v>1565</v>
      </c>
      <c r="C381" s="1" t="s">
        <v>53</v>
      </c>
      <c r="D381" s="1">
        <v>87661.0</v>
      </c>
      <c r="E381" s="1" t="s">
        <v>30</v>
      </c>
      <c r="F381" s="1" t="s">
        <v>41</v>
      </c>
      <c r="G381" s="1" t="s">
        <v>21</v>
      </c>
      <c r="H381" s="2">
        <v>2895.0</v>
      </c>
      <c r="I381" s="2">
        <v>6814.0</v>
      </c>
      <c r="J381" s="1">
        <v>1975.0</v>
      </c>
      <c r="K381" s="1">
        <v>111.0</v>
      </c>
      <c r="L381" s="1" t="s">
        <v>32</v>
      </c>
      <c r="M381" s="1" t="s">
        <v>1566</v>
      </c>
      <c r="N381" s="1" t="s">
        <v>43</v>
      </c>
      <c r="O381" s="1" t="s">
        <v>35</v>
      </c>
      <c r="P381" s="1" t="s">
        <v>1567</v>
      </c>
    </row>
    <row r="382" ht="14.25" customHeight="1">
      <c r="A382" s="1" t="s">
        <v>1568</v>
      </c>
      <c r="B382" s="1" t="s">
        <v>1569</v>
      </c>
      <c r="C382" s="1" t="s">
        <v>39</v>
      </c>
      <c r="D382" s="1">
        <v>34902.0</v>
      </c>
      <c r="E382" s="1" t="s">
        <v>19</v>
      </c>
      <c r="F382" s="1" t="s">
        <v>94</v>
      </c>
      <c r="G382" s="1" t="s">
        <v>55</v>
      </c>
      <c r="H382" s="2">
        <v>2050.0</v>
      </c>
      <c r="I382" s="2">
        <v>2341.0</v>
      </c>
      <c r="J382" s="1">
        <v>2004.0</v>
      </c>
      <c r="K382" s="1">
        <v>104.0</v>
      </c>
      <c r="L382" s="1" t="s">
        <v>22</v>
      </c>
      <c r="M382" s="1" t="s">
        <v>1570</v>
      </c>
      <c r="N382" s="1" t="s">
        <v>48</v>
      </c>
      <c r="O382" s="1" t="s">
        <v>35</v>
      </c>
      <c r="P382" s="1" t="s">
        <v>1571</v>
      </c>
    </row>
    <row r="383" ht="14.25" customHeight="1">
      <c r="A383" s="1" t="s">
        <v>1572</v>
      </c>
      <c r="B383" s="1" t="s">
        <v>1573</v>
      </c>
      <c r="C383" s="1" t="s">
        <v>39</v>
      </c>
      <c r="D383" s="1">
        <v>80939.0</v>
      </c>
      <c r="E383" s="1" t="s">
        <v>19</v>
      </c>
      <c r="F383" s="1" t="s">
        <v>61</v>
      </c>
      <c r="G383" s="1" t="s">
        <v>100</v>
      </c>
      <c r="H383" s="2">
        <v>1548.0</v>
      </c>
      <c r="I383" s="2">
        <v>2494.0</v>
      </c>
      <c r="J383" s="1">
        <v>2010.0</v>
      </c>
      <c r="K383" s="1">
        <v>63.0</v>
      </c>
      <c r="L383" s="1" t="s">
        <v>95</v>
      </c>
      <c r="M383" s="1" t="s">
        <v>1574</v>
      </c>
      <c r="N383" s="1" t="s">
        <v>48</v>
      </c>
      <c r="O383" s="1" t="s">
        <v>25</v>
      </c>
      <c r="P383" s="1" t="s">
        <v>1575</v>
      </c>
    </row>
    <row r="384" ht="14.25" customHeight="1">
      <c r="A384" s="1" t="s">
        <v>1576</v>
      </c>
      <c r="B384" s="1" t="s">
        <v>1577</v>
      </c>
      <c r="C384" s="1" t="s">
        <v>53</v>
      </c>
      <c r="D384" s="1">
        <v>76331.0</v>
      </c>
      <c r="E384" s="1" t="s">
        <v>19</v>
      </c>
      <c r="F384" s="1" t="s">
        <v>61</v>
      </c>
      <c r="G384" s="1" t="s">
        <v>100</v>
      </c>
      <c r="H384" s="2">
        <v>2707.0</v>
      </c>
      <c r="I384" s="2">
        <v>9964.0</v>
      </c>
      <c r="J384" s="1">
        <v>1953.0</v>
      </c>
      <c r="K384" s="1">
        <v>85.0</v>
      </c>
      <c r="L384" s="1" t="s">
        <v>141</v>
      </c>
      <c r="M384" s="1" t="s">
        <v>1578</v>
      </c>
      <c r="N384" s="1" t="s">
        <v>34</v>
      </c>
      <c r="O384" s="1" t="s">
        <v>49</v>
      </c>
      <c r="P384" s="1" t="s">
        <v>1579</v>
      </c>
    </row>
    <row r="385" ht="14.25" customHeight="1">
      <c r="A385" s="1" t="s">
        <v>1580</v>
      </c>
      <c r="B385" s="1" t="s">
        <v>1581</v>
      </c>
      <c r="C385" s="1" t="s">
        <v>18</v>
      </c>
      <c r="D385" s="1">
        <v>85196.0</v>
      </c>
      <c r="E385" s="1" t="s">
        <v>30</v>
      </c>
      <c r="F385" s="1" t="s">
        <v>46</v>
      </c>
      <c r="G385" s="1" t="s">
        <v>55</v>
      </c>
      <c r="H385" s="2">
        <v>3053.0</v>
      </c>
      <c r="I385" s="2">
        <v>3780.0</v>
      </c>
      <c r="J385" s="1">
        <v>1989.0</v>
      </c>
      <c r="K385" s="1">
        <v>40.0</v>
      </c>
      <c r="L385" s="1" t="s">
        <v>62</v>
      </c>
      <c r="M385" s="1" t="s">
        <v>1582</v>
      </c>
      <c r="N385" s="1" t="s">
        <v>64</v>
      </c>
      <c r="O385" s="1" t="s">
        <v>49</v>
      </c>
      <c r="P385" s="1" t="s">
        <v>1583</v>
      </c>
    </row>
    <row r="386" ht="14.25" customHeight="1">
      <c r="A386" s="1" t="s">
        <v>1584</v>
      </c>
      <c r="B386" s="1" t="s">
        <v>1585</v>
      </c>
      <c r="C386" s="1" t="s">
        <v>29</v>
      </c>
      <c r="D386" s="1">
        <v>22458.0</v>
      </c>
      <c r="E386" s="1" t="s">
        <v>30</v>
      </c>
      <c r="F386" s="1" t="s">
        <v>20</v>
      </c>
      <c r="G386" s="1" t="s">
        <v>21</v>
      </c>
      <c r="H386" s="2">
        <v>2164.0</v>
      </c>
      <c r="I386" s="2">
        <v>9409.0</v>
      </c>
      <c r="J386" s="1">
        <v>1956.0</v>
      </c>
      <c r="K386" s="1">
        <v>44.0</v>
      </c>
      <c r="L386" s="1" t="s">
        <v>95</v>
      </c>
      <c r="M386" s="1" t="s">
        <v>1586</v>
      </c>
      <c r="N386" s="1" t="s">
        <v>34</v>
      </c>
      <c r="O386" s="1" t="s">
        <v>35</v>
      </c>
      <c r="P386" s="1" t="s">
        <v>1587</v>
      </c>
    </row>
    <row r="387" ht="14.25" customHeight="1">
      <c r="A387" s="1" t="s">
        <v>1588</v>
      </c>
      <c r="B387" s="1" t="s">
        <v>1589</v>
      </c>
      <c r="C387" s="1" t="s">
        <v>18</v>
      </c>
      <c r="D387" s="1">
        <v>55545.0</v>
      </c>
      <c r="E387" s="1" t="s">
        <v>19</v>
      </c>
      <c r="F387" s="1" t="s">
        <v>94</v>
      </c>
      <c r="G387" s="1" t="s">
        <v>100</v>
      </c>
      <c r="H387" s="2">
        <v>758.0</v>
      </c>
      <c r="I387" s="2">
        <v>1634.0</v>
      </c>
      <c r="J387" s="1">
        <v>1997.0</v>
      </c>
      <c r="K387" s="1">
        <v>43.0</v>
      </c>
      <c r="L387" s="1" t="s">
        <v>32</v>
      </c>
      <c r="M387" s="1" t="s">
        <v>1590</v>
      </c>
      <c r="N387" s="1" t="s">
        <v>48</v>
      </c>
      <c r="O387" s="1" t="s">
        <v>35</v>
      </c>
      <c r="P387" s="1" t="s">
        <v>1591</v>
      </c>
    </row>
    <row r="388" ht="14.25" customHeight="1">
      <c r="A388" s="1" t="s">
        <v>1592</v>
      </c>
      <c r="B388" s="1" t="s">
        <v>1593</v>
      </c>
      <c r="C388" s="1" t="s">
        <v>53</v>
      </c>
      <c r="D388" s="1">
        <v>35979.0</v>
      </c>
      <c r="E388" s="1" t="s">
        <v>40</v>
      </c>
      <c r="F388" s="1" t="s">
        <v>41</v>
      </c>
      <c r="G388" s="1" t="s">
        <v>100</v>
      </c>
      <c r="H388" s="2">
        <v>2770.0</v>
      </c>
      <c r="I388" s="2">
        <v>5520.0</v>
      </c>
      <c r="J388" s="1">
        <v>1966.0</v>
      </c>
      <c r="K388" s="1">
        <v>27.0</v>
      </c>
      <c r="L388" s="1" t="s">
        <v>32</v>
      </c>
      <c r="M388" s="1" t="s">
        <v>1594</v>
      </c>
      <c r="N388" s="1" t="s">
        <v>48</v>
      </c>
      <c r="O388" s="1" t="s">
        <v>25</v>
      </c>
      <c r="P388" s="1" t="s">
        <v>1595</v>
      </c>
    </row>
    <row r="389" ht="14.25" customHeight="1">
      <c r="A389" s="1" t="s">
        <v>1596</v>
      </c>
      <c r="B389" s="1" t="s">
        <v>1597</v>
      </c>
      <c r="C389" s="1" t="s">
        <v>29</v>
      </c>
      <c r="D389" s="1">
        <v>91504.0</v>
      </c>
      <c r="E389" s="1" t="s">
        <v>40</v>
      </c>
      <c r="F389" s="1" t="s">
        <v>54</v>
      </c>
      <c r="G389" s="1" t="s">
        <v>21</v>
      </c>
      <c r="H389" s="2">
        <v>2213.0</v>
      </c>
      <c r="I389" s="2">
        <v>4506.0</v>
      </c>
      <c r="J389" s="1">
        <v>1964.0</v>
      </c>
      <c r="K389" s="1">
        <v>32.0</v>
      </c>
      <c r="L389" s="1" t="s">
        <v>95</v>
      </c>
      <c r="M389" s="1" t="s">
        <v>1598</v>
      </c>
      <c r="N389" s="1" t="s">
        <v>34</v>
      </c>
      <c r="O389" s="1" t="s">
        <v>49</v>
      </c>
      <c r="P389" s="1" t="s">
        <v>1599</v>
      </c>
    </row>
    <row r="390" ht="14.25" customHeight="1">
      <c r="A390" s="1" t="s">
        <v>1600</v>
      </c>
      <c r="B390" s="1" t="s">
        <v>1601</v>
      </c>
      <c r="C390" s="1" t="s">
        <v>39</v>
      </c>
      <c r="D390" s="1">
        <v>39898.0</v>
      </c>
      <c r="E390" s="1" t="s">
        <v>40</v>
      </c>
      <c r="F390" s="1" t="s">
        <v>54</v>
      </c>
      <c r="G390" s="1" t="s">
        <v>21</v>
      </c>
      <c r="H390" s="2">
        <v>815.0</v>
      </c>
      <c r="I390" s="2">
        <v>7485.0</v>
      </c>
      <c r="J390" s="1">
        <v>1988.0</v>
      </c>
      <c r="K390" s="1">
        <v>93.0</v>
      </c>
      <c r="L390" s="1" t="s">
        <v>22</v>
      </c>
      <c r="M390" s="1" t="s">
        <v>1602</v>
      </c>
      <c r="N390" s="1" t="s">
        <v>24</v>
      </c>
      <c r="O390" s="1" t="s">
        <v>49</v>
      </c>
      <c r="P390" s="1" t="s">
        <v>1603</v>
      </c>
    </row>
    <row r="391" ht="14.25" customHeight="1">
      <c r="A391" s="1" t="s">
        <v>1604</v>
      </c>
      <c r="B391" s="1" t="s">
        <v>1605</v>
      </c>
      <c r="C391" s="1" t="s">
        <v>29</v>
      </c>
      <c r="D391" s="1">
        <v>57838.0</v>
      </c>
      <c r="E391" s="1" t="s">
        <v>60</v>
      </c>
      <c r="F391" s="1" t="s">
        <v>46</v>
      </c>
      <c r="G391" s="1" t="s">
        <v>21</v>
      </c>
      <c r="H391" s="2">
        <v>1487.0</v>
      </c>
      <c r="I391" s="2">
        <v>9438.0</v>
      </c>
      <c r="J391" s="1">
        <v>2023.0</v>
      </c>
      <c r="K391" s="1">
        <v>5.0</v>
      </c>
      <c r="L391" s="1" t="s">
        <v>22</v>
      </c>
      <c r="M391" s="1" t="s">
        <v>1606</v>
      </c>
      <c r="N391" s="1" t="s">
        <v>48</v>
      </c>
      <c r="O391" s="1" t="s">
        <v>49</v>
      </c>
      <c r="P391" s="1" t="s">
        <v>1607</v>
      </c>
    </row>
    <row r="392" ht="14.25" customHeight="1">
      <c r="A392" s="1" t="s">
        <v>1608</v>
      </c>
      <c r="B392" s="1" t="s">
        <v>1609</v>
      </c>
      <c r="C392" s="1" t="s">
        <v>53</v>
      </c>
      <c r="D392" s="1">
        <v>55207.0</v>
      </c>
      <c r="E392" s="1" t="s">
        <v>19</v>
      </c>
      <c r="F392" s="1" t="s">
        <v>61</v>
      </c>
      <c r="G392" s="1" t="s">
        <v>100</v>
      </c>
      <c r="H392" s="2">
        <v>1534.0</v>
      </c>
      <c r="I392" s="2">
        <v>6020.0</v>
      </c>
      <c r="J392" s="1">
        <v>1971.0</v>
      </c>
      <c r="K392" s="1">
        <v>63.0</v>
      </c>
      <c r="L392" s="1" t="s">
        <v>95</v>
      </c>
      <c r="M392" s="1" t="s">
        <v>1610</v>
      </c>
      <c r="N392" s="1" t="s">
        <v>34</v>
      </c>
      <c r="O392" s="1" t="s">
        <v>49</v>
      </c>
      <c r="P392" s="1" t="s">
        <v>1611</v>
      </c>
    </row>
    <row r="393" ht="14.25" customHeight="1">
      <c r="A393" s="1" t="s">
        <v>1612</v>
      </c>
      <c r="B393" s="1" t="s">
        <v>1613</v>
      </c>
      <c r="C393" s="1" t="s">
        <v>29</v>
      </c>
      <c r="D393" s="1">
        <v>76431.0</v>
      </c>
      <c r="E393" s="1" t="s">
        <v>30</v>
      </c>
      <c r="F393" s="1" t="s">
        <v>94</v>
      </c>
      <c r="G393" s="1" t="s">
        <v>31</v>
      </c>
      <c r="H393" s="2">
        <v>2135.0</v>
      </c>
      <c r="I393" s="2">
        <v>7168.0</v>
      </c>
      <c r="J393" s="1">
        <v>1981.0</v>
      </c>
      <c r="K393" s="1">
        <v>119.0</v>
      </c>
      <c r="L393" s="1" t="s">
        <v>22</v>
      </c>
      <c r="M393" s="1" t="s">
        <v>1614</v>
      </c>
      <c r="N393" s="1" t="s">
        <v>34</v>
      </c>
      <c r="O393" s="1" t="s">
        <v>35</v>
      </c>
      <c r="P393" s="1" t="s">
        <v>1615</v>
      </c>
    </row>
    <row r="394" ht="14.25" customHeight="1">
      <c r="A394" s="1" t="s">
        <v>1616</v>
      </c>
      <c r="B394" s="1" t="s">
        <v>1617</v>
      </c>
      <c r="C394" s="1" t="s">
        <v>76</v>
      </c>
      <c r="D394" s="1">
        <v>47035.0</v>
      </c>
      <c r="E394" s="1" t="s">
        <v>40</v>
      </c>
      <c r="F394" s="1" t="s">
        <v>54</v>
      </c>
      <c r="G394" s="1" t="s">
        <v>31</v>
      </c>
      <c r="H394" s="2">
        <v>3940.0</v>
      </c>
      <c r="I394" s="2">
        <v>9098.0</v>
      </c>
      <c r="J394" s="1">
        <v>1986.0</v>
      </c>
      <c r="K394" s="1">
        <v>9.0</v>
      </c>
      <c r="L394" s="1" t="s">
        <v>22</v>
      </c>
      <c r="M394" s="1" t="s">
        <v>1618</v>
      </c>
      <c r="N394" s="1" t="s">
        <v>64</v>
      </c>
      <c r="O394" s="1" t="s">
        <v>25</v>
      </c>
      <c r="P394" s="1" t="s">
        <v>1619</v>
      </c>
    </row>
    <row r="395" ht="14.25" customHeight="1">
      <c r="A395" s="1" t="s">
        <v>1620</v>
      </c>
      <c r="B395" s="1" t="s">
        <v>1621</v>
      </c>
      <c r="C395" s="1" t="s">
        <v>39</v>
      </c>
      <c r="D395" s="1">
        <v>80455.0</v>
      </c>
      <c r="E395" s="1" t="s">
        <v>19</v>
      </c>
      <c r="F395" s="1" t="s">
        <v>46</v>
      </c>
      <c r="G395" s="1" t="s">
        <v>21</v>
      </c>
      <c r="H395" s="2">
        <v>3313.0</v>
      </c>
      <c r="I395" s="2">
        <v>9610.0</v>
      </c>
      <c r="J395" s="1">
        <v>2005.0</v>
      </c>
      <c r="K395" s="1">
        <v>49.0</v>
      </c>
      <c r="L395" s="1" t="s">
        <v>95</v>
      </c>
      <c r="M395" s="1" t="s">
        <v>1622</v>
      </c>
      <c r="N395" s="1" t="s">
        <v>43</v>
      </c>
      <c r="O395" s="1" t="s">
        <v>35</v>
      </c>
      <c r="P395" s="1" t="s">
        <v>1623</v>
      </c>
    </row>
    <row r="396" ht="14.25" customHeight="1">
      <c r="A396" s="1" t="s">
        <v>1624</v>
      </c>
      <c r="B396" s="1" t="s">
        <v>1625</v>
      </c>
      <c r="C396" s="1" t="s">
        <v>53</v>
      </c>
      <c r="D396" s="1">
        <v>66368.0</v>
      </c>
      <c r="E396" s="1" t="s">
        <v>77</v>
      </c>
      <c r="F396" s="1" t="s">
        <v>61</v>
      </c>
      <c r="G396" s="1" t="s">
        <v>55</v>
      </c>
      <c r="H396" s="2">
        <v>2128.0</v>
      </c>
      <c r="I396" s="2">
        <v>3292.0</v>
      </c>
      <c r="J396" s="1">
        <v>1994.0</v>
      </c>
      <c r="K396" s="1">
        <v>79.0</v>
      </c>
      <c r="L396" s="1" t="s">
        <v>22</v>
      </c>
      <c r="M396" s="1" t="s">
        <v>1626</v>
      </c>
      <c r="N396" s="1" t="s">
        <v>34</v>
      </c>
      <c r="O396" s="1" t="s">
        <v>49</v>
      </c>
      <c r="P396" s="1" t="s">
        <v>1627</v>
      </c>
    </row>
    <row r="397" ht="14.25" customHeight="1">
      <c r="A397" s="1" t="s">
        <v>1628</v>
      </c>
      <c r="B397" s="1" t="s">
        <v>1629</v>
      </c>
      <c r="C397" s="1" t="s">
        <v>76</v>
      </c>
      <c r="D397" s="1">
        <v>36428.0</v>
      </c>
      <c r="E397" s="1" t="s">
        <v>60</v>
      </c>
      <c r="F397" s="1" t="s">
        <v>20</v>
      </c>
      <c r="G397" s="1" t="s">
        <v>100</v>
      </c>
      <c r="H397" s="2">
        <v>1659.0</v>
      </c>
      <c r="I397" s="2">
        <v>9996.0</v>
      </c>
      <c r="J397" s="1">
        <v>1988.0</v>
      </c>
      <c r="K397" s="1">
        <v>25.0</v>
      </c>
      <c r="L397" s="1" t="s">
        <v>62</v>
      </c>
      <c r="M397" s="1" t="s">
        <v>1630</v>
      </c>
      <c r="N397" s="1" t="s">
        <v>24</v>
      </c>
      <c r="O397" s="1" t="s">
        <v>25</v>
      </c>
      <c r="P397" s="1" t="s">
        <v>1631</v>
      </c>
    </row>
    <row r="398" ht="14.25" customHeight="1">
      <c r="A398" s="1" t="s">
        <v>1632</v>
      </c>
      <c r="B398" s="1" t="s">
        <v>1633</v>
      </c>
      <c r="C398" s="1" t="s">
        <v>18</v>
      </c>
      <c r="D398" s="1">
        <v>40382.0</v>
      </c>
      <c r="E398" s="1" t="s">
        <v>60</v>
      </c>
      <c r="F398" s="1" t="s">
        <v>61</v>
      </c>
      <c r="G398" s="1" t="s">
        <v>21</v>
      </c>
      <c r="H398" s="2">
        <v>2036.0</v>
      </c>
      <c r="I398" s="2">
        <v>8558.0</v>
      </c>
      <c r="J398" s="1">
        <v>2022.0</v>
      </c>
      <c r="K398" s="1">
        <v>114.0</v>
      </c>
      <c r="L398" s="1" t="s">
        <v>62</v>
      </c>
      <c r="M398" s="1" t="s">
        <v>1634</v>
      </c>
      <c r="N398" s="1" t="s">
        <v>64</v>
      </c>
      <c r="O398" s="1" t="s">
        <v>35</v>
      </c>
      <c r="P398" s="1" t="s">
        <v>1635</v>
      </c>
    </row>
    <row r="399" ht="14.25" customHeight="1">
      <c r="A399" s="1" t="s">
        <v>1636</v>
      </c>
      <c r="B399" s="1" t="s">
        <v>1637</v>
      </c>
      <c r="C399" s="1" t="s">
        <v>29</v>
      </c>
      <c r="D399" s="1">
        <v>51917.0</v>
      </c>
      <c r="E399" s="1" t="s">
        <v>60</v>
      </c>
      <c r="F399" s="1" t="s">
        <v>46</v>
      </c>
      <c r="G399" s="1" t="s">
        <v>100</v>
      </c>
      <c r="H399" s="2">
        <v>2901.0</v>
      </c>
      <c r="I399" s="2">
        <v>4820.0</v>
      </c>
      <c r="J399" s="1">
        <v>1973.0</v>
      </c>
      <c r="K399" s="1">
        <v>53.0</v>
      </c>
      <c r="L399" s="1" t="s">
        <v>22</v>
      </c>
      <c r="M399" s="1" t="s">
        <v>1638</v>
      </c>
      <c r="N399" s="1" t="s">
        <v>48</v>
      </c>
      <c r="O399" s="1" t="s">
        <v>25</v>
      </c>
      <c r="P399" s="1" t="s">
        <v>1639</v>
      </c>
    </row>
    <row r="400" ht="14.25" customHeight="1">
      <c r="A400" s="1" t="s">
        <v>1640</v>
      </c>
      <c r="B400" s="1" t="s">
        <v>1641</v>
      </c>
      <c r="C400" s="1" t="s">
        <v>29</v>
      </c>
      <c r="D400" s="1">
        <v>94337.0</v>
      </c>
      <c r="E400" s="1" t="s">
        <v>19</v>
      </c>
      <c r="F400" s="1" t="s">
        <v>20</v>
      </c>
      <c r="G400" s="1" t="s">
        <v>100</v>
      </c>
      <c r="H400" s="2">
        <v>1977.0</v>
      </c>
      <c r="I400" s="2">
        <v>3530.0</v>
      </c>
      <c r="J400" s="1">
        <v>2002.0</v>
      </c>
      <c r="K400" s="1">
        <v>9.0</v>
      </c>
      <c r="L400" s="1" t="s">
        <v>32</v>
      </c>
      <c r="M400" s="1" t="s">
        <v>1642</v>
      </c>
      <c r="N400" s="1" t="s">
        <v>43</v>
      </c>
      <c r="O400" s="1" t="s">
        <v>25</v>
      </c>
      <c r="P400" s="1" t="s">
        <v>1643</v>
      </c>
    </row>
    <row r="401" ht="14.25" customHeight="1">
      <c r="A401" s="1" t="s">
        <v>1644</v>
      </c>
      <c r="B401" s="1" t="s">
        <v>1645</v>
      </c>
      <c r="C401" s="1" t="s">
        <v>29</v>
      </c>
      <c r="D401" s="1">
        <v>98894.0</v>
      </c>
      <c r="E401" s="1" t="s">
        <v>40</v>
      </c>
      <c r="F401" s="1" t="s">
        <v>41</v>
      </c>
      <c r="G401" s="1" t="s">
        <v>21</v>
      </c>
      <c r="H401" s="2">
        <v>1657.0</v>
      </c>
      <c r="I401" s="2">
        <v>5619.0</v>
      </c>
      <c r="J401" s="1">
        <v>1979.0</v>
      </c>
      <c r="K401" s="1">
        <v>5.0</v>
      </c>
      <c r="L401" s="1" t="s">
        <v>95</v>
      </c>
      <c r="M401" s="1" t="s">
        <v>1646</v>
      </c>
      <c r="N401" s="1" t="s">
        <v>64</v>
      </c>
      <c r="O401" s="1" t="s">
        <v>25</v>
      </c>
      <c r="P401" s="1" t="s">
        <v>1647</v>
      </c>
    </row>
    <row r="402" ht="14.25" customHeight="1">
      <c r="A402" s="1" t="s">
        <v>1648</v>
      </c>
      <c r="B402" s="1" t="s">
        <v>1649</v>
      </c>
      <c r="C402" s="1" t="s">
        <v>76</v>
      </c>
      <c r="D402" s="1">
        <v>74845.0</v>
      </c>
      <c r="E402" s="1" t="s">
        <v>19</v>
      </c>
      <c r="F402" s="1" t="s">
        <v>41</v>
      </c>
      <c r="G402" s="1" t="s">
        <v>55</v>
      </c>
      <c r="H402" s="2">
        <v>1086.0</v>
      </c>
      <c r="I402" s="2">
        <v>5861.0</v>
      </c>
      <c r="J402" s="1">
        <v>1981.0</v>
      </c>
      <c r="K402" s="1">
        <v>99.0</v>
      </c>
      <c r="L402" s="1" t="s">
        <v>95</v>
      </c>
      <c r="M402" s="1" t="s">
        <v>1650</v>
      </c>
      <c r="N402" s="1" t="s">
        <v>43</v>
      </c>
      <c r="O402" s="1" t="s">
        <v>49</v>
      </c>
      <c r="P402" s="1" t="s">
        <v>1651</v>
      </c>
    </row>
    <row r="403" ht="14.25" customHeight="1">
      <c r="A403" s="1" t="s">
        <v>1652</v>
      </c>
      <c r="B403" s="1" t="s">
        <v>1653</v>
      </c>
      <c r="C403" s="1" t="s">
        <v>76</v>
      </c>
      <c r="D403" s="1">
        <v>77717.0</v>
      </c>
      <c r="E403" s="1" t="s">
        <v>60</v>
      </c>
      <c r="F403" s="1" t="s">
        <v>54</v>
      </c>
      <c r="G403" s="1" t="s">
        <v>100</v>
      </c>
      <c r="H403" s="2">
        <v>2010.0</v>
      </c>
      <c r="I403" s="2">
        <v>2931.0</v>
      </c>
      <c r="J403" s="1">
        <v>1959.0</v>
      </c>
      <c r="K403" s="1">
        <v>15.0</v>
      </c>
      <c r="L403" s="1" t="s">
        <v>62</v>
      </c>
      <c r="M403" s="1" t="s">
        <v>1654</v>
      </c>
      <c r="N403" s="1" t="s">
        <v>24</v>
      </c>
      <c r="O403" s="1" t="s">
        <v>25</v>
      </c>
      <c r="P403" s="1" t="s">
        <v>1655</v>
      </c>
    </row>
    <row r="404" ht="14.25" customHeight="1">
      <c r="A404" s="1" t="s">
        <v>1656</v>
      </c>
      <c r="B404" s="1" t="s">
        <v>1657</v>
      </c>
      <c r="C404" s="1" t="s">
        <v>76</v>
      </c>
      <c r="D404" s="1">
        <v>45435.0</v>
      </c>
      <c r="E404" s="1" t="s">
        <v>19</v>
      </c>
      <c r="F404" s="1" t="s">
        <v>54</v>
      </c>
      <c r="G404" s="1" t="s">
        <v>21</v>
      </c>
      <c r="H404" s="2">
        <v>2367.0</v>
      </c>
      <c r="I404" s="2">
        <v>6792.0</v>
      </c>
      <c r="J404" s="1">
        <v>1995.0</v>
      </c>
      <c r="K404" s="1">
        <v>13.0</v>
      </c>
      <c r="L404" s="1" t="s">
        <v>22</v>
      </c>
      <c r="M404" s="1" t="s">
        <v>1658</v>
      </c>
      <c r="N404" s="1" t="s">
        <v>43</v>
      </c>
      <c r="O404" s="1" t="s">
        <v>25</v>
      </c>
      <c r="P404" s="1" t="s">
        <v>1659</v>
      </c>
    </row>
    <row r="405" ht="14.25" customHeight="1">
      <c r="A405" s="1" t="s">
        <v>1660</v>
      </c>
      <c r="B405" s="1" t="s">
        <v>1661</v>
      </c>
      <c r="C405" s="1" t="s">
        <v>29</v>
      </c>
      <c r="D405" s="1">
        <v>40049.0</v>
      </c>
      <c r="E405" s="1" t="s">
        <v>60</v>
      </c>
      <c r="F405" s="1" t="s">
        <v>94</v>
      </c>
      <c r="G405" s="1" t="s">
        <v>55</v>
      </c>
      <c r="H405" s="2">
        <v>2997.0</v>
      </c>
      <c r="I405" s="2">
        <v>9647.0</v>
      </c>
      <c r="J405" s="1">
        <v>2000.0</v>
      </c>
      <c r="K405" s="1">
        <v>71.0</v>
      </c>
      <c r="L405" s="1" t="s">
        <v>62</v>
      </c>
      <c r="M405" s="1" t="s">
        <v>1662</v>
      </c>
      <c r="N405" s="1" t="s">
        <v>43</v>
      </c>
      <c r="O405" s="1" t="s">
        <v>49</v>
      </c>
      <c r="P405" s="1" t="s">
        <v>1663</v>
      </c>
    </row>
    <row r="406" ht="14.25" customHeight="1">
      <c r="A406" s="1" t="s">
        <v>1664</v>
      </c>
      <c r="B406" s="1" t="s">
        <v>1665</v>
      </c>
      <c r="C406" s="1" t="s">
        <v>76</v>
      </c>
      <c r="D406" s="1">
        <v>21095.0</v>
      </c>
      <c r="E406" s="1" t="s">
        <v>60</v>
      </c>
      <c r="F406" s="1" t="s">
        <v>94</v>
      </c>
      <c r="G406" s="1" t="s">
        <v>100</v>
      </c>
      <c r="H406" s="2">
        <v>2662.0</v>
      </c>
      <c r="I406" s="2">
        <v>3141.0</v>
      </c>
      <c r="J406" s="1">
        <v>1968.0</v>
      </c>
      <c r="K406" s="1">
        <v>19.0</v>
      </c>
      <c r="L406" s="1" t="s">
        <v>62</v>
      </c>
      <c r="M406" s="1" t="s">
        <v>1666</v>
      </c>
      <c r="N406" s="1" t="s">
        <v>43</v>
      </c>
      <c r="O406" s="1" t="s">
        <v>35</v>
      </c>
      <c r="P406" s="1" t="s">
        <v>1667</v>
      </c>
    </row>
    <row r="407" ht="14.25" customHeight="1">
      <c r="A407" s="1" t="s">
        <v>1668</v>
      </c>
      <c r="B407" s="1" t="s">
        <v>1669</v>
      </c>
      <c r="C407" s="1" t="s">
        <v>53</v>
      </c>
      <c r="D407" s="1">
        <v>37962.0</v>
      </c>
      <c r="E407" s="1" t="s">
        <v>60</v>
      </c>
      <c r="F407" s="1" t="s">
        <v>94</v>
      </c>
      <c r="G407" s="1" t="s">
        <v>55</v>
      </c>
      <c r="H407" s="2">
        <v>689.0</v>
      </c>
      <c r="I407" s="2">
        <v>1215.0</v>
      </c>
      <c r="J407" s="1">
        <v>2015.0</v>
      </c>
      <c r="K407" s="1">
        <v>110.0</v>
      </c>
      <c r="L407" s="1" t="s">
        <v>62</v>
      </c>
      <c r="M407" s="1" t="s">
        <v>1670</v>
      </c>
      <c r="N407" s="1" t="s">
        <v>43</v>
      </c>
      <c r="O407" s="1" t="s">
        <v>49</v>
      </c>
      <c r="P407" s="1" t="s">
        <v>1671</v>
      </c>
    </row>
    <row r="408" ht="14.25" customHeight="1">
      <c r="A408" s="1" t="s">
        <v>1672</v>
      </c>
      <c r="B408" s="1" t="s">
        <v>1673</v>
      </c>
      <c r="C408" s="1" t="s">
        <v>53</v>
      </c>
      <c r="D408" s="1">
        <v>24534.0</v>
      </c>
      <c r="E408" s="1" t="s">
        <v>30</v>
      </c>
      <c r="F408" s="1" t="s">
        <v>46</v>
      </c>
      <c r="G408" s="1" t="s">
        <v>100</v>
      </c>
      <c r="H408" s="2">
        <v>2898.0</v>
      </c>
      <c r="I408" s="2">
        <v>6768.0</v>
      </c>
      <c r="J408" s="1">
        <v>2017.0</v>
      </c>
      <c r="K408" s="1">
        <v>82.0</v>
      </c>
      <c r="L408" s="1" t="s">
        <v>32</v>
      </c>
      <c r="M408" s="1" t="s">
        <v>1674</v>
      </c>
      <c r="N408" s="1" t="s">
        <v>24</v>
      </c>
      <c r="O408" s="1" t="s">
        <v>49</v>
      </c>
      <c r="P408" s="1" t="s">
        <v>1675</v>
      </c>
    </row>
    <row r="409" ht="14.25" customHeight="1">
      <c r="A409" s="1" t="s">
        <v>1676</v>
      </c>
      <c r="B409" s="1" t="s">
        <v>1677</v>
      </c>
      <c r="C409" s="1" t="s">
        <v>29</v>
      </c>
      <c r="D409" s="1">
        <v>44519.0</v>
      </c>
      <c r="E409" s="1" t="s">
        <v>30</v>
      </c>
      <c r="F409" s="1" t="s">
        <v>20</v>
      </c>
      <c r="G409" s="1" t="s">
        <v>55</v>
      </c>
      <c r="H409" s="2">
        <v>724.0</v>
      </c>
      <c r="I409" s="2">
        <v>2456.0</v>
      </c>
      <c r="J409" s="1">
        <v>1961.0</v>
      </c>
      <c r="K409" s="1">
        <v>106.0</v>
      </c>
      <c r="L409" s="1" t="s">
        <v>62</v>
      </c>
      <c r="M409" s="1" t="s">
        <v>1678</v>
      </c>
      <c r="N409" s="1" t="s">
        <v>34</v>
      </c>
      <c r="O409" s="1" t="s">
        <v>35</v>
      </c>
      <c r="P409" s="1" t="s">
        <v>1679</v>
      </c>
    </row>
    <row r="410" ht="14.25" customHeight="1">
      <c r="A410" s="1" t="s">
        <v>1680</v>
      </c>
      <c r="B410" s="1" t="s">
        <v>1681</v>
      </c>
      <c r="C410" s="1" t="s">
        <v>18</v>
      </c>
      <c r="D410" s="1">
        <v>54416.0</v>
      </c>
      <c r="E410" s="1" t="s">
        <v>60</v>
      </c>
      <c r="F410" s="1" t="s">
        <v>46</v>
      </c>
      <c r="G410" s="1" t="s">
        <v>31</v>
      </c>
      <c r="H410" s="2">
        <v>1978.0</v>
      </c>
      <c r="I410" s="2">
        <v>4716.0</v>
      </c>
      <c r="J410" s="1">
        <v>2015.0</v>
      </c>
      <c r="K410" s="1">
        <v>48.0</v>
      </c>
      <c r="L410" s="1" t="s">
        <v>22</v>
      </c>
      <c r="M410" s="1" t="s">
        <v>1682</v>
      </c>
      <c r="N410" s="1" t="s">
        <v>24</v>
      </c>
      <c r="O410" s="1" t="s">
        <v>35</v>
      </c>
      <c r="P410" s="1" t="s">
        <v>1683</v>
      </c>
    </row>
    <row r="411" ht="14.25" customHeight="1">
      <c r="A411" s="1" t="s">
        <v>1684</v>
      </c>
      <c r="B411" s="1" t="s">
        <v>1685</v>
      </c>
      <c r="C411" s="1" t="s">
        <v>39</v>
      </c>
      <c r="D411" s="1">
        <v>76996.0</v>
      </c>
      <c r="E411" s="1" t="s">
        <v>30</v>
      </c>
      <c r="F411" s="1" t="s">
        <v>20</v>
      </c>
      <c r="G411" s="1" t="s">
        <v>21</v>
      </c>
      <c r="H411" s="2">
        <v>1268.0</v>
      </c>
      <c r="I411" s="2">
        <v>9258.0</v>
      </c>
      <c r="J411" s="1">
        <v>1984.0</v>
      </c>
      <c r="K411" s="1">
        <v>68.0</v>
      </c>
      <c r="L411" s="1" t="s">
        <v>95</v>
      </c>
      <c r="M411" s="1" t="s">
        <v>1686</v>
      </c>
      <c r="N411" s="1" t="s">
        <v>43</v>
      </c>
      <c r="O411" s="1" t="s">
        <v>49</v>
      </c>
      <c r="P411" s="1" t="s">
        <v>1687</v>
      </c>
    </row>
    <row r="412" ht="14.25" customHeight="1">
      <c r="A412" s="1" t="s">
        <v>1688</v>
      </c>
      <c r="B412" s="1" t="s">
        <v>1689</v>
      </c>
      <c r="C412" s="1" t="s">
        <v>39</v>
      </c>
      <c r="D412" s="1">
        <v>86858.0</v>
      </c>
      <c r="E412" s="1" t="s">
        <v>19</v>
      </c>
      <c r="F412" s="1" t="s">
        <v>46</v>
      </c>
      <c r="G412" s="1" t="s">
        <v>100</v>
      </c>
      <c r="H412" s="2">
        <v>3527.0</v>
      </c>
      <c r="I412" s="2">
        <v>3709.0</v>
      </c>
      <c r="J412" s="1">
        <v>1976.0</v>
      </c>
      <c r="K412" s="1">
        <v>77.0</v>
      </c>
      <c r="L412" s="1" t="s">
        <v>32</v>
      </c>
      <c r="M412" s="1" t="s">
        <v>1690</v>
      </c>
      <c r="N412" s="1" t="s">
        <v>64</v>
      </c>
      <c r="O412" s="1" t="s">
        <v>25</v>
      </c>
      <c r="P412" s="1" t="s">
        <v>1691</v>
      </c>
    </row>
    <row r="413" ht="14.25" customHeight="1">
      <c r="A413" s="1" t="s">
        <v>1692</v>
      </c>
      <c r="B413" s="1" t="s">
        <v>1693</v>
      </c>
      <c r="C413" s="1" t="s">
        <v>29</v>
      </c>
      <c r="D413" s="1">
        <v>60679.0</v>
      </c>
      <c r="E413" s="1" t="s">
        <v>19</v>
      </c>
      <c r="F413" s="1" t="s">
        <v>54</v>
      </c>
      <c r="G413" s="1" t="s">
        <v>55</v>
      </c>
      <c r="H413" s="2">
        <v>1952.0</v>
      </c>
      <c r="I413" s="2">
        <v>6085.0</v>
      </c>
      <c r="J413" s="1">
        <v>1964.0</v>
      </c>
      <c r="K413" s="1">
        <v>15.0</v>
      </c>
      <c r="L413" s="1" t="s">
        <v>62</v>
      </c>
      <c r="M413" s="1" t="s">
        <v>1694</v>
      </c>
      <c r="N413" s="1" t="s">
        <v>43</v>
      </c>
      <c r="O413" s="1" t="s">
        <v>35</v>
      </c>
      <c r="P413" s="1" t="s">
        <v>1695</v>
      </c>
    </row>
    <row r="414" ht="14.25" customHeight="1">
      <c r="A414" s="1" t="s">
        <v>1696</v>
      </c>
      <c r="B414" s="1" t="s">
        <v>1697</v>
      </c>
      <c r="C414" s="1" t="s">
        <v>53</v>
      </c>
      <c r="D414" s="1">
        <v>79617.0</v>
      </c>
      <c r="E414" s="1" t="s">
        <v>60</v>
      </c>
      <c r="F414" s="1" t="s">
        <v>41</v>
      </c>
      <c r="G414" s="1" t="s">
        <v>21</v>
      </c>
      <c r="H414" s="2">
        <v>1769.0</v>
      </c>
      <c r="I414" s="2">
        <v>8386.0</v>
      </c>
      <c r="J414" s="1">
        <v>1991.0</v>
      </c>
      <c r="K414" s="1">
        <v>115.0</v>
      </c>
      <c r="L414" s="1" t="s">
        <v>22</v>
      </c>
      <c r="M414" s="1" t="s">
        <v>1698</v>
      </c>
      <c r="N414" s="1" t="s">
        <v>64</v>
      </c>
      <c r="O414" s="1" t="s">
        <v>35</v>
      </c>
      <c r="P414" s="1" t="s">
        <v>1699</v>
      </c>
    </row>
    <row r="415" ht="14.25" customHeight="1">
      <c r="A415" s="1" t="s">
        <v>1700</v>
      </c>
      <c r="B415" s="1" t="s">
        <v>1701</v>
      </c>
      <c r="C415" s="1" t="s">
        <v>39</v>
      </c>
      <c r="D415" s="1">
        <v>63418.0</v>
      </c>
      <c r="E415" s="1" t="s">
        <v>19</v>
      </c>
      <c r="F415" s="1" t="s">
        <v>54</v>
      </c>
      <c r="G415" s="1" t="s">
        <v>21</v>
      </c>
      <c r="H415" s="2">
        <v>3923.0</v>
      </c>
      <c r="I415" s="2">
        <v>7449.0</v>
      </c>
      <c r="J415" s="1">
        <v>1978.0</v>
      </c>
      <c r="K415" s="1">
        <v>95.0</v>
      </c>
      <c r="L415" s="1" t="s">
        <v>95</v>
      </c>
      <c r="M415" s="1" t="s">
        <v>1702</v>
      </c>
      <c r="N415" s="1" t="s">
        <v>43</v>
      </c>
      <c r="O415" s="1" t="s">
        <v>49</v>
      </c>
      <c r="P415" s="1" t="s">
        <v>1703</v>
      </c>
    </row>
    <row r="416" ht="14.25" customHeight="1">
      <c r="A416" s="1" t="s">
        <v>1704</v>
      </c>
      <c r="B416" s="1" t="s">
        <v>1705</v>
      </c>
      <c r="C416" s="1" t="s">
        <v>29</v>
      </c>
      <c r="D416" s="1">
        <v>87610.0</v>
      </c>
      <c r="E416" s="1" t="s">
        <v>30</v>
      </c>
      <c r="F416" s="1" t="s">
        <v>94</v>
      </c>
      <c r="G416" s="1" t="s">
        <v>100</v>
      </c>
      <c r="H416" s="2">
        <v>3859.0</v>
      </c>
      <c r="I416" s="2">
        <v>7651.0</v>
      </c>
      <c r="J416" s="1">
        <v>1979.0</v>
      </c>
      <c r="K416" s="1">
        <v>107.0</v>
      </c>
      <c r="L416" s="1" t="s">
        <v>22</v>
      </c>
      <c r="M416" s="1" t="s">
        <v>1706</v>
      </c>
      <c r="N416" s="1" t="s">
        <v>64</v>
      </c>
      <c r="O416" s="1" t="s">
        <v>49</v>
      </c>
      <c r="P416" s="1" t="s">
        <v>1707</v>
      </c>
    </row>
    <row r="417" ht="14.25" customHeight="1">
      <c r="A417" s="1" t="s">
        <v>1708</v>
      </c>
      <c r="B417" s="1" t="s">
        <v>1709</v>
      </c>
      <c r="C417" s="1" t="s">
        <v>18</v>
      </c>
      <c r="D417" s="1">
        <v>16283.0</v>
      </c>
      <c r="E417" s="1" t="s">
        <v>19</v>
      </c>
      <c r="F417" s="1" t="s">
        <v>20</v>
      </c>
      <c r="G417" s="1" t="s">
        <v>100</v>
      </c>
      <c r="H417" s="2">
        <v>3232.0</v>
      </c>
      <c r="I417" s="2">
        <v>6832.0</v>
      </c>
      <c r="J417" s="1">
        <v>2000.0</v>
      </c>
      <c r="K417" s="1">
        <v>48.0</v>
      </c>
      <c r="L417" s="1" t="s">
        <v>22</v>
      </c>
      <c r="M417" s="1" t="s">
        <v>1710</v>
      </c>
      <c r="N417" s="1" t="s">
        <v>48</v>
      </c>
      <c r="O417" s="1" t="s">
        <v>25</v>
      </c>
      <c r="P417" s="1" t="s">
        <v>1711</v>
      </c>
    </row>
    <row r="418" ht="14.25" customHeight="1">
      <c r="A418" s="1" t="s">
        <v>1712</v>
      </c>
      <c r="B418" s="1" t="s">
        <v>1713</v>
      </c>
      <c r="C418" s="1" t="s">
        <v>53</v>
      </c>
      <c r="D418" s="1">
        <v>79047.0</v>
      </c>
      <c r="E418" s="1" t="s">
        <v>19</v>
      </c>
      <c r="F418" s="1" t="s">
        <v>20</v>
      </c>
      <c r="G418" s="1" t="s">
        <v>31</v>
      </c>
      <c r="H418" s="2">
        <v>2062.0</v>
      </c>
      <c r="I418" s="2">
        <v>4344.0</v>
      </c>
      <c r="J418" s="1">
        <v>1956.0</v>
      </c>
      <c r="K418" s="1">
        <v>69.0</v>
      </c>
      <c r="L418" s="1" t="s">
        <v>141</v>
      </c>
      <c r="M418" s="1" t="s">
        <v>1714</v>
      </c>
      <c r="N418" s="1" t="s">
        <v>24</v>
      </c>
      <c r="O418" s="1" t="s">
        <v>35</v>
      </c>
      <c r="P418" s="1" t="s">
        <v>1715</v>
      </c>
    </row>
    <row r="419" ht="14.25" customHeight="1">
      <c r="A419" s="1" t="s">
        <v>1716</v>
      </c>
      <c r="B419" s="1" t="s">
        <v>1717</v>
      </c>
      <c r="C419" s="1" t="s">
        <v>39</v>
      </c>
      <c r="D419" s="1">
        <v>75930.0</v>
      </c>
      <c r="E419" s="1" t="s">
        <v>77</v>
      </c>
      <c r="F419" s="1" t="s">
        <v>61</v>
      </c>
      <c r="G419" s="1" t="s">
        <v>31</v>
      </c>
      <c r="H419" s="2">
        <v>1447.0</v>
      </c>
      <c r="I419" s="2">
        <v>1695.0</v>
      </c>
      <c r="J419" s="1">
        <v>1991.0</v>
      </c>
      <c r="K419" s="1">
        <v>72.0</v>
      </c>
      <c r="L419" s="1" t="s">
        <v>141</v>
      </c>
      <c r="M419" s="1" t="s">
        <v>1718</v>
      </c>
      <c r="N419" s="1" t="s">
        <v>48</v>
      </c>
      <c r="O419" s="1" t="s">
        <v>49</v>
      </c>
      <c r="P419" s="1" t="s">
        <v>1719</v>
      </c>
    </row>
    <row r="420" ht="14.25" customHeight="1">
      <c r="A420" s="1" t="s">
        <v>1720</v>
      </c>
      <c r="B420" s="1" t="s">
        <v>1721</v>
      </c>
      <c r="C420" s="1" t="s">
        <v>76</v>
      </c>
      <c r="D420" s="1">
        <v>36162.0</v>
      </c>
      <c r="E420" s="1" t="s">
        <v>30</v>
      </c>
      <c r="F420" s="1" t="s">
        <v>46</v>
      </c>
      <c r="G420" s="1" t="s">
        <v>21</v>
      </c>
      <c r="H420" s="2">
        <v>2909.0</v>
      </c>
      <c r="I420" s="2">
        <v>5883.0</v>
      </c>
      <c r="J420" s="1">
        <v>1985.0</v>
      </c>
      <c r="K420" s="1">
        <v>103.0</v>
      </c>
      <c r="L420" s="1" t="s">
        <v>32</v>
      </c>
      <c r="M420" s="1" t="s">
        <v>1722</v>
      </c>
      <c r="N420" s="1" t="s">
        <v>64</v>
      </c>
      <c r="O420" s="1" t="s">
        <v>25</v>
      </c>
      <c r="P420" s="1" t="s">
        <v>1723</v>
      </c>
    </row>
    <row r="421" ht="14.25" customHeight="1">
      <c r="A421" s="1" t="s">
        <v>1724</v>
      </c>
      <c r="B421" s="1" t="s">
        <v>1725</v>
      </c>
      <c r="C421" s="1" t="s">
        <v>18</v>
      </c>
      <c r="D421" s="1">
        <v>99323.0</v>
      </c>
      <c r="E421" s="1" t="s">
        <v>19</v>
      </c>
      <c r="F421" s="1" t="s">
        <v>41</v>
      </c>
      <c r="G421" s="1" t="s">
        <v>55</v>
      </c>
      <c r="H421" s="2">
        <v>609.0</v>
      </c>
      <c r="I421" s="2">
        <v>6010.0</v>
      </c>
      <c r="J421" s="1">
        <v>1976.0</v>
      </c>
      <c r="K421" s="1">
        <v>107.0</v>
      </c>
      <c r="L421" s="1" t="s">
        <v>141</v>
      </c>
      <c r="M421" s="1" t="s">
        <v>1726</v>
      </c>
      <c r="N421" s="1" t="s">
        <v>48</v>
      </c>
      <c r="O421" s="1" t="s">
        <v>25</v>
      </c>
      <c r="P421" s="1" t="s">
        <v>1727</v>
      </c>
    </row>
    <row r="422" ht="14.25" customHeight="1">
      <c r="A422" s="1" t="s">
        <v>1728</v>
      </c>
      <c r="B422" s="1" t="s">
        <v>1729</v>
      </c>
      <c r="C422" s="1" t="s">
        <v>76</v>
      </c>
      <c r="D422" s="1">
        <v>82910.0</v>
      </c>
      <c r="E422" s="1" t="s">
        <v>19</v>
      </c>
      <c r="F422" s="1" t="s">
        <v>94</v>
      </c>
      <c r="G422" s="1" t="s">
        <v>31</v>
      </c>
      <c r="H422" s="2">
        <v>3562.0</v>
      </c>
      <c r="I422" s="2">
        <v>1356.0</v>
      </c>
      <c r="J422" s="1">
        <v>1998.0</v>
      </c>
      <c r="K422" s="1">
        <v>106.0</v>
      </c>
      <c r="L422" s="1" t="s">
        <v>62</v>
      </c>
      <c r="M422" s="1" t="s">
        <v>1730</v>
      </c>
      <c r="N422" s="1" t="s">
        <v>34</v>
      </c>
      <c r="O422" s="1" t="s">
        <v>49</v>
      </c>
      <c r="P422" s="1" t="s">
        <v>1731</v>
      </c>
    </row>
    <row r="423" ht="14.25" customHeight="1">
      <c r="A423" s="1" t="s">
        <v>1732</v>
      </c>
      <c r="B423" s="1" t="s">
        <v>1733</v>
      </c>
      <c r="C423" s="1" t="s">
        <v>18</v>
      </c>
      <c r="D423" s="1">
        <v>65593.0</v>
      </c>
      <c r="E423" s="1" t="s">
        <v>77</v>
      </c>
      <c r="F423" s="1" t="s">
        <v>61</v>
      </c>
      <c r="G423" s="1" t="s">
        <v>55</v>
      </c>
      <c r="H423" s="2">
        <v>2744.0</v>
      </c>
      <c r="I423" s="2">
        <v>9418.0</v>
      </c>
      <c r="J423" s="1">
        <v>1962.0</v>
      </c>
      <c r="K423" s="1">
        <v>54.0</v>
      </c>
      <c r="L423" s="1" t="s">
        <v>141</v>
      </c>
      <c r="M423" s="1" t="s">
        <v>1734</v>
      </c>
      <c r="N423" s="1" t="s">
        <v>64</v>
      </c>
      <c r="O423" s="1" t="s">
        <v>49</v>
      </c>
      <c r="P423" s="1" t="s">
        <v>1735</v>
      </c>
    </row>
    <row r="424" ht="14.25" customHeight="1">
      <c r="A424" s="1" t="s">
        <v>1736</v>
      </c>
      <c r="B424" s="1" t="s">
        <v>1737</v>
      </c>
      <c r="C424" s="1" t="s">
        <v>39</v>
      </c>
      <c r="D424" s="1">
        <v>18285.0</v>
      </c>
      <c r="E424" s="1" t="s">
        <v>77</v>
      </c>
      <c r="F424" s="1" t="s">
        <v>41</v>
      </c>
      <c r="G424" s="1" t="s">
        <v>31</v>
      </c>
      <c r="H424" s="2">
        <v>3177.0</v>
      </c>
      <c r="I424" s="2">
        <v>2119.0</v>
      </c>
      <c r="J424" s="1">
        <v>1966.0</v>
      </c>
      <c r="K424" s="1">
        <v>92.0</v>
      </c>
      <c r="L424" s="1" t="s">
        <v>22</v>
      </c>
      <c r="M424" s="1" t="s">
        <v>1738</v>
      </c>
      <c r="N424" s="1" t="s">
        <v>43</v>
      </c>
      <c r="O424" s="1" t="s">
        <v>35</v>
      </c>
      <c r="P424" s="1" t="s">
        <v>1739</v>
      </c>
    </row>
    <row r="425" ht="14.25" customHeight="1">
      <c r="A425" s="1" t="s">
        <v>1740</v>
      </c>
      <c r="B425" s="1" t="s">
        <v>1741</v>
      </c>
      <c r="C425" s="1" t="s">
        <v>76</v>
      </c>
      <c r="D425" s="1">
        <v>67839.0</v>
      </c>
      <c r="E425" s="1" t="s">
        <v>60</v>
      </c>
      <c r="F425" s="1" t="s">
        <v>54</v>
      </c>
      <c r="G425" s="1" t="s">
        <v>55</v>
      </c>
      <c r="H425" s="2">
        <v>1445.0</v>
      </c>
      <c r="I425" s="2">
        <v>9511.0</v>
      </c>
      <c r="J425" s="1">
        <v>1955.0</v>
      </c>
      <c r="K425" s="1">
        <v>50.0</v>
      </c>
      <c r="L425" s="1" t="s">
        <v>95</v>
      </c>
      <c r="M425" s="1" t="s">
        <v>1742</v>
      </c>
      <c r="N425" s="1" t="s">
        <v>64</v>
      </c>
      <c r="O425" s="1" t="s">
        <v>35</v>
      </c>
      <c r="P425" s="1" t="s">
        <v>1743</v>
      </c>
    </row>
    <row r="426" ht="14.25" customHeight="1">
      <c r="A426" s="1" t="s">
        <v>1744</v>
      </c>
      <c r="B426" s="1" t="s">
        <v>1745</v>
      </c>
      <c r="C426" s="1" t="s">
        <v>76</v>
      </c>
      <c r="D426" s="1">
        <v>59594.0</v>
      </c>
      <c r="E426" s="1" t="s">
        <v>40</v>
      </c>
      <c r="F426" s="1" t="s">
        <v>20</v>
      </c>
      <c r="G426" s="1" t="s">
        <v>55</v>
      </c>
      <c r="H426" s="2">
        <v>2935.0</v>
      </c>
      <c r="I426" s="2">
        <v>8912.0</v>
      </c>
      <c r="J426" s="1">
        <v>1971.0</v>
      </c>
      <c r="K426" s="1">
        <v>64.0</v>
      </c>
      <c r="L426" s="1" t="s">
        <v>95</v>
      </c>
      <c r="M426" s="1" t="s">
        <v>1746</v>
      </c>
      <c r="N426" s="1" t="s">
        <v>48</v>
      </c>
      <c r="O426" s="1" t="s">
        <v>49</v>
      </c>
      <c r="P426" s="1" t="s">
        <v>1747</v>
      </c>
    </row>
    <row r="427" ht="14.25" customHeight="1">
      <c r="A427" s="1" t="s">
        <v>1748</v>
      </c>
      <c r="B427" s="1" t="s">
        <v>1749</v>
      </c>
      <c r="C427" s="1" t="s">
        <v>39</v>
      </c>
      <c r="D427" s="1">
        <v>23393.0</v>
      </c>
      <c r="E427" s="1" t="s">
        <v>19</v>
      </c>
      <c r="F427" s="1" t="s">
        <v>41</v>
      </c>
      <c r="G427" s="1" t="s">
        <v>21</v>
      </c>
      <c r="H427" s="2">
        <v>3136.0</v>
      </c>
      <c r="I427" s="2">
        <v>6378.0</v>
      </c>
      <c r="J427" s="1">
        <v>1959.0</v>
      </c>
      <c r="K427" s="1">
        <v>105.0</v>
      </c>
      <c r="L427" s="1" t="s">
        <v>32</v>
      </c>
      <c r="M427" s="1" t="s">
        <v>1750</v>
      </c>
      <c r="N427" s="1" t="s">
        <v>34</v>
      </c>
      <c r="O427" s="1" t="s">
        <v>49</v>
      </c>
      <c r="P427" s="1" t="s">
        <v>1751</v>
      </c>
    </row>
    <row r="428" ht="14.25" customHeight="1">
      <c r="A428" s="1" t="s">
        <v>1752</v>
      </c>
      <c r="B428" s="1" t="s">
        <v>1753</v>
      </c>
      <c r="C428" s="1" t="s">
        <v>39</v>
      </c>
      <c r="D428" s="1">
        <v>76728.0</v>
      </c>
      <c r="E428" s="1" t="s">
        <v>30</v>
      </c>
      <c r="F428" s="1" t="s">
        <v>94</v>
      </c>
      <c r="G428" s="1" t="s">
        <v>55</v>
      </c>
      <c r="H428" s="2">
        <v>3322.0</v>
      </c>
      <c r="I428" s="2">
        <v>4428.0</v>
      </c>
      <c r="J428" s="1">
        <v>2011.0</v>
      </c>
      <c r="K428" s="1">
        <v>26.0</v>
      </c>
      <c r="L428" s="1" t="s">
        <v>62</v>
      </c>
      <c r="M428" s="1" t="s">
        <v>1754</v>
      </c>
      <c r="N428" s="1" t="s">
        <v>48</v>
      </c>
      <c r="O428" s="1" t="s">
        <v>25</v>
      </c>
      <c r="P428" s="1" t="s">
        <v>1755</v>
      </c>
    </row>
    <row r="429" ht="14.25" customHeight="1">
      <c r="A429" s="1" t="s">
        <v>1756</v>
      </c>
      <c r="B429" s="1" t="s">
        <v>1757</v>
      </c>
      <c r="C429" s="1" t="s">
        <v>76</v>
      </c>
      <c r="D429" s="1">
        <v>20376.0</v>
      </c>
      <c r="E429" s="1" t="s">
        <v>40</v>
      </c>
      <c r="F429" s="1" t="s">
        <v>54</v>
      </c>
      <c r="G429" s="1" t="s">
        <v>31</v>
      </c>
      <c r="H429" s="2">
        <v>874.0</v>
      </c>
      <c r="I429" s="2">
        <v>5835.0</v>
      </c>
      <c r="J429" s="1">
        <v>1975.0</v>
      </c>
      <c r="K429" s="1">
        <v>49.0</v>
      </c>
      <c r="L429" s="1" t="s">
        <v>22</v>
      </c>
      <c r="M429" s="1" t="s">
        <v>1758</v>
      </c>
      <c r="N429" s="1" t="s">
        <v>48</v>
      </c>
      <c r="O429" s="1" t="s">
        <v>35</v>
      </c>
      <c r="P429" s="1" t="s">
        <v>1759</v>
      </c>
    </row>
    <row r="430" ht="14.25" customHeight="1">
      <c r="A430" s="1" t="s">
        <v>1760</v>
      </c>
      <c r="B430" s="1" t="s">
        <v>1761</v>
      </c>
      <c r="C430" s="1" t="s">
        <v>29</v>
      </c>
      <c r="D430" s="1">
        <v>59040.0</v>
      </c>
      <c r="E430" s="1" t="s">
        <v>19</v>
      </c>
      <c r="F430" s="1" t="s">
        <v>41</v>
      </c>
      <c r="G430" s="1" t="s">
        <v>21</v>
      </c>
      <c r="H430" s="2">
        <v>3922.0</v>
      </c>
      <c r="I430" s="2">
        <v>1257.0</v>
      </c>
      <c r="J430" s="1">
        <v>2012.0</v>
      </c>
      <c r="K430" s="1">
        <v>48.0</v>
      </c>
      <c r="L430" s="1" t="s">
        <v>22</v>
      </c>
      <c r="M430" s="1" t="s">
        <v>1762</v>
      </c>
      <c r="N430" s="1" t="s">
        <v>34</v>
      </c>
      <c r="O430" s="1" t="s">
        <v>35</v>
      </c>
      <c r="P430" s="1" t="s">
        <v>1763</v>
      </c>
    </row>
    <row r="431" ht="14.25" customHeight="1">
      <c r="A431" s="1" t="s">
        <v>1764</v>
      </c>
      <c r="B431" s="1" t="s">
        <v>1765</v>
      </c>
      <c r="C431" s="1" t="s">
        <v>53</v>
      </c>
      <c r="D431" s="1">
        <v>21826.0</v>
      </c>
      <c r="E431" s="1" t="s">
        <v>60</v>
      </c>
      <c r="F431" s="1" t="s">
        <v>46</v>
      </c>
      <c r="G431" s="1" t="s">
        <v>100</v>
      </c>
      <c r="H431" s="2">
        <v>1160.0</v>
      </c>
      <c r="I431" s="2">
        <v>5936.0</v>
      </c>
      <c r="J431" s="1">
        <v>1987.0</v>
      </c>
      <c r="K431" s="1">
        <v>27.0</v>
      </c>
      <c r="L431" s="1" t="s">
        <v>32</v>
      </c>
      <c r="M431" s="1" t="s">
        <v>1766</v>
      </c>
      <c r="N431" s="1" t="s">
        <v>24</v>
      </c>
      <c r="O431" s="1" t="s">
        <v>25</v>
      </c>
      <c r="P431" s="1" t="s">
        <v>1767</v>
      </c>
    </row>
    <row r="432" ht="14.25" customHeight="1">
      <c r="A432" s="1" t="s">
        <v>1768</v>
      </c>
      <c r="B432" s="1" t="s">
        <v>1769</v>
      </c>
      <c r="C432" s="1" t="s">
        <v>39</v>
      </c>
      <c r="D432" s="1">
        <v>52402.0</v>
      </c>
      <c r="E432" s="1" t="s">
        <v>19</v>
      </c>
      <c r="F432" s="1" t="s">
        <v>41</v>
      </c>
      <c r="G432" s="1" t="s">
        <v>21</v>
      </c>
      <c r="H432" s="2">
        <v>2438.0</v>
      </c>
      <c r="I432" s="2">
        <v>9159.0</v>
      </c>
      <c r="J432" s="1">
        <v>1980.0</v>
      </c>
      <c r="K432" s="1">
        <v>10.0</v>
      </c>
      <c r="L432" s="1" t="s">
        <v>95</v>
      </c>
      <c r="M432" s="1" t="s">
        <v>1770</v>
      </c>
      <c r="N432" s="1" t="s">
        <v>24</v>
      </c>
      <c r="O432" s="1" t="s">
        <v>25</v>
      </c>
      <c r="P432" s="1" t="s">
        <v>1771</v>
      </c>
    </row>
    <row r="433" ht="14.25" customHeight="1">
      <c r="A433" s="1" t="s">
        <v>1772</v>
      </c>
      <c r="B433" s="1" t="s">
        <v>1773</v>
      </c>
      <c r="C433" s="1" t="s">
        <v>29</v>
      </c>
      <c r="D433" s="1">
        <v>75286.0</v>
      </c>
      <c r="E433" s="1" t="s">
        <v>19</v>
      </c>
      <c r="F433" s="1" t="s">
        <v>41</v>
      </c>
      <c r="G433" s="1" t="s">
        <v>100</v>
      </c>
      <c r="H433" s="2">
        <v>2276.0</v>
      </c>
      <c r="I433" s="2">
        <v>3297.0</v>
      </c>
      <c r="J433" s="1">
        <v>2003.0</v>
      </c>
      <c r="K433" s="1">
        <v>75.0</v>
      </c>
      <c r="L433" s="1" t="s">
        <v>141</v>
      </c>
      <c r="M433" s="1" t="s">
        <v>1774</v>
      </c>
      <c r="N433" s="1" t="s">
        <v>64</v>
      </c>
      <c r="O433" s="1" t="s">
        <v>25</v>
      </c>
      <c r="P433" s="1" t="s">
        <v>1775</v>
      </c>
    </row>
    <row r="434" ht="14.25" customHeight="1">
      <c r="A434" s="1" t="s">
        <v>1776</v>
      </c>
      <c r="B434" s="1" t="s">
        <v>1777</v>
      </c>
      <c r="C434" s="1" t="s">
        <v>29</v>
      </c>
      <c r="D434" s="1">
        <v>83599.0</v>
      </c>
      <c r="E434" s="1" t="s">
        <v>60</v>
      </c>
      <c r="F434" s="1" t="s">
        <v>61</v>
      </c>
      <c r="G434" s="1" t="s">
        <v>55</v>
      </c>
      <c r="H434" s="2">
        <v>3454.0</v>
      </c>
      <c r="I434" s="2">
        <v>1432.0</v>
      </c>
      <c r="J434" s="1">
        <v>1997.0</v>
      </c>
      <c r="K434" s="1">
        <v>35.0</v>
      </c>
      <c r="L434" s="1" t="s">
        <v>22</v>
      </c>
      <c r="M434" s="1" t="s">
        <v>1778</v>
      </c>
      <c r="N434" s="1" t="s">
        <v>48</v>
      </c>
      <c r="O434" s="1" t="s">
        <v>35</v>
      </c>
      <c r="P434" s="1" t="s">
        <v>1779</v>
      </c>
    </row>
    <row r="435" ht="14.25" customHeight="1">
      <c r="A435" s="1" t="s">
        <v>1780</v>
      </c>
      <c r="B435" s="1" t="s">
        <v>1781</v>
      </c>
      <c r="C435" s="1" t="s">
        <v>18</v>
      </c>
      <c r="D435" s="1">
        <v>15718.0</v>
      </c>
      <c r="E435" s="1" t="s">
        <v>60</v>
      </c>
      <c r="F435" s="1" t="s">
        <v>41</v>
      </c>
      <c r="G435" s="1" t="s">
        <v>31</v>
      </c>
      <c r="H435" s="2">
        <v>2295.0</v>
      </c>
      <c r="I435" s="2">
        <v>1487.0</v>
      </c>
      <c r="J435" s="1">
        <v>1995.0</v>
      </c>
      <c r="K435" s="1">
        <v>60.0</v>
      </c>
      <c r="L435" s="1" t="s">
        <v>32</v>
      </c>
      <c r="M435" s="1" t="s">
        <v>1782</v>
      </c>
      <c r="N435" s="1" t="s">
        <v>48</v>
      </c>
      <c r="O435" s="1" t="s">
        <v>49</v>
      </c>
      <c r="P435" s="1" t="s">
        <v>1783</v>
      </c>
    </row>
    <row r="436" ht="14.25" customHeight="1">
      <c r="A436" s="1" t="s">
        <v>1784</v>
      </c>
      <c r="B436" s="1" t="s">
        <v>1785</v>
      </c>
      <c r="C436" s="1" t="s">
        <v>29</v>
      </c>
      <c r="D436" s="1">
        <v>35524.0</v>
      </c>
      <c r="E436" s="1" t="s">
        <v>77</v>
      </c>
      <c r="F436" s="1" t="s">
        <v>94</v>
      </c>
      <c r="G436" s="1" t="s">
        <v>55</v>
      </c>
      <c r="H436" s="2">
        <v>2467.0</v>
      </c>
      <c r="I436" s="2">
        <v>2779.0</v>
      </c>
      <c r="J436" s="1">
        <v>1995.0</v>
      </c>
      <c r="K436" s="1">
        <v>120.0</v>
      </c>
      <c r="L436" s="1" t="s">
        <v>22</v>
      </c>
      <c r="M436" s="1" t="s">
        <v>1786</v>
      </c>
      <c r="N436" s="1" t="s">
        <v>48</v>
      </c>
      <c r="O436" s="1" t="s">
        <v>49</v>
      </c>
      <c r="P436" s="1" t="s">
        <v>1787</v>
      </c>
    </row>
    <row r="437" ht="14.25" customHeight="1">
      <c r="A437" s="1" t="s">
        <v>1788</v>
      </c>
      <c r="B437" s="1" t="s">
        <v>1789</v>
      </c>
      <c r="C437" s="1" t="s">
        <v>39</v>
      </c>
      <c r="D437" s="1">
        <v>85118.0</v>
      </c>
      <c r="E437" s="1" t="s">
        <v>77</v>
      </c>
      <c r="F437" s="1" t="s">
        <v>46</v>
      </c>
      <c r="G437" s="1" t="s">
        <v>21</v>
      </c>
      <c r="H437" s="2">
        <v>2033.0</v>
      </c>
      <c r="I437" s="2">
        <v>3029.0</v>
      </c>
      <c r="J437" s="1">
        <v>1987.0</v>
      </c>
      <c r="K437" s="1">
        <v>53.0</v>
      </c>
      <c r="L437" s="1" t="s">
        <v>62</v>
      </c>
      <c r="M437" s="1" t="s">
        <v>1790</v>
      </c>
      <c r="N437" s="1" t="s">
        <v>64</v>
      </c>
      <c r="O437" s="1" t="s">
        <v>49</v>
      </c>
      <c r="P437" s="1" t="s">
        <v>1791</v>
      </c>
    </row>
    <row r="438" ht="14.25" customHeight="1">
      <c r="A438" s="1" t="s">
        <v>1792</v>
      </c>
      <c r="B438" s="1" t="s">
        <v>1793</v>
      </c>
      <c r="C438" s="1" t="s">
        <v>39</v>
      </c>
      <c r="D438" s="1">
        <v>45772.0</v>
      </c>
      <c r="E438" s="1" t="s">
        <v>60</v>
      </c>
      <c r="F438" s="1" t="s">
        <v>41</v>
      </c>
      <c r="G438" s="1" t="s">
        <v>55</v>
      </c>
      <c r="H438" s="2">
        <v>1534.0</v>
      </c>
      <c r="I438" s="2">
        <v>8903.0</v>
      </c>
      <c r="J438" s="1">
        <v>2011.0</v>
      </c>
      <c r="K438" s="1">
        <v>84.0</v>
      </c>
      <c r="L438" s="1" t="s">
        <v>22</v>
      </c>
      <c r="M438" s="1" t="s">
        <v>1794</v>
      </c>
      <c r="N438" s="1" t="s">
        <v>64</v>
      </c>
      <c r="O438" s="1" t="s">
        <v>25</v>
      </c>
      <c r="P438" s="1" t="s">
        <v>1795</v>
      </c>
    </row>
    <row r="439" ht="14.25" customHeight="1">
      <c r="A439" s="1" t="s">
        <v>1796</v>
      </c>
      <c r="B439" s="1" t="s">
        <v>1797</v>
      </c>
      <c r="C439" s="1" t="s">
        <v>76</v>
      </c>
      <c r="D439" s="1">
        <v>75282.0</v>
      </c>
      <c r="E439" s="1" t="s">
        <v>19</v>
      </c>
      <c r="F439" s="1" t="s">
        <v>94</v>
      </c>
      <c r="G439" s="1" t="s">
        <v>100</v>
      </c>
      <c r="H439" s="2">
        <v>1883.0</v>
      </c>
      <c r="I439" s="2">
        <v>6966.0</v>
      </c>
      <c r="J439" s="1">
        <v>1986.0</v>
      </c>
      <c r="K439" s="1">
        <v>10.0</v>
      </c>
      <c r="L439" s="1" t="s">
        <v>22</v>
      </c>
      <c r="M439" s="1" t="s">
        <v>1798</v>
      </c>
      <c r="N439" s="1" t="s">
        <v>48</v>
      </c>
      <c r="O439" s="1" t="s">
        <v>49</v>
      </c>
      <c r="P439" s="1" t="s">
        <v>1799</v>
      </c>
    </row>
    <row r="440" ht="14.25" customHeight="1">
      <c r="A440" s="1" t="s">
        <v>1800</v>
      </c>
      <c r="B440" s="1" t="s">
        <v>1801</v>
      </c>
      <c r="C440" s="1" t="s">
        <v>18</v>
      </c>
      <c r="D440" s="1">
        <v>31572.0</v>
      </c>
      <c r="E440" s="1" t="s">
        <v>30</v>
      </c>
      <c r="F440" s="1" t="s">
        <v>41</v>
      </c>
      <c r="G440" s="1" t="s">
        <v>31</v>
      </c>
      <c r="H440" s="2">
        <v>3361.0</v>
      </c>
      <c r="I440" s="2">
        <v>8603.0</v>
      </c>
      <c r="J440" s="1">
        <v>1992.0</v>
      </c>
      <c r="K440" s="1">
        <v>27.0</v>
      </c>
      <c r="L440" s="1" t="s">
        <v>141</v>
      </c>
      <c r="M440" s="1" t="s">
        <v>1802</v>
      </c>
      <c r="N440" s="1" t="s">
        <v>48</v>
      </c>
      <c r="O440" s="1" t="s">
        <v>35</v>
      </c>
      <c r="P440" s="1" t="s">
        <v>1803</v>
      </c>
    </row>
    <row r="441" ht="14.25" customHeight="1">
      <c r="A441" s="1" t="s">
        <v>1804</v>
      </c>
      <c r="B441" s="1" t="s">
        <v>1805</v>
      </c>
      <c r="C441" s="1" t="s">
        <v>53</v>
      </c>
      <c r="D441" s="1">
        <v>26523.0</v>
      </c>
      <c r="E441" s="1" t="s">
        <v>30</v>
      </c>
      <c r="F441" s="1" t="s">
        <v>41</v>
      </c>
      <c r="G441" s="1" t="s">
        <v>100</v>
      </c>
      <c r="H441" s="2">
        <v>3041.0</v>
      </c>
      <c r="I441" s="2">
        <v>9468.0</v>
      </c>
      <c r="J441" s="1">
        <v>2000.0</v>
      </c>
      <c r="K441" s="1">
        <v>90.0</v>
      </c>
      <c r="L441" s="1" t="s">
        <v>95</v>
      </c>
      <c r="M441" s="1" t="s">
        <v>1806</v>
      </c>
      <c r="N441" s="1" t="s">
        <v>48</v>
      </c>
      <c r="O441" s="1" t="s">
        <v>35</v>
      </c>
      <c r="P441" s="1" t="s">
        <v>1807</v>
      </c>
    </row>
    <row r="442" ht="14.25" customHeight="1">
      <c r="A442" s="1" t="s">
        <v>1808</v>
      </c>
      <c r="B442" s="1" t="s">
        <v>1809</v>
      </c>
      <c r="C442" s="1" t="s">
        <v>39</v>
      </c>
      <c r="D442" s="1">
        <v>84551.0</v>
      </c>
      <c r="E442" s="1" t="s">
        <v>30</v>
      </c>
      <c r="F442" s="1" t="s">
        <v>94</v>
      </c>
      <c r="G442" s="1" t="s">
        <v>100</v>
      </c>
      <c r="H442" s="2">
        <v>2879.0</v>
      </c>
      <c r="I442" s="2">
        <v>8525.0</v>
      </c>
      <c r="J442" s="1">
        <v>1999.0</v>
      </c>
      <c r="K442" s="1">
        <v>30.0</v>
      </c>
      <c r="L442" s="1" t="s">
        <v>32</v>
      </c>
      <c r="M442" s="1" t="s">
        <v>1810</v>
      </c>
      <c r="N442" s="1" t="s">
        <v>24</v>
      </c>
      <c r="O442" s="1" t="s">
        <v>35</v>
      </c>
      <c r="P442" s="1" t="s">
        <v>1811</v>
      </c>
    </row>
    <row r="443" ht="14.25" customHeight="1">
      <c r="A443" s="1" t="s">
        <v>1812</v>
      </c>
      <c r="B443" s="1" t="s">
        <v>1813</v>
      </c>
      <c r="C443" s="1" t="s">
        <v>39</v>
      </c>
      <c r="D443" s="1">
        <v>51763.0</v>
      </c>
      <c r="E443" s="1" t="s">
        <v>30</v>
      </c>
      <c r="F443" s="1" t="s">
        <v>41</v>
      </c>
      <c r="G443" s="1" t="s">
        <v>31</v>
      </c>
      <c r="H443" s="2">
        <v>2431.0</v>
      </c>
      <c r="I443" s="2">
        <v>1752.0</v>
      </c>
      <c r="J443" s="1">
        <v>2001.0</v>
      </c>
      <c r="K443" s="1">
        <v>15.0</v>
      </c>
      <c r="L443" s="1" t="s">
        <v>62</v>
      </c>
      <c r="M443" s="1" t="s">
        <v>1814</v>
      </c>
      <c r="N443" s="1" t="s">
        <v>34</v>
      </c>
      <c r="O443" s="1" t="s">
        <v>25</v>
      </c>
      <c r="P443" s="1" t="s">
        <v>1815</v>
      </c>
    </row>
    <row r="444" ht="14.25" customHeight="1">
      <c r="A444" s="1" t="s">
        <v>1816</v>
      </c>
      <c r="B444" s="1" t="s">
        <v>1817</v>
      </c>
      <c r="C444" s="1" t="s">
        <v>29</v>
      </c>
      <c r="D444" s="1">
        <v>33457.0</v>
      </c>
      <c r="E444" s="1" t="s">
        <v>30</v>
      </c>
      <c r="F444" s="1" t="s">
        <v>20</v>
      </c>
      <c r="G444" s="1" t="s">
        <v>55</v>
      </c>
      <c r="H444" s="2">
        <v>886.0</v>
      </c>
      <c r="I444" s="2">
        <v>2168.0</v>
      </c>
      <c r="J444" s="1">
        <v>1965.0</v>
      </c>
      <c r="K444" s="1">
        <v>33.0</v>
      </c>
      <c r="L444" s="1" t="s">
        <v>95</v>
      </c>
      <c r="M444" s="1" t="s">
        <v>1818</v>
      </c>
      <c r="N444" s="1" t="s">
        <v>64</v>
      </c>
      <c r="O444" s="1" t="s">
        <v>49</v>
      </c>
      <c r="P444" s="1" t="s">
        <v>1819</v>
      </c>
    </row>
    <row r="445" ht="14.25" customHeight="1">
      <c r="A445" s="1" t="s">
        <v>1820</v>
      </c>
      <c r="B445" s="1" t="s">
        <v>1821</v>
      </c>
      <c r="C445" s="1" t="s">
        <v>39</v>
      </c>
      <c r="D445" s="1">
        <v>36438.0</v>
      </c>
      <c r="E445" s="1" t="s">
        <v>40</v>
      </c>
      <c r="F445" s="1" t="s">
        <v>41</v>
      </c>
      <c r="G445" s="1" t="s">
        <v>21</v>
      </c>
      <c r="H445" s="2">
        <v>1252.0</v>
      </c>
      <c r="I445" s="2">
        <v>3959.0</v>
      </c>
      <c r="J445" s="1">
        <v>2008.0</v>
      </c>
      <c r="K445" s="1">
        <v>100.0</v>
      </c>
      <c r="L445" s="1" t="s">
        <v>141</v>
      </c>
      <c r="M445" s="1" t="s">
        <v>1822</v>
      </c>
      <c r="N445" s="1" t="s">
        <v>24</v>
      </c>
      <c r="O445" s="1" t="s">
        <v>25</v>
      </c>
      <c r="P445" s="1" t="s">
        <v>1823</v>
      </c>
    </row>
    <row r="446" ht="14.25" customHeight="1">
      <c r="A446" s="1" t="s">
        <v>1824</v>
      </c>
      <c r="B446" s="1" t="s">
        <v>1825</v>
      </c>
      <c r="C446" s="1" t="s">
        <v>76</v>
      </c>
      <c r="D446" s="1">
        <v>97647.0</v>
      </c>
      <c r="E446" s="1" t="s">
        <v>77</v>
      </c>
      <c r="F446" s="1" t="s">
        <v>94</v>
      </c>
      <c r="G446" s="1" t="s">
        <v>21</v>
      </c>
      <c r="H446" s="2">
        <v>2456.0</v>
      </c>
      <c r="I446" s="2">
        <v>6870.0</v>
      </c>
      <c r="J446" s="1">
        <v>1997.0</v>
      </c>
      <c r="K446" s="1">
        <v>69.0</v>
      </c>
      <c r="L446" s="1" t="s">
        <v>62</v>
      </c>
      <c r="M446" s="1" t="s">
        <v>1826</v>
      </c>
      <c r="N446" s="1" t="s">
        <v>34</v>
      </c>
      <c r="O446" s="1" t="s">
        <v>35</v>
      </c>
      <c r="P446" s="1" t="s">
        <v>1827</v>
      </c>
    </row>
    <row r="447" ht="14.25" customHeight="1">
      <c r="A447" s="1" t="s">
        <v>1828</v>
      </c>
      <c r="B447" s="1" t="s">
        <v>1829</v>
      </c>
      <c r="C447" s="1" t="s">
        <v>53</v>
      </c>
      <c r="D447" s="1">
        <v>85311.0</v>
      </c>
      <c r="E447" s="1" t="s">
        <v>40</v>
      </c>
      <c r="F447" s="1" t="s">
        <v>41</v>
      </c>
      <c r="G447" s="1" t="s">
        <v>100</v>
      </c>
      <c r="H447" s="2">
        <v>1209.0</v>
      </c>
      <c r="I447" s="2">
        <v>8910.0</v>
      </c>
      <c r="J447" s="1">
        <v>1963.0</v>
      </c>
      <c r="K447" s="1">
        <v>58.0</v>
      </c>
      <c r="L447" s="1" t="s">
        <v>95</v>
      </c>
      <c r="M447" s="1" t="s">
        <v>1830</v>
      </c>
      <c r="N447" s="1" t="s">
        <v>48</v>
      </c>
      <c r="O447" s="1" t="s">
        <v>49</v>
      </c>
      <c r="P447" s="1" t="s">
        <v>1831</v>
      </c>
    </row>
    <row r="448" ht="14.25" customHeight="1">
      <c r="A448" s="1" t="s">
        <v>1832</v>
      </c>
      <c r="B448" s="1" t="s">
        <v>1833</v>
      </c>
      <c r="C448" s="1" t="s">
        <v>18</v>
      </c>
      <c r="D448" s="1">
        <v>21852.0</v>
      </c>
      <c r="E448" s="1" t="s">
        <v>30</v>
      </c>
      <c r="F448" s="1" t="s">
        <v>94</v>
      </c>
      <c r="G448" s="1" t="s">
        <v>100</v>
      </c>
      <c r="H448" s="2">
        <v>2377.0</v>
      </c>
      <c r="I448" s="2">
        <v>3899.0</v>
      </c>
      <c r="J448" s="1">
        <v>1994.0</v>
      </c>
      <c r="K448" s="1">
        <v>80.0</v>
      </c>
      <c r="L448" s="1" t="s">
        <v>22</v>
      </c>
      <c r="M448" s="1" t="s">
        <v>1834</v>
      </c>
      <c r="N448" s="1" t="s">
        <v>24</v>
      </c>
      <c r="O448" s="1" t="s">
        <v>49</v>
      </c>
      <c r="P448" s="1" t="s">
        <v>1835</v>
      </c>
    </row>
    <row r="449" ht="14.25" customHeight="1">
      <c r="A449" s="1" t="s">
        <v>1836</v>
      </c>
      <c r="B449" s="1" t="s">
        <v>1837</v>
      </c>
      <c r="C449" s="1" t="s">
        <v>29</v>
      </c>
      <c r="D449" s="1">
        <v>86690.0</v>
      </c>
      <c r="E449" s="1" t="s">
        <v>40</v>
      </c>
      <c r="F449" s="1" t="s">
        <v>46</v>
      </c>
      <c r="G449" s="1" t="s">
        <v>31</v>
      </c>
      <c r="H449" s="2">
        <v>1430.0</v>
      </c>
      <c r="I449" s="2">
        <v>3729.0</v>
      </c>
      <c r="J449" s="1">
        <v>1992.0</v>
      </c>
      <c r="K449" s="1">
        <v>111.0</v>
      </c>
      <c r="L449" s="1" t="s">
        <v>95</v>
      </c>
      <c r="M449" s="1" t="s">
        <v>1838</v>
      </c>
      <c r="N449" s="1" t="s">
        <v>43</v>
      </c>
      <c r="O449" s="1" t="s">
        <v>49</v>
      </c>
      <c r="P449" s="1" t="s">
        <v>1839</v>
      </c>
    </row>
    <row r="450" ht="14.25" customHeight="1">
      <c r="A450" s="1" t="s">
        <v>1840</v>
      </c>
      <c r="B450" s="1" t="s">
        <v>1841</v>
      </c>
      <c r="C450" s="1" t="s">
        <v>39</v>
      </c>
      <c r="D450" s="1">
        <v>20349.0</v>
      </c>
      <c r="E450" s="1" t="s">
        <v>19</v>
      </c>
      <c r="F450" s="1" t="s">
        <v>54</v>
      </c>
      <c r="G450" s="1" t="s">
        <v>100</v>
      </c>
      <c r="H450" s="2">
        <v>885.0</v>
      </c>
      <c r="I450" s="2">
        <v>1898.0</v>
      </c>
      <c r="J450" s="1">
        <v>2001.0</v>
      </c>
      <c r="K450" s="1">
        <v>83.0</v>
      </c>
      <c r="L450" s="1" t="s">
        <v>141</v>
      </c>
      <c r="M450" s="1" t="s">
        <v>1842</v>
      </c>
      <c r="N450" s="1" t="s">
        <v>43</v>
      </c>
      <c r="O450" s="1" t="s">
        <v>35</v>
      </c>
      <c r="P450" s="1" t="s">
        <v>1843</v>
      </c>
    </row>
    <row r="451" ht="14.25" customHeight="1">
      <c r="A451" s="1" t="s">
        <v>1844</v>
      </c>
      <c r="B451" s="1" t="s">
        <v>1845</v>
      </c>
      <c r="C451" s="1" t="s">
        <v>53</v>
      </c>
      <c r="D451" s="1">
        <v>97824.0</v>
      </c>
      <c r="E451" s="1" t="s">
        <v>60</v>
      </c>
      <c r="F451" s="1" t="s">
        <v>46</v>
      </c>
      <c r="G451" s="1" t="s">
        <v>100</v>
      </c>
      <c r="H451" s="2">
        <v>1265.0</v>
      </c>
      <c r="I451" s="2">
        <v>5891.0</v>
      </c>
      <c r="J451" s="1">
        <v>1982.0</v>
      </c>
      <c r="K451" s="1">
        <v>16.0</v>
      </c>
      <c r="L451" s="1" t="s">
        <v>95</v>
      </c>
      <c r="M451" s="1" t="s">
        <v>1846</v>
      </c>
      <c r="N451" s="1" t="s">
        <v>34</v>
      </c>
      <c r="O451" s="1" t="s">
        <v>35</v>
      </c>
      <c r="P451" s="1" t="s">
        <v>1847</v>
      </c>
    </row>
    <row r="452" ht="14.25" customHeight="1">
      <c r="A452" s="1" t="s">
        <v>1848</v>
      </c>
      <c r="B452" s="1" t="s">
        <v>1849</v>
      </c>
      <c r="C452" s="1" t="s">
        <v>29</v>
      </c>
      <c r="D452" s="1">
        <v>48074.0</v>
      </c>
      <c r="E452" s="1" t="s">
        <v>60</v>
      </c>
      <c r="F452" s="1" t="s">
        <v>20</v>
      </c>
      <c r="G452" s="1" t="s">
        <v>100</v>
      </c>
      <c r="H452" s="2">
        <v>2085.0</v>
      </c>
      <c r="I452" s="2">
        <v>7296.0</v>
      </c>
      <c r="J452" s="1">
        <v>1998.0</v>
      </c>
      <c r="K452" s="1">
        <v>26.0</v>
      </c>
      <c r="L452" s="1" t="s">
        <v>62</v>
      </c>
      <c r="M452" s="1" t="s">
        <v>1850</v>
      </c>
      <c r="N452" s="1" t="s">
        <v>24</v>
      </c>
      <c r="O452" s="1" t="s">
        <v>35</v>
      </c>
      <c r="P452" s="1" t="s">
        <v>1851</v>
      </c>
    </row>
    <row r="453" ht="14.25" customHeight="1">
      <c r="A453" s="1" t="s">
        <v>1852</v>
      </c>
      <c r="B453" s="1" t="s">
        <v>1853</v>
      </c>
      <c r="C453" s="1" t="s">
        <v>29</v>
      </c>
      <c r="D453" s="1">
        <v>19420.0</v>
      </c>
      <c r="E453" s="1" t="s">
        <v>40</v>
      </c>
      <c r="F453" s="1" t="s">
        <v>20</v>
      </c>
      <c r="G453" s="1" t="s">
        <v>31</v>
      </c>
      <c r="H453" s="2">
        <v>2080.0</v>
      </c>
      <c r="I453" s="2">
        <v>9860.0</v>
      </c>
      <c r="J453" s="1">
        <v>1999.0</v>
      </c>
      <c r="K453" s="1">
        <v>44.0</v>
      </c>
      <c r="L453" s="1" t="s">
        <v>32</v>
      </c>
      <c r="M453" s="1" t="s">
        <v>1854</v>
      </c>
      <c r="N453" s="1" t="s">
        <v>34</v>
      </c>
      <c r="O453" s="1" t="s">
        <v>35</v>
      </c>
      <c r="P453" s="1" t="s">
        <v>1855</v>
      </c>
    </row>
    <row r="454" ht="14.25" customHeight="1">
      <c r="A454" s="1" t="s">
        <v>1856</v>
      </c>
      <c r="B454" s="1" t="s">
        <v>1857</v>
      </c>
      <c r="C454" s="1" t="s">
        <v>18</v>
      </c>
      <c r="D454" s="1">
        <v>19935.0</v>
      </c>
      <c r="E454" s="1" t="s">
        <v>19</v>
      </c>
      <c r="F454" s="1" t="s">
        <v>46</v>
      </c>
      <c r="G454" s="1" t="s">
        <v>55</v>
      </c>
      <c r="H454" s="2">
        <v>3732.0</v>
      </c>
      <c r="I454" s="2">
        <v>8156.0</v>
      </c>
      <c r="J454" s="1">
        <v>2019.0</v>
      </c>
      <c r="K454" s="1">
        <v>30.0</v>
      </c>
      <c r="L454" s="1" t="s">
        <v>62</v>
      </c>
      <c r="M454" s="1" t="s">
        <v>1858</v>
      </c>
      <c r="N454" s="1" t="s">
        <v>34</v>
      </c>
      <c r="O454" s="1" t="s">
        <v>49</v>
      </c>
      <c r="P454" s="1" t="s">
        <v>1859</v>
      </c>
    </row>
    <row r="455" ht="14.25" customHeight="1">
      <c r="A455" s="1" t="s">
        <v>1860</v>
      </c>
      <c r="B455" s="1" t="s">
        <v>1861</v>
      </c>
      <c r="C455" s="1" t="s">
        <v>29</v>
      </c>
      <c r="D455" s="1">
        <v>61586.0</v>
      </c>
      <c r="E455" s="1" t="s">
        <v>77</v>
      </c>
      <c r="F455" s="1" t="s">
        <v>94</v>
      </c>
      <c r="G455" s="1" t="s">
        <v>21</v>
      </c>
      <c r="H455" s="2">
        <v>3158.0</v>
      </c>
      <c r="I455" s="2">
        <v>3949.0</v>
      </c>
      <c r="J455" s="1">
        <v>1960.0</v>
      </c>
      <c r="K455" s="1">
        <v>76.0</v>
      </c>
      <c r="L455" s="1" t="s">
        <v>22</v>
      </c>
      <c r="M455" s="1" t="s">
        <v>1862</v>
      </c>
      <c r="N455" s="1" t="s">
        <v>64</v>
      </c>
      <c r="O455" s="1" t="s">
        <v>25</v>
      </c>
      <c r="P455" s="1" t="s">
        <v>1863</v>
      </c>
    </row>
    <row r="456" ht="14.25" customHeight="1">
      <c r="A456" s="1" t="s">
        <v>1864</v>
      </c>
      <c r="B456" s="1" t="s">
        <v>1865</v>
      </c>
      <c r="C456" s="1" t="s">
        <v>39</v>
      </c>
      <c r="D456" s="1">
        <v>34517.0</v>
      </c>
      <c r="E456" s="1" t="s">
        <v>60</v>
      </c>
      <c r="F456" s="1" t="s">
        <v>20</v>
      </c>
      <c r="G456" s="1" t="s">
        <v>100</v>
      </c>
      <c r="H456" s="2">
        <v>1351.0</v>
      </c>
      <c r="I456" s="2">
        <v>1117.0</v>
      </c>
      <c r="J456" s="1">
        <v>1976.0</v>
      </c>
      <c r="K456" s="1">
        <v>42.0</v>
      </c>
      <c r="L456" s="1" t="s">
        <v>141</v>
      </c>
      <c r="M456" s="1" t="s">
        <v>1866</v>
      </c>
      <c r="N456" s="1" t="s">
        <v>64</v>
      </c>
      <c r="O456" s="1" t="s">
        <v>25</v>
      </c>
      <c r="P456" s="1" t="s">
        <v>1867</v>
      </c>
    </row>
    <row r="457" ht="14.25" customHeight="1">
      <c r="A457" s="1" t="s">
        <v>1868</v>
      </c>
      <c r="B457" s="1" t="s">
        <v>1869</v>
      </c>
      <c r="C457" s="1" t="s">
        <v>29</v>
      </c>
      <c r="D457" s="1">
        <v>33023.0</v>
      </c>
      <c r="E457" s="1" t="s">
        <v>30</v>
      </c>
      <c r="F457" s="1" t="s">
        <v>94</v>
      </c>
      <c r="G457" s="1" t="s">
        <v>21</v>
      </c>
      <c r="H457" s="2">
        <v>3217.0</v>
      </c>
      <c r="I457" s="2">
        <v>8739.0</v>
      </c>
      <c r="J457" s="1">
        <v>1976.0</v>
      </c>
      <c r="K457" s="1">
        <v>49.0</v>
      </c>
      <c r="L457" s="1" t="s">
        <v>62</v>
      </c>
      <c r="M457" s="1" t="s">
        <v>1870</v>
      </c>
      <c r="N457" s="1" t="s">
        <v>34</v>
      </c>
      <c r="O457" s="1" t="s">
        <v>35</v>
      </c>
      <c r="P457" s="1" t="s">
        <v>1871</v>
      </c>
    </row>
    <row r="458" ht="14.25" customHeight="1">
      <c r="A458" s="1" t="s">
        <v>1872</v>
      </c>
      <c r="B458" s="1" t="s">
        <v>1873</v>
      </c>
      <c r="C458" s="1" t="s">
        <v>39</v>
      </c>
      <c r="D458" s="1">
        <v>80702.0</v>
      </c>
      <c r="E458" s="1" t="s">
        <v>77</v>
      </c>
      <c r="F458" s="1" t="s">
        <v>41</v>
      </c>
      <c r="G458" s="1" t="s">
        <v>100</v>
      </c>
      <c r="H458" s="2">
        <v>3431.0</v>
      </c>
      <c r="I458" s="2">
        <v>1449.0</v>
      </c>
      <c r="J458" s="1">
        <v>1958.0</v>
      </c>
      <c r="K458" s="1">
        <v>87.0</v>
      </c>
      <c r="L458" s="1" t="s">
        <v>95</v>
      </c>
      <c r="M458" s="1" t="s">
        <v>1874</v>
      </c>
      <c r="N458" s="1" t="s">
        <v>34</v>
      </c>
      <c r="O458" s="1" t="s">
        <v>25</v>
      </c>
      <c r="P458" s="1" t="s">
        <v>1875</v>
      </c>
    </row>
    <row r="459" ht="14.25" customHeight="1">
      <c r="A459" s="1" t="s">
        <v>1876</v>
      </c>
      <c r="B459" s="1" t="s">
        <v>1877</v>
      </c>
      <c r="C459" s="1" t="s">
        <v>18</v>
      </c>
      <c r="D459" s="1">
        <v>26771.0</v>
      </c>
      <c r="E459" s="1" t="s">
        <v>60</v>
      </c>
      <c r="F459" s="1" t="s">
        <v>46</v>
      </c>
      <c r="G459" s="1" t="s">
        <v>21</v>
      </c>
      <c r="H459" s="2">
        <v>3759.0</v>
      </c>
      <c r="I459" s="2">
        <v>3625.0</v>
      </c>
      <c r="J459" s="1">
        <v>1991.0</v>
      </c>
      <c r="K459" s="1">
        <v>115.0</v>
      </c>
      <c r="L459" s="1" t="s">
        <v>22</v>
      </c>
      <c r="M459" s="1" t="s">
        <v>1878</v>
      </c>
      <c r="N459" s="1" t="s">
        <v>43</v>
      </c>
      <c r="O459" s="1" t="s">
        <v>25</v>
      </c>
      <c r="P459" s="1" t="s">
        <v>1879</v>
      </c>
    </row>
    <row r="460" ht="14.25" customHeight="1">
      <c r="A460" s="1" t="s">
        <v>1880</v>
      </c>
      <c r="B460" s="1" t="s">
        <v>1881</v>
      </c>
      <c r="C460" s="1" t="s">
        <v>53</v>
      </c>
      <c r="D460" s="1">
        <v>23438.0</v>
      </c>
      <c r="E460" s="1" t="s">
        <v>40</v>
      </c>
      <c r="F460" s="1" t="s">
        <v>41</v>
      </c>
      <c r="G460" s="1" t="s">
        <v>21</v>
      </c>
      <c r="H460" s="2">
        <v>2794.0</v>
      </c>
      <c r="I460" s="2">
        <v>9423.0</v>
      </c>
      <c r="J460" s="1">
        <v>1993.0</v>
      </c>
      <c r="K460" s="1">
        <v>34.0</v>
      </c>
      <c r="L460" s="1" t="s">
        <v>141</v>
      </c>
      <c r="M460" s="1" t="s">
        <v>1882</v>
      </c>
      <c r="N460" s="1" t="s">
        <v>48</v>
      </c>
      <c r="O460" s="1" t="s">
        <v>49</v>
      </c>
      <c r="P460" s="1" t="s">
        <v>1883</v>
      </c>
    </row>
    <row r="461" ht="14.25" customHeight="1">
      <c r="A461" s="1" t="s">
        <v>1884</v>
      </c>
      <c r="B461" s="1" t="s">
        <v>1885</v>
      </c>
      <c r="C461" s="1" t="s">
        <v>53</v>
      </c>
      <c r="D461" s="1">
        <v>29161.0</v>
      </c>
      <c r="E461" s="1" t="s">
        <v>77</v>
      </c>
      <c r="F461" s="1" t="s">
        <v>46</v>
      </c>
      <c r="G461" s="1" t="s">
        <v>21</v>
      </c>
      <c r="H461" s="2">
        <v>2346.0</v>
      </c>
      <c r="I461" s="2">
        <v>6734.0</v>
      </c>
      <c r="J461" s="1">
        <v>1966.0</v>
      </c>
      <c r="K461" s="1">
        <v>102.0</v>
      </c>
      <c r="L461" s="1" t="s">
        <v>22</v>
      </c>
      <c r="M461" s="1" t="s">
        <v>1886</v>
      </c>
      <c r="N461" s="1" t="s">
        <v>48</v>
      </c>
      <c r="O461" s="1" t="s">
        <v>49</v>
      </c>
      <c r="P461" s="1" t="s">
        <v>1887</v>
      </c>
    </row>
    <row r="462" ht="14.25" customHeight="1">
      <c r="A462" s="1" t="s">
        <v>1888</v>
      </c>
      <c r="B462" s="1" t="s">
        <v>1889</v>
      </c>
      <c r="C462" s="1" t="s">
        <v>29</v>
      </c>
      <c r="D462" s="1">
        <v>45418.0</v>
      </c>
      <c r="E462" s="1" t="s">
        <v>77</v>
      </c>
      <c r="F462" s="1" t="s">
        <v>94</v>
      </c>
      <c r="G462" s="1" t="s">
        <v>31</v>
      </c>
      <c r="H462" s="2">
        <v>3654.0</v>
      </c>
      <c r="I462" s="2">
        <v>9907.0</v>
      </c>
      <c r="J462" s="1">
        <v>2013.0</v>
      </c>
      <c r="K462" s="1">
        <v>3.0</v>
      </c>
      <c r="L462" s="1" t="s">
        <v>32</v>
      </c>
      <c r="M462" s="1" t="s">
        <v>1890</v>
      </c>
      <c r="N462" s="1" t="s">
        <v>48</v>
      </c>
      <c r="O462" s="1" t="s">
        <v>49</v>
      </c>
      <c r="P462" s="1" t="s">
        <v>1891</v>
      </c>
    </row>
    <row r="463" ht="14.25" customHeight="1">
      <c r="A463" s="1" t="s">
        <v>1892</v>
      </c>
      <c r="B463" s="1" t="s">
        <v>1893</v>
      </c>
      <c r="C463" s="1" t="s">
        <v>29</v>
      </c>
      <c r="D463" s="1">
        <v>18979.0</v>
      </c>
      <c r="E463" s="1" t="s">
        <v>77</v>
      </c>
      <c r="F463" s="1" t="s">
        <v>41</v>
      </c>
      <c r="G463" s="1" t="s">
        <v>31</v>
      </c>
      <c r="H463" s="2">
        <v>2452.0</v>
      </c>
      <c r="I463" s="2">
        <v>2886.0</v>
      </c>
      <c r="J463" s="1">
        <v>2016.0</v>
      </c>
      <c r="K463" s="1">
        <v>87.0</v>
      </c>
      <c r="L463" s="1" t="s">
        <v>22</v>
      </c>
      <c r="M463" s="1" t="s">
        <v>1894</v>
      </c>
      <c r="N463" s="1" t="s">
        <v>64</v>
      </c>
      <c r="O463" s="1" t="s">
        <v>25</v>
      </c>
      <c r="P463" s="1" t="s">
        <v>1895</v>
      </c>
    </row>
    <row r="464" ht="14.25" customHeight="1">
      <c r="A464" s="1" t="s">
        <v>1896</v>
      </c>
      <c r="B464" s="1" t="s">
        <v>1897</v>
      </c>
      <c r="C464" s="1" t="s">
        <v>53</v>
      </c>
      <c r="D464" s="1">
        <v>96388.0</v>
      </c>
      <c r="E464" s="1" t="s">
        <v>30</v>
      </c>
      <c r="F464" s="1" t="s">
        <v>46</v>
      </c>
      <c r="G464" s="1" t="s">
        <v>21</v>
      </c>
      <c r="H464" s="2">
        <v>2610.0</v>
      </c>
      <c r="I464" s="2">
        <v>8780.0</v>
      </c>
      <c r="J464" s="1">
        <v>1977.0</v>
      </c>
      <c r="K464" s="1">
        <v>34.0</v>
      </c>
      <c r="L464" s="1" t="s">
        <v>32</v>
      </c>
      <c r="M464" s="1" t="s">
        <v>1898</v>
      </c>
      <c r="N464" s="1" t="s">
        <v>24</v>
      </c>
      <c r="O464" s="1" t="s">
        <v>25</v>
      </c>
      <c r="P464" s="1" t="s">
        <v>1899</v>
      </c>
    </row>
    <row r="465" ht="14.25" customHeight="1">
      <c r="A465" s="1" t="s">
        <v>1900</v>
      </c>
      <c r="B465" s="1" t="s">
        <v>1901</v>
      </c>
      <c r="C465" s="1" t="s">
        <v>53</v>
      </c>
      <c r="D465" s="1">
        <v>68265.0</v>
      </c>
      <c r="E465" s="1" t="s">
        <v>19</v>
      </c>
      <c r="F465" s="1" t="s">
        <v>46</v>
      </c>
      <c r="G465" s="1" t="s">
        <v>21</v>
      </c>
      <c r="H465" s="2">
        <v>2652.0</v>
      </c>
      <c r="I465" s="2">
        <v>5338.0</v>
      </c>
      <c r="J465" s="1">
        <v>1952.0</v>
      </c>
      <c r="K465" s="1">
        <v>71.0</v>
      </c>
      <c r="L465" s="1" t="s">
        <v>22</v>
      </c>
      <c r="M465" s="1" t="s">
        <v>1902</v>
      </c>
      <c r="N465" s="1" t="s">
        <v>34</v>
      </c>
      <c r="O465" s="1" t="s">
        <v>25</v>
      </c>
      <c r="P465" s="1" t="s">
        <v>1903</v>
      </c>
    </row>
    <row r="466" ht="14.25" customHeight="1">
      <c r="A466" s="1" t="s">
        <v>1904</v>
      </c>
      <c r="B466" s="1" t="s">
        <v>1905</v>
      </c>
      <c r="C466" s="1" t="s">
        <v>18</v>
      </c>
      <c r="D466" s="1">
        <v>52635.0</v>
      </c>
      <c r="E466" s="1" t="s">
        <v>77</v>
      </c>
      <c r="F466" s="1" t="s">
        <v>20</v>
      </c>
      <c r="G466" s="1" t="s">
        <v>100</v>
      </c>
      <c r="H466" s="2">
        <v>3549.0</v>
      </c>
      <c r="I466" s="2">
        <v>4792.0</v>
      </c>
      <c r="J466" s="1">
        <v>1973.0</v>
      </c>
      <c r="K466" s="1">
        <v>43.0</v>
      </c>
      <c r="L466" s="1" t="s">
        <v>141</v>
      </c>
      <c r="M466" s="1" t="s">
        <v>1906</v>
      </c>
      <c r="N466" s="1" t="s">
        <v>24</v>
      </c>
      <c r="O466" s="1" t="s">
        <v>35</v>
      </c>
      <c r="P466" s="1" t="s">
        <v>1907</v>
      </c>
    </row>
    <row r="467" ht="14.25" customHeight="1">
      <c r="A467" s="1" t="s">
        <v>1908</v>
      </c>
      <c r="B467" s="1" t="s">
        <v>1909</v>
      </c>
      <c r="C467" s="1" t="s">
        <v>76</v>
      </c>
      <c r="D467" s="1">
        <v>77562.0</v>
      </c>
      <c r="E467" s="1" t="s">
        <v>40</v>
      </c>
      <c r="F467" s="1" t="s">
        <v>20</v>
      </c>
      <c r="G467" s="1" t="s">
        <v>21</v>
      </c>
      <c r="H467" s="2">
        <v>1831.0</v>
      </c>
      <c r="I467" s="2">
        <v>4659.0</v>
      </c>
      <c r="J467" s="1">
        <v>1990.0</v>
      </c>
      <c r="K467" s="1">
        <v>7.0</v>
      </c>
      <c r="L467" s="1" t="s">
        <v>62</v>
      </c>
      <c r="M467" s="1" t="s">
        <v>1910</v>
      </c>
      <c r="N467" s="1" t="s">
        <v>64</v>
      </c>
      <c r="O467" s="1" t="s">
        <v>25</v>
      </c>
      <c r="P467" s="1" t="s">
        <v>1911</v>
      </c>
    </row>
    <row r="468" ht="14.25" customHeight="1">
      <c r="A468" s="1" t="s">
        <v>1912</v>
      </c>
      <c r="B468" s="1" t="s">
        <v>1913</v>
      </c>
      <c r="C468" s="1" t="s">
        <v>53</v>
      </c>
      <c r="D468" s="1">
        <v>42337.0</v>
      </c>
      <c r="E468" s="1" t="s">
        <v>60</v>
      </c>
      <c r="F468" s="1" t="s">
        <v>61</v>
      </c>
      <c r="G468" s="1" t="s">
        <v>100</v>
      </c>
      <c r="H468" s="2">
        <v>1507.0</v>
      </c>
      <c r="I468" s="2">
        <v>8044.0</v>
      </c>
      <c r="J468" s="1">
        <v>1983.0</v>
      </c>
      <c r="K468" s="1">
        <v>112.0</v>
      </c>
      <c r="L468" s="1" t="s">
        <v>62</v>
      </c>
      <c r="M468" s="1" t="s">
        <v>1914</v>
      </c>
      <c r="N468" s="1" t="s">
        <v>64</v>
      </c>
      <c r="O468" s="1" t="s">
        <v>35</v>
      </c>
      <c r="P468" s="1" t="s">
        <v>1915</v>
      </c>
    </row>
    <row r="469" ht="14.25" customHeight="1">
      <c r="A469" s="1" t="s">
        <v>1916</v>
      </c>
      <c r="B469" s="1" t="s">
        <v>1917</v>
      </c>
      <c r="C469" s="1" t="s">
        <v>53</v>
      </c>
      <c r="D469" s="1">
        <v>41713.0</v>
      </c>
      <c r="E469" s="1" t="s">
        <v>19</v>
      </c>
      <c r="F469" s="1" t="s">
        <v>41</v>
      </c>
      <c r="G469" s="1" t="s">
        <v>31</v>
      </c>
      <c r="H469" s="2">
        <v>3226.0</v>
      </c>
      <c r="I469" s="2">
        <v>4493.0</v>
      </c>
      <c r="J469" s="1">
        <v>2004.0</v>
      </c>
      <c r="K469" s="1">
        <v>58.0</v>
      </c>
      <c r="L469" s="1" t="s">
        <v>62</v>
      </c>
      <c r="M469" s="1" t="s">
        <v>1918</v>
      </c>
      <c r="N469" s="1" t="s">
        <v>64</v>
      </c>
      <c r="O469" s="1" t="s">
        <v>49</v>
      </c>
      <c r="P469" s="1" t="s">
        <v>1919</v>
      </c>
    </row>
    <row r="470" ht="14.25" customHeight="1">
      <c r="A470" s="1" t="s">
        <v>1920</v>
      </c>
      <c r="B470" s="1" t="s">
        <v>1921</v>
      </c>
      <c r="C470" s="1" t="s">
        <v>18</v>
      </c>
      <c r="D470" s="1">
        <v>16656.0</v>
      </c>
      <c r="E470" s="1" t="s">
        <v>60</v>
      </c>
      <c r="F470" s="1" t="s">
        <v>46</v>
      </c>
      <c r="G470" s="1" t="s">
        <v>55</v>
      </c>
      <c r="H470" s="2">
        <v>2148.0</v>
      </c>
      <c r="I470" s="2">
        <v>9539.0</v>
      </c>
      <c r="J470" s="1">
        <v>2015.0</v>
      </c>
      <c r="K470" s="1">
        <v>94.0</v>
      </c>
      <c r="L470" s="1" t="s">
        <v>22</v>
      </c>
      <c r="M470" s="1" t="s">
        <v>1922</v>
      </c>
      <c r="N470" s="1" t="s">
        <v>64</v>
      </c>
      <c r="O470" s="1" t="s">
        <v>49</v>
      </c>
      <c r="P470" s="1" t="s">
        <v>1923</v>
      </c>
    </row>
    <row r="471" ht="14.25" customHeight="1">
      <c r="A471" s="1" t="s">
        <v>1924</v>
      </c>
      <c r="B471" s="1" t="s">
        <v>1925</v>
      </c>
      <c r="C471" s="1" t="s">
        <v>53</v>
      </c>
      <c r="D471" s="1">
        <v>49604.0</v>
      </c>
      <c r="E471" s="1" t="s">
        <v>77</v>
      </c>
      <c r="F471" s="1" t="s">
        <v>61</v>
      </c>
      <c r="G471" s="1" t="s">
        <v>55</v>
      </c>
      <c r="H471" s="2">
        <v>3235.0</v>
      </c>
      <c r="I471" s="2">
        <v>3939.0</v>
      </c>
      <c r="J471" s="1">
        <v>1960.0</v>
      </c>
      <c r="K471" s="1">
        <v>94.0</v>
      </c>
      <c r="L471" s="1" t="s">
        <v>22</v>
      </c>
      <c r="M471" s="1" t="s">
        <v>1926</v>
      </c>
      <c r="N471" s="1" t="s">
        <v>64</v>
      </c>
      <c r="O471" s="1" t="s">
        <v>25</v>
      </c>
      <c r="P471" s="1" t="s">
        <v>1927</v>
      </c>
    </row>
    <row r="472" ht="14.25" customHeight="1">
      <c r="A472" s="1" t="s">
        <v>1928</v>
      </c>
      <c r="B472" s="1" t="s">
        <v>1929</v>
      </c>
      <c r="C472" s="1" t="s">
        <v>29</v>
      </c>
      <c r="D472" s="1">
        <v>18615.0</v>
      </c>
      <c r="E472" s="1" t="s">
        <v>77</v>
      </c>
      <c r="F472" s="1" t="s">
        <v>61</v>
      </c>
      <c r="G472" s="1" t="s">
        <v>31</v>
      </c>
      <c r="H472" s="2">
        <v>2253.0</v>
      </c>
      <c r="I472" s="2">
        <v>6488.0</v>
      </c>
      <c r="J472" s="1">
        <v>1972.0</v>
      </c>
      <c r="K472" s="1">
        <v>96.0</v>
      </c>
      <c r="L472" s="1" t="s">
        <v>95</v>
      </c>
      <c r="M472" s="1" t="s">
        <v>1930</v>
      </c>
      <c r="N472" s="1" t="s">
        <v>43</v>
      </c>
      <c r="O472" s="1" t="s">
        <v>35</v>
      </c>
      <c r="P472" s="1" t="s">
        <v>1931</v>
      </c>
    </row>
    <row r="473" ht="14.25" customHeight="1">
      <c r="A473" s="1" t="s">
        <v>1932</v>
      </c>
      <c r="B473" s="1" t="s">
        <v>1933</v>
      </c>
      <c r="C473" s="1" t="s">
        <v>29</v>
      </c>
      <c r="D473" s="1">
        <v>23436.0</v>
      </c>
      <c r="E473" s="1" t="s">
        <v>40</v>
      </c>
      <c r="F473" s="1" t="s">
        <v>41</v>
      </c>
      <c r="G473" s="1" t="s">
        <v>55</v>
      </c>
      <c r="H473" s="2">
        <v>2454.0</v>
      </c>
      <c r="I473" s="2">
        <v>5887.0</v>
      </c>
      <c r="J473" s="1">
        <v>1989.0</v>
      </c>
      <c r="K473" s="1">
        <v>50.0</v>
      </c>
      <c r="L473" s="1" t="s">
        <v>62</v>
      </c>
      <c r="M473" s="1" t="s">
        <v>1934</v>
      </c>
      <c r="N473" s="1" t="s">
        <v>48</v>
      </c>
      <c r="O473" s="1" t="s">
        <v>49</v>
      </c>
      <c r="P473" s="1" t="s">
        <v>1935</v>
      </c>
    </row>
    <row r="474" ht="14.25" customHeight="1">
      <c r="A474" s="1" t="s">
        <v>1936</v>
      </c>
      <c r="B474" s="1" t="s">
        <v>1937</v>
      </c>
      <c r="C474" s="1" t="s">
        <v>76</v>
      </c>
      <c r="D474" s="1">
        <v>56080.0</v>
      </c>
      <c r="E474" s="1" t="s">
        <v>30</v>
      </c>
      <c r="F474" s="1" t="s">
        <v>61</v>
      </c>
      <c r="G474" s="1" t="s">
        <v>31</v>
      </c>
      <c r="H474" s="2">
        <v>3083.0</v>
      </c>
      <c r="I474" s="2">
        <v>8448.0</v>
      </c>
      <c r="J474" s="1">
        <v>1966.0</v>
      </c>
      <c r="K474" s="1">
        <v>67.0</v>
      </c>
      <c r="L474" s="1" t="s">
        <v>62</v>
      </c>
      <c r="M474" s="1" t="s">
        <v>1938</v>
      </c>
      <c r="N474" s="1" t="s">
        <v>64</v>
      </c>
      <c r="O474" s="1" t="s">
        <v>25</v>
      </c>
      <c r="P474" s="1" t="s">
        <v>1939</v>
      </c>
    </row>
    <row r="475" ht="14.25" customHeight="1">
      <c r="A475" s="1" t="s">
        <v>1940</v>
      </c>
      <c r="B475" s="1" t="s">
        <v>1941</v>
      </c>
      <c r="C475" s="1" t="s">
        <v>53</v>
      </c>
      <c r="D475" s="1">
        <v>35544.0</v>
      </c>
      <c r="E475" s="1" t="s">
        <v>19</v>
      </c>
      <c r="F475" s="1" t="s">
        <v>20</v>
      </c>
      <c r="G475" s="1" t="s">
        <v>21</v>
      </c>
      <c r="H475" s="2">
        <v>2037.0</v>
      </c>
      <c r="I475" s="2">
        <v>6805.0</v>
      </c>
      <c r="J475" s="1">
        <v>1972.0</v>
      </c>
      <c r="K475" s="1">
        <v>64.0</v>
      </c>
      <c r="L475" s="1" t="s">
        <v>32</v>
      </c>
      <c r="M475" s="1" t="s">
        <v>1942</v>
      </c>
      <c r="N475" s="1" t="s">
        <v>43</v>
      </c>
      <c r="O475" s="1" t="s">
        <v>25</v>
      </c>
      <c r="P475" s="1" t="s">
        <v>1943</v>
      </c>
    </row>
    <row r="476" ht="14.25" customHeight="1">
      <c r="A476" s="1" t="s">
        <v>1944</v>
      </c>
      <c r="B476" s="1" t="s">
        <v>1945</v>
      </c>
      <c r="C476" s="1" t="s">
        <v>18</v>
      </c>
      <c r="D476" s="1">
        <v>29803.0</v>
      </c>
      <c r="E476" s="1" t="s">
        <v>40</v>
      </c>
      <c r="F476" s="1" t="s">
        <v>61</v>
      </c>
      <c r="G476" s="1" t="s">
        <v>100</v>
      </c>
      <c r="H476" s="2">
        <v>2723.0</v>
      </c>
      <c r="I476" s="2">
        <v>6968.0</v>
      </c>
      <c r="J476" s="1">
        <v>1957.0</v>
      </c>
      <c r="K476" s="1">
        <v>57.0</v>
      </c>
      <c r="L476" s="1" t="s">
        <v>95</v>
      </c>
      <c r="M476" s="1" t="s">
        <v>1946</v>
      </c>
      <c r="N476" s="1" t="s">
        <v>34</v>
      </c>
      <c r="O476" s="1" t="s">
        <v>49</v>
      </c>
      <c r="P476" s="1" t="s">
        <v>1947</v>
      </c>
    </row>
    <row r="477" ht="14.25" customHeight="1">
      <c r="A477" s="1" t="s">
        <v>1948</v>
      </c>
      <c r="B477" s="1" t="s">
        <v>1949</v>
      </c>
      <c r="C477" s="1" t="s">
        <v>76</v>
      </c>
      <c r="D477" s="1">
        <v>11210.0</v>
      </c>
      <c r="E477" s="1" t="s">
        <v>30</v>
      </c>
      <c r="F477" s="1" t="s">
        <v>61</v>
      </c>
      <c r="G477" s="1" t="s">
        <v>55</v>
      </c>
      <c r="H477" s="2">
        <v>3694.0</v>
      </c>
      <c r="I477" s="2">
        <v>9944.0</v>
      </c>
      <c r="J477" s="1">
        <v>1973.0</v>
      </c>
      <c r="K477" s="1">
        <v>16.0</v>
      </c>
      <c r="L477" s="1" t="s">
        <v>141</v>
      </c>
      <c r="M477" s="1" t="s">
        <v>1950</v>
      </c>
      <c r="N477" s="1" t="s">
        <v>43</v>
      </c>
      <c r="O477" s="1" t="s">
        <v>25</v>
      </c>
      <c r="P477" s="1" t="s">
        <v>1951</v>
      </c>
    </row>
    <row r="478" ht="14.25" customHeight="1">
      <c r="A478" s="1" t="s">
        <v>1952</v>
      </c>
      <c r="B478" s="1" t="s">
        <v>1953</v>
      </c>
      <c r="C478" s="1" t="s">
        <v>53</v>
      </c>
      <c r="D478" s="1">
        <v>50766.0</v>
      </c>
      <c r="E478" s="1" t="s">
        <v>77</v>
      </c>
      <c r="F478" s="1" t="s">
        <v>46</v>
      </c>
      <c r="G478" s="1" t="s">
        <v>100</v>
      </c>
      <c r="H478" s="2">
        <v>1746.0</v>
      </c>
      <c r="I478" s="2">
        <v>9811.0</v>
      </c>
      <c r="J478" s="1">
        <v>2013.0</v>
      </c>
      <c r="K478" s="1">
        <v>97.0</v>
      </c>
      <c r="L478" s="1" t="s">
        <v>62</v>
      </c>
      <c r="M478" s="1" t="s">
        <v>1954</v>
      </c>
      <c r="N478" s="1" t="s">
        <v>24</v>
      </c>
      <c r="O478" s="1" t="s">
        <v>35</v>
      </c>
      <c r="P478" s="1" t="s">
        <v>1955</v>
      </c>
    </row>
    <row r="479" ht="14.25" customHeight="1">
      <c r="A479" s="1" t="s">
        <v>1956</v>
      </c>
      <c r="B479" s="1" t="s">
        <v>1957</v>
      </c>
      <c r="C479" s="1" t="s">
        <v>53</v>
      </c>
      <c r="D479" s="1">
        <v>94827.0</v>
      </c>
      <c r="E479" s="1" t="s">
        <v>40</v>
      </c>
      <c r="F479" s="1" t="s">
        <v>46</v>
      </c>
      <c r="G479" s="1" t="s">
        <v>100</v>
      </c>
      <c r="H479" s="2">
        <v>841.0</v>
      </c>
      <c r="I479" s="2">
        <v>5960.0</v>
      </c>
      <c r="J479" s="1">
        <v>1991.0</v>
      </c>
      <c r="K479" s="1">
        <v>28.0</v>
      </c>
      <c r="L479" s="1" t="s">
        <v>32</v>
      </c>
      <c r="M479" s="1" t="s">
        <v>1958</v>
      </c>
      <c r="N479" s="1" t="s">
        <v>43</v>
      </c>
      <c r="O479" s="1" t="s">
        <v>25</v>
      </c>
      <c r="P479" s="1" t="s">
        <v>1959</v>
      </c>
    </row>
    <row r="480" ht="14.25" customHeight="1">
      <c r="A480" s="1" t="s">
        <v>1960</v>
      </c>
      <c r="B480" s="1" t="s">
        <v>1961</v>
      </c>
      <c r="C480" s="1" t="s">
        <v>76</v>
      </c>
      <c r="D480" s="1">
        <v>89195.0</v>
      </c>
      <c r="E480" s="1" t="s">
        <v>30</v>
      </c>
      <c r="F480" s="1" t="s">
        <v>54</v>
      </c>
      <c r="G480" s="1" t="s">
        <v>31</v>
      </c>
      <c r="H480" s="2">
        <v>741.0</v>
      </c>
      <c r="I480" s="2">
        <v>8032.0</v>
      </c>
      <c r="J480" s="1">
        <v>2018.0</v>
      </c>
      <c r="K480" s="1">
        <v>70.0</v>
      </c>
      <c r="L480" s="1" t="s">
        <v>141</v>
      </c>
      <c r="M480" s="1" t="s">
        <v>1962</v>
      </c>
      <c r="N480" s="1" t="s">
        <v>48</v>
      </c>
      <c r="O480" s="1" t="s">
        <v>35</v>
      </c>
      <c r="P480" s="1" t="s">
        <v>1963</v>
      </c>
    </row>
    <row r="481" ht="14.25" customHeight="1">
      <c r="A481" s="1" t="s">
        <v>1964</v>
      </c>
      <c r="B481" s="1" t="s">
        <v>1965</v>
      </c>
      <c r="C481" s="1" t="s">
        <v>18</v>
      </c>
      <c r="D481" s="1">
        <v>48115.0</v>
      </c>
      <c r="E481" s="1" t="s">
        <v>60</v>
      </c>
      <c r="F481" s="1" t="s">
        <v>20</v>
      </c>
      <c r="G481" s="1" t="s">
        <v>21</v>
      </c>
      <c r="H481" s="2">
        <v>3404.0</v>
      </c>
      <c r="I481" s="2">
        <v>6596.0</v>
      </c>
      <c r="J481" s="1">
        <v>1979.0</v>
      </c>
      <c r="K481" s="1">
        <v>27.0</v>
      </c>
      <c r="L481" s="1" t="s">
        <v>95</v>
      </c>
      <c r="M481" s="1" t="s">
        <v>1966</v>
      </c>
      <c r="N481" s="1" t="s">
        <v>64</v>
      </c>
      <c r="O481" s="1" t="s">
        <v>49</v>
      </c>
      <c r="P481" s="1" t="s">
        <v>1967</v>
      </c>
    </row>
    <row r="482" ht="14.25" customHeight="1">
      <c r="A482" s="1" t="s">
        <v>1968</v>
      </c>
      <c r="B482" s="1" t="s">
        <v>1969</v>
      </c>
      <c r="C482" s="1" t="s">
        <v>53</v>
      </c>
      <c r="D482" s="1">
        <v>99183.0</v>
      </c>
      <c r="E482" s="1" t="s">
        <v>60</v>
      </c>
      <c r="F482" s="1" t="s">
        <v>94</v>
      </c>
      <c r="G482" s="1" t="s">
        <v>100</v>
      </c>
      <c r="H482" s="2">
        <v>2294.0</v>
      </c>
      <c r="I482" s="2">
        <v>5246.0</v>
      </c>
      <c r="J482" s="1">
        <v>2015.0</v>
      </c>
      <c r="K482" s="1">
        <v>116.0</v>
      </c>
      <c r="L482" s="1" t="s">
        <v>95</v>
      </c>
      <c r="M482" s="1" t="s">
        <v>1970</v>
      </c>
      <c r="N482" s="1" t="s">
        <v>24</v>
      </c>
      <c r="O482" s="1" t="s">
        <v>35</v>
      </c>
      <c r="P482" s="1" t="s">
        <v>1971</v>
      </c>
    </row>
    <row r="483" ht="14.25" customHeight="1">
      <c r="A483" s="1" t="s">
        <v>1972</v>
      </c>
      <c r="B483" s="1" t="s">
        <v>1973</v>
      </c>
      <c r="C483" s="1" t="s">
        <v>53</v>
      </c>
      <c r="D483" s="1">
        <v>28501.0</v>
      </c>
      <c r="E483" s="1" t="s">
        <v>30</v>
      </c>
      <c r="F483" s="1" t="s">
        <v>46</v>
      </c>
      <c r="G483" s="1" t="s">
        <v>100</v>
      </c>
      <c r="H483" s="2">
        <v>622.0</v>
      </c>
      <c r="I483" s="2">
        <v>4625.0</v>
      </c>
      <c r="J483" s="1">
        <v>1992.0</v>
      </c>
      <c r="K483" s="1">
        <v>84.0</v>
      </c>
      <c r="L483" s="1" t="s">
        <v>141</v>
      </c>
      <c r="M483" s="1" t="s">
        <v>1974</v>
      </c>
      <c r="N483" s="1" t="s">
        <v>48</v>
      </c>
      <c r="O483" s="1" t="s">
        <v>49</v>
      </c>
      <c r="P483" s="1" t="s">
        <v>1975</v>
      </c>
    </row>
    <row r="484" ht="14.25" customHeight="1">
      <c r="A484" s="1" t="s">
        <v>1976</v>
      </c>
      <c r="B484" s="1" t="s">
        <v>1977</v>
      </c>
      <c r="C484" s="1" t="s">
        <v>53</v>
      </c>
      <c r="D484" s="1">
        <v>95821.0</v>
      </c>
      <c r="E484" s="1" t="s">
        <v>40</v>
      </c>
      <c r="F484" s="1" t="s">
        <v>94</v>
      </c>
      <c r="G484" s="1" t="s">
        <v>31</v>
      </c>
      <c r="H484" s="2">
        <v>3816.0</v>
      </c>
      <c r="I484" s="2">
        <v>7652.0</v>
      </c>
      <c r="J484" s="1">
        <v>1963.0</v>
      </c>
      <c r="K484" s="1">
        <v>114.0</v>
      </c>
      <c r="L484" s="1" t="s">
        <v>22</v>
      </c>
      <c r="M484" s="1" t="s">
        <v>1978</v>
      </c>
      <c r="N484" s="1" t="s">
        <v>24</v>
      </c>
      <c r="O484" s="1" t="s">
        <v>25</v>
      </c>
      <c r="P484" s="1" t="s">
        <v>1979</v>
      </c>
    </row>
    <row r="485" ht="14.25" customHeight="1">
      <c r="A485" s="1" t="s">
        <v>1980</v>
      </c>
      <c r="B485" s="1" t="s">
        <v>1981</v>
      </c>
      <c r="C485" s="1" t="s">
        <v>76</v>
      </c>
      <c r="D485" s="1">
        <v>35045.0</v>
      </c>
      <c r="E485" s="1" t="s">
        <v>60</v>
      </c>
      <c r="F485" s="1" t="s">
        <v>20</v>
      </c>
      <c r="G485" s="1" t="s">
        <v>21</v>
      </c>
      <c r="H485" s="2">
        <v>1502.0</v>
      </c>
      <c r="I485" s="2">
        <v>7040.0</v>
      </c>
      <c r="J485" s="1">
        <v>1975.0</v>
      </c>
      <c r="K485" s="1">
        <v>106.0</v>
      </c>
      <c r="L485" s="1" t="s">
        <v>22</v>
      </c>
      <c r="M485" s="1" t="s">
        <v>1982</v>
      </c>
      <c r="N485" s="1" t="s">
        <v>24</v>
      </c>
      <c r="O485" s="1" t="s">
        <v>49</v>
      </c>
      <c r="P485" s="1" t="s">
        <v>1983</v>
      </c>
    </row>
    <row r="486" ht="14.25" customHeight="1">
      <c r="A486" s="1" t="s">
        <v>1984</v>
      </c>
      <c r="B486" s="1" t="s">
        <v>1985</v>
      </c>
      <c r="C486" s="1" t="s">
        <v>18</v>
      </c>
      <c r="D486" s="1">
        <v>94919.0</v>
      </c>
      <c r="E486" s="1" t="s">
        <v>30</v>
      </c>
      <c r="F486" s="1" t="s">
        <v>54</v>
      </c>
      <c r="G486" s="1" t="s">
        <v>100</v>
      </c>
      <c r="H486" s="2">
        <v>3771.0</v>
      </c>
      <c r="I486" s="2">
        <v>2665.0</v>
      </c>
      <c r="J486" s="1">
        <v>1982.0</v>
      </c>
      <c r="K486" s="1">
        <v>112.0</v>
      </c>
      <c r="L486" s="1" t="s">
        <v>141</v>
      </c>
      <c r="M486" s="1" t="s">
        <v>1986</v>
      </c>
      <c r="N486" s="1" t="s">
        <v>64</v>
      </c>
      <c r="O486" s="1" t="s">
        <v>49</v>
      </c>
      <c r="P486" s="1" t="s">
        <v>1987</v>
      </c>
    </row>
    <row r="487" ht="14.25" customHeight="1">
      <c r="A487" s="1" t="s">
        <v>1988</v>
      </c>
      <c r="B487" s="1" t="s">
        <v>1989</v>
      </c>
      <c r="C487" s="1" t="s">
        <v>76</v>
      </c>
      <c r="D487" s="1">
        <v>20373.0</v>
      </c>
      <c r="E487" s="1" t="s">
        <v>77</v>
      </c>
      <c r="F487" s="1" t="s">
        <v>61</v>
      </c>
      <c r="G487" s="1" t="s">
        <v>100</v>
      </c>
      <c r="H487" s="2">
        <v>718.0</v>
      </c>
      <c r="I487" s="2">
        <v>1624.0</v>
      </c>
      <c r="J487" s="1">
        <v>1964.0</v>
      </c>
      <c r="K487" s="1">
        <v>104.0</v>
      </c>
      <c r="L487" s="1" t="s">
        <v>32</v>
      </c>
      <c r="M487" s="1" t="s">
        <v>1990</v>
      </c>
      <c r="N487" s="1" t="s">
        <v>24</v>
      </c>
      <c r="O487" s="1" t="s">
        <v>25</v>
      </c>
      <c r="P487" s="1" t="s">
        <v>1991</v>
      </c>
    </row>
    <row r="488" ht="14.25" customHeight="1">
      <c r="A488" s="1" t="s">
        <v>1992</v>
      </c>
      <c r="B488" s="1" t="s">
        <v>1993</v>
      </c>
      <c r="C488" s="1" t="s">
        <v>39</v>
      </c>
      <c r="D488" s="1">
        <v>82995.0</v>
      </c>
      <c r="E488" s="1" t="s">
        <v>30</v>
      </c>
      <c r="F488" s="1" t="s">
        <v>94</v>
      </c>
      <c r="G488" s="1" t="s">
        <v>55</v>
      </c>
      <c r="H488" s="2">
        <v>1725.0</v>
      </c>
      <c r="I488" s="2">
        <v>5053.0</v>
      </c>
      <c r="J488" s="1">
        <v>1978.0</v>
      </c>
      <c r="K488" s="1">
        <v>40.0</v>
      </c>
      <c r="L488" s="1" t="s">
        <v>141</v>
      </c>
      <c r="M488" s="1" t="s">
        <v>1994</v>
      </c>
      <c r="N488" s="1" t="s">
        <v>34</v>
      </c>
      <c r="O488" s="1" t="s">
        <v>35</v>
      </c>
      <c r="P488" s="1" t="s">
        <v>1995</v>
      </c>
    </row>
    <row r="489" ht="14.25" customHeight="1">
      <c r="A489" s="1" t="s">
        <v>1996</v>
      </c>
      <c r="B489" s="1" t="s">
        <v>1997</v>
      </c>
      <c r="C489" s="1" t="s">
        <v>39</v>
      </c>
      <c r="D489" s="1">
        <v>58019.0</v>
      </c>
      <c r="E489" s="1" t="s">
        <v>60</v>
      </c>
      <c r="F489" s="1" t="s">
        <v>61</v>
      </c>
      <c r="G489" s="1" t="s">
        <v>21</v>
      </c>
      <c r="H489" s="2">
        <v>1188.0</v>
      </c>
      <c r="I489" s="2">
        <v>7429.0</v>
      </c>
      <c r="J489" s="1">
        <v>1966.0</v>
      </c>
      <c r="K489" s="1">
        <v>55.0</v>
      </c>
      <c r="L489" s="1" t="s">
        <v>95</v>
      </c>
      <c r="M489" s="1" t="s">
        <v>1998</v>
      </c>
      <c r="N489" s="1" t="s">
        <v>64</v>
      </c>
      <c r="O489" s="1" t="s">
        <v>25</v>
      </c>
      <c r="P489" s="1" t="s">
        <v>1999</v>
      </c>
    </row>
    <row r="490" ht="14.25" customHeight="1">
      <c r="A490" s="1" t="s">
        <v>2000</v>
      </c>
      <c r="B490" s="1" t="s">
        <v>2001</v>
      </c>
      <c r="C490" s="1" t="s">
        <v>76</v>
      </c>
      <c r="D490" s="1">
        <v>47018.0</v>
      </c>
      <c r="E490" s="1" t="s">
        <v>77</v>
      </c>
      <c r="F490" s="1" t="s">
        <v>61</v>
      </c>
      <c r="G490" s="1" t="s">
        <v>21</v>
      </c>
      <c r="H490" s="2">
        <v>1748.0</v>
      </c>
      <c r="I490" s="2">
        <v>7189.0</v>
      </c>
      <c r="J490" s="1">
        <v>1956.0</v>
      </c>
      <c r="K490" s="1">
        <v>10.0</v>
      </c>
      <c r="L490" s="1" t="s">
        <v>32</v>
      </c>
      <c r="M490" s="1" t="s">
        <v>2002</v>
      </c>
      <c r="N490" s="1" t="s">
        <v>43</v>
      </c>
      <c r="O490" s="1" t="s">
        <v>49</v>
      </c>
      <c r="P490" s="1" t="s">
        <v>2003</v>
      </c>
    </row>
    <row r="491" ht="14.25" customHeight="1">
      <c r="A491" s="1" t="s">
        <v>2004</v>
      </c>
      <c r="B491" s="1" t="s">
        <v>2005</v>
      </c>
      <c r="C491" s="1" t="s">
        <v>53</v>
      </c>
      <c r="D491" s="1">
        <v>44250.0</v>
      </c>
      <c r="E491" s="1" t="s">
        <v>40</v>
      </c>
      <c r="F491" s="1" t="s">
        <v>41</v>
      </c>
      <c r="G491" s="1" t="s">
        <v>100</v>
      </c>
      <c r="H491" s="2">
        <v>2415.0</v>
      </c>
      <c r="I491" s="2">
        <v>7240.0</v>
      </c>
      <c r="J491" s="1">
        <v>1953.0</v>
      </c>
      <c r="K491" s="1">
        <v>36.0</v>
      </c>
      <c r="L491" s="1" t="s">
        <v>22</v>
      </c>
      <c r="M491" s="1" t="s">
        <v>2006</v>
      </c>
      <c r="N491" s="1" t="s">
        <v>34</v>
      </c>
      <c r="O491" s="1" t="s">
        <v>25</v>
      </c>
      <c r="P491" s="1" t="s">
        <v>2007</v>
      </c>
    </row>
    <row r="492" ht="14.25" customHeight="1">
      <c r="A492" s="1" t="s">
        <v>2008</v>
      </c>
      <c r="B492" s="1" t="s">
        <v>2009</v>
      </c>
      <c r="C492" s="1" t="s">
        <v>18</v>
      </c>
      <c r="D492" s="1">
        <v>40066.0</v>
      </c>
      <c r="E492" s="1" t="s">
        <v>40</v>
      </c>
      <c r="F492" s="1" t="s">
        <v>54</v>
      </c>
      <c r="G492" s="1" t="s">
        <v>55</v>
      </c>
      <c r="H492" s="2">
        <v>3290.0</v>
      </c>
      <c r="I492" s="2">
        <v>3111.0</v>
      </c>
      <c r="J492" s="1">
        <v>2007.0</v>
      </c>
      <c r="K492" s="1">
        <v>81.0</v>
      </c>
      <c r="L492" s="1" t="s">
        <v>62</v>
      </c>
      <c r="M492" s="1" t="s">
        <v>2010</v>
      </c>
      <c r="N492" s="1" t="s">
        <v>24</v>
      </c>
      <c r="O492" s="1" t="s">
        <v>49</v>
      </c>
      <c r="P492" s="1" t="s">
        <v>2011</v>
      </c>
    </row>
    <row r="493" ht="14.25" customHeight="1">
      <c r="A493" s="1" t="s">
        <v>2012</v>
      </c>
      <c r="B493" s="1" t="s">
        <v>2013</v>
      </c>
      <c r="C493" s="1" t="s">
        <v>39</v>
      </c>
      <c r="D493" s="1">
        <v>67883.0</v>
      </c>
      <c r="E493" s="1" t="s">
        <v>40</v>
      </c>
      <c r="F493" s="1" t="s">
        <v>46</v>
      </c>
      <c r="G493" s="1" t="s">
        <v>21</v>
      </c>
      <c r="H493" s="2">
        <v>894.0</v>
      </c>
      <c r="I493" s="2">
        <v>6877.0</v>
      </c>
      <c r="J493" s="1">
        <v>1968.0</v>
      </c>
      <c r="K493" s="1">
        <v>11.0</v>
      </c>
      <c r="L493" s="1" t="s">
        <v>32</v>
      </c>
      <c r="M493" s="1" t="s">
        <v>2014</v>
      </c>
      <c r="N493" s="1" t="s">
        <v>48</v>
      </c>
      <c r="O493" s="1" t="s">
        <v>35</v>
      </c>
      <c r="P493" s="1" t="s">
        <v>2015</v>
      </c>
    </row>
    <row r="494" ht="14.25" customHeight="1">
      <c r="A494" s="1" t="s">
        <v>2016</v>
      </c>
      <c r="B494" s="1" t="s">
        <v>2017</v>
      </c>
      <c r="C494" s="1" t="s">
        <v>53</v>
      </c>
      <c r="D494" s="1">
        <v>88335.0</v>
      </c>
      <c r="E494" s="1" t="s">
        <v>77</v>
      </c>
      <c r="F494" s="1" t="s">
        <v>61</v>
      </c>
      <c r="G494" s="1" t="s">
        <v>100</v>
      </c>
      <c r="H494" s="2">
        <v>2143.0</v>
      </c>
      <c r="I494" s="2">
        <v>3548.0</v>
      </c>
      <c r="J494" s="1">
        <v>1988.0</v>
      </c>
      <c r="K494" s="1">
        <v>28.0</v>
      </c>
      <c r="L494" s="1" t="s">
        <v>95</v>
      </c>
      <c r="M494" s="1" t="s">
        <v>2018</v>
      </c>
      <c r="N494" s="1" t="s">
        <v>43</v>
      </c>
      <c r="O494" s="1" t="s">
        <v>25</v>
      </c>
      <c r="P494" s="1" t="s">
        <v>2019</v>
      </c>
    </row>
    <row r="495" ht="14.25" customHeight="1">
      <c r="A495" s="1" t="s">
        <v>2020</v>
      </c>
      <c r="B495" s="1" t="s">
        <v>2021</v>
      </c>
      <c r="C495" s="1" t="s">
        <v>76</v>
      </c>
      <c r="D495" s="1">
        <v>77567.0</v>
      </c>
      <c r="E495" s="1" t="s">
        <v>40</v>
      </c>
      <c r="F495" s="1" t="s">
        <v>94</v>
      </c>
      <c r="G495" s="1" t="s">
        <v>21</v>
      </c>
      <c r="H495" s="2">
        <v>3563.0</v>
      </c>
      <c r="I495" s="2">
        <v>2581.0</v>
      </c>
      <c r="J495" s="1">
        <v>1954.0</v>
      </c>
      <c r="K495" s="1">
        <v>54.0</v>
      </c>
      <c r="L495" s="1" t="s">
        <v>95</v>
      </c>
      <c r="M495" s="1" t="s">
        <v>2022</v>
      </c>
      <c r="N495" s="1" t="s">
        <v>24</v>
      </c>
      <c r="O495" s="1" t="s">
        <v>49</v>
      </c>
      <c r="P495" s="1" t="s">
        <v>2023</v>
      </c>
    </row>
    <row r="496" ht="14.25" customHeight="1">
      <c r="A496" s="1" t="s">
        <v>2024</v>
      </c>
      <c r="B496" s="1" t="s">
        <v>2025</v>
      </c>
      <c r="C496" s="1" t="s">
        <v>18</v>
      </c>
      <c r="D496" s="1">
        <v>65461.0</v>
      </c>
      <c r="E496" s="1" t="s">
        <v>60</v>
      </c>
      <c r="F496" s="1" t="s">
        <v>46</v>
      </c>
      <c r="G496" s="1" t="s">
        <v>55</v>
      </c>
      <c r="H496" s="2">
        <v>1464.0</v>
      </c>
      <c r="I496" s="2">
        <v>7843.0</v>
      </c>
      <c r="J496" s="1">
        <v>1992.0</v>
      </c>
      <c r="K496" s="1">
        <v>70.0</v>
      </c>
      <c r="L496" s="1" t="s">
        <v>95</v>
      </c>
      <c r="M496" s="1" t="s">
        <v>2026</v>
      </c>
      <c r="N496" s="1" t="s">
        <v>24</v>
      </c>
      <c r="O496" s="1" t="s">
        <v>49</v>
      </c>
      <c r="P496" s="1" t="s">
        <v>2027</v>
      </c>
    </row>
    <row r="497" ht="14.25" customHeight="1">
      <c r="A497" s="1" t="s">
        <v>2028</v>
      </c>
      <c r="B497" s="1" t="s">
        <v>2029</v>
      </c>
      <c r="C497" s="1" t="s">
        <v>18</v>
      </c>
      <c r="D497" s="1">
        <v>93955.0</v>
      </c>
      <c r="E497" s="1" t="s">
        <v>77</v>
      </c>
      <c r="F497" s="1" t="s">
        <v>61</v>
      </c>
      <c r="G497" s="1" t="s">
        <v>100</v>
      </c>
      <c r="H497" s="2">
        <v>1116.0</v>
      </c>
      <c r="I497" s="2">
        <v>4430.0</v>
      </c>
      <c r="J497" s="1">
        <v>1956.0</v>
      </c>
      <c r="K497" s="1">
        <v>91.0</v>
      </c>
      <c r="L497" s="1" t="s">
        <v>141</v>
      </c>
      <c r="M497" s="1" t="s">
        <v>2030</v>
      </c>
      <c r="N497" s="1" t="s">
        <v>64</v>
      </c>
      <c r="O497" s="1" t="s">
        <v>49</v>
      </c>
      <c r="P497" s="1" t="s">
        <v>2031</v>
      </c>
    </row>
    <row r="498" ht="14.25" customHeight="1">
      <c r="A498" s="1" t="s">
        <v>2032</v>
      </c>
      <c r="B498" s="1" t="s">
        <v>2033</v>
      </c>
      <c r="C498" s="1" t="s">
        <v>53</v>
      </c>
      <c r="D498" s="1">
        <v>17410.0</v>
      </c>
      <c r="E498" s="1" t="s">
        <v>60</v>
      </c>
      <c r="F498" s="1" t="s">
        <v>94</v>
      </c>
      <c r="G498" s="1" t="s">
        <v>31</v>
      </c>
      <c r="H498" s="2">
        <v>3481.0</v>
      </c>
      <c r="I498" s="2">
        <v>2514.0</v>
      </c>
      <c r="J498" s="1">
        <v>1961.0</v>
      </c>
      <c r="K498" s="1">
        <v>111.0</v>
      </c>
      <c r="L498" s="1" t="s">
        <v>22</v>
      </c>
      <c r="M498" s="1" t="s">
        <v>2034</v>
      </c>
      <c r="N498" s="1" t="s">
        <v>43</v>
      </c>
      <c r="O498" s="1" t="s">
        <v>35</v>
      </c>
      <c r="P498" s="1" t="s">
        <v>2035</v>
      </c>
    </row>
    <row r="499" ht="14.25" customHeight="1">
      <c r="A499" s="1" t="s">
        <v>2036</v>
      </c>
      <c r="B499" s="1" t="s">
        <v>2037</v>
      </c>
      <c r="C499" s="1" t="s">
        <v>29</v>
      </c>
      <c r="D499" s="1">
        <v>79211.0</v>
      </c>
      <c r="E499" s="1" t="s">
        <v>19</v>
      </c>
      <c r="F499" s="1" t="s">
        <v>61</v>
      </c>
      <c r="G499" s="1" t="s">
        <v>21</v>
      </c>
      <c r="H499" s="2">
        <v>960.0</v>
      </c>
      <c r="I499" s="2">
        <v>7153.0</v>
      </c>
      <c r="J499" s="1">
        <v>1993.0</v>
      </c>
      <c r="K499" s="1">
        <v>113.0</v>
      </c>
      <c r="L499" s="1" t="s">
        <v>95</v>
      </c>
      <c r="M499" s="1" t="s">
        <v>2038</v>
      </c>
      <c r="N499" s="1" t="s">
        <v>24</v>
      </c>
      <c r="O499" s="1" t="s">
        <v>25</v>
      </c>
      <c r="P499" s="1" t="s">
        <v>2039</v>
      </c>
    </row>
    <row r="500" ht="14.25" customHeight="1">
      <c r="A500" s="1" t="s">
        <v>2040</v>
      </c>
      <c r="B500" s="1" t="s">
        <v>2041</v>
      </c>
      <c r="C500" s="1" t="s">
        <v>29</v>
      </c>
      <c r="D500" s="1">
        <v>86928.0</v>
      </c>
      <c r="E500" s="1" t="s">
        <v>30</v>
      </c>
      <c r="F500" s="1" t="s">
        <v>46</v>
      </c>
      <c r="G500" s="1" t="s">
        <v>31</v>
      </c>
      <c r="H500" s="2">
        <v>2113.0</v>
      </c>
      <c r="I500" s="2">
        <v>3700.0</v>
      </c>
      <c r="J500" s="1">
        <v>2006.0</v>
      </c>
      <c r="K500" s="1">
        <v>54.0</v>
      </c>
      <c r="L500" s="1" t="s">
        <v>32</v>
      </c>
      <c r="M500" s="1" t="s">
        <v>2042</v>
      </c>
      <c r="N500" s="1" t="s">
        <v>64</v>
      </c>
      <c r="O500" s="1" t="s">
        <v>35</v>
      </c>
      <c r="P500" s="1" t="s">
        <v>2043</v>
      </c>
    </row>
    <row r="501" ht="14.25" customHeight="1">
      <c r="A501" s="1" t="s">
        <v>2044</v>
      </c>
      <c r="B501" s="1" t="s">
        <v>2045</v>
      </c>
      <c r="C501" s="1" t="s">
        <v>39</v>
      </c>
      <c r="D501" s="1">
        <v>53607.0</v>
      </c>
      <c r="E501" s="1" t="s">
        <v>60</v>
      </c>
      <c r="F501" s="1" t="s">
        <v>94</v>
      </c>
      <c r="G501" s="1" t="s">
        <v>100</v>
      </c>
      <c r="H501" s="2">
        <v>3764.0</v>
      </c>
      <c r="I501" s="2">
        <v>3690.0</v>
      </c>
      <c r="J501" s="1">
        <v>1995.0</v>
      </c>
      <c r="K501" s="1">
        <v>28.0</v>
      </c>
      <c r="L501" s="1" t="s">
        <v>95</v>
      </c>
      <c r="M501" s="1" t="s">
        <v>2046</v>
      </c>
      <c r="N501" s="1" t="s">
        <v>24</v>
      </c>
      <c r="O501" s="1" t="s">
        <v>25</v>
      </c>
      <c r="P501" s="1" t="s">
        <v>2047</v>
      </c>
    </row>
    <row r="502" ht="14.25" customHeight="1">
      <c r="A502" s="1" t="s">
        <v>2048</v>
      </c>
      <c r="B502" s="1" t="s">
        <v>2049</v>
      </c>
      <c r="C502" s="1" t="s">
        <v>76</v>
      </c>
      <c r="D502" s="1">
        <v>10311.0</v>
      </c>
      <c r="E502" s="1" t="s">
        <v>60</v>
      </c>
      <c r="F502" s="1" t="s">
        <v>61</v>
      </c>
      <c r="G502" s="1" t="s">
        <v>31</v>
      </c>
      <c r="H502" s="2">
        <v>1975.0</v>
      </c>
      <c r="I502" s="2">
        <v>9535.0</v>
      </c>
      <c r="J502" s="1">
        <v>1981.0</v>
      </c>
      <c r="K502" s="1">
        <v>60.0</v>
      </c>
      <c r="L502" s="1" t="s">
        <v>22</v>
      </c>
      <c r="M502" s="1" t="s">
        <v>2050</v>
      </c>
      <c r="N502" s="1" t="s">
        <v>48</v>
      </c>
      <c r="O502" s="1" t="s">
        <v>25</v>
      </c>
      <c r="P502" s="1" t="s">
        <v>2051</v>
      </c>
    </row>
    <row r="503" ht="14.25" customHeight="1">
      <c r="A503" s="1" t="s">
        <v>2052</v>
      </c>
      <c r="B503" s="1" t="s">
        <v>2053</v>
      </c>
      <c r="C503" s="1" t="s">
        <v>18</v>
      </c>
      <c r="D503" s="1">
        <v>32173.0</v>
      </c>
      <c r="E503" s="1" t="s">
        <v>19</v>
      </c>
      <c r="F503" s="1" t="s">
        <v>54</v>
      </c>
      <c r="G503" s="1" t="s">
        <v>31</v>
      </c>
      <c r="H503" s="2">
        <v>2413.0</v>
      </c>
      <c r="I503" s="2">
        <v>7910.0</v>
      </c>
      <c r="J503" s="1">
        <v>2013.0</v>
      </c>
      <c r="K503" s="1">
        <v>100.0</v>
      </c>
      <c r="L503" s="1" t="s">
        <v>141</v>
      </c>
      <c r="M503" s="1" t="s">
        <v>2054</v>
      </c>
      <c r="N503" s="1" t="s">
        <v>48</v>
      </c>
      <c r="O503" s="1" t="s">
        <v>49</v>
      </c>
      <c r="P503" s="1" t="s">
        <v>2055</v>
      </c>
    </row>
    <row r="504" ht="14.25" customHeight="1">
      <c r="A504" s="1" t="s">
        <v>2056</v>
      </c>
      <c r="B504" s="1" t="s">
        <v>2057</v>
      </c>
      <c r="C504" s="1" t="s">
        <v>18</v>
      </c>
      <c r="D504" s="1">
        <v>27832.0</v>
      </c>
      <c r="E504" s="1" t="s">
        <v>77</v>
      </c>
      <c r="F504" s="1" t="s">
        <v>54</v>
      </c>
      <c r="G504" s="1" t="s">
        <v>100</v>
      </c>
      <c r="H504" s="2">
        <v>1557.0</v>
      </c>
      <c r="I504" s="2">
        <v>9804.0</v>
      </c>
      <c r="J504" s="1">
        <v>1976.0</v>
      </c>
      <c r="K504" s="1">
        <v>69.0</v>
      </c>
      <c r="L504" s="1" t="s">
        <v>62</v>
      </c>
      <c r="M504" s="1" t="s">
        <v>2058</v>
      </c>
      <c r="N504" s="1" t="s">
        <v>34</v>
      </c>
      <c r="O504" s="1" t="s">
        <v>25</v>
      </c>
      <c r="P504" s="1" t="s">
        <v>2059</v>
      </c>
    </row>
    <row r="505" ht="14.25" customHeight="1">
      <c r="A505" s="1" t="s">
        <v>956</v>
      </c>
      <c r="B505" s="1" t="s">
        <v>2060</v>
      </c>
      <c r="C505" s="1" t="s">
        <v>39</v>
      </c>
      <c r="D505" s="1">
        <v>31075.0</v>
      </c>
      <c r="E505" s="1" t="s">
        <v>60</v>
      </c>
      <c r="F505" s="1" t="s">
        <v>46</v>
      </c>
      <c r="G505" s="1" t="s">
        <v>31</v>
      </c>
      <c r="H505" s="2">
        <v>2702.0</v>
      </c>
      <c r="I505" s="2">
        <v>9320.0</v>
      </c>
      <c r="J505" s="1">
        <v>1961.0</v>
      </c>
      <c r="K505" s="1">
        <v>12.0</v>
      </c>
      <c r="L505" s="1" t="s">
        <v>62</v>
      </c>
      <c r="M505" s="1" t="s">
        <v>2061</v>
      </c>
      <c r="N505" s="1" t="s">
        <v>64</v>
      </c>
      <c r="O505" s="1" t="s">
        <v>49</v>
      </c>
      <c r="P505" s="1" t="s">
        <v>2062</v>
      </c>
    </row>
    <row r="506" ht="14.25" customHeight="1">
      <c r="A506" s="1" t="s">
        <v>2063</v>
      </c>
      <c r="B506" s="1" t="s">
        <v>2064</v>
      </c>
      <c r="C506" s="1" t="s">
        <v>39</v>
      </c>
      <c r="D506" s="1">
        <v>27470.0</v>
      </c>
      <c r="E506" s="1" t="s">
        <v>77</v>
      </c>
      <c r="F506" s="1" t="s">
        <v>46</v>
      </c>
      <c r="G506" s="1" t="s">
        <v>31</v>
      </c>
      <c r="H506" s="2">
        <v>3931.0</v>
      </c>
      <c r="I506" s="2">
        <v>8662.0</v>
      </c>
      <c r="J506" s="1">
        <v>1951.0</v>
      </c>
      <c r="K506" s="1">
        <v>41.0</v>
      </c>
      <c r="L506" s="1" t="s">
        <v>62</v>
      </c>
      <c r="M506" s="1" t="s">
        <v>2065</v>
      </c>
      <c r="N506" s="1" t="s">
        <v>43</v>
      </c>
      <c r="O506" s="1" t="s">
        <v>35</v>
      </c>
      <c r="P506" s="1" t="s">
        <v>2066</v>
      </c>
    </row>
    <row r="507" ht="14.25" customHeight="1">
      <c r="A507" s="1" t="s">
        <v>2067</v>
      </c>
      <c r="B507" s="1" t="s">
        <v>2068</v>
      </c>
      <c r="C507" s="1" t="s">
        <v>76</v>
      </c>
      <c r="D507" s="1">
        <v>68868.0</v>
      </c>
      <c r="E507" s="1" t="s">
        <v>77</v>
      </c>
      <c r="F507" s="1" t="s">
        <v>61</v>
      </c>
      <c r="G507" s="1" t="s">
        <v>31</v>
      </c>
      <c r="H507" s="2">
        <v>3000.0</v>
      </c>
      <c r="I507" s="2">
        <v>2295.0</v>
      </c>
      <c r="J507" s="1">
        <v>1966.0</v>
      </c>
      <c r="K507" s="1">
        <v>87.0</v>
      </c>
      <c r="L507" s="1" t="s">
        <v>95</v>
      </c>
      <c r="M507" s="1" t="s">
        <v>2069</v>
      </c>
      <c r="N507" s="1" t="s">
        <v>48</v>
      </c>
      <c r="O507" s="1" t="s">
        <v>49</v>
      </c>
      <c r="P507" s="1" t="s">
        <v>2070</v>
      </c>
    </row>
    <row r="508" ht="14.25" customHeight="1">
      <c r="A508" s="1" t="s">
        <v>2071</v>
      </c>
      <c r="B508" s="1" t="s">
        <v>2072</v>
      </c>
      <c r="C508" s="1" t="s">
        <v>53</v>
      </c>
      <c r="D508" s="1">
        <v>23693.0</v>
      </c>
      <c r="E508" s="1" t="s">
        <v>40</v>
      </c>
      <c r="F508" s="1" t="s">
        <v>46</v>
      </c>
      <c r="G508" s="1" t="s">
        <v>100</v>
      </c>
      <c r="H508" s="2">
        <v>3999.0</v>
      </c>
      <c r="I508" s="2">
        <v>3447.0</v>
      </c>
      <c r="J508" s="1">
        <v>1972.0</v>
      </c>
      <c r="K508" s="1">
        <v>21.0</v>
      </c>
      <c r="L508" s="1" t="s">
        <v>95</v>
      </c>
      <c r="M508" s="1" t="s">
        <v>2073</v>
      </c>
      <c r="N508" s="1" t="s">
        <v>64</v>
      </c>
      <c r="O508" s="1" t="s">
        <v>35</v>
      </c>
      <c r="P508" s="1" t="s">
        <v>2074</v>
      </c>
    </row>
    <row r="509" ht="14.25" customHeight="1">
      <c r="A509" s="1" t="s">
        <v>2075</v>
      </c>
      <c r="B509" s="1" t="s">
        <v>2076</v>
      </c>
      <c r="C509" s="1" t="s">
        <v>39</v>
      </c>
      <c r="D509" s="1">
        <v>72738.0</v>
      </c>
      <c r="E509" s="1" t="s">
        <v>40</v>
      </c>
      <c r="F509" s="1" t="s">
        <v>61</v>
      </c>
      <c r="G509" s="1" t="s">
        <v>31</v>
      </c>
      <c r="H509" s="2">
        <v>1788.0</v>
      </c>
      <c r="I509" s="2">
        <v>5300.0</v>
      </c>
      <c r="J509" s="1">
        <v>2001.0</v>
      </c>
      <c r="K509" s="1">
        <v>24.0</v>
      </c>
      <c r="L509" s="1" t="s">
        <v>95</v>
      </c>
      <c r="M509" s="1" t="s">
        <v>2077</v>
      </c>
      <c r="N509" s="1" t="s">
        <v>48</v>
      </c>
      <c r="O509" s="1" t="s">
        <v>49</v>
      </c>
      <c r="P509" s="1" t="s">
        <v>2078</v>
      </c>
    </row>
    <row r="510" ht="14.25" customHeight="1">
      <c r="A510" s="1" t="s">
        <v>2079</v>
      </c>
      <c r="B510" s="1" t="s">
        <v>2080</v>
      </c>
      <c r="C510" s="1" t="s">
        <v>53</v>
      </c>
      <c r="D510" s="1">
        <v>80412.0</v>
      </c>
      <c r="E510" s="1" t="s">
        <v>77</v>
      </c>
      <c r="F510" s="1" t="s">
        <v>94</v>
      </c>
      <c r="G510" s="1" t="s">
        <v>100</v>
      </c>
      <c r="H510" s="2">
        <v>3301.0</v>
      </c>
      <c r="I510" s="2">
        <v>2937.0</v>
      </c>
      <c r="J510" s="1">
        <v>1985.0</v>
      </c>
      <c r="K510" s="1">
        <v>42.0</v>
      </c>
      <c r="L510" s="1" t="s">
        <v>32</v>
      </c>
      <c r="M510" s="1" t="s">
        <v>2081</v>
      </c>
      <c r="N510" s="1" t="s">
        <v>34</v>
      </c>
      <c r="O510" s="1" t="s">
        <v>35</v>
      </c>
      <c r="P510" s="1" t="s">
        <v>2082</v>
      </c>
    </row>
    <row r="511" ht="14.25" customHeight="1">
      <c r="A511" s="1" t="s">
        <v>2083</v>
      </c>
      <c r="B511" s="1" t="s">
        <v>2084</v>
      </c>
      <c r="C511" s="1" t="s">
        <v>39</v>
      </c>
      <c r="D511" s="1">
        <v>32115.0</v>
      </c>
      <c r="E511" s="1" t="s">
        <v>60</v>
      </c>
      <c r="F511" s="1" t="s">
        <v>20</v>
      </c>
      <c r="G511" s="1" t="s">
        <v>21</v>
      </c>
      <c r="H511" s="2">
        <v>2129.0</v>
      </c>
      <c r="I511" s="2">
        <v>7102.0</v>
      </c>
      <c r="J511" s="1">
        <v>1958.0</v>
      </c>
      <c r="K511" s="1">
        <v>38.0</v>
      </c>
      <c r="L511" s="1" t="s">
        <v>32</v>
      </c>
      <c r="M511" s="1" t="s">
        <v>2085</v>
      </c>
      <c r="N511" s="1" t="s">
        <v>64</v>
      </c>
      <c r="O511" s="1" t="s">
        <v>35</v>
      </c>
      <c r="P511" s="1" t="s">
        <v>2086</v>
      </c>
    </row>
    <row r="512" ht="14.25" customHeight="1">
      <c r="A512" s="1" t="s">
        <v>2087</v>
      </c>
      <c r="B512" s="1" t="s">
        <v>2088</v>
      </c>
      <c r="C512" s="1" t="s">
        <v>29</v>
      </c>
      <c r="D512" s="1">
        <v>22793.0</v>
      </c>
      <c r="E512" s="1" t="s">
        <v>30</v>
      </c>
      <c r="F512" s="1" t="s">
        <v>41</v>
      </c>
      <c r="G512" s="1" t="s">
        <v>55</v>
      </c>
      <c r="H512" s="2">
        <v>1671.0</v>
      </c>
      <c r="I512" s="2">
        <v>3628.0</v>
      </c>
      <c r="J512" s="1">
        <v>1955.0</v>
      </c>
      <c r="K512" s="1">
        <v>60.0</v>
      </c>
      <c r="L512" s="1" t="s">
        <v>22</v>
      </c>
      <c r="M512" s="1" t="s">
        <v>2089</v>
      </c>
      <c r="N512" s="1" t="s">
        <v>24</v>
      </c>
      <c r="O512" s="1" t="s">
        <v>49</v>
      </c>
      <c r="P512" s="1" t="s">
        <v>2090</v>
      </c>
    </row>
    <row r="513" ht="14.25" customHeight="1">
      <c r="A513" s="1" t="s">
        <v>2091</v>
      </c>
      <c r="B513" s="1" t="s">
        <v>2092</v>
      </c>
      <c r="C513" s="1" t="s">
        <v>18</v>
      </c>
      <c r="D513" s="1">
        <v>56888.0</v>
      </c>
      <c r="E513" s="1" t="s">
        <v>30</v>
      </c>
      <c r="F513" s="1" t="s">
        <v>20</v>
      </c>
      <c r="G513" s="1" t="s">
        <v>31</v>
      </c>
      <c r="H513" s="2">
        <v>3393.0</v>
      </c>
      <c r="I513" s="2">
        <v>9986.0</v>
      </c>
      <c r="J513" s="1">
        <v>1981.0</v>
      </c>
      <c r="K513" s="1">
        <v>80.0</v>
      </c>
      <c r="L513" s="1" t="s">
        <v>95</v>
      </c>
      <c r="M513" s="1" t="s">
        <v>2093</v>
      </c>
      <c r="N513" s="1" t="s">
        <v>24</v>
      </c>
      <c r="O513" s="1" t="s">
        <v>49</v>
      </c>
      <c r="P513" s="1" t="s">
        <v>2094</v>
      </c>
    </row>
    <row r="514" ht="14.25" customHeight="1">
      <c r="A514" s="1" t="s">
        <v>2095</v>
      </c>
      <c r="B514" s="1" t="s">
        <v>2096</v>
      </c>
      <c r="C514" s="1" t="s">
        <v>18</v>
      </c>
      <c r="D514" s="1">
        <v>94192.0</v>
      </c>
      <c r="E514" s="1" t="s">
        <v>30</v>
      </c>
      <c r="F514" s="1" t="s">
        <v>54</v>
      </c>
      <c r="G514" s="1" t="s">
        <v>21</v>
      </c>
      <c r="H514" s="2">
        <v>1443.0</v>
      </c>
      <c r="I514" s="2">
        <v>9102.0</v>
      </c>
      <c r="J514" s="1">
        <v>1963.0</v>
      </c>
      <c r="K514" s="1">
        <v>113.0</v>
      </c>
      <c r="L514" s="1" t="s">
        <v>95</v>
      </c>
      <c r="M514" s="1" t="s">
        <v>2097</v>
      </c>
      <c r="N514" s="1" t="s">
        <v>64</v>
      </c>
      <c r="O514" s="1" t="s">
        <v>25</v>
      </c>
      <c r="P514" s="1" t="s">
        <v>2098</v>
      </c>
    </row>
    <row r="515" ht="14.25" customHeight="1">
      <c r="A515" s="1" t="s">
        <v>2099</v>
      </c>
      <c r="B515" s="1" t="s">
        <v>2100</v>
      </c>
      <c r="C515" s="1" t="s">
        <v>76</v>
      </c>
      <c r="D515" s="1">
        <v>45081.0</v>
      </c>
      <c r="E515" s="1" t="s">
        <v>19</v>
      </c>
      <c r="F515" s="1" t="s">
        <v>94</v>
      </c>
      <c r="G515" s="1" t="s">
        <v>21</v>
      </c>
      <c r="H515" s="2">
        <v>752.0</v>
      </c>
      <c r="I515" s="2">
        <v>9574.0</v>
      </c>
      <c r="J515" s="1">
        <v>1969.0</v>
      </c>
      <c r="K515" s="1">
        <v>86.0</v>
      </c>
      <c r="L515" s="1" t="s">
        <v>22</v>
      </c>
      <c r="M515" s="1" t="s">
        <v>2101</v>
      </c>
      <c r="N515" s="1" t="s">
        <v>64</v>
      </c>
      <c r="O515" s="1" t="s">
        <v>49</v>
      </c>
      <c r="P515" s="1" t="s">
        <v>2102</v>
      </c>
    </row>
    <row r="516" ht="14.25" customHeight="1">
      <c r="A516" s="1" t="s">
        <v>2103</v>
      </c>
      <c r="B516" s="1" t="s">
        <v>2104</v>
      </c>
      <c r="C516" s="1" t="s">
        <v>18</v>
      </c>
      <c r="D516" s="1">
        <v>28105.0</v>
      </c>
      <c r="E516" s="1" t="s">
        <v>40</v>
      </c>
      <c r="F516" s="1" t="s">
        <v>20</v>
      </c>
      <c r="G516" s="1" t="s">
        <v>55</v>
      </c>
      <c r="H516" s="2">
        <v>1169.0</v>
      </c>
      <c r="I516" s="2">
        <v>3329.0</v>
      </c>
      <c r="J516" s="1">
        <v>1991.0</v>
      </c>
      <c r="K516" s="1">
        <v>32.0</v>
      </c>
      <c r="L516" s="1" t="s">
        <v>95</v>
      </c>
      <c r="M516" s="1" t="s">
        <v>2105</v>
      </c>
      <c r="N516" s="1" t="s">
        <v>34</v>
      </c>
      <c r="O516" s="1" t="s">
        <v>49</v>
      </c>
      <c r="P516" s="1" t="s">
        <v>2106</v>
      </c>
    </row>
    <row r="517" ht="14.25" customHeight="1">
      <c r="A517" s="1" t="s">
        <v>2107</v>
      </c>
      <c r="B517" s="1" t="s">
        <v>2108</v>
      </c>
      <c r="C517" s="1" t="s">
        <v>53</v>
      </c>
      <c r="D517" s="1">
        <v>67939.0</v>
      </c>
      <c r="E517" s="1" t="s">
        <v>40</v>
      </c>
      <c r="F517" s="1" t="s">
        <v>54</v>
      </c>
      <c r="G517" s="1" t="s">
        <v>21</v>
      </c>
      <c r="H517" s="2">
        <v>1476.0</v>
      </c>
      <c r="I517" s="2">
        <v>3691.0</v>
      </c>
      <c r="J517" s="1">
        <v>1986.0</v>
      </c>
      <c r="K517" s="1">
        <v>99.0</v>
      </c>
      <c r="L517" s="1" t="s">
        <v>22</v>
      </c>
      <c r="M517" s="1" t="s">
        <v>2109</v>
      </c>
      <c r="N517" s="1" t="s">
        <v>64</v>
      </c>
      <c r="O517" s="1" t="s">
        <v>49</v>
      </c>
      <c r="P517" s="1" t="s">
        <v>2110</v>
      </c>
    </row>
    <row r="518" ht="14.25" customHeight="1">
      <c r="A518" s="1" t="s">
        <v>2111</v>
      </c>
      <c r="B518" s="1" t="s">
        <v>2112</v>
      </c>
      <c r="C518" s="1" t="s">
        <v>18</v>
      </c>
      <c r="D518" s="1">
        <v>35797.0</v>
      </c>
      <c r="E518" s="1" t="s">
        <v>19</v>
      </c>
      <c r="F518" s="1" t="s">
        <v>61</v>
      </c>
      <c r="G518" s="1" t="s">
        <v>31</v>
      </c>
      <c r="H518" s="2">
        <v>1665.0</v>
      </c>
      <c r="I518" s="2">
        <v>5891.0</v>
      </c>
      <c r="J518" s="1">
        <v>2010.0</v>
      </c>
      <c r="K518" s="1">
        <v>33.0</v>
      </c>
      <c r="L518" s="1" t="s">
        <v>32</v>
      </c>
      <c r="M518" s="1" t="s">
        <v>2113</v>
      </c>
      <c r="N518" s="1" t="s">
        <v>34</v>
      </c>
      <c r="O518" s="1" t="s">
        <v>25</v>
      </c>
      <c r="P518" s="1" t="s">
        <v>2114</v>
      </c>
    </row>
    <row r="519" ht="14.25" customHeight="1">
      <c r="A519" s="1" t="s">
        <v>2115</v>
      </c>
      <c r="B519" s="1" t="s">
        <v>2116</v>
      </c>
      <c r="C519" s="1" t="s">
        <v>53</v>
      </c>
      <c r="D519" s="1">
        <v>51679.0</v>
      </c>
      <c r="E519" s="1" t="s">
        <v>30</v>
      </c>
      <c r="F519" s="1" t="s">
        <v>46</v>
      </c>
      <c r="G519" s="1" t="s">
        <v>55</v>
      </c>
      <c r="H519" s="2">
        <v>1456.0</v>
      </c>
      <c r="I519" s="2">
        <v>8429.0</v>
      </c>
      <c r="J519" s="1">
        <v>1978.0</v>
      </c>
      <c r="K519" s="1">
        <v>70.0</v>
      </c>
      <c r="L519" s="1" t="s">
        <v>22</v>
      </c>
      <c r="M519" s="1" t="s">
        <v>2117</v>
      </c>
      <c r="N519" s="1" t="s">
        <v>24</v>
      </c>
      <c r="O519" s="1" t="s">
        <v>49</v>
      </c>
      <c r="P519" s="1" t="s">
        <v>2118</v>
      </c>
    </row>
    <row r="520" ht="14.25" customHeight="1">
      <c r="A520" s="1" t="s">
        <v>2119</v>
      </c>
      <c r="B520" s="1" t="s">
        <v>2120</v>
      </c>
      <c r="C520" s="1" t="s">
        <v>29</v>
      </c>
      <c r="D520" s="1">
        <v>54206.0</v>
      </c>
      <c r="E520" s="1" t="s">
        <v>30</v>
      </c>
      <c r="F520" s="1" t="s">
        <v>46</v>
      </c>
      <c r="G520" s="1" t="s">
        <v>100</v>
      </c>
      <c r="H520" s="2">
        <v>1402.0</v>
      </c>
      <c r="I520" s="2">
        <v>4653.0</v>
      </c>
      <c r="J520" s="1">
        <v>1959.0</v>
      </c>
      <c r="K520" s="1">
        <v>97.0</v>
      </c>
      <c r="L520" s="1" t="s">
        <v>32</v>
      </c>
      <c r="M520" s="1" t="s">
        <v>2121</v>
      </c>
      <c r="N520" s="1" t="s">
        <v>43</v>
      </c>
      <c r="O520" s="1" t="s">
        <v>49</v>
      </c>
      <c r="P520" s="1" t="s">
        <v>2122</v>
      </c>
    </row>
    <row r="521" ht="14.25" customHeight="1">
      <c r="A521" s="1" t="s">
        <v>2123</v>
      </c>
      <c r="B521" s="1" t="s">
        <v>2124</v>
      </c>
      <c r="C521" s="1" t="s">
        <v>76</v>
      </c>
      <c r="D521" s="1">
        <v>39812.0</v>
      </c>
      <c r="E521" s="1" t="s">
        <v>40</v>
      </c>
      <c r="F521" s="1" t="s">
        <v>46</v>
      </c>
      <c r="G521" s="1" t="s">
        <v>100</v>
      </c>
      <c r="H521" s="2">
        <v>2161.0</v>
      </c>
      <c r="I521" s="2">
        <v>5742.0</v>
      </c>
      <c r="J521" s="1">
        <v>2008.0</v>
      </c>
      <c r="K521" s="1">
        <v>34.0</v>
      </c>
      <c r="L521" s="1" t="s">
        <v>62</v>
      </c>
      <c r="M521" s="1" t="s">
        <v>2125</v>
      </c>
      <c r="N521" s="1" t="s">
        <v>64</v>
      </c>
      <c r="O521" s="1" t="s">
        <v>49</v>
      </c>
      <c r="P521" s="1" t="s">
        <v>2126</v>
      </c>
    </row>
    <row r="522" ht="14.25" customHeight="1">
      <c r="A522" s="1" t="s">
        <v>2127</v>
      </c>
      <c r="B522" s="1" t="s">
        <v>2128</v>
      </c>
      <c r="C522" s="1" t="s">
        <v>53</v>
      </c>
      <c r="D522" s="1">
        <v>61780.0</v>
      </c>
      <c r="E522" s="1" t="s">
        <v>19</v>
      </c>
      <c r="F522" s="1" t="s">
        <v>46</v>
      </c>
      <c r="G522" s="1" t="s">
        <v>55</v>
      </c>
      <c r="H522" s="2">
        <v>1852.0</v>
      </c>
      <c r="I522" s="2">
        <v>7550.0</v>
      </c>
      <c r="J522" s="1">
        <v>1955.0</v>
      </c>
      <c r="K522" s="1">
        <v>58.0</v>
      </c>
      <c r="L522" s="1" t="s">
        <v>62</v>
      </c>
      <c r="M522" s="1" t="s">
        <v>2129</v>
      </c>
      <c r="N522" s="1" t="s">
        <v>24</v>
      </c>
      <c r="O522" s="1" t="s">
        <v>25</v>
      </c>
      <c r="P522" s="1" t="s">
        <v>2130</v>
      </c>
    </row>
    <row r="523" ht="14.25" customHeight="1">
      <c r="A523" s="1" t="s">
        <v>2131</v>
      </c>
      <c r="B523" s="1" t="s">
        <v>2132</v>
      </c>
      <c r="C523" s="1" t="s">
        <v>29</v>
      </c>
      <c r="D523" s="1">
        <v>49179.0</v>
      </c>
      <c r="E523" s="1" t="s">
        <v>40</v>
      </c>
      <c r="F523" s="1" t="s">
        <v>54</v>
      </c>
      <c r="G523" s="1" t="s">
        <v>100</v>
      </c>
      <c r="H523" s="2">
        <v>2410.0</v>
      </c>
      <c r="I523" s="2">
        <v>3470.0</v>
      </c>
      <c r="J523" s="1">
        <v>2002.0</v>
      </c>
      <c r="K523" s="1">
        <v>73.0</v>
      </c>
      <c r="L523" s="1" t="s">
        <v>32</v>
      </c>
      <c r="M523" s="1" t="s">
        <v>2133</v>
      </c>
      <c r="N523" s="1" t="s">
        <v>24</v>
      </c>
      <c r="O523" s="1" t="s">
        <v>35</v>
      </c>
      <c r="P523" s="1" t="s">
        <v>2134</v>
      </c>
    </row>
    <row r="524" ht="14.25" customHeight="1">
      <c r="A524" s="1" t="s">
        <v>2135</v>
      </c>
      <c r="B524" s="1" t="s">
        <v>2136</v>
      </c>
      <c r="C524" s="1" t="s">
        <v>18</v>
      </c>
      <c r="D524" s="1">
        <v>74415.0</v>
      </c>
      <c r="E524" s="1" t="s">
        <v>30</v>
      </c>
      <c r="F524" s="1" t="s">
        <v>54</v>
      </c>
      <c r="G524" s="1" t="s">
        <v>100</v>
      </c>
      <c r="H524" s="2">
        <v>3023.0</v>
      </c>
      <c r="I524" s="2">
        <v>5852.0</v>
      </c>
      <c r="J524" s="1">
        <v>1983.0</v>
      </c>
      <c r="K524" s="1">
        <v>85.0</v>
      </c>
      <c r="L524" s="1" t="s">
        <v>22</v>
      </c>
      <c r="M524" s="1" t="s">
        <v>2137</v>
      </c>
      <c r="N524" s="1" t="s">
        <v>43</v>
      </c>
      <c r="O524" s="1" t="s">
        <v>25</v>
      </c>
      <c r="P524" s="1" t="s">
        <v>2138</v>
      </c>
    </row>
    <row r="525" ht="14.25" customHeight="1">
      <c r="A525" s="1" t="s">
        <v>2139</v>
      </c>
      <c r="B525" s="1" t="s">
        <v>2140</v>
      </c>
      <c r="C525" s="1" t="s">
        <v>53</v>
      </c>
      <c r="D525" s="1">
        <v>55480.0</v>
      </c>
      <c r="E525" s="1" t="s">
        <v>19</v>
      </c>
      <c r="F525" s="1" t="s">
        <v>46</v>
      </c>
      <c r="G525" s="1" t="s">
        <v>100</v>
      </c>
      <c r="H525" s="2">
        <v>2784.0</v>
      </c>
      <c r="I525" s="2">
        <v>7766.0</v>
      </c>
      <c r="J525" s="1">
        <v>1980.0</v>
      </c>
      <c r="K525" s="1">
        <v>40.0</v>
      </c>
      <c r="L525" s="1" t="s">
        <v>32</v>
      </c>
      <c r="M525" s="1" t="s">
        <v>2141</v>
      </c>
      <c r="N525" s="1" t="s">
        <v>48</v>
      </c>
      <c r="O525" s="1" t="s">
        <v>35</v>
      </c>
      <c r="P525" s="1" t="s">
        <v>2142</v>
      </c>
    </row>
    <row r="526" ht="14.25" customHeight="1">
      <c r="A526" s="1" t="s">
        <v>2143</v>
      </c>
      <c r="B526" s="1" t="s">
        <v>2144</v>
      </c>
      <c r="C526" s="1" t="s">
        <v>39</v>
      </c>
      <c r="D526" s="1">
        <v>65418.0</v>
      </c>
      <c r="E526" s="1" t="s">
        <v>19</v>
      </c>
      <c r="F526" s="1" t="s">
        <v>94</v>
      </c>
      <c r="G526" s="1" t="s">
        <v>31</v>
      </c>
      <c r="H526" s="2">
        <v>2669.0</v>
      </c>
      <c r="I526" s="2">
        <v>7376.0</v>
      </c>
      <c r="J526" s="1">
        <v>1961.0</v>
      </c>
      <c r="K526" s="1">
        <v>25.0</v>
      </c>
      <c r="L526" s="1" t="s">
        <v>95</v>
      </c>
      <c r="M526" s="1" t="s">
        <v>2145</v>
      </c>
      <c r="N526" s="1" t="s">
        <v>48</v>
      </c>
      <c r="O526" s="1" t="s">
        <v>35</v>
      </c>
      <c r="P526" s="1" t="s">
        <v>2146</v>
      </c>
    </row>
    <row r="527" ht="14.25" customHeight="1">
      <c r="A527" s="1" t="s">
        <v>2147</v>
      </c>
      <c r="B527" s="1" t="s">
        <v>2148</v>
      </c>
      <c r="C527" s="1" t="s">
        <v>29</v>
      </c>
      <c r="D527" s="1">
        <v>67436.0</v>
      </c>
      <c r="E527" s="1" t="s">
        <v>19</v>
      </c>
      <c r="F527" s="1" t="s">
        <v>54</v>
      </c>
      <c r="G527" s="1" t="s">
        <v>31</v>
      </c>
      <c r="H527" s="2">
        <v>2845.0</v>
      </c>
      <c r="I527" s="2">
        <v>9457.0</v>
      </c>
      <c r="J527" s="1">
        <v>1962.0</v>
      </c>
      <c r="K527" s="1">
        <v>107.0</v>
      </c>
      <c r="L527" s="1" t="s">
        <v>32</v>
      </c>
      <c r="M527" s="1" t="s">
        <v>2149</v>
      </c>
      <c r="N527" s="1" t="s">
        <v>48</v>
      </c>
      <c r="O527" s="1" t="s">
        <v>49</v>
      </c>
      <c r="P527" s="1" t="s">
        <v>2150</v>
      </c>
    </row>
    <row r="528" ht="14.25" customHeight="1">
      <c r="A528" s="1" t="s">
        <v>2151</v>
      </c>
      <c r="B528" s="1" t="s">
        <v>2152</v>
      </c>
      <c r="C528" s="1" t="s">
        <v>29</v>
      </c>
      <c r="D528" s="1">
        <v>46082.0</v>
      </c>
      <c r="E528" s="1" t="s">
        <v>19</v>
      </c>
      <c r="F528" s="1" t="s">
        <v>54</v>
      </c>
      <c r="G528" s="1" t="s">
        <v>100</v>
      </c>
      <c r="H528" s="2">
        <v>3866.0</v>
      </c>
      <c r="I528" s="2">
        <v>4373.0</v>
      </c>
      <c r="J528" s="1">
        <v>1982.0</v>
      </c>
      <c r="K528" s="1">
        <v>110.0</v>
      </c>
      <c r="L528" s="1" t="s">
        <v>22</v>
      </c>
      <c r="M528" s="1" t="s">
        <v>2153</v>
      </c>
      <c r="N528" s="1" t="s">
        <v>24</v>
      </c>
      <c r="O528" s="1" t="s">
        <v>25</v>
      </c>
      <c r="P528" s="1" t="s">
        <v>2154</v>
      </c>
    </row>
    <row r="529" ht="14.25" customHeight="1">
      <c r="A529" s="1" t="s">
        <v>2155</v>
      </c>
      <c r="B529" s="1" t="s">
        <v>2156</v>
      </c>
      <c r="C529" s="1" t="s">
        <v>39</v>
      </c>
      <c r="D529" s="1">
        <v>65996.0</v>
      </c>
      <c r="E529" s="1" t="s">
        <v>30</v>
      </c>
      <c r="F529" s="1" t="s">
        <v>61</v>
      </c>
      <c r="G529" s="1" t="s">
        <v>55</v>
      </c>
      <c r="H529" s="2">
        <v>1823.0</v>
      </c>
      <c r="I529" s="2">
        <v>2773.0</v>
      </c>
      <c r="J529" s="1">
        <v>1993.0</v>
      </c>
      <c r="K529" s="1">
        <v>70.0</v>
      </c>
      <c r="L529" s="1" t="s">
        <v>32</v>
      </c>
      <c r="M529" s="1" t="s">
        <v>2157</v>
      </c>
      <c r="N529" s="1" t="s">
        <v>48</v>
      </c>
      <c r="O529" s="1" t="s">
        <v>35</v>
      </c>
      <c r="P529" s="1" t="s">
        <v>2158</v>
      </c>
    </row>
    <row r="530" ht="14.25" customHeight="1">
      <c r="A530" s="1" t="s">
        <v>2159</v>
      </c>
      <c r="B530" s="1" t="s">
        <v>2160</v>
      </c>
      <c r="C530" s="1" t="s">
        <v>76</v>
      </c>
      <c r="D530" s="1">
        <v>47810.0</v>
      </c>
      <c r="E530" s="1" t="s">
        <v>40</v>
      </c>
      <c r="F530" s="1" t="s">
        <v>94</v>
      </c>
      <c r="G530" s="1" t="s">
        <v>100</v>
      </c>
      <c r="H530" s="2">
        <v>794.0</v>
      </c>
      <c r="I530" s="2">
        <v>1927.0</v>
      </c>
      <c r="J530" s="1">
        <v>2002.0</v>
      </c>
      <c r="K530" s="1">
        <v>110.0</v>
      </c>
      <c r="L530" s="1" t="s">
        <v>32</v>
      </c>
      <c r="M530" s="1" t="s">
        <v>2161</v>
      </c>
      <c r="N530" s="1" t="s">
        <v>24</v>
      </c>
      <c r="O530" s="1" t="s">
        <v>35</v>
      </c>
      <c r="P530" s="1" t="s">
        <v>2162</v>
      </c>
    </row>
    <row r="531" ht="14.25" customHeight="1">
      <c r="A531" s="1" t="s">
        <v>2163</v>
      </c>
      <c r="B531" s="1" t="s">
        <v>2164</v>
      </c>
      <c r="C531" s="1" t="s">
        <v>53</v>
      </c>
      <c r="D531" s="1">
        <v>25777.0</v>
      </c>
      <c r="E531" s="1" t="s">
        <v>30</v>
      </c>
      <c r="F531" s="1" t="s">
        <v>54</v>
      </c>
      <c r="G531" s="1" t="s">
        <v>31</v>
      </c>
      <c r="H531" s="2">
        <v>1116.0</v>
      </c>
      <c r="I531" s="2">
        <v>7054.0</v>
      </c>
      <c r="J531" s="1">
        <v>1959.0</v>
      </c>
      <c r="K531" s="1">
        <v>52.0</v>
      </c>
      <c r="L531" s="1" t="s">
        <v>22</v>
      </c>
      <c r="M531" s="1" t="s">
        <v>2165</v>
      </c>
      <c r="N531" s="1" t="s">
        <v>34</v>
      </c>
      <c r="O531" s="1" t="s">
        <v>35</v>
      </c>
      <c r="P531" s="1" t="s">
        <v>2166</v>
      </c>
    </row>
    <row r="532" ht="14.25" customHeight="1">
      <c r="A532" s="1" t="s">
        <v>2167</v>
      </c>
      <c r="B532" s="1" t="s">
        <v>2168</v>
      </c>
      <c r="C532" s="1" t="s">
        <v>53</v>
      </c>
      <c r="D532" s="1">
        <v>58433.0</v>
      </c>
      <c r="E532" s="1" t="s">
        <v>60</v>
      </c>
      <c r="F532" s="1" t="s">
        <v>61</v>
      </c>
      <c r="G532" s="1" t="s">
        <v>31</v>
      </c>
      <c r="H532" s="2">
        <v>1034.0</v>
      </c>
      <c r="I532" s="2">
        <v>4346.0</v>
      </c>
      <c r="J532" s="1">
        <v>1973.0</v>
      </c>
      <c r="K532" s="1">
        <v>43.0</v>
      </c>
      <c r="L532" s="1" t="s">
        <v>141</v>
      </c>
      <c r="M532" s="1" t="s">
        <v>2169</v>
      </c>
      <c r="N532" s="1" t="s">
        <v>43</v>
      </c>
      <c r="O532" s="1" t="s">
        <v>35</v>
      </c>
      <c r="P532" s="1" t="s">
        <v>2170</v>
      </c>
    </row>
    <row r="533" ht="14.25" customHeight="1">
      <c r="A533" s="1" t="s">
        <v>2171</v>
      </c>
      <c r="B533" s="1" t="s">
        <v>2172</v>
      </c>
      <c r="C533" s="1" t="s">
        <v>29</v>
      </c>
      <c r="D533" s="1">
        <v>14495.0</v>
      </c>
      <c r="E533" s="1" t="s">
        <v>77</v>
      </c>
      <c r="F533" s="1" t="s">
        <v>54</v>
      </c>
      <c r="G533" s="1" t="s">
        <v>31</v>
      </c>
      <c r="H533" s="2">
        <v>2616.0</v>
      </c>
      <c r="I533" s="2">
        <v>1461.0</v>
      </c>
      <c r="J533" s="1">
        <v>1952.0</v>
      </c>
      <c r="K533" s="1">
        <v>27.0</v>
      </c>
      <c r="L533" s="1" t="s">
        <v>62</v>
      </c>
      <c r="M533" s="1" t="s">
        <v>2173</v>
      </c>
      <c r="N533" s="1" t="s">
        <v>43</v>
      </c>
      <c r="O533" s="1" t="s">
        <v>25</v>
      </c>
      <c r="P533" s="1" t="s">
        <v>2174</v>
      </c>
    </row>
    <row r="534" ht="14.25" customHeight="1">
      <c r="A534" s="1" t="s">
        <v>2175</v>
      </c>
      <c r="B534" s="1" t="s">
        <v>2176</v>
      </c>
      <c r="C534" s="1" t="s">
        <v>18</v>
      </c>
      <c r="D534" s="1">
        <v>61026.0</v>
      </c>
      <c r="E534" s="1" t="s">
        <v>60</v>
      </c>
      <c r="F534" s="1" t="s">
        <v>94</v>
      </c>
      <c r="G534" s="1" t="s">
        <v>21</v>
      </c>
      <c r="H534" s="2">
        <v>3454.0</v>
      </c>
      <c r="I534" s="2">
        <v>7379.0</v>
      </c>
      <c r="J534" s="1">
        <v>1996.0</v>
      </c>
      <c r="K534" s="1">
        <v>13.0</v>
      </c>
      <c r="L534" s="1" t="s">
        <v>95</v>
      </c>
      <c r="M534" s="1" t="s">
        <v>2177</v>
      </c>
      <c r="N534" s="1" t="s">
        <v>64</v>
      </c>
      <c r="O534" s="1" t="s">
        <v>49</v>
      </c>
      <c r="P534" s="1" t="s">
        <v>2178</v>
      </c>
    </row>
    <row r="535" ht="14.25" customHeight="1">
      <c r="A535" s="1" t="s">
        <v>2179</v>
      </c>
      <c r="B535" s="1" t="s">
        <v>2180</v>
      </c>
      <c r="C535" s="1" t="s">
        <v>18</v>
      </c>
      <c r="D535" s="1">
        <v>43557.0</v>
      </c>
      <c r="E535" s="1" t="s">
        <v>40</v>
      </c>
      <c r="F535" s="1" t="s">
        <v>41</v>
      </c>
      <c r="G535" s="1" t="s">
        <v>55</v>
      </c>
      <c r="H535" s="2">
        <v>2081.0</v>
      </c>
      <c r="I535" s="2">
        <v>4775.0</v>
      </c>
      <c r="J535" s="1">
        <v>2017.0</v>
      </c>
      <c r="K535" s="1">
        <v>74.0</v>
      </c>
      <c r="L535" s="1" t="s">
        <v>22</v>
      </c>
      <c r="M535" s="1" t="s">
        <v>2181</v>
      </c>
      <c r="N535" s="1" t="s">
        <v>64</v>
      </c>
      <c r="O535" s="1" t="s">
        <v>49</v>
      </c>
      <c r="P535" s="1" t="s">
        <v>2182</v>
      </c>
    </row>
    <row r="536" ht="14.25" customHeight="1">
      <c r="A536" s="1" t="s">
        <v>2183</v>
      </c>
      <c r="B536" s="1" t="s">
        <v>2184</v>
      </c>
      <c r="C536" s="1" t="s">
        <v>29</v>
      </c>
      <c r="D536" s="1">
        <v>77679.0</v>
      </c>
      <c r="E536" s="1" t="s">
        <v>40</v>
      </c>
      <c r="F536" s="1" t="s">
        <v>54</v>
      </c>
      <c r="G536" s="1" t="s">
        <v>100</v>
      </c>
      <c r="H536" s="2">
        <v>2415.0</v>
      </c>
      <c r="I536" s="2">
        <v>6096.0</v>
      </c>
      <c r="J536" s="1">
        <v>2011.0</v>
      </c>
      <c r="K536" s="1">
        <v>106.0</v>
      </c>
      <c r="L536" s="1" t="s">
        <v>95</v>
      </c>
      <c r="M536" s="1" t="s">
        <v>2185</v>
      </c>
      <c r="N536" s="1" t="s">
        <v>43</v>
      </c>
      <c r="O536" s="1" t="s">
        <v>35</v>
      </c>
      <c r="P536" s="1" t="s">
        <v>2186</v>
      </c>
    </row>
    <row r="537" ht="14.25" customHeight="1">
      <c r="A537" s="1" t="s">
        <v>2187</v>
      </c>
      <c r="B537" s="1" t="s">
        <v>2188</v>
      </c>
      <c r="C537" s="1" t="s">
        <v>29</v>
      </c>
      <c r="D537" s="1">
        <v>31166.0</v>
      </c>
      <c r="E537" s="1" t="s">
        <v>60</v>
      </c>
      <c r="F537" s="1" t="s">
        <v>20</v>
      </c>
      <c r="G537" s="1" t="s">
        <v>55</v>
      </c>
      <c r="H537" s="2">
        <v>1832.0</v>
      </c>
      <c r="I537" s="2">
        <v>7081.0</v>
      </c>
      <c r="J537" s="1">
        <v>1952.0</v>
      </c>
      <c r="K537" s="1">
        <v>106.0</v>
      </c>
      <c r="L537" s="1" t="s">
        <v>95</v>
      </c>
      <c r="M537" s="1" t="s">
        <v>2189</v>
      </c>
      <c r="N537" s="1" t="s">
        <v>24</v>
      </c>
      <c r="O537" s="1" t="s">
        <v>49</v>
      </c>
      <c r="P537" s="1" t="s">
        <v>2190</v>
      </c>
    </row>
    <row r="538" ht="14.25" customHeight="1">
      <c r="A538" s="1" t="s">
        <v>2191</v>
      </c>
      <c r="B538" s="1" t="s">
        <v>2192</v>
      </c>
      <c r="C538" s="1" t="s">
        <v>53</v>
      </c>
      <c r="D538" s="1">
        <v>37339.0</v>
      </c>
      <c r="E538" s="1" t="s">
        <v>30</v>
      </c>
      <c r="F538" s="1" t="s">
        <v>46</v>
      </c>
      <c r="G538" s="1" t="s">
        <v>55</v>
      </c>
      <c r="H538" s="2">
        <v>3597.0</v>
      </c>
      <c r="I538" s="2">
        <v>3730.0</v>
      </c>
      <c r="J538" s="1">
        <v>1958.0</v>
      </c>
      <c r="K538" s="1">
        <v>24.0</v>
      </c>
      <c r="L538" s="1" t="s">
        <v>141</v>
      </c>
      <c r="M538" s="1" t="s">
        <v>2193</v>
      </c>
      <c r="N538" s="1" t="s">
        <v>64</v>
      </c>
      <c r="O538" s="1" t="s">
        <v>49</v>
      </c>
      <c r="P538" s="1" t="s">
        <v>2194</v>
      </c>
    </row>
    <row r="539" ht="14.25" customHeight="1">
      <c r="A539" s="1" t="s">
        <v>2195</v>
      </c>
      <c r="B539" s="1" t="s">
        <v>2196</v>
      </c>
      <c r="C539" s="1" t="s">
        <v>76</v>
      </c>
      <c r="D539" s="1">
        <v>14212.0</v>
      </c>
      <c r="E539" s="1" t="s">
        <v>30</v>
      </c>
      <c r="F539" s="1" t="s">
        <v>41</v>
      </c>
      <c r="G539" s="1" t="s">
        <v>55</v>
      </c>
      <c r="H539" s="2">
        <v>2630.0</v>
      </c>
      <c r="I539" s="2">
        <v>9873.0</v>
      </c>
      <c r="J539" s="1">
        <v>2003.0</v>
      </c>
      <c r="K539" s="1">
        <v>110.0</v>
      </c>
      <c r="L539" s="1" t="s">
        <v>95</v>
      </c>
      <c r="M539" s="1" t="s">
        <v>2197</v>
      </c>
      <c r="N539" s="1" t="s">
        <v>34</v>
      </c>
      <c r="O539" s="1" t="s">
        <v>25</v>
      </c>
      <c r="P539" s="1" t="s">
        <v>2198</v>
      </c>
    </row>
    <row r="540" ht="14.25" customHeight="1">
      <c r="A540" s="1" t="s">
        <v>2199</v>
      </c>
      <c r="B540" s="1" t="s">
        <v>2200</v>
      </c>
      <c r="C540" s="1" t="s">
        <v>53</v>
      </c>
      <c r="D540" s="1">
        <v>35378.0</v>
      </c>
      <c r="E540" s="1" t="s">
        <v>30</v>
      </c>
      <c r="F540" s="1" t="s">
        <v>20</v>
      </c>
      <c r="G540" s="1" t="s">
        <v>55</v>
      </c>
      <c r="H540" s="2">
        <v>3783.0</v>
      </c>
      <c r="I540" s="2">
        <v>6706.0</v>
      </c>
      <c r="J540" s="1">
        <v>1984.0</v>
      </c>
      <c r="K540" s="1">
        <v>102.0</v>
      </c>
      <c r="L540" s="1" t="s">
        <v>141</v>
      </c>
      <c r="M540" s="1" t="s">
        <v>2201</v>
      </c>
      <c r="N540" s="1" t="s">
        <v>43</v>
      </c>
      <c r="O540" s="1" t="s">
        <v>49</v>
      </c>
      <c r="P540" s="1" t="s">
        <v>2202</v>
      </c>
    </row>
    <row r="541" ht="14.25" customHeight="1">
      <c r="A541" s="1" t="s">
        <v>2203</v>
      </c>
      <c r="B541" s="1" t="s">
        <v>2204</v>
      </c>
      <c r="C541" s="1" t="s">
        <v>53</v>
      </c>
      <c r="D541" s="1">
        <v>87488.0</v>
      </c>
      <c r="E541" s="1" t="s">
        <v>60</v>
      </c>
      <c r="F541" s="1" t="s">
        <v>20</v>
      </c>
      <c r="G541" s="1" t="s">
        <v>21</v>
      </c>
      <c r="H541" s="2">
        <v>2866.0</v>
      </c>
      <c r="I541" s="2">
        <v>3036.0</v>
      </c>
      <c r="J541" s="1">
        <v>1964.0</v>
      </c>
      <c r="K541" s="1">
        <v>87.0</v>
      </c>
      <c r="L541" s="1" t="s">
        <v>62</v>
      </c>
      <c r="M541" s="1" t="s">
        <v>2205</v>
      </c>
      <c r="N541" s="1" t="s">
        <v>34</v>
      </c>
      <c r="O541" s="1" t="s">
        <v>35</v>
      </c>
      <c r="P541" s="1" t="s">
        <v>2206</v>
      </c>
    </row>
    <row r="542" ht="14.25" customHeight="1">
      <c r="A542" s="1" t="s">
        <v>2207</v>
      </c>
      <c r="B542" s="1" t="s">
        <v>2208</v>
      </c>
      <c r="C542" s="1" t="s">
        <v>18</v>
      </c>
      <c r="D542" s="1">
        <v>55567.0</v>
      </c>
      <c r="E542" s="1" t="s">
        <v>77</v>
      </c>
      <c r="F542" s="1" t="s">
        <v>61</v>
      </c>
      <c r="G542" s="1" t="s">
        <v>55</v>
      </c>
      <c r="H542" s="2">
        <v>807.0</v>
      </c>
      <c r="I542" s="2">
        <v>5944.0</v>
      </c>
      <c r="J542" s="1">
        <v>2021.0</v>
      </c>
      <c r="K542" s="1">
        <v>68.0</v>
      </c>
      <c r="L542" s="1" t="s">
        <v>32</v>
      </c>
      <c r="M542" s="1" t="s">
        <v>2209</v>
      </c>
      <c r="N542" s="1" t="s">
        <v>43</v>
      </c>
      <c r="O542" s="1" t="s">
        <v>49</v>
      </c>
      <c r="P542" s="1" t="s">
        <v>2210</v>
      </c>
    </row>
    <row r="543" ht="14.25" customHeight="1">
      <c r="A543" s="1" t="s">
        <v>2211</v>
      </c>
      <c r="B543" s="1" t="s">
        <v>2212</v>
      </c>
      <c r="C543" s="1" t="s">
        <v>76</v>
      </c>
      <c r="D543" s="1">
        <v>88302.0</v>
      </c>
      <c r="E543" s="1" t="s">
        <v>30</v>
      </c>
      <c r="F543" s="1" t="s">
        <v>20</v>
      </c>
      <c r="G543" s="1" t="s">
        <v>31</v>
      </c>
      <c r="H543" s="2">
        <v>3219.0</v>
      </c>
      <c r="I543" s="2">
        <v>8079.0</v>
      </c>
      <c r="J543" s="1">
        <v>1966.0</v>
      </c>
      <c r="K543" s="1">
        <v>70.0</v>
      </c>
      <c r="L543" s="1" t="s">
        <v>141</v>
      </c>
      <c r="M543" s="1" t="s">
        <v>2213</v>
      </c>
      <c r="N543" s="1" t="s">
        <v>24</v>
      </c>
      <c r="O543" s="1" t="s">
        <v>35</v>
      </c>
      <c r="P543" s="1" t="s">
        <v>2214</v>
      </c>
    </row>
    <row r="544" ht="14.25" customHeight="1">
      <c r="A544" s="1" t="s">
        <v>2215</v>
      </c>
      <c r="B544" s="1" t="s">
        <v>2216</v>
      </c>
      <c r="C544" s="1" t="s">
        <v>29</v>
      </c>
      <c r="D544" s="1">
        <v>64477.0</v>
      </c>
      <c r="E544" s="1" t="s">
        <v>40</v>
      </c>
      <c r="F544" s="1" t="s">
        <v>54</v>
      </c>
      <c r="G544" s="1" t="s">
        <v>55</v>
      </c>
      <c r="H544" s="2">
        <v>3573.0</v>
      </c>
      <c r="I544" s="2">
        <v>3110.0</v>
      </c>
      <c r="J544" s="1">
        <v>1990.0</v>
      </c>
      <c r="K544" s="1">
        <v>49.0</v>
      </c>
      <c r="L544" s="1" t="s">
        <v>32</v>
      </c>
      <c r="M544" s="1" t="s">
        <v>2217</v>
      </c>
      <c r="N544" s="1" t="s">
        <v>48</v>
      </c>
      <c r="O544" s="1" t="s">
        <v>25</v>
      </c>
      <c r="P544" s="1" t="s">
        <v>2218</v>
      </c>
    </row>
    <row r="545" ht="14.25" customHeight="1">
      <c r="A545" s="1" t="s">
        <v>2219</v>
      </c>
      <c r="B545" s="1" t="s">
        <v>2220</v>
      </c>
      <c r="C545" s="1" t="s">
        <v>39</v>
      </c>
      <c r="D545" s="1">
        <v>14685.0</v>
      </c>
      <c r="E545" s="1" t="s">
        <v>60</v>
      </c>
      <c r="F545" s="1" t="s">
        <v>41</v>
      </c>
      <c r="G545" s="1" t="s">
        <v>21</v>
      </c>
      <c r="H545" s="2">
        <v>3614.0</v>
      </c>
      <c r="I545" s="2">
        <v>4546.0</v>
      </c>
      <c r="J545" s="1">
        <v>1996.0</v>
      </c>
      <c r="K545" s="1">
        <v>51.0</v>
      </c>
      <c r="L545" s="1" t="s">
        <v>141</v>
      </c>
      <c r="M545" s="1" t="s">
        <v>2221</v>
      </c>
      <c r="N545" s="1" t="s">
        <v>48</v>
      </c>
      <c r="O545" s="1" t="s">
        <v>25</v>
      </c>
      <c r="P545" s="1" t="s">
        <v>2222</v>
      </c>
    </row>
    <row r="546" ht="14.25" customHeight="1">
      <c r="A546" s="1" t="s">
        <v>2223</v>
      </c>
      <c r="B546" s="1" t="s">
        <v>2224</v>
      </c>
      <c r="C546" s="1" t="s">
        <v>53</v>
      </c>
      <c r="D546" s="1">
        <v>18152.0</v>
      </c>
      <c r="E546" s="1" t="s">
        <v>30</v>
      </c>
      <c r="F546" s="1" t="s">
        <v>41</v>
      </c>
      <c r="G546" s="1" t="s">
        <v>31</v>
      </c>
      <c r="H546" s="2">
        <v>795.0</v>
      </c>
      <c r="I546" s="2">
        <v>3674.0</v>
      </c>
      <c r="J546" s="1">
        <v>2009.0</v>
      </c>
      <c r="K546" s="1">
        <v>43.0</v>
      </c>
      <c r="L546" s="1" t="s">
        <v>32</v>
      </c>
      <c r="M546" s="1" t="s">
        <v>2225</v>
      </c>
      <c r="N546" s="1" t="s">
        <v>34</v>
      </c>
      <c r="O546" s="1" t="s">
        <v>25</v>
      </c>
      <c r="P546" s="1" t="s">
        <v>2226</v>
      </c>
    </row>
    <row r="547" ht="14.25" customHeight="1">
      <c r="A547" s="1" t="s">
        <v>2227</v>
      </c>
      <c r="B547" s="1" t="s">
        <v>2228</v>
      </c>
      <c r="C547" s="1" t="s">
        <v>39</v>
      </c>
      <c r="D547" s="1">
        <v>73267.0</v>
      </c>
      <c r="E547" s="1" t="s">
        <v>40</v>
      </c>
      <c r="F547" s="1" t="s">
        <v>41</v>
      </c>
      <c r="G547" s="1" t="s">
        <v>21</v>
      </c>
      <c r="H547" s="2">
        <v>2088.0</v>
      </c>
      <c r="I547" s="2">
        <v>1515.0</v>
      </c>
      <c r="J547" s="1">
        <v>1958.0</v>
      </c>
      <c r="K547" s="1">
        <v>6.0</v>
      </c>
      <c r="L547" s="1" t="s">
        <v>95</v>
      </c>
      <c r="M547" s="1" t="s">
        <v>2229</v>
      </c>
      <c r="N547" s="1" t="s">
        <v>34</v>
      </c>
      <c r="O547" s="1" t="s">
        <v>25</v>
      </c>
      <c r="P547" s="1" t="s">
        <v>2230</v>
      </c>
    </row>
    <row r="548" ht="14.25" customHeight="1">
      <c r="A548" s="1" t="s">
        <v>2231</v>
      </c>
      <c r="B548" s="1" t="s">
        <v>2232</v>
      </c>
      <c r="C548" s="1" t="s">
        <v>39</v>
      </c>
      <c r="D548" s="1">
        <v>82661.0</v>
      </c>
      <c r="E548" s="1" t="s">
        <v>60</v>
      </c>
      <c r="F548" s="1" t="s">
        <v>46</v>
      </c>
      <c r="G548" s="1" t="s">
        <v>55</v>
      </c>
      <c r="H548" s="2">
        <v>3042.0</v>
      </c>
      <c r="I548" s="2">
        <v>4692.0</v>
      </c>
      <c r="J548" s="1">
        <v>2023.0</v>
      </c>
      <c r="K548" s="1">
        <v>61.0</v>
      </c>
      <c r="L548" s="1" t="s">
        <v>62</v>
      </c>
      <c r="M548" s="1" t="s">
        <v>2233</v>
      </c>
      <c r="N548" s="1" t="s">
        <v>24</v>
      </c>
      <c r="O548" s="1" t="s">
        <v>49</v>
      </c>
      <c r="P548" s="1" t="s">
        <v>2234</v>
      </c>
    </row>
    <row r="549" ht="14.25" customHeight="1">
      <c r="A549" s="1" t="s">
        <v>2235</v>
      </c>
      <c r="B549" s="1" t="s">
        <v>2236</v>
      </c>
      <c r="C549" s="1" t="s">
        <v>76</v>
      </c>
      <c r="D549" s="1">
        <v>93635.0</v>
      </c>
      <c r="E549" s="1" t="s">
        <v>19</v>
      </c>
      <c r="F549" s="1" t="s">
        <v>94</v>
      </c>
      <c r="G549" s="1" t="s">
        <v>100</v>
      </c>
      <c r="H549" s="2">
        <v>2807.0</v>
      </c>
      <c r="I549" s="2">
        <v>5586.0</v>
      </c>
      <c r="J549" s="1">
        <v>1976.0</v>
      </c>
      <c r="K549" s="1">
        <v>99.0</v>
      </c>
      <c r="L549" s="1" t="s">
        <v>32</v>
      </c>
      <c r="M549" s="1" t="s">
        <v>2237</v>
      </c>
      <c r="N549" s="1" t="s">
        <v>48</v>
      </c>
      <c r="O549" s="1" t="s">
        <v>25</v>
      </c>
      <c r="P549" s="1" t="s">
        <v>2238</v>
      </c>
    </row>
    <row r="550" ht="14.25" customHeight="1">
      <c r="A550" s="1" t="s">
        <v>2239</v>
      </c>
      <c r="B550" s="1" t="s">
        <v>2240</v>
      </c>
      <c r="C550" s="1" t="s">
        <v>76</v>
      </c>
      <c r="D550" s="1">
        <v>78415.0</v>
      </c>
      <c r="E550" s="1" t="s">
        <v>30</v>
      </c>
      <c r="F550" s="1" t="s">
        <v>61</v>
      </c>
      <c r="G550" s="1" t="s">
        <v>55</v>
      </c>
      <c r="H550" s="2">
        <v>1590.0</v>
      </c>
      <c r="I550" s="2">
        <v>8525.0</v>
      </c>
      <c r="J550" s="1">
        <v>2015.0</v>
      </c>
      <c r="K550" s="1">
        <v>21.0</v>
      </c>
      <c r="L550" s="1" t="s">
        <v>141</v>
      </c>
      <c r="M550" s="1" t="s">
        <v>2241</v>
      </c>
      <c r="N550" s="1" t="s">
        <v>24</v>
      </c>
      <c r="O550" s="1" t="s">
        <v>25</v>
      </c>
      <c r="P550" s="1" t="s">
        <v>2242</v>
      </c>
    </row>
    <row r="551" ht="14.25" customHeight="1">
      <c r="A551" s="1" t="s">
        <v>2243</v>
      </c>
      <c r="B551" s="1" t="s">
        <v>2244</v>
      </c>
      <c r="C551" s="1" t="s">
        <v>18</v>
      </c>
      <c r="D551" s="1">
        <v>59583.0</v>
      </c>
      <c r="E551" s="1" t="s">
        <v>40</v>
      </c>
      <c r="F551" s="1" t="s">
        <v>54</v>
      </c>
      <c r="G551" s="1" t="s">
        <v>55</v>
      </c>
      <c r="H551" s="2">
        <v>1416.0</v>
      </c>
      <c r="I551" s="2">
        <v>1584.0</v>
      </c>
      <c r="J551" s="1">
        <v>1978.0</v>
      </c>
      <c r="K551" s="1">
        <v>90.0</v>
      </c>
      <c r="L551" s="1" t="s">
        <v>32</v>
      </c>
      <c r="M551" s="1" t="s">
        <v>2245</v>
      </c>
      <c r="N551" s="1" t="s">
        <v>24</v>
      </c>
      <c r="O551" s="1" t="s">
        <v>25</v>
      </c>
      <c r="P551" s="1" t="s">
        <v>2246</v>
      </c>
    </row>
    <row r="552" ht="14.25" customHeight="1">
      <c r="A552" s="1" t="s">
        <v>2247</v>
      </c>
      <c r="B552" s="1" t="s">
        <v>2248</v>
      </c>
      <c r="C552" s="1" t="s">
        <v>18</v>
      </c>
      <c r="D552" s="1">
        <v>29719.0</v>
      </c>
      <c r="E552" s="1" t="s">
        <v>60</v>
      </c>
      <c r="F552" s="1" t="s">
        <v>20</v>
      </c>
      <c r="G552" s="1" t="s">
        <v>100</v>
      </c>
      <c r="H552" s="2">
        <v>3645.0</v>
      </c>
      <c r="I552" s="2">
        <v>4509.0</v>
      </c>
      <c r="J552" s="1">
        <v>2020.0</v>
      </c>
      <c r="K552" s="1">
        <v>92.0</v>
      </c>
      <c r="L552" s="1" t="s">
        <v>32</v>
      </c>
      <c r="M552" s="1" t="s">
        <v>2249</v>
      </c>
      <c r="N552" s="1" t="s">
        <v>64</v>
      </c>
      <c r="O552" s="1" t="s">
        <v>35</v>
      </c>
      <c r="P552" s="1" t="s">
        <v>2250</v>
      </c>
    </row>
    <row r="553" ht="14.25" customHeight="1">
      <c r="A553" s="1" t="s">
        <v>2251</v>
      </c>
      <c r="B553" s="1" t="s">
        <v>2252</v>
      </c>
      <c r="C553" s="1" t="s">
        <v>18</v>
      </c>
      <c r="D553" s="1">
        <v>78275.0</v>
      </c>
      <c r="E553" s="1" t="s">
        <v>40</v>
      </c>
      <c r="F553" s="1" t="s">
        <v>41</v>
      </c>
      <c r="G553" s="1" t="s">
        <v>55</v>
      </c>
      <c r="H553" s="2">
        <v>927.0</v>
      </c>
      <c r="I553" s="2">
        <v>2474.0</v>
      </c>
      <c r="J553" s="1">
        <v>1990.0</v>
      </c>
      <c r="K553" s="1">
        <v>20.0</v>
      </c>
      <c r="L553" s="1" t="s">
        <v>62</v>
      </c>
      <c r="M553" s="1" t="s">
        <v>2253</v>
      </c>
      <c r="N553" s="1" t="s">
        <v>64</v>
      </c>
      <c r="O553" s="1" t="s">
        <v>25</v>
      </c>
      <c r="P553" s="1" t="s">
        <v>2254</v>
      </c>
    </row>
    <row r="554" ht="14.25" customHeight="1">
      <c r="A554" s="1" t="s">
        <v>2255</v>
      </c>
      <c r="B554" s="1" t="s">
        <v>2256</v>
      </c>
      <c r="C554" s="1" t="s">
        <v>39</v>
      </c>
      <c r="D554" s="1">
        <v>78040.0</v>
      </c>
      <c r="E554" s="1" t="s">
        <v>40</v>
      </c>
      <c r="F554" s="1" t="s">
        <v>61</v>
      </c>
      <c r="G554" s="1" t="s">
        <v>55</v>
      </c>
      <c r="H554" s="2">
        <v>1948.0</v>
      </c>
      <c r="I554" s="2">
        <v>4784.0</v>
      </c>
      <c r="J554" s="1">
        <v>1970.0</v>
      </c>
      <c r="K554" s="1">
        <v>44.0</v>
      </c>
      <c r="L554" s="1" t="s">
        <v>62</v>
      </c>
      <c r="M554" s="1" t="s">
        <v>2257</v>
      </c>
      <c r="N554" s="1" t="s">
        <v>64</v>
      </c>
      <c r="O554" s="1" t="s">
        <v>49</v>
      </c>
      <c r="P554" s="1" t="s">
        <v>2258</v>
      </c>
    </row>
    <row r="555" ht="14.25" customHeight="1">
      <c r="A555" s="1" t="s">
        <v>2259</v>
      </c>
      <c r="B555" s="1" t="s">
        <v>2260</v>
      </c>
      <c r="C555" s="1" t="s">
        <v>29</v>
      </c>
      <c r="D555" s="1">
        <v>65847.0</v>
      </c>
      <c r="E555" s="1" t="s">
        <v>30</v>
      </c>
      <c r="F555" s="1" t="s">
        <v>61</v>
      </c>
      <c r="G555" s="1" t="s">
        <v>100</v>
      </c>
      <c r="H555" s="2">
        <v>862.0</v>
      </c>
      <c r="I555" s="2">
        <v>4199.0</v>
      </c>
      <c r="J555" s="1">
        <v>1968.0</v>
      </c>
      <c r="K555" s="1">
        <v>41.0</v>
      </c>
      <c r="L555" s="1" t="s">
        <v>62</v>
      </c>
      <c r="M555" s="1" t="s">
        <v>2261</v>
      </c>
      <c r="N555" s="1" t="s">
        <v>48</v>
      </c>
      <c r="O555" s="1" t="s">
        <v>49</v>
      </c>
      <c r="P555" s="1" t="s">
        <v>2262</v>
      </c>
    </row>
    <row r="556" ht="14.25" customHeight="1">
      <c r="A556" s="1" t="s">
        <v>2263</v>
      </c>
      <c r="B556" s="1" t="s">
        <v>2264</v>
      </c>
      <c r="C556" s="1" t="s">
        <v>39</v>
      </c>
      <c r="D556" s="1">
        <v>93094.0</v>
      </c>
      <c r="E556" s="1" t="s">
        <v>19</v>
      </c>
      <c r="F556" s="1" t="s">
        <v>41</v>
      </c>
      <c r="G556" s="1" t="s">
        <v>100</v>
      </c>
      <c r="H556" s="2">
        <v>1507.0</v>
      </c>
      <c r="I556" s="2">
        <v>1556.0</v>
      </c>
      <c r="J556" s="1">
        <v>1985.0</v>
      </c>
      <c r="K556" s="1">
        <v>107.0</v>
      </c>
      <c r="L556" s="1" t="s">
        <v>62</v>
      </c>
      <c r="M556" s="1" t="s">
        <v>2265</v>
      </c>
      <c r="N556" s="1" t="s">
        <v>48</v>
      </c>
      <c r="O556" s="1" t="s">
        <v>35</v>
      </c>
      <c r="P556" s="1" t="s">
        <v>2266</v>
      </c>
    </row>
    <row r="557" ht="14.25" customHeight="1">
      <c r="A557" s="1" t="s">
        <v>2267</v>
      </c>
      <c r="B557" s="1" t="s">
        <v>2268</v>
      </c>
      <c r="C557" s="1" t="s">
        <v>18</v>
      </c>
      <c r="D557" s="1">
        <v>41680.0</v>
      </c>
      <c r="E557" s="1" t="s">
        <v>30</v>
      </c>
      <c r="F557" s="1" t="s">
        <v>61</v>
      </c>
      <c r="G557" s="1" t="s">
        <v>100</v>
      </c>
      <c r="H557" s="2">
        <v>1617.0</v>
      </c>
      <c r="I557" s="2">
        <v>6677.0</v>
      </c>
      <c r="J557" s="1">
        <v>2023.0</v>
      </c>
      <c r="K557" s="1">
        <v>58.0</v>
      </c>
      <c r="L557" s="1" t="s">
        <v>62</v>
      </c>
      <c r="M557" s="1" t="s">
        <v>2269</v>
      </c>
      <c r="N557" s="1" t="s">
        <v>64</v>
      </c>
      <c r="O557" s="1" t="s">
        <v>35</v>
      </c>
      <c r="P557" s="1" t="s">
        <v>2270</v>
      </c>
    </row>
    <row r="558" ht="14.25" customHeight="1">
      <c r="A558" s="1" t="s">
        <v>2271</v>
      </c>
      <c r="B558" s="1" t="s">
        <v>2272</v>
      </c>
      <c r="C558" s="1" t="s">
        <v>39</v>
      </c>
      <c r="D558" s="1">
        <v>10818.0</v>
      </c>
      <c r="E558" s="1" t="s">
        <v>30</v>
      </c>
      <c r="F558" s="1" t="s">
        <v>20</v>
      </c>
      <c r="G558" s="1" t="s">
        <v>31</v>
      </c>
      <c r="H558" s="2">
        <v>2257.0</v>
      </c>
      <c r="I558" s="2">
        <v>5257.0</v>
      </c>
      <c r="J558" s="1">
        <v>2018.0</v>
      </c>
      <c r="K558" s="1">
        <v>93.0</v>
      </c>
      <c r="L558" s="1" t="s">
        <v>141</v>
      </c>
      <c r="M558" s="1" t="s">
        <v>2273</v>
      </c>
      <c r="N558" s="1" t="s">
        <v>64</v>
      </c>
      <c r="O558" s="1" t="s">
        <v>25</v>
      </c>
      <c r="P558" s="1" t="s">
        <v>2274</v>
      </c>
    </row>
    <row r="559" ht="14.25" customHeight="1">
      <c r="A559" s="1" t="s">
        <v>2275</v>
      </c>
      <c r="B559" s="1" t="s">
        <v>2276</v>
      </c>
      <c r="C559" s="1" t="s">
        <v>39</v>
      </c>
      <c r="D559" s="1">
        <v>55808.0</v>
      </c>
      <c r="E559" s="1" t="s">
        <v>60</v>
      </c>
      <c r="F559" s="1" t="s">
        <v>54</v>
      </c>
      <c r="G559" s="1" t="s">
        <v>31</v>
      </c>
      <c r="H559" s="2">
        <v>3881.0</v>
      </c>
      <c r="I559" s="2">
        <v>9959.0</v>
      </c>
      <c r="J559" s="1">
        <v>1979.0</v>
      </c>
      <c r="K559" s="1">
        <v>111.0</v>
      </c>
      <c r="L559" s="1" t="s">
        <v>95</v>
      </c>
      <c r="M559" s="1" t="s">
        <v>2277</v>
      </c>
      <c r="N559" s="1" t="s">
        <v>48</v>
      </c>
      <c r="O559" s="1" t="s">
        <v>35</v>
      </c>
      <c r="P559" s="1" t="s">
        <v>2278</v>
      </c>
    </row>
    <row r="560" ht="14.25" customHeight="1">
      <c r="A560" s="1" t="s">
        <v>2279</v>
      </c>
      <c r="B560" s="1" t="s">
        <v>2280</v>
      </c>
      <c r="C560" s="1" t="s">
        <v>39</v>
      </c>
      <c r="D560" s="1">
        <v>36098.0</v>
      </c>
      <c r="E560" s="1" t="s">
        <v>30</v>
      </c>
      <c r="F560" s="1" t="s">
        <v>46</v>
      </c>
      <c r="G560" s="1" t="s">
        <v>55</v>
      </c>
      <c r="H560" s="2">
        <v>665.0</v>
      </c>
      <c r="I560" s="2">
        <v>6566.0</v>
      </c>
      <c r="J560" s="1">
        <v>1984.0</v>
      </c>
      <c r="K560" s="1">
        <v>42.0</v>
      </c>
      <c r="L560" s="1" t="s">
        <v>141</v>
      </c>
      <c r="M560" s="1" t="s">
        <v>2281</v>
      </c>
      <c r="N560" s="1" t="s">
        <v>43</v>
      </c>
      <c r="O560" s="1" t="s">
        <v>49</v>
      </c>
      <c r="P560" s="1" t="s">
        <v>2282</v>
      </c>
    </row>
    <row r="561" ht="14.25" customHeight="1">
      <c r="A561" s="1" t="s">
        <v>2283</v>
      </c>
      <c r="B561" s="1" t="s">
        <v>2284</v>
      </c>
      <c r="C561" s="1" t="s">
        <v>29</v>
      </c>
      <c r="D561" s="1">
        <v>27071.0</v>
      </c>
      <c r="E561" s="1" t="s">
        <v>77</v>
      </c>
      <c r="F561" s="1" t="s">
        <v>94</v>
      </c>
      <c r="G561" s="1" t="s">
        <v>21</v>
      </c>
      <c r="H561" s="2">
        <v>3350.0</v>
      </c>
      <c r="I561" s="2">
        <v>5339.0</v>
      </c>
      <c r="J561" s="1">
        <v>1993.0</v>
      </c>
      <c r="K561" s="1">
        <v>23.0</v>
      </c>
      <c r="L561" s="1" t="s">
        <v>32</v>
      </c>
      <c r="M561" s="1" t="s">
        <v>2285</v>
      </c>
      <c r="N561" s="1" t="s">
        <v>64</v>
      </c>
      <c r="O561" s="1" t="s">
        <v>25</v>
      </c>
      <c r="P561" s="1" t="s">
        <v>2286</v>
      </c>
    </row>
    <row r="562" ht="14.25" customHeight="1">
      <c r="A562" s="1" t="s">
        <v>2287</v>
      </c>
      <c r="B562" s="1" t="s">
        <v>2288</v>
      </c>
      <c r="C562" s="1" t="s">
        <v>18</v>
      </c>
      <c r="D562" s="1">
        <v>43152.0</v>
      </c>
      <c r="E562" s="1" t="s">
        <v>19</v>
      </c>
      <c r="F562" s="1" t="s">
        <v>46</v>
      </c>
      <c r="G562" s="1" t="s">
        <v>21</v>
      </c>
      <c r="H562" s="2">
        <v>2971.0</v>
      </c>
      <c r="I562" s="2">
        <v>1846.0</v>
      </c>
      <c r="J562" s="1">
        <v>1997.0</v>
      </c>
      <c r="K562" s="1">
        <v>1.0</v>
      </c>
      <c r="L562" s="1" t="s">
        <v>22</v>
      </c>
      <c r="M562" s="1" t="s">
        <v>2289</v>
      </c>
      <c r="N562" s="1" t="s">
        <v>64</v>
      </c>
      <c r="O562" s="1" t="s">
        <v>49</v>
      </c>
      <c r="P562" s="1" t="s">
        <v>2290</v>
      </c>
    </row>
    <row r="563" ht="14.25" customHeight="1">
      <c r="A563" s="1" t="s">
        <v>2291</v>
      </c>
      <c r="B563" s="1" t="s">
        <v>2292</v>
      </c>
      <c r="C563" s="1" t="s">
        <v>29</v>
      </c>
      <c r="D563" s="1">
        <v>40098.0</v>
      </c>
      <c r="E563" s="1" t="s">
        <v>77</v>
      </c>
      <c r="F563" s="1" t="s">
        <v>46</v>
      </c>
      <c r="G563" s="1" t="s">
        <v>21</v>
      </c>
      <c r="H563" s="2">
        <v>1440.0</v>
      </c>
      <c r="I563" s="2">
        <v>4971.0</v>
      </c>
      <c r="J563" s="1">
        <v>2009.0</v>
      </c>
      <c r="K563" s="1">
        <v>20.0</v>
      </c>
      <c r="L563" s="1" t="s">
        <v>62</v>
      </c>
      <c r="M563" s="1" t="s">
        <v>2293</v>
      </c>
      <c r="N563" s="1" t="s">
        <v>34</v>
      </c>
      <c r="O563" s="1" t="s">
        <v>49</v>
      </c>
      <c r="P563" s="1" t="s">
        <v>2294</v>
      </c>
    </row>
    <row r="564" ht="14.25" customHeight="1">
      <c r="A564" s="1" t="s">
        <v>2295</v>
      </c>
      <c r="B564" s="1" t="s">
        <v>2296</v>
      </c>
      <c r="C564" s="1" t="s">
        <v>18</v>
      </c>
      <c r="D564" s="1">
        <v>96391.0</v>
      </c>
      <c r="E564" s="1" t="s">
        <v>19</v>
      </c>
      <c r="F564" s="1" t="s">
        <v>94</v>
      </c>
      <c r="G564" s="1" t="s">
        <v>31</v>
      </c>
      <c r="H564" s="2">
        <v>1365.0</v>
      </c>
      <c r="I564" s="2">
        <v>1898.0</v>
      </c>
      <c r="J564" s="1">
        <v>1967.0</v>
      </c>
      <c r="K564" s="1">
        <v>9.0</v>
      </c>
      <c r="L564" s="1" t="s">
        <v>95</v>
      </c>
      <c r="M564" s="1" t="s">
        <v>2297</v>
      </c>
      <c r="N564" s="1" t="s">
        <v>34</v>
      </c>
      <c r="O564" s="1" t="s">
        <v>35</v>
      </c>
      <c r="P564" s="1" t="s">
        <v>2298</v>
      </c>
    </row>
    <row r="565" ht="14.25" customHeight="1">
      <c r="A565" s="1" t="s">
        <v>2299</v>
      </c>
      <c r="B565" s="1" t="s">
        <v>2300</v>
      </c>
      <c r="C565" s="1" t="s">
        <v>18</v>
      </c>
      <c r="D565" s="1">
        <v>90523.0</v>
      </c>
      <c r="E565" s="1" t="s">
        <v>60</v>
      </c>
      <c r="F565" s="1" t="s">
        <v>94</v>
      </c>
      <c r="G565" s="1" t="s">
        <v>100</v>
      </c>
      <c r="H565" s="2">
        <v>1601.0</v>
      </c>
      <c r="I565" s="2">
        <v>2079.0</v>
      </c>
      <c r="J565" s="1">
        <v>1955.0</v>
      </c>
      <c r="K565" s="1">
        <v>90.0</v>
      </c>
      <c r="L565" s="1" t="s">
        <v>62</v>
      </c>
      <c r="M565" s="1" t="s">
        <v>2301</v>
      </c>
      <c r="N565" s="1" t="s">
        <v>48</v>
      </c>
      <c r="O565" s="1" t="s">
        <v>25</v>
      </c>
      <c r="P565" s="1" t="s">
        <v>2302</v>
      </c>
    </row>
    <row r="566" ht="14.25" customHeight="1">
      <c r="A566" s="1" t="s">
        <v>2303</v>
      </c>
      <c r="B566" s="1" t="s">
        <v>2304</v>
      </c>
      <c r="C566" s="1" t="s">
        <v>76</v>
      </c>
      <c r="D566" s="1">
        <v>51332.0</v>
      </c>
      <c r="E566" s="1" t="s">
        <v>60</v>
      </c>
      <c r="F566" s="1" t="s">
        <v>20</v>
      </c>
      <c r="G566" s="1" t="s">
        <v>100</v>
      </c>
      <c r="H566" s="2">
        <v>2820.0</v>
      </c>
      <c r="I566" s="2">
        <v>5745.0</v>
      </c>
      <c r="J566" s="1">
        <v>1967.0</v>
      </c>
      <c r="K566" s="1">
        <v>111.0</v>
      </c>
      <c r="L566" s="1" t="s">
        <v>32</v>
      </c>
      <c r="M566" s="1" t="s">
        <v>2305</v>
      </c>
      <c r="N566" s="1" t="s">
        <v>48</v>
      </c>
      <c r="O566" s="1" t="s">
        <v>25</v>
      </c>
      <c r="P566" s="1" t="s">
        <v>2306</v>
      </c>
    </row>
    <row r="567" ht="14.25" customHeight="1">
      <c r="A567" s="1" t="s">
        <v>2307</v>
      </c>
      <c r="B567" s="1" t="s">
        <v>2308</v>
      </c>
      <c r="C567" s="1" t="s">
        <v>76</v>
      </c>
      <c r="D567" s="1">
        <v>20764.0</v>
      </c>
      <c r="E567" s="1" t="s">
        <v>60</v>
      </c>
      <c r="F567" s="1" t="s">
        <v>61</v>
      </c>
      <c r="G567" s="1" t="s">
        <v>100</v>
      </c>
      <c r="H567" s="2">
        <v>2168.0</v>
      </c>
      <c r="I567" s="2">
        <v>2738.0</v>
      </c>
      <c r="J567" s="1">
        <v>1978.0</v>
      </c>
      <c r="K567" s="1">
        <v>68.0</v>
      </c>
      <c r="L567" s="1" t="s">
        <v>62</v>
      </c>
      <c r="M567" s="1" t="s">
        <v>2309</v>
      </c>
      <c r="N567" s="1" t="s">
        <v>48</v>
      </c>
      <c r="O567" s="1" t="s">
        <v>35</v>
      </c>
      <c r="P567" s="1" t="s">
        <v>2310</v>
      </c>
    </row>
    <row r="568" ht="14.25" customHeight="1">
      <c r="A568" s="1" t="s">
        <v>2311</v>
      </c>
      <c r="B568" s="1" t="s">
        <v>2312</v>
      </c>
      <c r="C568" s="1" t="s">
        <v>18</v>
      </c>
      <c r="D568" s="1">
        <v>92972.0</v>
      </c>
      <c r="E568" s="1" t="s">
        <v>60</v>
      </c>
      <c r="F568" s="1" t="s">
        <v>20</v>
      </c>
      <c r="G568" s="1" t="s">
        <v>55</v>
      </c>
      <c r="H568" s="2">
        <v>2894.0</v>
      </c>
      <c r="I568" s="2">
        <v>3214.0</v>
      </c>
      <c r="J568" s="1">
        <v>1953.0</v>
      </c>
      <c r="K568" s="1">
        <v>8.0</v>
      </c>
      <c r="L568" s="1" t="s">
        <v>22</v>
      </c>
      <c r="M568" s="1" t="s">
        <v>2313</v>
      </c>
      <c r="N568" s="1" t="s">
        <v>34</v>
      </c>
      <c r="O568" s="1" t="s">
        <v>25</v>
      </c>
      <c r="P568" s="1" t="s">
        <v>2314</v>
      </c>
    </row>
    <row r="569" ht="14.25" customHeight="1">
      <c r="A569" s="1" t="s">
        <v>2315</v>
      </c>
      <c r="B569" s="1" t="s">
        <v>2316</v>
      </c>
      <c r="C569" s="1" t="s">
        <v>18</v>
      </c>
      <c r="D569" s="1">
        <v>75163.0</v>
      </c>
      <c r="E569" s="1" t="s">
        <v>77</v>
      </c>
      <c r="F569" s="1" t="s">
        <v>94</v>
      </c>
      <c r="G569" s="1" t="s">
        <v>55</v>
      </c>
      <c r="H569" s="2">
        <v>1072.0</v>
      </c>
      <c r="I569" s="2">
        <v>2832.0</v>
      </c>
      <c r="J569" s="1">
        <v>1965.0</v>
      </c>
      <c r="K569" s="1">
        <v>92.0</v>
      </c>
      <c r="L569" s="1" t="s">
        <v>141</v>
      </c>
      <c r="M569" s="1" t="s">
        <v>2317</v>
      </c>
      <c r="N569" s="1" t="s">
        <v>34</v>
      </c>
      <c r="O569" s="1" t="s">
        <v>49</v>
      </c>
      <c r="P569" s="1" t="s">
        <v>2318</v>
      </c>
    </row>
    <row r="570" ht="14.25" customHeight="1">
      <c r="A570" s="1" t="s">
        <v>2319</v>
      </c>
      <c r="B570" s="1" t="s">
        <v>2320</v>
      </c>
      <c r="C570" s="1" t="s">
        <v>76</v>
      </c>
      <c r="D570" s="1">
        <v>29586.0</v>
      </c>
      <c r="E570" s="1" t="s">
        <v>60</v>
      </c>
      <c r="F570" s="1" t="s">
        <v>41</v>
      </c>
      <c r="G570" s="1" t="s">
        <v>100</v>
      </c>
      <c r="H570" s="2">
        <v>2739.0</v>
      </c>
      <c r="I570" s="2">
        <v>2813.0</v>
      </c>
      <c r="J570" s="1">
        <v>1972.0</v>
      </c>
      <c r="K570" s="1">
        <v>58.0</v>
      </c>
      <c r="L570" s="1" t="s">
        <v>32</v>
      </c>
      <c r="M570" s="1" t="s">
        <v>2321</v>
      </c>
      <c r="N570" s="1" t="s">
        <v>64</v>
      </c>
      <c r="O570" s="1" t="s">
        <v>49</v>
      </c>
      <c r="P570" s="1" t="s">
        <v>2322</v>
      </c>
    </row>
    <row r="571" ht="14.25" customHeight="1">
      <c r="A571" s="1" t="s">
        <v>2323</v>
      </c>
      <c r="B571" s="1" t="s">
        <v>2324</v>
      </c>
      <c r="C571" s="1" t="s">
        <v>53</v>
      </c>
      <c r="D571" s="1">
        <v>45798.0</v>
      </c>
      <c r="E571" s="1" t="s">
        <v>19</v>
      </c>
      <c r="F571" s="1" t="s">
        <v>94</v>
      </c>
      <c r="G571" s="1" t="s">
        <v>31</v>
      </c>
      <c r="H571" s="2">
        <v>2371.0</v>
      </c>
      <c r="I571" s="2">
        <v>4972.0</v>
      </c>
      <c r="J571" s="1">
        <v>1979.0</v>
      </c>
      <c r="K571" s="1">
        <v>86.0</v>
      </c>
      <c r="L571" s="1" t="s">
        <v>22</v>
      </c>
      <c r="M571" s="1" t="s">
        <v>2325</v>
      </c>
      <c r="N571" s="1" t="s">
        <v>48</v>
      </c>
      <c r="O571" s="1" t="s">
        <v>35</v>
      </c>
      <c r="P571" s="1" t="s">
        <v>2326</v>
      </c>
    </row>
    <row r="572" ht="14.25" customHeight="1">
      <c r="A572" s="1" t="s">
        <v>2327</v>
      </c>
      <c r="B572" s="1" t="s">
        <v>2328</v>
      </c>
      <c r="C572" s="1" t="s">
        <v>53</v>
      </c>
      <c r="D572" s="1">
        <v>83126.0</v>
      </c>
      <c r="E572" s="1" t="s">
        <v>77</v>
      </c>
      <c r="F572" s="1" t="s">
        <v>41</v>
      </c>
      <c r="G572" s="1" t="s">
        <v>55</v>
      </c>
      <c r="H572" s="2">
        <v>3440.0</v>
      </c>
      <c r="I572" s="2">
        <v>5975.0</v>
      </c>
      <c r="J572" s="1">
        <v>1999.0</v>
      </c>
      <c r="K572" s="1">
        <v>113.0</v>
      </c>
      <c r="L572" s="1" t="s">
        <v>32</v>
      </c>
      <c r="M572" s="1" t="s">
        <v>2329</v>
      </c>
      <c r="N572" s="1" t="s">
        <v>43</v>
      </c>
      <c r="O572" s="1" t="s">
        <v>25</v>
      </c>
      <c r="P572" s="1" t="s">
        <v>2330</v>
      </c>
    </row>
    <row r="573" ht="14.25" customHeight="1">
      <c r="A573" s="1" t="s">
        <v>2331</v>
      </c>
      <c r="B573" s="1" t="s">
        <v>2332</v>
      </c>
      <c r="C573" s="1" t="s">
        <v>18</v>
      </c>
      <c r="D573" s="1">
        <v>74857.0</v>
      </c>
      <c r="E573" s="1" t="s">
        <v>77</v>
      </c>
      <c r="F573" s="1" t="s">
        <v>41</v>
      </c>
      <c r="G573" s="1" t="s">
        <v>100</v>
      </c>
      <c r="H573" s="2">
        <v>1781.0</v>
      </c>
      <c r="I573" s="2">
        <v>8066.0</v>
      </c>
      <c r="J573" s="1">
        <v>2011.0</v>
      </c>
      <c r="K573" s="1">
        <v>120.0</v>
      </c>
      <c r="L573" s="1" t="s">
        <v>32</v>
      </c>
      <c r="M573" s="1" t="s">
        <v>2333</v>
      </c>
      <c r="N573" s="1" t="s">
        <v>48</v>
      </c>
      <c r="O573" s="1" t="s">
        <v>25</v>
      </c>
      <c r="P573" s="1" t="s">
        <v>2334</v>
      </c>
    </row>
    <row r="574" ht="14.25" customHeight="1">
      <c r="A574" s="1" t="s">
        <v>2335</v>
      </c>
      <c r="B574" s="1" t="s">
        <v>2336</v>
      </c>
      <c r="C574" s="1" t="s">
        <v>18</v>
      </c>
      <c r="D574" s="1">
        <v>80154.0</v>
      </c>
      <c r="E574" s="1" t="s">
        <v>60</v>
      </c>
      <c r="F574" s="1" t="s">
        <v>94</v>
      </c>
      <c r="G574" s="1" t="s">
        <v>21</v>
      </c>
      <c r="H574" s="2">
        <v>3509.0</v>
      </c>
      <c r="I574" s="2">
        <v>5120.0</v>
      </c>
      <c r="J574" s="1">
        <v>2017.0</v>
      </c>
      <c r="K574" s="1">
        <v>71.0</v>
      </c>
      <c r="L574" s="1" t="s">
        <v>141</v>
      </c>
      <c r="M574" s="1" t="s">
        <v>2337</v>
      </c>
      <c r="N574" s="1" t="s">
        <v>24</v>
      </c>
      <c r="O574" s="1" t="s">
        <v>35</v>
      </c>
      <c r="P574" s="1" t="s">
        <v>2338</v>
      </c>
    </row>
    <row r="575" ht="14.25" customHeight="1">
      <c r="A575" s="1" t="s">
        <v>2339</v>
      </c>
      <c r="B575" s="1" t="s">
        <v>2340</v>
      </c>
      <c r="C575" s="1" t="s">
        <v>76</v>
      </c>
      <c r="D575" s="1">
        <v>64532.0</v>
      </c>
      <c r="E575" s="1" t="s">
        <v>40</v>
      </c>
      <c r="F575" s="1" t="s">
        <v>46</v>
      </c>
      <c r="G575" s="1" t="s">
        <v>100</v>
      </c>
      <c r="H575" s="2">
        <v>3406.0</v>
      </c>
      <c r="I575" s="2">
        <v>6569.0</v>
      </c>
      <c r="J575" s="1">
        <v>1988.0</v>
      </c>
      <c r="K575" s="1">
        <v>70.0</v>
      </c>
      <c r="L575" s="1" t="s">
        <v>62</v>
      </c>
      <c r="M575" s="1" t="s">
        <v>2341</v>
      </c>
      <c r="N575" s="1" t="s">
        <v>34</v>
      </c>
      <c r="O575" s="1" t="s">
        <v>25</v>
      </c>
      <c r="P575" s="1" t="s">
        <v>2342</v>
      </c>
    </row>
    <row r="576" ht="14.25" customHeight="1">
      <c r="A576" s="1" t="s">
        <v>2343</v>
      </c>
      <c r="B576" s="1" t="s">
        <v>2344</v>
      </c>
      <c r="C576" s="1" t="s">
        <v>29</v>
      </c>
      <c r="D576" s="1">
        <v>48994.0</v>
      </c>
      <c r="E576" s="1" t="s">
        <v>19</v>
      </c>
      <c r="F576" s="1" t="s">
        <v>20</v>
      </c>
      <c r="G576" s="1" t="s">
        <v>31</v>
      </c>
      <c r="H576" s="2">
        <v>2939.0</v>
      </c>
      <c r="I576" s="2">
        <v>1346.0</v>
      </c>
      <c r="J576" s="1">
        <v>2013.0</v>
      </c>
      <c r="K576" s="1">
        <v>101.0</v>
      </c>
      <c r="L576" s="1" t="s">
        <v>32</v>
      </c>
      <c r="M576" s="1" t="s">
        <v>2345</v>
      </c>
      <c r="N576" s="1" t="s">
        <v>43</v>
      </c>
      <c r="O576" s="1" t="s">
        <v>35</v>
      </c>
      <c r="P576" s="1" t="s">
        <v>2346</v>
      </c>
    </row>
    <row r="577" ht="14.25" customHeight="1">
      <c r="A577" s="1" t="s">
        <v>2347</v>
      </c>
      <c r="B577" s="1" t="s">
        <v>2348</v>
      </c>
      <c r="C577" s="1" t="s">
        <v>53</v>
      </c>
      <c r="D577" s="1">
        <v>55444.0</v>
      </c>
      <c r="E577" s="1" t="s">
        <v>77</v>
      </c>
      <c r="F577" s="1" t="s">
        <v>61</v>
      </c>
      <c r="G577" s="1" t="s">
        <v>100</v>
      </c>
      <c r="H577" s="2">
        <v>2130.0</v>
      </c>
      <c r="I577" s="2">
        <v>6097.0</v>
      </c>
      <c r="J577" s="1">
        <v>2008.0</v>
      </c>
      <c r="K577" s="1">
        <v>43.0</v>
      </c>
      <c r="L577" s="1" t="s">
        <v>32</v>
      </c>
      <c r="M577" s="1" t="s">
        <v>2349</v>
      </c>
      <c r="N577" s="1" t="s">
        <v>24</v>
      </c>
      <c r="O577" s="1" t="s">
        <v>35</v>
      </c>
      <c r="P577" s="1" t="s">
        <v>2350</v>
      </c>
    </row>
    <row r="578" ht="14.25" customHeight="1">
      <c r="A578" s="1" t="s">
        <v>2351</v>
      </c>
      <c r="B578" s="1" t="s">
        <v>2352</v>
      </c>
      <c r="C578" s="1" t="s">
        <v>39</v>
      </c>
      <c r="D578" s="1">
        <v>30347.0</v>
      </c>
      <c r="E578" s="1" t="s">
        <v>19</v>
      </c>
      <c r="F578" s="1" t="s">
        <v>54</v>
      </c>
      <c r="G578" s="1" t="s">
        <v>100</v>
      </c>
      <c r="H578" s="2">
        <v>2362.0</v>
      </c>
      <c r="I578" s="2">
        <v>8743.0</v>
      </c>
      <c r="J578" s="1">
        <v>1998.0</v>
      </c>
      <c r="K578" s="1">
        <v>38.0</v>
      </c>
      <c r="L578" s="1" t="s">
        <v>62</v>
      </c>
      <c r="M578" s="1" t="s">
        <v>2353</v>
      </c>
      <c r="N578" s="1" t="s">
        <v>43</v>
      </c>
      <c r="O578" s="1" t="s">
        <v>35</v>
      </c>
      <c r="P578" s="1" t="s">
        <v>2354</v>
      </c>
    </row>
    <row r="579" ht="14.25" customHeight="1">
      <c r="A579" s="1" t="s">
        <v>2355</v>
      </c>
      <c r="B579" s="1" t="s">
        <v>2356</v>
      </c>
      <c r="C579" s="1" t="s">
        <v>29</v>
      </c>
      <c r="D579" s="1">
        <v>96549.0</v>
      </c>
      <c r="E579" s="1" t="s">
        <v>19</v>
      </c>
      <c r="F579" s="1" t="s">
        <v>94</v>
      </c>
      <c r="G579" s="1" t="s">
        <v>21</v>
      </c>
      <c r="H579" s="2">
        <v>2109.0</v>
      </c>
      <c r="I579" s="2">
        <v>4791.0</v>
      </c>
      <c r="J579" s="1">
        <v>2017.0</v>
      </c>
      <c r="K579" s="1">
        <v>31.0</v>
      </c>
      <c r="L579" s="1" t="s">
        <v>62</v>
      </c>
      <c r="M579" s="1" t="s">
        <v>2357</v>
      </c>
      <c r="N579" s="1" t="s">
        <v>43</v>
      </c>
      <c r="O579" s="1" t="s">
        <v>49</v>
      </c>
      <c r="P579" s="1" t="s">
        <v>2358</v>
      </c>
    </row>
    <row r="580" ht="14.25" customHeight="1">
      <c r="A580" s="1" t="s">
        <v>2359</v>
      </c>
      <c r="B580" s="1" t="s">
        <v>2360</v>
      </c>
      <c r="C580" s="1" t="s">
        <v>53</v>
      </c>
      <c r="D580" s="1">
        <v>74523.0</v>
      </c>
      <c r="E580" s="1" t="s">
        <v>30</v>
      </c>
      <c r="F580" s="1" t="s">
        <v>20</v>
      </c>
      <c r="G580" s="1" t="s">
        <v>31</v>
      </c>
      <c r="H580" s="2">
        <v>860.0</v>
      </c>
      <c r="I580" s="2">
        <v>2838.0</v>
      </c>
      <c r="J580" s="1">
        <v>1998.0</v>
      </c>
      <c r="K580" s="1">
        <v>43.0</v>
      </c>
      <c r="L580" s="1" t="s">
        <v>95</v>
      </c>
      <c r="M580" s="1" t="s">
        <v>2361</v>
      </c>
      <c r="N580" s="1" t="s">
        <v>48</v>
      </c>
      <c r="O580" s="1" t="s">
        <v>35</v>
      </c>
      <c r="P580" s="1" t="s">
        <v>2362</v>
      </c>
    </row>
    <row r="581" ht="14.25" customHeight="1">
      <c r="A581" s="1" t="s">
        <v>2363</v>
      </c>
      <c r="B581" s="1" t="s">
        <v>2364</v>
      </c>
      <c r="C581" s="1" t="s">
        <v>29</v>
      </c>
      <c r="D581" s="1">
        <v>17671.0</v>
      </c>
      <c r="E581" s="1" t="s">
        <v>19</v>
      </c>
      <c r="F581" s="1" t="s">
        <v>61</v>
      </c>
      <c r="G581" s="1" t="s">
        <v>100</v>
      </c>
      <c r="H581" s="2">
        <v>903.0</v>
      </c>
      <c r="I581" s="2">
        <v>2533.0</v>
      </c>
      <c r="J581" s="1">
        <v>1962.0</v>
      </c>
      <c r="K581" s="1">
        <v>37.0</v>
      </c>
      <c r="L581" s="1" t="s">
        <v>62</v>
      </c>
      <c r="M581" s="1" t="s">
        <v>2365</v>
      </c>
      <c r="N581" s="1" t="s">
        <v>48</v>
      </c>
      <c r="O581" s="1" t="s">
        <v>49</v>
      </c>
      <c r="P581" s="1" t="s">
        <v>2366</v>
      </c>
    </row>
    <row r="582" ht="14.25" customHeight="1">
      <c r="A582" s="1" t="s">
        <v>2367</v>
      </c>
      <c r="B582" s="1" t="s">
        <v>2368</v>
      </c>
      <c r="C582" s="1" t="s">
        <v>18</v>
      </c>
      <c r="D582" s="1">
        <v>23507.0</v>
      </c>
      <c r="E582" s="1" t="s">
        <v>60</v>
      </c>
      <c r="F582" s="1" t="s">
        <v>61</v>
      </c>
      <c r="G582" s="1" t="s">
        <v>31</v>
      </c>
      <c r="H582" s="2">
        <v>2651.0</v>
      </c>
      <c r="I582" s="2">
        <v>1927.0</v>
      </c>
      <c r="J582" s="1">
        <v>2003.0</v>
      </c>
      <c r="K582" s="1">
        <v>63.0</v>
      </c>
      <c r="L582" s="1" t="s">
        <v>95</v>
      </c>
      <c r="M582" s="1" t="s">
        <v>2369</v>
      </c>
      <c r="N582" s="1" t="s">
        <v>34</v>
      </c>
      <c r="O582" s="1" t="s">
        <v>25</v>
      </c>
      <c r="P582" s="1" t="s">
        <v>2370</v>
      </c>
    </row>
    <row r="583" ht="14.25" customHeight="1">
      <c r="A583" s="1" t="s">
        <v>2371</v>
      </c>
      <c r="B583" s="1" t="s">
        <v>2372</v>
      </c>
      <c r="C583" s="1" t="s">
        <v>18</v>
      </c>
      <c r="D583" s="1">
        <v>46749.0</v>
      </c>
      <c r="E583" s="1" t="s">
        <v>30</v>
      </c>
      <c r="F583" s="1" t="s">
        <v>20</v>
      </c>
      <c r="G583" s="1" t="s">
        <v>21</v>
      </c>
      <c r="H583" s="2">
        <v>1880.0</v>
      </c>
      <c r="I583" s="2">
        <v>6833.0</v>
      </c>
      <c r="J583" s="1">
        <v>2017.0</v>
      </c>
      <c r="K583" s="1">
        <v>59.0</v>
      </c>
      <c r="L583" s="1" t="s">
        <v>95</v>
      </c>
      <c r="M583" s="1" t="s">
        <v>2373</v>
      </c>
      <c r="N583" s="1" t="s">
        <v>43</v>
      </c>
      <c r="O583" s="1" t="s">
        <v>35</v>
      </c>
      <c r="P583" s="1" t="s">
        <v>2374</v>
      </c>
    </row>
    <row r="584" ht="14.25" customHeight="1">
      <c r="A584" s="1" t="s">
        <v>2375</v>
      </c>
      <c r="B584" s="1" t="s">
        <v>2376</v>
      </c>
      <c r="C584" s="1" t="s">
        <v>53</v>
      </c>
      <c r="D584" s="1">
        <v>81900.0</v>
      </c>
      <c r="E584" s="1" t="s">
        <v>77</v>
      </c>
      <c r="F584" s="1" t="s">
        <v>94</v>
      </c>
      <c r="G584" s="1" t="s">
        <v>100</v>
      </c>
      <c r="H584" s="2">
        <v>2367.0</v>
      </c>
      <c r="I584" s="2">
        <v>2891.0</v>
      </c>
      <c r="J584" s="1">
        <v>2021.0</v>
      </c>
      <c r="K584" s="1">
        <v>18.0</v>
      </c>
      <c r="L584" s="1" t="s">
        <v>22</v>
      </c>
      <c r="M584" s="1" t="s">
        <v>2377</v>
      </c>
      <c r="N584" s="1" t="s">
        <v>64</v>
      </c>
      <c r="O584" s="1" t="s">
        <v>49</v>
      </c>
      <c r="P584" s="1" t="s">
        <v>2378</v>
      </c>
    </row>
    <row r="585" ht="14.25" customHeight="1">
      <c r="A585" s="1" t="s">
        <v>2379</v>
      </c>
      <c r="B585" s="1" t="s">
        <v>2380</v>
      </c>
      <c r="C585" s="1" t="s">
        <v>29</v>
      </c>
      <c r="D585" s="1">
        <v>62223.0</v>
      </c>
      <c r="E585" s="1" t="s">
        <v>30</v>
      </c>
      <c r="F585" s="1" t="s">
        <v>54</v>
      </c>
      <c r="G585" s="1" t="s">
        <v>21</v>
      </c>
      <c r="H585" s="2">
        <v>2180.0</v>
      </c>
      <c r="I585" s="2">
        <v>2279.0</v>
      </c>
      <c r="J585" s="1">
        <v>1967.0</v>
      </c>
      <c r="K585" s="1">
        <v>24.0</v>
      </c>
      <c r="L585" s="1" t="s">
        <v>62</v>
      </c>
      <c r="M585" s="1" t="s">
        <v>2381</v>
      </c>
      <c r="N585" s="1" t="s">
        <v>34</v>
      </c>
      <c r="O585" s="1" t="s">
        <v>25</v>
      </c>
      <c r="P585" s="1" t="s">
        <v>2382</v>
      </c>
    </row>
    <row r="586" ht="14.25" customHeight="1">
      <c r="A586" s="1" t="s">
        <v>2383</v>
      </c>
      <c r="B586" s="1" t="s">
        <v>2384</v>
      </c>
      <c r="C586" s="1" t="s">
        <v>18</v>
      </c>
      <c r="D586" s="1">
        <v>11664.0</v>
      </c>
      <c r="E586" s="1" t="s">
        <v>77</v>
      </c>
      <c r="F586" s="1" t="s">
        <v>61</v>
      </c>
      <c r="G586" s="1" t="s">
        <v>21</v>
      </c>
      <c r="H586" s="2">
        <v>3996.0</v>
      </c>
      <c r="I586" s="2">
        <v>1151.0</v>
      </c>
      <c r="J586" s="1">
        <v>1975.0</v>
      </c>
      <c r="K586" s="1">
        <v>86.0</v>
      </c>
      <c r="L586" s="1" t="s">
        <v>62</v>
      </c>
      <c r="M586" s="1" t="s">
        <v>2385</v>
      </c>
      <c r="N586" s="1" t="s">
        <v>48</v>
      </c>
      <c r="O586" s="1" t="s">
        <v>25</v>
      </c>
      <c r="P586" s="1" t="s">
        <v>2386</v>
      </c>
    </row>
    <row r="587" ht="14.25" customHeight="1">
      <c r="A587" s="1" t="s">
        <v>2387</v>
      </c>
      <c r="B587" s="1" t="s">
        <v>2388</v>
      </c>
      <c r="C587" s="1" t="s">
        <v>53</v>
      </c>
      <c r="D587" s="1">
        <v>26355.0</v>
      </c>
      <c r="E587" s="1" t="s">
        <v>77</v>
      </c>
      <c r="F587" s="1" t="s">
        <v>61</v>
      </c>
      <c r="G587" s="1" t="s">
        <v>100</v>
      </c>
      <c r="H587" s="2">
        <v>1965.0</v>
      </c>
      <c r="I587" s="2">
        <v>8146.0</v>
      </c>
      <c r="J587" s="1">
        <v>1974.0</v>
      </c>
      <c r="K587" s="1">
        <v>18.0</v>
      </c>
      <c r="L587" s="1" t="s">
        <v>95</v>
      </c>
      <c r="M587" s="1" t="s">
        <v>2389</v>
      </c>
      <c r="N587" s="1" t="s">
        <v>43</v>
      </c>
      <c r="O587" s="1" t="s">
        <v>25</v>
      </c>
      <c r="P587" s="1" t="s">
        <v>2390</v>
      </c>
    </row>
    <row r="588" ht="14.25" customHeight="1">
      <c r="A588" s="1" t="s">
        <v>2391</v>
      </c>
      <c r="B588" s="1" t="s">
        <v>2392</v>
      </c>
      <c r="C588" s="1" t="s">
        <v>53</v>
      </c>
      <c r="D588" s="1">
        <v>27317.0</v>
      </c>
      <c r="E588" s="1" t="s">
        <v>19</v>
      </c>
      <c r="F588" s="1" t="s">
        <v>46</v>
      </c>
      <c r="G588" s="1" t="s">
        <v>31</v>
      </c>
      <c r="H588" s="2">
        <v>1014.0</v>
      </c>
      <c r="I588" s="2">
        <v>1919.0</v>
      </c>
      <c r="J588" s="1">
        <v>1989.0</v>
      </c>
      <c r="K588" s="1">
        <v>105.0</v>
      </c>
      <c r="L588" s="1" t="s">
        <v>141</v>
      </c>
      <c r="M588" s="1" t="s">
        <v>2393</v>
      </c>
      <c r="N588" s="1" t="s">
        <v>24</v>
      </c>
      <c r="O588" s="1" t="s">
        <v>35</v>
      </c>
      <c r="P588" s="1" t="s">
        <v>2394</v>
      </c>
    </row>
    <row r="589" ht="14.25" customHeight="1">
      <c r="A589" s="1" t="s">
        <v>1404</v>
      </c>
      <c r="B589" s="1" t="s">
        <v>2395</v>
      </c>
      <c r="C589" s="1" t="s">
        <v>39</v>
      </c>
      <c r="D589" s="1">
        <v>52052.0</v>
      </c>
      <c r="E589" s="1" t="s">
        <v>40</v>
      </c>
      <c r="F589" s="1" t="s">
        <v>20</v>
      </c>
      <c r="G589" s="1" t="s">
        <v>21</v>
      </c>
      <c r="H589" s="2">
        <v>2852.0</v>
      </c>
      <c r="I589" s="2">
        <v>5704.0</v>
      </c>
      <c r="J589" s="1">
        <v>2015.0</v>
      </c>
      <c r="K589" s="1">
        <v>5.0</v>
      </c>
      <c r="L589" s="1" t="s">
        <v>95</v>
      </c>
      <c r="M589" s="1" t="s">
        <v>2396</v>
      </c>
      <c r="N589" s="1" t="s">
        <v>48</v>
      </c>
      <c r="O589" s="1" t="s">
        <v>35</v>
      </c>
      <c r="P589" s="1" t="s">
        <v>2397</v>
      </c>
    </row>
    <row r="590" ht="14.25" customHeight="1">
      <c r="A590" s="1" t="s">
        <v>2398</v>
      </c>
      <c r="B590" s="1" t="s">
        <v>2399</v>
      </c>
      <c r="C590" s="1" t="s">
        <v>18</v>
      </c>
      <c r="D590" s="1">
        <v>66605.0</v>
      </c>
      <c r="E590" s="1" t="s">
        <v>77</v>
      </c>
      <c r="F590" s="1" t="s">
        <v>61</v>
      </c>
      <c r="G590" s="1" t="s">
        <v>31</v>
      </c>
      <c r="H590" s="2">
        <v>3402.0</v>
      </c>
      <c r="I590" s="2">
        <v>8965.0</v>
      </c>
      <c r="J590" s="1">
        <v>1988.0</v>
      </c>
      <c r="K590" s="1">
        <v>72.0</v>
      </c>
      <c r="L590" s="1" t="s">
        <v>95</v>
      </c>
      <c r="M590" s="1" t="s">
        <v>2400</v>
      </c>
      <c r="N590" s="1" t="s">
        <v>48</v>
      </c>
      <c r="O590" s="1" t="s">
        <v>49</v>
      </c>
      <c r="P590" s="1" t="s">
        <v>2401</v>
      </c>
    </row>
    <row r="591" ht="14.25" customHeight="1">
      <c r="A591" s="1" t="s">
        <v>2402</v>
      </c>
      <c r="B591" s="1" t="s">
        <v>2403</v>
      </c>
      <c r="C591" s="1" t="s">
        <v>53</v>
      </c>
      <c r="D591" s="1">
        <v>90177.0</v>
      </c>
      <c r="E591" s="1" t="s">
        <v>19</v>
      </c>
      <c r="F591" s="1" t="s">
        <v>94</v>
      </c>
      <c r="G591" s="1" t="s">
        <v>55</v>
      </c>
      <c r="H591" s="2">
        <v>2278.0</v>
      </c>
      <c r="I591" s="2">
        <v>8180.0</v>
      </c>
      <c r="J591" s="1">
        <v>1966.0</v>
      </c>
      <c r="K591" s="1">
        <v>103.0</v>
      </c>
      <c r="L591" s="1" t="s">
        <v>32</v>
      </c>
      <c r="M591" s="1" t="s">
        <v>2404</v>
      </c>
      <c r="N591" s="1" t="s">
        <v>24</v>
      </c>
      <c r="O591" s="1" t="s">
        <v>35</v>
      </c>
      <c r="P591" s="1" t="s">
        <v>2405</v>
      </c>
    </row>
    <row r="592" ht="14.25" customHeight="1">
      <c r="A592" s="1" t="s">
        <v>2406</v>
      </c>
      <c r="B592" s="1" t="s">
        <v>2407</v>
      </c>
      <c r="C592" s="1" t="s">
        <v>29</v>
      </c>
      <c r="D592" s="1">
        <v>28842.0</v>
      </c>
      <c r="E592" s="1" t="s">
        <v>60</v>
      </c>
      <c r="F592" s="1" t="s">
        <v>94</v>
      </c>
      <c r="G592" s="1" t="s">
        <v>55</v>
      </c>
      <c r="H592" s="2">
        <v>1121.0</v>
      </c>
      <c r="I592" s="2">
        <v>4261.0</v>
      </c>
      <c r="J592" s="1">
        <v>1975.0</v>
      </c>
      <c r="K592" s="1">
        <v>50.0</v>
      </c>
      <c r="L592" s="1" t="s">
        <v>22</v>
      </c>
      <c r="M592" s="1" t="s">
        <v>2408</v>
      </c>
      <c r="N592" s="1" t="s">
        <v>34</v>
      </c>
      <c r="O592" s="1" t="s">
        <v>49</v>
      </c>
      <c r="P592" s="1" t="s">
        <v>2409</v>
      </c>
    </row>
    <row r="593" ht="14.25" customHeight="1">
      <c r="A593" s="1" t="s">
        <v>2410</v>
      </c>
      <c r="B593" s="1" t="s">
        <v>2411</v>
      </c>
      <c r="C593" s="1" t="s">
        <v>18</v>
      </c>
      <c r="D593" s="1">
        <v>63599.0</v>
      </c>
      <c r="E593" s="1" t="s">
        <v>19</v>
      </c>
      <c r="F593" s="1" t="s">
        <v>46</v>
      </c>
      <c r="G593" s="1" t="s">
        <v>55</v>
      </c>
      <c r="H593" s="2">
        <v>1948.0</v>
      </c>
      <c r="I593" s="2">
        <v>6670.0</v>
      </c>
      <c r="J593" s="1">
        <v>2009.0</v>
      </c>
      <c r="K593" s="1">
        <v>48.0</v>
      </c>
      <c r="L593" s="1" t="s">
        <v>141</v>
      </c>
      <c r="M593" s="1" t="s">
        <v>2412</v>
      </c>
      <c r="N593" s="1" t="s">
        <v>34</v>
      </c>
      <c r="O593" s="1" t="s">
        <v>49</v>
      </c>
      <c r="P593" s="1" t="s">
        <v>2413</v>
      </c>
    </row>
    <row r="594" ht="14.25" customHeight="1">
      <c r="A594" s="1" t="s">
        <v>2414</v>
      </c>
      <c r="B594" s="1" t="s">
        <v>2415</v>
      </c>
      <c r="C594" s="1" t="s">
        <v>53</v>
      </c>
      <c r="D594" s="1">
        <v>81824.0</v>
      </c>
      <c r="E594" s="1" t="s">
        <v>30</v>
      </c>
      <c r="F594" s="1" t="s">
        <v>61</v>
      </c>
      <c r="G594" s="1" t="s">
        <v>100</v>
      </c>
      <c r="H594" s="2">
        <v>3217.0</v>
      </c>
      <c r="I594" s="2">
        <v>3835.0</v>
      </c>
      <c r="J594" s="1">
        <v>2007.0</v>
      </c>
      <c r="K594" s="1">
        <v>76.0</v>
      </c>
      <c r="L594" s="1" t="s">
        <v>95</v>
      </c>
      <c r="M594" s="1" t="s">
        <v>2416</v>
      </c>
      <c r="N594" s="1" t="s">
        <v>43</v>
      </c>
      <c r="O594" s="1" t="s">
        <v>49</v>
      </c>
      <c r="P594" s="1" t="s">
        <v>2417</v>
      </c>
    </row>
    <row r="595" ht="14.25" customHeight="1">
      <c r="A595" s="1" t="s">
        <v>2418</v>
      </c>
      <c r="B595" s="1" t="s">
        <v>2419</v>
      </c>
      <c r="C595" s="1" t="s">
        <v>76</v>
      </c>
      <c r="D595" s="1">
        <v>74633.0</v>
      </c>
      <c r="E595" s="1" t="s">
        <v>60</v>
      </c>
      <c r="F595" s="1" t="s">
        <v>54</v>
      </c>
      <c r="G595" s="1" t="s">
        <v>100</v>
      </c>
      <c r="H595" s="2">
        <v>1072.0</v>
      </c>
      <c r="I595" s="2">
        <v>7750.0</v>
      </c>
      <c r="J595" s="1">
        <v>1971.0</v>
      </c>
      <c r="K595" s="1">
        <v>114.0</v>
      </c>
      <c r="L595" s="1" t="s">
        <v>141</v>
      </c>
      <c r="M595" s="1" t="s">
        <v>2420</v>
      </c>
      <c r="N595" s="1" t="s">
        <v>64</v>
      </c>
      <c r="O595" s="1" t="s">
        <v>25</v>
      </c>
      <c r="P595" s="1" t="s">
        <v>2421</v>
      </c>
    </row>
    <row r="596" ht="14.25" customHeight="1">
      <c r="A596" s="1" t="s">
        <v>2422</v>
      </c>
      <c r="B596" s="1" t="s">
        <v>2423</v>
      </c>
      <c r="C596" s="1" t="s">
        <v>39</v>
      </c>
      <c r="D596" s="1">
        <v>87520.0</v>
      </c>
      <c r="E596" s="1" t="s">
        <v>30</v>
      </c>
      <c r="F596" s="1" t="s">
        <v>61</v>
      </c>
      <c r="G596" s="1" t="s">
        <v>100</v>
      </c>
      <c r="H596" s="2">
        <v>3398.0</v>
      </c>
      <c r="I596" s="2">
        <v>7233.0</v>
      </c>
      <c r="J596" s="1">
        <v>1956.0</v>
      </c>
      <c r="K596" s="1">
        <v>78.0</v>
      </c>
      <c r="L596" s="1" t="s">
        <v>141</v>
      </c>
      <c r="M596" s="1" t="s">
        <v>2424</v>
      </c>
      <c r="N596" s="1" t="s">
        <v>64</v>
      </c>
      <c r="O596" s="1" t="s">
        <v>35</v>
      </c>
      <c r="P596" s="1" t="s">
        <v>2425</v>
      </c>
    </row>
    <row r="597" ht="14.25" customHeight="1">
      <c r="A597" s="1" t="s">
        <v>2426</v>
      </c>
      <c r="B597" s="1" t="s">
        <v>2427</v>
      </c>
      <c r="C597" s="1" t="s">
        <v>76</v>
      </c>
      <c r="D597" s="1">
        <v>45648.0</v>
      </c>
      <c r="E597" s="1" t="s">
        <v>77</v>
      </c>
      <c r="F597" s="1" t="s">
        <v>41</v>
      </c>
      <c r="G597" s="1" t="s">
        <v>31</v>
      </c>
      <c r="H597" s="2">
        <v>2133.0</v>
      </c>
      <c r="I597" s="2">
        <v>3328.0</v>
      </c>
      <c r="J597" s="1">
        <v>1981.0</v>
      </c>
      <c r="K597" s="1">
        <v>114.0</v>
      </c>
      <c r="L597" s="1" t="s">
        <v>32</v>
      </c>
      <c r="M597" s="1" t="s">
        <v>2428</v>
      </c>
      <c r="N597" s="1" t="s">
        <v>34</v>
      </c>
      <c r="O597" s="1" t="s">
        <v>49</v>
      </c>
      <c r="P597" s="1" t="s">
        <v>2429</v>
      </c>
    </row>
    <row r="598" ht="14.25" customHeight="1">
      <c r="A598" s="1" t="s">
        <v>2430</v>
      </c>
      <c r="B598" s="1" t="s">
        <v>2431</v>
      </c>
      <c r="C598" s="1" t="s">
        <v>76</v>
      </c>
      <c r="D598" s="1">
        <v>52454.0</v>
      </c>
      <c r="E598" s="1" t="s">
        <v>30</v>
      </c>
      <c r="F598" s="1" t="s">
        <v>94</v>
      </c>
      <c r="G598" s="1" t="s">
        <v>31</v>
      </c>
      <c r="H598" s="2">
        <v>1947.0</v>
      </c>
      <c r="I598" s="2">
        <v>3995.0</v>
      </c>
      <c r="J598" s="1">
        <v>1996.0</v>
      </c>
      <c r="K598" s="1">
        <v>40.0</v>
      </c>
      <c r="L598" s="1" t="s">
        <v>95</v>
      </c>
      <c r="M598" s="1" t="s">
        <v>2432</v>
      </c>
      <c r="N598" s="1" t="s">
        <v>24</v>
      </c>
      <c r="O598" s="1" t="s">
        <v>35</v>
      </c>
      <c r="P598" s="1" t="s">
        <v>2433</v>
      </c>
    </row>
    <row r="599" ht="14.25" customHeight="1">
      <c r="A599" s="1" t="s">
        <v>2434</v>
      </c>
      <c r="B599" s="1" t="s">
        <v>2435</v>
      </c>
      <c r="C599" s="1" t="s">
        <v>53</v>
      </c>
      <c r="D599" s="1">
        <v>66135.0</v>
      </c>
      <c r="E599" s="1" t="s">
        <v>40</v>
      </c>
      <c r="F599" s="1" t="s">
        <v>94</v>
      </c>
      <c r="G599" s="1" t="s">
        <v>55</v>
      </c>
      <c r="H599" s="2">
        <v>3215.0</v>
      </c>
      <c r="I599" s="2">
        <v>8651.0</v>
      </c>
      <c r="J599" s="1">
        <v>2021.0</v>
      </c>
      <c r="K599" s="1">
        <v>58.0</v>
      </c>
      <c r="L599" s="1" t="s">
        <v>62</v>
      </c>
      <c r="M599" s="1" t="s">
        <v>2436</v>
      </c>
      <c r="N599" s="1" t="s">
        <v>48</v>
      </c>
      <c r="O599" s="1" t="s">
        <v>25</v>
      </c>
      <c r="P599" s="1" t="s">
        <v>2437</v>
      </c>
    </row>
    <row r="600" ht="14.25" customHeight="1">
      <c r="A600" s="1" t="s">
        <v>2438</v>
      </c>
      <c r="B600" s="1" t="s">
        <v>2439</v>
      </c>
      <c r="C600" s="1" t="s">
        <v>29</v>
      </c>
      <c r="D600" s="1">
        <v>17323.0</v>
      </c>
      <c r="E600" s="1" t="s">
        <v>30</v>
      </c>
      <c r="F600" s="1" t="s">
        <v>46</v>
      </c>
      <c r="G600" s="1" t="s">
        <v>31</v>
      </c>
      <c r="H600" s="2">
        <v>2144.0</v>
      </c>
      <c r="I600" s="2">
        <v>6434.0</v>
      </c>
      <c r="J600" s="1">
        <v>1996.0</v>
      </c>
      <c r="K600" s="1">
        <v>102.0</v>
      </c>
      <c r="L600" s="1" t="s">
        <v>62</v>
      </c>
      <c r="M600" s="1" t="s">
        <v>2440</v>
      </c>
      <c r="N600" s="1" t="s">
        <v>24</v>
      </c>
      <c r="O600" s="1" t="s">
        <v>35</v>
      </c>
      <c r="P600" s="1" t="s">
        <v>2441</v>
      </c>
    </row>
    <row r="601" ht="14.25" customHeight="1">
      <c r="A601" s="1" t="s">
        <v>2442</v>
      </c>
      <c r="B601" s="1" t="s">
        <v>2443</v>
      </c>
      <c r="C601" s="1" t="s">
        <v>18</v>
      </c>
      <c r="D601" s="1">
        <v>29464.0</v>
      </c>
      <c r="E601" s="1" t="s">
        <v>77</v>
      </c>
      <c r="F601" s="1" t="s">
        <v>54</v>
      </c>
      <c r="G601" s="1" t="s">
        <v>31</v>
      </c>
      <c r="H601" s="2">
        <v>2228.0</v>
      </c>
      <c r="I601" s="2">
        <v>1657.0</v>
      </c>
      <c r="J601" s="1">
        <v>1992.0</v>
      </c>
      <c r="K601" s="1">
        <v>51.0</v>
      </c>
      <c r="L601" s="1" t="s">
        <v>22</v>
      </c>
      <c r="M601" s="1" t="s">
        <v>2444</v>
      </c>
      <c r="N601" s="1" t="s">
        <v>34</v>
      </c>
      <c r="O601" s="1" t="s">
        <v>25</v>
      </c>
      <c r="P601" s="1" t="s">
        <v>2445</v>
      </c>
    </row>
    <row r="602" ht="14.25" customHeight="1">
      <c r="A602" s="1" t="s">
        <v>2446</v>
      </c>
      <c r="B602" s="1" t="s">
        <v>2447</v>
      </c>
      <c r="C602" s="1" t="s">
        <v>76</v>
      </c>
      <c r="D602" s="1">
        <v>80206.0</v>
      </c>
      <c r="E602" s="1" t="s">
        <v>19</v>
      </c>
      <c r="F602" s="1" t="s">
        <v>41</v>
      </c>
      <c r="G602" s="1" t="s">
        <v>55</v>
      </c>
      <c r="H602" s="2">
        <v>2003.0</v>
      </c>
      <c r="I602" s="2">
        <v>3192.0</v>
      </c>
      <c r="J602" s="1">
        <v>1962.0</v>
      </c>
      <c r="K602" s="1">
        <v>9.0</v>
      </c>
      <c r="L602" s="1" t="s">
        <v>22</v>
      </c>
      <c r="M602" s="1" t="s">
        <v>2448</v>
      </c>
      <c r="N602" s="1" t="s">
        <v>64</v>
      </c>
      <c r="O602" s="1" t="s">
        <v>49</v>
      </c>
      <c r="P602" s="1" t="s">
        <v>2449</v>
      </c>
    </row>
    <row r="603" ht="14.25" customHeight="1">
      <c r="A603" s="1" t="s">
        <v>2450</v>
      </c>
      <c r="B603" s="1" t="s">
        <v>2451</v>
      </c>
      <c r="C603" s="1" t="s">
        <v>39</v>
      </c>
      <c r="D603" s="1">
        <v>64621.0</v>
      </c>
      <c r="E603" s="1" t="s">
        <v>60</v>
      </c>
      <c r="F603" s="1" t="s">
        <v>41</v>
      </c>
      <c r="G603" s="1" t="s">
        <v>55</v>
      </c>
      <c r="H603" s="2">
        <v>1024.0</v>
      </c>
      <c r="I603" s="2">
        <v>9065.0</v>
      </c>
      <c r="J603" s="1">
        <v>1960.0</v>
      </c>
      <c r="K603" s="1">
        <v>95.0</v>
      </c>
      <c r="L603" s="1" t="s">
        <v>141</v>
      </c>
      <c r="M603" s="1" t="s">
        <v>2452</v>
      </c>
      <c r="N603" s="1" t="s">
        <v>48</v>
      </c>
      <c r="O603" s="1" t="s">
        <v>35</v>
      </c>
      <c r="P603" s="1" t="s">
        <v>2453</v>
      </c>
    </row>
    <row r="604" ht="14.25" customHeight="1">
      <c r="A604" s="1" t="s">
        <v>2454</v>
      </c>
      <c r="B604" s="1" t="s">
        <v>2455</v>
      </c>
      <c r="C604" s="1" t="s">
        <v>39</v>
      </c>
      <c r="D604" s="1">
        <v>63439.0</v>
      </c>
      <c r="E604" s="1" t="s">
        <v>30</v>
      </c>
      <c r="F604" s="1" t="s">
        <v>61</v>
      </c>
      <c r="G604" s="1" t="s">
        <v>55</v>
      </c>
      <c r="H604" s="2">
        <v>3136.0</v>
      </c>
      <c r="I604" s="2">
        <v>6476.0</v>
      </c>
      <c r="J604" s="1">
        <v>1997.0</v>
      </c>
      <c r="K604" s="1">
        <v>50.0</v>
      </c>
      <c r="L604" s="1" t="s">
        <v>141</v>
      </c>
      <c r="M604" s="1" t="s">
        <v>2456</v>
      </c>
      <c r="N604" s="1" t="s">
        <v>34</v>
      </c>
      <c r="O604" s="1" t="s">
        <v>25</v>
      </c>
      <c r="P604" s="1" t="s">
        <v>2457</v>
      </c>
    </row>
    <row r="605" ht="14.25" customHeight="1">
      <c r="A605" s="1" t="s">
        <v>2458</v>
      </c>
      <c r="B605" s="1" t="s">
        <v>2459</v>
      </c>
      <c r="C605" s="1" t="s">
        <v>18</v>
      </c>
      <c r="D605" s="1">
        <v>62811.0</v>
      </c>
      <c r="E605" s="1" t="s">
        <v>60</v>
      </c>
      <c r="F605" s="1" t="s">
        <v>94</v>
      </c>
      <c r="G605" s="1" t="s">
        <v>31</v>
      </c>
      <c r="H605" s="2">
        <v>3650.0</v>
      </c>
      <c r="I605" s="2">
        <v>6748.0</v>
      </c>
      <c r="J605" s="1">
        <v>1983.0</v>
      </c>
      <c r="K605" s="1">
        <v>2.0</v>
      </c>
      <c r="L605" s="1" t="s">
        <v>62</v>
      </c>
      <c r="M605" s="1" t="s">
        <v>2460</v>
      </c>
      <c r="N605" s="1" t="s">
        <v>48</v>
      </c>
      <c r="O605" s="1" t="s">
        <v>35</v>
      </c>
      <c r="P605" s="1" t="s">
        <v>2461</v>
      </c>
    </row>
    <row r="606" ht="14.25" customHeight="1">
      <c r="A606" s="1" t="s">
        <v>2462</v>
      </c>
      <c r="B606" s="1" t="s">
        <v>2463</v>
      </c>
      <c r="C606" s="1" t="s">
        <v>39</v>
      </c>
      <c r="D606" s="1">
        <v>91105.0</v>
      </c>
      <c r="E606" s="1" t="s">
        <v>19</v>
      </c>
      <c r="F606" s="1" t="s">
        <v>94</v>
      </c>
      <c r="G606" s="1" t="s">
        <v>31</v>
      </c>
      <c r="H606" s="2">
        <v>1403.0</v>
      </c>
      <c r="I606" s="2">
        <v>6539.0</v>
      </c>
      <c r="J606" s="1">
        <v>1989.0</v>
      </c>
      <c r="K606" s="1">
        <v>82.0</v>
      </c>
      <c r="L606" s="1" t="s">
        <v>22</v>
      </c>
      <c r="M606" s="1" t="s">
        <v>2464</v>
      </c>
      <c r="N606" s="1" t="s">
        <v>64</v>
      </c>
      <c r="O606" s="1" t="s">
        <v>25</v>
      </c>
      <c r="P606" s="1" t="s">
        <v>2465</v>
      </c>
    </row>
    <row r="607" ht="14.25" customHeight="1">
      <c r="A607" s="1" t="s">
        <v>2466</v>
      </c>
      <c r="B607" s="1" t="s">
        <v>2467</v>
      </c>
      <c r="C607" s="1" t="s">
        <v>53</v>
      </c>
      <c r="D607" s="1">
        <v>32641.0</v>
      </c>
      <c r="E607" s="1" t="s">
        <v>77</v>
      </c>
      <c r="F607" s="1" t="s">
        <v>41</v>
      </c>
      <c r="G607" s="1" t="s">
        <v>21</v>
      </c>
      <c r="H607" s="2">
        <v>3111.0</v>
      </c>
      <c r="I607" s="2">
        <v>6149.0</v>
      </c>
      <c r="J607" s="1">
        <v>1952.0</v>
      </c>
      <c r="K607" s="1">
        <v>13.0</v>
      </c>
      <c r="L607" s="1" t="s">
        <v>32</v>
      </c>
      <c r="M607" s="1" t="s">
        <v>2468</v>
      </c>
      <c r="N607" s="1" t="s">
        <v>64</v>
      </c>
      <c r="O607" s="1" t="s">
        <v>49</v>
      </c>
      <c r="P607" s="1" t="s">
        <v>2469</v>
      </c>
    </row>
    <row r="608" ht="14.25" customHeight="1">
      <c r="A608" s="1" t="s">
        <v>2470</v>
      </c>
      <c r="B608" s="1" t="s">
        <v>2471</v>
      </c>
      <c r="C608" s="1" t="s">
        <v>18</v>
      </c>
      <c r="D608" s="1">
        <v>77805.0</v>
      </c>
      <c r="E608" s="1" t="s">
        <v>77</v>
      </c>
      <c r="F608" s="1" t="s">
        <v>54</v>
      </c>
      <c r="G608" s="1" t="s">
        <v>21</v>
      </c>
      <c r="H608" s="2">
        <v>1949.0</v>
      </c>
      <c r="I608" s="2">
        <v>2789.0</v>
      </c>
      <c r="J608" s="1">
        <v>2020.0</v>
      </c>
      <c r="K608" s="1">
        <v>33.0</v>
      </c>
      <c r="L608" s="1" t="s">
        <v>32</v>
      </c>
      <c r="M608" s="1" t="s">
        <v>2472</v>
      </c>
      <c r="N608" s="1" t="s">
        <v>43</v>
      </c>
      <c r="O608" s="1" t="s">
        <v>25</v>
      </c>
      <c r="P608" s="1" t="s">
        <v>2473</v>
      </c>
    </row>
    <row r="609" ht="14.25" customHeight="1">
      <c r="A609" s="1" t="s">
        <v>2474</v>
      </c>
      <c r="B609" s="1" t="s">
        <v>2475</v>
      </c>
      <c r="C609" s="1" t="s">
        <v>18</v>
      </c>
      <c r="D609" s="1">
        <v>82273.0</v>
      </c>
      <c r="E609" s="1" t="s">
        <v>40</v>
      </c>
      <c r="F609" s="1" t="s">
        <v>20</v>
      </c>
      <c r="G609" s="1" t="s">
        <v>31</v>
      </c>
      <c r="H609" s="2">
        <v>3540.0</v>
      </c>
      <c r="I609" s="2">
        <v>8256.0</v>
      </c>
      <c r="J609" s="1">
        <v>1960.0</v>
      </c>
      <c r="K609" s="1">
        <v>86.0</v>
      </c>
      <c r="L609" s="1" t="s">
        <v>95</v>
      </c>
      <c r="M609" s="1" t="s">
        <v>2476</v>
      </c>
      <c r="N609" s="1" t="s">
        <v>64</v>
      </c>
      <c r="O609" s="1" t="s">
        <v>25</v>
      </c>
      <c r="P609" s="1" t="s">
        <v>2477</v>
      </c>
    </row>
    <row r="610" ht="14.25" customHeight="1">
      <c r="A610" s="1" t="s">
        <v>2478</v>
      </c>
      <c r="B610" s="1" t="s">
        <v>2479</v>
      </c>
      <c r="C610" s="1" t="s">
        <v>39</v>
      </c>
      <c r="D610" s="1">
        <v>98214.0</v>
      </c>
      <c r="E610" s="1" t="s">
        <v>19</v>
      </c>
      <c r="F610" s="1" t="s">
        <v>41</v>
      </c>
      <c r="G610" s="1" t="s">
        <v>31</v>
      </c>
      <c r="H610" s="2">
        <v>1917.0</v>
      </c>
      <c r="I610" s="2">
        <v>9358.0</v>
      </c>
      <c r="J610" s="1">
        <v>1955.0</v>
      </c>
      <c r="K610" s="1">
        <v>40.0</v>
      </c>
      <c r="L610" s="1" t="s">
        <v>32</v>
      </c>
      <c r="M610" s="1" t="s">
        <v>2480</v>
      </c>
      <c r="N610" s="1" t="s">
        <v>48</v>
      </c>
      <c r="O610" s="1" t="s">
        <v>49</v>
      </c>
      <c r="P610" s="1" t="s">
        <v>2481</v>
      </c>
    </row>
    <row r="611" ht="14.25" customHeight="1">
      <c r="A611" s="1" t="s">
        <v>2482</v>
      </c>
      <c r="B611" s="1" t="s">
        <v>2483</v>
      </c>
      <c r="C611" s="1" t="s">
        <v>53</v>
      </c>
      <c r="D611" s="1">
        <v>45468.0</v>
      </c>
      <c r="E611" s="1" t="s">
        <v>40</v>
      </c>
      <c r="F611" s="1" t="s">
        <v>20</v>
      </c>
      <c r="G611" s="1" t="s">
        <v>55</v>
      </c>
      <c r="H611" s="2">
        <v>2473.0</v>
      </c>
      <c r="I611" s="2">
        <v>5451.0</v>
      </c>
      <c r="J611" s="1">
        <v>1956.0</v>
      </c>
      <c r="K611" s="1">
        <v>75.0</v>
      </c>
      <c r="L611" s="1" t="s">
        <v>95</v>
      </c>
      <c r="M611" s="1" t="s">
        <v>2484</v>
      </c>
      <c r="N611" s="1" t="s">
        <v>48</v>
      </c>
      <c r="O611" s="1" t="s">
        <v>35</v>
      </c>
      <c r="P611" s="1" t="s">
        <v>2485</v>
      </c>
    </row>
    <row r="612" ht="14.25" customHeight="1">
      <c r="A612" s="1" t="s">
        <v>2486</v>
      </c>
      <c r="B612" s="1" t="s">
        <v>2487</v>
      </c>
      <c r="C612" s="1" t="s">
        <v>18</v>
      </c>
      <c r="D612" s="1">
        <v>81784.0</v>
      </c>
      <c r="E612" s="1" t="s">
        <v>40</v>
      </c>
      <c r="F612" s="1" t="s">
        <v>46</v>
      </c>
      <c r="G612" s="1" t="s">
        <v>55</v>
      </c>
      <c r="H612" s="2">
        <v>3958.0</v>
      </c>
      <c r="I612" s="2">
        <v>1936.0</v>
      </c>
      <c r="J612" s="1">
        <v>2012.0</v>
      </c>
      <c r="K612" s="1">
        <v>116.0</v>
      </c>
      <c r="L612" s="1" t="s">
        <v>95</v>
      </c>
      <c r="M612" s="1" t="s">
        <v>2488</v>
      </c>
      <c r="N612" s="1" t="s">
        <v>24</v>
      </c>
      <c r="O612" s="1" t="s">
        <v>35</v>
      </c>
      <c r="P612" s="1" t="s">
        <v>2489</v>
      </c>
    </row>
    <row r="613" ht="14.25" customHeight="1">
      <c r="A613" s="1" t="s">
        <v>2490</v>
      </c>
      <c r="B613" s="1" t="s">
        <v>2491</v>
      </c>
      <c r="C613" s="1" t="s">
        <v>29</v>
      </c>
      <c r="D613" s="1">
        <v>28975.0</v>
      </c>
      <c r="E613" s="1" t="s">
        <v>30</v>
      </c>
      <c r="F613" s="1" t="s">
        <v>46</v>
      </c>
      <c r="G613" s="1" t="s">
        <v>100</v>
      </c>
      <c r="H613" s="2">
        <v>1516.0</v>
      </c>
      <c r="I613" s="2">
        <v>4527.0</v>
      </c>
      <c r="J613" s="1">
        <v>1951.0</v>
      </c>
      <c r="K613" s="1">
        <v>101.0</v>
      </c>
      <c r="L613" s="1" t="s">
        <v>62</v>
      </c>
      <c r="M613" s="1" t="s">
        <v>2492</v>
      </c>
      <c r="N613" s="1" t="s">
        <v>48</v>
      </c>
      <c r="O613" s="1" t="s">
        <v>35</v>
      </c>
      <c r="P613" s="1" t="s">
        <v>2493</v>
      </c>
    </row>
    <row r="614" ht="14.25" customHeight="1">
      <c r="A614" s="1" t="s">
        <v>2494</v>
      </c>
      <c r="B614" s="1" t="s">
        <v>2495</v>
      </c>
      <c r="C614" s="1" t="s">
        <v>53</v>
      </c>
      <c r="D614" s="1">
        <v>66826.0</v>
      </c>
      <c r="E614" s="1" t="s">
        <v>77</v>
      </c>
      <c r="F614" s="1" t="s">
        <v>61</v>
      </c>
      <c r="G614" s="1" t="s">
        <v>31</v>
      </c>
      <c r="H614" s="2">
        <v>1894.0</v>
      </c>
      <c r="I614" s="2">
        <v>5146.0</v>
      </c>
      <c r="J614" s="1">
        <v>1989.0</v>
      </c>
      <c r="K614" s="1">
        <v>120.0</v>
      </c>
      <c r="L614" s="1" t="s">
        <v>32</v>
      </c>
      <c r="M614" s="1" t="s">
        <v>2496</v>
      </c>
      <c r="N614" s="1" t="s">
        <v>64</v>
      </c>
      <c r="O614" s="1" t="s">
        <v>35</v>
      </c>
      <c r="P614" s="1" t="s">
        <v>2497</v>
      </c>
    </row>
    <row r="615" ht="14.25" customHeight="1">
      <c r="A615" s="1" t="s">
        <v>2498</v>
      </c>
      <c r="B615" s="1" t="s">
        <v>2499</v>
      </c>
      <c r="C615" s="1" t="s">
        <v>39</v>
      </c>
      <c r="D615" s="1">
        <v>19962.0</v>
      </c>
      <c r="E615" s="1" t="s">
        <v>40</v>
      </c>
      <c r="F615" s="1" t="s">
        <v>46</v>
      </c>
      <c r="G615" s="1" t="s">
        <v>31</v>
      </c>
      <c r="H615" s="2">
        <v>2072.0</v>
      </c>
      <c r="I615" s="2">
        <v>2578.0</v>
      </c>
      <c r="J615" s="1">
        <v>1981.0</v>
      </c>
      <c r="K615" s="1">
        <v>66.0</v>
      </c>
      <c r="L615" s="1" t="s">
        <v>32</v>
      </c>
      <c r="M615" s="1" t="s">
        <v>2500</v>
      </c>
      <c r="N615" s="1" t="s">
        <v>43</v>
      </c>
      <c r="O615" s="1" t="s">
        <v>25</v>
      </c>
      <c r="P615" s="1" t="s">
        <v>2501</v>
      </c>
    </row>
    <row r="616" ht="14.25" customHeight="1">
      <c r="A616" s="1" t="s">
        <v>2502</v>
      </c>
      <c r="B616" s="1" t="s">
        <v>2503</v>
      </c>
      <c r="C616" s="1" t="s">
        <v>29</v>
      </c>
      <c r="D616" s="1">
        <v>94352.0</v>
      </c>
      <c r="E616" s="1" t="s">
        <v>60</v>
      </c>
      <c r="F616" s="1" t="s">
        <v>20</v>
      </c>
      <c r="G616" s="1" t="s">
        <v>31</v>
      </c>
      <c r="H616" s="2">
        <v>1338.0</v>
      </c>
      <c r="I616" s="2">
        <v>8697.0</v>
      </c>
      <c r="J616" s="1">
        <v>2011.0</v>
      </c>
      <c r="K616" s="1">
        <v>5.0</v>
      </c>
      <c r="L616" s="1" t="s">
        <v>32</v>
      </c>
      <c r="M616" s="1" t="s">
        <v>2504</v>
      </c>
      <c r="N616" s="1" t="s">
        <v>43</v>
      </c>
      <c r="O616" s="1" t="s">
        <v>25</v>
      </c>
      <c r="P616" s="1" t="s">
        <v>2505</v>
      </c>
    </row>
    <row r="617" ht="14.25" customHeight="1">
      <c r="A617" s="1" t="s">
        <v>2506</v>
      </c>
      <c r="B617" s="1" t="s">
        <v>2507</v>
      </c>
      <c r="C617" s="1" t="s">
        <v>18</v>
      </c>
      <c r="D617" s="1">
        <v>50347.0</v>
      </c>
      <c r="E617" s="1" t="s">
        <v>19</v>
      </c>
      <c r="F617" s="1" t="s">
        <v>94</v>
      </c>
      <c r="G617" s="1" t="s">
        <v>21</v>
      </c>
      <c r="H617" s="2">
        <v>3616.0</v>
      </c>
      <c r="I617" s="2">
        <v>7784.0</v>
      </c>
      <c r="J617" s="1">
        <v>1990.0</v>
      </c>
      <c r="K617" s="1">
        <v>83.0</v>
      </c>
      <c r="L617" s="1" t="s">
        <v>95</v>
      </c>
      <c r="M617" s="1" t="s">
        <v>2508</v>
      </c>
      <c r="N617" s="1" t="s">
        <v>64</v>
      </c>
      <c r="O617" s="1" t="s">
        <v>49</v>
      </c>
      <c r="P617" s="1" t="s">
        <v>2509</v>
      </c>
    </row>
    <row r="618" ht="14.25" customHeight="1">
      <c r="A618" s="1" t="s">
        <v>2510</v>
      </c>
      <c r="B618" s="1" t="s">
        <v>2511</v>
      </c>
      <c r="C618" s="1" t="s">
        <v>39</v>
      </c>
      <c r="D618" s="1">
        <v>28407.0</v>
      </c>
      <c r="E618" s="1" t="s">
        <v>40</v>
      </c>
      <c r="F618" s="1" t="s">
        <v>20</v>
      </c>
      <c r="G618" s="1" t="s">
        <v>100</v>
      </c>
      <c r="H618" s="2">
        <v>2813.0</v>
      </c>
      <c r="I618" s="2">
        <v>9576.0</v>
      </c>
      <c r="J618" s="1">
        <v>2022.0</v>
      </c>
      <c r="K618" s="1">
        <v>15.0</v>
      </c>
      <c r="L618" s="1" t="s">
        <v>141</v>
      </c>
      <c r="M618" s="1" t="s">
        <v>2512</v>
      </c>
      <c r="N618" s="1" t="s">
        <v>48</v>
      </c>
      <c r="O618" s="1" t="s">
        <v>25</v>
      </c>
      <c r="P618" s="1" t="s">
        <v>2513</v>
      </c>
    </row>
    <row r="619" ht="14.25" customHeight="1">
      <c r="A619" s="1" t="s">
        <v>2514</v>
      </c>
      <c r="B619" s="1" t="s">
        <v>2515</v>
      </c>
      <c r="C619" s="1" t="s">
        <v>53</v>
      </c>
      <c r="D619" s="1">
        <v>92569.0</v>
      </c>
      <c r="E619" s="1" t="s">
        <v>60</v>
      </c>
      <c r="F619" s="1" t="s">
        <v>94</v>
      </c>
      <c r="G619" s="1" t="s">
        <v>100</v>
      </c>
      <c r="H619" s="2">
        <v>2006.0</v>
      </c>
      <c r="I619" s="2">
        <v>2091.0</v>
      </c>
      <c r="J619" s="1">
        <v>2023.0</v>
      </c>
      <c r="K619" s="1">
        <v>15.0</v>
      </c>
      <c r="L619" s="1" t="s">
        <v>141</v>
      </c>
      <c r="M619" s="1" t="s">
        <v>2516</v>
      </c>
      <c r="N619" s="1" t="s">
        <v>64</v>
      </c>
      <c r="O619" s="1" t="s">
        <v>49</v>
      </c>
      <c r="P619" s="1" t="s">
        <v>2517</v>
      </c>
    </row>
    <row r="620" ht="14.25" customHeight="1">
      <c r="A620" s="1" t="s">
        <v>2518</v>
      </c>
      <c r="B620" s="1" t="s">
        <v>2519</v>
      </c>
      <c r="C620" s="1" t="s">
        <v>18</v>
      </c>
      <c r="D620" s="1">
        <v>28635.0</v>
      </c>
      <c r="E620" s="1" t="s">
        <v>60</v>
      </c>
      <c r="F620" s="1" t="s">
        <v>61</v>
      </c>
      <c r="G620" s="1" t="s">
        <v>100</v>
      </c>
      <c r="H620" s="2">
        <v>764.0</v>
      </c>
      <c r="I620" s="2">
        <v>1016.0</v>
      </c>
      <c r="J620" s="1">
        <v>1988.0</v>
      </c>
      <c r="K620" s="1">
        <v>54.0</v>
      </c>
      <c r="L620" s="1" t="s">
        <v>62</v>
      </c>
      <c r="M620" s="1" t="s">
        <v>2520</v>
      </c>
      <c r="N620" s="1" t="s">
        <v>43</v>
      </c>
      <c r="O620" s="1" t="s">
        <v>25</v>
      </c>
      <c r="P620" s="1" t="s">
        <v>2521</v>
      </c>
    </row>
    <row r="621" ht="14.25" customHeight="1">
      <c r="A621" s="1" t="s">
        <v>2522</v>
      </c>
      <c r="B621" s="1" t="s">
        <v>2523</v>
      </c>
      <c r="C621" s="1" t="s">
        <v>39</v>
      </c>
      <c r="D621" s="1">
        <v>93261.0</v>
      </c>
      <c r="E621" s="1" t="s">
        <v>30</v>
      </c>
      <c r="F621" s="1" t="s">
        <v>94</v>
      </c>
      <c r="G621" s="1" t="s">
        <v>31</v>
      </c>
      <c r="H621" s="2">
        <v>3295.0</v>
      </c>
      <c r="I621" s="2">
        <v>8749.0</v>
      </c>
      <c r="J621" s="1">
        <v>2007.0</v>
      </c>
      <c r="K621" s="1">
        <v>82.0</v>
      </c>
      <c r="L621" s="1" t="s">
        <v>141</v>
      </c>
      <c r="M621" s="1" t="s">
        <v>2524</v>
      </c>
      <c r="N621" s="1" t="s">
        <v>43</v>
      </c>
      <c r="O621" s="1" t="s">
        <v>35</v>
      </c>
      <c r="P621" s="1" t="s">
        <v>2525</v>
      </c>
    </row>
    <row r="622" ht="14.25" customHeight="1">
      <c r="A622" s="1" t="s">
        <v>2526</v>
      </c>
      <c r="B622" s="1" t="s">
        <v>2527</v>
      </c>
      <c r="C622" s="1" t="s">
        <v>29</v>
      </c>
      <c r="D622" s="1">
        <v>23730.0</v>
      </c>
      <c r="E622" s="1" t="s">
        <v>19</v>
      </c>
      <c r="F622" s="1" t="s">
        <v>20</v>
      </c>
      <c r="G622" s="1" t="s">
        <v>55</v>
      </c>
      <c r="H622" s="2">
        <v>3699.0</v>
      </c>
      <c r="I622" s="2">
        <v>8492.0</v>
      </c>
      <c r="J622" s="1">
        <v>2005.0</v>
      </c>
      <c r="K622" s="1">
        <v>70.0</v>
      </c>
      <c r="L622" s="1" t="s">
        <v>32</v>
      </c>
      <c r="M622" s="1" t="s">
        <v>2528</v>
      </c>
      <c r="N622" s="1" t="s">
        <v>34</v>
      </c>
      <c r="O622" s="1" t="s">
        <v>25</v>
      </c>
      <c r="P622" s="1" t="s">
        <v>2529</v>
      </c>
    </row>
    <row r="623" ht="14.25" customHeight="1">
      <c r="A623" s="1" t="s">
        <v>2530</v>
      </c>
      <c r="B623" s="1" t="s">
        <v>2531</v>
      </c>
      <c r="C623" s="1" t="s">
        <v>18</v>
      </c>
      <c r="D623" s="1">
        <v>99094.0</v>
      </c>
      <c r="E623" s="1" t="s">
        <v>19</v>
      </c>
      <c r="F623" s="1" t="s">
        <v>61</v>
      </c>
      <c r="G623" s="1" t="s">
        <v>31</v>
      </c>
      <c r="H623" s="2">
        <v>1446.0</v>
      </c>
      <c r="I623" s="2">
        <v>8068.0</v>
      </c>
      <c r="J623" s="1">
        <v>1985.0</v>
      </c>
      <c r="K623" s="1">
        <v>83.0</v>
      </c>
      <c r="L623" s="1" t="s">
        <v>62</v>
      </c>
      <c r="M623" s="1" t="s">
        <v>2532</v>
      </c>
      <c r="N623" s="1" t="s">
        <v>64</v>
      </c>
      <c r="O623" s="1" t="s">
        <v>25</v>
      </c>
      <c r="P623" s="1" t="s">
        <v>2533</v>
      </c>
    </row>
    <row r="624" ht="14.25" customHeight="1">
      <c r="A624" s="1" t="s">
        <v>2534</v>
      </c>
      <c r="B624" s="1" t="s">
        <v>2535</v>
      </c>
      <c r="C624" s="1" t="s">
        <v>53</v>
      </c>
      <c r="D624" s="1">
        <v>13830.0</v>
      </c>
      <c r="E624" s="1" t="s">
        <v>40</v>
      </c>
      <c r="F624" s="1" t="s">
        <v>41</v>
      </c>
      <c r="G624" s="1" t="s">
        <v>21</v>
      </c>
      <c r="H624" s="2">
        <v>2820.0</v>
      </c>
      <c r="I624" s="2">
        <v>9357.0</v>
      </c>
      <c r="J624" s="1">
        <v>1966.0</v>
      </c>
      <c r="K624" s="1">
        <v>70.0</v>
      </c>
      <c r="L624" s="1" t="s">
        <v>95</v>
      </c>
      <c r="M624" s="1" t="s">
        <v>2536</v>
      </c>
      <c r="N624" s="1" t="s">
        <v>24</v>
      </c>
      <c r="O624" s="1" t="s">
        <v>35</v>
      </c>
      <c r="P624" s="1" t="s">
        <v>2537</v>
      </c>
    </row>
    <row r="625" ht="14.25" customHeight="1">
      <c r="A625" s="1" t="s">
        <v>2538</v>
      </c>
      <c r="B625" s="1" t="s">
        <v>2539</v>
      </c>
      <c r="C625" s="1" t="s">
        <v>76</v>
      </c>
      <c r="D625" s="1">
        <v>82969.0</v>
      </c>
      <c r="E625" s="1" t="s">
        <v>19</v>
      </c>
      <c r="F625" s="1" t="s">
        <v>41</v>
      </c>
      <c r="G625" s="1" t="s">
        <v>31</v>
      </c>
      <c r="H625" s="2">
        <v>2329.0</v>
      </c>
      <c r="I625" s="2">
        <v>4291.0</v>
      </c>
      <c r="J625" s="1">
        <v>1962.0</v>
      </c>
      <c r="K625" s="1">
        <v>32.0</v>
      </c>
      <c r="L625" s="1" t="s">
        <v>62</v>
      </c>
      <c r="M625" s="1" t="s">
        <v>2540</v>
      </c>
      <c r="N625" s="1" t="s">
        <v>34</v>
      </c>
      <c r="O625" s="1" t="s">
        <v>35</v>
      </c>
      <c r="P625" s="1" t="s">
        <v>2541</v>
      </c>
    </row>
    <row r="626" ht="14.25" customHeight="1">
      <c r="A626" s="1" t="s">
        <v>2542</v>
      </c>
      <c r="B626" s="1" t="s">
        <v>2543</v>
      </c>
      <c r="C626" s="1" t="s">
        <v>18</v>
      </c>
      <c r="D626" s="1">
        <v>18244.0</v>
      </c>
      <c r="E626" s="1" t="s">
        <v>60</v>
      </c>
      <c r="F626" s="1" t="s">
        <v>94</v>
      </c>
      <c r="G626" s="1" t="s">
        <v>55</v>
      </c>
      <c r="H626" s="2">
        <v>2890.0</v>
      </c>
      <c r="I626" s="2">
        <v>1444.0</v>
      </c>
      <c r="J626" s="1">
        <v>1989.0</v>
      </c>
      <c r="K626" s="1">
        <v>64.0</v>
      </c>
      <c r="L626" s="1" t="s">
        <v>95</v>
      </c>
      <c r="M626" s="1" t="s">
        <v>2544</v>
      </c>
      <c r="N626" s="1" t="s">
        <v>43</v>
      </c>
      <c r="O626" s="1" t="s">
        <v>35</v>
      </c>
      <c r="P626" s="1" t="s">
        <v>2545</v>
      </c>
    </row>
    <row r="627" ht="14.25" customHeight="1">
      <c r="A627" s="1" t="s">
        <v>2546</v>
      </c>
      <c r="B627" s="1" t="s">
        <v>2547</v>
      </c>
      <c r="C627" s="1" t="s">
        <v>18</v>
      </c>
      <c r="D627" s="1">
        <v>55155.0</v>
      </c>
      <c r="E627" s="1" t="s">
        <v>77</v>
      </c>
      <c r="F627" s="1" t="s">
        <v>41</v>
      </c>
      <c r="G627" s="1" t="s">
        <v>21</v>
      </c>
      <c r="H627" s="2">
        <v>2400.0</v>
      </c>
      <c r="I627" s="2">
        <v>7325.0</v>
      </c>
      <c r="J627" s="1">
        <v>1996.0</v>
      </c>
      <c r="K627" s="1">
        <v>110.0</v>
      </c>
      <c r="L627" s="1" t="s">
        <v>141</v>
      </c>
      <c r="M627" s="1" t="s">
        <v>2548</v>
      </c>
      <c r="N627" s="1" t="s">
        <v>43</v>
      </c>
      <c r="O627" s="1" t="s">
        <v>49</v>
      </c>
      <c r="P627" s="1" t="s">
        <v>2549</v>
      </c>
    </row>
    <row r="628" ht="14.25" customHeight="1">
      <c r="A628" s="1" t="s">
        <v>2550</v>
      </c>
      <c r="B628" s="1" t="s">
        <v>2551</v>
      </c>
      <c r="C628" s="1" t="s">
        <v>53</v>
      </c>
      <c r="D628" s="1">
        <v>70939.0</v>
      </c>
      <c r="E628" s="1" t="s">
        <v>40</v>
      </c>
      <c r="F628" s="1" t="s">
        <v>61</v>
      </c>
      <c r="G628" s="1" t="s">
        <v>21</v>
      </c>
      <c r="H628" s="2">
        <v>1231.0</v>
      </c>
      <c r="I628" s="2">
        <v>4038.0</v>
      </c>
      <c r="J628" s="1">
        <v>2016.0</v>
      </c>
      <c r="K628" s="1">
        <v>81.0</v>
      </c>
      <c r="L628" s="1" t="s">
        <v>32</v>
      </c>
      <c r="M628" s="1" t="s">
        <v>2552</v>
      </c>
      <c r="N628" s="1" t="s">
        <v>43</v>
      </c>
      <c r="O628" s="1" t="s">
        <v>35</v>
      </c>
      <c r="P628" s="1" t="s">
        <v>2553</v>
      </c>
    </row>
    <row r="629" ht="14.25" customHeight="1">
      <c r="A629" s="1" t="s">
        <v>2554</v>
      </c>
      <c r="B629" s="1" t="s">
        <v>2555</v>
      </c>
      <c r="C629" s="1" t="s">
        <v>76</v>
      </c>
      <c r="D629" s="1">
        <v>63514.0</v>
      </c>
      <c r="E629" s="1" t="s">
        <v>40</v>
      </c>
      <c r="F629" s="1" t="s">
        <v>20</v>
      </c>
      <c r="G629" s="1" t="s">
        <v>55</v>
      </c>
      <c r="H629" s="2">
        <v>1023.0</v>
      </c>
      <c r="I629" s="2">
        <v>1621.0</v>
      </c>
      <c r="J629" s="1">
        <v>2019.0</v>
      </c>
      <c r="K629" s="1">
        <v>63.0</v>
      </c>
      <c r="L629" s="1" t="s">
        <v>141</v>
      </c>
      <c r="M629" s="1" t="s">
        <v>2556</v>
      </c>
      <c r="N629" s="1" t="s">
        <v>34</v>
      </c>
      <c r="O629" s="1" t="s">
        <v>25</v>
      </c>
      <c r="P629" s="1" t="s">
        <v>2557</v>
      </c>
    </row>
    <row r="630" ht="14.25" customHeight="1">
      <c r="A630" s="1" t="s">
        <v>2558</v>
      </c>
      <c r="B630" s="1" t="s">
        <v>2559</v>
      </c>
      <c r="C630" s="1" t="s">
        <v>39</v>
      </c>
      <c r="D630" s="1">
        <v>78721.0</v>
      </c>
      <c r="E630" s="1" t="s">
        <v>19</v>
      </c>
      <c r="F630" s="1" t="s">
        <v>54</v>
      </c>
      <c r="G630" s="1" t="s">
        <v>31</v>
      </c>
      <c r="H630" s="2">
        <v>2713.0</v>
      </c>
      <c r="I630" s="2">
        <v>7477.0</v>
      </c>
      <c r="J630" s="1">
        <v>1985.0</v>
      </c>
      <c r="K630" s="1">
        <v>15.0</v>
      </c>
      <c r="L630" s="1" t="s">
        <v>32</v>
      </c>
      <c r="M630" s="1" t="s">
        <v>2560</v>
      </c>
      <c r="N630" s="1" t="s">
        <v>48</v>
      </c>
      <c r="O630" s="1" t="s">
        <v>35</v>
      </c>
      <c r="P630" s="1" t="s">
        <v>2561</v>
      </c>
    </row>
    <row r="631" ht="14.25" customHeight="1">
      <c r="A631" s="1" t="s">
        <v>2562</v>
      </c>
      <c r="B631" s="1" t="s">
        <v>2563</v>
      </c>
      <c r="C631" s="1" t="s">
        <v>76</v>
      </c>
      <c r="D631" s="1">
        <v>47337.0</v>
      </c>
      <c r="E631" s="1" t="s">
        <v>19</v>
      </c>
      <c r="F631" s="1" t="s">
        <v>41</v>
      </c>
      <c r="G631" s="1" t="s">
        <v>55</v>
      </c>
      <c r="H631" s="2">
        <v>3476.0</v>
      </c>
      <c r="I631" s="2">
        <v>5287.0</v>
      </c>
      <c r="J631" s="1">
        <v>1984.0</v>
      </c>
      <c r="K631" s="1">
        <v>34.0</v>
      </c>
      <c r="L631" s="1" t="s">
        <v>32</v>
      </c>
      <c r="M631" s="1" t="s">
        <v>2564</v>
      </c>
      <c r="N631" s="1" t="s">
        <v>48</v>
      </c>
      <c r="O631" s="1" t="s">
        <v>25</v>
      </c>
      <c r="P631" s="1" t="s">
        <v>2565</v>
      </c>
    </row>
    <row r="632" ht="14.25" customHeight="1">
      <c r="A632" s="1" t="s">
        <v>2566</v>
      </c>
      <c r="B632" s="1" t="s">
        <v>2567</v>
      </c>
      <c r="C632" s="1" t="s">
        <v>39</v>
      </c>
      <c r="D632" s="1">
        <v>27185.0</v>
      </c>
      <c r="E632" s="1" t="s">
        <v>30</v>
      </c>
      <c r="F632" s="1" t="s">
        <v>20</v>
      </c>
      <c r="G632" s="1" t="s">
        <v>55</v>
      </c>
      <c r="H632" s="2">
        <v>2249.0</v>
      </c>
      <c r="I632" s="2">
        <v>2604.0</v>
      </c>
      <c r="J632" s="1">
        <v>1967.0</v>
      </c>
      <c r="K632" s="1">
        <v>51.0</v>
      </c>
      <c r="L632" s="1" t="s">
        <v>32</v>
      </c>
      <c r="M632" s="1" t="s">
        <v>2568</v>
      </c>
      <c r="N632" s="1" t="s">
        <v>34</v>
      </c>
      <c r="O632" s="1" t="s">
        <v>49</v>
      </c>
      <c r="P632" s="1" t="s">
        <v>2569</v>
      </c>
    </row>
    <row r="633" ht="14.25" customHeight="1">
      <c r="A633" s="1" t="s">
        <v>2570</v>
      </c>
      <c r="B633" s="1" t="s">
        <v>2571</v>
      </c>
      <c r="C633" s="1" t="s">
        <v>18</v>
      </c>
      <c r="D633" s="1">
        <v>63053.0</v>
      </c>
      <c r="E633" s="1" t="s">
        <v>40</v>
      </c>
      <c r="F633" s="1" t="s">
        <v>20</v>
      </c>
      <c r="G633" s="1" t="s">
        <v>55</v>
      </c>
      <c r="H633" s="2">
        <v>2708.0</v>
      </c>
      <c r="I633" s="2">
        <v>1145.0</v>
      </c>
      <c r="J633" s="1">
        <v>1979.0</v>
      </c>
      <c r="K633" s="1">
        <v>26.0</v>
      </c>
      <c r="L633" s="1" t="s">
        <v>95</v>
      </c>
      <c r="M633" s="1" t="s">
        <v>2572</v>
      </c>
      <c r="N633" s="1" t="s">
        <v>48</v>
      </c>
      <c r="O633" s="1" t="s">
        <v>35</v>
      </c>
      <c r="P633" s="1" t="s">
        <v>2573</v>
      </c>
    </row>
    <row r="634" ht="14.25" customHeight="1">
      <c r="A634" s="1" t="s">
        <v>2574</v>
      </c>
      <c r="B634" s="1" t="s">
        <v>2575</v>
      </c>
      <c r="C634" s="1" t="s">
        <v>29</v>
      </c>
      <c r="D634" s="1">
        <v>57967.0</v>
      </c>
      <c r="E634" s="1" t="s">
        <v>77</v>
      </c>
      <c r="F634" s="1" t="s">
        <v>46</v>
      </c>
      <c r="G634" s="1" t="s">
        <v>55</v>
      </c>
      <c r="H634" s="2">
        <v>3288.0</v>
      </c>
      <c r="I634" s="2">
        <v>8511.0</v>
      </c>
      <c r="J634" s="1">
        <v>2008.0</v>
      </c>
      <c r="K634" s="1">
        <v>70.0</v>
      </c>
      <c r="L634" s="1" t="s">
        <v>22</v>
      </c>
      <c r="M634" s="1" t="s">
        <v>2576</v>
      </c>
      <c r="N634" s="1" t="s">
        <v>24</v>
      </c>
      <c r="O634" s="1" t="s">
        <v>49</v>
      </c>
      <c r="P634" s="1" t="s">
        <v>2577</v>
      </c>
    </row>
    <row r="635" ht="14.25" customHeight="1">
      <c r="A635" s="1" t="s">
        <v>2578</v>
      </c>
      <c r="B635" s="1" t="s">
        <v>2579</v>
      </c>
      <c r="C635" s="1" t="s">
        <v>76</v>
      </c>
      <c r="D635" s="1">
        <v>45469.0</v>
      </c>
      <c r="E635" s="1" t="s">
        <v>77</v>
      </c>
      <c r="F635" s="1" t="s">
        <v>61</v>
      </c>
      <c r="G635" s="1" t="s">
        <v>21</v>
      </c>
      <c r="H635" s="2">
        <v>3765.0</v>
      </c>
      <c r="I635" s="2">
        <v>9118.0</v>
      </c>
      <c r="J635" s="1">
        <v>2002.0</v>
      </c>
      <c r="K635" s="1">
        <v>65.0</v>
      </c>
      <c r="L635" s="1" t="s">
        <v>95</v>
      </c>
      <c r="M635" s="1" t="s">
        <v>2580</v>
      </c>
      <c r="N635" s="1" t="s">
        <v>34</v>
      </c>
      <c r="O635" s="1" t="s">
        <v>35</v>
      </c>
      <c r="P635" s="1" t="s">
        <v>2581</v>
      </c>
    </row>
    <row r="636" ht="14.25" customHeight="1">
      <c r="A636" s="1" t="s">
        <v>2582</v>
      </c>
      <c r="B636" s="1" t="s">
        <v>2583</v>
      </c>
      <c r="C636" s="1" t="s">
        <v>53</v>
      </c>
      <c r="D636" s="1">
        <v>38082.0</v>
      </c>
      <c r="E636" s="1" t="s">
        <v>77</v>
      </c>
      <c r="F636" s="1" t="s">
        <v>41</v>
      </c>
      <c r="G636" s="1" t="s">
        <v>100</v>
      </c>
      <c r="H636" s="2">
        <v>2468.0</v>
      </c>
      <c r="I636" s="2">
        <v>2090.0</v>
      </c>
      <c r="J636" s="1">
        <v>1950.0</v>
      </c>
      <c r="K636" s="1">
        <v>117.0</v>
      </c>
      <c r="L636" s="1" t="s">
        <v>62</v>
      </c>
      <c r="M636" s="1" t="s">
        <v>2584</v>
      </c>
      <c r="N636" s="1" t="s">
        <v>43</v>
      </c>
      <c r="O636" s="1" t="s">
        <v>25</v>
      </c>
      <c r="P636" s="1" t="s">
        <v>2585</v>
      </c>
    </row>
    <row r="637" ht="14.25" customHeight="1">
      <c r="A637" s="1" t="s">
        <v>2586</v>
      </c>
      <c r="B637" s="1" t="s">
        <v>2587</v>
      </c>
      <c r="C637" s="1" t="s">
        <v>76</v>
      </c>
      <c r="D637" s="1">
        <v>34230.0</v>
      </c>
      <c r="E637" s="1" t="s">
        <v>77</v>
      </c>
      <c r="F637" s="1" t="s">
        <v>94</v>
      </c>
      <c r="G637" s="1" t="s">
        <v>100</v>
      </c>
      <c r="H637" s="2">
        <v>1659.0</v>
      </c>
      <c r="I637" s="2">
        <v>9835.0</v>
      </c>
      <c r="J637" s="1">
        <v>2000.0</v>
      </c>
      <c r="K637" s="1">
        <v>75.0</v>
      </c>
      <c r="L637" s="1" t="s">
        <v>95</v>
      </c>
      <c r="M637" s="1" t="s">
        <v>2588</v>
      </c>
      <c r="N637" s="1" t="s">
        <v>43</v>
      </c>
      <c r="O637" s="1" t="s">
        <v>49</v>
      </c>
      <c r="P637" s="1" t="s">
        <v>2589</v>
      </c>
    </row>
    <row r="638" ht="14.25" customHeight="1">
      <c r="A638" s="1" t="s">
        <v>2590</v>
      </c>
      <c r="B638" s="1" t="s">
        <v>2591</v>
      </c>
      <c r="C638" s="1" t="s">
        <v>39</v>
      </c>
      <c r="D638" s="1">
        <v>72726.0</v>
      </c>
      <c r="E638" s="1" t="s">
        <v>30</v>
      </c>
      <c r="F638" s="1" t="s">
        <v>54</v>
      </c>
      <c r="G638" s="1" t="s">
        <v>21</v>
      </c>
      <c r="H638" s="2">
        <v>1983.0</v>
      </c>
      <c r="I638" s="2">
        <v>7846.0</v>
      </c>
      <c r="J638" s="1">
        <v>1992.0</v>
      </c>
      <c r="K638" s="1">
        <v>92.0</v>
      </c>
      <c r="L638" s="1" t="s">
        <v>95</v>
      </c>
      <c r="M638" s="1" t="s">
        <v>2592</v>
      </c>
      <c r="N638" s="1" t="s">
        <v>34</v>
      </c>
      <c r="O638" s="1" t="s">
        <v>25</v>
      </c>
      <c r="P638" s="1" t="s">
        <v>2593</v>
      </c>
    </row>
    <row r="639" ht="14.25" customHeight="1">
      <c r="A639" s="1" t="s">
        <v>2594</v>
      </c>
      <c r="B639" s="1" t="s">
        <v>2595</v>
      </c>
      <c r="C639" s="1" t="s">
        <v>53</v>
      </c>
      <c r="D639" s="1">
        <v>71424.0</v>
      </c>
      <c r="E639" s="1" t="s">
        <v>60</v>
      </c>
      <c r="F639" s="1" t="s">
        <v>46</v>
      </c>
      <c r="G639" s="1" t="s">
        <v>31</v>
      </c>
      <c r="H639" s="2">
        <v>1988.0</v>
      </c>
      <c r="I639" s="2">
        <v>5101.0</v>
      </c>
      <c r="J639" s="1">
        <v>1996.0</v>
      </c>
      <c r="K639" s="1">
        <v>3.0</v>
      </c>
      <c r="L639" s="1" t="s">
        <v>95</v>
      </c>
      <c r="M639" s="1" t="s">
        <v>2596</v>
      </c>
      <c r="N639" s="1" t="s">
        <v>64</v>
      </c>
      <c r="O639" s="1" t="s">
        <v>49</v>
      </c>
      <c r="P639" s="1" t="s">
        <v>2597</v>
      </c>
    </row>
    <row r="640" ht="14.25" customHeight="1">
      <c r="A640" s="1" t="s">
        <v>2598</v>
      </c>
      <c r="B640" s="1" t="s">
        <v>2599</v>
      </c>
      <c r="C640" s="1" t="s">
        <v>53</v>
      </c>
      <c r="D640" s="1">
        <v>81291.0</v>
      </c>
      <c r="E640" s="1" t="s">
        <v>60</v>
      </c>
      <c r="F640" s="1" t="s">
        <v>20</v>
      </c>
      <c r="G640" s="1" t="s">
        <v>21</v>
      </c>
      <c r="H640" s="2">
        <v>3876.0</v>
      </c>
      <c r="I640" s="2">
        <v>8917.0</v>
      </c>
      <c r="J640" s="1">
        <v>1993.0</v>
      </c>
      <c r="K640" s="1">
        <v>63.0</v>
      </c>
      <c r="L640" s="1" t="s">
        <v>32</v>
      </c>
      <c r="M640" s="1" t="s">
        <v>2600</v>
      </c>
      <c r="N640" s="1" t="s">
        <v>64</v>
      </c>
      <c r="O640" s="1" t="s">
        <v>25</v>
      </c>
      <c r="P640" s="1" t="s">
        <v>2601</v>
      </c>
    </row>
    <row r="641" ht="14.25" customHeight="1">
      <c r="A641" s="1" t="s">
        <v>2602</v>
      </c>
      <c r="B641" s="1" t="s">
        <v>2603</v>
      </c>
      <c r="C641" s="1" t="s">
        <v>18</v>
      </c>
      <c r="D641" s="1">
        <v>36666.0</v>
      </c>
      <c r="E641" s="1" t="s">
        <v>19</v>
      </c>
      <c r="F641" s="1" t="s">
        <v>54</v>
      </c>
      <c r="G641" s="1" t="s">
        <v>100</v>
      </c>
      <c r="H641" s="2">
        <v>2937.0</v>
      </c>
      <c r="I641" s="2">
        <v>2061.0</v>
      </c>
      <c r="J641" s="1">
        <v>1963.0</v>
      </c>
      <c r="K641" s="1">
        <v>111.0</v>
      </c>
      <c r="L641" s="1" t="s">
        <v>62</v>
      </c>
      <c r="M641" s="1" t="s">
        <v>2604</v>
      </c>
      <c r="N641" s="1" t="s">
        <v>34</v>
      </c>
      <c r="O641" s="1" t="s">
        <v>49</v>
      </c>
      <c r="P641" s="1" t="s">
        <v>2605</v>
      </c>
    </row>
    <row r="642" ht="14.25" customHeight="1">
      <c r="A642" s="1" t="s">
        <v>2606</v>
      </c>
      <c r="B642" s="1" t="s">
        <v>2607</v>
      </c>
      <c r="C642" s="1" t="s">
        <v>18</v>
      </c>
      <c r="D642" s="1">
        <v>20161.0</v>
      </c>
      <c r="E642" s="1" t="s">
        <v>77</v>
      </c>
      <c r="F642" s="1" t="s">
        <v>20</v>
      </c>
      <c r="G642" s="1" t="s">
        <v>55</v>
      </c>
      <c r="H642" s="2">
        <v>2161.0</v>
      </c>
      <c r="I642" s="2">
        <v>7030.0</v>
      </c>
      <c r="J642" s="1">
        <v>1975.0</v>
      </c>
      <c r="K642" s="1">
        <v>45.0</v>
      </c>
      <c r="L642" s="1" t="s">
        <v>32</v>
      </c>
      <c r="M642" s="1" t="s">
        <v>2608</v>
      </c>
      <c r="N642" s="1" t="s">
        <v>34</v>
      </c>
      <c r="O642" s="1" t="s">
        <v>35</v>
      </c>
      <c r="P642" s="1" t="s">
        <v>2609</v>
      </c>
    </row>
    <row r="643" ht="14.25" customHeight="1">
      <c r="A643" s="1" t="s">
        <v>2610</v>
      </c>
      <c r="B643" s="1" t="s">
        <v>2611</v>
      </c>
      <c r="C643" s="1" t="s">
        <v>53</v>
      </c>
      <c r="D643" s="1">
        <v>40426.0</v>
      </c>
      <c r="E643" s="1" t="s">
        <v>77</v>
      </c>
      <c r="F643" s="1" t="s">
        <v>94</v>
      </c>
      <c r="G643" s="1" t="s">
        <v>21</v>
      </c>
      <c r="H643" s="2">
        <v>3051.0</v>
      </c>
      <c r="I643" s="2">
        <v>6869.0</v>
      </c>
      <c r="J643" s="1">
        <v>1955.0</v>
      </c>
      <c r="K643" s="1">
        <v>64.0</v>
      </c>
      <c r="L643" s="1" t="s">
        <v>141</v>
      </c>
      <c r="M643" s="1" t="s">
        <v>2612</v>
      </c>
      <c r="N643" s="1" t="s">
        <v>24</v>
      </c>
      <c r="O643" s="1" t="s">
        <v>35</v>
      </c>
      <c r="P643" s="1" t="s">
        <v>2613</v>
      </c>
    </row>
    <row r="644" ht="14.25" customHeight="1">
      <c r="A644" s="1" t="s">
        <v>2614</v>
      </c>
      <c r="B644" s="1" t="s">
        <v>2615</v>
      </c>
      <c r="C644" s="1" t="s">
        <v>39</v>
      </c>
      <c r="D644" s="1">
        <v>19836.0</v>
      </c>
      <c r="E644" s="1" t="s">
        <v>40</v>
      </c>
      <c r="F644" s="1" t="s">
        <v>46</v>
      </c>
      <c r="G644" s="1" t="s">
        <v>55</v>
      </c>
      <c r="H644" s="2">
        <v>2749.0</v>
      </c>
      <c r="I644" s="2">
        <v>1346.0</v>
      </c>
      <c r="J644" s="1">
        <v>2001.0</v>
      </c>
      <c r="K644" s="1">
        <v>71.0</v>
      </c>
      <c r="L644" s="1" t="s">
        <v>32</v>
      </c>
      <c r="M644" s="1" t="s">
        <v>2616</v>
      </c>
      <c r="N644" s="1" t="s">
        <v>34</v>
      </c>
      <c r="O644" s="1" t="s">
        <v>49</v>
      </c>
      <c r="P644" s="1" t="s">
        <v>2617</v>
      </c>
    </row>
    <row r="645" ht="14.25" customHeight="1">
      <c r="A645" s="1" t="s">
        <v>2618</v>
      </c>
      <c r="B645" s="1" t="s">
        <v>2619</v>
      </c>
      <c r="C645" s="1" t="s">
        <v>29</v>
      </c>
      <c r="D645" s="1">
        <v>19254.0</v>
      </c>
      <c r="E645" s="1" t="s">
        <v>30</v>
      </c>
      <c r="F645" s="1" t="s">
        <v>41</v>
      </c>
      <c r="G645" s="1" t="s">
        <v>100</v>
      </c>
      <c r="H645" s="2">
        <v>2064.0</v>
      </c>
      <c r="I645" s="2">
        <v>4491.0</v>
      </c>
      <c r="J645" s="1">
        <v>2022.0</v>
      </c>
      <c r="K645" s="1">
        <v>44.0</v>
      </c>
      <c r="L645" s="1" t="s">
        <v>22</v>
      </c>
      <c r="M645" s="1" t="s">
        <v>2620</v>
      </c>
      <c r="N645" s="1" t="s">
        <v>34</v>
      </c>
      <c r="O645" s="1" t="s">
        <v>25</v>
      </c>
      <c r="P645" s="1" t="s">
        <v>2621</v>
      </c>
    </row>
    <row r="646" ht="14.25" customHeight="1">
      <c r="A646" s="1" t="s">
        <v>2622</v>
      </c>
      <c r="B646" s="1" t="s">
        <v>2623</v>
      </c>
      <c r="C646" s="1" t="s">
        <v>53</v>
      </c>
      <c r="D646" s="1">
        <v>68561.0</v>
      </c>
      <c r="E646" s="1" t="s">
        <v>40</v>
      </c>
      <c r="F646" s="1" t="s">
        <v>94</v>
      </c>
      <c r="G646" s="1" t="s">
        <v>21</v>
      </c>
      <c r="H646" s="2">
        <v>1224.0</v>
      </c>
      <c r="I646" s="2">
        <v>3952.0</v>
      </c>
      <c r="J646" s="1">
        <v>2022.0</v>
      </c>
      <c r="K646" s="1">
        <v>49.0</v>
      </c>
      <c r="L646" s="1" t="s">
        <v>141</v>
      </c>
      <c r="M646" s="1" t="s">
        <v>2624</v>
      </c>
      <c r="N646" s="1" t="s">
        <v>64</v>
      </c>
      <c r="O646" s="1" t="s">
        <v>25</v>
      </c>
      <c r="P646" s="1" t="s">
        <v>2625</v>
      </c>
    </row>
    <row r="647" ht="14.25" customHeight="1">
      <c r="A647" s="1" t="s">
        <v>2626</v>
      </c>
      <c r="B647" s="1" t="s">
        <v>2627</v>
      </c>
      <c r="C647" s="1" t="s">
        <v>18</v>
      </c>
      <c r="D647" s="1">
        <v>47970.0</v>
      </c>
      <c r="E647" s="1" t="s">
        <v>60</v>
      </c>
      <c r="F647" s="1" t="s">
        <v>54</v>
      </c>
      <c r="G647" s="1" t="s">
        <v>55</v>
      </c>
      <c r="H647" s="2">
        <v>3942.0</v>
      </c>
      <c r="I647" s="2">
        <v>4881.0</v>
      </c>
      <c r="J647" s="1">
        <v>1973.0</v>
      </c>
      <c r="K647" s="1">
        <v>110.0</v>
      </c>
      <c r="L647" s="1" t="s">
        <v>22</v>
      </c>
      <c r="M647" s="1" t="s">
        <v>2628</v>
      </c>
      <c r="N647" s="1" t="s">
        <v>64</v>
      </c>
      <c r="O647" s="1" t="s">
        <v>25</v>
      </c>
      <c r="P647" s="1" t="s">
        <v>2629</v>
      </c>
    </row>
    <row r="648" ht="14.25" customHeight="1">
      <c r="A648" s="1" t="s">
        <v>2630</v>
      </c>
      <c r="B648" s="1" t="s">
        <v>2631</v>
      </c>
      <c r="C648" s="1" t="s">
        <v>53</v>
      </c>
      <c r="D648" s="1">
        <v>69780.0</v>
      </c>
      <c r="E648" s="1" t="s">
        <v>77</v>
      </c>
      <c r="F648" s="1" t="s">
        <v>61</v>
      </c>
      <c r="G648" s="1" t="s">
        <v>55</v>
      </c>
      <c r="H648" s="2">
        <v>857.0</v>
      </c>
      <c r="I648" s="2">
        <v>2046.0</v>
      </c>
      <c r="J648" s="1">
        <v>1951.0</v>
      </c>
      <c r="K648" s="1">
        <v>4.0</v>
      </c>
      <c r="L648" s="1" t="s">
        <v>32</v>
      </c>
      <c r="M648" s="1" t="s">
        <v>2632</v>
      </c>
      <c r="N648" s="1" t="s">
        <v>64</v>
      </c>
      <c r="O648" s="1" t="s">
        <v>25</v>
      </c>
      <c r="P648" s="1" t="s">
        <v>2633</v>
      </c>
    </row>
    <row r="649" ht="14.25" customHeight="1">
      <c r="A649" s="1" t="s">
        <v>2634</v>
      </c>
      <c r="B649" s="1" t="s">
        <v>2635</v>
      </c>
      <c r="C649" s="1" t="s">
        <v>76</v>
      </c>
      <c r="D649" s="1">
        <v>38092.0</v>
      </c>
      <c r="E649" s="1" t="s">
        <v>19</v>
      </c>
      <c r="F649" s="1" t="s">
        <v>41</v>
      </c>
      <c r="G649" s="1" t="s">
        <v>31</v>
      </c>
      <c r="H649" s="2">
        <v>1840.0</v>
      </c>
      <c r="I649" s="2">
        <v>1811.0</v>
      </c>
      <c r="J649" s="1">
        <v>2016.0</v>
      </c>
      <c r="K649" s="1">
        <v>10.0</v>
      </c>
      <c r="L649" s="1" t="s">
        <v>22</v>
      </c>
      <c r="M649" s="1" t="s">
        <v>2636</v>
      </c>
      <c r="N649" s="1" t="s">
        <v>48</v>
      </c>
      <c r="O649" s="1" t="s">
        <v>49</v>
      </c>
      <c r="P649" s="1" t="s">
        <v>2637</v>
      </c>
    </row>
    <row r="650" ht="14.25" customHeight="1">
      <c r="A650" s="1" t="s">
        <v>2638</v>
      </c>
      <c r="B650" s="1" t="s">
        <v>2639</v>
      </c>
      <c r="C650" s="1" t="s">
        <v>29</v>
      </c>
      <c r="D650" s="1">
        <v>22024.0</v>
      </c>
      <c r="E650" s="1" t="s">
        <v>40</v>
      </c>
      <c r="F650" s="1" t="s">
        <v>54</v>
      </c>
      <c r="G650" s="1" t="s">
        <v>100</v>
      </c>
      <c r="H650" s="2">
        <v>2231.0</v>
      </c>
      <c r="I650" s="2">
        <v>1667.0</v>
      </c>
      <c r="J650" s="1">
        <v>1991.0</v>
      </c>
      <c r="K650" s="1">
        <v>90.0</v>
      </c>
      <c r="L650" s="1" t="s">
        <v>62</v>
      </c>
      <c r="M650" s="1" t="s">
        <v>2640</v>
      </c>
      <c r="N650" s="1" t="s">
        <v>48</v>
      </c>
      <c r="O650" s="1" t="s">
        <v>35</v>
      </c>
      <c r="P650" s="1" t="s">
        <v>2641</v>
      </c>
    </row>
    <row r="651" ht="14.25" customHeight="1">
      <c r="A651" s="1" t="s">
        <v>2642</v>
      </c>
      <c r="B651" s="1" t="s">
        <v>2643</v>
      </c>
      <c r="C651" s="1" t="s">
        <v>53</v>
      </c>
      <c r="D651" s="1">
        <v>18709.0</v>
      </c>
      <c r="E651" s="1" t="s">
        <v>19</v>
      </c>
      <c r="F651" s="1" t="s">
        <v>20</v>
      </c>
      <c r="G651" s="1" t="s">
        <v>21</v>
      </c>
      <c r="H651" s="2">
        <v>2420.0</v>
      </c>
      <c r="I651" s="2">
        <v>1592.0</v>
      </c>
      <c r="J651" s="1">
        <v>1978.0</v>
      </c>
      <c r="K651" s="1">
        <v>76.0</v>
      </c>
      <c r="L651" s="1" t="s">
        <v>62</v>
      </c>
      <c r="M651" s="1" t="s">
        <v>2644</v>
      </c>
      <c r="N651" s="1" t="s">
        <v>48</v>
      </c>
      <c r="O651" s="1" t="s">
        <v>49</v>
      </c>
      <c r="P651" s="1" t="s">
        <v>2645</v>
      </c>
    </row>
    <row r="652" ht="14.25" customHeight="1">
      <c r="A652" s="1" t="s">
        <v>2646</v>
      </c>
      <c r="B652" s="1" t="s">
        <v>2647</v>
      </c>
      <c r="C652" s="1" t="s">
        <v>29</v>
      </c>
      <c r="D652" s="1">
        <v>13983.0</v>
      </c>
      <c r="E652" s="1" t="s">
        <v>77</v>
      </c>
      <c r="F652" s="1" t="s">
        <v>20</v>
      </c>
      <c r="G652" s="1" t="s">
        <v>100</v>
      </c>
      <c r="H652" s="2">
        <v>2451.0</v>
      </c>
      <c r="I652" s="2">
        <v>9741.0</v>
      </c>
      <c r="J652" s="1">
        <v>1961.0</v>
      </c>
      <c r="K652" s="1">
        <v>49.0</v>
      </c>
      <c r="L652" s="1" t="s">
        <v>22</v>
      </c>
      <c r="M652" s="1" t="s">
        <v>2648</v>
      </c>
      <c r="N652" s="1" t="s">
        <v>64</v>
      </c>
      <c r="O652" s="1" t="s">
        <v>25</v>
      </c>
      <c r="P652" s="1" t="s">
        <v>2649</v>
      </c>
    </row>
    <row r="653" ht="14.25" customHeight="1">
      <c r="A653" s="1" t="s">
        <v>2650</v>
      </c>
      <c r="B653" s="1" t="s">
        <v>2651</v>
      </c>
      <c r="C653" s="1" t="s">
        <v>53</v>
      </c>
      <c r="D653" s="1">
        <v>42449.0</v>
      </c>
      <c r="E653" s="1" t="s">
        <v>60</v>
      </c>
      <c r="F653" s="1" t="s">
        <v>61</v>
      </c>
      <c r="G653" s="1" t="s">
        <v>55</v>
      </c>
      <c r="H653" s="2">
        <v>2339.0</v>
      </c>
      <c r="I653" s="2">
        <v>8974.0</v>
      </c>
      <c r="J653" s="1">
        <v>2015.0</v>
      </c>
      <c r="K653" s="1">
        <v>53.0</v>
      </c>
      <c r="L653" s="1" t="s">
        <v>95</v>
      </c>
      <c r="M653" s="1" t="s">
        <v>2652</v>
      </c>
      <c r="N653" s="1" t="s">
        <v>24</v>
      </c>
      <c r="O653" s="1" t="s">
        <v>49</v>
      </c>
      <c r="P653" s="1" t="s">
        <v>2653</v>
      </c>
    </row>
    <row r="654" ht="14.25" customHeight="1">
      <c r="A654" s="1" t="s">
        <v>2654</v>
      </c>
      <c r="B654" s="1" t="s">
        <v>2655</v>
      </c>
      <c r="C654" s="1" t="s">
        <v>76</v>
      </c>
      <c r="D654" s="1">
        <v>19527.0</v>
      </c>
      <c r="E654" s="1" t="s">
        <v>30</v>
      </c>
      <c r="F654" s="1" t="s">
        <v>41</v>
      </c>
      <c r="G654" s="1" t="s">
        <v>55</v>
      </c>
      <c r="H654" s="2">
        <v>1083.0</v>
      </c>
      <c r="I654" s="2">
        <v>2372.0</v>
      </c>
      <c r="J654" s="1">
        <v>1957.0</v>
      </c>
      <c r="K654" s="1">
        <v>81.0</v>
      </c>
      <c r="L654" s="1" t="s">
        <v>32</v>
      </c>
      <c r="M654" s="1" t="s">
        <v>2656</v>
      </c>
      <c r="N654" s="1" t="s">
        <v>24</v>
      </c>
      <c r="O654" s="1" t="s">
        <v>49</v>
      </c>
      <c r="P654" s="1" t="s">
        <v>2657</v>
      </c>
    </row>
    <row r="655" ht="14.25" customHeight="1">
      <c r="A655" s="1" t="s">
        <v>2658</v>
      </c>
      <c r="B655" s="1" t="s">
        <v>2659</v>
      </c>
      <c r="C655" s="1" t="s">
        <v>39</v>
      </c>
      <c r="D655" s="1">
        <v>58984.0</v>
      </c>
      <c r="E655" s="1" t="s">
        <v>30</v>
      </c>
      <c r="F655" s="1" t="s">
        <v>54</v>
      </c>
      <c r="G655" s="1" t="s">
        <v>100</v>
      </c>
      <c r="H655" s="2">
        <v>3752.0</v>
      </c>
      <c r="I655" s="2">
        <v>5731.0</v>
      </c>
      <c r="J655" s="1">
        <v>2003.0</v>
      </c>
      <c r="K655" s="1">
        <v>27.0</v>
      </c>
      <c r="L655" s="1" t="s">
        <v>32</v>
      </c>
      <c r="M655" s="1" t="s">
        <v>2660</v>
      </c>
      <c r="N655" s="1" t="s">
        <v>48</v>
      </c>
      <c r="O655" s="1" t="s">
        <v>35</v>
      </c>
      <c r="P655" s="1" t="s">
        <v>2661</v>
      </c>
    </row>
    <row r="656" ht="14.25" customHeight="1">
      <c r="A656" s="1" t="s">
        <v>2662</v>
      </c>
      <c r="B656" s="1" t="s">
        <v>2663</v>
      </c>
      <c r="C656" s="1" t="s">
        <v>18</v>
      </c>
      <c r="D656" s="1">
        <v>75125.0</v>
      </c>
      <c r="E656" s="1" t="s">
        <v>19</v>
      </c>
      <c r="F656" s="1" t="s">
        <v>54</v>
      </c>
      <c r="G656" s="1" t="s">
        <v>55</v>
      </c>
      <c r="H656" s="2">
        <v>726.0</v>
      </c>
      <c r="I656" s="2">
        <v>1292.0</v>
      </c>
      <c r="J656" s="1">
        <v>1962.0</v>
      </c>
      <c r="K656" s="1">
        <v>35.0</v>
      </c>
      <c r="L656" s="1" t="s">
        <v>62</v>
      </c>
      <c r="M656" s="1" t="s">
        <v>2664</v>
      </c>
      <c r="N656" s="1" t="s">
        <v>64</v>
      </c>
      <c r="O656" s="1" t="s">
        <v>49</v>
      </c>
      <c r="P656" s="1" t="s">
        <v>2665</v>
      </c>
    </row>
    <row r="657" ht="14.25" customHeight="1">
      <c r="A657" s="1" t="s">
        <v>2666</v>
      </c>
      <c r="B657" s="1" t="s">
        <v>2667</v>
      </c>
      <c r="C657" s="1" t="s">
        <v>39</v>
      </c>
      <c r="D657" s="1">
        <v>89405.0</v>
      </c>
      <c r="E657" s="1" t="s">
        <v>19</v>
      </c>
      <c r="F657" s="1" t="s">
        <v>41</v>
      </c>
      <c r="G657" s="1" t="s">
        <v>21</v>
      </c>
      <c r="H657" s="2">
        <v>3740.0</v>
      </c>
      <c r="I657" s="2">
        <v>4980.0</v>
      </c>
      <c r="J657" s="1">
        <v>2017.0</v>
      </c>
      <c r="K657" s="1">
        <v>104.0</v>
      </c>
      <c r="L657" s="1" t="s">
        <v>22</v>
      </c>
      <c r="M657" s="1" t="s">
        <v>2668</v>
      </c>
      <c r="N657" s="1" t="s">
        <v>43</v>
      </c>
      <c r="O657" s="1" t="s">
        <v>25</v>
      </c>
      <c r="P657" s="1" t="s">
        <v>2669</v>
      </c>
    </row>
    <row r="658" ht="14.25" customHeight="1">
      <c r="A658" s="1" t="s">
        <v>2670</v>
      </c>
      <c r="B658" s="1" t="s">
        <v>2671</v>
      </c>
      <c r="C658" s="1" t="s">
        <v>29</v>
      </c>
      <c r="D658" s="1">
        <v>29174.0</v>
      </c>
      <c r="E658" s="1" t="s">
        <v>19</v>
      </c>
      <c r="F658" s="1" t="s">
        <v>61</v>
      </c>
      <c r="G658" s="1" t="s">
        <v>21</v>
      </c>
      <c r="H658" s="2">
        <v>3509.0</v>
      </c>
      <c r="I658" s="2">
        <v>7396.0</v>
      </c>
      <c r="J658" s="1">
        <v>2014.0</v>
      </c>
      <c r="K658" s="1">
        <v>73.0</v>
      </c>
      <c r="L658" s="1" t="s">
        <v>141</v>
      </c>
      <c r="M658" s="1" t="s">
        <v>2672</v>
      </c>
      <c r="N658" s="1" t="s">
        <v>24</v>
      </c>
      <c r="O658" s="1" t="s">
        <v>25</v>
      </c>
      <c r="P658" s="1" t="s">
        <v>2673</v>
      </c>
    </row>
    <row r="659" ht="14.25" customHeight="1">
      <c r="A659" s="1" t="s">
        <v>2674</v>
      </c>
      <c r="B659" s="1" t="s">
        <v>2675</v>
      </c>
      <c r="C659" s="1" t="s">
        <v>53</v>
      </c>
      <c r="D659" s="1">
        <v>61754.0</v>
      </c>
      <c r="E659" s="1" t="s">
        <v>30</v>
      </c>
      <c r="F659" s="1" t="s">
        <v>20</v>
      </c>
      <c r="G659" s="1" t="s">
        <v>55</v>
      </c>
      <c r="H659" s="2">
        <v>1286.0</v>
      </c>
      <c r="I659" s="2">
        <v>2668.0</v>
      </c>
      <c r="J659" s="1">
        <v>1993.0</v>
      </c>
      <c r="K659" s="1">
        <v>4.0</v>
      </c>
      <c r="L659" s="1" t="s">
        <v>141</v>
      </c>
      <c r="M659" s="1" t="s">
        <v>2676</v>
      </c>
      <c r="N659" s="1" t="s">
        <v>64</v>
      </c>
      <c r="O659" s="1" t="s">
        <v>35</v>
      </c>
      <c r="P659" s="1" t="s">
        <v>2677</v>
      </c>
    </row>
    <row r="660" ht="14.25" customHeight="1">
      <c r="A660" s="1" t="s">
        <v>2678</v>
      </c>
      <c r="B660" s="1" t="s">
        <v>2679</v>
      </c>
      <c r="C660" s="1" t="s">
        <v>29</v>
      </c>
      <c r="D660" s="1">
        <v>14836.0</v>
      </c>
      <c r="E660" s="1" t="s">
        <v>30</v>
      </c>
      <c r="F660" s="1" t="s">
        <v>61</v>
      </c>
      <c r="G660" s="1" t="s">
        <v>55</v>
      </c>
      <c r="H660" s="2">
        <v>3818.0</v>
      </c>
      <c r="I660" s="2">
        <v>5126.0</v>
      </c>
      <c r="J660" s="1">
        <v>1992.0</v>
      </c>
      <c r="K660" s="1">
        <v>33.0</v>
      </c>
      <c r="L660" s="1" t="s">
        <v>32</v>
      </c>
      <c r="M660" s="1" t="s">
        <v>2680</v>
      </c>
      <c r="N660" s="1" t="s">
        <v>64</v>
      </c>
      <c r="O660" s="1" t="s">
        <v>25</v>
      </c>
      <c r="P660" s="1" t="s">
        <v>2681</v>
      </c>
    </row>
    <row r="661" ht="14.25" customHeight="1">
      <c r="A661" s="1" t="s">
        <v>2682</v>
      </c>
      <c r="B661" s="1" t="s">
        <v>2683</v>
      </c>
      <c r="C661" s="1" t="s">
        <v>76</v>
      </c>
      <c r="D661" s="1">
        <v>40195.0</v>
      </c>
      <c r="E661" s="1" t="s">
        <v>40</v>
      </c>
      <c r="F661" s="1" t="s">
        <v>61</v>
      </c>
      <c r="G661" s="1" t="s">
        <v>31</v>
      </c>
      <c r="H661" s="2">
        <v>743.0</v>
      </c>
      <c r="I661" s="2">
        <v>6787.0</v>
      </c>
      <c r="J661" s="1">
        <v>2016.0</v>
      </c>
      <c r="K661" s="1">
        <v>64.0</v>
      </c>
      <c r="L661" s="1" t="s">
        <v>22</v>
      </c>
      <c r="M661" s="1" t="s">
        <v>2684</v>
      </c>
      <c r="N661" s="1" t="s">
        <v>24</v>
      </c>
      <c r="O661" s="1" t="s">
        <v>49</v>
      </c>
      <c r="P661" s="1" t="s">
        <v>2685</v>
      </c>
    </row>
    <row r="662" ht="14.25" customHeight="1">
      <c r="A662" s="1" t="s">
        <v>2686</v>
      </c>
      <c r="B662" s="1" t="s">
        <v>2687</v>
      </c>
      <c r="C662" s="1" t="s">
        <v>53</v>
      </c>
      <c r="D662" s="1">
        <v>77333.0</v>
      </c>
      <c r="E662" s="1" t="s">
        <v>19</v>
      </c>
      <c r="F662" s="1" t="s">
        <v>94</v>
      </c>
      <c r="G662" s="1" t="s">
        <v>21</v>
      </c>
      <c r="H662" s="2">
        <v>2329.0</v>
      </c>
      <c r="I662" s="2">
        <v>7908.0</v>
      </c>
      <c r="J662" s="1">
        <v>1965.0</v>
      </c>
      <c r="K662" s="1">
        <v>50.0</v>
      </c>
      <c r="L662" s="1" t="s">
        <v>22</v>
      </c>
      <c r="M662" s="1" t="s">
        <v>2688</v>
      </c>
      <c r="N662" s="1" t="s">
        <v>64</v>
      </c>
      <c r="O662" s="1" t="s">
        <v>35</v>
      </c>
      <c r="P662" s="1" t="s">
        <v>2689</v>
      </c>
    </row>
    <row r="663" ht="14.25" customHeight="1">
      <c r="A663" s="1" t="s">
        <v>2690</v>
      </c>
      <c r="B663" s="1" t="s">
        <v>2691</v>
      </c>
      <c r="C663" s="1" t="s">
        <v>39</v>
      </c>
      <c r="D663" s="1">
        <v>19709.0</v>
      </c>
      <c r="E663" s="1" t="s">
        <v>19</v>
      </c>
      <c r="F663" s="1" t="s">
        <v>54</v>
      </c>
      <c r="G663" s="1" t="s">
        <v>55</v>
      </c>
      <c r="H663" s="2">
        <v>1418.0</v>
      </c>
      <c r="I663" s="2">
        <v>4817.0</v>
      </c>
      <c r="J663" s="1">
        <v>2021.0</v>
      </c>
      <c r="K663" s="1">
        <v>69.0</v>
      </c>
      <c r="L663" s="1" t="s">
        <v>95</v>
      </c>
      <c r="M663" s="1" t="s">
        <v>2692</v>
      </c>
      <c r="N663" s="1" t="s">
        <v>34</v>
      </c>
      <c r="O663" s="1" t="s">
        <v>35</v>
      </c>
      <c r="P663" s="1" t="s">
        <v>2693</v>
      </c>
    </row>
    <row r="664" ht="14.25" customHeight="1">
      <c r="A664" s="1" t="s">
        <v>2694</v>
      </c>
      <c r="B664" s="1" t="s">
        <v>2695</v>
      </c>
      <c r="C664" s="1" t="s">
        <v>29</v>
      </c>
      <c r="D664" s="1">
        <v>17428.0</v>
      </c>
      <c r="E664" s="1" t="s">
        <v>30</v>
      </c>
      <c r="F664" s="1" t="s">
        <v>54</v>
      </c>
      <c r="G664" s="1" t="s">
        <v>21</v>
      </c>
      <c r="H664" s="2">
        <v>3683.0</v>
      </c>
      <c r="I664" s="2">
        <v>5089.0</v>
      </c>
      <c r="J664" s="1">
        <v>1991.0</v>
      </c>
      <c r="K664" s="1">
        <v>92.0</v>
      </c>
      <c r="L664" s="1" t="s">
        <v>95</v>
      </c>
      <c r="M664" s="1" t="s">
        <v>2696</v>
      </c>
      <c r="N664" s="1" t="s">
        <v>64</v>
      </c>
      <c r="O664" s="1" t="s">
        <v>49</v>
      </c>
      <c r="P664" s="1" t="s">
        <v>2697</v>
      </c>
    </row>
    <row r="665" ht="14.25" customHeight="1">
      <c r="A665" s="1" t="s">
        <v>2698</v>
      </c>
      <c r="B665" s="1" t="s">
        <v>2699</v>
      </c>
      <c r="C665" s="1" t="s">
        <v>53</v>
      </c>
      <c r="D665" s="1">
        <v>78631.0</v>
      </c>
      <c r="E665" s="1" t="s">
        <v>30</v>
      </c>
      <c r="F665" s="1" t="s">
        <v>41</v>
      </c>
      <c r="G665" s="1" t="s">
        <v>55</v>
      </c>
      <c r="H665" s="2">
        <v>1924.0</v>
      </c>
      <c r="I665" s="2">
        <v>3685.0</v>
      </c>
      <c r="J665" s="1">
        <v>1966.0</v>
      </c>
      <c r="K665" s="1">
        <v>83.0</v>
      </c>
      <c r="L665" s="1" t="s">
        <v>141</v>
      </c>
      <c r="M665" s="1" t="s">
        <v>2700</v>
      </c>
      <c r="N665" s="1" t="s">
        <v>34</v>
      </c>
      <c r="O665" s="1" t="s">
        <v>25</v>
      </c>
      <c r="P665" s="1" t="s">
        <v>2701</v>
      </c>
    </row>
    <row r="666" ht="14.25" customHeight="1">
      <c r="A666" s="1" t="s">
        <v>2702</v>
      </c>
      <c r="B666" s="1" t="s">
        <v>2703</v>
      </c>
      <c r="C666" s="1" t="s">
        <v>39</v>
      </c>
      <c r="D666" s="1">
        <v>15377.0</v>
      </c>
      <c r="E666" s="1" t="s">
        <v>30</v>
      </c>
      <c r="F666" s="1" t="s">
        <v>54</v>
      </c>
      <c r="G666" s="1" t="s">
        <v>31</v>
      </c>
      <c r="H666" s="2">
        <v>2100.0</v>
      </c>
      <c r="I666" s="2">
        <v>3409.0</v>
      </c>
      <c r="J666" s="1">
        <v>1971.0</v>
      </c>
      <c r="K666" s="1">
        <v>58.0</v>
      </c>
      <c r="L666" s="1" t="s">
        <v>95</v>
      </c>
      <c r="M666" s="1" t="s">
        <v>2704</v>
      </c>
      <c r="N666" s="1" t="s">
        <v>48</v>
      </c>
      <c r="O666" s="1" t="s">
        <v>49</v>
      </c>
      <c r="P666" s="1" t="s">
        <v>2705</v>
      </c>
    </row>
    <row r="667" ht="14.25" customHeight="1">
      <c r="A667" s="1" t="s">
        <v>2706</v>
      </c>
      <c r="B667" s="1" t="s">
        <v>2707</v>
      </c>
      <c r="C667" s="1" t="s">
        <v>29</v>
      </c>
      <c r="D667" s="1">
        <v>74354.0</v>
      </c>
      <c r="E667" s="1" t="s">
        <v>77</v>
      </c>
      <c r="F667" s="1" t="s">
        <v>41</v>
      </c>
      <c r="G667" s="1" t="s">
        <v>100</v>
      </c>
      <c r="H667" s="2">
        <v>2702.0</v>
      </c>
      <c r="I667" s="2">
        <v>4501.0</v>
      </c>
      <c r="J667" s="1">
        <v>1972.0</v>
      </c>
      <c r="K667" s="1">
        <v>50.0</v>
      </c>
      <c r="L667" s="1" t="s">
        <v>22</v>
      </c>
      <c r="M667" s="1" t="s">
        <v>2708</v>
      </c>
      <c r="N667" s="1" t="s">
        <v>34</v>
      </c>
      <c r="O667" s="1" t="s">
        <v>49</v>
      </c>
      <c r="P667" s="1" t="s">
        <v>2709</v>
      </c>
    </row>
    <row r="668" ht="14.25" customHeight="1">
      <c r="A668" s="1" t="s">
        <v>2710</v>
      </c>
      <c r="B668" s="1" t="s">
        <v>2711</v>
      </c>
      <c r="C668" s="1" t="s">
        <v>76</v>
      </c>
      <c r="D668" s="1">
        <v>32018.0</v>
      </c>
      <c r="E668" s="1" t="s">
        <v>30</v>
      </c>
      <c r="F668" s="1" t="s">
        <v>20</v>
      </c>
      <c r="G668" s="1" t="s">
        <v>100</v>
      </c>
      <c r="H668" s="2">
        <v>1462.0</v>
      </c>
      <c r="I668" s="2">
        <v>4169.0</v>
      </c>
      <c r="J668" s="1">
        <v>1998.0</v>
      </c>
      <c r="K668" s="1">
        <v>27.0</v>
      </c>
      <c r="L668" s="1" t="s">
        <v>22</v>
      </c>
      <c r="M668" s="1" t="s">
        <v>2712</v>
      </c>
      <c r="N668" s="1" t="s">
        <v>24</v>
      </c>
      <c r="O668" s="1" t="s">
        <v>35</v>
      </c>
      <c r="P668" s="1" t="s">
        <v>2713</v>
      </c>
    </row>
    <row r="669" ht="14.25" customHeight="1">
      <c r="A669" s="1" t="s">
        <v>2714</v>
      </c>
      <c r="B669" s="1" t="s">
        <v>2715</v>
      </c>
      <c r="C669" s="1" t="s">
        <v>39</v>
      </c>
      <c r="D669" s="1">
        <v>31318.0</v>
      </c>
      <c r="E669" s="1" t="s">
        <v>19</v>
      </c>
      <c r="F669" s="1" t="s">
        <v>61</v>
      </c>
      <c r="G669" s="1" t="s">
        <v>31</v>
      </c>
      <c r="H669" s="2">
        <v>1543.0</v>
      </c>
      <c r="I669" s="2">
        <v>8855.0</v>
      </c>
      <c r="J669" s="1">
        <v>1957.0</v>
      </c>
      <c r="K669" s="1">
        <v>38.0</v>
      </c>
      <c r="L669" s="1" t="s">
        <v>22</v>
      </c>
      <c r="M669" s="1" t="s">
        <v>2716</v>
      </c>
      <c r="N669" s="1" t="s">
        <v>24</v>
      </c>
      <c r="O669" s="1" t="s">
        <v>49</v>
      </c>
      <c r="P669" s="1" t="s">
        <v>2717</v>
      </c>
    </row>
    <row r="670" ht="14.25" customHeight="1">
      <c r="A670" s="1" t="s">
        <v>2718</v>
      </c>
      <c r="B670" s="1" t="s">
        <v>2719</v>
      </c>
      <c r="C670" s="1" t="s">
        <v>39</v>
      </c>
      <c r="D670" s="1">
        <v>80409.0</v>
      </c>
      <c r="E670" s="1" t="s">
        <v>19</v>
      </c>
      <c r="F670" s="1" t="s">
        <v>54</v>
      </c>
      <c r="G670" s="1" t="s">
        <v>21</v>
      </c>
      <c r="H670" s="2">
        <v>2535.0</v>
      </c>
      <c r="I670" s="2">
        <v>2153.0</v>
      </c>
      <c r="J670" s="1">
        <v>2011.0</v>
      </c>
      <c r="K670" s="1">
        <v>13.0</v>
      </c>
      <c r="L670" s="1" t="s">
        <v>32</v>
      </c>
      <c r="M670" s="1" t="s">
        <v>2720</v>
      </c>
      <c r="N670" s="1" t="s">
        <v>43</v>
      </c>
      <c r="O670" s="1" t="s">
        <v>35</v>
      </c>
      <c r="P670" s="1" t="s">
        <v>2721</v>
      </c>
    </row>
    <row r="671" ht="14.25" customHeight="1">
      <c r="A671" s="1" t="s">
        <v>2722</v>
      </c>
      <c r="B671" s="1" t="s">
        <v>2723</v>
      </c>
      <c r="C671" s="1" t="s">
        <v>29</v>
      </c>
      <c r="D671" s="1">
        <v>47098.0</v>
      </c>
      <c r="E671" s="1" t="s">
        <v>30</v>
      </c>
      <c r="F671" s="1" t="s">
        <v>46</v>
      </c>
      <c r="G671" s="1" t="s">
        <v>21</v>
      </c>
      <c r="H671" s="2">
        <v>605.0</v>
      </c>
      <c r="I671" s="2">
        <v>3398.0</v>
      </c>
      <c r="J671" s="1">
        <v>1950.0</v>
      </c>
      <c r="K671" s="1">
        <v>49.0</v>
      </c>
      <c r="L671" s="1" t="s">
        <v>32</v>
      </c>
      <c r="M671" s="1" t="s">
        <v>2724</v>
      </c>
      <c r="N671" s="1" t="s">
        <v>64</v>
      </c>
      <c r="O671" s="1" t="s">
        <v>25</v>
      </c>
      <c r="P671" s="1" t="s">
        <v>2725</v>
      </c>
    </row>
    <row r="672" ht="14.25" customHeight="1">
      <c r="A672" s="1" t="s">
        <v>2726</v>
      </c>
      <c r="B672" s="1" t="s">
        <v>2727</v>
      </c>
      <c r="C672" s="1" t="s">
        <v>76</v>
      </c>
      <c r="D672" s="1">
        <v>18857.0</v>
      </c>
      <c r="E672" s="1" t="s">
        <v>19</v>
      </c>
      <c r="F672" s="1" t="s">
        <v>20</v>
      </c>
      <c r="G672" s="1" t="s">
        <v>31</v>
      </c>
      <c r="H672" s="2">
        <v>1532.0</v>
      </c>
      <c r="I672" s="2">
        <v>7838.0</v>
      </c>
      <c r="J672" s="1">
        <v>1981.0</v>
      </c>
      <c r="K672" s="1">
        <v>32.0</v>
      </c>
      <c r="L672" s="1" t="s">
        <v>95</v>
      </c>
      <c r="M672" s="1" t="s">
        <v>2728</v>
      </c>
      <c r="N672" s="1" t="s">
        <v>43</v>
      </c>
      <c r="O672" s="1" t="s">
        <v>25</v>
      </c>
      <c r="P672" s="1" t="s">
        <v>2729</v>
      </c>
    </row>
    <row r="673" ht="14.25" customHeight="1">
      <c r="A673" s="1" t="s">
        <v>2730</v>
      </c>
      <c r="B673" s="1" t="s">
        <v>2731</v>
      </c>
      <c r="C673" s="1" t="s">
        <v>39</v>
      </c>
      <c r="D673" s="1">
        <v>93308.0</v>
      </c>
      <c r="E673" s="1" t="s">
        <v>60</v>
      </c>
      <c r="F673" s="1" t="s">
        <v>61</v>
      </c>
      <c r="G673" s="1" t="s">
        <v>55</v>
      </c>
      <c r="H673" s="2">
        <v>1639.0</v>
      </c>
      <c r="I673" s="2">
        <v>7177.0</v>
      </c>
      <c r="J673" s="1">
        <v>1954.0</v>
      </c>
      <c r="K673" s="1">
        <v>68.0</v>
      </c>
      <c r="L673" s="1" t="s">
        <v>32</v>
      </c>
      <c r="M673" s="1" t="s">
        <v>2732</v>
      </c>
      <c r="N673" s="1" t="s">
        <v>24</v>
      </c>
      <c r="O673" s="1" t="s">
        <v>35</v>
      </c>
      <c r="P673" s="1" t="s">
        <v>2733</v>
      </c>
    </row>
    <row r="674" ht="14.25" customHeight="1">
      <c r="A674" s="1" t="s">
        <v>2734</v>
      </c>
      <c r="B674" s="1" t="s">
        <v>2735</v>
      </c>
      <c r="C674" s="1" t="s">
        <v>76</v>
      </c>
      <c r="D674" s="1">
        <v>66275.0</v>
      </c>
      <c r="E674" s="1" t="s">
        <v>40</v>
      </c>
      <c r="F674" s="1" t="s">
        <v>54</v>
      </c>
      <c r="G674" s="1" t="s">
        <v>100</v>
      </c>
      <c r="H674" s="2">
        <v>2177.0</v>
      </c>
      <c r="I674" s="2">
        <v>3011.0</v>
      </c>
      <c r="J674" s="1">
        <v>1969.0</v>
      </c>
      <c r="K674" s="1">
        <v>84.0</v>
      </c>
      <c r="L674" s="1" t="s">
        <v>62</v>
      </c>
      <c r="M674" s="1" t="s">
        <v>2736</v>
      </c>
      <c r="N674" s="1" t="s">
        <v>34</v>
      </c>
      <c r="O674" s="1" t="s">
        <v>35</v>
      </c>
      <c r="P674" s="1" t="s">
        <v>2737</v>
      </c>
    </row>
    <row r="675" ht="14.25" customHeight="1">
      <c r="A675" s="1" t="s">
        <v>2738</v>
      </c>
      <c r="B675" s="1" t="s">
        <v>2739</v>
      </c>
      <c r="C675" s="1" t="s">
        <v>18</v>
      </c>
      <c r="D675" s="1">
        <v>76029.0</v>
      </c>
      <c r="E675" s="1" t="s">
        <v>40</v>
      </c>
      <c r="F675" s="1" t="s">
        <v>94</v>
      </c>
      <c r="G675" s="1" t="s">
        <v>100</v>
      </c>
      <c r="H675" s="2">
        <v>2040.0</v>
      </c>
      <c r="I675" s="2">
        <v>9298.0</v>
      </c>
      <c r="J675" s="1">
        <v>2011.0</v>
      </c>
      <c r="K675" s="1">
        <v>113.0</v>
      </c>
      <c r="L675" s="1" t="s">
        <v>95</v>
      </c>
      <c r="M675" s="1" t="s">
        <v>2740</v>
      </c>
      <c r="N675" s="1" t="s">
        <v>43</v>
      </c>
      <c r="O675" s="1" t="s">
        <v>25</v>
      </c>
      <c r="P675" s="1" t="s">
        <v>2741</v>
      </c>
    </row>
    <row r="676" ht="14.25" customHeight="1">
      <c r="A676" s="1" t="s">
        <v>2742</v>
      </c>
      <c r="B676" s="1" t="s">
        <v>2743</v>
      </c>
      <c r="C676" s="1" t="s">
        <v>53</v>
      </c>
      <c r="D676" s="1">
        <v>83251.0</v>
      </c>
      <c r="E676" s="1" t="s">
        <v>30</v>
      </c>
      <c r="F676" s="1" t="s">
        <v>54</v>
      </c>
      <c r="G676" s="1" t="s">
        <v>31</v>
      </c>
      <c r="H676" s="2">
        <v>1545.0</v>
      </c>
      <c r="I676" s="2">
        <v>7035.0</v>
      </c>
      <c r="J676" s="1">
        <v>1997.0</v>
      </c>
      <c r="K676" s="1">
        <v>33.0</v>
      </c>
      <c r="L676" s="1" t="s">
        <v>32</v>
      </c>
      <c r="M676" s="1" t="s">
        <v>2744</v>
      </c>
      <c r="N676" s="1" t="s">
        <v>64</v>
      </c>
      <c r="O676" s="1" t="s">
        <v>25</v>
      </c>
      <c r="P676" s="1" t="s">
        <v>2745</v>
      </c>
    </row>
    <row r="677" ht="14.25" customHeight="1">
      <c r="A677" s="1" t="s">
        <v>2746</v>
      </c>
      <c r="B677" s="1" t="s">
        <v>2747</v>
      </c>
      <c r="C677" s="1" t="s">
        <v>76</v>
      </c>
      <c r="D677" s="1">
        <v>63073.0</v>
      </c>
      <c r="E677" s="1" t="s">
        <v>19</v>
      </c>
      <c r="F677" s="1" t="s">
        <v>54</v>
      </c>
      <c r="G677" s="1" t="s">
        <v>100</v>
      </c>
      <c r="H677" s="2">
        <v>3888.0</v>
      </c>
      <c r="I677" s="2">
        <v>4824.0</v>
      </c>
      <c r="J677" s="1">
        <v>1961.0</v>
      </c>
      <c r="K677" s="1">
        <v>56.0</v>
      </c>
      <c r="L677" s="1" t="s">
        <v>95</v>
      </c>
      <c r="M677" s="1" t="s">
        <v>2748</v>
      </c>
      <c r="N677" s="1" t="s">
        <v>64</v>
      </c>
      <c r="O677" s="1" t="s">
        <v>35</v>
      </c>
      <c r="P677" s="1" t="s">
        <v>2749</v>
      </c>
    </row>
    <row r="678" ht="14.25" customHeight="1">
      <c r="A678" s="1" t="s">
        <v>2750</v>
      </c>
      <c r="B678" s="1" t="s">
        <v>2751</v>
      </c>
      <c r="C678" s="1" t="s">
        <v>39</v>
      </c>
      <c r="D678" s="1">
        <v>37843.0</v>
      </c>
      <c r="E678" s="1" t="s">
        <v>40</v>
      </c>
      <c r="F678" s="1" t="s">
        <v>20</v>
      </c>
      <c r="G678" s="1" t="s">
        <v>55</v>
      </c>
      <c r="H678" s="2">
        <v>3975.0</v>
      </c>
      <c r="I678" s="2">
        <v>3716.0</v>
      </c>
      <c r="J678" s="1">
        <v>1967.0</v>
      </c>
      <c r="K678" s="1">
        <v>108.0</v>
      </c>
      <c r="L678" s="1" t="s">
        <v>62</v>
      </c>
      <c r="M678" s="1" t="s">
        <v>2752</v>
      </c>
      <c r="N678" s="1" t="s">
        <v>64</v>
      </c>
      <c r="O678" s="1" t="s">
        <v>35</v>
      </c>
      <c r="P678" s="1" t="s">
        <v>2753</v>
      </c>
    </row>
    <row r="679" ht="14.25" customHeight="1">
      <c r="A679" s="1" t="s">
        <v>2754</v>
      </c>
      <c r="B679" s="1" t="s">
        <v>2755</v>
      </c>
      <c r="C679" s="1" t="s">
        <v>39</v>
      </c>
      <c r="D679" s="1">
        <v>98024.0</v>
      </c>
      <c r="E679" s="1" t="s">
        <v>77</v>
      </c>
      <c r="F679" s="1" t="s">
        <v>94</v>
      </c>
      <c r="G679" s="1" t="s">
        <v>31</v>
      </c>
      <c r="H679" s="2">
        <v>1493.0</v>
      </c>
      <c r="I679" s="2">
        <v>6406.0</v>
      </c>
      <c r="J679" s="1">
        <v>2015.0</v>
      </c>
      <c r="K679" s="1">
        <v>91.0</v>
      </c>
      <c r="L679" s="1" t="s">
        <v>141</v>
      </c>
      <c r="M679" s="1" t="s">
        <v>2756</v>
      </c>
      <c r="N679" s="1" t="s">
        <v>34</v>
      </c>
      <c r="O679" s="1" t="s">
        <v>35</v>
      </c>
      <c r="P679" s="1" t="s">
        <v>2757</v>
      </c>
    </row>
    <row r="680" ht="14.25" customHeight="1">
      <c r="A680" s="1" t="s">
        <v>2758</v>
      </c>
      <c r="B680" s="1" t="s">
        <v>2759</v>
      </c>
      <c r="C680" s="1" t="s">
        <v>18</v>
      </c>
      <c r="D680" s="1">
        <v>77634.0</v>
      </c>
      <c r="E680" s="1" t="s">
        <v>30</v>
      </c>
      <c r="F680" s="1" t="s">
        <v>46</v>
      </c>
      <c r="G680" s="1" t="s">
        <v>21</v>
      </c>
      <c r="H680" s="2">
        <v>3913.0</v>
      </c>
      <c r="I680" s="2">
        <v>8178.0</v>
      </c>
      <c r="J680" s="1">
        <v>2012.0</v>
      </c>
      <c r="K680" s="1">
        <v>4.0</v>
      </c>
      <c r="L680" s="1" t="s">
        <v>141</v>
      </c>
      <c r="M680" s="1" t="s">
        <v>2760</v>
      </c>
      <c r="N680" s="1" t="s">
        <v>24</v>
      </c>
      <c r="O680" s="1" t="s">
        <v>35</v>
      </c>
      <c r="P680" s="1" t="s">
        <v>2761</v>
      </c>
    </row>
    <row r="681" ht="14.25" customHeight="1">
      <c r="A681" s="1" t="s">
        <v>2762</v>
      </c>
      <c r="B681" s="1" t="s">
        <v>2763</v>
      </c>
      <c r="C681" s="1" t="s">
        <v>18</v>
      </c>
      <c r="D681" s="1">
        <v>87315.0</v>
      </c>
      <c r="E681" s="1" t="s">
        <v>40</v>
      </c>
      <c r="F681" s="1" t="s">
        <v>94</v>
      </c>
      <c r="G681" s="1" t="s">
        <v>21</v>
      </c>
      <c r="H681" s="2">
        <v>1375.0</v>
      </c>
      <c r="I681" s="2">
        <v>8044.0</v>
      </c>
      <c r="J681" s="1">
        <v>1983.0</v>
      </c>
      <c r="K681" s="1">
        <v>9.0</v>
      </c>
      <c r="L681" s="1" t="s">
        <v>141</v>
      </c>
      <c r="M681" s="1" t="s">
        <v>2764</v>
      </c>
      <c r="N681" s="1" t="s">
        <v>34</v>
      </c>
      <c r="O681" s="1" t="s">
        <v>25</v>
      </c>
      <c r="P681" s="1" t="s">
        <v>2765</v>
      </c>
    </row>
    <row r="682" ht="14.25" customHeight="1">
      <c r="A682" s="1" t="s">
        <v>2766</v>
      </c>
      <c r="B682" s="1" t="s">
        <v>2767</v>
      </c>
      <c r="C682" s="1" t="s">
        <v>29</v>
      </c>
      <c r="D682" s="1">
        <v>20603.0</v>
      </c>
      <c r="E682" s="1" t="s">
        <v>77</v>
      </c>
      <c r="F682" s="1" t="s">
        <v>54</v>
      </c>
      <c r="G682" s="1" t="s">
        <v>100</v>
      </c>
      <c r="H682" s="2">
        <v>3770.0</v>
      </c>
      <c r="I682" s="2">
        <v>5185.0</v>
      </c>
      <c r="J682" s="1">
        <v>1986.0</v>
      </c>
      <c r="K682" s="1">
        <v>39.0</v>
      </c>
      <c r="L682" s="1" t="s">
        <v>62</v>
      </c>
      <c r="M682" s="1" t="s">
        <v>2768</v>
      </c>
      <c r="N682" s="1" t="s">
        <v>43</v>
      </c>
      <c r="O682" s="1" t="s">
        <v>35</v>
      </c>
      <c r="P682" s="1" t="s">
        <v>2769</v>
      </c>
    </row>
    <row r="683" ht="14.25" customHeight="1">
      <c r="A683" s="1" t="s">
        <v>2770</v>
      </c>
      <c r="B683" s="1" t="s">
        <v>2771</v>
      </c>
      <c r="C683" s="1" t="s">
        <v>39</v>
      </c>
      <c r="D683" s="1">
        <v>63240.0</v>
      </c>
      <c r="E683" s="1" t="s">
        <v>40</v>
      </c>
      <c r="F683" s="1" t="s">
        <v>46</v>
      </c>
      <c r="G683" s="1" t="s">
        <v>100</v>
      </c>
      <c r="H683" s="2">
        <v>3915.0</v>
      </c>
      <c r="I683" s="2">
        <v>2748.0</v>
      </c>
      <c r="J683" s="1">
        <v>2010.0</v>
      </c>
      <c r="K683" s="1">
        <v>43.0</v>
      </c>
      <c r="L683" s="1" t="s">
        <v>32</v>
      </c>
      <c r="M683" s="1" t="s">
        <v>2772</v>
      </c>
      <c r="N683" s="1" t="s">
        <v>24</v>
      </c>
      <c r="O683" s="1" t="s">
        <v>35</v>
      </c>
      <c r="P683" s="1" t="s">
        <v>2773</v>
      </c>
    </row>
    <row r="684" ht="14.25" customHeight="1">
      <c r="A684" s="1" t="s">
        <v>2774</v>
      </c>
      <c r="B684" s="1" t="s">
        <v>2775</v>
      </c>
      <c r="C684" s="1" t="s">
        <v>76</v>
      </c>
      <c r="D684" s="1">
        <v>89641.0</v>
      </c>
      <c r="E684" s="1" t="s">
        <v>30</v>
      </c>
      <c r="F684" s="1" t="s">
        <v>54</v>
      </c>
      <c r="G684" s="1" t="s">
        <v>21</v>
      </c>
      <c r="H684" s="2">
        <v>3640.0</v>
      </c>
      <c r="I684" s="2">
        <v>5324.0</v>
      </c>
      <c r="J684" s="1">
        <v>2009.0</v>
      </c>
      <c r="K684" s="1">
        <v>99.0</v>
      </c>
      <c r="L684" s="1" t="s">
        <v>95</v>
      </c>
      <c r="M684" s="1" t="s">
        <v>2776</v>
      </c>
      <c r="N684" s="1" t="s">
        <v>34</v>
      </c>
      <c r="O684" s="1" t="s">
        <v>35</v>
      </c>
      <c r="P684" s="1" t="s">
        <v>2777</v>
      </c>
    </row>
    <row r="685" ht="14.25" customHeight="1">
      <c r="A685" s="1" t="s">
        <v>2778</v>
      </c>
      <c r="B685" s="1" t="s">
        <v>2779</v>
      </c>
      <c r="C685" s="1" t="s">
        <v>39</v>
      </c>
      <c r="D685" s="1">
        <v>76866.0</v>
      </c>
      <c r="E685" s="1" t="s">
        <v>40</v>
      </c>
      <c r="F685" s="1" t="s">
        <v>20</v>
      </c>
      <c r="G685" s="1" t="s">
        <v>100</v>
      </c>
      <c r="H685" s="2">
        <v>1613.0</v>
      </c>
      <c r="I685" s="2">
        <v>1303.0</v>
      </c>
      <c r="J685" s="1">
        <v>1958.0</v>
      </c>
      <c r="K685" s="1">
        <v>116.0</v>
      </c>
      <c r="L685" s="1" t="s">
        <v>141</v>
      </c>
      <c r="M685" s="1" t="s">
        <v>2780</v>
      </c>
      <c r="N685" s="1" t="s">
        <v>64</v>
      </c>
      <c r="O685" s="1" t="s">
        <v>35</v>
      </c>
      <c r="P685" s="1" t="s">
        <v>2781</v>
      </c>
    </row>
    <row r="686" ht="14.25" customHeight="1">
      <c r="A686" s="1" t="s">
        <v>2782</v>
      </c>
      <c r="B686" s="1" t="s">
        <v>2783</v>
      </c>
      <c r="C686" s="1" t="s">
        <v>39</v>
      </c>
      <c r="D686" s="1">
        <v>77255.0</v>
      </c>
      <c r="E686" s="1" t="s">
        <v>30</v>
      </c>
      <c r="F686" s="1" t="s">
        <v>20</v>
      </c>
      <c r="G686" s="1" t="s">
        <v>55</v>
      </c>
      <c r="H686" s="2">
        <v>2586.0</v>
      </c>
      <c r="I686" s="2">
        <v>9278.0</v>
      </c>
      <c r="J686" s="1">
        <v>2014.0</v>
      </c>
      <c r="K686" s="1">
        <v>115.0</v>
      </c>
      <c r="L686" s="1" t="s">
        <v>62</v>
      </c>
      <c r="M686" s="1" t="s">
        <v>2784</v>
      </c>
      <c r="N686" s="1" t="s">
        <v>48</v>
      </c>
      <c r="O686" s="1" t="s">
        <v>25</v>
      </c>
      <c r="P686" s="1" t="s">
        <v>2785</v>
      </c>
    </row>
    <row r="687" ht="14.25" customHeight="1">
      <c r="A687" s="1" t="s">
        <v>2786</v>
      </c>
      <c r="B687" s="1" t="s">
        <v>2787</v>
      </c>
      <c r="C687" s="1" t="s">
        <v>39</v>
      </c>
      <c r="D687" s="1">
        <v>80756.0</v>
      </c>
      <c r="E687" s="1" t="s">
        <v>19</v>
      </c>
      <c r="F687" s="1" t="s">
        <v>41</v>
      </c>
      <c r="G687" s="1" t="s">
        <v>100</v>
      </c>
      <c r="H687" s="2">
        <v>2044.0</v>
      </c>
      <c r="I687" s="2">
        <v>4940.0</v>
      </c>
      <c r="J687" s="1">
        <v>2012.0</v>
      </c>
      <c r="K687" s="1">
        <v>117.0</v>
      </c>
      <c r="L687" s="1" t="s">
        <v>62</v>
      </c>
      <c r="M687" s="1" t="s">
        <v>2788</v>
      </c>
      <c r="N687" s="1" t="s">
        <v>34</v>
      </c>
      <c r="O687" s="1" t="s">
        <v>35</v>
      </c>
      <c r="P687" s="1" t="s">
        <v>2789</v>
      </c>
    </row>
    <row r="688" ht="14.25" customHeight="1">
      <c r="A688" s="1" t="s">
        <v>2790</v>
      </c>
      <c r="B688" s="1" t="s">
        <v>2791</v>
      </c>
      <c r="C688" s="1" t="s">
        <v>53</v>
      </c>
      <c r="D688" s="1">
        <v>94803.0</v>
      </c>
      <c r="E688" s="1" t="s">
        <v>19</v>
      </c>
      <c r="F688" s="1" t="s">
        <v>46</v>
      </c>
      <c r="G688" s="1" t="s">
        <v>21</v>
      </c>
      <c r="H688" s="2">
        <v>2479.0</v>
      </c>
      <c r="I688" s="2">
        <v>5067.0</v>
      </c>
      <c r="J688" s="1">
        <v>1986.0</v>
      </c>
      <c r="K688" s="1">
        <v>38.0</v>
      </c>
      <c r="L688" s="1" t="s">
        <v>141</v>
      </c>
      <c r="M688" s="1" t="s">
        <v>2792</v>
      </c>
      <c r="N688" s="1" t="s">
        <v>43</v>
      </c>
      <c r="O688" s="1" t="s">
        <v>49</v>
      </c>
      <c r="P688" s="1" t="s">
        <v>2793</v>
      </c>
    </row>
    <row r="689" ht="14.25" customHeight="1">
      <c r="A689" s="1" t="s">
        <v>2794</v>
      </c>
      <c r="B689" s="1" t="s">
        <v>2795</v>
      </c>
      <c r="C689" s="1" t="s">
        <v>39</v>
      </c>
      <c r="D689" s="1">
        <v>64762.0</v>
      </c>
      <c r="E689" s="1" t="s">
        <v>77</v>
      </c>
      <c r="F689" s="1" t="s">
        <v>61</v>
      </c>
      <c r="G689" s="1" t="s">
        <v>31</v>
      </c>
      <c r="H689" s="2">
        <v>1249.0</v>
      </c>
      <c r="I689" s="2">
        <v>9828.0</v>
      </c>
      <c r="J689" s="1">
        <v>1961.0</v>
      </c>
      <c r="K689" s="1">
        <v>82.0</v>
      </c>
      <c r="L689" s="1" t="s">
        <v>95</v>
      </c>
      <c r="M689" s="1" t="s">
        <v>2796</v>
      </c>
      <c r="N689" s="1" t="s">
        <v>64</v>
      </c>
      <c r="O689" s="1" t="s">
        <v>49</v>
      </c>
      <c r="P689" s="1" t="s">
        <v>2797</v>
      </c>
    </row>
    <row r="690" ht="14.25" customHeight="1">
      <c r="A690" s="1" t="s">
        <v>2798</v>
      </c>
      <c r="B690" s="1" t="s">
        <v>2799</v>
      </c>
      <c r="C690" s="1" t="s">
        <v>53</v>
      </c>
      <c r="D690" s="1">
        <v>68715.0</v>
      </c>
      <c r="E690" s="1" t="s">
        <v>40</v>
      </c>
      <c r="F690" s="1" t="s">
        <v>41</v>
      </c>
      <c r="G690" s="1" t="s">
        <v>55</v>
      </c>
      <c r="H690" s="2">
        <v>2283.0</v>
      </c>
      <c r="I690" s="2">
        <v>4038.0</v>
      </c>
      <c r="J690" s="1">
        <v>1953.0</v>
      </c>
      <c r="K690" s="1">
        <v>70.0</v>
      </c>
      <c r="L690" s="1" t="s">
        <v>95</v>
      </c>
      <c r="M690" s="1" t="s">
        <v>2800</v>
      </c>
      <c r="N690" s="1" t="s">
        <v>64</v>
      </c>
      <c r="O690" s="1" t="s">
        <v>35</v>
      </c>
      <c r="P690" s="1" t="s">
        <v>2801</v>
      </c>
    </row>
    <row r="691" ht="14.25" customHeight="1">
      <c r="A691" s="1" t="s">
        <v>2802</v>
      </c>
      <c r="B691" s="1" t="s">
        <v>2803</v>
      </c>
      <c r="C691" s="1" t="s">
        <v>29</v>
      </c>
      <c r="D691" s="1">
        <v>90168.0</v>
      </c>
      <c r="E691" s="1" t="s">
        <v>77</v>
      </c>
      <c r="F691" s="1" t="s">
        <v>54</v>
      </c>
      <c r="G691" s="1" t="s">
        <v>31</v>
      </c>
      <c r="H691" s="2">
        <v>2100.0</v>
      </c>
      <c r="I691" s="2">
        <v>9768.0</v>
      </c>
      <c r="J691" s="1">
        <v>1971.0</v>
      </c>
      <c r="K691" s="1">
        <v>7.0</v>
      </c>
      <c r="L691" s="1" t="s">
        <v>62</v>
      </c>
      <c r="M691" s="1" t="s">
        <v>2804</v>
      </c>
      <c r="N691" s="1" t="s">
        <v>48</v>
      </c>
      <c r="O691" s="1" t="s">
        <v>49</v>
      </c>
      <c r="P691" s="1" t="s">
        <v>2805</v>
      </c>
    </row>
    <row r="692" ht="14.25" customHeight="1">
      <c r="A692" s="1" t="s">
        <v>2806</v>
      </c>
      <c r="B692" s="1" t="s">
        <v>2807</v>
      </c>
      <c r="C692" s="1" t="s">
        <v>76</v>
      </c>
      <c r="D692" s="1">
        <v>30227.0</v>
      </c>
      <c r="E692" s="1" t="s">
        <v>77</v>
      </c>
      <c r="F692" s="1" t="s">
        <v>61</v>
      </c>
      <c r="G692" s="1" t="s">
        <v>100</v>
      </c>
      <c r="H692" s="2">
        <v>3018.0</v>
      </c>
      <c r="I692" s="2">
        <v>7330.0</v>
      </c>
      <c r="J692" s="1">
        <v>1983.0</v>
      </c>
      <c r="K692" s="1">
        <v>1.0</v>
      </c>
      <c r="L692" s="1" t="s">
        <v>95</v>
      </c>
      <c r="M692" s="1" t="s">
        <v>2808</v>
      </c>
      <c r="N692" s="1" t="s">
        <v>64</v>
      </c>
      <c r="O692" s="1" t="s">
        <v>35</v>
      </c>
      <c r="P692" s="1" t="s">
        <v>2809</v>
      </c>
    </row>
    <row r="693" ht="14.25" customHeight="1">
      <c r="A693" s="1" t="s">
        <v>2810</v>
      </c>
      <c r="B693" s="1" t="s">
        <v>2811</v>
      </c>
      <c r="C693" s="1" t="s">
        <v>76</v>
      </c>
      <c r="D693" s="1">
        <v>18441.0</v>
      </c>
      <c r="E693" s="1" t="s">
        <v>30</v>
      </c>
      <c r="F693" s="1" t="s">
        <v>46</v>
      </c>
      <c r="G693" s="1" t="s">
        <v>31</v>
      </c>
      <c r="H693" s="2">
        <v>2214.0</v>
      </c>
      <c r="I693" s="2">
        <v>3028.0</v>
      </c>
      <c r="J693" s="1">
        <v>2017.0</v>
      </c>
      <c r="K693" s="1">
        <v>111.0</v>
      </c>
      <c r="L693" s="1" t="s">
        <v>95</v>
      </c>
      <c r="M693" s="1" t="s">
        <v>2812</v>
      </c>
      <c r="N693" s="1" t="s">
        <v>48</v>
      </c>
      <c r="O693" s="1" t="s">
        <v>25</v>
      </c>
      <c r="P693" s="1" t="s">
        <v>2813</v>
      </c>
    </row>
    <row r="694" ht="14.25" customHeight="1">
      <c r="A694" s="1" t="s">
        <v>2814</v>
      </c>
      <c r="B694" s="1" t="s">
        <v>2815</v>
      </c>
      <c r="C694" s="1" t="s">
        <v>39</v>
      </c>
      <c r="D694" s="1">
        <v>44806.0</v>
      </c>
      <c r="E694" s="1" t="s">
        <v>19</v>
      </c>
      <c r="F694" s="1" t="s">
        <v>20</v>
      </c>
      <c r="G694" s="1" t="s">
        <v>55</v>
      </c>
      <c r="H694" s="2">
        <v>3367.0</v>
      </c>
      <c r="I694" s="2">
        <v>9381.0</v>
      </c>
      <c r="J694" s="1">
        <v>1969.0</v>
      </c>
      <c r="K694" s="1">
        <v>6.0</v>
      </c>
      <c r="L694" s="1" t="s">
        <v>32</v>
      </c>
      <c r="M694" s="1" t="s">
        <v>2816</v>
      </c>
      <c r="N694" s="1" t="s">
        <v>34</v>
      </c>
      <c r="O694" s="1" t="s">
        <v>49</v>
      </c>
      <c r="P694" s="1" t="s">
        <v>2817</v>
      </c>
    </row>
    <row r="695" ht="14.25" customHeight="1">
      <c r="A695" s="1" t="s">
        <v>2818</v>
      </c>
      <c r="B695" s="1" t="s">
        <v>2819</v>
      </c>
      <c r="C695" s="1" t="s">
        <v>39</v>
      </c>
      <c r="D695" s="1">
        <v>13361.0</v>
      </c>
      <c r="E695" s="1" t="s">
        <v>40</v>
      </c>
      <c r="F695" s="1" t="s">
        <v>41</v>
      </c>
      <c r="G695" s="1" t="s">
        <v>55</v>
      </c>
      <c r="H695" s="2">
        <v>1471.0</v>
      </c>
      <c r="I695" s="2">
        <v>9507.0</v>
      </c>
      <c r="J695" s="1">
        <v>2020.0</v>
      </c>
      <c r="K695" s="1">
        <v>46.0</v>
      </c>
      <c r="L695" s="1" t="s">
        <v>95</v>
      </c>
      <c r="M695" s="1" t="s">
        <v>2820</v>
      </c>
      <c r="N695" s="1" t="s">
        <v>34</v>
      </c>
      <c r="O695" s="1" t="s">
        <v>49</v>
      </c>
      <c r="P695" s="1" t="s">
        <v>2821</v>
      </c>
    </row>
    <row r="696" ht="14.25" customHeight="1">
      <c r="A696" s="1" t="s">
        <v>2822</v>
      </c>
      <c r="B696" s="1" t="s">
        <v>2823</v>
      </c>
      <c r="C696" s="1" t="s">
        <v>39</v>
      </c>
      <c r="D696" s="1">
        <v>42661.0</v>
      </c>
      <c r="E696" s="1" t="s">
        <v>60</v>
      </c>
      <c r="F696" s="1" t="s">
        <v>54</v>
      </c>
      <c r="G696" s="1" t="s">
        <v>21</v>
      </c>
      <c r="H696" s="2">
        <v>1573.0</v>
      </c>
      <c r="I696" s="2">
        <v>4233.0</v>
      </c>
      <c r="J696" s="1">
        <v>1985.0</v>
      </c>
      <c r="K696" s="1">
        <v>37.0</v>
      </c>
      <c r="L696" s="1" t="s">
        <v>22</v>
      </c>
      <c r="M696" s="1" t="s">
        <v>2824</v>
      </c>
      <c r="N696" s="1" t="s">
        <v>24</v>
      </c>
      <c r="O696" s="1" t="s">
        <v>49</v>
      </c>
      <c r="P696" s="1" t="s">
        <v>2825</v>
      </c>
    </row>
    <row r="697" ht="14.25" customHeight="1">
      <c r="A697" s="1" t="s">
        <v>2826</v>
      </c>
      <c r="B697" s="1" t="s">
        <v>2827</v>
      </c>
      <c r="C697" s="1" t="s">
        <v>18</v>
      </c>
      <c r="D697" s="1">
        <v>59147.0</v>
      </c>
      <c r="E697" s="1" t="s">
        <v>19</v>
      </c>
      <c r="F697" s="1" t="s">
        <v>41</v>
      </c>
      <c r="G697" s="1" t="s">
        <v>55</v>
      </c>
      <c r="H697" s="2">
        <v>3420.0</v>
      </c>
      <c r="I697" s="2">
        <v>5505.0</v>
      </c>
      <c r="J697" s="1">
        <v>1990.0</v>
      </c>
      <c r="K697" s="1">
        <v>86.0</v>
      </c>
      <c r="L697" s="1" t="s">
        <v>32</v>
      </c>
      <c r="M697" s="1" t="s">
        <v>2828</v>
      </c>
      <c r="N697" s="1" t="s">
        <v>34</v>
      </c>
      <c r="O697" s="1" t="s">
        <v>35</v>
      </c>
      <c r="P697" s="1" t="s">
        <v>2829</v>
      </c>
    </row>
    <row r="698" ht="14.25" customHeight="1">
      <c r="A698" s="1" t="s">
        <v>2830</v>
      </c>
      <c r="B698" s="1" t="s">
        <v>2831</v>
      </c>
      <c r="C698" s="1" t="s">
        <v>76</v>
      </c>
      <c r="D698" s="1">
        <v>29994.0</v>
      </c>
      <c r="E698" s="1" t="s">
        <v>30</v>
      </c>
      <c r="F698" s="1" t="s">
        <v>94</v>
      </c>
      <c r="G698" s="1" t="s">
        <v>21</v>
      </c>
      <c r="H698" s="2">
        <v>2091.0</v>
      </c>
      <c r="I698" s="2">
        <v>9753.0</v>
      </c>
      <c r="J698" s="1">
        <v>1986.0</v>
      </c>
      <c r="K698" s="1">
        <v>96.0</v>
      </c>
      <c r="L698" s="1" t="s">
        <v>62</v>
      </c>
      <c r="M698" s="1" t="s">
        <v>2832</v>
      </c>
      <c r="N698" s="1" t="s">
        <v>43</v>
      </c>
      <c r="O698" s="1" t="s">
        <v>25</v>
      </c>
      <c r="P698" s="1" t="s">
        <v>2833</v>
      </c>
    </row>
    <row r="699" ht="14.25" customHeight="1">
      <c r="A699" s="1" t="s">
        <v>2834</v>
      </c>
      <c r="B699" s="1" t="s">
        <v>2835</v>
      </c>
      <c r="C699" s="1" t="s">
        <v>29</v>
      </c>
      <c r="D699" s="1">
        <v>30310.0</v>
      </c>
      <c r="E699" s="1" t="s">
        <v>30</v>
      </c>
      <c r="F699" s="1" t="s">
        <v>94</v>
      </c>
      <c r="G699" s="1" t="s">
        <v>21</v>
      </c>
      <c r="H699" s="2">
        <v>2101.0</v>
      </c>
      <c r="I699" s="2">
        <v>8736.0</v>
      </c>
      <c r="J699" s="1">
        <v>1975.0</v>
      </c>
      <c r="K699" s="1">
        <v>87.0</v>
      </c>
      <c r="L699" s="1" t="s">
        <v>141</v>
      </c>
      <c r="M699" s="1" t="s">
        <v>2836</v>
      </c>
      <c r="N699" s="1" t="s">
        <v>34</v>
      </c>
      <c r="O699" s="1" t="s">
        <v>25</v>
      </c>
      <c r="P699" s="1" t="s">
        <v>2837</v>
      </c>
    </row>
    <row r="700" ht="14.25" customHeight="1">
      <c r="A700" s="1" t="s">
        <v>2838</v>
      </c>
      <c r="B700" s="1" t="s">
        <v>2839</v>
      </c>
      <c r="C700" s="1" t="s">
        <v>39</v>
      </c>
      <c r="D700" s="1">
        <v>14389.0</v>
      </c>
      <c r="E700" s="1" t="s">
        <v>60</v>
      </c>
      <c r="F700" s="1" t="s">
        <v>94</v>
      </c>
      <c r="G700" s="1" t="s">
        <v>31</v>
      </c>
      <c r="H700" s="2">
        <v>1616.0</v>
      </c>
      <c r="I700" s="2">
        <v>8476.0</v>
      </c>
      <c r="J700" s="1">
        <v>1996.0</v>
      </c>
      <c r="K700" s="1">
        <v>91.0</v>
      </c>
      <c r="L700" s="1" t="s">
        <v>62</v>
      </c>
      <c r="M700" s="1" t="s">
        <v>2840</v>
      </c>
      <c r="N700" s="1" t="s">
        <v>64</v>
      </c>
      <c r="O700" s="1" t="s">
        <v>49</v>
      </c>
      <c r="P700" s="1" t="s">
        <v>2841</v>
      </c>
    </row>
    <row r="701" ht="14.25" customHeight="1">
      <c r="A701" s="1" t="s">
        <v>2842</v>
      </c>
      <c r="B701" s="1" t="s">
        <v>2843</v>
      </c>
      <c r="C701" s="1" t="s">
        <v>18</v>
      </c>
      <c r="D701" s="1">
        <v>57376.0</v>
      </c>
      <c r="E701" s="1" t="s">
        <v>40</v>
      </c>
      <c r="F701" s="1" t="s">
        <v>94</v>
      </c>
      <c r="G701" s="1" t="s">
        <v>31</v>
      </c>
      <c r="H701" s="2">
        <v>1729.0</v>
      </c>
      <c r="I701" s="2">
        <v>7379.0</v>
      </c>
      <c r="J701" s="1">
        <v>1954.0</v>
      </c>
      <c r="K701" s="1">
        <v>64.0</v>
      </c>
      <c r="L701" s="1" t="s">
        <v>22</v>
      </c>
      <c r="M701" s="1" t="s">
        <v>2844</v>
      </c>
      <c r="N701" s="1" t="s">
        <v>24</v>
      </c>
      <c r="O701" s="1" t="s">
        <v>49</v>
      </c>
      <c r="P701" s="1" t="s">
        <v>2845</v>
      </c>
    </row>
    <row r="702" ht="14.25" customHeight="1">
      <c r="A702" s="1" t="s">
        <v>2846</v>
      </c>
      <c r="B702" s="1" t="s">
        <v>2847</v>
      </c>
      <c r="C702" s="1" t="s">
        <v>76</v>
      </c>
      <c r="D702" s="1">
        <v>17048.0</v>
      </c>
      <c r="E702" s="1" t="s">
        <v>19</v>
      </c>
      <c r="F702" s="1" t="s">
        <v>46</v>
      </c>
      <c r="G702" s="1" t="s">
        <v>100</v>
      </c>
      <c r="H702" s="2">
        <v>1056.0</v>
      </c>
      <c r="I702" s="2">
        <v>2543.0</v>
      </c>
      <c r="J702" s="1">
        <v>2014.0</v>
      </c>
      <c r="K702" s="1">
        <v>93.0</v>
      </c>
      <c r="L702" s="1" t="s">
        <v>32</v>
      </c>
      <c r="M702" s="1" t="s">
        <v>2848</v>
      </c>
      <c r="N702" s="1" t="s">
        <v>48</v>
      </c>
      <c r="O702" s="1" t="s">
        <v>49</v>
      </c>
      <c r="P702" s="1" t="s">
        <v>2849</v>
      </c>
    </row>
    <row r="703" ht="14.25" customHeight="1">
      <c r="A703" s="1" t="s">
        <v>2850</v>
      </c>
      <c r="B703" s="1" t="s">
        <v>2851</v>
      </c>
      <c r="C703" s="1" t="s">
        <v>39</v>
      </c>
      <c r="D703" s="1">
        <v>19411.0</v>
      </c>
      <c r="E703" s="1" t="s">
        <v>77</v>
      </c>
      <c r="F703" s="1" t="s">
        <v>54</v>
      </c>
      <c r="G703" s="1" t="s">
        <v>21</v>
      </c>
      <c r="H703" s="2">
        <v>1216.0</v>
      </c>
      <c r="I703" s="2">
        <v>8572.0</v>
      </c>
      <c r="J703" s="1">
        <v>2011.0</v>
      </c>
      <c r="K703" s="1">
        <v>87.0</v>
      </c>
      <c r="L703" s="1" t="s">
        <v>62</v>
      </c>
      <c r="M703" s="1" t="s">
        <v>2852</v>
      </c>
      <c r="N703" s="1" t="s">
        <v>48</v>
      </c>
      <c r="O703" s="1" t="s">
        <v>35</v>
      </c>
      <c r="P703" s="1" t="s">
        <v>2853</v>
      </c>
    </row>
    <row r="704" ht="14.25" customHeight="1">
      <c r="A704" s="1" t="s">
        <v>2854</v>
      </c>
      <c r="B704" s="1" t="s">
        <v>2855</v>
      </c>
      <c r="C704" s="1" t="s">
        <v>39</v>
      </c>
      <c r="D704" s="1">
        <v>59105.0</v>
      </c>
      <c r="E704" s="1" t="s">
        <v>60</v>
      </c>
      <c r="F704" s="1" t="s">
        <v>54</v>
      </c>
      <c r="G704" s="1" t="s">
        <v>21</v>
      </c>
      <c r="H704" s="2">
        <v>2036.0</v>
      </c>
      <c r="I704" s="2">
        <v>2219.0</v>
      </c>
      <c r="J704" s="1">
        <v>1961.0</v>
      </c>
      <c r="K704" s="1">
        <v>21.0</v>
      </c>
      <c r="L704" s="1" t="s">
        <v>62</v>
      </c>
      <c r="M704" s="1" t="s">
        <v>2856</v>
      </c>
      <c r="N704" s="1" t="s">
        <v>64</v>
      </c>
      <c r="O704" s="1" t="s">
        <v>49</v>
      </c>
      <c r="P704" s="1" t="s">
        <v>2857</v>
      </c>
    </row>
    <row r="705" ht="14.25" customHeight="1">
      <c r="A705" s="1" t="s">
        <v>2858</v>
      </c>
      <c r="B705" s="1" t="s">
        <v>2859</v>
      </c>
      <c r="C705" s="1" t="s">
        <v>76</v>
      </c>
      <c r="D705" s="1">
        <v>69662.0</v>
      </c>
      <c r="E705" s="1" t="s">
        <v>60</v>
      </c>
      <c r="F705" s="1" t="s">
        <v>94</v>
      </c>
      <c r="G705" s="1" t="s">
        <v>55</v>
      </c>
      <c r="H705" s="2">
        <v>1175.0</v>
      </c>
      <c r="I705" s="2">
        <v>2281.0</v>
      </c>
      <c r="J705" s="1">
        <v>1985.0</v>
      </c>
      <c r="K705" s="1">
        <v>48.0</v>
      </c>
      <c r="L705" s="1" t="s">
        <v>141</v>
      </c>
      <c r="M705" s="1" t="s">
        <v>2860</v>
      </c>
      <c r="N705" s="1" t="s">
        <v>64</v>
      </c>
      <c r="O705" s="1" t="s">
        <v>35</v>
      </c>
      <c r="P705" s="1" t="s">
        <v>2861</v>
      </c>
    </row>
    <row r="706" ht="14.25" customHeight="1">
      <c r="A706" s="1" t="s">
        <v>2862</v>
      </c>
      <c r="B706" s="1" t="s">
        <v>2863</v>
      </c>
      <c r="C706" s="1" t="s">
        <v>39</v>
      </c>
      <c r="D706" s="1">
        <v>36242.0</v>
      </c>
      <c r="E706" s="1" t="s">
        <v>30</v>
      </c>
      <c r="F706" s="1" t="s">
        <v>46</v>
      </c>
      <c r="G706" s="1" t="s">
        <v>55</v>
      </c>
      <c r="H706" s="2">
        <v>3528.0</v>
      </c>
      <c r="I706" s="2">
        <v>9102.0</v>
      </c>
      <c r="J706" s="1">
        <v>1993.0</v>
      </c>
      <c r="K706" s="1">
        <v>109.0</v>
      </c>
      <c r="L706" s="1" t="s">
        <v>62</v>
      </c>
      <c r="M706" s="1" t="s">
        <v>2864</v>
      </c>
      <c r="N706" s="1" t="s">
        <v>24</v>
      </c>
      <c r="O706" s="1" t="s">
        <v>35</v>
      </c>
      <c r="P706" s="1" t="s">
        <v>2865</v>
      </c>
    </row>
    <row r="707" ht="14.25" customHeight="1">
      <c r="A707" s="1" t="s">
        <v>2866</v>
      </c>
      <c r="B707" s="1" t="s">
        <v>2867</v>
      </c>
      <c r="C707" s="1" t="s">
        <v>18</v>
      </c>
      <c r="D707" s="1">
        <v>43942.0</v>
      </c>
      <c r="E707" s="1" t="s">
        <v>30</v>
      </c>
      <c r="F707" s="1" t="s">
        <v>54</v>
      </c>
      <c r="G707" s="1" t="s">
        <v>31</v>
      </c>
      <c r="H707" s="2">
        <v>1577.0</v>
      </c>
      <c r="I707" s="2">
        <v>2961.0</v>
      </c>
      <c r="J707" s="1">
        <v>2013.0</v>
      </c>
      <c r="K707" s="1">
        <v>15.0</v>
      </c>
      <c r="L707" s="1" t="s">
        <v>62</v>
      </c>
      <c r="M707" s="1" t="s">
        <v>2868</v>
      </c>
      <c r="N707" s="1" t="s">
        <v>34</v>
      </c>
      <c r="O707" s="1" t="s">
        <v>35</v>
      </c>
      <c r="P707" s="1" t="s">
        <v>2869</v>
      </c>
    </row>
    <row r="708" ht="14.25" customHeight="1">
      <c r="A708" s="1" t="s">
        <v>2870</v>
      </c>
      <c r="B708" s="1" t="s">
        <v>2871</v>
      </c>
      <c r="C708" s="1" t="s">
        <v>39</v>
      </c>
      <c r="D708" s="1">
        <v>90940.0</v>
      </c>
      <c r="E708" s="1" t="s">
        <v>60</v>
      </c>
      <c r="F708" s="1" t="s">
        <v>20</v>
      </c>
      <c r="G708" s="1" t="s">
        <v>100</v>
      </c>
      <c r="H708" s="2">
        <v>1744.0</v>
      </c>
      <c r="I708" s="2">
        <v>1254.0</v>
      </c>
      <c r="J708" s="1">
        <v>1977.0</v>
      </c>
      <c r="K708" s="1">
        <v>77.0</v>
      </c>
      <c r="L708" s="1" t="s">
        <v>32</v>
      </c>
      <c r="M708" s="1" t="s">
        <v>2872</v>
      </c>
      <c r="N708" s="1" t="s">
        <v>48</v>
      </c>
      <c r="O708" s="1" t="s">
        <v>35</v>
      </c>
      <c r="P708" s="1" t="s">
        <v>2873</v>
      </c>
    </row>
    <row r="709" ht="14.25" customHeight="1">
      <c r="A709" s="1" t="s">
        <v>2874</v>
      </c>
      <c r="B709" s="1" t="s">
        <v>2875</v>
      </c>
      <c r="C709" s="1" t="s">
        <v>39</v>
      </c>
      <c r="D709" s="1">
        <v>23919.0</v>
      </c>
      <c r="E709" s="1" t="s">
        <v>19</v>
      </c>
      <c r="F709" s="1" t="s">
        <v>94</v>
      </c>
      <c r="G709" s="1" t="s">
        <v>31</v>
      </c>
      <c r="H709" s="2">
        <v>2057.0</v>
      </c>
      <c r="I709" s="2">
        <v>5106.0</v>
      </c>
      <c r="J709" s="1">
        <v>1981.0</v>
      </c>
      <c r="K709" s="1">
        <v>106.0</v>
      </c>
      <c r="L709" s="1" t="s">
        <v>95</v>
      </c>
      <c r="M709" s="1" t="s">
        <v>2876</v>
      </c>
      <c r="N709" s="1" t="s">
        <v>43</v>
      </c>
      <c r="O709" s="1" t="s">
        <v>25</v>
      </c>
      <c r="P709" s="1" t="s">
        <v>2877</v>
      </c>
    </row>
    <row r="710" ht="14.25" customHeight="1">
      <c r="A710" s="1" t="s">
        <v>2878</v>
      </c>
      <c r="B710" s="1" t="s">
        <v>2879</v>
      </c>
      <c r="C710" s="1" t="s">
        <v>18</v>
      </c>
      <c r="D710" s="1">
        <v>10463.0</v>
      </c>
      <c r="E710" s="1" t="s">
        <v>30</v>
      </c>
      <c r="F710" s="1" t="s">
        <v>46</v>
      </c>
      <c r="G710" s="1" t="s">
        <v>55</v>
      </c>
      <c r="H710" s="2">
        <v>618.0</v>
      </c>
      <c r="I710" s="2">
        <v>5905.0</v>
      </c>
      <c r="J710" s="1">
        <v>1999.0</v>
      </c>
      <c r="K710" s="1">
        <v>105.0</v>
      </c>
      <c r="L710" s="1" t="s">
        <v>62</v>
      </c>
      <c r="M710" s="1" t="s">
        <v>2880</v>
      </c>
      <c r="N710" s="1" t="s">
        <v>64</v>
      </c>
      <c r="O710" s="1" t="s">
        <v>49</v>
      </c>
      <c r="P710" s="1" t="s">
        <v>2881</v>
      </c>
    </row>
    <row r="711" ht="14.25" customHeight="1">
      <c r="A711" s="1" t="s">
        <v>2882</v>
      </c>
      <c r="B711" s="1" t="s">
        <v>2883</v>
      </c>
      <c r="C711" s="1" t="s">
        <v>76</v>
      </c>
      <c r="D711" s="1">
        <v>45720.0</v>
      </c>
      <c r="E711" s="1" t="s">
        <v>77</v>
      </c>
      <c r="F711" s="1" t="s">
        <v>41</v>
      </c>
      <c r="G711" s="1" t="s">
        <v>55</v>
      </c>
      <c r="H711" s="2">
        <v>1976.0</v>
      </c>
      <c r="I711" s="2">
        <v>1775.0</v>
      </c>
      <c r="J711" s="1">
        <v>1964.0</v>
      </c>
      <c r="K711" s="1">
        <v>70.0</v>
      </c>
      <c r="L711" s="1" t="s">
        <v>32</v>
      </c>
      <c r="M711" s="1" t="s">
        <v>2884</v>
      </c>
      <c r="N711" s="1" t="s">
        <v>48</v>
      </c>
      <c r="O711" s="1" t="s">
        <v>35</v>
      </c>
      <c r="P711" s="1" t="s">
        <v>2885</v>
      </c>
    </row>
    <row r="712" ht="14.25" customHeight="1">
      <c r="A712" s="1" t="s">
        <v>2886</v>
      </c>
      <c r="B712" s="1" t="s">
        <v>2887</v>
      </c>
      <c r="C712" s="1" t="s">
        <v>53</v>
      </c>
      <c r="D712" s="1">
        <v>28141.0</v>
      </c>
      <c r="E712" s="1" t="s">
        <v>30</v>
      </c>
      <c r="F712" s="1" t="s">
        <v>94</v>
      </c>
      <c r="G712" s="1" t="s">
        <v>100</v>
      </c>
      <c r="H712" s="2">
        <v>2192.0</v>
      </c>
      <c r="I712" s="2">
        <v>1203.0</v>
      </c>
      <c r="J712" s="1">
        <v>1982.0</v>
      </c>
      <c r="K712" s="1">
        <v>56.0</v>
      </c>
      <c r="L712" s="1" t="s">
        <v>141</v>
      </c>
      <c r="M712" s="1" t="s">
        <v>2888</v>
      </c>
      <c r="N712" s="1" t="s">
        <v>64</v>
      </c>
      <c r="O712" s="1" t="s">
        <v>35</v>
      </c>
      <c r="P712" s="1" t="s">
        <v>2889</v>
      </c>
    </row>
    <row r="713" ht="14.25" customHeight="1">
      <c r="A713" s="1" t="s">
        <v>2890</v>
      </c>
      <c r="B713" s="1" t="s">
        <v>2891</v>
      </c>
      <c r="C713" s="1" t="s">
        <v>53</v>
      </c>
      <c r="D713" s="1">
        <v>46051.0</v>
      </c>
      <c r="E713" s="1" t="s">
        <v>19</v>
      </c>
      <c r="F713" s="1" t="s">
        <v>54</v>
      </c>
      <c r="G713" s="1" t="s">
        <v>55</v>
      </c>
      <c r="H713" s="2">
        <v>2578.0</v>
      </c>
      <c r="I713" s="2">
        <v>6302.0</v>
      </c>
      <c r="J713" s="1">
        <v>1958.0</v>
      </c>
      <c r="K713" s="1">
        <v>88.0</v>
      </c>
      <c r="L713" s="1" t="s">
        <v>32</v>
      </c>
      <c r="M713" s="1" t="s">
        <v>2892</v>
      </c>
      <c r="N713" s="1" t="s">
        <v>48</v>
      </c>
      <c r="O713" s="1" t="s">
        <v>35</v>
      </c>
      <c r="P713" s="1" t="s">
        <v>2893</v>
      </c>
    </row>
    <row r="714" ht="14.25" customHeight="1">
      <c r="A714" s="1" t="s">
        <v>2894</v>
      </c>
      <c r="B714" s="1" t="s">
        <v>2895</v>
      </c>
      <c r="C714" s="1" t="s">
        <v>18</v>
      </c>
      <c r="D714" s="1">
        <v>45263.0</v>
      </c>
      <c r="E714" s="1" t="s">
        <v>40</v>
      </c>
      <c r="F714" s="1" t="s">
        <v>61</v>
      </c>
      <c r="G714" s="1" t="s">
        <v>31</v>
      </c>
      <c r="H714" s="2">
        <v>3694.0</v>
      </c>
      <c r="I714" s="2">
        <v>8820.0</v>
      </c>
      <c r="J714" s="1">
        <v>1955.0</v>
      </c>
      <c r="K714" s="1">
        <v>92.0</v>
      </c>
      <c r="L714" s="1" t="s">
        <v>141</v>
      </c>
      <c r="M714" s="1" t="s">
        <v>2896</v>
      </c>
      <c r="N714" s="1" t="s">
        <v>24</v>
      </c>
      <c r="O714" s="1" t="s">
        <v>35</v>
      </c>
      <c r="P714" s="1" t="s">
        <v>2897</v>
      </c>
    </row>
    <row r="715" ht="14.25" customHeight="1">
      <c r="A715" s="1" t="s">
        <v>2898</v>
      </c>
      <c r="B715" s="1" t="s">
        <v>2899</v>
      </c>
      <c r="C715" s="1" t="s">
        <v>76</v>
      </c>
      <c r="D715" s="1">
        <v>90781.0</v>
      </c>
      <c r="E715" s="1" t="s">
        <v>30</v>
      </c>
      <c r="F715" s="1" t="s">
        <v>54</v>
      </c>
      <c r="G715" s="1" t="s">
        <v>100</v>
      </c>
      <c r="H715" s="2">
        <v>3135.0</v>
      </c>
      <c r="I715" s="2">
        <v>9158.0</v>
      </c>
      <c r="J715" s="1">
        <v>1951.0</v>
      </c>
      <c r="K715" s="1">
        <v>114.0</v>
      </c>
      <c r="L715" s="1" t="s">
        <v>32</v>
      </c>
      <c r="M715" s="1" t="s">
        <v>2900</v>
      </c>
      <c r="N715" s="1" t="s">
        <v>34</v>
      </c>
      <c r="O715" s="1" t="s">
        <v>49</v>
      </c>
      <c r="P715" s="1" t="s">
        <v>2901</v>
      </c>
    </row>
    <row r="716" ht="14.25" customHeight="1">
      <c r="A716" s="1" t="s">
        <v>2902</v>
      </c>
      <c r="B716" s="1" t="s">
        <v>2903</v>
      </c>
      <c r="C716" s="1" t="s">
        <v>29</v>
      </c>
      <c r="D716" s="1">
        <v>39961.0</v>
      </c>
      <c r="E716" s="1" t="s">
        <v>60</v>
      </c>
      <c r="F716" s="1" t="s">
        <v>94</v>
      </c>
      <c r="G716" s="1" t="s">
        <v>31</v>
      </c>
      <c r="H716" s="2">
        <v>3778.0</v>
      </c>
      <c r="I716" s="2">
        <v>4516.0</v>
      </c>
      <c r="J716" s="1">
        <v>2000.0</v>
      </c>
      <c r="K716" s="1">
        <v>13.0</v>
      </c>
      <c r="L716" s="1" t="s">
        <v>22</v>
      </c>
      <c r="M716" s="1" t="s">
        <v>2904</v>
      </c>
      <c r="N716" s="1" t="s">
        <v>24</v>
      </c>
      <c r="O716" s="1" t="s">
        <v>25</v>
      </c>
      <c r="P716" s="1" t="s">
        <v>2905</v>
      </c>
    </row>
    <row r="717" ht="14.25" customHeight="1">
      <c r="A717" s="1" t="s">
        <v>2906</v>
      </c>
      <c r="B717" s="1" t="s">
        <v>2907</v>
      </c>
      <c r="C717" s="1" t="s">
        <v>76</v>
      </c>
      <c r="D717" s="1">
        <v>41315.0</v>
      </c>
      <c r="E717" s="1" t="s">
        <v>30</v>
      </c>
      <c r="F717" s="1" t="s">
        <v>61</v>
      </c>
      <c r="G717" s="1" t="s">
        <v>100</v>
      </c>
      <c r="H717" s="2">
        <v>709.0</v>
      </c>
      <c r="I717" s="2">
        <v>5357.0</v>
      </c>
      <c r="J717" s="1">
        <v>1950.0</v>
      </c>
      <c r="K717" s="1">
        <v>88.0</v>
      </c>
      <c r="L717" s="1" t="s">
        <v>62</v>
      </c>
      <c r="M717" s="1" t="s">
        <v>2908</v>
      </c>
      <c r="N717" s="1" t="s">
        <v>64</v>
      </c>
      <c r="O717" s="1" t="s">
        <v>25</v>
      </c>
      <c r="P717" s="1" t="s">
        <v>2909</v>
      </c>
    </row>
    <row r="718" ht="14.25" customHeight="1">
      <c r="A718" s="1" t="s">
        <v>2910</v>
      </c>
      <c r="B718" s="1" t="s">
        <v>2911</v>
      </c>
      <c r="C718" s="1" t="s">
        <v>29</v>
      </c>
      <c r="D718" s="1">
        <v>88240.0</v>
      </c>
      <c r="E718" s="1" t="s">
        <v>60</v>
      </c>
      <c r="F718" s="1" t="s">
        <v>54</v>
      </c>
      <c r="G718" s="1" t="s">
        <v>100</v>
      </c>
      <c r="H718" s="2">
        <v>2456.0</v>
      </c>
      <c r="I718" s="2">
        <v>6941.0</v>
      </c>
      <c r="J718" s="1">
        <v>1972.0</v>
      </c>
      <c r="K718" s="1">
        <v>5.0</v>
      </c>
      <c r="L718" s="1" t="s">
        <v>22</v>
      </c>
      <c r="M718" s="1" t="s">
        <v>2912</v>
      </c>
      <c r="N718" s="1" t="s">
        <v>43</v>
      </c>
      <c r="O718" s="1" t="s">
        <v>25</v>
      </c>
      <c r="P718" s="1" t="s">
        <v>2913</v>
      </c>
    </row>
    <row r="719" ht="14.25" customHeight="1">
      <c r="A719" s="1" t="s">
        <v>2914</v>
      </c>
      <c r="B719" s="1" t="s">
        <v>2915</v>
      </c>
      <c r="C719" s="1" t="s">
        <v>39</v>
      </c>
      <c r="D719" s="1">
        <v>10497.0</v>
      </c>
      <c r="E719" s="1" t="s">
        <v>30</v>
      </c>
      <c r="F719" s="1" t="s">
        <v>20</v>
      </c>
      <c r="G719" s="1" t="s">
        <v>31</v>
      </c>
      <c r="H719" s="2">
        <v>2296.0</v>
      </c>
      <c r="I719" s="2">
        <v>3109.0</v>
      </c>
      <c r="J719" s="1">
        <v>1959.0</v>
      </c>
      <c r="K719" s="1">
        <v>66.0</v>
      </c>
      <c r="L719" s="1" t="s">
        <v>22</v>
      </c>
      <c r="M719" s="1" t="s">
        <v>2916</v>
      </c>
      <c r="N719" s="1" t="s">
        <v>43</v>
      </c>
      <c r="O719" s="1" t="s">
        <v>49</v>
      </c>
      <c r="P719" s="1" t="s">
        <v>2917</v>
      </c>
    </row>
    <row r="720" ht="14.25" customHeight="1">
      <c r="A720" s="1" t="s">
        <v>2918</v>
      </c>
      <c r="B720" s="1" t="s">
        <v>2919</v>
      </c>
      <c r="C720" s="1" t="s">
        <v>18</v>
      </c>
      <c r="D720" s="1">
        <v>93193.0</v>
      </c>
      <c r="E720" s="1" t="s">
        <v>30</v>
      </c>
      <c r="F720" s="1" t="s">
        <v>61</v>
      </c>
      <c r="G720" s="1" t="s">
        <v>55</v>
      </c>
      <c r="H720" s="2">
        <v>2797.0</v>
      </c>
      <c r="I720" s="2">
        <v>2687.0</v>
      </c>
      <c r="J720" s="1">
        <v>1965.0</v>
      </c>
      <c r="K720" s="1">
        <v>17.0</v>
      </c>
      <c r="L720" s="1" t="s">
        <v>95</v>
      </c>
      <c r="M720" s="1" t="s">
        <v>2920</v>
      </c>
      <c r="N720" s="1" t="s">
        <v>64</v>
      </c>
      <c r="O720" s="1" t="s">
        <v>49</v>
      </c>
      <c r="P720" s="1" t="s">
        <v>2921</v>
      </c>
    </row>
    <row r="721" ht="14.25" customHeight="1">
      <c r="A721" s="1" t="s">
        <v>2922</v>
      </c>
      <c r="B721" s="1" t="s">
        <v>2923</v>
      </c>
      <c r="C721" s="1" t="s">
        <v>76</v>
      </c>
      <c r="D721" s="1">
        <v>35930.0</v>
      </c>
      <c r="E721" s="1" t="s">
        <v>19</v>
      </c>
      <c r="F721" s="1" t="s">
        <v>20</v>
      </c>
      <c r="G721" s="1" t="s">
        <v>100</v>
      </c>
      <c r="H721" s="2">
        <v>2282.0</v>
      </c>
      <c r="I721" s="2">
        <v>4554.0</v>
      </c>
      <c r="J721" s="1">
        <v>1994.0</v>
      </c>
      <c r="K721" s="1">
        <v>77.0</v>
      </c>
      <c r="L721" s="1" t="s">
        <v>22</v>
      </c>
      <c r="M721" s="1" t="s">
        <v>2924</v>
      </c>
      <c r="N721" s="1" t="s">
        <v>64</v>
      </c>
      <c r="O721" s="1" t="s">
        <v>49</v>
      </c>
      <c r="P721" s="1" t="s">
        <v>2925</v>
      </c>
    </row>
    <row r="722" ht="14.25" customHeight="1">
      <c r="A722" s="1" t="s">
        <v>2926</v>
      </c>
      <c r="B722" s="1" t="s">
        <v>2927</v>
      </c>
      <c r="C722" s="1" t="s">
        <v>18</v>
      </c>
      <c r="D722" s="1">
        <v>77374.0</v>
      </c>
      <c r="E722" s="1" t="s">
        <v>60</v>
      </c>
      <c r="F722" s="1" t="s">
        <v>46</v>
      </c>
      <c r="G722" s="1" t="s">
        <v>55</v>
      </c>
      <c r="H722" s="2">
        <v>2199.0</v>
      </c>
      <c r="I722" s="2">
        <v>5597.0</v>
      </c>
      <c r="J722" s="1">
        <v>1952.0</v>
      </c>
      <c r="K722" s="1">
        <v>90.0</v>
      </c>
      <c r="L722" s="1" t="s">
        <v>62</v>
      </c>
      <c r="M722" s="1" t="s">
        <v>2928</v>
      </c>
      <c r="N722" s="1" t="s">
        <v>64</v>
      </c>
      <c r="O722" s="1" t="s">
        <v>35</v>
      </c>
      <c r="P722" s="1" t="s">
        <v>2929</v>
      </c>
    </row>
    <row r="723" ht="14.25" customHeight="1">
      <c r="A723" s="1" t="s">
        <v>2930</v>
      </c>
      <c r="B723" s="1" t="s">
        <v>2931</v>
      </c>
      <c r="C723" s="1" t="s">
        <v>39</v>
      </c>
      <c r="D723" s="1">
        <v>45005.0</v>
      </c>
      <c r="E723" s="1" t="s">
        <v>40</v>
      </c>
      <c r="F723" s="1" t="s">
        <v>94</v>
      </c>
      <c r="G723" s="1" t="s">
        <v>31</v>
      </c>
      <c r="H723" s="2">
        <v>1906.0</v>
      </c>
      <c r="I723" s="2">
        <v>3379.0</v>
      </c>
      <c r="J723" s="1">
        <v>1995.0</v>
      </c>
      <c r="K723" s="1">
        <v>96.0</v>
      </c>
      <c r="L723" s="1" t="s">
        <v>22</v>
      </c>
      <c r="M723" s="1" t="s">
        <v>2932</v>
      </c>
      <c r="N723" s="1" t="s">
        <v>43</v>
      </c>
      <c r="O723" s="1" t="s">
        <v>35</v>
      </c>
      <c r="P723" s="1" t="s">
        <v>2933</v>
      </c>
    </row>
    <row r="724" ht="14.25" customHeight="1">
      <c r="A724" s="1" t="s">
        <v>2934</v>
      </c>
      <c r="B724" s="1" t="s">
        <v>2935</v>
      </c>
      <c r="C724" s="1" t="s">
        <v>39</v>
      </c>
      <c r="D724" s="1">
        <v>43472.0</v>
      </c>
      <c r="E724" s="1" t="s">
        <v>30</v>
      </c>
      <c r="F724" s="1" t="s">
        <v>41</v>
      </c>
      <c r="G724" s="1" t="s">
        <v>55</v>
      </c>
      <c r="H724" s="2">
        <v>3787.0</v>
      </c>
      <c r="I724" s="2">
        <v>6045.0</v>
      </c>
      <c r="J724" s="1">
        <v>2008.0</v>
      </c>
      <c r="K724" s="1">
        <v>106.0</v>
      </c>
      <c r="L724" s="1" t="s">
        <v>22</v>
      </c>
      <c r="M724" s="1" t="s">
        <v>2936</v>
      </c>
      <c r="N724" s="1" t="s">
        <v>24</v>
      </c>
      <c r="O724" s="1" t="s">
        <v>25</v>
      </c>
      <c r="P724" s="1" t="s">
        <v>2937</v>
      </c>
    </row>
    <row r="725" ht="14.25" customHeight="1">
      <c r="A725" s="1" t="s">
        <v>2938</v>
      </c>
      <c r="B725" s="1" t="s">
        <v>2939</v>
      </c>
      <c r="C725" s="1" t="s">
        <v>18</v>
      </c>
      <c r="D725" s="1">
        <v>96400.0</v>
      </c>
      <c r="E725" s="1" t="s">
        <v>30</v>
      </c>
      <c r="F725" s="1" t="s">
        <v>46</v>
      </c>
      <c r="G725" s="1" t="s">
        <v>55</v>
      </c>
      <c r="H725" s="2">
        <v>3621.0</v>
      </c>
      <c r="I725" s="2">
        <v>3770.0</v>
      </c>
      <c r="J725" s="1">
        <v>1978.0</v>
      </c>
      <c r="K725" s="1">
        <v>118.0</v>
      </c>
      <c r="L725" s="1" t="s">
        <v>141</v>
      </c>
      <c r="M725" s="1" t="s">
        <v>2940</v>
      </c>
      <c r="N725" s="1" t="s">
        <v>24</v>
      </c>
      <c r="O725" s="1" t="s">
        <v>25</v>
      </c>
      <c r="P725" s="1" t="s">
        <v>2941</v>
      </c>
    </row>
    <row r="726" ht="14.25" customHeight="1">
      <c r="A726" s="1" t="s">
        <v>2942</v>
      </c>
      <c r="B726" s="1" t="s">
        <v>2943</v>
      </c>
      <c r="C726" s="1" t="s">
        <v>29</v>
      </c>
      <c r="D726" s="1">
        <v>95888.0</v>
      </c>
      <c r="E726" s="1" t="s">
        <v>19</v>
      </c>
      <c r="F726" s="1" t="s">
        <v>20</v>
      </c>
      <c r="G726" s="1" t="s">
        <v>55</v>
      </c>
      <c r="H726" s="2">
        <v>1072.0</v>
      </c>
      <c r="I726" s="2">
        <v>3335.0</v>
      </c>
      <c r="J726" s="1">
        <v>1979.0</v>
      </c>
      <c r="K726" s="1">
        <v>14.0</v>
      </c>
      <c r="L726" s="1" t="s">
        <v>22</v>
      </c>
      <c r="M726" s="1" t="s">
        <v>2944</v>
      </c>
      <c r="N726" s="1" t="s">
        <v>64</v>
      </c>
      <c r="O726" s="1" t="s">
        <v>49</v>
      </c>
      <c r="P726" s="1" t="s">
        <v>2945</v>
      </c>
    </row>
    <row r="727" ht="14.25" customHeight="1">
      <c r="A727" s="1" t="s">
        <v>2946</v>
      </c>
      <c r="B727" s="1" t="s">
        <v>2947</v>
      </c>
      <c r="C727" s="1" t="s">
        <v>53</v>
      </c>
      <c r="D727" s="1">
        <v>19472.0</v>
      </c>
      <c r="E727" s="1" t="s">
        <v>19</v>
      </c>
      <c r="F727" s="1" t="s">
        <v>20</v>
      </c>
      <c r="G727" s="1" t="s">
        <v>100</v>
      </c>
      <c r="H727" s="2">
        <v>642.0</v>
      </c>
      <c r="I727" s="2">
        <v>4223.0</v>
      </c>
      <c r="J727" s="1">
        <v>1967.0</v>
      </c>
      <c r="K727" s="1">
        <v>70.0</v>
      </c>
      <c r="L727" s="1" t="s">
        <v>141</v>
      </c>
      <c r="M727" s="1" t="s">
        <v>2948</v>
      </c>
      <c r="N727" s="1" t="s">
        <v>43</v>
      </c>
      <c r="O727" s="1" t="s">
        <v>35</v>
      </c>
      <c r="P727" s="1" t="s">
        <v>2949</v>
      </c>
    </row>
    <row r="728" ht="14.25" customHeight="1">
      <c r="A728" s="1" t="s">
        <v>2950</v>
      </c>
      <c r="B728" s="1" t="s">
        <v>2951</v>
      </c>
      <c r="C728" s="1" t="s">
        <v>29</v>
      </c>
      <c r="D728" s="1">
        <v>23802.0</v>
      </c>
      <c r="E728" s="1" t="s">
        <v>40</v>
      </c>
      <c r="F728" s="1" t="s">
        <v>94</v>
      </c>
      <c r="G728" s="1" t="s">
        <v>55</v>
      </c>
      <c r="H728" s="2">
        <v>3953.0</v>
      </c>
      <c r="I728" s="2">
        <v>3330.0</v>
      </c>
      <c r="J728" s="1">
        <v>1964.0</v>
      </c>
      <c r="K728" s="1">
        <v>104.0</v>
      </c>
      <c r="L728" s="1" t="s">
        <v>62</v>
      </c>
      <c r="M728" s="1" t="s">
        <v>2952</v>
      </c>
      <c r="N728" s="1" t="s">
        <v>43</v>
      </c>
      <c r="O728" s="1" t="s">
        <v>25</v>
      </c>
      <c r="P728" s="1" t="s">
        <v>2953</v>
      </c>
    </row>
    <row r="729" ht="14.25" customHeight="1">
      <c r="A729" s="1" t="s">
        <v>2954</v>
      </c>
      <c r="B729" s="1" t="s">
        <v>2955</v>
      </c>
      <c r="C729" s="1" t="s">
        <v>53</v>
      </c>
      <c r="D729" s="1">
        <v>24009.0</v>
      </c>
      <c r="E729" s="1" t="s">
        <v>30</v>
      </c>
      <c r="F729" s="1" t="s">
        <v>61</v>
      </c>
      <c r="G729" s="1" t="s">
        <v>55</v>
      </c>
      <c r="H729" s="2">
        <v>3813.0</v>
      </c>
      <c r="I729" s="2">
        <v>4624.0</v>
      </c>
      <c r="J729" s="1">
        <v>1962.0</v>
      </c>
      <c r="K729" s="1">
        <v>114.0</v>
      </c>
      <c r="L729" s="1" t="s">
        <v>22</v>
      </c>
      <c r="M729" s="1" t="s">
        <v>2956</v>
      </c>
      <c r="N729" s="1" t="s">
        <v>43</v>
      </c>
      <c r="O729" s="1" t="s">
        <v>49</v>
      </c>
      <c r="P729" s="1" t="s">
        <v>2957</v>
      </c>
    </row>
    <row r="730" ht="14.25" customHeight="1">
      <c r="A730" s="1" t="s">
        <v>2958</v>
      </c>
      <c r="B730" s="1" t="s">
        <v>2959</v>
      </c>
      <c r="C730" s="1" t="s">
        <v>53</v>
      </c>
      <c r="D730" s="1">
        <v>88307.0</v>
      </c>
      <c r="E730" s="1" t="s">
        <v>19</v>
      </c>
      <c r="F730" s="1" t="s">
        <v>54</v>
      </c>
      <c r="G730" s="1" t="s">
        <v>100</v>
      </c>
      <c r="H730" s="2">
        <v>3689.0</v>
      </c>
      <c r="I730" s="2">
        <v>9518.0</v>
      </c>
      <c r="J730" s="1">
        <v>2002.0</v>
      </c>
      <c r="K730" s="1">
        <v>33.0</v>
      </c>
      <c r="L730" s="1" t="s">
        <v>62</v>
      </c>
      <c r="M730" s="1" t="s">
        <v>2960</v>
      </c>
      <c r="N730" s="1" t="s">
        <v>24</v>
      </c>
      <c r="O730" s="1" t="s">
        <v>35</v>
      </c>
      <c r="P730" s="1" t="s">
        <v>2961</v>
      </c>
    </row>
    <row r="731" ht="14.25" customHeight="1">
      <c r="A731" s="1" t="s">
        <v>2962</v>
      </c>
      <c r="B731" s="1" t="s">
        <v>2963</v>
      </c>
      <c r="C731" s="1" t="s">
        <v>39</v>
      </c>
      <c r="D731" s="1">
        <v>35214.0</v>
      </c>
      <c r="E731" s="1" t="s">
        <v>19</v>
      </c>
      <c r="F731" s="1" t="s">
        <v>46</v>
      </c>
      <c r="G731" s="1" t="s">
        <v>100</v>
      </c>
      <c r="H731" s="2">
        <v>2469.0</v>
      </c>
      <c r="I731" s="2">
        <v>2860.0</v>
      </c>
      <c r="J731" s="1">
        <v>2007.0</v>
      </c>
      <c r="K731" s="1">
        <v>7.0</v>
      </c>
      <c r="L731" s="1" t="s">
        <v>141</v>
      </c>
      <c r="M731" s="1" t="s">
        <v>2964</v>
      </c>
      <c r="N731" s="1" t="s">
        <v>43</v>
      </c>
      <c r="O731" s="1" t="s">
        <v>35</v>
      </c>
      <c r="P731" s="1" t="s">
        <v>2965</v>
      </c>
    </row>
    <row r="732" ht="14.25" customHeight="1">
      <c r="A732" s="1" t="s">
        <v>2966</v>
      </c>
      <c r="B732" s="1" t="s">
        <v>2967</v>
      </c>
      <c r="C732" s="1" t="s">
        <v>39</v>
      </c>
      <c r="D732" s="1">
        <v>11286.0</v>
      </c>
      <c r="E732" s="1" t="s">
        <v>30</v>
      </c>
      <c r="F732" s="1" t="s">
        <v>54</v>
      </c>
      <c r="G732" s="1" t="s">
        <v>21</v>
      </c>
      <c r="H732" s="2">
        <v>1655.0</v>
      </c>
      <c r="I732" s="2">
        <v>1185.0</v>
      </c>
      <c r="J732" s="1">
        <v>1986.0</v>
      </c>
      <c r="K732" s="1">
        <v>12.0</v>
      </c>
      <c r="L732" s="1" t="s">
        <v>141</v>
      </c>
      <c r="M732" s="1" t="s">
        <v>2968</v>
      </c>
      <c r="N732" s="1" t="s">
        <v>43</v>
      </c>
      <c r="O732" s="1" t="s">
        <v>35</v>
      </c>
      <c r="P732" s="1" t="s">
        <v>2969</v>
      </c>
    </row>
    <row r="733" ht="14.25" customHeight="1">
      <c r="A733" s="1" t="s">
        <v>2970</v>
      </c>
      <c r="B733" s="1" t="s">
        <v>2971</v>
      </c>
      <c r="C733" s="1" t="s">
        <v>29</v>
      </c>
      <c r="D733" s="1">
        <v>73207.0</v>
      </c>
      <c r="E733" s="1" t="s">
        <v>30</v>
      </c>
      <c r="F733" s="1" t="s">
        <v>46</v>
      </c>
      <c r="G733" s="1" t="s">
        <v>100</v>
      </c>
      <c r="H733" s="2">
        <v>2936.0</v>
      </c>
      <c r="I733" s="2">
        <v>6369.0</v>
      </c>
      <c r="J733" s="1">
        <v>1987.0</v>
      </c>
      <c r="K733" s="1">
        <v>47.0</v>
      </c>
      <c r="L733" s="1" t="s">
        <v>32</v>
      </c>
      <c r="M733" s="1" t="s">
        <v>2972</v>
      </c>
      <c r="N733" s="1" t="s">
        <v>64</v>
      </c>
      <c r="O733" s="1" t="s">
        <v>49</v>
      </c>
      <c r="P733" s="1" t="s">
        <v>2973</v>
      </c>
    </row>
    <row r="734" ht="14.25" customHeight="1">
      <c r="A734" s="1" t="s">
        <v>2974</v>
      </c>
      <c r="B734" s="1" t="s">
        <v>2975</v>
      </c>
      <c r="C734" s="1" t="s">
        <v>53</v>
      </c>
      <c r="D734" s="1">
        <v>46396.0</v>
      </c>
      <c r="E734" s="1" t="s">
        <v>19</v>
      </c>
      <c r="F734" s="1" t="s">
        <v>61</v>
      </c>
      <c r="G734" s="1" t="s">
        <v>31</v>
      </c>
      <c r="H734" s="2">
        <v>3060.0</v>
      </c>
      <c r="I734" s="2">
        <v>1630.0</v>
      </c>
      <c r="J734" s="1">
        <v>1992.0</v>
      </c>
      <c r="K734" s="1">
        <v>98.0</v>
      </c>
      <c r="L734" s="1" t="s">
        <v>141</v>
      </c>
      <c r="M734" s="1" t="s">
        <v>2976</v>
      </c>
      <c r="N734" s="1" t="s">
        <v>34</v>
      </c>
      <c r="O734" s="1" t="s">
        <v>49</v>
      </c>
      <c r="P734" s="1" t="s">
        <v>2977</v>
      </c>
    </row>
    <row r="735" ht="14.25" customHeight="1">
      <c r="A735" s="1" t="s">
        <v>2978</v>
      </c>
      <c r="B735" s="1" t="s">
        <v>2979</v>
      </c>
      <c r="C735" s="1" t="s">
        <v>29</v>
      </c>
      <c r="D735" s="1">
        <v>93235.0</v>
      </c>
      <c r="E735" s="1" t="s">
        <v>40</v>
      </c>
      <c r="F735" s="1" t="s">
        <v>46</v>
      </c>
      <c r="G735" s="1" t="s">
        <v>100</v>
      </c>
      <c r="H735" s="2">
        <v>1044.0</v>
      </c>
      <c r="I735" s="2">
        <v>8331.0</v>
      </c>
      <c r="J735" s="1">
        <v>1954.0</v>
      </c>
      <c r="K735" s="1">
        <v>58.0</v>
      </c>
      <c r="L735" s="1" t="s">
        <v>32</v>
      </c>
      <c r="M735" s="1" t="s">
        <v>2980</v>
      </c>
      <c r="N735" s="1" t="s">
        <v>24</v>
      </c>
      <c r="O735" s="1" t="s">
        <v>25</v>
      </c>
      <c r="P735" s="1" t="s">
        <v>2981</v>
      </c>
    </row>
    <row r="736" ht="14.25" customHeight="1">
      <c r="A736" s="1" t="s">
        <v>2982</v>
      </c>
      <c r="B736" s="1" t="s">
        <v>2983</v>
      </c>
      <c r="C736" s="1" t="s">
        <v>39</v>
      </c>
      <c r="D736" s="1">
        <v>54020.0</v>
      </c>
      <c r="E736" s="1" t="s">
        <v>30</v>
      </c>
      <c r="F736" s="1" t="s">
        <v>54</v>
      </c>
      <c r="G736" s="1" t="s">
        <v>55</v>
      </c>
      <c r="H736" s="2">
        <v>2672.0</v>
      </c>
      <c r="I736" s="2">
        <v>6391.0</v>
      </c>
      <c r="J736" s="1">
        <v>2014.0</v>
      </c>
      <c r="K736" s="1">
        <v>114.0</v>
      </c>
      <c r="L736" s="1" t="s">
        <v>141</v>
      </c>
      <c r="M736" s="1" t="s">
        <v>2984</v>
      </c>
      <c r="N736" s="1" t="s">
        <v>34</v>
      </c>
      <c r="O736" s="1" t="s">
        <v>25</v>
      </c>
      <c r="P736" s="1" t="s">
        <v>2985</v>
      </c>
    </row>
    <row r="737" ht="14.25" customHeight="1">
      <c r="A737" s="1" t="s">
        <v>2986</v>
      </c>
      <c r="B737" s="1" t="s">
        <v>2987</v>
      </c>
      <c r="C737" s="1" t="s">
        <v>39</v>
      </c>
      <c r="D737" s="1">
        <v>62655.0</v>
      </c>
      <c r="E737" s="1" t="s">
        <v>40</v>
      </c>
      <c r="F737" s="1" t="s">
        <v>61</v>
      </c>
      <c r="G737" s="1" t="s">
        <v>31</v>
      </c>
      <c r="H737" s="2">
        <v>1256.0</v>
      </c>
      <c r="I737" s="2">
        <v>9446.0</v>
      </c>
      <c r="J737" s="1">
        <v>1963.0</v>
      </c>
      <c r="K737" s="1">
        <v>80.0</v>
      </c>
      <c r="L737" s="1" t="s">
        <v>141</v>
      </c>
      <c r="M737" s="1" t="s">
        <v>2988</v>
      </c>
      <c r="N737" s="1" t="s">
        <v>34</v>
      </c>
      <c r="O737" s="1" t="s">
        <v>35</v>
      </c>
      <c r="P737" s="1" t="s">
        <v>2989</v>
      </c>
    </row>
    <row r="738" ht="14.25" customHeight="1">
      <c r="A738" s="1" t="s">
        <v>2990</v>
      </c>
      <c r="B738" s="1" t="s">
        <v>2991</v>
      </c>
      <c r="C738" s="1" t="s">
        <v>76</v>
      </c>
      <c r="D738" s="1">
        <v>15264.0</v>
      </c>
      <c r="E738" s="1" t="s">
        <v>19</v>
      </c>
      <c r="F738" s="1" t="s">
        <v>46</v>
      </c>
      <c r="G738" s="1" t="s">
        <v>55</v>
      </c>
      <c r="H738" s="2">
        <v>881.0</v>
      </c>
      <c r="I738" s="2">
        <v>7350.0</v>
      </c>
      <c r="J738" s="1">
        <v>2022.0</v>
      </c>
      <c r="K738" s="1">
        <v>18.0</v>
      </c>
      <c r="L738" s="1" t="s">
        <v>141</v>
      </c>
      <c r="M738" s="1" t="s">
        <v>2992</v>
      </c>
      <c r="N738" s="1" t="s">
        <v>24</v>
      </c>
      <c r="O738" s="1" t="s">
        <v>49</v>
      </c>
      <c r="P738" s="1" t="s">
        <v>2993</v>
      </c>
    </row>
    <row r="739" ht="14.25" customHeight="1">
      <c r="A739" s="1" t="s">
        <v>2994</v>
      </c>
      <c r="B739" s="1" t="s">
        <v>2995</v>
      </c>
      <c r="C739" s="1" t="s">
        <v>76</v>
      </c>
      <c r="D739" s="1">
        <v>41053.0</v>
      </c>
      <c r="E739" s="1" t="s">
        <v>40</v>
      </c>
      <c r="F739" s="1" t="s">
        <v>20</v>
      </c>
      <c r="G739" s="1" t="s">
        <v>100</v>
      </c>
      <c r="H739" s="2">
        <v>2630.0</v>
      </c>
      <c r="I739" s="2">
        <v>2470.0</v>
      </c>
      <c r="J739" s="1">
        <v>1960.0</v>
      </c>
      <c r="K739" s="1">
        <v>30.0</v>
      </c>
      <c r="L739" s="1" t="s">
        <v>141</v>
      </c>
      <c r="M739" s="1" t="s">
        <v>2996</v>
      </c>
      <c r="N739" s="1" t="s">
        <v>43</v>
      </c>
      <c r="O739" s="1" t="s">
        <v>49</v>
      </c>
      <c r="P739" s="1" t="s">
        <v>2997</v>
      </c>
    </row>
    <row r="740" ht="14.25" customHeight="1">
      <c r="A740" s="1" t="s">
        <v>2998</v>
      </c>
      <c r="B740" s="1" t="s">
        <v>2999</v>
      </c>
      <c r="C740" s="1" t="s">
        <v>18</v>
      </c>
      <c r="D740" s="1">
        <v>54870.0</v>
      </c>
      <c r="E740" s="1" t="s">
        <v>40</v>
      </c>
      <c r="F740" s="1" t="s">
        <v>46</v>
      </c>
      <c r="G740" s="1" t="s">
        <v>100</v>
      </c>
      <c r="H740" s="2">
        <v>1712.0</v>
      </c>
      <c r="I740" s="2">
        <v>8311.0</v>
      </c>
      <c r="J740" s="1">
        <v>1965.0</v>
      </c>
      <c r="K740" s="1">
        <v>19.0</v>
      </c>
      <c r="L740" s="1" t="s">
        <v>95</v>
      </c>
      <c r="M740" s="1" t="s">
        <v>3000</v>
      </c>
      <c r="N740" s="1" t="s">
        <v>43</v>
      </c>
      <c r="O740" s="1" t="s">
        <v>35</v>
      </c>
      <c r="P740" s="1" t="s">
        <v>3001</v>
      </c>
    </row>
    <row r="741" ht="14.25" customHeight="1">
      <c r="A741" s="1" t="s">
        <v>3002</v>
      </c>
      <c r="B741" s="1" t="s">
        <v>3003</v>
      </c>
      <c r="C741" s="1" t="s">
        <v>18</v>
      </c>
      <c r="D741" s="1">
        <v>24302.0</v>
      </c>
      <c r="E741" s="1" t="s">
        <v>30</v>
      </c>
      <c r="F741" s="1" t="s">
        <v>54</v>
      </c>
      <c r="G741" s="1" t="s">
        <v>21</v>
      </c>
      <c r="H741" s="2">
        <v>3247.0</v>
      </c>
      <c r="I741" s="2">
        <v>6455.0</v>
      </c>
      <c r="J741" s="1">
        <v>1957.0</v>
      </c>
      <c r="K741" s="1">
        <v>47.0</v>
      </c>
      <c r="L741" s="1" t="s">
        <v>22</v>
      </c>
      <c r="M741" s="1" t="s">
        <v>3004</v>
      </c>
      <c r="N741" s="1" t="s">
        <v>48</v>
      </c>
      <c r="O741" s="1" t="s">
        <v>49</v>
      </c>
      <c r="P741" s="1" t="s">
        <v>3005</v>
      </c>
    </row>
    <row r="742" ht="14.25" customHeight="1">
      <c r="A742" s="1" t="s">
        <v>3006</v>
      </c>
      <c r="B742" s="1" t="s">
        <v>3007</v>
      </c>
      <c r="C742" s="1" t="s">
        <v>53</v>
      </c>
      <c r="D742" s="1">
        <v>28809.0</v>
      </c>
      <c r="E742" s="1" t="s">
        <v>19</v>
      </c>
      <c r="F742" s="1" t="s">
        <v>46</v>
      </c>
      <c r="G742" s="1" t="s">
        <v>21</v>
      </c>
      <c r="H742" s="2">
        <v>1880.0</v>
      </c>
      <c r="I742" s="2">
        <v>2575.0</v>
      </c>
      <c r="J742" s="1">
        <v>2017.0</v>
      </c>
      <c r="K742" s="1">
        <v>106.0</v>
      </c>
      <c r="L742" s="1" t="s">
        <v>22</v>
      </c>
      <c r="M742" s="1" t="s">
        <v>3008</v>
      </c>
      <c r="N742" s="1" t="s">
        <v>64</v>
      </c>
      <c r="O742" s="1" t="s">
        <v>35</v>
      </c>
      <c r="P742" s="1" t="s">
        <v>3009</v>
      </c>
    </row>
    <row r="743" ht="14.25" customHeight="1">
      <c r="A743" s="1" t="s">
        <v>3010</v>
      </c>
      <c r="B743" s="1" t="s">
        <v>3011</v>
      </c>
      <c r="C743" s="1" t="s">
        <v>53</v>
      </c>
      <c r="D743" s="1">
        <v>73989.0</v>
      </c>
      <c r="E743" s="1" t="s">
        <v>60</v>
      </c>
      <c r="F743" s="1" t="s">
        <v>46</v>
      </c>
      <c r="G743" s="1" t="s">
        <v>55</v>
      </c>
      <c r="H743" s="2">
        <v>2011.0</v>
      </c>
      <c r="I743" s="2">
        <v>4759.0</v>
      </c>
      <c r="J743" s="1">
        <v>1998.0</v>
      </c>
      <c r="K743" s="1">
        <v>115.0</v>
      </c>
      <c r="L743" s="1" t="s">
        <v>141</v>
      </c>
      <c r="M743" s="1" t="s">
        <v>3012</v>
      </c>
      <c r="N743" s="1" t="s">
        <v>34</v>
      </c>
      <c r="O743" s="1" t="s">
        <v>49</v>
      </c>
      <c r="P743" s="1" t="s">
        <v>3013</v>
      </c>
    </row>
    <row r="744" ht="14.25" customHeight="1">
      <c r="A744" s="1" t="s">
        <v>3014</v>
      </c>
      <c r="B744" s="1" t="s">
        <v>3015</v>
      </c>
      <c r="C744" s="1" t="s">
        <v>76</v>
      </c>
      <c r="D744" s="1">
        <v>27882.0</v>
      </c>
      <c r="E744" s="1" t="s">
        <v>19</v>
      </c>
      <c r="F744" s="1" t="s">
        <v>46</v>
      </c>
      <c r="G744" s="1" t="s">
        <v>21</v>
      </c>
      <c r="H744" s="2">
        <v>3191.0</v>
      </c>
      <c r="I744" s="2">
        <v>5459.0</v>
      </c>
      <c r="J744" s="1">
        <v>2001.0</v>
      </c>
      <c r="K744" s="1">
        <v>6.0</v>
      </c>
      <c r="L744" s="1" t="s">
        <v>32</v>
      </c>
      <c r="M744" s="1" t="s">
        <v>3016</v>
      </c>
      <c r="N744" s="1" t="s">
        <v>34</v>
      </c>
      <c r="O744" s="1" t="s">
        <v>49</v>
      </c>
      <c r="P744" s="1" t="s">
        <v>3017</v>
      </c>
    </row>
    <row r="745" ht="14.25" customHeight="1">
      <c r="A745" s="1" t="s">
        <v>3018</v>
      </c>
      <c r="B745" s="1" t="s">
        <v>3019</v>
      </c>
      <c r="C745" s="1" t="s">
        <v>18</v>
      </c>
      <c r="D745" s="1">
        <v>24734.0</v>
      </c>
      <c r="E745" s="1" t="s">
        <v>40</v>
      </c>
      <c r="F745" s="1" t="s">
        <v>46</v>
      </c>
      <c r="G745" s="1" t="s">
        <v>55</v>
      </c>
      <c r="H745" s="2">
        <v>2197.0</v>
      </c>
      <c r="I745" s="2">
        <v>8424.0</v>
      </c>
      <c r="J745" s="1">
        <v>2016.0</v>
      </c>
      <c r="K745" s="1">
        <v>112.0</v>
      </c>
      <c r="L745" s="1" t="s">
        <v>141</v>
      </c>
      <c r="M745" s="1" t="s">
        <v>3020</v>
      </c>
      <c r="N745" s="1" t="s">
        <v>43</v>
      </c>
      <c r="O745" s="1" t="s">
        <v>49</v>
      </c>
      <c r="P745" s="1" t="s">
        <v>3021</v>
      </c>
    </row>
    <row r="746" ht="14.25" customHeight="1">
      <c r="A746" s="1" t="s">
        <v>3022</v>
      </c>
      <c r="B746" s="1" t="s">
        <v>3023</v>
      </c>
      <c r="C746" s="1" t="s">
        <v>18</v>
      </c>
      <c r="D746" s="1">
        <v>58737.0</v>
      </c>
      <c r="E746" s="1" t="s">
        <v>60</v>
      </c>
      <c r="F746" s="1" t="s">
        <v>61</v>
      </c>
      <c r="G746" s="1" t="s">
        <v>31</v>
      </c>
      <c r="H746" s="2">
        <v>1516.0</v>
      </c>
      <c r="I746" s="2">
        <v>4785.0</v>
      </c>
      <c r="J746" s="1">
        <v>1987.0</v>
      </c>
      <c r="K746" s="1">
        <v>113.0</v>
      </c>
      <c r="L746" s="1" t="s">
        <v>22</v>
      </c>
      <c r="M746" s="1" t="s">
        <v>3024</v>
      </c>
      <c r="N746" s="1" t="s">
        <v>48</v>
      </c>
      <c r="O746" s="1" t="s">
        <v>25</v>
      </c>
      <c r="P746" s="1" t="s">
        <v>3025</v>
      </c>
    </row>
    <row r="747" ht="14.25" customHeight="1">
      <c r="A747" s="1" t="s">
        <v>3026</v>
      </c>
      <c r="B747" s="1" t="s">
        <v>3027</v>
      </c>
      <c r="C747" s="1" t="s">
        <v>18</v>
      </c>
      <c r="D747" s="1">
        <v>88255.0</v>
      </c>
      <c r="E747" s="1" t="s">
        <v>19</v>
      </c>
      <c r="F747" s="1" t="s">
        <v>46</v>
      </c>
      <c r="G747" s="1" t="s">
        <v>100</v>
      </c>
      <c r="H747" s="2">
        <v>690.0</v>
      </c>
      <c r="I747" s="2">
        <v>2510.0</v>
      </c>
      <c r="J747" s="1">
        <v>2011.0</v>
      </c>
      <c r="K747" s="1">
        <v>11.0</v>
      </c>
      <c r="L747" s="1" t="s">
        <v>141</v>
      </c>
      <c r="M747" s="1" t="s">
        <v>3028</v>
      </c>
      <c r="N747" s="1" t="s">
        <v>64</v>
      </c>
      <c r="O747" s="1" t="s">
        <v>25</v>
      </c>
      <c r="P747" s="1" t="s">
        <v>3029</v>
      </c>
    </row>
    <row r="748" ht="14.25" customHeight="1">
      <c r="A748" s="1" t="s">
        <v>3030</v>
      </c>
      <c r="B748" s="1" t="s">
        <v>3031</v>
      </c>
      <c r="C748" s="1" t="s">
        <v>39</v>
      </c>
      <c r="D748" s="1">
        <v>53113.0</v>
      </c>
      <c r="E748" s="1" t="s">
        <v>77</v>
      </c>
      <c r="F748" s="1" t="s">
        <v>41</v>
      </c>
      <c r="G748" s="1" t="s">
        <v>100</v>
      </c>
      <c r="H748" s="2">
        <v>2608.0</v>
      </c>
      <c r="I748" s="2">
        <v>8536.0</v>
      </c>
      <c r="J748" s="1">
        <v>1983.0</v>
      </c>
      <c r="K748" s="1">
        <v>73.0</v>
      </c>
      <c r="L748" s="1" t="s">
        <v>22</v>
      </c>
      <c r="M748" s="1" t="s">
        <v>3032</v>
      </c>
      <c r="N748" s="1" t="s">
        <v>64</v>
      </c>
      <c r="O748" s="1" t="s">
        <v>49</v>
      </c>
      <c r="P748" s="1" t="s">
        <v>3033</v>
      </c>
    </row>
    <row r="749" ht="14.25" customHeight="1">
      <c r="A749" s="1" t="s">
        <v>3034</v>
      </c>
      <c r="B749" s="1" t="s">
        <v>3035</v>
      </c>
      <c r="C749" s="1" t="s">
        <v>53</v>
      </c>
      <c r="D749" s="1">
        <v>79319.0</v>
      </c>
      <c r="E749" s="1" t="s">
        <v>77</v>
      </c>
      <c r="F749" s="1" t="s">
        <v>41</v>
      </c>
      <c r="G749" s="1" t="s">
        <v>55</v>
      </c>
      <c r="H749" s="2">
        <v>3648.0</v>
      </c>
      <c r="I749" s="2">
        <v>9786.0</v>
      </c>
      <c r="J749" s="1">
        <v>2011.0</v>
      </c>
      <c r="K749" s="1">
        <v>20.0</v>
      </c>
      <c r="L749" s="1" t="s">
        <v>22</v>
      </c>
      <c r="M749" s="1" t="s">
        <v>3036</v>
      </c>
      <c r="N749" s="1" t="s">
        <v>48</v>
      </c>
      <c r="O749" s="1" t="s">
        <v>35</v>
      </c>
      <c r="P749" s="1" t="s">
        <v>3037</v>
      </c>
    </row>
    <row r="750" ht="14.25" customHeight="1">
      <c r="A750" s="1" t="s">
        <v>3038</v>
      </c>
      <c r="B750" s="1" t="s">
        <v>3039</v>
      </c>
      <c r="C750" s="1" t="s">
        <v>29</v>
      </c>
      <c r="D750" s="1">
        <v>46647.0</v>
      </c>
      <c r="E750" s="1" t="s">
        <v>40</v>
      </c>
      <c r="F750" s="1" t="s">
        <v>94</v>
      </c>
      <c r="G750" s="1" t="s">
        <v>100</v>
      </c>
      <c r="H750" s="2">
        <v>2346.0</v>
      </c>
      <c r="I750" s="2">
        <v>2711.0</v>
      </c>
      <c r="J750" s="1">
        <v>2015.0</v>
      </c>
      <c r="K750" s="1">
        <v>53.0</v>
      </c>
      <c r="L750" s="1" t="s">
        <v>141</v>
      </c>
      <c r="M750" s="1" t="s">
        <v>3040</v>
      </c>
      <c r="N750" s="1" t="s">
        <v>34</v>
      </c>
      <c r="O750" s="1" t="s">
        <v>25</v>
      </c>
      <c r="P750" s="1" t="s">
        <v>3041</v>
      </c>
    </row>
    <row r="751" ht="14.25" customHeight="1">
      <c r="A751" s="1" t="s">
        <v>3042</v>
      </c>
      <c r="B751" s="1" t="s">
        <v>3043</v>
      </c>
      <c r="C751" s="1" t="s">
        <v>18</v>
      </c>
      <c r="D751" s="1">
        <v>88560.0</v>
      </c>
      <c r="E751" s="1" t="s">
        <v>77</v>
      </c>
      <c r="F751" s="1" t="s">
        <v>94</v>
      </c>
      <c r="G751" s="1" t="s">
        <v>21</v>
      </c>
      <c r="H751" s="2">
        <v>1444.0</v>
      </c>
      <c r="I751" s="2">
        <v>5827.0</v>
      </c>
      <c r="J751" s="1">
        <v>2002.0</v>
      </c>
      <c r="K751" s="1">
        <v>46.0</v>
      </c>
      <c r="L751" s="1" t="s">
        <v>95</v>
      </c>
      <c r="M751" s="1" t="s">
        <v>3044</v>
      </c>
      <c r="N751" s="1" t="s">
        <v>43</v>
      </c>
      <c r="O751" s="1" t="s">
        <v>49</v>
      </c>
      <c r="P751" s="1" t="s">
        <v>3045</v>
      </c>
    </row>
    <row r="752" ht="14.25" customHeight="1">
      <c r="A752" s="1" t="s">
        <v>3046</v>
      </c>
      <c r="B752" s="1" t="s">
        <v>3047</v>
      </c>
      <c r="C752" s="1" t="s">
        <v>53</v>
      </c>
      <c r="D752" s="1">
        <v>10506.0</v>
      </c>
      <c r="E752" s="1" t="s">
        <v>30</v>
      </c>
      <c r="F752" s="1" t="s">
        <v>94</v>
      </c>
      <c r="G752" s="1" t="s">
        <v>100</v>
      </c>
      <c r="H752" s="2">
        <v>734.0</v>
      </c>
      <c r="I752" s="2">
        <v>2587.0</v>
      </c>
      <c r="J752" s="1">
        <v>2015.0</v>
      </c>
      <c r="K752" s="1">
        <v>9.0</v>
      </c>
      <c r="L752" s="1" t="s">
        <v>95</v>
      </c>
      <c r="M752" s="1" t="s">
        <v>3048</v>
      </c>
      <c r="N752" s="1" t="s">
        <v>48</v>
      </c>
      <c r="O752" s="1" t="s">
        <v>35</v>
      </c>
      <c r="P752" s="1" t="s">
        <v>3049</v>
      </c>
    </row>
    <row r="753" ht="14.25" customHeight="1">
      <c r="A753" s="1" t="s">
        <v>3050</v>
      </c>
      <c r="B753" s="1" t="s">
        <v>3051</v>
      </c>
      <c r="C753" s="1" t="s">
        <v>18</v>
      </c>
      <c r="D753" s="1">
        <v>89557.0</v>
      </c>
      <c r="E753" s="1" t="s">
        <v>40</v>
      </c>
      <c r="F753" s="1" t="s">
        <v>61</v>
      </c>
      <c r="G753" s="1" t="s">
        <v>55</v>
      </c>
      <c r="H753" s="2">
        <v>1555.0</v>
      </c>
      <c r="I753" s="2">
        <v>1662.0</v>
      </c>
      <c r="J753" s="1">
        <v>1969.0</v>
      </c>
      <c r="K753" s="1">
        <v>15.0</v>
      </c>
      <c r="L753" s="1" t="s">
        <v>95</v>
      </c>
      <c r="M753" s="1" t="s">
        <v>3052</v>
      </c>
      <c r="N753" s="1" t="s">
        <v>24</v>
      </c>
      <c r="O753" s="1" t="s">
        <v>25</v>
      </c>
      <c r="P753" s="1" t="s">
        <v>3053</v>
      </c>
    </row>
    <row r="754" ht="14.25" customHeight="1">
      <c r="A754" s="1" t="s">
        <v>3054</v>
      </c>
      <c r="B754" s="1" t="s">
        <v>3055</v>
      </c>
      <c r="C754" s="1" t="s">
        <v>29</v>
      </c>
      <c r="D754" s="1">
        <v>88151.0</v>
      </c>
      <c r="E754" s="1" t="s">
        <v>30</v>
      </c>
      <c r="F754" s="1" t="s">
        <v>94</v>
      </c>
      <c r="G754" s="1" t="s">
        <v>55</v>
      </c>
      <c r="H754" s="2">
        <v>688.0</v>
      </c>
      <c r="I754" s="2">
        <v>5098.0</v>
      </c>
      <c r="J754" s="1">
        <v>2018.0</v>
      </c>
      <c r="K754" s="1">
        <v>48.0</v>
      </c>
      <c r="L754" s="1" t="s">
        <v>62</v>
      </c>
      <c r="M754" s="1" t="s">
        <v>3056</v>
      </c>
      <c r="N754" s="1" t="s">
        <v>64</v>
      </c>
      <c r="O754" s="1" t="s">
        <v>25</v>
      </c>
      <c r="P754" s="1" t="s">
        <v>3057</v>
      </c>
    </row>
    <row r="755" ht="14.25" customHeight="1">
      <c r="A755" s="1" t="s">
        <v>3058</v>
      </c>
      <c r="B755" s="1" t="s">
        <v>3059</v>
      </c>
      <c r="C755" s="1" t="s">
        <v>39</v>
      </c>
      <c r="D755" s="1">
        <v>57436.0</v>
      </c>
      <c r="E755" s="1" t="s">
        <v>19</v>
      </c>
      <c r="F755" s="1" t="s">
        <v>41</v>
      </c>
      <c r="G755" s="1" t="s">
        <v>100</v>
      </c>
      <c r="H755" s="2">
        <v>2500.0</v>
      </c>
      <c r="I755" s="2">
        <v>4258.0</v>
      </c>
      <c r="J755" s="1">
        <v>1987.0</v>
      </c>
      <c r="K755" s="1">
        <v>28.0</v>
      </c>
      <c r="L755" s="1" t="s">
        <v>22</v>
      </c>
      <c r="M755" s="1" t="s">
        <v>3060</v>
      </c>
      <c r="N755" s="1" t="s">
        <v>34</v>
      </c>
      <c r="O755" s="1" t="s">
        <v>25</v>
      </c>
      <c r="P755" s="1" t="s">
        <v>3061</v>
      </c>
    </row>
    <row r="756" ht="14.25" customHeight="1">
      <c r="A756" s="1" t="s">
        <v>3062</v>
      </c>
      <c r="B756" s="1" t="s">
        <v>3063</v>
      </c>
      <c r="C756" s="1" t="s">
        <v>39</v>
      </c>
      <c r="D756" s="1">
        <v>67537.0</v>
      </c>
      <c r="E756" s="1" t="s">
        <v>40</v>
      </c>
      <c r="F756" s="1" t="s">
        <v>46</v>
      </c>
      <c r="G756" s="1" t="s">
        <v>55</v>
      </c>
      <c r="H756" s="2">
        <v>2884.0</v>
      </c>
      <c r="I756" s="2">
        <v>3523.0</v>
      </c>
      <c r="J756" s="1">
        <v>2009.0</v>
      </c>
      <c r="K756" s="1">
        <v>66.0</v>
      </c>
      <c r="L756" s="1" t="s">
        <v>95</v>
      </c>
      <c r="M756" s="1" t="s">
        <v>3064</v>
      </c>
      <c r="N756" s="1" t="s">
        <v>34</v>
      </c>
      <c r="O756" s="1" t="s">
        <v>25</v>
      </c>
      <c r="P756" s="1" t="s">
        <v>3065</v>
      </c>
    </row>
    <row r="757" ht="14.25" customHeight="1">
      <c r="A757" s="1" t="s">
        <v>3066</v>
      </c>
      <c r="B757" s="1" t="s">
        <v>3067</v>
      </c>
      <c r="C757" s="1" t="s">
        <v>18</v>
      </c>
      <c r="D757" s="1">
        <v>23637.0</v>
      </c>
      <c r="E757" s="1" t="s">
        <v>77</v>
      </c>
      <c r="F757" s="1" t="s">
        <v>46</v>
      </c>
      <c r="G757" s="1" t="s">
        <v>31</v>
      </c>
      <c r="H757" s="2">
        <v>3857.0</v>
      </c>
      <c r="I757" s="2">
        <v>8715.0</v>
      </c>
      <c r="J757" s="1">
        <v>2016.0</v>
      </c>
      <c r="K757" s="1">
        <v>86.0</v>
      </c>
      <c r="L757" s="1" t="s">
        <v>141</v>
      </c>
      <c r="M757" s="1" t="s">
        <v>3068</v>
      </c>
      <c r="N757" s="1" t="s">
        <v>64</v>
      </c>
      <c r="O757" s="1" t="s">
        <v>35</v>
      </c>
      <c r="P757" s="1" t="s">
        <v>3069</v>
      </c>
    </row>
    <row r="758" ht="14.25" customHeight="1">
      <c r="A758" s="1" t="s">
        <v>3070</v>
      </c>
      <c r="B758" s="1" t="s">
        <v>3071</v>
      </c>
      <c r="C758" s="1" t="s">
        <v>76</v>
      </c>
      <c r="D758" s="1">
        <v>27396.0</v>
      </c>
      <c r="E758" s="1" t="s">
        <v>77</v>
      </c>
      <c r="F758" s="1" t="s">
        <v>46</v>
      </c>
      <c r="G758" s="1" t="s">
        <v>21</v>
      </c>
      <c r="H758" s="2">
        <v>3600.0</v>
      </c>
      <c r="I758" s="2">
        <v>8054.0</v>
      </c>
      <c r="J758" s="1">
        <v>1983.0</v>
      </c>
      <c r="K758" s="1">
        <v>5.0</v>
      </c>
      <c r="L758" s="1" t="s">
        <v>22</v>
      </c>
      <c r="M758" s="1" t="s">
        <v>3072</v>
      </c>
      <c r="N758" s="1" t="s">
        <v>64</v>
      </c>
      <c r="O758" s="1" t="s">
        <v>25</v>
      </c>
      <c r="P758" s="1" t="s">
        <v>3073</v>
      </c>
    </row>
    <row r="759" ht="14.25" customHeight="1">
      <c r="A759" s="1" t="s">
        <v>3074</v>
      </c>
      <c r="B759" s="1" t="s">
        <v>3075</v>
      </c>
      <c r="C759" s="1" t="s">
        <v>18</v>
      </c>
      <c r="D759" s="1">
        <v>48584.0</v>
      </c>
      <c r="E759" s="1" t="s">
        <v>77</v>
      </c>
      <c r="F759" s="1" t="s">
        <v>20</v>
      </c>
      <c r="G759" s="1" t="s">
        <v>21</v>
      </c>
      <c r="H759" s="2">
        <v>798.0</v>
      </c>
      <c r="I759" s="2">
        <v>2972.0</v>
      </c>
      <c r="J759" s="1">
        <v>1967.0</v>
      </c>
      <c r="K759" s="1">
        <v>76.0</v>
      </c>
      <c r="L759" s="1" t="s">
        <v>95</v>
      </c>
      <c r="M759" s="1" t="s">
        <v>3076</v>
      </c>
      <c r="N759" s="1" t="s">
        <v>43</v>
      </c>
      <c r="O759" s="1" t="s">
        <v>35</v>
      </c>
      <c r="P759" s="1" t="s">
        <v>3077</v>
      </c>
    </row>
    <row r="760" ht="14.25" customHeight="1">
      <c r="A760" s="1" t="s">
        <v>3078</v>
      </c>
      <c r="B760" s="1" t="s">
        <v>3079</v>
      </c>
      <c r="C760" s="1" t="s">
        <v>39</v>
      </c>
      <c r="D760" s="1">
        <v>77410.0</v>
      </c>
      <c r="E760" s="1" t="s">
        <v>19</v>
      </c>
      <c r="F760" s="1" t="s">
        <v>20</v>
      </c>
      <c r="G760" s="1" t="s">
        <v>21</v>
      </c>
      <c r="H760" s="2">
        <v>2292.0</v>
      </c>
      <c r="I760" s="2">
        <v>5579.0</v>
      </c>
      <c r="J760" s="1">
        <v>2001.0</v>
      </c>
      <c r="K760" s="1">
        <v>103.0</v>
      </c>
      <c r="L760" s="1" t="s">
        <v>32</v>
      </c>
      <c r="M760" s="1" t="s">
        <v>3080</v>
      </c>
      <c r="N760" s="1" t="s">
        <v>48</v>
      </c>
      <c r="O760" s="1" t="s">
        <v>35</v>
      </c>
      <c r="P760" s="1" t="s">
        <v>3081</v>
      </c>
    </row>
    <row r="761" ht="14.25" customHeight="1">
      <c r="A761" s="1" t="s">
        <v>3082</v>
      </c>
      <c r="B761" s="1" t="s">
        <v>3083</v>
      </c>
      <c r="C761" s="1" t="s">
        <v>18</v>
      </c>
      <c r="D761" s="1">
        <v>25867.0</v>
      </c>
      <c r="E761" s="1" t="s">
        <v>19</v>
      </c>
      <c r="F761" s="1" t="s">
        <v>20</v>
      </c>
      <c r="G761" s="1" t="s">
        <v>21</v>
      </c>
      <c r="H761" s="2">
        <v>3157.0</v>
      </c>
      <c r="I761" s="2">
        <v>8457.0</v>
      </c>
      <c r="J761" s="1">
        <v>2010.0</v>
      </c>
      <c r="K761" s="1">
        <v>4.0</v>
      </c>
      <c r="L761" s="1" t="s">
        <v>95</v>
      </c>
      <c r="M761" s="1" t="s">
        <v>3084</v>
      </c>
      <c r="N761" s="1" t="s">
        <v>48</v>
      </c>
      <c r="O761" s="1" t="s">
        <v>25</v>
      </c>
      <c r="P761" s="1" t="s">
        <v>3085</v>
      </c>
    </row>
    <row r="762" ht="14.25" customHeight="1">
      <c r="A762" s="1" t="s">
        <v>3086</v>
      </c>
      <c r="B762" s="1" t="s">
        <v>3087</v>
      </c>
      <c r="C762" s="1" t="s">
        <v>53</v>
      </c>
      <c r="D762" s="1">
        <v>75253.0</v>
      </c>
      <c r="E762" s="1" t="s">
        <v>30</v>
      </c>
      <c r="F762" s="1" t="s">
        <v>54</v>
      </c>
      <c r="G762" s="1" t="s">
        <v>31</v>
      </c>
      <c r="H762" s="2">
        <v>863.0</v>
      </c>
      <c r="I762" s="2">
        <v>3598.0</v>
      </c>
      <c r="J762" s="1">
        <v>2015.0</v>
      </c>
      <c r="K762" s="1">
        <v>83.0</v>
      </c>
      <c r="L762" s="1" t="s">
        <v>62</v>
      </c>
      <c r="M762" s="1" t="s">
        <v>3088</v>
      </c>
      <c r="N762" s="1" t="s">
        <v>34</v>
      </c>
      <c r="O762" s="1" t="s">
        <v>25</v>
      </c>
      <c r="P762" s="1" t="s">
        <v>3089</v>
      </c>
    </row>
    <row r="763" ht="14.25" customHeight="1">
      <c r="A763" s="1" t="s">
        <v>3090</v>
      </c>
      <c r="B763" s="1" t="s">
        <v>3091</v>
      </c>
      <c r="C763" s="1" t="s">
        <v>53</v>
      </c>
      <c r="D763" s="1">
        <v>83724.0</v>
      </c>
      <c r="E763" s="1" t="s">
        <v>19</v>
      </c>
      <c r="F763" s="1" t="s">
        <v>20</v>
      </c>
      <c r="G763" s="1" t="s">
        <v>55</v>
      </c>
      <c r="H763" s="2">
        <v>1333.0</v>
      </c>
      <c r="I763" s="2">
        <v>3640.0</v>
      </c>
      <c r="J763" s="1">
        <v>1998.0</v>
      </c>
      <c r="K763" s="1">
        <v>105.0</v>
      </c>
      <c r="L763" s="1" t="s">
        <v>95</v>
      </c>
      <c r="M763" s="1" t="s">
        <v>3092</v>
      </c>
      <c r="N763" s="1" t="s">
        <v>34</v>
      </c>
      <c r="O763" s="1" t="s">
        <v>49</v>
      </c>
      <c r="P763" s="1" t="s">
        <v>3093</v>
      </c>
    </row>
    <row r="764" ht="14.25" customHeight="1">
      <c r="A764" s="1" t="s">
        <v>3094</v>
      </c>
      <c r="B764" s="1" t="s">
        <v>3095</v>
      </c>
      <c r="C764" s="1" t="s">
        <v>76</v>
      </c>
      <c r="D764" s="1">
        <v>11432.0</v>
      </c>
      <c r="E764" s="1" t="s">
        <v>40</v>
      </c>
      <c r="F764" s="1" t="s">
        <v>20</v>
      </c>
      <c r="G764" s="1" t="s">
        <v>55</v>
      </c>
      <c r="H764" s="2">
        <v>3379.0</v>
      </c>
      <c r="I764" s="2">
        <v>1670.0</v>
      </c>
      <c r="J764" s="1">
        <v>2013.0</v>
      </c>
      <c r="K764" s="1">
        <v>70.0</v>
      </c>
      <c r="L764" s="1" t="s">
        <v>95</v>
      </c>
      <c r="M764" s="1" t="s">
        <v>3096</v>
      </c>
      <c r="N764" s="1" t="s">
        <v>34</v>
      </c>
      <c r="O764" s="1" t="s">
        <v>25</v>
      </c>
      <c r="P764" s="1" t="s">
        <v>3097</v>
      </c>
    </row>
    <row r="765" ht="14.25" customHeight="1">
      <c r="A765" s="1" t="s">
        <v>3098</v>
      </c>
      <c r="B765" s="1" t="s">
        <v>3099</v>
      </c>
      <c r="C765" s="1" t="s">
        <v>18</v>
      </c>
      <c r="D765" s="1">
        <v>80722.0</v>
      </c>
      <c r="E765" s="1" t="s">
        <v>77</v>
      </c>
      <c r="F765" s="1" t="s">
        <v>46</v>
      </c>
      <c r="G765" s="1" t="s">
        <v>21</v>
      </c>
      <c r="H765" s="2">
        <v>1378.0</v>
      </c>
      <c r="I765" s="2">
        <v>8884.0</v>
      </c>
      <c r="J765" s="1">
        <v>2022.0</v>
      </c>
      <c r="K765" s="1">
        <v>92.0</v>
      </c>
      <c r="L765" s="1" t="s">
        <v>62</v>
      </c>
      <c r="M765" s="1" t="s">
        <v>3100</v>
      </c>
      <c r="N765" s="1" t="s">
        <v>34</v>
      </c>
      <c r="O765" s="1" t="s">
        <v>35</v>
      </c>
      <c r="P765" s="1" t="s">
        <v>3101</v>
      </c>
    </row>
    <row r="766" ht="14.25" customHeight="1">
      <c r="A766" s="1" t="s">
        <v>3102</v>
      </c>
      <c r="B766" s="1" t="s">
        <v>3103</v>
      </c>
      <c r="C766" s="1" t="s">
        <v>76</v>
      </c>
      <c r="D766" s="1">
        <v>71524.0</v>
      </c>
      <c r="E766" s="1" t="s">
        <v>30</v>
      </c>
      <c r="F766" s="1" t="s">
        <v>46</v>
      </c>
      <c r="G766" s="1" t="s">
        <v>31</v>
      </c>
      <c r="H766" s="2">
        <v>2731.0</v>
      </c>
      <c r="I766" s="2">
        <v>4407.0</v>
      </c>
      <c r="J766" s="1">
        <v>2023.0</v>
      </c>
      <c r="K766" s="1">
        <v>2.0</v>
      </c>
      <c r="L766" s="1" t="s">
        <v>62</v>
      </c>
      <c r="M766" s="1" t="s">
        <v>3104</v>
      </c>
      <c r="N766" s="1" t="s">
        <v>48</v>
      </c>
      <c r="O766" s="1" t="s">
        <v>49</v>
      </c>
      <c r="P766" s="1" t="s">
        <v>3105</v>
      </c>
    </row>
    <row r="767" ht="14.25" customHeight="1">
      <c r="A767" s="1" t="s">
        <v>3106</v>
      </c>
      <c r="B767" s="1" t="s">
        <v>3107</v>
      </c>
      <c r="C767" s="1" t="s">
        <v>18</v>
      </c>
      <c r="D767" s="1">
        <v>98236.0</v>
      </c>
      <c r="E767" s="1" t="s">
        <v>30</v>
      </c>
      <c r="F767" s="1" t="s">
        <v>46</v>
      </c>
      <c r="G767" s="1" t="s">
        <v>55</v>
      </c>
      <c r="H767" s="2">
        <v>1184.0</v>
      </c>
      <c r="I767" s="2">
        <v>3972.0</v>
      </c>
      <c r="J767" s="1">
        <v>2010.0</v>
      </c>
      <c r="K767" s="1">
        <v>88.0</v>
      </c>
      <c r="L767" s="1" t="s">
        <v>141</v>
      </c>
      <c r="M767" s="1" t="s">
        <v>3108</v>
      </c>
      <c r="N767" s="1" t="s">
        <v>64</v>
      </c>
      <c r="O767" s="1" t="s">
        <v>35</v>
      </c>
      <c r="P767" s="1" t="s">
        <v>3109</v>
      </c>
    </row>
    <row r="768" ht="14.25" customHeight="1">
      <c r="A768" s="1" t="s">
        <v>3110</v>
      </c>
      <c r="B768" s="1" t="s">
        <v>3111</v>
      </c>
      <c r="C768" s="1" t="s">
        <v>53</v>
      </c>
      <c r="D768" s="1">
        <v>89919.0</v>
      </c>
      <c r="E768" s="1" t="s">
        <v>40</v>
      </c>
      <c r="F768" s="1" t="s">
        <v>46</v>
      </c>
      <c r="G768" s="1" t="s">
        <v>55</v>
      </c>
      <c r="H768" s="2">
        <v>3102.0</v>
      </c>
      <c r="I768" s="2">
        <v>6488.0</v>
      </c>
      <c r="J768" s="1">
        <v>2002.0</v>
      </c>
      <c r="K768" s="1">
        <v>120.0</v>
      </c>
      <c r="L768" s="1" t="s">
        <v>32</v>
      </c>
      <c r="M768" s="1" t="s">
        <v>3112</v>
      </c>
      <c r="N768" s="1" t="s">
        <v>43</v>
      </c>
      <c r="O768" s="1" t="s">
        <v>49</v>
      </c>
      <c r="P768" s="1" t="s">
        <v>3113</v>
      </c>
    </row>
    <row r="769" ht="14.25" customHeight="1">
      <c r="A769" s="1" t="s">
        <v>3114</v>
      </c>
      <c r="B769" s="1" t="s">
        <v>3115</v>
      </c>
      <c r="C769" s="1" t="s">
        <v>18</v>
      </c>
      <c r="D769" s="1">
        <v>65564.0</v>
      </c>
      <c r="E769" s="1" t="s">
        <v>60</v>
      </c>
      <c r="F769" s="1" t="s">
        <v>20</v>
      </c>
      <c r="G769" s="1" t="s">
        <v>100</v>
      </c>
      <c r="H769" s="2">
        <v>3948.0</v>
      </c>
      <c r="I769" s="2">
        <v>4253.0</v>
      </c>
      <c r="J769" s="1">
        <v>1995.0</v>
      </c>
      <c r="K769" s="1">
        <v>55.0</v>
      </c>
      <c r="L769" s="1" t="s">
        <v>22</v>
      </c>
      <c r="M769" s="1" t="s">
        <v>3116</v>
      </c>
      <c r="N769" s="1" t="s">
        <v>34</v>
      </c>
      <c r="O769" s="1" t="s">
        <v>49</v>
      </c>
      <c r="P769" s="1" t="s">
        <v>3117</v>
      </c>
    </row>
    <row r="770" ht="14.25" customHeight="1">
      <c r="A770" s="1" t="s">
        <v>3118</v>
      </c>
      <c r="B770" s="1" t="s">
        <v>3119</v>
      </c>
      <c r="C770" s="1" t="s">
        <v>18</v>
      </c>
      <c r="D770" s="1">
        <v>46273.0</v>
      </c>
      <c r="E770" s="1" t="s">
        <v>30</v>
      </c>
      <c r="F770" s="1" t="s">
        <v>41</v>
      </c>
      <c r="G770" s="1" t="s">
        <v>31</v>
      </c>
      <c r="H770" s="2">
        <v>786.0</v>
      </c>
      <c r="I770" s="2">
        <v>5942.0</v>
      </c>
      <c r="J770" s="1">
        <v>2002.0</v>
      </c>
      <c r="K770" s="1">
        <v>103.0</v>
      </c>
      <c r="L770" s="1" t="s">
        <v>95</v>
      </c>
      <c r="M770" s="1" t="s">
        <v>3120</v>
      </c>
      <c r="N770" s="1" t="s">
        <v>34</v>
      </c>
      <c r="O770" s="1" t="s">
        <v>25</v>
      </c>
      <c r="P770" s="1" t="s">
        <v>3121</v>
      </c>
    </row>
    <row r="771" ht="14.25" customHeight="1">
      <c r="A771" s="1" t="s">
        <v>3122</v>
      </c>
      <c r="B771" s="1" t="s">
        <v>3123</v>
      </c>
      <c r="C771" s="1" t="s">
        <v>18</v>
      </c>
      <c r="D771" s="1">
        <v>77457.0</v>
      </c>
      <c r="E771" s="1" t="s">
        <v>77</v>
      </c>
      <c r="F771" s="1" t="s">
        <v>54</v>
      </c>
      <c r="G771" s="1" t="s">
        <v>100</v>
      </c>
      <c r="H771" s="2">
        <v>890.0</v>
      </c>
      <c r="I771" s="2">
        <v>6226.0</v>
      </c>
      <c r="J771" s="1">
        <v>1999.0</v>
      </c>
      <c r="K771" s="1">
        <v>29.0</v>
      </c>
      <c r="L771" s="1" t="s">
        <v>95</v>
      </c>
      <c r="M771" s="1" t="s">
        <v>3124</v>
      </c>
      <c r="N771" s="1" t="s">
        <v>34</v>
      </c>
      <c r="O771" s="1" t="s">
        <v>25</v>
      </c>
      <c r="P771" s="1" t="s">
        <v>3125</v>
      </c>
    </row>
    <row r="772" ht="14.25" customHeight="1">
      <c r="A772" s="1" t="s">
        <v>3126</v>
      </c>
      <c r="B772" s="1" t="s">
        <v>3127</v>
      </c>
      <c r="C772" s="1" t="s">
        <v>39</v>
      </c>
      <c r="D772" s="1">
        <v>47736.0</v>
      </c>
      <c r="E772" s="1" t="s">
        <v>19</v>
      </c>
      <c r="F772" s="1" t="s">
        <v>41</v>
      </c>
      <c r="G772" s="1" t="s">
        <v>100</v>
      </c>
      <c r="H772" s="2">
        <v>1851.0</v>
      </c>
      <c r="I772" s="2">
        <v>6489.0</v>
      </c>
      <c r="J772" s="1">
        <v>2015.0</v>
      </c>
      <c r="K772" s="1">
        <v>22.0</v>
      </c>
      <c r="L772" s="1" t="s">
        <v>32</v>
      </c>
      <c r="M772" s="1" t="s">
        <v>3128</v>
      </c>
      <c r="N772" s="1" t="s">
        <v>24</v>
      </c>
      <c r="O772" s="1" t="s">
        <v>49</v>
      </c>
      <c r="P772" s="1" t="s">
        <v>3129</v>
      </c>
    </row>
    <row r="773" ht="14.25" customHeight="1">
      <c r="A773" s="1" t="s">
        <v>3130</v>
      </c>
      <c r="B773" s="1" t="s">
        <v>3131</v>
      </c>
      <c r="C773" s="1" t="s">
        <v>18</v>
      </c>
      <c r="D773" s="1">
        <v>33841.0</v>
      </c>
      <c r="E773" s="1" t="s">
        <v>40</v>
      </c>
      <c r="F773" s="1" t="s">
        <v>94</v>
      </c>
      <c r="G773" s="1" t="s">
        <v>31</v>
      </c>
      <c r="H773" s="2">
        <v>2991.0</v>
      </c>
      <c r="I773" s="2">
        <v>1778.0</v>
      </c>
      <c r="J773" s="1">
        <v>1965.0</v>
      </c>
      <c r="K773" s="1">
        <v>74.0</v>
      </c>
      <c r="L773" s="1" t="s">
        <v>22</v>
      </c>
      <c r="M773" s="1" t="s">
        <v>3132</v>
      </c>
      <c r="N773" s="1" t="s">
        <v>24</v>
      </c>
      <c r="O773" s="1" t="s">
        <v>35</v>
      </c>
      <c r="P773" s="1" t="s">
        <v>3133</v>
      </c>
    </row>
    <row r="774" ht="14.25" customHeight="1">
      <c r="A774" s="1" t="s">
        <v>3134</v>
      </c>
      <c r="B774" s="1" t="s">
        <v>3135</v>
      </c>
      <c r="C774" s="1" t="s">
        <v>76</v>
      </c>
      <c r="D774" s="1">
        <v>89187.0</v>
      </c>
      <c r="E774" s="1" t="s">
        <v>30</v>
      </c>
      <c r="F774" s="1" t="s">
        <v>46</v>
      </c>
      <c r="G774" s="1" t="s">
        <v>31</v>
      </c>
      <c r="H774" s="2">
        <v>2828.0</v>
      </c>
      <c r="I774" s="2">
        <v>7470.0</v>
      </c>
      <c r="J774" s="1">
        <v>1986.0</v>
      </c>
      <c r="K774" s="1">
        <v>118.0</v>
      </c>
      <c r="L774" s="1" t="s">
        <v>32</v>
      </c>
      <c r="M774" s="1" t="s">
        <v>3136</v>
      </c>
      <c r="N774" s="1" t="s">
        <v>24</v>
      </c>
      <c r="O774" s="1" t="s">
        <v>25</v>
      </c>
      <c r="P774" s="1" t="s">
        <v>3137</v>
      </c>
    </row>
    <row r="775" ht="14.25" customHeight="1">
      <c r="A775" s="1" t="s">
        <v>3138</v>
      </c>
      <c r="B775" s="1" t="s">
        <v>3139</v>
      </c>
      <c r="C775" s="1" t="s">
        <v>53</v>
      </c>
      <c r="D775" s="1">
        <v>58462.0</v>
      </c>
      <c r="E775" s="1" t="s">
        <v>30</v>
      </c>
      <c r="F775" s="1" t="s">
        <v>20</v>
      </c>
      <c r="G775" s="1" t="s">
        <v>100</v>
      </c>
      <c r="H775" s="2">
        <v>1791.0</v>
      </c>
      <c r="I775" s="2">
        <v>1988.0</v>
      </c>
      <c r="J775" s="1">
        <v>1978.0</v>
      </c>
      <c r="K775" s="1">
        <v>73.0</v>
      </c>
      <c r="L775" s="1" t="s">
        <v>95</v>
      </c>
      <c r="M775" s="1" t="s">
        <v>3140</v>
      </c>
      <c r="N775" s="1" t="s">
        <v>34</v>
      </c>
      <c r="O775" s="1" t="s">
        <v>25</v>
      </c>
      <c r="P775" s="1" t="s">
        <v>3141</v>
      </c>
    </row>
    <row r="776" ht="14.25" customHeight="1">
      <c r="A776" s="1" t="s">
        <v>3142</v>
      </c>
      <c r="B776" s="1" t="s">
        <v>3143</v>
      </c>
      <c r="C776" s="1" t="s">
        <v>53</v>
      </c>
      <c r="D776" s="1">
        <v>61679.0</v>
      </c>
      <c r="E776" s="1" t="s">
        <v>60</v>
      </c>
      <c r="F776" s="1" t="s">
        <v>61</v>
      </c>
      <c r="G776" s="1" t="s">
        <v>55</v>
      </c>
      <c r="H776" s="2">
        <v>2434.0</v>
      </c>
      <c r="I776" s="2">
        <v>6501.0</v>
      </c>
      <c r="J776" s="1">
        <v>1981.0</v>
      </c>
      <c r="K776" s="1">
        <v>119.0</v>
      </c>
      <c r="L776" s="1" t="s">
        <v>22</v>
      </c>
      <c r="M776" s="1" t="s">
        <v>3144</v>
      </c>
      <c r="N776" s="1" t="s">
        <v>24</v>
      </c>
      <c r="O776" s="1" t="s">
        <v>49</v>
      </c>
      <c r="P776" s="1" t="s">
        <v>3145</v>
      </c>
    </row>
    <row r="777" ht="14.25" customHeight="1">
      <c r="A777" s="1" t="s">
        <v>3146</v>
      </c>
      <c r="B777" s="1" t="s">
        <v>3147</v>
      </c>
      <c r="C777" s="1" t="s">
        <v>39</v>
      </c>
      <c r="D777" s="1">
        <v>33285.0</v>
      </c>
      <c r="E777" s="1" t="s">
        <v>40</v>
      </c>
      <c r="F777" s="1" t="s">
        <v>61</v>
      </c>
      <c r="G777" s="1" t="s">
        <v>31</v>
      </c>
      <c r="H777" s="2">
        <v>3721.0</v>
      </c>
      <c r="I777" s="2">
        <v>7132.0</v>
      </c>
      <c r="J777" s="1">
        <v>1955.0</v>
      </c>
      <c r="K777" s="1">
        <v>65.0</v>
      </c>
      <c r="L777" s="1" t="s">
        <v>62</v>
      </c>
      <c r="M777" s="1" t="s">
        <v>3148</v>
      </c>
      <c r="N777" s="1" t="s">
        <v>34</v>
      </c>
      <c r="O777" s="1" t="s">
        <v>49</v>
      </c>
      <c r="P777" s="1" t="s">
        <v>3149</v>
      </c>
    </row>
    <row r="778" ht="14.25" customHeight="1">
      <c r="A778" s="1" t="s">
        <v>3150</v>
      </c>
      <c r="B778" s="1" t="s">
        <v>3151</v>
      </c>
      <c r="C778" s="1" t="s">
        <v>39</v>
      </c>
      <c r="D778" s="1">
        <v>45702.0</v>
      </c>
      <c r="E778" s="1" t="s">
        <v>77</v>
      </c>
      <c r="F778" s="1" t="s">
        <v>20</v>
      </c>
      <c r="G778" s="1" t="s">
        <v>21</v>
      </c>
      <c r="H778" s="2">
        <v>2696.0</v>
      </c>
      <c r="I778" s="2">
        <v>8955.0</v>
      </c>
      <c r="J778" s="1">
        <v>1957.0</v>
      </c>
      <c r="K778" s="1">
        <v>7.0</v>
      </c>
      <c r="L778" s="1" t="s">
        <v>32</v>
      </c>
      <c r="M778" s="1" t="s">
        <v>3152</v>
      </c>
      <c r="N778" s="1" t="s">
        <v>24</v>
      </c>
      <c r="O778" s="1" t="s">
        <v>25</v>
      </c>
      <c r="P778" s="1" t="s">
        <v>3153</v>
      </c>
    </row>
    <row r="779" ht="14.25" customHeight="1">
      <c r="A779" s="1" t="s">
        <v>3154</v>
      </c>
      <c r="B779" s="1" t="s">
        <v>3155</v>
      </c>
      <c r="C779" s="1" t="s">
        <v>53</v>
      </c>
      <c r="D779" s="1">
        <v>90010.0</v>
      </c>
      <c r="E779" s="1" t="s">
        <v>30</v>
      </c>
      <c r="F779" s="1" t="s">
        <v>61</v>
      </c>
      <c r="G779" s="1" t="s">
        <v>21</v>
      </c>
      <c r="H779" s="2">
        <v>3579.0</v>
      </c>
      <c r="I779" s="2">
        <v>2532.0</v>
      </c>
      <c r="J779" s="1">
        <v>1955.0</v>
      </c>
      <c r="K779" s="1">
        <v>118.0</v>
      </c>
      <c r="L779" s="1" t="s">
        <v>32</v>
      </c>
      <c r="M779" s="1" t="s">
        <v>3156</v>
      </c>
      <c r="N779" s="1" t="s">
        <v>24</v>
      </c>
      <c r="O779" s="1" t="s">
        <v>35</v>
      </c>
      <c r="P779" s="1" t="s">
        <v>3157</v>
      </c>
    </row>
    <row r="780" ht="14.25" customHeight="1">
      <c r="A780" s="1" t="s">
        <v>3158</v>
      </c>
      <c r="B780" s="1" t="s">
        <v>3159</v>
      </c>
      <c r="C780" s="1" t="s">
        <v>29</v>
      </c>
      <c r="D780" s="1">
        <v>92296.0</v>
      </c>
      <c r="E780" s="1" t="s">
        <v>30</v>
      </c>
      <c r="F780" s="1" t="s">
        <v>61</v>
      </c>
      <c r="G780" s="1" t="s">
        <v>21</v>
      </c>
      <c r="H780" s="2">
        <v>646.0</v>
      </c>
      <c r="I780" s="2">
        <v>4846.0</v>
      </c>
      <c r="J780" s="1">
        <v>1980.0</v>
      </c>
      <c r="K780" s="1">
        <v>45.0</v>
      </c>
      <c r="L780" s="1" t="s">
        <v>32</v>
      </c>
      <c r="M780" s="1" t="s">
        <v>3160</v>
      </c>
      <c r="N780" s="1" t="s">
        <v>24</v>
      </c>
      <c r="O780" s="1" t="s">
        <v>25</v>
      </c>
      <c r="P780" s="1" t="s">
        <v>3161</v>
      </c>
    </row>
    <row r="781" ht="14.25" customHeight="1">
      <c r="A781" s="1" t="s">
        <v>3162</v>
      </c>
      <c r="B781" s="1" t="s">
        <v>3163</v>
      </c>
      <c r="C781" s="1" t="s">
        <v>29</v>
      </c>
      <c r="D781" s="1">
        <v>66275.0</v>
      </c>
      <c r="E781" s="1" t="s">
        <v>30</v>
      </c>
      <c r="F781" s="1" t="s">
        <v>20</v>
      </c>
      <c r="G781" s="1" t="s">
        <v>100</v>
      </c>
      <c r="H781" s="2">
        <v>3485.0</v>
      </c>
      <c r="I781" s="2">
        <v>9074.0</v>
      </c>
      <c r="J781" s="1">
        <v>1989.0</v>
      </c>
      <c r="K781" s="1">
        <v>101.0</v>
      </c>
      <c r="L781" s="1" t="s">
        <v>62</v>
      </c>
      <c r="M781" s="1" t="s">
        <v>3164</v>
      </c>
      <c r="N781" s="1" t="s">
        <v>48</v>
      </c>
      <c r="O781" s="1" t="s">
        <v>49</v>
      </c>
      <c r="P781" s="1" t="s">
        <v>3165</v>
      </c>
    </row>
    <row r="782" ht="14.25" customHeight="1">
      <c r="A782" s="1" t="s">
        <v>3166</v>
      </c>
      <c r="B782" s="1" t="s">
        <v>3167</v>
      </c>
      <c r="C782" s="1" t="s">
        <v>53</v>
      </c>
      <c r="D782" s="1">
        <v>23668.0</v>
      </c>
      <c r="E782" s="1" t="s">
        <v>30</v>
      </c>
      <c r="F782" s="1" t="s">
        <v>54</v>
      </c>
      <c r="G782" s="1" t="s">
        <v>55</v>
      </c>
      <c r="H782" s="2">
        <v>2742.0</v>
      </c>
      <c r="I782" s="2">
        <v>2878.0</v>
      </c>
      <c r="J782" s="1">
        <v>1951.0</v>
      </c>
      <c r="K782" s="1">
        <v>67.0</v>
      </c>
      <c r="L782" s="1" t="s">
        <v>95</v>
      </c>
      <c r="M782" s="1" t="s">
        <v>3168</v>
      </c>
      <c r="N782" s="1" t="s">
        <v>24</v>
      </c>
      <c r="O782" s="1" t="s">
        <v>35</v>
      </c>
      <c r="P782" s="1" t="s">
        <v>3169</v>
      </c>
    </row>
    <row r="783" ht="14.25" customHeight="1">
      <c r="A783" s="1" t="s">
        <v>3170</v>
      </c>
      <c r="B783" s="1" t="s">
        <v>3171</v>
      </c>
      <c r="C783" s="1" t="s">
        <v>39</v>
      </c>
      <c r="D783" s="1">
        <v>38562.0</v>
      </c>
      <c r="E783" s="1" t="s">
        <v>77</v>
      </c>
      <c r="F783" s="1" t="s">
        <v>46</v>
      </c>
      <c r="G783" s="1" t="s">
        <v>31</v>
      </c>
      <c r="H783" s="2">
        <v>1008.0</v>
      </c>
      <c r="I783" s="2">
        <v>7656.0</v>
      </c>
      <c r="J783" s="1">
        <v>1982.0</v>
      </c>
      <c r="K783" s="1">
        <v>30.0</v>
      </c>
      <c r="L783" s="1" t="s">
        <v>95</v>
      </c>
      <c r="M783" s="1" t="s">
        <v>3172</v>
      </c>
      <c r="N783" s="1" t="s">
        <v>34</v>
      </c>
      <c r="O783" s="1" t="s">
        <v>49</v>
      </c>
      <c r="P783" s="1" t="s">
        <v>3173</v>
      </c>
    </row>
    <row r="784" ht="14.25" customHeight="1">
      <c r="A784" s="1" t="s">
        <v>3174</v>
      </c>
      <c r="B784" s="1" t="s">
        <v>3175</v>
      </c>
      <c r="C784" s="1" t="s">
        <v>76</v>
      </c>
      <c r="D784" s="1">
        <v>26396.0</v>
      </c>
      <c r="E784" s="1" t="s">
        <v>40</v>
      </c>
      <c r="F784" s="1" t="s">
        <v>94</v>
      </c>
      <c r="G784" s="1" t="s">
        <v>31</v>
      </c>
      <c r="H784" s="2">
        <v>3163.0</v>
      </c>
      <c r="I784" s="2">
        <v>1052.0</v>
      </c>
      <c r="J784" s="1">
        <v>1958.0</v>
      </c>
      <c r="K784" s="1">
        <v>113.0</v>
      </c>
      <c r="L784" s="1" t="s">
        <v>95</v>
      </c>
      <c r="M784" s="1" t="s">
        <v>3176</v>
      </c>
      <c r="N784" s="1" t="s">
        <v>43</v>
      </c>
      <c r="O784" s="1" t="s">
        <v>49</v>
      </c>
      <c r="P784" s="1" t="s">
        <v>3177</v>
      </c>
    </row>
    <row r="785" ht="14.25" customHeight="1">
      <c r="A785" s="1" t="s">
        <v>3178</v>
      </c>
      <c r="B785" s="1" t="s">
        <v>3179</v>
      </c>
      <c r="C785" s="1" t="s">
        <v>29</v>
      </c>
      <c r="D785" s="1">
        <v>72494.0</v>
      </c>
      <c r="E785" s="1" t="s">
        <v>40</v>
      </c>
      <c r="F785" s="1" t="s">
        <v>54</v>
      </c>
      <c r="G785" s="1" t="s">
        <v>100</v>
      </c>
      <c r="H785" s="2">
        <v>1588.0</v>
      </c>
      <c r="I785" s="2">
        <v>4126.0</v>
      </c>
      <c r="J785" s="1">
        <v>2008.0</v>
      </c>
      <c r="K785" s="1">
        <v>55.0</v>
      </c>
      <c r="L785" s="1" t="s">
        <v>22</v>
      </c>
      <c r="M785" s="1" t="s">
        <v>3180</v>
      </c>
      <c r="N785" s="1" t="s">
        <v>34</v>
      </c>
      <c r="O785" s="1" t="s">
        <v>49</v>
      </c>
      <c r="P785" s="1" t="s">
        <v>3181</v>
      </c>
    </row>
    <row r="786" ht="14.25" customHeight="1">
      <c r="A786" s="1" t="s">
        <v>3182</v>
      </c>
      <c r="B786" s="1" t="s">
        <v>3183</v>
      </c>
      <c r="C786" s="1" t="s">
        <v>18</v>
      </c>
      <c r="D786" s="1">
        <v>54933.0</v>
      </c>
      <c r="E786" s="1" t="s">
        <v>77</v>
      </c>
      <c r="F786" s="1" t="s">
        <v>61</v>
      </c>
      <c r="G786" s="1" t="s">
        <v>21</v>
      </c>
      <c r="H786" s="2">
        <v>1993.0</v>
      </c>
      <c r="I786" s="2">
        <v>5581.0</v>
      </c>
      <c r="J786" s="1">
        <v>1951.0</v>
      </c>
      <c r="K786" s="1">
        <v>77.0</v>
      </c>
      <c r="L786" s="1" t="s">
        <v>95</v>
      </c>
      <c r="M786" s="1" t="s">
        <v>3184</v>
      </c>
      <c r="N786" s="1" t="s">
        <v>64</v>
      </c>
      <c r="O786" s="1" t="s">
        <v>35</v>
      </c>
      <c r="P786" s="1" t="s">
        <v>3185</v>
      </c>
    </row>
    <row r="787" ht="14.25" customHeight="1">
      <c r="A787" s="1" t="s">
        <v>3186</v>
      </c>
      <c r="B787" s="1" t="s">
        <v>3187</v>
      </c>
      <c r="C787" s="1" t="s">
        <v>53</v>
      </c>
      <c r="D787" s="1">
        <v>28325.0</v>
      </c>
      <c r="E787" s="1" t="s">
        <v>30</v>
      </c>
      <c r="F787" s="1" t="s">
        <v>61</v>
      </c>
      <c r="G787" s="1" t="s">
        <v>21</v>
      </c>
      <c r="H787" s="2">
        <v>3460.0</v>
      </c>
      <c r="I787" s="2">
        <v>3225.0</v>
      </c>
      <c r="J787" s="1">
        <v>2014.0</v>
      </c>
      <c r="K787" s="1">
        <v>40.0</v>
      </c>
      <c r="L787" s="1" t="s">
        <v>141</v>
      </c>
      <c r="M787" s="1" t="s">
        <v>3188</v>
      </c>
      <c r="N787" s="1" t="s">
        <v>48</v>
      </c>
      <c r="O787" s="1" t="s">
        <v>25</v>
      </c>
      <c r="P787" s="1" t="s">
        <v>3189</v>
      </c>
    </row>
    <row r="788" ht="14.25" customHeight="1">
      <c r="A788" s="1" t="s">
        <v>3190</v>
      </c>
      <c r="B788" s="1" t="s">
        <v>3191</v>
      </c>
      <c r="C788" s="1" t="s">
        <v>18</v>
      </c>
      <c r="D788" s="1">
        <v>86353.0</v>
      </c>
      <c r="E788" s="1" t="s">
        <v>30</v>
      </c>
      <c r="F788" s="1" t="s">
        <v>41</v>
      </c>
      <c r="G788" s="1" t="s">
        <v>100</v>
      </c>
      <c r="H788" s="2">
        <v>661.0</v>
      </c>
      <c r="I788" s="2">
        <v>2846.0</v>
      </c>
      <c r="J788" s="1">
        <v>2003.0</v>
      </c>
      <c r="K788" s="1">
        <v>10.0</v>
      </c>
      <c r="L788" s="1" t="s">
        <v>95</v>
      </c>
      <c r="M788" s="1" t="s">
        <v>3192</v>
      </c>
      <c r="N788" s="1" t="s">
        <v>24</v>
      </c>
      <c r="O788" s="1" t="s">
        <v>49</v>
      </c>
      <c r="P788" s="1" t="s">
        <v>3193</v>
      </c>
    </row>
    <row r="789" ht="14.25" customHeight="1">
      <c r="A789" s="1" t="s">
        <v>3194</v>
      </c>
      <c r="B789" s="1" t="s">
        <v>3195</v>
      </c>
      <c r="C789" s="1" t="s">
        <v>39</v>
      </c>
      <c r="D789" s="1">
        <v>26044.0</v>
      </c>
      <c r="E789" s="1" t="s">
        <v>40</v>
      </c>
      <c r="F789" s="1" t="s">
        <v>61</v>
      </c>
      <c r="G789" s="1" t="s">
        <v>31</v>
      </c>
      <c r="H789" s="2">
        <v>2160.0</v>
      </c>
      <c r="I789" s="2">
        <v>2181.0</v>
      </c>
      <c r="J789" s="1">
        <v>1953.0</v>
      </c>
      <c r="K789" s="1">
        <v>57.0</v>
      </c>
      <c r="L789" s="1" t="s">
        <v>95</v>
      </c>
      <c r="M789" s="1" t="s">
        <v>3196</v>
      </c>
      <c r="N789" s="1" t="s">
        <v>64</v>
      </c>
      <c r="O789" s="1" t="s">
        <v>35</v>
      </c>
      <c r="P789" s="1" t="s">
        <v>3197</v>
      </c>
    </row>
    <row r="790" ht="14.25" customHeight="1">
      <c r="A790" s="1" t="s">
        <v>3198</v>
      </c>
      <c r="B790" s="1" t="s">
        <v>3199</v>
      </c>
      <c r="C790" s="1" t="s">
        <v>76</v>
      </c>
      <c r="D790" s="1">
        <v>55615.0</v>
      </c>
      <c r="E790" s="1" t="s">
        <v>30</v>
      </c>
      <c r="F790" s="1" t="s">
        <v>41</v>
      </c>
      <c r="G790" s="1" t="s">
        <v>31</v>
      </c>
      <c r="H790" s="2">
        <v>2743.0</v>
      </c>
      <c r="I790" s="2">
        <v>8980.0</v>
      </c>
      <c r="J790" s="1">
        <v>2016.0</v>
      </c>
      <c r="K790" s="1">
        <v>119.0</v>
      </c>
      <c r="L790" s="1" t="s">
        <v>141</v>
      </c>
      <c r="M790" s="1" t="s">
        <v>3200</v>
      </c>
      <c r="N790" s="1" t="s">
        <v>43</v>
      </c>
      <c r="O790" s="1" t="s">
        <v>35</v>
      </c>
      <c r="P790" s="1" t="s">
        <v>3201</v>
      </c>
    </row>
    <row r="791" ht="14.25" customHeight="1">
      <c r="A791" s="1" t="s">
        <v>3202</v>
      </c>
      <c r="B791" s="1" t="s">
        <v>3203</v>
      </c>
      <c r="C791" s="1" t="s">
        <v>29</v>
      </c>
      <c r="D791" s="1">
        <v>68184.0</v>
      </c>
      <c r="E791" s="1" t="s">
        <v>60</v>
      </c>
      <c r="F791" s="1" t="s">
        <v>46</v>
      </c>
      <c r="G791" s="1" t="s">
        <v>55</v>
      </c>
      <c r="H791" s="2">
        <v>1346.0</v>
      </c>
      <c r="I791" s="2">
        <v>5540.0</v>
      </c>
      <c r="J791" s="1">
        <v>1990.0</v>
      </c>
      <c r="K791" s="1">
        <v>3.0</v>
      </c>
      <c r="L791" s="1" t="s">
        <v>95</v>
      </c>
      <c r="M791" s="1" t="s">
        <v>3204</v>
      </c>
      <c r="N791" s="1" t="s">
        <v>64</v>
      </c>
      <c r="O791" s="1" t="s">
        <v>49</v>
      </c>
      <c r="P791" s="1" t="s">
        <v>3205</v>
      </c>
    </row>
    <row r="792" ht="14.25" customHeight="1">
      <c r="A792" s="1" t="s">
        <v>3206</v>
      </c>
      <c r="B792" s="1" t="s">
        <v>3207</v>
      </c>
      <c r="C792" s="1" t="s">
        <v>29</v>
      </c>
      <c r="D792" s="1">
        <v>55782.0</v>
      </c>
      <c r="E792" s="1" t="s">
        <v>30</v>
      </c>
      <c r="F792" s="1" t="s">
        <v>54</v>
      </c>
      <c r="G792" s="1" t="s">
        <v>31</v>
      </c>
      <c r="H792" s="2">
        <v>1815.0</v>
      </c>
      <c r="I792" s="2">
        <v>9641.0</v>
      </c>
      <c r="J792" s="1">
        <v>1966.0</v>
      </c>
      <c r="K792" s="1">
        <v>109.0</v>
      </c>
      <c r="L792" s="1" t="s">
        <v>32</v>
      </c>
      <c r="M792" s="1" t="s">
        <v>3208</v>
      </c>
      <c r="N792" s="1" t="s">
        <v>48</v>
      </c>
      <c r="O792" s="1" t="s">
        <v>35</v>
      </c>
      <c r="P792" s="1" t="s">
        <v>3209</v>
      </c>
    </row>
    <row r="793" ht="14.25" customHeight="1">
      <c r="A793" s="1" t="s">
        <v>3210</v>
      </c>
      <c r="B793" s="1" t="s">
        <v>3211</v>
      </c>
      <c r="C793" s="1" t="s">
        <v>29</v>
      </c>
      <c r="D793" s="1">
        <v>67573.0</v>
      </c>
      <c r="E793" s="1" t="s">
        <v>60</v>
      </c>
      <c r="F793" s="1" t="s">
        <v>94</v>
      </c>
      <c r="G793" s="1" t="s">
        <v>31</v>
      </c>
      <c r="H793" s="2">
        <v>3249.0</v>
      </c>
      <c r="I793" s="2">
        <v>4366.0</v>
      </c>
      <c r="J793" s="1">
        <v>1954.0</v>
      </c>
      <c r="K793" s="1">
        <v>10.0</v>
      </c>
      <c r="L793" s="1" t="s">
        <v>32</v>
      </c>
      <c r="M793" s="1" t="s">
        <v>3212</v>
      </c>
      <c r="N793" s="1" t="s">
        <v>34</v>
      </c>
      <c r="O793" s="1" t="s">
        <v>25</v>
      </c>
      <c r="P793" s="1" t="s">
        <v>3213</v>
      </c>
    </row>
    <row r="794" ht="14.25" customHeight="1">
      <c r="A794" s="1" t="s">
        <v>3214</v>
      </c>
      <c r="B794" s="1" t="s">
        <v>3215</v>
      </c>
      <c r="C794" s="1" t="s">
        <v>53</v>
      </c>
      <c r="D794" s="1">
        <v>66115.0</v>
      </c>
      <c r="E794" s="1" t="s">
        <v>77</v>
      </c>
      <c r="F794" s="1" t="s">
        <v>20</v>
      </c>
      <c r="G794" s="1" t="s">
        <v>21</v>
      </c>
      <c r="H794" s="2">
        <v>3321.0</v>
      </c>
      <c r="I794" s="2">
        <v>9019.0</v>
      </c>
      <c r="J794" s="1">
        <v>1997.0</v>
      </c>
      <c r="K794" s="1">
        <v>9.0</v>
      </c>
      <c r="L794" s="1" t="s">
        <v>141</v>
      </c>
      <c r="M794" s="1" t="s">
        <v>3216</v>
      </c>
      <c r="N794" s="1" t="s">
        <v>43</v>
      </c>
      <c r="O794" s="1" t="s">
        <v>35</v>
      </c>
      <c r="P794" s="1" t="s">
        <v>3217</v>
      </c>
    </row>
    <row r="795" ht="14.25" customHeight="1">
      <c r="A795" s="1" t="s">
        <v>3218</v>
      </c>
      <c r="B795" s="1" t="s">
        <v>3219</v>
      </c>
      <c r="C795" s="1" t="s">
        <v>76</v>
      </c>
      <c r="D795" s="1">
        <v>62932.0</v>
      </c>
      <c r="E795" s="1" t="s">
        <v>60</v>
      </c>
      <c r="F795" s="1" t="s">
        <v>46</v>
      </c>
      <c r="G795" s="1" t="s">
        <v>21</v>
      </c>
      <c r="H795" s="2">
        <v>2915.0</v>
      </c>
      <c r="I795" s="2">
        <v>7934.0</v>
      </c>
      <c r="J795" s="1">
        <v>2018.0</v>
      </c>
      <c r="K795" s="1">
        <v>100.0</v>
      </c>
      <c r="L795" s="1" t="s">
        <v>32</v>
      </c>
      <c r="M795" s="1" t="s">
        <v>3220</v>
      </c>
      <c r="N795" s="1" t="s">
        <v>48</v>
      </c>
      <c r="O795" s="1" t="s">
        <v>35</v>
      </c>
      <c r="P795" s="1" t="s">
        <v>3221</v>
      </c>
    </row>
    <row r="796" ht="14.25" customHeight="1">
      <c r="A796" s="1" t="s">
        <v>3222</v>
      </c>
      <c r="B796" s="1" t="s">
        <v>3223</v>
      </c>
      <c r="C796" s="1" t="s">
        <v>18</v>
      </c>
      <c r="D796" s="1">
        <v>42286.0</v>
      </c>
      <c r="E796" s="1" t="s">
        <v>40</v>
      </c>
      <c r="F796" s="1" t="s">
        <v>41</v>
      </c>
      <c r="G796" s="1" t="s">
        <v>21</v>
      </c>
      <c r="H796" s="2">
        <v>3126.0</v>
      </c>
      <c r="I796" s="2">
        <v>4046.0</v>
      </c>
      <c r="J796" s="1">
        <v>2009.0</v>
      </c>
      <c r="K796" s="1">
        <v>72.0</v>
      </c>
      <c r="L796" s="1" t="s">
        <v>95</v>
      </c>
      <c r="M796" s="1" t="s">
        <v>3224</v>
      </c>
      <c r="N796" s="1" t="s">
        <v>64</v>
      </c>
      <c r="O796" s="1" t="s">
        <v>35</v>
      </c>
      <c r="P796" s="1" t="s">
        <v>3225</v>
      </c>
    </row>
    <row r="797" ht="14.25" customHeight="1">
      <c r="A797" s="1" t="s">
        <v>3226</v>
      </c>
      <c r="B797" s="1" t="s">
        <v>3227</v>
      </c>
      <c r="C797" s="1" t="s">
        <v>53</v>
      </c>
      <c r="D797" s="1">
        <v>93603.0</v>
      </c>
      <c r="E797" s="1" t="s">
        <v>30</v>
      </c>
      <c r="F797" s="1" t="s">
        <v>46</v>
      </c>
      <c r="G797" s="1" t="s">
        <v>21</v>
      </c>
      <c r="H797" s="2">
        <v>1897.0</v>
      </c>
      <c r="I797" s="2">
        <v>4300.0</v>
      </c>
      <c r="J797" s="1">
        <v>1952.0</v>
      </c>
      <c r="K797" s="1">
        <v>10.0</v>
      </c>
      <c r="L797" s="1" t="s">
        <v>32</v>
      </c>
      <c r="M797" s="1" t="s">
        <v>3228</v>
      </c>
      <c r="N797" s="1" t="s">
        <v>34</v>
      </c>
      <c r="O797" s="1" t="s">
        <v>25</v>
      </c>
      <c r="P797" s="1" t="s">
        <v>3229</v>
      </c>
    </row>
    <row r="798" ht="14.25" customHeight="1">
      <c r="A798" s="1" t="s">
        <v>3230</v>
      </c>
      <c r="B798" s="1" t="s">
        <v>3231</v>
      </c>
      <c r="C798" s="1" t="s">
        <v>76</v>
      </c>
      <c r="D798" s="1">
        <v>78415.0</v>
      </c>
      <c r="E798" s="1" t="s">
        <v>60</v>
      </c>
      <c r="F798" s="1" t="s">
        <v>61</v>
      </c>
      <c r="G798" s="1" t="s">
        <v>55</v>
      </c>
      <c r="H798" s="2">
        <v>2609.0</v>
      </c>
      <c r="I798" s="2">
        <v>8200.0</v>
      </c>
      <c r="J798" s="1">
        <v>2005.0</v>
      </c>
      <c r="K798" s="1">
        <v>76.0</v>
      </c>
      <c r="L798" s="1" t="s">
        <v>95</v>
      </c>
      <c r="M798" s="1" t="s">
        <v>3232</v>
      </c>
      <c r="N798" s="1" t="s">
        <v>48</v>
      </c>
      <c r="O798" s="1" t="s">
        <v>25</v>
      </c>
      <c r="P798" s="1" t="s">
        <v>3233</v>
      </c>
    </row>
    <row r="799" ht="14.25" customHeight="1">
      <c r="A799" s="1" t="s">
        <v>3234</v>
      </c>
      <c r="B799" s="1" t="s">
        <v>3235</v>
      </c>
      <c r="C799" s="1" t="s">
        <v>29</v>
      </c>
      <c r="D799" s="1">
        <v>40814.0</v>
      </c>
      <c r="E799" s="1" t="s">
        <v>30</v>
      </c>
      <c r="F799" s="1" t="s">
        <v>61</v>
      </c>
      <c r="G799" s="1" t="s">
        <v>55</v>
      </c>
      <c r="H799" s="2">
        <v>1741.0</v>
      </c>
      <c r="I799" s="2">
        <v>4338.0</v>
      </c>
      <c r="J799" s="1">
        <v>1986.0</v>
      </c>
      <c r="K799" s="1">
        <v>112.0</v>
      </c>
      <c r="L799" s="1" t="s">
        <v>32</v>
      </c>
      <c r="M799" s="1" t="s">
        <v>3236</v>
      </c>
      <c r="N799" s="1" t="s">
        <v>43</v>
      </c>
      <c r="O799" s="1" t="s">
        <v>49</v>
      </c>
      <c r="P799" s="1" t="s">
        <v>3237</v>
      </c>
    </row>
    <row r="800" ht="14.25" customHeight="1">
      <c r="A800" s="1" t="s">
        <v>3238</v>
      </c>
      <c r="B800" s="1" t="s">
        <v>3239</v>
      </c>
      <c r="C800" s="1" t="s">
        <v>76</v>
      </c>
      <c r="D800" s="1">
        <v>98362.0</v>
      </c>
      <c r="E800" s="1" t="s">
        <v>30</v>
      </c>
      <c r="F800" s="1" t="s">
        <v>20</v>
      </c>
      <c r="G800" s="1" t="s">
        <v>100</v>
      </c>
      <c r="H800" s="2">
        <v>3102.0</v>
      </c>
      <c r="I800" s="2">
        <v>8039.0</v>
      </c>
      <c r="J800" s="1">
        <v>2015.0</v>
      </c>
      <c r="K800" s="1">
        <v>73.0</v>
      </c>
      <c r="L800" s="1" t="s">
        <v>62</v>
      </c>
      <c r="M800" s="1" t="s">
        <v>3240</v>
      </c>
      <c r="N800" s="1" t="s">
        <v>48</v>
      </c>
      <c r="O800" s="1" t="s">
        <v>35</v>
      </c>
      <c r="P800" s="1" t="s">
        <v>3241</v>
      </c>
    </row>
    <row r="801" ht="14.25" customHeight="1">
      <c r="A801" s="1" t="s">
        <v>3242</v>
      </c>
      <c r="B801" s="1" t="s">
        <v>3243</v>
      </c>
      <c r="C801" s="1" t="s">
        <v>39</v>
      </c>
      <c r="D801" s="1">
        <v>97031.0</v>
      </c>
      <c r="E801" s="1" t="s">
        <v>40</v>
      </c>
      <c r="F801" s="1" t="s">
        <v>54</v>
      </c>
      <c r="G801" s="1" t="s">
        <v>31</v>
      </c>
      <c r="H801" s="2">
        <v>650.0</v>
      </c>
      <c r="I801" s="2">
        <v>2740.0</v>
      </c>
      <c r="J801" s="1">
        <v>1955.0</v>
      </c>
      <c r="K801" s="1">
        <v>4.0</v>
      </c>
      <c r="L801" s="1" t="s">
        <v>22</v>
      </c>
      <c r="M801" s="1" t="s">
        <v>3244</v>
      </c>
      <c r="N801" s="1" t="s">
        <v>34</v>
      </c>
      <c r="O801" s="1" t="s">
        <v>25</v>
      </c>
      <c r="P801" s="1" t="s">
        <v>3245</v>
      </c>
    </row>
    <row r="802" ht="14.25" customHeight="1">
      <c r="A802" s="1" t="s">
        <v>3246</v>
      </c>
      <c r="B802" s="1" t="s">
        <v>3247</v>
      </c>
      <c r="C802" s="1" t="s">
        <v>18</v>
      </c>
      <c r="D802" s="1">
        <v>70965.0</v>
      </c>
      <c r="E802" s="1" t="s">
        <v>30</v>
      </c>
      <c r="F802" s="1" t="s">
        <v>20</v>
      </c>
      <c r="G802" s="1" t="s">
        <v>100</v>
      </c>
      <c r="H802" s="2">
        <v>2322.0</v>
      </c>
      <c r="I802" s="2">
        <v>2476.0</v>
      </c>
      <c r="J802" s="1">
        <v>1957.0</v>
      </c>
      <c r="K802" s="1">
        <v>3.0</v>
      </c>
      <c r="L802" s="1" t="s">
        <v>22</v>
      </c>
      <c r="M802" s="1" t="s">
        <v>3248</v>
      </c>
      <c r="N802" s="1" t="s">
        <v>43</v>
      </c>
      <c r="O802" s="1" t="s">
        <v>25</v>
      </c>
      <c r="P802" s="1" t="s">
        <v>3249</v>
      </c>
    </row>
    <row r="803" ht="14.25" customHeight="1">
      <c r="A803" s="1" t="s">
        <v>3250</v>
      </c>
      <c r="B803" s="1" t="s">
        <v>3251</v>
      </c>
      <c r="C803" s="1" t="s">
        <v>53</v>
      </c>
      <c r="D803" s="1">
        <v>57579.0</v>
      </c>
      <c r="E803" s="1" t="s">
        <v>60</v>
      </c>
      <c r="F803" s="1" t="s">
        <v>41</v>
      </c>
      <c r="G803" s="1" t="s">
        <v>55</v>
      </c>
      <c r="H803" s="2">
        <v>3890.0</v>
      </c>
      <c r="I803" s="2">
        <v>2155.0</v>
      </c>
      <c r="J803" s="1">
        <v>1961.0</v>
      </c>
      <c r="K803" s="1">
        <v>43.0</v>
      </c>
      <c r="L803" s="1" t="s">
        <v>95</v>
      </c>
      <c r="M803" s="1" t="s">
        <v>3252</v>
      </c>
      <c r="N803" s="1" t="s">
        <v>34</v>
      </c>
      <c r="O803" s="1" t="s">
        <v>35</v>
      </c>
      <c r="P803" s="1" t="s">
        <v>3253</v>
      </c>
    </row>
    <row r="804" ht="14.25" customHeight="1">
      <c r="A804" s="1" t="s">
        <v>3254</v>
      </c>
      <c r="B804" s="1" t="s">
        <v>3255</v>
      </c>
      <c r="C804" s="1" t="s">
        <v>18</v>
      </c>
      <c r="D804" s="1">
        <v>12729.0</v>
      </c>
      <c r="E804" s="1" t="s">
        <v>19</v>
      </c>
      <c r="F804" s="1" t="s">
        <v>54</v>
      </c>
      <c r="G804" s="1" t="s">
        <v>21</v>
      </c>
      <c r="H804" s="2">
        <v>3391.0</v>
      </c>
      <c r="I804" s="2">
        <v>7953.0</v>
      </c>
      <c r="J804" s="1">
        <v>2008.0</v>
      </c>
      <c r="K804" s="1">
        <v>52.0</v>
      </c>
      <c r="L804" s="1" t="s">
        <v>62</v>
      </c>
      <c r="M804" s="1" t="s">
        <v>3256</v>
      </c>
      <c r="N804" s="1" t="s">
        <v>24</v>
      </c>
      <c r="O804" s="1" t="s">
        <v>49</v>
      </c>
      <c r="P804" s="1" t="s">
        <v>3257</v>
      </c>
    </row>
    <row r="805" ht="14.25" customHeight="1">
      <c r="A805" s="1" t="s">
        <v>3258</v>
      </c>
      <c r="B805" s="1" t="s">
        <v>3259</v>
      </c>
      <c r="C805" s="1" t="s">
        <v>18</v>
      </c>
      <c r="D805" s="1">
        <v>75919.0</v>
      </c>
      <c r="E805" s="1" t="s">
        <v>77</v>
      </c>
      <c r="F805" s="1" t="s">
        <v>61</v>
      </c>
      <c r="G805" s="1" t="s">
        <v>100</v>
      </c>
      <c r="H805" s="2">
        <v>2998.0</v>
      </c>
      <c r="I805" s="2">
        <v>1309.0</v>
      </c>
      <c r="J805" s="1">
        <v>1999.0</v>
      </c>
      <c r="K805" s="1">
        <v>47.0</v>
      </c>
      <c r="L805" s="1" t="s">
        <v>95</v>
      </c>
      <c r="M805" s="1" t="s">
        <v>3260</v>
      </c>
      <c r="N805" s="1" t="s">
        <v>48</v>
      </c>
      <c r="O805" s="1" t="s">
        <v>49</v>
      </c>
      <c r="P805" s="1" t="s">
        <v>3261</v>
      </c>
    </row>
    <row r="806" ht="14.25" customHeight="1">
      <c r="A806" s="1" t="s">
        <v>3262</v>
      </c>
      <c r="B806" s="1" t="s">
        <v>3263</v>
      </c>
      <c r="C806" s="1" t="s">
        <v>76</v>
      </c>
      <c r="D806" s="1">
        <v>24923.0</v>
      </c>
      <c r="E806" s="1" t="s">
        <v>30</v>
      </c>
      <c r="F806" s="1" t="s">
        <v>94</v>
      </c>
      <c r="G806" s="1" t="s">
        <v>21</v>
      </c>
      <c r="H806" s="2">
        <v>3677.0</v>
      </c>
      <c r="I806" s="2">
        <v>3304.0</v>
      </c>
      <c r="J806" s="1">
        <v>1955.0</v>
      </c>
      <c r="K806" s="1">
        <v>88.0</v>
      </c>
      <c r="L806" s="1" t="s">
        <v>32</v>
      </c>
      <c r="M806" s="1" t="s">
        <v>3264</v>
      </c>
      <c r="N806" s="1" t="s">
        <v>48</v>
      </c>
      <c r="O806" s="1" t="s">
        <v>25</v>
      </c>
      <c r="P806" s="1" t="s">
        <v>3265</v>
      </c>
    </row>
    <row r="807" ht="14.25" customHeight="1">
      <c r="A807" s="1" t="s">
        <v>3266</v>
      </c>
      <c r="B807" s="1" t="s">
        <v>3267</v>
      </c>
      <c r="C807" s="1" t="s">
        <v>39</v>
      </c>
      <c r="D807" s="1">
        <v>88614.0</v>
      </c>
      <c r="E807" s="1" t="s">
        <v>60</v>
      </c>
      <c r="F807" s="1" t="s">
        <v>46</v>
      </c>
      <c r="G807" s="1" t="s">
        <v>100</v>
      </c>
      <c r="H807" s="2">
        <v>3352.0</v>
      </c>
      <c r="I807" s="2">
        <v>9760.0</v>
      </c>
      <c r="J807" s="1">
        <v>2022.0</v>
      </c>
      <c r="K807" s="1">
        <v>118.0</v>
      </c>
      <c r="L807" s="1" t="s">
        <v>32</v>
      </c>
      <c r="M807" s="1" t="s">
        <v>3268</v>
      </c>
      <c r="N807" s="1" t="s">
        <v>34</v>
      </c>
      <c r="O807" s="1" t="s">
        <v>35</v>
      </c>
      <c r="P807" s="1" t="s">
        <v>3269</v>
      </c>
    </row>
    <row r="808" ht="14.25" customHeight="1">
      <c r="A808" s="1" t="s">
        <v>3270</v>
      </c>
      <c r="B808" s="1" t="s">
        <v>3271</v>
      </c>
      <c r="C808" s="1" t="s">
        <v>29</v>
      </c>
      <c r="D808" s="1">
        <v>66654.0</v>
      </c>
      <c r="E808" s="1" t="s">
        <v>40</v>
      </c>
      <c r="F808" s="1" t="s">
        <v>20</v>
      </c>
      <c r="G808" s="1" t="s">
        <v>55</v>
      </c>
      <c r="H808" s="2">
        <v>690.0</v>
      </c>
      <c r="I808" s="2">
        <v>7936.0</v>
      </c>
      <c r="J808" s="1">
        <v>2019.0</v>
      </c>
      <c r="K808" s="1">
        <v>31.0</v>
      </c>
      <c r="L808" s="1" t="s">
        <v>22</v>
      </c>
      <c r="M808" s="1" t="s">
        <v>3272</v>
      </c>
      <c r="N808" s="1" t="s">
        <v>48</v>
      </c>
      <c r="O808" s="1" t="s">
        <v>35</v>
      </c>
      <c r="P808" s="1" t="s">
        <v>3273</v>
      </c>
    </row>
    <row r="809" ht="14.25" customHeight="1">
      <c r="A809" s="1" t="s">
        <v>3274</v>
      </c>
      <c r="B809" s="1" t="s">
        <v>3275</v>
      </c>
      <c r="C809" s="1" t="s">
        <v>29</v>
      </c>
      <c r="D809" s="1">
        <v>30523.0</v>
      </c>
      <c r="E809" s="1" t="s">
        <v>30</v>
      </c>
      <c r="F809" s="1" t="s">
        <v>41</v>
      </c>
      <c r="G809" s="1" t="s">
        <v>21</v>
      </c>
      <c r="H809" s="2">
        <v>969.0</v>
      </c>
      <c r="I809" s="2">
        <v>7373.0</v>
      </c>
      <c r="J809" s="1">
        <v>1988.0</v>
      </c>
      <c r="K809" s="1">
        <v>110.0</v>
      </c>
      <c r="L809" s="1" t="s">
        <v>32</v>
      </c>
      <c r="M809" s="1" t="s">
        <v>3276</v>
      </c>
      <c r="N809" s="1" t="s">
        <v>24</v>
      </c>
      <c r="O809" s="1" t="s">
        <v>25</v>
      </c>
      <c r="P809" s="1" t="s">
        <v>3277</v>
      </c>
    </row>
    <row r="810" ht="14.25" customHeight="1">
      <c r="A810" s="1" t="s">
        <v>3278</v>
      </c>
      <c r="B810" s="1" t="s">
        <v>3279</v>
      </c>
      <c r="C810" s="1" t="s">
        <v>39</v>
      </c>
      <c r="D810" s="1">
        <v>14892.0</v>
      </c>
      <c r="E810" s="1" t="s">
        <v>40</v>
      </c>
      <c r="F810" s="1" t="s">
        <v>20</v>
      </c>
      <c r="G810" s="1" t="s">
        <v>31</v>
      </c>
      <c r="H810" s="2">
        <v>2533.0</v>
      </c>
      <c r="I810" s="2">
        <v>6096.0</v>
      </c>
      <c r="J810" s="1">
        <v>1971.0</v>
      </c>
      <c r="K810" s="1">
        <v>40.0</v>
      </c>
      <c r="L810" s="1" t="s">
        <v>32</v>
      </c>
      <c r="M810" s="1" t="s">
        <v>3280</v>
      </c>
      <c r="N810" s="1" t="s">
        <v>34</v>
      </c>
      <c r="O810" s="1" t="s">
        <v>49</v>
      </c>
      <c r="P810" s="1" t="s">
        <v>3281</v>
      </c>
    </row>
    <row r="811" ht="14.25" customHeight="1">
      <c r="A811" s="1" t="s">
        <v>3282</v>
      </c>
      <c r="B811" s="1" t="s">
        <v>3283</v>
      </c>
      <c r="C811" s="1" t="s">
        <v>39</v>
      </c>
      <c r="D811" s="1">
        <v>12477.0</v>
      </c>
      <c r="E811" s="1" t="s">
        <v>19</v>
      </c>
      <c r="F811" s="1" t="s">
        <v>41</v>
      </c>
      <c r="G811" s="1" t="s">
        <v>21</v>
      </c>
      <c r="H811" s="2">
        <v>1311.0</v>
      </c>
      <c r="I811" s="2">
        <v>5889.0</v>
      </c>
      <c r="J811" s="1">
        <v>2021.0</v>
      </c>
      <c r="K811" s="1">
        <v>100.0</v>
      </c>
      <c r="L811" s="1" t="s">
        <v>62</v>
      </c>
      <c r="M811" s="1" t="s">
        <v>3284</v>
      </c>
      <c r="N811" s="1" t="s">
        <v>34</v>
      </c>
      <c r="O811" s="1" t="s">
        <v>49</v>
      </c>
      <c r="P811" s="1" t="s">
        <v>3285</v>
      </c>
    </row>
    <row r="812" ht="14.25" customHeight="1">
      <c r="A812" s="1" t="s">
        <v>3286</v>
      </c>
      <c r="B812" s="1" t="s">
        <v>3287</v>
      </c>
      <c r="C812" s="1" t="s">
        <v>39</v>
      </c>
      <c r="D812" s="1">
        <v>52311.0</v>
      </c>
      <c r="E812" s="1" t="s">
        <v>30</v>
      </c>
      <c r="F812" s="1" t="s">
        <v>41</v>
      </c>
      <c r="G812" s="1" t="s">
        <v>21</v>
      </c>
      <c r="H812" s="2">
        <v>3145.0</v>
      </c>
      <c r="I812" s="2">
        <v>4528.0</v>
      </c>
      <c r="J812" s="1">
        <v>2005.0</v>
      </c>
      <c r="K812" s="1">
        <v>38.0</v>
      </c>
      <c r="L812" s="1" t="s">
        <v>62</v>
      </c>
      <c r="M812" s="1" t="s">
        <v>3288</v>
      </c>
      <c r="N812" s="1" t="s">
        <v>24</v>
      </c>
      <c r="O812" s="1" t="s">
        <v>25</v>
      </c>
      <c r="P812" s="1" t="s">
        <v>3289</v>
      </c>
    </row>
    <row r="813" ht="14.25" customHeight="1">
      <c r="A813" s="1" t="s">
        <v>3290</v>
      </c>
      <c r="B813" s="1" t="s">
        <v>3291</v>
      </c>
      <c r="C813" s="1" t="s">
        <v>29</v>
      </c>
      <c r="D813" s="1">
        <v>94175.0</v>
      </c>
      <c r="E813" s="1" t="s">
        <v>19</v>
      </c>
      <c r="F813" s="1" t="s">
        <v>41</v>
      </c>
      <c r="G813" s="1" t="s">
        <v>55</v>
      </c>
      <c r="H813" s="2">
        <v>1462.0</v>
      </c>
      <c r="I813" s="2">
        <v>5688.0</v>
      </c>
      <c r="J813" s="1">
        <v>2009.0</v>
      </c>
      <c r="K813" s="1">
        <v>110.0</v>
      </c>
      <c r="L813" s="1" t="s">
        <v>95</v>
      </c>
      <c r="M813" s="1" t="s">
        <v>3292</v>
      </c>
      <c r="N813" s="1" t="s">
        <v>24</v>
      </c>
      <c r="O813" s="1" t="s">
        <v>35</v>
      </c>
      <c r="P813" s="1" t="s">
        <v>3293</v>
      </c>
    </row>
    <row r="814" ht="14.25" customHeight="1">
      <c r="A814" s="1" t="s">
        <v>3294</v>
      </c>
      <c r="B814" s="1" t="s">
        <v>3295</v>
      </c>
      <c r="C814" s="1" t="s">
        <v>39</v>
      </c>
      <c r="D814" s="1">
        <v>78963.0</v>
      </c>
      <c r="E814" s="1" t="s">
        <v>40</v>
      </c>
      <c r="F814" s="1" t="s">
        <v>61</v>
      </c>
      <c r="G814" s="1" t="s">
        <v>21</v>
      </c>
      <c r="H814" s="2">
        <v>2271.0</v>
      </c>
      <c r="I814" s="2">
        <v>6190.0</v>
      </c>
      <c r="J814" s="1">
        <v>2021.0</v>
      </c>
      <c r="K814" s="1">
        <v>36.0</v>
      </c>
      <c r="L814" s="1" t="s">
        <v>32</v>
      </c>
      <c r="M814" s="1" t="s">
        <v>3296</v>
      </c>
      <c r="N814" s="1" t="s">
        <v>43</v>
      </c>
      <c r="O814" s="1" t="s">
        <v>49</v>
      </c>
      <c r="P814" s="1" t="s">
        <v>3297</v>
      </c>
    </row>
    <row r="815" ht="14.25" customHeight="1">
      <c r="A815" s="1" t="s">
        <v>3298</v>
      </c>
      <c r="B815" s="1" t="s">
        <v>3299</v>
      </c>
      <c r="C815" s="1" t="s">
        <v>39</v>
      </c>
      <c r="D815" s="1">
        <v>99538.0</v>
      </c>
      <c r="E815" s="1" t="s">
        <v>30</v>
      </c>
      <c r="F815" s="1" t="s">
        <v>94</v>
      </c>
      <c r="G815" s="1" t="s">
        <v>100</v>
      </c>
      <c r="H815" s="2">
        <v>3866.0</v>
      </c>
      <c r="I815" s="2">
        <v>1796.0</v>
      </c>
      <c r="J815" s="1">
        <v>1973.0</v>
      </c>
      <c r="K815" s="1">
        <v>10.0</v>
      </c>
      <c r="L815" s="1" t="s">
        <v>22</v>
      </c>
      <c r="M815" s="1" t="s">
        <v>3300</v>
      </c>
      <c r="N815" s="1" t="s">
        <v>48</v>
      </c>
      <c r="O815" s="1" t="s">
        <v>25</v>
      </c>
      <c r="P815" s="1" t="s">
        <v>3301</v>
      </c>
    </row>
    <row r="816" ht="14.25" customHeight="1">
      <c r="A816" s="1" t="s">
        <v>3302</v>
      </c>
      <c r="B816" s="1" t="s">
        <v>3303</v>
      </c>
      <c r="C816" s="1" t="s">
        <v>76</v>
      </c>
      <c r="D816" s="1">
        <v>65918.0</v>
      </c>
      <c r="E816" s="1" t="s">
        <v>60</v>
      </c>
      <c r="F816" s="1" t="s">
        <v>41</v>
      </c>
      <c r="G816" s="1" t="s">
        <v>21</v>
      </c>
      <c r="H816" s="2">
        <v>1894.0</v>
      </c>
      <c r="I816" s="2">
        <v>9879.0</v>
      </c>
      <c r="J816" s="1">
        <v>1961.0</v>
      </c>
      <c r="K816" s="1">
        <v>68.0</v>
      </c>
      <c r="L816" s="1" t="s">
        <v>141</v>
      </c>
      <c r="M816" s="1" t="s">
        <v>3304</v>
      </c>
      <c r="N816" s="1" t="s">
        <v>48</v>
      </c>
      <c r="O816" s="1" t="s">
        <v>25</v>
      </c>
      <c r="P816" s="1" t="s">
        <v>3305</v>
      </c>
    </row>
    <row r="817" ht="14.25" customHeight="1">
      <c r="A817" s="1" t="s">
        <v>3306</v>
      </c>
      <c r="B817" s="1" t="s">
        <v>3307</v>
      </c>
      <c r="C817" s="1" t="s">
        <v>18</v>
      </c>
      <c r="D817" s="1">
        <v>20679.0</v>
      </c>
      <c r="E817" s="1" t="s">
        <v>30</v>
      </c>
      <c r="F817" s="1" t="s">
        <v>54</v>
      </c>
      <c r="G817" s="1" t="s">
        <v>55</v>
      </c>
      <c r="H817" s="2">
        <v>3009.0</v>
      </c>
      <c r="I817" s="2">
        <v>2641.0</v>
      </c>
      <c r="J817" s="1">
        <v>1984.0</v>
      </c>
      <c r="K817" s="1">
        <v>72.0</v>
      </c>
      <c r="L817" s="1" t="s">
        <v>62</v>
      </c>
      <c r="M817" s="1" t="s">
        <v>3308</v>
      </c>
      <c r="N817" s="1" t="s">
        <v>43</v>
      </c>
      <c r="O817" s="1" t="s">
        <v>49</v>
      </c>
      <c r="P817" s="1" t="s">
        <v>3309</v>
      </c>
    </row>
    <row r="818" ht="14.25" customHeight="1">
      <c r="A818" s="1" t="s">
        <v>3310</v>
      </c>
      <c r="B818" s="1" t="s">
        <v>3311</v>
      </c>
      <c r="C818" s="1" t="s">
        <v>76</v>
      </c>
      <c r="D818" s="1">
        <v>14339.0</v>
      </c>
      <c r="E818" s="1" t="s">
        <v>40</v>
      </c>
      <c r="F818" s="1" t="s">
        <v>61</v>
      </c>
      <c r="G818" s="1" t="s">
        <v>21</v>
      </c>
      <c r="H818" s="2">
        <v>1393.0</v>
      </c>
      <c r="I818" s="2">
        <v>4054.0</v>
      </c>
      <c r="J818" s="1">
        <v>1957.0</v>
      </c>
      <c r="K818" s="1">
        <v>81.0</v>
      </c>
      <c r="L818" s="1" t="s">
        <v>22</v>
      </c>
      <c r="M818" s="1" t="s">
        <v>3312</v>
      </c>
      <c r="N818" s="1" t="s">
        <v>43</v>
      </c>
      <c r="O818" s="1" t="s">
        <v>49</v>
      </c>
      <c r="P818" s="1" t="s">
        <v>3313</v>
      </c>
    </row>
    <row r="819" ht="14.25" customHeight="1">
      <c r="A819" s="1" t="s">
        <v>3314</v>
      </c>
      <c r="B819" s="1" t="s">
        <v>3315</v>
      </c>
      <c r="C819" s="1" t="s">
        <v>29</v>
      </c>
      <c r="D819" s="1">
        <v>56423.0</v>
      </c>
      <c r="E819" s="1" t="s">
        <v>19</v>
      </c>
      <c r="F819" s="1" t="s">
        <v>61</v>
      </c>
      <c r="G819" s="1" t="s">
        <v>100</v>
      </c>
      <c r="H819" s="2">
        <v>1837.0</v>
      </c>
      <c r="I819" s="2">
        <v>4892.0</v>
      </c>
      <c r="J819" s="1">
        <v>1965.0</v>
      </c>
      <c r="K819" s="1">
        <v>110.0</v>
      </c>
      <c r="L819" s="1" t="s">
        <v>22</v>
      </c>
      <c r="M819" s="1" t="s">
        <v>3316</v>
      </c>
      <c r="N819" s="1" t="s">
        <v>64</v>
      </c>
      <c r="O819" s="1" t="s">
        <v>49</v>
      </c>
      <c r="P819" s="1" t="s">
        <v>3317</v>
      </c>
    </row>
    <row r="820" ht="14.25" customHeight="1">
      <c r="A820" s="1" t="s">
        <v>3318</v>
      </c>
      <c r="B820" s="1" t="s">
        <v>3319</v>
      </c>
      <c r="C820" s="1" t="s">
        <v>39</v>
      </c>
      <c r="D820" s="1">
        <v>64089.0</v>
      </c>
      <c r="E820" s="1" t="s">
        <v>77</v>
      </c>
      <c r="F820" s="1" t="s">
        <v>41</v>
      </c>
      <c r="G820" s="1" t="s">
        <v>55</v>
      </c>
      <c r="H820" s="2">
        <v>3174.0</v>
      </c>
      <c r="I820" s="2">
        <v>2912.0</v>
      </c>
      <c r="J820" s="1">
        <v>1956.0</v>
      </c>
      <c r="K820" s="1">
        <v>22.0</v>
      </c>
      <c r="L820" s="1" t="s">
        <v>141</v>
      </c>
      <c r="M820" s="1" t="s">
        <v>3320</v>
      </c>
      <c r="N820" s="1" t="s">
        <v>64</v>
      </c>
      <c r="O820" s="1" t="s">
        <v>35</v>
      </c>
      <c r="P820" s="1" t="s">
        <v>3321</v>
      </c>
    </row>
    <row r="821" ht="14.25" customHeight="1">
      <c r="A821" s="1" t="s">
        <v>3322</v>
      </c>
      <c r="B821" s="1" t="s">
        <v>3323</v>
      </c>
      <c r="C821" s="1" t="s">
        <v>76</v>
      </c>
      <c r="D821" s="1">
        <v>34766.0</v>
      </c>
      <c r="E821" s="1" t="s">
        <v>77</v>
      </c>
      <c r="F821" s="1" t="s">
        <v>46</v>
      </c>
      <c r="G821" s="1" t="s">
        <v>31</v>
      </c>
      <c r="H821" s="2">
        <v>1829.0</v>
      </c>
      <c r="I821" s="2">
        <v>5193.0</v>
      </c>
      <c r="J821" s="1">
        <v>1969.0</v>
      </c>
      <c r="K821" s="1">
        <v>27.0</v>
      </c>
      <c r="L821" s="1" t="s">
        <v>32</v>
      </c>
      <c r="M821" s="1" t="s">
        <v>3324</v>
      </c>
      <c r="N821" s="1" t="s">
        <v>48</v>
      </c>
      <c r="O821" s="1" t="s">
        <v>49</v>
      </c>
      <c r="P821" s="1" t="s">
        <v>3325</v>
      </c>
    </row>
    <row r="822" ht="14.25" customHeight="1">
      <c r="A822" s="1" t="s">
        <v>3326</v>
      </c>
      <c r="B822" s="1" t="s">
        <v>3327</v>
      </c>
      <c r="C822" s="1" t="s">
        <v>18</v>
      </c>
      <c r="D822" s="1">
        <v>99507.0</v>
      </c>
      <c r="E822" s="1" t="s">
        <v>30</v>
      </c>
      <c r="F822" s="1" t="s">
        <v>41</v>
      </c>
      <c r="G822" s="1" t="s">
        <v>31</v>
      </c>
      <c r="H822" s="2">
        <v>3904.0</v>
      </c>
      <c r="I822" s="2">
        <v>9647.0</v>
      </c>
      <c r="J822" s="1">
        <v>1971.0</v>
      </c>
      <c r="K822" s="1">
        <v>86.0</v>
      </c>
      <c r="L822" s="1" t="s">
        <v>22</v>
      </c>
      <c r="M822" s="1" t="s">
        <v>3328</v>
      </c>
      <c r="N822" s="1" t="s">
        <v>34</v>
      </c>
      <c r="O822" s="1" t="s">
        <v>35</v>
      </c>
      <c r="P822" s="1" t="s">
        <v>3329</v>
      </c>
    </row>
    <row r="823" ht="14.25" customHeight="1">
      <c r="A823" s="1" t="s">
        <v>3330</v>
      </c>
      <c r="B823" s="1" t="s">
        <v>3331</v>
      </c>
      <c r="C823" s="1" t="s">
        <v>53</v>
      </c>
      <c r="D823" s="1">
        <v>39530.0</v>
      </c>
      <c r="E823" s="1" t="s">
        <v>60</v>
      </c>
      <c r="F823" s="1" t="s">
        <v>94</v>
      </c>
      <c r="G823" s="1" t="s">
        <v>21</v>
      </c>
      <c r="H823" s="2">
        <v>3611.0</v>
      </c>
      <c r="I823" s="2">
        <v>3117.0</v>
      </c>
      <c r="J823" s="1">
        <v>1990.0</v>
      </c>
      <c r="K823" s="1">
        <v>78.0</v>
      </c>
      <c r="L823" s="1" t="s">
        <v>95</v>
      </c>
      <c r="M823" s="1" t="s">
        <v>3332</v>
      </c>
      <c r="N823" s="1" t="s">
        <v>48</v>
      </c>
      <c r="O823" s="1" t="s">
        <v>49</v>
      </c>
      <c r="P823" s="1" t="s">
        <v>3333</v>
      </c>
    </row>
    <row r="824" ht="14.25" customHeight="1">
      <c r="A824" s="1" t="s">
        <v>3334</v>
      </c>
      <c r="B824" s="1" t="s">
        <v>3335</v>
      </c>
      <c r="C824" s="1" t="s">
        <v>53</v>
      </c>
      <c r="D824" s="1">
        <v>50916.0</v>
      </c>
      <c r="E824" s="1" t="s">
        <v>77</v>
      </c>
      <c r="F824" s="1" t="s">
        <v>61</v>
      </c>
      <c r="G824" s="1" t="s">
        <v>21</v>
      </c>
      <c r="H824" s="2">
        <v>2940.0</v>
      </c>
      <c r="I824" s="2">
        <v>7112.0</v>
      </c>
      <c r="J824" s="1">
        <v>1986.0</v>
      </c>
      <c r="K824" s="1">
        <v>59.0</v>
      </c>
      <c r="L824" s="1" t="s">
        <v>141</v>
      </c>
      <c r="M824" s="1" t="s">
        <v>3336</v>
      </c>
      <c r="N824" s="1" t="s">
        <v>34</v>
      </c>
      <c r="O824" s="1" t="s">
        <v>35</v>
      </c>
      <c r="P824" s="1" t="s">
        <v>3337</v>
      </c>
    </row>
    <row r="825" ht="14.25" customHeight="1">
      <c r="A825" s="1" t="s">
        <v>3338</v>
      </c>
      <c r="B825" s="1" t="s">
        <v>3339</v>
      </c>
      <c r="C825" s="1" t="s">
        <v>76</v>
      </c>
      <c r="D825" s="1">
        <v>71130.0</v>
      </c>
      <c r="E825" s="1" t="s">
        <v>19</v>
      </c>
      <c r="F825" s="1" t="s">
        <v>41</v>
      </c>
      <c r="G825" s="1" t="s">
        <v>55</v>
      </c>
      <c r="H825" s="2">
        <v>2459.0</v>
      </c>
      <c r="I825" s="2">
        <v>9743.0</v>
      </c>
      <c r="J825" s="1">
        <v>1994.0</v>
      </c>
      <c r="K825" s="1">
        <v>117.0</v>
      </c>
      <c r="L825" s="1" t="s">
        <v>95</v>
      </c>
      <c r="M825" s="1" t="s">
        <v>3340</v>
      </c>
      <c r="N825" s="1" t="s">
        <v>64</v>
      </c>
      <c r="O825" s="1" t="s">
        <v>25</v>
      </c>
      <c r="P825" s="1" t="s">
        <v>3341</v>
      </c>
    </row>
    <row r="826" ht="14.25" customHeight="1">
      <c r="A826" s="1" t="s">
        <v>3342</v>
      </c>
      <c r="B826" s="1" t="s">
        <v>3343</v>
      </c>
      <c r="C826" s="1" t="s">
        <v>18</v>
      </c>
      <c r="D826" s="1">
        <v>38257.0</v>
      </c>
      <c r="E826" s="1" t="s">
        <v>19</v>
      </c>
      <c r="F826" s="1" t="s">
        <v>41</v>
      </c>
      <c r="G826" s="1" t="s">
        <v>31</v>
      </c>
      <c r="H826" s="2">
        <v>994.0</v>
      </c>
      <c r="I826" s="2">
        <v>7071.0</v>
      </c>
      <c r="J826" s="1">
        <v>1995.0</v>
      </c>
      <c r="K826" s="1">
        <v>36.0</v>
      </c>
      <c r="L826" s="1" t="s">
        <v>22</v>
      </c>
      <c r="M826" s="1" t="s">
        <v>3344</v>
      </c>
      <c r="N826" s="1" t="s">
        <v>34</v>
      </c>
      <c r="O826" s="1" t="s">
        <v>35</v>
      </c>
      <c r="P826" s="1" t="s">
        <v>3345</v>
      </c>
    </row>
    <row r="827" ht="14.25" customHeight="1">
      <c r="A827" s="1" t="s">
        <v>3346</v>
      </c>
      <c r="B827" s="1" t="s">
        <v>3347</v>
      </c>
      <c r="C827" s="1" t="s">
        <v>53</v>
      </c>
      <c r="D827" s="1">
        <v>14062.0</v>
      </c>
      <c r="E827" s="1" t="s">
        <v>19</v>
      </c>
      <c r="F827" s="1" t="s">
        <v>94</v>
      </c>
      <c r="G827" s="1" t="s">
        <v>55</v>
      </c>
      <c r="H827" s="2">
        <v>2907.0</v>
      </c>
      <c r="I827" s="2">
        <v>5822.0</v>
      </c>
      <c r="J827" s="1">
        <v>1992.0</v>
      </c>
      <c r="K827" s="1">
        <v>54.0</v>
      </c>
      <c r="L827" s="1" t="s">
        <v>62</v>
      </c>
      <c r="M827" s="1" t="s">
        <v>3348</v>
      </c>
      <c r="N827" s="1" t="s">
        <v>43</v>
      </c>
      <c r="O827" s="1" t="s">
        <v>25</v>
      </c>
      <c r="P827" s="1" t="s">
        <v>3349</v>
      </c>
    </row>
    <row r="828" ht="14.25" customHeight="1">
      <c r="A828" s="1" t="s">
        <v>3350</v>
      </c>
      <c r="B828" s="1" t="s">
        <v>3351</v>
      </c>
      <c r="C828" s="1" t="s">
        <v>29</v>
      </c>
      <c r="D828" s="1">
        <v>16271.0</v>
      </c>
      <c r="E828" s="1" t="s">
        <v>19</v>
      </c>
      <c r="F828" s="1" t="s">
        <v>20</v>
      </c>
      <c r="G828" s="1" t="s">
        <v>100</v>
      </c>
      <c r="H828" s="2">
        <v>3669.0</v>
      </c>
      <c r="I828" s="2">
        <v>1043.0</v>
      </c>
      <c r="J828" s="1">
        <v>1964.0</v>
      </c>
      <c r="K828" s="1">
        <v>108.0</v>
      </c>
      <c r="L828" s="1" t="s">
        <v>141</v>
      </c>
      <c r="M828" s="1" t="s">
        <v>3352</v>
      </c>
      <c r="N828" s="1" t="s">
        <v>24</v>
      </c>
      <c r="O828" s="1" t="s">
        <v>25</v>
      </c>
      <c r="P828" s="1" t="s">
        <v>3353</v>
      </c>
    </row>
    <row r="829" ht="14.25" customHeight="1">
      <c r="A829" s="1" t="s">
        <v>3354</v>
      </c>
      <c r="B829" s="1" t="s">
        <v>3355</v>
      </c>
      <c r="C829" s="1" t="s">
        <v>53</v>
      </c>
      <c r="D829" s="1">
        <v>48570.0</v>
      </c>
      <c r="E829" s="1" t="s">
        <v>40</v>
      </c>
      <c r="F829" s="1" t="s">
        <v>61</v>
      </c>
      <c r="G829" s="1" t="s">
        <v>100</v>
      </c>
      <c r="H829" s="2">
        <v>1317.0</v>
      </c>
      <c r="I829" s="2">
        <v>5647.0</v>
      </c>
      <c r="J829" s="1">
        <v>1976.0</v>
      </c>
      <c r="K829" s="1">
        <v>31.0</v>
      </c>
      <c r="L829" s="1" t="s">
        <v>32</v>
      </c>
      <c r="M829" s="1" t="s">
        <v>3356</v>
      </c>
      <c r="N829" s="1" t="s">
        <v>34</v>
      </c>
      <c r="O829" s="1" t="s">
        <v>49</v>
      </c>
      <c r="P829" s="1" t="s">
        <v>3357</v>
      </c>
    </row>
    <row r="830" ht="14.25" customHeight="1">
      <c r="A830" s="1" t="s">
        <v>3358</v>
      </c>
      <c r="B830" s="1" t="s">
        <v>3359</v>
      </c>
      <c r="C830" s="1" t="s">
        <v>76</v>
      </c>
      <c r="D830" s="1">
        <v>84319.0</v>
      </c>
      <c r="E830" s="1" t="s">
        <v>30</v>
      </c>
      <c r="F830" s="1" t="s">
        <v>54</v>
      </c>
      <c r="G830" s="1" t="s">
        <v>55</v>
      </c>
      <c r="H830" s="2">
        <v>2046.0</v>
      </c>
      <c r="I830" s="2">
        <v>2495.0</v>
      </c>
      <c r="J830" s="1">
        <v>1961.0</v>
      </c>
      <c r="K830" s="1">
        <v>24.0</v>
      </c>
      <c r="L830" s="1" t="s">
        <v>62</v>
      </c>
      <c r="M830" s="1" t="s">
        <v>3360</v>
      </c>
      <c r="N830" s="1" t="s">
        <v>24</v>
      </c>
      <c r="O830" s="1" t="s">
        <v>49</v>
      </c>
      <c r="P830" s="1" t="s">
        <v>3361</v>
      </c>
    </row>
    <row r="831" ht="14.25" customHeight="1">
      <c r="A831" s="1" t="s">
        <v>3362</v>
      </c>
      <c r="B831" s="1" t="s">
        <v>3363</v>
      </c>
      <c r="C831" s="1" t="s">
        <v>18</v>
      </c>
      <c r="D831" s="1">
        <v>21216.0</v>
      </c>
      <c r="E831" s="1" t="s">
        <v>40</v>
      </c>
      <c r="F831" s="1" t="s">
        <v>54</v>
      </c>
      <c r="G831" s="1" t="s">
        <v>100</v>
      </c>
      <c r="H831" s="2">
        <v>3855.0</v>
      </c>
      <c r="I831" s="2">
        <v>1361.0</v>
      </c>
      <c r="J831" s="1">
        <v>1967.0</v>
      </c>
      <c r="K831" s="1">
        <v>115.0</v>
      </c>
      <c r="L831" s="1" t="s">
        <v>62</v>
      </c>
      <c r="M831" s="1" t="s">
        <v>3364</v>
      </c>
      <c r="N831" s="1" t="s">
        <v>48</v>
      </c>
      <c r="O831" s="1" t="s">
        <v>49</v>
      </c>
      <c r="P831" s="1" t="s">
        <v>3365</v>
      </c>
    </row>
    <row r="832" ht="14.25" customHeight="1">
      <c r="A832" s="1" t="s">
        <v>3366</v>
      </c>
      <c r="B832" s="1" t="s">
        <v>3367</v>
      </c>
      <c r="C832" s="1" t="s">
        <v>53</v>
      </c>
      <c r="D832" s="1">
        <v>95808.0</v>
      </c>
      <c r="E832" s="1" t="s">
        <v>40</v>
      </c>
      <c r="F832" s="1" t="s">
        <v>46</v>
      </c>
      <c r="G832" s="1" t="s">
        <v>100</v>
      </c>
      <c r="H832" s="2">
        <v>2572.0</v>
      </c>
      <c r="I832" s="2">
        <v>9938.0</v>
      </c>
      <c r="J832" s="1">
        <v>1959.0</v>
      </c>
      <c r="K832" s="1">
        <v>91.0</v>
      </c>
      <c r="L832" s="1" t="s">
        <v>32</v>
      </c>
      <c r="M832" s="1" t="s">
        <v>3368</v>
      </c>
      <c r="N832" s="1" t="s">
        <v>43</v>
      </c>
      <c r="O832" s="1" t="s">
        <v>35</v>
      </c>
      <c r="P832" s="1" t="s">
        <v>3369</v>
      </c>
    </row>
    <row r="833" ht="14.25" customHeight="1">
      <c r="A833" s="1" t="s">
        <v>3370</v>
      </c>
      <c r="B833" s="1" t="s">
        <v>3371</v>
      </c>
      <c r="C833" s="1" t="s">
        <v>29</v>
      </c>
      <c r="D833" s="1">
        <v>46537.0</v>
      </c>
      <c r="E833" s="1" t="s">
        <v>19</v>
      </c>
      <c r="F833" s="1" t="s">
        <v>61</v>
      </c>
      <c r="G833" s="1" t="s">
        <v>100</v>
      </c>
      <c r="H833" s="2">
        <v>2458.0</v>
      </c>
      <c r="I833" s="2">
        <v>9760.0</v>
      </c>
      <c r="J833" s="1">
        <v>1999.0</v>
      </c>
      <c r="K833" s="1">
        <v>2.0</v>
      </c>
      <c r="L833" s="1" t="s">
        <v>22</v>
      </c>
      <c r="M833" s="1" t="s">
        <v>3372</v>
      </c>
      <c r="N833" s="1" t="s">
        <v>43</v>
      </c>
      <c r="O833" s="1" t="s">
        <v>25</v>
      </c>
      <c r="P833" s="1" t="s">
        <v>3373</v>
      </c>
    </row>
    <row r="834" ht="14.25" customHeight="1">
      <c r="A834" s="1" t="s">
        <v>3374</v>
      </c>
      <c r="B834" s="1" t="s">
        <v>3375</v>
      </c>
      <c r="C834" s="1" t="s">
        <v>76</v>
      </c>
      <c r="D834" s="1">
        <v>81827.0</v>
      </c>
      <c r="E834" s="1" t="s">
        <v>40</v>
      </c>
      <c r="F834" s="1" t="s">
        <v>54</v>
      </c>
      <c r="G834" s="1" t="s">
        <v>31</v>
      </c>
      <c r="H834" s="2">
        <v>3975.0</v>
      </c>
      <c r="I834" s="2">
        <v>1119.0</v>
      </c>
      <c r="J834" s="1">
        <v>1963.0</v>
      </c>
      <c r="K834" s="1">
        <v>24.0</v>
      </c>
      <c r="L834" s="1" t="s">
        <v>95</v>
      </c>
      <c r="M834" s="1" t="s">
        <v>3376</v>
      </c>
      <c r="N834" s="1" t="s">
        <v>43</v>
      </c>
      <c r="O834" s="1" t="s">
        <v>25</v>
      </c>
      <c r="P834" s="1" t="s">
        <v>3377</v>
      </c>
    </row>
    <row r="835" ht="14.25" customHeight="1">
      <c r="A835" s="1" t="s">
        <v>3378</v>
      </c>
      <c r="B835" s="1" t="s">
        <v>3379</v>
      </c>
      <c r="C835" s="1" t="s">
        <v>18</v>
      </c>
      <c r="D835" s="1">
        <v>23226.0</v>
      </c>
      <c r="E835" s="1" t="s">
        <v>60</v>
      </c>
      <c r="F835" s="1" t="s">
        <v>20</v>
      </c>
      <c r="G835" s="1" t="s">
        <v>55</v>
      </c>
      <c r="H835" s="2">
        <v>1647.0</v>
      </c>
      <c r="I835" s="2">
        <v>9202.0</v>
      </c>
      <c r="J835" s="1">
        <v>1950.0</v>
      </c>
      <c r="K835" s="1">
        <v>34.0</v>
      </c>
      <c r="L835" s="1" t="s">
        <v>141</v>
      </c>
      <c r="M835" s="1" t="s">
        <v>3380</v>
      </c>
      <c r="N835" s="1" t="s">
        <v>48</v>
      </c>
      <c r="O835" s="1" t="s">
        <v>49</v>
      </c>
      <c r="P835" s="1" t="s">
        <v>3381</v>
      </c>
    </row>
    <row r="836" ht="14.25" customHeight="1">
      <c r="A836" s="1" t="s">
        <v>3382</v>
      </c>
      <c r="B836" s="1" t="s">
        <v>3383</v>
      </c>
      <c r="C836" s="1" t="s">
        <v>18</v>
      </c>
      <c r="D836" s="1">
        <v>23788.0</v>
      </c>
      <c r="E836" s="1" t="s">
        <v>19</v>
      </c>
      <c r="F836" s="1" t="s">
        <v>94</v>
      </c>
      <c r="G836" s="1" t="s">
        <v>55</v>
      </c>
      <c r="H836" s="2">
        <v>1050.0</v>
      </c>
      <c r="I836" s="2">
        <v>3723.0</v>
      </c>
      <c r="J836" s="1">
        <v>1975.0</v>
      </c>
      <c r="K836" s="1">
        <v>64.0</v>
      </c>
      <c r="L836" s="1" t="s">
        <v>22</v>
      </c>
      <c r="M836" s="1" t="s">
        <v>3384</v>
      </c>
      <c r="N836" s="1" t="s">
        <v>48</v>
      </c>
      <c r="O836" s="1" t="s">
        <v>49</v>
      </c>
      <c r="P836" s="1" t="s">
        <v>3385</v>
      </c>
    </row>
    <row r="837" ht="14.25" customHeight="1">
      <c r="A837" s="1" t="s">
        <v>3386</v>
      </c>
      <c r="B837" s="1" t="s">
        <v>3387</v>
      </c>
      <c r="C837" s="1" t="s">
        <v>76</v>
      </c>
      <c r="D837" s="1">
        <v>98527.0</v>
      </c>
      <c r="E837" s="1" t="s">
        <v>77</v>
      </c>
      <c r="F837" s="1" t="s">
        <v>46</v>
      </c>
      <c r="G837" s="1" t="s">
        <v>21</v>
      </c>
      <c r="H837" s="2">
        <v>1186.0</v>
      </c>
      <c r="I837" s="2">
        <v>7670.0</v>
      </c>
      <c r="J837" s="1">
        <v>1990.0</v>
      </c>
      <c r="K837" s="1">
        <v>16.0</v>
      </c>
      <c r="L837" s="1" t="s">
        <v>141</v>
      </c>
      <c r="M837" s="1" t="s">
        <v>3388</v>
      </c>
      <c r="N837" s="1" t="s">
        <v>48</v>
      </c>
      <c r="O837" s="1" t="s">
        <v>35</v>
      </c>
      <c r="P837" s="1" t="s">
        <v>3389</v>
      </c>
    </row>
    <row r="838" ht="14.25" customHeight="1">
      <c r="A838" s="1" t="s">
        <v>3390</v>
      </c>
      <c r="B838" s="1" t="s">
        <v>3391</v>
      </c>
      <c r="C838" s="1" t="s">
        <v>53</v>
      </c>
      <c r="D838" s="1">
        <v>85529.0</v>
      </c>
      <c r="E838" s="1" t="s">
        <v>30</v>
      </c>
      <c r="F838" s="1" t="s">
        <v>41</v>
      </c>
      <c r="G838" s="1" t="s">
        <v>55</v>
      </c>
      <c r="H838" s="2">
        <v>725.0</v>
      </c>
      <c r="I838" s="2">
        <v>9263.0</v>
      </c>
      <c r="J838" s="1">
        <v>1957.0</v>
      </c>
      <c r="K838" s="1">
        <v>1.0</v>
      </c>
      <c r="L838" s="1" t="s">
        <v>95</v>
      </c>
      <c r="M838" s="1" t="s">
        <v>3392</v>
      </c>
      <c r="N838" s="1" t="s">
        <v>64</v>
      </c>
      <c r="O838" s="1" t="s">
        <v>25</v>
      </c>
      <c r="P838" s="1" t="s">
        <v>3393</v>
      </c>
    </row>
    <row r="839" ht="14.25" customHeight="1">
      <c r="A839" s="1" t="s">
        <v>3394</v>
      </c>
      <c r="B839" s="1" t="s">
        <v>3395</v>
      </c>
      <c r="C839" s="1" t="s">
        <v>29</v>
      </c>
      <c r="D839" s="1">
        <v>98387.0</v>
      </c>
      <c r="E839" s="1" t="s">
        <v>30</v>
      </c>
      <c r="F839" s="1" t="s">
        <v>54</v>
      </c>
      <c r="G839" s="1" t="s">
        <v>100</v>
      </c>
      <c r="H839" s="2">
        <v>2212.0</v>
      </c>
      <c r="I839" s="2">
        <v>5551.0</v>
      </c>
      <c r="J839" s="1">
        <v>2016.0</v>
      </c>
      <c r="K839" s="1">
        <v>71.0</v>
      </c>
      <c r="L839" s="1" t="s">
        <v>22</v>
      </c>
      <c r="M839" s="1" t="s">
        <v>3396</v>
      </c>
      <c r="N839" s="1" t="s">
        <v>48</v>
      </c>
      <c r="O839" s="1" t="s">
        <v>35</v>
      </c>
      <c r="P839" s="1" t="s">
        <v>3397</v>
      </c>
    </row>
    <row r="840" ht="14.25" customHeight="1">
      <c r="A840" s="1" t="s">
        <v>3398</v>
      </c>
      <c r="B840" s="1" t="s">
        <v>3399</v>
      </c>
      <c r="C840" s="1" t="s">
        <v>53</v>
      </c>
      <c r="D840" s="1">
        <v>97828.0</v>
      </c>
      <c r="E840" s="1" t="s">
        <v>40</v>
      </c>
      <c r="F840" s="1" t="s">
        <v>94</v>
      </c>
      <c r="G840" s="1" t="s">
        <v>100</v>
      </c>
      <c r="H840" s="2">
        <v>2606.0</v>
      </c>
      <c r="I840" s="2">
        <v>4920.0</v>
      </c>
      <c r="J840" s="1">
        <v>2021.0</v>
      </c>
      <c r="K840" s="1">
        <v>118.0</v>
      </c>
      <c r="L840" s="1" t="s">
        <v>22</v>
      </c>
      <c r="M840" s="1" t="s">
        <v>3400</v>
      </c>
      <c r="N840" s="1" t="s">
        <v>43</v>
      </c>
      <c r="O840" s="1" t="s">
        <v>25</v>
      </c>
      <c r="P840" s="1" t="s">
        <v>3401</v>
      </c>
    </row>
    <row r="841" ht="14.25" customHeight="1">
      <c r="A841" s="1" t="s">
        <v>3402</v>
      </c>
      <c r="B841" s="1" t="s">
        <v>3403</v>
      </c>
      <c r="C841" s="1" t="s">
        <v>76</v>
      </c>
      <c r="D841" s="1">
        <v>67577.0</v>
      </c>
      <c r="E841" s="1" t="s">
        <v>19</v>
      </c>
      <c r="F841" s="1" t="s">
        <v>46</v>
      </c>
      <c r="G841" s="1" t="s">
        <v>21</v>
      </c>
      <c r="H841" s="2">
        <v>762.0</v>
      </c>
      <c r="I841" s="2">
        <v>3462.0</v>
      </c>
      <c r="J841" s="1">
        <v>1992.0</v>
      </c>
      <c r="K841" s="1">
        <v>115.0</v>
      </c>
      <c r="L841" s="1" t="s">
        <v>62</v>
      </c>
      <c r="M841" s="1" t="s">
        <v>3404</v>
      </c>
      <c r="N841" s="1" t="s">
        <v>43</v>
      </c>
      <c r="O841" s="1" t="s">
        <v>49</v>
      </c>
      <c r="P841" s="1" t="s">
        <v>3405</v>
      </c>
    </row>
    <row r="842" ht="14.25" customHeight="1">
      <c r="A842" s="1" t="s">
        <v>3406</v>
      </c>
      <c r="B842" s="1" t="s">
        <v>3407</v>
      </c>
      <c r="C842" s="1" t="s">
        <v>53</v>
      </c>
      <c r="D842" s="1">
        <v>82462.0</v>
      </c>
      <c r="E842" s="1" t="s">
        <v>60</v>
      </c>
      <c r="F842" s="1" t="s">
        <v>61</v>
      </c>
      <c r="G842" s="1" t="s">
        <v>21</v>
      </c>
      <c r="H842" s="2">
        <v>2352.0</v>
      </c>
      <c r="I842" s="2">
        <v>8601.0</v>
      </c>
      <c r="J842" s="1">
        <v>1952.0</v>
      </c>
      <c r="K842" s="1">
        <v>30.0</v>
      </c>
      <c r="L842" s="1" t="s">
        <v>22</v>
      </c>
      <c r="M842" s="1" t="s">
        <v>3408</v>
      </c>
      <c r="N842" s="1" t="s">
        <v>48</v>
      </c>
      <c r="O842" s="1" t="s">
        <v>25</v>
      </c>
      <c r="P842" s="1" t="s">
        <v>3409</v>
      </c>
    </row>
    <row r="843" ht="14.25" customHeight="1">
      <c r="A843" s="1" t="s">
        <v>3410</v>
      </c>
      <c r="B843" s="1" t="s">
        <v>3411</v>
      </c>
      <c r="C843" s="1" t="s">
        <v>53</v>
      </c>
      <c r="D843" s="1">
        <v>77037.0</v>
      </c>
      <c r="E843" s="1" t="s">
        <v>30</v>
      </c>
      <c r="F843" s="1" t="s">
        <v>61</v>
      </c>
      <c r="G843" s="1" t="s">
        <v>21</v>
      </c>
      <c r="H843" s="2">
        <v>2241.0</v>
      </c>
      <c r="I843" s="2">
        <v>8877.0</v>
      </c>
      <c r="J843" s="1">
        <v>1991.0</v>
      </c>
      <c r="K843" s="1">
        <v>118.0</v>
      </c>
      <c r="L843" s="1" t="s">
        <v>62</v>
      </c>
      <c r="M843" s="1" t="s">
        <v>3412</v>
      </c>
      <c r="N843" s="1" t="s">
        <v>48</v>
      </c>
      <c r="O843" s="1" t="s">
        <v>35</v>
      </c>
      <c r="P843" s="1" t="s">
        <v>3413</v>
      </c>
    </row>
    <row r="844" ht="14.25" customHeight="1">
      <c r="A844" s="1" t="s">
        <v>3414</v>
      </c>
      <c r="B844" s="1" t="s">
        <v>3415</v>
      </c>
      <c r="C844" s="1" t="s">
        <v>29</v>
      </c>
      <c r="D844" s="1">
        <v>11818.0</v>
      </c>
      <c r="E844" s="1" t="s">
        <v>30</v>
      </c>
      <c r="F844" s="1" t="s">
        <v>20</v>
      </c>
      <c r="G844" s="1" t="s">
        <v>100</v>
      </c>
      <c r="H844" s="2">
        <v>1580.0</v>
      </c>
      <c r="I844" s="2">
        <v>1047.0</v>
      </c>
      <c r="J844" s="1">
        <v>1998.0</v>
      </c>
      <c r="K844" s="1">
        <v>69.0</v>
      </c>
      <c r="L844" s="1" t="s">
        <v>141</v>
      </c>
      <c r="M844" s="1" t="s">
        <v>3416</v>
      </c>
      <c r="N844" s="1" t="s">
        <v>43</v>
      </c>
      <c r="O844" s="1" t="s">
        <v>25</v>
      </c>
      <c r="P844" s="1" t="s">
        <v>3417</v>
      </c>
    </row>
    <row r="845" ht="14.25" customHeight="1">
      <c r="A845" s="1" t="s">
        <v>3418</v>
      </c>
      <c r="B845" s="1" t="s">
        <v>3419</v>
      </c>
      <c r="C845" s="1" t="s">
        <v>39</v>
      </c>
      <c r="D845" s="1">
        <v>85987.0</v>
      </c>
      <c r="E845" s="1" t="s">
        <v>77</v>
      </c>
      <c r="F845" s="1" t="s">
        <v>46</v>
      </c>
      <c r="G845" s="1" t="s">
        <v>55</v>
      </c>
      <c r="H845" s="2">
        <v>1619.0</v>
      </c>
      <c r="I845" s="2">
        <v>6627.0</v>
      </c>
      <c r="J845" s="1">
        <v>1990.0</v>
      </c>
      <c r="K845" s="1">
        <v>2.0</v>
      </c>
      <c r="L845" s="1" t="s">
        <v>32</v>
      </c>
      <c r="M845" s="1" t="s">
        <v>3420</v>
      </c>
      <c r="N845" s="1" t="s">
        <v>48</v>
      </c>
      <c r="O845" s="1" t="s">
        <v>49</v>
      </c>
      <c r="P845" s="1" t="s">
        <v>3421</v>
      </c>
    </row>
    <row r="846" ht="14.25" customHeight="1">
      <c r="A846" s="1" t="s">
        <v>3422</v>
      </c>
      <c r="B846" s="1" t="s">
        <v>3423</v>
      </c>
      <c r="C846" s="1" t="s">
        <v>76</v>
      </c>
      <c r="D846" s="1">
        <v>77179.0</v>
      </c>
      <c r="E846" s="1" t="s">
        <v>19</v>
      </c>
      <c r="F846" s="1" t="s">
        <v>20</v>
      </c>
      <c r="G846" s="1" t="s">
        <v>21</v>
      </c>
      <c r="H846" s="2">
        <v>2704.0</v>
      </c>
      <c r="I846" s="2">
        <v>7502.0</v>
      </c>
      <c r="J846" s="1">
        <v>2022.0</v>
      </c>
      <c r="K846" s="1">
        <v>28.0</v>
      </c>
      <c r="L846" s="1" t="s">
        <v>95</v>
      </c>
      <c r="M846" s="1" t="s">
        <v>3424</v>
      </c>
      <c r="N846" s="1" t="s">
        <v>24</v>
      </c>
      <c r="O846" s="1" t="s">
        <v>25</v>
      </c>
      <c r="P846" s="1" t="s">
        <v>3425</v>
      </c>
    </row>
    <row r="847" ht="14.25" customHeight="1">
      <c r="A847" s="1" t="s">
        <v>3426</v>
      </c>
      <c r="B847" s="1" t="s">
        <v>3427</v>
      </c>
      <c r="C847" s="1" t="s">
        <v>39</v>
      </c>
      <c r="D847" s="1">
        <v>54113.0</v>
      </c>
      <c r="E847" s="1" t="s">
        <v>30</v>
      </c>
      <c r="F847" s="1" t="s">
        <v>20</v>
      </c>
      <c r="G847" s="1" t="s">
        <v>100</v>
      </c>
      <c r="H847" s="2">
        <v>3446.0</v>
      </c>
      <c r="I847" s="2">
        <v>3758.0</v>
      </c>
      <c r="J847" s="1">
        <v>1963.0</v>
      </c>
      <c r="K847" s="1">
        <v>96.0</v>
      </c>
      <c r="L847" s="1" t="s">
        <v>32</v>
      </c>
      <c r="M847" s="1" t="s">
        <v>3428</v>
      </c>
      <c r="N847" s="1" t="s">
        <v>43</v>
      </c>
      <c r="O847" s="1" t="s">
        <v>25</v>
      </c>
      <c r="P847" s="1" t="s">
        <v>3429</v>
      </c>
    </row>
    <row r="848" ht="14.25" customHeight="1">
      <c r="A848" s="1" t="s">
        <v>3430</v>
      </c>
      <c r="B848" s="1" t="s">
        <v>3431</v>
      </c>
      <c r="C848" s="1" t="s">
        <v>29</v>
      </c>
      <c r="D848" s="1">
        <v>59919.0</v>
      </c>
      <c r="E848" s="1" t="s">
        <v>19</v>
      </c>
      <c r="F848" s="1" t="s">
        <v>20</v>
      </c>
      <c r="G848" s="1" t="s">
        <v>31</v>
      </c>
      <c r="H848" s="2">
        <v>1418.0</v>
      </c>
      <c r="I848" s="2">
        <v>5105.0</v>
      </c>
      <c r="J848" s="1">
        <v>1962.0</v>
      </c>
      <c r="K848" s="1">
        <v>110.0</v>
      </c>
      <c r="L848" s="1" t="s">
        <v>22</v>
      </c>
      <c r="M848" s="1" t="s">
        <v>3432</v>
      </c>
      <c r="N848" s="1" t="s">
        <v>24</v>
      </c>
      <c r="O848" s="1" t="s">
        <v>35</v>
      </c>
      <c r="P848" s="1" t="s">
        <v>3433</v>
      </c>
    </row>
    <row r="849" ht="14.25" customHeight="1">
      <c r="A849" s="1" t="s">
        <v>3434</v>
      </c>
      <c r="B849" s="1" t="s">
        <v>3435</v>
      </c>
      <c r="C849" s="1" t="s">
        <v>76</v>
      </c>
      <c r="D849" s="1">
        <v>23613.0</v>
      </c>
      <c r="E849" s="1" t="s">
        <v>30</v>
      </c>
      <c r="F849" s="1" t="s">
        <v>94</v>
      </c>
      <c r="G849" s="1" t="s">
        <v>100</v>
      </c>
      <c r="H849" s="2">
        <v>2585.0</v>
      </c>
      <c r="I849" s="2">
        <v>9925.0</v>
      </c>
      <c r="J849" s="1">
        <v>1972.0</v>
      </c>
      <c r="K849" s="1">
        <v>62.0</v>
      </c>
      <c r="L849" s="1" t="s">
        <v>62</v>
      </c>
      <c r="M849" s="1" t="s">
        <v>3436</v>
      </c>
      <c r="N849" s="1" t="s">
        <v>34</v>
      </c>
      <c r="O849" s="1" t="s">
        <v>25</v>
      </c>
      <c r="P849" s="1" t="s">
        <v>3437</v>
      </c>
    </row>
    <row r="850" ht="14.25" customHeight="1">
      <c r="A850" s="1" t="s">
        <v>3438</v>
      </c>
      <c r="B850" s="1" t="s">
        <v>3439</v>
      </c>
      <c r="C850" s="1" t="s">
        <v>18</v>
      </c>
      <c r="D850" s="1">
        <v>42387.0</v>
      </c>
      <c r="E850" s="1" t="s">
        <v>77</v>
      </c>
      <c r="F850" s="1" t="s">
        <v>61</v>
      </c>
      <c r="G850" s="1" t="s">
        <v>100</v>
      </c>
      <c r="H850" s="2">
        <v>3051.0</v>
      </c>
      <c r="I850" s="2">
        <v>6115.0</v>
      </c>
      <c r="J850" s="1">
        <v>2017.0</v>
      </c>
      <c r="K850" s="1">
        <v>17.0</v>
      </c>
      <c r="L850" s="1" t="s">
        <v>141</v>
      </c>
      <c r="M850" s="1" t="s">
        <v>3440</v>
      </c>
      <c r="N850" s="1" t="s">
        <v>24</v>
      </c>
      <c r="O850" s="1" t="s">
        <v>35</v>
      </c>
      <c r="P850" s="1" t="s">
        <v>3441</v>
      </c>
    </row>
    <row r="851" ht="14.25" customHeight="1">
      <c r="A851" s="1" t="s">
        <v>3442</v>
      </c>
      <c r="B851" s="1" t="s">
        <v>3443</v>
      </c>
      <c r="C851" s="1" t="s">
        <v>76</v>
      </c>
      <c r="D851" s="1">
        <v>57518.0</v>
      </c>
      <c r="E851" s="1" t="s">
        <v>60</v>
      </c>
      <c r="F851" s="1" t="s">
        <v>54</v>
      </c>
      <c r="G851" s="1" t="s">
        <v>31</v>
      </c>
      <c r="H851" s="2">
        <v>3084.0</v>
      </c>
      <c r="I851" s="2">
        <v>2899.0</v>
      </c>
      <c r="J851" s="1">
        <v>1955.0</v>
      </c>
      <c r="K851" s="1">
        <v>29.0</v>
      </c>
      <c r="L851" s="1" t="s">
        <v>32</v>
      </c>
      <c r="M851" s="1" t="s">
        <v>3444</v>
      </c>
      <c r="N851" s="1" t="s">
        <v>64</v>
      </c>
      <c r="O851" s="1" t="s">
        <v>25</v>
      </c>
      <c r="P851" s="1" t="s">
        <v>3445</v>
      </c>
    </row>
    <row r="852" ht="14.25" customHeight="1">
      <c r="A852" s="1" t="s">
        <v>3446</v>
      </c>
      <c r="B852" s="1" t="s">
        <v>3447</v>
      </c>
      <c r="C852" s="1" t="s">
        <v>29</v>
      </c>
      <c r="D852" s="1">
        <v>97626.0</v>
      </c>
      <c r="E852" s="1" t="s">
        <v>77</v>
      </c>
      <c r="F852" s="1" t="s">
        <v>41</v>
      </c>
      <c r="G852" s="1" t="s">
        <v>55</v>
      </c>
      <c r="H852" s="2">
        <v>2428.0</v>
      </c>
      <c r="I852" s="2">
        <v>8339.0</v>
      </c>
      <c r="J852" s="1">
        <v>1987.0</v>
      </c>
      <c r="K852" s="1">
        <v>13.0</v>
      </c>
      <c r="L852" s="1" t="s">
        <v>141</v>
      </c>
      <c r="M852" s="1" t="s">
        <v>3448</v>
      </c>
      <c r="N852" s="1" t="s">
        <v>34</v>
      </c>
      <c r="O852" s="1" t="s">
        <v>25</v>
      </c>
      <c r="P852" s="1" t="s">
        <v>3449</v>
      </c>
    </row>
    <row r="853" ht="14.25" customHeight="1">
      <c r="A853" s="1" t="s">
        <v>3450</v>
      </c>
      <c r="B853" s="1" t="s">
        <v>3451</v>
      </c>
      <c r="C853" s="1" t="s">
        <v>53</v>
      </c>
      <c r="D853" s="1">
        <v>79826.0</v>
      </c>
      <c r="E853" s="1" t="s">
        <v>77</v>
      </c>
      <c r="F853" s="1" t="s">
        <v>54</v>
      </c>
      <c r="G853" s="1" t="s">
        <v>100</v>
      </c>
      <c r="H853" s="2">
        <v>2623.0</v>
      </c>
      <c r="I853" s="2">
        <v>8836.0</v>
      </c>
      <c r="J853" s="1">
        <v>1961.0</v>
      </c>
      <c r="K853" s="1">
        <v>106.0</v>
      </c>
      <c r="L853" s="1" t="s">
        <v>141</v>
      </c>
      <c r="M853" s="1" t="s">
        <v>3452</v>
      </c>
      <c r="N853" s="1" t="s">
        <v>64</v>
      </c>
      <c r="O853" s="1" t="s">
        <v>49</v>
      </c>
      <c r="P853" s="1" t="s">
        <v>3453</v>
      </c>
    </row>
    <row r="854" ht="14.25" customHeight="1">
      <c r="A854" s="1" t="s">
        <v>3454</v>
      </c>
      <c r="B854" s="1" t="s">
        <v>3455</v>
      </c>
      <c r="C854" s="1" t="s">
        <v>39</v>
      </c>
      <c r="D854" s="1">
        <v>64861.0</v>
      </c>
      <c r="E854" s="1" t="s">
        <v>60</v>
      </c>
      <c r="F854" s="1" t="s">
        <v>41</v>
      </c>
      <c r="G854" s="1" t="s">
        <v>21</v>
      </c>
      <c r="H854" s="2">
        <v>2211.0</v>
      </c>
      <c r="I854" s="2">
        <v>3656.0</v>
      </c>
      <c r="J854" s="1">
        <v>2022.0</v>
      </c>
      <c r="K854" s="1">
        <v>119.0</v>
      </c>
      <c r="L854" s="1" t="s">
        <v>141</v>
      </c>
      <c r="M854" s="1" t="s">
        <v>3456</v>
      </c>
      <c r="N854" s="1" t="s">
        <v>43</v>
      </c>
      <c r="O854" s="1" t="s">
        <v>49</v>
      </c>
      <c r="P854" s="1" t="s">
        <v>3457</v>
      </c>
    </row>
    <row r="855" ht="14.25" customHeight="1">
      <c r="A855" s="1" t="s">
        <v>3458</v>
      </c>
      <c r="B855" s="1" t="s">
        <v>3459</v>
      </c>
      <c r="C855" s="1" t="s">
        <v>76</v>
      </c>
      <c r="D855" s="1">
        <v>87473.0</v>
      </c>
      <c r="E855" s="1" t="s">
        <v>30</v>
      </c>
      <c r="F855" s="1" t="s">
        <v>41</v>
      </c>
      <c r="G855" s="1" t="s">
        <v>21</v>
      </c>
      <c r="H855" s="2">
        <v>760.0</v>
      </c>
      <c r="I855" s="2">
        <v>1199.0</v>
      </c>
      <c r="J855" s="1">
        <v>1987.0</v>
      </c>
      <c r="K855" s="1">
        <v>40.0</v>
      </c>
      <c r="L855" s="1" t="s">
        <v>32</v>
      </c>
      <c r="M855" s="1" t="s">
        <v>3460</v>
      </c>
      <c r="N855" s="1" t="s">
        <v>43</v>
      </c>
      <c r="O855" s="1" t="s">
        <v>49</v>
      </c>
      <c r="P855" s="1" t="s">
        <v>3461</v>
      </c>
    </row>
    <row r="856" ht="14.25" customHeight="1">
      <c r="A856" s="1" t="s">
        <v>3462</v>
      </c>
      <c r="B856" s="1" t="s">
        <v>3463</v>
      </c>
      <c r="C856" s="1" t="s">
        <v>29</v>
      </c>
      <c r="D856" s="1">
        <v>95641.0</v>
      </c>
      <c r="E856" s="1" t="s">
        <v>40</v>
      </c>
      <c r="F856" s="1" t="s">
        <v>54</v>
      </c>
      <c r="G856" s="1" t="s">
        <v>100</v>
      </c>
      <c r="H856" s="2">
        <v>1970.0</v>
      </c>
      <c r="I856" s="2">
        <v>7313.0</v>
      </c>
      <c r="J856" s="1">
        <v>2007.0</v>
      </c>
      <c r="K856" s="1">
        <v>18.0</v>
      </c>
      <c r="L856" s="1" t="s">
        <v>141</v>
      </c>
      <c r="M856" s="1" t="s">
        <v>3464</v>
      </c>
      <c r="N856" s="1" t="s">
        <v>48</v>
      </c>
      <c r="O856" s="1" t="s">
        <v>35</v>
      </c>
      <c r="P856" s="1" t="s">
        <v>3465</v>
      </c>
    </row>
    <row r="857" ht="14.25" customHeight="1">
      <c r="A857" s="1" t="s">
        <v>3466</v>
      </c>
      <c r="B857" s="1" t="s">
        <v>3467</v>
      </c>
      <c r="C857" s="1" t="s">
        <v>53</v>
      </c>
      <c r="D857" s="1">
        <v>70928.0</v>
      </c>
      <c r="E857" s="1" t="s">
        <v>40</v>
      </c>
      <c r="F857" s="1" t="s">
        <v>20</v>
      </c>
      <c r="G857" s="1" t="s">
        <v>55</v>
      </c>
      <c r="H857" s="2">
        <v>1761.0</v>
      </c>
      <c r="I857" s="2">
        <v>9362.0</v>
      </c>
      <c r="J857" s="1">
        <v>1976.0</v>
      </c>
      <c r="K857" s="1">
        <v>74.0</v>
      </c>
      <c r="L857" s="1" t="s">
        <v>22</v>
      </c>
      <c r="M857" s="1" t="s">
        <v>3468</v>
      </c>
      <c r="N857" s="1" t="s">
        <v>64</v>
      </c>
      <c r="O857" s="1" t="s">
        <v>25</v>
      </c>
      <c r="P857" s="1" t="s">
        <v>3469</v>
      </c>
    </row>
    <row r="858" ht="14.25" customHeight="1">
      <c r="A858" s="1" t="s">
        <v>3470</v>
      </c>
      <c r="B858" s="1" t="s">
        <v>3471</v>
      </c>
      <c r="C858" s="1" t="s">
        <v>39</v>
      </c>
      <c r="D858" s="1">
        <v>15604.0</v>
      </c>
      <c r="E858" s="1" t="s">
        <v>77</v>
      </c>
      <c r="F858" s="1" t="s">
        <v>54</v>
      </c>
      <c r="G858" s="1" t="s">
        <v>100</v>
      </c>
      <c r="H858" s="2">
        <v>3114.0</v>
      </c>
      <c r="I858" s="2">
        <v>9717.0</v>
      </c>
      <c r="J858" s="1">
        <v>1961.0</v>
      </c>
      <c r="K858" s="1">
        <v>77.0</v>
      </c>
      <c r="L858" s="1" t="s">
        <v>32</v>
      </c>
      <c r="M858" s="1" t="s">
        <v>3472</v>
      </c>
      <c r="N858" s="1" t="s">
        <v>64</v>
      </c>
      <c r="O858" s="1" t="s">
        <v>35</v>
      </c>
      <c r="P858" s="1" t="s">
        <v>3473</v>
      </c>
    </row>
    <row r="859" ht="14.25" customHeight="1">
      <c r="A859" s="1" t="s">
        <v>3474</v>
      </c>
      <c r="B859" s="1" t="s">
        <v>3475</v>
      </c>
      <c r="C859" s="1" t="s">
        <v>39</v>
      </c>
      <c r="D859" s="1">
        <v>79757.0</v>
      </c>
      <c r="E859" s="1" t="s">
        <v>30</v>
      </c>
      <c r="F859" s="1" t="s">
        <v>54</v>
      </c>
      <c r="G859" s="1" t="s">
        <v>21</v>
      </c>
      <c r="H859" s="2">
        <v>1724.0</v>
      </c>
      <c r="I859" s="2">
        <v>1272.0</v>
      </c>
      <c r="J859" s="1">
        <v>2003.0</v>
      </c>
      <c r="K859" s="1">
        <v>100.0</v>
      </c>
      <c r="L859" s="1" t="s">
        <v>22</v>
      </c>
      <c r="M859" s="1" t="s">
        <v>3476</v>
      </c>
      <c r="N859" s="1" t="s">
        <v>24</v>
      </c>
      <c r="O859" s="1" t="s">
        <v>35</v>
      </c>
      <c r="P859" s="1" t="s">
        <v>3477</v>
      </c>
    </row>
    <row r="860" ht="14.25" customHeight="1">
      <c r="A860" s="1" t="s">
        <v>3478</v>
      </c>
      <c r="B860" s="1" t="s">
        <v>3479</v>
      </c>
      <c r="C860" s="1" t="s">
        <v>76</v>
      </c>
      <c r="D860" s="1">
        <v>95098.0</v>
      </c>
      <c r="E860" s="1" t="s">
        <v>30</v>
      </c>
      <c r="F860" s="1" t="s">
        <v>46</v>
      </c>
      <c r="G860" s="1" t="s">
        <v>100</v>
      </c>
      <c r="H860" s="2">
        <v>2028.0</v>
      </c>
      <c r="I860" s="2">
        <v>7650.0</v>
      </c>
      <c r="J860" s="1">
        <v>2020.0</v>
      </c>
      <c r="K860" s="1">
        <v>54.0</v>
      </c>
      <c r="L860" s="1" t="s">
        <v>62</v>
      </c>
      <c r="M860" s="1" t="s">
        <v>3480</v>
      </c>
      <c r="N860" s="1" t="s">
        <v>64</v>
      </c>
      <c r="O860" s="1" t="s">
        <v>35</v>
      </c>
      <c r="P860" s="1" t="s">
        <v>3481</v>
      </c>
    </row>
    <row r="861" ht="14.25" customHeight="1">
      <c r="A861" s="1" t="s">
        <v>3482</v>
      </c>
      <c r="B861" s="1" t="s">
        <v>3483</v>
      </c>
      <c r="C861" s="1" t="s">
        <v>18</v>
      </c>
      <c r="D861" s="1">
        <v>20368.0</v>
      </c>
      <c r="E861" s="1" t="s">
        <v>19</v>
      </c>
      <c r="F861" s="1" t="s">
        <v>61</v>
      </c>
      <c r="G861" s="1" t="s">
        <v>21</v>
      </c>
      <c r="H861" s="2">
        <v>2837.0</v>
      </c>
      <c r="I861" s="2">
        <v>7362.0</v>
      </c>
      <c r="J861" s="1">
        <v>2009.0</v>
      </c>
      <c r="K861" s="1">
        <v>62.0</v>
      </c>
      <c r="L861" s="1" t="s">
        <v>141</v>
      </c>
      <c r="M861" s="1" t="s">
        <v>3484</v>
      </c>
      <c r="N861" s="1" t="s">
        <v>34</v>
      </c>
      <c r="O861" s="1" t="s">
        <v>25</v>
      </c>
      <c r="P861" s="1" t="s">
        <v>3485</v>
      </c>
    </row>
    <row r="862" ht="14.25" customHeight="1">
      <c r="A862" s="1" t="s">
        <v>3486</v>
      </c>
      <c r="B862" s="1" t="s">
        <v>3487</v>
      </c>
      <c r="C862" s="1" t="s">
        <v>53</v>
      </c>
      <c r="D862" s="1">
        <v>54147.0</v>
      </c>
      <c r="E862" s="1" t="s">
        <v>40</v>
      </c>
      <c r="F862" s="1" t="s">
        <v>94</v>
      </c>
      <c r="G862" s="1" t="s">
        <v>100</v>
      </c>
      <c r="H862" s="2">
        <v>3918.0</v>
      </c>
      <c r="I862" s="2">
        <v>3960.0</v>
      </c>
      <c r="J862" s="1">
        <v>1965.0</v>
      </c>
      <c r="K862" s="1">
        <v>23.0</v>
      </c>
      <c r="L862" s="1" t="s">
        <v>32</v>
      </c>
      <c r="M862" s="1" t="s">
        <v>3488</v>
      </c>
      <c r="N862" s="1" t="s">
        <v>43</v>
      </c>
      <c r="O862" s="1" t="s">
        <v>25</v>
      </c>
      <c r="P862" s="1" t="s">
        <v>3489</v>
      </c>
    </row>
    <row r="863" ht="14.25" customHeight="1">
      <c r="A863" s="1" t="s">
        <v>3490</v>
      </c>
      <c r="B863" s="1" t="s">
        <v>3491</v>
      </c>
      <c r="C863" s="1" t="s">
        <v>29</v>
      </c>
      <c r="D863" s="1">
        <v>94609.0</v>
      </c>
      <c r="E863" s="1" t="s">
        <v>30</v>
      </c>
      <c r="F863" s="1" t="s">
        <v>94</v>
      </c>
      <c r="G863" s="1" t="s">
        <v>100</v>
      </c>
      <c r="H863" s="2">
        <v>3909.0</v>
      </c>
      <c r="I863" s="2">
        <v>6001.0</v>
      </c>
      <c r="J863" s="1">
        <v>1966.0</v>
      </c>
      <c r="K863" s="1">
        <v>94.0</v>
      </c>
      <c r="L863" s="1" t="s">
        <v>141</v>
      </c>
      <c r="M863" s="1" t="s">
        <v>3492</v>
      </c>
      <c r="N863" s="1" t="s">
        <v>48</v>
      </c>
      <c r="O863" s="1" t="s">
        <v>35</v>
      </c>
      <c r="P863" s="1" t="s">
        <v>3493</v>
      </c>
    </row>
    <row r="864" ht="14.25" customHeight="1">
      <c r="A864" s="1" t="s">
        <v>3494</v>
      </c>
      <c r="B864" s="1" t="s">
        <v>3495</v>
      </c>
      <c r="C864" s="1" t="s">
        <v>76</v>
      </c>
      <c r="D864" s="1">
        <v>24763.0</v>
      </c>
      <c r="E864" s="1" t="s">
        <v>30</v>
      </c>
      <c r="F864" s="1" t="s">
        <v>54</v>
      </c>
      <c r="G864" s="1" t="s">
        <v>55</v>
      </c>
      <c r="H864" s="2">
        <v>2943.0</v>
      </c>
      <c r="I864" s="2">
        <v>7607.0</v>
      </c>
      <c r="J864" s="1">
        <v>2008.0</v>
      </c>
      <c r="K864" s="1">
        <v>54.0</v>
      </c>
      <c r="L864" s="1" t="s">
        <v>32</v>
      </c>
      <c r="M864" s="1" t="s">
        <v>3496</v>
      </c>
      <c r="N864" s="1" t="s">
        <v>64</v>
      </c>
      <c r="O864" s="1" t="s">
        <v>35</v>
      </c>
      <c r="P864" s="1" t="s">
        <v>3497</v>
      </c>
    </row>
    <row r="865" ht="14.25" customHeight="1">
      <c r="A865" s="1" t="s">
        <v>3498</v>
      </c>
      <c r="B865" s="1" t="s">
        <v>3499</v>
      </c>
      <c r="C865" s="1" t="s">
        <v>76</v>
      </c>
      <c r="D865" s="1">
        <v>67802.0</v>
      </c>
      <c r="E865" s="1" t="s">
        <v>30</v>
      </c>
      <c r="F865" s="1" t="s">
        <v>20</v>
      </c>
      <c r="G865" s="1" t="s">
        <v>31</v>
      </c>
      <c r="H865" s="2">
        <v>679.0</v>
      </c>
      <c r="I865" s="2">
        <v>6239.0</v>
      </c>
      <c r="J865" s="1">
        <v>1990.0</v>
      </c>
      <c r="K865" s="1">
        <v>115.0</v>
      </c>
      <c r="L865" s="1" t="s">
        <v>62</v>
      </c>
      <c r="M865" s="1" t="s">
        <v>3500</v>
      </c>
      <c r="N865" s="1" t="s">
        <v>34</v>
      </c>
      <c r="O865" s="1" t="s">
        <v>49</v>
      </c>
      <c r="P865" s="1" t="s">
        <v>3501</v>
      </c>
    </row>
    <row r="866" ht="14.25" customHeight="1">
      <c r="A866" s="1" t="s">
        <v>3502</v>
      </c>
      <c r="B866" s="1" t="s">
        <v>3503</v>
      </c>
      <c r="C866" s="1" t="s">
        <v>53</v>
      </c>
      <c r="D866" s="1">
        <v>45498.0</v>
      </c>
      <c r="E866" s="1" t="s">
        <v>60</v>
      </c>
      <c r="F866" s="1" t="s">
        <v>94</v>
      </c>
      <c r="G866" s="1" t="s">
        <v>21</v>
      </c>
      <c r="H866" s="2">
        <v>3870.0</v>
      </c>
      <c r="I866" s="2">
        <v>4259.0</v>
      </c>
      <c r="J866" s="1">
        <v>2023.0</v>
      </c>
      <c r="K866" s="1">
        <v>56.0</v>
      </c>
      <c r="L866" s="1" t="s">
        <v>62</v>
      </c>
      <c r="M866" s="1" t="s">
        <v>3504</v>
      </c>
      <c r="N866" s="1" t="s">
        <v>64</v>
      </c>
      <c r="O866" s="1" t="s">
        <v>49</v>
      </c>
      <c r="P866" s="1" t="s">
        <v>3505</v>
      </c>
    </row>
    <row r="867" ht="14.25" customHeight="1">
      <c r="A867" s="1" t="s">
        <v>3506</v>
      </c>
      <c r="B867" s="1" t="s">
        <v>3507</v>
      </c>
      <c r="C867" s="1" t="s">
        <v>29</v>
      </c>
      <c r="D867" s="1">
        <v>30014.0</v>
      </c>
      <c r="E867" s="1" t="s">
        <v>60</v>
      </c>
      <c r="F867" s="1" t="s">
        <v>41</v>
      </c>
      <c r="G867" s="1" t="s">
        <v>31</v>
      </c>
      <c r="H867" s="2">
        <v>3370.0</v>
      </c>
      <c r="I867" s="2">
        <v>4176.0</v>
      </c>
      <c r="J867" s="1">
        <v>1981.0</v>
      </c>
      <c r="K867" s="1">
        <v>87.0</v>
      </c>
      <c r="L867" s="1" t="s">
        <v>62</v>
      </c>
      <c r="M867" s="1" t="s">
        <v>3508</v>
      </c>
      <c r="N867" s="1" t="s">
        <v>24</v>
      </c>
      <c r="O867" s="1" t="s">
        <v>35</v>
      </c>
      <c r="P867" s="1" t="s">
        <v>3509</v>
      </c>
    </row>
    <row r="868" ht="14.25" customHeight="1">
      <c r="A868" s="1" t="s">
        <v>3510</v>
      </c>
      <c r="B868" s="1" t="s">
        <v>3511</v>
      </c>
      <c r="C868" s="1" t="s">
        <v>76</v>
      </c>
      <c r="D868" s="1">
        <v>48593.0</v>
      </c>
      <c r="E868" s="1" t="s">
        <v>77</v>
      </c>
      <c r="F868" s="1" t="s">
        <v>94</v>
      </c>
      <c r="G868" s="1" t="s">
        <v>31</v>
      </c>
      <c r="H868" s="2">
        <v>2687.0</v>
      </c>
      <c r="I868" s="2">
        <v>3184.0</v>
      </c>
      <c r="J868" s="1">
        <v>2000.0</v>
      </c>
      <c r="K868" s="1">
        <v>21.0</v>
      </c>
      <c r="L868" s="1" t="s">
        <v>22</v>
      </c>
      <c r="M868" s="1" t="s">
        <v>3512</v>
      </c>
      <c r="N868" s="1" t="s">
        <v>43</v>
      </c>
      <c r="O868" s="1" t="s">
        <v>25</v>
      </c>
      <c r="P868" s="1" t="s">
        <v>3513</v>
      </c>
    </row>
    <row r="869" ht="14.25" customHeight="1">
      <c r="A869" s="1" t="s">
        <v>3514</v>
      </c>
      <c r="B869" s="1" t="s">
        <v>3515</v>
      </c>
      <c r="C869" s="1" t="s">
        <v>76</v>
      </c>
      <c r="D869" s="1">
        <v>31544.0</v>
      </c>
      <c r="E869" s="1" t="s">
        <v>19</v>
      </c>
      <c r="F869" s="1" t="s">
        <v>20</v>
      </c>
      <c r="G869" s="1" t="s">
        <v>100</v>
      </c>
      <c r="H869" s="2">
        <v>1795.0</v>
      </c>
      <c r="I869" s="2">
        <v>2512.0</v>
      </c>
      <c r="J869" s="1">
        <v>1984.0</v>
      </c>
      <c r="K869" s="1">
        <v>40.0</v>
      </c>
      <c r="L869" s="1" t="s">
        <v>95</v>
      </c>
      <c r="M869" s="1" t="s">
        <v>3516</v>
      </c>
      <c r="N869" s="1" t="s">
        <v>43</v>
      </c>
      <c r="O869" s="1" t="s">
        <v>49</v>
      </c>
      <c r="P869" s="1" t="s">
        <v>3517</v>
      </c>
    </row>
    <row r="870" ht="14.25" customHeight="1">
      <c r="A870" s="1" t="s">
        <v>3518</v>
      </c>
      <c r="B870" s="1" t="s">
        <v>3519</v>
      </c>
      <c r="C870" s="1" t="s">
        <v>53</v>
      </c>
      <c r="D870" s="1">
        <v>37866.0</v>
      </c>
      <c r="E870" s="1" t="s">
        <v>60</v>
      </c>
      <c r="F870" s="1" t="s">
        <v>46</v>
      </c>
      <c r="G870" s="1" t="s">
        <v>55</v>
      </c>
      <c r="H870" s="2">
        <v>2244.0</v>
      </c>
      <c r="I870" s="2">
        <v>6626.0</v>
      </c>
      <c r="J870" s="1">
        <v>1960.0</v>
      </c>
      <c r="K870" s="1">
        <v>6.0</v>
      </c>
      <c r="L870" s="1" t="s">
        <v>62</v>
      </c>
      <c r="M870" s="1" t="s">
        <v>3520</v>
      </c>
      <c r="N870" s="1" t="s">
        <v>24</v>
      </c>
      <c r="O870" s="1" t="s">
        <v>35</v>
      </c>
      <c r="P870" s="1" t="s">
        <v>3521</v>
      </c>
    </row>
    <row r="871" ht="14.25" customHeight="1">
      <c r="A871" s="1" t="s">
        <v>3522</v>
      </c>
      <c r="B871" s="1" t="s">
        <v>3523</v>
      </c>
      <c r="C871" s="1" t="s">
        <v>39</v>
      </c>
      <c r="D871" s="1">
        <v>62476.0</v>
      </c>
      <c r="E871" s="1" t="s">
        <v>77</v>
      </c>
      <c r="F871" s="1" t="s">
        <v>61</v>
      </c>
      <c r="G871" s="1" t="s">
        <v>21</v>
      </c>
      <c r="H871" s="2">
        <v>3445.0</v>
      </c>
      <c r="I871" s="2">
        <v>7944.0</v>
      </c>
      <c r="J871" s="1">
        <v>1962.0</v>
      </c>
      <c r="K871" s="1">
        <v>12.0</v>
      </c>
      <c r="L871" s="1" t="s">
        <v>62</v>
      </c>
      <c r="M871" s="1" t="s">
        <v>3524</v>
      </c>
      <c r="N871" s="1" t="s">
        <v>64</v>
      </c>
      <c r="O871" s="1" t="s">
        <v>49</v>
      </c>
      <c r="P871" s="1" t="s">
        <v>3525</v>
      </c>
    </row>
    <row r="872" ht="14.25" customHeight="1">
      <c r="A872" s="1" t="s">
        <v>3526</v>
      </c>
      <c r="B872" s="1" t="s">
        <v>3527</v>
      </c>
      <c r="C872" s="1" t="s">
        <v>29</v>
      </c>
      <c r="D872" s="1">
        <v>18870.0</v>
      </c>
      <c r="E872" s="1" t="s">
        <v>40</v>
      </c>
      <c r="F872" s="1" t="s">
        <v>46</v>
      </c>
      <c r="G872" s="1" t="s">
        <v>100</v>
      </c>
      <c r="H872" s="2">
        <v>3842.0</v>
      </c>
      <c r="I872" s="2">
        <v>5839.0</v>
      </c>
      <c r="J872" s="1">
        <v>1957.0</v>
      </c>
      <c r="K872" s="1">
        <v>98.0</v>
      </c>
      <c r="L872" s="1" t="s">
        <v>141</v>
      </c>
      <c r="M872" s="1" t="s">
        <v>3528</v>
      </c>
      <c r="N872" s="1" t="s">
        <v>48</v>
      </c>
      <c r="O872" s="1" t="s">
        <v>49</v>
      </c>
      <c r="P872" s="1" t="s">
        <v>3529</v>
      </c>
    </row>
    <row r="873" ht="14.25" customHeight="1">
      <c r="A873" s="1" t="s">
        <v>3530</v>
      </c>
      <c r="B873" s="1" t="s">
        <v>3531</v>
      </c>
      <c r="C873" s="1" t="s">
        <v>76</v>
      </c>
      <c r="D873" s="1">
        <v>79165.0</v>
      </c>
      <c r="E873" s="1" t="s">
        <v>77</v>
      </c>
      <c r="F873" s="1" t="s">
        <v>61</v>
      </c>
      <c r="G873" s="1" t="s">
        <v>21</v>
      </c>
      <c r="H873" s="2">
        <v>2861.0</v>
      </c>
      <c r="I873" s="2">
        <v>2320.0</v>
      </c>
      <c r="J873" s="1">
        <v>2002.0</v>
      </c>
      <c r="K873" s="1">
        <v>101.0</v>
      </c>
      <c r="L873" s="1" t="s">
        <v>62</v>
      </c>
      <c r="M873" s="1" t="s">
        <v>3532</v>
      </c>
      <c r="N873" s="1" t="s">
        <v>24</v>
      </c>
      <c r="O873" s="1" t="s">
        <v>35</v>
      </c>
      <c r="P873" s="1" t="s">
        <v>3533</v>
      </c>
    </row>
    <row r="874" ht="14.25" customHeight="1">
      <c r="A874" s="1" t="s">
        <v>3534</v>
      </c>
      <c r="B874" s="1" t="s">
        <v>3535</v>
      </c>
      <c r="C874" s="1" t="s">
        <v>18</v>
      </c>
      <c r="D874" s="1">
        <v>26898.0</v>
      </c>
      <c r="E874" s="1" t="s">
        <v>19</v>
      </c>
      <c r="F874" s="1" t="s">
        <v>41</v>
      </c>
      <c r="G874" s="1" t="s">
        <v>55</v>
      </c>
      <c r="H874" s="2">
        <v>2726.0</v>
      </c>
      <c r="I874" s="2">
        <v>5814.0</v>
      </c>
      <c r="J874" s="1">
        <v>1996.0</v>
      </c>
      <c r="K874" s="1">
        <v>5.0</v>
      </c>
      <c r="L874" s="1" t="s">
        <v>32</v>
      </c>
      <c r="M874" s="1" t="s">
        <v>3536</v>
      </c>
      <c r="N874" s="1" t="s">
        <v>43</v>
      </c>
      <c r="O874" s="1" t="s">
        <v>49</v>
      </c>
      <c r="P874" s="1" t="s">
        <v>3537</v>
      </c>
    </row>
    <row r="875" ht="14.25" customHeight="1">
      <c r="A875" s="1" t="s">
        <v>3538</v>
      </c>
      <c r="B875" s="1" t="s">
        <v>3539</v>
      </c>
      <c r="C875" s="1" t="s">
        <v>29</v>
      </c>
      <c r="D875" s="1">
        <v>99103.0</v>
      </c>
      <c r="E875" s="1" t="s">
        <v>40</v>
      </c>
      <c r="F875" s="1" t="s">
        <v>54</v>
      </c>
      <c r="G875" s="1" t="s">
        <v>21</v>
      </c>
      <c r="H875" s="2">
        <v>3684.0</v>
      </c>
      <c r="I875" s="2">
        <v>5852.0</v>
      </c>
      <c r="J875" s="1">
        <v>1982.0</v>
      </c>
      <c r="K875" s="1">
        <v>82.0</v>
      </c>
      <c r="L875" s="1" t="s">
        <v>22</v>
      </c>
      <c r="M875" s="1" t="s">
        <v>3540</v>
      </c>
      <c r="N875" s="1" t="s">
        <v>43</v>
      </c>
      <c r="O875" s="1" t="s">
        <v>35</v>
      </c>
      <c r="P875" s="1" t="s">
        <v>3541</v>
      </c>
    </row>
    <row r="876" ht="14.25" customHeight="1">
      <c r="A876" s="1" t="s">
        <v>3542</v>
      </c>
      <c r="B876" s="1" t="s">
        <v>3543</v>
      </c>
      <c r="C876" s="1" t="s">
        <v>18</v>
      </c>
      <c r="D876" s="1">
        <v>99061.0</v>
      </c>
      <c r="E876" s="1" t="s">
        <v>77</v>
      </c>
      <c r="F876" s="1" t="s">
        <v>46</v>
      </c>
      <c r="G876" s="1" t="s">
        <v>100</v>
      </c>
      <c r="H876" s="2">
        <v>3581.0</v>
      </c>
      <c r="I876" s="2">
        <v>9668.0</v>
      </c>
      <c r="J876" s="1">
        <v>1992.0</v>
      </c>
      <c r="K876" s="1">
        <v>2.0</v>
      </c>
      <c r="L876" s="1" t="s">
        <v>62</v>
      </c>
      <c r="M876" s="1" t="s">
        <v>3544</v>
      </c>
      <c r="N876" s="1" t="s">
        <v>24</v>
      </c>
      <c r="O876" s="1" t="s">
        <v>35</v>
      </c>
      <c r="P876" s="1" t="s">
        <v>3545</v>
      </c>
    </row>
    <row r="877" ht="14.25" customHeight="1">
      <c r="A877" s="1" t="s">
        <v>3546</v>
      </c>
      <c r="B877" s="1" t="s">
        <v>3547</v>
      </c>
      <c r="C877" s="1" t="s">
        <v>39</v>
      </c>
      <c r="D877" s="1">
        <v>25588.0</v>
      </c>
      <c r="E877" s="1" t="s">
        <v>40</v>
      </c>
      <c r="F877" s="1" t="s">
        <v>61</v>
      </c>
      <c r="G877" s="1" t="s">
        <v>55</v>
      </c>
      <c r="H877" s="2">
        <v>1487.0</v>
      </c>
      <c r="I877" s="2">
        <v>9110.0</v>
      </c>
      <c r="J877" s="1">
        <v>2005.0</v>
      </c>
      <c r="K877" s="1">
        <v>33.0</v>
      </c>
      <c r="L877" s="1" t="s">
        <v>62</v>
      </c>
      <c r="M877" s="1" t="s">
        <v>3548</v>
      </c>
      <c r="N877" s="1" t="s">
        <v>48</v>
      </c>
      <c r="O877" s="1" t="s">
        <v>35</v>
      </c>
      <c r="P877" s="1" t="s">
        <v>3549</v>
      </c>
    </row>
    <row r="878" ht="14.25" customHeight="1">
      <c r="A878" s="1" t="s">
        <v>3550</v>
      </c>
      <c r="B878" s="1" t="s">
        <v>3551</v>
      </c>
      <c r="C878" s="1" t="s">
        <v>29</v>
      </c>
      <c r="D878" s="1">
        <v>19350.0</v>
      </c>
      <c r="E878" s="1" t="s">
        <v>40</v>
      </c>
      <c r="F878" s="1" t="s">
        <v>54</v>
      </c>
      <c r="G878" s="1" t="s">
        <v>55</v>
      </c>
      <c r="H878" s="2">
        <v>1565.0</v>
      </c>
      <c r="I878" s="2">
        <v>8864.0</v>
      </c>
      <c r="J878" s="1">
        <v>1960.0</v>
      </c>
      <c r="K878" s="1">
        <v>89.0</v>
      </c>
      <c r="L878" s="1" t="s">
        <v>62</v>
      </c>
      <c r="M878" s="1" t="s">
        <v>3552</v>
      </c>
      <c r="N878" s="1" t="s">
        <v>24</v>
      </c>
      <c r="O878" s="1" t="s">
        <v>49</v>
      </c>
      <c r="P878" s="1" t="s">
        <v>3553</v>
      </c>
    </row>
    <row r="879" ht="14.25" customHeight="1">
      <c r="A879" s="1" t="s">
        <v>3554</v>
      </c>
      <c r="B879" s="1" t="s">
        <v>3555</v>
      </c>
      <c r="C879" s="1" t="s">
        <v>18</v>
      </c>
      <c r="D879" s="1">
        <v>70380.0</v>
      </c>
      <c r="E879" s="1" t="s">
        <v>77</v>
      </c>
      <c r="F879" s="1" t="s">
        <v>94</v>
      </c>
      <c r="G879" s="1" t="s">
        <v>55</v>
      </c>
      <c r="H879" s="2">
        <v>1708.0</v>
      </c>
      <c r="I879" s="2">
        <v>9989.0</v>
      </c>
      <c r="J879" s="1">
        <v>1971.0</v>
      </c>
      <c r="K879" s="1">
        <v>3.0</v>
      </c>
      <c r="L879" s="1" t="s">
        <v>62</v>
      </c>
      <c r="M879" s="1" t="s">
        <v>3556</v>
      </c>
      <c r="N879" s="1" t="s">
        <v>48</v>
      </c>
      <c r="O879" s="1" t="s">
        <v>35</v>
      </c>
      <c r="P879" s="1" t="s">
        <v>3557</v>
      </c>
    </row>
    <row r="880" ht="14.25" customHeight="1">
      <c r="A880" s="1" t="s">
        <v>3558</v>
      </c>
      <c r="B880" s="1" t="s">
        <v>3559</v>
      </c>
      <c r="C880" s="1" t="s">
        <v>76</v>
      </c>
      <c r="D880" s="1">
        <v>67259.0</v>
      </c>
      <c r="E880" s="1" t="s">
        <v>60</v>
      </c>
      <c r="F880" s="1" t="s">
        <v>61</v>
      </c>
      <c r="G880" s="1" t="s">
        <v>21</v>
      </c>
      <c r="H880" s="2">
        <v>2392.0</v>
      </c>
      <c r="I880" s="2">
        <v>7622.0</v>
      </c>
      <c r="J880" s="1">
        <v>1995.0</v>
      </c>
      <c r="K880" s="1">
        <v>57.0</v>
      </c>
      <c r="L880" s="1" t="s">
        <v>22</v>
      </c>
      <c r="M880" s="1" t="s">
        <v>3560</v>
      </c>
      <c r="N880" s="1" t="s">
        <v>24</v>
      </c>
      <c r="O880" s="1" t="s">
        <v>49</v>
      </c>
      <c r="P880" s="1" t="s">
        <v>3561</v>
      </c>
    </row>
    <row r="881" ht="14.25" customHeight="1">
      <c r="A881" s="1" t="s">
        <v>3562</v>
      </c>
      <c r="B881" s="1" t="s">
        <v>3563</v>
      </c>
      <c r="C881" s="1" t="s">
        <v>29</v>
      </c>
      <c r="D881" s="1">
        <v>64153.0</v>
      </c>
      <c r="E881" s="1" t="s">
        <v>77</v>
      </c>
      <c r="F881" s="1" t="s">
        <v>41</v>
      </c>
      <c r="G881" s="1" t="s">
        <v>21</v>
      </c>
      <c r="H881" s="2">
        <v>3270.0</v>
      </c>
      <c r="I881" s="2">
        <v>1074.0</v>
      </c>
      <c r="J881" s="1">
        <v>1953.0</v>
      </c>
      <c r="K881" s="1">
        <v>52.0</v>
      </c>
      <c r="L881" s="1" t="s">
        <v>62</v>
      </c>
      <c r="M881" s="1" t="s">
        <v>3564</v>
      </c>
      <c r="N881" s="1" t="s">
        <v>43</v>
      </c>
      <c r="O881" s="1" t="s">
        <v>25</v>
      </c>
      <c r="P881" s="1" t="s">
        <v>3565</v>
      </c>
    </row>
    <row r="882" ht="14.25" customHeight="1">
      <c r="A882" s="1" t="s">
        <v>3566</v>
      </c>
      <c r="B882" s="1" t="s">
        <v>3567</v>
      </c>
      <c r="C882" s="1" t="s">
        <v>53</v>
      </c>
      <c r="D882" s="1">
        <v>99705.0</v>
      </c>
      <c r="E882" s="1" t="s">
        <v>77</v>
      </c>
      <c r="F882" s="1" t="s">
        <v>61</v>
      </c>
      <c r="G882" s="1" t="s">
        <v>21</v>
      </c>
      <c r="H882" s="2">
        <v>3790.0</v>
      </c>
      <c r="I882" s="2">
        <v>6394.0</v>
      </c>
      <c r="J882" s="1">
        <v>1971.0</v>
      </c>
      <c r="K882" s="1">
        <v>8.0</v>
      </c>
      <c r="L882" s="1" t="s">
        <v>62</v>
      </c>
      <c r="M882" s="1" t="s">
        <v>3568</v>
      </c>
      <c r="N882" s="1" t="s">
        <v>43</v>
      </c>
      <c r="O882" s="1" t="s">
        <v>25</v>
      </c>
      <c r="P882" s="1" t="s">
        <v>3569</v>
      </c>
    </row>
    <row r="883" ht="14.25" customHeight="1">
      <c r="A883" s="1" t="s">
        <v>3570</v>
      </c>
      <c r="B883" s="1" t="s">
        <v>3571</v>
      </c>
      <c r="C883" s="1" t="s">
        <v>53</v>
      </c>
      <c r="D883" s="1">
        <v>81064.0</v>
      </c>
      <c r="E883" s="1" t="s">
        <v>30</v>
      </c>
      <c r="F883" s="1" t="s">
        <v>46</v>
      </c>
      <c r="G883" s="1" t="s">
        <v>21</v>
      </c>
      <c r="H883" s="2">
        <v>923.0</v>
      </c>
      <c r="I883" s="2">
        <v>5412.0</v>
      </c>
      <c r="J883" s="1">
        <v>1977.0</v>
      </c>
      <c r="K883" s="1">
        <v>118.0</v>
      </c>
      <c r="L883" s="1" t="s">
        <v>95</v>
      </c>
      <c r="M883" s="1" t="s">
        <v>3572</v>
      </c>
      <c r="N883" s="1" t="s">
        <v>34</v>
      </c>
      <c r="O883" s="1" t="s">
        <v>49</v>
      </c>
      <c r="P883" s="1" t="s">
        <v>3573</v>
      </c>
    </row>
    <row r="884" ht="14.25" customHeight="1">
      <c r="A884" s="1" t="s">
        <v>3574</v>
      </c>
      <c r="B884" s="1" t="s">
        <v>3575</v>
      </c>
      <c r="C884" s="1" t="s">
        <v>29</v>
      </c>
      <c r="D884" s="1">
        <v>92928.0</v>
      </c>
      <c r="E884" s="1" t="s">
        <v>19</v>
      </c>
      <c r="F884" s="1" t="s">
        <v>61</v>
      </c>
      <c r="G884" s="1" t="s">
        <v>55</v>
      </c>
      <c r="H884" s="2">
        <v>3686.0</v>
      </c>
      <c r="I884" s="2">
        <v>3527.0</v>
      </c>
      <c r="J884" s="1">
        <v>2007.0</v>
      </c>
      <c r="K884" s="1">
        <v>54.0</v>
      </c>
      <c r="L884" s="1" t="s">
        <v>95</v>
      </c>
      <c r="M884" s="1" t="s">
        <v>3576</v>
      </c>
      <c r="N884" s="1" t="s">
        <v>48</v>
      </c>
      <c r="O884" s="1" t="s">
        <v>49</v>
      </c>
      <c r="P884" s="1" t="s">
        <v>3577</v>
      </c>
    </row>
    <row r="885" ht="14.25" customHeight="1">
      <c r="A885" s="1" t="s">
        <v>3578</v>
      </c>
      <c r="B885" s="1" t="s">
        <v>3579</v>
      </c>
      <c r="C885" s="1" t="s">
        <v>76</v>
      </c>
      <c r="D885" s="1">
        <v>18188.0</v>
      </c>
      <c r="E885" s="1" t="s">
        <v>77</v>
      </c>
      <c r="F885" s="1" t="s">
        <v>61</v>
      </c>
      <c r="G885" s="1" t="s">
        <v>55</v>
      </c>
      <c r="H885" s="2">
        <v>616.0</v>
      </c>
      <c r="I885" s="2">
        <v>2338.0</v>
      </c>
      <c r="J885" s="1">
        <v>1986.0</v>
      </c>
      <c r="K885" s="1">
        <v>17.0</v>
      </c>
      <c r="L885" s="1" t="s">
        <v>62</v>
      </c>
      <c r="M885" s="1" t="s">
        <v>3580</v>
      </c>
      <c r="N885" s="1" t="s">
        <v>43</v>
      </c>
      <c r="O885" s="1" t="s">
        <v>35</v>
      </c>
      <c r="P885" s="1" t="s">
        <v>3581</v>
      </c>
    </row>
    <row r="886" ht="14.25" customHeight="1">
      <c r="A886" s="1" t="s">
        <v>3582</v>
      </c>
      <c r="B886" s="1" t="s">
        <v>3583</v>
      </c>
      <c r="C886" s="1" t="s">
        <v>53</v>
      </c>
      <c r="D886" s="1">
        <v>48336.0</v>
      </c>
      <c r="E886" s="1" t="s">
        <v>30</v>
      </c>
      <c r="F886" s="1" t="s">
        <v>41</v>
      </c>
      <c r="G886" s="1" t="s">
        <v>100</v>
      </c>
      <c r="H886" s="2">
        <v>3316.0</v>
      </c>
      <c r="I886" s="2">
        <v>5657.0</v>
      </c>
      <c r="J886" s="1">
        <v>1996.0</v>
      </c>
      <c r="K886" s="1">
        <v>114.0</v>
      </c>
      <c r="L886" s="1" t="s">
        <v>32</v>
      </c>
      <c r="M886" s="1" t="s">
        <v>3584</v>
      </c>
      <c r="N886" s="1" t="s">
        <v>48</v>
      </c>
      <c r="O886" s="1" t="s">
        <v>49</v>
      </c>
      <c r="P886" s="1" t="s">
        <v>3585</v>
      </c>
    </row>
    <row r="887" ht="14.25" customHeight="1">
      <c r="A887" s="1" t="s">
        <v>3586</v>
      </c>
      <c r="B887" s="1" t="s">
        <v>3587</v>
      </c>
      <c r="C887" s="1" t="s">
        <v>76</v>
      </c>
      <c r="D887" s="1">
        <v>98522.0</v>
      </c>
      <c r="E887" s="1" t="s">
        <v>30</v>
      </c>
      <c r="F887" s="1" t="s">
        <v>46</v>
      </c>
      <c r="G887" s="1" t="s">
        <v>100</v>
      </c>
      <c r="H887" s="2">
        <v>1004.0</v>
      </c>
      <c r="I887" s="2">
        <v>6101.0</v>
      </c>
      <c r="J887" s="1">
        <v>1967.0</v>
      </c>
      <c r="K887" s="1">
        <v>33.0</v>
      </c>
      <c r="L887" s="1" t="s">
        <v>22</v>
      </c>
      <c r="M887" s="1" t="s">
        <v>3588</v>
      </c>
      <c r="N887" s="1" t="s">
        <v>24</v>
      </c>
      <c r="O887" s="1" t="s">
        <v>25</v>
      </c>
      <c r="P887" s="1" t="s">
        <v>3589</v>
      </c>
    </row>
    <row r="888" ht="14.25" customHeight="1">
      <c r="A888" s="1" t="s">
        <v>3590</v>
      </c>
      <c r="B888" s="1" t="s">
        <v>3591</v>
      </c>
      <c r="C888" s="1" t="s">
        <v>53</v>
      </c>
      <c r="D888" s="1">
        <v>86828.0</v>
      </c>
      <c r="E888" s="1" t="s">
        <v>19</v>
      </c>
      <c r="F888" s="1" t="s">
        <v>94</v>
      </c>
      <c r="G888" s="1" t="s">
        <v>21</v>
      </c>
      <c r="H888" s="2">
        <v>1246.0</v>
      </c>
      <c r="I888" s="2">
        <v>1518.0</v>
      </c>
      <c r="J888" s="1">
        <v>1956.0</v>
      </c>
      <c r="K888" s="1">
        <v>24.0</v>
      </c>
      <c r="L888" s="1" t="s">
        <v>141</v>
      </c>
      <c r="M888" s="1" t="s">
        <v>3592</v>
      </c>
      <c r="N888" s="1" t="s">
        <v>34</v>
      </c>
      <c r="O888" s="1" t="s">
        <v>35</v>
      </c>
      <c r="P888" s="1" t="s">
        <v>3593</v>
      </c>
    </row>
    <row r="889" ht="14.25" customHeight="1">
      <c r="A889" s="1" t="s">
        <v>3594</v>
      </c>
      <c r="B889" s="1" t="s">
        <v>3595</v>
      </c>
      <c r="C889" s="1" t="s">
        <v>29</v>
      </c>
      <c r="D889" s="1">
        <v>23788.0</v>
      </c>
      <c r="E889" s="1" t="s">
        <v>40</v>
      </c>
      <c r="F889" s="1" t="s">
        <v>54</v>
      </c>
      <c r="G889" s="1" t="s">
        <v>55</v>
      </c>
      <c r="H889" s="2">
        <v>2716.0</v>
      </c>
      <c r="I889" s="2">
        <v>6312.0</v>
      </c>
      <c r="J889" s="1">
        <v>2020.0</v>
      </c>
      <c r="K889" s="1">
        <v>120.0</v>
      </c>
      <c r="L889" s="1" t="s">
        <v>32</v>
      </c>
      <c r="M889" s="1" t="s">
        <v>3596</v>
      </c>
      <c r="N889" s="1" t="s">
        <v>24</v>
      </c>
      <c r="O889" s="1" t="s">
        <v>49</v>
      </c>
      <c r="P889" s="1" t="s">
        <v>3597</v>
      </c>
    </row>
    <row r="890" ht="14.25" customHeight="1">
      <c r="A890" s="1" t="s">
        <v>3598</v>
      </c>
      <c r="B890" s="1" t="s">
        <v>3599</v>
      </c>
      <c r="C890" s="1" t="s">
        <v>39</v>
      </c>
      <c r="D890" s="1">
        <v>67032.0</v>
      </c>
      <c r="E890" s="1" t="s">
        <v>77</v>
      </c>
      <c r="F890" s="1" t="s">
        <v>54</v>
      </c>
      <c r="G890" s="1" t="s">
        <v>100</v>
      </c>
      <c r="H890" s="2">
        <v>2204.0</v>
      </c>
      <c r="I890" s="2">
        <v>6968.0</v>
      </c>
      <c r="J890" s="1">
        <v>1959.0</v>
      </c>
      <c r="K890" s="1">
        <v>87.0</v>
      </c>
      <c r="L890" s="1" t="s">
        <v>62</v>
      </c>
      <c r="M890" s="1" t="s">
        <v>3600</v>
      </c>
      <c r="N890" s="1" t="s">
        <v>34</v>
      </c>
      <c r="O890" s="1" t="s">
        <v>35</v>
      </c>
      <c r="P890" s="1" t="s">
        <v>3601</v>
      </c>
    </row>
    <row r="891" ht="14.25" customHeight="1">
      <c r="A891" s="1" t="s">
        <v>3602</v>
      </c>
      <c r="B891" s="1" t="s">
        <v>3603</v>
      </c>
      <c r="C891" s="1" t="s">
        <v>29</v>
      </c>
      <c r="D891" s="1">
        <v>85195.0</v>
      </c>
      <c r="E891" s="1" t="s">
        <v>19</v>
      </c>
      <c r="F891" s="1" t="s">
        <v>54</v>
      </c>
      <c r="G891" s="1" t="s">
        <v>100</v>
      </c>
      <c r="H891" s="2">
        <v>1117.0</v>
      </c>
      <c r="I891" s="2">
        <v>2991.0</v>
      </c>
      <c r="J891" s="1">
        <v>2010.0</v>
      </c>
      <c r="K891" s="1">
        <v>33.0</v>
      </c>
      <c r="L891" s="1" t="s">
        <v>95</v>
      </c>
      <c r="M891" s="1" t="s">
        <v>3604</v>
      </c>
      <c r="N891" s="1" t="s">
        <v>24</v>
      </c>
      <c r="O891" s="1" t="s">
        <v>49</v>
      </c>
      <c r="P891" s="1" t="s">
        <v>3605</v>
      </c>
    </row>
    <row r="892" ht="14.25" customHeight="1">
      <c r="A892" s="1" t="s">
        <v>3606</v>
      </c>
      <c r="B892" s="1" t="s">
        <v>3607</v>
      </c>
      <c r="C892" s="1" t="s">
        <v>76</v>
      </c>
      <c r="D892" s="1">
        <v>89824.0</v>
      </c>
      <c r="E892" s="1" t="s">
        <v>77</v>
      </c>
      <c r="F892" s="1" t="s">
        <v>61</v>
      </c>
      <c r="G892" s="1" t="s">
        <v>100</v>
      </c>
      <c r="H892" s="2">
        <v>3289.0</v>
      </c>
      <c r="I892" s="2">
        <v>9451.0</v>
      </c>
      <c r="J892" s="1">
        <v>2001.0</v>
      </c>
      <c r="K892" s="1">
        <v>22.0</v>
      </c>
      <c r="L892" s="1" t="s">
        <v>141</v>
      </c>
      <c r="M892" s="1" t="s">
        <v>3608</v>
      </c>
      <c r="N892" s="1" t="s">
        <v>48</v>
      </c>
      <c r="O892" s="1" t="s">
        <v>49</v>
      </c>
      <c r="P892" s="1" t="s">
        <v>3609</v>
      </c>
    </row>
    <row r="893" ht="14.25" customHeight="1">
      <c r="A893" s="1" t="s">
        <v>3610</v>
      </c>
      <c r="B893" s="1" t="s">
        <v>3611</v>
      </c>
      <c r="C893" s="1" t="s">
        <v>18</v>
      </c>
      <c r="D893" s="1">
        <v>63159.0</v>
      </c>
      <c r="E893" s="1" t="s">
        <v>40</v>
      </c>
      <c r="F893" s="1" t="s">
        <v>54</v>
      </c>
      <c r="G893" s="1" t="s">
        <v>31</v>
      </c>
      <c r="H893" s="2">
        <v>1231.0</v>
      </c>
      <c r="I893" s="2">
        <v>5733.0</v>
      </c>
      <c r="J893" s="1">
        <v>1953.0</v>
      </c>
      <c r="K893" s="1">
        <v>38.0</v>
      </c>
      <c r="L893" s="1" t="s">
        <v>62</v>
      </c>
      <c r="M893" s="1" t="s">
        <v>3612</v>
      </c>
      <c r="N893" s="1" t="s">
        <v>48</v>
      </c>
      <c r="O893" s="1" t="s">
        <v>49</v>
      </c>
      <c r="P893" s="1" t="s">
        <v>3613</v>
      </c>
    </row>
    <row r="894" ht="14.25" customHeight="1">
      <c r="A894" s="1" t="s">
        <v>3614</v>
      </c>
      <c r="B894" s="1" t="s">
        <v>3615</v>
      </c>
      <c r="C894" s="1" t="s">
        <v>53</v>
      </c>
      <c r="D894" s="1">
        <v>72459.0</v>
      </c>
      <c r="E894" s="1" t="s">
        <v>77</v>
      </c>
      <c r="F894" s="1" t="s">
        <v>20</v>
      </c>
      <c r="G894" s="1" t="s">
        <v>55</v>
      </c>
      <c r="H894" s="2">
        <v>2867.0</v>
      </c>
      <c r="I894" s="2">
        <v>2794.0</v>
      </c>
      <c r="J894" s="1">
        <v>2020.0</v>
      </c>
      <c r="K894" s="1">
        <v>34.0</v>
      </c>
      <c r="L894" s="1" t="s">
        <v>22</v>
      </c>
      <c r="M894" s="1" t="s">
        <v>3616</v>
      </c>
      <c r="N894" s="1" t="s">
        <v>43</v>
      </c>
      <c r="O894" s="1" t="s">
        <v>49</v>
      </c>
      <c r="P894" s="1" t="s">
        <v>3617</v>
      </c>
    </row>
    <row r="895" ht="14.25" customHeight="1">
      <c r="A895" s="1" t="s">
        <v>3618</v>
      </c>
      <c r="B895" s="1" t="s">
        <v>3619</v>
      </c>
      <c r="C895" s="1" t="s">
        <v>39</v>
      </c>
      <c r="D895" s="1">
        <v>10339.0</v>
      </c>
      <c r="E895" s="1" t="s">
        <v>77</v>
      </c>
      <c r="F895" s="1" t="s">
        <v>61</v>
      </c>
      <c r="G895" s="1" t="s">
        <v>31</v>
      </c>
      <c r="H895" s="2">
        <v>2419.0</v>
      </c>
      <c r="I895" s="2">
        <v>8423.0</v>
      </c>
      <c r="J895" s="1">
        <v>1991.0</v>
      </c>
      <c r="K895" s="1">
        <v>78.0</v>
      </c>
      <c r="L895" s="1" t="s">
        <v>141</v>
      </c>
      <c r="M895" s="1" t="s">
        <v>3620</v>
      </c>
      <c r="N895" s="1" t="s">
        <v>43</v>
      </c>
      <c r="O895" s="1" t="s">
        <v>25</v>
      </c>
      <c r="P895" s="1" t="s">
        <v>3621</v>
      </c>
    </row>
    <row r="896" ht="14.25" customHeight="1">
      <c r="A896" s="1" t="s">
        <v>3622</v>
      </c>
      <c r="B896" s="1" t="s">
        <v>3623</v>
      </c>
      <c r="C896" s="1" t="s">
        <v>39</v>
      </c>
      <c r="D896" s="1">
        <v>63572.0</v>
      </c>
      <c r="E896" s="1" t="s">
        <v>30</v>
      </c>
      <c r="F896" s="1" t="s">
        <v>20</v>
      </c>
      <c r="G896" s="1" t="s">
        <v>21</v>
      </c>
      <c r="H896" s="2">
        <v>1280.0</v>
      </c>
      <c r="I896" s="2">
        <v>8684.0</v>
      </c>
      <c r="J896" s="1">
        <v>1964.0</v>
      </c>
      <c r="K896" s="1">
        <v>81.0</v>
      </c>
      <c r="L896" s="1" t="s">
        <v>141</v>
      </c>
      <c r="M896" s="1" t="s">
        <v>3624</v>
      </c>
      <c r="N896" s="1" t="s">
        <v>43</v>
      </c>
      <c r="O896" s="1" t="s">
        <v>25</v>
      </c>
      <c r="P896" s="1" t="s">
        <v>3625</v>
      </c>
    </row>
    <row r="897" ht="14.25" customHeight="1">
      <c r="A897" s="1" t="s">
        <v>3626</v>
      </c>
      <c r="B897" s="1" t="s">
        <v>3627</v>
      </c>
      <c r="C897" s="1" t="s">
        <v>39</v>
      </c>
      <c r="D897" s="1">
        <v>75749.0</v>
      </c>
      <c r="E897" s="1" t="s">
        <v>60</v>
      </c>
      <c r="F897" s="1" t="s">
        <v>54</v>
      </c>
      <c r="G897" s="1" t="s">
        <v>31</v>
      </c>
      <c r="H897" s="2">
        <v>3069.0</v>
      </c>
      <c r="I897" s="2">
        <v>8766.0</v>
      </c>
      <c r="J897" s="1">
        <v>1968.0</v>
      </c>
      <c r="K897" s="1">
        <v>44.0</v>
      </c>
      <c r="L897" s="1" t="s">
        <v>141</v>
      </c>
      <c r="M897" s="1" t="s">
        <v>3628</v>
      </c>
      <c r="N897" s="1" t="s">
        <v>34</v>
      </c>
      <c r="O897" s="1" t="s">
        <v>49</v>
      </c>
      <c r="P897" s="1" t="s">
        <v>3629</v>
      </c>
    </row>
    <row r="898" ht="14.25" customHeight="1">
      <c r="A898" s="1" t="s">
        <v>3630</v>
      </c>
      <c r="B898" s="1" t="s">
        <v>3631</v>
      </c>
      <c r="C898" s="1" t="s">
        <v>39</v>
      </c>
      <c r="D898" s="1">
        <v>56410.0</v>
      </c>
      <c r="E898" s="1" t="s">
        <v>19</v>
      </c>
      <c r="F898" s="1" t="s">
        <v>46</v>
      </c>
      <c r="G898" s="1" t="s">
        <v>55</v>
      </c>
      <c r="H898" s="2">
        <v>2488.0</v>
      </c>
      <c r="I898" s="2">
        <v>6525.0</v>
      </c>
      <c r="J898" s="1">
        <v>1961.0</v>
      </c>
      <c r="K898" s="1">
        <v>79.0</v>
      </c>
      <c r="L898" s="1" t="s">
        <v>141</v>
      </c>
      <c r="M898" s="1" t="s">
        <v>3632</v>
      </c>
      <c r="N898" s="1" t="s">
        <v>24</v>
      </c>
      <c r="O898" s="1" t="s">
        <v>25</v>
      </c>
      <c r="P898" s="1" t="s">
        <v>3633</v>
      </c>
    </row>
    <row r="899" ht="14.25" customHeight="1">
      <c r="A899" s="1" t="s">
        <v>3634</v>
      </c>
      <c r="B899" s="1" t="s">
        <v>3635</v>
      </c>
      <c r="C899" s="1" t="s">
        <v>76</v>
      </c>
      <c r="D899" s="1">
        <v>37583.0</v>
      </c>
      <c r="E899" s="1" t="s">
        <v>77</v>
      </c>
      <c r="F899" s="1" t="s">
        <v>61</v>
      </c>
      <c r="G899" s="1" t="s">
        <v>31</v>
      </c>
      <c r="H899" s="2">
        <v>1485.0</v>
      </c>
      <c r="I899" s="2">
        <v>9478.0</v>
      </c>
      <c r="J899" s="1">
        <v>2022.0</v>
      </c>
      <c r="K899" s="1">
        <v>84.0</v>
      </c>
      <c r="L899" s="1" t="s">
        <v>141</v>
      </c>
      <c r="M899" s="1" t="s">
        <v>3636</v>
      </c>
      <c r="N899" s="1" t="s">
        <v>48</v>
      </c>
      <c r="O899" s="1" t="s">
        <v>49</v>
      </c>
      <c r="P899" s="1" t="s">
        <v>3637</v>
      </c>
    </row>
    <row r="900" ht="14.25" customHeight="1">
      <c r="A900" s="1" t="s">
        <v>3638</v>
      </c>
      <c r="B900" s="1" t="s">
        <v>3639</v>
      </c>
      <c r="C900" s="1" t="s">
        <v>29</v>
      </c>
      <c r="D900" s="1">
        <v>41056.0</v>
      </c>
      <c r="E900" s="1" t="s">
        <v>30</v>
      </c>
      <c r="F900" s="1" t="s">
        <v>94</v>
      </c>
      <c r="G900" s="1" t="s">
        <v>100</v>
      </c>
      <c r="H900" s="2">
        <v>1832.0</v>
      </c>
      <c r="I900" s="2">
        <v>9594.0</v>
      </c>
      <c r="J900" s="1">
        <v>1987.0</v>
      </c>
      <c r="K900" s="1">
        <v>6.0</v>
      </c>
      <c r="L900" s="1" t="s">
        <v>62</v>
      </c>
      <c r="M900" s="1" t="s">
        <v>3640</v>
      </c>
      <c r="N900" s="1" t="s">
        <v>64</v>
      </c>
      <c r="O900" s="1" t="s">
        <v>49</v>
      </c>
      <c r="P900" s="1" t="s">
        <v>3641</v>
      </c>
    </row>
    <row r="901" ht="14.25" customHeight="1">
      <c r="A901" s="1" t="s">
        <v>3642</v>
      </c>
      <c r="B901" s="1" t="s">
        <v>3643</v>
      </c>
      <c r="C901" s="1" t="s">
        <v>18</v>
      </c>
      <c r="D901" s="1">
        <v>42349.0</v>
      </c>
      <c r="E901" s="1" t="s">
        <v>60</v>
      </c>
      <c r="F901" s="1" t="s">
        <v>61</v>
      </c>
      <c r="G901" s="1" t="s">
        <v>100</v>
      </c>
      <c r="H901" s="2">
        <v>683.0</v>
      </c>
      <c r="I901" s="2">
        <v>4670.0</v>
      </c>
      <c r="J901" s="1">
        <v>1998.0</v>
      </c>
      <c r="K901" s="1">
        <v>79.0</v>
      </c>
      <c r="L901" s="1" t="s">
        <v>62</v>
      </c>
      <c r="M901" s="1" t="s">
        <v>3644</v>
      </c>
      <c r="N901" s="1" t="s">
        <v>24</v>
      </c>
      <c r="O901" s="1" t="s">
        <v>25</v>
      </c>
      <c r="P901" s="1" t="s">
        <v>3645</v>
      </c>
    </row>
    <row r="902" ht="14.25" customHeight="1">
      <c r="A902" s="1" t="s">
        <v>3646</v>
      </c>
      <c r="B902" s="1" t="s">
        <v>3647</v>
      </c>
      <c r="C902" s="1" t="s">
        <v>39</v>
      </c>
      <c r="D902" s="1">
        <v>75688.0</v>
      </c>
      <c r="E902" s="1" t="s">
        <v>77</v>
      </c>
      <c r="F902" s="1" t="s">
        <v>41</v>
      </c>
      <c r="G902" s="1" t="s">
        <v>21</v>
      </c>
      <c r="H902" s="2">
        <v>942.0</v>
      </c>
      <c r="I902" s="2">
        <v>6946.0</v>
      </c>
      <c r="J902" s="1">
        <v>2023.0</v>
      </c>
      <c r="K902" s="1">
        <v>110.0</v>
      </c>
      <c r="L902" s="1" t="s">
        <v>32</v>
      </c>
      <c r="M902" s="1" t="s">
        <v>3648</v>
      </c>
      <c r="N902" s="1" t="s">
        <v>64</v>
      </c>
      <c r="O902" s="1" t="s">
        <v>25</v>
      </c>
      <c r="P902" s="1" t="s">
        <v>3649</v>
      </c>
    </row>
    <row r="903" ht="14.25" customHeight="1">
      <c r="A903" s="1" t="s">
        <v>3650</v>
      </c>
      <c r="B903" s="1" t="s">
        <v>3651</v>
      </c>
      <c r="C903" s="1" t="s">
        <v>39</v>
      </c>
      <c r="D903" s="1">
        <v>21619.0</v>
      </c>
      <c r="E903" s="1" t="s">
        <v>60</v>
      </c>
      <c r="F903" s="1" t="s">
        <v>54</v>
      </c>
      <c r="G903" s="1" t="s">
        <v>55</v>
      </c>
      <c r="H903" s="2">
        <v>2365.0</v>
      </c>
      <c r="I903" s="2">
        <v>6983.0</v>
      </c>
      <c r="J903" s="1">
        <v>1992.0</v>
      </c>
      <c r="K903" s="1">
        <v>59.0</v>
      </c>
      <c r="L903" s="1" t="s">
        <v>22</v>
      </c>
      <c r="M903" s="1" t="s">
        <v>3652</v>
      </c>
      <c r="N903" s="1" t="s">
        <v>64</v>
      </c>
      <c r="O903" s="1" t="s">
        <v>35</v>
      </c>
      <c r="P903" s="1" t="s">
        <v>3653</v>
      </c>
    </row>
    <row r="904" ht="14.25" customHeight="1">
      <c r="A904" s="1" t="s">
        <v>3654</v>
      </c>
      <c r="B904" s="1" t="s">
        <v>3655</v>
      </c>
      <c r="C904" s="1" t="s">
        <v>53</v>
      </c>
      <c r="D904" s="1">
        <v>83680.0</v>
      </c>
      <c r="E904" s="1" t="s">
        <v>40</v>
      </c>
      <c r="F904" s="1" t="s">
        <v>61</v>
      </c>
      <c r="G904" s="1" t="s">
        <v>55</v>
      </c>
      <c r="H904" s="2">
        <v>3728.0</v>
      </c>
      <c r="I904" s="2">
        <v>3997.0</v>
      </c>
      <c r="J904" s="1">
        <v>2019.0</v>
      </c>
      <c r="K904" s="1">
        <v>22.0</v>
      </c>
      <c r="L904" s="1" t="s">
        <v>141</v>
      </c>
      <c r="M904" s="1" t="s">
        <v>3656</v>
      </c>
      <c r="N904" s="1" t="s">
        <v>43</v>
      </c>
      <c r="O904" s="1" t="s">
        <v>49</v>
      </c>
      <c r="P904" s="1" t="s">
        <v>3657</v>
      </c>
    </row>
    <row r="905" ht="14.25" customHeight="1">
      <c r="A905" s="1" t="s">
        <v>3658</v>
      </c>
      <c r="B905" s="1" t="s">
        <v>3659</v>
      </c>
      <c r="C905" s="1" t="s">
        <v>29</v>
      </c>
      <c r="D905" s="1">
        <v>91496.0</v>
      </c>
      <c r="E905" s="1" t="s">
        <v>30</v>
      </c>
      <c r="F905" s="1" t="s">
        <v>20</v>
      </c>
      <c r="G905" s="1" t="s">
        <v>55</v>
      </c>
      <c r="H905" s="2">
        <v>3066.0</v>
      </c>
      <c r="I905" s="2">
        <v>9371.0</v>
      </c>
      <c r="J905" s="1">
        <v>1957.0</v>
      </c>
      <c r="K905" s="1">
        <v>102.0</v>
      </c>
      <c r="L905" s="1" t="s">
        <v>62</v>
      </c>
      <c r="M905" s="1" t="s">
        <v>3660</v>
      </c>
      <c r="N905" s="1" t="s">
        <v>24</v>
      </c>
      <c r="O905" s="1" t="s">
        <v>25</v>
      </c>
      <c r="P905" s="1" t="s">
        <v>3661</v>
      </c>
    </row>
    <row r="906" ht="14.25" customHeight="1">
      <c r="A906" s="1" t="s">
        <v>3662</v>
      </c>
      <c r="B906" s="1" t="s">
        <v>3663</v>
      </c>
      <c r="C906" s="1" t="s">
        <v>39</v>
      </c>
      <c r="D906" s="1">
        <v>26360.0</v>
      </c>
      <c r="E906" s="1" t="s">
        <v>40</v>
      </c>
      <c r="F906" s="1" t="s">
        <v>41</v>
      </c>
      <c r="G906" s="1" t="s">
        <v>31</v>
      </c>
      <c r="H906" s="2">
        <v>3908.0</v>
      </c>
      <c r="I906" s="2">
        <v>2348.0</v>
      </c>
      <c r="J906" s="1">
        <v>2013.0</v>
      </c>
      <c r="K906" s="1">
        <v>3.0</v>
      </c>
      <c r="L906" s="1" t="s">
        <v>95</v>
      </c>
      <c r="M906" s="1" t="s">
        <v>3664</v>
      </c>
      <c r="N906" s="1" t="s">
        <v>64</v>
      </c>
      <c r="O906" s="1" t="s">
        <v>25</v>
      </c>
      <c r="P906" s="1" t="s">
        <v>3665</v>
      </c>
    </row>
    <row r="907" ht="14.25" customHeight="1">
      <c r="A907" s="1" t="s">
        <v>3666</v>
      </c>
      <c r="B907" s="1" t="s">
        <v>3667</v>
      </c>
      <c r="C907" s="1" t="s">
        <v>39</v>
      </c>
      <c r="D907" s="1">
        <v>48702.0</v>
      </c>
      <c r="E907" s="1" t="s">
        <v>40</v>
      </c>
      <c r="F907" s="1" t="s">
        <v>46</v>
      </c>
      <c r="G907" s="1" t="s">
        <v>21</v>
      </c>
      <c r="H907" s="2">
        <v>862.0</v>
      </c>
      <c r="I907" s="2">
        <v>5533.0</v>
      </c>
      <c r="J907" s="1">
        <v>1955.0</v>
      </c>
      <c r="K907" s="1">
        <v>95.0</v>
      </c>
      <c r="L907" s="1" t="s">
        <v>62</v>
      </c>
      <c r="M907" s="1" t="s">
        <v>3668</v>
      </c>
      <c r="N907" s="1" t="s">
        <v>34</v>
      </c>
      <c r="O907" s="1" t="s">
        <v>25</v>
      </c>
      <c r="P907" s="1" t="s">
        <v>3669</v>
      </c>
    </row>
    <row r="908" ht="14.25" customHeight="1">
      <c r="A908" s="1" t="s">
        <v>3670</v>
      </c>
      <c r="B908" s="1" t="s">
        <v>3671</v>
      </c>
      <c r="C908" s="1" t="s">
        <v>39</v>
      </c>
      <c r="D908" s="1">
        <v>79263.0</v>
      </c>
      <c r="E908" s="1" t="s">
        <v>19</v>
      </c>
      <c r="F908" s="1" t="s">
        <v>54</v>
      </c>
      <c r="G908" s="1" t="s">
        <v>21</v>
      </c>
      <c r="H908" s="2">
        <v>3957.0</v>
      </c>
      <c r="I908" s="2">
        <v>7534.0</v>
      </c>
      <c r="J908" s="1">
        <v>1957.0</v>
      </c>
      <c r="K908" s="1">
        <v>70.0</v>
      </c>
      <c r="L908" s="1" t="s">
        <v>141</v>
      </c>
      <c r="M908" s="1" t="s">
        <v>3672</v>
      </c>
      <c r="N908" s="1" t="s">
        <v>48</v>
      </c>
      <c r="O908" s="1" t="s">
        <v>35</v>
      </c>
      <c r="P908" s="1" t="s">
        <v>3673</v>
      </c>
    </row>
    <row r="909" ht="14.25" customHeight="1">
      <c r="A909" s="1" t="s">
        <v>3674</v>
      </c>
      <c r="B909" s="1" t="s">
        <v>3675</v>
      </c>
      <c r="C909" s="1" t="s">
        <v>39</v>
      </c>
      <c r="D909" s="1">
        <v>39844.0</v>
      </c>
      <c r="E909" s="1" t="s">
        <v>77</v>
      </c>
      <c r="F909" s="1" t="s">
        <v>46</v>
      </c>
      <c r="G909" s="1" t="s">
        <v>100</v>
      </c>
      <c r="H909" s="2">
        <v>1069.0</v>
      </c>
      <c r="I909" s="2">
        <v>9220.0</v>
      </c>
      <c r="J909" s="1">
        <v>2004.0</v>
      </c>
      <c r="K909" s="1">
        <v>98.0</v>
      </c>
      <c r="L909" s="1" t="s">
        <v>32</v>
      </c>
      <c r="M909" s="1" t="s">
        <v>3676</v>
      </c>
      <c r="N909" s="1" t="s">
        <v>64</v>
      </c>
      <c r="O909" s="1" t="s">
        <v>49</v>
      </c>
      <c r="P909" s="1" t="s">
        <v>3677</v>
      </c>
    </row>
    <row r="910" ht="14.25" customHeight="1">
      <c r="A910" s="1" t="s">
        <v>3678</v>
      </c>
      <c r="B910" s="1" t="s">
        <v>3679</v>
      </c>
      <c r="C910" s="1" t="s">
        <v>29</v>
      </c>
      <c r="D910" s="1">
        <v>74744.0</v>
      </c>
      <c r="E910" s="1" t="s">
        <v>30</v>
      </c>
      <c r="F910" s="1" t="s">
        <v>94</v>
      </c>
      <c r="G910" s="1" t="s">
        <v>21</v>
      </c>
      <c r="H910" s="2">
        <v>928.0</v>
      </c>
      <c r="I910" s="2">
        <v>9313.0</v>
      </c>
      <c r="J910" s="1">
        <v>1963.0</v>
      </c>
      <c r="K910" s="1">
        <v>87.0</v>
      </c>
      <c r="L910" s="1" t="s">
        <v>32</v>
      </c>
      <c r="M910" s="1" t="s">
        <v>3680</v>
      </c>
      <c r="N910" s="1" t="s">
        <v>34</v>
      </c>
      <c r="O910" s="1" t="s">
        <v>25</v>
      </c>
      <c r="P910" s="1" t="s">
        <v>3681</v>
      </c>
    </row>
    <row r="911" ht="14.25" customHeight="1">
      <c r="A911" s="1" t="s">
        <v>3682</v>
      </c>
      <c r="B911" s="1" t="s">
        <v>3683</v>
      </c>
      <c r="C911" s="1" t="s">
        <v>76</v>
      </c>
      <c r="D911" s="1">
        <v>30748.0</v>
      </c>
      <c r="E911" s="1" t="s">
        <v>77</v>
      </c>
      <c r="F911" s="1" t="s">
        <v>20</v>
      </c>
      <c r="G911" s="1" t="s">
        <v>21</v>
      </c>
      <c r="H911" s="2">
        <v>1405.0</v>
      </c>
      <c r="I911" s="2">
        <v>8885.0</v>
      </c>
      <c r="J911" s="1">
        <v>2001.0</v>
      </c>
      <c r="K911" s="1">
        <v>85.0</v>
      </c>
      <c r="L911" s="1" t="s">
        <v>32</v>
      </c>
      <c r="M911" s="1" t="s">
        <v>3684</v>
      </c>
      <c r="N911" s="1" t="s">
        <v>43</v>
      </c>
      <c r="O911" s="1" t="s">
        <v>25</v>
      </c>
      <c r="P911" s="1" t="s">
        <v>3685</v>
      </c>
    </row>
    <row r="912" ht="14.25" customHeight="1">
      <c r="A912" s="1" t="s">
        <v>3686</v>
      </c>
      <c r="B912" s="1" t="s">
        <v>3687</v>
      </c>
      <c r="C912" s="1" t="s">
        <v>76</v>
      </c>
      <c r="D912" s="1">
        <v>82706.0</v>
      </c>
      <c r="E912" s="1" t="s">
        <v>19</v>
      </c>
      <c r="F912" s="1" t="s">
        <v>46</v>
      </c>
      <c r="G912" s="1" t="s">
        <v>55</v>
      </c>
      <c r="H912" s="2">
        <v>2082.0</v>
      </c>
      <c r="I912" s="2">
        <v>7035.0</v>
      </c>
      <c r="J912" s="1">
        <v>2006.0</v>
      </c>
      <c r="K912" s="1">
        <v>10.0</v>
      </c>
      <c r="L912" s="1" t="s">
        <v>32</v>
      </c>
      <c r="M912" s="1" t="s">
        <v>3688</v>
      </c>
      <c r="N912" s="1" t="s">
        <v>34</v>
      </c>
      <c r="O912" s="1" t="s">
        <v>35</v>
      </c>
      <c r="P912" s="1" t="s">
        <v>3689</v>
      </c>
    </row>
    <row r="913" ht="14.25" customHeight="1">
      <c r="A913" s="1" t="s">
        <v>3690</v>
      </c>
      <c r="B913" s="1" t="s">
        <v>3691</v>
      </c>
      <c r="C913" s="1" t="s">
        <v>53</v>
      </c>
      <c r="D913" s="1">
        <v>81173.0</v>
      </c>
      <c r="E913" s="1" t="s">
        <v>19</v>
      </c>
      <c r="F913" s="1" t="s">
        <v>20</v>
      </c>
      <c r="G913" s="1" t="s">
        <v>55</v>
      </c>
      <c r="H913" s="2">
        <v>1763.0</v>
      </c>
      <c r="I913" s="2">
        <v>6974.0</v>
      </c>
      <c r="J913" s="1">
        <v>1953.0</v>
      </c>
      <c r="K913" s="1">
        <v>18.0</v>
      </c>
      <c r="L913" s="1" t="s">
        <v>95</v>
      </c>
      <c r="M913" s="1" t="s">
        <v>3692</v>
      </c>
      <c r="N913" s="1" t="s">
        <v>34</v>
      </c>
      <c r="O913" s="1" t="s">
        <v>25</v>
      </c>
      <c r="P913" s="1" t="s">
        <v>3693</v>
      </c>
    </row>
    <row r="914" ht="14.25" customHeight="1">
      <c r="A914" s="1" t="s">
        <v>3694</v>
      </c>
      <c r="B914" s="1" t="s">
        <v>3695</v>
      </c>
      <c r="C914" s="1" t="s">
        <v>53</v>
      </c>
      <c r="D914" s="1">
        <v>25628.0</v>
      </c>
      <c r="E914" s="1" t="s">
        <v>77</v>
      </c>
      <c r="F914" s="1" t="s">
        <v>61</v>
      </c>
      <c r="G914" s="1" t="s">
        <v>31</v>
      </c>
      <c r="H914" s="2">
        <v>3187.0</v>
      </c>
      <c r="I914" s="2">
        <v>5076.0</v>
      </c>
      <c r="J914" s="1">
        <v>1950.0</v>
      </c>
      <c r="K914" s="1">
        <v>20.0</v>
      </c>
      <c r="L914" s="1" t="s">
        <v>95</v>
      </c>
      <c r="M914" s="1" t="s">
        <v>3696</v>
      </c>
      <c r="N914" s="1" t="s">
        <v>64</v>
      </c>
      <c r="O914" s="1" t="s">
        <v>35</v>
      </c>
      <c r="P914" s="1" t="s">
        <v>3697</v>
      </c>
    </row>
    <row r="915" ht="14.25" customHeight="1">
      <c r="A915" s="1" t="s">
        <v>3698</v>
      </c>
      <c r="B915" s="1" t="s">
        <v>3699</v>
      </c>
      <c r="C915" s="1" t="s">
        <v>76</v>
      </c>
      <c r="D915" s="1">
        <v>97889.0</v>
      </c>
      <c r="E915" s="1" t="s">
        <v>77</v>
      </c>
      <c r="F915" s="1" t="s">
        <v>54</v>
      </c>
      <c r="G915" s="1" t="s">
        <v>100</v>
      </c>
      <c r="H915" s="2">
        <v>695.0</v>
      </c>
      <c r="I915" s="2">
        <v>5342.0</v>
      </c>
      <c r="J915" s="1">
        <v>1971.0</v>
      </c>
      <c r="K915" s="1">
        <v>58.0</v>
      </c>
      <c r="L915" s="1" t="s">
        <v>22</v>
      </c>
      <c r="M915" s="1" t="s">
        <v>3700</v>
      </c>
      <c r="N915" s="1" t="s">
        <v>48</v>
      </c>
      <c r="O915" s="1" t="s">
        <v>25</v>
      </c>
      <c r="P915" s="1" t="s">
        <v>3701</v>
      </c>
    </row>
    <row r="916" ht="14.25" customHeight="1">
      <c r="A916" s="1" t="s">
        <v>3702</v>
      </c>
      <c r="B916" s="1" t="s">
        <v>3703</v>
      </c>
      <c r="C916" s="1" t="s">
        <v>76</v>
      </c>
      <c r="D916" s="1">
        <v>21240.0</v>
      </c>
      <c r="E916" s="1" t="s">
        <v>60</v>
      </c>
      <c r="F916" s="1" t="s">
        <v>20</v>
      </c>
      <c r="G916" s="1" t="s">
        <v>100</v>
      </c>
      <c r="H916" s="2">
        <v>2605.0</v>
      </c>
      <c r="I916" s="2">
        <v>7019.0</v>
      </c>
      <c r="J916" s="1">
        <v>1954.0</v>
      </c>
      <c r="K916" s="1">
        <v>49.0</v>
      </c>
      <c r="L916" s="1" t="s">
        <v>62</v>
      </c>
      <c r="M916" s="1" t="s">
        <v>3704</v>
      </c>
      <c r="N916" s="1" t="s">
        <v>48</v>
      </c>
      <c r="O916" s="1" t="s">
        <v>49</v>
      </c>
      <c r="P916" s="1" t="s">
        <v>3705</v>
      </c>
    </row>
    <row r="917" ht="14.25" customHeight="1">
      <c r="A917" s="1" t="s">
        <v>3706</v>
      </c>
      <c r="B917" s="1" t="s">
        <v>3707</v>
      </c>
      <c r="C917" s="1" t="s">
        <v>53</v>
      </c>
      <c r="D917" s="1">
        <v>10643.0</v>
      </c>
      <c r="E917" s="1" t="s">
        <v>40</v>
      </c>
      <c r="F917" s="1" t="s">
        <v>20</v>
      </c>
      <c r="G917" s="1" t="s">
        <v>55</v>
      </c>
      <c r="H917" s="2">
        <v>3084.0</v>
      </c>
      <c r="I917" s="2">
        <v>5030.0</v>
      </c>
      <c r="J917" s="1">
        <v>1978.0</v>
      </c>
      <c r="K917" s="1">
        <v>96.0</v>
      </c>
      <c r="L917" s="1" t="s">
        <v>62</v>
      </c>
      <c r="M917" s="1" t="s">
        <v>3708</v>
      </c>
      <c r="N917" s="1" t="s">
        <v>43</v>
      </c>
      <c r="O917" s="1" t="s">
        <v>25</v>
      </c>
      <c r="P917" s="1" t="s">
        <v>3709</v>
      </c>
    </row>
    <row r="918" ht="14.25" customHeight="1">
      <c r="A918" s="1" t="s">
        <v>3710</v>
      </c>
      <c r="B918" s="1" t="s">
        <v>3711</v>
      </c>
      <c r="C918" s="1" t="s">
        <v>76</v>
      </c>
      <c r="D918" s="1">
        <v>33359.0</v>
      </c>
      <c r="E918" s="1" t="s">
        <v>77</v>
      </c>
      <c r="F918" s="1" t="s">
        <v>46</v>
      </c>
      <c r="G918" s="1" t="s">
        <v>55</v>
      </c>
      <c r="H918" s="2">
        <v>3220.0</v>
      </c>
      <c r="I918" s="2">
        <v>8971.0</v>
      </c>
      <c r="J918" s="1">
        <v>2001.0</v>
      </c>
      <c r="K918" s="1">
        <v>15.0</v>
      </c>
      <c r="L918" s="1" t="s">
        <v>62</v>
      </c>
      <c r="M918" s="1" t="s">
        <v>3712</v>
      </c>
      <c r="N918" s="1" t="s">
        <v>43</v>
      </c>
      <c r="O918" s="1" t="s">
        <v>35</v>
      </c>
      <c r="P918" s="1" t="s">
        <v>3713</v>
      </c>
    </row>
    <row r="919" ht="14.25" customHeight="1">
      <c r="A919" s="1" t="s">
        <v>3714</v>
      </c>
      <c r="B919" s="1" t="s">
        <v>3715</v>
      </c>
      <c r="C919" s="1" t="s">
        <v>53</v>
      </c>
      <c r="D919" s="1">
        <v>55662.0</v>
      </c>
      <c r="E919" s="1" t="s">
        <v>40</v>
      </c>
      <c r="F919" s="1" t="s">
        <v>61</v>
      </c>
      <c r="G919" s="1" t="s">
        <v>100</v>
      </c>
      <c r="H919" s="2">
        <v>1149.0</v>
      </c>
      <c r="I919" s="2">
        <v>1446.0</v>
      </c>
      <c r="J919" s="1">
        <v>1957.0</v>
      </c>
      <c r="K919" s="1">
        <v>51.0</v>
      </c>
      <c r="L919" s="1" t="s">
        <v>95</v>
      </c>
      <c r="M919" s="1" t="s">
        <v>3716</v>
      </c>
      <c r="N919" s="1" t="s">
        <v>48</v>
      </c>
      <c r="O919" s="1" t="s">
        <v>35</v>
      </c>
      <c r="P919" s="1" t="s">
        <v>3717</v>
      </c>
    </row>
    <row r="920" ht="14.25" customHeight="1">
      <c r="A920" s="1" t="s">
        <v>3718</v>
      </c>
      <c r="B920" s="1" t="s">
        <v>3719</v>
      </c>
      <c r="C920" s="1" t="s">
        <v>39</v>
      </c>
      <c r="D920" s="1">
        <v>36680.0</v>
      </c>
      <c r="E920" s="1" t="s">
        <v>30</v>
      </c>
      <c r="F920" s="1" t="s">
        <v>61</v>
      </c>
      <c r="G920" s="1" t="s">
        <v>100</v>
      </c>
      <c r="H920" s="2">
        <v>1298.0</v>
      </c>
      <c r="I920" s="2">
        <v>6640.0</v>
      </c>
      <c r="J920" s="1">
        <v>2004.0</v>
      </c>
      <c r="K920" s="1">
        <v>29.0</v>
      </c>
      <c r="L920" s="1" t="s">
        <v>95</v>
      </c>
      <c r="M920" s="1" t="s">
        <v>3720</v>
      </c>
      <c r="N920" s="1" t="s">
        <v>34</v>
      </c>
      <c r="O920" s="1" t="s">
        <v>35</v>
      </c>
      <c r="P920" s="1" t="s">
        <v>3721</v>
      </c>
    </row>
    <row r="921" ht="14.25" customHeight="1">
      <c r="A921" s="1" t="s">
        <v>3722</v>
      </c>
      <c r="B921" s="1" t="s">
        <v>3723</v>
      </c>
      <c r="C921" s="1" t="s">
        <v>76</v>
      </c>
      <c r="D921" s="1">
        <v>89169.0</v>
      </c>
      <c r="E921" s="1" t="s">
        <v>30</v>
      </c>
      <c r="F921" s="1" t="s">
        <v>54</v>
      </c>
      <c r="G921" s="1" t="s">
        <v>55</v>
      </c>
      <c r="H921" s="2">
        <v>984.0</v>
      </c>
      <c r="I921" s="2">
        <v>2308.0</v>
      </c>
      <c r="J921" s="1">
        <v>1972.0</v>
      </c>
      <c r="K921" s="1">
        <v>2.0</v>
      </c>
      <c r="L921" s="1" t="s">
        <v>22</v>
      </c>
      <c r="M921" s="1" t="s">
        <v>3724</v>
      </c>
      <c r="N921" s="1" t="s">
        <v>34</v>
      </c>
      <c r="O921" s="1" t="s">
        <v>25</v>
      </c>
      <c r="P921" s="1" t="s">
        <v>3725</v>
      </c>
    </row>
    <row r="922" ht="14.25" customHeight="1">
      <c r="A922" s="1" t="s">
        <v>3726</v>
      </c>
      <c r="B922" s="1" t="s">
        <v>3727</v>
      </c>
      <c r="C922" s="1" t="s">
        <v>39</v>
      </c>
      <c r="D922" s="1">
        <v>59994.0</v>
      </c>
      <c r="E922" s="1" t="s">
        <v>19</v>
      </c>
      <c r="F922" s="1" t="s">
        <v>20</v>
      </c>
      <c r="G922" s="1" t="s">
        <v>31</v>
      </c>
      <c r="H922" s="2">
        <v>1779.0</v>
      </c>
      <c r="I922" s="2">
        <v>3156.0</v>
      </c>
      <c r="J922" s="1">
        <v>2019.0</v>
      </c>
      <c r="K922" s="1">
        <v>10.0</v>
      </c>
      <c r="L922" s="1" t="s">
        <v>22</v>
      </c>
      <c r="M922" s="1" t="s">
        <v>3728</v>
      </c>
      <c r="N922" s="1" t="s">
        <v>43</v>
      </c>
      <c r="O922" s="1" t="s">
        <v>49</v>
      </c>
      <c r="P922" s="1" t="s">
        <v>3729</v>
      </c>
    </row>
    <row r="923" ht="14.25" customHeight="1">
      <c r="A923" s="1" t="s">
        <v>3730</v>
      </c>
      <c r="B923" s="1" t="s">
        <v>3731</v>
      </c>
      <c r="C923" s="1" t="s">
        <v>18</v>
      </c>
      <c r="D923" s="1">
        <v>62437.0</v>
      </c>
      <c r="E923" s="1" t="s">
        <v>19</v>
      </c>
      <c r="F923" s="1" t="s">
        <v>41</v>
      </c>
      <c r="G923" s="1" t="s">
        <v>55</v>
      </c>
      <c r="H923" s="2">
        <v>2619.0</v>
      </c>
      <c r="I923" s="2">
        <v>5135.0</v>
      </c>
      <c r="J923" s="1">
        <v>1966.0</v>
      </c>
      <c r="K923" s="1">
        <v>118.0</v>
      </c>
      <c r="L923" s="1" t="s">
        <v>32</v>
      </c>
      <c r="M923" s="1" t="s">
        <v>3732</v>
      </c>
      <c r="N923" s="1" t="s">
        <v>48</v>
      </c>
      <c r="O923" s="1" t="s">
        <v>25</v>
      </c>
      <c r="P923" s="1" t="s">
        <v>3733</v>
      </c>
    </row>
    <row r="924" ht="14.25" customHeight="1">
      <c r="A924" s="1" t="s">
        <v>3734</v>
      </c>
      <c r="B924" s="1" t="s">
        <v>3735</v>
      </c>
      <c r="C924" s="1" t="s">
        <v>18</v>
      </c>
      <c r="D924" s="1">
        <v>50148.0</v>
      </c>
      <c r="E924" s="1" t="s">
        <v>40</v>
      </c>
      <c r="F924" s="1" t="s">
        <v>46</v>
      </c>
      <c r="G924" s="1" t="s">
        <v>55</v>
      </c>
      <c r="H924" s="2">
        <v>2831.0</v>
      </c>
      <c r="I924" s="2">
        <v>7086.0</v>
      </c>
      <c r="J924" s="1">
        <v>1979.0</v>
      </c>
      <c r="K924" s="1">
        <v>41.0</v>
      </c>
      <c r="L924" s="1" t="s">
        <v>141</v>
      </c>
      <c r="M924" s="1" t="s">
        <v>3736</v>
      </c>
      <c r="N924" s="1" t="s">
        <v>64</v>
      </c>
      <c r="O924" s="1" t="s">
        <v>49</v>
      </c>
      <c r="P924" s="1" t="s">
        <v>3737</v>
      </c>
    </row>
    <row r="925" ht="14.25" customHeight="1">
      <c r="A925" s="1" t="s">
        <v>3738</v>
      </c>
      <c r="B925" s="1" t="s">
        <v>3739</v>
      </c>
      <c r="C925" s="1" t="s">
        <v>39</v>
      </c>
      <c r="D925" s="1">
        <v>12730.0</v>
      </c>
      <c r="E925" s="1" t="s">
        <v>60</v>
      </c>
      <c r="F925" s="1" t="s">
        <v>20</v>
      </c>
      <c r="G925" s="1" t="s">
        <v>55</v>
      </c>
      <c r="H925" s="2">
        <v>2925.0</v>
      </c>
      <c r="I925" s="2">
        <v>8592.0</v>
      </c>
      <c r="J925" s="1">
        <v>2016.0</v>
      </c>
      <c r="K925" s="1">
        <v>54.0</v>
      </c>
      <c r="L925" s="1" t="s">
        <v>62</v>
      </c>
      <c r="M925" s="1" t="s">
        <v>3740</v>
      </c>
      <c r="N925" s="1" t="s">
        <v>24</v>
      </c>
      <c r="O925" s="1" t="s">
        <v>49</v>
      </c>
      <c r="P925" s="1" t="s">
        <v>3741</v>
      </c>
    </row>
    <row r="926" ht="14.25" customHeight="1">
      <c r="A926" s="1" t="s">
        <v>3742</v>
      </c>
      <c r="B926" s="1" t="s">
        <v>3743</v>
      </c>
      <c r="C926" s="1" t="s">
        <v>53</v>
      </c>
      <c r="D926" s="1">
        <v>77020.0</v>
      </c>
      <c r="E926" s="1" t="s">
        <v>60</v>
      </c>
      <c r="F926" s="1" t="s">
        <v>94</v>
      </c>
      <c r="G926" s="1" t="s">
        <v>100</v>
      </c>
      <c r="H926" s="2">
        <v>1431.0</v>
      </c>
      <c r="I926" s="2">
        <v>3673.0</v>
      </c>
      <c r="J926" s="1">
        <v>2014.0</v>
      </c>
      <c r="K926" s="1">
        <v>86.0</v>
      </c>
      <c r="L926" s="1" t="s">
        <v>32</v>
      </c>
      <c r="M926" s="1" t="s">
        <v>3744</v>
      </c>
      <c r="N926" s="1" t="s">
        <v>34</v>
      </c>
      <c r="O926" s="1" t="s">
        <v>35</v>
      </c>
      <c r="P926" s="1" t="s">
        <v>3745</v>
      </c>
    </row>
    <row r="927" ht="14.25" customHeight="1">
      <c r="A927" s="1" t="s">
        <v>3746</v>
      </c>
      <c r="B927" s="1" t="s">
        <v>3747</v>
      </c>
      <c r="C927" s="1" t="s">
        <v>29</v>
      </c>
      <c r="D927" s="1">
        <v>90922.0</v>
      </c>
      <c r="E927" s="1" t="s">
        <v>19</v>
      </c>
      <c r="F927" s="1" t="s">
        <v>54</v>
      </c>
      <c r="G927" s="1" t="s">
        <v>100</v>
      </c>
      <c r="H927" s="2">
        <v>735.0</v>
      </c>
      <c r="I927" s="2">
        <v>8347.0</v>
      </c>
      <c r="J927" s="1">
        <v>1999.0</v>
      </c>
      <c r="K927" s="1">
        <v>36.0</v>
      </c>
      <c r="L927" s="1" t="s">
        <v>22</v>
      </c>
      <c r="M927" s="1" t="s">
        <v>3748</v>
      </c>
      <c r="N927" s="1" t="s">
        <v>64</v>
      </c>
      <c r="O927" s="1" t="s">
        <v>35</v>
      </c>
      <c r="P927" s="1" t="s">
        <v>3749</v>
      </c>
    </row>
    <row r="928" ht="14.25" customHeight="1">
      <c r="A928" s="1" t="s">
        <v>3750</v>
      </c>
      <c r="B928" s="1" t="s">
        <v>3751</v>
      </c>
      <c r="C928" s="1" t="s">
        <v>53</v>
      </c>
      <c r="D928" s="1">
        <v>57711.0</v>
      </c>
      <c r="E928" s="1" t="s">
        <v>30</v>
      </c>
      <c r="F928" s="1" t="s">
        <v>94</v>
      </c>
      <c r="G928" s="1" t="s">
        <v>21</v>
      </c>
      <c r="H928" s="2">
        <v>2478.0</v>
      </c>
      <c r="I928" s="2">
        <v>5501.0</v>
      </c>
      <c r="J928" s="1">
        <v>1980.0</v>
      </c>
      <c r="K928" s="1">
        <v>16.0</v>
      </c>
      <c r="L928" s="1" t="s">
        <v>141</v>
      </c>
      <c r="M928" s="1" t="s">
        <v>3752</v>
      </c>
      <c r="N928" s="1" t="s">
        <v>24</v>
      </c>
      <c r="O928" s="1" t="s">
        <v>49</v>
      </c>
      <c r="P928" s="1" t="s">
        <v>3753</v>
      </c>
    </row>
    <row r="929" ht="14.25" customHeight="1">
      <c r="A929" s="1" t="s">
        <v>3754</v>
      </c>
      <c r="B929" s="1" t="s">
        <v>3755</v>
      </c>
      <c r="C929" s="1" t="s">
        <v>39</v>
      </c>
      <c r="D929" s="1">
        <v>16674.0</v>
      </c>
      <c r="E929" s="1" t="s">
        <v>19</v>
      </c>
      <c r="F929" s="1" t="s">
        <v>54</v>
      </c>
      <c r="G929" s="1" t="s">
        <v>100</v>
      </c>
      <c r="H929" s="2">
        <v>748.0</v>
      </c>
      <c r="I929" s="2">
        <v>6224.0</v>
      </c>
      <c r="J929" s="1">
        <v>2017.0</v>
      </c>
      <c r="K929" s="1">
        <v>16.0</v>
      </c>
      <c r="L929" s="1" t="s">
        <v>141</v>
      </c>
      <c r="M929" s="1" t="s">
        <v>3756</v>
      </c>
      <c r="N929" s="1" t="s">
        <v>48</v>
      </c>
      <c r="O929" s="1" t="s">
        <v>49</v>
      </c>
      <c r="P929" s="1" t="s">
        <v>3757</v>
      </c>
    </row>
    <row r="930" ht="14.25" customHeight="1">
      <c r="A930" s="1" t="s">
        <v>3758</v>
      </c>
      <c r="B930" s="1" t="s">
        <v>3759</v>
      </c>
      <c r="C930" s="1" t="s">
        <v>29</v>
      </c>
      <c r="D930" s="1">
        <v>87430.0</v>
      </c>
      <c r="E930" s="1" t="s">
        <v>77</v>
      </c>
      <c r="F930" s="1" t="s">
        <v>20</v>
      </c>
      <c r="G930" s="1" t="s">
        <v>21</v>
      </c>
      <c r="H930" s="2">
        <v>2993.0</v>
      </c>
      <c r="I930" s="2">
        <v>7553.0</v>
      </c>
      <c r="J930" s="1">
        <v>2004.0</v>
      </c>
      <c r="K930" s="1">
        <v>113.0</v>
      </c>
      <c r="L930" s="1" t="s">
        <v>95</v>
      </c>
      <c r="M930" s="1" t="s">
        <v>3760</v>
      </c>
      <c r="N930" s="1" t="s">
        <v>24</v>
      </c>
      <c r="O930" s="1" t="s">
        <v>25</v>
      </c>
      <c r="P930" s="1" t="s">
        <v>3761</v>
      </c>
    </row>
    <row r="931" ht="14.25" customHeight="1">
      <c r="A931" s="1" t="s">
        <v>3762</v>
      </c>
      <c r="B931" s="1" t="s">
        <v>3763</v>
      </c>
      <c r="C931" s="1" t="s">
        <v>76</v>
      </c>
      <c r="D931" s="1">
        <v>23506.0</v>
      </c>
      <c r="E931" s="1" t="s">
        <v>77</v>
      </c>
      <c r="F931" s="1" t="s">
        <v>54</v>
      </c>
      <c r="G931" s="1" t="s">
        <v>55</v>
      </c>
      <c r="H931" s="2">
        <v>2457.0</v>
      </c>
      <c r="I931" s="2">
        <v>5569.0</v>
      </c>
      <c r="J931" s="1">
        <v>2008.0</v>
      </c>
      <c r="K931" s="1">
        <v>30.0</v>
      </c>
      <c r="L931" s="1" t="s">
        <v>62</v>
      </c>
      <c r="M931" s="1" t="s">
        <v>3764</v>
      </c>
      <c r="N931" s="1" t="s">
        <v>43</v>
      </c>
      <c r="O931" s="1" t="s">
        <v>25</v>
      </c>
      <c r="P931" s="1" t="s">
        <v>3765</v>
      </c>
    </row>
    <row r="932" ht="14.25" customHeight="1">
      <c r="A932" s="1" t="s">
        <v>3766</v>
      </c>
      <c r="B932" s="1" t="s">
        <v>3767</v>
      </c>
      <c r="C932" s="1" t="s">
        <v>18</v>
      </c>
      <c r="D932" s="1">
        <v>18919.0</v>
      </c>
      <c r="E932" s="1" t="s">
        <v>40</v>
      </c>
      <c r="F932" s="1" t="s">
        <v>54</v>
      </c>
      <c r="G932" s="1" t="s">
        <v>21</v>
      </c>
      <c r="H932" s="2">
        <v>3156.0</v>
      </c>
      <c r="I932" s="2">
        <v>9554.0</v>
      </c>
      <c r="J932" s="1">
        <v>1963.0</v>
      </c>
      <c r="K932" s="1">
        <v>9.0</v>
      </c>
      <c r="L932" s="1" t="s">
        <v>22</v>
      </c>
      <c r="M932" s="1" t="s">
        <v>3768</v>
      </c>
      <c r="N932" s="1" t="s">
        <v>43</v>
      </c>
      <c r="O932" s="1" t="s">
        <v>25</v>
      </c>
      <c r="P932" s="1" t="s">
        <v>3769</v>
      </c>
    </row>
    <row r="933" ht="14.25" customHeight="1">
      <c r="A933" s="1" t="s">
        <v>3770</v>
      </c>
      <c r="B933" s="1" t="s">
        <v>3771</v>
      </c>
      <c r="C933" s="1" t="s">
        <v>29</v>
      </c>
      <c r="D933" s="1">
        <v>54345.0</v>
      </c>
      <c r="E933" s="1" t="s">
        <v>19</v>
      </c>
      <c r="F933" s="1" t="s">
        <v>54</v>
      </c>
      <c r="G933" s="1" t="s">
        <v>21</v>
      </c>
      <c r="H933" s="2">
        <v>3599.0</v>
      </c>
      <c r="I933" s="2">
        <v>4888.0</v>
      </c>
      <c r="J933" s="1">
        <v>1977.0</v>
      </c>
      <c r="K933" s="1">
        <v>4.0</v>
      </c>
      <c r="L933" s="1" t="s">
        <v>141</v>
      </c>
      <c r="M933" s="1" t="s">
        <v>3772</v>
      </c>
      <c r="N933" s="1" t="s">
        <v>43</v>
      </c>
      <c r="O933" s="1" t="s">
        <v>25</v>
      </c>
      <c r="P933" s="1" t="s">
        <v>3773</v>
      </c>
    </row>
    <row r="934" ht="14.25" customHeight="1">
      <c r="A934" s="1" t="s">
        <v>3774</v>
      </c>
      <c r="B934" s="1" t="s">
        <v>3775</v>
      </c>
      <c r="C934" s="1" t="s">
        <v>76</v>
      </c>
      <c r="D934" s="1">
        <v>29378.0</v>
      </c>
      <c r="E934" s="1" t="s">
        <v>19</v>
      </c>
      <c r="F934" s="1" t="s">
        <v>46</v>
      </c>
      <c r="G934" s="1" t="s">
        <v>31</v>
      </c>
      <c r="H934" s="2">
        <v>3633.0</v>
      </c>
      <c r="I934" s="2">
        <v>4691.0</v>
      </c>
      <c r="J934" s="1">
        <v>1953.0</v>
      </c>
      <c r="K934" s="1">
        <v>108.0</v>
      </c>
      <c r="L934" s="1" t="s">
        <v>141</v>
      </c>
      <c r="M934" s="1" t="s">
        <v>3776</v>
      </c>
      <c r="N934" s="1" t="s">
        <v>48</v>
      </c>
      <c r="O934" s="1" t="s">
        <v>25</v>
      </c>
      <c r="P934" s="1" t="s">
        <v>3777</v>
      </c>
    </row>
    <row r="935" ht="14.25" customHeight="1">
      <c r="A935" s="1" t="s">
        <v>3778</v>
      </c>
      <c r="B935" s="1" t="s">
        <v>3779</v>
      </c>
      <c r="C935" s="1" t="s">
        <v>76</v>
      </c>
      <c r="D935" s="1">
        <v>63040.0</v>
      </c>
      <c r="E935" s="1" t="s">
        <v>19</v>
      </c>
      <c r="F935" s="1" t="s">
        <v>46</v>
      </c>
      <c r="G935" s="1" t="s">
        <v>55</v>
      </c>
      <c r="H935" s="2">
        <v>2153.0</v>
      </c>
      <c r="I935" s="2">
        <v>2782.0</v>
      </c>
      <c r="J935" s="1">
        <v>2015.0</v>
      </c>
      <c r="K935" s="1">
        <v>53.0</v>
      </c>
      <c r="L935" s="1" t="s">
        <v>95</v>
      </c>
      <c r="M935" s="1" t="s">
        <v>3780</v>
      </c>
      <c r="N935" s="1" t="s">
        <v>48</v>
      </c>
      <c r="O935" s="1" t="s">
        <v>49</v>
      </c>
      <c r="P935" s="1" t="s">
        <v>3781</v>
      </c>
    </row>
    <row r="936" ht="14.25" customHeight="1">
      <c r="A936" s="1" t="s">
        <v>3782</v>
      </c>
      <c r="B936" s="1" t="s">
        <v>3783</v>
      </c>
      <c r="C936" s="1" t="s">
        <v>29</v>
      </c>
      <c r="D936" s="1">
        <v>76056.0</v>
      </c>
      <c r="E936" s="1" t="s">
        <v>60</v>
      </c>
      <c r="F936" s="1" t="s">
        <v>54</v>
      </c>
      <c r="G936" s="1" t="s">
        <v>21</v>
      </c>
      <c r="H936" s="2">
        <v>3978.0</v>
      </c>
      <c r="I936" s="2">
        <v>2483.0</v>
      </c>
      <c r="J936" s="1">
        <v>1978.0</v>
      </c>
      <c r="K936" s="1">
        <v>112.0</v>
      </c>
      <c r="L936" s="1" t="s">
        <v>62</v>
      </c>
      <c r="M936" s="1" t="s">
        <v>3784</v>
      </c>
      <c r="N936" s="1" t="s">
        <v>43</v>
      </c>
      <c r="O936" s="1" t="s">
        <v>25</v>
      </c>
      <c r="P936" s="1" t="s">
        <v>3785</v>
      </c>
    </row>
    <row r="937" ht="14.25" customHeight="1">
      <c r="A937" s="1" t="s">
        <v>3786</v>
      </c>
      <c r="B937" s="1" t="s">
        <v>3787</v>
      </c>
      <c r="C937" s="1" t="s">
        <v>18</v>
      </c>
      <c r="D937" s="1">
        <v>60385.0</v>
      </c>
      <c r="E937" s="1" t="s">
        <v>30</v>
      </c>
      <c r="F937" s="1" t="s">
        <v>94</v>
      </c>
      <c r="G937" s="1" t="s">
        <v>21</v>
      </c>
      <c r="H937" s="2">
        <v>2586.0</v>
      </c>
      <c r="I937" s="2">
        <v>9732.0</v>
      </c>
      <c r="J937" s="1">
        <v>1976.0</v>
      </c>
      <c r="K937" s="1">
        <v>102.0</v>
      </c>
      <c r="L937" s="1" t="s">
        <v>32</v>
      </c>
      <c r="M937" s="1" t="s">
        <v>3788</v>
      </c>
      <c r="N937" s="1" t="s">
        <v>43</v>
      </c>
      <c r="O937" s="1" t="s">
        <v>35</v>
      </c>
      <c r="P937" s="1" t="s">
        <v>3789</v>
      </c>
    </row>
    <row r="938" ht="14.25" customHeight="1">
      <c r="A938" s="1" t="s">
        <v>3790</v>
      </c>
      <c r="B938" s="1" t="s">
        <v>3791</v>
      </c>
      <c r="C938" s="1" t="s">
        <v>53</v>
      </c>
      <c r="D938" s="1">
        <v>67231.0</v>
      </c>
      <c r="E938" s="1" t="s">
        <v>40</v>
      </c>
      <c r="F938" s="1" t="s">
        <v>61</v>
      </c>
      <c r="G938" s="1" t="s">
        <v>21</v>
      </c>
      <c r="H938" s="2">
        <v>2223.0</v>
      </c>
      <c r="I938" s="2">
        <v>8024.0</v>
      </c>
      <c r="J938" s="1">
        <v>2006.0</v>
      </c>
      <c r="K938" s="1">
        <v>53.0</v>
      </c>
      <c r="L938" s="1" t="s">
        <v>62</v>
      </c>
      <c r="M938" s="1" t="s">
        <v>3792</v>
      </c>
      <c r="N938" s="1" t="s">
        <v>48</v>
      </c>
      <c r="O938" s="1" t="s">
        <v>49</v>
      </c>
      <c r="P938" s="1" t="s">
        <v>3793</v>
      </c>
    </row>
    <row r="939" ht="14.25" customHeight="1">
      <c r="A939" s="1" t="s">
        <v>3794</v>
      </c>
      <c r="B939" s="1" t="s">
        <v>3795</v>
      </c>
      <c r="C939" s="1" t="s">
        <v>29</v>
      </c>
      <c r="D939" s="1">
        <v>82044.0</v>
      </c>
      <c r="E939" s="1" t="s">
        <v>30</v>
      </c>
      <c r="F939" s="1" t="s">
        <v>20</v>
      </c>
      <c r="G939" s="1" t="s">
        <v>100</v>
      </c>
      <c r="H939" s="2">
        <v>2893.0</v>
      </c>
      <c r="I939" s="2">
        <v>9681.0</v>
      </c>
      <c r="J939" s="1">
        <v>2013.0</v>
      </c>
      <c r="K939" s="1">
        <v>65.0</v>
      </c>
      <c r="L939" s="1" t="s">
        <v>141</v>
      </c>
      <c r="M939" s="1" t="s">
        <v>3796</v>
      </c>
      <c r="N939" s="1" t="s">
        <v>48</v>
      </c>
      <c r="O939" s="1" t="s">
        <v>35</v>
      </c>
      <c r="P939" s="1" t="s">
        <v>3797</v>
      </c>
    </row>
    <row r="940" ht="14.25" customHeight="1">
      <c r="A940" s="1" t="s">
        <v>3798</v>
      </c>
      <c r="B940" s="1" t="s">
        <v>3799</v>
      </c>
      <c r="C940" s="1" t="s">
        <v>18</v>
      </c>
      <c r="D940" s="1">
        <v>36444.0</v>
      </c>
      <c r="E940" s="1" t="s">
        <v>60</v>
      </c>
      <c r="F940" s="1" t="s">
        <v>41</v>
      </c>
      <c r="G940" s="1" t="s">
        <v>55</v>
      </c>
      <c r="H940" s="2">
        <v>623.0</v>
      </c>
      <c r="I940" s="2">
        <v>3053.0</v>
      </c>
      <c r="J940" s="1">
        <v>1998.0</v>
      </c>
      <c r="K940" s="1">
        <v>50.0</v>
      </c>
      <c r="L940" s="1" t="s">
        <v>32</v>
      </c>
      <c r="M940" s="1" t="s">
        <v>3800</v>
      </c>
      <c r="N940" s="1" t="s">
        <v>43</v>
      </c>
      <c r="O940" s="1" t="s">
        <v>35</v>
      </c>
      <c r="P940" s="1" t="s">
        <v>3801</v>
      </c>
    </row>
    <row r="941" ht="14.25" customHeight="1">
      <c r="A941" s="1" t="s">
        <v>3802</v>
      </c>
      <c r="B941" s="1" t="s">
        <v>3803</v>
      </c>
      <c r="C941" s="1" t="s">
        <v>29</v>
      </c>
      <c r="D941" s="1">
        <v>86778.0</v>
      </c>
      <c r="E941" s="1" t="s">
        <v>40</v>
      </c>
      <c r="F941" s="1" t="s">
        <v>20</v>
      </c>
      <c r="G941" s="1" t="s">
        <v>31</v>
      </c>
      <c r="H941" s="2">
        <v>1020.0</v>
      </c>
      <c r="I941" s="2">
        <v>7572.0</v>
      </c>
      <c r="J941" s="1">
        <v>2023.0</v>
      </c>
      <c r="K941" s="1">
        <v>25.0</v>
      </c>
      <c r="L941" s="1" t="s">
        <v>141</v>
      </c>
      <c r="M941" s="1" t="s">
        <v>3804</v>
      </c>
      <c r="N941" s="1" t="s">
        <v>48</v>
      </c>
      <c r="O941" s="1" t="s">
        <v>49</v>
      </c>
      <c r="P941" s="1" t="s">
        <v>3805</v>
      </c>
    </row>
    <row r="942" ht="14.25" customHeight="1">
      <c r="A942" s="1" t="s">
        <v>3806</v>
      </c>
      <c r="B942" s="1" t="s">
        <v>3807</v>
      </c>
      <c r="C942" s="1" t="s">
        <v>39</v>
      </c>
      <c r="D942" s="1">
        <v>77412.0</v>
      </c>
      <c r="E942" s="1" t="s">
        <v>77</v>
      </c>
      <c r="F942" s="1" t="s">
        <v>46</v>
      </c>
      <c r="G942" s="1" t="s">
        <v>100</v>
      </c>
      <c r="H942" s="2">
        <v>2799.0</v>
      </c>
      <c r="I942" s="2">
        <v>7811.0</v>
      </c>
      <c r="J942" s="1">
        <v>1982.0</v>
      </c>
      <c r="K942" s="1">
        <v>57.0</v>
      </c>
      <c r="L942" s="1" t="s">
        <v>22</v>
      </c>
      <c r="M942" s="1" t="s">
        <v>3808</v>
      </c>
      <c r="N942" s="1" t="s">
        <v>43</v>
      </c>
      <c r="O942" s="1" t="s">
        <v>25</v>
      </c>
      <c r="P942" s="1" t="s">
        <v>3809</v>
      </c>
    </row>
    <row r="943" ht="14.25" customHeight="1">
      <c r="A943" s="1" t="s">
        <v>3810</v>
      </c>
      <c r="B943" s="1" t="s">
        <v>3811</v>
      </c>
      <c r="C943" s="1" t="s">
        <v>76</v>
      </c>
      <c r="D943" s="1">
        <v>66809.0</v>
      </c>
      <c r="E943" s="1" t="s">
        <v>40</v>
      </c>
      <c r="F943" s="1" t="s">
        <v>61</v>
      </c>
      <c r="G943" s="1" t="s">
        <v>31</v>
      </c>
      <c r="H943" s="2">
        <v>1323.0</v>
      </c>
      <c r="I943" s="2">
        <v>4978.0</v>
      </c>
      <c r="J943" s="1">
        <v>1966.0</v>
      </c>
      <c r="K943" s="1">
        <v>108.0</v>
      </c>
      <c r="L943" s="1" t="s">
        <v>22</v>
      </c>
      <c r="M943" s="1" t="s">
        <v>3812</v>
      </c>
      <c r="N943" s="1" t="s">
        <v>64</v>
      </c>
      <c r="O943" s="1" t="s">
        <v>25</v>
      </c>
      <c r="P943" s="1" t="s">
        <v>3813</v>
      </c>
    </row>
    <row r="944" ht="14.25" customHeight="1">
      <c r="A944" s="1" t="s">
        <v>3814</v>
      </c>
      <c r="B944" s="1" t="s">
        <v>3815</v>
      </c>
      <c r="C944" s="1" t="s">
        <v>39</v>
      </c>
      <c r="D944" s="1">
        <v>33151.0</v>
      </c>
      <c r="E944" s="1" t="s">
        <v>77</v>
      </c>
      <c r="F944" s="1" t="s">
        <v>94</v>
      </c>
      <c r="G944" s="1" t="s">
        <v>21</v>
      </c>
      <c r="H944" s="2">
        <v>1437.0</v>
      </c>
      <c r="I944" s="2">
        <v>3459.0</v>
      </c>
      <c r="J944" s="1">
        <v>1955.0</v>
      </c>
      <c r="K944" s="1">
        <v>55.0</v>
      </c>
      <c r="L944" s="1" t="s">
        <v>22</v>
      </c>
      <c r="M944" s="1" t="s">
        <v>3816</v>
      </c>
      <c r="N944" s="1" t="s">
        <v>43</v>
      </c>
      <c r="O944" s="1" t="s">
        <v>35</v>
      </c>
      <c r="P944" s="1" t="s">
        <v>3817</v>
      </c>
    </row>
    <row r="945" ht="14.25" customHeight="1">
      <c r="A945" s="1" t="s">
        <v>3818</v>
      </c>
      <c r="B945" s="1" t="s">
        <v>3819</v>
      </c>
      <c r="C945" s="1" t="s">
        <v>18</v>
      </c>
      <c r="D945" s="1">
        <v>73609.0</v>
      </c>
      <c r="E945" s="1" t="s">
        <v>30</v>
      </c>
      <c r="F945" s="1" t="s">
        <v>20</v>
      </c>
      <c r="G945" s="1" t="s">
        <v>31</v>
      </c>
      <c r="H945" s="2">
        <v>2352.0</v>
      </c>
      <c r="I945" s="2">
        <v>3608.0</v>
      </c>
      <c r="J945" s="1">
        <v>1978.0</v>
      </c>
      <c r="K945" s="1">
        <v>102.0</v>
      </c>
      <c r="L945" s="1" t="s">
        <v>141</v>
      </c>
      <c r="M945" s="1" t="s">
        <v>3820</v>
      </c>
      <c r="N945" s="1" t="s">
        <v>43</v>
      </c>
      <c r="O945" s="1" t="s">
        <v>35</v>
      </c>
      <c r="P945" s="1" t="s">
        <v>3821</v>
      </c>
    </row>
    <row r="946" ht="14.25" customHeight="1">
      <c r="A946" s="1" t="s">
        <v>3822</v>
      </c>
      <c r="B946" s="1" t="s">
        <v>3823</v>
      </c>
      <c r="C946" s="1" t="s">
        <v>76</v>
      </c>
      <c r="D946" s="1">
        <v>60168.0</v>
      </c>
      <c r="E946" s="1" t="s">
        <v>30</v>
      </c>
      <c r="F946" s="1" t="s">
        <v>46</v>
      </c>
      <c r="G946" s="1" t="s">
        <v>21</v>
      </c>
      <c r="H946" s="2">
        <v>3736.0</v>
      </c>
      <c r="I946" s="2">
        <v>5382.0</v>
      </c>
      <c r="J946" s="1">
        <v>2007.0</v>
      </c>
      <c r="K946" s="1">
        <v>57.0</v>
      </c>
      <c r="L946" s="1" t="s">
        <v>32</v>
      </c>
      <c r="M946" s="1" t="s">
        <v>3824</v>
      </c>
      <c r="N946" s="1" t="s">
        <v>48</v>
      </c>
      <c r="O946" s="1" t="s">
        <v>35</v>
      </c>
      <c r="P946" s="1" t="s">
        <v>3825</v>
      </c>
    </row>
    <row r="947" ht="14.25" customHeight="1">
      <c r="A947" s="1" t="s">
        <v>3826</v>
      </c>
      <c r="B947" s="1" t="s">
        <v>3827</v>
      </c>
      <c r="C947" s="1" t="s">
        <v>53</v>
      </c>
      <c r="D947" s="1">
        <v>61336.0</v>
      </c>
      <c r="E947" s="1" t="s">
        <v>77</v>
      </c>
      <c r="F947" s="1" t="s">
        <v>41</v>
      </c>
      <c r="G947" s="1" t="s">
        <v>55</v>
      </c>
      <c r="H947" s="2">
        <v>3776.0</v>
      </c>
      <c r="I947" s="2">
        <v>8176.0</v>
      </c>
      <c r="J947" s="1">
        <v>2018.0</v>
      </c>
      <c r="K947" s="1">
        <v>100.0</v>
      </c>
      <c r="L947" s="1" t="s">
        <v>62</v>
      </c>
      <c r="M947" s="1" t="s">
        <v>3828</v>
      </c>
      <c r="N947" s="1" t="s">
        <v>48</v>
      </c>
      <c r="O947" s="1" t="s">
        <v>35</v>
      </c>
      <c r="P947" s="1" t="s">
        <v>3829</v>
      </c>
    </row>
    <row r="948" ht="14.25" customHeight="1">
      <c r="A948" s="1" t="s">
        <v>3830</v>
      </c>
      <c r="B948" s="1" t="s">
        <v>3831</v>
      </c>
      <c r="C948" s="1" t="s">
        <v>76</v>
      </c>
      <c r="D948" s="1">
        <v>39601.0</v>
      </c>
      <c r="E948" s="1" t="s">
        <v>19</v>
      </c>
      <c r="F948" s="1" t="s">
        <v>41</v>
      </c>
      <c r="G948" s="1" t="s">
        <v>21</v>
      </c>
      <c r="H948" s="2">
        <v>2500.0</v>
      </c>
      <c r="I948" s="2">
        <v>7280.0</v>
      </c>
      <c r="J948" s="1">
        <v>2021.0</v>
      </c>
      <c r="K948" s="1">
        <v>90.0</v>
      </c>
      <c r="L948" s="1" t="s">
        <v>62</v>
      </c>
      <c r="M948" s="1" t="s">
        <v>3832</v>
      </c>
      <c r="N948" s="1" t="s">
        <v>43</v>
      </c>
      <c r="O948" s="1" t="s">
        <v>49</v>
      </c>
      <c r="P948" s="1" t="s">
        <v>3833</v>
      </c>
    </row>
    <row r="949" ht="14.25" customHeight="1">
      <c r="A949" s="1" t="s">
        <v>3834</v>
      </c>
      <c r="B949" s="1" t="s">
        <v>3835</v>
      </c>
      <c r="C949" s="1" t="s">
        <v>29</v>
      </c>
      <c r="D949" s="1">
        <v>48991.0</v>
      </c>
      <c r="E949" s="1" t="s">
        <v>40</v>
      </c>
      <c r="F949" s="1" t="s">
        <v>61</v>
      </c>
      <c r="G949" s="1" t="s">
        <v>21</v>
      </c>
      <c r="H949" s="2">
        <v>1213.0</v>
      </c>
      <c r="I949" s="2">
        <v>9786.0</v>
      </c>
      <c r="J949" s="1">
        <v>1951.0</v>
      </c>
      <c r="K949" s="1">
        <v>48.0</v>
      </c>
      <c r="L949" s="1" t="s">
        <v>141</v>
      </c>
      <c r="M949" s="1" t="s">
        <v>3836</v>
      </c>
      <c r="N949" s="1" t="s">
        <v>34</v>
      </c>
      <c r="O949" s="1" t="s">
        <v>49</v>
      </c>
      <c r="P949" s="1" t="s">
        <v>3837</v>
      </c>
    </row>
    <row r="950" ht="14.25" customHeight="1">
      <c r="A950" s="1" t="s">
        <v>3838</v>
      </c>
      <c r="B950" s="1" t="s">
        <v>3839</v>
      </c>
      <c r="C950" s="1" t="s">
        <v>39</v>
      </c>
      <c r="D950" s="1">
        <v>37559.0</v>
      </c>
      <c r="E950" s="1" t="s">
        <v>77</v>
      </c>
      <c r="F950" s="1" t="s">
        <v>54</v>
      </c>
      <c r="G950" s="1" t="s">
        <v>31</v>
      </c>
      <c r="H950" s="2">
        <v>2487.0</v>
      </c>
      <c r="I950" s="2">
        <v>9439.0</v>
      </c>
      <c r="J950" s="1">
        <v>2013.0</v>
      </c>
      <c r="K950" s="1">
        <v>27.0</v>
      </c>
      <c r="L950" s="1" t="s">
        <v>62</v>
      </c>
      <c r="M950" s="1" t="s">
        <v>3840</v>
      </c>
      <c r="N950" s="1" t="s">
        <v>48</v>
      </c>
      <c r="O950" s="1" t="s">
        <v>25</v>
      </c>
      <c r="P950" s="1" t="s">
        <v>3841</v>
      </c>
    </row>
    <row r="951" ht="14.25" customHeight="1">
      <c r="A951" s="1" t="s">
        <v>3842</v>
      </c>
      <c r="B951" s="1" t="s">
        <v>3843</v>
      </c>
      <c r="C951" s="1" t="s">
        <v>53</v>
      </c>
      <c r="D951" s="1">
        <v>38914.0</v>
      </c>
      <c r="E951" s="1" t="s">
        <v>19</v>
      </c>
      <c r="F951" s="1" t="s">
        <v>46</v>
      </c>
      <c r="G951" s="1" t="s">
        <v>55</v>
      </c>
      <c r="H951" s="2">
        <v>834.0</v>
      </c>
      <c r="I951" s="2">
        <v>3839.0</v>
      </c>
      <c r="J951" s="1">
        <v>1959.0</v>
      </c>
      <c r="K951" s="1">
        <v>28.0</v>
      </c>
      <c r="L951" s="1" t="s">
        <v>22</v>
      </c>
      <c r="M951" s="1" t="s">
        <v>3844</v>
      </c>
      <c r="N951" s="1" t="s">
        <v>64</v>
      </c>
      <c r="O951" s="1" t="s">
        <v>35</v>
      </c>
      <c r="P951" s="1" t="s">
        <v>3845</v>
      </c>
    </row>
    <row r="952" ht="14.25" customHeight="1">
      <c r="A952" s="1" t="s">
        <v>3846</v>
      </c>
      <c r="B952" s="1" t="s">
        <v>3847</v>
      </c>
      <c r="C952" s="1" t="s">
        <v>53</v>
      </c>
      <c r="D952" s="1">
        <v>77726.0</v>
      </c>
      <c r="E952" s="1" t="s">
        <v>40</v>
      </c>
      <c r="F952" s="1" t="s">
        <v>94</v>
      </c>
      <c r="G952" s="1" t="s">
        <v>31</v>
      </c>
      <c r="H952" s="2">
        <v>983.0</v>
      </c>
      <c r="I952" s="2">
        <v>9401.0</v>
      </c>
      <c r="J952" s="1">
        <v>1998.0</v>
      </c>
      <c r="K952" s="1">
        <v>3.0</v>
      </c>
      <c r="L952" s="1" t="s">
        <v>95</v>
      </c>
      <c r="M952" s="1" t="s">
        <v>3848</v>
      </c>
      <c r="N952" s="1" t="s">
        <v>24</v>
      </c>
      <c r="O952" s="1" t="s">
        <v>25</v>
      </c>
      <c r="P952" s="1" t="s">
        <v>3849</v>
      </c>
    </row>
    <row r="953" ht="14.25" customHeight="1">
      <c r="A953" s="1" t="s">
        <v>3850</v>
      </c>
      <c r="B953" s="1" t="s">
        <v>3851</v>
      </c>
      <c r="C953" s="1" t="s">
        <v>76</v>
      </c>
      <c r="D953" s="1">
        <v>98081.0</v>
      </c>
      <c r="E953" s="1" t="s">
        <v>40</v>
      </c>
      <c r="F953" s="1" t="s">
        <v>20</v>
      </c>
      <c r="G953" s="1" t="s">
        <v>21</v>
      </c>
      <c r="H953" s="2">
        <v>2685.0</v>
      </c>
      <c r="I953" s="2">
        <v>1181.0</v>
      </c>
      <c r="J953" s="1">
        <v>1955.0</v>
      </c>
      <c r="K953" s="1">
        <v>73.0</v>
      </c>
      <c r="L953" s="1" t="s">
        <v>95</v>
      </c>
      <c r="M953" s="1" t="s">
        <v>3852</v>
      </c>
      <c r="N953" s="1" t="s">
        <v>48</v>
      </c>
      <c r="O953" s="1" t="s">
        <v>35</v>
      </c>
      <c r="P953" s="1" t="s">
        <v>3853</v>
      </c>
    </row>
    <row r="954" ht="14.25" customHeight="1">
      <c r="A954" s="1" t="s">
        <v>3854</v>
      </c>
      <c r="B954" s="1" t="s">
        <v>3855</v>
      </c>
      <c r="C954" s="1" t="s">
        <v>76</v>
      </c>
      <c r="D954" s="1">
        <v>90885.0</v>
      </c>
      <c r="E954" s="1" t="s">
        <v>19</v>
      </c>
      <c r="F954" s="1" t="s">
        <v>20</v>
      </c>
      <c r="G954" s="1" t="s">
        <v>55</v>
      </c>
      <c r="H954" s="2">
        <v>1984.0</v>
      </c>
      <c r="I954" s="2">
        <v>2398.0</v>
      </c>
      <c r="J954" s="1">
        <v>1983.0</v>
      </c>
      <c r="K954" s="1">
        <v>7.0</v>
      </c>
      <c r="L954" s="1" t="s">
        <v>141</v>
      </c>
      <c r="M954" s="1" t="s">
        <v>3856</v>
      </c>
      <c r="N954" s="1" t="s">
        <v>24</v>
      </c>
      <c r="O954" s="1" t="s">
        <v>35</v>
      </c>
      <c r="P954" s="1" t="s">
        <v>3857</v>
      </c>
    </row>
    <row r="955" ht="14.25" customHeight="1">
      <c r="A955" s="1" t="s">
        <v>3858</v>
      </c>
      <c r="B955" s="1" t="s">
        <v>3859</v>
      </c>
      <c r="C955" s="1" t="s">
        <v>39</v>
      </c>
      <c r="D955" s="1">
        <v>74884.0</v>
      </c>
      <c r="E955" s="1" t="s">
        <v>19</v>
      </c>
      <c r="F955" s="1" t="s">
        <v>61</v>
      </c>
      <c r="G955" s="1" t="s">
        <v>21</v>
      </c>
      <c r="H955" s="2">
        <v>2761.0</v>
      </c>
      <c r="I955" s="2">
        <v>7538.0</v>
      </c>
      <c r="J955" s="1">
        <v>1972.0</v>
      </c>
      <c r="K955" s="1">
        <v>46.0</v>
      </c>
      <c r="L955" s="1" t="s">
        <v>22</v>
      </c>
      <c r="M955" s="1" t="s">
        <v>3860</v>
      </c>
      <c r="N955" s="1" t="s">
        <v>48</v>
      </c>
      <c r="O955" s="1" t="s">
        <v>35</v>
      </c>
      <c r="P955" s="1" t="s">
        <v>3861</v>
      </c>
    </row>
    <row r="956" ht="14.25" customHeight="1">
      <c r="A956" s="1" t="s">
        <v>3862</v>
      </c>
      <c r="B956" s="1" t="s">
        <v>3863</v>
      </c>
      <c r="C956" s="1" t="s">
        <v>29</v>
      </c>
      <c r="D956" s="1">
        <v>50573.0</v>
      </c>
      <c r="E956" s="1" t="s">
        <v>77</v>
      </c>
      <c r="F956" s="1" t="s">
        <v>41</v>
      </c>
      <c r="G956" s="1" t="s">
        <v>21</v>
      </c>
      <c r="H956" s="2">
        <v>3040.0</v>
      </c>
      <c r="I956" s="2">
        <v>4778.0</v>
      </c>
      <c r="J956" s="1">
        <v>1987.0</v>
      </c>
      <c r="K956" s="1">
        <v>2.0</v>
      </c>
      <c r="L956" s="1" t="s">
        <v>141</v>
      </c>
      <c r="M956" s="1" t="s">
        <v>3864</v>
      </c>
      <c r="N956" s="1" t="s">
        <v>48</v>
      </c>
      <c r="O956" s="1" t="s">
        <v>35</v>
      </c>
      <c r="P956" s="1" t="s">
        <v>3865</v>
      </c>
    </row>
    <row r="957" ht="14.25" customHeight="1">
      <c r="A957" s="1" t="s">
        <v>3866</v>
      </c>
      <c r="B957" s="1" t="s">
        <v>3867</v>
      </c>
      <c r="C957" s="1" t="s">
        <v>29</v>
      </c>
      <c r="D957" s="1">
        <v>83560.0</v>
      </c>
      <c r="E957" s="1" t="s">
        <v>30</v>
      </c>
      <c r="F957" s="1" t="s">
        <v>41</v>
      </c>
      <c r="G957" s="1" t="s">
        <v>55</v>
      </c>
      <c r="H957" s="2">
        <v>1808.0</v>
      </c>
      <c r="I957" s="2">
        <v>2762.0</v>
      </c>
      <c r="J957" s="1">
        <v>2023.0</v>
      </c>
      <c r="K957" s="1">
        <v>80.0</v>
      </c>
      <c r="L957" s="1" t="s">
        <v>62</v>
      </c>
      <c r="M957" s="1" t="s">
        <v>3868</v>
      </c>
      <c r="N957" s="1" t="s">
        <v>64</v>
      </c>
      <c r="O957" s="1" t="s">
        <v>35</v>
      </c>
      <c r="P957" s="1" t="s">
        <v>3869</v>
      </c>
    </row>
    <row r="958" ht="14.25" customHeight="1">
      <c r="A958" s="1" t="s">
        <v>3870</v>
      </c>
      <c r="B958" s="1" t="s">
        <v>3871</v>
      </c>
      <c r="C958" s="1" t="s">
        <v>29</v>
      </c>
      <c r="D958" s="1">
        <v>14760.0</v>
      </c>
      <c r="E958" s="1" t="s">
        <v>30</v>
      </c>
      <c r="F958" s="1" t="s">
        <v>54</v>
      </c>
      <c r="G958" s="1" t="s">
        <v>100</v>
      </c>
      <c r="H958" s="2">
        <v>1409.0</v>
      </c>
      <c r="I958" s="2">
        <v>6433.0</v>
      </c>
      <c r="J958" s="1">
        <v>1959.0</v>
      </c>
      <c r="K958" s="1">
        <v>119.0</v>
      </c>
      <c r="L958" s="1" t="s">
        <v>95</v>
      </c>
      <c r="M958" s="1" t="s">
        <v>3872</v>
      </c>
      <c r="N958" s="1" t="s">
        <v>43</v>
      </c>
      <c r="O958" s="1" t="s">
        <v>49</v>
      </c>
      <c r="P958" s="1" t="s">
        <v>3873</v>
      </c>
    </row>
    <row r="959" ht="14.25" customHeight="1">
      <c r="A959" s="1" t="s">
        <v>3874</v>
      </c>
      <c r="B959" s="1" t="s">
        <v>3875</v>
      </c>
      <c r="C959" s="1" t="s">
        <v>39</v>
      </c>
      <c r="D959" s="1">
        <v>48361.0</v>
      </c>
      <c r="E959" s="1" t="s">
        <v>19</v>
      </c>
      <c r="F959" s="1" t="s">
        <v>46</v>
      </c>
      <c r="G959" s="1" t="s">
        <v>55</v>
      </c>
      <c r="H959" s="2">
        <v>2442.0</v>
      </c>
      <c r="I959" s="2">
        <v>9869.0</v>
      </c>
      <c r="J959" s="1">
        <v>1994.0</v>
      </c>
      <c r="K959" s="1">
        <v>18.0</v>
      </c>
      <c r="L959" s="1" t="s">
        <v>62</v>
      </c>
      <c r="M959" s="1" t="s">
        <v>3876</v>
      </c>
      <c r="N959" s="1" t="s">
        <v>34</v>
      </c>
      <c r="O959" s="1" t="s">
        <v>49</v>
      </c>
      <c r="P959" s="1" t="s">
        <v>3877</v>
      </c>
    </row>
    <row r="960" ht="14.25" customHeight="1">
      <c r="A960" s="1" t="s">
        <v>3878</v>
      </c>
      <c r="B960" s="1" t="s">
        <v>3879</v>
      </c>
      <c r="C960" s="1" t="s">
        <v>76</v>
      </c>
      <c r="D960" s="1">
        <v>91508.0</v>
      </c>
      <c r="E960" s="1" t="s">
        <v>40</v>
      </c>
      <c r="F960" s="1" t="s">
        <v>61</v>
      </c>
      <c r="G960" s="1" t="s">
        <v>31</v>
      </c>
      <c r="H960" s="2">
        <v>2236.0</v>
      </c>
      <c r="I960" s="2">
        <v>7873.0</v>
      </c>
      <c r="J960" s="1">
        <v>1994.0</v>
      </c>
      <c r="K960" s="1">
        <v>5.0</v>
      </c>
      <c r="L960" s="1" t="s">
        <v>141</v>
      </c>
      <c r="M960" s="1" t="s">
        <v>3880</v>
      </c>
      <c r="N960" s="1" t="s">
        <v>48</v>
      </c>
      <c r="O960" s="1" t="s">
        <v>35</v>
      </c>
      <c r="P960" s="1" t="s">
        <v>3881</v>
      </c>
    </row>
    <row r="961" ht="14.25" customHeight="1">
      <c r="A961" s="1" t="s">
        <v>3882</v>
      </c>
      <c r="B961" s="1" t="s">
        <v>3883</v>
      </c>
      <c r="C961" s="1" t="s">
        <v>53</v>
      </c>
      <c r="D961" s="1">
        <v>86267.0</v>
      </c>
      <c r="E961" s="1" t="s">
        <v>19</v>
      </c>
      <c r="F961" s="1" t="s">
        <v>20</v>
      </c>
      <c r="G961" s="1" t="s">
        <v>55</v>
      </c>
      <c r="H961" s="2">
        <v>1320.0</v>
      </c>
      <c r="I961" s="2">
        <v>8708.0</v>
      </c>
      <c r="J961" s="1">
        <v>1956.0</v>
      </c>
      <c r="K961" s="1">
        <v>31.0</v>
      </c>
      <c r="L961" s="1" t="s">
        <v>141</v>
      </c>
      <c r="M961" s="1" t="s">
        <v>3884</v>
      </c>
      <c r="N961" s="1" t="s">
        <v>64</v>
      </c>
      <c r="O961" s="1" t="s">
        <v>25</v>
      </c>
      <c r="P961" s="1" t="s">
        <v>3885</v>
      </c>
    </row>
    <row r="962" ht="14.25" customHeight="1">
      <c r="A962" s="1" t="s">
        <v>3886</v>
      </c>
      <c r="B962" s="1" t="s">
        <v>3887</v>
      </c>
      <c r="C962" s="1" t="s">
        <v>18</v>
      </c>
      <c r="D962" s="1">
        <v>68218.0</v>
      </c>
      <c r="E962" s="1" t="s">
        <v>77</v>
      </c>
      <c r="F962" s="1" t="s">
        <v>20</v>
      </c>
      <c r="G962" s="1" t="s">
        <v>100</v>
      </c>
      <c r="H962" s="2">
        <v>2720.0</v>
      </c>
      <c r="I962" s="2">
        <v>1777.0</v>
      </c>
      <c r="J962" s="1">
        <v>2003.0</v>
      </c>
      <c r="K962" s="1">
        <v>101.0</v>
      </c>
      <c r="L962" s="1" t="s">
        <v>32</v>
      </c>
      <c r="M962" s="1" t="s">
        <v>3888</v>
      </c>
      <c r="N962" s="1" t="s">
        <v>64</v>
      </c>
      <c r="O962" s="1" t="s">
        <v>35</v>
      </c>
      <c r="P962" s="1" t="s">
        <v>3889</v>
      </c>
    </row>
    <row r="963" ht="14.25" customHeight="1">
      <c r="A963" s="1" t="s">
        <v>3890</v>
      </c>
      <c r="B963" s="1" t="s">
        <v>3891</v>
      </c>
      <c r="C963" s="1" t="s">
        <v>18</v>
      </c>
      <c r="D963" s="1">
        <v>89720.0</v>
      </c>
      <c r="E963" s="1" t="s">
        <v>40</v>
      </c>
      <c r="F963" s="1" t="s">
        <v>46</v>
      </c>
      <c r="G963" s="1" t="s">
        <v>21</v>
      </c>
      <c r="H963" s="2">
        <v>2660.0</v>
      </c>
      <c r="I963" s="2">
        <v>3105.0</v>
      </c>
      <c r="J963" s="1">
        <v>2002.0</v>
      </c>
      <c r="K963" s="1">
        <v>48.0</v>
      </c>
      <c r="L963" s="1" t="s">
        <v>22</v>
      </c>
      <c r="M963" s="1" t="s">
        <v>3892</v>
      </c>
      <c r="N963" s="1" t="s">
        <v>64</v>
      </c>
      <c r="O963" s="1" t="s">
        <v>49</v>
      </c>
      <c r="P963" s="1" t="s">
        <v>3893</v>
      </c>
    </row>
    <row r="964" ht="14.25" customHeight="1">
      <c r="A964" s="1" t="s">
        <v>3894</v>
      </c>
      <c r="B964" s="1" t="s">
        <v>3895</v>
      </c>
      <c r="C964" s="1" t="s">
        <v>39</v>
      </c>
      <c r="D964" s="1">
        <v>29123.0</v>
      </c>
      <c r="E964" s="1" t="s">
        <v>77</v>
      </c>
      <c r="F964" s="1" t="s">
        <v>41</v>
      </c>
      <c r="G964" s="1" t="s">
        <v>55</v>
      </c>
      <c r="H964" s="2">
        <v>1087.0</v>
      </c>
      <c r="I964" s="2">
        <v>6914.0</v>
      </c>
      <c r="J964" s="1">
        <v>1953.0</v>
      </c>
      <c r="K964" s="1">
        <v>40.0</v>
      </c>
      <c r="L964" s="1" t="s">
        <v>141</v>
      </c>
      <c r="M964" s="1" t="s">
        <v>3896</v>
      </c>
      <c r="N964" s="1" t="s">
        <v>64</v>
      </c>
      <c r="O964" s="1" t="s">
        <v>25</v>
      </c>
      <c r="P964" s="1" t="s">
        <v>3897</v>
      </c>
    </row>
    <row r="965" ht="14.25" customHeight="1">
      <c r="A965" s="1" t="s">
        <v>3898</v>
      </c>
      <c r="B965" s="1" t="s">
        <v>3899</v>
      </c>
      <c r="C965" s="1" t="s">
        <v>29</v>
      </c>
      <c r="D965" s="1">
        <v>64765.0</v>
      </c>
      <c r="E965" s="1" t="s">
        <v>30</v>
      </c>
      <c r="F965" s="1" t="s">
        <v>41</v>
      </c>
      <c r="G965" s="1" t="s">
        <v>55</v>
      </c>
      <c r="H965" s="2">
        <v>2824.0</v>
      </c>
      <c r="I965" s="2">
        <v>5114.0</v>
      </c>
      <c r="J965" s="1">
        <v>1988.0</v>
      </c>
      <c r="K965" s="1">
        <v>42.0</v>
      </c>
      <c r="L965" s="1" t="s">
        <v>22</v>
      </c>
      <c r="M965" s="1" t="s">
        <v>3900</v>
      </c>
      <c r="N965" s="1" t="s">
        <v>24</v>
      </c>
      <c r="O965" s="1" t="s">
        <v>25</v>
      </c>
      <c r="P965" s="1" t="s">
        <v>3901</v>
      </c>
    </row>
    <row r="966" ht="14.25" customHeight="1">
      <c r="A966" s="1" t="s">
        <v>3902</v>
      </c>
      <c r="B966" s="1" t="s">
        <v>3903</v>
      </c>
      <c r="C966" s="1" t="s">
        <v>29</v>
      </c>
      <c r="D966" s="1">
        <v>97242.0</v>
      </c>
      <c r="E966" s="1" t="s">
        <v>77</v>
      </c>
      <c r="F966" s="1" t="s">
        <v>94</v>
      </c>
      <c r="G966" s="1" t="s">
        <v>31</v>
      </c>
      <c r="H966" s="2">
        <v>3390.0</v>
      </c>
      <c r="I966" s="2">
        <v>2425.0</v>
      </c>
      <c r="J966" s="1">
        <v>2008.0</v>
      </c>
      <c r="K966" s="1">
        <v>4.0</v>
      </c>
      <c r="L966" s="1" t="s">
        <v>141</v>
      </c>
      <c r="M966" s="1" t="s">
        <v>3904</v>
      </c>
      <c r="N966" s="1" t="s">
        <v>34</v>
      </c>
      <c r="O966" s="1" t="s">
        <v>25</v>
      </c>
      <c r="P966" s="1" t="s">
        <v>3905</v>
      </c>
    </row>
    <row r="967" ht="14.25" customHeight="1">
      <c r="A967" s="1" t="s">
        <v>3906</v>
      </c>
      <c r="B967" s="1" t="s">
        <v>3907</v>
      </c>
      <c r="C967" s="1" t="s">
        <v>18</v>
      </c>
      <c r="D967" s="1">
        <v>92096.0</v>
      </c>
      <c r="E967" s="1" t="s">
        <v>30</v>
      </c>
      <c r="F967" s="1" t="s">
        <v>54</v>
      </c>
      <c r="G967" s="1" t="s">
        <v>21</v>
      </c>
      <c r="H967" s="2">
        <v>1358.0</v>
      </c>
      <c r="I967" s="2">
        <v>5525.0</v>
      </c>
      <c r="J967" s="1">
        <v>2019.0</v>
      </c>
      <c r="K967" s="1">
        <v>19.0</v>
      </c>
      <c r="L967" s="1" t="s">
        <v>95</v>
      </c>
      <c r="M967" s="1" t="s">
        <v>3908</v>
      </c>
      <c r="N967" s="1" t="s">
        <v>34</v>
      </c>
      <c r="O967" s="1" t="s">
        <v>25</v>
      </c>
      <c r="P967" s="1" t="s">
        <v>3909</v>
      </c>
    </row>
    <row r="968" ht="14.25" customHeight="1">
      <c r="A968" s="1" t="s">
        <v>3910</v>
      </c>
      <c r="B968" s="1" t="s">
        <v>3911</v>
      </c>
      <c r="C968" s="1" t="s">
        <v>18</v>
      </c>
      <c r="D968" s="1">
        <v>79289.0</v>
      </c>
      <c r="E968" s="1" t="s">
        <v>19</v>
      </c>
      <c r="F968" s="1" t="s">
        <v>54</v>
      </c>
      <c r="G968" s="1" t="s">
        <v>55</v>
      </c>
      <c r="H968" s="2">
        <v>2168.0</v>
      </c>
      <c r="I968" s="2">
        <v>2019.0</v>
      </c>
      <c r="J968" s="1">
        <v>1958.0</v>
      </c>
      <c r="K968" s="1">
        <v>91.0</v>
      </c>
      <c r="L968" s="1" t="s">
        <v>22</v>
      </c>
      <c r="M968" s="1" t="s">
        <v>3912</v>
      </c>
      <c r="N968" s="1" t="s">
        <v>24</v>
      </c>
      <c r="O968" s="1" t="s">
        <v>35</v>
      </c>
      <c r="P968" s="1" t="s">
        <v>3913</v>
      </c>
    </row>
    <row r="969" ht="14.25" customHeight="1">
      <c r="A969" s="1" t="s">
        <v>3914</v>
      </c>
      <c r="B969" s="1" t="s">
        <v>3915</v>
      </c>
      <c r="C969" s="1" t="s">
        <v>53</v>
      </c>
      <c r="D969" s="1">
        <v>28489.0</v>
      </c>
      <c r="E969" s="1" t="s">
        <v>60</v>
      </c>
      <c r="F969" s="1" t="s">
        <v>61</v>
      </c>
      <c r="G969" s="1" t="s">
        <v>31</v>
      </c>
      <c r="H969" s="2">
        <v>740.0</v>
      </c>
      <c r="I969" s="2">
        <v>7577.0</v>
      </c>
      <c r="J969" s="1">
        <v>1969.0</v>
      </c>
      <c r="K969" s="1">
        <v>63.0</v>
      </c>
      <c r="L969" s="1" t="s">
        <v>62</v>
      </c>
      <c r="M969" s="1" t="s">
        <v>3916</v>
      </c>
      <c r="N969" s="1" t="s">
        <v>48</v>
      </c>
      <c r="O969" s="1" t="s">
        <v>49</v>
      </c>
      <c r="P969" s="1" t="s">
        <v>3917</v>
      </c>
    </row>
    <row r="970" ht="14.25" customHeight="1">
      <c r="A970" s="1" t="s">
        <v>3918</v>
      </c>
      <c r="B970" s="1" t="s">
        <v>3919</v>
      </c>
      <c r="C970" s="1" t="s">
        <v>76</v>
      </c>
      <c r="D970" s="1">
        <v>73849.0</v>
      </c>
      <c r="E970" s="1" t="s">
        <v>60</v>
      </c>
      <c r="F970" s="1" t="s">
        <v>41</v>
      </c>
      <c r="G970" s="1" t="s">
        <v>31</v>
      </c>
      <c r="H970" s="2">
        <v>1382.0</v>
      </c>
      <c r="I970" s="2">
        <v>1046.0</v>
      </c>
      <c r="J970" s="1">
        <v>1974.0</v>
      </c>
      <c r="K970" s="1">
        <v>72.0</v>
      </c>
      <c r="L970" s="1" t="s">
        <v>62</v>
      </c>
      <c r="M970" s="1" t="s">
        <v>3920</v>
      </c>
      <c r="N970" s="1" t="s">
        <v>64</v>
      </c>
      <c r="O970" s="1" t="s">
        <v>35</v>
      </c>
      <c r="P970" s="1" t="s">
        <v>3921</v>
      </c>
    </row>
    <row r="971" ht="14.25" customHeight="1">
      <c r="A971" s="1" t="s">
        <v>3922</v>
      </c>
      <c r="B971" s="1" t="s">
        <v>3923</v>
      </c>
      <c r="C971" s="1" t="s">
        <v>76</v>
      </c>
      <c r="D971" s="1">
        <v>95184.0</v>
      </c>
      <c r="E971" s="1" t="s">
        <v>60</v>
      </c>
      <c r="F971" s="1" t="s">
        <v>54</v>
      </c>
      <c r="G971" s="1" t="s">
        <v>55</v>
      </c>
      <c r="H971" s="2">
        <v>2513.0</v>
      </c>
      <c r="I971" s="2">
        <v>7358.0</v>
      </c>
      <c r="J971" s="1">
        <v>1982.0</v>
      </c>
      <c r="K971" s="1">
        <v>68.0</v>
      </c>
      <c r="L971" s="1" t="s">
        <v>141</v>
      </c>
      <c r="M971" s="1" t="s">
        <v>3924</v>
      </c>
      <c r="N971" s="1" t="s">
        <v>43</v>
      </c>
      <c r="O971" s="1" t="s">
        <v>25</v>
      </c>
      <c r="P971" s="1" t="s">
        <v>3925</v>
      </c>
    </row>
    <row r="972" ht="14.25" customHeight="1">
      <c r="A972" s="1" t="s">
        <v>3926</v>
      </c>
      <c r="B972" s="1" t="s">
        <v>3927</v>
      </c>
      <c r="C972" s="1" t="s">
        <v>18</v>
      </c>
      <c r="D972" s="1">
        <v>35467.0</v>
      </c>
      <c r="E972" s="1" t="s">
        <v>40</v>
      </c>
      <c r="F972" s="1" t="s">
        <v>61</v>
      </c>
      <c r="G972" s="1" t="s">
        <v>31</v>
      </c>
      <c r="H972" s="2">
        <v>3417.0</v>
      </c>
      <c r="I972" s="2">
        <v>8797.0</v>
      </c>
      <c r="J972" s="1">
        <v>1976.0</v>
      </c>
      <c r="K972" s="1">
        <v>29.0</v>
      </c>
      <c r="L972" s="1" t="s">
        <v>22</v>
      </c>
      <c r="M972" s="1" t="s">
        <v>3928</v>
      </c>
      <c r="N972" s="1" t="s">
        <v>48</v>
      </c>
      <c r="O972" s="1" t="s">
        <v>25</v>
      </c>
      <c r="P972" s="1" t="s">
        <v>3929</v>
      </c>
    </row>
    <row r="973" ht="14.25" customHeight="1">
      <c r="A973" s="1" t="s">
        <v>3930</v>
      </c>
      <c r="B973" s="1" t="s">
        <v>3931</v>
      </c>
      <c r="C973" s="1" t="s">
        <v>53</v>
      </c>
      <c r="D973" s="1">
        <v>35889.0</v>
      </c>
      <c r="E973" s="1" t="s">
        <v>77</v>
      </c>
      <c r="F973" s="1" t="s">
        <v>46</v>
      </c>
      <c r="G973" s="1" t="s">
        <v>31</v>
      </c>
      <c r="H973" s="2">
        <v>1825.0</v>
      </c>
      <c r="I973" s="2">
        <v>1853.0</v>
      </c>
      <c r="J973" s="1">
        <v>1969.0</v>
      </c>
      <c r="K973" s="1">
        <v>62.0</v>
      </c>
      <c r="L973" s="1" t="s">
        <v>22</v>
      </c>
      <c r="M973" s="1" t="s">
        <v>3932</v>
      </c>
      <c r="N973" s="1" t="s">
        <v>34</v>
      </c>
      <c r="O973" s="1" t="s">
        <v>25</v>
      </c>
      <c r="P973" s="1" t="s">
        <v>3933</v>
      </c>
    </row>
    <row r="974" ht="14.25" customHeight="1">
      <c r="A974" s="1" t="s">
        <v>3934</v>
      </c>
      <c r="B974" s="1" t="s">
        <v>3935</v>
      </c>
      <c r="C974" s="1" t="s">
        <v>29</v>
      </c>
      <c r="D974" s="1">
        <v>34761.0</v>
      </c>
      <c r="E974" s="1" t="s">
        <v>40</v>
      </c>
      <c r="F974" s="1" t="s">
        <v>94</v>
      </c>
      <c r="G974" s="1" t="s">
        <v>21</v>
      </c>
      <c r="H974" s="2">
        <v>1041.0</v>
      </c>
      <c r="I974" s="2">
        <v>1479.0</v>
      </c>
      <c r="J974" s="1">
        <v>2009.0</v>
      </c>
      <c r="K974" s="1">
        <v>29.0</v>
      </c>
      <c r="L974" s="1" t="s">
        <v>95</v>
      </c>
      <c r="M974" s="1" t="s">
        <v>3936</v>
      </c>
      <c r="N974" s="1" t="s">
        <v>48</v>
      </c>
      <c r="O974" s="1" t="s">
        <v>25</v>
      </c>
      <c r="P974" s="1" t="s">
        <v>3937</v>
      </c>
    </row>
    <row r="975" ht="14.25" customHeight="1">
      <c r="A975" s="1" t="s">
        <v>3938</v>
      </c>
      <c r="B975" s="1" t="s">
        <v>3939</v>
      </c>
      <c r="C975" s="1" t="s">
        <v>76</v>
      </c>
      <c r="D975" s="1">
        <v>83659.0</v>
      </c>
      <c r="E975" s="1" t="s">
        <v>60</v>
      </c>
      <c r="F975" s="1" t="s">
        <v>20</v>
      </c>
      <c r="G975" s="1" t="s">
        <v>21</v>
      </c>
      <c r="H975" s="2">
        <v>1199.0</v>
      </c>
      <c r="I975" s="2">
        <v>2333.0</v>
      </c>
      <c r="J975" s="1">
        <v>2000.0</v>
      </c>
      <c r="K975" s="1">
        <v>18.0</v>
      </c>
      <c r="L975" s="1" t="s">
        <v>32</v>
      </c>
      <c r="M975" s="1" t="s">
        <v>3940</v>
      </c>
      <c r="N975" s="1" t="s">
        <v>64</v>
      </c>
      <c r="O975" s="1" t="s">
        <v>35</v>
      </c>
      <c r="P975" s="1" t="s">
        <v>3941</v>
      </c>
    </row>
    <row r="976" ht="14.25" customHeight="1">
      <c r="A976" s="1" t="s">
        <v>3942</v>
      </c>
      <c r="B976" s="1" t="s">
        <v>3943</v>
      </c>
      <c r="C976" s="1" t="s">
        <v>18</v>
      </c>
      <c r="D976" s="1">
        <v>91142.0</v>
      </c>
      <c r="E976" s="1" t="s">
        <v>30</v>
      </c>
      <c r="F976" s="1" t="s">
        <v>46</v>
      </c>
      <c r="G976" s="1" t="s">
        <v>31</v>
      </c>
      <c r="H976" s="2">
        <v>1458.0</v>
      </c>
      <c r="I976" s="2">
        <v>1047.0</v>
      </c>
      <c r="J976" s="1">
        <v>1964.0</v>
      </c>
      <c r="K976" s="1">
        <v>47.0</v>
      </c>
      <c r="L976" s="1" t="s">
        <v>22</v>
      </c>
      <c r="M976" s="1" t="s">
        <v>3944</v>
      </c>
      <c r="N976" s="1" t="s">
        <v>64</v>
      </c>
      <c r="O976" s="1" t="s">
        <v>35</v>
      </c>
      <c r="P976" s="1" t="s">
        <v>3945</v>
      </c>
    </row>
    <row r="977" ht="14.25" customHeight="1">
      <c r="A977" s="1" t="s">
        <v>3946</v>
      </c>
      <c r="B977" s="1" t="s">
        <v>3947</v>
      </c>
      <c r="C977" s="1" t="s">
        <v>39</v>
      </c>
      <c r="D977" s="1">
        <v>20887.0</v>
      </c>
      <c r="E977" s="1" t="s">
        <v>40</v>
      </c>
      <c r="F977" s="1" t="s">
        <v>46</v>
      </c>
      <c r="G977" s="1" t="s">
        <v>55</v>
      </c>
      <c r="H977" s="2">
        <v>2995.0</v>
      </c>
      <c r="I977" s="2">
        <v>2028.0</v>
      </c>
      <c r="J977" s="1">
        <v>2008.0</v>
      </c>
      <c r="K977" s="1">
        <v>102.0</v>
      </c>
      <c r="L977" s="1" t="s">
        <v>32</v>
      </c>
      <c r="M977" s="1" t="s">
        <v>3948</v>
      </c>
      <c r="N977" s="1" t="s">
        <v>43</v>
      </c>
      <c r="O977" s="1" t="s">
        <v>25</v>
      </c>
      <c r="P977" s="1" t="s">
        <v>3949</v>
      </c>
    </row>
    <row r="978" ht="14.25" customHeight="1">
      <c r="A978" s="1" t="s">
        <v>3950</v>
      </c>
      <c r="B978" s="1" t="s">
        <v>3951</v>
      </c>
      <c r="C978" s="1" t="s">
        <v>18</v>
      </c>
      <c r="D978" s="1">
        <v>29137.0</v>
      </c>
      <c r="E978" s="1" t="s">
        <v>30</v>
      </c>
      <c r="F978" s="1" t="s">
        <v>41</v>
      </c>
      <c r="G978" s="1" t="s">
        <v>100</v>
      </c>
      <c r="H978" s="2">
        <v>1020.0</v>
      </c>
      <c r="I978" s="2">
        <v>6331.0</v>
      </c>
      <c r="J978" s="1">
        <v>2020.0</v>
      </c>
      <c r="K978" s="1">
        <v>20.0</v>
      </c>
      <c r="L978" s="1" t="s">
        <v>141</v>
      </c>
      <c r="M978" s="1" t="s">
        <v>3952</v>
      </c>
      <c r="N978" s="1" t="s">
        <v>48</v>
      </c>
      <c r="O978" s="1" t="s">
        <v>49</v>
      </c>
      <c r="P978" s="1" t="s">
        <v>3953</v>
      </c>
    </row>
    <row r="979" ht="14.25" customHeight="1">
      <c r="A979" s="1" t="s">
        <v>3954</v>
      </c>
      <c r="B979" s="1" t="s">
        <v>3955</v>
      </c>
      <c r="C979" s="1" t="s">
        <v>39</v>
      </c>
      <c r="D979" s="1">
        <v>20598.0</v>
      </c>
      <c r="E979" s="1" t="s">
        <v>60</v>
      </c>
      <c r="F979" s="1" t="s">
        <v>20</v>
      </c>
      <c r="G979" s="1" t="s">
        <v>31</v>
      </c>
      <c r="H979" s="2">
        <v>1371.0</v>
      </c>
      <c r="I979" s="2">
        <v>3672.0</v>
      </c>
      <c r="J979" s="1">
        <v>2012.0</v>
      </c>
      <c r="K979" s="1">
        <v>86.0</v>
      </c>
      <c r="L979" s="1" t="s">
        <v>95</v>
      </c>
      <c r="M979" s="1" t="s">
        <v>3956</v>
      </c>
      <c r="N979" s="1" t="s">
        <v>43</v>
      </c>
      <c r="O979" s="1" t="s">
        <v>49</v>
      </c>
      <c r="P979" s="1" t="s">
        <v>3957</v>
      </c>
    </row>
    <row r="980" ht="14.25" customHeight="1">
      <c r="A980" s="1" t="s">
        <v>3958</v>
      </c>
      <c r="B980" s="1" t="s">
        <v>3959</v>
      </c>
      <c r="C980" s="1" t="s">
        <v>39</v>
      </c>
      <c r="D980" s="1">
        <v>34382.0</v>
      </c>
      <c r="E980" s="1" t="s">
        <v>30</v>
      </c>
      <c r="F980" s="1" t="s">
        <v>20</v>
      </c>
      <c r="G980" s="1" t="s">
        <v>31</v>
      </c>
      <c r="H980" s="2">
        <v>968.0</v>
      </c>
      <c r="I980" s="2">
        <v>1465.0</v>
      </c>
      <c r="J980" s="1">
        <v>1985.0</v>
      </c>
      <c r="K980" s="1">
        <v>42.0</v>
      </c>
      <c r="L980" s="1" t="s">
        <v>22</v>
      </c>
      <c r="M980" s="1" t="s">
        <v>3960</v>
      </c>
      <c r="N980" s="1" t="s">
        <v>24</v>
      </c>
      <c r="O980" s="1" t="s">
        <v>35</v>
      </c>
      <c r="P980" s="1" t="s">
        <v>3961</v>
      </c>
    </row>
    <row r="981" ht="14.25" customHeight="1">
      <c r="A981" s="1" t="s">
        <v>3962</v>
      </c>
      <c r="B981" s="1" t="s">
        <v>3963</v>
      </c>
      <c r="C981" s="1" t="s">
        <v>29</v>
      </c>
      <c r="D981" s="1">
        <v>44244.0</v>
      </c>
      <c r="E981" s="1" t="s">
        <v>60</v>
      </c>
      <c r="F981" s="1" t="s">
        <v>41</v>
      </c>
      <c r="G981" s="1" t="s">
        <v>31</v>
      </c>
      <c r="H981" s="2">
        <v>1450.0</v>
      </c>
      <c r="I981" s="2">
        <v>3222.0</v>
      </c>
      <c r="J981" s="1">
        <v>2020.0</v>
      </c>
      <c r="K981" s="1">
        <v>91.0</v>
      </c>
      <c r="L981" s="1" t="s">
        <v>32</v>
      </c>
      <c r="M981" s="1" t="s">
        <v>3964</v>
      </c>
      <c r="N981" s="1" t="s">
        <v>34</v>
      </c>
      <c r="O981" s="1" t="s">
        <v>35</v>
      </c>
      <c r="P981" s="1" t="s">
        <v>3965</v>
      </c>
    </row>
    <row r="982" ht="14.25" customHeight="1">
      <c r="A982" s="1" t="s">
        <v>3966</v>
      </c>
      <c r="B982" s="1" t="s">
        <v>3967</v>
      </c>
      <c r="C982" s="1" t="s">
        <v>29</v>
      </c>
      <c r="D982" s="1">
        <v>14788.0</v>
      </c>
      <c r="E982" s="1" t="s">
        <v>19</v>
      </c>
      <c r="F982" s="1" t="s">
        <v>94</v>
      </c>
      <c r="G982" s="1" t="s">
        <v>55</v>
      </c>
      <c r="H982" s="2">
        <v>2079.0</v>
      </c>
      <c r="I982" s="2">
        <v>1138.0</v>
      </c>
      <c r="J982" s="1">
        <v>2017.0</v>
      </c>
      <c r="K982" s="1">
        <v>110.0</v>
      </c>
      <c r="L982" s="1" t="s">
        <v>141</v>
      </c>
      <c r="M982" s="1" t="s">
        <v>3968</v>
      </c>
      <c r="N982" s="1" t="s">
        <v>64</v>
      </c>
      <c r="O982" s="1" t="s">
        <v>25</v>
      </c>
      <c r="P982" s="1" t="s">
        <v>3969</v>
      </c>
    </row>
    <row r="983" ht="14.25" customHeight="1">
      <c r="A983" s="1" t="s">
        <v>3970</v>
      </c>
      <c r="B983" s="1" t="s">
        <v>3971</v>
      </c>
      <c r="C983" s="1" t="s">
        <v>29</v>
      </c>
      <c r="D983" s="1">
        <v>72173.0</v>
      </c>
      <c r="E983" s="1" t="s">
        <v>40</v>
      </c>
      <c r="F983" s="1" t="s">
        <v>94</v>
      </c>
      <c r="G983" s="1" t="s">
        <v>31</v>
      </c>
      <c r="H983" s="2">
        <v>3119.0</v>
      </c>
      <c r="I983" s="2">
        <v>6742.0</v>
      </c>
      <c r="J983" s="1">
        <v>1969.0</v>
      </c>
      <c r="K983" s="1">
        <v>83.0</v>
      </c>
      <c r="L983" s="1" t="s">
        <v>22</v>
      </c>
      <c r="M983" s="1" t="s">
        <v>3972</v>
      </c>
      <c r="N983" s="1" t="s">
        <v>43</v>
      </c>
      <c r="O983" s="1" t="s">
        <v>25</v>
      </c>
      <c r="P983" s="1" t="s">
        <v>3973</v>
      </c>
    </row>
    <row r="984" ht="14.25" customHeight="1">
      <c r="A984" s="1" t="s">
        <v>3974</v>
      </c>
      <c r="B984" s="1" t="s">
        <v>3975</v>
      </c>
      <c r="C984" s="1" t="s">
        <v>53</v>
      </c>
      <c r="D984" s="1">
        <v>56574.0</v>
      </c>
      <c r="E984" s="1" t="s">
        <v>77</v>
      </c>
      <c r="F984" s="1" t="s">
        <v>41</v>
      </c>
      <c r="G984" s="1" t="s">
        <v>100</v>
      </c>
      <c r="H984" s="2">
        <v>1560.0</v>
      </c>
      <c r="I984" s="2">
        <v>1691.0</v>
      </c>
      <c r="J984" s="1">
        <v>2021.0</v>
      </c>
      <c r="K984" s="1">
        <v>2.0</v>
      </c>
      <c r="L984" s="1" t="s">
        <v>22</v>
      </c>
      <c r="M984" s="1" t="s">
        <v>3976</v>
      </c>
      <c r="N984" s="1" t="s">
        <v>43</v>
      </c>
      <c r="O984" s="1" t="s">
        <v>25</v>
      </c>
      <c r="P984" s="1" t="s">
        <v>3977</v>
      </c>
    </row>
    <row r="985" ht="14.25" customHeight="1">
      <c r="A985" s="1" t="s">
        <v>3978</v>
      </c>
      <c r="B985" s="1" t="s">
        <v>3979</v>
      </c>
      <c r="C985" s="1" t="s">
        <v>76</v>
      </c>
      <c r="D985" s="1">
        <v>88715.0</v>
      </c>
      <c r="E985" s="1" t="s">
        <v>40</v>
      </c>
      <c r="F985" s="1" t="s">
        <v>41</v>
      </c>
      <c r="G985" s="1" t="s">
        <v>100</v>
      </c>
      <c r="H985" s="2">
        <v>1179.0</v>
      </c>
      <c r="I985" s="2">
        <v>8430.0</v>
      </c>
      <c r="J985" s="1">
        <v>1966.0</v>
      </c>
      <c r="K985" s="1">
        <v>43.0</v>
      </c>
      <c r="L985" s="1" t="s">
        <v>141</v>
      </c>
      <c r="M985" s="1" t="s">
        <v>3980</v>
      </c>
      <c r="N985" s="1" t="s">
        <v>24</v>
      </c>
      <c r="O985" s="1" t="s">
        <v>35</v>
      </c>
      <c r="P985" s="1" t="s">
        <v>3981</v>
      </c>
    </row>
    <row r="986" ht="14.25" customHeight="1">
      <c r="A986" s="1" t="s">
        <v>3982</v>
      </c>
      <c r="B986" s="1" t="s">
        <v>3983</v>
      </c>
      <c r="C986" s="1" t="s">
        <v>29</v>
      </c>
      <c r="D986" s="1">
        <v>52199.0</v>
      </c>
      <c r="E986" s="1" t="s">
        <v>77</v>
      </c>
      <c r="F986" s="1" t="s">
        <v>46</v>
      </c>
      <c r="G986" s="1" t="s">
        <v>31</v>
      </c>
      <c r="H986" s="2">
        <v>3079.0</v>
      </c>
      <c r="I986" s="2">
        <v>5512.0</v>
      </c>
      <c r="J986" s="1">
        <v>2004.0</v>
      </c>
      <c r="K986" s="1">
        <v>25.0</v>
      </c>
      <c r="L986" s="1" t="s">
        <v>141</v>
      </c>
      <c r="M986" s="1" t="s">
        <v>3984</v>
      </c>
      <c r="N986" s="1" t="s">
        <v>24</v>
      </c>
      <c r="O986" s="1" t="s">
        <v>25</v>
      </c>
      <c r="P986" s="1" t="s">
        <v>3985</v>
      </c>
    </row>
    <row r="987" ht="14.25" customHeight="1">
      <c r="A987" s="1" t="s">
        <v>3986</v>
      </c>
      <c r="B987" s="1" t="s">
        <v>3987</v>
      </c>
      <c r="C987" s="1" t="s">
        <v>53</v>
      </c>
      <c r="D987" s="1">
        <v>35944.0</v>
      </c>
      <c r="E987" s="1" t="s">
        <v>40</v>
      </c>
      <c r="F987" s="1" t="s">
        <v>94</v>
      </c>
      <c r="G987" s="1" t="s">
        <v>21</v>
      </c>
      <c r="H987" s="2">
        <v>2079.0</v>
      </c>
      <c r="I987" s="2">
        <v>4284.0</v>
      </c>
      <c r="J987" s="1">
        <v>2016.0</v>
      </c>
      <c r="K987" s="1">
        <v>41.0</v>
      </c>
      <c r="L987" s="1" t="s">
        <v>141</v>
      </c>
      <c r="M987" s="1" t="s">
        <v>3988</v>
      </c>
      <c r="N987" s="1" t="s">
        <v>43</v>
      </c>
      <c r="O987" s="1" t="s">
        <v>25</v>
      </c>
      <c r="P987" s="1" t="s">
        <v>3989</v>
      </c>
    </row>
    <row r="988" ht="14.25" customHeight="1">
      <c r="A988" s="1" t="s">
        <v>3990</v>
      </c>
      <c r="B988" s="1" t="s">
        <v>3991</v>
      </c>
      <c r="C988" s="1" t="s">
        <v>18</v>
      </c>
      <c r="D988" s="1">
        <v>55913.0</v>
      </c>
      <c r="E988" s="1" t="s">
        <v>60</v>
      </c>
      <c r="F988" s="1" t="s">
        <v>46</v>
      </c>
      <c r="G988" s="1" t="s">
        <v>21</v>
      </c>
      <c r="H988" s="2">
        <v>794.0</v>
      </c>
      <c r="I988" s="2">
        <v>2136.0</v>
      </c>
      <c r="J988" s="1">
        <v>1964.0</v>
      </c>
      <c r="K988" s="1">
        <v>60.0</v>
      </c>
      <c r="L988" s="1" t="s">
        <v>22</v>
      </c>
      <c r="M988" s="1" t="s">
        <v>3992</v>
      </c>
      <c r="N988" s="1" t="s">
        <v>43</v>
      </c>
      <c r="O988" s="1" t="s">
        <v>49</v>
      </c>
      <c r="P988" s="1" t="s">
        <v>3993</v>
      </c>
    </row>
    <row r="989" ht="14.25" customHeight="1">
      <c r="A989" s="1" t="s">
        <v>3994</v>
      </c>
      <c r="B989" s="1" t="s">
        <v>3995</v>
      </c>
      <c r="C989" s="1" t="s">
        <v>29</v>
      </c>
      <c r="D989" s="1">
        <v>14363.0</v>
      </c>
      <c r="E989" s="1" t="s">
        <v>19</v>
      </c>
      <c r="F989" s="1" t="s">
        <v>41</v>
      </c>
      <c r="G989" s="1" t="s">
        <v>100</v>
      </c>
      <c r="H989" s="2">
        <v>2801.0</v>
      </c>
      <c r="I989" s="2">
        <v>7000.0</v>
      </c>
      <c r="J989" s="1">
        <v>1972.0</v>
      </c>
      <c r="K989" s="1">
        <v>28.0</v>
      </c>
      <c r="L989" s="1" t="s">
        <v>32</v>
      </c>
      <c r="M989" s="1" t="s">
        <v>3996</v>
      </c>
      <c r="N989" s="1" t="s">
        <v>64</v>
      </c>
      <c r="O989" s="1" t="s">
        <v>49</v>
      </c>
      <c r="P989" s="1" t="s">
        <v>3997</v>
      </c>
    </row>
    <row r="990" ht="14.25" customHeight="1">
      <c r="A990" s="1" t="s">
        <v>3998</v>
      </c>
      <c r="B990" s="1" t="s">
        <v>3999</v>
      </c>
      <c r="C990" s="1" t="s">
        <v>76</v>
      </c>
      <c r="D990" s="1">
        <v>88144.0</v>
      </c>
      <c r="E990" s="1" t="s">
        <v>77</v>
      </c>
      <c r="F990" s="1" t="s">
        <v>41</v>
      </c>
      <c r="G990" s="1" t="s">
        <v>55</v>
      </c>
      <c r="H990" s="2">
        <v>1343.0</v>
      </c>
      <c r="I990" s="2">
        <v>9534.0</v>
      </c>
      <c r="J990" s="1">
        <v>2015.0</v>
      </c>
      <c r="K990" s="1">
        <v>99.0</v>
      </c>
      <c r="L990" s="1" t="s">
        <v>141</v>
      </c>
      <c r="M990" s="1" t="s">
        <v>4000</v>
      </c>
      <c r="N990" s="1" t="s">
        <v>43</v>
      </c>
      <c r="O990" s="1" t="s">
        <v>35</v>
      </c>
      <c r="P990" s="1" t="s">
        <v>4001</v>
      </c>
    </row>
    <row r="991" ht="14.25" customHeight="1">
      <c r="A991" s="1" t="s">
        <v>4002</v>
      </c>
      <c r="B991" s="1" t="s">
        <v>4003</v>
      </c>
      <c r="C991" s="1" t="s">
        <v>39</v>
      </c>
      <c r="D991" s="1">
        <v>14393.0</v>
      </c>
      <c r="E991" s="1" t="s">
        <v>77</v>
      </c>
      <c r="F991" s="1" t="s">
        <v>61</v>
      </c>
      <c r="G991" s="1" t="s">
        <v>31</v>
      </c>
      <c r="H991" s="2">
        <v>3265.0</v>
      </c>
      <c r="I991" s="2">
        <v>3212.0</v>
      </c>
      <c r="J991" s="1">
        <v>2018.0</v>
      </c>
      <c r="K991" s="1">
        <v>105.0</v>
      </c>
      <c r="L991" s="1" t="s">
        <v>95</v>
      </c>
      <c r="M991" s="1" t="s">
        <v>4004</v>
      </c>
      <c r="N991" s="1" t="s">
        <v>48</v>
      </c>
      <c r="O991" s="1" t="s">
        <v>25</v>
      </c>
      <c r="P991" s="1" t="s">
        <v>4005</v>
      </c>
    </row>
    <row r="992" ht="14.25" customHeight="1">
      <c r="A992" s="1" t="s">
        <v>4006</v>
      </c>
      <c r="B992" s="1" t="s">
        <v>4007</v>
      </c>
      <c r="C992" s="1" t="s">
        <v>76</v>
      </c>
      <c r="D992" s="1">
        <v>29858.0</v>
      </c>
      <c r="E992" s="1" t="s">
        <v>60</v>
      </c>
      <c r="F992" s="1" t="s">
        <v>20</v>
      </c>
      <c r="G992" s="1" t="s">
        <v>31</v>
      </c>
      <c r="H992" s="2">
        <v>3882.0</v>
      </c>
      <c r="I992" s="2">
        <v>8121.0</v>
      </c>
      <c r="J992" s="1">
        <v>1983.0</v>
      </c>
      <c r="K992" s="1">
        <v>18.0</v>
      </c>
      <c r="L992" s="1" t="s">
        <v>95</v>
      </c>
      <c r="M992" s="1" t="s">
        <v>4008</v>
      </c>
      <c r="N992" s="1" t="s">
        <v>64</v>
      </c>
      <c r="O992" s="1" t="s">
        <v>25</v>
      </c>
      <c r="P992" s="1" t="s">
        <v>4009</v>
      </c>
    </row>
    <row r="993" ht="14.25" customHeight="1">
      <c r="A993" s="1" t="s">
        <v>4010</v>
      </c>
      <c r="B993" s="1" t="s">
        <v>4011</v>
      </c>
      <c r="C993" s="1" t="s">
        <v>39</v>
      </c>
      <c r="D993" s="1">
        <v>44381.0</v>
      </c>
      <c r="E993" s="1" t="s">
        <v>77</v>
      </c>
      <c r="F993" s="1" t="s">
        <v>54</v>
      </c>
      <c r="G993" s="1" t="s">
        <v>21</v>
      </c>
      <c r="H993" s="2">
        <v>2969.0</v>
      </c>
      <c r="I993" s="2">
        <v>5769.0</v>
      </c>
      <c r="J993" s="1">
        <v>1952.0</v>
      </c>
      <c r="K993" s="1">
        <v>97.0</v>
      </c>
      <c r="L993" s="1" t="s">
        <v>22</v>
      </c>
      <c r="M993" s="1" t="s">
        <v>4012</v>
      </c>
      <c r="N993" s="1" t="s">
        <v>24</v>
      </c>
      <c r="O993" s="1" t="s">
        <v>25</v>
      </c>
      <c r="P993" s="1" t="s">
        <v>4013</v>
      </c>
    </row>
    <row r="994" ht="14.25" customHeight="1">
      <c r="A994" s="1" t="s">
        <v>4014</v>
      </c>
      <c r="B994" s="1" t="s">
        <v>4015</v>
      </c>
      <c r="C994" s="1" t="s">
        <v>18</v>
      </c>
      <c r="D994" s="1">
        <v>60005.0</v>
      </c>
      <c r="E994" s="1" t="s">
        <v>19</v>
      </c>
      <c r="F994" s="1" t="s">
        <v>54</v>
      </c>
      <c r="G994" s="1" t="s">
        <v>21</v>
      </c>
      <c r="H994" s="2">
        <v>3531.0</v>
      </c>
      <c r="I994" s="2">
        <v>5012.0</v>
      </c>
      <c r="J994" s="1">
        <v>1956.0</v>
      </c>
      <c r="K994" s="1">
        <v>100.0</v>
      </c>
      <c r="L994" s="1" t="s">
        <v>141</v>
      </c>
      <c r="M994" s="1" t="s">
        <v>4016</v>
      </c>
      <c r="N994" s="1" t="s">
        <v>34</v>
      </c>
      <c r="O994" s="1" t="s">
        <v>35</v>
      </c>
      <c r="P994" s="1" t="s">
        <v>4017</v>
      </c>
    </row>
    <row r="995" ht="14.25" customHeight="1">
      <c r="A995" s="1" t="s">
        <v>4018</v>
      </c>
      <c r="B995" s="1" t="s">
        <v>4019</v>
      </c>
      <c r="C995" s="1" t="s">
        <v>76</v>
      </c>
      <c r="D995" s="1">
        <v>31365.0</v>
      </c>
      <c r="E995" s="1" t="s">
        <v>77</v>
      </c>
      <c r="F995" s="1" t="s">
        <v>54</v>
      </c>
      <c r="G995" s="1" t="s">
        <v>21</v>
      </c>
      <c r="H995" s="2">
        <v>1772.0</v>
      </c>
      <c r="I995" s="2">
        <v>7124.0</v>
      </c>
      <c r="J995" s="1">
        <v>1951.0</v>
      </c>
      <c r="K995" s="1">
        <v>71.0</v>
      </c>
      <c r="L995" s="1" t="s">
        <v>95</v>
      </c>
      <c r="M995" s="1" t="s">
        <v>4020</v>
      </c>
      <c r="N995" s="1" t="s">
        <v>48</v>
      </c>
      <c r="O995" s="1" t="s">
        <v>25</v>
      </c>
      <c r="P995" s="1" t="s">
        <v>4021</v>
      </c>
    </row>
    <row r="996" ht="14.25" customHeight="1">
      <c r="A996" s="1" t="s">
        <v>4022</v>
      </c>
      <c r="B996" s="1" t="s">
        <v>4023</v>
      </c>
      <c r="C996" s="1" t="s">
        <v>39</v>
      </c>
      <c r="D996" s="1">
        <v>92999.0</v>
      </c>
      <c r="E996" s="1" t="s">
        <v>60</v>
      </c>
      <c r="F996" s="1" t="s">
        <v>20</v>
      </c>
      <c r="G996" s="1" t="s">
        <v>31</v>
      </c>
      <c r="H996" s="2">
        <v>3944.0</v>
      </c>
      <c r="I996" s="2">
        <v>5783.0</v>
      </c>
      <c r="J996" s="1">
        <v>1957.0</v>
      </c>
      <c r="K996" s="1">
        <v>79.0</v>
      </c>
      <c r="L996" s="1" t="s">
        <v>32</v>
      </c>
      <c r="M996" s="1" t="s">
        <v>4024</v>
      </c>
      <c r="N996" s="1" t="s">
        <v>24</v>
      </c>
      <c r="O996" s="1" t="s">
        <v>49</v>
      </c>
      <c r="P996" s="1" t="s">
        <v>4025</v>
      </c>
    </row>
    <row r="997" ht="14.25" customHeight="1">
      <c r="A997" s="1" t="s">
        <v>4026</v>
      </c>
      <c r="B997" s="1" t="s">
        <v>4027</v>
      </c>
      <c r="C997" s="1" t="s">
        <v>76</v>
      </c>
      <c r="D997" s="1">
        <v>46034.0</v>
      </c>
      <c r="E997" s="1" t="s">
        <v>77</v>
      </c>
      <c r="F997" s="1" t="s">
        <v>41</v>
      </c>
      <c r="G997" s="1" t="s">
        <v>31</v>
      </c>
      <c r="H997" s="2">
        <v>3862.0</v>
      </c>
      <c r="I997" s="2">
        <v>9816.0</v>
      </c>
      <c r="J997" s="1">
        <v>1982.0</v>
      </c>
      <c r="K997" s="1">
        <v>95.0</v>
      </c>
      <c r="L997" s="1" t="s">
        <v>32</v>
      </c>
      <c r="M997" s="1" t="s">
        <v>4028</v>
      </c>
      <c r="N997" s="1" t="s">
        <v>48</v>
      </c>
      <c r="O997" s="1" t="s">
        <v>25</v>
      </c>
      <c r="P997" s="1" t="s">
        <v>4029</v>
      </c>
    </row>
    <row r="998" ht="14.25" customHeight="1">
      <c r="A998" s="1" t="s">
        <v>4030</v>
      </c>
      <c r="B998" s="1" t="s">
        <v>4031</v>
      </c>
      <c r="C998" s="1" t="s">
        <v>18</v>
      </c>
      <c r="D998" s="1">
        <v>18529.0</v>
      </c>
      <c r="E998" s="1" t="s">
        <v>30</v>
      </c>
      <c r="F998" s="1" t="s">
        <v>20</v>
      </c>
      <c r="G998" s="1" t="s">
        <v>31</v>
      </c>
      <c r="H998" s="2">
        <v>3333.0</v>
      </c>
      <c r="I998" s="2">
        <v>5761.0</v>
      </c>
      <c r="J998" s="1">
        <v>1966.0</v>
      </c>
      <c r="K998" s="1">
        <v>90.0</v>
      </c>
      <c r="L998" s="1" t="s">
        <v>141</v>
      </c>
      <c r="M998" s="1" t="s">
        <v>4032</v>
      </c>
      <c r="N998" s="1" t="s">
        <v>43</v>
      </c>
      <c r="O998" s="1" t="s">
        <v>49</v>
      </c>
      <c r="P998" s="1" t="s">
        <v>4033</v>
      </c>
    </row>
    <row r="999" ht="14.25" customHeight="1">
      <c r="A999" s="1" t="s">
        <v>4034</v>
      </c>
      <c r="B999" s="1" t="s">
        <v>4035</v>
      </c>
      <c r="C999" s="1" t="s">
        <v>18</v>
      </c>
      <c r="D999" s="1">
        <v>44148.0</v>
      </c>
      <c r="E999" s="1" t="s">
        <v>60</v>
      </c>
      <c r="F999" s="1" t="s">
        <v>20</v>
      </c>
      <c r="G999" s="1" t="s">
        <v>100</v>
      </c>
      <c r="H999" s="2">
        <v>710.0</v>
      </c>
      <c r="I999" s="2">
        <v>3639.0</v>
      </c>
      <c r="J999" s="1">
        <v>1976.0</v>
      </c>
      <c r="K999" s="1">
        <v>7.0</v>
      </c>
      <c r="L999" s="1" t="s">
        <v>62</v>
      </c>
      <c r="M999" s="1" t="s">
        <v>4036</v>
      </c>
      <c r="N999" s="1" t="s">
        <v>34</v>
      </c>
      <c r="O999" s="1" t="s">
        <v>49</v>
      </c>
      <c r="P999" s="1" t="s">
        <v>4037</v>
      </c>
    </row>
    <row r="1000" ht="14.25" customHeight="1">
      <c r="A1000" s="1" t="s">
        <v>4038</v>
      </c>
      <c r="B1000" s="1" t="s">
        <v>4039</v>
      </c>
      <c r="C1000" s="1" t="s">
        <v>53</v>
      </c>
      <c r="D1000" s="1">
        <v>87490.0</v>
      </c>
      <c r="E1000" s="1" t="s">
        <v>77</v>
      </c>
      <c r="F1000" s="1" t="s">
        <v>46</v>
      </c>
      <c r="G1000" s="1" t="s">
        <v>55</v>
      </c>
      <c r="H1000" s="2">
        <v>1551.0</v>
      </c>
      <c r="I1000" s="2">
        <v>9626.0</v>
      </c>
      <c r="J1000" s="1">
        <v>2014.0</v>
      </c>
      <c r="K1000" s="1">
        <v>59.0</v>
      </c>
      <c r="L1000" s="1" t="s">
        <v>62</v>
      </c>
      <c r="M1000" s="1" t="s">
        <v>4040</v>
      </c>
      <c r="N1000" s="1" t="s">
        <v>43</v>
      </c>
      <c r="O1000" s="1" t="s">
        <v>35</v>
      </c>
      <c r="P1000" s="1" t="s">
        <v>4041</v>
      </c>
    </row>
    <row r="1001" ht="14.25" customHeight="1">
      <c r="A1001" s="1" t="s">
        <v>4042</v>
      </c>
      <c r="B1001" s="1" t="s">
        <v>4043</v>
      </c>
      <c r="C1001" s="1" t="s">
        <v>53</v>
      </c>
      <c r="D1001" s="1">
        <v>30384.0</v>
      </c>
      <c r="E1001" s="1" t="s">
        <v>40</v>
      </c>
      <c r="F1001" s="1" t="s">
        <v>61</v>
      </c>
      <c r="G1001" s="1" t="s">
        <v>31</v>
      </c>
      <c r="H1001" s="2">
        <v>1035.0</v>
      </c>
      <c r="I1001" s="2">
        <v>4165.0</v>
      </c>
      <c r="J1001" s="1">
        <v>1970.0</v>
      </c>
      <c r="K1001" s="1">
        <v>106.0</v>
      </c>
      <c r="L1001" s="1" t="s">
        <v>62</v>
      </c>
      <c r="M1001" s="1" t="s">
        <v>4044</v>
      </c>
      <c r="N1001" s="1" t="s">
        <v>48</v>
      </c>
      <c r="O1001" s="1" t="s">
        <v>25</v>
      </c>
      <c r="P1001" s="1" t="s">
        <v>4045</v>
      </c>
    </row>
    <row r="1002" ht="14.25" customHeight="1">
      <c r="A1002" s="1" t="s">
        <v>4046</v>
      </c>
      <c r="B1002" s="1" t="s">
        <v>4047</v>
      </c>
      <c r="C1002" s="1" t="s">
        <v>39</v>
      </c>
      <c r="D1002" s="1">
        <v>49761.0</v>
      </c>
      <c r="E1002" s="1" t="s">
        <v>77</v>
      </c>
      <c r="F1002" s="1" t="s">
        <v>94</v>
      </c>
      <c r="G1002" s="1" t="s">
        <v>31</v>
      </c>
      <c r="H1002" s="2">
        <v>3795.0</v>
      </c>
      <c r="I1002" s="2">
        <v>1632.0</v>
      </c>
      <c r="J1002" s="1">
        <v>1984.0</v>
      </c>
      <c r="K1002" s="1">
        <v>106.0</v>
      </c>
      <c r="L1002" s="1" t="s">
        <v>62</v>
      </c>
      <c r="M1002" s="1" t="s">
        <v>4048</v>
      </c>
      <c r="N1002" s="1" t="s">
        <v>24</v>
      </c>
      <c r="O1002" s="1" t="s">
        <v>49</v>
      </c>
      <c r="P1002" s="1" t="s">
        <v>4049</v>
      </c>
    </row>
    <row r="1003" ht="14.25" customHeight="1">
      <c r="A1003" s="1" t="s">
        <v>4050</v>
      </c>
      <c r="B1003" s="1" t="s">
        <v>4051</v>
      </c>
      <c r="C1003" s="1" t="s">
        <v>39</v>
      </c>
      <c r="D1003" s="1">
        <v>91575.0</v>
      </c>
      <c r="E1003" s="1" t="s">
        <v>19</v>
      </c>
      <c r="F1003" s="1" t="s">
        <v>54</v>
      </c>
      <c r="G1003" s="1" t="s">
        <v>21</v>
      </c>
      <c r="H1003" s="2">
        <v>1133.0</v>
      </c>
      <c r="I1003" s="2">
        <v>9672.0</v>
      </c>
      <c r="J1003" s="1">
        <v>1994.0</v>
      </c>
      <c r="K1003" s="1">
        <v>69.0</v>
      </c>
      <c r="L1003" s="1" t="s">
        <v>62</v>
      </c>
      <c r="M1003" s="1" t="s">
        <v>4052</v>
      </c>
      <c r="N1003" s="1" t="s">
        <v>24</v>
      </c>
      <c r="O1003" s="1" t="s">
        <v>25</v>
      </c>
      <c r="P1003" s="1" t="s">
        <v>4053</v>
      </c>
    </row>
    <row r="1004" ht="14.25" customHeight="1">
      <c r="A1004" s="1" t="s">
        <v>4054</v>
      </c>
      <c r="B1004" s="1" t="s">
        <v>4055</v>
      </c>
      <c r="C1004" s="1" t="s">
        <v>76</v>
      </c>
      <c r="D1004" s="1">
        <v>20811.0</v>
      </c>
      <c r="E1004" s="1" t="s">
        <v>77</v>
      </c>
      <c r="F1004" s="1" t="s">
        <v>94</v>
      </c>
      <c r="G1004" s="1" t="s">
        <v>55</v>
      </c>
      <c r="H1004" s="2">
        <v>2063.0</v>
      </c>
      <c r="I1004" s="2">
        <v>4193.0</v>
      </c>
      <c r="J1004" s="1">
        <v>1983.0</v>
      </c>
      <c r="K1004" s="1">
        <v>96.0</v>
      </c>
      <c r="L1004" s="1" t="s">
        <v>62</v>
      </c>
      <c r="M1004" s="1" t="s">
        <v>4056</v>
      </c>
      <c r="N1004" s="1" t="s">
        <v>43</v>
      </c>
      <c r="O1004" s="1" t="s">
        <v>35</v>
      </c>
      <c r="P1004" s="1" t="s">
        <v>4057</v>
      </c>
    </row>
    <row r="1005" ht="14.25" customHeight="1">
      <c r="A1005" s="1" t="s">
        <v>4058</v>
      </c>
      <c r="B1005" s="1" t="s">
        <v>4059</v>
      </c>
      <c r="C1005" s="1" t="s">
        <v>29</v>
      </c>
      <c r="D1005" s="1">
        <v>32293.0</v>
      </c>
      <c r="E1005" s="1" t="s">
        <v>77</v>
      </c>
      <c r="F1005" s="1" t="s">
        <v>54</v>
      </c>
      <c r="G1005" s="1" t="s">
        <v>100</v>
      </c>
      <c r="H1005" s="2">
        <v>3847.0</v>
      </c>
      <c r="I1005" s="2">
        <v>3841.0</v>
      </c>
      <c r="J1005" s="1">
        <v>2019.0</v>
      </c>
      <c r="K1005" s="1">
        <v>118.0</v>
      </c>
      <c r="L1005" s="1" t="s">
        <v>95</v>
      </c>
      <c r="M1005" s="1" t="s">
        <v>4060</v>
      </c>
      <c r="N1005" s="1" t="s">
        <v>48</v>
      </c>
      <c r="O1005" s="1" t="s">
        <v>25</v>
      </c>
      <c r="P1005" s="1" t="s">
        <v>4061</v>
      </c>
    </row>
    <row r="1006" ht="14.25" customHeight="1">
      <c r="A1006" s="1" t="s">
        <v>4062</v>
      </c>
      <c r="B1006" s="1" t="s">
        <v>4063</v>
      </c>
      <c r="C1006" s="1" t="s">
        <v>29</v>
      </c>
      <c r="D1006" s="1">
        <v>90863.0</v>
      </c>
      <c r="E1006" s="1" t="s">
        <v>40</v>
      </c>
      <c r="F1006" s="1" t="s">
        <v>20</v>
      </c>
      <c r="G1006" s="1" t="s">
        <v>21</v>
      </c>
      <c r="H1006" s="2">
        <v>1657.0</v>
      </c>
      <c r="I1006" s="2">
        <v>6400.0</v>
      </c>
      <c r="J1006" s="1">
        <v>1950.0</v>
      </c>
      <c r="K1006" s="1">
        <v>48.0</v>
      </c>
      <c r="L1006" s="1" t="s">
        <v>62</v>
      </c>
      <c r="M1006" s="1" t="s">
        <v>4064</v>
      </c>
      <c r="N1006" s="1" t="s">
        <v>43</v>
      </c>
      <c r="O1006" s="1" t="s">
        <v>25</v>
      </c>
      <c r="P1006" s="1" t="s">
        <v>4065</v>
      </c>
    </row>
    <row r="1007" ht="14.25" customHeight="1">
      <c r="A1007" s="1" t="s">
        <v>4066</v>
      </c>
      <c r="B1007" s="1" t="s">
        <v>4067</v>
      </c>
      <c r="C1007" s="1" t="s">
        <v>39</v>
      </c>
      <c r="D1007" s="1">
        <v>57079.0</v>
      </c>
      <c r="E1007" s="1" t="s">
        <v>40</v>
      </c>
      <c r="F1007" s="1" t="s">
        <v>94</v>
      </c>
      <c r="G1007" s="1" t="s">
        <v>100</v>
      </c>
      <c r="H1007" s="2">
        <v>1534.0</v>
      </c>
      <c r="I1007" s="2">
        <v>6971.0</v>
      </c>
      <c r="J1007" s="1">
        <v>2014.0</v>
      </c>
      <c r="K1007" s="1">
        <v>67.0</v>
      </c>
      <c r="L1007" s="1" t="s">
        <v>141</v>
      </c>
      <c r="M1007" s="1" t="s">
        <v>4068</v>
      </c>
      <c r="N1007" s="1" t="s">
        <v>34</v>
      </c>
      <c r="O1007" s="1" t="s">
        <v>25</v>
      </c>
      <c r="P1007" s="1" t="s">
        <v>4069</v>
      </c>
    </row>
    <row r="1008" ht="14.25" customHeight="1">
      <c r="A1008" s="1" t="s">
        <v>4070</v>
      </c>
      <c r="B1008" s="1" t="s">
        <v>4071</v>
      </c>
      <c r="C1008" s="1" t="s">
        <v>18</v>
      </c>
      <c r="D1008" s="1">
        <v>81853.0</v>
      </c>
      <c r="E1008" s="1" t="s">
        <v>60</v>
      </c>
      <c r="F1008" s="1" t="s">
        <v>20</v>
      </c>
      <c r="G1008" s="1" t="s">
        <v>55</v>
      </c>
      <c r="H1008" s="2">
        <v>1361.0</v>
      </c>
      <c r="I1008" s="2">
        <v>5247.0</v>
      </c>
      <c r="J1008" s="1">
        <v>2011.0</v>
      </c>
      <c r="K1008" s="1">
        <v>33.0</v>
      </c>
      <c r="L1008" s="1" t="s">
        <v>141</v>
      </c>
      <c r="M1008" s="1" t="s">
        <v>4072</v>
      </c>
      <c r="N1008" s="1" t="s">
        <v>34</v>
      </c>
      <c r="O1008" s="1" t="s">
        <v>25</v>
      </c>
      <c r="P1008" s="1" t="s">
        <v>4073</v>
      </c>
    </row>
    <row r="1009" ht="14.25" customHeight="1">
      <c r="A1009" s="1" t="s">
        <v>4074</v>
      </c>
      <c r="B1009" s="1" t="s">
        <v>4075</v>
      </c>
      <c r="C1009" s="1" t="s">
        <v>53</v>
      </c>
      <c r="D1009" s="1">
        <v>24663.0</v>
      </c>
      <c r="E1009" s="1" t="s">
        <v>30</v>
      </c>
      <c r="F1009" s="1" t="s">
        <v>46</v>
      </c>
      <c r="G1009" s="1" t="s">
        <v>100</v>
      </c>
      <c r="H1009" s="2">
        <v>646.0</v>
      </c>
      <c r="I1009" s="2">
        <v>4393.0</v>
      </c>
      <c r="J1009" s="1">
        <v>2004.0</v>
      </c>
      <c r="K1009" s="1">
        <v>58.0</v>
      </c>
      <c r="L1009" s="1" t="s">
        <v>95</v>
      </c>
      <c r="M1009" s="1" t="s">
        <v>4076</v>
      </c>
      <c r="N1009" s="1" t="s">
        <v>34</v>
      </c>
      <c r="O1009" s="1" t="s">
        <v>35</v>
      </c>
      <c r="P1009" s="1" t="s">
        <v>4077</v>
      </c>
    </row>
    <row r="1010" ht="14.25" customHeight="1">
      <c r="A1010" s="1" t="s">
        <v>4078</v>
      </c>
      <c r="B1010" s="1" t="s">
        <v>4079</v>
      </c>
      <c r="C1010" s="1" t="s">
        <v>53</v>
      </c>
      <c r="D1010" s="1">
        <v>88380.0</v>
      </c>
      <c r="E1010" s="1" t="s">
        <v>19</v>
      </c>
      <c r="F1010" s="1" t="s">
        <v>20</v>
      </c>
      <c r="G1010" s="1" t="s">
        <v>100</v>
      </c>
      <c r="H1010" s="2">
        <v>3827.0</v>
      </c>
      <c r="I1010" s="2">
        <v>1256.0</v>
      </c>
      <c r="J1010" s="1">
        <v>1994.0</v>
      </c>
      <c r="K1010" s="1">
        <v>45.0</v>
      </c>
      <c r="L1010" s="1" t="s">
        <v>95</v>
      </c>
      <c r="M1010" s="1" t="s">
        <v>4080</v>
      </c>
      <c r="N1010" s="1" t="s">
        <v>64</v>
      </c>
      <c r="O1010" s="1" t="s">
        <v>49</v>
      </c>
      <c r="P1010" s="1" t="s">
        <v>4081</v>
      </c>
    </row>
    <row r="1011" ht="14.25" customHeight="1">
      <c r="A1011" s="1" t="s">
        <v>4082</v>
      </c>
      <c r="B1011" s="1" t="s">
        <v>4083</v>
      </c>
      <c r="C1011" s="1" t="s">
        <v>76</v>
      </c>
      <c r="D1011" s="1">
        <v>98355.0</v>
      </c>
      <c r="E1011" s="1" t="s">
        <v>19</v>
      </c>
      <c r="F1011" s="1" t="s">
        <v>61</v>
      </c>
      <c r="G1011" s="1" t="s">
        <v>21</v>
      </c>
      <c r="H1011" s="2">
        <v>2989.0</v>
      </c>
      <c r="I1011" s="2">
        <v>8110.0</v>
      </c>
      <c r="J1011" s="1">
        <v>2017.0</v>
      </c>
      <c r="K1011" s="1">
        <v>5.0</v>
      </c>
      <c r="L1011" s="1" t="s">
        <v>22</v>
      </c>
      <c r="M1011" s="1" t="s">
        <v>4084</v>
      </c>
      <c r="N1011" s="1" t="s">
        <v>24</v>
      </c>
      <c r="O1011" s="1" t="s">
        <v>35</v>
      </c>
      <c r="P1011" s="1" t="s">
        <v>4085</v>
      </c>
    </row>
    <row r="1012" ht="14.25" customHeight="1">
      <c r="A1012" s="1" t="s">
        <v>4086</v>
      </c>
      <c r="B1012" s="1" t="s">
        <v>4087</v>
      </c>
      <c r="C1012" s="1" t="s">
        <v>39</v>
      </c>
      <c r="D1012" s="1">
        <v>65167.0</v>
      </c>
      <c r="E1012" s="1" t="s">
        <v>19</v>
      </c>
      <c r="F1012" s="1" t="s">
        <v>41</v>
      </c>
      <c r="G1012" s="1" t="s">
        <v>21</v>
      </c>
      <c r="H1012" s="2">
        <v>3121.0</v>
      </c>
      <c r="I1012" s="2">
        <v>3243.0</v>
      </c>
      <c r="J1012" s="1">
        <v>1990.0</v>
      </c>
      <c r="K1012" s="1">
        <v>55.0</v>
      </c>
      <c r="L1012" s="1" t="s">
        <v>62</v>
      </c>
      <c r="M1012" s="1" t="s">
        <v>4088</v>
      </c>
      <c r="N1012" s="1" t="s">
        <v>43</v>
      </c>
      <c r="O1012" s="1" t="s">
        <v>49</v>
      </c>
      <c r="P1012" s="1" t="s">
        <v>4089</v>
      </c>
    </row>
    <row r="1013" ht="14.25" customHeight="1">
      <c r="A1013" s="1" t="s">
        <v>4090</v>
      </c>
      <c r="B1013" s="1" t="s">
        <v>4091</v>
      </c>
      <c r="C1013" s="1" t="s">
        <v>53</v>
      </c>
      <c r="D1013" s="1">
        <v>38616.0</v>
      </c>
      <c r="E1013" s="1" t="s">
        <v>60</v>
      </c>
      <c r="F1013" s="1" t="s">
        <v>54</v>
      </c>
      <c r="G1013" s="1" t="s">
        <v>100</v>
      </c>
      <c r="H1013" s="2">
        <v>3769.0</v>
      </c>
      <c r="I1013" s="2">
        <v>7943.0</v>
      </c>
      <c r="J1013" s="1">
        <v>2004.0</v>
      </c>
      <c r="K1013" s="1">
        <v>16.0</v>
      </c>
      <c r="L1013" s="1" t="s">
        <v>22</v>
      </c>
      <c r="M1013" s="1" t="s">
        <v>4092</v>
      </c>
      <c r="N1013" s="1" t="s">
        <v>24</v>
      </c>
      <c r="O1013" s="1" t="s">
        <v>25</v>
      </c>
      <c r="P1013" s="1" t="s">
        <v>4093</v>
      </c>
    </row>
    <row r="1014" ht="14.25" customHeight="1">
      <c r="A1014" s="1" t="s">
        <v>4094</v>
      </c>
      <c r="B1014" s="1" t="s">
        <v>4095</v>
      </c>
      <c r="C1014" s="1" t="s">
        <v>18</v>
      </c>
      <c r="D1014" s="1">
        <v>74545.0</v>
      </c>
      <c r="E1014" s="1" t="s">
        <v>40</v>
      </c>
      <c r="F1014" s="1" t="s">
        <v>46</v>
      </c>
      <c r="G1014" s="1" t="s">
        <v>55</v>
      </c>
      <c r="H1014" s="2">
        <v>1238.0</v>
      </c>
      <c r="I1014" s="2">
        <v>4966.0</v>
      </c>
      <c r="J1014" s="1">
        <v>1968.0</v>
      </c>
      <c r="K1014" s="1">
        <v>92.0</v>
      </c>
      <c r="L1014" s="1" t="s">
        <v>95</v>
      </c>
      <c r="M1014" s="1" t="s">
        <v>4096</v>
      </c>
      <c r="N1014" s="1" t="s">
        <v>64</v>
      </c>
      <c r="O1014" s="1" t="s">
        <v>35</v>
      </c>
      <c r="P1014" s="1" t="s">
        <v>4097</v>
      </c>
    </row>
    <row r="1015" ht="14.25" customHeight="1">
      <c r="A1015" s="1" t="s">
        <v>4098</v>
      </c>
      <c r="B1015" s="1" t="s">
        <v>4099</v>
      </c>
      <c r="C1015" s="1" t="s">
        <v>29</v>
      </c>
      <c r="D1015" s="1">
        <v>51510.0</v>
      </c>
      <c r="E1015" s="1" t="s">
        <v>77</v>
      </c>
      <c r="F1015" s="1" t="s">
        <v>41</v>
      </c>
      <c r="G1015" s="1" t="s">
        <v>21</v>
      </c>
      <c r="H1015" s="2">
        <v>1287.0</v>
      </c>
      <c r="I1015" s="2">
        <v>8517.0</v>
      </c>
      <c r="J1015" s="1">
        <v>1990.0</v>
      </c>
      <c r="K1015" s="1">
        <v>109.0</v>
      </c>
      <c r="L1015" s="1" t="s">
        <v>62</v>
      </c>
      <c r="M1015" s="1" t="s">
        <v>4100</v>
      </c>
      <c r="N1015" s="1" t="s">
        <v>43</v>
      </c>
      <c r="O1015" s="1" t="s">
        <v>25</v>
      </c>
      <c r="P1015" s="1" t="s">
        <v>4101</v>
      </c>
    </row>
    <row r="1016" ht="14.25" customHeight="1">
      <c r="A1016" s="1" t="s">
        <v>4102</v>
      </c>
      <c r="B1016" s="1" t="s">
        <v>4103</v>
      </c>
      <c r="C1016" s="1" t="s">
        <v>76</v>
      </c>
      <c r="D1016" s="1">
        <v>13718.0</v>
      </c>
      <c r="E1016" s="1" t="s">
        <v>19</v>
      </c>
      <c r="F1016" s="1" t="s">
        <v>20</v>
      </c>
      <c r="G1016" s="1" t="s">
        <v>55</v>
      </c>
      <c r="H1016" s="2">
        <v>830.0</v>
      </c>
      <c r="I1016" s="2">
        <v>1630.0</v>
      </c>
      <c r="J1016" s="1">
        <v>1969.0</v>
      </c>
      <c r="K1016" s="1">
        <v>21.0</v>
      </c>
      <c r="L1016" s="1" t="s">
        <v>141</v>
      </c>
      <c r="M1016" s="1" t="s">
        <v>4104</v>
      </c>
      <c r="N1016" s="1" t="s">
        <v>24</v>
      </c>
      <c r="O1016" s="1" t="s">
        <v>35</v>
      </c>
      <c r="P1016" s="1" t="s">
        <v>4105</v>
      </c>
    </row>
    <row r="1017" ht="14.25" customHeight="1">
      <c r="A1017" s="1" t="s">
        <v>4106</v>
      </c>
      <c r="B1017" s="1" t="s">
        <v>4107</v>
      </c>
      <c r="C1017" s="1" t="s">
        <v>39</v>
      </c>
      <c r="D1017" s="1">
        <v>21680.0</v>
      </c>
      <c r="E1017" s="1" t="s">
        <v>60</v>
      </c>
      <c r="F1017" s="1" t="s">
        <v>46</v>
      </c>
      <c r="G1017" s="1" t="s">
        <v>21</v>
      </c>
      <c r="H1017" s="2">
        <v>989.0</v>
      </c>
      <c r="I1017" s="2">
        <v>9282.0</v>
      </c>
      <c r="J1017" s="1">
        <v>2012.0</v>
      </c>
      <c r="K1017" s="1">
        <v>24.0</v>
      </c>
      <c r="L1017" s="1" t="s">
        <v>32</v>
      </c>
      <c r="M1017" s="1" t="s">
        <v>4108</v>
      </c>
      <c r="N1017" s="1" t="s">
        <v>34</v>
      </c>
      <c r="O1017" s="1" t="s">
        <v>25</v>
      </c>
      <c r="P1017" s="1" t="s">
        <v>4109</v>
      </c>
    </row>
    <row r="1018" ht="14.25" customHeight="1">
      <c r="A1018" s="1" t="s">
        <v>4110</v>
      </c>
      <c r="B1018" s="1" t="s">
        <v>4111</v>
      </c>
      <c r="C1018" s="1" t="s">
        <v>39</v>
      </c>
      <c r="D1018" s="1">
        <v>78010.0</v>
      </c>
      <c r="E1018" s="1" t="s">
        <v>30</v>
      </c>
      <c r="F1018" s="1" t="s">
        <v>94</v>
      </c>
      <c r="G1018" s="1" t="s">
        <v>31</v>
      </c>
      <c r="H1018" s="2">
        <v>1786.0</v>
      </c>
      <c r="I1018" s="2">
        <v>1424.0</v>
      </c>
      <c r="J1018" s="1">
        <v>1983.0</v>
      </c>
      <c r="K1018" s="1">
        <v>95.0</v>
      </c>
      <c r="L1018" s="1" t="s">
        <v>95</v>
      </c>
      <c r="M1018" s="1" t="s">
        <v>4112</v>
      </c>
      <c r="N1018" s="1" t="s">
        <v>64</v>
      </c>
      <c r="O1018" s="1" t="s">
        <v>25</v>
      </c>
      <c r="P1018" s="1" t="s">
        <v>4113</v>
      </c>
    </row>
    <row r="1019" ht="14.25" customHeight="1">
      <c r="A1019" s="1" t="s">
        <v>4114</v>
      </c>
      <c r="B1019" s="1" t="s">
        <v>4115</v>
      </c>
      <c r="C1019" s="1" t="s">
        <v>29</v>
      </c>
      <c r="D1019" s="1">
        <v>95683.0</v>
      </c>
      <c r="E1019" s="1" t="s">
        <v>40</v>
      </c>
      <c r="F1019" s="1" t="s">
        <v>61</v>
      </c>
      <c r="G1019" s="1" t="s">
        <v>31</v>
      </c>
      <c r="H1019" s="2">
        <v>2534.0</v>
      </c>
      <c r="I1019" s="2">
        <v>1734.0</v>
      </c>
      <c r="J1019" s="1">
        <v>2014.0</v>
      </c>
      <c r="K1019" s="1">
        <v>20.0</v>
      </c>
      <c r="L1019" s="1" t="s">
        <v>32</v>
      </c>
      <c r="M1019" s="1" t="s">
        <v>4116</v>
      </c>
      <c r="N1019" s="1" t="s">
        <v>43</v>
      </c>
      <c r="O1019" s="1" t="s">
        <v>35</v>
      </c>
      <c r="P1019" s="1" t="s">
        <v>4117</v>
      </c>
    </row>
    <row r="1020" ht="14.25" customHeight="1">
      <c r="A1020" s="1" t="s">
        <v>4118</v>
      </c>
      <c r="B1020" s="1" t="s">
        <v>4119</v>
      </c>
      <c r="C1020" s="1" t="s">
        <v>18</v>
      </c>
      <c r="D1020" s="1">
        <v>97210.0</v>
      </c>
      <c r="E1020" s="1" t="s">
        <v>30</v>
      </c>
      <c r="F1020" s="1" t="s">
        <v>41</v>
      </c>
      <c r="G1020" s="1" t="s">
        <v>100</v>
      </c>
      <c r="H1020" s="2">
        <v>1582.0</v>
      </c>
      <c r="I1020" s="2">
        <v>4037.0</v>
      </c>
      <c r="J1020" s="1">
        <v>1982.0</v>
      </c>
      <c r="K1020" s="1">
        <v>74.0</v>
      </c>
      <c r="L1020" s="1" t="s">
        <v>22</v>
      </c>
      <c r="M1020" s="1" t="s">
        <v>4120</v>
      </c>
      <c r="N1020" s="1" t="s">
        <v>64</v>
      </c>
      <c r="O1020" s="1" t="s">
        <v>49</v>
      </c>
      <c r="P1020" s="1" t="s">
        <v>4121</v>
      </c>
    </row>
    <row r="1021" ht="14.25" customHeight="1">
      <c r="A1021" s="1" t="s">
        <v>4122</v>
      </c>
      <c r="B1021" s="1" t="s">
        <v>4123</v>
      </c>
      <c r="C1021" s="1" t="s">
        <v>29</v>
      </c>
      <c r="D1021" s="1">
        <v>74963.0</v>
      </c>
      <c r="E1021" s="1" t="s">
        <v>40</v>
      </c>
      <c r="F1021" s="1" t="s">
        <v>94</v>
      </c>
      <c r="G1021" s="1" t="s">
        <v>21</v>
      </c>
      <c r="H1021" s="2">
        <v>2284.0</v>
      </c>
      <c r="I1021" s="2">
        <v>2136.0</v>
      </c>
      <c r="J1021" s="1">
        <v>1991.0</v>
      </c>
      <c r="K1021" s="1">
        <v>62.0</v>
      </c>
      <c r="L1021" s="1" t="s">
        <v>95</v>
      </c>
      <c r="M1021" s="1" t="s">
        <v>4124</v>
      </c>
      <c r="N1021" s="1" t="s">
        <v>24</v>
      </c>
      <c r="O1021" s="1" t="s">
        <v>25</v>
      </c>
      <c r="P1021" s="1" t="s">
        <v>4125</v>
      </c>
    </row>
    <row r="1022" ht="14.25" customHeight="1">
      <c r="A1022" s="1" t="s">
        <v>4126</v>
      </c>
      <c r="B1022" s="1" t="s">
        <v>4127</v>
      </c>
      <c r="C1022" s="1" t="s">
        <v>29</v>
      </c>
      <c r="D1022" s="1">
        <v>32550.0</v>
      </c>
      <c r="E1022" s="1" t="s">
        <v>40</v>
      </c>
      <c r="F1022" s="1" t="s">
        <v>61</v>
      </c>
      <c r="G1022" s="1" t="s">
        <v>55</v>
      </c>
      <c r="H1022" s="2">
        <v>1374.0</v>
      </c>
      <c r="I1022" s="2">
        <v>1646.0</v>
      </c>
      <c r="J1022" s="1">
        <v>1984.0</v>
      </c>
      <c r="K1022" s="1">
        <v>91.0</v>
      </c>
      <c r="L1022" s="1" t="s">
        <v>62</v>
      </c>
      <c r="M1022" s="1" t="s">
        <v>4128</v>
      </c>
      <c r="N1022" s="1" t="s">
        <v>64</v>
      </c>
      <c r="O1022" s="1" t="s">
        <v>35</v>
      </c>
      <c r="P1022" s="1" t="s">
        <v>4129</v>
      </c>
    </row>
    <row r="1023" ht="14.25" customHeight="1">
      <c r="A1023" s="1" t="s">
        <v>4130</v>
      </c>
      <c r="B1023" s="1" t="s">
        <v>4131</v>
      </c>
      <c r="C1023" s="1" t="s">
        <v>29</v>
      </c>
      <c r="D1023" s="1">
        <v>89787.0</v>
      </c>
      <c r="E1023" s="1" t="s">
        <v>40</v>
      </c>
      <c r="F1023" s="1" t="s">
        <v>46</v>
      </c>
      <c r="G1023" s="1" t="s">
        <v>100</v>
      </c>
      <c r="H1023" s="2">
        <v>3946.0</v>
      </c>
      <c r="I1023" s="2">
        <v>6859.0</v>
      </c>
      <c r="J1023" s="1">
        <v>2019.0</v>
      </c>
      <c r="K1023" s="1">
        <v>22.0</v>
      </c>
      <c r="L1023" s="1" t="s">
        <v>32</v>
      </c>
      <c r="M1023" s="1" t="s">
        <v>4132</v>
      </c>
      <c r="N1023" s="1" t="s">
        <v>24</v>
      </c>
      <c r="O1023" s="1" t="s">
        <v>49</v>
      </c>
      <c r="P1023" s="1" t="s">
        <v>4133</v>
      </c>
    </row>
    <row r="1024" ht="14.25" customHeight="1">
      <c r="A1024" s="1" t="s">
        <v>4134</v>
      </c>
      <c r="B1024" s="1" t="s">
        <v>4135</v>
      </c>
      <c r="C1024" s="1" t="s">
        <v>76</v>
      </c>
      <c r="D1024" s="1">
        <v>50174.0</v>
      </c>
      <c r="E1024" s="1" t="s">
        <v>77</v>
      </c>
      <c r="F1024" s="1" t="s">
        <v>20</v>
      </c>
      <c r="G1024" s="1" t="s">
        <v>21</v>
      </c>
      <c r="H1024" s="2">
        <v>1405.0</v>
      </c>
      <c r="I1024" s="2">
        <v>5427.0</v>
      </c>
      <c r="J1024" s="1">
        <v>2006.0</v>
      </c>
      <c r="K1024" s="1">
        <v>105.0</v>
      </c>
      <c r="L1024" s="1" t="s">
        <v>22</v>
      </c>
      <c r="M1024" s="1" t="s">
        <v>4136</v>
      </c>
      <c r="N1024" s="1" t="s">
        <v>24</v>
      </c>
      <c r="O1024" s="1" t="s">
        <v>25</v>
      </c>
      <c r="P1024" s="1" t="s">
        <v>4137</v>
      </c>
    </row>
    <row r="1025" ht="14.25" customHeight="1">
      <c r="A1025" s="1" t="s">
        <v>4138</v>
      </c>
      <c r="B1025" s="1" t="s">
        <v>4139</v>
      </c>
      <c r="C1025" s="1" t="s">
        <v>29</v>
      </c>
      <c r="D1025" s="1">
        <v>63203.0</v>
      </c>
      <c r="E1025" s="1" t="s">
        <v>19</v>
      </c>
      <c r="F1025" s="1" t="s">
        <v>94</v>
      </c>
      <c r="G1025" s="1" t="s">
        <v>31</v>
      </c>
      <c r="H1025" s="2">
        <v>2301.0</v>
      </c>
      <c r="I1025" s="2">
        <v>8617.0</v>
      </c>
      <c r="J1025" s="1">
        <v>1981.0</v>
      </c>
      <c r="K1025" s="1">
        <v>65.0</v>
      </c>
      <c r="L1025" s="1" t="s">
        <v>62</v>
      </c>
      <c r="M1025" s="1" t="s">
        <v>4140</v>
      </c>
      <c r="N1025" s="1" t="s">
        <v>34</v>
      </c>
      <c r="O1025" s="1" t="s">
        <v>49</v>
      </c>
      <c r="P1025" s="1" t="s">
        <v>4141</v>
      </c>
    </row>
    <row r="1026" ht="14.25" customHeight="1">
      <c r="A1026" s="1" t="s">
        <v>4142</v>
      </c>
      <c r="B1026" s="1" t="s">
        <v>4143</v>
      </c>
      <c r="C1026" s="1" t="s">
        <v>29</v>
      </c>
      <c r="D1026" s="1">
        <v>57526.0</v>
      </c>
      <c r="E1026" s="1" t="s">
        <v>40</v>
      </c>
      <c r="F1026" s="1" t="s">
        <v>94</v>
      </c>
      <c r="G1026" s="1" t="s">
        <v>55</v>
      </c>
      <c r="H1026" s="2">
        <v>1664.0</v>
      </c>
      <c r="I1026" s="2">
        <v>7656.0</v>
      </c>
      <c r="J1026" s="1">
        <v>1969.0</v>
      </c>
      <c r="K1026" s="1">
        <v>92.0</v>
      </c>
      <c r="L1026" s="1" t="s">
        <v>32</v>
      </c>
      <c r="M1026" s="1" t="s">
        <v>4144</v>
      </c>
      <c r="N1026" s="1" t="s">
        <v>64</v>
      </c>
      <c r="O1026" s="1" t="s">
        <v>35</v>
      </c>
      <c r="P1026" s="1" t="s">
        <v>4145</v>
      </c>
    </row>
    <row r="1027" ht="14.25" customHeight="1">
      <c r="A1027" s="1" t="s">
        <v>4146</v>
      </c>
      <c r="B1027" s="1" t="s">
        <v>4147</v>
      </c>
      <c r="C1027" s="1" t="s">
        <v>29</v>
      </c>
      <c r="D1027" s="1">
        <v>75019.0</v>
      </c>
      <c r="E1027" s="1" t="s">
        <v>30</v>
      </c>
      <c r="F1027" s="1" t="s">
        <v>54</v>
      </c>
      <c r="G1027" s="1" t="s">
        <v>55</v>
      </c>
      <c r="H1027" s="2">
        <v>940.0</v>
      </c>
      <c r="I1027" s="2">
        <v>5885.0</v>
      </c>
      <c r="J1027" s="1">
        <v>1987.0</v>
      </c>
      <c r="K1027" s="1">
        <v>35.0</v>
      </c>
      <c r="L1027" s="1" t="s">
        <v>141</v>
      </c>
      <c r="M1027" s="1" t="s">
        <v>4148</v>
      </c>
      <c r="N1027" s="1" t="s">
        <v>43</v>
      </c>
      <c r="O1027" s="1" t="s">
        <v>49</v>
      </c>
      <c r="P1027" s="1" t="s">
        <v>4149</v>
      </c>
    </row>
    <row r="1028" ht="14.25" customHeight="1">
      <c r="A1028" s="1" t="s">
        <v>4150</v>
      </c>
      <c r="B1028" s="1" t="s">
        <v>4151</v>
      </c>
      <c r="C1028" s="1" t="s">
        <v>29</v>
      </c>
      <c r="D1028" s="1">
        <v>97237.0</v>
      </c>
      <c r="E1028" s="1" t="s">
        <v>77</v>
      </c>
      <c r="F1028" s="1" t="s">
        <v>54</v>
      </c>
      <c r="G1028" s="1" t="s">
        <v>21</v>
      </c>
      <c r="H1028" s="2">
        <v>3922.0</v>
      </c>
      <c r="I1028" s="2">
        <v>2239.0</v>
      </c>
      <c r="J1028" s="1">
        <v>2012.0</v>
      </c>
      <c r="K1028" s="1">
        <v>36.0</v>
      </c>
      <c r="L1028" s="1" t="s">
        <v>62</v>
      </c>
      <c r="M1028" s="1" t="s">
        <v>4152</v>
      </c>
      <c r="N1028" s="1" t="s">
        <v>43</v>
      </c>
      <c r="O1028" s="1" t="s">
        <v>49</v>
      </c>
      <c r="P1028" s="1" t="s">
        <v>4153</v>
      </c>
    </row>
    <row r="1029" ht="14.25" customHeight="1">
      <c r="A1029" s="1" t="s">
        <v>4154</v>
      </c>
      <c r="B1029" s="1" t="s">
        <v>4155</v>
      </c>
      <c r="C1029" s="1" t="s">
        <v>18</v>
      </c>
      <c r="D1029" s="1">
        <v>29109.0</v>
      </c>
      <c r="E1029" s="1" t="s">
        <v>19</v>
      </c>
      <c r="F1029" s="1" t="s">
        <v>94</v>
      </c>
      <c r="G1029" s="1" t="s">
        <v>55</v>
      </c>
      <c r="H1029" s="2">
        <v>2641.0</v>
      </c>
      <c r="I1029" s="2">
        <v>3327.0</v>
      </c>
      <c r="J1029" s="1">
        <v>1958.0</v>
      </c>
      <c r="K1029" s="1">
        <v>81.0</v>
      </c>
      <c r="L1029" s="1" t="s">
        <v>141</v>
      </c>
      <c r="M1029" s="1" t="s">
        <v>4156</v>
      </c>
      <c r="N1029" s="1" t="s">
        <v>24</v>
      </c>
      <c r="O1029" s="1" t="s">
        <v>25</v>
      </c>
      <c r="P1029" s="1" t="s">
        <v>4157</v>
      </c>
    </row>
    <row r="1030" ht="14.25" customHeight="1">
      <c r="A1030" s="1" t="s">
        <v>4158</v>
      </c>
      <c r="B1030" s="1" t="s">
        <v>4159</v>
      </c>
      <c r="C1030" s="1" t="s">
        <v>76</v>
      </c>
      <c r="D1030" s="1">
        <v>22219.0</v>
      </c>
      <c r="E1030" s="1" t="s">
        <v>60</v>
      </c>
      <c r="F1030" s="1" t="s">
        <v>94</v>
      </c>
      <c r="G1030" s="1" t="s">
        <v>21</v>
      </c>
      <c r="H1030" s="2">
        <v>1974.0</v>
      </c>
      <c r="I1030" s="2">
        <v>4275.0</v>
      </c>
      <c r="J1030" s="1">
        <v>1988.0</v>
      </c>
      <c r="K1030" s="1">
        <v>64.0</v>
      </c>
      <c r="L1030" s="1" t="s">
        <v>22</v>
      </c>
      <c r="M1030" s="1" t="s">
        <v>4160</v>
      </c>
      <c r="N1030" s="1" t="s">
        <v>48</v>
      </c>
      <c r="O1030" s="1" t="s">
        <v>25</v>
      </c>
      <c r="P1030" s="1" t="s">
        <v>4161</v>
      </c>
    </row>
    <row r="1031" ht="14.25" customHeight="1">
      <c r="A1031" s="1" t="s">
        <v>4162</v>
      </c>
      <c r="B1031" s="1" t="s">
        <v>4163</v>
      </c>
      <c r="C1031" s="1" t="s">
        <v>29</v>
      </c>
      <c r="D1031" s="1">
        <v>63752.0</v>
      </c>
      <c r="E1031" s="1" t="s">
        <v>60</v>
      </c>
      <c r="F1031" s="1" t="s">
        <v>61</v>
      </c>
      <c r="G1031" s="1" t="s">
        <v>55</v>
      </c>
      <c r="H1031" s="2">
        <v>3312.0</v>
      </c>
      <c r="I1031" s="2">
        <v>1681.0</v>
      </c>
      <c r="J1031" s="1">
        <v>1984.0</v>
      </c>
      <c r="K1031" s="1">
        <v>17.0</v>
      </c>
      <c r="L1031" s="1" t="s">
        <v>95</v>
      </c>
      <c r="M1031" s="1" t="s">
        <v>4164</v>
      </c>
      <c r="N1031" s="1" t="s">
        <v>34</v>
      </c>
      <c r="O1031" s="1" t="s">
        <v>35</v>
      </c>
      <c r="P1031" s="1" t="s">
        <v>4165</v>
      </c>
    </row>
    <row r="1032" ht="14.25" customHeight="1">
      <c r="A1032" s="1" t="s">
        <v>4166</v>
      </c>
      <c r="B1032" s="1" t="s">
        <v>4167</v>
      </c>
      <c r="C1032" s="1" t="s">
        <v>76</v>
      </c>
      <c r="D1032" s="1">
        <v>99931.0</v>
      </c>
      <c r="E1032" s="1" t="s">
        <v>60</v>
      </c>
      <c r="F1032" s="1" t="s">
        <v>20</v>
      </c>
      <c r="G1032" s="1" t="s">
        <v>31</v>
      </c>
      <c r="H1032" s="2">
        <v>3125.0</v>
      </c>
      <c r="I1032" s="2">
        <v>2061.0</v>
      </c>
      <c r="J1032" s="1">
        <v>1986.0</v>
      </c>
      <c r="K1032" s="1">
        <v>4.0</v>
      </c>
      <c r="L1032" s="1" t="s">
        <v>141</v>
      </c>
      <c r="M1032" s="1" t="s">
        <v>4168</v>
      </c>
      <c r="N1032" s="1" t="s">
        <v>34</v>
      </c>
      <c r="O1032" s="1" t="s">
        <v>35</v>
      </c>
      <c r="P1032" s="1" t="s">
        <v>4169</v>
      </c>
    </row>
    <row r="1033" ht="14.25" customHeight="1">
      <c r="A1033" s="1" t="s">
        <v>4170</v>
      </c>
      <c r="B1033" s="1" t="s">
        <v>4171</v>
      </c>
      <c r="C1033" s="1" t="s">
        <v>76</v>
      </c>
      <c r="D1033" s="1">
        <v>88211.0</v>
      </c>
      <c r="E1033" s="1" t="s">
        <v>40</v>
      </c>
      <c r="F1033" s="1" t="s">
        <v>20</v>
      </c>
      <c r="G1033" s="1" t="s">
        <v>55</v>
      </c>
      <c r="H1033" s="2">
        <v>3752.0</v>
      </c>
      <c r="I1033" s="2">
        <v>8566.0</v>
      </c>
      <c r="J1033" s="1">
        <v>1973.0</v>
      </c>
      <c r="K1033" s="1">
        <v>77.0</v>
      </c>
      <c r="L1033" s="1" t="s">
        <v>62</v>
      </c>
      <c r="M1033" s="1" t="s">
        <v>4172</v>
      </c>
      <c r="N1033" s="1" t="s">
        <v>24</v>
      </c>
      <c r="O1033" s="1" t="s">
        <v>49</v>
      </c>
      <c r="P1033" s="1" t="s">
        <v>4173</v>
      </c>
    </row>
    <row r="1034" ht="14.25" customHeight="1">
      <c r="A1034" s="1" t="s">
        <v>4174</v>
      </c>
      <c r="B1034" s="1" t="s">
        <v>4175</v>
      </c>
      <c r="C1034" s="1" t="s">
        <v>53</v>
      </c>
      <c r="D1034" s="1">
        <v>70285.0</v>
      </c>
      <c r="E1034" s="1" t="s">
        <v>77</v>
      </c>
      <c r="F1034" s="1" t="s">
        <v>20</v>
      </c>
      <c r="G1034" s="1" t="s">
        <v>55</v>
      </c>
      <c r="H1034" s="2">
        <v>1382.0</v>
      </c>
      <c r="I1034" s="2">
        <v>2112.0</v>
      </c>
      <c r="J1034" s="1">
        <v>1981.0</v>
      </c>
      <c r="K1034" s="1">
        <v>42.0</v>
      </c>
      <c r="L1034" s="1" t="s">
        <v>62</v>
      </c>
      <c r="M1034" s="1" t="s">
        <v>4176</v>
      </c>
      <c r="N1034" s="1" t="s">
        <v>24</v>
      </c>
      <c r="O1034" s="1" t="s">
        <v>49</v>
      </c>
      <c r="P1034" s="1" t="s">
        <v>4177</v>
      </c>
    </row>
    <row r="1035" ht="14.25" customHeight="1">
      <c r="A1035" s="1" t="s">
        <v>4178</v>
      </c>
      <c r="B1035" s="1" t="s">
        <v>4179</v>
      </c>
      <c r="C1035" s="1" t="s">
        <v>39</v>
      </c>
      <c r="D1035" s="1">
        <v>49161.0</v>
      </c>
      <c r="E1035" s="1" t="s">
        <v>19</v>
      </c>
      <c r="F1035" s="1" t="s">
        <v>20</v>
      </c>
      <c r="G1035" s="1" t="s">
        <v>31</v>
      </c>
      <c r="H1035" s="2">
        <v>2322.0</v>
      </c>
      <c r="I1035" s="2">
        <v>7592.0</v>
      </c>
      <c r="J1035" s="1">
        <v>2011.0</v>
      </c>
      <c r="K1035" s="1">
        <v>104.0</v>
      </c>
      <c r="L1035" s="1" t="s">
        <v>95</v>
      </c>
      <c r="M1035" s="1" t="s">
        <v>4180</v>
      </c>
      <c r="N1035" s="1" t="s">
        <v>48</v>
      </c>
      <c r="O1035" s="1" t="s">
        <v>35</v>
      </c>
      <c r="P1035" s="1" t="s">
        <v>4181</v>
      </c>
    </row>
    <row r="1036" ht="14.25" customHeight="1">
      <c r="A1036" s="1" t="s">
        <v>4182</v>
      </c>
      <c r="B1036" s="1" t="s">
        <v>4183</v>
      </c>
      <c r="C1036" s="1" t="s">
        <v>29</v>
      </c>
      <c r="D1036" s="1">
        <v>99270.0</v>
      </c>
      <c r="E1036" s="1" t="s">
        <v>40</v>
      </c>
      <c r="F1036" s="1" t="s">
        <v>94</v>
      </c>
      <c r="G1036" s="1" t="s">
        <v>55</v>
      </c>
      <c r="H1036" s="2">
        <v>3140.0</v>
      </c>
      <c r="I1036" s="2">
        <v>9012.0</v>
      </c>
      <c r="J1036" s="1">
        <v>1999.0</v>
      </c>
      <c r="K1036" s="1">
        <v>16.0</v>
      </c>
      <c r="L1036" s="1" t="s">
        <v>32</v>
      </c>
      <c r="M1036" s="1" t="s">
        <v>4184</v>
      </c>
      <c r="N1036" s="1" t="s">
        <v>43</v>
      </c>
      <c r="O1036" s="1" t="s">
        <v>35</v>
      </c>
      <c r="P1036" s="1" t="s">
        <v>4185</v>
      </c>
    </row>
    <row r="1037" ht="14.25" customHeight="1">
      <c r="A1037" s="1" t="s">
        <v>4186</v>
      </c>
      <c r="B1037" s="1" t="s">
        <v>4187</v>
      </c>
      <c r="C1037" s="1" t="s">
        <v>18</v>
      </c>
      <c r="D1037" s="1">
        <v>17110.0</v>
      </c>
      <c r="E1037" s="1" t="s">
        <v>77</v>
      </c>
      <c r="F1037" s="1" t="s">
        <v>54</v>
      </c>
      <c r="G1037" s="1" t="s">
        <v>31</v>
      </c>
      <c r="H1037" s="2">
        <v>2584.0</v>
      </c>
      <c r="I1037" s="2">
        <v>5196.0</v>
      </c>
      <c r="J1037" s="1">
        <v>1952.0</v>
      </c>
      <c r="K1037" s="1">
        <v>30.0</v>
      </c>
      <c r="L1037" s="1" t="s">
        <v>32</v>
      </c>
      <c r="M1037" s="1" t="s">
        <v>4188</v>
      </c>
      <c r="N1037" s="1" t="s">
        <v>64</v>
      </c>
      <c r="O1037" s="1" t="s">
        <v>25</v>
      </c>
      <c r="P1037" s="1" t="s">
        <v>4189</v>
      </c>
    </row>
    <row r="1038" ht="14.25" customHeight="1">
      <c r="A1038" s="1" t="s">
        <v>4190</v>
      </c>
      <c r="B1038" s="1" t="s">
        <v>4191</v>
      </c>
      <c r="C1038" s="1" t="s">
        <v>53</v>
      </c>
      <c r="D1038" s="1">
        <v>52450.0</v>
      </c>
      <c r="E1038" s="1" t="s">
        <v>60</v>
      </c>
      <c r="F1038" s="1" t="s">
        <v>41</v>
      </c>
      <c r="G1038" s="1" t="s">
        <v>55</v>
      </c>
      <c r="H1038" s="2">
        <v>1030.0</v>
      </c>
      <c r="I1038" s="2">
        <v>2017.0</v>
      </c>
      <c r="J1038" s="1">
        <v>2008.0</v>
      </c>
      <c r="K1038" s="1">
        <v>87.0</v>
      </c>
      <c r="L1038" s="1" t="s">
        <v>62</v>
      </c>
      <c r="M1038" s="1" t="s">
        <v>4192</v>
      </c>
      <c r="N1038" s="1" t="s">
        <v>34</v>
      </c>
      <c r="O1038" s="1" t="s">
        <v>25</v>
      </c>
      <c r="P1038" s="1" t="s">
        <v>4193</v>
      </c>
    </row>
    <row r="1039" ht="14.25" customHeight="1">
      <c r="A1039" s="1" t="s">
        <v>4194</v>
      </c>
      <c r="B1039" s="1" t="s">
        <v>4195</v>
      </c>
      <c r="C1039" s="1" t="s">
        <v>39</v>
      </c>
      <c r="D1039" s="1">
        <v>90015.0</v>
      </c>
      <c r="E1039" s="1" t="s">
        <v>60</v>
      </c>
      <c r="F1039" s="1" t="s">
        <v>41</v>
      </c>
      <c r="G1039" s="1" t="s">
        <v>21</v>
      </c>
      <c r="H1039" s="2">
        <v>2266.0</v>
      </c>
      <c r="I1039" s="2">
        <v>4448.0</v>
      </c>
      <c r="J1039" s="1">
        <v>1963.0</v>
      </c>
      <c r="K1039" s="1">
        <v>106.0</v>
      </c>
      <c r="L1039" s="1" t="s">
        <v>95</v>
      </c>
      <c r="M1039" s="1" t="s">
        <v>4196</v>
      </c>
      <c r="N1039" s="1" t="s">
        <v>64</v>
      </c>
      <c r="O1039" s="1" t="s">
        <v>49</v>
      </c>
      <c r="P1039" s="1" t="s">
        <v>4197</v>
      </c>
    </row>
    <row r="1040" ht="14.25" customHeight="1">
      <c r="A1040" s="1" t="s">
        <v>4198</v>
      </c>
      <c r="B1040" s="1" t="s">
        <v>4199</v>
      </c>
      <c r="C1040" s="1" t="s">
        <v>53</v>
      </c>
      <c r="D1040" s="1">
        <v>77649.0</v>
      </c>
      <c r="E1040" s="1" t="s">
        <v>77</v>
      </c>
      <c r="F1040" s="1" t="s">
        <v>41</v>
      </c>
      <c r="G1040" s="1" t="s">
        <v>31</v>
      </c>
      <c r="H1040" s="2">
        <v>947.0</v>
      </c>
      <c r="I1040" s="2">
        <v>4928.0</v>
      </c>
      <c r="J1040" s="1">
        <v>1989.0</v>
      </c>
      <c r="K1040" s="1">
        <v>56.0</v>
      </c>
      <c r="L1040" s="1" t="s">
        <v>62</v>
      </c>
      <c r="M1040" s="1" t="s">
        <v>4200</v>
      </c>
      <c r="N1040" s="1" t="s">
        <v>64</v>
      </c>
      <c r="O1040" s="1" t="s">
        <v>25</v>
      </c>
      <c r="P1040" s="1" t="s">
        <v>4201</v>
      </c>
    </row>
    <row r="1041" ht="14.25" customHeight="1">
      <c r="A1041" s="1" t="s">
        <v>4202</v>
      </c>
      <c r="B1041" s="1" t="s">
        <v>4203</v>
      </c>
      <c r="C1041" s="1" t="s">
        <v>18</v>
      </c>
      <c r="D1041" s="1">
        <v>47469.0</v>
      </c>
      <c r="E1041" s="1" t="s">
        <v>60</v>
      </c>
      <c r="F1041" s="1" t="s">
        <v>54</v>
      </c>
      <c r="G1041" s="1" t="s">
        <v>31</v>
      </c>
      <c r="H1041" s="2">
        <v>3054.0</v>
      </c>
      <c r="I1041" s="2">
        <v>6628.0</v>
      </c>
      <c r="J1041" s="1">
        <v>1956.0</v>
      </c>
      <c r="K1041" s="1">
        <v>58.0</v>
      </c>
      <c r="L1041" s="1" t="s">
        <v>22</v>
      </c>
      <c r="M1041" s="1" t="s">
        <v>4204</v>
      </c>
      <c r="N1041" s="1" t="s">
        <v>43</v>
      </c>
      <c r="O1041" s="1" t="s">
        <v>25</v>
      </c>
      <c r="P1041" s="1" t="s">
        <v>4205</v>
      </c>
    </row>
    <row r="1042" ht="14.25" customHeight="1">
      <c r="A1042" s="1" t="s">
        <v>4206</v>
      </c>
      <c r="B1042" s="1" t="s">
        <v>4207</v>
      </c>
      <c r="C1042" s="1" t="s">
        <v>76</v>
      </c>
      <c r="D1042" s="1">
        <v>38263.0</v>
      </c>
      <c r="E1042" s="1" t="s">
        <v>30</v>
      </c>
      <c r="F1042" s="1" t="s">
        <v>54</v>
      </c>
      <c r="G1042" s="1" t="s">
        <v>31</v>
      </c>
      <c r="H1042" s="2">
        <v>2213.0</v>
      </c>
      <c r="I1042" s="2">
        <v>6162.0</v>
      </c>
      <c r="J1042" s="1">
        <v>1980.0</v>
      </c>
      <c r="K1042" s="1">
        <v>58.0</v>
      </c>
      <c r="L1042" s="1" t="s">
        <v>141</v>
      </c>
      <c r="M1042" s="1" t="s">
        <v>4208</v>
      </c>
      <c r="N1042" s="1" t="s">
        <v>24</v>
      </c>
      <c r="O1042" s="1" t="s">
        <v>25</v>
      </c>
      <c r="P1042" s="1" t="s">
        <v>4209</v>
      </c>
    </row>
    <row r="1043" ht="14.25" customHeight="1">
      <c r="A1043" s="1" t="s">
        <v>4210</v>
      </c>
      <c r="B1043" s="1" t="s">
        <v>4211</v>
      </c>
      <c r="C1043" s="1" t="s">
        <v>76</v>
      </c>
      <c r="D1043" s="1">
        <v>99845.0</v>
      </c>
      <c r="E1043" s="1" t="s">
        <v>40</v>
      </c>
      <c r="F1043" s="1" t="s">
        <v>46</v>
      </c>
      <c r="G1043" s="1" t="s">
        <v>100</v>
      </c>
      <c r="H1043" s="2">
        <v>810.0</v>
      </c>
      <c r="I1043" s="2">
        <v>3859.0</v>
      </c>
      <c r="J1043" s="1">
        <v>1985.0</v>
      </c>
      <c r="K1043" s="1">
        <v>59.0</v>
      </c>
      <c r="L1043" s="1" t="s">
        <v>141</v>
      </c>
      <c r="M1043" s="1" t="s">
        <v>4212</v>
      </c>
      <c r="N1043" s="1" t="s">
        <v>43</v>
      </c>
      <c r="O1043" s="1" t="s">
        <v>49</v>
      </c>
      <c r="P1043" s="1" t="s">
        <v>4213</v>
      </c>
    </row>
    <row r="1044" ht="14.25" customHeight="1">
      <c r="A1044" s="1" t="s">
        <v>4214</v>
      </c>
      <c r="B1044" s="1" t="s">
        <v>4215</v>
      </c>
      <c r="C1044" s="1" t="s">
        <v>76</v>
      </c>
      <c r="D1044" s="1">
        <v>42599.0</v>
      </c>
      <c r="E1044" s="1" t="s">
        <v>40</v>
      </c>
      <c r="F1044" s="1" t="s">
        <v>46</v>
      </c>
      <c r="G1044" s="1" t="s">
        <v>31</v>
      </c>
      <c r="H1044" s="2">
        <v>3810.0</v>
      </c>
      <c r="I1044" s="2">
        <v>9866.0</v>
      </c>
      <c r="J1044" s="1">
        <v>1967.0</v>
      </c>
      <c r="K1044" s="1">
        <v>29.0</v>
      </c>
      <c r="L1044" s="1" t="s">
        <v>62</v>
      </c>
      <c r="M1044" s="1" t="s">
        <v>4216</v>
      </c>
      <c r="N1044" s="1" t="s">
        <v>64</v>
      </c>
      <c r="O1044" s="1" t="s">
        <v>25</v>
      </c>
      <c r="P1044" s="1" t="s">
        <v>4217</v>
      </c>
    </row>
    <row r="1045" ht="14.25" customHeight="1">
      <c r="A1045" s="1" t="s">
        <v>4218</v>
      </c>
      <c r="B1045" s="1" t="s">
        <v>4219</v>
      </c>
      <c r="C1045" s="1" t="s">
        <v>39</v>
      </c>
      <c r="D1045" s="1">
        <v>90056.0</v>
      </c>
      <c r="E1045" s="1" t="s">
        <v>19</v>
      </c>
      <c r="F1045" s="1" t="s">
        <v>41</v>
      </c>
      <c r="G1045" s="1" t="s">
        <v>31</v>
      </c>
      <c r="H1045" s="2">
        <v>3818.0</v>
      </c>
      <c r="I1045" s="2">
        <v>6476.0</v>
      </c>
      <c r="J1045" s="1">
        <v>2001.0</v>
      </c>
      <c r="K1045" s="1">
        <v>14.0</v>
      </c>
      <c r="L1045" s="1" t="s">
        <v>95</v>
      </c>
      <c r="M1045" s="1" t="s">
        <v>4220</v>
      </c>
      <c r="N1045" s="1" t="s">
        <v>34</v>
      </c>
      <c r="O1045" s="1" t="s">
        <v>35</v>
      </c>
      <c r="P1045" s="1" t="s">
        <v>4221</v>
      </c>
    </row>
    <row r="1046" ht="14.25" customHeight="1">
      <c r="A1046" s="1" t="s">
        <v>4222</v>
      </c>
      <c r="B1046" s="1" t="s">
        <v>4223</v>
      </c>
      <c r="C1046" s="1" t="s">
        <v>29</v>
      </c>
      <c r="D1046" s="1">
        <v>38332.0</v>
      </c>
      <c r="E1046" s="1" t="s">
        <v>40</v>
      </c>
      <c r="F1046" s="1" t="s">
        <v>46</v>
      </c>
      <c r="G1046" s="1" t="s">
        <v>31</v>
      </c>
      <c r="H1046" s="2">
        <v>3399.0</v>
      </c>
      <c r="I1046" s="2">
        <v>8678.0</v>
      </c>
      <c r="J1046" s="1">
        <v>2008.0</v>
      </c>
      <c r="K1046" s="1">
        <v>8.0</v>
      </c>
      <c r="L1046" s="1" t="s">
        <v>32</v>
      </c>
      <c r="M1046" s="1" t="s">
        <v>4224</v>
      </c>
      <c r="N1046" s="1" t="s">
        <v>34</v>
      </c>
      <c r="O1046" s="1" t="s">
        <v>35</v>
      </c>
      <c r="P1046" s="1" t="s">
        <v>4225</v>
      </c>
    </row>
    <row r="1047" ht="14.25" customHeight="1">
      <c r="A1047" s="1" t="s">
        <v>4226</v>
      </c>
      <c r="B1047" s="1" t="s">
        <v>4227</v>
      </c>
      <c r="C1047" s="1" t="s">
        <v>18</v>
      </c>
      <c r="D1047" s="1">
        <v>21488.0</v>
      </c>
      <c r="E1047" s="1" t="s">
        <v>77</v>
      </c>
      <c r="F1047" s="1" t="s">
        <v>20</v>
      </c>
      <c r="G1047" s="1" t="s">
        <v>21</v>
      </c>
      <c r="H1047" s="2">
        <v>3340.0</v>
      </c>
      <c r="I1047" s="2">
        <v>9797.0</v>
      </c>
      <c r="J1047" s="1">
        <v>1986.0</v>
      </c>
      <c r="K1047" s="1">
        <v>68.0</v>
      </c>
      <c r="L1047" s="1" t="s">
        <v>32</v>
      </c>
      <c r="M1047" s="1" t="s">
        <v>4228</v>
      </c>
      <c r="N1047" s="1" t="s">
        <v>43</v>
      </c>
      <c r="O1047" s="1" t="s">
        <v>49</v>
      </c>
      <c r="P1047" s="1" t="s">
        <v>4229</v>
      </c>
    </row>
    <row r="1048" ht="14.25" customHeight="1">
      <c r="A1048" s="1" t="s">
        <v>4230</v>
      </c>
      <c r="B1048" s="1" t="s">
        <v>4231</v>
      </c>
      <c r="C1048" s="1" t="s">
        <v>76</v>
      </c>
      <c r="D1048" s="1">
        <v>47349.0</v>
      </c>
      <c r="E1048" s="1" t="s">
        <v>77</v>
      </c>
      <c r="F1048" s="1" t="s">
        <v>54</v>
      </c>
      <c r="G1048" s="1" t="s">
        <v>55</v>
      </c>
      <c r="H1048" s="2">
        <v>2137.0</v>
      </c>
      <c r="I1048" s="2">
        <v>5945.0</v>
      </c>
      <c r="J1048" s="1">
        <v>1967.0</v>
      </c>
      <c r="K1048" s="1">
        <v>91.0</v>
      </c>
      <c r="L1048" s="1" t="s">
        <v>95</v>
      </c>
      <c r="M1048" s="1" t="s">
        <v>4232</v>
      </c>
      <c r="N1048" s="1" t="s">
        <v>48</v>
      </c>
      <c r="O1048" s="1" t="s">
        <v>35</v>
      </c>
      <c r="P1048" s="1" t="s">
        <v>4233</v>
      </c>
    </row>
    <row r="1049" ht="14.25" customHeight="1">
      <c r="A1049" s="1" t="s">
        <v>4234</v>
      </c>
      <c r="B1049" s="1" t="s">
        <v>4235</v>
      </c>
      <c r="C1049" s="1" t="s">
        <v>53</v>
      </c>
      <c r="D1049" s="1">
        <v>73115.0</v>
      </c>
      <c r="E1049" s="1" t="s">
        <v>30</v>
      </c>
      <c r="F1049" s="1" t="s">
        <v>46</v>
      </c>
      <c r="G1049" s="1" t="s">
        <v>55</v>
      </c>
      <c r="H1049" s="2">
        <v>609.0</v>
      </c>
      <c r="I1049" s="2">
        <v>9127.0</v>
      </c>
      <c r="J1049" s="1">
        <v>1973.0</v>
      </c>
      <c r="K1049" s="1">
        <v>25.0</v>
      </c>
      <c r="L1049" s="1" t="s">
        <v>62</v>
      </c>
      <c r="M1049" s="1" t="s">
        <v>4236</v>
      </c>
      <c r="N1049" s="1" t="s">
        <v>24</v>
      </c>
      <c r="O1049" s="1" t="s">
        <v>49</v>
      </c>
      <c r="P1049" s="1" t="s">
        <v>4237</v>
      </c>
    </row>
    <row r="1050" ht="14.25" customHeight="1">
      <c r="A1050" s="1" t="s">
        <v>4238</v>
      </c>
      <c r="B1050" s="1" t="s">
        <v>4239</v>
      </c>
      <c r="C1050" s="1" t="s">
        <v>29</v>
      </c>
      <c r="D1050" s="1">
        <v>74946.0</v>
      </c>
      <c r="E1050" s="1" t="s">
        <v>77</v>
      </c>
      <c r="F1050" s="1" t="s">
        <v>41</v>
      </c>
      <c r="G1050" s="1" t="s">
        <v>100</v>
      </c>
      <c r="H1050" s="2">
        <v>2139.0</v>
      </c>
      <c r="I1050" s="2">
        <v>1266.0</v>
      </c>
      <c r="J1050" s="1">
        <v>2011.0</v>
      </c>
      <c r="K1050" s="1">
        <v>22.0</v>
      </c>
      <c r="L1050" s="1" t="s">
        <v>141</v>
      </c>
      <c r="M1050" s="1" t="s">
        <v>4240</v>
      </c>
      <c r="N1050" s="1" t="s">
        <v>24</v>
      </c>
      <c r="O1050" s="1" t="s">
        <v>25</v>
      </c>
      <c r="P1050" s="1" t="s">
        <v>4241</v>
      </c>
    </row>
    <row r="1051" ht="14.25" customHeight="1">
      <c r="A1051" s="1" t="s">
        <v>4242</v>
      </c>
      <c r="B1051" s="1" t="s">
        <v>4243</v>
      </c>
      <c r="C1051" s="1" t="s">
        <v>18</v>
      </c>
      <c r="D1051" s="1">
        <v>62025.0</v>
      </c>
      <c r="E1051" s="1" t="s">
        <v>77</v>
      </c>
      <c r="F1051" s="1" t="s">
        <v>61</v>
      </c>
      <c r="G1051" s="1" t="s">
        <v>55</v>
      </c>
      <c r="H1051" s="2">
        <v>2474.0</v>
      </c>
      <c r="I1051" s="2">
        <v>3110.0</v>
      </c>
      <c r="J1051" s="1">
        <v>1989.0</v>
      </c>
      <c r="K1051" s="1">
        <v>57.0</v>
      </c>
      <c r="L1051" s="1" t="s">
        <v>141</v>
      </c>
      <c r="M1051" s="1" t="s">
        <v>4244</v>
      </c>
      <c r="N1051" s="1" t="s">
        <v>64</v>
      </c>
      <c r="O1051" s="1" t="s">
        <v>35</v>
      </c>
      <c r="P1051" s="1" t="s">
        <v>4245</v>
      </c>
    </row>
    <row r="1052" ht="14.25" customHeight="1">
      <c r="A1052" s="1" t="s">
        <v>4246</v>
      </c>
      <c r="B1052" s="1" t="s">
        <v>4247</v>
      </c>
      <c r="C1052" s="1" t="s">
        <v>18</v>
      </c>
      <c r="D1052" s="1">
        <v>25704.0</v>
      </c>
      <c r="E1052" s="1" t="s">
        <v>30</v>
      </c>
      <c r="F1052" s="1" t="s">
        <v>46</v>
      </c>
      <c r="G1052" s="1" t="s">
        <v>21</v>
      </c>
      <c r="H1052" s="2">
        <v>3140.0</v>
      </c>
      <c r="I1052" s="2">
        <v>4951.0</v>
      </c>
      <c r="J1052" s="1">
        <v>1961.0</v>
      </c>
      <c r="K1052" s="1">
        <v>46.0</v>
      </c>
      <c r="L1052" s="1" t="s">
        <v>141</v>
      </c>
      <c r="M1052" s="1" t="s">
        <v>4248</v>
      </c>
      <c r="N1052" s="1" t="s">
        <v>24</v>
      </c>
      <c r="O1052" s="1" t="s">
        <v>49</v>
      </c>
      <c r="P1052" s="1" t="s">
        <v>4249</v>
      </c>
    </row>
    <row r="1053" ht="14.25" customHeight="1">
      <c r="A1053" s="1" t="s">
        <v>4250</v>
      </c>
      <c r="B1053" s="1" t="s">
        <v>4251</v>
      </c>
      <c r="C1053" s="1" t="s">
        <v>76</v>
      </c>
      <c r="D1053" s="1">
        <v>88279.0</v>
      </c>
      <c r="E1053" s="1" t="s">
        <v>40</v>
      </c>
      <c r="F1053" s="1" t="s">
        <v>54</v>
      </c>
      <c r="G1053" s="1" t="s">
        <v>55</v>
      </c>
      <c r="H1053" s="2">
        <v>2827.0</v>
      </c>
      <c r="I1053" s="2">
        <v>3640.0</v>
      </c>
      <c r="J1053" s="1">
        <v>2007.0</v>
      </c>
      <c r="K1053" s="1">
        <v>11.0</v>
      </c>
      <c r="L1053" s="1" t="s">
        <v>32</v>
      </c>
      <c r="M1053" s="1" t="s">
        <v>4252</v>
      </c>
      <c r="N1053" s="1" t="s">
        <v>48</v>
      </c>
      <c r="O1053" s="1" t="s">
        <v>49</v>
      </c>
      <c r="P1053" s="1" t="s">
        <v>4253</v>
      </c>
    </row>
    <row r="1054" ht="14.25" customHeight="1">
      <c r="A1054" s="1" t="s">
        <v>4254</v>
      </c>
      <c r="B1054" s="1" t="s">
        <v>4255</v>
      </c>
      <c r="C1054" s="1" t="s">
        <v>39</v>
      </c>
      <c r="D1054" s="1">
        <v>72578.0</v>
      </c>
      <c r="E1054" s="1" t="s">
        <v>40</v>
      </c>
      <c r="F1054" s="1" t="s">
        <v>46</v>
      </c>
      <c r="G1054" s="1" t="s">
        <v>21</v>
      </c>
      <c r="H1054" s="2">
        <v>2872.0</v>
      </c>
      <c r="I1054" s="2">
        <v>7449.0</v>
      </c>
      <c r="J1054" s="1">
        <v>2006.0</v>
      </c>
      <c r="K1054" s="1">
        <v>110.0</v>
      </c>
      <c r="L1054" s="1" t="s">
        <v>32</v>
      </c>
      <c r="M1054" s="1" t="s">
        <v>4256</v>
      </c>
      <c r="N1054" s="1" t="s">
        <v>24</v>
      </c>
      <c r="O1054" s="1" t="s">
        <v>35</v>
      </c>
      <c r="P1054" s="1" t="s">
        <v>4257</v>
      </c>
    </row>
    <row r="1055" ht="14.25" customHeight="1">
      <c r="A1055" s="1" t="s">
        <v>4258</v>
      </c>
      <c r="B1055" s="1" t="s">
        <v>4259</v>
      </c>
      <c r="C1055" s="1" t="s">
        <v>18</v>
      </c>
      <c r="D1055" s="1">
        <v>71044.0</v>
      </c>
      <c r="E1055" s="1" t="s">
        <v>77</v>
      </c>
      <c r="F1055" s="1" t="s">
        <v>54</v>
      </c>
      <c r="G1055" s="1" t="s">
        <v>31</v>
      </c>
      <c r="H1055" s="2">
        <v>2076.0</v>
      </c>
      <c r="I1055" s="2">
        <v>3784.0</v>
      </c>
      <c r="J1055" s="1">
        <v>1968.0</v>
      </c>
      <c r="K1055" s="1">
        <v>43.0</v>
      </c>
      <c r="L1055" s="1" t="s">
        <v>32</v>
      </c>
      <c r="M1055" s="1" t="s">
        <v>4260</v>
      </c>
      <c r="N1055" s="1" t="s">
        <v>24</v>
      </c>
      <c r="O1055" s="1" t="s">
        <v>49</v>
      </c>
      <c r="P1055" s="1" t="s">
        <v>4261</v>
      </c>
    </row>
    <row r="1056" ht="14.25" customHeight="1">
      <c r="A1056" s="1" t="s">
        <v>4262</v>
      </c>
      <c r="B1056" s="1" t="s">
        <v>4263</v>
      </c>
      <c r="C1056" s="1" t="s">
        <v>18</v>
      </c>
      <c r="D1056" s="1">
        <v>81110.0</v>
      </c>
      <c r="E1056" s="1" t="s">
        <v>30</v>
      </c>
      <c r="F1056" s="1" t="s">
        <v>61</v>
      </c>
      <c r="G1056" s="1" t="s">
        <v>31</v>
      </c>
      <c r="H1056" s="2">
        <v>3233.0</v>
      </c>
      <c r="I1056" s="2">
        <v>8192.0</v>
      </c>
      <c r="J1056" s="1">
        <v>2007.0</v>
      </c>
      <c r="K1056" s="1">
        <v>89.0</v>
      </c>
      <c r="L1056" s="1" t="s">
        <v>62</v>
      </c>
      <c r="M1056" s="1" t="s">
        <v>4264</v>
      </c>
      <c r="N1056" s="1" t="s">
        <v>43</v>
      </c>
      <c r="O1056" s="1" t="s">
        <v>49</v>
      </c>
      <c r="P1056" s="1" t="s">
        <v>4265</v>
      </c>
    </row>
    <row r="1057" ht="14.25" customHeight="1">
      <c r="A1057" s="1" t="s">
        <v>4266</v>
      </c>
      <c r="B1057" s="1" t="s">
        <v>4267</v>
      </c>
      <c r="C1057" s="1" t="s">
        <v>76</v>
      </c>
      <c r="D1057" s="1">
        <v>42781.0</v>
      </c>
      <c r="E1057" s="1" t="s">
        <v>30</v>
      </c>
      <c r="F1057" s="1" t="s">
        <v>61</v>
      </c>
      <c r="G1057" s="1" t="s">
        <v>31</v>
      </c>
      <c r="H1057" s="2">
        <v>1549.0</v>
      </c>
      <c r="I1057" s="2">
        <v>9759.0</v>
      </c>
      <c r="J1057" s="1">
        <v>1998.0</v>
      </c>
      <c r="K1057" s="1">
        <v>107.0</v>
      </c>
      <c r="L1057" s="1" t="s">
        <v>22</v>
      </c>
      <c r="M1057" s="1" t="s">
        <v>4268</v>
      </c>
      <c r="N1057" s="1" t="s">
        <v>48</v>
      </c>
      <c r="O1057" s="1" t="s">
        <v>35</v>
      </c>
      <c r="P1057" s="1" t="s">
        <v>4269</v>
      </c>
    </row>
    <row r="1058" ht="14.25" customHeight="1">
      <c r="A1058" s="1" t="s">
        <v>4270</v>
      </c>
      <c r="B1058" s="1" t="s">
        <v>4271</v>
      </c>
      <c r="C1058" s="1" t="s">
        <v>39</v>
      </c>
      <c r="D1058" s="1">
        <v>82732.0</v>
      </c>
      <c r="E1058" s="1" t="s">
        <v>60</v>
      </c>
      <c r="F1058" s="1" t="s">
        <v>20</v>
      </c>
      <c r="G1058" s="1" t="s">
        <v>55</v>
      </c>
      <c r="H1058" s="2">
        <v>1340.0</v>
      </c>
      <c r="I1058" s="2">
        <v>9464.0</v>
      </c>
      <c r="J1058" s="1">
        <v>1969.0</v>
      </c>
      <c r="K1058" s="1">
        <v>94.0</v>
      </c>
      <c r="L1058" s="1" t="s">
        <v>32</v>
      </c>
      <c r="M1058" s="1" t="s">
        <v>4272</v>
      </c>
      <c r="N1058" s="1" t="s">
        <v>48</v>
      </c>
      <c r="O1058" s="1" t="s">
        <v>35</v>
      </c>
      <c r="P1058" s="1" t="s">
        <v>4273</v>
      </c>
    </row>
    <row r="1059" ht="14.25" customHeight="1">
      <c r="A1059" s="1" t="s">
        <v>4274</v>
      </c>
      <c r="B1059" s="1" t="s">
        <v>4275</v>
      </c>
      <c r="C1059" s="1" t="s">
        <v>76</v>
      </c>
      <c r="D1059" s="1">
        <v>56312.0</v>
      </c>
      <c r="E1059" s="1" t="s">
        <v>40</v>
      </c>
      <c r="F1059" s="1" t="s">
        <v>94</v>
      </c>
      <c r="G1059" s="1" t="s">
        <v>31</v>
      </c>
      <c r="H1059" s="2">
        <v>1460.0</v>
      </c>
      <c r="I1059" s="2">
        <v>3678.0</v>
      </c>
      <c r="J1059" s="1">
        <v>2007.0</v>
      </c>
      <c r="K1059" s="1">
        <v>80.0</v>
      </c>
      <c r="L1059" s="1" t="s">
        <v>95</v>
      </c>
      <c r="M1059" s="1" t="s">
        <v>4276</v>
      </c>
      <c r="N1059" s="1" t="s">
        <v>48</v>
      </c>
      <c r="O1059" s="1" t="s">
        <v>49</v>
      </c>
      <c r="P1059" s="1" t="s">
        <v>4277</v>
      </c>
    </row>
    <row r="1060" ht="14.25" customHeight="1">
      <c r="A1060" s="1" t="s">
        <v>4278</v>
      </c>
      <c r="B1060" s="1" t="s">
        <v>4279</v>
      </c>
      <c r="C1060" s="1" t="s">
        <v>39</v>
      </c>
      <c r="D1060" s="1">
        <v>59720.0</v>
      </c>
      <c r="E1060" s="1" t="s">
        <v>77</v>
      </c>
      <c r="F1060" s="1" t="s">
        <v>20</v>
      </c>
      <c r="G1060" s="1" t="s">
        <v>100</v>
      </c>
      <c r="H1060" s="2">
        <v>1534.0</v>
      </c>
      <c r="I1060" s="2">
        <v>5943.0</v>
      </c>
      <c r="J1060" s="1">
        <v>1981.0</v>
      </c>
      <c r="K1060" s="1">
        <v>47.0</v>
      </c>
      <c r="L1060" s="1" t="s">
        <v>62</v>
      </c>
      <c r="M1060" s="1" t="s">
        <v>4280</v>
      </c>
      <c r="N1060" s="1" t="s">
        <v>64</v>
      </c>
      <c r="O1060" s="1" t="s">
        <v>49</v>
      </c>
      <c r="P1060" s="1" t="s">
        <v>4281</v>
      </c>
    </row>
    <row r="1061" ht="14.25" customHeight="1">
      <c r="A1061" s="1" t="s">
        <v>4282</v>
      </c>
      <c r="B1061" s="1" t="s">
        <v>4283</v>
      </c>
      <c r="C1061" s="1" t="s">
        <v>18</v>
      </c>
      <c r="D1061" s="1">
        <v>49598.0</v>
      </c>
      <c r="E1061" s="1" t="s">
        <v>40</v>
      </c>
      <c r="F1061" s="1" t="s">
        <v>46</v>
      </c>
      <c r="G1061" s="1" t="s">
        <v>31</v>
      </c>
      <c r="H1061" s="2">
        <v>1886.0</v>
      </c>
      <c r="I1061" s="2">
        <v>4102.0</v>
      </c>
      <c r="J1061" s="1">
        <v>1972.0</v>
      </c>
      <c r="K1061" s="1">
        <v>61.0</v>
      </c>
      <c r="L1061" s="1" t="s">
        <v>22</v>
      </c>
      <c r="M1061" s="1" t="s">
        <v>4284</v>
      </c>
      <c r="N1061" s="1" t="s">
        <v>43</v>
      </c>
      <c r="O1061" s="1" t="s">
        <v>49</v>
      </c>
      <c r="P1061" s="1" t="s">
        <v>4285</v>
      </c>
    </row>
    <row r="1062" ht="14.25" customHeight="1">
      <c r="A1062" s="1" t="s">
        <v>4286</v>
      </c>
      <c r="B1062" s="1" t="s">
        <v>4287</v>
      </c>
      <c r="C1062" s="1" t="s">
        <v>29</v>
      </c>
      <c r="D1062" s="1">
        <v>50971.0</v>
      </c>
      <c r="E1062" s="1" t="s">
        <v>30</v>
      </c>
      <c r="F1062" s="1" t="s">
        <v>20</v>
      </c>
      <c r="G1062" s="1" t="s">
        <v>100</v>
      </c>
      <c r="H1062" s="2">
        <v>1887.0</v>
      </c>
      <c r="I1062" s="2">
        <v>3822.0</v>
      </c>
      <c r="J1062" s="1">
        <v>2014.0</v>
      </c>
      <c r="K1062" s="1">
        <v>78.0</v>
      </c>
      <c r="L1062" s="1" t="s">
        <v>95</v>
      </c>
      <c r="M1062" s="1" t="s">
        <v>4288</v>
      </c>
      <c r="N1062" s="1" t="s">
        <v>48</v>
      </c>
      <c r="O1062" s="1" t="s">
        <v>49</v>
      </c>
      <c r="P1062" s="1" t="s">
        <v>4289</v>
      </c>
    </row>
    <row r="1063" ht="14.25" customHeight="1">
      <c r="A1063" s="1" t="s">
        <v>4290</v>
      </c>
      <c r="B1063" s="1" t="s">
        <v>4291</v>
      </c>
      <c r="C1063" s="1" t="s">
        <v>53</v>
      </c>
      <c r="D1063" s="1">
        <v>80765.0</v>
      </c>
      <c r="E1063" s="1" t="s">
        <v>77</v>
      </c>
      <c r="F1063" s="1" t="s">
        <v>61</v>
      </c>
      <c r="G1063" s="1" t="s">
        <v>100</v>
      </c>
      <c r="H1063" s="2">
        <v>1950.0</v>
      </c>
      <c r="I1063" s="2">
        <v>8973.0</v>
      </c>
      <c r="J1063" s="1">
        <v>1996.0</v>
      </c>
      <c r="K1063" s="1">
        <v>105.0</v>
      </c>
      <c r="L1063" s="1" t="s">
        <v>141</v>
      </c>
      <c r="M1063" s="1" t="s">
        <v>4292</v>
      </c>
      <c r="N1063" s="1" t="s">
        <v>64</v>
      </c>
      <c r="O1063" s="1" t="s">
        <v>49</v>
      </c>
      <c r="P1063" s="1" t="s">
        <v>4293</v>
      </c>
    </row>
    <row r="1064" ht="14.25" customHeight="1">
      <c r="A1064" s="1" t="s">
        <v>4294</v>
      </c>
      <c r="B1064" s="1" t="s">
        <v>4295</v>
      </c>
      <c r="C1064" s="1" t="s">
        <v>18</v>
      </c>
      <c r="D1064" s="1">
        <v>57171.0</v>
      </c>
      <c r="E1064" s="1" t="s">
        <v>60</v>
      </c>
      <c r="F1064" s="1" t="s">
        <v>41</v>
      </c>
      <c r="G1064" s="1" t="s">
        <v>21</v>
      </c>
      <c r="H1064" s="2">
        <v>2549.0</v>
      </c>
      <c r="I1064" s="2">
        <v>3939.0</v>
      </c>
      <c r="J1064" s="1">
        <v>1955.0</v>
      </c>
      <c r="K1064" s="1">
        <v>10.0</v>
      </c>
      <c r="L1064" s="1" t="s">
        <v>141</v>
      </c>
      <c r="M1064" s="1" t="s">
        <v>4296</v>
      </c>
      <c r="N1064" s="1" t="s">
        <v>43</v>
      </c>
      <c r="O1064" s="1" t="s">
        <v>25</v>
      </c>
      <c r="P1064" s="1" t="s">
        <v>4297</v>
      </c>
    </row>
    <row r="1065" ht="14.25" customHeight="1">
      <c r="A1065" s="1" t="s">
        <v>4298</v>
      </c>
      <c r="B1065" s="1" t="s">
        <v>4299</v>
      </c>
      <c r="C1065" s="1" t="s">
        <v>39</v>
      </c>
      <c r="D1065" s="1">
        <v>49084.0</v>
      </c>
      <c r="E1065" s="1" t="s">
        <v>19</v>
      </c>
      <c r="F1065" s="1" t="s">
        <v>94</v>
      </c>
      <c r="G1065" s="1" t="s">
        <v>100</v>
      </c>
      <c r="H1065" s="2">
        <v>3794.0</v>
      </c>
      <c r="I1065" s="2">
        <v>5661.0</v>
      </c>
      <c r="J1065" s="1">
        <v>1995.0</v>
      </c>
      <c r="K1065" s="1">
        <v>109.0</v>
      </c>
      <c r="L1065" s="1" t="s">
        <v>32</v>
      </c>
      <c r="M1065" s="1" t="s">
        <v>4300</v>
      </c>
      <c r="N1065" s="1" t="s">
        <v>34</v>
      </c>
      <c r="O1065" s="1" t="s">
        <v>49</v>
      </c>
      <c r="P1065" s="1" t="s">
        <v>4301</v>
      </c>
    </row>
    <row r="1066" ht="14.25" customHeight="1">
      <c r="A1066" s="1" t="s">
        <v>4302</v>
      </c>
      <c r="B1066" s="1" t="s">
        <v>4303</v>
      </c>
      <c r="C1066" s="1" t="s">
        <v>18</v>
      </c>
      <c r="D1066" s="1">
        <v>21055.0</v>
      </c>
      <c r="E1066" s="1" t="s">
        <v>40</v>
      </c>
      <c r="F1066" s="1" t="s">
        <v>54</v>
      </c>
      <c r="G1066" s="1" t="s">
        <v>31</v>
      </c>
      <c r="H1066" s="2">
        <v>1556.0</v>
      </c>
      <c r="I1066" s="2">
        <v>3510.0</v>
      </c>
      <c r="J1066" s="1">
        <v>1976.0</v>
      </c>
      <c r="K1066" s="1">
        <v>105.0</v>
      </c>
      <c r="L1066" s="1" t="s">
        <v>95</v>
      </c>
      <c r="M1066" s="1" t="s">
        <v>4304</v>
      </c>
      <c r="N1066" s="1" t="s">
        <v>34</v>
      </c>
      <c r="O1066" s="1" t="s">
        <v>35</v>
      </c>
      <c r="P1066" s="1" t="s">
        <v>4305</v>
      </c>
    </row>
    <row r="1067" ht="14.25" customHeight="1">
      <c r="A1067" s="1" t="s">
        <v>4306</v>
      </c>
      <c r="B1067" s="1" t="s">
        <v>4307</v>
      </c>
      <c r="C1067" s="1" t="s">
        <v>53</v>
      </c>
      <c r="D1067" s="1">
        <v>67428.0</v>
      </c>
      <c r="E1067" s="1" t="s">
        <v>40</v>
      </c>
      <c r="F1067" s="1" t="s">
        <v>54</v>
      </c>
      <c r="G1067" s="1" t="s">
        <v>31</v>
      </c>
      <c r="H1067" s="2">
        <v>970.0</v>
      </c>
      <c r="I1067" s="2">
        <v>7044.0</v>
      </c>
      <c r="J1067" s="1">
        <v>1964.0</v>
      </c>
      <c r="K1067" s="1">
        <v>7.0</v>
      </c>
      <c r="L1067" s="1" t="s">
        <v>141</v>
      </c>
      <c r="M1067" s="1" t="s">
        <v>4308</v>
      </c>
      <c r="N1067" s="1" t="s">
        <v>24</v>
      </c>
      <c r="O1067" s="1" t="s">
        <v>49</v>
      </c>
      <c r="P1067" s="1" t="s">
        <v>4309</v>
      </c>
    </row>
    <row r="1068" ht="14.25" customHeight="1">
      <c r="A1068" s="1" t="s">
        <v>4310</v>
      </c>
      <c r="B1068" s="1" t="s">
        <v>4311</v>
      </c>
      <c r="C1068" s="1" t="s">
        <v>76</v>
      </c>
      <c r="D1068" s="1">
        <v>48114.0</v>
      </c>
      <c r="E1068" s="1" t="s">
        <v>30</v>
      </c>
      <c r="F1068" s="1" t="s">
        <v>54</v>
      </c>
      <c r="G1068" s="1" t="s">
        <v>31</v>
      </c>
      <c r="H1068" s="2">
        <v>992.0</v>
      </c>
      <c r="I1068" s="2">
        <v>7775.0</v>
      </c>
      <c r="J1068" s="1">
        <v>1992.0</v>
      </c>
      <c r="K1068" s="1">
        <v>88.0</v>
      </c>
      <c r="L1068" s="1" t="s">
        <v>62</v>
      </c>
      <c r="M1068" s="1" t="s">
        <v>4312</v>
      </c>
      <c r="N1068" s="1" t="s">
        <v>24</v>
      </c>
      <c r="O1068" s="1" t="s">
        <v>25</v>
      </c>
      <c r="P1068" s="1" t="s">
        <v>4313</v>
      </c>
    </row>
    <row r="1069" ht="14.25" customHeight="1">
      <c r="A1069" s="1" t="s">
        <v>4314</v>
      </c>
      <c r="B1069" s="1" t="s">
        <v>4315</v>
      </c>
      <c r="C1069" s="1" t="s">
        <v>18</v>
      </c>
      <c r="D1069" s="1">
        <v>63771.0</v>
      </c>
      <c r="E1069" s="1" t="s">
        <v>19</v>
      </c>
      <c r="F1069" s="1" t="s">
        <v>54</v>
      </c>
      <c r="G1069" s="1" t="s">
        <v>55</v>
      </c>
      <c r="H1069" s="2">
        <v>1687.0</v>
      </c>
      <c r="I1069" s="2">
        <v>6031.0</v>
      </c>
      <c r="J1069" s="1">
        <v>1962.0</v>
      </c>
      <c r="K1069" s="1">
        <v>32.0</v>
      </c>
      <c r="L1069" s="1" t="s">
        <v>95</v>
      </c>
      <c r="M1069" s="1" t="s">
        <v>4316</v>
      </c>
      <c r="N1069" s="1" t="s">
        <v>43</v>
      </c>
      <c r="O1069" s="1" t="s">
        <v>49</v>
      </c>
      <c r="P1069" s="1" t="s">
        <v>4317</v>
      </c>
    </row>
    <row r="1070" ht="14.25" customHeight="1">
      <c r="A1070" s="1" t="s">
        <v>4318</v>
      </c>
      <c r="B1070" s="1" t="s">
        <v>4319</v>
      </c>
      <c r="C1070" s="1" t="s">
        <v>53</v>
      </c>
      <c r="D1070" s="1">
        <v>38900.0</v>
      </c>
      <c r="E1070" s="1" t="s">
        <v>40</v>
      </c>
      <c r="F1070" s="1" t="s">
        <v>94</v>
      </c>
      <c r="G1070" s="1" t="s">
        <v>21</v>
      </c>
      <c r="H1070" s="2">
        <v>3266.0</v>
      </c>
      <c r="I1070" s="2">
        <v>9727.0</v>
      </c>
      <c r="J1070" s="1">
        <v>1977.0</v>
      </c>
      <c r="K1070" s="1">
        <v>27.0</v>
      </c>
      <c r="L1070" s="1" t="s">
        <v>22</v>
      </c>
      <c r="M1070" s="1" t="s">
        <v>4320</v>
      </c>
      <c r="N1070" s="1" t="s">
        <v>48</v>
      </c>
      <c r="O1070" s="1" t="s">
        <v>25</v>
      </c>
      <c r="P1070" s="1" t="s">
        <v>4321</v>
      </c>
    </row>
    <row r="1071" ht="14.25" customHeight="1">
      <c r="A1071" s="1" t="s">
        <v>4322</v>
      </c>
      <c r="B1071" s="1" t="s">
        <v>4323</v>
      </c>
      <c r="C1071" s="1" t="s">
        <v>76</v>
      </c>
      <c r="D1071" s="1">
        <v>25446.0</v>
      </c>
      <c r="E1071" s="1" t="s">
        <v>19</v>
      </c>
      <c r="F1071" s="1" t="s">
        <v>41</v>
      </c>
      <c r="G1071" s="1" t="s">
        <v>31</v>
      </c>
      <c r="H1071" s="2">
        <v>2480.0</v>
      </c>
      <c r="I1071" s="2">
        <v>6884.0</v>
      </c>
      <c r="J1071" s="1">
        <v>2013.0</v>
      </c>
      <c r="K1071" s="1">
        <v>115.0</v>
      </c>
      <c r="L1071" s="1" t="s">
        <v>95</v>
      </c>
      <c r="M1071" s="1" t="s">
        <v>4324</v>
      </c>
      <c r="N1071" s="1" t="s">
        <v>64</v>
      </c>
      <c r="O1071" s="1" t="s">
        <v>49</v>
      </c>
      <c r="P1071" s="1" t="s">
        <v>4325</v>
      </c>
    </row>
    <row r="1072" ht="14.25" customHeight="1">
      <c r="A1072" s="1" t="s">
        <v>4326</v>
      </c>
      <c r="B1072" s="1" t="s">
        <v>4327</v>
      </c>
      <c r="C1072" s="1" t="s">
        <v>18</v>
      </c>
      <c r="D1072" s="1">
        <v>29956.0</v>
      </c>
      <c r="E1072" s="1" t="s">
        <v>60</v>
      </c>
      <c r="F1072" s="1" t="s">
        <v>41</v>
      </c>
      <c r="G1072" s="1" t="s">
        <v>100</v>
      </c>
      <c r="H1072" s="2">
        <v>2926.0</v>
      </c>
      <c r="I1072" s="2">
        <v>9813.0</v>
      </c>
      <c r="J1072" s="1">
        <v>1983.0</v>
      </c>
      <c r="K1072" s="1">
        <v>61.0</v>
      </c>
      <c r="L1072" s="1" t="s">
        <v>95</v>
      </c>
      <c r="M1072" s="1" t="s">
        <v>4328</v>
      </c>
      <c r="N1072" s="1" t="s">
        <v>43</v>
      </c>
      <c r="O1072" s="1" t="s">
        <v>49</v>
      </c>
      <c r="P1072" s="1" t="s">
        <v>4329</v>
      </c>
    </row>
    <row r="1073" ht="14.25" customHeight="1">
      <c r="A1073" s="1" t="s">
        <v>4330</v>
      </c>
      <c r="B1073" s="1" t="s">
        <v>4331</v>
      </c>
      <c r="C1073" s="1" t="s">
        <v>76</v>
      </c>
      <c r="D1073" s="1">
        <v>49247.0</v>
      </c>
      <c r="E1073" s="1" t="s">
        <v>77</v>
      </c>
      <c r="F1073" s="1" t="s">
        <v>20</v>
      </c>
      <c r="G1073" s="1" t="s">
        <v>55</v>
      </c>
      <c r="H1073" s="2">
        <v>2493.0</v>
      </c>
      <c r="I1073" s="2">
        <v>2625.0</v>
      </c>
      <c r="J1073" s="1">
        <v>1984.0</v>
      </c>
      <c r="K1073" s="1">
        <v>79.0</v>
      </c>
      <c r="L1073" s="1" t="s">
        <v>62</v>
      </c>
      <c r="M1073" s="1" t="s">
        <v>4332</v>
      </c>
      <c r="N1073" s="1" t="s">
        <v>64</v>
      </c>
      <c r="O1073" s="1" t="s">
        <v>35</v>
      </c>
      <c r="P1073" s="1" t="s">
        <v>4333</v>
      </c>
    </row>
    <row r="1074" ht="14.25" customHeight="1">
      <c r="A1074" s="1" t="s">
        <v>4334</v>
      </c>
      <c r="B1074" s="1" t="s">
        <v>4335</v>
      </c>
      <c r="C1074" s="1" t="s">
        <v>39</v>
      </c>
      <c r="D1074" s="1">
        <v>95685.0</v>
      </c>
      <c r="E1074" s="1" t="s">
        <v>30</v>
      </c>
      <c r="F1074" s="1" t="s">
        <v>54</v>
      </c>
      <c r="G1074" s="1" t="s">
        <v>55</v>
      </c>
      <c r="H1074" s="2">
        <v>2643.0</v>
      </c>
      <c r="I1074" s="2">
        <v>1253.0</v>
      </c>
      <c r="J1074" s="1">
        <v>1954.0</v>
      </c>
      <c r="K1074" s="1">
        <v>103.0</v>
      </c>
      <c r="L1074" s="1" t="s">
        <v>95</v>
      </c>
      <c r="M1074" s="1" t="s">
        <v>4336</v>
      </c>
      <c r="N1074" s="1" t="s">
        <v>34</v>
      </c>
      <c r="O1074" s="1" t="s">
        <v>35</v>
      </c>
      <c r="P1074" s="1" t="s">
        <v>4337</v>
      </c>
    </row>
    <row r="1075" ht="14.25" customHeight="1">
      <c r="A1075" s="1" t="s">
        <v>4338</v>
      </c>
      <c r="B1075" s="1" t="s">
        <v>4339</v>
      </c>
      <c r="C1075" s="1" t="s">
        <v>53</v>
      </c>
      <c r="D1075" s="1">
        <v>73692.0</v>
      </c>
      <c r="E1075" s="1" t="s">
        <v>77</v>
      </c>
      <c r="F1075" s="1" t="s">
        <v>61</v>
      </c>
      <c r="G1075" s="1" t="s">
        <v>21</v>
      </c>
      <c r="H1075" s="2">
        <v>1558.0</v>
      </c>
      <c r="I1075" s="2">
        <v>4251.0</v>
      </c>
      <c r="J1075" s="1">
        <v>1956.0</v>
      </c>
      <c r="K1075" s="1">
        <v>68.0</v>
      </c>
      <c r="L1075" s="1" t="s">
        <v>95</v>
      </c>
      <c r="M1075" s="1" t="s">
        <v>4340</v>
      </c>
      <c r="N1075" s="1" t="s">
        <v>64</v>
      </c>
      <c r="O1075" s="1" t="s">
        <v>35</v>
      </c>
      <c r="P1075" s="1" t="s">
        <v>4341</v>
      </c>
    </row>
    <row r="1076" ht="14.25" customHeight="1">
      <c r="A1076" s="1" t="s">
        <v>4342</v>
      </c>
      <c r="B1076" s="1" t="s">
        <v>4343</v>
      </c>
      <c r="C1076" s="1" t="s">
        <v>18</v>
      </c>
      <c r="D1076" s="1">
        <v>46347.0</v>
      </c>
      <c r="E1076" s="1" t="s">
        <v>40</v>
      </c>
      <c r="F1076" s="1" t="s">
        <v>41</v>
      </c>
      <c r="G1076" s="1" t="s">
        <v>55</v>
      </c>
      <c r="H1076" s="2">
        <v>3055.0</v>
      </c>
      <c r="I1076" s="2">
        <v>3564.0</v>
      </c>
      <c r="J1076" s="1">
        <v>2001.0</v>
      </c>
      <c r="K1076" s="1">
        <v>100.0</v>
      </c>
      <c r="L1076" s="1" t="s">
        <v>32</v>
      </c>
      <c r="M1076" s="1" t="s">
        <v>4344</v>
      </c>
      <c r="N1076" s="1" t="s">
        <v>64</v>
      </c>
      <c r="O1076" s="1" t="s">
        <v>35</v>
      </c>
      <c r="P1076" s="1" t="s">
        <v>4345</v>
      </c>
    </row>
    <row r="1077" ht="14.25" customHeight="1">
      <c r="A1077" s="1" t="s">
        <v>4346</v>
      </c>
      <c r="B1077" s="1" t="s">
        <v>4347</v>
      </c>
      <c r="C1077" s="1" t="s">
        <v>29</v>
      </c>
      <c r="D1077" s="1">
        <v>81291.0</v>
      </c>
      <c r="E1077" s="1" t="s">
        <v>30</v>
      </c>
      <c r="F1077" s="1" t="s">
        <v>46</v>
      </c>
      <c r="G1077" s="1" t="s">
        <v>21</v>
      </c>
      <c r="H1077" s="2">
        <v>2265.0</v>
      </c>
      <c r="I1077" s="2">
        <v>4858.0</v>
      </c>
      <c r="J1077" s="1">
        <v>2009.0</v>
      </c>
      <c r="K1077" s="1">
        <v>39.0</v>
      </c>
      <c r="L1077" s="1" t="s">
        <v>22</v>
      </c>
      <c r="M1077" s="1" t="s">
        <v>4348</v>
      </c>
      <c r="N1077" s="1" t="s">
        <v>24</v>
      </c>
      <c r="O1077" s="1" t="s">
        <v>49</v>
      </c>
      <c r="P1077" s="1" t="s">
        <v>4349</v>
      </c>
    </row>
    <row r="1078" ht="14.25" customHeight="1">
      <c r="A1078" s="1" t="s">
        <v>4350</v>
      </c>
      <c r="B1078" s="1" t="s">
        <v>4351</v>
      </c>
      <c r="C1078" s="1" t="s">
        <v>39</v>
      </c>
      <c r="D1078" s="1">
        <v>48149.0</v>
      </c>
      <c r="E1078" s="1" t="s">
        <v>77</v>
      </c>
      <c r="F1078" s="1" t="s">
        <v>94</v>
      </c>
      <c r="G1078" s="1" t="s">
        <v>55</v>
      </c>
      <c r="H1078" s="2">
        <v>3933.0</v>
      </c>
      <c r="I1078" s="2">
        <v>5364.0</v>
      </c>
      <c r="J1078" s="1">
        <v>1976.0</v>
      </c>
      <c r="K1078" s="1">
        <v>58.0</v>
      </c>
      <c r="L1078" s="1" t="s">
        <v>95</v>
      </c>
      <c r="M1078" s="1" t="s">
        <v>4352</v>
      </c>
      <c r="N1078" s="1" t="s">
        <v>48</v>
      </c>
      <c r="O1078" s="1" t="s">
        <v>35</v>
      </c>
      <c r="P1078" s="1" t="s">
        <v>4353</v>
      </c>
    </row>
    <row r="1079" ht="14.25" customHeight="1">
      <c r="A1079" s="1" t="s">
        <v>4354</v>
      </c>
      <c r="B1079" s="1" t="s">
        <v>4355</v>
      </c>
      <c r="C1079" s="1" t="s">
        <v>29</v>
      </c>
      <c r="D1079" s="1">
        <v>48618.0</v>
      </c>
      <c r="E1079" s="1" t="s">
        <v>19</v>
      </c>
      <c r="F1079" s="1" t="s">
        <v>54</v>
      </c>
      <c r="G1079" s="1" t="s">
        <v>21</v>
      </c>
      <c r="H1079" s="2">
        <v>1106.0</v>
      </c>
      <c r="I1079" s="2">
        <v>6813.0</v>
      </c>
      <c r="J1079" s="1">
        <v>1952.0</v>
      </c>
      <c r="K1079" s="1">
        <v>79.0</v>
      </c>
      <c r="L1079" s="1" t="s">
        <v>32</v>
      </c>
      <c r="M1079" s="1" t="s">
        <v>4356</v>
      </c>
      <c r="N1079" s="1" t="s">
        <v>43</v>
      </c>
      <c r="O1079" s="1" t="s">
        <v>49</v>
      </c>
      <c r="P1079" s="1" t="s">
        <v>4357</v>
      </c>
    </row>
    <row r="1080" ht="14.25" customHeight="1">
      <c r="A1080" s="1" t="s">
        <v>4358</v>
      </c>
      <c r="B1080" s="1" t="s">
        <v>4359</v>
      </c>
      <c r="C1080" s="1" t="s">
        <v>53</v>
      </c>
      <c r="D1080" s="1">
        <v>51028.0</v>
      </c>
      <c r="E1080" s="1" t="s">
        <v>19</v>
      </c>
      <c r="F1080" s="1" t="s">
        <v>20</v>
      </c>
      <c r="G1080" s="1" t="s">
        <v>31</v>
      </c>
      <c r="H1080" s="2">
        <v>3591.0</v>
      </c>
      <c r="I1080" s="2">
        <v>3911.0</v>
      </c>
      <c r="J1080" s="1">
        <v>2018.0</v>
      </c>
      <c r="K1080" s="1">
        <v>81.0</v>
      </c>
      <c r="L1080" s="1" t="s">
        <v>32</v>
      </c>
      <c r="M1080" s="1" t="s">
        <v>4360</v>
      </c>
      <c r="N1080" s="1" t="s">
        <v>64</v>
      </c>
      <c r="O1080" s="1" t="s">
        <v>25</v>
      </c>
      <c r="P1080" s="1" t="s">
        <v>4361</v>
      </c>
    </row>
    <row r="1081" ht="14.25" customHeight="1">
      <c r="A1081" s="1" t="s">
        <v>4362</v>
      </c>
      <c r="B1081" s="1" t="s">
        <v>4363</v>
      </c>
      <c r="C1081" s="1" t="s">
        <v>18</v>
      </c>
      <c r="D1081" s="1">
        <v>33055.0</v>
      </c>
      <c r="E1081" s="1" t="s">
        <v>77</v>
      </c>
      <c r="F1081" s="1" t="s">
        <v>94</v>
      </c>
      <c r="G1081" s="1" t="s">
        <v>55</v>
      </c>
      <c r="H1081" s="2">
        <v>3062.0</v>
      </c>
      <c r="I1081" s="2">
        <v>4342.0</v>
      </c>
      <c r="J1081" s="1">
        <v>2022.0</v>
      </c>
      <c r="K1081" s="1">
        <v>53.0</v>
      </c>
      <c r="L1081" s="1" t="s">
        <v>62</v>
      </c>
      <c r="M1081" s="1" t="s">
        <v>4364</v>
      </c>
      <c r="N1081" s="1" t="s">
        <v>48</v>
      </c>
      <c r="O1081" s="1" t="s">
        <v>49</v>
      </c>
      <c r="P1081" s="1" t="s">
        <v>4365</v>
      </c>
    </row>
    <row r="1082" ht="14.25" customHeight="1">
      <c r="A1082" s="1" t="s">
        <v>4366</v>
      </c>
      <c r="B1082" s="1" t="s">
        <v>4367</v>
      </c>
      <c r="C1082" s="1" t="s">
        <v>76</v>
      </c>
      <c r="D1082" s="1">
        <v>20542.0</v>
      </c>
      <c r="E1082" s="1" t="s">
        <v>77</v>
      </c>
      <c r="F1082" s="1" t="s">
        <v>61</v>
      </c>
      <c r="G1082" s="1" t="s">
        <v>100</v>
      </c>
      <c r="H1082" s="2">
        <v>3609.0</v>
      </c>
      <c r="I1082" s="2">
        <v>1978.0</v>
      </c>
      <c r="J1082" s="1">
        <v>1957.0</v>
      </c>
      <c r="K1082" s="1">
        <v>8.0</v>
      </c>
      <c r="L1082" s="1" t="s">
        <v>62</v>
      </c>
      <c r="M1082" s="1" t="s">
        <v>4368</v>
      </c>
      <c r="N1082" s="1" t="s">
        <v>48</v>
      </c>
      <c r="O1082" s="1" t="s">
        <v>25</v>
      </c>
      <c r="P1082" s="1" t="s">
        <v>4369</v>
      </c>
    </row>
    <row r="1083" ht="14.25" customHeight="1">
      <c r="A1083" s="1" t="s">
        <v>4370</v>
      </c>
      <c r="B1083" s="1" t="s">
        <v>4371</v>
      </c>
      <c r="C1083" s="1" t="s">
        <v>39</v>
      </c>
      <c r="D1083" s="1">
        <v>51883.0</v>
      </c>
      <c r="E1083" s="1" t="s">
        <v>60</v>
      </c>
      <c r="F1083" s="1" t="s">
        <v>20</v>
      </c>
      <c r="G1083" s="1" t="s">
        <v>21</v>
      </c>
      <c r="H1083" s="2">
        <v>1502.0</v>
      </c>
      <c r="I1083" s="2">
        <v>3083.0</v>
      </c>
      <c r="J1083" s="1">
        <v>1963.0</v>
      </c>
      <c r="K1083" s="1">
        <v>63.0</v>
      </c>
      <c r="L1083" s="1" t="s">
        <v>141</v>
      </c>
      <c r="M1083" s="1" t="s">
        <v>4372</v>
      </c>
      <c r="N1083" s="1" t="s">
        <v>48</v>
      </c>
      <c r="O1083" s="1" t="s">
        <v>35</v>
      </c>
      <c r="P1083" s="1" t="s">
        <v>4373</v>
      </c>
    </row>
    <row r="1084" ht="14.25" customHeight="1">
      <c r="A1084" s="1" t="s">
        <v>4374</v>
      </c>
      <c r="B1084" s="1" t="s">
        <v>4375</v>
      </c>
      <c r="C1084" s="1" t="s">
        <v>53</v>
      </c>
      <c r="D1084" s="1">
        <v>69649.0</v>
      </c>
      <c r="E1084" s="1" t="s">
        <v>30</v>
      </c>
      <c r="F1084" s="1" t="s">
        <v>94</v>
      </c>
      <c r="G1084" s="1" t="s">
        <v>100</v>
      </c>
      <c r="H1084" s="2">
        <v>3129.0</v>
      </c>
      <c r="I1084" s="2">
        <v>5359.0</v>
      </c>
      <c r="J1084" s="1">
        <v>1988.0</v>
      </c>
      <c r="K1084" s="1">
        <v>17.0</v>
      </c>
      <c r="L1084" s="1" t="s">
        <v>32</v>
      </c>
      <c r="M1084" s="1" t="s">
        <v>4376</v>
      </c>
      <c r="N1084" s="1" t="s">
        <v>64</v>
      </c>
      <c r="O1084" s="1" t="s">
        <v>49</v>
      </c>
      <c r="P1084" s="1" t="s">
        <v>4377</v>
      </c>
    </row>
    <row r="1085" ht="14.25" customHeight="1">
      <c r="A1085" s="1" t="s">
        <v>4378</v>
      </c>
      <c r="B1085" s="1" t="s">
        <v>4379</v>
      </c>
      <c r="C1085" s="1" t="s">
        <v>39</v>
      </c>
      <c r="D1085" s="1">
        <v>26310.0</v>
      </c>
      <c r="E1085" s="1" t="s">
        <v>60</v>
      </c>
      <c r="F1085" s="1" t="s">
        <v>20</v>
      </c>
      <c r="G1085" s="1" t="s">
        <v>100</v>
      </c>
      <c r="H1085" s="2">
        <v>3624.0</v>
      </c>
      <c r="I1085" s="2">
        <v>2602.0</v>
      </c>
      <c r="J1085" s="1">
        <v>1951.0</v>
      </c>
      <c r="K1085" s="1">
        <v>80.0</v>
      </c>
      <c r="L1085" s="1" t="s">
        <v>95</v>
      </c>
      <c r="M1085" s="1" t="s">
        <v>4380</v>
      </c>
      <c r="N1085" s="1" t="s">
        <v>24</v>
      </c>
      <c r="O1085" s="1" t="s">
        <v>49</v>
      </c>
      <c r="P1085" s="1" t="s">
        <v>4381</v>
      </c>
    </row>
    <row r="1086" ht="14.25" customHeight="1">
      <c r="A1086" s="1" t="s">
        <v>4382</v>
      </c>
      <c r="B1086" s="1" t="s">
        <v>4383</v>
      </c>
      <c r="C1086" s="1" t="s">
        <v>18</v>
      </c>
      <c r="D1086" s="1">
        <v>87696.0</v>
      </c>
      <c r="E1086" s="1" t="s">
        <v>60</v>
      </c>
      <c r="F1086" s="1" t="s">
        <v>46</v>
      </c>
      <c r="G1086" s="1" t="s">
        <v>21</v>
      </c>
      <c r="H1086" s="2">
        <v>846.0</v>
      </c>
      <c r="I1086" s="2">
        <v>6962.0</v>
      </c>
      <c r="J1086" s="1">
        <v>1957.0</v>
      </c>
      <c r="K1086" s="1">
        <v>38.0</v>
      </c>
      <c r="L1086" s="1" t="s">
        <v>141</v>
      </c>
      <c r="M1086" s="1" t="s">
        <v>4384</v>
      </c>
      <c r="N1086" s="1" t="s">
        <v>48</v>
      </c>
      <c r="O1086" s="1" t="s">
        <v>49</v>
      </c>
      <c r="P1086" s="1" t="s">
        <v>4385</v>
      </c>
    </row>
    <row r="1087" ht="14.25" customHeight="1">
      <c r="A1087" s="1" t="s">
        <v>4386</v>
      </c>
      <c r="B1087" s="1" t="s">
        <v>4387</v>
      </c>
      <c r="C1087" s="1" t="s">
        <v>39</v>
      </c>
      <c r="D1087" s="1">
        <v>68739.0</v>
      </c>
      <c r="E1087" s="1" t="s">
        <v>60</v>
      </c>
      <c r="F1087" s="1" t="s">
        <v>94</v>
      </c>
      <c r="G1087" s="1" t="s">
        <v>55</v>
      </c>
      <c r="H1087" s="2">
        <v>1266.0</v>
      </c>
      <c r="I1087" s="2">
        <v>7785.0</v>
      </c>
      <c r="J1087" s="1">
        <v>1984.0</v>
      </c>
      <c r="K1087" s="1">
        <v>78.0</v>
      </c>
      <c r="L1087" s="1" t="s">
        <v>22</v>
      </c>
      <c r="M1087" s="1" t="s">
        <v>4388</v>
      </c>
      <c r="N1087" s="1" t="s">
        <v>64</v>
      </c>
      <c r="O1087" s="1" t="s">
        <v>25</v>
      </c>
      <c r="P1087" s="1" t="s">
        <v>4389</v>
      </c>
    </row>
    <row r="1088" ht="14.25" customHeight="1">
      <c r="A1088" s="1" t="s">
        <v>4390</v>
      </c>
      <c r="B1088" s="1" t="s">
        <v>4391</v>
      </c>
      <c r="C1088" s="1" t="s">
        <v>39</v>
      </c>
      <c r="D1088" s="1">
        <v>19818.0</v>
      </c>
      <c r="E1088" s="1" t="s">
        <v>40</v>
      </c>
      <c r="F1088" s="1" t="s">
        <v>61</v>
      </c>
      <c r="G1088" s="1" t="s">
        <v>21</v>
      </c>
      <c r="H1088" s="2">
        <v>2074.0</v>
      </c>
      <c r="I1088" s="2">
        <v>6680.0</v>
      </c>
      <c r="J1088" s="1">
        <v>1995.0</v>
      </c>
      <c r="K1088" s="1">
        <v>13.0</v>
      </c>
      <c r="L1088" s="1" t="s">
        <v>32</v>
      </c>
      <c r="M1088" s="1" t="s">
        <v>4392</v>
      </c>
      <c r="N1088" s="1" t="s">
        <v>64</v>
      </c>
      <c r="O1088" s="1" t="s">
        <v>49</v>
      </c>
      <c r="P1088" s="1" t="s">
        <v>4393</v>
      </c>
    </row>
    <row r="1089" ht="14.25" customHeight="1">
      <c r="A1089" s="1" t="s">
        <v>4394</v>
      </c>
      <c r="B1089" s="1" t="s">
        <v>4395</v>
      </c>
      <c r="C1089" s="1" t="s">
        <v>76</v>
      </c>
      <c r="D1089" s="1">
        <v>14016.0</v>
      </c>
      <c r="E1089" s="1" t="s">
        <v>19</v>
      </c>
      <c r="F1089" s="1" t="s">
        <v>46</v>
      </c>
      <c r="G1089" s="1" t="s">
        <v>100</v>
      </c>
      <c r="H1089" s="2">
        <v>1531.0</v>
      </c>
      <c r="I1089" s="2">
        <v>3371.0</v>
      </c>
      <c r="J1089" s="1">
        <v>1977.0</v>
      </c>
      <c r="K1089" s="1">
        <v>112.0</v>
      </c>
      <c r="L1089" s="1" t="s">
        <v>62</v>
      </c>
      <c r="M1089" s="1" t="s">
        <v>4396</v>
      </c>
      <c r="N1089" s="1" t="s">
        <v>34</v>
      </c>
      <c r="O1089" s="1" t="s">
        <v>35</v>
      </c>
      <c r="P1089" s="1" t="s">
        <v>4397</v>
      </c>
    </row>
    <row r="1090" ht="14.25" customHeight="1">
      <c r="A1090" s="1" t="s">
        <v>4398</v>
      </c>
      <c r="B1090" s="1" t="s">
        <v>4399</v>
      </c>
      <c r="C1090" s="1" t="s">
        <v>18</v>
      </c>
      <c r="D1090" s="1">
        <v>57110.0</v>
      </c>
      <c r="E1090" s="1" t="s">
        <v>30</v>
      </c>
      <c r="F1090" s="1" t="s">
        <v>94</v>
      </c>
      <c r="G1090" s="1" t="s">
        <v>100</v>
      </c>
      <c r="H1090" s="2">
        <v>1958.0</v>
      </c>
      <c r="I1090" s="2">
        <v>5198.0</v>
      </c>
      <c r="J1090" s="1">
        <v>1979.0</v>
      </c>
      <c r="K1090" s="1">
        <v>19.0</v>
      </c>
      <c r="L1090" s="1" t="s">
        <v>32</v>
      </c>
      <c r="M1090" s="1" t="s">
        <v>4400</v>
      </c>
      <c r="N1090" s="1" t="s">
        <v>43</v>
      </c>
      <c r="O1090" s="1" t="s">
        <v>49</v>
      </c>
      <c r="P1090" s="1" t="s">
        <v>4401</v>
      </c>
    </row>
    <row r="1091" ht="14.25" customHeight="1">
      <c r="A1091" s="1" t="s">
        <v>4402</v>
      </c>
      <c r="B1091" s="1" t="s">
        <v>4403</v>
      </c>
      <c r="C1091" s="1" t="s">
        <v>76</v>
      </c>
      <c r="D1091" s="1">
        <v>67146.0</v>
      </c>
      <c r="E1091" s="1" t="s">
        <v>19</v>
      </c>
      <c r="F1091" s="1" t="s">
        <v>54</v>
      </c>
      <c r="G1091" s="1" t="s">
        <v>21</v>
      </c>
      <c r="H1091" s="2">
        <v>3767.0</v>
      </c>
      <c r="I1091" s="2">
        <v>8547.0</v>
      </c>
      <c r="J1091" s="1">
        <v>1969.0</v>
      </c>
      <c r="K1091" s="1">
        <v>44.0</v>
      </c>
      <c r="L1091" s="1" t="s">
        <v>22</v>
      </c>
      <c r="M1091" s="1" t="s">
        <v>4404</v>
      </c>
      <c r="N1091" s="1" t="s">
        <v>34</v>
      </c>
      <c r="O1091" s="1" t="s">
        <v>25</v>
      </c>
      <c r="P1091" s="1" t="s">
        <v>4405</v>
      </c>
    </row>
    <row r="1092" ht="14.25" customHeight="1">
      <c r="A1092" s="1" t="s">
        <v>4406</v>
      </c>
      <c r="B1092" s="1" t="s">
        <v>4407</v>
      </c>
      <c r="C1092" s="1" t="s">
        <v>18</v>
      </c>
      <c r="D1092" s="1">
        <v>37975.0</v>
      </c>
      <c r="E1092" s="1" t="s">
        <v>19</v>
      </c>
      <c r="F1092" s="1" t="s">
        <v>61</v>
      </c>
      <c r="G1092" s="1" t="s">
        <v>21</v>
      </c>
      <c r="H1092" s="2">
        <v>3602.0</v>
      </c>
      <c r="I1092" s="2">
        <v>7982.0</v>
      </c>
      <c r="J1092" s="1">
        <v>2005.0</v>
      </c>
      <c r="K1092" s="1">
        <v>92.0</v>
      </c>
      <c r="L1092" s="1" t="s">
        <v>141</v>
      </c>
      <c r="M1092" s="1" t="s">
        <v>4408</v>
      </c>
      <c r="N1092" s="1" t="s">
        <v>24</v>
      </c>
      <c r="O1092" s="1" t="s">
        <v>35</v>
      </c>
      <c r="P1092" s="1" t="s">
        <v>4409</v>
      </c>
    </row>
    <row r="1093" ht="14.25" customHeight="1">
      <c r="A1093" s="1" t="s">
        <v>4410</v>
      </c>
      <c r="B1093" s="1" t="s">
        <v>4411</v>
      </c>
      <c r="C1093" s="1" t="s">
        <v>29</v>
      </c>
      <c r="D1093" s="1">
        <v>18290.0</v>
      </c>
      <c r="E1093" s="1" t="s">
        <v>19</v>
      </c>
      <c r="F1093" s="1" t="s">
        <v>61</v>
      </c>
      <c r="G1093" s="1" t="s">
        <v>31</v>
      </c>
      <c r="H1093" s="2">
        <v>2795.0</v>
      </c>
      <c r="I1093" s="2">
        <v>2712.0</v>
      </c>
      <c r="J1093" s="1">
        <v>1995.0</v>
      </c>
      <c r="K1093" s="1">
        <v>6.0</v>
      </c>
      <c r="L1093" s="1" t="s">
        <v>22</v>
      </c>
      <c r="M1093" s="1" t="s">
        <v>4412</v>
      </c>
      <c r="N1093" s="1" t="s">
        <v>48</v>
      </c>
      <c r="O1093" s="1" t="s">
        <v>35</v>
      </c>
      <c r="P1093" s="1" t="s">
        <v>4413</v>
      </c>
    </row>
    <row r="1094" ht="14.25" customHeight="1">
      <c r="A1094" s="1" t="s">
        <v>4414</v>
      </c>
      <c r="B1094" s="1" t="s">
        <v>4415</v>
      </c>
      <c r="C1094" s="1" t="s">
        <v>53</v>
      </c>
      <c r="D1094" s="1">
        <v>16548.0</v>
      </c>
      <c r="E1094" s="1" t="s">
        <v>77</v>
      </c>
      <c r="F1094" s="1" t="s">
        <v>54</v>
      </c>
      <c r="G1094" s="1" t="s">
        <v>55</v>
      </c>
      <c r="H1094" s="2">
        <v>2422.0</v>
      </c>
      <c r="I1094" s="2">
        <v>6875.0</v>
      </c>
      <c r="J1094" s="1">
        <v>2002.0</v>
      </c>
      <c r="K1094" s="1">
        <v>107.0</v>
      </c>
      <c r="L1094" s="1" t="s">
        <v>95</v>
      </c>
      <c r="M1094" s="1" t="s">
        <v>4416</v>
      </c>
      <c r="N1094" s="1" t="s">
        <v>64</v>
      </c>
      <c r="O1094" s="1" t="s">
        <v>35</v>
      </c>
      <c r="P1094" s="1" t="s">
        <v>4417</v>
      </c>
    </row>
    <row r="1095" ht="14.25" customHeight="1">
      <c r="A1095" s="1" t="s">
        <v>4418</v>
      </c>
      <c r="B1095" s="1" t="s">
        <v>4419</v>
      </c>
      <c r="C1095" s="1" t="s">
        <v>53</v>
      </c>
      <c r="D1095" s="1">
        <v>30666.0</v>
      </c>
      <c r="E1095" s="1" t="s">
        <v>19</v>
      </c>
      <c r="F1095" s="1" t="s">
        <v>20</v>
      </c>
      <c r="G1095" s="1" t="s">
        <v>55</v>
      </c>
      <c r="H1095" s="2">
        <v>1873.0</v>
      </c>
      <c r="I1095" s="2">
        <v>1293.0</v>
      </c>
      <c r="J1095" s="1">
        <v>1963.0</v>
      </c>
      <c r="K1095" s="1">
        <v>84.0</v>
      </c>
      <c r="L1095" s="1" t="s">
        <v>141</v>
      </c>
      <c r="M1095" s="1" t="s">
        <v>4420</v>
      </c>
      <c r="N1095" s="1" t="s">
        <v>24</v>
      </c>
      <c r="O1095" s="1" t="s">
        <v>25</v>
      </c>
      <c r="P1095" s="1" t="s">
        <v>4421</v>
      </c>
    </row>
    <row r="1096" ht="14.25" customHeight="1">
      <c r="A1096" s="1" t="s">
        <v>4422</v>
      </c>
      <c r="B1096" s="1" t="s">
        <v>4423</v>
      </c>
      <c r="C1096" s="1" t="s">
        <v>39</v>
      </c>
      <c r="D1096" s="1">
        <v>58922.0</v>
      </c>
      <c r="E1096" s="1" t="s">
        <v>60</v>
      </c>
      <c r="F1096" s="1" t="s">
        <v>54</v>
      </c>
      <c r="G1096" s="1" t="s">
        <v>21</v>
      </c>
      <c r="H1096" s="2">
        <v>2099.0</v>
      </c>
      <c r="I1096" s="2">
        <v>6716.0</v>
      </c>
      <c r="J1096" s="1">
        <v>1970.0</v>
      </c>
      <c r="K1096" s="1">
        <v>115.0</v>
      </c>
      <c r="L1096" s="1" t="s">
        <v>22</v>
      </c>
      <c r="M1096" s="1" t="s">
        <v>4424</v>
      </c>
      <c r="N1096" s="1" t="s">
        <v>64</v>
      </c>
      <c r="O1096" s="1" t="s">
        <v>25</v>
      </c>
      <c r="P1096" s="1" t="s">
        <v>4425</v>
      </c>
    </row>
    <row r="1097" ht="14.25" customHeight="1">
      <c r="A1097" s="1" t="s">
        <v>4426</v>
      </c>
      <c r="B1097" s="1" t="s">
        <v>4427</v>
      </c>
      <c r="C1097" s="1" t="s">
        <v>18</v>
      </c>
      <c r="D1097" s="1">
        <v>96253.0</v>
      </c>
      <c r="E1097" s="1" t="s">
        <v>60</v>
      </c>
      <c r="F1097" s="1" t="s">
        <v>61</v>
      </c>
      <c r="G1097" s="1" t="s">
        <v>100</v>
      </c>
      <c r="H1097" s="2">
        <v>1976.0</v>
      </c>
      <c r="I1097" s="2">
        <v>8980.0</v>
      </c>
      <c r="J1097" s="1">
        <v>1996.0</v>
      </c>
      <c r="K1097" s="1">
        <v>111.0</v>
      </c>
      <c r="L1097" s="1" t="s">
        <v>22</v>
      </c>
      <c r="M1097" s="1" t="s">
        <v>4428</v>
      </c>
      <c r="N1097" s="1" t="s">
        <v>24</v>
      </c>
      <c r="O1097" s="1" t="s">
        <v>25</v>
      </c>
      <c r="P1097" s="1" t="s">
        <v>4429</v>
      </c>
    </row>
    <row r="1098" ht="14.25" customHeight="1">
      <c r="A1098" s="1" t="s">
        <v>4430</v>
      </c>
      <c r="B1098" s="1" t="s">
        <v>4431</v>
      </c>
      <c r="C1098" s="1" t="s">
        <v>76</v>
      </c>
      <c r="D1098" s="1">
        <v>51463.0</v>
      </c>
      <c r="E1098" s="1" t="s">
        <v>77</v>
      </c>
      <c r="F1098" s="1" t="s">
        <v>41</v>
      </c>
      <c r="G1098" s="1" t="s">
        <v>31</v>
      </c>
      <c r="H1098" s="2">
        <v>2665.0</v>
      </c>
      <c r="I1098" s="2">
        <v>6800.0</v>
      </c>
      <c r="J1098" s="1">
        <v>2011.0</v>
      </c>
      <c r="K1098" s="1">
        <v>96.0</v>
      </c>
      <c r="L1098" s="1" t="s">
        <v>32</v>
      </c>
      <c r="M1098" s="1" t="s">
        <v>4432</v>
      </c>
      <c r="N1098" s="1" t="s">
        <v>43</v>
      </c>
      <c r="O1098" s="1" t="s">
        <v>35</v>
      </c>
      <c r="P1098" s="1" t="s">
        <v>4433</v>
      </c>
    </row>
    <row r="1099" ht="14.25" customHeight="1">
      <c r="A1099" s="1" t="s">
        <v>4434</v>
      </c>
      <c r="B1099" s="1" t="s">
        <v>4435</v>
      </c>
      <c r="C1099" s="1" t="s">
        <v>39</v>
      </c>
      <c r="D1099" s="1">
        <v>84864.0</v>
      </c>
      <c r="E1099" s="1" t="s">
        <v>77</v>
      </c>
      <c r="F1099" s="1" t="s">
        <v>46</v>
      </c>
      <c r="G1099" s="1" t="s">
        <v>100</v>
      </c>
      <c r="H1099" s="2">
        <v>1285.0</v>
      </c>
      <c r="I1099" s="2">
        <v>7229.0</v>
      </c>
      <c r="J1099" s="1">
        <v>1959.0</v>
      </c>
      <c r="K1099" s="1">
        <v>15.0</v>
      </c>
      <c r="L1099" s="1" t="s">
        <v>32</v>
      </c>
      <c r="M1099" s="1" t="s">
        <v>4436</v>
      </c>
      <c r="N1099" s="1" t="s">
        <v>34</v>
      </c>
      <c r="O1099" s="1" t="s">
        <v>49</v>
      </c>
      <c r="P1099" s="1" t="s">
        <v>4437</v>
      </c>
    </row>
    <row r="1100" ht="14.25" customHeight="1">
      <c r="A1100" s="1" t="s">
        <v>4438</v>
      </c>
      <c r="B1100" s="1" t="s">
        <v>4439</v>
      </c>
      <c r="C1100" s="1" t="s">
        <v>76</v>
      </c>
      <c r="D1100" s="1">
        <v>57762.0</v>
      </c>
      <c r="E1100" s="1" t="s">
        <v>60</v>
      </c>
      <c r="F1100" s="1" t="s">
        <v>94</v>
      </c>
      <c r="G1100" s="1" t="s">
        <v>21</v>
      </c>
      <c r="H1100" s="2">
        <v>1480.0</v>
      </c>
      <c r="I1100" s="2">
        <v>7730.0</v>
      </c>
      <c r="J1100" s="1">
        <v>1999.0</v>
      </c>
      <c r="K1100" s="1">
        <v>99.0</v>
      </c>
      <c r="L1100" s="1" t="s">
        <v>22</v>
      </c>
      <c r="M1100" s="1" t="s">
        <v>4440</v>
      </c>
      <c r="N1100" s="1" t="s">
        <v>64</v>
      </c>
      <c r="O1100" s="1" t="s">
        <v>25</v>
      </c>
      <c r="P1100" s="1" t="s">
        <v>4441</v>
      </c>
    </row>
    <row r="1101" ht="14.25" customHeight="1">
      <c r="A1101" s="1" t="s">
        <v>4442</v>
      </c>
      <c r="B1101" s="1" t="s">
        <v>4443</v>
      </c>
      <c r="C1101" s="1" t="s">
        <v>39</v>
      </c>
      <c r="D1101" s="1">
        <v>72473.0</v>
      </c>
      <c r="E1101" s="1" t="s">
        <v>19</v>
      </c>
      <c r="F1101" s="1" t="s">
        <v>54</v>
      </c>
      <c r="G1101" s="1" t="s">
        <v>31</v>
      </c>
      <c r="H1101" s="2">
        <v>3811.0</v>
      </c>
      <c r="I1101" s="2">
        <v>1523.0</v>
      </c>
      <c r="J1101" s="1">
        <v>1981.0</v>
      </c>
      <c r="K1101" s="1">
        <v>84.0</v>
      </c>
      <c r="L1101" s="1" t="s">
        <v>62</v>
      </c>
      <c r="M1101" s="1" t="s">
        <v>4444</v>
      </c>
      <c r="N1101" s="1" t="s">
        <v>34</v>
      </c>
      <c r="O1101" s="1" t="s">
        <v>35</v>
      </c>
      <c r="P1101" s="1" t="s">
        <v>4445</v>
      </c>
    </row>
    <row r="1102" ht="14.25" customHeight="1">
      <c r="A1102" s="1" t="s">
        <v>4446</v>
      </c>
      <c r="B1102" s="1" t="s">
        <v>4447</v>
      </c>
      <c r="C1102" s="1" t="s">
        <v>76</v>
      </c>
      <c r="D1102" s="1">
        <v>95757.0</v>
      </c>
      <c r="E1102" s="1" t="s">
        <v>40</v>
      </c>
      <c r="F1102" s="1" t="s">
        <v>46</v>
      </c>
      <c r="G1102" s="1" t="s">
        <v>21</v>
      </c>
      <c r="H1102" s="2">
        <v>1130.0</v>
      </c>
      <c r="I1102" s="2">
        <v>1234.0</v>
      </c>
      <c r="J1102" s="1">
        <v>2018.0</v>
      </c>
      <c r="K1102" s="1">
        <v>118.0</v>
      </c>
      <c r="L1102" s="1" t="s">
        <v>62</v>
      </c>
      <c r="M1102" s="1" t="s">
        <v>4448</v>
      </c>
      <c r="N1102" s="1" t="s">
        <v>64</v>
      </c>
      <c r="O1102" s="1" t="s">
        <v>35</v>
      </c>
      <c r="P1102" s="1" t="s">
        <v>4449</v>
      </c>
    </row>
    <row r="1103" ht="14.25" customHeight="1">
      <c r="A1103" s="1" t="s">
        <v>4450</v>
      </c>
      <c r="B1103" s="1" t="s">
        <v>4451</v>
      </c>
      <c r="C1103" s="1" t="s">
        <v>76</v>
      </c>
      <c r="D1103" s="1">
        <v>33840.0</v>
      </c>
      <c r="E1103" s="1" t="s">
        <v>40</v>
      </c>
      <c r="F1103" s="1" t="s">
        <v>61</v>
      </c>
      <c r="G1103" s="1" t="s">
        <v>100</v>
      </c>
      <c r="H1103" s="2">
        <v>624.0</v>
      </c>
      <c r="I1103" s="2">
        <v>7729.0</v>
      </c>
      <c r="J1103" s="1">
        <v>2004.0</v>
      </c>
      <c r="K1103" s="1">
        <v>30.0</v>
      </c>
      <c r="L1103" s="1" t="s">
        <v>22</v>
      </c>
      <c r="M1103" s="1" t="s">
        <v>4452</v>
      </c>
      <c r="N1103" s="1" t="s">
        <v>24</v>
      </c>
      <c r="O1103" s="1" t="s">
        <v>25</v>
      </c>
      <c r="P1103" s="1" t="s">
        <v>4453</v>
      </c>
    </row>
    <row r="1104" ht="14.25" customHeight="1">
      <c r="A1104" s="1" t="s">
        <v>4454</v>
      </c>
      <c r="B1104" s="1" t="s">
        <v>4455</v>
      </c>
      <c r="C1104" s="1" t="s">
        <v>29</v>
      </c>
      <c r="D1104" s="1">
        <v>41971.0</v>
      </c>
      <c r="E1104" s="1" t="s">
        <v>77</v>
      </c>
      <c r="F1104" s="1" t="s">
        <v>94</v>
      </c>
      <c r="G1104" s="1" t="s">
        <v>100</v>
      </c>
      <c r="H1104" s="2">
        <v>3953.0</v>
      </c>
      <c r="I1104" s="2">
        <v>3173.0</v>
      </c>
      <c r="J1104" s="1">
        <v>2013.0</v>
      </c>
      <c r="K1104" s="1">
        <v>11.0</v>
      </c>
      <c r="L1104" s="1" t="s">
        <v>22</v>
      </c>
      <c r="M1104" s="1" t="s">
        <v>4456</v>
      </c>
      <c r="N1104" s="1" t="s">
        <v>34</v>
      </c>
      <c r="O1104" s="1" t="s">
        <v>35</v>
      </c>
      <c r="P1104" s="1" t="s">
        <v>4457</v>
      </c>
    </row>
    <row r="1105" ht="14.25" customHeight="1">
      <c r="A1105" s="1" t="s">
        <v>4458</v>
      </c>
      <c r="B1105" s="1" t="s">
        <v>4459</v>
      </c>
      <c r="C1105" s="1" t="s">
        <v>18</v>
      </c>
      <c r="D1105" s="1">
        <v>56900.0</v>
      </c>
      <c r="E1105" s="1" t="s">
        <v>40</v>
      </c>
      <c r="F1105" s="1" t="s">
        <v>46</v>
      </c>
      <c r="G1105" s="1" t="s">
        <v>100</v>
      </c>
      <c r="H1105" s="2">
        <v>3172.0</v>
      </c>
      <c r="I1105" s="2">
        <v>2369.0</v>
      </c>
      <c r="J1105" s="1">
        <v>2019.0</v>
      </c>
      <c r="K1105" s="1">
        <v>28.0</v>
      </c>
      <c r="L1105" s="1" t="s">
        <v>95</v>
      </c>
      <c r="M1105" s="1" t="s">
        <v>4460</v>
      </c>
      <c r="N1105" s="1" t="s">
        <v>64</v>
      </c>
      <c r="O1105" s="1" t="s">
        <v>49</v>
      </c>
      <c r="P1105" s="1" t="s">
        <v>4461</v>
      </c>
    </row>
    <row r="1106" ht="14.25" customHeight="1">
      <c r="A1106" s="1" t="s">
        <v>4462</v>
      </c>
      <c r="B1106" s="1" t="s">
        <v>4463</v>
      </c>
      <c r="C1106" s="1" t="s">
        <v>76</v>
      </c>
      <c r="D1106" s="1">
        <v>24929.0</v>
      </c>
      <c r="E1106" s="1" t="s">
        <v>19</v>
      </c>
      <c r="F1106" s="1" t="s">
        <v>41</v>
      </c>
      <c r="G1106" s="1" t="s">
        <v>21</v>
      </c>
      <c r="H1106" s="2">
        <v>636.0</v>
      </c>
      <c r="I1106" s="2">
        <v>3670.0</v>
      </c>
      <c r="J1106" s="1">
        <v>1952.0</v>
      </c>
      <c r="K1106" s="1">
        <v>29.0</v>
      </c>
      <c r="L1106" s="1" t="s">
        <v>32</v>
      </c>
      <c r="M1106" s="1" t="s">
        <v>4464</v>
      </c>
      <c r="N1106" s="1" t="s">
        <v>24</v>
      </c>
      <c r="O1106" s="1" t="s">
        <v>49</v>
      </c>
      <c r="P1106" s="1" t="s">
        <v>4465</v>
      </c>
    </row>
    <row r="1107" ht="14.25" customHeight="1">
      <c r="A1107" s="1" t="s">
        <v>4466</v>
      </c>
      <c r="B1107" s="1" t="s">
        <v>4467</v>
      </c>
      <c r="C1107" s="1" t="s">
        <v>29</v>
      </c>
      <c r="D1107" s="1">
        <v>89639.0</v>
      </c>
      <c r="E1107" s="1" t="s">
        <v>60</v>
      </c>
      <c r="F1107" s="1" t="s">
        <v>61</v>
      </c>
      <c r="G1107" s="1" t="s">
        <v>100</v>
      </c>
      <c r="H1107" s="2">
        <v>2789.0</v>
      </c>
      <c r="I1107" s="2">
        <v>1515.0</v>
      </c>
      <c r="J1107" s="1">
        <v>1991.0</v>
      </c>
      <c r="K1107" s="1">
        <v>82.0</v>
      </c>
      <c r="L1107" s="1" t="s">
        <v>95</v>
      </c>
      <c r="M1107" s="1" t="s">
        <v>4468</v>
      </c>
      <c r="N1107" s="1" t="s">
        <v>34</v>
      </c>
      <c r="O1107" s="1" t="s">
        <v>25</v>
      </c>
      <c r="P1107" s="1" t="s">
        <v>4469</v>
      </c>
    </row>
    <row r="1108" ht="14.25" customHeight="1">
      <c r="A1108" s="1" t="s">
        <v>4470</v>
      </c>
      <c r="B1108" s="1" t="s">
        <v>4471</v>
      </c>
      <c r="C1108" s="1" t="s">
        <v>76</v>
      </c>
      <c r="D1108" s="1">
        <v>38448.0</v>
      </c>
      <c r="E1108" s="1" t="s">
        <v>40</v>
      </c>
      <c r="F1108" s="1" t="s">
        <v>46</v>
      </c>
      <c r="G1108" s="1" t="s">
        <v>21</v>
      </c>
      <c r="H1108" s="2">
        <v>3231.0</v>
      </c>
      <c r="I1108" s="2">
        <v>6517.0</v>
      </c>
      <c r="J1108" s="1">
        <v>1991.0</v>
      </c>
      <c r="K1108" s="1">
        <v>61.0</v>
      </c>
      <c r="L1108" s="1" t="s">
        <v>22</v>
      </c>
      <c r="M1108" s="1" t="s">
        <v>4472</v>
      </c>
      <c r="N1108" s="1" t="s">
        <v>24</v>
      </c>
      <c r="O1108" s="1" t="s">
        <v>25</v>
      </c>
      <c r="P1108" s="1" t="s">
        <v>4473</v>
      </c>
    </row>
    <row r="1109" ht="14.25" customHeight="1">
      <c r="A1109" s="1" t="s">
        <v>4474</v>
      </c>
      <c r="B1109" s="1" t="s">
        <v>4475</v>
      </c>
      <c r="C1109" s="1" t="s">
        <v>18</v>
      </c>
      <c r="D1109" s="1">
        <v>62075.0</v>
      </c>
      <c r="E1109" s="1" t="s">
        <v>19</v>
      </c>
      <c r="F1109" s="1" t="s">
        <v>41</v>
      </c>
      <c r="G1109" s="1" t="s">
        <v>55</v>
      </c>
      <c r="H1109" s="2">
        <v>2634.0</v>
      </c>
      <c r="I1109" s="2">
        <v>3986.0</v>
      </c>
      <c r="J1109" s="1">
        <v>2003.0</v>
      </c>
      <c r="K1109" s="1">
        <v>119.0</v>
      </c>
      <c r="L1109" s="1" t="s">
        <v>141</v>
      </c>
      <c r="M1109" s="1" t="s">
        <v>4476</v>
      </c>
      <c r="N1109" s="1" t="s">
        <v>64</v>
      </c>
      <c r="O1109" s="1" t="s">
        <v>49</v>
      </c>
      <c r="P1109" s="1" t="s">
        <v>4477</v>
      </c>
    </row>
    <row r="1110" ht="14.25" customHeight="1">
      <c r="A1110" s="1" t="s">
        <v>4478</v>
      </c>
      <c r="B1110" s="1" t="s">
        <v>4479</v>
      </c>
      <c r="C1110" s="1" t="s">
        <v>53</v>
      </c>
      <c r="D1110" s="1">
        <v>29846.0</v>
      </c>
      <c r="E1110" s="1" t="s">
        <v>19</v>
      </c>
      <c r="F1110" s="1" t="s">
        <v>54</v>
      </c>
      <c r="G1110" s="1" t="s">
        <v>21</v>
      </c>
      <c r="H1110" s="2">
        <v>2159.0</v>
      </c>
      <c r="I1110" s="2">
        <v>2528.0</v>
      </c>
      <c r="J1110" s="1">
        <v>2023.0</v>
      </c>
      <c r="K1110" s="1">
        <v>42.0</v>
      </c>
      <c r="L1110" s="1" t="s">
        <v>95</v>
      </c>
      <c r="M1110" s="1" t="s">
        <v>4480</v>
      </c>
      <c r="N1110" s="1" t="s">
        <v>34</v>
      </c>
      <c r="O1110" s="1" t="s">
        <v>49</v>
      </c>
      <c r="P1110" s="1" t="s">
        <v>4481</v>
      </c>
    </row>
    <row r="1111" ht="14.25" customHeight="1">
      <c r="A1111" s="1" t="s">
        <v>4482</v>
      </c>
      <c r="B1111" s="1" t="s">
        <v>4483</v>
      </c>
      <c r="C1111" s="1" t="s">
        <v>76</v>
      </c>
      <c r="D1111" s="1">
        <v>15184.0</v>
      </c>
      <c r="E1111" s="1" t="s">
        <v>60</v>
      </c>
      <c r="F1111" s="1" t="s">
        <v>94</v>
      </c>
      <c r="G1111" s="1" t="s">
        <v>55</v>
      </c>
      <c r="H1111" s="2">
        <v>1299.0</v>
      </c>
      <c r="I1111" s="2">
        <v>6075.0</v>
      </c>
      <c r="J1111" s="1">
        <v>2018.0</v>
      </c>
      <c r="K1111" s="1">
        <v>27.0</v>
      </c>
      <c r="L1111" s="1" t="s">
        <v>95</v>
      </c>
      <c r="M1111" s="1" t="s">
        <v>4484</v>
      </c>
      <c r="N1111" s="1" t="s">
        <v>24</v>
      </c>
      <c r="O1111" s="1" t="s">
        <v>35</v>
      </c>
      <c r="P1111" s="1" t="s">
        <v>4485</v>
      </c>
    </row>
    <row r="1112" ht="14.25" customHeight="1">
      <c r="A1112" s="1" t="s">
        <v>4486</v>
      </c>
      <c r="B1112" s="1" t="s">
        <v>4487</v>
      </c>
      <c r="C1112" s="1" t="s">
        <v>18</v>
      </c>
      <c r="D1112" s="1">
        <v>20551.0</v>
      </c>
      <c r="E1112" s="1" t="s">
        <v>77</v>
      </c>
      <c r="F1112" s="1" t="s">
        <v>61</v>
      </c>
      <c r="G1112" s="1" t="s">
        <v>55</v>
      </c>
      <c r="H1112" s="2">
        <v>2457.0</v>
      </c>
      <c r="I1112" s="2">
        <v>8629.0</v>
      </c>
      <c r="J1112" s="1">
        <v>2010.0</v>
      </c>
      <c r="K1112" s="1">
        <v>72.0</v>
      </c>
      <c r="L1112" s="1" t="s">
        <v>62</v>
      </c>
      <c r="M1112" s="1" t="s">
        <v>4488</v>
      </c>
      <c r="N1112" s="1" t="s">
        <v>34</v>
      </c>
      <c r="O1112" s="1" t="s">
        <v>49</v>
      </c>
      <c r="P1112" s="1" t="s">
        <v>4489</v>
      </c>
    </row>
    <row r="1113" ht="14.25" customHeight="1">
      <c r="A1113" s="1" t="s">
        <v>4490</v>
      </c>
      <c r="B1113" s="1" t="s">
        <v>4491</v>
      </c>
      <c r="C1113" s="1" t="s">
        <v>29</v>
      </c>
      <c r="D1113" s="1">
        <v>97417.0</v>
      </c>
      <c r="E1113" s="1" t="s">
        <v>30</v>
      </c>
      <c r="F1113" s="1" t="s">
        <v>94</v>
      </c>
      <c r="G1113" s="1" t="s">
        <v>100</v>
      </c>
      <c r="H1113" s="2">
        <v>3189.0</v>
      </c>
      <c r="I1113" s="2">
        <v>4457.0</v>
      </c>
      <c r="J1113" s="1">
        <v>2013.0</v>
      </c>
      <c r="K1113" s="1">
        <v>38.0</v>
      </c>
      <c r="L1113" s="1" t="s">
        <v>62</v>
      </c>
      <c r="M1113" s="1" t="s">
        <v>4492</v>
      </c>
      <c r="N1113" s="1" t="s">
        <v>34</v>
      </c>
      <c r="O1113" s="1" t="s">
        <v>25</v>
      </c>
      <c r="P1113" s="1" t="s">
        <v>4493</v>
      </c>
    </row>
    <row r="1114" ht="14.25" customHeight="1">
      <c r="A1114" s="1" t="s">
        <v>4494</v>
      </c>
      <c r="B1114" s="1" t="s">
        <v>4495</v>
      </c>
      <c r="C1114" s="1" t="s">
        <v>29</v>
      </c>
      <c r="D1114" s="1">
        <v>15369.0</v>
      </c>
      <c r="E1114" s="1" t="s">
        <v>60</v>
      </c>
      <c r="F1114" s="1" t="s">
        <v>61</v>
      </c>
      <c r="G1114" s="1" t="s">
        <v>31</v>
      </c>
      <c r="H1114" s="2">
        <v>3059.0</v>
      </c>
      <c r="I1114" s="2">
        <v>9234.0</v>
      </c>
      <c r="J1114" s="1">
        <v>1975.0</v>
      </c>
      <c r="K1114" s="1">
        <v>15.0</v>
      </c>
      <c r="L1114" s="1" t="s">
        <v>62</v>
      </c>
      <c r="M1114" s="1" t="s">
        <v>4496</v>
      </c>
      <c r="N1114" s="1" t="s">
        <v>34</v>
      </c>
      <c r="O1114" s="1" t="s">
        <v>35</v>
      </c>
      <c r="P1114" s="1" t="s">
        <v>4497</v>
      </c>
    </row>
    <row r="1115" ht="14.25" customHeight="1">
      <c r="A1115" s="1" t="s">
        <v>4498</v>
      </c>
      <c r="B1115" s="1" t="s">
        <v>4499</v>
      </c>
      <c r="C1115" s="1" t="s">
        <v>53</v>
      </c>
      <c r="D1115" s="1">
        <v>60214.0</v>
      </c>
      <c r="E1115" s="1" t="s">
        <v>60</v>
      </c>
      <c r="F1115" s="1" t="s">
        <v>61</v>
      </c>
      <c r="G1115" s="1" t="s">
        <v>55</v>
      </c>
      <c r="H1115" s="2">
        <v>792.0</v>
      </c>
      <c r="I1115" s="2">
        <v>6054.0</v>
      </c>
      <c r="J1115" s="1">
        <v>2004.0</v>
      </c>
      <c r="K1115" s="1">
        <v>35.0</v>
      </c>
      <c r="L1115" s="1" t="s">
        <v>62</v>
      </c>
      <c r="M1115" s="1" t="s">
        <v>4500</v>
      </c>
      <c r="N1115" s="1" t="s">
        <v>64</v>
      </c>
      <c r="O1115" s="1" t="s">
        <v>49</v>
      </c>
      <c r="P1115" s="1" t="s">
        <v>4501</v>
      </c>
    </row>
    <row r="1116" ht="14.25" customHeight="1">
      <c r="A1116" s="1" t="s">
        <v>4502</v>
      </c>
      <c r="B1116" s="1" t="s">
        <v>4503</v>
      </c>
      <c r="C1116" s="1" t="s">
        <v>29</v>
      </c>
      <c r="D1116" s="1">
        <v>32159.0</v>
      </c>
      <c r="E1116" s="1" t="s">
        <v>40</v>
      </c>
      <c r="F1116" s="1" t="s">
        <v>46</v>
      </c>
      <c r="G1116" s="1" t="s">
        <v>21</v>
      </c>
      <c r="H1116" s="2">
        <v>3824.0</v>
      </c>
      <c r="I1116" s="2">
        <v>1780.0</v>
      </c>
      <c r="J1116" s="1">
        <v>1981.0</v>
      </c>
      <c r="K1116" s="1">
        <v>26.0</v>
      </c>
      <c r="L1116" s="1" t="s">
        <v>32</v>
      </c>
      <c r="M1116" s="1" t="s">
        <v>4504</v>
      </c>
      <c r="N1116" s="1" t="s">
        <v>43</v>
      </c>
      <c r="O1116" s="1" t="s">
        <v>25</v>
      </c>
      <c r="P1116" s="1" t="s">
        <v>4505</v>
      </c>
    </row>
    <row r="1117" ht="14.25" customHeight="1">
      <c r="A1117" s="1" t="s">
        <v>4506</v>
      </c>
      <c r="B1117" s="1" t="s">
        <v>4507</v>
      </c>
      <c r="C1117" s="1" t="s">
        <v>39</v>
      </c>
      <c r="D1117" s="1">
        <v>99365.0</v>
      </c>
      <c r="E1117" s="1" t="s">
        <v>30</v>
      </c>
      <c r="F1117" s="1" t="s">
        <v>61</v>
      </c>
      <c r="G1117" s="1" t="s">
        <v>100</v>
      </c>
      <c r="H1117" s="2">
        <v>3207.0</v>
      </c>
      <c r="I1117" s="2">
        <v>1922.0</v>
      </c>
      <c r="J1117" s="1">
        <v>1975.0</v>
      </c>
      <c r="K1117" s="1">
        <v>109.0</v>
      </c>
      <c r="L1117" s="1" t="s">
        <v>141</v>
      </c>
      <c r="M1117" s="1" t="s">
        <v>4508</v>
      </c>
      <c r="N1117" s="1" t="s">
        <v>24</v>
      </c>
      <c r="O1117" s="1" t="s">
        <v>35</v>
      </c>
      <c r="P1117" s="1" t="s">
        <v>4509</v>
      </c>
    </row>
    <row r="1118" ht="14.25" customHeight="1">
      <c r="A1118" s="1" t="s">
        <v>4510</v>
      </c>
      <c r="B1118" s="1" t="s">
        <v>4511</v>
      </c>
      <c r="C1118" s="1" t="s">
        <v>29</v>
      </c>
      <c r="D1118" s="1">
        <v>98952.0</v>
      </c>
      <c r="E1118" s="1" t="s">
        <v>40</v>
      </c>
      <c r="F1118" s="1" t="s">
        <v>94</v>
      </c>
      <c r="G1118" s="1" t="s">
        <v>31</v>
      </c>
      <c r="H1118" s="2">
        <v>1507.0</v>
      </c>
      <c r="I1118" s="2">
        <v>9093.0</v>
      </c>
      <c r="J1118" s="1">
        <v>1964.0</v>
      </c>
      <c r="K1118" s="1">
        <v>24.0</v>
      </c>
      <c r="L1118" s="1" t="s">
        <v>141</v>
      </c>
      <c r="M1118" s="1" t="s">
        <v>4512</v>
      </c>
      <c r="N1118" s="1" t="s">
        <v>34</v>
      </c>
      <c r="O1118" s="1" t="s">
        <v>49</v>
      </c>
      <c r="P1118" s="1" t="s">
        <v>4513</v>
      </c>
    </row>
    <row r="1119" ht="14.25" customHeight="1">
      <c r="A1119" s="1" t="s">
        <v>4514</v>
      </c>
      <c r="B1119" s="1" t="s">
        <v>4515</v>
      </c>
      <c r="C1119" s="1" t="s">
        <v>76</v>
      </c>
      <c r="D1119" s="1">
        <v>53920.0</v>
      </c>
      <c r="E1119" s="1" t="s">
        <v>60</v>
      </c>
      <c r="F1119" s="1" t="s">
        <v>94</v>
      </c>
      <c r="G1119" s="1" t="s">
        <v>100</v>
      </c>
      <c r="H1119" s="2">
        <v>3029.0</v>
      </c>
      <c r="I1119" s="2">
        <v>2243.0</v>
      </c>
      <c r="J1119" s="1">
        <v>2022.0</v>
      </c>
      <c r="K1119" s="1">
        <v>112.0</v>
      </c>
      <c r="L1119" s="1" t="s">
        <v>141</v>
      </c>
      <c r="M1119" s="1" t="s">
        <v>4516</v>
      </c>
      <c r="N1119" s="1" t="s">
        <v>64</v>
      </c>
      <c r="O1119" s="1" t="s">
        <v>49</v>
      </c>
      <c r="P1119" s="1" t="s">
        <v>4517</v>
      </c>
    </row>
    <row r="1120" ht="14.25" customHeight="1">
      <c r="A1120" s="1" t="s">
        <v>4518</v>
      </c>
      <c r="B1120" s="1" t="s">
        <v>4519</v>
      </c>
      <c r="C1120" s="1" t="s">
        <v>53</v>
      </c>
      <c r="D1120" s="1">
        <v>76014.0</v>
      </c>
      <c r="E1120" s="1" t="s">
        <v>40</v>
      </c>
      <c r="F1120" s="1" t="s">
        <v>41</v>
      </c>
      <c r="G1120" s="1" t="s">
        <v>55</v>
      </c>
      <c r="H1120" s="2">
        <v>2783.0</v>
      </c>
      <c r="I1120" s="2">
        <v>4544.0</v>
      </c>
      <c r="J1120" s="1">
        <v>1984.0</v>
      </c>
      <c r="K1120" s="1">
        <v>63.0</v>
      </c>
      <c r="L1120" s="1" t="s">
        <v>32</v>
      </c>
      <c r="M1120" s="1" t="s">
        <v>4520</v>
      </c>
      <c r="N1120" s="1" t="s">
        <v>48</v>
      </c>
      <c r="O1120" s="1" t="s">
        <v>49</v>
      </c>
      <c r="P1120" s="1" t="s">
        <v>4521</v>
      </c>
    </row>
    <row r="1121" ht="14.25" customHeight="1">
      <c r="A1121" s="1" t="s">
        <v>4522</v>
      </c>
      <c r="B1121" s="1" t="s">
        <v>4523</v>
      </c>
      <c r="C1121" s="1" t="s">
        <v>53</v>
      </c>
      <c r="D1121" s="1">
        <v>45807.0</v>
      </c>
      <c r="E1121" s="1" t="s">
        <v>30</v>
      </c>
      <c r="F1121" s="1" t="s">
        <v>20</v>
      </c>
      <c r="G1121" s="1" t="s">
        <v>31</v>
      </c>
      <c r="H1121" s="2">
        <v>913.0</v>
      </c>
      <c r="I1121" s="2">
        <v>2784.0</v>
      </c>
      <c r="J1121" s="1">
        <v>1999.0</v>
      </c>
      <c r="K1121" s="1">
        <v>68.0</v>
      </c>
      <c r="L1121" s="1" t="s">
        <v>62</v>
      </c>
      <c r="M1121" s="1" t="s">
        <v>4524</v>
      </c>
      <c r="N1121" s="1" t="s">
        <v>34</v>
      </c>
      <c r="O1121" s="1" t="s">
        <v>35</v>
      </c>
      <c r="P1121" s="1" t="s">
        <v>4525</v>
      </c>
    </row>
    <row r="1122" ht="14.25" customHeight="1">
      <c r="A1122" s="1" t="s">
        <v>4526</v>
      </c>
      <c r="B1122" s="1" t="s">
        <v>4527</v>
      </c>
      <c r="C1122" s="1" t="s">
        <v>53</v>
      </c>
      <c r="D1122" s="1">
        <v>68651.0</v>
      </c>
      <c r="E1122" s="1" t="s">
        <v>19</v>
      </c>
      <c r="F1122" s="1" t="s">
        <v>20</v>
      </c>
      <c r="G1122" s="1" t="s">
        <v>31</v>
      </c>
      <c r="H1122" s="2">
        <v>1246.0</v>
      </c>
      <c r="I1122" s="2">
        <v>7932.0</v>
      </c>
      <c r="J1122" s="1">
        <v>1950.0</v>
      </c>
      <c r="K1122" s="1">
        <v>60.0</v>
      </c>
      <c r="L1122" s="1" t="s">
        <v>141</v>
      </c>
      <c r="M1122" s="1" t="s">
        <v>4528</v>
      </c>
      <c r="N1122" s="1" t="s">
        <v>24</v>
      </c>
      <c r="O1122" s="1" t="s">
        <v>35</v>
      </c>
      <c r="P1122" s="1" t="s">
        <v>4529</v>
      </c>
    </row>
    <row r="1123" ht="14.25" customHeight="1">
      <c r="A1123" s="1" t="s">
        <v>4530</v>
      </c>
      <c r="B1123" s="1" t="s">
        <v>4531</v>
      </c>
      <c r="C1123" s="1" t="s">
        <v>76</v>
      </c>
      <c r="D1123" s="1">
        <v>62739.0</v>
      </c>
      <c r="E1123" s="1" t="s">
        <v>40</v>
      </c>
      <c r="F1123" s="1" t="s">
        <v>46</v>
      </c>
      <c r="G1123" s="1" t="s">
        <v>31</v>
      </c>
      <c r="H1123" s="2">
        <v>915.0</v>
      </c>
      <c r="I1123" s="2">
        <v>8989.0</v>
      </c>
      <c r="J1123" s="1">
        <v>2012.0</v>
      </c>
      <c r="K1123" s="1">
        <v>78.0</v>
      </c>
      <c r="L1123" s="1" t="s">
        <v>62</v>
      </c>
      <c r="M1123" s="1" t="s">
        <v>4532</v>
      </c>
      <c r="N1123" s="1" t="s">
        <v>48</v>
      </c>
      <c r="O1123" s="1" t="s">
        <v>49</v>
      </c>
      <c r="P1123" s="1" t="s">
        <v>4533</v>
      </c>
    </row>
    <row r="1124" ht="14.25" customHeight="1">
      <c r="A1124" s="1" t="s">
        <v>4534</v>
      </c>
      <c r="B1124" s="1" t="s">
        <v>4535</v>
      </c>
      <c r="C1124" s="1" t="s">
        <v>76</v>
      </c>
      <c r="D1124" s="1">
        <v>27780.0</v>
      </c>
      <c r="E1124" s="1" t="s">
        <v>19</v>
      </c>
      <c r="F1124" s="1" t="s">
        <v>20</v>
      </c>
      <c r="G1124" s="1" t="s">
        <v>21</v>
      </c>
      <c r="H1124" s="2">
        <v>1288.0</v>
      </c>
      <c r="I1124" s="2">
        <v>5845.0</v>
      </c>
      <c r="J1124" s="1">
        <v>1984.0</v>
      </c>
      <c r="K1124" s="1">
        <v>10.0</v>
      </c>
      <c r="L1124" s="1" t="s">
        <v>22</v>
      </c>
      <c r="M1124" s="1" t="s">
        <v>4536</v>
      </c>
      <c r="N1124" s="1" t="s">
        <v>48</v>
      </c>
      <c r="O1124" s="1" t="s">
        <v>49</v>
      </c>
      <c r="P1124" s="1" t="s">
        <v>4537</v>
      </c>
    </row>
    <row r="1125" ht="14.25" customHeight="1">
      <c r="A1125" s="1" t="s">
        <v>4538</v>
      </c>
      <c r="B1125" s="1" t="s">
        <v>4539</v>
      </c>
      <c r="C1125" s="1" t="s">
        <v>18</v>
      </c>
      <c r="D1125" s="1">
        <v>16773.0</v>
      </c>
      <c r="E1125" s="1" t="s">
        <v>30</v>
      </c>
      <c r="F1125" s="1" t="s">
        <v>54</v>
      </c>
      <c r="G1125" s="1" t="s">
        <v>55</v>
      </c>
      <c r="H1125" s="2">
        <v>3513.0</v>
      </c>
      <c r="I1125" s="2">
        <v>1515.0</v>
      </c>
      <c r="J1125" s="1">
        <v>2007.0</v>
      </c>
      <c r="K1125" s="1">
        <v>113.0</v>
      </c>
      <c r="L1125" s="1" t="s">
        <v>62</v>
      </c>
      <c r="M1125" s="1" t="s">
        <v>4540</v>
      </c>
      <c r="N1125" s="1" t="s">
        <v>64</v>
      </c>
      <c r="O1125" s="1" t="s">
        <v>49</v>
      </c>
      <c r="P1125" s="1" t="s">
        <v>4541</v>
      </c>
    </row>
    <row r="1126" ht="14.25" customHeight="1">
      <c r="A1126" s="1" t="s">
        <v>4542</v>
      </c>
      <c r="B1126" s="1" t="s">
        <v>4543</v>
      </c>
      <c r="C1126" s="1" t="s">
        <v>18</v>
      </c>
      <c r="D1126" s="1">
        <v>75584.0</v>
      </c>
      <c r="E1126" s="1" t="s">
        <v>77</v>
      </c>
      <c r="F1126" s="1" t="s">
        <v>20</v>
      </c>
      <c r="G1126" s="1" t="s">
        <v>100</v>
      </c>
      <c r="H1126" s="2">
        <v>1888.0</v>
      </c>
      <c r="I1126" s="2">
        <v>1621.0</v>
      </c>
      <c r="J1126" s="1">
        <v>2004.0</v>
      </c>
      <c r="K1126" s="1">
        <v>40.0</v>
      </c>
      <c r="L1126" s="1" t="s">
        <v>22</v>
      </c>
      <c r="M1126" s="1" t="s">
        <v>4544</v>
      </c>
      <c r="N1126" s="1" t="s">
        <v>34</v>
      </c>
      <c r="O1126" s="1" t="s">
        <v>25</v>
      </c>
      <c r="P1126" s="1" t="s">
        <v>4545</v>
      </c>
    </row>
    <row r="1127" ht="14.25" customHeight="1">
      <c r="A1127" s="1" t="s">
        <v>4546</v>
      </c>
      <c r="B1127" s="1" t="s">
        <v>4547</v>
      </c>
      <c r="C1127" s="1" t="s">
        <v>76</v>
      </c>
      <c r="D1127" s="1">
        <v>58344.0</v>
      </c>
      <c r="E1127" s="1" t="s">
        <v>77</v>
      </c>
      <c r="F1127" s="1" t="s">
        <v>41</v>
      </c>
      <c r="G1127" s="1" t="s">
        <v>100</v>
      </c>
      <c r="H1127" s="2">
        <v>1668.0</v>
      </c>
      <c r="I1127" s="2">
        <v>6973.0</v>
      </c>
      <c r="J1127" s="1">
        <v>1968.0</v>
      </c>
      <c r="K1127" s="1">
        <v>70.0</v>
      </c>
      <c r="L1127" s="1" t="s">
        <v>141</v>
      </c>
      <c r="M1127" s="1" t="s">
        <v>4548</v>
      </c>
      <c r="N1127" s="1" t="s">
        <v>43</v>
      </c>
      <c r="O1127" s="1" t="s">
        <v>49</v>
      </c>
      <c r="P1127" s="1" t="s">
        <v>4549</v>
      </c>
    </row>
    <row r="1128" ht="14.25" customHeight="1">
      <c r="A1128" s="1" t="s">
        <v>4550</v>
      </c>
      <c r="B1128" s="1" t="s">
        <v>4551</v>
      </c>
      <c r="C1128" s="1" t="s">
        <v>76</v>
      </c>
      <c r="D1128" s="1">
        <v>41891.0</v>
      </c>
      <c r="E1128" s="1" t="s">
        <v>30</v>
      </c>
      <c r="F1128" s="1" t="s">
        <v>41</v>
      </c>
      <c r="G1128" s="1" t="s">
        <v>55</v>
      </c>
      <c r="H1128" s="2">
        <v>3444.0</v>
      </c>
      <c r="I1128" s="2">
        <v>5114.0</v>
      </c>
      <c r="J1128" s="1">
        <v>1950.0</v>
      </c>
      <c r="K1128" s="1">
        <v>68.0</v>
      </c>
      <c r="L1128" s="1" t="s">
        <v>32</v>
      </c>
      <c r="M1128" s="1" t="s">
        <v>4552</v>
      </c>
      <c r="N1128" s="1" t="s">
        <v>48</v>
      </c>
      <c r="O1128" s="1" t="s">
        <v>35</v>
      </c>
      <c r="P1128" s="1" t="s">
        <v>4553</v>
      </c>
    </row>
    <row r="1129" ht="14.25" customHeight="1">
      <c r="A1129" s="1" t="s">
        <v>4554</v>
      </c>
      <c r="B1129" s="1" t="s">
        <v>4555</v>
      </c>
      <c r="C1129" s="1" t="s">
        <v>39</v>
      </c>
      <c r="D1129" s="1">
        <v>59337.0</v>
      </c>
      <c r="E1129" s="1" t="s">
        <v>77</v>
      </c>
      <c r="F1129" s="1" t="s">
        <v>46</v>
      </c>
      <c r="G1129" s="1" t="s">
        <v>21</v>
      </c>
      <c r="H1129" s="2">
        <v>1415.0</v>
      </c>
      <c r="I1129" s="2">
        <v>2690.0</v>
      </c>
      <c r="J1129" s="1">
        <v>2000.0</v>
      </c>
      <c r="K1129" s="1">
        <v>38.0</v>
      </c>
      <c r="L1129" s="1" t="s">
        <v>95</v>
      </c>
      <c r="M1129" s="1" t="s">
        <v>4556</v>
      </c>
      <c r="N1129" s="1" t="s">
        <v>34</v>
      </c>
      <c r="O1129" s="1" t="s">
        <v>25</v>
      </c>
      <c r="P1129" s="1" t="s">
        <v>4557</v>
      </c>
    </row>
    <row r="1130" ht="14.25" customHeight="1">
      <c r="A1130" s="1" t="s">
        <v>4558</v>
      </c>
      <c r="B1130" s="1" t="s">
        <v>4559</v>
      </c>
      <c r="C1130" s="1" t="s">
        <v>76</v>
      </c>
      <c r="D1130" s="1">
        <v>52483.0</v>
      </c>
      <c r="E1130" s="1" t="s">
        <v>19</v>
      </c>
      <c r="F1130" s="1" t="s">
        <v>41</v>
      </c>
      <c r="G1130" s="1" t="s">
        <v>31</v>
      </c>
      <c r="H1130" s="2">
        <v>1905.0</v>
      </c>
      <c r="I1130" s="2">
        <v>5806.0</v>
      </c>
      <c r="J1130" s="1">
        <v>1974.0</v>
      </c>
      <c r="K1130" s="1">
        <v>12.0</v>
      </c>
      <c r="L1130" s="1" t="s">
        <v>141</v>
      </c>
      <c r="M1130" s="1" t="s">
        <v>4560</v>
      </c>
      <c r="N1130" s="1" t="s">
        <v>48</v>
      </c>
      <c r="O1130" s="1" t="s">
        <v>25</v>
      </c>
      <c r="P1130" s="1" t="s">
        <v>4561</v>
      </c>
    </row>
    <row r="1131" ht="14.25" customHeight="1">
      <c r="A1131" s="1" t="s">
        <v>4562</v>
      </c>
      <c r="B1131" s="1" t="s">
        <v>4563</v>
      </c>
      <c r="C1131" s="1" t="s">
        <v>53</v>
      </c>
      <c r="D1131" s="1">
        <v>26644.0</v>
      </c>
      <c r="E1131" s="1" t="s">
        <v>60</v>
      </c>
      <c r="F1131" s="1" t="s">
        <v>54</v>
      </c>
      <c r="G1131" s="1" t="s">
        <v>55</v>
      </c>
      <c r="H1131" s="2">
        <v>3561.0</v>
      </c>
      <c r="I1131" s="2">
        <v>4316.0</v>
      </c>
      <c r="J1131" s="1">
        <v>2023.0</v>
      </c>
      <c r="K1131" s="1">
        <v>35.0</v>
      </c>
      <c r="L1131" s="1" t="s">
        <v>62</v>
      </c>
      <c r="M1131" s="1" t="s">
        <v>4564</v>
      </c>
      <c r="N1131" s="1" t="s">
        <v>34</v>
      </c>
      <c r="O1131" s="1" t="s">
        <v>35</v>
      </c>
      <c r="P1131" s="1" t="s">
        <v>4565</v>
      </c>
    </row>
    <row r="1132" ht="14.25" customHeight="1">
      <c r="A1132" s="1" t="s">
        <v>4566</v>
      </c>
      <c r="B1132" s="1" t="s">
        <v>4567</v>
      </c>
      <c r="C1132" s="1" t="s">
        <v>39</v>
      </c>
      <c r="D1132" s="1">
        <v>89113.0</v>
      </c>
      <c r="E1132" s="1" t="s">
        <v>60</v>
      </c>
      <c r="F1132" s="1" t="s">
        <v>20</v>
      </c>
      <c r="G1132" s="1" t="s">
        <v>31</v>
      </c>
      <c r="H1132" s="2">
        <v>660.0</v>
      </c>
      <c r="I1132" s="2">
        <v>8861.0</v>
      </c>
      <c r="J1132" s="1">
        <v>1964.0</v>
      </c>
      <c r="K1132" s="1">
        <v>101.0</v>
      </c>
      <c r="L1132" s="1" t="s">
        <v>32</v>
      </c>
      <c r="M1132" s="1" t="s">
        <v>4568</v>
      </c>
      <c r="N1132" s="1" t="s">
        <v>34</v>
      </c>
      <c r="O1132" s="1" t="s">
        <v>25</v>
      </c>
      <c r="P1132" s="1" t="s">
        <v>4569</v>
      </c>
    </row>
    <row r="1133" ht="14.25" customHeight="1">
      <c r="A1133" s="1" t="s">
        <v>4570</v>
      </c>
      <c r="B1133" s="1" t="s">
        <v>4571</v>
      </c>
      <c r="C1133" s="1" t="s">
        <v>53</v>
      </c>
      <c r="D1133" s="1">
        <v>68674.0</v>
      </c>
      <c r="E1133" s="1" t="s">
        <v>77</v>
      </c>
      <c r="F1133" s="1" t="s">
        <v>54</v>
      </c>
      <c r="G1133" s="1" t="s">
        <v>31</v>
      </c>
      <c r="H1133" s="2">
        <v>3542.0</v>
      </c>
      <c r="I1133" s="2">
        <v>3233.0</v>
      </c>
      <c r="J1133" s="1">
        <v>2004.0</v>
      </c>
      <c r="K1133" s="1">
        <v>13.0</v>
      </c>
      <c r="L1133" s="1" t="s">
        <v>62</v>
      </c>
      <c r="M1133" s="1" t="s">
        <v>4572</v>
      </c>
      <c r="N1133" s="1" t="s">
        <v>34</v>
      </c>
      <c r="O1133" s="1" t="s">
        <v>35</v>
      </c>
      <c r="P1133" s="1" t="s">
        <v>4573</v>
      </c>
    </row>
    <row r="1134" ht="14.25" customHeight="1">
      <c r="A1134" s="1" t="s">
        <v>4574</v>
      </c>
      <c r="B1134" s="1" t="s">
        <v>4575</v>
      </c>
      <c r="C1134" s="1" t="s">
        <v>76</v>
      </c>
      <c r="D1134" s="1">
        <v>51861.0</v>
      </c>
      <c r="E1134" s="1" t="s">
        <v>60</v>
      </c>
      <c r="F1134" s="1" t="s">
        <v>20</v>
      </c>
      <c r="G1134" s="1" t="s">
        <v>55</v>
      </c>
      <c r="H1134" s="2">
        <v>2419.0</v>
      </c>
      <c r="I1134" s="2">
        <v>6115.0</v>
      </c>
      <c r="J1134" s="1">
        <v>2013.0</v>
      </c>
      <c r="K1134" s="1">
        <v>78.0</v>
      </c>
      <c r="L1134" s="1" t="s">
        <v>32</v>
      </c>
      <c r="M1134" s="1" t="s">
        <v>4576</v>
      </c>
      <c r="N1134" s="1" t="s">
        <v>43</v>
      </c>
      <c r="O1134" s="1" t="s">
        <v>35</v>
      </c>
      <c r="P1134" s="1" t="s">
        <v>4577</v>
      </c>
    </row>
    <row r="1135" ht="14.25" customHeight="1">
      <c r="A1135" s="1" t="s">
        <v>4578</v>
      </c>
      <c r="B1135" s="1" t="s">
        <v>4579</v>
      </c>
      <c r="C1135" s="1" t="s">
        <v>53</v>
      </c>
      <c r="D1135" s="1">
        <v>67671.0</v>
      </c>
      <c r="E1135" s="1" t="s">
        <v>77</v>
      </c>
      <c r="F1135" s="1" t="s">
        <v>20</v>
      </c>
      <c r="G1135" s="1" t="s">
        <v>55</v>
      </c>
      <c r="H1135" s="2">
        <v>2483.0</v>
      </c>
      <c r="I1135" s="2">
        <v>8029.0</v>
      </c>
      <c r="J1135" s="1">
        <v>1998.0</v>
      </c>
      <c r="K1135" s="1">
        <v>70.0</v>
      </c>
      <c r="L1135" s="1" t="s">
        <v>95</v>
      </c>
      <c r="M1135" s="1" t="s">
        <v>4580</v>
      </c>
      <c r="N1135" s="1" t="s">
        <v>24</v>
      </c>
      <c r="O1135" s="1" t="s">
        <v>25</v>
      </c>
      <c r="P1135" s="1" t="s">
        <v>4581</v>
      </c>
    </row>
    <row r="1136" ht="14.25" customHeight="1">
      <c r="A1136" s="1" t="s">
        <v>4582</v>
      </c>
      <c r="B1136" s="1" t="s">
        <v>4583</v>
      </c>
      <c r="C1136" s="1" t="s">
        <v>39</v>
      </c>
      <c r="D1136" s="1">
        <v>38964.0</v>
      </c>
      <c r="E1136" s="1" t="s">
        <v>30</v>
      </c>
      <c r="F1136" s="1" t="s">
        <v>20</v>
      </c>
      <c r="G1136" s="1" t="s">
        <v>55</v>
      </c>
      <c r="H1136" s="2">
        <v>1913.0</v>
      </c>
      <c r="I1136" s="2">
        <v>1242.0</v>
      </c>
      <c r="J1136" s="1">
        <v>2017.0</v>
      </c>
      <c r="K1136" s="1">
        <v>94.0</v>
      </c>
      <c r="L1136" s="1" t="s">
        <v>95</v>
      </c>
      <c r="M1136" s="1" t="s">
        <v>4584</v>
      </c>
      <c r="N1136" s="1" t="s">
        <v>43</v>
      </c>
      <c r="O1136" s="1" t="s">
        <v>35</v>
      </c>
      <c r="P1136" s="1" t="s">
        <v>4585</v>
      </c>
    </row>
    <row r="1137" ht="14.25" customHeight="1">
      <c r="A1137" s="1" t="s">
        <v>4586</v>
      </c>
      <c r="B1137" s="1" t="s">
        <v>4587</v>
      </c>
      <c r="C1137" s="1" t="s">
        <v>29</v>
      </c>
      <c r="D1137" s="1">
        <v>79516.0</v>
      </c>
      <c r="E1137" s="1" t="s">
        <v>19</v>
      </c>
      <c r="F1137" s="1" t="s">
        <v>94</v>
      </c>
      <c r="G1137" s="1" t="s">
        <v>55</v>
      </c>
      <c r="H1137" s="2">
        <v>1312.0</v>
      </c>
      <c r="I1137" s="2">
        <v>5453.0</v>
      </c>
      <c r="J1137" s="1">
        <v>1973.0</v>
      </c>
      <c r="K1137" s="1">
        <v>54.0</v>
      </c>
      <c r="L1137" s="1" t="s">
        <v>95</v>
      </c>
      <c r="M1137" s="1" t="s">
        <v>4588</v>
      </c>
      <c r="N1137" s="1" t="s">
        <v>24</v>
      </c>
      <c r="O1137" s="1" t="s">
        <v>25</v>
      </c>
      <c r="P1137" s="1" t="s">
        <v>4589</v>
      </c>
    </row>
    <row r="1138" ht="14.25" customHeight="1">
      <c r="A1138" s="1" t="s">
        <v>4590</v>
      </c>
      <c r="B1138" s="1" t="s">
        <v>4591</v>
      </c>
      <c r="C1138" s="1" t="s">
        <v>39</v>
      </c>
      <c r="D1138" s="1">
        <v>71953.0</v>
      </c>
      <c r="E1138" s="1" t="s">
        <v>19</v>
      </c>
      <c r="F1138" s="1" t="s">
        <v>20</v>
      </c>
      <c r="G1138" s="1" t="s">
        <v>55</v>
      </c>
      <c r="H1138" s="2">
        <v>2602.0</v>
      </c>
      <c r="I1138" s="2">
        <v>1820.0</v>
      </c>
      <c r="J1138" s="1">
        <v>1956.0</v>
      </c>
      <c r="K1138" s="1">
        <v>116.0</v>
      </c>
      <c r="L1138" s="1" t="s">
        <v>141</v>
      </c>
      <c r="M1138" s="1" t="s">
        <v>4592</v>
      </c>
      <c r="N1138" s="1" t="s">
        <v>64</v>
      </c>
      <c r="O1138" s="1" t="s">
        <v>49</v>
      </c>
      <c r="P1138" s="1" t="s">
        <v>4593</v>
      </c>
    </row>
    <row r="1139" ht="14.25" customHeight="1">
      <c r="A1139" s="1" t="s">
        <v>4594</v>
      </c>
      <c r="B1139" s="1" t="s">
        <v>4595</v>
      </c>
      <c r="C1139" s="1" t="s">
        <v>76</v>
      </c>
      <c r="D1139" s="1">
        <v>95520.0</v>
      </c>
      <c r="E1139" s="1" t="s">
        <v>60</v>
      </c>
      <c r="F1139" s="1" t="s">
        <v>46</v>
      </c>
      <c r="G1139" s="1" t="s">
        <v>100</v>
      </c>
      <c r="H1139" s="2">
        <v>3832.0</v>
      </c>
      <c r="I1139" s="2">
        <v>2008.0</v>
      </c>
      <c r="J1139" s="1">
        <v>1986.0</v>
      </c>
      <c r="K1139" s="1">
        <v>66.0</v>
      </c>
      <c r="L1139" s="1" t="s">
        <v>95</v>
      </c>
      <c r="M1139" s="1" t="s">
        <v>4596</v>
      </c>
      <c r="N1139" s="1" t="s">
        <v>64</v>
      </c>
      <c r="O1139" s="1" t="s">
        <v>25</v>
      </c>
      <c r="P1139" s="1" t="s">
        <v>4597</v>
      </c>
    </row>
    <row r="1140" ht="14.25" customHeight="1">
      <c r="A1140" s="1" t="s">
        <v>4598</v>
      </c>
      <c r="B1140" s="1" t="s">
        <v>4599</v>
      </c>
      <c r="C1140" s="1" t="s">
        <v>29</v>
      </c>
      <c r="D1140" s="1">
        <v>25830.0</v>
      </c>
      <c r="E1140" s="1" t="s">
        <v>77</v>
      </c>
      <c r="F1140" s="1" t="s">
        <v>61</v>
      </c>
      <c r="G1140" s="1" t="s">
        <v>100</v>
      </c>
      <c r="H1140" s="2">
        <v>3779.0</v>
      </c>
      <c r="I1140" s="2">
        <v>8805.0</v>
      </c>
      <c r="J1140" s="1">
        <v>1977.0</v>
      </c>
      <c r="K1140" s="1">
        <v>22.0</v>
      </c>
      <c r="L1140" s="1" t="s">
        <v>62</v>
      </c>
      <c r="M1140" s="1" t="s">
        <v>4600</v>
      </c>
      <c r="N1140" s="1" t="s">
        <v>48</v>
      </c>
      <c r="O1140" s="1" t="s">
        <v>25</v>
      </c>
      <c r="P1140" s="1" t="s">
        <v>4601</v>
      </c>
    </row>
    <row r="1141" ht="14.25" customHeight="1">
      <c r="A1141" s="1" t="s">
        <v>4602</v>
      </c>
      <c r="B1141" s="1" t="s">
        <v>4603</v>
      </c>
      <c r="C1141" s="1" t="s">
        <v>18</v>
      </c>
      <c r="D1141" s="1">
        <v>40512.0</v>
      </c>
      <c r="E1141" s="1" t="s">
        <v>19</v>
      </c>
      <c r="F1141" s="1" t="s">
        <v>46</v>
      </c>
      <c r="G1141" s="1" t="s">
        <v>31</v>
      </c>
      <c r="H1141" s="2">
        <v>1481.0</v>
      </c>
      <c r="I1141" s="2">
        <v>8967.0</v>
      </c>
      <c r="J1141" s="1">
        <v>1998.0</v>
      </c>
      <c r="K1141" s="1">
        <v>109.0</v>
      </c>
      <c r="L1141" s="1" t="s">
        <v>22</v>
      </c>
      <c r="M1141" s="1" t="s">
        <v>4604</v>
      </c>
      <c r="N1141" s="1" t="s">
        <v>43</v>
      </c>
      <c r="O1141" s="1" t="s">
        <v>25</v>
      </c>
      <c r="P1141" s="1" t="s">
        <v>4605</v>
      </c>
    </row>
    <row r="1142" ht="14.25" customHeight="1">
      <c r="A1142" s="1" t="s">
        <v>4606</v>
      </c>
      <c r="B1142" s="1" t="s">
        <v>4607</v>
      </c>
      <c r="C1142" s="1" t="s">
        <v>53</v>
      </c>
      <c r="D1142" s="1">
        <v>70874.0</v>
      </c>
      <c r="E1142" s="1" t="s">
        <v>77</v>
      </c>
      <c r="F1142" s="1" t="s">
        <v>41</v>
      </c>
      <c r="G1142" s="1" t="s">
        <v>55</v>
      </c>
      <c r="H1142" s="2">
        <v>2794.0</v>
      </c>
      <c r="I1142" s="2">
        <v>6521.0</v>
      </c>
      <c r="J1142" s="1">
        <v>1996.0</v>
      </c>
      <c r="K1142" s="1">
        <v>72.0</v>
      </c>
      <c r="L1142" s="1" t="s">
        <v>62</v>
      </c>
      <c r="M1142" s="1" t="s">
        <v>4608</v>
      </c>
      <c r="N1142" s="1" t="s">
        <v>34</v>
      </c>
      <c r="O1142" s="1" t="s">
        <v>35</v>
      </c>
      <c r="P1142" s="1" t="s">
        <v>4609</v>
      </c>
    </row>
    <row r="1143" ht="14.25" customHeight="1">
      <c r="A1143" s="1" t="s">
        <v>4610</v>
      </c>
      <c r="B1143" s="1" t="s">
        <v>4611</v>
      </c>
      <c r="C1143" s="1" t="s">
        <v>53</v>
      </c>
      <c r="D1143" s="1">
        <v>58442.0</v>
      </c>
      <c r="E1143" s="1" t="s">
        <v>40</v>
      </c>
      <c r="F1143" s="1" t="s">
        <v>54</v>
      </c>
      <c r="G1143" s="1" t="s">
        <v>21</v>
      </c>
      <c r="H1143" s="2">
        <v>1737.0</v>
      </c>
      <c r="I1143" s="2">
        <v>4621.0</v>
      </c>
      <c r="J1143" s="1">
        <v>1976.0</v>
      </c>
      <c r="K1143" s="1">
        <v>3.0</v>
      </c>
      <c r="L1143" s="1" t="s">
        <v>95</v>
      </c>
      <c r="M1143" s="1" t="s">
        <v>4612</v>
      </c>
      <c r="N1143" s="1" t="s">
        <v>34</v>
      </c>
      <c r="O1143" s="1" t="s">
        <v>35</v>
      </c>
      <c r="P1143" s="1" t="s">
        <v>4613</v>
      </c>
    </row>
    <row r="1144" ht="14.25" customHeight="1">
      <c r="A1144" s="1" t="s">
        <v>4614</v>
      </c>
      <c r="B1144" s="1" t="s">
        <v>4615</v>
      </c>
      <c r="C1144" s="1" t="s">
        <v>76</v>
      </c>
      <c r="D1144" s="1">
        <v>59016.0</v>
      </c>
      <c r="E1144" s="1" t="s">
        <v>40</v>
      </c>
      <c r="F1144" s="1" t="s">
        <v>61</v>
      </c>
      <c r="G1144" s="1" t="s">
        <v>55</v>
      </c>
      <c r="H1144" s="2">
        <v>3743.0</v>
      </c>
      <c r="I1144" s="2">
        <v>7752.0</v>
      </c>
      <c r="J1144" s="1">
        <v>2005.0</v>
      </c>
      <c r="K1144" s="1">
        <v>106.0</v>
      </c>
      <c r="L1144" s="1" t="s">
        <v>62</v>
      </c>
      <c r="M1144" s="1" t="s">
        <v>4616</v>
      </c>
      <c r="N1144" s="1" t="s">
        <v>48</v>
      </c>
      <c r="O1144" s="1" t="s">
        <v>49</v>
      </c>
      <c r="P1144" s="1" t="s">
        <v>4617</v>
      </c>
    </row>
    <row r="1145" ht="14.25" customHeight="1">
      <c r="A1145" s="1" t="s">
        <v>4618</v>
      </c>
      <c r="B1145" s="1" t="s">
        <v>4619</v>
      </c>
      <c r="C1145" s="1" t="s">
        <v>29</v>
      </c>
      <c r="D1145" s="1">
        <v>32190.0</v>
      </c>
      <c r="E1145" s="1" t="s">
        <v>30</v>
      </c>
      <c r="F1145" s="1" t="s">
        <v>41</v>
      </c>
      <c r="G1145" s="1" t="s">
        <v>21</v>
      </c>
      <c r="H1145" s="2">
        <v>2183.0</v>
      </c>
      <c r="I1145" s="2">
        <v>2733.0</v>
      </c>
      <c r="J1145" s="1">
        <v>1975.0</v>
      </c>
      <c r="K1145" s="1">
        <v>102.0</v>
      </c>
      <c r="L1145" s="1" t="s">
        <v>62</v>
      </c>
      <c r="M1145" s="1" t="s">
        <v>4620</v>
      </c>
      <c r="N1145" s="1" t="s">
        <v>48</v>
      </c>
      <c r="O1145" s="1" t="s">
        <v>49</v>
      </c>
      <c r="P1145" s="1" t="s">
        <v>4621</v>
      </c>
    </row>
    <row r="1146" ht="14.25" customHeight="1">
      <c r="A1146" s="1" t="s">
        <v>4622</v>
      </c>
      <c r="B1146" s="1" t="s">
        <v>4623</v>
      </c>
      <c r="C1146" s="1" t="s">
        <v>39</v>
      </c>
      <c r="D1146" s="1">
        <v>43817.0</v>
      </c>
      <c r="E1146" s="1" t="s">
        <v>30</v>
      </c>
      <c r="F1146" s="1" t="s">
        <v>94</v>
      </c>
      <c r="G1146" s="1" t="s">
        <v>31</v>
      </c>
      <c r="H1146" s="2">
        <v>3628.0</v>
      </c>
      <c r="I1146" s="2">
        <v>6485.0</v>
      </c>
      <c r="J1146" s="1">
        <v>1995.0</v>
      </c>
      <c r="K1146" s="1">
        <v>5.0</v>
      </c>
      <c r="L1146" s="1" t="s">
        <v>62</v>
      </c>
      <c r="M1146" s="1" t="s">
        <v>4624</v>
      </c>
      <c r="N1146" s="1" t="s">
        <v>64</v>
      </c>
      <c r="O1146" s="1" t="s">
        <v>25</v>
      </c>
      <c r="P1146" s="1" t="s">
        <v>4625</v>
      </c>
    </row>
    <row r="1147" ht="14.25" customHeight="1">
      <c r="A1147" s="1" t="s">
        <v>4626</v>
      </c>
      <c r="B1147" s="1" t="s">
        <v>4627</v>
      </c>
      <c r="C1147" s="1" t="s">
        <v>76</v>
      </c>
      <c r="D1147" s="1">
        <v>22221.0</v>
      </c>
      <c r="E1147" s="1" t="s">
        <v>19</v>
      </c>
      <c r="F1147" s="1" t="s">
        <v>46</v>
      </c>
      <c r="G1147" s="1" t="s">
        <v>55</v>
      </c>
      <c r="H1147" s="2">
        <v>3862.0</v>
      </c>
      <c r="I1147" s="2">
        <v>6496.0</v>
      </c>
      <c r="J1147" s="1">
        <v>2022.0</v>
      </c>
      <c r="K1147" s="1">
        <v>118.0</v>
      </c>
      <c r="L1147" s="1" t="s">
        <v>32</v>
      </c>
      <c r="M1147" s="1" t="s">
        <v>4628</v>
      </c>
      <c r="N1147" s="1" t="s">
        <v>43</v>
      </c>
      <c r="O1147" s="1" t="s">
        <v>49</v>
      </c>
      <c r="P1147" s="1" t="s">
        <v>4629</v>
      </c>
    </row>
    <row r="1148" ht="14.25" customHeight="1">
      <c r="A1148" s="1" t="s">
        <v>4630</v>
      </c>
      <c r="B1148" s="1" t="s">
        <v>4631</v>
      </c>
      <c r="C1148" s="1" t="s">
        <v>39</v>
      </c>
      <c r="D1148" s="1">
        <v>37285.0</v>
      </c>
      <c r="E1148" s="1" t="s">
        <v>40</v>
      </c>
      <c r="F1148" s="1" t="s">
        <v>94</v>
      </c>
      <c r="G1148" s="1" t="s">
        <v>21</v>
      </c>
      <c r="H1148" s="2">
        <v>1510.0</v>
      </c>
      <c r="I1148" s="2">
        <v>7017.0</v>
      </c>
      <c r="J1148" s="1">
        <v>1970.0</v>
      </c>
      <c r="K1148" s="1">
        <v>69.0</v>
      </c>
      <c r="L1148" s="1" t="s">
        <v>32</v>
      </c>
      <c r="M1148" s="1" t="s">
        <v>4632</v>
      </c>
      <c r="N1148" s="1" t="s">
        <v>34</v>
      </c>
      <c r="O1148" s="1" t="s">
        <v>25</v>
      </c>
      <c r="P1148" s="1" t="s">
        <v>4633</v>
      </c>
    </row>
    <row r="1149" ht="14.25" customHeight="1">
      <c r="A1149" s="1" t="s">
        <v>4634</v>
      </c>
      <c r="B1149" s="1" t="s">
        <v>4635</v>
      </c>
      <c r="C1149" s="1" t="s">
        <v>29</v>
      </c>
      <c r="D1149" s="1">
        <v>99255.0</v>
      </c>
      <c r="E1149" s="1" t="s">
        <v>60</v>
      </c>
      <c r="F1149" s="1" t="s">
        <v>54</v>
      </c>
      <c r="G1149" s="1" t="s">
        <v>55</v>
      </c>
      <c r="H1149" s="2">
        <v>1236.0</v>
      </c>
      <c r="I1149" s="2">
        <v>8805.0</v>
      </c>
      <c r="J1149" s="1">
        <v>1969.0</v>
      </c>
      <c r="K1149" s="1">
        <v>67.0</v>
      </c>
      <c r="L1149" s="1" t="s">
        <v>62</v>
      </c>
      <c r="M1149" s="1" t="s">
        <v>4636</v>
      </c>
      <c r="N1149" s="1" t="s">
        <v>43</v>
      </c>
      <c r="O1149" s="1" t="s">
        <v>25</v>
      </c>
      <c r="P1149" s="1" t="s">
        <v>4637</v>
      </c>
    </row>
    <row r="1150" ht="14.25" customHeight="1">
      <c r="A1150" s="1" t="s">
        <v>4638</v>
      </c>
      <c r="B1150" s="1" t="s">
        <v>4639</v>
      </c>
      <c r="C1150" s="1" t="s">
        <v>39</v>
      </c>
      <c r="D1150" s="1">
        <v>28441.0</v>
      </c>
      <c r="E1150" s="1" t="s">
        <v>19</v>
      </c>
      <c r="F1150" s="1" t="s">
        <v>20</v>
      </c>
      <c r="G1150" s="1" t="s">
        <v>21</v>
      </c>
      <c r="H1150" s="2">
        <v>2764.0</v>
      </c>
      <c r="I1150" s="2">
        <v>5413.0</v>
      </c>
      <c r="J1150" s="1">
        <v>1970.0</v>
      </c>
      <c r="K1150" s="1">
        <v>102.0</v>
      </c>
      <c r="L1150" s="1" t="s">
        <v>62</v>
      </c>
      <c r="M1150" s="1" t="s">
        <v>4640</v>
      </c>
      <c r="N1150" s="1" t="s">
        <v>48</v>
      </c>
      <c r="O1150" s="1" t="s">
        <v>49</v>
      </c>
      <c r="P1150" s="1" t="s">
        <v>4641</v>
      </c>
    </row>
    <row r="1151" ht="14.25" customHeight="1">
      <c r="A1151" s="1" t="s">
        <v>4642</v>
      </c>
      <c r="B1151" s="1" t="s">
        <v>4643</v>
      </c>
      <c r="C1151" s="1" t="s">
        <v>76</v>
      </c>
      <c r="D1151" s="1">
        <v>23068.0</v>
      </c>
      <c r="E1151" s="1" t="s">
        <v>30</v>
      </c>
      <c r="F1151" s="1" t="s">
        <v>61</v>
      </c>
      <c r="G1151" s="1" t="s">
        <v>55</v>
      </c>
      <c r="H1151" s="2">
        <v>1861.0</v>
      </c>
      <c r="I1151" s="2">
        <v>2318.0</v>
      </c>
      <c r="J1151" s="1">
        <v>2021.0</v>
      </c>
      <c r="K1151" s="1">
        <v>103.0</v>
      </c>
      <c r="L1151" s="1" t="s">
        <v>95</v>
      </c>
      <c r="M1151" s="1" t="s">
        <v>4644</v>
      </c>
      <c r="N1151" s="1" t="s">
        <v>64</v>
      </c>
      <c r="O1151" s="1" t="s">
        <v>49</v>
      </c>
      <c r="P1151" s="1" t="s">
        <v>4645</v>
      </c>
    </row>
    <row r="1152" ht="14.25" customHeight="1">
      <c r="A1152" s="1" t="s">
        <v>4646</v>
      </c>
      <c r="B1152" s="1" t="s">
        <v>4647</v>
      </c>
      <c r="C1152" s="1" t="s">
        <v>29</v>
      </c>
      <c r="D1152" s="1">
        <v>67919.0</v>
      </c>
      <c r="E1152" s="1" t="s">
        <v>77</v>
      </c>
      <c r="F1152" s="1" t="s">
        <v>41</v>
      </c>
      <c r="G1152" s="1" t="s">
        <v>31</v>
      </c>
      <c r="H1152" s="2">
        <v>2288.0</v>
      </c>
      <c r="I1152" s="2">
        <v>9197.0</v>
      </c>
      <c r="J1152" s="1">
        <v>1974.0</v>
      </c>
      <c r="K1152" s="1">
        <v>110.0</v>
      </c>
      <c r="L1152" s="1" t="s">
        <v>62</v>
      </c>
      <c r="M1152" s="1" t="s">
        <v>4648</v>
      </c>
      <c r="N1152" s="1" t="s">
        <v>34</v>
      </c>
      <c r="O1152" s="1" t="s">
        <v>49</v>
      </c>
      <c r="P1152" s="1" t="s">
        <v>4649</v>
      </c>
    </row>
    <row r="1153" ht="14.25" customHeight="1">
      <c r="A1153" s="1" t="s">
        <v>4650</v>
      </c>
      <c r="B1153" s="1" t="s">
        <v>4651</v>
      </c>
      <c r="C1153" s="1" t="s">
        <v>39</v>
      </c>
      <c r="D1153" s="1">
        <v>65991.0</v>
      </c>
      <c r="E1153" s="1" t="s">
        <v>60</v>
      </c>
      <c r="F1153" s="1" t="s">
        <v>41</v>
      </c>
      <c r="G1153" s="1" t="s">
        <v>55</v>
      </c>
      <c r="H1153" s="2">
        <v>2784.0</v>
      </c>
      <c r="I1153" s="2">
        <v>7446.0</v>
      </c>
      <c r="J1153" s="1">
        <v>1975.0</v>
      </c>
      <c r="K1153" s="1">
        <v>13.0</v>
      </c>
      <c r="L1153" s="1" t="s">
        <v>32</v>
      </c>
      <c r="M1153" s="1" t="s">
        <v>4652</v>
      </c>
      <c r="N1153" s="1" t="s">
        <v>64</v>
      </c>
      <c r="O1153" s="1" t="s">
        <v>25</v>
      </c>
      <c r="P1153" s="1" t="s">
        <v>4653</v>
      </c>
    </row>
    <row r="1154" ht="14.25" customHeight="1">
      <c r="A1154" s="1" t="s">
        <v>4654</v>
      </c>
      <c r="B1154" s="1" t="s">
        <v>4655</v>
      </c>
      <c r="C1154" s="1" t="s">
        <v>53</v>
      </c>
      <c r="D1154" s="1">
        <v>14297.0</v>
      </c>
      <c r="E1154" s="1" t="s">
        <v>19</v>
      </c>
      <c r="F1154" s="1" t="s">
        <v>46</v>
      </c>
      <c r="G1154" s="1" t="s">
        <v>100</v>
      </c>
      <c r="H1154" s="2">
        <v>1492.0</v>
      </c>
      <c r="I1154" s="2">
        <v>3301.0</v>
      </c>
      <c r="J1154" s="1">
        <v>1959.0</v>
      </c>
      <c r="K1154" s="1">
        <v>68.0</v>
      </c>
      <c r="L1154" s="1" t="s">
        <v>22</v>
      </c>
      <c r="M1154" s="1" t="s">
        <v>4656</v>
      </c>
      <c r="N1154" s="1" t="s">
        <v>43</v>
      </c>
      <c r="O1154" s="1" t="s">
        <v>49</v>
      </c>
      <c r="P1154" s="1" t="s">
        <v>4657</v>
      </c>
    </row>
    <row r="1155" ht="14.25" customHeight="1">
      <c r="A1155" s="1" t="s">
        <v>4658</v>
      </c>
      <c r="B1155" s="1" t="s">
        <v>4659</v>
      </c>
      <c r="C1155" s="1" t="s">
        <v>76</v>
      </c>
      <c r="D1155" s="1">
        <v>74800.0</v>
      </c>
      <c r="E1155" s="1" t="s">
        <v>30</v>
      </c>
      <c r="F1155" s="1" t="s">
        <v>54</v>
      </c>
      <c r="G1155" s="1" t="s">
        <v>21</v>
      </c>
      <c r="H1155" s="2">
        <v>941.0</v>
      </c>
      <c r="I1155" s="2">
        <v>7511.0</v>
      </c>
      <c r="J1155" s="1">
        <v>1954.0</v>
      </c>
      <c r="K1155" s="1">
        <v>120.0</v>
      </c>
      <c r="L1155" s="1" t="s">
        <v>95</v>
      </c>
      <c r="M1155" s="1" t="s">
        <v>4660</v>
      </c>
      <c r="N1155" s="1" t="s">
        <v>24</v>
      </c>
      <c r="O1155" s="1" t="s">
        <v>35</v>
      </c>
      <c r="P1155" s="1" t="s">
        <v>4661</v>
      </c>
    </row>
    <row r="1156" ht="14.25" customHeight="1">
      <c r="A1156" s="1" t="s">
        <v>4662</v>
      </c>
      <c r="B1156" s="1" t="s">
        <v>4663</v>
      </c>
      <c r="C1156" s="1" t="s">
        <v>18</v>
      </c>
      <c r="D1156" s="1">
        <v>25023.0</v>
      </c>
      <c r="E1156" s="1" t="s">
        <v>19</v>
      </c>
      <c r="F1156" s="1" t="s">
        <v>46</v>
      </c>
      <c r="G1156" s="1" t="s">
        <v>55</v>
      </c>
      <c r="H1156" s="2">
        <v>920.0</v>
      </c>
      <c r="I1156" s="2">
        <v>1631.0</v>
      </c>
      <c r="J1156" s="1">
        <v>2002.0</v>
      </c>
      <c r="K1156" s="1">
        <v>39.0</v>
      </c>
      <c r="L1156" s="1" t="s">
        <v>32</v>
      </c>
      <c r="M1156" s="1" t="s">
        <v>4664</v>
      </c>
      <c r="N1156" s="1" t="s">
        <v>48</v>
      </c>
      <c r="O1156" s="1" t="s">
        <v>25</v>
      </c>
      <c r="P1156" s="1" t="s">
        <v>4665</v>
      </c>
    </row>
    <row r="1157" ht="14.25" customHeight="1">
      <c r="A1157" s="1" t="s">
        <v>4666</v>
      </c>
      <c r="B1157" s="1" t="s">
        <v>4667</v>
      </c>
      <c r="C1157" s="1" t="s">
        <v>18</v>
      </c>
      <c r="D1157" s="1">
        <v>66128.0</v>
      </c>
      <c r="E1157" s="1" t="s">
        <v>60</v>
      </c>
      <c r="F1157" s="1" t="s">
        <v>94</v>
      </c>
      <c r="G1157" s="1" t="s">
        <v>100</v>
      </c>
      <c r="H1157" s="2">
        <v>3658.0</v>
      </c>
      <c r="I1157" s="2">
        <v>8027.0</v>
      </c>
      <c r="J1157" s="1">
        <v>1962.0</v>
      </c>
      <c r="K1157" s="1">
        <v>67.0</v>
      </c>
      <c r="L1157" s="1" t="s">
        <v>32</v>
      </c>
      <c r="M1157" s="1" t="s">
        <v>4668</v>
      </c>
      <c r="N1157" s="1" t="s">
        <v>64</v>
      </c>
      <c r="O1157" s="1" t="s">
        <v>35</v>
      </c>
      <c r="P1157" s="1" t="s">
        <v>4669</v>
      </c>
    </row>
    <row r="1158" ht="14.25" customHeight="1">
      <c r="A1158" s="1" t="s">
        <v>4670</v>
      </c>
      <c r="B1158" s="1" t="s">
        <v>4671</v>
      </c>
      <c r="C1158" s="1" t="s">
        <v>39</v>
      </c>
      <c r="D1158" s="1">
        <v>50616.0</v>
      </c>
      <c r="E1158" s="1" t="s">
        <v>60</v>
      </c>
      <c r="F1158" s="1" t="s">
        <v>46</v>
      </c>
      <c r="G1158" s="1" t="s">
        <v>55</v>
      </c>
      <c r="H1158" s="2">
        <v>1946.0</v>
      </c>
      <c r="I1158" s="2">
        <v>9660.0</v>
      </c>
      <c r="J1158" s="1">
        <v>1998.0</v>
      </c>
      <c r="K1158" s="1">
        <v>21.0</v>
      </c>
      <c r="L1158" s="1" t="s">
        <v>22</v>
      </c>
      <c r="M1158" s="1" t="s">
        <v>4672</v>
      </c>
      <c r="N1158" s="1" t="s">
        <v>64</v>
      </c>
      <c r="O1158" s="1" t="s">
        <v>49</v>
      </c>
      <c r="P1158" s="1" t="s">
        <v>4673</v>
      </c>
    </row>
    <row r="1159" ht="14.25" customHeight="1">
      <c r="A1159" s="1" t="s">
        <v>4674</v>
      </c>
      <c r="B1159" s="1" t="s">
        <v>4675</v>
      </c>
      <c r="C1159" s="1" t="s">
        <v>29</v>
      </c>
      <c r="D1159" s="1">
        <v>58387.0</v>
      </c>
      <c r="E1159" s="1" t="s">
        <v>77</v>
      </c>
      <c r="F1159" s="1" t="s">
        <v>41</v>
      </c>
      <c r="G1159" s="1" t="s">
        <v>31</v>
      </c>
      <c r="H1159" s="2">
        <v>1972.0</v>
      </c>
      <c r="I1159" s="2">
        <v>9515.0</v>
      </c>
      <c r="J1159" s="1">
        <v>1963.0</v>
      </c>
      <c r="K1159" s="1">
        <v>110.0</v>
      </c>
      <c r="L1159" s="1" t="s">
        <v>141</v>
      </c>
      <c r="M1159" s="1" t="s">
        <v>4676</v>
      </c>
      <c r="N1159" s="1" t="s">
        <v>43</v>
      </c>
      <c r="O1159" s="1" t="s">
        <v>35</v>
      </c>
      <c r="P1159" s="1" t="s">
        <v>4677</v>
      </c>
    </row>
    <row r="1160" ht="14.25" customHeight="1">
      <c r="A1160" s="1" t="s">
        <v>4678</v>
      </c>
      <c r="B1160" s="1" t="s">
        <v>4679</v>
      </c>
      <c r="C1160" s="1" t="s">
        <v>39</v>
      </c>
      <c r="D1160" s="1">
        <v>65559.0</v>
      </c>
      <c r="E1160" s="1" t="s">
        <v>77</v>
      </c>
      <c r="F1160" s="1" t="s">
        <v>41</v>
      </c>
      <c r="G1160" s="1" t="s">
        <v>100</v>
      </c>
      <c r="H1160" s="2">
        <v>615.0</v>
      </c>
      <c r="I1160" s="2">
        <v>4278.0</v>
      </c>
      <c r="J1160" s="1">
        <v>2014.0</v>
      </c>
      <c r="K1160" s="1">
        <v>100.0</v>
      </c>
      <c r="L1160" s="1" t="s">
        <v>62</v>
      </c>
      <c r="M1160" s="1" t="s">
        <v>4680</v>
      </c>
      <c r="N1160" s="1" t="s">
        <v>43</v>
      </c>
      <c r="O1160" s="1" t="s">
        <v>25</v>
      </c>
      <c r="P1160" s="1" t="s">
        <v>4681</v>
      </c>
    </row>
    <row r="1161" ht="14.25" customHeight="1">
      <c r="A1161" s="1" t="s">
        <v>4682</v>
      </c>
      <c r="B1161" s="1" t="s">
        <v>4683</v>
      </c>
      <c r="C1161" s="1" t="s">
        <v>29</v>
      </c>
      <c r="D1161" s="1">
        <v>59560.0</v>
      </c>
      <c r="E1161" s="1" t="s">
        <v>40</v>
      </c>
      <c r="F1161" s="1" t="s">
        <v>46</v>
      </c>
      <c r="G1161" s="1" t="s">
        <v>100</v>
      </c>
      <c r="H1161" s="2">
        <v>1629.0</v>
      </c>
      <c r="I1161" s="2">
        <v>9020.0</v>
      </c>
      <c r="J1161" s="1">
        <v>1977.0</v>
      </c>
      <c r="K1161" s="1">
        <v>52.0</v>
      </c>
      <c r="L1161" s="1" t="s">
        <v>95</v>
      </c>
      <c r="M1161" s="1" t="s">
        <v>4684</v>
      </c>
      <c r="N1161" s="1" t="s">
        <v>64</v>
      </c>
      <c r="O1161" s="1" t="s">
        <v>35</v>
      </c>
      <c r="P1161" s="1" t="s">
        <v>4685</v>
      </c>
    </row>
    <row r="1162" ht="14.25" customHeight="1">
      <c r="A1162" s="1" t="s">
        <v>4686</v>
      </c>
      <c r="B1162" s="1" t="s">
        <v>4687</v>
      </c>
      <c r="C1162" s="1" t="s">
        <v>29</v>
      </c>
      <c r="D1162" s="1">
        <v>16001.0</v>
      </c>
      <c r="E1162" s="1" t="s">
        <v>40</v>
      </c>
      <c r="F1162" s="1" t="s">
        <v>20</v>
      </c>
      <c r="G1162" s="1" t="s">
        <v>31</v>
      </c>
      <c r="H1162" s="2">
        <v>2998.0</v>
      </c>
      <c r="I1162" s="2">
        <v>8133.0</v>
      </c>
      <c r="J1162" s="1">
        <v>1992.0</v>
      </c>
      <c r="K1162" s="1">
        <v>38.0</v>
      </c>
      <c r="L1162" s="1" t="s">
        <v>95</v>
      </c>
      <c r="M1162" s="1" t="s">
        <v>4688</v>
      </c>
      <c r="N1162" s="1" t="s">
        <v>34</v>
      </c>
      <c r="O1162" s="1" t="s">
        <v>49</v>
      </c>
      <c r="P1162" s="1" t="s">
        <v>4689</v>
      </c>
    </row>
    <row r="1163" ht="14.25" customHeight="1">
      <c r="A1163" s="1" t="s">
        <v>4690</v>
      </c>
      <c r="B1163" s="1" t="s">
        <v>4691</v>
      </c>
      <c r="C1163" s="1" t="s">
        <v>53</v>
      </c>
      <c r="D1163" s="1">
        <v>80681.0</v>
      </c>
      <c r="E1163" s="1" t="s">
        <v>77</v>
      </c>
      <c r="F1163" s="1" t="s">
        <v>41</v>
      </c>
      <c r="G1163" s="1" t="s">
        <v>31</v>
      </c>
      <c r="H1163" s="2">
        <v>3004.0</v>
      </c>
      <c r="I1163" s="2">
        <v>9978.0</v>
      </c>
      <c r="J1163" s="1">
        <v>1997.0</v>
      </c>
      <c r="K1163" s="1">
        <v>28.0</v>
      </c>
      <c r="L1163" s="1" t="s">
        <v>32</v>
      </c>
      <c r="M1163" s="1" t="s">
        <v>4692</v>
      </c>
      <c r="N1163" s="1" t="s">
        <v>24</v>
      </c>
      <c r="O1163" s="1" t="s">
        <v>49</v>
      </c>
      <c r="P1163" s="1" t="s">
        <v>4693</v>
      </c>
    </row>
    <row r="1164" ht="14.25" customHeight="1">
      <c r="A1164" s="1" t="s">
        <v>4694</v>
      </c>
      <c r="B1164" s="1" t="s">
        <v>4695</v>
      </c>
      <c r="C1164" s="1" t="s">
        <v>18</v>
      </c>
      <c r="D1164" s="1">
        <v>69699.0</v>
      </c>
      <c r="E1164" s="1" t="s">
        <v>19</v>
      </c>
      <c r="F1164" s="1" t="s">
        <v>94</v>
      </c>
      <c r="G1164" s="1" t="s">
        <v>31</v>
      </c>
      <c r="H1164" s="2">
        <v>3544.0</v>
      </c>
      <c r="I1164" s="2">
        <v>4770.0</v>
      </c>
      <c r="J1164" s="1">
        <v>1967.0</v>
      </c>
      <c r="K1164" s="1">
        <v>113.0</v>
      </c>
      <c r="L1164" s="1" t="s">
        <v>95</v>
      </c>
      <c r="M1164" s="1" t="s">
        <v>4696</v>
      </c>
      <c r="N1164" s="1" t="s">
        <v>64</v>
      </c>
      <c r="O1164" s="1" t="s">
        <v>35</v>
      </c>
      <c r="P1164" s="1" t="s">
        <v>4697</v>
      </c>
    </row>
    <row r="1165" ht="14.25" customHeight="1">
      <c r="A1165" s="1" t="s">
        <v>4698</v>
      </c>
      <c r="B1165" s="1" t="s">
        <v>4699</v>
      </c>
      <c r="C1165" s="1" t="s">
        <v>39</v>
      </c>
      <c r="D1165" s="1">
        <v>88829.0</v>
      </c>
      <c r="E1165" s="1" t="s">
        <v>19</v>
      </c>
      <c r="F1165" s="1" t="s">
        <v>46</v>
      </c>
      <c r="G1165" s="1" t="s">
        <v>21</v>
      </c>
      <c r="H1165" s="2">
        <v>1171.0</v>
      </c>
      <c r="I1165" s="2">
        <v>3252.0</v>
      </c>
      <c r="J1165" s="1">
        <v>2010.0</v>
      </c>
      <c r="K1165" s="1">
        <v>53.0</v>
      </c>
      <c r="L1165" s="1" t="s">
        <v>95</v>
      </c>
      <c r="M1165" s="1" t="s">
        <v>4700</v>
      </c>
      <c r="N1165" s="1" t="s">
        <v>43</v>
      </c>
      <c r="O1165" s="1" t="s">
        <v>25</v>
      </c>
      <c r="P1165" s="1" t="s">
        <v>4701</v>
      </c>
    </row>
    <row r="1166" ht="14.25" customHeight="1">
      <c r="A1166" s="1" t="s">
        <v>4702</v>
      </c>
      <c r="B1166" s="1" t="s">
        <v>4703</v>
      </c>
      <c r="C1166" s="1" t="s">
        <v>29</v>
      </c>
      <c r="D1166" s="1">
        <v>60647.0</v>
      </c>
      <c r="E1166" s="1" t="s">
        <v>30</v>
      </c>
      <c r="F1166" s="1" t="s">
        <v>61</v>
      </c>
      <c r="G1166" s="1" t="s">
        <v>100</v>
      </c>
      <c r="H1166" s="2">
        <v>2656.0</v>
      </c>
      <c r="I1166" s="2">
        <v>1191.0</v>
      </c>
      <c r="J1166" s="1">
        <v>2014.0</v>
      </c>
      <c r="K1166" s="1">
        <v>22.0</v>
      </c>
      <c r="L1166" s="1" t="s">
        <v>32</v>
      </c>
      <c r="M1166" s="1" t="s">
        <v>4704</v>
      </c>
      <c r="N1166" s="1" t="s">
        <v>24</v>
      </c>
      <c r="O1166" s="1" t="s">
        <v>35</v>
      </c>
      <c r="P1166" s="1" t="s">
        <v>4705</v>
      </c>
    </row>
    <row r="1167" ht="14.25" customHeight="1">
      <c r="A1167" s="1" t="s">
        <v>4706</v>
      </c>
      <c r="B1167" s="1" t="s">
        <v>4707</v>
      </c>
      <c r="C1167" s="1" t="s">
        <v>39</v>
      </c>
      <c r="D1167" s="1">
        <v>67091.0</v>
      </c>
      <c r="E1167" s="1" t="s">
        <v>30</v>
      </c>
      <c r="F1167" s="1" t="s">
        <v>94</v>
      </c>
      <c r="G1167" s="1" t="s">
        <v>100</v>
      </c>
      <c r="H1167" s="2">
        <v>895.0</v>
      </c>
      <c r="I1167" s="2">
        <v>1537.0</v>
      </c>
      <c r="J1167" s="1">
        <v>2006.0</v>
      </c>
      <c r="K1167" s="1">
        <v>55.0</v>
      </c>
      <c r="L1167" s="1" t="s">
        <v>22</v>
      </c>
      <c r="M1167" s="1" t="s">
        <v>4708</v>
      </c>
      <c r="N1167" s="1" t="s">
        <v>64</v>
      </c>
      <c r="O1167" s="1" t="s">
        <v>35</v>
      </c>
      <c r="P1167" s="1" t="s">
        <v>4709</v>
      </c>
    </row>
    <row r="1168" ht="14.25" customHeight="1">
      <c r="A1168" s="1" t="s">
        <v>4710</v>
      </c>
      <c r="B1168" s="1" t="s">
        <v>4711</v>
      </c>
      <c r="C1168" s="1" t="s">
        <v>29</v>
      </c>
      <c r="D1168" s="1">
        <v>24152.0</v>
      </c>
      <c r="E1168" s="1" t="s">
        <v>60</v>
      </c>
      <c r="F1168" s="1" t="s">
        <v>41</v>
      </c>
      <c r="G1168" s="1" t="s">
        <v>55</v>
      </c>
      <c r="H1168" s="2">
        <v>1115.0</v>
      </c>
      <c r="I1168" s="2">
        <v>6778.0</v>
      </c>
      <c r="J1168" s="1">
        <v>1998.0</v>
      </c>
      <c r="K1168" s="1">
        <v>112.0</v>
      </c>
      <c r="L1168" s="1" t="s">
        <v>62</v>
      </c>
      <c r="M1168" s="1" t="s">
        <v>4712</v>
      </c>
      <c r="N1168" s="1" t="s">
        <v>43</v>
      </c>
      <c r="O1168" s="1" t="s">
        <v>49</v>
      </c>
      <c r="P1168" s="1" t="s">
        <v>4713</v>
      </c>
    </row>
    <row r="1169" ht="14.25" customHeight="1">
      <c r="A1169" s="1" t="s">
        <v>4714</v>
      </c>
      <c r="B1169" s="1" t="s">
        <v>4715</v>
      </c>
      <c r="C1169" s="1" t="s">
        <v>76</v>
      </c>
      <c r="D1169" s="1">
        <v>39241.0</v>
      </c>
      <c r="E1169" s="1" t="s">
        <v>77</v>
      </c>
      <c r="F1169" s="1" t="s">
        <v>41</v>
      </c>
      <c r="G1169" s="1" t="s">
        <v>55</v>
      </c>
      <c r="H1169" s="2">
        <v>918.0</v>
      </c>
      <c r="I1169" s="2">
        <v>1741.0</v>
      </c>
      <c r="J1169" s="1">
        <v>2015.0</v>
      </c>
      <c r="K1169" s="1">
        <v>120.0</v>
      </c>
      <c r="L1169" s="1" t="s">
        <v>141</v>
      </c>
      <c r="M1169" s="1" t="s">
        <v>4716</v>
      </c>
      <c r="N1169" s="1" t="s">
        <v>48</v>
      </c>
      <c r="O1169" s="1" t="s">
        <v>49</v>
      </c>
      <c r="P1169" s="1" t="s">
        <v>4717</v>
      </c>
    </row>
    <row r="1170" ht="14.25" customHeight="1">
      <c r="A1170" s="1" t="s">
        <v>4718</v>
      </c>
      <c r="B1170" s="1" t="s">
        <v>4719</v>
      </c>
      <c r="C1170" s="1" t="s">
        <v>39</v>
      </c>
      <c r="D1170" s="1">
        <v>19745.0</v>
      </c>
      <c r="E1170" s="1" t="s">
        <v>60</v>
      </c>
      <c r="F1170" s="1" t="s">
        <v>54</v>
      </c>
      <c r="G1170" s="1" t="s">
        <v>31</v>
      </c>
      <c r="H1170" s="2">
        <v>1782.0</v>
      </c>
      <c r="I1170" s="2">
        <v>2088.0</v>
      </c>
      <c r="J1170" s="1">
        <v>1997.0</v>
      </c>
      <c r="K1170" s="1">
        <v>65.0</v>
      </c>
      <c r="L1170" s="1" t="s">
        <v>62</v>
      </c>
      <c r="M1170" s="1" t="s">
        <v>4720</v>
      </c>
      <c r="N1170" s="1" t="s">
        <v>48</v>
      </c>
      <c r="O1170" s="1" t="s">
        <v>49</v>
      </c>
      <c r="P1170" s="1" t="s">
        <v>4721</v>
      </c>
    </row>
    <row r="1171" ht="14.25" customHeight="1">
      <c r="A1171" s="1" t="s">
        <v>4722</v>
      </c>
      <c r="B1171" s="1" t="s">
        <v>4723</v>
      </c>
      <c r="C1171" s="1" t="s">
        <v>18</v>
      </c>
      <c r="D1171" s="1">
        <v>50124.0</v>
      </c>
      <c r="E1171" s="1" t="s">
        <v>60</v>
      </c>
      <c r="F1171" s="1" t="s">
        <v>20</v>
      </c>
      <c r="G1171" s="1" t="s">
        <v>31</v>
      </c>
      <c r="H1171" s="2">
        <v>2510.0</v>
      </c>
      <c r="I1171" s="2">
        <v>7496.0</v>
      </c>
      <c r="J1171" s="1">
        <v>1974.0</v>
      </c>
      <c r="K1171" s="1">
        <v>81.0</v>
      </c>
      <c r="L1171" s="1" t="s">
        <v>22</v>
      </c>
      <c r="M1171" s="1" t="s">
        <v>4724</v>
      </c>
      <c r="N1171" s="1" t="s">
        <v>48</v>
      </c>
      <c r="O1171" s="1" t="s">
        <v>49</v>
      </c>
      <c r="P1171" s="1" t="s">
        <v>4725</v>
      </c>
    </row>
    <row r="1172" ht="14.25" customHeight="1">
      <c r="A1172" s="1" t="s">
        <v>4726</v>
      </c>
      <c r="B1172" s="1" t="s">
        <v>4727</v>
      </c>
      <c r="C1172" s="1" t="s">
        <v>53</v>
      </c>
      <c r="D1172" s="1">
        <v>47813.0</v>
      </c>
      <c r="E1172" s="1" t="s">
        <v>19</v>
      </c>
      <c r="F1172" s="1" t="s">
        <v>54</v>
      </c>
      <c r="G1172" s="1" t="s">
        <v>100</v>
      </c>
      <c r="H1172" s="2">
        <v>3492.0</v>
      </c>
      <c r="I1172" s="2">
        <v>8833.0</v>
      </c>
      <c r="J1172" s="1">
        <v>2011.0</v>
      </c>
      <c r="K1172" s="1">
        <v>93.0</v>
      </c>
      <c r="L1172" s="1" t="s">
        <v>22</v>
      </c>
      <c r="M1172" s="1" t="s">
        <v>4728</v>
      </c>
      <c r="N1172" s="1" t="s">
        <v>43</v>
      </c>
      <c r="O1172" s="1" t="s">
        <v>49</v>
      </c>
      <c r="P1172" s="1" t="s">
        <v>4729</v>
      </c>
    </row>
    <row r="1173" ht="14.25" customHeight="1">
      <c r="A1173" s="1" t="s">
        <v>4730</v>
      </c>
      <c r="B1173" s="1" t="s">
        <v>4731</v>
      </c>
      <c r="C1173" s="1" t="s">
        <v>18</v>
      </c>
      <c r="D1173" s="1">
        <v>54247.0</v>
      </c>
      <c r="E1173" s="1" t="s">
        <v>40</v>
      </c>
      <c r="F1173" s="1" t="s">
        <v>20</v>
      </c>
      <c r="G1173" s="1" t="s">
        <v>21</v>
      </c>
      <c r="H1173" s="2">
        <v>2830.0</v>
      </c>
      <c r="I1173" s="2">
        <v>2471.0</v>
      </c>
      <c r="J1173" s="1">
        <v>1986.0</v>
      </c>
      <c r="K1173" s="1">
        <v>63.0</v>
      </c>
      <c r="L1173" s="1" t="s">
        <v>62</v>
      </c>
      <c r="M1173" s="1" t="s">
        <v>4732</v>
      </c>
      <c r="N1173" s="1" t="s">
        <v>64</v>
      </c>
      <c r="O1173" s="1" t="s">
        <v>35</v>
      </c>
      <c r="P1173" s="1" t="s">
        <v>4733</v>
      </c>
    </row>
    <row r="1174" ht="14.25" customHeight="1">
      <c r="A1174" s="1" t="s">
        <v>4734</v>
      </c>
      <c r="B1174" s="1" t="s">
        <v>4735</v>
      </c>
      <c r="C1174" s="1" t="s">
        <v>29</v>
      </c>
      <c r="D1174" s="1">
        <v>82261.0</v>
      </c>
      <c r="E1174" s="1" t="s">
        <v>30</v>
      </c>
      <c r="F1174" s="1" t="s">
        <v>54</v>
      </c>
      <c r="G1174" s="1" t="s">
        <v>31</v>
      </c>
      <c r="H1174" s="2">
        <v>2877.0</v>
      </c>
      <c r="I1174" s="2">
        <v>8340.0</v>
      </c>
      <c r="J1174" s="1">
        <v>1999.0</v>
      </c>
      <c r="K1174" s="1">
        <v>25.0</v>
      </c>
      <c r="L1174" s="1" t="s">
        <v>141</v>
      </c>
      <c r="M1174" s="1" t="s">
        <v>4736</v>
      </c>
      <c r="N1174" s="1" t="s">
        <v>64</v>
      </c>
      <c r="O1174" s="1" t="s">
        <v>49</v>
      </c>
      <c r="P1174" s="1" t="s">
        <v>4737</v>
      </c>
    </row>
    <row r="1175" ht="14.25" customHeight="1">
      <c r="A1175" s="1" t="s">
        <v>4738</v>
      </c>
      <c r="B1175" s="1" t="s">
        <v>4739</v>
      </c>
      <c r="C1175" s="1" t="s">
        <v>29</v>
      </c>
      <c r="D1175" s="1">
        <v>63625.0</v>
      </c>
      <c r="E1175" s="1" t="s">
        <v>40</v>
      </c>
      <c r="F1175" s="1" t="s">
        <v>61</v>
      </c>
      <c r="G1175" s="1" t="s">
        <v>21</v>
      </c>
      <c r="H1175" s="2">
        <v>1439.0</v>
      </c>
      <c r="I1175" s="2">
        <v>8488.0</v>
      </c>
      <c r="J1175" s="1">
        <v>1952.0</v>
      </c>
      <c r="K1175" s="1">
        <v>23.0</v>
      </c>
      <c r="L1175" s="1" t="s">
        <v>141</v>
      </c>
      <c r="M1175" s="1" t="s">
        <v>4740</v>
      </c>
      <c r="N1175" s="1" t="s">
        <v>24</v>
      </c>
      <c r="O1175" s="1" t="s">
        <v>35</v>
      </c>
      <c r="P1175" s="1" t="s">
        <v>4741</v>
      </c>
    </row>
    <row r="1176" ht="14.25" customHeight="1">
      <c r="A1176" s="1" t="s">
        <v>4742</v>
      </c>
      <c r="B1176" s="1" t="s">
        <v>4743</v>
      </c>
      <c r="C1176" s="1" t="s">
        <v>76</v>
      </c>
      <c r="D1176" s="1">
        <v>21874.0</v>
      </c>
      <c r="E1176" s="1" t="s">
        <v>19</v>
      </c>
      <c r="F1176" s="1" t="s">
        <v>54</v>
      </c>
      <c r="G1176" s="1" t="s">
        <v>55</v>
      </c>
      <c r="H1176" s="2">
        <v>1410.0</v>
      </c>
      <c r="I1176" s="2">
        <v>2913.0</v>
      </c>
      <c r="J1176" s="1">
        <v>2018.0</v>
      </c>
      <c r="K1176" s="1">
        <v>1.0</v>
      </c>
      <c r="L1176" s="1" t="s">
        <v>95</v>
      </c>
      <c r="M1176" s="1" t="s">
        <v>4744</v>
      </c>
      <c r="N1176" s="1" t="s">
        <v>48</v>
      </c>
      <c r="O1176" s="1" t="s">
        <v>49</v>
      </c>
      <c r="P1176" s="1" t="s">
        <v>4745</v>
      </c>
    </row>
    <row r="1177" ht="14.25" customHeight="1">
      <c r="A1177" s="1" t="s">
        <v>4746</v>
      </c>
      <c r="B1177" s="1" t="s">
        <v>4747</v>
      </c>
      <c r="C1177" s="1" t="s">
        <v>29</v>
      </c>
      <c r="D1177" s="1">
        <v>45184.0</v>
      </c>
      <c r="E1177" s="1" t="s">
        <v>77</v>
      </c>
      <c r="F1177" s="1" t="s">
        <v>46</v>
      </c>
      <c r="G1177" s="1" t="s">
        <v>55</v>
      </c>
      <c r="H1177" s="2">
        <v>2827.0</v>
      </c>
      <c r="I1177" s="2">
        <v>3158.0</v>
      </c>
      <c r="J1177" s="1">
        <v>1998.0</v>
      </c>
      <c r="K1177" s="1">
        <v>84.0</v>
      </c>
      <c r="L1177" s="1" t="s">
        <v>62</v>
      </c>
      <c r="M1177" s="1" t="s">
        <v>4748</v>
      </c>
      <c r="N1177" s="1" t="s">
        <v>34</v>
      </c>
      <c r="O1177" s="1" t="s">
        <v>25</v>
      </c>
      <c r="P1177" s="1" t="s">
        <v>4749</v>
      </c>
    </row>
    <row r="1178" ht="14.25" customHeight="1">
      <c r="A1178" s="1" t="s">
        <v>4750</v>
      </c>
      <c r="B1178" s="1" t="s">
        <v>4751</v>
      </c>
      <c r="C1178" s="1" t="s">
        <v>29</v>
      </c>
      <c r="D1178" s="1">
        <v>72733.0</v>
      </c>
      <c r="E1178" s="1" t="s">
        <v>60</v>
      </c>
      <c r="F1178" s="1" t="s">
        <v>54</v>
      </c>
      <c r="G1178" s="1" t="s">
        <v>21</v>
      </c>
      <c r="H1178" s="2">
        <v>3594.0</v>
      </c>
      <c r="I1178" s="2">
        <v>6692.0</v>
      </c>
      <c r="J1178" s="1">
        <v>1989.0</v>
      </c>
      <c r="K1178" s="1">
        <v>65.0</v>
      </c>
      <c r="L1178" s="1" t="s">
        <v>141</v>
      </c>
      <c r="M1178" s="1" t="s">
        <v>4752</v>
      </c>
      <c r="N1178" s="1" t="s">
        <v>48</v>
      </c>
      <c r="O1178" s="1" t="s">
        <v>35</v>
      </c>
      <c r="P1178" s="1" t="s">
        <v>4753</v>
      </c>
    </row>
    <row r="1179" ht="14.25" customHeight="1">
      <c r="A1179" s="1" t="s">
        <v>4754</v>
      </c>
      <c r="B1179" s="1" t="s">
        <v>4755</v>
      </c>
      <c r="C1179" s="1" t="s">
        <v>18</v>
      </c>
      <c r="D1179" s="1">
        <v>96362.0</v>
      </c>
      <c r="E1179" s="1" t="s">
        <v>19</v>
      </c>
      <c r="F1179" s="1" t="s">
        <v>20</v>
      </c>
      <c r="G1179" s="1" t="s">
        <v>55</v>
      </c>
      <c r="H1179" s="2">
        <v>2778.0</v>
      </c>
      <c r="I1179" s="2">
        <v>3588.0</v>
      </c>
      <c r="J1179" s="1">
        <v>2005.0</v>
      </c>
      <c r="K1179" s="1">
        <v>81.0</v>
      </c>
      <c r="L1179" s="1" t="s">
        <v>95</v>
      </c>
      <c r="M1179" s="1" t="s">
        <v>4756</v>
      </c>
      <c r="N1179" s="1" t="s">
        <v>43</v>
      </c>
      <c r="O1179" s="1" t="s">
        <v>35</v>
      </c>
      <c r="P1179" s="1" t="s">
        <v>4757</v>
      </c>
    </row>
    <row r="1180" ht="14.25" customHeight="1">
      <c r="A1180" s="1" t="s">
        <v>4758</v>
      </c>
      <c r="B1180" s="1" t="s">
        <v>4759</v>
      </c>
      <c r="C1180" s="1" t="s">
        <v>18</v>
      </c>
      <c r="D1180" s="1">
        <v>74145.0</v>
      </c>
      <c r="E1180" s="1" t="s">
        <v>40</v>
      </c>
      <c r="F1180" s="1" t="s">
        <v>54</v>
      </c>
      <c r="G1180" s="1" t="s">
        <v>55</v>
      </c>
      <c r="H1180" s="2">
        <v>1384.0</v>
      </c>
      <c r="I1180" s="2">
        <v>8523.0</v>
      </c>
      <c r="J1180" s="1">
        <v>2015.0</v>
      </c>
      <c r="K1180" s="1">
        <v>33.0</v>
      </c>
      <c r="L1180" s="1" t="s">
        <v>62</v>
      </c>
      <c r="M1180" s="1" t="s">
        <v>4760</v>
      </c>
      <c r="N1180" s="1" t="s">
        <v>43</v>
      </c>
      <c r="O1180" s="1" t="s">
        <v>25</v>
      </c>
      <c r="P1180" s="1" t="s">
        <v>4761</v>
      </c>
    </row>
    <row r="1181" ht="14.25" customHeight="1">
      <c r="A1181" s="1" t="s">
        <v>4762</v>
      </c>
      <c r="B1181" s="1" t="s">
        <v>4763</v>
      </c>
      <c r="C1181" s="1" t="s">
        <v>18</v>
      </c>
      <c r="D1181" s="1">
        <v>58360.0</v>
      </c>
      <c r="E1181" s="1" t="s">
        <v>60</v>
      </c>
      <c r="F1181" s="1" t="s">
        <v>94</v>
      </c>
      <c r="G1181" s="1" t="s">
        <v>100</v>
      </c>
      <c r="H1181" s="2">
        <v>1446.0</v>
      </c>
      <c r="I1181" s="2">
        <v>8246.0</v>
      </c>
      <c r="J1181" s="1">
        <v>2017.0</v>
      </c>
      <c r="K1181" s="1">
        <v>6.0</v>
      </c>
      <c r="L1181" s="1" t="s">
        <v>141</v>
      </c>
      <c r="M1181" s="1" t="s">
        <v>4764</v>
      </c>
      <c r="N1181" s="1" t="s">
        <v>48</v>
      </c>
      <c r="O1181" s="1" t="s">
        <v>35</v>
      </c>
      <c r="P1181" s="1" t="s">
        <v>4765</v>
      </c>
    </row>
    <row r="1182" ht="14.25" customHeight="1">
      <c r="A1182" s="1" t="s">
        <v>4766</v>
      </c>
      <c r="B1182" s="1" t="s">
        <v>4767</v>
      </c>
      <c r="C1182" s="1" t="s">
        <v>29</v>
      </c>
      <c r="D1182" s="1">
        <v>74293.0</v>
      </c>
      <c r="E1182" s="1" t="s">
        <v>40</v>
      </c>
      <c r="F1182" s="1" t="s">
        <v>41</v>
      </c>
      <c r="G1182" s="1" t="s">
        <v>100</v>
      </c>
      <c r="H1182" s="2">
        <v>1419.0</v>
      </c>
      <c r="I1182" s="2">
        <v>3954.0</v>
      </c>
      <c r="J1182" s="1">
        <v>1985.0</v>
      </c>
      <c r="K1182" s="1">
        <v>32.0</v>
      </c>
      <c r="L1182" s="1" t="s">
        <v>32</v>
      </c>
      <c r="M1182" s="1" t="s">
        <v>4768</v>
      </c>
      <c r="N1182" s="1" t="s">
        <v>64</v>
      </c>
      <c r="O1182" s="1" t="s">
        <v>35</v>
      </c>
      <c r="P1182" s="1" t="s">
        <v>4769</v>
      </c>
    </row>
    <row r="1183" ht="14.25" customHeight="1">
      <c r="A1183" s="1" t="s">
        <v>4770</v>
      </c>
      <c r="B1183" s="1" t="s">
        <v>4771</v>
      </c>
      <c r="C1183" s="1" t="s">
        <v>53</v>
      </c>
      <c r="D1183" s="1">
        <v>29741.0</v>
      </c>
      <c r="E1183" s="1" t="s">
        <v>30</v>
      </c>
      <c r="F1183" s="1" t="s">
        <v>41</v>
      </c>
      <c r="G1183" s="1" t="s">
        <v>31</v>
      </c>
      <c r="H1183" s="2">
        <v>983.0</v>
      </c>
      <c r="I1183" s="2">
        <v>4932.0</v>
      </c>
      <c r="J1183" s="1">
        <v>1979.0</v>
      </c>
      <c r="K1183" s="1">
        <v>98.0</v>
      </c>
      <c r="L1183" s="1" t="s">
        <v>95</v>
      </c>
      <c r="M1183" s="1" t="s">
        <v>4772</v>
      </c>
      <c r="N1183" s="1" t="s">
        <v>43</v>
      </c>
      <c r="O1183" s="1" t="s">
        <v>49</v>
      </c>
      <c r="P1183" s="1" t="s">
        <v>4773</v>
      </c>
    </row>
    <row r="1184" ht="14.25" customHeight="1">
      <c r="A1184" s="1" t="s">
        <v>4774</v>
      </c>
      <c r="B1184" s="1" t="s">
        <v>4775</v>
      </c>
      <c r="C1184" s="1" t="s">
        <v>76</v>
      </c>
      <c r="D1184" s="1">
        <v>25426.0</v>
      </c>
      <c r="E1184" s="1" t="s">
        <v>77</v>
      </c>
      <c r="F1184" s="1" t="s">
        <v>94</v>
      </c>
      <c r="G1184" s="1" t="s">
        <v>55</v>
      </c>
      <c r="H1184" s="2">
        <v>2131.0</v>
      </c>
      <c r="I1184" s="2">
        <v>3104.0</v>
      </c>
      <c r="J1184" s="1">
        <v>2015.0</v>
      </c>
      <c r="K1184" s="1">
        <v>106.0</v>
      </c>
      <c r="L1184" s="1" t="s">
        <v>95</v>
      </c>
      <c r="M1184" s="1" t="s">
        <v>4776</v>
      </c>
      <c r="N1184" s="1" t="s">
        <v>34</v>
      </c>
      <c r="O1184" s="1" t="s">
        <v>25</v>
      </c>
      <c r="P1184" s="1" t="s">
        <v>4777</v>
      </c>
    </row>
    <row r="1185" ht="14.25" customHeight="1">
      <c r="A1185" s="1" t="s">
        <v>4778</v>
      </c>
      <c r="B1185" s="1" t="s">
        <v>4779</v>
      </c>
      <c r="C1185" s="1" t="s">
        <v>53</v>
      </c>
      <c r="D1185" s="1">
        <v>16334.0</v>
      </c>
      <c r="E1185" s="1" t="s">
        <v>30</v>
      </c>
      <c r="F1185" s="1" t="s">
        <v>54</v>
      </c>
      <c r="G1185" s="1" t="s">
        <v>55</v>
      </c>
      <c r="H1185" s="2">
        <v>2985.0</v>
      </c>
      <c r="I1185" s="2">
        <v>4183.0</v>
      </c>
      <c r="J1185" s="1">
        <v>1973.0</v>
      </c>
      <c r="K1185" s="1">
        <v>40.0</v>
      </c>
      <c r="L1185" s="1" t="s">
        <v>32</v>
      </c>
      <c r="M1185" s="1" t="s">
        <v>4780</v>
      </c>
      <c r="N1185" s="1" t="s">
        <v>24</v>
      </c>
      <c r="O1185" s="1" t="s">
        <v>25</v>
      </c>
      <c r="P1185" s="1" t="s">
        <v>4781</v>
      </c>
    </row>
    <row r="1186" ht="14.25" customHeight="1">
      <c r="A1186" s="1" t="s">
        <v>4782</v>
      </c>
      <c r="B1186" s="1" t="s">
        <v>4783</v>
      </c>
      <c r="C1186" s="1" t="s">
        <v>29</v>
      </c>
      <c r="D1186" s="1">
        <v>19834.0</v>
      </c>
      <c r="E1186" s="1" t="s">
        <v>19</v>
      </c>
      <c r="F1186" s="1" t="s">
        <v>20</v>
      </c>
      <c r="G1186" s="1" t="s">
        <v>55</v>
      </c>
      <c r="H1186" s="2">
        <v>3798.0</v>
      </c>
      <c r="I1186" s="2">
        <v>5049.0</v>
      </c>
      <c r="J1186" s="1">
        <v>1966.0</v>
      </c>
      <c r="K1186" s="1">
        <v>73.0</v>
      </c>
      <c r="L1186" s="1" t="s">
        <v>32</v>
      </c>
      <c r="M1186" s="1" t="s">
        <v>4784</v>
      </c>
      <c r="N1186" s="1" t="s">
        <v>48</v>
      </c>
      <c r="O1186" s="1" t="s">
        <v>49</v>
      </c>
      <c r="P1186" s="1" t="s">
        <v>4785</v>
      </c>
    </row>
    <row r="1187" ht="14.25" customHeight="1">
      <c r="A1187" s="1" t="s">
        <v>4786</v>
      </c>
      <c r="B1187" s="1" t="s">
        <v>4787</v>
      </c>
      <c r="C1187" s="1" t="s">
        <v>76</v>
      </c>
      <c r="D1187" s="1">
        <v>71889.0</v>
      </c>
      <c r="E1187" s="1" t="s">
        <v>30</v>
      </c>
      <c r="F1187" s="1" t="s">
        <v>54</v>
      </c>
      <c r="G1187" s="1" t="s">
        <v>21</v>
      </c>
      <c r="H1187" s="2">
        <v>2165.0</v>
      </c>
      <c r="I1187" s="2">
        <v>3160.0</v>
      </c>
      <c r="J1187" s="1">
        <v>2013.0</v>
      </c>
      <c r="K1187" s="1">
        <v>112.0</v>
      </c>
      <c r="L1187" s="1" t="s">
        <v>141</v>
      </c>
      <c r="M1187" s="1" t="s">
        <v>4788</v>
      </c>
      <c r="N1187" s="1" t="s">
        <v>48</v>
      </c>
      <c r="O1187" s="1" t="s">
        <v>49</v>
      </c>
      <c r="P1187" s="1" t="s">
        <v>4789</v>
      </c>
    </row>
    <row r="1188" ht="14.25" customHeight="1">
      <c r="A1188" s="1" t="s">
        <v>4790</v>
      </c>
      <c r="B1188" s="1" t="s">
        <v>4791</v>
      </c>
      <c r="C1188" s="1" t="s">
        <v>29</v>
      </c>
      <c r="D1188" s="1">
        <v>60086.0</v>
      </c>
      <c r="E1188" s="1" t="s">
        <v>30</v>
      </c>
      <c r="F1188" s="1" t="s">
        <v>54</v>
      </c>
      <c r="G1188" s="1" t="s">
        <v>31</v>
      </c>
      <c r="H1188" s="2">
        <v>875.0</v>
      </c>
      <c r="I1188" s="2">
        <v>8738.0</v>
      </c>
      <c r="J1188" s="1">
        <v>1996.0</v>
      </c>
      <c r="K1188" s="1">
        <v>46.0</v>
      </c>
      <c r="L1188" s="1" t="s">
        <v>22</v>
      </c>
      <c r="M1188" s="1" t="s">
        <v>4792</v>
      </c>
      <c r="N1188" s="1" t="s">
        <v>48</v>
      </c>
      <c r="O1188" s="1" t="s">
        <v>49</v>
      </c>
      <c r="P1188" s="1" t="s">
        <v>4793</v>
      </c>
    </row>
    <row r="1189" ht="14.25" customHeight="1">
      <c r="A1189" s="1" t="s">
        <v>4794</v>
      </c>
      <c r="B1189" s="1" t="s">
        <v>4795</v>
      </c>
      <c r="C1189" s="1" t="s">
        <v>76</v>
      </c>
      <c r="D1189" s="1">
        <v>75736.0</v>
      </c>
      <c r="E1189" s="1" t="s">
        <v>30</v>
      </c>
      <c r="F1189" s="1" t="s">
        <v>20</v>
      </c>
      <c r="G1189" s="1" t="s">
        <v>31</v>
      </c>
      <c r="H1189" s="2">
        <v>897.0</v>
      </c>
      <c r="I1189" s="2">
        <v>9021.0</v>
      </c>
      <c r="J1189" s="1">
        <v>2010.0</v>
      </c>
      <c r="K1189" s="1">
        <v>28.0</v>
      </c>
      <c r="L1189" s="1" t="s">
        <v>32</v>
      </c>
      <c r="M1189" s="1" t="s">
        <v>4796</v>
      </c>
      <c r="N1189" s="1" t="s">
        <v>43</v>
      </c>
      <c r="O1189" s="1" t="s">
        <v>35</v>
      </c>
      <c r="P1189" s="1" t="s">
        <v>4797</v>
      </c>
    </row>
    <row r="1190" ht="14.25" customHeight="1">
      <c r="A1190" s="1" t="s">
        <v>4798</v>
      </c>
      <c r="B1190" s="1" t="s">
        <v>4799</v>
      </c>
      <c r="C1190" s="1" t="s">
        <v>29</v>
      </c>
      <c r="D1190" s="1">
        <v>85937.0</v>
      </c>
      <c r="E1190" s="1" t="s">
        <v>77</v>
      </c>
      <c r="F1190" s="1" t="s">
        <v>94</v>
      </c>
      <c r="G1190" s="1" t="s">
        <v>21</v>
      </c>
      <c r="H1190" s="2">
        <v>724.0</v>
      </c>
      <c r="I1190" s="2">
        <v>1505.0</v>
      </c>
      <c r="J1190" s="1">
        <v>1977.0</v>
      </c>
      <c r="K1190" s="1">
        <v>94.0</v>
      </c>
      <c r="L1190" s="1" t="s">
        <v>141</v>
      </c>
      <c r="M1190" s="1" t="s">
        <v>4800</v>
      </c>
      <c r="N1190" s="1" t="s">
        <v>43</v>
      </c>
      <c r="O1190" s="1" t="s">
        <v>35</v>
      </c>
      <c r="P1190" s="1" t="s">
        <v>4801</v>
      </c>
    </row>
    <row r="1191" ht="14.25" customHeight="1">
      <c r="A1191" s="1" t="s">
        <v>4802</v>
      </c>
      <c r="B1191" s="1" t="s">
        <v>4803</v>
      </c>
      <c r="C1191" s="1" t="s">
        <v>39</v>
      </c>
      <c r="D1191" s="1">
        <v>85924.0</v>
      </c>
      <c r="E1191" s="1" t="s">
        <v>30</v>
      </c>
      <c r="F1191" s="1" t="s">
        <v>54</v>
      </c>
      <c r="G1191" s="1" t="s">
        <v>100</v>
      </c>
      <c r="H1191" s="2">
        <v>3650.0</v>
      </c>
      <c r="I1191" s="2">
        <v>1018.0</v>
      </c>
      <c r="J1191" s="1">
        <v>1975.0</v>
      </c>
      <c r="K1191" s="1">
        <v>93.0</v>
      </c>
      <c r="L1191" s="1" t="s">
        <v>62</v>
      </c>
      <c r="M1191" s="1" t="s">
        <v>4804</v>
      </c>
      <c r="N1191" s="1" t="s">
        <v>24</v>
      </c>
      <c r="O1191" s="1" t="s">
        <v>49</v>
      </c>
      <c r="P1191" s="1" t="s">
        <v>4805</v>
      </c>
    </row>
    <row r="1192" ht="14.25" customHeight="1">
      <c r="A1192" s="1" t="s">
        <v>4806</v>
      </c>
      <c r="B1192" s="1" t="s">
        <v>4807</v>
      </c>
      <c r="C1192" s="1" t="s">
        <v>76</v>
      </c>
      <c r="D1192" s="1">
        <v>41242.0</v>
      </c>
      <c r="E1192" s="1" t="s">
        <v>77</v>
      </c>
      <c r="F1192" s="1" t="s">
        <v>20</v>
      </c>
      <c r="G1192" s="1" t="s">
        <v>21</v>
      </c>
      <c r="H1192" s="2">
        <v>3354.0</v>
      </c>
      <c r="I1192" s="2">
        <v>4155.0</v>
      </c>
      <c r="J1192" s="1">
        <v>1952.0</v>
      </c>
      <c r="K1192" s="1">
        <v>99.0</v>
      </c>
      <c r="L1192" s="1" t="s">
        <v>32</v>
      </c>
      <c r="M1192" s="1" t="s">
        <v>4808</v>
      </c>
      <c r="N1192" s="1" t="s">
        <v>43</v>
      </c>
      <c r="O1192" s="1" t="s">
        <v>49</v>
      </c>
      <c r="P1192" s="1" t="s">
        <v>4809</v>
      </c>
    </row>
    <row r="1193" ht="14.25" customHeight="1">
      <c r="A1193" s="1" t="s">
        <v>4810</v>
      </c>
      <c r="B1193" s="1" t="s">
        <v>4811</v>
      </c>
      <c r="C1193" s="1" t="s">
        <v>39</v>
      </c>
      <c r="D1193" s="1">
        <v>67799.0</v>
      </c>
      <c r="E1193" s="1" t="s">
        <v>60</v>
      </c>
      <c r="F1193" s="1" t="s">
        <v>61</v>
      </c>
      <c r="G1193" s="1" t="s">
        <v>100</v>
      </c>
      <c r="H1193" s="2">
        <v>3265.0</v>
      </c>
      <c r="I1193" s="2">
        <v>3274.0</v>
      </c>
      <c r="J1193" s="1">
        <v>1990.0</v>
      </c>
      <c r="K1193" s="1">
        <v>8.0</v>
      </c>
      <c r="L1193" s="1" t="s">
        <v>22</v>
      </c>
      <c r="M1193" s="1" t="s">
        <v>4812</v>
      </c>
      <c r="N1193" s="1" t="s">
        <v>64</v>
      </c>
      <c r="O1193" s="1" t="s">
        <v>35</v>
      </c>
      <c r="P1193" s="1" t="s">
        <v>4813</v>
      </c>
    </row>
    <row r="1194" ht="14.25" customHeight="1">
      <c r="A1194" s="1" t="s">
        <v>4814</v>
      </c>
      <c r="B1194" s="1" t="s">
        <v>4815</v>
      </c>
      <c r="C1194" s="1" t="s">
        <v>39</v>
      </c>
      <c r="D1194" s="1">
        <v>52732.0</v>
      </c>
      <c r="E1194" s="1" t="s">
        <v>30</v>
      </c>
      <c r="F1194" s="1" t="s">
        <v>54</v>
      </c>
      <c r="G1194" s="1" t="s">
        <v>100</v>
      </c>
      <c r="H1194" s="2">
        <v>1094.0</v>
      </c>
      <c r="I1194" s="2">
        <v>8491.0</v>
      </c>
      <c r="J1194" s="1">
        <v>1968.0</v>
      </c>
      <c r="K1194" s="1">
        <v>87.0</v>
      </c>
      <c r="L1194" s="1" t="s">
        <v>95</v>
      </c>
      <c r="M1194" s="1" t="s">
        <v>4816</v>
      </c>
      <c r="N1194" s="1" t="s">
        <v>64</v>
      </c>
      <c r="O1194" s="1" t="s">
        <v>35</v>
      </c>
      <c r="P1194" s="1" t="s">
        <v>4817</v>
      </c>
    </row>
    <row r="1195" ht="14.25" customHeight="1">
      <c r="A1195" s="1" t="s">
        <v>4818</v>
      </c>
      <c r="B1195" s="1" t="s">
        <v>4819</v>
      </c>
      <c r="C1195" s="1" t="s">
        <v>39</v>
      </c>
      <c r="D1195" s="1">
        <v>50751.0</v>
      </c>
      <c r="E1195" s="1" t="s">
        <v>60</v>
      </c>
      <c r="F1195" s="1" t="s">
        <v>20</v>
      </c>
      <c r="G1195" s="1" t="s">
        <v>21</v>
      </c>
      <c r="H1195" s="2">
        <v>1323.0</v>
      </c>
      <c r="I1195" s="2">
        <v>9864.0</v>
      </c>
      <c r="J1195" s="1">
        <v>1990.0</v>
      </c>
      <c r="K1195" s="1">
        <v>6.0</v>
      </c>
      <c r="L1195" s="1" t="s">
        <v>62</v>
      </c>
      <c r="M1195" s="1" t="s">
        <v>4820</v>
      </c>
      <c r="N1195" s="1" t="s">
        <v>64</v>
      </c>
      <c r="O1195" s="1" t="s">
        <v>35</v>
      </c>
      <c r="P1195" s="1" t="s">
        <v>4821</v>
      </c>
    </row>
    <row r="1196" ht="14.25" customHeight="1">
      <c r="A1196" s="1" t="s">
        <v>4822</v>
      </c>
      <c r="B1196" s="1" t="s">
        <v>4823</v>
      </c>
      <c r="C1196" s="1" t="s">
        <v>29</v>
      </c>
      <c r="D1196" s="1">
        <v>66852.0</v>
      </c>
      <c r="E1196" s="1" t="s">
        <v>40</v>
      </c>
      <c r="F1196" s="1" t="s">
        <v>20</v>
      </c>
      <c r="G1196" s="1" t="s">
        <v>21</v>
      </c>
      <c r="H1196" s="2">
        <v>2013.0</v>
      </c>
      <c r="I1196" s="2">
        <v>6611.0</v>
      </c>
      <c r="J1196" s="1">
        <v>2015.0</v>
      </c>
      <c r="K1196" s="1">
        <v>10.0</v>
      </c>
      <c r="L1196" s="1" t="s">
        <v>62</v>
      </c>
      <c r="M1196" s="1" t="s">
        <v>4824</v>
      </c>
      <c r="N1196" s="1" t="s">
        <v>24</v>
      </c>
      <c r="O1196" s="1" t="s">
        <v>25</v>
      </c>
      <c r="P1196" s="1" t="s">
        <v>4825</v>
      </c>
    </row>
    <row r="1197" ht="14.25" customHeight="1">
      <c r="A1197" s="1" t="s">
        <v>4826</v>
      </c>
      <c r="B1197" s="1" t="s">
        <v>4827</v>
      </c>
      <c r="C1197" s="1" t="s">
        <v>29</v>
      </c>
      <c r="D1197" s="1">
        <v>29272.0</v>
      </c>
      <c r="E1197" s="1" t="s">
        <v>19</v>
      </c>
      <c r="F1197" s="1" t="s">
        <v>54</v>
      </c>
      <c r="G1197" s="1" t="s">
        <v>100</v>
      </c>
      <c r="H1197" s="2">
        <v>2115.0</v>
      </c>
      <c r="I1197" s="2">
        <v>7911.0</v>
      </c>
      <c r="J1197" s="1">
        <v>1970.0</v>
      </c>
      <c r="K1197" s="1">
        <v>59.0</v>
      </c>
      <c r="L1197" s="1" t="s">
        <v>32</v>
      </c>
      <c r="M1197" s="1" t="s">
        <v>4828</v>
      </c>
      <c r="N1197" s="1" t="s">
        <v>34</v>
      </c>
      <c r="O1197" s="1" t="s">
        <v>35</v>
      </c>
      <c r="P1197" s="1" t="s">
        <v>4829</v>
      </c>
    </row>
    <row r="1198" ht="14.25" customHeight="1">
      <c r="A1198" s="1" t="s">
        <v>4830</v>
      </c>
      <c r="B1198" s="1" t="s">
        <v>4831</v>
      </c>
      <c r="C1198" s="1" t="s">
        <v>18</v>
      </c>
      <c r="D1198" s="1">
        <v>49959.0</v>
      </c>
      <c r="E1198" s="1" t="s">
        <v>60</v>
      </c>
      <c r="F1198" s="1" t="s">
        <v>46</v>
      </c>
      <c r="G1198" s="1" t="s">
        <v>21</v>
      </c>
      <c r="H1198" s="2">
        <v>1599.0</v>
      </c>
      <c r="I1198" s="2">
        <v>2831.0</v>
      </c>
      <c r="J1198" s="1">
        <v>1956.0</v>
      </c>
      <c r="K1198" s="1">
        <v>43.0</v>
      </c>
      <c r="L1198" s="1" t="s">
        <v>141</v>
      </c>
      <c r="M1198" s="1" t="s">
        <v>4832</v>
      </c>
      <c r="N1198" s="1" t="s">
        <v>48</v>
      </c>
      <c r="O1198" s="1" t="s">
        <v>35</v>
      </c>
      <c r="P1198" s="1" t="s">
        <v>4833</v>
      </c>
    </row>
    <row r="1199" ht="14.25" customHeight="1">
      <c r="A1199" s="1" t="s">
        <v>4834</v>
      </c>
      <c r="B1199" s="1" t="s">
        <v>4835</v>
      </c>
      <c r="C1199" s="1" t="s">
        <v>39</v>
      </c>
      <c r="D1199" s="1">
        <v>56352.0</v>
      </c>
      <c r="E1199" s="1" t="s">
        <v>40</v>
      </c>
      <c r="F1199" s="1" t="s">
        <v>54</v>
      </c>
      <c r="G1199" s="1" t="s">
        <v>100</v>
      </c>
      <c r="H1199" s="2">
        <v>1785.0</v>
      </c>
      <c r="I1199" s="2">
        <v>7084.0</v>
      </c>
      <c r="J1199" s="1">
        <v>1990.0</v>
      </c>
      <c r="K1199" s="1">
        <v>103.0</v>
      </c>
      <c r="L1199" s="1" t="s">
        <v>141</v>
      </c>
      <c r="M1199" s="1" t="s">
        <v>4836</v>
      </c>
      <c r="N1199" s="1" t="s">
        <v>64</v>
      </c>
      <c r="O1199" s="1" t="s">
        <v>49</v>
      </c>
      <c r="P1199" s="1" t="s">
        <v>4837</v>
      </c>
    </row>
    <row r="1200" ht="14.25" customHeight="1">
      <c r="A1200" s="1" t="s">
        <v>4838</v>
      </c>
      <c r="B1200" s="1" t="s">
        <v>4839</v>
      </c>
      <c r="C1200" s="1" t="s">
        <v>53</v>
      </c>
      <c r="D1200" s="1">
        <v>37005.0</v>
      </c>
      <c r="E1200" s="1" t="s">
        <v>77</v>
      </c>
      <c r="F1200" s="1" t="s">
        <v>94</v>
      </c>
      <c r="G1200" s="1" t="s">
        <v>100</v>
      </c>
      <c r="H1200" s="2">
        <v>3244.0</v>
      </c>
      <c r="I1200" s="2">
        <v>2818.0</v>
      </c>
      <c r="J1200" s="1">
        <v>1978.0</v>
      </c>
      <c r="K1200" s="1">
        <v>84.0</v>
      </c>
      <c r="L1200" s="1" t="s">
        <v>141</v>
      </c>
      <c r="M1200" s="1" t="s">
        <v>4840</v>
      </c>
      <c r="N1200" s="1" t="s">
        <v>24</v>
      </c>
      <c r="O1200" s="1" t="s">
        <v>25</v>
      </c>
      <c r="P1200" s="1" t="s">
        <v>4841</v>
      </c>
    </row>
    <row r="1201" ht="14.25" customHeight="1">
      <c r="A1201" s="1" t="s">
        <v>4842</v>
      </c>
      <c r="B1201" s="1" t="s">
        <v>4843</v>
      </c>
      <c r="C1201" s="1" t="s">
        <v>18</v>
      </c>
      <c r="D1201" s="1">
        <v>29634.0</v>
      </c>
      <c r="E1201" s="1" t="s">
        <v>19</v>
      </c>
      <c r="F1201" s="1" t="s">
        <v>54</v>
      </c>
      <c r="G1201" s="1" t="s">
        <v>31</v>
      </c>
      <c r="H1201" s="2">
        <v>1573.0</v>
      </c>
      <c r="I1201" s="2">
        <v>8523.0</v>
      </c>
      <c r="J1201" s="1">
        <v>2014.0</v>
      </c>
      <c r="K1201" s="1">
        <v>96.0</v>
      </c>
      <c r="L1201" s="1" t="s">
        <v>141</v>
      </c>
      <c r="M1201" s="1" t="s">
        <v>4844</v>
      </c>
      <c r="N1201" s="1" t="s">
        <v>64</v>
      </c>
      <c r="O1201" s="1" t="s">
        <v>35</v>
      </c>
      <c r="P1201" s="1" t="s">
        <v>4845</v>
      </c>
    </row>
    <row r="1202" ht="14.25" customHeight="1">
      <c r="A1202" s="1" t="s">
        <v>4846</v>
      </c>
      <c r="B1202" s="1" t="s">
        <v>4847</v>
      </c>
      <c r="C1202" s="1" t="s">
        <v>76</v>
      </c>
      <c r="D1202" s="1">
        <v>37723.0</v>
      </c>
      <c r="E1202" s="1" t="s">
        <v>30</v>
      </c>
      <c r="F1202" s="1" t="s">
        <v>94</v>
      </c>
      <c r="G1202" s="1" t="s">
        <v>55</v>
      </c>
      <c r="H1202" s="2">
        <v>1533.0</v>
      </c>
      <c r="I1202" s="2">
        <v>5939.0</v>
      </c>
      <c r="J1202" s="1">
        <v>1952.0</v>
      </c>
      <c r="K1202" s="1">
        <v>118.0</v>
      </c>
      <c r="L1202" s="1" t="s">
        <v>141</v>
      </c>
      <c r="M1202" s="1" t="s">
        <v>4848</v>
      </c>
      <c r="N1202" s="1" t="s">
        <v>34</v>
      </c>
      <c r="O1202" s="1" t="s">
        <v>49</v>
      </c>
      <c r="P1202" s="1" t="s">
        <v>4849</v>
      </c>
    </row>
    <row r="1203" ht="14.25" customHeight="1">
      <c r="A1203" s="1" t="s">
        <v>4850</v>
      </c>
      <c r="B1203" s="1" t="s">
        <v>4851</v>
      </c>
      <c r="C1203" s="1" t="s">
        <v>76</v>
      </c>
      <c r="D1203" s="1">
        <v>87325.0</v>
      </c>
      <c r="E1203" s="1" t="s">
        <v>19</v>
      </c>
      <c r="F1203" s="1" t="s">
        <v>46</v>
      </c>
      <c r="G1203" s="1" t="s">
        <v>100</v>
      </c>
      <c r="H1203" s="2">
        <v>3627.0</v>
      </c>
      <c r="I1203" s="2">
        <v>5301.0</v>
      </c>
      <c r="J1203" s="1">
        <v>1953.0</v>
      </c>
      <c r="K1203" s="1">
        <v>85.0</v>
      </c>
      <c r="L1203" s="1" t="s">
        <v>95</v>
      </c>
      <c r="M1203" s="1" t="s">
        <v>4852</v>
      </c>
      <c r="N1203" s="1" t="s">
        <v>43</v>
      </c>
      <c r="O1203" s="1" t="s">
        <v>49</v>
      </c>
      <c r="P1203" s="1" t="s">
        <v>4853</v>
      </c>
    </row>
    <row r="1204" ht="14.25" customHeight="1">
      <c r="A1204" s="1" t="s">
        <v>4854</v>
      </c>
      <c r="B1204" s="1" t="s">
        <v>4855</v>
      </c>
      <c r="C1204" s="1" t="s">
        <v>76</v>
      </c>
      <c r="D1204" s="1">
        <v>67365.0</v>
      </c>
      <c r="E1204" s="1" t="s">
        <v>19</v>
      </c>
      <c r="F1204" s="1" t="s">
        <v>94</v>
      </c>
      <c r="G1204" s="1" t="s">
        <v>31</v>
      </c>
      <c r="H1204" s="2">
        <v>3017.0</v>
      </c>
      <c r="I1204" s="2">
        <v>7470.0</v>
      </c>
      <c r="J1204" s="1">
        <v>2005.0</v>
      </c>
      <c r="K1204" s="1">
        <v>58.0</v>
      </c>
      <c r="L1204" s="1" t="s">
        <v>22</v>
      </c>
      <c r="M1204" s="1" t="s">
        <v>4856</v>
      </c>
      <c r="N1204" s="1" t="s">
        <v>34</v>
      </c>
      <c r="O1204" s="1" t="s">
        <v>25</v>
      </c>
      <c r="P1204" s="1" t="s">
        <v>4857</v>
      </c>
    </row>
    <row r="1205" ht="14.25" customHeight="1">
      <c r="A1205" s="1" t="s">
        <v>4858</v>
      </c>
      <c r="B1205" s="1" t="s">
        <v>4859</v>
      </c>
      <c r="C1205" s="1" t="s">
        <v>76</v>
      </c>
      <c r="D1205" s="1">
        <v>21339.0</v>
      </c>
      <c r="E1205" s="1" t="s">
        <v>19</v>
      </c>
      <c r="F1205" s="1" t="s">
        <v>61</v>
      </c>
      <c r="G1205" s="1" t="s">
        <v>21</v>
      </c>
      <c r="H1205" s="2">
        <v>1592.0</v>
      </c>
      <c r="I1205" s="2">
        <v>2812.0</v>
      </c>
      <c r="J1205" s="1">
        <v>2021.0</v>
      </c>
      <c r="K1205" s="1">
        <v>36.0</v>
      </c>
      <c r="L1205" s="1" t="s">
        <v>62</v>
      </c>
      <c r="M1205" s="1" t="s">
        <v>4860</v>
      </c>
      <c r="N1205" s="1" t="s">
        <v>43</v>
      </c>
      <c r="O1205" s="1" t="s">
        <v>49</v>
      </c>
      <c r="P1205" s="1" t="s">
        <v>4861</v>
      </c>
    </row>
    <row r="1206" ht="14.25" customHeight="1">
      <c r="A1206" s="1" t="s">
        <v>4862</v>
      </c>
      <c r="B1206" s="1" t="s">
        <v>4863</v>
      </c>
      <c r="C1206" s="1" t="s">
        <v>39</v>
      </c>
      <c r="D1206" s="1">
        <v>89824.0</v>
      </c>
      <c r="E1206" s="1" t="s">
        <v>19</v>
      </c>
      <c r="F1206" s="1" t="s">
        <v>41</v>
      </c>
      <c r="G1206" s="1" t="s">
        <v>21</v>
      </c>
      <c r="H1206" s="2">
        <v>3214.0</v>
      </c>
      <c r="I1206" s="2">
        <v>3142.0</v>
      </c>
      <c r="J1206" s="1">
        <v>1989.0</v>
      </c>
      <c r="K1206" s="1">
        <v>42.0</v>
      </c>
      <c r="L1206" s="1" t="s">
        <v>32</v>
      </c>
      <c r="M1206" s="1" t="s">
        <v>4864</v>
      </c>
      <c r="N1206" s="1" t="s">
        <v>43</v>
      </c>
      <c r="O1206" s="1" t="s">
        <v>49</v>
      </c>
      <c r="P1206" s="1" t="s">
        <v>4865</v>
      </c>
    </row>
    <row r="1207" ht="14.25" customHeight="1">
      <c r="A1207" s="1" t="s">
        <v>4866</v>
      </c>
      <c r="B1207" s="1" t="s">
        <v>4867</v>
      </c>
      <c r="C1207" s="1" t="s">
        <v>76</v>
      </c>
      <c r="D1207" s="1">
        <v>94071.0</v>
      </c>
      <c r="E1207" s="1" t="s">
        <v>40</v>
      </c>
      <c r="F1207" s="1" t="s">
        <v>46</v>
      </c>
      <c r="G1207" s="1" t="s">
        <v>55</v>
      </c>
      <c r="H1207" s="2">
        <v>827.0</v>
      </c>
      <c r="I1207" s="2">
        <v>1289.0</v>
      </c>
      <c r="J1207" s="1">
        <v>2003.0</v>
      </c>
      <c r="K1207" s="1">
        <v>108.0</v>
      </c>
      <c r="L1207" s="1" t="s">
        <v>32</v>
      </c>
      <c r="M1207" s="1" t="s">
        <v>4868</v>
      </c>
      <c r="N1207" s="1" t="s">
        <v>24</v>
      </c>
      <c r="O1207" s="1" t="s">
        <v>25</v>
      </c>
      <c r="P1207" s="1" t="s">
        <v>4869</v>
      </c>
    </row>
    <row r="1208" ht="14.25" customHeight="1">
      <c r="A1208" s="1" t="s">
        <v>4870</v>
      </c>
      <c r="B1208" s="1" t="s">
        <v>4871</v>
      </c>
      <c r="C1208" s="1" t="s">
        <v>53</v>
      </c>
      <c r="D1208" s="1">
        <v>88040.0</v>
      </c>
      <c r="E1208" s="1" t="s">
        <v>40</v>
      </c>
      <c r="F1208" s="1" t="s">
        <v>41</v>
      </c>
      <c r="G1208" s="1" t="s">
        <v>21</v>
      </c>
      <c r="H1208" s="2">
        <v>3774.0</v>
      </c>
      <c r="I1208" s="2">
        <v>8702.0</v>
      </c>
      <c r="J1208" s="1">
        <v>2017.0</v>
      </c>
      <c r="K1208" s="1">
        <v>29.0</v>
      </c>
      <c r="L1208" s="1" t="s">
        <v>95</v>
      </c>
      <c r="M1208" s="1" t="s">
        <v>4872</v>
      </c>
      <c r="N1208" s="1" t="s">
        <v>64</v>
      </c>
      <c r="O1208" s="1" t="s">
        <v>25</v>
      </c>
      <c r="P1208" s="1" t="s">
        <v>4873</v>
      </c>
    </row>
    <row r="1209" ht="14.25" customHeight="1">
      <c r="A1209" s="1" t="s">
        <v>4874</v>
      </c>
      <c r="B1209" s="1" t="s">
        <v>4875</v>
      </c>
      <c r="C1209" s="1" t="s">
        <v>76</v>
      </c>
      <c r="D1209" s="1">
        <v>44455.0</v>
      </c>
      <c r="E1209" s="1" t="s">
        <v>77</v>
      </c>
      <c r="F1209" s="1" t="s">
        <v>94</v>
      </c>
      <c r="G1209" s="1" t="s">
        <v>100</v>
      </c>
      <c r="H1209" s="2">
        <v>3211.0</v>
      </c>
      <c r="I1209" s="2">
        <v>9532.0</v>
      </c>
      <c r="J1209" s="1">
        <v>1979.0</v>
      </c>
      <c r="K1209" s="1">
        <v>25.0</v>
      </c>
      <c r="L1209" s="1" t="s">
        <v>32</v>
      </c>
      <c r="M1209" s="1" t="s">
        <v>4876</v>
      </c>
      <c r="N1209" s="1" t="s">
        <v>43</v>
      </c>
      <c r="O1209" s="1" t="s">
        <v>49</v>
      </c>
      <c r="P1209" s="1" t="s">
        <v>4877</v>
      </c>
    </row>
    <row r="1210" ht="14.25" customHeight="1">
      <c r="A1210" s="1" t="s">
        <v>4878</v>
      </c>
      <c r="B1210" s="1" t="s">
        <v>4879</v>
      </c>
      <c r="C1210" s="1" t="s">
        <v>39</v>
      </c>
      <c r="D1210" s="1">
        <v>36145.0</v>
      </c>
      <c r="E1210" s="1" t="s">
        <v>77</v>
      </c>
      <c r="F1210" s="1" t="s">
        <v>41</v>
      </c>
      <c r="G1210" s="1" t="s">
        <v>55</v>
      </c>
      <c r="H1210" s="2">
        <v>707.0</v>
      </c>
      <c r="I1210" s="2">
        <v>5131.0</v>
      </c>
      <c r="J1210" s="1">
        <v>1950.0</v>
      </c>
      <c r="K1210" s="1">
        <v>43.0</v>
      </c>
      <c r="L1210" s="1" t="s">
        <v>95</v>
      </c>
      <c r="M1210" s="1" t="s">
        <v>4880</v>
      </c>
      <c r="N1210" s="1" t="s">
        <v>64</v>
      </c>
      <c r="O1210" s="1" t="s">
        <v>35</v>
      </c>
      <c r="P1210" s="1" t="s">
        <v>4881</v>
      </c>
    </row>
    <row r="1211" ht="14.25" customHeight="1">
      <c r="A1211" s="1" t="s">
        <v>4882</v>
      </c>
      <c r="B1211" s="1" t="s">
        <v>4883</v>
      </c>
      <c r="C1211" s="1" t="s">
        <v>76</v>
      </c>
      <c r="D1211" s="1">
        <v>25480.0</v>
      </c>
      <c r="E1211" s="1" t="s">
        <v>30</v>
      </c>
      <c r="F1211" s="1" t="s">
        <v>46</v>
      </c>
      <c r="G1211" s="1" t="s">
        <v>31</v>
      </c>
      <c r="H1211" s="2">
        <v>3789.0</v>
      </c>
      <c r="I1211" s="2">
        <v>1605.0</v>
      </c>
      <c r="J1211" s="1">
        <v>1967.0</v>
      </c>
      <c r="K1211" s="1">
        <v>98.0</v>
      </c>
      <c r="L1211" s="1" t="s">
        <v>95</v>
      </c>
      <c r="M1211" s="1" t="s">
        <v>4884</v>
      </c>
      <c r="N1211" s="1" t="s">
        <v>24</v>
      </c>
      <c r="O1211" s="1" t="s">
        <v>35</v>
      </c>
      <c r="P1211" s="1" t="s">
        <v>4885</v>
      </c>
    </row>
    <row r="1212" ht="14.25" customHeight="1">
      <c r="A1212" s="1" t="s">
        <v>4886</v>
      </c>
      <c r="B1212" s="1" t="s">
        <v>4887</v>
      </c>
      <c r="C1212" s="1" t="s">
        <v>18</v>
      </c>
      <c r="D1212" s="1">
        <v>47577.0</v>
      </c>
      <c r="E1212" s="1" t="s">
        <v>19</v>
      </c>
      <c r="F1212" s="1" t="s">
        <v>46</v>
      </c>
      <c r="G1212" s="1" t="s">
        <v>21</v>
      </c>
      <c r="H1212" s="2">
        <v>1892.0</v>
      </c>
      <c r="I1212" s="2">
        <v>1464.0</v>
      </c>
      <c r="J1212" s="1">
        <v>2006.0</v>
      </c>
      <c r="K1212" s="1">
        <v>4.0</v>
      </c>
      <c r="L1212" s="1" t="s">
        <v>141</v>
      </c>
      <c r="M1212" s="1" t="s">
        <v>4888</v>
      </c>
      <c r="N1212" s="1" t="s">
        <v>34</v>
      </c>
      <c r="O1212" s="1" t="s">
        <v>35</v>
      </c>
      <c r="P1212" s="1" t="s">
        <v>4889</v>
      </c>
    </row>
    <row r="1213" ht="14.25" customHeight="1">
      <c r="A1213" s="1" t="s">
        <v>4890</v>
      </c>
      <c r="B1213" s="1" t="s">
        <v>4891</v>
      </c>
      <c r="C1213" s="1" t="s">
        <v>39</v>
      </c>
      <c r="D1213" s="1">
        <v>44730.0</v>
      </c>
      <c r="E1213" s="1" t="s">
        <v>77</v>
      </c>
      <c r="F1213" s="1" t="s">
        <v>61</v>
      </c>
      <c r="G1213" s="1" t="s">
        <v>100</v>
      </c>
      <c r="H1213" s="2">
        <v>883.0</v>
      </c>
      <c r="I1213" s="2">
        <v>9073.0</v>
      </c>
      <c r="J1213" s="1">
        <v>1971.0</v>
      </c>
      <c r="K1213" s="1">
        <v>82.0</v>
      </c>
      <c r="L1213" s="1" t="s">
        <v>22</v>
      </c>
      <c r="M1213" s="1" t="s">
        <v>4892</v>
      </c>
      <c r="N1213" s="1" t="s">
        <v>48</v>
      </c>
      <c r="O1213" s="1" t="s">
        <v>35</v>
      </c>
      <c r="P1213" s="1" t="s">
        <v>4893</v>
      </c>
    </row>
    <row r="1214" ht="14.25" customHeight="1">
      <c r="A1214" s="1" t="s">
        <v>4894</v>
      </c>
      <c r="B1214" s="1" t="s">
        <v>4895</v>
      </c>
      <c r="C1214" s="1" t="s">
        <v>18</v>
      </c>
      <c r="D1214" s="1">
        <v>39821.0</v>
      </c>
      <c r="E1214" s="1" t="s">
        <v>30</v>
      </c>
      <c r="F1214" s="1" t="s">
        <v>46</v>
      </c>
      <c r="G1214" s="1" t="s">
        <v>55</v>
      </c>
      <c r="H1214" s="2">
        <v>970.0</v>
      </c>
      <c r="I1214" s="2">
        <v>1668.0</v>
      </c>
      <c r="J1214" s="1">
        <v>1969.0</v>
      </c>
      <c r="K1214" s="1">
        <v>62.0</v>
      </c>
      <c r="L1214" s="1" t="s">
        <v>22</v>
      </c>
      <c r="M1214" s="1" t="s">
        <v>4896</v>
      </c>
      <c r="N1214" s="1" t="s">
        <v>43</v>
      </c>
      <c r="O1214" s="1" t="s">
        <v>35</v>
      </c>
      <c r="P1214" s="1" t="s">
        <v>4897</v>
      </c>
    </row>
    <row r="1215" ht="14.25" customHeight="1">
      <c r="A1215" s="1" t="s">
        <v>4898</v>
      </c>
      <c r="B1215" s="1" t="s">
        <v>4899</v>
      </c>
      <c r="C1215" s="1" t="s">
        <v>29</v>
      </c>
      <c r="D1215" s="1">
        <v>36258.0</v>
      </c>
      <c r="E1215" s="1" t="s">
        <v>19</v>
      </c>
      <c r="F1215" s="1" t="s">
        <v>61</v>
      </c>
      <c r="G1215" s="1" t="s">
        <v>31</v>
      </c>
      <c r="H1215" s="2">
        <v>2131.0</v>
      </c>
      <c r="I1215" s="2">
        <v>8115.0</v>
      </c>
      <c r="J1215" s="1">
        <v>1959.0</v>
      </c>
      <c r="K1215" s="1">
        <v>6.0</v>
      </c>
      <c r="L1215" s="1" t="s">
        <v>22</v>
      </c>
      <c r="M1215" s="1" t="s">
        <v>4900</v>
      </c>
      <c r="N1215" s="1" t="s">
        <v>48</v>
      </c>
      <c r="O1215" s="1" t="s">
        <v>25</v>
      </c>
      <c r="P1215" s="1" t="s">
        <v>4901</v>
      </c>
    </row>
    <row r="1216" ht="14.25" customHeight="1">
      <c r="A1216" s="1" t="s">
        <v>4902</v>
      </c>
      <c r="B1216" s="1" t="s">
        <v>4903</v>
      </c>
      <c r="C1216" s="1" t="s">
        <v>29</v>
      </c>
      <c r="D1216" s="1">
        <v>15309.0</v>
      </c>
      <c r="E1216" s="1" t="s">
        <v>19</v>
      </c>
      <c r="F1216" s="1" t="s">
        <v>94</v>
      </c>
      <c r="G1216" s="1" t="s">
        <v>21</v>
      </c>
      <c r="H1216" s="2">
        <v>3664.0</v>
      </c>
      <c r="I1216" s="2">
        <v>6607.0</v>
      </c>
      <c r="J1216" s="1">
        <v>1974.0</v>
      </c>
      <c r="K1216" s="1">
        <v>110.0</v>
      </c>
      <c r="L1216" s="1" t="s">
        <v>22</v>
      </c>
      <c r="M1216" s="1" t="s">
        <v>4904</v>
      </c>
      <c r="N1216" s="1" t="s">
        <v>48</v>
      </c>
      <c r="O1216" s="1" t="s">
        <v>49</v>
      </c>
      <c r="P1216" s="1" t="s">
        <v>4905</v>
      </c>
    </row>
    <row r="1217" ht="14.25" customHeight="1">
      <c r="A1217" s="1" t="s">
        <v>4906</v>
      </c>
      <c r="B1217" s="1" t="s">
        <v>4907</v>
      </c>
      <c r="C1217" s="1" t="s">
        <v>29</v>
      </c>
      <c r="D1217" s="1">
        <v>13545.0</v>
      </c>
      <c r="E1217" s="1" t="s">
        <v>19</v>
      </c>
      <c r="F1217" s="1" t="s">
        <v>94</v>
      </c>
      <c r="G1217" s="1" t="s">
        <v>31</v>
      </c>
      <c r="H1217" s="2">
        <v>3129.0</v>
      </c>
      <c r="I1217" s="2">
        <v>7471.0</v>
      </c>
      <c r="J1217" s="1">
        <v>1979.0</v>
      </c>
      <c r="K1217" s="1">
        <v>28.0</v>
      </c>
      <c r="L1217" s="1" t="s">
        <v>22</v>
      </c>
      <c r="M1217" s="1" t="s">
        <v>4908</v>
      </c>
      <c r="N1217" s="1" t="s">
        <v>48</v>
      </c>
      <c r="O1217" s="1" t="s">
        <v>25</v>
      </c>
      <c r="P1217" s="1" t="s">
        <v>4909</v>
      </c>
    </row>
    <row r="1218" ht="14.25" customHeight="1">
      <c r="A1218" s="1" t="s">
        <v>4910</v>
      </c>
      <c r="B1218" s="1" t="s">
        <v>4911</v>
      </c>
      <c r="C1218" s="1" t="s">
        <v>76</v>
      </c>
      <c r="D1218" s="1">
        <v>34436.0</v>
      </c>
      <c r="E1218" s="1" t="s">
        <v>19</v>
      </c>
      <c r="F1218" s="1" t="s">
        <v>61</v>
      </c>
      <c r="G1218" s="1" t="s">
        <v>31</v>
      </c>
      <c r="H1218" s="2">
        <v>2678.0</v>
      </c>
      <c r="I1218" s="2">
        <v>4246.0</v>
      </c>
      <c r="J1218" s="1">
        <v>1965.0</v>
      </c>
      <c r="K1218" s="1">
        <v>19.0</v>
      </c>
      <c r="L1218" s="1" t="s">
        <v>62</v>
      </c>
      <c r="M1218" s="1" t="s">
        <v>4912</v>
      </c>
      <c r="N1218" s="1" t="s">
        <v>43</v>
      </c>
      <c r="O1218" s="1" t="s">
        <v>25</v>
      </c>
      <c r="P1218" s="1" t="s">
        <v>4913</v>
      </c>
    </row>
    <row r="1219" ht="14.25" customHeight="1">
      <c r="A1219" s="1" t="s">
        <v>4914</v>
      </c>
      <c r="B1219" s="1" t="s">
        <v>4915</v>
      </c>
      <c r="C1219" s="1" t="s">
        <v>76</v>
      </c>
      <c r="D1219" s="1">
        <v>37026.0</v>
      </c>
      <c r="E1219" s="1" t="s">
        <v>77</v>
      </c>
      <c r="F1219" s="1" t="s">
        <v>46</v>
      </c>
      <c r="G1219" s="1" t="s">
        <v>55</v>
      </c>
      <c r="H1219" s="2">
        <v>3366.0</v>
      </c>
      <c r="I1219" s="2">
        <v>8539.0</v>
      </c>
      <c r="J1219" s="1">
        <v>1988.0</v>
      </c>
      <c r="K1219" s="1">
        <v>41.0</v>
      </c>
      <c r="L1219" s="1" t="s">
        <v>32</v>
      </c>
      <c r="M1219" s="1" t="s">
        <v>4916</v>
      </c>
      <c r="N1219" s="1" t="s">
        <v>64</v>
      </c>
      <c r="O1219" s="1" t="s">
        <v>25</v>
      </c>
      <c r="P1219" s="1" t="s">
        <v>4917</v>
      </c>
    </row>
    <row r="1220" ht="14.25" customHeight="1">
      <c r="A1220" s="1" t="s">
        <v>4918</v>
      </c>
      <c r="B1220" s="1" t="s">
        <v>4919</v>
      </c>
      <c r="C1220" s="1" t="s">
        <v>39</v>
      </c>
      <c r="D1220" s="1">
        <v>48832.0</v>
      </c>
      <c r="E1220" s="1" t="s">
        <v>77</v>
      </c>
      <c r="F1220" s="1" t="s">
        <v>94</v>
      </c>
      <c r="G1220" s="1" t="s">
        <v>31</v>
      </c>
      <c r="H1220" s="2">
        <v>2651.0</v>
      </c>
      <c r="I1220" s="2">
        <v>8912.0</v>
      </c>
      <c r="J1220" s="1">
        <v>1999.0</v>
      </c>
      <c r="K1220" s="1">
        <v>110.0</v>
      </c>
      <c r="L1220" s="1" t="s">
        <v>32</v>
      </c>
      <c r="M1220" s="1" t="s">
        <v>4920</v>
      </c>
      <c r="N1220" s="1" t="s">
        <v>24</v>
      </c>
      <c r="O1220" s="1" t="s">
        <v>25</v>
      </c>
      <c r="P1220" s="1" t="s">
        <v>4921</v>
      </c>
    </row>
    <row r="1221" ht="14.25" customHeight="1">
      <c r="A1221" s="1" t="s">
        <v>4922</v>
      </c>
      <c r="B1221" s="1" t="s">
        <v>4923</v>
      </c>
      <c r="C1221" s="1" t="s">
        <v>39</v>
      </c>
      <c r="D1221" s="1">
        <v>86185.0</v>
      </c>
      <c r="E1221" s="1" t="s">
        <v>30</v>
      </c>
      <c r="F1221" s="1" t="s">
        <v>46</v>
      </c>
      <c r="G1221" s="1" t="s">
        <v>31</v>
      </c>
      <c r="H1221" s="2">
        <v>3649.0</v>
      </c>
      <c r="I1221" s="2">
        <v>7355.0</v>
      </c>
      <c r="J1221" s="1">
        <v>1982.0</v>
      </c>
      <c r="K1221" s="1">
        <v>90.0</v>
      </c>
      <c r="L1221" s="1" t="s">
        <v>32</v>
      </c>
      <c r="M1221" s="1" t="s">
        <v>4924</v>
      </c>
      <c r="N1221" s="1" t="s">
        <v>48</v>
      </c>
      <c r="O1221" s="1" t="s">
        <v>49</v>
      </c>
      <c r="P1221" s="1" t="s">
        <v>4925</v>
      </c>
    </row>
    <row r="1222" ht="14.25" customHeight="1">
      <c r="A1222" s="1" t="s">
        <v>4926</v>
      </c>
      <c r="B1222" s="1" t="s">
        <v>4927</v>
      </c>
      <c r="C1222" s="1" t="s">
        <v>76</v>
      </c>
      <c r="D1222" s="1">
        <v>75048.0</v>
      </c>
      <c r="E1222" s="1" t="s">
        <v>77</v>
      </c>
      <c r="F1222" s="1" t="s">
        <v>46</v>
      </c>
      <c r="G1222" s="1" t="s">
        <v>55</v>
      </c>
      <c r="H1222" s="2">
        <v>3946.0</v>
      </c>
      <c r="I1222" s="2">
        <v>4570.0</v>
      </c>
      <c r="J1222" s="1">
        <v>1997.0</v>
      </c>
      <c r="K1222" s="1">
        <v>48.0</v>
      </c>
      <c r="L1222" s="1" t="s">
        <v>141</v>
      </c>
      <c r="M1222" s="1" t="s">
        <v>4928</v>
      </c>
      <c r="N1222" s="1" t="s">
        <v>43</v>
      </c>
      <c r="O1222" s="1" t="s">
        <v>35</v>
      </c>
      <c r="P1222" s="1" t="s">
        <v>4929</v>
      </c>
    </row>
    <row r="1223" ht="14.25" customHeight="1">
      <c r="A1223" s="1" t="s">
        <v>4930</v>
      </c>
      <c r="B1223" s="1" t="s">
        <v>4931</v>
      </c>
      <c r="C1223" s="1" t="s">
        <v>76</v>
      </c>
      <c r="D1223" s="1">
        <v>97697.0</v>
      </c>
      <c r="E1223" s="1" t="s">
        <v>30</v>
      </c>
      <c r="F1223" s="1" t="s">
        <v>41</v>
      </c>
      <c r="G1223" s="1" t="s">
        <v>31</v>
      </c>
      <c r="H1223" s="2">
        <v>1396.0</v>
      </c>
      <c r="I1223" s="2">
        <v>8997.0</v>
      </c>
      <c r="J1223" s="1">
        <v>2009.0</v>
      </c>
      <c r="K1223" s="1">
        <v>95.0</v>
      </c>
      <c r="L1223" s="1" t="s">
        <v>22</v>
      </c>
      <c r="M1223" s="1" t="s">
        <v>4932</v>
      </c>
      <c r="N1223" s="1" t="s">
        <v>48</v>
      </c>
      <c r="O1223" s="1" t="s">
        <v>25</v>
      </c>
      <c r="P1223" s="1" t="s">
        <v>4933</v>
      </c>
    </row>
    <row r="1224" ht="14.25" customHeight="1">
      <c r="A1224" s="1" t="s">
        <v>4934</v>
      </c>
      <c r="B1224" s="1" t="s">
        <v>4935</v>
      </c>
      <c r="C1224" s="1" t="s">
        <v>39</v>
      </c>
      <c r="D1224" s="1">
        <v>75834.0</v>
      </c>
      <c r="E1224" s="1" t="s">
        <v>30</v>
      </c>
      <c r="F1224" s="1" t="s">
        <v>20</v>
      </c>
      <c r="G1224" s="1" t="s">
        <v>21</v>
      </c>
      <c r="H1224" s="2">
        <v>1008.0</v>
      </c>
      <c r="I1224" s="2">
        <v>2981.0</v>
      </c>
      <c r="J1224" s="1">
        <v>1968.0</v>
      </c>
      <c r="K1224" s="1">
        <v>41.0</v>
      </c>
      <c r="L1224" s="1" t="s">
        <v>22</v>
      </c>
      <c r="M1224" s="1" t="s">
        <v>4936</v>
      </c>
      <c r="N1224" s="1" t="s">
        <v>43</v>
      </c>
      <c r="O1224" s="1" t="s">
        <v>35</v>
      </c>
      <c r="P1224" s="1" t="s">
        <v>4937</v>
      </c>
    </row>
    <row r="1225" ht="14.25" customHeight="1">
      <c r="A1225" s="1" t="s">
        <v>4938</v>
      </c>
      <c r="B1225" s="1" t="s">
        <v>4939</v>
      </c>
      <c r="C1225" s="1" t="s">
        <v>76</v>
      </c>
      <c r="D1225" s="1">
        <v>34478.0</v>
      </c>
      <c r="E1225" s="1" t="s">
        <v>30</v>
      </c>
      <c r="F1225" s="1" t="s">
        <v>20</v>
      </c>
      <c r="G1225" s="1" t="s">
        <v>100</v>
      </c>
      <c r="H1225" s="2">
        <v>922.0</v>
      </c>
      <c r="I1225" s="2">
        <v>8400.0</v>
      </c>
      <c r="J1225" s="1">
        <v>1979.0</v>
      </c>
      <c r="K1225" s="1">
        <v>114.0</v>
      </c>
      <c r="L1225" s="1" t="s">
        <v>141</v>
      </c>
      <c r="M1225" s="1" t="s">
        <v>4940</v>
      </c>
      <c r="N1225" s="1" t="s">
        <v>34</v>
      </c>
      <c r="O1225" s="1" t="s">
        <v>35</v>
      </c>
      <c r="P1225" s="1" t="s">
        <v>4941</v>
      </c>
    </row>
    <row r="1226" ht="14.25" customHeight="1">
      <c r="A1226" s="1" t="s">
        <v>4942</v>
      </c>
      <c r="B1226" s="1" t="s">
        <v>4943</v>
      </c>
      <c r="C1226" s="1" t="s">
        <v>53</v>
      </c>
      <c r="D1226" s="1">
        <v>78574.0</v>
      </c>
      <c r="E1226" s="1" t="s">
        <v>60</v>
      </c>
      <c r="F1226" s="1" t="s">
        <v>54</v>
      </c>
      <c r="G1226" s="1" t="s">
        <v>21</v>
      </c>
      <c r="H1226" s="2">
        <v>3353.0</v>
      </c>
      <c r="I1226" s="2">
        <v>6168.0</v>
      </c>
      <c r="J1226" s="1">
        <v>1972.0</v>
      </c>
      <c r="K1226" s="1">
        <v>57.0</v>
      </c>
      <c r="L1226" s="1" t="s">
        <v>22</v>
      </c>
      <c r="M1226" s="1" t="s">
        <v>4944</v>
      </c>
      <c r="N1226" s="1" t="s">
        <v>34</v>
      </c>
      <c r="O1226" s="1" t="s">
        <v>49</v>
      </c>
      <c r="P1226" s="1" t="s">
        <v>4945</v>
      </c>
    </row>
    <row r="1227" ht="14.25" customHeight="1">
      <c r="A1227" s="1" t="s">
        <v>4946</v>
      </c>
      <c r="B1227" s="1" t="s">
        <v>4947</v>
      </c>
      <c r="C1227" s="1" t="s">
        <v>53</v>
      </c>
      <c r="D1227" s="1">
        <v>30794.0</v>
      </c>
      <c r="E1227" s="1" t="s">
        <v>30</v>
      </c>
      <c r="F1227" s="1" t="s">
        <v>61</v>
      </c>
      <c r="G1227" s="1" t="s">
        <v>31</v>
      </c>
      <c r="H1227" s="2">
        <v>1842.0</v>
      </c>
      <c r="I1227" s="2">
        <v>9866.0</v>
      </c>
      <c r="J1227" s="1">
        <v>1995.0</v>
      </c>
      <c r="K1227" s="1">
        <v>117.0</v>
      </c>
      <c r="L1227" s="1" t="s">
        <v>95</v>
      </c>
      <c r="M1227" s="1" t="s">
        <v>4948</v>
      </c>
      <c r="N1227" s="1" t="s">
        <v>24</v>
      </c>
      <c r="O1227" s="1" t="s">
        <v>35</v>
      </c>
      <c r="P1227" s="1" t="s">
        <v>4949</v>
      </c>
    </row>
    <row r="1228" ht="14.25" customHeight="1">
      <c r="A1228" s="1" t="s">
        <v>4950</v>
      </c>
      <c r="B1228" s="1" t="s">
        <v>4951</v>
      </c>
      <c r="C1228" s="1" t="s">
        <v>53</v>
      </c>
      <c r="D1228" s="1">
        <v>52810.0</v>
      </c>
      <c r="E1228" s="1" t="s">
        <v>19</v>
      </c>
      <c r="F1228" s="1" t="s">
        <v>41</v>
      </c>
      <c r="G1228" s="1" t="s">
        <v>21</v>
      </c>
      <c r="H1228" s="2">
        <v>1624.0</v>
      </c>
      <c r="I1228" s="2">
        <v>5436.0</v>
      </c>
      <c r="J1228" s="1">
        <v>1975.0</v>
      </c>
      <c r="K1228" s="1">
        <v>117.0</v>
      </c>
      <c r="L1228" s="1" t="s">
        <v>32</v>
      </c>
      <c r="M1228" s="1" t="s">
        <v>4952</v>
      </c>
      <c r="N1228" s="1" t="s">
        <v>48</v>
      </c>
      <c r="O1228" s="1" t="s">
        <v>35</v>
      </c>
      <c r="P1228" s="1" t="s">
        <v>4953</v>
      </c>
    </row>
    <row r="1229" ht="14.25" customHeight="1">
      <c r="A1229" s="1" t="s">
        <v>4954</v>
      </c>
      <c r="B1229" s="1" t="s">
        <v>4955</v>
      </c>
      <c r="C1229" s="1" t="s">
        <v>39</v>
      </c>
      <c r="D1229" s="1">
        <v>66309.0</v>
      </c>
      <c r="E1229" s="1" t="s">
        <v>60</v>
      </c>
      <c r="F1229" s="1" t="s">
        <v>94</v>
      </c>
      <c r="G1229" s="1" t="s">
        <v>100</v>
      </c>
      <c r="H1229" s="2">
        <v>1921.0</v>
      </c>
      <c r="I1229" s="2">
        <v>6959.0</v>
      </c>
      <c r="J1229" s="1">
        <v>1951.0</v>
      </c>
      <c r="K1229" s="1">
        <v>15.0</v>
      </c>
      <c r="L1229" s="1" t="s">
        <v>62</v>
      </c>
      <c r="M1229" s="1" t="s">
        <v>4956</v>
      </c>
      <c r="N1229" s="1" t="s">
        <v>64</v>
      </c>
      <c r="O1229" s="1" t="s">
        <v>25</v>
      </c>
      <c r="P1229" s="1" t="s">
        <v>4957</v>
      </c>
    </row>
    <row r="1230" ht="14.25" customHeight="1">
      <c r="A1230" s="1" t="s">
        <v>4958</v>
      </c>
      <c r="B1230" s="1" t="s">
        <v>4959</v>
      </c>
      <c r="C1230" s="1" t="s">
        <v>39</v>
      </c>
      <c r="D1230" s="1">
        <v>77872.0</v>
      </c>
      <c r="E1230" s="1" t="s">
        <v>19</v>
      </c>
      <c r="F1230" s="1" t="s">
        <v>20</v>
      </c>
      <c r="G1230" s="1" t="s">
        <v>31</v>
      </c>
      <c r="H1230" s="2">
        <v>3589.0</v>
      </c>
      <c r="I1230" s="2">
        <v>9337.0</v>
      </c>
      <c r="J1230" s="1">
        <v>1968.0</v>
      </c>
      <c r="K1230" s="1">
        <v>120.0</v>
      </c>
      <c r="L1230" s="1" t="s">
        <v>32</v>
      </c>
      <c r="M1230" s="1" t="s">
        <v>4960</v>
      </c>
      <c r="N1230" s="1" t="s">
        <v>43</v>
      </c>
      <c r="O1230" s="1" t="s">
        <v>35</v>
      </c>
      <c r="P1230" s="1" t="s">
        <v>4961</v>
      </c>
    </row>
    <row r="1231" ht="14.25" customHeight="1">
      <c r="A1231" s="1" t="s">
        <v>4962</v>
      </c>
      <c r="B1231" s="1" t="s">
        <v>4963</v>
      </c>
      <c r="C1231" s="1" t="s">
        <v>39</v>
      </c>
      <c r="D1231" s="1">
        <v>17616.0</v>
      </c>
      <c r="E1231" s="1" t="s">
        <v>19</v>
      </c>
      <c r="F1231" s="1" t="s">
        <v>20</v>
      </c>
      <c r="G1231" s="1" t="s">
        <v>55</v>
      </c>
      <c r="H1231" s="2">
        <v>2402.0</v>
      </c>
      <c r="I1231" s="2">
        <v>4756.0</v>
      </c>
      <c r="J1231" s="1">
        <v>1981.0</v>
      </c>
      <c r="K1231" s="1">
        <v>96.0</v>
      </c>
      <c r="L1231" s="1" t="s">
        <v>22</v>
      </c>
      <c r="M1231" s="1" t="s">
        <v>4964</v>
      </c>
      <c r="N1231" s="1" t="s">
        <v>48</v>
      </c>
      <c r="O1231" s="1" t="s">
        <v>35</v>
      </c>
      <c r="P1231" s="1" t="s">
        <v>4965</v>
      </c>
    </row>
    <row r="1232" ht="14.25" customHeight="1">
      <c r="A1232" s="1" t="s">
        <v>4966</v>
      </c>
      <c r="B1232" s="1" t="s">
        <v>4967</v>
      </c>
      <c r="C1232" s="1" t="s">
        <v>76</v>
      </c>
      <c r="D1232" s="1">
        <v>23087.0</v>
      </c>
      <c r="E1232" s="1" t="s">
        <v>77</v>
      </c>
      <c r="F1232" s="1" t="s">
        <v>20</v>
      </c>
      <c r="G1232" s="1" t="s">
        <v>100</v>
      </c>
      <c r="H1232" s="2">
        <v>1689.0</v>
      </c>
      <c r="I1232" s="2">
        <v>4018.0</v>
      </c>
      <c r="J1232" s="1">
        <v>1971.0</v>
      </c>
      <c r="K1232" s="1">
        <v>20.0</v>
      </c>
      <c r="L1232" s="1" t="s">
        <v>141</v>
      </c>
      <c r="M1232" s="1" t="s">
        <v>4968</v>
      </c>
      <c r="N1232" s="1" t="s">
        <v>34</v>
      </c>
      <c r="O1232" s="1" t="s">
        <v>49</v>
      </c>
      <c r="P1232" s="1" t="s">
        <v>4969</v>
      </c>
    </row>
    <row r="1233" ht="14.25" customHeight="1">
      <c r="A1233" s="1" t="s">
        <v>4970</v>
      </c>
      <c r="B1233" s="1" t="s">
        <v>4971</v>
      </c>
      <c r="C1233" s="1" t="s">
        <v>76</v>
      </c>
      <c r="D1233" s="1">
        <v>39549.0</v>
      </c>
      <c r="E1233" s="1" t="s">
        <v>60</v>
      </c>
      <c r="F1233" s="1" t="s">
        <v>54</v>
      </c>
      <c r="G1233" s="1" t="s">
        <v>100</v>
      </c>
      <c r="H1233" s="2">
        <v>3975.0</v>
      </c>
      <c r="I1233" s="2">
        <v>2039.0</v>
      </c>
      <c r="J1233" s="1">
        <v>1978.0</v>
      </c>
      <c r="K1233" s="1">
        <v>59.0</v>
      </c>
      <c r="L1233" s="1" t="s">
        <v>62</v>
      </c>
      <c r="M1233" s="1" t="s">
        <v>4972</v>
      </c>
      <c r="N1233" s="1" t="s">
        <v>64</v>
      </c>
      <c r="O1233" s="1" t="s">
        <v>49</v>
      </c>
      <c r="P1233" s="1" t="s">
        <v>4973</v>
      </c>
    </row>
    <row r="1234" ht="14.25" customHeight="1">
      <c r="A1234" s="1" t="s">
        <v>4974</v>
      </c>
      <c r="B1234" s="1" t="s">
        <v>4975</v>
      </c>
      <c r="C1234" s="1" t="s">
        <v>39</v>
      </c>
      <c r="D1234" s="1">
        <v>55091.0</v>
      </c>
      <c r="E1234" s="1" t="s">
        <v>30</v>
      </c>
      <c r="F1234" s="1" t="s">
        <v>54</v>
      </c>
      <c r="G1234" s="1" t="s">
        <v>21</v>
      </c>
      <c r="H1234" s="2">
        <v>3339.0</v>
      </c>
      <c r="I1234" s="2">
        <v>7418.0</v>
      </c>
      <c r="J1234" s="1">
        <v>1953.0</v>
      </c>
      <c r="K1234" s="1">
        <v>1.0</v>
      </c>
      <c r="L1234" s="1" t="s">
        <v>95</v>
      </c>
      <c r="M1234" s="1" t="s">
        <v>4976</v>
      </c>
      <c r="N1234" s="1" t="s">
        <v>48</v>
      </c>
      <c r="O1234" s="1" t="s">
        <v>25</v>
      </c>
      <c r="P1234" s="1" t="s">
        <v>4977</v>
      </c>
    </row>
    <row r="1235" ht="14.25" customHeight="1">
      <c r="A1235" s="1" t="s">
        <v>4978</v>
      </c>
      <c r="B1235" s="1" t="s">
        <v>4979</v>
      </c>
      <c r="C1235" s="1" t="s">
        <v>39</v>
      </c>
      <c r="D1235" s="1">
        <v>27772.0</v>
      </c>
      <c r="E1235" s="1" t="s">
        <v>19</v>
      </c>
      <c r="F1235" s="1" t="s">
        <v>46</v>
      </c>
      <c r="G1235" s="1" t="s">
        <v>55</v>
      </c>
      <c r="H1235" s="2">
        <v>2566.0</v>
      </c>
      <c r="I1235" s="2">
        <v>5501.0</v>
      </c>
      <c r="J1235" s="1">
        <v>1967.0</v>
      </c>
      <c r="K1235" s="1">
        <v>42.0</v>
      </c>
      <c r="L1235" s="1" t="s">
        <v>95</v>
      </c>
      <c r="M1235" s="1" t="s">
        <v>4980</v>
      </c>
      <c r="N1235" s="1" t="s">
        <v>48</v>
      </c>
      <c r="O1235" s="1" t="s">
        <v>49</v>
      </c>
      <c r="P1235" s="1" t="s">
        <v>4981</v>
      </c>
    </row>
    <row r="1236" ht="14.25" customHeight="1">
      <c r="A1236" s="1" t="s">
        <v>4982</v>
      </c>
      <c r="B1236" s="1" t="s">
        <v>4983</v>
      </c>
      <c r="C1236" s="1" t="s">
        <v>39</v>
      </c>
      <c r="D1236" s="1">
        <v>92924.0</v>
      </c>
      <c r="E1236" s="1" t="s">
        <v>40</v>
      </c>
      <c r="F1236" s="1" t="s">
        <v>20</v>
      </c>
      <c r="G1236" s="1" t="s">
        <v>31</v>
      </c>
      <c r="H1236" s="2">
        <v>2883.0</v>
      </c>
      <c r="I1236" s="2">
        <v>7502.0</v>
      </c>
      <c r="J1236" s="1">
        <v>2004.0</v>
      </c>
      <c r="K1236" s="1">
        <v>43.0</v>
      </c>
      <c r="L1236" s="1" t="s">
        <v>141</v>
      </c>
      <c r="M1236" s="1" t="s">
        <v>4984</v>
      </c>
      <c r="N1236" s="1" t="s">
        <v>24</v>
      </c>
      <c r="O1236" s="1" t="s">
        <v>35</v>
      </c>
      <c r="P1236" s="1" t="s">
        <v>4985</v>
      </c>
    </row>
    <row r="1237" ht="14.25" customHeight="1">
      <c r="A1237" s="1" t="s">
        <v>4986</v>
      </c>
      <c r="B1237" s="1" t="s">
        <v>4987</v>
      </c>
      <c r="C1237" s="1" t="s">
        <v>53</v>
      </c>
      <c r="D1237" s="1">
        <v>58518.0</v>
      </c>
      <c r="E1237" s="1" t="s">
        <v>60</v>
      </c>
      <c r="F1237" s="1" t="s">
        <v>20</v>
      </c>
      <c r="G1237" s="1" t="s">
        <v>100</v>
      </c>
      <c r="H1237" s="2">
        <v>3825.0</v>
      </c>
      <c r="I1237" s="2">
        <v>7031.0</v>
      </c>
      <c r="J1237" s="1">
        <v>2006.0</v>
      </c>
      <c r="K1237" s="1">
        <v>58.0</v>
      </c>
      <c r="L1237" s="1" t="s">
        <v>22</v>
      </c>
      <c r="M1237" s="1" t="s">
        <v>4988</v>
      </c>
      <c r="N1237" s="1" t="s">
        <v>64</v>
      </c>
      <c r="O1237" s="1" t="s">
        <v>49</v>
      </c>
      <c r="P1237" s="1" t="s">
        <v>4989</v>
      </c>
    </row>
    <row r="1238" ht="14.25" customHeight="1">
      <c r="A1238" s="1" t="s">
        <v>4990</v>
      </c>
      <c r="B1238" s="1" t="s">
        <v>4991</v>
      </c>
      <c r="C1238" s="1" t="s">
        <v>18</v>
      </c>
      <c r="D1238" s="1">
        <v>25303.0</v>
      </c>
      <c r="E1238" s="1" t="s">
        <v>30</v>
      </c>
      <c r="F1238" s="1" t="s">
        <v>61</v>
      </c>
      <c r="G1238" s="1" t="s">
        <v>55</v>
      </c>
      <c r="H1238" s="2">
        <v>1638.0</v>
      </c>
      <c r="I1238" s="2">
        <v>6676.0</v>
      </c>
      <c r="J1238" s="1">
        <v>1973.0</v>
      </c>
      <c r="K1238" s="1">
        <v>24.0</v>
      </c>
      <c r="L1238" s="1" t="s">
        <v>22</v>
      </c>
      <c r="M1238" s="1" t="s">
        <v>4992</v>
      </c>
      <c r="N1238" s="1" t="s">
        <v>48</v>
      </c>
      <c r="O1238" s="1" t="s">
        <v>25</v>
      </c>
      <c r="P1238" s="1" t="s">
        <v>4993</v>
      </c>
    </row>
    <row r="1239" ht="14.25" customHeight="1">
      <c r="A1239" s="1" t="s">
        <v>4994</v>
      </c>
      <c r="B1239" s="1" t="s">
        <v>4995</v>
      </c>
      <c r="C1239" s="1" t="s">
        <v>18</v>
      </c>
      <c r="D1239" s="1">
        <v>86063.0</v>
      </c>
      <c r="E1239" s="1" t="s">
        <v>30</v>
      </c>
      <c r="F1239" s="1" t="s">
        <v>41</v>
      </c>
      <c r="G1239" s="1" t="s">
        <v>21</v>
      </c>
      <c r="H1239" s="2">
        <v>3281.0</v>
      </c>
      <c r="I1239" s="2">
        <v>6890.0</v>
      </c>
      <c r="J1239" s="1">
        <v>1974.0</v>
      </c>
      <c r="K1239" s="1">
        <v>35.0</v>
      </c>
      <c r="L1239" s="1" t="s">
        <v>32</v>
      </c>
      <c r="M1239" s="1" t="s">
        <v>4996</v>
      </c>
      <c r="N1239" s="1" t="s">
        <v>64</v>
      </c>
      <c r="O1239" s="1" t="s">
        <v>49</v>
      </c>
      <c r="P1239" s="1" t="s">
        <v>4997</v>
      </c>
    </row>
    <row r="1240" ht="14.25" customHeight="1">
      <c r="A1240" s="1" t="s">
        <v>4998</v>
      </c>
      <c r="B1240" s="1" t="s">
        <v>4999</v>
      </c>
      <c r="C1240" s="1" t="s">
        <v>29</v>
      </c>
      <c r="D1240" s="1">
        <v>49505.0</v>
      </c>
      <c r="E1240" s="1" t="s">
        <v>40</v>
      </c>
      <c r="F1240" s="1" t="s">
        <v>61</v>
      </c>
      <c r="G1240" s="1" t="s">
        <v>31</v>
      </c>
      <c r="H1240" s="2">
        <v>2570.0</v>
      </c>
      <c r="I1240" s="2">
        <v>1038.0</v>
      </c>
      <c r="J1240" s="1">
        <v>1981.0</v>
      </c>
      <c r="K1240" s="1">
        <v>96.0</v>
      </c>
      <c r="L1240" s="1" t="s">
        <v>95</v>
      </c>
      <c r="M1240" s="1" t="s">
        <v>5000</v>
      </c>
      <c r="N1240" s="1" t="s">
        <v>24</v>
      </c>
      <c r="O1240" s="1" t="s">
        <v>25</v>
      </c>
      <c r="P1240" s="1" t="s">
        <v>5001</v>
      </c>
    </row>
    <row r="1241" ht="14.25" customHeight="1">
      <c r="A1241" s="1" t="s">
        <v>5002</v>
      </c>
      <c r="B1241" s="1" t="s">
        <v>5003</v>
      </c>
      <c r="C1241" s="1" t="s">
        <v>39</v>
      </c>
      <c r="D1241" s="1">
        <v>87798.0</v>
      </c>
      <c r="E1241" s="1" t="s">
        <v>19</v>
      </c>
      <c r="F1241" s="1" t="s">
        <v>54</v>
      </c>
      <c r="G1241" s="1" t="s">
        <v>21</v>
      </c>
      <c r="H1241" s="2">
        <v>3529.0</v>
      </c>
      <c r="I1241" s="2">
        <v>5643.0</v>
      </c>
      <c r="J1241" s="1">
        <v>1959.0</v>
      </c>
      <c r="K1241" s="1">
        <v>86.0</v>
      </c>
      <c r="L1241" s="1" t="s">
        <v>22</v>
      </c>
      <c r="M1241" s="1" t="s">
        <v>5004</v>
      </c>
      <c r="N1241" s="1" t="s">
        <v>48</v>
      </c>
      <c r="O1241" s="1" t="s">
        <v>35</v>
      </c>
      <c r="P1241" s="1" t="s">
        <v>5005</v>
      </c>
    </row>
    <row r="1242" ht="14.25" customHeight="1">
      <c r="A1242" s="1" t="s">
        <v>5006</v>
      </c>
      <c r="B1242" s="1" t="s">
        <v>5007</v>
      </c>
      <c r="C1242" s="1" t="s">
        <v>29</v>
      </c>
      <c r="D1242" s="1">
        <v>76958.0</v>
      </c>
      <c r="E1242" s="1" t="s">
        <v>40</v>
      </c>
      <c r="F1242" s="1" t="s">
        <v>46</v>
      </c>
      <c r="G1242" s="1" t="s">
        <v>31</v>
      </c>
      <c r="H1242" s="2">
        <v>3137.0</v>
      </c>
      <c r="I1242" s="2">
        <v>9053.0</v>
      </c>
      <c r="J1242" s="1">
        <v>2008.0</v>
      </c>
      <c r="K1242" s="1">
        <v>1.0</v>
      </c>
      <c r="L1242" s="1" t="s">
        <v>32</v>
      </c>
      <c r="M1242" s="1" t="s">
        <v>5008</v>
      </c>
      <c r="N1242" s="1" t="s">
        <v>24</v>
      </c>
      <c r="O1242" s="1" t="s">
        <v>49</v>
      </c>
      <c r="P1242" s="1" t="s">
        <v>5009</v>
      </c>
    </row>
    <row r="1243" ht="14.25" customHeight="1">
      <c r="A1243" s="1" t="s">
        <v>5010</v>
      </c>
      <c r="B1243" s="1" t="s">
        <v>5011</v>
      </c>
      <c r="C1243" s="1" t="s">
        <v>29</v>
      </c>
      <c r="D1243" s="1">
        <v>19807.0</v>
      </c>
      <c r="E1243" s="1" t="s">
        <v>60</v>
      </c>
      <c r="F1243" s="1" t="s">
        <v>54</v>
      </c>
      <c r="G1243" s="1" t="s">
        <v>31</v>
      </c>
      <c r="H1243" s="2">
        <v>3726.0</v>
      </c>
      <c r="I1243" s="2">
        <v>2319.0</v>
      </c>
      <c r="J1243" s="1">
        <v>2012.0</v>
      </c>
      <c r="K1243" s="1">
        <v>61.0</v>
      </c>
      <c r="L1243" s="1" t="s">
        <v>141</v>
      </c>
      <c r="M1243" s="1" t="s">
        <v>5012</v>
      </c>
      <c r="N1243" s="1" t="s">
        <v>43</v>
      </c>
      <c r="O1243" s="1" t="s">
        <v>49</v>
      </c>
      <c r="P1243" s="1" t="s">
        <v>5013</v>
      </c>
    </row>
    <row r="1244" ht="14.25" customHeight="1">
      <c r="A1244" s="1" t="s">
        <v>5014</v>
      </c>
      <c r="B1244" s="1" t="s">
        <v>5015</v>
      </c>
      <c r="C1244" s="1" t="s">
        <v>18</v>
      </c>
      <c r="D1244" s="1">
        <v>27529.0</v>
      </c>
      <c r="E1244" s="1" t="s">
        <v>19</v>
      </c>
      <c r="F1244" s="1" t="s">
        <v>61</v>
      </c>
      <c r="G1244" s="1" t="s">
        <v>100</v>
      </c>
      <c r="H1244" s="2">
        <v>1374.0</v>
      </c>
      <c r="I1244" s="2">
        <v>7163.0</v>
      </c>
      <c r="J1244" s="1">
        <v>1993.0</v>
      </c>
      <c r="K1244" s="1">
        <v>38.0</v>
      </c>
      <c r="L1244" s="1" t="s">
        <v>62</v>
      </c>
      <c r="M1244" s="1" t="s">
        <v>5016</v>
      </c>
      <c r="N1244" s="1" t="s">
        <v>43</v>
      </c>
      <c r="O1244" s="1" t="s">
        <v>25</v>
      </c>
      <c r="P1244" s="1" t="s">
        <v>5017</v>
      </c>
    </row>
    <row r="1245" ht="14.25" customHeight="1">
      <c r="A1245" s="1" t="s">
        <v>5018</v>
      </c>
      <c r="B1245" s="1" t="s">
        <v>5019</v>
      </c>
      <c r="C1245" s="1" t="s">
        <v>39</v>
      </c>
      <c r="D1245" s="1">
        <v>10143.0</v>
      </c>
      <c r="E1245" s="1" t="s">
        <v>40</v>
      </c>
      <c r="F1245" s="1" t="s">
        <v>94</v>
      </c>
      <c r="G1245" s="1" t="s">
        <v>21</v>
      </c>
      <c r="H1245" s="2">
        <v>1914.0</v>
      </c>
      <c r="I1245" s="2">
        <v>8404.0</v>
      </c>
      <c r="J1245" s="1">
        <v>1953.0</v>
      </c>
      <c r="K1245" s="1">
        <v>93.0</v>
      </c>
      <c r="L1245" s="1" t="s">
        <v>62</v>
      </c>
      <c r="M1245" s="1" t="s">
        <v>5020</v>
      </c>
      <c r="N1245" s="1" t="s">
        <v>24</v>
      </c>
      <c r="O1245" s="1" t="s">
        <v>35</v>
      </c>
      <c r="P1245" s="1" t="s">
        <v>5021</v>
      </c>
    </row>
    <row r="1246" ht="14.25" customHeight="1">
      <c r="A1246" s="1" t="s">
        <v>5022</v>
      </c>
      <c r="B1246" s="1" t="s">
        <v>5023</v>
      </c>
      <c r="C1246" s="1" t="s">
        <v>29</v>
      </c>
      <c r="D1246" s="1">
        <v>64747.0</v>
      </c>
      <c r="E1246" s="1" t="s">
        <v>30</v>
      </c>
      <c r="F1246" s="1" t="s">
        <v>46</v>
      </c>
      <c r="G1246" s="1" t="s">
        <v>21</v>
      </c>
      <c r="H1246" s="2">
        <v>2347.0</v>
      </c>
      <c r="I1246" s="2">
        <v>8668.0</v>
      </c>
      <c r="J1246" s="1">
        <v>1963.0</v>
      </c>
      <c r="K1246" s="1">
        <v>28.0</v>
      </c>
      <c r="L1246" s="1" t="s">
        <v>32</v>
      </c>
      <c r="M1246" s="1" t="s">
        <v>5024</v>
      </c>
      <c r="N1246" s="1" t="s">
        <v>24</v>
      </c>
      <c r="O1246" s="1" t="s">
        <v>25</v>
      </c>
      <c r="P1246" s="1" t="s">
        <v>5025</v>
      </c>
    </row>
    <row r="1247" ht="14.25" customHeight="1">
      <c r="A1247" s="1" t="s">
        <v>5026</v>
      </c>
      <c r="B1247" s="1" t="s">
        <v>5027</v>
      </c>
      <c r="C1247" s="1" t="s">
        <v>18</v>
      </c>
      <c r="D1247" s="1">
        <v>19844.0</v>
      </c>
      <c r="E1247" s="1" t="s">
        <v>40</v>
      </c>
      <c r="F1247" s="1" t="s">
        <v>94</v>
      </c>
      <c r="G1247" s="1" t="s">
        <v>31</v>
      </c>
      <c r="H1247" s="2">
        <v>1752.0</v>
      </c>
      <c r="I1247" s="2">
        <v>7434.0</v>
      </c>
      <c r="J1247" s="1">
        <v>2007.0</v>
      </c>
      <c r="K1247" s="1">
        <v>78.0</v>
      </c>
      <c r="L1247" s="1" t="s">
        <v>32</v>
      </c>
      <c r="M1247" s="1" t="s">
        <v>5028</v>
      </c>
      <c r="N1247" s="1" t="s">
        <v>34</v>
      </c>
      <c r="O1247" s="1" t="s">
        <v>49</v>
      </c>
      <c r="P1247" s="1" t="s">
        <v>5029</v>
      </c>
    </row>
    <row r="1248" ht="14.25" customHeight="1">
      <c r="A1248" s="1" t="s">
        <v>5030</v>
      </c>
      <c r="B1248" s="1" t="s">
        <v>5031</v>
      </c>
      <c r="C1248" s="1" t="s">
        <v>53</v>
      </c>
      <c r="D1248" s="1">
        <v>79505.0</v>
      </c>
      <c r="E1248" s="1" t="s">
        <v>60</v>
      </c>
      <c r="F1248" s="1" t="s">
        <v>46</v>
      </c>
      <c r="G1248" s="1" t="s">
        <v>31</v>
      </c>
      <c r="H1248" s="2">
        <v>2092.0</v>
      </c>
      <c r="I1248" s="2">
        <v>4960.0</v>
      </c>
      <c r="J1248" s="1">
        <v>2023.0</v>
      </c>
      <c r="K1248" s="1">
        <v>37.0</v>
      </c>
      <c r="L1248" s="1" t="s">
        <v>62</v>
      </c>
      <c r="M1248" s="1" t="s">
        <v>5032</v>
      </c>
      <c r="N1248" s="1" t="s">
        <v>34</v>
      </c>
      <c r="O1248" s="1" t="s">
        <v>35</v>
      </c>
      <c r="P1248" s="1" t="s">
        <v>5033</v>
      </c>
    </row>
    <row r="1249" ht="14.25" customHeight="1">
      <c r="A1249" s="1" t="s">
        <v>5034</v>
      </c>
      <c r="B1249" s="1" t="s">
        <v>5035</v>
      </c>
      <c r="C1249" s="1" t="s">
        <v>29</v>
      </c>
      <c r="D1249" s="1">
        <v>45750.0</v>
      </c>
      <c r="E1249" s="1" t="s">
        <v>19</v>
      </c>
      <c r="F1249" s="1" t="s">
        <v>20</v>
      </c>
      <c r="G1249" s="1" t="s">
        <v>21</v>
      </c>
      <c r="H1249" s="2">
        <v>1270.0</v>
      </c>
      <c r="I1249" s="2">
        <v>7033.0</v>
      </c>
      <c r="J1249" s="1">
        <v>2002.0</v>
      </c>
      <c r="K1249" s="1">
        <v>118.0</v>
      </c>
      <c r="L1249" s="1" t="s">
        <v>95</v>
      </c>
      <c r="M1249" s="1" t="s">
        <v>5036</v>
      </c>
      <c r="N1249" s="1" t="s">
        <v>43</v>
      </c>
      <c r="O1249" s="1" t="s">
        <v>49</v>
      </c>
      <c r="P1249" s="1" t="s">
        <v>5037</v>
      </c>
    </row>
    <row r="1250" ht="14.25" customHeight="1">
      <c r="A1250" s="1" t="s">
        <v>5038</v>
      </c>
      <c r="B1250" s="1" t="s">
        <v>5039</v>
      </c>
      <c r="C1250" s="1" t="s">
        <v>76</v>
      </c>
      <c r="D1250" s="1">
        <v>62457.0</v>
      </c>
      <c r="E1250" s="1" t="s">
        <v>30</v>
      </c>
      <c r="F1250" s="1" t="s">
        <v>46</v>
      </c>
      <c r="G1250" s="1" t="s">
        <v>100</v>
      </c>
      <c r="H1250" s="2">
        <v>1671.0</v>
      </c>
      <c r="I1250" s="2">
        <v>8672.0</v>
      </c>
      <c r="J1250" s="1">
        <v>1969.0</v>
      </c>
      <c r="K1250" s="1">
        <v>87.0</v>
      </c>
      <c r="L1250" s="1" t="s">
        <v>95</v>
      </c>
      <c r="M1250" s="1" t="s">
        <v>5040</v>
      </c>
      <c r="N1250" s="1" t="s">
        <v>24</v>
      </c>
      <c r="O1250" s="1" t="s">
        <v>25</v>
      </c>
      <c r="P1250" s="1" t="s">
        <v>5041</v>
      </c>
    </row>
    <row r="1251" ht="14.25" customHeight="1">
      <c r="A1251" s="1" t="s">
        <v>5042</v>
      </c>
      <c r="B1251" s="1" t="s">
        <v>5043</v>
      </c>
      <c r="C1251" s="1" t="s">
        <v>39</v>
      </c>
      <c r="D1251" s="1">
        <v>13849.0</v>
      </c>
      <c r="E1251" s="1" t="s">
        <v>60</v>
      </c>
      <c r="F1251" s="1" t="s">
        <v>41</v>
      </c>
      <c r="G1251" s="1" t="s">
        <v>21</v>
      </c>
      <c r="H1251" s="2">
        <v>2153.0</v>
      </c>
      <c r="I1251" s="2">
        <v>1720.0</v>
      </c>
      <c r="J1251" s="1">
        <v>1979.0</v>
      </c>
      <c r="K1251" s="1">
        <v>41.0</v>
      </c>
      <c r="L1251" s="1" t="s">
        <v>141</v>
      </c>
      <c r="M1251" s="1" t="s">
        <v>5044</v>
      </c>
      <c r="N1251" s="1" t="s">
        <v>64</v>
      </c>
      <c r="O1251" s="1" t="s">
        <v>25</v>
      </c>
      <c r="P1251" s="1" t="s">
        <v>5045</v>
      </c>
    </row>
    <row r="1252" ht="14.25" customHeight="1">
      <c r="A1252" s="1" t="s">
        <v>5046</v>
      </c>
      <c r="B1252" s="1" t="s">
        <v>5047</v>
      </c>
      <c r="C1252" s="1" t="s">
        <v>39</v>
      </c>
      <c r="D1252" s="1">
        <v>47203.0</v>
      </c>
      <c r="E1252" s="1" t="s">
        <v>19</v>
      </c>
      <c r="F1252" s="1" t="s">
        <v>54</v>
      </c>
      <c r="G1252" s="1" t="s">
        <v>31</v>
      </c>
      <c r="H1252" s="2">
        <v>1214.0</v>
      </c>
      <c r="I1252" s="2">
        <v>6685.0</v>
      </c>
      <c r="J1252" s="1">
        <v>2018.0</v>
      </c>
      <c r="K1252" s="1">
        <v>18.0</v>
      </c>
      <c r="L1252" s="1" t="s">
        <v>95</v>
      </c>
      <c r="M1252" s="1" t="s">
        <v>5048</v>
      </c>
      <c r="N1252" s="1" t="s">
        <v>34</v>
      </c>
      <c r="O1252" s="1" t="s">
        <v>25</v>
      </c>
      <c r="P1252" s="1" t="s">
        <v>5049</v>
      </c>
    </row>
    <row r="1253" ht="14.25" customHeight="1">
      <c r="A1253" s="1" t="s">
        <v>5050</v>
      </c>
      <c r="B1253" s="1" t="s">
        <v>5051</v>
      </c>
      <c r="C1253" s="1" t="s">
        <v>18</v>
      </c>
      <c r="D1253" s="1">
        <v>89347.0</v>
      </c>
      <c r="E1253" s="1" t="s">
        <v>60</v>
      </c>
      <c r="F1253" s="1" t="s">
        <v>94</v>
      </c>
      <c r="G1253" s="1" t="s">
        <v>21</v>
      </c>
      <c r="H1253" s="2">
        <v>955.0</v>
      </c>
      <c r="I1253" s="2">
        <v>6659.0</v>
      </c>
      <c r="J1253" s="1">
        <v>1965.0</v>
      </c>
      <c r="K1253" s="1">
        <v>58.0</v>
      </c>
      <c r="L1253" s="1" t="s">
        <v>32</v>
      </c>
      <c r="M1253" s="1" t="s">
        <v>5052</v>
      </c>
      <c r="N1253" s="1" t="s">
        <v>48</v>
      </c>
      <c r="O1253" s="1" t="s">
        <v>49</v>
      </c>
      <c r="P1253" s="1" t="s">
        <v>5053</v>
      </c>
    </row>
    <row r="1254" ht="14.25" customHeight="1">
      <c r="A1254" s="1" t="s">
        <v>5054</v>
      </c>
      <c r="B1254" s="1" t="s">
        <v>5055</v>
      </c>
      <c r="C1254" s="1" t="s">
        <v>76</v>
      </c>
      <c r="D1254" s="1">
        <v>55163.0</v>
      </c>
      <c r="E1254" s="1" t="s">
        <v>30</v>
      </c>
      <c r="F1254" s="1" t="s">
        <v>46</v>
      </c>
      <c r="G1254" s="1" t="s">
        <v>31</v>
      </c>
      <c r="H1254" s="2">
        <v>962.0</v>
      </c>
      <c r="I1254" s="2">
        <v>8717.0</v>
      </c>
      <c r="J1254" s="1">
        <v>1962.0</v>
      </c>
      <c r="K1254" s="1">
        <v>12.0</v>
      </c>
      <c r="L1254" s="1" t="s">
        <v>95</v>
      </c>
      <c r="M1254" s="1" t="s">
        <v>5056</v>
      </c>
      <c r="N1254" s="1" t="s">
        <v>43</v>
      </c>
      <c r="O1254" s="1" t="s">
        <v>25</v>
      </c>
      <c r="P1254" s="1" t="s">
        <v>5057</v>
      </c>
    </row>
    <row r="1255" ht="14.25" customHeight="1">
      <c r="A1255" s="1" t="s">
        <v>5058</v>
      </c>
      <c r="B1255" s="1" t="s">
        <v>5059</v>
      </c>
      <c r="C1255" s="1" t="s">
        <v>53</v>
      </c>
      <c r="D1255" s="1">
        <v>71350.0</v>
      </c>
      <c r="E1255" s="1" t="s">
        <v>60</v>
      </c>
      <c r="F1255" s="1" t="s">
        <v>46</v>
      </c>
      <c r="G1255" s="1" t="s">
        <v>100</v>
      </c>
      <c r="H1255" s="2">
        <v>3150.0</v>
      </c>
      <c r="I1255" s="2">
        <v>8002.0</v>
      </c>
      <c r="J1255" s="1">
        <v>1982.0</v>
      </c>
      <c r="K1255" s="1">
        <v>77.0</v>
      </c>
      <c r="L1255" s="1" t="s">
        <v>22</v>
      </c>
      <c r="M1255" s="1" t="s">
        <v>5060</v>
      </c>
      <c r="N1255" s="1" t="s">
        <v>43</v>
      </c>
      <c r="O1255" s="1" t="s">
        <v>49</v>
      </c>
      <c r="P1255" s="1" t="s">
        <v>5061</v>
      </c>
    </row>
    <row r="1256" ht="14.25" customHeight="1">
      <c r="A1256" s="1" t="s">
        <v>5062</v>
      </c>
      <c r="B1256" s="1" t="s">
        <v>5063</v>
      </c>
      <c r="C1256" s="1" t="s">
        <v>29</v>
      </c>
      <c r="D1256" s="1">
        <v>57242.0</v>
      </c>
      <c r="E1256" s="1" t="s">
        <v>19</v>
      </c>
      <c r="F1256" s="1" t="s">
        <v>41</v>
      </c>
      <c r="G1256" s="1" t="s">
        <v>100</v>
      </c>
      <c r="H1256" s="2">
        <v>3329.0</v>
      </c>
      <c r="I1256" s="2">
        <v>9314.0</v>
      </c>
      <c r="J1256" s="1">
        <v>1971.0</v>
      </c>
      <c r="K1256" s="1">
        <v>72.0</v>
      </c>
      <c r="L1256" s="1" t="s">
        <v>95</v>
      </c>
      <c r="M1256" s="1" t="s">
        <v>5064</v>
      </c>
      <c r="N1256" s="1" t="s">
        <v>43</v>
      </c>
      <c r="O1256" s="1" t="s">
        <v>25</v>
      </c>
      <c r="P1256" s="1" t="s">
        <v>5065</v>
      </c>
    </row>
    <row r="1257" ht="14.25" customHeight="1">
      <c r="A1257" s="1" t="s">
        <v>5066</v>
      </c>
      <c r="B1257" s="1" t="s">
        <v>5067</v>
      </c>
      <c r="C1257" s="1" t="s">
        <v>76</v>
      </c>
      <c r="D1257" s="1">
        <v>79190.0</v>
      </c>
      <c r="E1257" s="1" t="s">
        <v>40</v>
      </c>
      <c r="F1257" s="1" t="s">
        <v>54</v>
      </c>
      <c r="G1257" s="1" t="s">
        <v>31</v>
      </c>
      <c r="H1257" s="2">
        <v>2034.0</v>
      </c>
      <c r="I1257" s="2">
        <v>4406.0</v>
      </c>
      <c r="J1257" s="1">
        <v>1996.0</v>
      </c>
      <c r="K1257" s="1">
        <v>65.0</v>
      </c>
      <c r="L1257" s="1" t="s">
        <v>141</v>
      </c>
      <c r="M1257" s="1" t="s">
        <v>5068</v>
      </c>
      <c r="N1257" s="1" t="s">
        <v>64</v>
      </c>
      <c r="O1257" s="1" t="s">
        <v>35</v>
      </c>
      <c r="P1257" s="1" t="s">
        <v>5069</v>
      </c>
    </row>
    <row r="1258" ht="14.25" customHeight="1">
      <c r="A1258" s="1" t="s">
        <v>5070</v>
      </c>
      <c r="B1258" s="1" t="s">
        <v>5071</v>
      </c>
      <c r="C1258" s="1" t="s">
        <v>29</v>
      </c>
      <c r="D1258" s="1">
        <v>96383.0</v>
      </c>
      <c r="E1258" s="1" t="s">
        <v>19</v>
      </c>
      <c r="F1258" s="1" t="s">
        <v>46</v>
      </c>
      <c r="G1258" s="1" t="s">
        <v>55</v>
      </c>
      <c r="H1258" s="2">
        <v>3376.0</v>
      </c>
      <c r="I1258" s="2">
        <v>4682.0</v>
      </c>
      <c r="J1258" s="1">
        <v>1965.0</v>
      </c>
      <c r="K1258" s="1">
        <v>72.0</v>
      </c>
      <c r="L1258" s="1" t="s">
        <v>62</v>
      </c>
      <c r="M1258" s="1" t="s">
        <v>5072</v>
      </c>
      <c r="N1258" s="1" t="s">
        <v>34</v>
      </c>
      <c r="O1258" s="1" t="s">
        <v>35</v>
      </c>
      <c r="P1258" s="1" t="s">
        <v>5073</v>
      </c>
    </row>
    <row r="1259" ht="14.25" customHeight="1">
      <c r="A1259" s="1" t="s">
        <v>5074</v>
      </c>
      <c r="B1259" s="1" t="s">
        <v>5075</v>
      </c>
      <c r="C1259" s="1" t="s">
        <v>76</v>
      </c>
      <c r="D1259" s="1">
        <v>86638.0</v>
      </c>
      <c r="E1259" s="1" t="s">
        <v>77</v>
      </c>
      <c r="F1259" s="1" t="s">
        <v>94</v>
      </c>
      <c r="G1259" s="1" t="s">
        <v>100</v>
      </c>
      <c r="H1259" s="2">
        <v>2004.0</v>
      </c>
      <c r="I1259" s="2">
        <v>7617.0</v>
      </c>
      <c r="J1259" s="1">
        <v>2014.0</v>
      </c>
      <c r="K1259" s="1">
        <v>66.0</v>
      </c>
      <c r="L1259" s="1" t="s">
        <v>32</v>
      </c>
      <c r="M1259" s="1" t="s">
        <v>5076</v>
      </c>
      <c r="N1259" s="1" t="s">
        <v>34</v>
      </c>
      <c r="O1259" s="1" t="s">
        <v>49</v>
      </c>
      <c r="P1259" s="1" t="s">
        <v>5077</v>
      </c>
    </row>
    <row r="1260" ht="14.25" customHeight="1">
      <c r="A1260" s="1" t="s">
        <v>5078</v>
      </c>
      <c r="B1260" s="1" t="s">
        <v>5079</v>
      </c>
      <c r="C1260" s="1" t="s">
        <v>76</v>
      </c>
      <c r="D1260" s="1">
        <v>16939.0</v>
      </c>
      <c r="E1260" s="1" t="s">
        <v>60</v>
      </c>
      <c r="F1260" s="1" t="s">
        <v>46</v>
      </c>
      <c r="G1260" s="1" t="s">
        <v>100</v>
      </c>
      <c r="H1260" s="2">
        <v>3031.0</v>
      </c>
      <c r="I1260" s="2">
        <v>8285.0</v>
      </c>
      <c r="J1260" s="1">
        <v>1974.0</v>
      </c>
      <c r="K1260" s="1">
        <v>102.0</v>
      </c>
      <c r="L1260" s="1" t="s">
        <v>95</v>
      </c>
      <c r="M1260" s="1" t="s">
        <v>5080</v>
      </c>
      <c r="N1260" s="1" t="s">
        <v>64</v>
      </c>
      <c r="O1260" s="1" t="s">
        <v>35</v>
      </c>
      <c r="P1260" s="1" t="s">
        <v>5081</v>
      </c>
    </row>
    <row r="1261" ht="14.25" customHeight="1">
      <c r="A1261" s="1" t="s">
        <v>5082</v>
      </c>
      <c r="B1261" s="1" t="s">
        <v>5083</v>
      </c>
      <c r="C1261" s="1" t="s">
        <v>18</v>
      </c>
      <c r="D1261" s="1">
        <v>89598.0</v>
      </c>
      <c r="E1261" s="1" t="s">
        <v>30</v>
      </c>
      <c r="F1261" s="1" t="s">
        <v>54</v>
      </c>
      <c r="G1261" s="1" t="s">
        <v>100</v>
      </c>
      <c r="H1261" s="2">
        <v>2479.0</v>
      </c>
      <c r="I1261" s="2">
        <v>8559.0</v>
      </c>
      <c r="J1261" s="1">
        <v>1994.0</v>
      </c>
      <c r="K1261" s="1">
        <v>37.0</v>
      </c>
      <c r="L1261" s="1" t="s">
        <v>95</v>
      </c>
      <c r="M1261" s="1" t="s">
        <v>5084</v>
      </c>
      <c r="N1261" s="1" t="s">
        <v>24</v>
      </c>
      <c r="O1261" s="1" t="s">
        <v>35</v>
      </c>
      <c r="P1261" s="1" t="s">
        <v>5085</v>
      </c>
    </row>
    <row r="1262" ht="14.25" customHeight="1">
      <c r="A1262" s="1" t="s">
        <v>5086</v>
      </c>
      <c r="B1262" s="1" t="s">
        <v>5087</v>
      </c>
      <c r="C1262" s="1" t="s">
        <v>53</v>
      </c>
      <c r="D1262" s="1">
        <v>64628.0</v>
      </c>
      <c r="E1262" s="1" t="s">
        <v>30</v>
      </c>
      <c r="F1262" s="1" t="s">
        <v>46</v>
      </c>
      <c r="G1262" s="1" t="s">
        <v>100</v>
      </c>
      <c r="H1262" s="2">
        <v>2580.0</v>
      </c>
      <c r="I1262" s="2">
        <v>3464.0</v>
      </c>
      <c r="J1262" s="1">
        <v>1976.0</v>
      </c>
      <c r="K1262" s="1">
        <v>101.0</v>
      </c>
      <c r="L1262" s="1" t="s">
        <v>141</v>
      </c>
      <c r="M1262" s="1" t="s">
        <v>5088</v>
      </c>
      <c r="N1262" s="1" t="s">
        <v>24</v>
      </c>
      <c r="O1262" s="1" t="s">
        <v>35</v>
      </c>
      <c r="P1262" s="1" t="s">
        <v>5089</v>
      </c>
    </row>
    <row r="1263" ht="14.25" customHeight="1">
      <c r="A1263" s="1" t="s">
        <v>5090</v>
      </c>
      <c r="B1263" s="1" t="s">
        <v>5091</v>
      </c>
      <c r="C1263" s="1" t="s">
        <v>76</v>
      </c>
      <c r="D1263" s="1">
        <v>30160.0</v>
      </c>
      <c r="E1263" s="1" t="s">
        <v>77</v>
      </c>
      <c r="F1263" s="1" t="s">
        <v>94</v>
      </c>
      <c r="G1263" s="1" t="s">
        <v>100</v>
      </c>
      <c r="H1263" s="2">
        <v>1386.0</v>
      </c>
      <c r="I1263" s="2">
        <v>6357.0</v>
      </c>
      <c r="J1263" s="1">
        <v>1980.0</v>
      </c>
      <c r="K1263" s="1">
        <v>97.0</v>
      </c>
      <c r="L1263" s="1" t="s">
        <v>32</v>
      </c>
      <c r="M1263" s="1" t="s">
        <v>5092</v>
      </c>
      <c r="N1263" s="1" t="s">
        <v>24</v>
      </c>
      <c r="O1263" s="1" t="s">
        <v>49</v>
      </c>
      <c r="P1263" s="1" t="s">
        <v>5093</v>
      </c>
    </row>
    <row r="1264" ht="14.25" customHeight="1">
      <c r="A1264" s="1" t="s">
        <v>5094</v>
      </c>
      <c r="B1264" s="1" t="s">
        <v>5095</v>
      </c>
      <c r="C1264" s="1" t="s">
        <v>76</v>
      </c>
      <c r="D1264" s="1">
        <v>99211.0</v>
      </c>
      <c r="E1264" s="1" t="s">
        <v>40</v>
      </c>
      <c r="F1264" s="1" t="s">
        <v>46</v>
      </c>
      <c r="G1264" s="1" t="s">
        <v>21</v>
      </c>
      <c r="H1264" s="2">
        <v>3326.0</v>
      </c>
      <c r="I1264" s="2">
        <v>7653.0</v>
      </c>
      <c r="J1264" s="1">
        <v>2006.0</v>
      </c>
      <c r="K1264" s="1">
        <v>87.0</v>
      </c>
      <c r="L1264" s="1" t="s">
        <v>141</v>
      </c>
      <c r="M1264" s="1" t="s">
        <v>5096</v>
      </c>
      <c r="N1264" s="1" t="s">
        <v>64</v>
      </c>
      <c r="O1264" s="1" t="s">
        <v>35</v>
      </c>
      <c r="P1264" s="1" t="s">
        <v>5097</v>
      </c>
    </row>
    <row r="1265" ht="14.25" customHeight="1">
      <c r="A1265" s="1" t="s">
        <v>5098</v>
      </c>
      <c r="B1265" s="1" t="s">
        <v>5099</v>
      </c>
      <c r="C1265" s="1" t="s">
        <v>53</v>
      </c>
      <c r="D1265" s="1">
        <v>62062.0</v>
      </c>
      <c r="E1265" s="1" t="s">
        <v>30</v>
      </c>
      <c r="F1265" s="1" t="s">
        <v>46</v>
      </c>
      <c r="G1265" s="1" t="s">
        <v>21</v>
      </c>
      <c r="H1265" s="2">
        <v>1678.0</v>
      </c>
      <c r="I1265" s="2">
        <v>6412.0</v>
      </c>
      <c r="J1265" s="1">
        <v>2016.0</v>
      </c>
      <c r="K1265" s="1">
        <v>47.0</v>
      </c>
      <c r="L1265" s="1" t="s">
        <v>95</v>
      </c>
      <c r="M1265" s="1" t="s">
        <v>5100</v>
      </c>
      <c r="N1265" s="1" t="s">
        <v>34</v>
      </c>
      <c r="O1265" s="1" t="s">
        <v>25</v>
      </c>
      <c r="P1265" s="1" t="s">
        <v>5101</v>
      </c>
    </row>
    <row r="1266" ht="14.25" customHeight="1">
      <c r="A1266" s="1" t="s">
        <v>5102</v>
      </c>
      <c r="B1266" s="1" t="s">
        <v>5103</v>
      </c>
      <c r="C1266" s="1" t="s">
        <v>53</v>
      </c>
      <c r="D1266" s="1">
        <v>10006.0</v>
      </c>
      <c r="E1266" s="1" t="s">
        <v>77</v>
      </c>
      <c r="F1266" s="1" t="s">
        <v>41</v>
      </c>
      <c r="G1266" s="1" t="s">
        <v>31</v>
      </c>
      <c r="H1266" s="2">
        <v>2298.0</v>
      </c>
      <c r="I1266" s="2">
        <v>4008.0</v>
      </c>
      <c r="J1266" s="1">
        <v>1989.0</v>
      </c>
      <c r="K1266" s="1">
        <v>41.0</v>
      </c>
      <c r="L1266" s="1" t="s">
        <v>95</v>
      </c>
      <c r="M1266" s="1" t="s">
        <v>5104</v>
      </c>
      <c r="N1266" s="1" t="s">
        <v>48</v>
      </c>
      <c r="O1266" s="1" t="s">
        <v>35</v>
      </c>
      <c r="P1266" s="1" t="s">
        <v>5105</v>
      </c>
    </row>
    <row r="1267" ht="14.25" customHeight="1">
      <c r="A1267" s="1" t="s">
        <v>5106</v>
      </c>
      <c r="B1267" s="1" t="s">
        <v>5107</v>
      </c>
      <c r="C1267" s="1" t="s">
        <v>76</v>
      </c>
      <c r="D1267" s="1">
        <v>37948.0</v>
      </c>
      <c r="E1267" s="1" t="s">
        <v>40</v>
      </c>
      <c r="F1267" s="1" t="s">
        <v>41</v>
      </c>
      <c r="G1267" s="1" t="s">
        <v>100</v>
      </c>
      <c r="H1267" s="2">
        <v>1085.0</v>
      </c>
      <c r="I1267" s="2">
        <v>9715.0</v>
      </c>
      <c r="J1267" s="1">
        <v>1952.0</v>
      </c>
      <c r="K1267" s="1">
        <v>99.0</v>
      </c>
      <c r="L1267" s="1" t="s">
        <v>95</v>
      </c>
      <c r="M1267" s="1" t="s">
        <v>5108</v>
      </c>
      <c r="N1267" s="1" t="s">
        <v>24</v>
      </c>
      <c r="O1267" s="1" t="s">
        <v>49</v>
      </c>
      <c r="P1267" s="1" t="s">
        <v>5109</v>
      </c>
    </row>
    <row r="1268" ht="14.25" customHeight="1">
      <c r="A1268" s="1" t="s">
        <v>5110</v>
      </c>
      <c r="B1268" s="1" t="s">
        <v>5111</v>
      </c>
      <c r="C1268" s="1" t="s">
        <v>29</v>
      </c>
      <c r="D1268" s="1">
        <v>13171.0</v>
      </c>
      <c r="E1268" s="1" t="s">
        <v>19</v>
      </c>
      <c r="F1268" s="1" t="s">
        <v>54</v>
      </c>
      <c r="G1268" s="1" t="s">
        <v>31</v>
      </c>
      <c r="H1268" s="2">
        <v>2616.0</v>
      </c>
      <c r="I1268" s="2">
        <v>7426.0</v>
      </c>
      <c r="J1268" s="1">
        <v>1951.0</v>
      </c>
      <c r="K1268" s="1">
        <v>60.0</v>
      </c>
      <c r="L1268" s="1" t="s">
        <v>141</v>
      </c>
      <c r="M1268" s="1" t="s">
        <v>5112</v>
      </c>
      <c r="N1268" s="1" t="s">
        <v>34</v>
      </c>
      <c r="O1268" s="1" t="s">
        <v>35</v>
      </c>
      <c r="P1268" s="1" t="s">
        <v>5113</v>
      </c>
    </row>
    <row r="1269" ht="14.25" customHeight="1">
      <c r="A1269" s="1" t="s">
        <v>5114</v>
      </c>
      <c r="B1269" s="1" t="s">
        <v>5115</v>
      </c>
      <c r="C1269" s="1" t="s">
        <v>53</v>
      </c>
      <c r="D1269" s="1">
        <v>89851.0</v>
      </c>
      <c r="E1269" s="1" t="s">
        <v>40</v>
      </c>
      <c r="F1269" s="1" t="s">
        <v>94</v>
      </c>
      <c r="G1269" s="1" t="s">
        <v>100</v>
      </c>
      <c r="H1269" s="2">
        <v>1669.0</v>
      </c>
      <c r="I1269" s="2">
        <v>3579.0</v>
      </c>
      <c r="J1269" s="1">
        <v>2014.0</v>
      </c>
      <c r="K1269" s="1">
        <v>114.0</v>
      </c>
      <c r="L1269" s="1" t="s">
        <v>141</v>
      </c>
      <c r="M1269" s="1" t="s">
        <v>5116</v>
      </c>
      <c r="N1269" s="1" t="s">
        <v>64</v>
      </c>
      <c r="O1269" s="1" t="s">
        <v>25</v>
      </c>
      <c r="P1269" s="1" t="s">
        <v>5117</v>
      </c>
    </row>
    <row r="1270" ht="14.25" customHeight="1">
      <c r="A1270" s="1" t="s">
        <v>5118</v>
      </c>
      <c r="B1270" s="1" t="s">
        <v>5119</v>
      </c>
      <c r="C1270" s="1" t="s">
        <v>29</v>
      </c>
      <c r="D1270" s="1">
        <v>73698.0</v>
      </c>
      <c r="E1270" s="1" t="s">
        <v>30</v>
      </c>
      <c r="F1270" s="1" t="s">
        <v>54</v>
      </c>
      <c r="G1270" s="1" t="s">
        <v>31</v>
      </c>
      <c r="H1270" s="2">
        <v>3999.0</v>
      </c>
      <c r="I1270" s="2">
        <v>1037.0</v>
      </c>
      <c r="J1270" s="1">
        <v>1991.0</v>
      </c>
      <c r="K1270" s="1">
        <v>81.0</v>
      </c>
      <c r="L1270" s="1" t="s">
        <v>22</v>
      </c>
      <c r="M1270" s="1" t="s">
        <v>5120</v>
      </c>
      <c r="N1270" s="1" t="s">
        <v>43</v>
      </c>
      <c r="O1270" s="1" t="s">
        <v>49</v>
      </c>
      <c r="P1270" s="1" t="s">
        <v>5121</v>
      </c>
    </row>
    <row r="1271" ht="14.25" customHeight="1">
      <c r="A1271" s="1" t="s">
        <v>5122</v>
      </c>
      <c r="B1271" s="1" t="s">
        <v>5123</v>
      </c>
      <c r="C1271" s="1" t="s">
        <v>53</v>
      </c>
      <c r="D1271" s="1">
        <v>40283.0</v>
      </c>
      <c r="E1271" s="1" t="s">
        <v>60</v>
      </c>
      <c r="F1271" s="1" t="s">
        <v>54</v>
      </c>
      <c r="G1271" s="1" t="s">
        <v>21</v>
      </c>
      <c r="H1271" s="2">
        <v>987.0</v>
      </c>
      <c r="I1271" s="2">
        <v>1295.0</v>
      </c>
      <c r="J1271" s="1">
        <v>2019.0</v>
      </c>
      <c r="K1271" s="1">
        <v>25.0</v>
      </c>
      <c r="L1271" s="1" t="s">
        <v>141</v>
      </c>
      <c r="M1271" s="1" t="s">
        <v>5124</v>
      </c>
      <c r="N1271" s="1" t="s">
        <v>64</v>
      </c>
      <c r="O1271" s="1" t="s">
        <v>25</v>
      </c>
      <c r="P1271" s="1" t="s">
        <v>5125</v>
      </c>
    </row>
    <row r="1272" ht="14.25" customHeight="1">
      <c r="A1272" s="1" t="s">
        <v>5126</v>
      </c>
      <c r="B1272" s="1" t="s">
        <v>5127</v>
      </c>
      <c r="C1272" s="1" t="s">
        <v>39</v>
      </c>
      <c r="D1272" s="1">
        <v>81388.0</v>
      </c>
      <c r="E1272" s="1" t="s">
        <v>77</v>
      </c>
      <c r="F1272" s="1" t="s">
        <v>20</v>
      </c>
      <c r="G1272" s="1" t="s">
        <v>31</v>
      </c>
      <c r="H1272" s="2">
        <v>3027.0</v>
      </c>
      <c r="I1272" s="2">
        <v>8287.0</v>
      </c>
      <c r="J1272" s="1">
        <v>1976.0</v>
      </c>
      <c r="K1272" s="1">
        <v>21.0</v>
      </c>
      <c r="L1272" s="1" t="s">
        <v>141</v>
      </c>
      <c r="M1272" s="1" t="s">
        <v>5128</v>
      </c>
      <c r="N1272" s="1" t="s">
        <v>24</v>
      </c>
      <c r="O1272" s="1" t="s">
        <v>25</v>
      </c>
      <c r="P1272" s="1" t="s">
        <v>5129</v>
      </c>
    </row>
    <row r="1273" ht="14.25" customHeight="1">
      <c r="A1273" s="1" t="s">
        <v>5130</v>
      </c>
      <c r="B1273" s="1" t="s">
        <v>5131</v>
      </c>
      <c r="C1273" s="1" t="s">
        <v>29</v>
      </c>
      <c r="D1273" s="1">
        <v>52083.0</v>
      </c>
      <c r="E1273" s="1" t="s">
        <v>60</v>
      </c>
      <c r="F1273" s="1" t="s">
        <v>54</v>
      </c>
      <c r="G1273" s="1" t="s">
        <v>100</v>
      </c>
      <c r="H1273" s="2">
        <v>3595.0</v>
      </c>
      <c r="I1273" s="2">
        <v>7896.0</v>
      </c>
      <c r="J1273" s="1">
        <v>2002.0</v>
      </c>
      <c r="K1273" s="1">
        <v>111.0</v>
      </c>
      <c r="L1273" s="1" t="s">
        <v>95</v>
      </c>
      <c r="M1273" s="1" t="s">
        <v>5132</v>
      </c>
      <c r="N1273" s="1" t="s">
        <v>64</v>
      </c>
      <c r="O1273" s="1" t="s">
        <v>35</v>
      </c>
      <c r="P1273" s="1" t="s">
        <v>5133</v>
      </c>
    </row>
    <row r="1274" ht="14.25" customHeight="1">
      <c r="A1274" s="1" t="s">
        <v>5134</v>
      </c>
      <c r="B1274" s="1" t="s">
        <v>5135</v>
      </c>
      <c r="C1274" s="1" t="s">
        <v>76</v>
      </c>
      <c r="D1274" s="1">
        <v>85201.0</v>
      </c>
      <c r="E1274" s="1" t="s">
        <v>60</v>
      </c>
      <c r="F1274" s="1" t="s">
        <v>46</v>
      </c>
      <c r="G1274" s="1" t="s">
        <v>31</v>
      </c>
      <c r="H1274" s="2">
        <v>3429.0</v>
      </c>
      <c r="I1274" s="2">
        <v>4250.0</v>
      </c>
      <c r="J1274" s="1">
        <v>2007.0</v>
      </c>
      <c r="K1274" s="1">
        <v>17.0</v>
      </c>
      <c r="L1274" s="1" t="s">
        <v>141</v>
      </c>
      <c r="M1274" s="1" t="s">
        <v>5136</v>
      </c>
      <c r="N1274" s="1" t="s">
        <v>48</v>
      </c>
      <c r="O1274" s="1" t="s">
        <v>35</v>
      </c>
      <c r="P1274" s="1" t="s">
        <v>5137</v>
      </c>
    </row>
    <row r="1275" ht="14.25" customHeight="1">
      <c r="A1275" s="1" t="s">
        <v>5138</v>
      </c>
      <c r="B1275" s="1" t="s">
        <v>5139</v>
      </c>
      <c r="C1275" s="1" t="s">
        <v>53</v>
      </c>
      <c r="D1275" s="1">
        <v>42451.0</v>
      </c>
      <c r="E1275" s="1" t="s">
        <v>40</v>
      </c>
      <c r="F1275" s="1" t="s">
        <v>41</v>
      </c>
      <c r="G1275" s="1" t="s">
        <v>31</v>
      </c>
      <c r="H1275" s="2">
        <v>722.0</v>
      </c>
      <c r="I1275" s="2">
        <v>2374.0</v>
      </c>
      <c r="J1275" s="1">
        <v>2010.0</v>
      </c>
      <c r="K1275" s="1">
        <v>45.0</v>
      </c>
      <c r="L1275" s="1" t="s">
        <v>32</v>
      </c>
      <c r="M1275" s="1" t="s">
        <v>5140</v>
      </c>
      <c r="N1275" s="1" t="s">
        <v>48</v>
      </c>
      <c r="O1275" s="1" t="s">
        <v>35</v>
      </c>
      <c r="P1275" s="1" t="s">
        <v>5141</v>
      </c>
    </row>
    <row r="1276" ht="14.25" customHeight="1">
      <c r="A1276" s="1" t="s">
        <v>5142</v>
      </c>
      <c r="B1276" s="1" t="s">
        <v>5143</v>
      </c>
      <c r="C1276" s="1" t="s">
        <v>53</v>
      </c>
      <c r="D1276" s="1">
        <v>88679.0</v>
      </c>
      <c r="E1276" s="1" t="s">
        <v>40</v>
      </c>
      <c r="F1276" s="1" t="s">
        <v>94</v>
      </c>
      <c r="G1276" s="1" t="s">
        <v>100</v>
      </c>
      <c r="H1276" s="2">
        <v>1038.0</v>
      </c>
      <c r="I1276" s="2">
        <v>4292.0</v>
      </c>
      <c r="J1276" s="1">
        <v>1961.0</v>
      </c>
      <c r="K1276" s="1">
        <v>49.0</v>
      </c>
      <c r="L1276" s="1" t="s">
        <v>32</v>
      </c>
      <c r="M1276" s="1" t="s">
        <v>5144</v>
      </c>
      <c r="N1276" s="1" t="s">
        <v>48</v>
      </c>
      <c r="O1276" s="1" t="s">
        <v>25</v>
      </c>
      <c r="P1276" s="1" t="s">
        <v>5145</v>
      </c>
    </row>
    <row r="1277" ht="14.25" customHeight="1">
      <c r="A1277" s="1" t="s">
        <v>5146</v>
      </c>
      <c r="B1277" s="1" t="s">
        <v>5147</v>
      </c>
      <c r="C1277" s="1" t="s">
        <v>76</v>
      </c>
      <c r="D1277" s="1">
        <v>16383.0</v>
      </c>
      <c r="E1277" s="1" t="s">
        <v>77</v>
      </c>
      <c r="F1277" s="1" t="s">
        <v>46</v>
      </c>
      <c r="G1277" s="1" t="s">
        <v>31</v>
      </c>
      <c r="H1277" s="2">
        <v>2316.0</v>
      </c>
      <c r="I1277" s="2">
        <v>1892.0</v>
      </c>
      <c r="J1277" s="1">
        <v>1959.0</v>
      </c>
      <c r="K1277" s="1">
        <v>59.0</v>
      </c>
      <c r="L1277" s="1" t="s">
        <v>22</v>
      </c>
      <c r="M1277" s="1" t="s">
        <v>5148</v>
      </c>
      <c r="N1277" s="1" t="s">
        <v>24</v>
      </c>
      <c r="O1277" s="1" t="s">
        <v>35</v>
      </c>
      <c r="P1277" s="1" t="s">
        <v>5149</v>
      </c>
    </row>
    <row r="1278" ht="14.25" customHeight="1">
      <c r="A1278" s="1" t="s">
        <v>5150</v>
      </c>
      <c r="B1278" s="1" t="s">
        <v>5151</v>
      </c>
      <c r="C1278" s="1" t="s">
        <v>18</v>
      </c>
      <c r="D1278" s="1">
        <v>64880.0</v>
      </c>
      <c r="E1278" s="1" t="s">
        <v>77</v>
      </c>
      <c r="F1278" s="1" t="s">
        <v>54</v>
      </c>
      <c r="G1278" s="1" t="s">
        <v>21</v>
      </c>
      <c r="H1278" s="2">
        <v>1929.0</v>
      </c>
      <c r="I1278" s="2">
        <v>1396.0</v>
      </c>
      <c r="J1278" s="1">
        <v>1971.0</v>
      </c>
      <c r="K1278" s="1">
        <v>18.0</v>
      </c>
      <c r="L1278" s="1" t="s">
        <v>32</v>
      </c>
      <c r="M1278" s="1" t="s">
        <v>5152</v>
      </c>
      <c r="N1278" s="1" t="s">
        <v>43</v>
      </c>
      <c r="O1278" s="1" t="s">
        <v>49</v>
      </c>
      <c r="P1278" s="1" t="s">
        <v>5153</v>
      </c>
    </row>
    <row r="1279" ht="14.25" customHeight="1">
      <c r="A1279" s="1" t="s">
        <v>5154</v>
      </c>
      <c r="B1279" s="1" t="s">
        <v>5155</v>
      </c>
      <c r="C1279" s="1" t="s">
        <v>53</v>
      </c>
      <c r="D1279" s="1">
        <v>97402.0</v>
      </c>
      <c r="E1279" s="1" t="s">
        <v>77</v>
      </c>
      <c r="F1279" s="1" t="s">
        <v>61</v>
      </c>
      <c r="G1279" s="1" t="s">
        <v>21</v>
      </c>
      <c r="H1279" s="2">
        <v>3750.0</v>
      </c>
      <c r="I1279" s="2">
        <v>9239.0</v>
      </c>
      <c r="J1279" s="1">
        <v>2015.0</v>
      </c>
      <c r="K1279" s="1">
        <v>53.0</v>
      </c>
      <c r="L1279" s="1" t="s">
        <v>32</v>
      </c>
      <c r="M1279" s="1" t="s">
        <v>5156</v>
      </c>
      <c r="N1279" s="1" t="s">
        <v>34</v>
      </c>
      <c r="O1279" s="1" t="s">
        <v>25</v>
      </c>
      <c r="P1279" s="1" t="s">
        <v>5157</v>
      </c>
    </row>
    <row r="1280" ht="14.25" customHeight="1">
      <c r="A1280" s="1" t="s">
        <v>5158</v>
      </c>
      <c r="B1280" s="1" t="s">
        <v>5159</v>
      </c>
      <c r="C1280" s="1" t="s">
        <v>29</v>
      </c>
      <c r="D1280" s="1">
        <v>71928.0</v>
      </c>
      <c r="E1280" s="1" t="s">
        <v>40</v>
      </c>
      <c r="F1280" s="1" t="s">
        <v>94</v>
      </c>
      <c r="G1280" s="1" t="s">
        <v>31</v>
      </c>
      <c r="H1280" s="2">
        <v>2989.0</v>
      </c>
      <c r="I1280" s="2">
        <v>2188.0</v>
      </c>
      <c r="J1280" s="1">
        <v>1965.0</v>
      </c>
      <c r="K1280" s="1">
        <v>113.0</v>
      </c>
      <c r="L1280" s="1" t="s">
        <v>32</v>
      </c>
      <c r="M1280" s="1" t="s">
        <v>5160</v>
      </c>
      <c r="N1280" s="1" t="s">
        <v>64</v>
      </c>
      <c r="O1280" s="1" t="s">
        <v>49</v>
      </c>
      <c r="P1280" s="1" t="s">
        <v>5161</v>
      </c>
    </row>
    <row r="1281" ht="14.25" customHeight="1">
      <c r="A1281" s="1" t="s">
        <v>5162</v>
      </c>
      <c r="B1281" s="1" t="s">
        <v>5163</v>
      </c>
      <c r="C1281" s="1" t="s">
        <v>76</v>
      </c>
      <c r="D1281" s="1">
        <v>98928.0</v>
      </c>
      <c r="E1281" s="1" t="s">
        <v>60</v>
      </c>
      <c r="F1281" s="1" t="s">
        <v>20</v>
      </c>
      <c r="G1281" s="1" t="s">
        <v>21</v>
      </c>
      <c r="H1281" s="2">
        <v>2661.0</v>
      </c>
      <c r="I1281" s="2">
        <v>3171.0</v>
      </c>
      <c r="J1281" s="1">
        <v>1981.0</v>
      </c>
      <c r="K1281" s="1">
        <v>87.0</v>
      </c>
      <c r="L1281" s="1" t="s">
        <v>22</v>
      </c>
      <c r="M1281" s="1" t="s">
        <v>5164</v>
      </c>
      <c r="N1281" s="1" t="s">
        <v>34</v>
      </c>
      <c r="O1281" s="1" t="s">
        <v>25</v>
      </c>
      <c r="P1281" s="1" t="s">
        <v>5165</v>
      </c>
    </row>
    <row r="1282" ht="14.25" customHeight="1">
      <c r="A1282" s="1" t="s">
        <v>5166</v>
      </c>
      <c r="B1282" s="1" t="s">
        <v>5167</v>
      </c>
      <c r="C1282" s="1" t="s">
        <v>39</v>
      </c>
      <c r="D1282" s="1">
        <v>28013.0</v>
      </c>
      <c r="E1282" s="1" t="s">
        <v>60</v>
      </c>
      <c r="F1282" s="1" t="s">
        <v>61</v>
      </c>
      <c r="G1282" s="1" t="s">
        <v>100</v>
      </c>
      <c r="H1282" s="2">
        <v>1147.0</v>
      </c>
      <c r="I1282" s="2">
        <v>7857.0</v>
      </c>
      <c r="J1282" s="1">
        <v>1986.0</v>
      </c>
      <c r="K1282" s="1">
        <v>26.0</v>
      </c>
      <c r="L1282" s="1" t="s">
        <v>62</v>
      </c>
      <c r="M1282" s="1" t="s">
        <v>5168</v>
      </c>
      <c r="N1282" s="1" t="s">
        <v>43</v>
      </c>
      <c r="O1282" s="1" t="s">
        <v>25</v>
      </c>
      <c r="P1282" s="1" t="s">
        <v>5169</v>
      </c>
    </row>
    <row r="1283" ht="14.25" customHeight="1">
      <c r="A1283" s="1" t="s">
        <v>5170</v>
      </c>
      <c r="B1283" s="1" t="s">
        <v>5171</v>
      </c>
      <c r="C1283" s="1" t="s">
        <v>53</v>
      </c>
      <c r="D1283" s="1">
        <v>14973.0</v>
      </c>
      <c r="E1283" s="1" t="s">
        <v>60</v>
      </c>
      <c r="F1283" s="1" t="s">
        <v>61</v>
      </c>
      <c r="G1283" s="1" t="s">
        <v>31</v>
      </c>
      <c r="H1283" s="2">
        <v>1089.0</v>
      </c>
      <c r="I1283" s="2">
        <v>6412.0</v>
      </c>
      <c r="J1283" s="1">
        <v>1985.0</v>
      </c>
      <c r="K1283" s="1">
        <v>48.0</v>
      </c>
      <c r="L1283" s="1" t="s">
        <v>95</v>
      </c>
      <c r="M1283" s="1" t="s">
        <v>5172</v>
      </c>
      <c r="N1283" s="1" t="s">
        <v>48</v>
      </c>
      <c r="O1283" s="1" t="s">
        <v>25</v>
      </c>
      <c r="P1283" s="1" t="s">
        <v>5173</v>
      </c>
    </row>
    <row r="1284" ht="14.25" customHeight="1">
      <c r="A1284" s="1" t="s">
        <v>5174</v>
      </c>
      <c r="B1284" s="1" t="s">
        <v>5175</v>
      </c>
      <c r="C1284" s="1" t="s">
        <v>29</v>
      </c>
      <c r="D1284" s="1">
        <v>46047.0</v>
      </c>
      <c r="E1284" s="1" t="s">
        <v>40</v>
      </c>
      <c r="F1284" s="1" t="s">
        <v>54</v>
      </c>
      <c r="G1284" s="1" t="s">
        <v>100</v>
      </c>
      <c r="H1284" s="2">
        <v>888.0</v>
      </c>
      <c r="I1284" s="2">
        <v>6132.0</v>
      </c>
      <c r="J1284" s="1">
        <v>1979.0</v>
      </c>
      <c r="K1284" s="1">
        <v>120.0</v>
      </c>
      <c r="L1284" s="1" t="s">
        <v>32</v>
      </c>
      <c r="M1284" s="1" t="s">
        <v>5176</v>
      </c>
      <c r="N1284" s="1" t="s">
        <v>43</v>
      </c>
      <c r="O1284" s="1" t="s">
        <v>49</v>
      </c>
      <c r="P1284" s="1" t="s">
        <v>5177</v>
      </c>
    </row>
    <row r="1285" ht="14.25" customHeight="1">
      <c r="A1285" s="1" t="s">
        <v>5178</v>
      </c>
      <c r="B1285" s="1" t="s">
        <v>5179</v>
      </c>
      <c r="C1285" s="1" t="s">
        <v>18</v>
      </c>
      <c r="D1285" s="1">
        <v>80624.0</v>
      </c>
      <c r="E1285" s="1" t="s">
        <v>60</v>
      </c>
      <c r="F1285" s="1" t="s">
        <v>46</v>
      </c>
      <c r="G1285" s="1" t="s">
        <v>100</v>
      </c>
      <c r="H1285" s="2">
        <v>1062.0</v>
      </c>
      <c r="I1285" s="2">
        <v>1605.0</v>
      </c>
      <c r="J1285" s="1">
        <v>1974.0</v>
      </c>
      <c r="K1285" s="1">
        <v>38.0</v>
      </c>
      <c r="L1285" s="1" t="s">
        <v>22</v>
      </c>
      <c r="M1285" s="1" t="s">
        <v>5180</v>
      </c>
      <c r="N1285" s="1" t="s">
        <v>48</v>
      </c>
      <c r="O1285" s="1" t="s">
        <v>35</v>
      </c>
      <c r="P1285" s="1" t="s">
        <v>5181</v>
      </c>
    </row>
    <row r="1286" ht="14.25" customHeight="1">
      <c r="A1286" s="1" t="s">
        <v>5182</v>
      </c>
      <c r="B1286" s="1" t="s">
        <v>5183</v>
      </c>
      <c r="C1286" s="1" t="s">
        <v>39</v>
      </c>
      <c r="D1286" s="1">
        <v>60812.0</v>
      </c>
      <c r="E1286" s="1" t="s">
        <v>40</v>
      </c>
      <c r="F1286" s="1" t="s">
        <v>61</v>
      </c>
      <c r="G1286" s="1" t="s">
        <v>100</v>
      </c>
      <c r="H1286" s="2">
        <v>2195.0</v>
      </c>
      <c r="I1286" s="2">
        <v>1688.0</v>
      </c>
      <c r="J1286" s="1">
        <v>1982.0</v>
      </c>
      <c r="K1286" s="1">
        <v>88.0</v>
      </c>
      <c r="L1286" s="1" t="s">
        <v>141</v>
      </c>
      <c r="M1286" s="1" t="s">
        <v>5184</v>
      </c>
      <c r="N1286" s="1" t="s">
        <v>34</v>
      </c>
      <c r="O1286" s="1" t="s">
        <v>25</v>
      </c>
      <c r="P1286" s="1" t="s">
        <v>5185</v>
      </c>
    </row>
    <row r="1287" ht="14.25" customHeight="1">
      <c r="A1287" s="1" t="s">
        <v>5186</v>
      </c>
      <c r="B1287" s="1" t="s">
        <v>5187</v>
      </c>
      <c r="C1287" s="1" t="s">
        <v>53</v>
      </c>
      <c r="D1287" s="1">
        <v>65847.0</v>
      </c>
      <c r="E1287" s="1" t="s">
        <v>77</v>
      </c>
      <c r="F1287" s="1" t="s">
        <v>54</v>
      </c>
      <c r="G1287" s="1" t="s">
        <v>21</v>
      </c>
      <c r="H1287" s="2">
        <v>864.0</v>
      </c>
      <c r="I1287" s="2">
        <v>5419.0</v>
      </c>
      <c r="J1287" s="1">
        <v>1982.0</v>
      </c>
      <c r="K1287" s="1">
        <v>35.0</v>
      </c>
      <c r="L1287" s="1" t="s">
        <v>95</v>
      </c>
      <c r="M1287" s="1" t="s">
        <v>5188</v>
      </c>
      <c r="N1287" s="1" t="s">
        <v>64</v>
      </c>
      <c r="O1287" s="1" t="s">
        <v>25</v>
      </c>
      <c r="P1287" s="1" t="s">
        <v>5189</v>
      </c>
    </row>
    <row r="1288" ht="14.25" customHeight="1">
      <c r="A1288" s="1" t="s">
        <v>5190</v>
      </c>
      <c r="B1288" s="1" t="s">
        <v>5191</v>
      </c>
      <c r="C1288" s="1" t="s">
        <v>53</v>
      </c>
      <c r="D1288" s="1">
        <v>67572.0</v>
      </c>
      <c r="E1288" s="1" t="s">
        <v>30</v>
      </c>
      <c r="F1288" s="1" t="s">
        <v>41</v>
      </c>
      <c r="G1288" s="1" t="s">
        <v>55</v>
      </c>
      <c r="H1288" s="2">
        <v>2582.0</v>
      </c>
      <c r="I1288" s="2">
        <v>2240.0</v>
      </c>
      <c r="J1288" s="1">
        <v>1956.0</v>
      </c>
      <c r="K1288" s="1">
        <v>92.0</v>
      </c>
      <c r="L1288" s="1" t="s">
        <v>95</v>
      </c>
      <c r="M1288" s="1" t="s">
        <v>5192</v>
      </c>
      <c r="N1288" s="1" t="s">
        <v>48</v>
      </c>
      <c r="O1288" s="1" t="s">
        <v>49</v>
      </c>
      <c r="P1288" s="1" t="s">
        <v>5193</v>
      </c>
    </row>
    <row r="1289" ht="14.25" customHeight="1">
      <c r="A1289" s="1" t="s">
        <v>5194</v>
      </c>
      <c r="B1289" s="1" t="s">
        <v>5195</v>
      </c>
      <c r="C1289" s="1" t="s">
        <v>39</v>
      </c>
      <c r="D1289" s="1">
        <v>19739.0</v>
      </c>
      <c r="E1289" s="1" t="s">
        <v>30</v>
      </c>
      <c r="F1289" s="1" t="s">
        <v>46</v>
      </c>
      <c r="G1289" s="1" t="s">
        <v>100</v>
      </c>
      <c r="H1289" s="2">
        <v>2851.0</v>
      </c>
      <c r="I1289" s="2">
        <v>5486.0</v>
      </c>
      <c r="J1289" s="1">
        <v>1996.0</v>
      </c>
      <c r="K1289" s="1">
        <v>4.0</v>
      </c>
      <c r="L1289" s="1" t="s">
        <v>32</v>
      </c>
      <c r="M1289" s="1" t="s">
        <v>5196</v>
      </c>
      <c r="N1289" s="1" t="s">
        <v>64</v>
      </c>
      <c r="O1289" s="1" t="s">
        <v>49</v>
      </c>
      <c r="P1289" s="1" t="s">
        <v>5197</v>
      </c>
    </row>
    <row r="1290" ht="14.25" customHeight="1">
      <c r="A1290" s="1" t="s">
        <v>5198</v>
      </c>
      <c r="B1290" s="1" t="s">
        <v>5199</v>
      </c>
      <c r="C1290" s="1" t="s">
        <v>53</v>
      </c>
      <c r="D1290" s="1">
        <v>15876.0</v>
      </c>
      <c r="E1290" s="1" t="s">
        <v>30</v>
      </c>
      <c r="F1290" s="1" t="s">
        <v>46</v>
      </c>
      <c r="G1290" s="1" t="s">
        <v>55</v>
      </c>
      <c r="H1290" s="2">
        <v>2713.0</v>
      </c>
      <c r="I1290" s="2">
        <v>7623.0</v>
      </c>
      <c r="J1290" s="1">
        <v>2011.0</v>
      </c>
      <c r="K1290" s="1">
        <v>109.0</v>
      </c>
      <c r="L1290" s="1" t="s">
        <v>22</v>
      </c>
      <c r="M1290" s="1" t="s">
        <v>5200</v>
      </c>
      <c r="N1290" s="1" t="s">
        <v>48</v>
      </c>
      <c r="O1290" s="1" t="s">
        <v>25</v>
      </c>
      <c r="P1290" s="1" t="s">
        <v>5201</v>
      </c>
    </row>
    <row r="1291" ht="14.25" customHeight="1">
      <c r="A1291" s="1" t="s">
        <v>5202</v>
      </c>
      <c r="B1291" s="1" t="s">
        <v>5203</v>
      </c>
      <c r="C1291" s="1" t="s">
        <v>76</v>
      </c>
      <c r="D1291" s="1">
        <v>65506.0</v>
      </c>
      <c r="E1291" s="1" t="s">
        <v>19</v>
      </c>
      <c r="F1291" s="1" t="s">
        <v>46</v>
      </c>
      <c r="G1291" s="1" t="s">
        <v>100</v>
      </c>
      <c r="H1291" s="2">
        <v>2004.0</v>
      </c>
      <c r="I1291" s="2">
        <v>6301.0</v>
      </c>
      <c r="J1291" s="1">
        <v>2006.0</v>
      </c>
      <c r="K1291" s="1">
        <v>42.0</v>
      </c>
      <c r="L1291" s="1" t="s">
        <v>32</v>
      </c>
      <c r="M1291" s="1" t="s">
        <v>5204</v>
      </c>
      <c r="N1291" s="1" t="s">
        <v>34</v>
      </c>
      <c r="O1291" s="1" t="s">
        <v>25</v>
      </c>
      <c r="P1291" s="1" t="s">
        <v>5205</v>
      </c>
    </row>
    <row r="1292" ht="14.25" customHeight="1">
      <c r="A1292" s="1" t="s">
        <v>5206</v>
      </c>
      <c r="B1292" s="1" t="s">
        <v>5207</v>
      </c>
      <c r="C1292" s="1" t="s">
        <v>29</v>
      </c>
      <c r="D1292" s="1">
        <v>17784.0</v>
      </c>
      <c r="E1292" s="1" t="s">
        <v>77</v>
      </c>
      <c r="F1292" s="1" t="s">
        <v>20</v>
      </c>
      <c r="G1292" s="1" t="s">
        <v>21</v>
      </c>
      <c r="H1292" s="2">
        <v>1868.0</v>
      </c>
      <c r="I1292" s="2">
        <v>7761.0</v>
      </c>
      <c r="J1292" s="1">
        <v>2016.0</v>
      </c>
      <c r="K1292" s="1">
        <v>120.0</v>
      </c>
      <c r="L1292" s="1" t="s">
        <v>95</v>
      </c>
      <c r="M1292" s="1" t="s">
        <v>5208</v>
      </c>
      <c r="N1292" s="1" t="s">
        <v>48</v>
      </c>
      <c r="O1292" s="1" t="s">
        <v>35</v>
      </c>
      <c r="P1292" s="1" t="s">
        <v>5209</v>
      </c>
    </row>
    <row r="1293" ht="14.25" customHeight="1">
      <c r="A1293" s="1" t="s">
        <v>5210</v>
      </c>
      <c r="B1293" s="1" t="s">
        <v>5211</v>
      </c>
      <c r="C1293" s="1" t="s">
        <v>18</v>
      </c>
      <c r="D1293" s="1">
        <v>49271.0</v>
      </c>
      <c r="E1293" s="1" t="s">
        <v>19</v>
      </c>
      <c r="F1293" s="1" t="s">
        <v>54</v>
      </c>
      <c r="G1293" s="1" t="s">
        <v>31</v>
      </c>
      <c r="H1293" s="2">
        <v>1854.0</v>
      </c>
      <c r="I1293" s="2">
        <v>4742.0</v>
      </c>
      <c r="J1293" s="1">
        <v>1958.0</v>
      </c>
      <c r="K1293" s="1">
        <v>12.0</v>
      </c>
      <c r="L1293" s="1" t="s">
        <v>32</v>
      </c>
      <c r="M1293" s="1" t="s">
        <v>5212</v>
      </c>
      <c r="N1293" s="1" t="s">
        <v>48</v>
      </c>
      <c r="O1293" s="1" t="s">
        <v>49</v>
      </c>
      <c r="P1293" s="1" t="s">
        <v>5213</v>
      </c>
    </row>
    <row r="1294" ht="14.25" customHeight="1">
      <c r="A1294" s="1" t="s">
        <v>5214</v>
      </c>
      <c r="B1294" s="1" t="s">
        <v>5215</v>
      </c>
      <c r="C1294" s="1" t="s">
        <v>39</v>
      </c>
      <c r="D1294" s="1">
        <v>48167.0</v>
      </c>
      <c r="E1294" s="1" t="s">
        <v>60</v>
      </c>
      <c r="F1294" s="1" t="s">
        <v>54</v>
      </c>
      <c r="G1294" s="1" t="s">
        <v>55</v>
      </c>
      <c r="H1294" s="2">
        <v>3848.0</v>
      </c>
      <c r="I1294" s="2">
        <v>9495.0</v>
      </c>
      <c r="J1294" s="1">
        <v>1986.0</v>
      </c>
      <c r="K1294" s="1">
        <v>24.0</v>
      </c>
      <c r="L1294" s="1" t="s">
        <v>32</v>
      </c>
      <c r="M1294" s="1" t="s">
        <v>5216</v>
      </c>
      <c r="N1294" s="1" t="s">
        <v>64</v>
      </c>
      <c r="O1294" s="1" t="s">
        <v>25</v>
      </c>
      <c r="P1294" s="1" t="s">
        <v>5217</v>
      </c>
    </row>
    <row r="1295" ht="14.25" customHeight="1">
      <c r="A1295" s="1" t="s">
        <v>5218</v>
      </c>
      <c r="B1295" s="1" t="s">
        <v>5219</v>
      </c>
      <c r="C1295" s="1" t="s">
        <v>76</v>
      </c>
      <c r="D1295" s="1">
        <v>53010.0</v>
      </c>
      <c r="E1295" s="1" t="s">
        <v>60</v>
      </c>
      <c r="F1295" s="1" t="s">
        <v>20</v>
      </c>
      <c r="G1295" s="1" t="s">
        <v>21</v>
      </c>
      <c r="H1295" s="2">
        <v>2445.0</v>
      </c>
      <c r="I1295" s="2">
        <v>9036.0</v>
      </c>
      <c r="J1295" s="1">
        <v>1950.0</v>
      </c>
      <c r="K1295" s="1">
        <v>4.0</v>
      </c>
      <c r="L1295" s="1" t="s">
        <v>32</v>
      </c>
      <c r="M1295" s="1" t="s">
        <v>5220</v>
      </c>
      <c r="N1295" s="1" t="s">
        <v>64</v>
      </c>
      <c r="O1295" s="1" t="s">
        <v>25</v>
      </c>
      <c r="P1295" s="1" t="s">
        <v>5221</v>
      </c>
    </row>
    <row r="1296" ht="14.25" customHeight="1">
      <c r="A1296" s="1" t="s">
        <v>5222</v>
      </c>
      <c r="B1296" s="1" t="s">
        <v>5223</v>
      </c>
      <c r="C1296" s="1" t="s">
        <v>29</v>
      </c>
      <c r="D1296" s="1">
        <v>87814.0</v>
      </c>
      <c r="E1296" s="1" t="s">
        <v>40</v>
      </c>
      <c r="F1296" s="1" t="s">
        <v>54</v>
      </c>
      <c r="G1296" s="1" t="s">
        <v>21</v>
      </c>
      <c r="H1296" s="2">
        <v>3758.0</v>
      </c>
      <c r="I1296" s="2">
        <v>9938.0</v>
      </c>
      <c r="J1296" s="1">
        <v>1982.0</v>
      </c>
      <c r="K1296" s="1">
        <v>96.0</v>
      </c>
      <c r="L1296" s="1" t="s">
        <v>62</v>
      </c>
      <c r="M1296" s="1" t="s">
        <v>5224</v>
      </c>
      <c r="N1296" s="1" t="s">
        <v>34</v>
      </c>
      <c r="O1296" s="1" t="s">
        <v>25</v>
      </c>
      <c r="P1296" s="1" t="s">
        <v>5225</v>
      </c>
    </row>
    <row r="1297" ht="14.25" customHeight="1">
      <c r="A1297" s="1" t="s">
        <v>5226</v>
      </c>
      <c r="B1297" s="1" t="s">
        <v>5227</v>
      </c>
      <c r="C1297" s="1" t="s">
        <v>53</v>
      </c>
      <c r="D1297" s="1">
        <v>11524.0</v>
      </c>
      <c r="E1297" s="1" t="s">
        <v>30</v>
      </c>
      <c r="F1297" s="1" t="s">
        <v>54</v>
      </c>
      <c r="G1297" s="1" t="s">
        <v>55</v>
      </c>
      <c r="H1297" s="2">
        <v>3857.0</v>
      </c>
      <c r="I1297" s="2">
        <v>7562.0</v>
      </c>
      <c r="J1297" s="1">
        <v>1981.0</v>
      </c>
      <c r="K1297" s="1">
        <v>71.0</v>
      </c>
      <c r="L1297" s="1" t="s">
        <v>32</v>
      </c>
      <c r="M1297" s="1" t="s">
        <v>5228</v>
      </c>
      <c r="N1297" s="1" t="s">
        <v>43</v>
      </c>
      <c r="O1297" s="1" t="s">
        <v>25</v>
      </c>
      <c r="P1297" s="1" t="s">
        <v>5229</v>
      </c>
    </row>
    <row r="1298" ht="14.25" customHeight="1">
      <c r="A1298" s="1" t="s">
        <v>5230</v>
      </c>
      <c r="B1298" s="1" t="s">
        <v>5231</v>
      </c>
      <c r="C1298" s="1" t="s">
        <v>76</v>
      </c>
      <c r="D1298" s="1">
        <v>48164.0</v>
      </c>
      <c r="E1298" s="1" t="s">
        <v>30</v>
      </c>
      <c r="F1298" s="1" t="s">
        <v>20</v>
      </c>
      <c r="G1298" s="1" t="s">
        <v>55</v>
      </c>
      <c r="H1298" s="2">
        <v>1477.0</v>
      </c>
      <c r="I1298" s="2">
        <v>9667.0</v>
      </c>
      <c r="J1298" s="1">
        <v>1983.0</v>
      </c>
      <c r="K1298" s="1">
        <v>48.0</v>
      </c>
      <c r="L1298" s="1" t="s">
        <v>22</v>
      </c>
      <c r="M1298" s="1" t="s">
        <v>5232</v>
      </c>
      <c r="N1298" s="1" t="s">
        <v>34</v>
      </c>
      <c r="O1298" s="1" t="s">
        <v>49</v>
      </c>
      <c r="P1298" s="1" t="s">
        <v>5233</v>
      </c>
    </row>
    <row r="1299" ht="14.25" customHeight="1">
      <c r="A1299" s="1" t="s">
        <v>5234</v>
      </c>
      <c r="B1299" s="1" t="s">
        <v>5235</v>
      </c>
      <c r="C1299" s="1" t="s">
        <v>29</v>
      </c>
      <c r="D1299" s="1">
        <v>85253.0</v>
      </c>
      <c r="E1299" s="1" t="s">
        <v>40</v>
      </c>
      <c r="F1299" s="1" t="s">
        <v>46</v>
      </c>
      <c r="G1299" s="1" t="s">
        <v>31</v>
      </c>
      <c r="H1299" s="2">
        <v>2862.0</v>
      </c>
      <c r="I1299" s="2">
        <v>1524.0</v>
      </c>
      <c r="J1299" s="1">
        <v>2018.0</v>
      </c>
      <c r="K1299" s="1">
        <v>55.0</v>
      </c>
      <c r="L1299" s="1" t="s">
        <v>32</v>
      </c>
      <c r="M1299" s="1" t="s">
        <v>5236</v>
      </c>
      <c r="N1299" s="1" t="s">
        <v>64</v>
      </c>
      <c r="O1299" s="1" t="s">
        <v>25</v>
      </c>
      <c r="P1299" s="1" t="s">
        <v>5237</v>
      </c>
    </row>
    <row r="1300" ht="14.25" customHeight="1">
      <c r="A1300" s="1" t="s">
        <v>5238</v>
      </c>
      <c r="B1300" s="1" t="s">
        <v>5239</v>
      </c>
      <c r="C1300" s="1" t="s">
        <v>29</v>
      </c>
      <c r="D1300" s="1">
        <v>72813.0</v>
      </c>
      <c r="E1300" s="1" t="s">
        <v>77</v>
      </c>
      <c r="F1300" s="1" t="s">
        <v>46</v>
      </c>
      <c r="G1300" s="1" t="s">
        <v>55</v>
      </c>
      <c r="H1300" s="2">
        <v>752.0</v>
      </c>
      <c r="I1300" s="2">
        <v>6856.0</v>
      </c>
      <c r="J1300" s="1">
        <v>1963.0</v>
      </c>
      <c r="K1300" s="1">
        <v>83.0</v>
      </c>
      <c r="L1300" s="1" t="s">
        <v>95</v>
      </c>
      <c r="M1300" s="1" t="s">
        <v>5240</v>
      </c>
      <c r="N1300" s="1" t="s">
        <v>64</v>
      </c>
      <c r="O1300" s="1" t="s">
        <v>25</v>
      </c>
      <c r="P1300" s="1" t="s">
        <v>5241</v>
      </c>
    </row>
    <row r="1301" ht="14.25" customHeight="1">
      <c r="A1301" s="1" t="s">
        <v>5242</v>
      </c>
      <c r="B1301" s="1" t="s">
        <v>5243</v>
      </c>
      <c r="C1301" s="1" t="s">
        <v>76</v>
      </c>
      <c r="D1301" s="1">
        <v>40966.0</v>
      </c>
      <c r="E1301" s="1" t="s">
        <v>30</v>
      </c>
      <c r="F1301" s="1" t="s">
        <v>61</v>
      </c>
      <c r="G1301" s="1" t="s">
        <v>55</v>
      </c>
      <c r="H1301" s="2">
        <v>1558.0</v>
      </c>
      <c r="I1301" s="2">
        <v>4276.0</v>
      </c>
      <c r="J1301" s="1">
        <v>1969.0</v>
      </c>
      <c r="K1301" s="1">
        <v>98.0</v>
      </c>
      <c r="L1301" s="1" t="s">
        <v>95</v>
      </c>
      <c r="M1301" s="1" t="s">
        <v>5244</v>
      </c>
      <c r="N1301" s="1" t="s">
        <v>34</v>
      </c>
      <c r="O1301" s="1" t="s">
        <v>49</v>
      </c>
      <c r="P1301" s="1" t="s">
        <v>5245</v>
      </c>
    </row>
    <row r="1302" ht="14.25" customHeight="1">
      <c r="A1302" s="1" t="s">
        <v>5246</v>
      </c>
      <c r="B1302" s="1" t="s">
        <v>5247</v>
      </c>
      <c r="C1302" s="1" t="s">
        <v>76</v>
      </c>
      <c r="D1302" s="1">
        <v>88991.0</v>
      </c>
      <c r="E1302" s="1" t="s">
        <v>60</v>
      </c>
      <c r="F1302" s="1" t="s">
        <v>54</v>
      </c>
      <c r="G1302" s="1" t="s">
        <v>100</v>
      </c>
      <c r="H1302" s="2">
        <v>3449.0</v>
      </c>
      <c r="I1302" s="2">
        <v>4147.0</v>
      </c>
      <c r="J1302" s="1">
        <v>1959.0</v>
      </c>
      <c r="K1302" s="1">
        <v>59.0</v>
      </c>
      <c r="L1302" s="1" t="s">
        <v>32</v>
      </c>
      <c r="M1302" s="1" t="s">
        <v>5248</v>
      </c>
      <c r="N1302" s="1" t="s">
        <v>43</v>
      </c>
      <c r="O1302" s="1" t="s">
        <v>35</v>
      </c>
      <c r="P1302" s="1" t="s">
        <v>5249</v>
      </c>
    </row>
    <row r="1303" ht="14.25" customHeight="1">
      <c r="A1303" s="1" t="s">
        <v>5250</v>
      </c>
      <c r="B1303" s="1" t="s">
        <v>5251</v>
      </c>
      <c r="C1303" s="1" t="s">
        <v>39</v>
      </c>
      <c r="D1303" s="1">
        <v>46838.0</v>
      </c>
      <c r="E1303" s="1" t="s">
        <v>60</v>
      </c>
      <c r="F1303" s="1" t="s">
        <v>46</v>
      </c>
      <c r="G1303" s="1" t="s">
        <v>100</v>
      </c>
      <c r="H1303" s="2">
        <v>3489.0</v>
      </c>
      <c r="I1303" s="2">
        <v>8552.0</v>
      </c>
      <c r="J1303" s="1">
        <v>2019.0</v>
      </c>
      <c r="K1303" s="1">
        <v>109.0</v>
      </c>
      <c r="L1303" s="1" t="s">
        <v>62</v>
      </c>
      <c r="M1303" s="1" t="s">
        <v>5252</v>
      </c>
      <c r="N1303" s="1" t="s">
        <v>64</v>
      </c>
      <c r="O1303" s="1" t="s">
        <v>25</v>
      </c>
      <c r="P1303" s="1" t="s">
        <v>5253</v>
      </c>
    </row>
    <row r="1304" ht="14.25" customHeight="1">
      <c r="A1304" s="1" t="s">
        <v>5254</v>
      </c>
      <c r="B1304" s="1" t="s">
        <v>5255</v>
      </c>
      <c r="C1304" s="1" t="s">
        <v>29</v>
      </c>
      <c r="D1304" s="1">
        <v>65816.0</v>
      </c>
      <c r="E1304" s="1" t="s">
        <v>40</v>
      </c>
      <c r="F1304" s="1" t="s">
        <v>46</v>
      </c>
      <c r="G1304" s="1" t="s">
        <v>100</v>
      </c>
      <c r="H1304" s="2">
        <v>3047.0</v>
      </c>
      <c r="I1304" s="2">
        <v>4867.0</v>
      </c>
      <c r="J1304" s="1">
        <v>1980.0</v>
      </c>
      <c r="K1304" s="1">
        <v>29.0</v>
      </c>
      <c r="L1304" s="1" t="s">
        <v>95</v>
      </c>
      <c r="M1304" s="1" t="s">
        <v>5256</v>
      </c>
      <c r="N1304" s="1" t="s">
        <v>24</v>
      </c>
      <c r="O1304" s="1" t="s">
        <v>35</v>
      </c>
      <c r="P1304" s="1" t="s">
        <v>5257</v>
      </c>
    </row>
    <row r="1305" ht="14.25" customHeight="1">
      <c r="A1305" s="1" t="s">
        <v>5258</v>
      </c>
      <c r="B1305" s="1" t="s">
        <v>5259</v>
      </c>
      <c r="C1305" s="1" t="s">
        <v>53</v>
      </c>
      <c r="D1305" s="1">
        <v>23918.0</v>
      </c>
      <c r="E1305" s="1" t="s">
        <v>30</v>
      </c>
      <c r="F1305" s="1" t="s">
        <v>41</v>
      </c>
      <c r="G1305" s="1" t="s">
        <v>31</v>
      </c>
      <c r="H1305" s="2">
        <v>3726.0</v>
      </c>
      <c r="I1305" s="2">
        <v>9658.0</v>
      </c>
      <c r="J1305" s="1">
        <v>1979.0</v>
      </c>
      <c r="K1305" s="1">
        <v>18.0</v>
      </c>
      <c r="L1305" s="1" t="s">
        <v>62</v>
      </c>
      <c r="M1305" s="1" t="s">
        <v>5260</v>
      </c>
      <c r="N1305" s="1" t="s">
        <v>24</v>
      </c>
      <c r="O1305" s="1" t="s">
        <v>25</v>
      </c>
      <c r="P1305" s="1" t="s">
        <v>5261</v>
      </c>
    </row>
    <row r="1306" ht="14.25" customHeight="1">
      <c r="A1306" s="1" t="s">
        <v>5262</v>
      </c>
      <c r="B1306" s="1" t="s">
        <v>5263</v>
      </c>
      <c r="C1306" s="1" t="s">
        <v>53</v>
      </c>
      <c r="D1306" s="1">
        <v>82076.0</v>
      </c>
      <c r="E1306" s="1" t="s">
        <v>30</v>
      </c>
      <c r="F1306" s="1" t="s">
        <v>20</v>
      </c>
      <c r="G1306" s="1" t="s">
        <v>100</v>
      </c>
      <c r="H1306" s="2">
        <v>615.0</v>
      </c>
      <c r="I1306" s="2">
        <v>6583.0</v>
      </c>
      <c r="J1306" s="1">
        <v>2003.0</v>
      </c>
      <c r="K1306" s="1">
        <v>106.0</v>
      </c>
      <c r="L1306" s="1" t="s">
        <v>32</v>
      </c>
      <c r="M1306" s="1" t="s">
        <v>5264</v>
      </c>
      <c r="N1306" s="1" t="s">
        <v>34</v>
      </c>
      <c r="O1306" s="1" t="s">
        <v>35</v>
      </c>
      <c r="P1306" s="1" t="s">
        <v>5265</v>
      </c>
    </row>
    <row r="1307" ht="14.25" customHeight="1">
      <c r="A1307" s="1" t="s">
        <v>5266</v>
      </c>
      <c r="B1307" s="1" t="s">
        <v>5267</v>
      </c>
      <c r="C1307" s="1" t="s">
        <v>53</v>
      </c>
      <c r="D1307" s="1">
        <v>14373.0</v>
      </c>
      <c r="E1307" s="1" t="s">
        <v>40</v>
      </c>
      <c r="F1307" s="1" t="s">
        <v>46</v>
      </c>
      <c r="G1307" s="1" t="s">
        <v>31</v>
      </c>
      <c r="H1307" s="2">
        <v>3782.0</v>
      </c>
      <c r="I1307" s="2">
        <v>3790.0</v>
      </c>
      <c r="J1307" s="1">
        <v>2011.0</v>
      </c>
      <c r="K1307" s="1">
        <v>105.0</v>
      </c>
      <c r="L1307" s="1" t="s">
        <v>32</v>
      </c>
      <c r="M1307" s="1" t="s">
        <v>5268</v>
      </c>
      <c r="N1307" s="1" t="s">
        <v>34</v>
      </c>
      <c r="O1307" s="1" t="s">
        <v>25</v>
      </c>
      <c r="P1307" s="1" t="s">
        <v>5269</v>
      </c>
    </row>
    <row r="1308" ht="14.25" customHeight="1">
      <c r="A1308" s="1" t="s">
        <v>5270</v>
      </c>
      <c r="B1308" s="1" t="s">
        <v>5271</v>
      </c>
      <c r="C1308" s="1" t="s">
        <v>29</v>
      </c>
      <c r="D1308" s="1">
        <v>96198.0</v>
      </c>
      <c r="E1308" s="1" t="s">
        <v>30</v>
      </c>
      <c r="F1308" s="1" t="s">
        <v>54</v>
      </c>
      <c r="G1308" s="1" t="s">
        <v>21</v>
      </c>
      <c r="H1308" s="2">
        <v>2701.0</v>
      </c>
      <c r="I1308" s="2">
        <v>7568.0</v>
      </c>
      <c r="J1308" s="1">
        <v>1986.0</v>
      </c>
      <c r="K1308" s="1">
        <v>11.0</v>
      </c>
      <c r="L1308" s="1" t="s">
        <v>95</v>
      </c>
      <c r="M1308" s="1" t="s">
        <v>5272</v>
      </c>
      <c r="N1308" s="1" t="s">
        <v>24</v>
      </c>
      <c r="O1308" s="1" t="s">
        <v>35</v>
      </c>
      <c r="P1308" s="1" t="s">
        <v>5273</v>
      </c>
    </row>
    <row r="1309" ht="14.25" customHeight="1">
      <c r="A1309" s="1" t="s">
        <v>5274</v>
      </c>
      <c r="B1309" s="1" t="s">
        <v>5275</v>
      </c>
      <c r="C1309" s="1" t="s">
        <v>18</v>
      </c>
      <c r="D1309" s="1">
        <v>49755.0</v>
      </c>
      <c r="E1309" s="1" t="s">
        <v>60</v>
      </c>
      <c r="F1309" s="1" t="s">
        <v>20</v>
      </c>
      <c r="G1309" s="1" t="s">
        <v>31</v>
      </c>
      <c r="H1309" s="2">
        <v>3646.0</v>
      </c>
      <c r="I1309" s="2">
        <v>1948.0</v>
      </c>
      <c r="J1309" s="1">
        <v>1978.0</v>
      </c>
      <c r="K1309" s="1">
        <v>58.0</v>
      </c>
      <c r="L1309" s="1" t="s">
        <v>95</v>
      </c>
      <c r="M1309" s="1" t="s">
        <v>5276</v>
      </c>
      <c r="N1309" s="1" t="s">
        <v>48</v>
      </c>
      <c r="O1309" s="1" t="s">
        <v>35</v>
      </c>
      <c r="P1309" s="1" t="s">
        <v>5277</v>
      </c>
    </row>
    <row r="1310" ht="14.25" customHeight="1">
      <c r="A1310" s="1" t="s">
        <v>5278</v>
      </c>
      <c r="B1310" s="1" t="s">
        <v>5279</v>
      </c>
      <c r="C1310" s="1" t="s">
        <v>29</v>
      </c>
      <c r="D1310" s="1">
        <v>59956.0</v>
      </c>
      <c r="E1310" s="1" t="s">
        <v>77</v>
      </c>
      <c r="F1310" s="1" t="s">
        <v>20</v>
      </c>
      <c r="G1310" s="1" t="s">
        <v>31</v>
      </c>
      <c r="H1310" s="2">
        <v>1690.0</v>
      </c>
      <c r="I1310" s="2">
        <v>3441.0</v>
      </c>
      <c r="J1310" s="1">
        <v>1995.0</v>
      </c>
      <c r="K1310" s="1">
        <v>42.0</v>
      </c>
      <c r="L1310" s="1" t="s">
        <v>22</v>
      </c>
      <c r="M1310" s="1" t="s">
        <v>5280</v>
      </c>
      <c r="N1310" s="1" t="s">
        <v>48</v>
      </c>
      <c r="O1310" s="1" t="s">
        <v>25</v>
      </c>
      <c r="P1310" s="1" t="s">
        <v>5281</v>
      </c>
    </row>
    <row r="1311" ht="14.25" customHeight="1">
      <c r="A1311" s="1" t="s">
        <v>5282</v>
      </c>
      <c r="B1311" s="1" t="s">
        <v>5283</v>
      </c>
      <c r="C1311" s="1" t="s">
        <v>53</v>
      </c>
      <c r="D1311" s="1">
        <v>33637.0</v>
      </c>
      <c r="E1311" s="1" t="s">
        <v>40</v>
      </c>
      <c r="F1311" s="1" t="s">
        <v>94</v>
      </c>
      <c r="G1311" s="1" t="s">
        <v>31</v>
      </c>
      <c r="H1311" s="2">
        <v>774.0</v>
      </c>
      <c r="I1311" s="2">
        <v>1924.0</v>
      </c>
      <c r="J1311" s="1">
        <v>1951.0</v>
      </c>
      <c r="K1311" s="1">
        <v>107.0</v>
      </c>
      <c r="L1311" s="1" t="s">
        <v>62</v>
      </c>
      <c r="M1311" s="1" t="s">
        <v>5284</v>
      </c>
      <c r="N1311" s="1" t="s">
        <v>43</v>
      </c>
      <c r="O1311" s="1" t="s">
        <v>35</v>
      </c>
      <c r="P1311" s="1" t="s">
        <v>5285</v>
      </c>
    </row>
    <row r="1312" ht="14.25" customHeight="1">
      <c r="A1312" s="1" t="s">
        <v>5286</v>
      </c>
      <c r="B1312" s="1" t="s">
        <v>5287</v>
      </c>
      <c r="C1312" s="1" t="s">
        <v>39</v>
      </c>
      <c r="D1312" s="1">
        <v>62358.0</v>
      </c>
      <c r="E1312" s="1" t="s">
        <v>60</v>
      </c>
      <c r="F1312" s="1" t="s">
        <v>61</v>
      </c>
      <c r="G1312" s="1" t="s">
        <v>100</v>
      </c>
      <c r="H1312" s="2">
        <v>702.0</v>
      </c>
      <c r="I1312" s="2">
        <v>3901.0</v>
      </c>
      <c r="J1312" s="1">
        <v>2001.0</v>
      </c>
      <c r="K1312" s="1">
        <v>44.0</v>
      </c>
      <c r="L1312" s="1" t="s">
        <v>95</v>
      </c>
      <c r="M1312" s="1" t="s">
        <v>5288</v>
      </c>
      <c r="N1312" s="1" t="s">
        <v>48</v>
      </c>
      <c r="O1312" s="1" t="s">
        <v>49</v>
      </c>
      <c r="P1312" s="1" t="s">
        <v>5289</v>
      </c>
    </row>
    <row r="1313" ht="14.25" customHeight="1">
      <c r="A1313" s="1" t="s">
        <v>5290</v>
      </c>
      <c r="B1313" s="1" t="s">
        <v>5291</v>
      </c>
      <c r="C1313" s="1" t="s">
        <v>53</v>
      </c>
      <c r="D1313" s="1">
        <v>73560.0</v>
      </c>
      <c r="E1313" s="1" t="s">
        <v>40</v>
      </c>
      <c r="F1313" s="1" t="s">
        <v>61</v>
      </c>
      <c r="G1313" s="1" t="s">
        <v>100</v>
      </c>
      <c r="H1313" s="2">
        <v>2289.0</v>
      </c>
      <c r="I1313" s="2">
        <v>2793.0</v>
      </c>
      <c r="J1313" s="1">
        <v>1957.0</v>
      </c>
      <c r="K1313" s="1">
        <v>22.0</v>
      </c>
      <c r="L1313" s="1" t="s">
        <v>32</v>
      </c>
      <c r="M1313" s="1" t="s">
        <v>5292</v>
      </c>
      <c r="N1313" s="1" t="s">
        <v>24</v>
      </c>
      <c r="O1313" s="1" t="s">
        <v>35</v>
      </c>
      <c r="P1313" s="1" t="s">
        <v>5293</v>
      </c>
    </row>
    <row r="1314" ht="14.25" customHeight="1">
      <c r="A1314" s="1" t="s">
        <v>5294</v>
      </c>
      <c r="B1314" s="1" t="s">
        <v>5295</v>
      </c>
      <c r="C1314" s="1" t="s">
        <v>76</v>
      </c>
      <c r="D1314" s="1">
        <v>17440.0</v>
      </c>
      <c r="E1314" s="1" t="s">
        <v>60</v>
      </c>
      <c r="F1314" s="1" t="s">
        <v>94</v>
      </c>
      <c r="G1314" s="1" t="s">
        <v>55</v>
      </c>
      <c r="H1314" s="2">
        <v>1461.0</v>
      </c>
      <c r="I1314" s="2">
        <v>2453.0</v>
      </c>
      <c r="J1314" s="1">
        <v>2001.0</v>
      </c>
      <c r="K1314" s="1">
        <v>62.0</v>
      </c>
      <c r="L1314" s="1" t="s">
        <v>95</v>
      </c>
      <c r="M1314" s="1" t="s">
        <v>5296</v>
      </c>
      <c r="N1314" s="1" t="s">
        <v>43</v>
      </c>
      <c r="O1314" s="1" t="s">
        <v>35</v>
      </c>
      <c r="P1314" s="1" t="s">
        <v>5297</v>
      </c>
    </row>
    <row r="1315" ht="14.25" customHeight="1">
      <c r="A1315" s="1" t="s">
        <v>5298</v>
      </c>
      <c r="B1315" s="1" t="s">
        <v>5299</v>
      </c>
      <c r="C1315" s="1" t="s">
        <v>29</v>
      </c>
      <c r="D1315" s="1">
        <v>11996.0</v>
      </c>
      <c r="E1315" s="1" t="s">
        <v>30</v>
      </c>
      <c r="F1315" s="1" t="s">
        <v>61</v>
      </c>
      <c r="G1315" s="1" t="s">
        <v>55</v>
      </c>
      <c r="H1315" s="2">
        <v>1398.0</v>
      </c>
      <c r="I1315" s="2">
        <v>8381.0</v>
      </c>
      <c r="J1315" s="1">
        <v>1962.0</v>
      </c>
      <c r="K1315" s="1">
        <v>47.0</v>
      </c>
      <c r="L1315" s="1" t="s">
        <v>95</v>
      </c>
      <c r="M1315" s="1" t="s">
        <v>5300</v>
      </c>
      <c r="N1315" s="1" t="s">
        <v>48</v>
      </c>
      <c r="O1315" s="1" t="s">
        <v>49</v>
      </c>
      <c r="P1315" s="1" t="s">
        <v>5301</v>
      </c>
    </row>
    <row r="1316" ht="14.25" customHeight="1">
      <c r="A1316" s="1" t="s">
        <v>5302</v>
      </c>
      <c r="B1316" s="1" t="s">
        <v>5303</v>
      </c>
      <c r="C1316" s="1" t="s">
        <v>76</v>
      </c>
      <c r="D1316" s="1">
        <v>13587.0</v>
      </c>
      <c r="E1316" s="1" t="s">
        <v>30</v>
      </c>
      <c r="F1316" s="1" t="s">
        <v>54</v>
      </c>
      <c r="G1316" s="1" t="s">
        <v>55</v>
      </c>
      <c r="H1316" s="2">
        <v>2764.0</v>
      </c>
      <c r="I1316" s="2">
        <v>6951.0</v>
      </c>
      <c r="J1316" s="1">
        <v>2013.0</v>
      </c>
      <c r="K1316" s="1">
        <v>20.0</v>
      </c>
      <c r="L1316" s="1" t="s">
        <v>22</v>
      </c>
      <c r="M1316" s="1" t="s">
        <v>5304</v>
      </c>
      <c r="N1316" s="1" t="s">
        <v>24</v>
      </c>
      <c r="O1316" s="1" t="s">
        <v>35</v>
      </c>
      <c r="P1316" s="1" t="s">
        <v>5305</v>
      </c>
    </row>
    <row r="1317" ht="14.25" customHeight="1">
      <c r="A1317" s="1" t="s">
        <v>5306</v>
      </c>
      <c r="B1317" s="1" t="s">
        <v>5307</v>
      </c>
      <c r="C1317" s="1" t="s">
        <v>53</v>
      </c>
      <c r="D1317" s="1">
        <v>95216.0</v>
      </c>
      <c r="E1317" s="1" t="s">
        <v>30</v>
      </c>
      <c r="F1317" s="1" t="s">
        <v>61</v>
      </c>
      <c r="G1317" s="1" t="s">
        <v>100</v>
      </c>
      <c r="H1317" s="2">
        <v>3979.0</v>
      </c>
      <c r="I1317" s="2">
        <v>3457.0</v>
      </c>
      <c r="J1317" s="1">
        <v>1971.0</v>
      </c>
      <c r="K1317" s="1">
        <v>75.0</v>
      </c>
      <c r="L1317" s="1" t="s">
        <v>141</v>
      </c>
      <c r="M1317" s="1" t="s">
        <v>5308</v>
      </c>
      <c r="N1317" s="1" t="s">
        <v>48</v>
      </c>
      <c r="O1317" s="1" t="s">
        <v>25</v>
      </c>
      <c r="P1317" s="1" t="s">
        <v>5309</v>
      </c>
    </row>
    <row r="1318" ht="14.25" customHeight="1">
      <c r="A1318" s="1" t="s">
        <v>5310</v>
      </c>
      <c r="B1318" s="1" t="s">
        <v>5311</v>
      </c>
      <c r="C1318" s="1" t="s">
        <v>76</v>
      </c>
      <c r="D1318" s="1">
        <v>43522.0</v>
      </c>
      <c r="E1318" s="1" t="s">
        <v>60</v>
      </c>
      <c r="F1318" s="1" t="s">
        <v>94</v>
      </c>
      <c r="G1318" s="1" t="s">
        <v>31</v>
      </c>
      <c r="H1318" s="2">
        <v>1751.0</v>
      </c>
      <c r="I1318" s="2">
        <v>5062.0</v>
      </c>
      <c r="J1318" s="1">
        <v>1956.0</v>
      </c>
      <c r="K1318" s="1">
        <v>71.0</v>
      </c>
      <c r="L1318" s="1" t="s">
        <v>141</v>
      </c>
      <c r="M1318" s="1" t="s">
        <v>5312</v>
      </c>
      <c r="N1318" s="1" t="s">
        <v>43</v>
      </c>
      <c r="O1318" s="1" t="s">
        <v>35</v>
      </c>
      <c r="P1318" s="1" t="s">
        <v>5313</v>
      </c>
    </row>
    <row r="1319" ht="14.25" customHeight="1">
      <c r="A1319" s="1" t="s">
        <v>5314</v>
      </c>
      <c r="B1319" s="1" t="s">
        <v>5315</v>
      </c>
      <c r="C1319" s="1" t="s">
        <v>76</v>
      </c>
      <c r="D1319" s="1">
        <v>21785.0</v>
      </c>
      <c r="E1319" s="1" t="s">
        <v>40</v>
      </c>
      <c r="F1319" s="1" t="s">
        <v>41</v>
      </c>
      <c r="G1319" s="1" t="s">
        <v>31</v>
      </c>
      <c r="H1319" s="2">
        <v>885.0</v>
      </c>
      <c r="I1319" s="2">
        <v>2365.0</v>
      </c>
      <c r="J1319" s="1">
        <v>2010.0</v>
      </c>
      <c r="K1319" s="1">
        <v>119.0</v>
      </c>
      <c r="L1319" s="1" t="s">
        <v>32</v>
      </c>
      <c r="M1319" s="1" t="s">
        <v>5316</v>
      </c>
      <c r="N1319" s="1" t="s">
        <v>34</v>
      </c>
      <c r="O1319" s="1" t="s">
        <v>49</v>
      </c>
      <c r="P1319" s="1" t="s">
        <v>5317</v>
      </c>
    </row>
    <row r="1320" ht="14.25" customHeight="1">
      <c r="A1320" s="1" t="s">
        <v>5318</v>
      </c>
      <c r="B1320" s="1" t="s">
        <v>5319</v>
      </c>
      <c r="C1320" s="1" t="s">
        <v>39</v>
      </c>
      <c r="D1320" s="1">
        <v>36100.0</v>
      </c>
      <c r="E1320" s="1" t="s">
        <v>60</v>
      </c>
      <c r="F1320" s="1" t="s">
        <v>54</v>
      </c>
      <c r="G1320" s="1" t="s">
        <v>100</v>
      </c>
      <c r="H1320" s="2">
        <v>3665.0</v>
      </c>
      <c r="I1320" s="2">
        <v>8926.0</v>
      </c>
      <c r="J1320" s="1">
        <v>2001.0</v>
      </c>
      <c r="K1320" s="1">
        <v>12.0</v>
      </c>
      <c r="L1320" s="1" t="s">
        <v>141</v>
      </c>
      <c r="M1320" s="1" t="s">
        <v>5320</v>
      </c>
      <c r="N1320" s="1" t="s">
        <v>34</v>
      </c>
      <c r="O1320" s="1" t="s">
        <v>49</v>
      </c>
      <c r="P1320" s="1" t="s">
        <v>5321</v>
      </c>
    </row>
    <row r="1321" ht="14.25" customHeight="1">
      <c r="A1321" s="1" t="s">
        <v>5322</v>
      </c>
      <c r="B1321" s="1" t="s">
        <v>5323</v>
      </c>
      <c r="C1321" s="1" t="s">
        <v>39</v>
      </c>
      <c r="D1321" s="1">
        <v>65482.0</v>
      </c>
      <c r="E1321" s="1" t="s">
        <v>77</v>
      </c>
      <c r="F1321" s="1" t="s">
        <v>20</v>
      </c>
      <c r="G1321" s="1" t="s">
        <v>100</v>
      </c>
      <c r="H1321" s="2">
        <v>2358.0</v>
      </c>
      <c r="I1321" s="2">
        <v>6575.0</v>
      </c>
      <c r="J1321" s="1">
        <v>1967.0</v>
      </c>
      <c r="K1321" s="1">
        <v>52.0</v>
      </c>
      <c r="L1321" s="1" t="s">
        <v>22</v>
      </c>
      <c r="M1321" s="1" t="s">
        <v>5324</v>
      </c>
      <c r="N1321" s="1" t="s">
        <v>64</v>
      </c>
      <c r="O1321" s="1" t="s">
        <v>49</v>
      </c>
      <c r="P1321" s="1" t="s">
        <v>5325</v>
      </c>
    </row>
    <row r="1322" ht="14.25" customHeight="1">
      <c r="A1322" s="1" t="s">
        <v>5326</v>
      </c>
      <c r="B1322" s="1" t="s">
        <v>5327</v>
      </c>
      <c r="C1322" s="1" t="s">
        <v>39</v>
      </c>
      <c r="D1322" s="1">
        <v>51936.0</v>
      </c>
      <c r="E1322" s="1" t="s">
        <v>40</v>
      </c>
      <c r="F1322" s="1" t="s">
        <v>61</v>
      </c>
      <c r="G1322" s="1" t="s">
        <v>100</v>
      </c>
      <c r="H1322" s="2">
        <v>927.0</v>
      </c>
      <c r="I1322" s="2">
        <v>1536.0</v>
      </c>
      <c r="J1322" s="1">
        <v>2019.0</v>
      </c>
      <c r="K1322" s="1">
        <v>109.0</v>
      </c>
      <c r="L1322" s="1" t="s">
        <v>62</v>
      </c>
      <c r="M1322" s="1" t="s">
        <v>5328</v>
      </c>
      <c r="N1322" s="1" t="s">
        <v>34</v>
      </c>
      <c r="O1322" s="1" t="s">
        <v>35</v>
      </c>
      <c r="P1322" s="1" t="s">
        <v>5329</v>
      </c>
    </row>
    <row r="1323" ht="14.25" customHeight="1">
      <c r="A1323" s="1" t="s">
        <v>5330</v>
      </c>
      <c r="B1323" s="1" t="s">
        <v>5331</v>
      </c>
      <c r="C1323" s="1" t="s">
        <v>76</v>
      </c>
      <c r="D1323" s="1">
        <v>21798.0</v>
      </c>
      <c r="E1323" s="1" t="s">
        <v>30</v>
      </c>
      <c r="F1323" s="1" t="s">
        <v>20</v>
      </c>
      <c r="G1323" s="1" t="s">
        <v>100</v>
      </c>
      <c r="H1323" s="2">
        <v>1812.0</v>
      </c>
      <c r="I1323" s="2">
        <v>8167.0</v>
      </c>
      <c r="J1323" s="1">
        <v>1955.0</v>
      </c>
      <c r="K1323" s="1">
        <v>2.0</v>
      </c>
      <c r="L1323" s="1" t="s">
        <v>22</v>
      </c>
      <c r="M1323" s="1" t="s">
        <v>5332</v>
      </c>
      <c r="N1323" s="1" t="s">
        <v>43</v>
      </c>
      <c r="O1323" s="1" t="s">
        <v>35</v>
      </c>
      <c r="P1323" s="1" t="s">
        <v>5333</v>
      </c>
    </row>
    <row r="1324" ht="14.25" customHeight="1">
      <c r="A1324" s="1" t="s">
        <v>5334</v>
      </c>
      <c r="B1324" s="1" t="s">
        <v>5335</v>
      </c>
      <c r="C1324" s="1" t="s">
        <v>39</v>
      </c>
      <c r="D1324" s="1">
        <v>99327.0</v>
      </c>
      <c r="E1324" s="1" t="s">
        <v>19</v>
      </c>
      <c r="F1324" s="1" t="s">
        <v>46</v>
      </c>
      <c r="G1324" s="1" t="s">
        <v>31</v>
      </c>
      <c r="H1324" s="2">
        <v>3860.0</v>
      </c>
      <c r="I1324" s="2">
        <v>2508.0</v>
      </c>
      <c r="J1324" s="1">
        <v>1984.0</v>
      </c>
      <c r="K1324" s="1">
        <v>27.0</v>
      </c>
      <c r="L1324" s="1" t="s">
        <v>141</v>
      </c>
      <c r="M1324" s="1" t="s">
        <v>5336</v>
      </c>
      <c r="N1324" s="1" t="s">
        <v>43</v>
      </c>
      <c r="O1324" s="1" t="s">
        <v>35</v>
      </c>
      <c r="P1324" s="1" t="s">
        <v>5337</v>
      </c>
    </row>
    <row r="1325" ht="14.25" customHeight="1">
      <c r="A1325" s="1" t="s">
        <v>5338</v>
      </c>
      <c r="B1325" s="1" t="s">
        <v>5339</v>
      </c>
      <c r="C1325" s="1" t="s">
        <v>76</v>
      </c>
      <c r="D1325" s="1">
        <v>87961.0</v>
      </c>
      <c r="E1325" s="1" t="s">
        <v>60</v>
      </c>
      <c r="F1325" s="1" t="s">
        <v>94</v>
      </c>
      <c r="G1325" s="1" t="s">
        <v>31</v>
      </c>
      <c r="H1325" s="2">
        <v>2416.0</v>
      </c>
      <c r="I1325" s="2">
        <v>9064.0</v>
      </c>
      <c r="J1325" s="1">
        <v>2018.0</v>
      </c>
      <c r="K1325" s="1">
        <v>16.0</v>
      </c>
      <c r="L1325" s="1" t="s">
        <v>95</v>
      </c>
      <c r="M1325" s="1" t="s">
        <v>5340</v>
      </c>
      <c r="N1325" s="1" t="s">
        <v>64</v>
      </c>
      <c r="O1325" s="1" t="s">
        <v>35</v>
      </c>
      <c r="P1325" s="1" t="s">
        <v>5341</v>
      </c>
    </row>
    <row r="1326" ht="14.25" customHeight="1">
      <c r="A1326" s="1" t="s">
        <v>5342</v>
      </c>
      <c r="B1326" s="1" t="s">
        <v>5343</v>
      </c>
      <c r="C1326" s="1" t="s">
        <v>39</v>
      </c>
      <c r="D1326" s="1">
        <v>39459.0</v>
      </c>
      <c r="E1326" s="1" t="s">
        <v>60</v>
      </c>
      <c r="F1326" s="1" t="s">
        <v>41</v>
      </c>
      <c r="G1326" s="1" t="s">
        <v>21</v>
      </c>
      <c r="H1326" s="2">
        <v>2933.0</v>
      </c>
      <c r="I1326" s="2">
        <v>7195.0</v>
      </c>
      <c r="J1326" s="1">
        <v>1967.0</v>
      </c>
      <c r="K1326" s="1">
        <v>84.0</v>
      </c>
      <c r="L1326" s="1" t="s">
        <v>22</v>
      </c>
      <c r="M1326" s="1" t="s">
        <v>5344</v>
      </c>
      <c r="N1326" s="1" t="s">
        <v>48</v>
      </c>
      <c r="O1326" s="1" t="s">
        <v>35</v>
      </c>
      <c r="P1326" s="1" t="s">
        <v>5345</v>
      </c>
    </row>
    <row r="1327" ht="14.25" customHeight="1">
      <c r="A1327" s="1" t="s">
        <v>5346</v>
      </c>
      <c r="B1327" s="1" t="s">
        <v>5347</v>
      </c>
      <c r="C1327" s="1" t="s">
        <v>18</v>
      </c>
      <c r="D1327" s="1">
        <v>94807.0</v>
      </c>
      <c r="E1327" s="1" t="s">
        <v>77</v>
      </c>
      <c r="F1327" s="1" t="s">
        <v>54</v>
      </c>
      <c r="G1327" s="1" t="s">
        <v>31</v>
      </c>
      <c r="H1327" s="2">
        <v>684.0</v>
      </c>
      <c r="I1327" s="2">
        <v>6466.0</v>
      </c>
      <c r="J1327" s="1">
        <v>1985.0</v>
      </c>
      <c r="K1327" s="1">
        <v>72.0</v>
      </c>
      <c r="L1327" s="1" t="s">
        <v>22</v>
      </c>
      <c r="M1327" s="1" t="s">
        <v>5348</v>
      </c>
      <c r="N1327" s="1" t="s">
        <v>64</v>
      </c>
      <c r="O1327" s="1" t="s">
        <v>49</v>
      </c>
      <c r="P1327" s="1" t="s">
        <v>5349</v>
      </c>
    </row>
    <row r="1328" ht="14.25" customHeight="1">
      <c r="A1328" s="1" t="s">
        <v>5350</v>
      </c>
      <c r="B1328" s="1" t="s">
        <v>5351</v>
      </c>
      <c r="C1328" s="1" t="s">
        <v>76</v>
      </c>
      <c r="D1328" s="1">
        <v>74937.0</v>
      </c>
      <c r="E1328" s="1" t="s">
        <v>40</v>
      </c>
      <c r="F1328" s="1" t="s">
        <v>94</v>
      </c>
      <c r="G1328" s="1" t="s">
        <v>55</v>
      </c>
      <c r="H1328" s="2">
        <v>3874.0</v>
      </c>
      <c r="I1328" s="2">
        <v>3384.0</v>
      </c>
      <c r="J1328" s="1">
        <v>1956.0</v>
      </c>
      <c r="K1328" s="1">
        <v>13.0</v>
      </c>
      <c r="L1328" s="1" t="s">
        <v>141</v>
      </c>
      <c r="M1328" s="1" t="s">
        <v>5352</v>
      </c>
      <c r="N1328" s="1" t="s">
        <v>34</v>
      </c>
      <c r="O1328" s="1" t="s">
        <v>25</v>
      </c>
      <c r="P1328" s="1" t="s">
        <v>5353</v>
      </c>
    </row>
    <row r="1329" ht="14.25" customHeight="1">
      <c r="A1329" s="1" t="s">
        <v>5354</v>
      </c>
      <c r="B1329" s="1" t="s">
        <v>5355</v>
      </c>
      <c r="C1329" s="1" t="s">
        <v>39</v>
      </c>
      <c r="D1329" s="1">
        <v>71653.0</v>
      </c>
      <c r="E1329" s="1" t="s">
        <v>40</v>
      </c>
      <c r="F1329" s="1" t="s">
        <v>54</v>
      </c>
      <c r="G1329" s="1" t="s">
        <v>55</v>
      </c>
      <c r="H1329" s="2">
        <v>1859.0</v>
      </c>
      <c r="I1329" s="2">
        <v>3075.0</v>
      </c>
      <c r="J1329" s="1">
        <v>1988.0</v>
      </c>
      <c r="K1329" s="1">
        <v>104.0</v>
      </c>
      <c r="L1329" s="1" t="s">
        <v>32</v>
      </c>
      <c r="M1329" s="1" t="s">
        <v>5356</v>
      </c>
      <c r="N1329" s="1" t="s">
        <v>24</v>
      </c>
      <c r="O1329" s="1" t="s">
        <v>35</v>
      </c>
      <c r="P1329" s="1" t="s">
        <v>5357</v>
      </c>
    </row>
    <row r="1330" ht="14.25" customHeight="1">
      <c r="A1330" s="1" t="s">
        <v>5358</v>
      </c>
      <c r="B1330" s="1" t="s">
        <v>5359</v>
      </c>
      <c r="C1330" s="1" t="s">
        <v>53</v>
      </c>
      <c r="D1330" s="1">
        <v>72442.0</v>
      </c>
      <c r="E1330" s="1" t="s">
        <v>19</v>
      </c>
      <c r="F1330" s="1" t="s">
        <v>94</v>
      </c>
      <c r="G1330" s="1" t="s">
        <v>21</v>
      </c>
      <c r="H1330" s="2">
        <v>1237.0</v>
      </c>
      <c r="I1330" s="2">
        <v>2093.0</v>
      </c>
      <c r="J1330" s="1">
        <v>1961.0</v>
      </c>
      <c r="K1330" s="1">
        <v>76.0</v>
      </c>
      <c r="L1330" s="1" t="s">
        <v>62</v>
      </c>
      <c r="M1330" s="1" t="s">
        <v>5360</v>
      </c>
      <c r="N1330" s="1" t="s">
        <v>34</v>
      </c>
      <c r="O1330" s="1" t="s">
        <v>49</v>
      </c>
      <c r="P1330" s="1" t="s">
        <v>5361</v>
      </c>
    </row>
    <row r="1331" ht="14.25" customHeight="1">
      <c r="A1331" s="1" t="s">
        <v>5362</v>
      </c>
      <c r="B1331" s="1" t="s">
        <v>5363</v>
      </c>
      <c r="C1331" s="1" t="s">
        <v>29</v>
      </c>
      <c r="D1331" s="1">
        <v>72484.0</v>
      </c>
      <c r="E1331" s="1" t="s">
        <v>19</v>
      </c>
      <c r="F1331" s="1" t="s">
        <v>54</v>
      </c>
      <c r="G1331" s="1" t="s">
        <v>55</v>
      </c>
      <c r="H1331" s="2">
        <v>729.0</v>
      </c>
      <c r="I1331" s="2">
        <v>9826.0</v>
      </c>
      <c r="J1331" s="1">
        <v>1951.0</v>
      </c>
      <c r="K1331" s="1">
        <v>57.0</v>
      </c>
      <c r="L1331" s="1" t="s">
        <v>141</v>
      </c>
      <c r="M1331" s="1" t="s">
        <v>5364</v>
      </c>
      <c r="N1331" s="1" t="s">
        <v>64</v>
      </c>
      <c r="O1331" s="1" t="s">
        <v>25</v>
      </c>
      <c r="P1331" s="1" t="s">
        <v>5365</v>
      </c>
    </row>
    <row r="1332" ht="14.25" customHeight="1">
      <c r="A1332" s="1" t="s">
        <v>5366</v>
      </c>
      <c r="B1332" s="1" t="s">
        <v>5367</v>
      </c>
      <c r="C1332" s="1" t="s">
        <v>76</v>
      </c>
      <c r="D1332" s="1">
        <v>59250.0</v>
      </c>
      <c r="E1332" s="1" t="s">
        <v>40</v>
      </c>
      <c r="F1332" s="1" t="s">
        <v>46</v>
      </c>
      <c r="G1332" s="1" t="s">
        <v>21</v>
      </c>
      <c r="H1332" s="2">
        <v>3118.0</v>
      </c>
      <c r="I1332" s="2">
        <v>8098.0</v>
      </c>
      <c r="J1332" s="1">
        <v>1951.0</v>
      </c>
      <c r="K1332" s="1">
        <v>116.0</v>
      </c>
      <c r="L1332" s="1" t="s">
        <v>141</v>
      </c>
      <c r="M1332" s="1" t="s">
        <v>5368</v>
      </c>
      <c r="N1332" s="1" t="s">
        <v>43</v>
      </c>
      <c r="O1332" s="1" t="s">
        <v>35</v>
      </c>
      <c r="P1332" s="1" t="s">
        <v>5369</v>
      </c>
    </row>
    <row r="1333" ht="14.25" customHeight="1">
      <c r="A1333" s="1" t="s">
        <v>5370</v>
      </c>
      <c r="B1333" s="1" t="s">
        <v>5371</v>
      </c>
      <c r="C1333" s="1" t="s">
        <v>53</v>
      </c>
      <c r="D1333" s="1">
        <v>85533.0</v>
      </c>
      <c r="E1333" s="1" t="s">
        <v>60</v>
      </c>
      <c r="F1333" s="1" t="s">
        <v>41</v>
      </c>
      <c r="G1333" s="1" t="s">
        <v>21</v>
      </c>
      <c r="H1333" s="2">
        <v>1466.0</v>
      </c>
      <c r="I1333" s="2">
        <v>9951.0</v>
      </c>
      <c r="J1333" s="1">
        <v>1967.0</v>
      </c>
      <c r="K1333" s="1">
        <v>44.0</v>
      </c>
      <c r="L1333" s="1" t="s">
        <v>141</v>
      </c>
      <c r="M1333" s="1" t="s">
        <v>5372</v>
      </c>
      <c r="N1333" s="1" t="s">
        <v>48</v>
      </c>
      <c r="O1333" s="1" t="s">
        <v>35</v>
      </c>
      <c r="P1333" s="1" t="s">
        <v>5373</v>
      </c>
    </row>
    <row r="1334" ht="14.25" customHeight="1">
      <c r="A1334" s="1" t="s">
        <v>5374</v>
      </c>
      <c r="B1334" s="1" t="s">
        <v>5375</v>
      </c>
      <c r="C1334" s="1" t="s">
        <v>53</v>
      </c>
      <c r="D1334" s="1">
        <v>11630.0</v>
      </c>
      <c r="E1334" s="1" t="s">
        <v>30</v>
      </c>
      <c r="F1334" s="1" t="s">
        <v>41</v>
      </c>
      <c r="G1334" s="1" t="s">
        <v>21</v>
      </c>
      <c r="H1334" s="2">
        <v>1707.0</v>
      </c>
      <c r="I1334" s="2">
        <v>5474.0</v>
      </c>
      <c r="J1334" s="1">
        <v>2005.0</v>
      </c>
      <c r="K1334" s="1">
        <v>82.0</v>
      </c>
      <c r="L1334" s="1" t="s">
        <v>32</v>
      </c>
      <c r="M1334" s="1" t="s">
        <v>5376</v>
      </c>
      <c r="N1334" s="1" t="s">
        <v>24</v>
      </c>
      <c r="O1334" s="1" t="s">
        <v>25</v>
      </c>
      <c r="P1334" s="1" t="s">
        <v>5377</v>
      </c>
    </row>
    <row r="1335" ht="14.25" customHeight="1">
      <c r="A1335" s="1" t="s">
        <v>5378</v>
      </c>
      <c r="B1335" s="1" t="s">
        <v>5379</v>
      </c>
      <c r="C1335" s="1" t="s">
        <v>29</v>
      </c>
      <c r="D1335" s="1">
        <v>72047.0</v>
      </c>
      <c r="E1335" s="1" t="s">
        <v>19</v>
      </c>
      <c r="F1335" s="1" t="s">
        <v>41</v>
      </c>
      <c r="G1335" s="1" t="s">
        <v>100</v>
      </c>
      <c r="H1335" s="2">
        <v>1633.0</v>
      </c>
      <c r="I1335" s="2">
        <v>5971.0</v>
      </c>
      <c r="J1335" s="1">
        <v>1950.0</v>
      </c>
      <c r="K1335" s="1">
        <v>117.0</v>
      </c>
      <c r="L1335" s="1" t="s">
        <v>22</v>
      </c>
      <c r="M1335" s="1" t="s">
        <v>5380</v>
      </c>
      <c r="N1335" s="1" t="s">
        <v>24</v>
      </c>
      <c r="O1335" s="1" t="s">
        <v>25</v>
      </c>
      <c r="P1335" s="1" t="s">
        <v>5381</v>
      </c>
    </row>
    <row r="1336" ht="14.25" customHeight="1">
      <c r="A1336" s="1" t="s">
        <v>5382</v>
      </c>
      <c r="B1336" s="1" t="s">
        <v>5383</v>
      </c>
      <c r="C1336" s="1" t="s">
        <v>76</v>
      </c>
      <c r="D1336" s="1">
        <v>96180.0</v>
      </c>
      <c r="E1336" s="1" t="s">
        <v>19</v>
      </c>
      <c r="F1336" s="1" t="s">
        <v>20</v>
      </c>
      <c r="G1336" s="1" t="s">
        <v>55</v>
      </c>
      <c r="H1336" s="2">
        <v>891.0</v>
      </c>
      <c r="I1336" s="2">
        <v>9249.0</v>
      </c>
      <c r="J1336" s="1">
        <v>1982.0</v>
      </c>
      <c r="K1336" s="1">
        <v>36.0</v>
      </c>
      <c r="L1336" s="1" t="s">
        <v>32</v>
      </c>
      <c r="M1336" s="1" t="s">
        <v>5384</v>
      </c>
      <c r="N1336" s="1" t="s">
        <v>43</v>
      </c>
      <c r="O1336" s="1" t="s">
        <v>49</v>
      </c>
      <c r="P1336" s="1" t="s">
        <v>5385</v>
      </c>
    </row>
    <row r="1337" ht="14.25" customHeight="1">
      <c r="A1337" s="1" t="s">
        <v>5386</v>
      </c>
      <c r="B1337" s="1" t="s">
        <v>5387</v>
      </c>
      <c r="C1337" s="1" t="s">
        <v>53</v>
      </c>
      <c r="D1337" s="1">
        <v>75773.0</v>
      </c>
      <c r="E1337" s="1" t="s">
        <v>77</v>
      </c>
      <c r="F1337" s="1" t="s">
        <v>41</v>
      </c>
      <c r="G1337" s="1" t="s">
        <v>55</v>
      </c>
      <c r="H1337" s="2">
        <v>2489.0</v>
      </c>
      <c r="I1337" s="2">
        <v>2613.0</v>
      </c>
      <c r="J1337" s="1">
        <v>1967.0</v>
      </c>
      <c r="K1337" s="1">
        <v>7.0</v>
      </c>
      <c r="L1337" s="1" t="s">
        <v>32</v>
      </c>
      <c r="M1337" s="1" t="s">
        <v>5388</v>
      </c>
      <c r="N1337" s="1" t="s">
        <v>34</v>
      </c>
      <c r="O1337" s="1" t="s">
        <v>49</v>
      </c>
      <c r="P1337" s="1" t="s">
        <v>5389</v>
      </c>
    </row>
    <row r="1338" ht="14.25" customHeight="1">
      <c r="A1338" s="1" t="s">
        <v>5390</v>
      </c>
      <c r="B1338" s="1" t="s">
        <v>5391</v>
      </c>
      <c r="C1338" s="1" t="s">
        <v>76</v>
      </c>
      <c r="D1338" s="1">
        <v>83852.0</v>
      </c>
      <c r="E1338" s="1" t="s">
        <v>60</v>
      </c>
      <c r="F1338" s="1" t="s">
        <v>54</v>
      </c>
      <c r="G1338" s="1" t="s">
        <v>21</v>
      </c>
      <c r="H1338" s="2">
        <v>3586.0</v>
      </c>
      <c r="I1338" s="2">
        <v>4806.0</v>
      </c>
      <c r="J1338" s="1">
        <v>1965.0</v>
      </c>
      <c r="K1338" s="1">
        <v>89.0</v>
      </c>
      <c r="L1338" s="1" t="s">
        <v>62</v>
      </c>
      <c r="M1338" s="1" t="s">
        <v>5392</v>
      </c>
      <c r="N1338" s="1" t="s">
        <v>34</v>
      </c>
      <c r="O1338" s="1" t="s">
        <v>49</v>
      </c>
      <c r="P1338" s="1" t="s">
        <v>5393</v>
      </c>
    </row>
    <row r="1339" ht="14.25" customHeight="1">
      <c r="A1339" s="1" t="s">
        <v>5394</v>
      </c>
      <c r="B1339" s="1" t="s">
        <v>5395</v>
      </c>
      <c r="C1339" s="1" t="s">
        <v>29</v>
      </c>
      <c r="D1339" s="1">
        <v>37195.0</v>
      </c>
      <c r="E1339" s="1" t="s">
        <v>19</v>
      </c>
      <c r="F1339" s="1" t="s">
        <v>46</v>
      </c>
      <c r="G1339" s="1" t="s">
        <v>55</v>
      </c>
      <c r="H1339" s="2">
        <v>1066.0</v>
      </c>
      <c r="I1339" s="2">
        <v>8918.0</v>
      </c>
      <c r="J1339" s="1">
        <v>1993.0</v>
      </c>
      <c r="K1339" s="1">
        <v>20.0</v>
      </c>
      <c r="L1339" s="1" t="s">
        <v>141</v>
      </c>
      <c r="M1339" s="1" t="s">
        <v>5396</v>
      </c>
      <c r="N1339" s="1" t="s">
        <v>34</v>
      </c>
      <c r="O1339" s="1" t="s">
        <v>35</v>
      </c>
      <c r="P1339" s="1" t="s">
        <v>5397</v>
      </c>
    </row>
    <row r="1340" ht="14.25" customHeight="1">
      <c r="A1340" s="1" t="s">
        <v>5398</v>
      </c>
      <c r="B1340" s="1" t="s">
        <v>5399</v>
      </c>
      <c r="C1340" s="1" t="s">
        <v>76</v>
      </c>
      <c r="D1340" s="1">
        <v>62250.0</v>
      </c>
      <c r="E1340" s="1" t="s">
        <v>30</v>
      </c>
      <c r="F1340" s="1" t="s">
        <v>41</v>
      </c>
      <c r="G1340" s="1" t="s">
        <v>31</v>
      </c>
      <c r="H1340" s="2">
        <v>2668.0</v>
      </c>
      <c r="I1340" s="2">
        <v>8563.0</v>
      </c>
      <c r="J1340" s="1">
        <v>1975.0</v>
      </c>
      <c r="K1340" s="1">
        <v>16.0</v>
      </c>
      <c r="L1340" s="1" t="s">
        <v>22</v>
      </c>
      <c r="M1340" s="1" t="s">
        <v>5400</v>
      </c>
      <c r="N1340" s="1" t="s">
        <v>24</v>
      </c>
      <c r="O1340" s="1" t="s">
        <v>49</v>
      </c>
      <c r="P1340" s="1" t="s">
        <v>5401</v>
      </c>
    </row>
    <row r="1341" ht="14.25" customHeight="1">
      <c r="A1341" s="1" t="s">
        <v>5402</v>
      </c>
      <c r="B1341" s="1" t="s">
        <v>5403</v>
      </c>
      <c r="C1341" s="1" t="s">
        <v>53</v>
      </c>
      <c r="D1341" s="1">
        <v>58871.0</v>
      </c>
      <c r="E1341" s="1" t="s">
        <v>77</v>
      </c>
      <c r="F1341" s="1" t="s">
        <v>20</v>
      </c>
      <c r="G1341" s="1" t="s">
        <v>31</v>
      </c>
      <c r="H1341" s="2">
        <v>807.0</v>
      </c>
      <c r="I1341" s="2">
        <v>3442.0</v>
      </c>
      <c r="J1341" s="1">
        <v>2005.0</v>
      </c>
      <c r="K1341" s="1">
        <v>1.0</v>
      </c>
      <c r="L1341" s="1" t="s">
        <v>95</v>
      </c>
      <c r="M1341" s="1" t="s">
        <v>5404</v>
      </c>
      <c r="N1341" s="1" t="s">
        <v>64</v>
      </c>
      <c r="O1341" s="1" t="s">
        <v>25</v>
      </c>
      <c r="P1341" s="1" t="s">
        <v>5405</v>
      </c>
    </row>
    <row r="1342" ht="14.25" customHeight="1">
      <c r="A1342" s="1" t="s">
        <v>5406</v>
      </c>
      <c r="B1342" s="1" t="s">
        <v>5407</v>
      </c>
      <c r="C1342" s="1" t="s">
        <v>39</v>
      </c>
      <c r="D1342" s="1">
        <v>87611.0</v>
      </c>
      <c r="E1342" s="1" t="s">
        <v>77</v>
      </c>
      <c r="F1342" s="1" t="s">
        <v>41</v>
      </c>
      <c r="G1342" s="1" t="s">
        <v>31</v>
      </c>
      <c r="H1342" s="2">
        <v>788.0</v>
      </c>
      <c r="I1342" s="2">
        <v>7694.0</v>
      </c>
      <c r="J1342" s="1">
        <v>1989.0</v>
      </c>
      <c r="K1342" s="1">
        <v>21.0</v>
      </c>
      <c r="L1342" s="1" t="s">
        <v>62</v>
      </c>
      <c r="M1342" s="1" t="s">
        <v>5408</v>
      </c>
      <c r="N1342" s="1" t="s">
        <v>64</v>
      </c>
      <c r="O1342" s="1" t="s">
        <v>35</v>
      </c>
      <c r="P1342" s="1" t="s">
        <v>5409</v>
      </c>
    </row>
    <row r="1343" ht="14.25" customHeight="1">
      <c r="A1343" s="1" t="s">
        <v>5410</v>
      </c>
      <c r="B1343" s="1" t="s">
        <v>5411</v>
      </c>
      <c r="C1343" s="1" t="s">
        <v>39</v>
      </c>
      <c r="D1343" s="1">
        <v>43034.0</v>
      </c>
      <c r="E1343" s="1" t="s">
        <v>19</v>
      </c>
      <c r="F1343" s="1" t="s">
        <v>41</v>
      </c>
      <c r="G1343" s="1" t="s">
        <v>55</v>
      </c>
      <c r="H1343" s="2">
        <v>715.0</v>
      </c>
      <c r="I1343" s="2">
        <v>7185.0</v>
      </c>
      <c r="J1343" s="1">
        <v>2002.0</v>
      </c>
      <c r="K1343" s="1">
        <v>111.0</v>
      </c>
      <c r="L1343" s="1" t="s">
        <v>141</v>
      </c>
      <c r="M1343" s="1" t="s">
        <v>5412</v>
      </c>
      <c r="N1343" s="1" t="s">
        <v>24</v>
      </c>
      <c r="O1343" s="1" t="s">
        <v>49</v>
      </c>
      <c r="P1343" s="1" t="s">
        <v>5413</v>
      </c>
    </row>
    <row r="1344" ht="14.25" customHeight="1">
      <c r="A1344" s="1" t="s">
        <v>5414</v>
      </c>
      <c r="B1344" s="1" t="s">
        <v>5415</v>
      </c>
      <c r="C1344" s="1" t="s">
        <v>39</v>
      </c>
      <c r="D1344" s="1">
        <v>64106.0</v>
      </c>
      <c r="E1344" s="1" t="s">
        <v>77</v>
      </c>
      <c r="F1344" s="1" t="s">
        <v>94</v>
      </c>
      <c r="G1344" s="1" t="s">
        <v>31</v>
      </c>
      <c r="H1344" s="2">
        <v>1122.0</v>
      </c>
      <c r="I1344" s="2">
        <v>2469.0</v>
      </c>
      <c r="J1344" s="1">
        <v>1995.0</v>
      </c>
      <c r="K1344" s="1">
        <v>79.0</v>
      </c>
      <c r="L1344" s="1" t="s">
        <v>141</v>
      </c>
      <c r="M1344" s="1" t="s">
        <v>5416</v>
      </c>
      <c r="N1344" s="1" t="s">
        <v>43</v>
      </c>
      <c r="O1344" s="1" t="s">
        <v>25</v>
      </c>
      <c r="P1344" s="1" t="s">
        <v>5417</v>
      </c>
    </row>
    <row r="1345" ht="14.25" customHeight="1">
      <c r="A1345" s="1" t="s">
        <v>5418</v>
      </c>
      <c r="B1345" s="1" t="s">
        <v>5419</v>
      </c>
      <c r="C1345" s="1" t="s">
        <v>39</v>
      </c>
      <c r="D1345" s="1">
        <v>14444.0</v>
      </c>
      <c r="E1345" s="1" t="s">
        <v>60</v>
      </c>
      <c r="F1345" s="1" t="s">
        <v>94</v>
      </c>
      <c r="G1345" s="1" t="s">
        <v>100</v>
      </c>
      <c r="H1345" s="2">
        <v>1792.0</v>
      </c>
      <c r="I1345" s="2">
        <v>7630.0</v>
      </c>
      <c r="J1345" s="1">
        <v>1975.0</v>
      </c>
      <c r="K1345" s="1">
        <v>49.0</v>
      </c>
      <c r="L1345" s="1" t="s">
        <v>141</v>
      </c>
      <c r="M1345" s="1" t="s">
        <v>5420</v>
      </c>
      <c r="N1345" s="1" t="s">
        <v>64</v>
      </c>
      <c r="O1345" s="1" t="s">
        <v>49</v>
      </c>
      <c r="P1345" s="1" t="s">
        <v>5421</v>
      </c>
    </row>
    <row r="1346" ht="14.25" customHeight="1">
      <c r="A1346" s="1" t="s">
        <v>5422</v>
      </c>
      <c r="B1346" s="1" t="s">
        <v>5423</v>
      </c>
      <c r="C1346" s="1" t="s">
        <v>76</v>
      </c>
      <c r="D1346" s="1">
        <v>44997.0</v>
      </c>
      <c r="E1346" s="1" t="s">
        <v>40</v>
      </c>
      <c r="F1346" s="1" t="s">
        <v>94</v>
      </c>
      <c r="G1346" s="1" t="s">
        <v>21</v>
      </c>
      <c r="H1346" s="2">
        <v>2006.0</v>
      </c>
      <c r="I1346" s="2">
        <v>1334.0</v>
      </c>
      <c r="J1346" s="1">
        <v>1985.0</v>
      </c>
      <c r="K1346" s="1">
        <v>31.0</v>
      </c>
      <c r="L1346" s="1" t="s">
        <v>22</v>
      </c>
      <c r="M1346" s="1" t="s">
        <v>5424</v>
      </c>
      <c r="N1346" s="1" t="s">
        <v>43</v>
      </c>
      <c r="O1346" s="1" t="s">
        <v>49</v>
      </c>
      <c r="P1346" s="1" t="s">
        <v>5425</v>
      </c>
    </row>
    <row r="1347" ht="14.25" customHeight="1">
      <c r="A1347" s="1" t="s">
        <v>5426</v>
      </c>
      <c r="B1347" s="1" t="s">
        <v>5427</v>
      </c>
      <c r="C1347" s="1" t="s">
        <v>76</v>
      </c>
      <c r="D1347" s="1">
        <v>64978.0</v>
      </c>
      <c r="E1347" s="1" t="s">
        <v>19</v>
      </c>
      <c r="F1347" s="1" t="s">
        <v>41</v>
      </c>
      <c r="G1347" s="1" t="s">
        <v>55</v>
      </c>
      <c r="H1347" s="2">
        <v>2255.0</v>
      </c>
      <c r="I1347" s="2">
        <v>8997.0</v>
      </c>
      <c r="J1347" s="1">
        <v>2006.0</v>
      </c>
      <c r="K1347" s="1">
        <v>70.0</v>
      </c>
      <c r="L1347" s="1" t="s">
        <v>22</v>
      </c>
      <c r="M1347" s="1" t="s">
        <v>5428</v>
      </c>
      <c r="N1347" s="1" t="s">
        <v>34</v>
      </c>
      <c r="O1347" s="1" t="s">
        <v>49</v>
      </c>
      <c r="P1347" s="1" t="s">
        <v>5429</v>
      </c>
    </row>
    <row r="1348" ht="14.25" customHeight="1">
      <c r="A1348" s="1" t="s">
        <v>5430</v>
      </c>
      <c r="B1348" s="1" t="s">
        <v>5431</v>
      </c>
      <c r="C1348" s="1" t="s">
        <v>76</v>
      </c>
      <c r="D1348" s="1">
        <v>88554.0</v>
      </c>
      <c r="E1348" s="1" t="s">
        <v>77</v>
      </c>
      <c r="F1348" s="1" t="s">
        <v>46</v>
      </c>
      <c r="G1348" s="1" t="s">
        <v>100</v>
      </c>
      <c r="H1348" s="2">
        <v>2503.0</v>
      </c>
      <c r="I1348" s="2">
        <v>2131.0</v>
      </c>
      <c r="J1348" s="1">
        <v>2021.0</v>
      </c>
      <c r="K1348" s="1">
        <v>5.0</v>
      </c>
      <c r="L1348" s="1" t="s">
        <v>95</v>
      </c>
      <c r="M1348" s="1" t="s">
        <v>5432</v>
      </c>
      <c r="N1348" s="1" t="s">
        <v>34</v>
      </c>
      <c r="O1348" s="1" t="s">
        <v>25</v>
      </c>
      <c r="P1348" s="1" t="s">
        <v>5433</v>
      </c>
    </row>
    <row r="1349" ht="14.25" customHeight="1">
      <c r="A1349" s="1" t="s">
        <v>5434</v>
      </c>
      <c r="B1349" s="1" t="s">
        <v>5435</v>
      </c>
      <c r="C1349" s="1" t="s">
        <v>39</v>
      </c>
      <c r="D1349" s="1">
        <v>92223.0</v>
      </c>
      <c r="E1349" s="1" t="s">
        <v>30</v>
      </c>
      <c r="F1349" s="1" t="s">
        <v>94</v>
      </c>
      <c r="G1349" s="1" t="s">
        <v>21</v>
      </c>
      <c r="H1349" s="2">
        <v>3095.0</v>
      </c>
      <c r="I1349" s="2">
        <v>6874.0</v>
      </c>
      <c r="J1349" s="1">
        <v>1956.0</v>
      </c>
      <c r="K1349" s="1">
        <v>105.0</v>
      </c>
      <c r="L1349" s="1" t="s">
        <v>95</v>
      </c>
      <c r="M1349" s="1" t="s">
        <v>5436</v>
      </c>
      <c r="N1349" s="1" t="s">
        <v>64</v>
      </c>
      <c r="O1349" s="1" t="s">
        <v>49</v>
      </c>
      <c r="P1349" s="1" t="s">
        <v>5437</v>
      </c>
    </row>
    <row r="1350" ht="14.25" customHeight="1">
      <c r="A1350" s="1" t="s">
        <v>5438</v>
      </c>
      <c r="B1350" s="1" t="s">
        <v>5439</v>
      </c>
      <c r="C1350" s="1" t="s">
        <v>53</v>
      </c>
      <c r="D1350" s="1">
        <v>39637.0</v>
      </c>
      <c r="E1350" s="1" t="s">
        <v>60</v>
      </c>
      <c r="F1350" s="1" t="s">
        <v>94</v>
      </c>
      <c r="G1350" s="1" t="s">
        <v>100</v>
      </c>
      <c r="H1350" s="2">
        <v>965.0</v>
      </c>
      <c r="I1350" s="2">
        <v>6245.0</v>
      </c>
      <c r="J1350" s="1">
        <v>2022.0</v>
      </c>
      <c r="K1350" s="1">
        <v>82.0</v>
      </c>
      <c r="L1350" s="1" t="s">
        <v>32</v>
      </c>
      <c r="M1350" s="1" t="s">
        <v>5440</v>
      </c>
      <c r="N1350" s="1" t="s">
        <v>64</v>
      </c>
      <c r="O1350" s="1" t="s">
        <v>35</v>
      </c>
      <c r="P1350" s="1" t="s">
        <v>5441</v>
      </c>
    </row>
    <row r="1351" ht="14.25" customHeight="1">
      <c r="A1351" s="1" t="s">
        <v>5442</v>
      </c>
      <c r="B1351" s="1" t="s">
        <v>5443</v>
      </c>
      <c r="C1351" s="1" t="s">
        <v>18</v>
      </c>
      <c r="D1351" s="1">
        <v>49528.0</v>
      </c>
      <c r="E1351" s="1" t="s">
        <v>40</v>
      </c>
      <c r="F1351" s="1" t="s">
        <v>94</v>
      </c>
      <c r="G1351" s="1" t="s">
        <v>55</v>
      </c>
      <c r="H1351" s="2">
        <v>1395.0</v>
      </c>
      <c r="I1351" s="2">
        <v>9537.0</v>
      </c>
      <c r="J1351" s="1">
        <v>2013.0</v>
      </c>
      <c r="K1351" s="1">
        <v>63.0</v>
      </c>
      <c r="L1351" s="1" t="s">
        <v>22</v>
      </c>
      <c r="M1351" s="1" t="s">
        <v>5444</v>
      </c>
      <c r="N1351" s="1" t="s">
        <v>34</v>
      </c>
      <c r="O1351" s="1" t="s">
        <v>25</v>
      </c>
      <c r="P1351" s="1" t="s">
        <v>5445</v>
      </c>
    </row>
    <row r="1352" ht="14.25" customHeight="1">
      <c r="A1352" s="1" t="s">
        <v>5446</v>
      </c>
      <c r="B1352" s="1" t="s">
        <v>5447</v>
      </c>
      <c r="C1352" s="1" t="s">
        <v>18</v>
      </c>
      <c r="D1352" s="1">
        <v>14744.0</v>
      </c>
      <c r="E1352" s="1" t="s">
        <v>77</v>
      </c>
      <c r="F1352" s="1" t="s">
        <v>61</v>
      </c>
      <c r="G1352" s="1" t="s">
        <v>21</v>
      </c>
      <c r="H1352" s="2">
        <v>1589.0</v>
      </c>
      <c r="I1352" s="2">
        <v>6894.0</v>
      </c>
      <c r="J1352" s="1">
        <v>2019.0</v>
      </c>
      <c r="K1352" s="1">
        <v>50.0</v>
      </c>
      <c r="L1352" s="1" t="s">
        <v>22</v>
      </c>
      <c r="M1352" s="1" t="s">
        <v>5448</v>
      </c>
      <c r="N1352" s="1" t="s">
        <v>24</v>
      </c>
      <c r="O1352" s="1" t="s">
        <v>35</v>
      </c>
      <c r="P1352" s="1" t="s">
        <v>5449</v>
      </c>
    </row>
    <row r="1353" ht="14.25" customHeight="1">
      <c r="A1353" s="1" t="s">
        <v>5450</v>
      </c>
      <c r="B1353" s="1" t="s">
        <v>5451</v>
      </c>
      <c r="C1353" s="1" t="s">
        <v>29</v>
      </c>
      <c r="D1353" s="1">
        <v>84456.0</v>
      </c>
      <c r="E1353" s="1" t="s">
        <v>60</v>
      </c>
      <c r="F1353" s="1" t="s">
        <v>54</v>
      </c>
      <c r="G1353" s="1" t="s">
        <v>21</v>
      </c>
      <c r="H1353" s="2">
        <v>3033.0</v>
      </c>
      <c r="I1353" s="2">
        <v>7036.0</v>
      </c>
      <c r="J1353" s="1">
        <v>1964.0</v>
      </c>
      <c r="K1353" s="1">
        <v>80.0</v>
      </c>
      <c r="L1353" s="1" t="s">
        <v>141</v>
      </c>
      <c r="M1353" s="1" t="s">
        <v>5452</v>
      </c>
      <c r="N1353" s="1" t="s">
        <v>34</v>
      </c>
      <c r="O1353" s="1" t="s">
        <v>25</v>
      </c>
      <c r="P1353" s="1" t="s">
        <v>5453</v>
      </c>
    </row>
    <row r="1354" ht="14.25" customHeight="1">
      <c r="A1354" s="1" t="s">
        <v>5454</v>
      </c>
      <c r="B1354" s="1" t="s">
        <v>5455</v>
      </c>
      <c r="C1354" s="1" t="s">
        <v>53</v>
      </c>
      <c r="D1354" s="1">
        <v>84948.0</v>
      </c>
      <c r="E1354" s="1" t="s">
        <v>30</v>
      </c>
      <c r="F1354" s="1" t="s">
        <v>61</v>
      </c>
      <c r="G1354" s="1" t="s">
        <v>55</v>
      </c>
      <c r="H1354" s="2">
        <v>2575.0</v>
      </c>
      <c r="I1354" s="2">
        <v>5928.0</v>
      </c>
      <c r="J1354" s="1">
        <v>1993.0</v>
      </c>
      <c r="K1354" s="1">
        <v>47.0</v>
      </c>
      <c r="L1354" s="1" t="s">
        <v>95</v>
      </c>
      <c r="M1354" s="1" t="s">
        <v>5456</v>
      </c>
      <c r="N1354" s="1" t="s">
        <v>34</v>
      </c>
      <c r="O1354" s="1" t="s">
        <v>49</v>
      </c>
      <c r="P1354" s="1" t="s">
        <v>5457</v>
      </c>
    </row>
    <row r="1355" ht="14.25" customHeight="1">
      <c r="A1355" s="1" t="s">
        <v>5458</v>
      </c>
      <c r="B1355" s="1" t="s">
        <v>5459</v>
      </c>
      <c r="C1355" s="1" t="s">
        <v>39</v>
      </c>
      <c r="D1355" s="1">
        <v>34535.0</v>
      </c>
      <c r="E1355" s="1" t="s">
        <v>40</v>
      </c>
      <c r="F1355" s="1" t="s">
        <v>20</v>
      </c>
      <c r="G1355" s="1" t="s">
        <v>31</v>
      </c>
      <c r="H1355" s="2">
        <v>1618.0</v>
      </c>
      <c r="I1355" s="2">
        <v>2535.0</v>
      </c>
      <c r="J1355" s="1">
        <v>1992.0</v>
      </c>
      <c r="K1355" s="1">
        <v>103.0</v>
      </c>
      <c r="L1355" s="1" t="s">
        <v>62</v>
      </c>
      <c r="M1355" s="1" t="s">
        <v>5460</v>
      </c>
      <c r="N1355" s="1" t="s">
        <v>64</v>
      </c>
      <c r="O1355" s="1" t="s">
        <v>35</v>
      </c>
      <c r="P1355" s="1" t="s">
        <v>5461</v>
      </c>
    </row>
    <row r="1356" ht="14.25" customHeight="1">
      <c r="A1356" s="1" t="s">
        <v>5462</v>
      </c>
      <c r="B1356" s="1" t="s">
        <v>5463</v>
      </c>
      <c r="C1356" s="1" t="s">
        <v>39</v>
      </c>
      <c r="D1356" s="1">
        <v>74353.0</v>
      </c>
      <c r="E1356" s="1" t="s">
        <v>30</v>
      </c>
      <c r="F1356" s="1" t="s">
        <v>46</v>
      </c>
      <c r="G1356" s="1" t="s">
        <v>55</v>
      </c>
      <c r="H1356" s="2">
        <v>3783.0</v>
      </c>
      <c r="I1356" s="2">
        <v>8122.0</v>
      </c>
      <c r="J1356" s="1">
        <v>1973.0</v>
      </c>
      <c r="K1356" s="1">
        <v>4.0</v>
      </c>
      <c r="L1356" s="1" t="s">
        <v>95</v>
      </c>
      <c r="M1356" s="1" t="s">
        <v>5464</v>
      </c>
      <c r="N1356" s="1" t="s">
        <v>48</v>
      </c>
      <c r="O1356" s="1" t="s">
        <v>49</v>
      </c>
      <c r="P1356" s="1" t="s">
        <v>5465</v>
      </c>
    </row>
    <row r="1357" ht="14.25" customHeight="1">
      <c r="A1357" s="1" t="s">
        <v>5466</v>
      </c>
      <c r="B1357" s="1" t="s">
        <v>5467</v>
      </c>
      <c r="C1357" s="1" t="s">
        <v>39</v>
      </c>
      <c r="D1357" s="1">
        <v>44554.0</v>
      </c>
      <c r="E1357" s="1" t="s">
        <v>30</v>
      </c>
      <c r="F1357" s="1" t="s">
        <v>20</v>
      </c>
      <c r="G1357" s="1" t="s">
        <v>55</v>
      </c>
      <c r="H1357" s="2">
        <v>3998.0</v>
      </c>
      <c r="I1357" s="2">
        <v>3973.0</v>
      </c>
      <c r="J1357" s="1">
        <v>1955.0</v>
      </c>
      <c r="K1357" s="1">
        <v>51.0</v>
      </c>
      <c r="L1357" s="1" t="s">
        <v>22</v>
      </c>
      <c r="M1357" s="1" t="s">
        <v>5468</v>
      </c>
      <c r="N1357" s="1" t="s">
        <v>43</v>
      </c>
      <c r="O1357" s="1" t="s">
        <v>25</v>
      </c>
      <c r="P1357" s="1" t="s">
        <v>5469</v>
      </c>
    </row>
    <row r="1358" ht="14.25" customHeight="1">
      <c r="A1358" s="1" t="s">
        <v>5470</v>
      </c>
      <c r="B1358" s="1" t="s">
        <v>5471</v>
      </c>
      <c r="C1358" s="1" t="s">
        <v>18</v>
      </c>
      <c r="D1358" s="1">
        <v>37330.0</v>
      </c>
      <c r="E1358" s="1" t="s">
        <v>19</v>
      </c>
      <c r="F1358" s="1" t="s">
        <v>41</v>
      </c>
      <c r="G1358" s="1" t="s">
        <v>100</v>
      </c>
      <c r="H1358" s="2">
        <v>2018.0</v>
      </c>
      <c r="I1358" s="2">
        <v>1269.0</v>
      </c>
      <c r="J1358" s="1">
        <v>1990.0</v>
      </c>
      <c r="K1358" s="1">
        <v>59.0</v>
      </c>
      <c r="L1358" s="1" t="s">
        <v>32</v>
      </c>
      <c r="M1358" s="1" t="s">
        <v>5472</v>
      </c>
      <c r="N1358" s="1" t="s">
        <v>34</v>
      </c>
      <c r="O1358" s="1" t="s">
        <v>35</v>
      </c>
      <c r="P1358" s="1" t="s">
        <v>5473</v>
      </c>
    </row>
    <row r="1359" ht="14.25" customHeight="1">
      <c r="A1359" s="1" t="s">
        <v>5474</v>
      </c>
      <c r="B1359" s="1" t="s">
        <v>5475</v>
      </c>
      <c r="C1359" s="1" t="s">
        <v>53</v>
      </c>
      <c r="D1359" s="1">
        <v>25727.0</v>
      </c>
      <c r="E1359" s="1" t="s">
        <v>60</v>
      </c>
      <c r="F1359" s="1" t="s">
        <v>20</v>
      </c>
      <c r="G1359" s="1" t="s">
        <v>100</v>
      </c>
      <c r="H1359" s="2">
        <v>1110.0</v>
      </c>
      <c r="I1359" s="2">
        <v>9592.0</v>
      </c>
      <c r="J1359" s="1">
        <v>1982.0</v>
      </c>
      <c r="K1359" s="1">
        <v>78.0</v>
      </c>
      <c r="L1359" s="1" t="s">
        <v>95</v>
      </c>
      <c r="M1359" s="1" t="s">
        <v>5476</v>
      </c>
      <c r="N1359" s="1" t="s">
        <v>24</v>
      </c>
      <c r="O1359" s="1" t="s">
        <v>35</v>
      </c>
      <c r="P1359" s="1" t="s">
        <v>5477</v>
      </c>
    </row>
    <row r="1360" ht="14.25" customHeight="1">
      <c r="A1360" s="1" t="s">
        <v>5478</v>
      </c>
      <c r="B1360" s="1" t="s">
        <v>5479</v>
      </c>
      <c r="C1360" s="1" t="s">
        <v>18</v>
      </c>
      <c r="D1360" s="1">
        <v>77829.0</v>
      </c>
      <c r="E1360" s="1" t="s">
        <v>19</v>
      </c>
      <c r="F1360" s="1" t="s">
        <v>94</v>
      </c>
      <c r="G1360" s="1" t="s">
        <v>31</v>
      </c>
      <c r="H1360" s="2">
        <v>3879.0</v>
      </c>
      <c r="I1360" s="2">
        <v>2466.0</v>
      </c>
      <c r="J1360" s="1">
        <v>1992.0</v>
      </c>
      <c r="K1360" s="1">
        <v>109.0</v>
      </c>
      <c r="L1360" s="1" t="s">
        <v>32</v>
      </c>
      <c r="M1360" s="1" t="s">
        <v>5480</v>
      </c>
      <c r="N1360" s="1" t="s">
        <v>48</v>
      </c>
      <c r="O1360" s="1" t="s">
        <v>35</v>
      </c>
      <c r="P1360" s="1" t="s">
        <v>5481</v>
      </c>
    </row>
    <row r="1361" ht="14.25" customHeight="1">
      <c r="A1361" s="1" t="s">
        <v>5482</v>
      </c>
      <c r="B1361" s="1" t="s">
        <v>5483</v>
      </c>
      <c r="C1361" s="1" t="s">
        <v>39</v>
      </c>
      <c r="D1361" s="1">
        <v>96815.0</v>
      </c>
      <c r="E1361" s="1" t="s">
        <v>77</v>
      </c>
      <c r="F1361" s="1" t="s">
        <v>54</v>
      </c>
      <c r="G1361" s="1" t="s">
        <v>55</v>
      </c>
      <c r="H1361" s="2">
        <v>3951.0</v>
      </c>
      <c r="I1361" s="2">
        <v>2394.0</v>
      </c>
      <c r="J1361" s="1">
        <v>2019.0</v>
      </c>
      <c r="K1361" s="1">
        <v>29.0</v>
      </c>
      <c r="L1361" s="1" t="s">
        <v>62</v>
      </c>
      <c r="M1361" s="1" t="s">
        <v>5484</v>
      </c>
      <c r="N1361" s="1" t="s">
        <v>43</v>
      </c>
      <c r="O1361" s="1" t="s">
        <v>49</v>
      </c>
      <c r="P1361" s="1" t="s">
        <v>5485</v>
      </c>
    </row>
    <row r="1362" ht="14.25" customHeight="1">
      <c r="A1362" s="1" t="s">
        <v>5486</v>
      </c>
      <c r="B1362" s="1" t="s">
        <v>5487</v>
      </c>
      <c r="C1362" s="1" t="s">
        <v>18</v>
      </c>
      <c r="D1362" s="1">
        <v>43982.0</v>
      </c>
      <c r="E1362" s="1" t="s">
        <v>19</v>
      </c>
      <c r="F1362" s="1" t="s">
        <v>41</v>
      </c>
      <c r="G1362" s="1" t="s">
        <v>21</v>
      </c>
      <c r="H1362" s="2">
        <v>1704.0</v>
      </c>
      <c r="I1362" s="2">
        <v>6514.0</v>
      </c>
      <c r="J1362" s="1">
        <v>1968.0</v>
      </c>
      <c r="K1362" s="1">
        <v>34.0</v>
      </c>
      <c r="L1362" s="1" t="s">
        <v>62</v>
      </c>
      <c r="M1362" s="1" t="s">
        <v>5488</v>
      </c>
      <c r="N1362" s="1" t="s">
        <v>48</v>
      </c>
      <c r="O1362" s="1" t="s">
        <v>49</v>
      </c>
      <c r="P1362" s="1" t="s">
        <v>5489</v>
      </c>
    </row>
    <row r="1363" ht="14.25" customHeight="1">
      <c r="A1363" s="1" t="s">
        <v>5490</v>
      </c>
      <c r="B1363" s="1" t="s">
        <v>5491</v>
      </c>
      <c r="C1363" s="1" t="s">
        <v>39</v>
      </c>
      <c r="D1363" s="1">
        <v>57281.0</v>
      </c>
      <c r="E1363" s="1" t="s">
        <v>30</v>
      </c>
      <c r="F1363" s="1" t="s">
        <v>46</v>
      </c>
      <c r="G1363" s="1" t="s">
        <v>21</v>
      </c>
      <c r="H1363" s="2">
        <v>2531.0</v>
      </c>
      <c r="I1363" s="2">
        <v>6783.0</v>
      </c>
      <c r="J1363" s="1">
        <v>1964.0</v>
      </c>
      <c r="K1363" s="1">
        <v>86.0</v>
      </c>
      <c r="L1363" s="1" t="s">
        <v>141</v>
      </c>
      <c r="M1363" s="1" t="s">
        <v>5492</v>
      </c>
      <c r="N1363" s="1" t="s">
        <v>43</v>
      </c>
      <c r="O1363" s="1" t="s">
        <v>25</v>
      </c>
      <c r="P1363" s="1" t="s">
        <v>5493</v>
      </c>
    </row>
    <row r="1364" ht="14.25" customHeight="1">
      <c r="A1364" s="1" t="s">
        <v>5494</v>
      </c>
      <c r="B1364" s="1" t="s">
        <v>5495</v>
      </c>
      <c r="C1364" s="1" t="s">
        <v>76</v>
      </c>
      <c r="D1364" s="1">
        <v>63545.0</v>
      </c>
      <c r="E1364" s="1" t="s">
        <v>77</v>
      </c>
      <c r="F1364" s="1" t="s">
        <v>61</v>
      </c>
      <c r="G1364" s="1" t="s">
        <v>100</v>
      </c>
      <c r="H1364" s="2">
        <v>2969.0</v>
      </c>
      <c r="I1364" s="2">
        <v>3934.0</v>
      </c>
      <c r="J1364" s="1">
        <v>1996.0</v>
      </c>
      <c r="K1364" s="1">
        <v>23.0</v>
      </c>
      <c r="L1364" s="1" t="s">
        <v>22</v>
      </c>
      <c r="M1364" s="1" t="s">
        <v>5496</v>
      </c>
      <c r="N1364" s="1" t="s">
        <v>48</v>
      </c>
      <c r="O1364" s="1" t="s">
        <v>49</v>
      </c>
      <c r="P1364" s="1" t="s">
        <v>5497</v>
      </c>
    </row>
    <row r="1365" ht="14.25" customHeight="1">
      <c r="A1365" s="1" t="s">
        <v>5498</v>
      </c>
      <c r="B1365" s="1" t="s">
        <v>5499</v>
      </c>
      <c r="C1365" s="1" t="s">
        <v>29</v>
      </c>
      <c r="D1365" s="1">
        <v>20382.0</v>
      </c>
      <c r="E1365" s="1" t="s">
        <v>40</v>
      </c>
      <c r="F1365" s="1" t="s">
        <v>20</v>
      </c>
      <c r="G1365" s="1" t="s">
        <v>100</v>
      </c>
      <c r="H1365" s="2">
        <v>1962.0</v>
      </c>
      <c r="I1365" s="2">
        <v>5447.0</v>
      </c>
      <c r="J1365" s="1">
        <v>1982.0</v>
      </c>
      <c r="K1365" s="1">
        <v>56.0</v>
      </c>
      <c r="L1365" s="1" t="s">
        <v>32</v>
      </c>
      <c r="M1365" s="1" t="s">
        <v>5500</v>
      </c>
      <c r="N1365" s="1" t="s">
        <v>24</v>
      </c>
      <c r="O1365" s="1" t="s">
        <v>25</v>
      </c>
      <c r="P1365" s="1" t="s">
        <v>5501</v>
      </c>
    </row>
    <row r="1366" ht="14.25" customHeight="1">
      <c r="A1366" s="1" t="s">
        <v>5502</v>
      </c>
      <c r="B1366" s="1" t="s">
        <v>5503</v>
      </c>
      <c r="C1366" s="1" t="s">
        <v>18</v>
      </c>
      <c r="D1366" s="1">
        <v>98979.0</v>
      </c>
      <c r="E1366" s="1" t="s">
        <v>40</v>
      </c>
      <c r="F1366" s="1" t="s">
        <v>54</v>
      </c>
      <c r="G1366" s="1" t="s">
        <v>100</v>
      </c>
      <c r="H1366" s="2">
        <v>721.0</v>
      </c>
      <c r="I1366" s="2">
        <v>8803.0</v>
      </c>
      <c r="J1366" s="1">
        <v>2013.0</v>
      </c>
      <c r="K1366" s="1">
        <v>7.0</v>
      </c>
      <c r="L1366" s="1" t="s">
        <v>22</v>
      </c>
      <c r="M1366" s="1" t="s">
        <v>5504</v>
      </c>
      <c r="N1366" s="1" t="s">
        <v>64</v>
      </c>
      <c r="O1366" s="1" t="s">
        <v>49</v>
      </c>
      <c r="P1366" s="1" t="s">
        <v>5505</v>
      </c>
    </row>
    <row r="1367" ht="14.25" customHeight="1">
      <c r="A1367" s="1" t="s">
        <v>5506</v>
      </c>
      <c r="B1367" s="1" t="s">
        <v>5507</v>
      </c>
      <c r="C1367" s="1" t="s">
        <v>39</v>
      </c>
      <c r="D1367" s="1">
        <v>70724.0</v>
      </c>
      <c r="E1367" s="1" t="s">
        <v>40</v>
      </c>
      <c r="F1367" s="1" t="s">
        <v>46</v>
      </c>
      <c r="G1367" s="1" t="s">
        <v>100</v>
      </c>
      <c r="H1367" s="2">
        <v>3737.0</v>
      </c>
      <c r="I1367" s="2">
        <v>6961.0</v>
      </c>
      <c r="J1367" s="1">
        <v>1969.0</v>
      </c>
      <c r="K1367" s="1">
        <v>109.0</v>
      </c>
      <c r="L1367" s="1" t="s">
        <v>32</v>
      </c>
      <c r="M1367" s="1" t="s">
        <v>5508</v>
      </c>
      <c r="N1367" s="1" t="s">
        <v>48</v>
      </c>
      <c r="O1367" s="1" t="s">
        <v>49</v>
      </c>
      <c r="P1367" s="1" t="s">
        <v>5509</v>
      </c>
    </row>
    <row r="1368" ht="14.25" customHeight="1">
      <c r="A1368" s="1" t="s">
        <v>5510</v>
      </c>
      <c r="B1368" s="1" t="s">
        <v>5511</v>
      </c>
      <c r="C1368" s="1" t="s">
        <v>18</v>
      </c>
      <c r="D1368" s="1">
        <v>32794.0</v>
      </c>
      <c r="E1368" s="1" t="s">
        <v>30</v>
      </c>
      <c r="F1368" s="1" t="s">
        <v>41</v>
      </c>
      <c r="G1368" s="1" t="s">
        <v>100</v>
      </c>
      <c r="H1368" s="2">
        <v>840.0</v>
      </c>
      <c r="I1368" s="2">
        <v>9605.0</v>
      </c>
      <c r="J1368" s="1">
        <v>1983.0</v>
      </c>
      <c r="K1368" s="1">
        <v>63.0</v>
      </c>
      <c r="L1368" s="1" t="s">
        <v>95</v>
      </c>
      <c r="M1368" s="1" t="s">
        <v>5512</v>
      </c>
      <c r="N1368" s="1" t="s">
        <v>64</v>
      </c>
      <c r="O1368" s="1" t="s">
        <v>35</v>
      </c>
      <c r="P1368" s="1" t="s">
        <v>5513</v>
      </c>
    </row>
    <row r="1369" ht="14.25" customHeight="1">
      <c r="A1369" s="1" t="s">
        <v>5514</v>
      </c>
      <c r="B1369" s="1" t="s">
        <v>5515</v>
      </c>
      <c r="C1369" s="1" t="s">
        <v>18</v>
      </c>
      <c r="D1369" s="1">
        <v>91896.0</v>
      </c>
      <c r="E1369" s="1" t="s">
        <v>77</v>
      </c>
      <c r="F1369" s="1" t="s">
        <v>61</v>
      </c>
      <c r="G1369" s="1" t="s">
        <v>31</v>
      </c>
      <c r="H1369" s="2">
        <v>2762.0</v>
      </c>
      <c r="I1369" s="2">
        <v>7418.0</v>
      </c>
      <c r="J1369" s="1">
        <v>1950.0</v>
      </c>
      <c r="K1369" s="1">
        <v>19.0</v>
      </c>
      <c r="L1369" s="1" t="s">
        <v>32</v>
      </c>
      <c r="M1369" s="1" t="s">
        <v>5516</v>
      </c>
      <c r="N1369" s="1" t="s">
        <v>24</v>
      </c>
      <c r="O1369" s="1" t="s">
        <v>25</v>
      </c>
      <c r="P1369" s="1" t="s">
        <v>5517</v>
      </c>
    </row>
    <row r="1370" ht="14.25" customHeight="1">
      <c r="A1370" s="1" t="s">
        <v>5518</v>
      </c>
      <c r="B1370" s="1" t="s">
        <v>5519</v>
      </c>
      <c r="C1370" s="1" t="s">
        <v>29</v>
      </c>
      <c r="D1370" s="1">
        <v>16603.0</v>
      </c>
      <c r="E1370" s="1" t="s">
        <v>60</v>
      </c>
      <c r="F1370" s="1" t="s">
        <v>41</v>
      </c>
      <c r="G1370" s="1" t="s">
        <v>100</v>
      </c>
      <c r="H1370" s="2">
        <v>1424.0</v>
      </c>
      <c r="I1370" s="2">
        <v>2029.0</v>
      </c>
      <c r="J1370" s="1">
        <v>2015.0</v>
      </c>
      <c r="K1370" s="1">
        <v>102.0</v>
      </c>
      <c r="L1370" s="1" t="s">
        <v>22</v>
      </c>
      <c r="M1370" s="1" t="s">
        <v>5520</v>
      </c>
      <c r="N1370" s="1" t="s">
        <v>48</v>
      </c>
      <c r="O1370" s="1" t="s">
        <v>49</v>
      </c>
      <c r="P1370" s="1" t="s">
        <v>5521</v>
      </c>
    </row>
    <row r="1371" ht="14.25" customHeight="1">
      <c r="A1371" s="1" t="s">
        <v>5522</v>
      </c>
      <c r="B1371" s="1" t="s">
        <v>5523</v>
      </c>
      <c r="C1371" s="1" t="s">
        <v>18</v>
      </c>
      <c r="D1371" s="1">
        <v>11546.0</v>
      </c>
      <c r="E1371" s="1" t="s">
        <v>19</v>
      </c>
      <c r="F1371" s="1" t="s">
        <v>20</v>
      </c>
      <c r="G1371" s="1" t="s">
        <v>31</v>
      </c>
      <c r="H1371" s="2">
        <v>3250.0</v>
      </c>
      <c r="I1371" s="2">
        <v>5601.0</v>
      </c>
      <c r="J1371" s="1">
        <v>1963.0</v>
      </c>
      <c r="K1371" s="1">
        <v>13.0</v>
      </c>
      <c r="L1371" s="1" t="s">
        <v>95</v>
      </c>
      <c r="M1371" s="1" t="s">
        <v>5524</v>
      </c>
      <c r="N1371" s="1" t="s">
        <v>48</v>
      </c>
      <c r="O1371" s="1" t="s">
        <v>35</v>
      </c>
      <c r="P1371" s="1" t="s">
        <v>5525</v>
      </c>
    </row>
    <row r="1372" ht="14.25" customHeight="1">
      <c r="A1372" s="1" t="s">
        <v>5526</v>
      </c>
      <c r="B1372" s="1" t="s">
        <v>5527</v>
      </c>
      <c r="C1372" s="1" t="s">
        <v>29</v>
      </c>
      <c r="D1372" s="1">
        <v>23854.0</v>
      </c>
      <c r="E1372" s="1" t="s">
        <v>19</v>
      </c>
      <c r="F1372" s="1" t="s">
        <v>54</v>
      </c>
      <c r="G1372" s="1" t="s">
        <v>31</v>
      </c>
      <c r="H1372" s="2">
        <v>3054.0</v>
      </c>
      <c r="I1372" s="2">
        <v>2959.0</v>
      </c>
      <c r="J1372" s="1">
        <v>1976.0</v>
      </c>
      <c r="K1372" s="1">
        <v>33.0</v>
      </c>
      <c r="L1372" s="1" t="s">
        <v>22</v>
      </c>
      <c r="M1372" s="1" t="s">
        <v>5528</v>
      </c>
      <c r="N1372" s="1" t="s">
        <v>34</v>
      </c>
      <c r="O1372" s="1" t="s">
        <v>25</v>
      </c>
      <c r="P1372" s="1" t="s">
        <v>5529</v>
      </c>
    </row>
    <row r="1373" ht="14.25" customHeight="1">
      <c r="A1373" s="1" t="s">
        <v>5530</v>
      </c>
      <c r="B1373" s="1" t="s">
        <v>5531</v>
      </c>
      <c r="C1373" s="1" t="s">
        <v>29</v>
      </c>
      <c r="D1373" s="1">
        <v>34652.0</v>
      </c>
      <c r="E1373" s="1" t="s">
        <v>77</v>
      </c>
      <c r="F1373" s="1" t="s">
        <v>20</v>
      </c>
      <c r="G1373" s="1" t="s">
        <v>55</v>
      </c>
      <c r="H1373" s="2">
        <v>2822.0</v>
      </c>
      <c r="I1373" s="2">
        <v>3325.0</v>
      </c>
      <c r="J1373" s="1">
        <v>1969.0</v>
      </c>
      <c r="K1373" s="1">
        <v>11.0</v>
      </c>
      <c r="L1373" s="1" t="s">
        <v>32</v>
      </c>
      <c r="M1373" s="1" t="s">
        <v>5532</v>
      </c>
      <c r="N1373" s="1" t="s">
        <v>48</v>
      </c>
      <c r="O1373" s="1" t="s">
        <v>49</v>
      </c>
      <c r="P1373" s="1" t="s">
        <v>5533</v>
      </c>
    </row>
    <row r="1374" ht="14.25" customHeight="1">
      <c r="A1374" s="1" t="s">
        <v>5534</v>
      </c>
      <c r="B1374" s="1" t="s">
        <v>5535</v>
      </c>
      <c r="C1374" s="1" t="s">
        <v>53</v>
      </c>
      <c r="D1374" s="1">
        <v>74325.0</v>
      </c>
      <c r="E1374" s="1" t="s">
        <v>19</v>
      </c>
      <c r="F1374" s="1" t="s">
        <v>41</v>
      </c>
      <c r="G1374" s="1" t="s">
        <v>100</v>
      </c>
      <c r="H1374" s="2">
        <v>1800.0</v>
      </c>
      <c r="I1374" s="2">
        <v>2208.0</v>
      </c>
      <c r="J1374" s="1">
        <v>2001.0</v>
      </c>
      <c r="K1374" s="1">
        <v>13.0</v>
      </c>
      <c r="L1374" s="1" t="s">
        <v>22</v>
      </c>
      <c r="M1374" s="1" t="s">
        <v>5536</v>
      </c>
      <c r="N1374" s="1" t="s">
        <v>48</v>
      </c>
      <c r="O1374" s="1" t="s">
        <v>49</v>
      </c>
      <c r="P1374" s="1" t="s">
        <v>5537</v>
      </c>
    </row>
    <row r="1375" ht="14.25" customHeight="1">
      <c r="A1375" s="1" t="s">
        <v>5538</v>
      </c>
      <c r="B1375" s="1" t="s">
        <v>5539</v>
      </c>
      <c r="C1375" s="1" t="s">
        <v>39</v>
      </c>
      <c r="D1375" s="1">
        <v>10634.0</v>
      </c>
      <c r="E1375" s="1" t="s">
        <v>60</v>
      </c>
      <c r="F1375" s="1" t="s">
        <v>46</v>
      </c>
      <c r="G1375" s="1" t="s">
        <v>21</v>
      </c>
      <c r="H1375" s="2">
        <v>2124.0</v>
      </c>
      <c r="I1375" s="2">
        <v>9831.0</v>
      </c>
      <c r="J1375" s="1">
        <v>2005.0</v>
      </c>
      <c r="K1375" s="1">
        <v>33.0</v>
      </c>
      <c r="L1375" s="1" t="s">
        <v>22</v>
      </c>
      <c r="M1375" s="1" t="s">
        <v>5540</v>
      </c>
      <c r="N1375" s="1" t="s">
        <v>24</v>
      </c>
      <c r="O1375" s="1" t="s">
        <v>25</v>
      </c>
      <c r="P1375" s="1" t="s">
        <v>5541</v>
      </c>
    </row>
    <row r="1376" ht="14.25" customHeight="1">
      <c r="A1376" s="1" t="s">
        <v>5542</v>
      </c>
      <c r="B1376" s="1" t="s">
        <v>5543</v>
      </c>
      <c r="C1376" s="1" t="s">
        <v>18</v>
      </c>
      <c r="D1376" s="1">
        <v>96555.0</v>
      </c>
      <c r="E1376" s="1" t="s">
        <v>77</v>
      </c>
      <c r="F1376" s="1" t="s">
        <v>20</v>
      </c>
      <c r="G1376" s="1" t="s">
        <v>31</v>
      </c>
      <c r="H1376" s="2">
        <v>3453.0</v>
      </c>
      <c r="I1376" s="2">
        <v>2386.0</v>
      </c>
      <c r="J1376" s="1">
        <v>2005.0</v>
      </c>
      <c r="K1376" s="1">
        <v>95.0</v>
      </c>
      <c r="L1376" s="1" t="s">
        <v>62</v>
      </c>
      <c r="M1376" s="1" t="s">
        <v>5544</v>
      </c>
      <c r="N1376" s="1" t="s">
        <v>24</v>
      </c>
      <c r="O1376" s="1" t="s">
        <v>35</v>
      </c>
      <c r="P1376" s="1" t="s">
        <v>5545</v>
      </c>
    </row>
    <row r="1377" ht="14.25" customHeight="1">
      <c r="A1377" s="1" t="s">
        <v>5546</v>
      </c>
      <c r="B1377" s="1" t="s">
        <v>5547</v>
      </c>
      <c r="C1377" s="1" t="s">
        <v>76</v>
      </c>
      <c r="D1377" s="1">
        <v>38222.0</v>
      </c>
      <c r="E1377" s="1" t="s">
        <v>19</v>
      </c>
      <c r="F1377" s="1" t="s">
        <v>54</v>
      </c>
      <c r="G1377" s="1" t="s">
        <v>55</v>
      </c>
      <c r="H1377" s="2">
        <v>883.0</v>
      </c>
      <c r="I1377" s="2">
        <v>2507.0</v>
      </c>
      <c r="J1377" s="1">
        <v>2015.0</v>
      </c>
      <c r="K1377" s="1">
        <v>116.0</v>
      </c>
      <c r="L1377" s="1" t="s">
        <v>62</v>
      </c>
      <c r="M1377" s="1" t="s">
        <v>5548</v>
      </c>
      <c r="N1377" s="1" t="s">
        <v>43</v>
      </c>
      <c r="O1377" s="1" t="s">
        <v>49</v>
      </c>
      <c r="P1377" s="1" t="s">
        <v>5549</v>
      </c>
    </row>
    <row r="1378" ht="14.25" customHeight="1">
      <c r="A1378" s="1" t="s">
        <v>5550</v>
      </c>
      <c r="B1378" s="1" t="s">
        <v>5551</v>
      </c>
      <c r="C1378" s="1" t="s">
        <v>53</v>
      </c>
      <c r="D1378" s="1">
        <v>21034.0</v>
      </c>
      <c r="E1378" s="1" t="s">
        <v>40</v>
      </c>
      <c r="F1378" s="1" t="s">
        <v>61</v>
      </c>
      <c r="G1378" s="1" t="s">
        <v>31</v>
      </c>
      <c r="H1378" s="2">
        <v>3708.0</v>
      </c>
      <c r="I1378" s="2">
        <v>7568.0</v>
      </c>
      <c r="J1378" s="1">
        <v>2022.0</v>
      </c>
      <c r="K1378" s="1">
        <v>25.0</v>
      </c>
      <c r="L1378" s="1" t="s">
        <v>62</v>
      </c>
      <c r="M1378" s="1" t="s">
        <v>5552</v>
      </c>
      <c r="N1378" s="1" t="s">
        <v>34</v>
      </c>
      <c r="O1378" s="1" t="s">
        <v>25</v>
      </c>
      <c r="P1378" s="1" t="s">
        <v>5553</v>
      </c>
    </row>
    <row r="1379" ht="14.25" customHeight="1">
      <c r="A1379" s="1" t="s">
        <v>5554</v>
      </c>
      <c r="B1379" s="1" t="s">
        <v>5555</v>
      </c>
      <c r="C1379" s="1" t="s">
        <v>39</v>
      </c>
      <c r="D1379" s="1">
        <v>81544.0</v>
      </c>
      <c r="E1379" s="1" t="s">
        <v>19</v>
      </c>
      <c r="F1379" s="1" t="s">
        <v>20</v>
      </c>
      <c r="G1379" s="1" t="s">
        <v>31</v>
      </c>
      <c r="H1379" s="2">
        <v>1487.0</v>
      </c>
      <c r="I1379" s="2">
        <v>7422.0</v>
      </c>
      <c r="J1379" s="1">
        <v>2006.0</v>
      </c>
      <c r="K1379" s="1">
        <v>62.0</v>
      </c>
      <c r="L1379" s="1" t="s">
        <v>62</v>
      </c>
      <c r="M1379" s="1" t="s">
        <v>3384</v>
      </c>
      <c r="N1379" s="1" t="s">
        <v>34</v>
      </c>
      <c r="O1379" s="1" t="s">
        <v>35</v>
      </c>
      <c r="P1379" s="1" t="s">
        <v>5556</v>
      </c>
    </row>
    <row r="1380" ht="14.25" customHeight="1">
      <c r="A1380" s="1" t="s">
        <v>5557</v>
      </c>
      <c r="B1380" s="1" t="s">
        <v>5558</v>
      </c>
      <c r="C1380" s="1" t="s">
        <v>76</v>
      </c>
      <c r="D1380" s="1">
        <v>80401.0</v>
      </c>
      <c r="E1380" s="1" t="s">
        <v>60</v>
      </c>
      <c r="F1380" s="1" t="s">
        <v>94</v>
      </c>
      <c r="G1380" s="1" t="s">
        <v>31</v>
      </c>
      <c r="H1380" s="2">
        <v>1925.0</v>
      </c>
      <c r="I1380" s="2">
        <v>6548.0</v>
      </c>
      <c r="J1380" s="1">
        <v>2010.0</v>
      </c>
      <c r="K1380" s="1">
        <v>111.0</v>
      </c>
      <c r="L1380" s="1" t="s">
        <v>32</v>
      </c>
      <c r="M1380" s="1" t="s">
        <v>5559</v>
      </c>
      <c r="N1380" s="1" t="s">
        <v>43</v>
      </c>
      <c r="O1380" s="1" t="s">
        <v>49</v>
      </c>
      <c r="P1380" s="1" t="s">
        <v>5560</v>
      </c>
    </row>
    <row r="1381" ht="14.25" customHeight="1">
      <c r="A1381" s="1" t="s">
        <v>5561</v>
      </c>
      <c r="B1381" s="1" t="s">
        <v>5562</v>
      </c>
      <c r="C1381" s="1" t="s">
        <v>53</v>
      </c>
      <c r="D1381" s="1">
        <v>19196.0</v>
      </c>
      <c r="E1381" s="1" t="s">
        <v>77</v>
      </c>
      <c r="F1381" s="1" t="s">
        <v>61</v>
      </c>
      <c r="G1381" s="1" t="s">
        <v>31</v>
      </c>
      <c r="H1381" s="2">
        <v>1184.0</v>
      </c>
      <c r="I1381" s="2">
        <v>4411.0</v>
      </c>
      <c r="J1381" s="1">
        <v>1982.0</v>
      </c>
      <c r="K1381" s="1">
        <v>4.0</v>
      </c>
      <c r="L1381" s="1" t="s">
        <v>95</v>
      </c>
      <c r="M1381" s="1" t="s">
        <v>5563</v>
      </c>
      <c r="N1381" s="1" t="s">
        <v>34</v>
      </c>
      <c r="O1381" s="1" t="s">
        <v>35</v>
      </c>
      <c r="P1381" s="1" t="s">
        <v>5564</v>
      </c>
    </row>
    <row r="1382" ht="14.25" customHeight="1">
      <c r="A1382" s="1" t="s">
        <v>5565</v>
      </c>
      <c r="B1382" s="1" t="s">
        <v>5566</v>
      </c>
      <c r="C1382" s="1" t="s">
        <v>39</v>
      </c>
      <c r="D1382" s="1">
        <v>95536.0</v>
      </c>
      <c r="E1382" s="1" t="s">
        <v>40</v>
      </c>
      <c r="F1382" s="1" t="s">
        <v>94</v>
      </c>
      <c r="G1382" s="1" t="s">
        <v>21</v>
      </c>
      <c r="H1382" s="2">
        <v>2612.0</v>
      </c>
      <c r="I1382" s="2">
        <v>1105.0</v>
      </c>
      <c r="J1382" s="1">
        <v>1978.0</v>
      </c>
      <c r="K1382" s="1">
        <v>88.0</v>
      </c>
      <c r="L1382" s="1" t="s">
        <v>95</v>
      </c>
      <c r="M1382" s="1" t="s">
        <v>5567</v>
      </c>
      <c r="N1382" s="1" t="s">
        <v>48</v>
      </c>
      <c r="O1382" s="1" t="s">
        <v>49</v>
      </c>
      <c r="P1382" s="1" t="s">
        <v>5568</v>
      </c>
    </row>
    <row r="1383" ht="14.25" customHeight="1">
      <c r="A1383" s="1" t="s">
        <v>5569</v>
      </c>
      <c r="B1383" s="1" t="s">
        <v>5570</v>
      </c>
      <c r="C1383" s="1" t="s">
        <v>18</v>
      </c>
      <c r="D1383" s="1">
        <v>90961.0</v>
      </c>
      <c r="E1383" s="1" t="s">
        <v>30</v>
      </c>
      <c r="F1383" s="1" t="s">
        <v>41</v>
      </c>
      <c r="G1383" s="1" t="s">
        <v>31</v>
      </c>
      <c r="H1383" s="2">
        <v>1360.0</v>
      </c>
      <c r="I1383" s="2">
        <v>8848.0</v>
      </c>
      <c r="J1383" s="1">
        <v>2019.0</v>
      </c>
      <c r="K1383" s="1">
        <v>42.0</v>
      </c>
      <c r="L1383" s="1" t="s">
        <v>95</v>
      </c>
      <c r="M1383" s="1" t="s">
        <v>5571</v>
      </c>
      <c r="N1383" s="1" t="s">
        <v>48</v>
      </c>
      <c r="O1383" s="1" t="s">
        <v>35</v>
      </c>
      <c r="P1383" s="1" t="s">
        <v>5572</v>
      </c>
    </row>
    <row r="1384" ht="14.25" customHeight="1">
      <c r="A1384" s="1" t="s">
        <v>5573</v>
      </c>
      <c r="B1384" s="1" t="s">
        <v>5574</v>
      </c>
      <c r="C1384" s="1" t="s">
        <v>18</v>
      </c>
      <c r="D1384" s="1">
        <v>56099.0</v>
      </c>
      <c r="E1384" s="1" t="s">
        <v>60</v>
      </c>
      <c r="F1384" s="1" t="s">
        <v>20</v>
      </c>
      <c r="G1384" s="1" t="s">
        <v>21</v>
      </c>
      <c r="H1384" s="2">
        <v>1992.0</v>
      </c>
      <c r="I1384" s="2">
        <v>9030.0</v>
      </c>
      <c r="J1384" s="1">
        <v>2012.0</v>
      </c>
      <c r="K1384" s="1">
        <v>108.0</v>
      </c>
      <c r="L1384" s="1" t="s">
        <v>62</v>
      </c>
      <c r="M1384" s="1" t="s">
        <v>5575</v>
      </c>
      <c r="N1384" s="1" t="s">
        <v>34</v>
      </c>
      <c r="O1384" s="1" t="s">
        <v>49</v>
      </c>
      <c r="P1384" s="1" t="s">
        <v>5576</v>
      </c>
    </row>
    <row r="1385" ht="14.25" customHeight="1">
      <c r="A1385" s="1" t="s">
        <v>5577</v>
      </c>
      <c r="B1385" s="1" t="s">
        <v>5578</v>
      </c>
      <c r="C1385" s="1" t="s">
        <v>18</v>
      </c>
      <c r="D1385" s="1">
        <v>97907.0</v>
      </c>
      <c r="E1385" s="1" t="s">
        <v>30</v>
      </c>
      <c r="F1385" s="1" t="s">
        <v>94</v>
      </c>
      <c r="G1385" s="1" t="s">
        <v>100</v>
      </c>
      <c r="H1385" s="2">
        <v>3076.0</v>
      </c>
      <c r="I1385" s="2">
        <v>2553.0</v>
      </c>
      <c r="J1385" s="1">
        <v>1993.0</v>
      </c>
      <c r="K1385" s="1">
        <v>19.0</v>
      </c>
      <c r="L1385" s="1" t="s">
        <v>32</v>
      </c>
      <c r="M1385" s="1" t="s">
        <v>5579</v>
      </c>
      <c r="N1385" s="1" t="s">
        <v>48</v>
      </c>
      <c r="O1385" s="1" t="s">
        <v>35</v>
      </c>
      <c r="P1385" s="1" t="s">
        <v>5580</v>
      </c>
    </row>
    <row r="1386" ht="14.25" customHeight="1">
      <c r="A1386" s="1" t="s">
        <v>5581</v>
      </c>
      <c r="B1386" s="1" t="s">
        <v>5582</v>
      </c>
      <c r="C1386" s="1" t="s">
        <v>76</v>
      </c>
      <c r="D1386" s="1">
        <v>12051.0</v>
      </c>
      <c r="E1386" s="1" t="s">
        <v>77</v>
      </c>
      <c r="F1386" s="1" t="s">
        <v>41</v>
      </c>
      <c r="G1386" s="1" t="s">
        <v>100</v>
      </c>
      <c r="H1386" s="2">
        <v>2084.0</v>
      </c>
      <c r="I1386" s="2">
        <v>6688.0</v>
      </c>
      <c r="J1386" s="1">
        <v>2000.0</v>
      </c>
      <c r="K1386" s="1">
        <v>52.0</v>
      </c>
      <c r="L1386" s="1" t="s">
        <v>62</v>
      </c>
      <c r="M1386" s="1" t="s">
        <v>5583</v>
      </c>
      <c r="N1386" s="1" t="s">
        <v>24</v>
      </c>
      <c r="O1386" s="1" t="s">
        <v>49</v>
      </c>
      <c r="P1386" s="1" t="s">
        <v>5584</v>
      </c>
    </row>
    <row r="1387" ht="14.25" customHeight="1">
      <c r="A1387" s="1" t="s">
        <v>5585</v>
      </c>
      <c r="B1387" s="1" t="s">
        <v>5586</v>
      </c>
      <c r="C1387" s="1" t="s">
        <v>76</v>
      </c>
      <c r="D1387" s="1">
        <v>17955.0</v>
      </c>
      <c r="E1387" s="1" t="s">
        <v>60</v>
      </c>
      <c r="F1387" s="1" t="s">
        <v>94</v>
      </c>
      <c r="G1387" s="1" t="s">
        <v>31</v>
      </c>
      <c r="H1387" s="2">
        <v>3658.0</v>
      </c>
      <c r="I1387" s="2">
        <v>7861.0</v>
      </c>
      <c r="J1387" s="1">
        <v>1964.0</v>
      </c>
      <c r="K1387" s="1">
        <v>29.0</v>
      </c>
      <c r="L1387" s="1" t="s">
        <v>141</v>
      </c>
      <c r="M1387" s="1" t="s">
        <v>5587</v>
      </c>
      <c r="N1387" s="1" t="s">
        <v>64</v>
      </c>
      <c r="O1387" s="1" t="s">
        <v>49</v>
      </c>
      <c r="P1387" s="1" t="s">
        <v>5588</v>
      </c>
    </row>
    <row r="1388" ht="14.25" customHeight="1">
      <c r="A1388" s="1" t="s">
        <v>5589</v>
      </c>
      <c r="B1388" s="1" t="s">
        <v>5590</v>
      </c>
      <c r="C1388" s="1" t="s">
        <v>53</v>
      </c>
      <c r="D1388" s="1">
        <v>49084.0</v>
      </c>
      <c r="E1388" s="1" t="s">
        <v>30</v>
      </c>
      <c r="F1388" s="1" t="s">
        <v>46</v>
      </c>
      <c r="G1388" s="1" t="s">
        <v>21</v>
      </c>
      <c r="H1388" s="2">
        <v>3649.0</v>
      </c>
      <c r="I1388" s="2">
        <v>2142.0</v>
      </c>
      <c r="J1388" s="1">
        <v>1996.0</v>
      </c>
      <c r="K1388" s="1">
        <v>20.0</v>
      </c>
      <c r="L1388" s="1" t="s">
        <v>141</v>
      </c>
      <c r="M1388" s="1" t="s">
        <v>5591</v>
      </c>
      <c r="N1388" s="1" t="s">
        <v>64</v>
      </c>
      <c r="O1388" s="1" t="s">
        <v>49</v>
      </c>
      <c r="P1388" s="1" t="s">
        <v>5592</v>
      </c>
    </row>
    <row r="1389" ht="14.25" customHeight="1">
      <c r="A1389" s="1" t="s">
        <v>5593</v>
      </c>
      <c r="B1389" s="1" t="s">
        <v>5594</v>
      </c>
      <c r="C1389" s="1" t="s">
        <v>18</v>
      </c>
      <c r="D1389" s="1">
        <v>81454.0</v>
      </c>
      <c r="E1389" s="1" t="s">
        <v>60</v>
      </c>
      <c r="F1389" s="1" t="s">
        <v>94</v>
      </c>
      <c r="G1389" s="1" t="s">
        <v>31</v>
      </c>
      <c r="H1389" s="2">
        <v>2670.0</v>
      </c>
      <c r="I1389" s="2">
        <v>4676.0</v>
      </c>
      <c r="J1389" s="1">
        <v>1958.0</v>
      </c>
      <c r="K1389" s="1">
        <v>69.0</v>
      </c>
      <c r="L1389" s="1" t="s">
        <v>62</v>
      </c>
      <c r="M1389" s="1" t="s">
        <v>5595</v>
      </c>
      <c r="N1389" s="1" t="s">
        <v>34</v>
      </c>
      <c r="O1389" s="1" t="s">
        <v>49</v>
      </c>
      <c r="P1389" s="1" t="s">
        <v>5596</v>
      </c>
    </row>
    <row r="1390" ht="14.25" customHeight="1">
      <c r="A1390" s="1" t="s">
        <v>5597</v>
      </c>
      <c r="B1390" s="1" t="s">
        <v>5598</v>
      </c>
      <c r="C1390" s="1" t="s">
        <v>18</v>
      </c>
      <c r="D1390" s="1">
        <v>73076.0</v>
      </c>
      <c r="E1390" s="1" t="s">
        <v>77</v>
      </c>
      <c r="F1390" s="1" t="s">
        <v>54</v>
      </c>
      <c r="G1390" s="1" t="s">
        <v>100</v>
      </c>
      <c r="H1390" s="2">
        <v>3596.0</v>
      </c>
      <c r="I1390" s="2">
        <v>8005.0</v>
      </c>
      <c r="J1390" s="1">
        <v>1977.0</v>
      </c>
      <c r="K1390" s="1">
        <v>20.0</v>
      </c>
      <c r="L1390" s="1" t="s">
        <v>32</v>
      </c>
      <c r="M1390" s="1" t="s">
        <v>5599</v>
      </c>
      <c r="N1390" s="1" t="s">
        <v>48</v>
      </c>
      <c r="O1390" s="1" t="s">
        <v>25</v>
      </c>
      <c r="P1390" s="1" t="s">
        <v>5600</v>
      </c>
    </row>
    <row r="1391" ht="14.25" customHeight="1">
      <c r="A1391" s="1" t="s">
        <v>5601</v>
      </c>
      <c r="B1391" s="1" t="s">
        <v>5602</v>
      </c>
      <c r="C1391" s="1" t="s">
        <v>53</v>
      </c>
      <c r="D1391" s="1">
        <v>71720.0</v>
      </c>
      <c r="E1391" s="1" t="s">
        <v>60</v>
      </c>
      <c r="F1391" s="1" t="s">
        <v>94</v>
      </c>
      <c r="G1391" s="1" t="s">
        <v>31</v>
      </c>
      <c r="H1391" s="2">
        <v>1465.0</v>
      </c>
      <c r="I1391" s="2">
        <v>9439.0</v>
      </c>
      <c r="J1391" s="1">
        <v>1994.0</v>
      </c>
      <c r="K1391" s="1">
        <v>74.0</v>
      </c>
      <c r="L1391" s="1" t="s">
        <v>62</v>
      </c>
      <c r="M1391" s="1" t="s">
        <v>5603</v>
      </c>
      <c r="N1391" s="1" t="s">
        <v>64</v>
      </c>
      <c r="O1391" s="1" t="s">
        <v>49</v>
      </c>
      <c r="P1391" s="1" t="s">
        <v>5604</v>
      </c>
    </row>
    <row r="1392" ht="14.25" customHeight="1">
      <c r="A1392" s="1" t="s">
        <v>5605</v>
      </c>
      <c r="B1392" s="1" t="s">
        <v>5606</v>
      </c>
      <c r="C1392" s="1" t="s">
        <v>39</v>
      </c>
      <c r="D1392" s="1">
        <v>46598.0</v>
      </c>
      <c r="E1392" s="1" t="s">
        <v>30</v>
      </c>
      <c r="F1392" s="1" t="s">
        <v>41</v>
      </c>
      <c r="G1392" s="1" t="s">
        <v>31</v>
      </c>
      <c r="H1392" s="2">
        <v>1017.0</v>
      </c>
      <c r="I1392" s="2">
        <v>6096.0</v>
      </c>
      <c r="J1392" s="1">
        <v>2016.0</v>
      </c>
      <c r="K1392" s="1">
        <v>76.0</v>
      </c>
      <c r="L1392" s="1" t="s">
        <v>95</v>
      </c>
      <c r="M1392" s="1" t="s">
        <v>5607</v>
      </c>
      <c r="N1392" s="1" t="s">
        <v>24</v>
      </c>
      <c r="O1392" s="1" t="s">
        <v>25</v>
      </c>
      <c r="P1392" s="1" t="s">
        <v>5608</v>
      </c>
    </row>
    <row r="1393" ht="14.25" customHeight="1">
      <c r="A1393" s="1" t="s">
        <v>5609</v>
      </c>
      <c r="B1393" s="1" t="s">
        <v>5610</v>
      </c>
      <c r="C1393" s="1" t="s">
        <v>29</v>
      </c>
      <c r="D1393" s="1">
        <v>42023.0</v>
      </c>
      <c r="E1393" s="1" t="s">
        <v>19</v>
      </c>
      <c r="F1393" s="1" t="s">
        <v>41</v>
      </c>
      <c r="G1393" s="1" t="s">
        <v>55</v>
      </c>
      <c r="H1393" s="2">
        <v>2201.0</v>
      </c>
      <c r="I1393" s="2">
        <v>1491.0</v>
      </c>
      <c r="J1393" s="1">
        <v>1954.0</v>
      </c>
      <c r="K1393" s="1">
        <v>25.0</v>
      </c>
      <c r="L1393" s="1" t="s">
        <v>141</v>
      </c>
      <c r="M1393" s="1" t="s">
        <v>5611</v>
      </c>
      <c r="N1393" s="1" t="s">
        <v>24</v>
      </c>
      <c r="O1393" s="1" t="s">
        <v>35</v>
      </c>
      <c r="P1393" s="1" t="s">
        <v>5612</v>
      </c>
    </row>
    <row r="1394" ht="14.25" customHeight="1">
      <c r="A1394" s="1" t="s">
        <v>5613</v>
      </c>
      <c r="B1394" s="1" t="s">
        <v>5614</v>
      </c>
      <c r="C1394" s="1" t="s">
        <v>53</v>
      </c>
      <c r="D1394" s="1">
        <v>73076.0</v>
      </c>
      <c r="E1394" s="1" t="s">
        <v>30</v>
      </c>
      <c r="F1394" s="1" t="s">
        <v>20</v>
      </c>
      <c r="G1394" s="1" t="s">
        <v>55</v>
      </c>
      <c r="H1394" s="2">
        <v>1032.0</v>
      </c>
      <c r="I1394" s="2">
        <v>8275.0</v>
      </c>
      <c r="J1394" s="1">
        <v>2011.0</v>
      </c>
      <c r="K1394" s="1">
        <v>97.0</v>
      </c>
      <c r="L1394" s="1" t="s">
        <v>62</v>
      </c>
      <c r="M1394" s="1" t="s">
        <v>5615</v>
      </c>
      <c r="N1394" s="1" t="s">
        <v>64</v>
      </c>
      <c r="O1394" s="1" t="s">
        <v>25</v>
      </c>
      <c r="P1394" s="1" t="s">
        <v>5616</v>
      </c>
    </row>
    <row r="1395" ht="14.25" customHeight="1">
      <c r="A1395" s="1" t="s">
        <v>5617</v>
      </c>
      <c r="B1395" s="1" t="s">
        <v>5618</v>
      </c>
      <c r="C1395" s="1" t="s">
        <v>53</v>
      </c>
      <c r="D1395" s="1">
        <v>83705.0</v>
      </c>
      <c r="E1395" s="1" t="s">
        <v>30</v>
      </c>
      <c r="F1395" s="1" t="s">
        <v>41</v>
      </c>
      <c r="G1395" s="1" t="s">
        <v>55</v>
      </c>
      <c r="H1395" s="2">
        <v>2611.0</v>
      </c>
      <c r="I1395" s="2">
        <v>6027.0</v>
      </c>
      <c r="J1395" s="1">
        <v>2001.0</v>
      </c>
      <c r="K1395" s="1">
        <v>16.0</v>
      </c>
      <c r="L1395" s="1" t="s">
        <v>22</v>
      </c>
      <c r="M1395" s="1" t="s">
        <v>5619</v>
      </c>
      <c r="N1395" s="1" t="s">
        <v>48</v>
      </c>
      <c r="O1395" s="1" t="s">
        <v>35</v>
      </c>
      <c r="P1395" s="1" t="s">
        <v>5620</v>
      </c>
    </row>
    <row r="1396" ht="14.25" customHeight="1">
      <c r="A1396" s="1" t="s">
        <v>5621</v>
      </c>
      <c r="B1396" s="1" t="s">
        <v>5622</v>
      </c>
      <c r="C1396" s="1" t="s">
        <v>39</v>
      </c>
      <c r="D1396" s="1">
        <v>63825.0</v>
      </c>
      <c r="E1396" s="1" t="s">
        <v>30</v>
      </c>
      <c r="F1396" s="1" t="s">
        <v>54</v>
      </c>
      <c r="G1396" s="1" t="s">
        <v>21</v>
      </c>
      <c r="H1396" s="2">
        <v>1983.0</v>
      </c>
      <c r="I1396" s="2">
        <v>2730.0</v>
      </c>
      <c r="J1396" s="1">
        <v>1998.0</v>
      </c>
      <c r="K1396" s="1">
        <v>81.0</v>
      </c>
      <c r="L1396" s="1" t="s">
        <v>32</v>
      </c>
      <c r="M1396" s="1" t="s">
        <v>5623</v>
      </c>
      <c r="N1396" s="1" t="s">
        <v>34</v>
      </c>
      <c r="O1396" s="1" t="s">
        <v>35</v>
      </c>
      <c r="P1396" s="1" t="s">
        <v>5624</v>
      </c>
    </row>
    <row r="1397" ht="14.25" customHeight="1">
      <c r="A1397" s="1" t="s">
        <v>5625</v>
      </c>
      <c r="B1397" s="1" t="s">
        <v>5626</v>
      </c>
      <c r="C1397" s="1" t="s">
        <v>18</v>
      </c>
      <c r="D1397" s="1">
        <v>51725.0</v>
      </c>
      <c r="E1397" s="1" t="s">
        <v>30</v>
      </c>
      <c r="F1397" s="1" t="s">
        <v>46</v>
      </c>
      <c r="G1397" s="1" t="s">
        <v>31</v>
      </c>
      <c r="H1397" s="2">
        <v>1760.0</v>
      </c>
      <c r="I1397" s="2">
        <v>5578.0</v>
      </c>
      <c r="J1397" s="1">
        <v>1977.0</v>
      </c>
      <c r="K1397" s="1">
        <v>42.0</v>
      </c>
      <c r="L1397" s="1" t="s">
        <v>141</v>
      </c>
      <c r="M1397" s="1" t="s">
        <v>5627</v>
      </c>
      <c r="N1397" s="1" t="s">
        <v>43</v>
      </c>
      <c r="O1397" s="1" t="s">
        <v>35</v>
      </c>
      <c r="P1397" s="1" t="s">
        <v>5628</v>
      </c>
    </row>
    <row r="1398" ht="14.25" customHeight="1">
      <c r="A1398" s="1" t="s">
        <v>5629</v>
      </c>
      <c r="B1398" s="1" t="s">
        <v>5630</v>
      </c>
      <c r="C1398" s="1" t="s">
        <v>53</v>
      </c>
      <c r="D1398" s="1">
        <v>31656.0</v>
      </c>
      <c r="E1398" s="1" t="s">
        <v>60</v>
      </c>
      <c r="F1398" s="1" t="s">
        <v>46</v>
      </c>
      <c r="G1398" s="1" t="s">
        <v>31</v>
      </c>
      <c r="H1398" s="2">
        <v>828.0</v>
      </c>
      <c r="I1398" s="2">
        <v>7868.0</v>
      </c>
      <c r="J1398" s="1">
        <v>2006.0</v>
      </c>
      <c r="K1398" s="1">
        <v>41.0</v>
      </c>
      <c r="L1398" s="1" t="s">
        <v>22</v>
      </c>
      <c r="M1398" s="1" t="s">
        <v>5631</v>
      </c>
      <c r="N1398" s="1" t="s">
        <v>24</v>
      </c>
      <c r="O1398" s="1" t="s">
        <v>25</v>
      </c>
      <c r="P1398" s="1" t="s">
        <v>5632</v>
      </c>
    </row>
    <row r="1399" ht="14.25" customHeight="1">
      <c r="A1399" s="1" t="s">
        <v>5633</v>
      </c>
      <c r="B1399" s="1" t="s">
        <v>5634</v>
      </c>
      <c r="C1399" s="1" t="s">
        <v>39</v>
      </c>
      <c r="D1399" s="1">
        <v>40452.0</v>
      </c>
      <c r="E1399" s="1" t="s">
        <v>40</v>
      </c>
      <c r="F1399" s="1" t="s">
        <v>94</v>
      </c>
      <c r="G1399" s="1" t="s">
        <v>21</v>
      </c>
      <c r="H1399" s="2">
        <v>2888.0</v>
      </c>
      <c r="I1399" s="2">
        <v>5532.0</v>
      </c>
      <c r="J1399" s="1">
        <v>1975.0</v>
      </c>
      <c r="K1399" s="1">
        <v>16.0</v>
      </c>
      <c r="L1399" s="1" t="s">
        <v>62</v>
      </c>
      <c r="M1399" s="1" t="s">
        <v>5635</v>
      </c>
      <c r="N1399" s="1" t="s">
        <v>24</v>
      </c>
      <c r="O1399" s="1" t="s">
        <v>25</v>
      </c>
      <c r="P1399" s="1" t="s">
        <v>5636</v>
      </c>
    </row>
    <row r="1400" ht="14.25" customHeight="1">
      <c r="A1400" s="1" t="s">
        <v>5637</v>
      </c>
      <c r="B1400" s="1" t="s">
        <v>5638</v>
      </c>
      <c r="C1400" s="1" t="s">
        <v>39</v>
      </c>
      <c r="D1400" s="1">
        <v>45299.0</v>
      </c>
      <c r="E1400" s="1" t="s">
        <v>19</v>
      </c>
      <c r="F1400" s="1" t="s">
        <v>61</v>
      </c>
      <c r="G1400" s="1" t="s">
        <v>21</v>
      </c>
      <c r="H1400" s="2">
        <v>3987.0</v>
      </c>
      <c r="I1400" s="2">
        <v>8329.0</v>
      </c>
      <c r="J1400" s="1">
        <v>2001.0</v>
      </c>
      <c r="K1400" s="1">
        <v>112.0</v>
      </c>
      <c r="L1400" s="1" t="s">
        <v>22</v>
      </c>
      <c r="M1400" s="1" t="s">
        <v>5639</v>
      </c>
      <c r="N1400" s="1" t="s">
        <v>24</v>
      </c>
      <c r="O1400" s="1" t="s">
        <v>35</v>
      </c>
      <c r="P1400" s="1" t="s">
        <v>5640</v>
      </c>
    </row>
    <row r="1401" ht="14.25" customHeight="1">
      <c r="A1401" s="1" t="s">
        <v>5641</v>
      </c>
      <c r="B1401" s="1" t="s">
        <v>5642</v>
      </c>
      <c r="C1401" s="1" t="s">
        <v>18</v>
      </c>
      <c r="D1401" s="1">
        <v>69638.0</v>
      </c>
      <c r="E1401" s="1" t="s">
        <v>40</v>
      </c>
      <c r="F1401" s="1" t="s">
        <v>94</v>
      </c>
      <c r="G1401" s="1" t="s">
        <v>55</v>
      </c>
      <c r="H1401" s="2">
        <v>2838.0</v>
      </c>
      <c r="I1401" s="2">
        <v>8692.0</v>
      </c>
      <c r="J1401" s="1">
        <v>1986.0</v>
      </c>
      <c r="K1401" s="1">
        <v>93.0</v>
      </c>
      <c r="L1401" s="1" t="s">
        <v>95</v>
      </c>
      <c r="M1401" s="1" t="s">
        <v>5643</v>
      </c>
      <c r="N1401" s="1" t="s">
        <v>43</v>
      </c>
      <c r="O1401" s="1" t="s">
        <v>25</v>
      </c>
      <c r="P1401" s="1" t="s">
        <v>5644</v>
      </c>
    </row>
    <row r="1402" ht="14.25" customHeight="1">
      <c r="A1402" s="1" t="s">
        <v>5645</v>
      </c>
      <c r="B1402" s="1" t="s">
        <v>5646</v>
      </c>
      <c r="C1402" s="1" t="s">
        <v>53</v>
      </c>
      <c r="D1402" s="1">
        <v>85976.0</v>
      </c>
      <c r="E1402" s="1" t="s">
        <v>19</v>
      </c>
      <c r="F1402" s="1" t="s">
        <v>54</v>
      </c>
      <c r="G1402" s="1" t="s">
        <v>100</v>
      </c>
      <c r="H1402" s="2">
        <v>1067.0</v>
      </c>
      <c r="I1402" s="2">
        <v>8832.0</v>
      </c>
      <c r="J1402" s="1">
        <v>2009.0</v>
      </c>
      <c r="K1402" s="1">
        <v>2.0</v>
      </c>
      <c r="L1402" s="1" t="s">
        <v>22</v>
      </c>
      <c r="M1402" s="1" t="s">
        <v>5647</v>
      </c>
      <c r="N1402" s="1" t="s">
        <v>24</v>
      </c>
      <c r="O1402" s="1" t="s">
        <v>49</v>
      </c>
      <c r="P1402" s="1" t="s">
        <v>5648</v>
      </c>
    </row>
    <row r="1403" ht="14.25" customHeight="1">
      <c r="A1403" s="1" t="s">
        <v>5649</v>
      </c>
      <c r="B1403" s="1" t="s">
        <v>5650</v>
      </c>
      <c r="C1403" s="1" t="s">
        <v>76</v>
      </c>
      <c r="D1403" s="1">
        <v>15650.0</v>
      </c>
      <c r="E1403" s="1" t="s">
        <v>60</v>
      </c>
      <c r="F1403" s="1" t="s">
        <v>46</v>
      </c>
      <c r="G1403" s="1" t="s">
        <v>55</v>
      </c>
      <c r="H1403" s="2">
        <v>3499.0</v>
      </c>
      <c r="I1403" s="2">
        <v>8593.0</v>
      </c>
      <c r="J1403" s="1">
        <v>1988.0</v>
      </c>
      <c r="K1403" s="1">
        <v>23.0</v>
      </c>
      <c r="L1403" s="1" t="s">
        <v>62</v>
      </c>
      <c r="M1403" s="1" t="s">
        <v>5651</v>
      </c>
      <c r="N1403" s="1" t="s">
        <v>48</v>
      </c>
      <c r="O1403" s="1" t="s">
        <v>49</v>
      </c>
      <c r="P1403" s="1" t="s">
        <v>5652</v>
      </c>
    </row>
    <row r="1404" ht="14.25" customHeight="1">
      <c r="A1404" s="1" t="s">
        <v>5653</v>
      </c>
      <c r="B1404" s="1" t="s">
        <v>5654</v>
      </c>
      <c r="C1404" s="1" t="s">
        <v>76</v>
      </c>
      <c r="D1404" s="1">
        <v>48296.0</v>
      </c>
      <c r="E1404" s="1" t="s">
        <v>19</v>
      </c>
      <c r="F1404" s="1" t="s">
        <v>94</v>
      </c>
      <c r="G1404" s="1" t="s">
        <v>21</v>
      </c>
      <c r="H1404" s="2">
        <v>3181.0</v>
      </c>
      <c r="I1404" s="2">
        <v>4774.0</v>
      </c>
      <c r="J1404" s="1">
        <v>2016.0</v>
      </c>
      <c r="K1404" s="1">
        <v>77.0</v>
      </c>
      <c r="L1404" s="1" t="s">
        <v>22</v>
      </c>
      <c r="M1404" s="1" t="s">
        <v>5655</v>
      </c>
      <c r="N1404" s="1" t="s">
        <v>34</v>
      </c>
      <c r="O1404" s="1" t="s">
        <v>25</v>
      </c>
      <c r="P1404" s="1" t="s">
        <v>5656</v>
      </c>
    </row>
    <row r="1405" ht="14.25" customHeight="1">
      <c r="A1405" s="1" t="s">
        <v>5657</v>
      </c>
      <c r="B1405" s="1" t="s">
        <v>5658</v>
      </c>
      <c r="C1405" s="1" t="s">
        <v>29</v>
      </c>
      <c r="D1405" s="1">
        <v>32435.0</v>
      </c>
      <c r="E1405" s="1" t="s">
        <v>19</v>
      </c>
      <c r="F1405" s="1" t="s">
        <v>41</v>
      </c>
      <c r="G1405" s="1" t="s">
        <v>100</v>
      </c>
      <c r="H1405" s="2">
        <v>3202.0</v>
      </c>
      <c r="I1405" s="2">
        <v>6081.0</v>
      </c>
      <c r="J1405" s="1">
        <v>2010.0</v>
      </c>
      <c r="K1405" s="1">
        <v>76.0</v>
      </c>
      <c r="L1405" s="1" t="s">
        <v>62</v>
      </c>
      <c r="M1405" s="1" t="s">
        <v>5659</v>
      </c>
      <c r="N1405" s="1" t="s">
        <v>48</v>
      </c>
      <c r="O1405" s="1" t="s">
        <v>35</v>
      </c>
      <c r="P1405" s="1" t="s">
        <v>5660</v>
      </c>
    </row>
    <row r="1406" ht="14.25" customHeight="1">
      <c r="A1406" s="1" t="s">
        <v>5661</v>
      </c>
      <c r="B1406" s="1" t="s">
        <v>5662</v>
      </c>
      <c r="C1406" s="1" t="s">
        <v>53</v>
      </c>
      <c r="D1406" s="1">
        <v>83851.0</v>
      </c>
      <c r="E1406" s="1" t="s">
        <v>30</v>
      </c>
      <c r="F1406" s="1" t="s">
        <v>94</v>
      </c>
      <c r="G1406" s="1" t="s">
        <v>100</v>
      </c>
      <c r="H1406" s="2">
        <v>3285.0</v>
      </c>
      <c r="I1406" s="2">
        <v>5456.0</v>
      </c>
      <c r="J1406" s="1">
        <v>1997.0</v>
      </c>
      <c r="K1406" s="1">
        <v>110.0</v>
      </c>
      <c r="L1406" s="1" t="s">
        <v>141</v>
      </c>
      <c r="M1406" s="1" t="s">
        <v>5663</v>
      </c>
      <c r="N1406" s="1" t="s">
        <v>43</v>
      </c>
      <c r="O1406" s="1" t="s">
        <v>35</v>
      </c>
      <c r="P1406" s="1" t="s">
        <v>5664</v>
      </c>
    </row>
    <row r="1407" ht="14.25" customHeight="1">
      <c r="A1407" s="1" t="s">
        <v>5665</v>
      </c>
      <c r="B1407" s="1" t="s">
        <v>5666</v>
      </c>
      <c r="C1407" s="1" t="s">
        <v>53</v>
      </c>
      <c r="D1407" s="1">
        <v>46718.0</v>
      </c>
      <c r="E1407" s="1" t="s">
        <v>60</v>
      </c>
      <c r="F1407" s="1" t="s">
        <v>94</v>
      </c>
      <c r="G1407" s="1" t="s">
        <v>31</v>
      </c>
      <c r="H1407" s="2">
        <v>3308.0</v>
      </c>
      <c r="I1407" s="2">
        <v>8436.0</v>
      </c>
      <c r="J1407" s="1">
        <v>1961.0</v>
      </c>
      <c r="K1407" s="1">
        <v>42.0</v>
      </c>
      <c r="L1407" s="1" t="s">
        <v>62</v>
      </c>
      <c r="M1407" s="1" t="s">
        <v>5667</v>
      </c>
      <c r="N1407" s="1" t="s">
        <v>48</v>
      </c>
      <c r="O1407" s="1" t="s">
        <v>49</v>
      </c>
      <c r="P1407" s="1" t="s">
        <v>5668</v>
      </c>
    </row>
    <row r="1408" ht="14.25" customHeight="1">
      <c r="A1408" s="1" t="s">
        <v>5669</v>
      </c>
      <c r="B1408" s="1" t="s">
        <v>5670</v>
      </c>
      <c r="C1408" s="1" t="s">
        <v>18</v>
      </c>
      <c r="D1408" s="1">
        <v>37003.0</v>
      </c>
      <c r="E1408" s="1" t="s">
        <v>60</v>
      </c>
      <c r="F1408" s="1" t="s">
        <v>46</v>
      </c>
      <c r="G1408" s="1" t="s">
        <v>21</v>
      </c>
      <c r="H1408" s="2">
        <v>2115.0</v>
      </c>
      <c r="I1408" s="2">
        <v>4347.0</v>
      </c>
      <c r="J1408" s="1">
        <v>1992.0</v>
      </c>
      <c r="K1408" s="1">
        <v>19.0</v>
      </c>
      <c r="L1408" s="1" t="s">
        <v>141</v>
      </c>
      <c r="M1408" s="1" t="s">
        <v>5671</v>
      </c>
      <c r="N1408" s="1" t="s">
        <v>24</v>
      </c>
      <c r="O1408" s="1" t="s">
        <v>49</v>
      </c>
      <c r="P1408" s="1" t="s">
        <v>5672</v>
      </c>
    </row>
    <row r="1409" ht="14.25" customHeight="1">
      <c r="A1409" s="1" t="s">
        <v>5673</v>
      </c>
      <c r="B1409" s="1" t="s">
        <v>5674</v>
      </c>
      <c r="C1409" s="1" t="s">
        <v>39</v>
      </c>
      <c r="D1409" s="1">
        <v>14781.0</v>
      </c>
      <c r="E1409" s="1" t="s">
        <v>60</v>
      </c>
      <c r="F1409" s="1" t="s">
        <v>46</v>
      </c>
      <c r="G1409" s="1" t="s">
        <v>55</v>
      </c>
      <c r="H1409" s="2">
        <v>641.0</v>
      </c>
      <c r="I1409" s="2">
        <v>4291.0</v>
      </c>
      <c r="J1409" s="1">
        <v>1956.0</v>
      </c>
      <c r="K1409" s="1">
        <v>95.0</v>
      </c>
      <c r="L1409" s="1" t="s">
        <v>32</v>
      </c>
      <c r="M1409" s="1" t="s">
        <v>5675</v>
      </c>
      <c r="N1409" s="1" t="s">
        <v>48</v>
      </c>
      <c r="O1409" s="1" t="s">
        <v>49</v>
      </c>
      <c r="P1409" s="1" t="s">
        <v>5676</v>
      </c>
    </row>
    <row r="1410" ht="14.25" customHeight="1">
      <c r="A1410" s="1" t="s">
        <v>5677</v>
      </c>
      <c r="B1410" s="1" t="s">
        <v>5678</v>
      </c>
      <c r="C1410" s="1" t="s">
        <v>18</v>
      </c>
      <c r="D1410" s="1">
        <v>33178.0</v>
      </c>
      <c r="E1410" s="1" t="s">
        <v>19</v>
      </c>
      <c r="F1410" s="1" t="s">
        <v>46</v>
      </c>
      <c r="G1410" s="1" t="s">
        <v>55</v>
      </c>
      <c r="H1410" s="2">
        <v>1264.0</v>
      </c>
      <c r="I1410" s="2">
        <v>2490.0</v>
      </c>
      <c r="J1410" s="1">
        <v>1971.0</v>
      </c>
      <c r="K1410" s="1">
        <v>49.0</v>
      </c>
      <c r="L1410" s="1" t="s">
        <v>62</v>
      </c>
      <c r="M1410" s="1" t="s">
        <v>5679</v>
      </c>
      <c r="N1410" s="1" t="s">
        <v>24</v>
      </c>
      <c r="O1410" s="1" t="s">
        <v>35</v>
      </c>
      <c r="P1410" s="1" t="s">
        <v>5680</v>
      </c>
    </row>
    <row r="1411" ht="14.25" customHeight="1">
      <c r="A1411" s="1" t="s">
        <v>5681</v>
      </c>
      <c r="B1411" s="1" t="s">
        <v>5682</v>
      </c>
      <c r="C1411" s="1" t="s">
        <v>53</v>
      </c>
      <c r="D1411" s="1">
        <v>21112.0</v>
      </c>
      <c r="E1411" s="1" t="s">
        <v>60</v>
      </c>
      <c r="F1411" s="1" t="s">
        <v>20</v>
      </c>
      <c r="G1411" s="1" t="s">
        <v>55</v>
      </c>
      <c r="H1411" s="2">
        <v>778.0</v>
      </c>
      <c r="I1411" s="2">
        <v>8051.0</v>
      </c>
      <c r="J1411" s="1">
        <v>2009.0</v>
      </c>
      <c r="K1411" s="1">
        <v>63.0</v>
      </c>
      <c r="L1411" s="1" t="s">
        <v>62</v>
      </c>
      <c r="M1411" s="1" t="s">
        <v>5683</v>
      </c>
      <c r="N1411" s="1" t="s">
        <v>24</v>
      </c>
      <c r="O1411" s="1" t="s">
        <v>49</v>
      </c>
      <c r="P1411" s="1" t="s">
        <v>5684</v>
      </c>
    </row>
    <row r="1412" ht="14.25" customHeight="1">
      <c r="A1412" s="1" t="s">
        <v>5685</v>
      </c>
      <c r="B1412" s="1" t="s">
        <v>5686</v>
      </c>
      <c r="C1412" s="1" t="s">
        <v>39</v>
      </c>
      <c r="D1412" s="1">
        <v>73257.0</v>
      </c>
      <c r="E1412" s="1" t="s">
        <v>19</v>
      </c>
      <c r="F1412" s="1" t="s">
        <v>54</v>
      </c>
      <c r="G1412" s="1" t="s">
        <v>21</v>
      </c>
      <c r="H1412" s="2">
        <v>2850.0</v>
      </c>
      <c r="I1412" s="2">
        <v>5113.0</v>
      </c>
      <c r="J1412" s="1">
        <v>2018.0</v>
      </c>
      <c r="K1412" s="1">
        <v>87.0</v>
      </c>
      <c r="L1412" s="1" t="s">
        <v>62</v>
      </c>
      <c r="M1412" s="1" t="s">
        <v>5687</v>
      </c>
      <c r="N1412" s="1" t="s">
        <v>43</v>
      </c>
      <c r="O1412" s="1" t="s">
        <v>49</v>
      </c>
      <c r="P1412" s="1" t="s">
        <v>5688</v>
      </c>
    </row>
    <row r="1413" ht="14.25" customHeight="1">
      <c r="A1413" s="1" t="s">
        <v>5689</v>
      </c>
      <c r="B1413" s="1" t="s">
        <v>5690</v>
      </c>
      <c r="C1413" s="1" t="s">
        <v>18</v>
      </c>
      <c r="D1413" s="1">
        <v>41457.0</v>
      </c>
      <c r="E1413" s="1" t="s">
        <v>40</v>
      </c>
      <c r="F1413" s="1" t="s">
        <v>20</v>
      </c>
      <c r="G1413" s="1" t="s">
        <v>31</v>
      </c>
      <c r="H1413" s="2">
        <v>2330.0</v>
      </c>
      <c r="I1413" s="2">
        <v>2624.0</v>
      </c>
      <c r="J1413" s="1">
        <v>1986.0</v>
      </c>
      <c r="K1413" s="1">
        <v>54.0</v>
      </c>
      <c r="L1413" s="1" t="s">
        <v>95</v>
      </c>
      <c r="M1413" s="1" t="s">
        <v>5691</v>
      </c>
      <c r="N1413" s="1" t="s">
        <v>43</v>
      </c>
      <c r="O1413" s="1" t="s">
        <v>25</v>
      </c>
      <c r="P1413" s="1" t="s">
        <v>5692</v>
      </c>
    </row>
    <row r="1414" ht="14.25" customHeight="1">
      <c r="A1414" s="1" t="s">
        <v>5693</v>
      </c>
      <c r="B1414" s="1" t="s">
        <v>5694</v>
      </c>
      <c r="C1414" s="1" t="s">
        <v>53</v>
      </c>
      <c r="D1414" s="1">
        <v>67605.0</v>
      </c>
      <c r="E1414" s="1" t="s">
        <v>40</v>
      </c>
      <c r="F1414" s="1" t="s">
        <v>54</v>
      </c>
      <c r="G1414" s="1" t="s">
        <v>21</v>
      </c>
      <c r="H1414" s="2">
        <v>2771.0</v>
      </c>
      <c r="I1414" s="2">
        <v>9800.0</v>
      </c>
      <c r="J1414" s="1">
        <v>2002.0</v>
      </c>
      <c r="K1414" s="1">
        <v>63.0</v>
      </c>
      <c r="L1414" s="1" t="s">
        <v>62</v>
      </c>
      <c r="M1414" s="1" t="s">
        <v>5695</v>
      </c>
      <c r="N1414" s="1" t="s">
        <v>64</v>
      </c>
      <c r="O1414" s="1" t="s">
        <v>35</v>
      </c>
      <c r="P1414" s="1" t="s">
        <v>5696</v>
      </c>
    </row>
    <row r="1415" ht="14.25" customHeight="1">
      <c r="A1415" s="1" t="s">
        <v>5697</v>
      </c>
      <c r="B1415" s="1" t="s">
        <v>5698</v>
      </c>
      <c r="C1415" s="1" t="s">
        <v>76</v>
      </c>
      <c r="D1415" s="1">
        <v>46426.0</v>
      </c>
      <c r="E1415" s="1" t="s">
        <v>19</v>
      </c>
      <c r="F1415" s="1" t="s">
        <v>41</v>
      </c>
      <c r="G1415" s="1" t="s">
        <v>21</v>
      </c>
      <c r="H1415" s="2">
        <v>3837.0</v>
      </c>
      <c r="I1415" s="2">
        <v>2415.0</v>
      </c>
      <c r="J1415" s="1">
        <v>2002.0</v>
      </c>
      <c r="K1415" s="1">
        <v>65.0</v>
      </c>
      <c r="L1415" s="1" t="s">
        <v>22</v>
      </c>
      <c r="M1415" s="1" t="s">
        <v>5699</v>
      </c>
      <c r="N1415" s="1" t="s">
        <v>24</v>
      </c>
      <c r="O1415" s="1" t="s">
        <v>35</v>
      </c>
      <c r="P1415" s="1" t="s">
        <v>5700</v>
      </c>
    </row>
    <row r="1416" ht="14.25" customHeight="1">
      <c r="A1416" s="1" t="s">
        <v>5701</v>
      </c>
      <c r="B1416" s="1" t="s">
        <v>5702</v>
      </c>
      <c r="C1416" s="1" t="s">
        <v>53</v>
      </c>
      <c r="D1416" s="1">
        <v>10094.0</v>
      </c>
      <c r="E1416" s="1" t="s">
        <v>19</v>
      </c>
      <c r="F1416" s="1" t="s">
        <v>20</v>
      </c>
      <c r="G1416" s="1" t="s">
        <v>21</v>
      </c>
      <c r="H1416" s="2">
        <v>3713.0</v>
      </c>
      <c r="I1416" s="2">
        <v>6362.0</v>
      </c>
      <c r="J1416" s="1">
        <v>2010.0</v>
      </c>
      <c r="K1416" s="1">
        <v>32.0</v>
      </c>
      <c r="L1416" s="1" t="s">
        <v>22</v>
      </c>
      <c r="M1416" s="1" t="s">
        <v>5703</v>
      </c>
      <c r="N1416" s="1" t="s">
        <v>34</v>
      </c>
      <c r="O1416" s="1" t="s">
        <v>49</v>
      </c>
      <c r="P1416" s="1" t="s">
        <v>5704</v>
      </c>
    </row>
    <row r="1417" ht="14.25" customHeight="1">
      <c r="A1417" s="1" t="s">
        <v>5705</v>
      </c>
      <c r="B1417" s="1" t="s">
        <v>5706</v>
      </c>
      <c r="C1417" s="1" t="s">
        <v>76</v>
      </c>
      <c r="D1417" s="1">
        <v>56441.0</v>
      </c>
      <c r="E1417" s="1" t="s">
        <v>60</v>
      </c>
      <c r="F1417" s="1" t="s">
        <v>46</v>
      </c>
      <c r="G1417" s="1" t="s">
        <v>31</v>
      </c>
      <c r="H1417" s="2">
        <v>1488.0</v>
      </c>
      <c r="I1417" s="2">
        <v>4956.0</v>
      </c>
      <c r="J1417" s="1">
        <v>1971.0</v>
      </c>
      <c r="K1417" s="1">
        <v>37.0</v>
      </c>
      <c r="L1417" s="1" t="s">
        <v>62</v>
      </c>
      <c r="M1417" s="1" t="s">
        <v>5707</v>
      </c>
      <c r="N1417" s="1" t="s">
        <v>34</v>
      </c>
      <c r="O1417" s="1" t="s">
        <v>25</v>
      </c>
      <c r="P1417" s="1" t="s">
        <v>5708</v>
      </c>
    </row>
    <row r="1418" ht="14.25" customHeight="1">
      <c r="A1418" s="1" t="s">
        <v>5709</v>
      </c>
      <c r="B1418" s="1" t="s">
        <v>5710</v>
      </c>
      <c r="C1418" s="1" t="s">
        <v>29</v>
      </c>
      <c r="D1418" s="1">
        <v>80142.0</v>
      </c>
      <c r="E1418" s="1" t="s">
        <v>77</v>
      </c>
      <c r="F1418" s="1" t="s">
        <v>46</v>
      </c>
      <c r="G1418" s="1" t="s">
        <v>55</v>
      </c>
      <c r="H1418" s="2">
        <v>2802.0</v>
      </c>
      <c r="I1418" s="2">
        <v>8955.0</v>
      </c>
      <c r="J1418" s="1">
        <v>2005.0</v>
      </c>
      <c r="K1418" s="1">
        <v>63.0</v>
      </c>
      <c r="L1418" s="1" t="s">
        <v>95</v>
      </c>
      <c r="M1418" s="1" t="s">
        <v>5711</v>
      </c>
      <c r="N1418" s="1" t="s">
        <v>24</v>
      </c>
      <c r="O1418" s="1" t="s">
        <v>25</v>
      </c>
      <c r="P1418" s="1" t="s">
        <v>5712</v>
      </c>
    </row>
    <row r="1419" ht="14.25" customHeight="1">
      <c r="A1419" s="1" t="s">
        <v>5713</v>
      </c>
      <c r="B1419" s="1" t="s">
        <v>5714</v>
      </c>
      <c r="C1419" s="1" t="s">
        <v>18</v>
      </c>
      <c r="D1419" s="1">
        <v>85892.0</v>
      </c>
      <c r="E1419" s="1" t="s">
        <v>60</v>
      </c>
      <c r="F1419" s="1" t="s">
        <v>61</v>
      </c>
      <c r="G1419" s="1" t="s">
        <v>31</v>
      </c>
      <c r="H1419" s="2">
        <v>3496.0</v>
      </c>
      <c r="I1419" s="2">
        <v>7087.0</v>
      </c>
      <c r="J1419" s="1">
        <v>2017.0</v>
      </c>
      <c r="K1419" s="1">
        <v>68.0</v>
      </c>
      <c r="L1419" s="1" t="s">
        <v>22</v>
      </c>
      <c r="M1419" s="1" t="s">
        <v>5715</v>
      </c>
      <c r="N1419" s="1" t="s">
        <v>34</v>
      </c>
      <c r="O1419" s="1" t="s">
        <v>49</v>
      </c>
      <c r="P1419" s="1" t="s">
        <v>5716</v>
      </c>
    </row>
    <row r="1420" ht="14.25" customHeight="1">
      <c r="A1420" s="1" t="s">
        <v>5717</v>
      </c>
      <c r="B1420" s="1" t="s">
        <v>5718</v>
      </c>
      <c r="C1420" s="1" t="s">
        <v>29</v>
      </c>
      <c r="D1420" s="1">
        <v>91466.0</v>
      </c>
      <c r="E1420" s="1" t="s">
        <v>60</v>
      </c>
      <c r="F1420" s="1" t="s">
        <v>54</v>
      </c>
      <c r="G1420" s="1" t="s">
        <v>100</v>
      </c>
      <c r="H1420" s="2">
        <v>2946.0</v>
      </c>
      <c r="I1420" s="2">
        <v>1428.0</v>
      </c>
      <c r="J1420" s="1">
        <v>1960.0</v>
      </c>
      <c r="K1420" s="1">
        <v>35.0</v>
      </c>
      <c r="L1420" s="1" t="s">
        <v>62</v>
      </c>
      <c r="M1420" s="1" t="s">
        <v>5719</v>
      </c>
      <c r="N1420" s="1" t="s">
        <v>34</v>
      </c>
      <c r="O1420" s="1" t="s">
        <v>49</v>
      </c>
      <c r="P1420" s="1" t="s">
        <v>5720</v>
      </c>
    </row>
    <row r="1421" ht="14.25" customHeight="1">
      <c r="A1421" s="1" t="s">
        <v>5721</v>
      </c>
      <c r="B1421" s="1" t="s">
        <v>5722</v>
      </c>
      <c r="C1421" s="1" t="s">
        <v>39</v>
      </c>
      <c r="D1421" s="1">
        <v>97181.0</v>
      </c>
      <c r="E1421" s="1" t="s">
        <v>77</v>
      </c>
      <c r="F1421" s="1" t="s">
        <v>61</v>
      </c>
      <c r="G1421" s="1" t="s">
        <v>31</v>
      </c>
      <c r="H1421" s="2">
        <v>944.0</v>
      </c>
      <c r="I1421" s="2">
        <v>8266.0</v>
      </c>
      <c r="J1421" s="1">
        <v>1974.0</v>
      </c>
      <c r="K1421" s="1">
        <v>28.0</v>
      </c>
      <c r="L1421" s="1" t="s">
        <v>32</v>
      </c>
      <c r="M1421" s="1" t="s">
        <v>5723</v>
      </c>
      <c r="N1421" s="1" t="s">
        <v>24</v>
      </c>
      <c r="O1421" s="1" t="s">
        <v>49</v>
      </c>
      <c r="P1421" s="1" t="s">
        <v>5724</v>
      </c>
    </row>
    <row r="1422" ht="14.25" customHeight="1">
      <c r="A1422" s="1" t="s">
        <v>5725</v>
      </c>
      <c r="B1422" s="1" t="s">
        <v>5726</v>
      </c>
      <c r="C1422" s="1" t="s">
        <v>18</v>
      </c>
      <c r="D1422" s="1">
        <v>33686.0</v>
      </c>
      <c r="E1422" s="1" t="s">
        <v>40</v>
      </c>
      <c r="F1422" s="1" t="s">
        <v>20</v>
      </c>
      <c r="G1422" s="1" t="s">
        <v>31</v>
      </c>
      <c r="H1422" s="2">
        <v>2817.0</v>
      </c>
      <c r="I1422" s="2">
        <v>2411.0</v>
      </c>
      <c r="J1422" s="1">
        <v>2007.0</v>
      </c>
      <c r="K1422" s="1">
        <v>99.0</v>
      </c>
      <c r="L1422" s="1" t="s">
        <v>141</v>
      </c>
      <c r="M1422" s="1" t="s">
        <v>5727</v>
      </c>
      <c r="N1422" s="1" t="s">
        <v>43</v>
      </c>
      <c r="O1422" s="1" t="s">
        <v>25</v>
      </c>
      <c r="P1422" s="1" t="s">
        <v>5728</v>
      </c>
    </row>
    <row r="1423" ht="14.25" customHeight="1">
      <c r="A1423" s="1" t="s">
        <v>5729</v>
      </c>
      <c r="B1423" s="1" t="s">
        <v>5730</v>
      </c>
      <c r="C1423" s="1" t="s">
        <v>39</v>
      </c>
      <c r="D1423" s="1">
        <v>91469.0</v>
      </c>
      <c r="E1423" s="1" t="s">
        <v>30</v>
      </c>
      <c r="F1423" s="1" t="s">
        <v>61</v>
      </c>
      <c r="G1423" s="1" t="s">
        <v>31</v>
      </c>
      <c r="H1423" s="2">
        <v>2567.0</v>
      </c>
      <c r="I1423" s="2">
        <v>1291.0</v>
      </c>
      <c r="J1423" s="1">
        <v>2001.0</v>
      </c>
      <c r="K1423" s="1">
        <v>93.0</v>
      </c>
      <c r="L1423" s="1" t="s">
        <v>32</v>
      </c>
      <c r="M1423" s="1" t="s">
        <v>5731</v>
      </c>
      <c r="N1423" s="1" t="s">
        <v>34</v>
      </c>
      <c r="O1423" s="1" t="s">
        <v>49</v>
      </c>
      <c r="P1423" s="1" t="s">
        <v>5732</v>
      </c>
    </row>
    <row r="1424" ht="14.25" customHeight="1">
      <c r="A1424" s="1" t="s">
        <v>5733</v>
      </c>
      <c r="B1424" s="1" t="s">
        <v>5734</v>
      </c>
      <c r="C1424" s="1" t="s">
        <v>53</v>
      </c>
      <c r="D1424" s="1">
        <v>78693.0</v>
      </c>
      <c r="E1424" s="1" t="s">
        <v>19</v>
      </c>
      <c r="F1424" s="1" t="s">
        <v>54</v>
      </c>
      <c r="G1424" s="1" t="s">
        <v>31</v>
      </c>
      <c r="H1424" s="2">
        <v>3895.0</v>
      </c>
      <c r="I1424" s="2">
        <v>9438.0</v>
      </c>
      <c r="J1424" s="1">
        <v>2001.0</v>
      </c>
      <c r="K1424" s="1">
        <v>49.0</v>
      </c>
      <c r="L1424" s="1" t="s">
        <v>32</v>
      </c>
      <c r="M1424" s="1" t="s">
        <v>5735</v>
      </c>
      <c r="N1424" s="1" t="s">
        <v>43</v>
      </c>
      <c r="O1424" s="1" t="s">
        <v>25</v>
      </c>
      <c r="P1424" s="1" t="s">
        <v>5736</v>
      </c>
    </row>
    <row r="1425" ht="14.25" customHeight="1">
      <c r="A1425" s="1" t="s">
        <v>5737</v>
      </c>
      <c r="B1425" s="1" t="s">
        <v>5738</v>
      </c>
      <c r="C1425" s="1" t="s">
        <v>29</v>
      </c>
      <c r="D1425" s="1">
        <v>48351.0</v>
      </c>
      <c r="E1425" s="1" t="s">
        <v>40</v>
      </c>
      <c r="F1425" s="1" t="s">
        <v>54</v>
      </c>
      <c r="G1425" s="1" t="s">
        <v>55</v>
      </c>
      <c r="H1425" s="2">
        <v>799.0</v>
      </c>
      <c r="I1425" s="2">
        <v>8672.0</v>
      </c>
      <c r="J1425" s="1">
        <v>1973.0</v>
      </c>
      <c r="K1425" s="1">
        <v>79.0</v>
      </c>
      <c r="L1425" s="1" t="s">
        <v>95</v>
      </c>
      <c r="M1425" s="1" t="s">
        <v>5739</v>
      </c>
      <c r="N1425" s="1" t="s">
        <v>24</v>
      </c>
      <c r="O1425" s="1" t="s">
        <v>35</v>
      </c>
      <c r="P1425" s="1" t="s">
        <v>5740</v>
      </c>
    </row>
    <row r="1426" ht="14.25" customHeight="1">
      <c r="A1426" s="1" t="s">
        <v>5741</v>
      </c>
      <c r="B1426" s="1" t="s">
        <v>5742</v>
      </c>
      <c r="C1426" s="1" t="s">
        <v>53</v>
      </c>
      <c r="D1426" s="1">
        <v>39917.0</v>
      </c>
      <c r="E1426" s="1" t="s">
        <v>19</v>
      </c>
      <c r="F1426" s="1" t="s">
        <v>41</v>
      </c>
      <c r="G1426" s="1" t="s">
        <v>55</v>
      </c>
      <c r="H1426" s="2">
        <v>1398.0</v>
      </c>
      <c r="I1426" s="2">
        <v>3942.0</v>
      </c>
      <c r="J1426" s="1">
        <v>2019.0</v>
      </c>
      <c r="K1426" s="1">
        <v>112.0</v>
      </c>
      <c r="L1426" s="1" t="s">
        <v>141</v>
      </c>
      <c r="M1426" s="1" t="s">
        <v>5743</v>
      </c>
      <c r="N1426" s="1" t="s">
        <v>24</v>
      </c>
      <c r="O1426" s="1" t="s">
        <v>35</v>
      </c>
      <c r="P1426" s="1" t="s">
        <v>5744</v>
      </c>
    </row>
    <row r="1427" ht="14.25" customHeight="1">
      <c r="A1427" s="1" t="s">
        <v>5745</v>
      </c>
      <c r="B1427" s="1" t="s">
        <v>5746</v>
      </c>
      <c r="C1427" s="1" t="s">
        <v>29</v>
      </c>
      <c r="D1427" s="1">
        <v>41512.0</v>
      </c>
      <c r="E1427" s="1" t="s">
        <v>40</v>
      </c>
      <c r="F1427" s="1" t="s">
        <v>20</v>
      </c>
      <c r="G1427" s="1" t="s">
        <v>21</v>
      </c>
      <c r="H1427" s="2">
        <v>2306.0</v>
      </c>
      <c r="I1427" s="2">
        <v>5211.0</v>
      </c>
      <c r="J1427" s="1">
        <v>1968.0</v>
      </c>
      <c r="K1427" s="1">
        <v>71.0</v>
      </c>
      <c r="L1427" s="1" t="s">
        <v>22</v>
      </c>
      <c r="M1427" s="1" t="s">
        <v>5747</v>
      </c>
      <c r="N1427" s="1" t="s">
        <v>43</v>
      </c>
      <c r="O1427" s="1" t="s">
        <v>25</v>
      </c>
      <c r="P1427" s="1" t="s">
        <v>5748</v>
      </c>
    </row>
    <row r="1428" ht="14.25" customHeight="1">
      <c r="A1428" s="1" t="s">
        <v>5749</v>
      </c>
      <c r="B1428" s="1" t="s">
        <v>5750</v>
      </c>
      <c r="C1428" s="1" t="s">
        <v>29</v>
      </c>
      <c r="D1428" s="1">
        <v>63614.0</v>
      </c>
      <c r="E1428" s="1" t="s">
        <v>30</v>
      </c>
      <c r="F1428" s="1" t="s">
        <v>46</v>
      </c>
      <c r="G1428" s="1" t="s">
        <v>55</v>
      </c>
      <c r="H1428" s="2">
        <v>1992.0</v>
      </c>
      <c r="I1428" s="2">
        <v>3949.0</v>
      </c>
      <c r="J1428" s="1">
        <v>1973.0</v>
      </c>
      <c r="K1428" s="1">
        <v>76.0</v>
      </c>
      <c r="L1428" s="1" t="s">
        <v>22</v>
      </c>
      <c r="M1428" s="1" t="s">
        <v>5751</v>
      </c>
      <c r="N1428" s="1" t="s">
        <v>64</v>
      </c>
      <c r="O1428" s="1" t="s">
        <v>49</v>
      </c>
      <c r="P1428" s="1" t="s">
        <v>5752</v>
      </c>
    </row>
    <row r="1429" ht="14.25" customHeight="1">
      <c r="A1429" s="1" t="s">
        <v>5753</v>
      </c>
      <c r="B1429" s="1" t="s">
        <v>5754</v>
      </c>
      <c r="C1429" s="1" t="s">
        <v>29</v>
      </c>
      <c r="D1429" s="1">
        <v>73090.0</v>
      </c>
      <c r="E1429" s="1" t="s">
        <v>60</v>
      </c>
      <c r="F1429" s="1" t="s">
        <v>61</v>
      </c>
      <c r="G1429" s="1" t="s">
        <v>21</v>
      </c>
      <c r="H1429" s="2">
        <v>3656.0</v>
      </c>
      <c r="I1429" s="2">
        <v>7186.0</v>
      </c>
      <c r="J1429" s="1">
        <v>1955.0</v>
      </c>
      <c r="K1429" s="1">
        <v>44.0</v>
      </c>
      <c r="L1429" s="1" t="s">
        <v>22</v>
      </c>
      <c r="M1429" s="1" t="s">
        <v>5755</v>
      </c>
      <c r="N1429" s="1" t="s">
        <v>48</v>
      </c>
      <c r="O1429" s="1" t="s">
        <v>35</v>
      </c>
      <c r="P1429" s="1" t="s">
        <v>5756</v>
      </c>
    </row>
    <row r="1430" ht="14.25" customHeight="1">
      <c r="A1430" s="1" t="s">
        <v>5757</v>
      </c>
      <c r="B1430" s="1" t="s">
        <v>5758</v>
      </c>
      <c r="C1430" s="1" t="s">
        <v>76</v>
      </c>
      <c r="D1430" s="1">
        <v>33337.0</v>
      </c>
      <c r="E1430" s="1" t="s">
        <v>30</v>
      </c>
      <c r="F1430" s="1" t="s">
        <v>94</v>
      </c>
      <c r="G1430" s="1" t="s">
        <v>55</v>
      </c>
      <c r="H1430" s="2">
        <v>3359.0</v>
      </c>
      <c r="I1430" s="2">
        <v>2155.0</v>
      </c>
      <c r="J1430" s="1">
        <v>2003.0</v>
      </c>
      <c r="K1430" s="1">
        <v>81.0</v>
      </c>
      <c r="L1430" s="1" t="s">
        <v>95</v>
      </c>
      <c r="M1430" s="1" t="s">
        <v>5759</v>
      </c>
      <c r="N1430" s="1" t="s">
        <v>48</v>
      </c>
      <c r="O1430" s="1" t="s">
        <v>49</v>
      </c>
      <c r="P1430" s="1" t="s">
        <v>5760</v>
      </c>
    </row>
    <row r="1431" ht="14.25" customHeight="1">
      <c r="A1431" s="1" t="s">
        <v>5761</v>
      </c>
      <c r="B1431" s="1" t="s">
        <v>5762</v>
      </c>
      <c r="C1431" s="1" t="s">
        <v>18</v>
      </c>
      <c r="D1431" s="1">
        <v>49965.0</v>
      </c>
      <c r="E1431" s="1" t="s">
        <v>40</v>
      </c>
      <c r="F1431" s="1" t="s">
        <v>54</v>
      </c>
      <c r="G1431" s="1" t="s">
        <v>55</v>
      </c>
      <c r="H1431" s="2">
        <v>2410.0</v>
      </c>
      <c r="I1431" s="2">
        <v>7419.0</v>
      </c>
      <c r="J1431" s="1">
        <v>2017.0</v>
      </c>
      <c r="K1431" s="1">
        <v>2.0</v>
      </c>
      <c r="L1431" s="1" t="s">
        <v>95</v>
      </c>
      <c r="M1431" s="1" t="s">
        <v>5763</v>
      </c>
      <c r="N1431" s="1" t="s">
        <v>43</v>
      </c>
      <c r="O1431" s="1" t="s">
        <v>49</v>
      </c>
      <c r="P1431" s="1" t="s">
        <v>5764</v>
      </c>
    </row>
    <row r="1432" ht="14.25" customHeight="1">
      <c r="A1432" s="1" t="s">
        <v>5765</v>
      </c>
      <c r="B1432" s="1" t="s">
        <v>5766</v>
      </c>
      <c r="C1432" s="1" t="s">
        <v>29</v>
      </c>
      <c r="D1432" s="1">
        <v>95831.0</v>
      </c>
      <c r="E1432" s="1" t="s">
        <v>77</v>
      </c>
      <c r="F1432" s="1" t="s">
        <v>54</v>
      </c>
      <c r="G1432" s="1" t="s">
        <v>31</v>
      </c>
      <c r="H1432" s="2">
        <v>1853.0</v>
      </c>
      <c r="I1432" s="2">
        <v>4005.0</v>
      </c>
      <c r="J1432" s="1">
        <v>2009.0</v>
      </c>
      <c r="K1432" s="1">
        <v>80.0</v>
      </c>
      <c r="L1432" s="1" t="s">
        <v>32</v>
      </c>
      <c r="M1432" s="1" t="s">
        <v>5767</v>
      </c>
      <c r="N1432" s="1" t="s">
        <v>34</v>
      </c>
      <c r="O1432" s="1" t="s">
        <v>35</v>
      </c>
      <c r="P1432" s="1" t="s">
        <v>5768</v>
      </c>
    </row>
    <row r="1433" ht="14.25" customHeight="1">
      <c r="A1433" s="1" t="s">
        <v>5769</v>
      </c>
      <c r="B1433" s="1" t="s">
        <v>5770</v>
      </c>
      <c r="C1433" s="1" t="s">
        <v>76</v>
      </c>
      <c r="D1433" s="1">
        <v>93937.0</v>
      </c>
      <c r="E1433" s="1" t="s">
        <v>60</v>
      </c>
      <c r="F1433" s="1" t="s">
        <v>54</v>
      </c>
      <c r="G1433" s="1" t="s">
        <v>55</v>
      </c>
      <c r="H1433" s="2">
        <v>3725.0</v>
      </c>
      <c r="I1433" s="2">
        <v>4599.0</v>
      </c>
      <c r="J1433" s="1">
        <v>1969.0</v>
      </c>
      <c r="K1433" s="1">
        <v>40.0</v>
      </c>
      <c r="L1433" s="1" t="s">
        <v>62</v>
      </c>
      <c r="M1433" s="1" t="s">
        <v>5771</v>
      </c>
      <c r="N1433" s="1" t="s">
        <v>48</v>
      </c>
      <c r="O1433" s="1" t="s">
        <v>25</v>
      </c>
      <c r="P1433" s="1" t="s">
        <v>5772</v>
      </c>
    </row>
    <row r="1434" ht="14.25" customHeight="1">
      <c r="A1434" s="1" t="s">
        <v>5773</v>
      </c>
      <c r="B1434" s="1" t="s">
        <v>5774</v>
      </c>
      <c r="C1434" s="1" t="s">
        <v>29</v>
      </c>
      <c r="D1434" s="1">
        <v>78072.0</v>
      </c>
      <c r="E1434" s="1" t="s">
        <v>60</v>
      </c>
      <c r="F1434" s="1" t="s">
        <v>94</v>
      </c>
      <c r="G1434" s="1" t="s">
        <v>21</v>
      </c>
      <c r="H1434" s="2">
        <v>1693.0</v>
      </c>
      <c r="I1434" s="2">
        <v>4140.0</v>
      </c>
      <c r="J1434" s="1">
        <v>2003.0</v>
      </c>
      <c r="K1434" s="1">
        <v>7.0</v>
      </c>
      <c r="L1434" s="1" t="s">
        <v>141</v>
      </c>
      <c r="M1434" s="1" t="s">
        <v>5775</v>
      </c>
      <c r="N1434" s="1" t="s">
        <v>43</v>
      </c>
      <c r="O1434" s="1" t="s">
        <v>25</v>
      </c>
      <c r="P1434" s="1" t="s">
        <v>5776</v>
      </c>
    </row>
    <row r="1435" ht="14.25" customHeight="1">
      <c r="A1435" s="1" t="s">
        <v>5777</v>
      </c>
      <c r="B1435" s="1" t="s">
        <v>5778</v>
      </c>
      <c r="C1435" s="1" t="s">
        <v>29</v>
      </c>
      <c r="D1435" s="1">
        <v>46716.0</v>
      </c>
      <c r="E1435" s="1" t="s">
        <v>77</v>
      </c>
      <c r="F1435" s="1" t="s">
        <v>61</v>
      </c>
      <c r="G1435" s="1" t="s">
        <v>21</v>
      </c>
      <c r="H1435" s="2">
        <v>2221.0</v>
      </c>
      <c r="I1435" s="2">
        <v>8274.0</v>
      </c>
      <c r="J1435" s="1">
        <v>1971.0</v>
      </c>
      <c r="K1435" s="1">
        <v>96.0</v>
      </c>
      <c r="L1435" s="1" t="s">
        <v>141</v>
      </c>
      <c r="M1435" s="1" t="s">
        <v>5779</v>
      </c>
      <c r="N1435" s="1" t="s">
        <v>34</v>
      </c>
      <c r="O1435" s="1" t="s">
        <v>35</v>
      </c>
      <c r="P1435" s="1" t="s">
        <v>5780</v>
      </c>
    </row>
    <row r="1436" ht="14.25" customHeight="1">
      <c r="A1436" s="1" t="s">
        <v>5781</v>
      </c>
      <c r="B1436" s="1" t="s">
        <v>5782</v>
      </c>
      <c r="C1436" s="1" t="s">
        <v>53</v>
      </c>
      <c r="D1436" s="1">
        <v>88468.0</v>
      </c>
      <c r="E1436" s="1" t="s">
        <v>19</v>
      </c>
      <c r="F1436" s="1" t="s">
        <v>61</v>
      </c>
      <c r="G1436" s="1" t="s">
        <v>55</v>
      </c>
      <c r="H1436" s="2">
        <v>675.0</v>
      </c>
      <c r="I1436" s="2">
        <v>4885.0</v>
      </c>
      <c r="J1436" s="1">
        <v>2014.0</v>
      </c>
      <c r="K1436" s="1">
        <v>53.0</v>
      </c>
      <c r="L1436" s="1" t="s">
        <v>22</v>
      </c>
      <c r="M1436" s="1" t="s">
        <v>5783</v>
      </c>
      <c r="N1436" s="1" t="s">
        <v>34</v>
      </c>
      <c r="O1436" s="1" t="s">
        <v>49</v>
      </c>
      <c r="P1436" s="1" t="s">
        <v>5784</v>
      </c>
    </row>
    <row r="1437" ht="14.25" customHeight="1">
      <c r="A1437" s="1" t="s">
        <v>5785</v>
      </c>
      <c r="B1437" s="1" t="s">
        <v>5786</v>
      </c>
      <c r="C1437" s="1" t="s">
        <v>76</v>
      </c>
      <c r="D1437" s="1">
        <v>33913.0</v>
      </c>
      <c r="E1437" s="1" t="s">
        <v>30</v>
      </c>
      <c r="F1437" s="1" t="s">
        <v>94</v>
      </c>
      <c r="G1437" s="1" t="s">
        <v>21</v>
      </c>
      <c r="H1437" s="2">
        <v>1795.0</v>
      </c>
      <c r="I1437" s="2">
        <v>4696.0</v>
      </c>
      <c r="J1437" s="1">
        <v>1993.0</v>
      </c>
      <c r="K1437" s="1">
        <v>26.0</v>
      </c>
      <c r="L1437" s="1" t="s">
        <v>22</v>
      </c>
      <c r="M1437" s="1" t="s">
        <v>5787</v>
      </c>
      <c r="N1437" s="1" t="s">
        <v>34</v>
      </c>
      <c r="O1437" s="1" t="s">
        <v>25</v>
      </c>
      <c r="P1437" s="1" t="s">
        <v>5788</v>
      </c>
    </row>
    <row r="1438" ht="14.25" customHeight="1">
      <c r="A1438" s="1" t="s">
        <v>5789</v>
      </c>
      <c r="B1438" s="1" t="s">
        <v>5790</v>
      </c>
      <c r="C1438" s="1" t="s">
        <v>76</v>
      </c>
      <c r="D1438" s="1">
        <v>38037.0</v>
      </c>
      <c r="E1438" s="1" t="s">
        <v>40</v>
      </c>
      <c r="F1438" s="1" t="s">
        <v>61</v>
      </c>
      <c r="G1438" s="1" t="s">
        <v>100</v>
      </c>
      <c r="H1438" s="2">
        <v>3881.0</v>
      </c>
      <c r="I1438" s="2">
        <v>1630.0</v>
      </c>
      <c r="J1438" s="1">
        <v>1975.0</v>
      </c>
      <c r="K1438" s="1">
        <v>84.0</v>
      </c>
      <c r="L1438" s="1" t="s">
        <v>95</v>
      </c>
      <c r="M1438" s="1" t="s">
        <v>5791</v>
      </c>
      <c r="N1438" s="1" t="s">
        <v>48</v>
      </c>
      <c r="O1438" s="1" t="s">
        <v>35</v>
      </c>
      <c r="P1438" s="1" t="s">
        <v>5792</v>
      </c>
    </row>
    <row r="1439" ht="14.25" customHeight="1">
      <c r="A1439" s="1" t="s">
        <v>5793</v>
      </c>
      <c r="B1439" s="1" t="s">
        <v>5794</v>
      </c>
      <c r="C1439" s="1" t="s">
        <v>39</v>
      </c>
      <c r="D1439" s="1">
        <v>23444.0</v>
      </c>
      <c r="E1439" s="1" t="s">
        <v>19</v>
      </c>
      <c r="F1439" s="1" t="s">
        <v>41</v>
      </c>
      <c r="G1439" s="1" t="s">
        <v>100</v>
      </c>
      <c r="H1439" s="2">
        <v>3101.0</v>
      </c>
      <c r="I1439" s="2">
        <v>8967.0</v>
      </c>
      <c r="J1439" s="1">
        <v>1990.0</v>
      </c>
      <c r="K1439" s="1">
        <v>92.0</v>
      </c>
      <c r="L1439" s="1" t="s">
        <v>141</v>
      </c>
      <c r="M1439" s="1" t="s">
        <v>5795</v>
      </c>
      <c r="N1439" s="1" t="s">
        <v>34</v>
      </c>
      <c r="O1439" s="1" t="s">
        <v>25</v>
      </c>
      <c r="P1439" s="1" t="s">
        <v>5796</v>
      </c>
    </row>
    <row r="1440" ht="14.25" customHeight="1">
      <c r="A1440" s="1" t="s">
        <v>5797</v>
      </c>
      <c r="B1440" s="1" t="s">
        <v>5798</v>
      </c>
      <c r="C1440" s="1" t="s">
        <v>39</v>
      </c>
      <c r="D1440" s="1">
        <v>75342.0</v>
      </c>
      <c r="E1440" s="1" t="s">
        <v>60</v>
      </c>
      <c r="F1440" s="1" t="s">
        <v>46</v>
      </c>
      <c r="G1440" s="1" t="s">
        <v>31</v>
      </c>
      <c r="H1440" s="2">
        <v>1326.0</v>
      </c>
      <c r="I1440" s="2">
        <v>5711.0</v>
      </c>
      <c r="J1440" s="1">
        <v>1975.0</v>
      </c>
      <c r="K1440" s="1">
        <v>18.0</v>
      </c>
      <c r="L1440" s="1" t="s">
        <v>32</v>
      </c>
      <c r="M1440" s="1" t="s">
        <v>5799</v>
      </c>
      <c r="N1440" s="1" t="s">
        <v>34</v>
      </c>
      <c r="O1440" s="1" t="s">
        <v>35</v>
      </c>
      <c r="P1440" s="1" t="s">
        <v>5800</v>
      </c>
    </row>
    <row r="1441" ht="14.25" customHeight="1">
      <c r="A1441" s="1" t="s">
        <v>5801</v>
      </c>
      <c r="B1441" s="1" t="s">
        <v>5802</v>
      </c>
      <c r="C1441" s="1" t="s">
        <v>29</v>
      </c>
      <c r="D1441" s="1">
        <v>97893.0</v>
      </c>
      <c r="E1441" s="1" t="s">
        <v>77</v>
      </c>
      <c r="F1441" s="1" t="s">
        <v>41</v>
      </c>
      <c r="G1441" s="1" t="s">
        <v>21</v>
      </c>
      <c r="H1441" s="2">
        <v>1347.0</v>
      </c>
      <c r="I1441" s="2">
        <v>2615.0</v>
      </c>
      <c r="J1441" s="1">
        <v>2001.0</v>
      </c>
      <c r="K1441" s="1">
        <v>95.0</v>
      </c>
      <c r="L1441" s="1" t="s">
        <v>32</v>
      </c>
      <c r="M1441" s="1" t="s">
        <v>5803</v>
      </c>
      <c r="N1441" s="1" t="s">
        <v>64</v>
      </c>
      <c r="O1441" s="1" t="s">
        <v>35</v>
      </c>
      <c r="P1441" s="1" t="s">
        <v>5804</v>
      </c>
    </row>
    <row r="1442" ht="14.25" customHeight="1">
      <c r="A1442" s="1" t="s">
        <v>5805</v>
      </c>
      <c r="B1442" s="1" t="s">
        <v>5806</v>
      </c>
      <c r="C1442" s="1" t="s">
        <v>39</v>
      </c>
      <c r="D1442" s="1">
        <v>60800.0</v>
      </c>
      <c r="E1442" s="1" t="s">
        <v>60</v>
      </c>
      <c r="F1442" s="1" t="s">
        <v>20</v>
      </c>
      <c r="G1442" s="1" t="s">
        <v>31</v>
      </c>
      <c r="H1442" s="2">
        <v>1737.0</v>
      </c>
      <c r="I1442" s="2">
        <v>5672.0</v>
      </c>
      <c r="J1442" s="1">
        <v>1956.0</v>
      </c>
      <c r="K1442" s="1">
        <v>17.0</v>
      </c>
      <c r="L1442" s="1" t="s">
        <v>32</v>
      </c>
      <c r="M1442" s="1" t="s">
        <v>5807</v>
      </c>
      <c r="N1442" s="1" t="s">
        <v>34</v>
      </c>
      <c r="O1442" s="1" t="s">
        <v>49</v>
      </c>
      <c r="P1442" s="1" t="s">
        <v>5808</v>
      </c>
    </row>
    <row r="1443" ht="14.25" customHeight="1">
      <c r="A1443" s="1" t="s">
        <v>5809</v>
      </c>
      <c r="B1443" s="1" t="s">
        <v>5810</v>
      </c>
      <c r="C1443" s="1" t="s">
        <v>53</v>
      </c>
      <c r="D1443" s="1">
        <v>98485.0</v>
      </c>
      <c r="E1443" s="1" t="s">
        <v>40</v>
      </c>
      <c r="F1443" s="1" t="s">
        <v>54</v>
      </c>
      <c r="G1443" s="1" t="s">
        <v>21</v>
      </c>
      <c r="H1443" s="2">
        <v>2460.0</v>
      </c>
      <c r="I1443" s="2">
        <v>9623.0</v>
      </c>
      <c r="J1443" s="1">
        <v>1974.0</v>
      </c>
      <c r="K1443" s="1">
        <v>4.0</v>
      </c>
      <c r="L1443" s="1" t="s">
        <v>141</v>
      </c>
      <c r="M1443" s="1" t="s">
        <v>5811</v>
      </c>
      <c r="N1443" s="1" t="s">
        <v>24</v>
      </c>
      <c r="O1443" s="1" t="s">
        <v>35</v>
      </c>
      <c r="P1443" s="1" t="s">
        <v>5812</v>
      </c>
    </row>
    <row r="1444" ht="14.25" customHeight="1">
      <c r="A1444" s="1" t="s">
        <v>5813</v>
      </c>
      <c r="B1444" s="1" t="s">
        <v>5814</v>
      </c>
      <c r="C1444" s="1" t="s">
        <v>76</v>
      </c>
      <c r="D1444" s="1">
        <v>79458.0</v>
      </c>
      <c r="E1444" s="1" t="s">
        <v>40</v>
      </c>
      <c r="F1444" s="1" t="s">
        <v>41</v>
      </c>
      <c r="G1444" s="1" t="s">
        <v>31</v>
      </c>
      <c r="H1444" s="2">
        <v>2622.0</v>
      </c>
      <c r="I1444" s="2">
        <v>6419.0</v>
      </c>
      <c r="J1444" s="1">
        <v>1952.0</v>
      </c>
      <c r="K1444" s="1">
        <v>101.0</v>
      </c>
      <c r="L1444" s="1" t="s">
        <v>141</v>
      </c>
      <c r="M1444" s="1" t="s">
        <v>5815</v>
      </c>
      <c r="N1444" s="1" t="s">
        <v>24</v>
      </c>
      <c r="O1444" s="1" t="s">
        <v>35</v>
      </c>
      <c r="P1444" s="1" t="s">
        <v>5816</v>
      </c>
    </row>
    <row r="1445" ht="14.25" customHeight="1">
      <c r="A1445" s="1" t="s">
        <v>5817</v>
      </c>
      <c r="B1445" s="1" t="s">
        <v>5818</v>
      </c>
      <c r="C1445" s="1" t="s">
        <v>39</v>
      </c>
      <c r="D1445" s="1">
        <v>53695.0</v>
      </c>
      <c r="E1445" s="1" t="s">
        <v>40</v>
      </c>
      <c r="F1445" s="1" t="s">
        <v>41</v>
      </c>
      <c r="G1445" s="1" t="s">
        <v>21</v>
      </c>
      <c r="H1445" s="2">
        <v>1711.0</v>
      </c>
      <c r="I1445" s="2">
        <v>7598.0</v>
      </c>
      <c r="J1445" s="1">
        <v>1963.0</v>
      </c>
      <c r="K1445" s="1">
        <v>104.0</v>
      </c>
      <c r="L1445" s="1" t="s">
        <v>141</v>
      </c>
      <c r="M1445" s="1" t="s">
        <v>5819</v>
      </c>
      <c r="N1445" s="1" t="s">
        <v>34</v>
      </c>
      <c r="O1445" s="1" t="s">
        <v>35</v>
      </c>
      <c r="P1445" s="1" t="s">
        <v>5820</v>
      </c>
    </row>
    <row r="1446" ht="14.25" customHeight="1">
      <c r="A1446" s="1" t="s">
        <v>5821</v>
      </c>
      <c r="B1446" s="1" t="s">
        <v>5822</v>
      </c>
      <c r="C1446" s="1" t="s">
        <v>76</v>
      </c>
      <c r="D1446" s="1">
        <v>31676.0</v>
      </c>
      <c r="E1446" s="1" t="s">
        <v>77</v>
      </c>
      <c r="F1446" s="1" t="s">
        <v>94</v>
      </c>
      <c r="G1446" s="1" t="s">
        <v>100</v>
      </c>
      <c r="H1446" s="2">
        <v>3909.0</v>
      </c>
      <c r="I1446" s="2">
        <v>3685.0</v>
      </c>
      <c r="J1446" s="1">
        <v>1979.0</v>
      </c>
      <c r="K1446" s="1">
        <v>3.0</v>
      </c>
      <c r="L1446" s="1" t="s">
        <v>95</v>
      </c>
      <c r="M1446" s="1" t="s">
        <v>5823</v>
      </c>
      <c r="N1446" s="1" t="s">
        <v>34</v>
      </c>
      <c r="O1446" s="1" t="s">
        <v>49</v>
      </c>
      <c r="P1446" s="1" t="s">
        <v>5824</v>
      </c>
    </row>
    <row r="1447" ht="14.25" customHeight="1">
      <c r="A1447" s="1" t="s">
        <v>5825</v>
      </c>
      <c r="B1447" s="1" t="s">
        <v>5826</v>
      </c>
      <c r="C1447" s="1" t="s">
        <v>53</v>
      </c>
      <c r="D1447" s="1">
        <v>72493.0</v>
      </c>
      <c r="E1447" s="1" t="s">
        <v>40</v>
      </c>
      <c r="F1447" s="1" t="s">
        <v>41</v>
      </c>
      <c r="G1447" s="1" t="s">
        <v>55</v>
      </c>
      <c r="H1447" s="2">
        <v>1395.0</v>
      </c>
      <c r="I1447" s="2">
        <v>8559.0</v>
      </c>
      <c r="J1447" s="1">
        <v>1956.0</v>
      </c>
      <c r="K1447" s="1">
        <v>74.0</v>
      </c>
      <c r="L1447" s="1" t="s">
        <v>22</v>
      </c>
      <c r="M1447" s="1" t="s">
        <v>5827</v>
      </c>
      <c r="N1447" s="1" t="s">
        <v>24</v>
      </c>
      <c r="O1447" s="1" t="s">
        <v>49</v>
      </c>
      <c r="P1447" s="1" t="s">
        <v>5828</v>
      </c>
    </row>
    <row r="1448" ht="14.25" customHeight="1">
      <c r="A1448" s="1" t="s">
        <v>5829</v>
      </c>
      <c r="B1448" s="1" t="s">
        <v>5830</v>
      </c>
      <c r="C1448" s="1" t="s">
        <v>18</v>
      </c>
      <c r="D1448" s="1">
        <v>77866.0</v>
      </c>
      <c r="E1448" s="1" t="s">
        <v>19</v>
      </c>
      <c r="F1448" s="1" t="s">
        <v>20</v>
      </c>
      <c r="G1448" s="1" t="s">
        <v>100</v>
      </c>
      <c r="H1448" s="2">
        <v>674.0</v>
      </c>
      <c r="I1448" s="2">
        <v>6448.0</v>
      </c>
      <c r="J1448" s="1">
        <v>1993.0</v>
      </c>
      <c r="K1448" s="1">
        <v>87.0</v>
      </c>
      <c r="L1448" s="1" t="s">
        <v>62</v>
      </c>
      <c r="M1448" s="1" t="s">
        <v>5831</v>
      </c>
      <c r="N1448" s="1" t="s">
        <v>24</v>
      </c>
      <c r="O1448" s="1" t="s">
        <v>25</v>
      </c>
      <c r="P1448" s="1" t="s">
        <v>5832</v>
      </c>
    </row>
    <row r="1449" ht="14.25" customHeight="1">
      <c r="A1449" s="1" t="s">
        <v>5833</v>
      </c>
      <c r="B1449" s="1" t="s">
        <v>5834</v>
      </c>
      <c r="C1449" s="1" t="s">
        <v>76</v>
      </c>
      <c r="D1449" s="1">
        <v>30651.0</v>
      </c>
      <c r="E1449" s="1" t="s">
        <v>19</v>
      </c>
      <c r="F1449" s="1" t="s">
        <v>20</v>
      </c>
      <c r="G1449" s="1" t="s">
        <v>55</v>
      </c>
      <c r="H1449" s="2">
        <v>2231.0</v>
      </c>
      <c r="I1449" s="2">
        <v>3274.0</v>
      </c>
      <c r="J1449" s="1">
        <v>1973.0</v>
      </c>
      <c r="K1449" s="1">
        <v>36.0</v>
      </c>
      <c r="L1449" s="1" t="s">
        <v>62</v>
      </c>
      <c r="M1449" s="1" t="s">
        <v>5835</v>
      </c>
      <c r="N1449" s="1" t="s">
        <v>64</v>
      </c>
      <c r="O1449" s="1" t="s">
        <v>35</v>
      </c>
      <c r="P1449" s="1" t="s">
        <v>5836</v>
      </c>
    </row>
    <row r="1450" ht="14.25" customHeight="1">
      <c r="A1450" s="1" t="s">
        <v>5837</v>
      </c>
      <c r="B1450" s="1" t="s">
        <v>5838</v>
      </c>
      <c r="C1450" s="1" t="s">
        <v>18</v>
      </c>
      <c r="D1450" s="1">
        <v>48533.0</v>
      </c>
      <c r="E1450" s="1" t="s">
        <v>19</v>
      </c>
      <c r="F1450" s="1" t="s">
        <v>46</v>
      </c>
      <c r="G1450" s="1" t="s">
        <v>55</v>
      </c>
      <c r="H1450" s="2">
        <v>1449.0</v>
      </c>
      <c r="I1450" s="2">
        <v>4605.0</v>
      </c>
      <c r="J1450" s="1">
        <v>1995.0</v>
      </c>
      <c r="K1450" s="1">
        <v>80.0</v>
      </c>
      <c r="L1450" s="1" t="s">
        <v>95</v>
      </c>
      <c r="M1450" s="1" t="s">
        <v>5839</v>
      </c>
      <c r="N1450" s="1" t="s">
        <v>24</v>
      </c>
      <c r="O1450" s="1" t="s">
        <v>25</v>
      </c>
      <c r="P1450" s="1" t="s">
        <v>5840</v>
      </c>
    </row>
    <row r="1451" ht="14.25" customHeight="1">
      <c r="A1451" s="1" t="s">
        <v>5841</v>
      </c>
      <c r="B1451" s="1" t="s">
        <v>5842</v>
      </c>
      <c r="C1451" s="1" t="s">
        <v>29</v>
      </c>
      <c r="D1451" s="1">
        <v>47743.0</v>
      </c>
      <c r="E1451" s="1" t="s">
        <v>30</v>
      </c>
      <c r="F1451" s="1" t="s">
        <v>20</v>
      </c>
      <c r="G1451" s="1" t="s">
        <v>55</v>
      </c>
      <c r="H1451" s="2">
        <v>1656.0</v>
      </c>
      <c r="I1451" s="2">
        <v>4660.0</v>
      </c>
      <c r="J1451" s="1">
        <v>1954.0</v>
      </c>
      <c r="K1451" s="1">
        <v>58.0</v>
      </c>
      <c r="L1451" s="1" t="s">
        <v>22</v>
      </c>
      <c r="M1451" s="1" t="s">
        <v>5843</v>
      </c>
      <c r="N1451" s="1" t="s">
        <v>34</v>
      </c>
      <c r="O1451" s="1" t="s">
        <v>49</v>
      </c>
      <c r="P1451" s="1" t="s">
        <v>5844</v>
      </c>
    </row>
    <row r="1452" ht="14.25" customHeight="1">
      <c r="A1452" s="1" t="s">
        <v>5845</v>
      </c>
      <c r="B1452" s="1" t="s">
        <v>5846</v>
      </c>
      <c r="C1452" s="1" t="s">
        <v>29</v>
      </c>
      <c r="D1452" s="1">
        <v>92161.0</v>
      </c>
      <c r="E1452" s="1" t="s">
        <v>19</v>
      </c>
      <c r="F1452" s="1" t="s">
        <v>94</v>
      </c>
      <c r="G1452" s="1" t="s">
        <v>55</v>
      </c>
      <c r="H1452" s="2">
        <v>3292.0</v>
      </c>
      <c r="I1452" s="2">
        <v>7374.0</v>
      </c>
      <c r="J1452" s="1">
        <v>1961.0</v>
      </c>
      <c r="K1452" s="1">
        <v>74.0</v>
      </c>
      <c r="L1452" s="1" t="s">
        <v>95</v>
      </c>
      <c r="M1452" s="1" t="s">
        <v>5847</v>
      </c>
      <c r="N1452" s="1" t="s">
        <v>64</v>
      </c>
      <c r="O1452" s="1" t="s">
        <v>35</v>
      </c>
      <c r="P1452" s="1" t="s">
        <v>5848</v>
      </c>
    </row>
    <row r="1453" ht="14.25" customHeight="1">
      <c r="A1453" s="1" t="s">
        <v>5849</v>
      </c>
      <c r="B1453" s="1" t="s">
        <v>5850</v>
      </c>
      <c r="C1453" s="1" t="s">
        <v>53</v>
      </c>
      <c r="D1453" s="1">
        <v>16632.0</v>
      </c>
      <c r="E1453" s="1" t="s">
        <v>60</v>
      </c>
      <c r="F1453" s="1" t="s">
        <v>20</v>
      </c>
      <c r="G1453" s="1" t="s">
        <v>31</v>
      </c>
      <c r="H1453" s="2">
        <v>2881.0</v>
      </c>
      <c r="I1453" s="2">
        <v>3846.0</v>
      </c>
      <c r="J1453" s="1">
        <v>1965.0</v>
      </c>
      <c r="K1453" s="1">
        <v>108.0</v>
      </c>
      <c r="L1453" s="1" t="s">
        <v>32</v>
      </c>
      <c r="M1453" s="1" t="s">
        <v>5851</v>
      </c>
      <c r="N1453" s="1" t="s">
        <v>24</v>
      </c>
      <c r="O1453" s="1" t="s">
        <v>49</v>
      </c>
      <c r="P1453" s="1" t="s">
        <v>5852</v>
      </c>
    </row>
    <row r="1454" ht="14.25" customHeight="1">
      <c r="A1454" s="1" t="s">
        <v>5853</v>
      </c>
      <c r="B1454" s="1" t="s">
        <v>5854</v>
      </c>
      <c r="C1454" s="1" t="s">
        <v>39</v>
      </c>
      <c r="D1454" s="1">
        <v>88286.0</v>
      </c>
      <c r="E1454" s="1" t="s">
        <v>19</v>
      </c>
      <c r="F1454" s="1" t="s">
        <v>94</v>
      </c>
      <c r="G1454" s="1" t="s">
        <v>100</v>
      </c>
      <c r="H1454" s="2">
        <v>1051.0</v>
      </c>
      <c r="I1454" s="2">
        <v>2605.0</v>
      </c>
      <c r="J1454" s="1">
        <v>2011.0</v>
      </c>
      <c r="K1454" s="1">
        <v>62.0</v>
      </c>
      <c r="L1454" s="1" t="s">
        <v>22</v>
      </c>
      <c r="M1454" s="1" t="s">
        <v>5855</v>
      </c>
      <c r="N1454" s="1" t="s">
        <v>34</v>
      </c>
      <c r="O1454" s="1" t="s">
        <v>49</v>
      </c>
      <c r="P1454" s="1" t="s">
        <v>5856</v>
      </c>
    </row>
    <row r="1455" ht="14.25" customHeight="1">
      <c r="A1455" s="1" t="s">
        <v>5857</v>
      </c>
      <c r="B1455" s="1" t="s">
        <v>5858</v>
      </c>
      <c r="C1455" s="1" t="s">
        <v>76</v>
      </c>
      <c r="D1455" s="1">
        <v>13831.0</v>
      </c>
      <c r="E1455" s="1" t="s">
        <v>77</v>
      </c>
      <c r="F1455" s="1" t="s">
        <v>41</v>
      </c>
      <c r="G1455" s="1" t="s">
        <v>55</v>
      </c>
      <c r="H1455" s="2">
        <v>705.0</v>
      </c>
      <c r="I1455" s="2">
        <v>4337.0</v>
      </c>
      <c r="J1455" s="1">
        <v>1993.0</v>
      </c>
      <c r="K1455" s="1">
        <v>53.0</v>
      </c>
      <c r="L1455" s="1" t="s">
        <v>32</v>
      </c>
      <c r="M1455" s="1" t="s">
        <v>5859</v>
      </c>
      <c r="N1455" s="1" t="s">
        <v>34</v>
      </c>
      <c r="O1455" s="1" t="s">
        <v>49</v>
      </c>
      <c r="P1455" s="1" t="s">
        <v>5860</v>
      </c>
    </row>
    <row r="1456" ht="14.25" customHeight="1">
      <c r="A1456" s="1" t="s">
        <v>5861</v>
      </c>
      <c r="B1456" s="1" t="s">
        <v>5862</v>
      </c>
      <c r="C1456" s="1" t="s">
        <v>76</v>
      </c>
      <c r="D1456" s="1">
        <v>58519.0</v>
      </c>
      <c r="E1456" s="1" t="s">
        <v>19</v>
      </c>
      <c r="F1456" s="1" t="s">
        <v>94</v>
      </c>
      <c r="G1456" s="1" t="s">
        <v>31</v>
      </c>
      <c r="H1456" s="2">
        <v>3854.0</v>
      </c>
      <c r="I1456" s="2">
        <v>1766.0</v>
      </c>
      <c r="J1456" s="1">
        <v>2008.0</v>
      </c>
      <c r="K1456" s="1">
        <v>111.0</v>
      </c>
      <c r="L1456" s="1" t="s">
        <v>62</v>
      </c>
      <c r="M1456" s="1" t="s">
        <v>5863</v>
      </c>
      <c r="N1456" s="1" t="s">
        <v>34</v>
      </c>
      <c r="O1456" s="1" t="s">
        <v>49</v>
      </c>
      <c r="P1456" s="1" t="s">
        <v>5864</v>
      </c>
    </row>
    <row r="1457" ht="14.25" customHeight="1">
      <c r="A1457" s="1" t="s">
        <v>5865</v>
      </c>
      <c r="B1457" s="1" t="s">
        <v>5866</v>
      </c>
      <c r="C1457" s="1" t="s">
        <v>53</v>
      </c>
      <c r="D1457" s="1">
        <v>88449.0</v>
      </c>
      <c r="E1457" s="1" t="s">
        <v>30</v>
      </c>
      <c r="F1457" s="1" t="s">
        <v>46</v>
      </c>
      <c r="G1457" s="1" t="s">
        <v>55</v>
      </c>
      <c r="H1457" s="2">
        <v>3341.0</v>
      </c>
      <c r="I1457" s="2">
        <v>3049.0</v>
      </c>
      <c r="J1457" s="1">
        <v>2006.0</v>
      </c>
      <c r="K1457" s="1">
        <v>114.0</v>
      </c>
      <c r="L1457" s="1" t="s">
        <v>95</v>
      </c>
      <c r="M1457" s="1" t="s">
        <v>5867</v>
      </c>
      <c r="N1457" s="1" t="s">
        <v>43</v>
      </c>
      <c r="O1457" s="1" t="s">
        <v>35</v>
      </c>
      <c r="P1457" s="1" t="s">
        <v>5868</v>
      </c>
    </row>
    <row r="1458" ht="14.25" customHeight="1">
      <c r="A1458" s="1" t="s">
        <v>5869</v>
      </c>
      <c r="B1458" s="1" t="s">
        <v>5870</v>
      </c>
      <c r="C1458" s="1" t="s">
        <v>39</v>
      </c>
      <c r="D1458" s="1">
        <v>20336.0</v>
      </c>
      <c r="E1458" s="1" t="s">
        <v>60</v>
      </c>
      <c r="F1458" s="1" t="s">
        <v>54</v>
      </c>
      <c r="G1458" s="1" t="s">
        <v>55</v>
      </c>
      <c r="H1458" s="2">
        <v>967.0</v>
      </c>
      <c r="I1458" s="2">
        <v>5888.0</v>
      </c>
      <c r="J1458" s="1">
        <v>1955.0</v>
      </c>
      <c r="K1458" s="1">
        <v>47.0</v>
      </c>
      <c r="L1458" s="1" t="s">
        <v>22</v>
      </c>
      <c r="M1458" s="1" t="s">
        <v>5871</v>
      </c>
      <c r="N1458" s="1" t="s">
        <v>43</v>
      </c>
      <c r="O1458" s="1" t="s">
        <v>49</v>
      </c>
      <c r="P1458" s="1" t="s">
        <v>5872</v>
      </c>
    </row>
    <row r="1459" ht="14.25" customHeight="1">
      <c r="A1459" s="1" t="s">
        <v>5873</v>
      </c>
      <c r="B1459" s="1" t="s">
        <v>5874</v>
      </c>
      <c r="C1459" s="1" t="s">
        <v>29</v>
      </c>
      <c r="D1459" s="1">
        <v>92482.0</v>
      </c>
      <c r="E1459" s="1" t="s">
        <v>60</v>
      </c>
      <c r="F1459" s="1" t="s">
        <v>41</v>
      </c>
      <c r="G1459" s="1" t="s">
        <v>21</v>
      </c>
      <c r="H1459" s="2">
        <v>1860.0</v>
      </c>
      <c r="I1459" s="2">
        <v>8438.0</v>
      </c>
      <c r="J1459" s="1">
        <v>1982.0</v>
      </c>
      <c r="K1459" s="1">
        <v>20.0</v>
      </c>
      <c r="L1459" s="1" t="s">
        <v>22</v>
      </c>
      <c r="M1459" s="1" t="s">
        <v>5875</v>
      </c>
      <c r="N1459" s="1" t="s">
        <v>48</v>
      </c>
      <c r="O1459" s="1" t="s">
        <v>35</v>
      </c>
      <c r="P1459" s="1" t="s">
        <v>5876</v>
      </c>
    </row>
    <row r="1460" ht="14.25" customHeight="1">
      <c r="A1460" s="1" t="s">
        <v>5877</v>
      </c>
      <c r="B1460" s="1" t="s">
        <v>5878</v>
      </c>
      <c r="C1460" s="1" t="s">
        <v>29</v>
      </c>
      <c r="D1460" s="1">
        <v>18987.0</v>
      </c>
      <c r="E1460" s="1" t="s">
        <v>40</v>
      </c>
      <c r="F1460" s="1" t="s">
        <v>54</v>
      </c>
      <c r="G1460" s="1" t="s">
        <v>31</v>
      </c>
      <c r="H1460" s="2">
        <v>2384.0</v>
      </c>
      <c r="I1460" s="2">
        <v>7314.0</v>
      </c>
      <c r="J1460" s="1">
        <v>2008.0</v>
      </c>
      <c r="K1460" s="1">
        <v>20.0</v>
      </c>
      <c r="L1460" s="1" t="s">
        <v>22</v>
      </c>
      <c r="M1460" s="1" t="s">
        <v>5879</v>
      </c>
      <c r="N1460" s="1" t="s">
        <v>64</v>
      </c>
      <c r="O1460" s="1" t="s">
        <v>35</v>
      </c>
      <c r="P1460" s="1" t="s">
        <v>5880</v>
      </c>
    </row>
    <row r="1461" ht="14.25" customHeight="1">
      <c r="A1461" s="1" t="s">
        <v>5881</v>
      </c>
      <c r="B1461" s="1" t="s">
        <v>5882</v>
      </c>
      <c r="C1461" s="1" t="s">
        <v>18</v>
      </c>
      <c r="D1461" s="1">
        <v>43311.0</v>
      </c>
      <c r="E1461" s="1" t="s">
        <v>60</v>
      </c>
      <c r="F1461" s="1" t="s">
        <v>61</v>
      </c>
      <c r="G1461" s="1" t="s">
        <v>55</v>
      </c>
      <c r="H1461" s="2">
        <v>826.0</v>
      </c>
      <c r="I1461" s="2">
        <v>2258.0</v>
      </c>
      <c r="J1461" s="1">
        <v>2021.0</v>
      </c>
      <c r="K1461" s="1">
        <v>46.0</v>
      </c>
      <c r="L1461" s="1" t="s">
        <v>141</v>
      </c>
      <c r="M1461" s="1" t="s">
        <v>5883</v>
      </c>
      <c r="N1461" s="1" t="s">
        <v>64</v>
      </c>
      <c r="O1461" s="1" t="s">
        <v>49</v>
      </c>
      <c r="P1461" s="1" t="s">
        <v>5884</v>
      </c>
    </row>
    <row r="1462" ht="14.25" customHeight="1">
      <c r="A1462" s="1" t="s">
        <v>5885</v>
      </c>
      <c r="B1462" s="1" t="s">
        <v>5886</v>
      </c>
      <c r="C1462" s="1" t="s">
        <v>29</v>
      </c>
      <c r="D1462" s="1">
        <v>92714.0</v>
      </c>
      <c r="E1462" s="1" t="s">
        <v>40</v>
      </c>
      <c r="F1462" s="1" t="s">
        <v>54</v>
      </c>
      <c r="G1462" s="1" t="s">
        <v>31</v>
      </c>
      <c r="H1462" s="2">
        <v>2787.0</v>
      </c>
      <c r="I1462" s="2">
        <v>1504.0</v>
      </c>
      <c r="J1462" s="1">
        <v>1980.0</v>
      </c>
      <c r="K1462" s="1">
        <v>83.0</v>
      </c>
      <c r="L1462" s="1" t="s">
        <v>95</v>
      </c>
      <c r="M1462" s="1" t="s">
        <v>5887</v>
      </c>
      <c r="N1462" s="1" t="s">
        <v>43</v>
      </c>
      <c r="O1462" s="1" t="s">
        <v>35</v>
      </c>
      <c r="P1462" s="1" t="s">
        <v>5888</v>
      </c>
    </row>
    <row r="1463" ht="14.25" customHeight="1">
      <c r="A1463" s="1" t="s">
        <v>5889</v>
      </c>
      <c r="B1463" s="1" t="s">
        <v>5890</v>
      </c>
      <c r="C1463" s="1" t="s">
        <v>53</v>
      </c>
      <c r="D1463" s="1">
        <v>89134.0</v>
      </c>
      <c r="E1463" s="1" t="s">
        <v>40</v>
      </c>
      <c r="F1463" s="1" t="s">
        <v>61</v>
      </c>
      <c r="G1463" s="1" t="s">
        <v>55</v>
      </c>
      <c r="H1463" s="2">
        <v>2575.0</v>
      </c>
      <c r="I1463" s="2">
        <v>6403.0</v>
      </c>
      <c r="J1463" s="1">
        <v>1982.0</v>
      </c>
      <c r="K1463" s="1">
        <v>34.0</v>
      </c>
      <c r="L1463" s="1" t="s">
        <v>95</v>
      </c>
      <c r="M1463" s="1" t="s">
        <v>5891</v>
      </c>
      <c r="N1463" s="1" t="s">
        <v>48</v>
      </c>
      <c r="O1463" s="1" t="s">
        <v>35</v>
      </c>
      <c r="P1463" s="1" t="s">
        <v>5892</v>
      </c>
    </row>
    <row r="1464" ht="14.25" customHeight="1">
      <c r="A1464" s="1" t="s">
        <v>5893</v>
      </c>
      <c r="B1464" s="1" t="s">
        <v>5894</v>
      </c>
      <c r="C1464" s="1" t="s">
        <v>18</v>
      </c>
      <c r="D1464" s="1">
        <v>83362.0</v>
      </c>
      <c r="E1464" s="1" t="s">
        <v>40</v>
      </c>
      <c r="F1464" s="1" t="s">
        <v>41</v>
      </c>
      <c r="G1464" s="1" t="s">
        <v>21</v>
      </c>
      <c r="H1464" s="2">
        <v>3743.0</v>
      </c>
      <c r="I1464" s="2">
        <v>9326.0</v>
      </c>
      <c r="J1464" s="1">
        <v>1983.0</v>
      </c>
      <c r="K1464" s="1">
        <v>88.0</v>
      </c>
      <c r="L1464" s="1" t="s">
        <v>32</v>
      </c>
      <c r="M1464" s="1" t="s">
        <v>5895</v>
      </c>
      <c r="N1464" s="1" t="s">
        <v>24</v>
      </c>
      <c r="O1464" s="1" t="s">
        <v>49</v>
      </c>
      <c r="P1464" s="1" t="s">
        <v>5896</v>
      </c>
    </row>
    <row r="1465" ht="14.25" customHeight="1">
      <c r="A1465" s="1" t="s">
        <v>5897</v>
      </c>
      <c r="B1465" s="1" t="s">
        <v>5898</v>
      </c>
      <c r="C1465" s="1" t="s">
        <v>39</v>
      </c>
      <c r="D1465" s="1">
        <v>69720.0</v>
      </c>
      <c r="E1465" s="1" t="s">
        <v>60</v>
      </c>
      <c r="F1465" s="1" t="s">
        <v>41</v>
      </c>
      <c r="G1465" s="1" t="s">
        <v>31</v>
      </c>
      <c r="H1465" s="2">
        <v>2804.0</v>
      </c>
      <c r="I1465" s="2">
        <v>3166.0</v>
      </c>
      <c r="J1465" s="1">
        <v>1974.0</v>
      </c>
      <c r="K1465" s="1">
        <v>41.0</v>
      </c>
      <c r="L1465" s="1" t="s">
        <v>32</v>
      </c>
      <c r="M1465" s="1" t="s">
        <v>5899</v>
      </c>
      <c r="N1465" s="1" t="s">
        <v>43</v>
      </c>
      <c r="O1465" s="1" t="s">
        <v>25</v>
      </c>
      <c r="P1465" s="1" t="s">
        <v>5900</v>
      </c>
    </row>
    <row r="1466" ht="14.25" customHeight="1">
      <c r="A1466" s="1" t="s">
        <v>5901</v>
      </c>
      <c r="B1466" s="1" t="s">
        <v>5902</v>
      </c>
      <c r="C1466" s="1" t="s">
        <v>76</v>
      </c>
      <c r="D1466" s="1">
        <v>93926.0</v>
      </c>
      <c r="E1466" s="1" t="s">
        <v>40</v>
      </c>
      <c r="F1466" s="1" t="s">
        <v>94</v>
      </c>
      <c r="G1466" s="1" t="s">
        <v>55</v>
      </c>
      <c r="H1466" s="2">
        <v>2405.0</v>
      </c>
      <c r="I1466" s="2">
        <v>2752.0</v>
      </c>
      <c r="J1466" s="1">
        <v>1987.0</v>
      </c>
      <c r="K1466" s="1">
        <v>22.0</v>
      </c>
      <c r="L1466" s="1" t="s">
        <v>62</v>
      </c>
      <c r="M1466" s="1" t="s">
        <v>5903</v>
      </c>
      <c r="N1466" s="1" t="s">
        <v>48</v>
      </c>
      <c r="O1466" s="1" t="s">
        <v>25</v>
      </c>
      <c r="P1466" s="1" t="s">
        <v>5904</v>
      </c>
    </row>
    <row r="1467" ht="14.25" customHeight="1">
      <c r="A1467" s="1" t="s">
        <v>5905</v>
      </c>
      <c r="B1467" s="1" t="s">
        <v>5906</v>
      </c>
      <c r="C1467" s="1" t="s">
        <v>39</v>
      </c>
      <c r="D1467" s="1">
        <v>75022.0</v>
      </c>
      <c r="E1467" s="1" t="s">
        <v>40</v>
      </c>
      <c r="F1467" s="1" t="s">
        <v>54</v>
      </c>
      <c r="G1467" s="1" t="s">
        <v>100</v>
      </c>
      <c r="H1467" s="2">
        <v>1178.0</v>
      </c>
      <c r="I1467" s="2">
        <v>2464.0</v>
      </c>
      <c r="J1467" s="1">
        <v>1951.0</v>
      </c>
      <c r="K1467" s="1">
        <v>16.0</v>
      </c>
      <c r="L1467" s="1" t="s">
        <v>62</v>
      </c>
      <c r="M1467" s="1" t="s">
        <v>5907</v>
      </c>
      <c r="N1467" s="1" t="s">
        <v>34</v>
      </c>
      <c r="O1467" s="1" t="s">
        <v>25</v>
      </c>
      <c r="P1467" s="1" t="s">
        <v>5908</v>
      </c>
    </row>
    <row r="1468" ht="14.25" customHeight="1">
      <c r="A1468" s="1" t="s">
        <v>5909</v>
      </c>
      <c r="B1468" s="1" t="s">
        <v>5910</v>
      </c>
      <c r="C1468" s="1" t="s">
        <v>39</v>
      </c>
      <c r="D1468" s="1">
        <v>13806.0</v>
      </c>
      <c r="E1468" s="1" t="s">
        <v>19</v>
      </c>
      <c r="F1468" s="1" t="s">
        <v>54</v>
      </c>
      <c r="G1468" s="1" t="s">
        <v>31</v>
      </c>
      <c r="H1468" s="2">
        <v>3140.0</v>
      </c>
      <c r="I1468" s="2">
        <v>6463.0</v>
      </c>
      <c r="J1468" s="1">
        <v>2023.0</v>
      </c>
      <c r="K1468" s="1">
        <v>5.0</v>
      </c>
      <c r="L1468" s="1" t="s">
        <v>141</v>
      </c>
      <c r="M1468" s="1" t="s">
        <v>5911</v>
      </c>
      <c r="N1468" s="1" t="s">
        <v>24</v>
      </c>
      <c r="O1468" s="1" t="s">
        <v>25</v>
      </c>
      <c r="P1468" s="1" t="s">
        <v>5912</v>
      </c>
    </row>
    <row r="1469" ht="14.25" customHeight="1">
      <c r="A1469" s="1" t="s">
        <v>5913</v>
      </c>
      <c r="B1469" s="1" t="s">
        <v>5914</v>
      </c>
      <c r="C1469" s="1" t="s">
        <v>29</v>
      </c>
      <c r="D1469" s="1">
        <v>67015.0</v>
      </c>
      <c r="E1469" s="1" t="s">
        <v>19</v>
      </c>
      <c r="F1469" s="1" t="s">
        <v>54</v>
      </c>
      <c r="G1469" s="1" t="s">
        <v>21</v>
      </c>
      <c r="H1469" s="2">
        <v>655.0</v>
      </c>
      <c r="I1469" s="2">
        <v>8495.0</v>
      </c>
      <c r="J1469" s="1">
        <v>2015.0</v>
      </c>
      <c r="K1469" s="1">
        <v>32.0</v>
      </c>
      <c r="L1469" s="1" t="s">
        <v>95</v>
      </c>
      <c r="M1469" s="1" t="s">
        <v>5915</v>
      </c>
      <c r="N1469" s="1" t="s">
        <v>48</v>
      </c>
      <c r="O1469" s="1" t="s">
        <v>35</v>
      </c>
      <c r="P1469" s="1" t="s">
        <v>5916</v>
      </c>
    </row>
    <row r="1470" ht="14.25" customHeight="1">
      <c r="A1470" s="1" t="s">
        <v>5917</v>
      </c>
      <c r="B1470" s="1" t="s">
        <v>5918</v>
      </c>
      <c r="C1470" s="1" t="s">
        <v>76</v>
      </c>
      <c r="D1470" s="1">
        <v>46345.0</v>
      </c>
      <c r="E1470" s="1" t="s">
        <v>40</v>
      </c>
      <c r="F1470" s="1" t="s">
        <v>46</v>
      </c>
      <c r="G1470" s="1" t="s">
        <v>21</v>
      </c>
      <c r="H1470" s="2">
        <v>2678.0</v>
      </c>
      <c r="I1470" s="2">
        <v>9618.0</v>
      </c>
      <c r="J1470" s="1">
        <v>2020.0</v>
      </c>
      <c r="K1470" s="1">
        <v>93.0</v>
      </c>
      <c r="L1470" s="1" t="s">
        <v>95</v>
      </c>
      <c r="M1470" s="1" t="s">
        <v>5919</v>
      </c>
      <c r="N1470" s="1" t="s">
        <v>24</v>
      </c>
      <c r="O1470" s="1" t="s">
        <v>25</v>
      </c>
      <c r="P1470" s="1" t="s">
        <v>5920</v>
      </c>
    </row>
    <row r="1471" ht="14.25" customHeight="1">
      <c r="A1471" s="1" t="s">
        <v>5921</v>
      </c>
      <c r="B1471" s="1" t="s">
        <v>5922</v>
      </c>
      <c r="C1471" s="1" t="s">
        <v>39</v>
      </c>
      <c r="D1471" s="1">
        <v>77377.0</v>
      </c>
      <c r="E1471" s="1" t="s">
        <v>30</v>
      </c>
      <c r="F1471" s="1" t="s">
        <v>61</v>
      </c>
      <c r="G1471" s="1" t="s">
        <v>31</v>
      </c>
      <c r="H1471" s="2">
        <v>2881.0</v>
      </c>
      <c r="I1471" s="2">
        <v>3431.0</v>
      </c>
      <c r="J1471" s="1">
        <v>2001.0</v>
      </c>
      <c r="K1471" s="1">
        <v>73.0</v>
      </c>
      <c r="L1471" s="1" t="s">
        <v>95</v>
      </c>
      <c r="M1471" s="1" t="s">
        <v>5923</v>
      </c>
      <c r="N1471" s="1" t="s">
        <v>34</v>
      </c>
      <c r="O1471" s="1" t="s">
        <v>25</v>
      </c>
      <c r="P1471" s="1" t="s">
        <v>5924</v>
      </c>
    </row>
    <row r="1472" ht="14.25" customHeight="1">
      <c r="A1472" s="1" t="s">
        <v>5925</v>
      </c>
      <c r="B1472" s="1" t="s">
        <v>5926</v>
      </c>
      <c r="C1472" s="1" t="s">
        <v>18</v>
      </c>
      <c r="D1472" s="1">
        <v>27746.0</v>
      </c>
      <c r="E1472" s="1" t="s">
        <v>30</v>
      </c>
      <c r="F1472" s="1" t="s">
        <v>54</v>
      </c>
      <c r="G1472" s="1" t="s">
        <v>21</v>
      </c>
      <c r="H1472" s="2">
        <v>968.0</v>
      </c>
      <c r="I1472" s="2">
        <v>5001.0</v>
      </c>
      <c r="J1472" s="1">
        <v>1988.0</v>
      </c>
      <c r="K1472" s="1">
        <v>16.0</v>
      </c>
      <c r="L1472" s="1" t="s">
        <v>141</v>
      </c>
      <c r="M1472" s="1" t="s">
        <v>5927</v>
      </c>
      <c r="N1472" s="1" t="s">
        <v>34</v>
      </c>
      <c r="O1472" s="1" t="s">
        <v>49</v>
      </c>
      <c r="P1472" s="1" t="s">
        <v>5928</v>
      </c>
    </row>
    <row r="1473" ht="14.25" customHeight="1">
      <c r="A1473" s="1" t="s">
        <v>5929</v>
      </c>
      <c r="B1473" s="1" t="s">
        <v>5930</v>
      </c>
      <c r="C1473" s="1" t="s">
        <v>39</v>
      </c>
      <c r="D1473" s="1">
        <v>29253.0</v>
      </c>
      <c r="E1473" s="1" t="s">
        <v>60</v>
      </c>
      <c r="F1473" s="1" t="s">
        <v>94</v>
      </c>
      <c r="G1473" s="1" t="s">
        <v>55</v>
      </c>
      <c r="H1473" s="2">
        <v>3141.0</v>
      </c>
      <c r="I1473" s="2">
        <v>9189.0</v>
      </c>
      <c r="J1473" s="1">
        <v>1964.0</v>
      </c>
      <c r="K1473" s="1">
        <v>69.0</v>
      </c>
      <c r="L1473" s="1" t="s">
        <v>95</v>
      </c>
      <c r="M1473" s="1" t="s">
        <v>5931</v>
      </c>
      <c r="N1473" s="1" t="s">
        <v>24</v>
      </c>
      <c r="O1473" s="1" t="s">
        <v>49</v>
      </c>
      <c r="P1473" s="1" t="s">
        <v>5932</v>
      </c>
    </row>
    <row r="1474" ht="14.25" customHeight="1">
      <c r="A1474" s="1" t="s">
        <v>5933</v>
      </c>
      <c r="B1474" s="1" t="s">
        <v>5934</v>
      </c>
      <c r="C1474" s="1" t="s">
        <v>76</v>
      </c>
      <c r="D1474" s="1">
        <v>50058.0</v>
      </c>
      <c r="E1474" s="1" t="s">
        <v>60</v>
      </c>
      <c r="F1474" s="1" t="s">
        <v>94</v>
      </c>
      <c r="G1474" s="1" t="s">
        <v>21</v>
      </c>
      <c r="H1474" s="2">
        <v>2906.0</v>
      </c>
      <c r="I1474" s="2">
        <v>6784.0</v>
      </c>
      <c r="J1474" s="1">
        <v>2009.0</v>
      </c>
      <c r="K1474" s="1">
        <v>118.0</v>
      </c>
      <c r="L1474" s="1" t="s">
        <v>22</v>
      </c>
      <c r="M1474" s="1" t="s">
        <v>5935</v>
      </c>
      <c r="N1474" s="1" t="s">
        <v>34</v>
      </c>
      <c r="O1474" s="1" t="s">
        <v>35</v>
      </c>
      <c r="P1474" s="1" t="s">
        <v>5936</v>
      </c>
    </row>
    <row r="1475" ht="14.25" customHeight="1">
      <c r="A1475" s="1" t="s">
        <v>5937</v>
      </c>
      <c r="B1475" s="1" t="s">
        <v>5938</v>
      </c>
      <c r="C1475" s="1" t="s">
        <v>39</v>
      </c>
      <c r="D1475" s="1">
        <v>78417.0</v>
      </c>
      <c r="E1475" s="1" t="s">
        <v>60</v>
      </c>
      <c r="F1475" s="1" t="s">
        <v>54</v>
      </c>
      <c r="G1475" s="1" t="s">
        <v>21</v>
      </c>
      <c r="H1475" s="2">
        <v>3375.0</v>
      </c>
      <c r="I1475" s="2">
        <v>6800.0</v>
      </c>
      <c r="J1475" s="1">
        <v>1959.0</v>
      </c>
      <c r="K1475" s="1">
        <v>99.0</v>
      </c>
      <c r="L1475" s="1" t="s">
        <v>62</v>
      </c>
      <c r="M1475" s="1" t="s">
        <v>5939</v>
      </c>
      <c r="N1475" s="1" t="s">
        <v>24</v>
      </c>
      <c r="O1475" s="1" t="s">
        <v>49</v>
      </c>
      <c r="P1475" s="1" t="s">
        <v>5940</v>
      </c>
    </row>
    <row r="1476" ht="14.25" customHeight="1">
      <c r="A1476" s="1" t="s">
        <v>5941</v>
      </c>
      <c r="B1476" s="1" t="s">
        <v>5942</v>
      </c>
      <c r="C1476" s="1" t="s">
        <v>76</v>
      </c>
      <c r="D1476" s="1">
        <v>62236.0</v>
      </c>
      <c r="E1476" s="1" t="s">
        <v>77</v>
      </c>
      <c r="F1476" s="1" t="s">
        <v>20</v>
      </c>
      <c r="G1476" s="1" t="s">
        <v>21</v>
      </c>
      <c r="H1476" s="2">
        <v>1294.0</v>
      </c>
      <c r="I1476" s="2">
        <v>5757.0</v>
      </c>
      <c r="J1476" s="1">
        <v>2003.0</v>
      </c>
      <c r="K1476" s="1">
        <v>12.0</v>
      </c>
      <c r="L1476" s="1" t="s">
        <v>22</v>
      </c>
      <c r="M1476" s="1" t="s">
        <v>5943</v>
      </c>
      <c r="N1476" s="1" t="s">
        <v>34</v>
      </c>
      <c r="O1476" s="1" t="s">
        <v>35</v>
      </c>
      <c r="P1476" s="1" t="s">
        <v>5944</v>
      </c>
    </row>
    <row r="1477" ht="14.25" customHeight="1">
      <c r="A1477" s="1" t="s">
        <v>5945</v>
      </c>
      <c r="B1477" s="1" t="s">
        <v>5946</v>
      </c>
      <c r="C1477" s="1" t="s">
        <v>18</v>
      </c>
      <c r="D1477" s="1">
        <v>76509.0</v>
      </c>
      <c r="E1477" s="1" t="s">
        <v>60</v>
      </c>
      <c r="F1477" s="1" t="s">
        <v>54</v>
      </c>
      <c r="G1477" s="1" t="s">
        <v>21</v>
      </c>
      <c r="H1477" s="2">
        <v>828.0</v>
      </c>
      <c r="I1477" s="2">
        <v>7406.0</v>
      </c>
      <c r="J1477" s="1">
        <v>2009.0</v>
      </c>
      <c r="K1477" s="1">
        <v>29.0</v>
      </c>
      <c r="L1477" s="1" t="s">
        <v>62</v>
      </c>
      <c r="M1477" s="1" t="s">
        <v>5947</v>
      </c>
      <c r="N1477" s="1" t="s">
        <v>24</v>
      </c>
      <c r="O1477" s="1" t="s">
        <v>35</v>
      </c>
      <c r="P1477" s="1" t="s">
        <v>5948</v>
      </c>
    </row>
    <row r="1478" ht="14.25" customHeight="1">
      <c r="A1478" s="1" t="s">
        <v>5949</v>
      </c>
      <c r="B1478" s="1" t="s">
        <v>5950</v>
      </c>
      <c r="C1478" s="1" t="s">
        <v>18</v>
      </c>
      <c r="D1478" s="1">
        <v>10617.0</v>
      </c>
      <c r="E1478" s="1" t="s">
        <v>30</v>
      </c>
      <c r="F1478" s="1" t="s">
        <v>94</v>
      </c>
      <c r="G1478" s="1" t="s">
        <v>21</v>
      </c>
      <c r="H1478" s="2">
        <v>3690.0</v>
      </c>
      <c r="I1478" s="2">
        <v>4485.0</v>
      </c>
      <c r="J1478" s="1">
        <v>1978.0</v>
      </c>
      <c r="K1478" s="1">
        <v>29.0</v>
      </c>
      <c r="L1478" s="1" t="s">
        <v>95</v>
      </c>
      <c r="M1478" s="1" t="s">
        <v>5951</v>
      </c>
      <c r="N1478" s="1" t="s">
        <v>43</v>
      </c>
      <c r="O1478" s="1" t="s">
        <v>49</v>
      </c>
      <c r="P1478" s="1" t="s">
        <v>5952</v>
      </c>
    </row>
    <row r="1479" ht="14.25" customHeight="1">
      <c r="A1479" s="1" t="s">
        <v>5953</v>
      </c>
      <c r="B1479" s="1" t="s">
        <v>5954</v>
      </c>
      <c r="C1479" s="1" t="s">
        <v>39</v>
      </c>
      <c r="D1479" s="1">
        <v>39573.0</v>
      </c>
      <c r="E1479" s="1" t="s">
        <v>19</v>
      </c>
      <c r="F1479" s="1" t="s">
        <v>46</v>
      </c>
      <c r="G1479" s="1" t="s">
        <v>21</v>
      </c>
      <c r="H1479" s="2">
        <v>2755.0</v>
      </c>
      <c r="I1479" s="2">
        <v>1797.0</v>
      </c>
      <c r="J1479" s="1">
        <v>2015.0</v>
      </c>
      <c r="K1479" s="1">
        <v>52.0</v>
      </c>
      <c r="L1479" s="1" t="s">
        <v>141</v>
      </c>
      <c r="M1479" s="1" t="s">
        <v>5955</v>
      </c>
      <c r="N1479" s="1" t="s">
        <v>24</v>
      </c>
      <c r="O1479" s="1" t="s">
        <v>49</v>
      </c>
      <c r="P1479" s="1" t="s">
        <v>5956</v>
      </c>
    </row>
    <row r="1480" ht="14.25" customHeight="1">
      <c r="A1480" s="1" t="s">
        <v>5957</v>
      </c>
      <c r="B1480" s="1" t="s">
        <v>5958</v>
      </c>
      <c r="C1480" s="1" t="s">
        <v>29</v>
      </c>
      <c r="D1480" s="1">
        <v>59397.0</v>
      </c>
      <c r="E1480" s="1" t="s">
        <v>77</v>
      </c>
      <c r="F1480" s="1" t="s">
        <v>54</v>
      </c>
      <c r="G1480" s="1" t="s">
        <v>100</v>
      </c>
      <c r="H1480" s="2">
        <v>1225.0</v>
      </c>
      <c r="I1480" s="2">
        <v>6527.0</v>
      </c>
      <c r="J1480" s="1">
        <v>2008.0</v>
      </c>
      <c r="K1480" s="1">
        <v>73.0</v>
      </c>
      <c r="L1480" s="1" t="s">
        <v>95</v>
      </c>
      <c r="M1480" s="1" t="s">
        <v>5959</v>
      </c>
      <c r="N1480" s="1" t="s">
        <v>64</v>
      </c>
      <c r="O1480" s="1" t="s">
        <v>25</v>
      </c>
      <c r="P1480" s="1" t="s">
        <v>5960</v>
      </c>
    </row>
    <row r="1481" ht="14.25" customHeight="1">
      <c r="A1481" s="1" t="s">
        <v>5961</v>
      </c>
      <c r="B1481" s="1" t="s">
        <v>5962</v>
      </c>
      <c r="C1481" s="1" t="s">
        <v>18</v>
      </c>
      <c r="D1481" s="1">
        <v>47551.0</v>
      </c>
      <c r="E1481" s="1" t="s">
        <v>77</v>
      </c>
      <c r="F1481" s="1" t="s">
        <v>61</v>
      </c>
      <c r="G1481" s="1" t="s">
        <v>21</v>
      </c>
      <c r="H1481" s="2">
        <v>1816.0</v>
      </c>
      <c r="I1481" s="2">
        <v>9386.0</v>
      </c>
      <c r="J1481" s="1">
        <v>1967.0</v>
      </c>
      <c r="K1481" s="1">
        <v>41.0</v>
      </c>
      <c r="L1481" s="1" t="s">
        <v>141</v>
      </c>
      <c r="M1481" s="1" t="s">
        <v>5963</v>
      </c>
      <c r="N1481" s="1" t="s">
        <v>43</v>
      </c>
      <c r="O1481" s="1" t="s">
        <v>49</v>
      </c>
      <c r="P1481" s="1" t="s">
        <v>5964</v>
      </c>
    </row>
    <row r="1482" ht="14.25" customHeight="1">
      <c r="A1482" s="1" t="s">
        <v>5965</v>
      </c>
      <c r="B1482" s="1" t="s">
        <v>5966</v>
      </c>
      <c r="C1482" s="1" t="s">
        <v>39</v>
      </c>
      <c r="D1482" s="1">
        <v>47857.0</v>
      </c>
      <c r="E1482" s="1" t="s">
        <v>40</v>
      </c>
      <c r="F1482" s="1" t="s">
        <v>46</v>
      </c>
      <c r="G1482" s="1" t="s">
        <v>100</v>
      </c>
      <c r="H1482" s="2">
        <v>3212.0</v>
      </c>
      <c r="I1482" s="2">
        <v>6244.0</v>
      </c>
      <c r="J1482" s="1">
        <v>2005.0</v>
      </c>
      <c r="K1482" s="1">
        <v>58.0</v>
      </c>
      <c r="L1482" s="1" t="s">
        <v>95</v>
      </c>
      <c r="M1482" s="1" t="s">
        <v>5967</v>
      </c>
      <c r="N1482" s="1" t="s">
        <v>48</v>
      </c>
      <c r="O1482" s="1" t="s">
        <v>49</v>
      </c>
      <c r="P1482" s="1" t="s">
        <v>5968</v>
      </c>
    </row>
    <row r="1483" ht="14.25" customHeight="1">
      <c r="A1483" s="1" t="s">
        <v>5969</v>
      </c>
      <c r="B1483" s="1" t="s">
        <v>5970</v>
      </c>
      <c r="C1483" s="1" t="s">
        <v>76</v>
      </c>
      <c r="D1483" s="1">
        <v>22352.0</v>
      </c>
      <c r="E1483" s="1" t="s">
        <v>40</v>
      </c>
      <c r="F1483" s="1" t="s">
        <v>20</v>
      </c>
      <c r="G1483" s="1" t="s">
        <v>21</v>
      </c>
      <c r="H1483" s="2">
        <v>3282.0</v>
      </c>
      <c r="I1483" s="2">
        <v>4028.0</v>
      </c>
      <c r="J1483" s="1">
        <v>1972.0</v>
      </c>
      <c r="K1483" s="1">
        <v>95.0</v>
      </c>
      <c r="L1483" s="1" t="s">
        <v>95</v>
      </c>
      <c r="M1483" s="1" t="s">
        <v>5971</v>
      </c>
      <c r="N1483" s="1" t="s">
        <v>34</v>
      </c>
      <c r="O1483" s="1" t="s">
        <v>35</v>
      </c>
      <c r="P1483" s="1" t="s">
        <v>5972</v>
      </c>
    </row>
    <row r="1484" ht="14.25" customHeight="1">
      <c r="A1484" s="1" t="s">
        <v>5973</v>
      </c>
      <c r="B1484" s="1" t="s">
        <v>5974</v>
      </c>
      <c r="C1484" s="1" t="s">
        <v>18</v>
      </c>
      <c r="D1484" s="1">
        <v>45350.0</v>
      </c>
      <c r="E1484" s="1" t="s">
        <v>30</v>
      </c>
      <c r="F1484" s="1" t="s">
        <v>54</v>
      </c>
      <c r="G1484" s="1" t="s">
        <v>55</v>
      </c>
      <c r="H1484" s="2">
        <v>2852.0</v>
      </c>
      <c r="I1484" s="2">
        <v>8461.0</v>
      </c>
      <c r="J1484" s="1">
        <v>1953.0</v>
      </c>
      <c r="K1484" s="1">
        <v>67.0</v>
      </c>
      <c r="L1484" s="1" t="s">
        <v>32</v>
      </c>
      <c r="M1484" s="1" t="s">
        <v>5975</v>
      </c>
      <c r="N1484" s="1" t="s">
        <v>48</v>
      </c>
      <c r="O1484" s="1" t="s">
        <v>25</v>
      </c>
      <c r="P1484" s="1" t="s">
        <v>5976</v>
      </c>
    </row>
    <row r="1485" ht="14.25" customHeight="1">
      <c r="A1485" s="1" t="s">
        <v>5977</v>
      </c>
      <c r="B1485" s="1" t="s">
        <v>5978</v>
      </c>
      <c r="C1485" s="1" t="s">
        <v>76</v>
      </c>
      <c r="D1485" s="1">
        <v>63682.0</v>
      </c>
      <c r="E1485" s="1" t="s">
        <v>19</v>
      </c>
      <c r="F1485" s="1" t="s">
        <v>46</v>
      </c>
      <c r="G1485" s="1" t="s">
        <v>21</v>
      </c>
      <c r="H1485" s="2">
        <v>1747.0</v>
      </c>
      <c r="I1485" s="2">
        <v>8884.0</v>
      </c>
      <c r="J1485" s="1">
        <v>1971.0</v>
      </c>
      <c r="K1485" s="1">
        <v>4.0</v>
      </c>
      <c r="L1485" s="1" t="s">
        <v>95</v>
      </c>
      <c r="M1485" s="1" t="s">
        <v>5979</v>
      </c>
      <c r="N1485" s="1" t="s">
        <v>48</v>
      </c>
      <c r="O1485" s="1" t="s">
        <v>35</v>
      </c>
      <c r="P1485" s="1" t="s">
        <v>5980</v>
      </c>
    </row>
    <row r="1486" ht="14.25" customHeight="1">
      <c r="A1486" s="1" t="s">
        <v>5981</v>
      </c>
      <c r="B1486" s="1" t="s">
        <v>5982</v>
      </c>
      <c r="C1486" s="1" t="s">
        <v>76</v>
      </c>
      <c r="D1486" s="1">
        <v>14953.0</v>
      </c>
      <c r="E1486" s="1" t="s">
        <v>30</v>
      </c>
      <c r="F1486" s="1" t="s">
        <v>94</v>
      </c>
      <c r="G1486" s="1" t="s">
        <v>100</v>
      </c>
      <c r="H1486" s="2">
        <v>3973.0</v>
      </c>
      <c r="I1486" s="2">
        <v>9351.0</v>
      </c>
      <c r="J1486" s="1">
        <v>2018.0</v>
      </c>
      <c r="K1486" s="1">
        <v>22.0</v>
      </c>
      <c r="L1486" s="1" t="s">
        <v>95</v>
      </c>
      <c r="M1486" s="1" t="s">
        <v>5983</v>
      </c>
      <c r="N1486" s="1" t="s">
        <v>24</v>
      </c>
      <c r="O1486" s="1" t="s">
        <v>35</v>
      </c>
      <c r="P1486" s="1" t="s">
        <v>5984</v>
      </c>
    </row>
    <row r="1487" ht="14.25" customHeight="1">
      <c r="A1487" s="1" t="s">
        <v>5985</v>
      </c>
      <c r="B1487" s="1" t="s">
        <v>5986</v>
      </c>
      <c r="C1487" s="1" t="s">
        <v>53</v>
      </c>
      <c r="D1487" s="1">
        <v>11197.0</v>
      </c>
      <c r="E1487" s="1" t="s">
        <v>77</v>
      </c>
      <c r="F1487" s="1" t="s">
        <v>46</v>
      </c>
      <c r="G1487" s="1" t="s">
        <v>100</v>
      </c>
      <c r="H1487" s="2">
        <v>2471.0</v>
      </c>
      <c r="I1487" s="2">
        <v>3616.0</v>
      </c>
      <c r="J1487" s="1">
        <v>1958.0</v>
      </c>
      <c r="K1487" s="1">
        <v>79.0</v>
      </c>
      <c r="L1487" s="1" t="s">
        <v>95</v>
      </c>
      <c r="M1487" s="1" t="s">
        <v>5987</v>
      </c>
      <c r="N1487" s="1" t="s">
        <v>34</v>
      </c>
      <c r="O1487" s="1" t="s">
        <v>49</v>
      </c>
      <c r="P1487" s="1" t="s">
        <v>5988</v>
      </c>
    </row>
    <row r="1488" ht="14.25" customHeight="1">
      <c r="A1488" s="1" t="s">
        <v>5989</v>
      </c>
      <c r="B1488" s="1" t="s">
        <v>5990</v>
      </c>
      <c r="C1488" s="1" t="s">
        <v>29</v>
      </c>
      <c r="D1488" s="1">
        <v>34006.0</v>
      </c>
      <c r="E1488" s="1" t="s">
        <v>60</v>
      </c>
      <c r="F1488" s="1" t="s">
        <v>46</v>
      </c>
      <c r="G1488" s="1" t="s">
        <v>55</v>
      </c>
      <c r="H1488" s="2">
        <v>1417.0</v>
      </c>
      <c r="I1488" s="2">
        <v>2272.0</v>
      </c>
      <c r="J1488" s="1">
        <v>1967.0</v>
      </c>
      <c r="K1488" s="1">
        <v>16.0</v>
      </c>
      <c r="L1488" s="1" t="s">
        <v>22</v>
      </c>
      <c r="M1488" s="1" t="s">
        <v>5991</v>
      </c>
      <c r="N1488" s="1" t="s">
        <v>24</v>
      </c>
      <c r="O1488" s="1" t="s">
        <v>35</v>
      </c>
      <c r="P1488" s="1" t="s">
        <v>5992</v>
      </c>
    </row>
    <row r="1489" ht="14.25" customHeight="1">
      <c r="A1489" s="1" t="s">
        <v>5993</v>
      </c>
      <c r="B1489" s="1" t="s">
        <v>5994</v>
      </c>
      <c r="C1489" s="1" t="s">
        <v>53</v>
      </c>
      <c r="D1489" s="1">
        <v>67275.0</v>
      </c>
      <c r="E1489" s="1" t="s">
        <v>77</v>
      </c>
      <c r="F1489" s="1" t="s">
        <v>61</v>
      </c>
      <c r="G1489" s="1" t="s">
        <v>31</v>
      </c>
      <c r="H1489" s="2">
        <v>1165.0</v>
      </c>
      <c r="I1489" s="2">
        <v>2075.0</v>
      </c>
      <c r="J1489" s="1">
        <v>1980.0</v>
      </c>
      <c r="K1489" s="1">
        <v>81.0</v>
      </c>
      <c r="L1489" s="1" t="s">
        <v>62</v>
      </c>
      <c r="M1489" s="1" t="s">
        <v>5995</v>
      </c>
      <c r="N1489" s="1" t="s">
        <v>64</v>
      </c>
      <c r="O1489" s="1" t="s">
        <v>49</v>
      </c>
      <c r="P1489" s="1" t="s">
        <v>5996</v>
      </c>
    </row>
    <row r="1490" ht="14.25" customHeight="1">
      <c r="A1490" s="1" t="s">
        <v>5997</v>
      </c>
      <c r="B1490" s="1" t="s">
        <v>5998</v>
      </c>
      <c r="C1490" s="1" t="s">
        <v>76</v>
      </c>
      <c r="D1490" s="1">
        <v>56583.0</v>
      </c>
      <c r="E1490" s="1" t="s">
        <v>30</v>
      </c>
      <c r="F1490" s="1" t="s">
        <v>94</v>
      </c>
      <c r="G1490" s="1" t="s">
        <v>100</v>
      </c>
      <c r="H1490" s="2">
        <v>2837.0</v>
      </c>
      <c r="I1490" s="2">
        <v>8979.0</v>
      </c>
      <c r="J1490" s="1">
        <v>1968.0</v>
      </c>
      <c r="K1490" s="1">
        <v>82.0</v>
      </c>
      <c r="L1490" s="1" t="s">
        <v>95</v>
      </c>
      <c r="M1490" s="1" t="s">
        <v>5999</v>
      </c>
      <c r="N1490" s="1" t="s">
        <v>64</v>
      </c>
      <c r="O1490" s="1" t="s">
        <v>49</v>
      </c>
      <c r="P1490" s="1" t="s">
        <v>6000</v>
      </c>
    </row>
    <row r="1491" ht="14.25" customHeight="1">
      <c r="A1491" s="1" t="s">
        <v>6001</v>
      </c>
      <c r="B1491" s="1" t="s">
        <v>6002</v>
      </c>
      <c r="C1491" s="1" t="s">
        <v>39</v>
      </c>
      <c r="D1491" s="1">
        <v>21455.0</v>
      </c>
      <c r="E1491" s="1" t="s">
        <v>30</v>
      </c>
      <c r="F1491" s="1" t="s">
        <v>46</v>
      </c>
      <c r="G1491" s="1" t="s">
        <v>31</v>
      </c>
      <c r="H1491" s="2">
        <v>2886.0</v>
      </c>
      <c r="I1491" s="2">
        <v>6378.0</v>
      </c>
      <c r="J1491" s="1">
        <v>1975.0</v>
      </c>
      <c r="K1491" s="1">
        <v>9.0</v>
      </c>
      <c r="L1491" s="1" t="s">
        <v>32</v>
      </c>
      <c r="M1491" s="1" t="s">
        <v>6003</v>
      </c>
      <c r="N1491" s="1" t="s">
        <v>43</v>
      </c>
      <c r="O1491" s="1" t="s">
        <v>49</v>
      </c>
      <c r="P1491" s="1" t="s">
        <v>6004</v>
      </c>
    </row>
    <row r="1492" ht="14.25" customHeight="1">
      <c r="A1492" s="1" t="s">
        <v>6005</v>
      </c>
      <c r="B1492" s="1" t="s">
        <v>6006</v>
      </c>
      <c r="C1492" s="1" t="s">
        <v>39</v>
      </c>
      <c r="D1492" s="1">
        <v>38208.0</v>
      </c>
      <c r="E1492" s="1" t="s">
        <v>40</v>
      </c>
      <c r="F1492" s="1" t="s">
        <v>61</v>
      </c>
      <c r="G1492" s="1" t="s">
        <v>31</v>
      </c>
      <c r="H1492" s="2">
        <v>2769.0</v>
      </c>
      <c r="I1492" s="2">
        <v>8859.0</v>
      </c>
      <c r="J1492" s="1">
        <v>1980.0</v>
      </c>
      <c r="K1492" s="1">
        <v>83.0</v>
      </c>
      <c r="L1492" s="1" t="s">
        <v>141</v>
      </c>
      <c r="M1492" s="1" t="s">
        <v>6007</v>
      </c>
      <c r="N1492" s="1" t="s">
        <v>48</v>
      </c>
      <c r="O1492" s="1" t="s">
        <v>25</v>
      </c>
      <c r="P1492" s="1" t="s">
        <v>6008</v>
      </c>
    </row>
    <row r="1493" ht="14.25" customHeight="1">
      <c r="A1493" s="1" t="s">
        <v>6009</v>
      </c>
      <c r="B1493" s="1" t="s">
        <v>6010</v>
      </c>
      <c r="C1493" s="1" t="s">
        <v>53</v>
      </c>
      <c r="D1493" s="1">
        <v>35507.0</v>
      </c>
      <c r="E1493" s="1" t="s">
        <v>30</v>
      </c>
      <c r="F1493" s="1" t="s">
        <v>41</v>
      </c>
      <c r="G1493" s="1" t="s">
        <v>100</v>
      </c>
      <c r="H1493" s="2">
        <v>1822.0</v>
      </c>
      <c r="I1493" s="2">
        <v>3650.0</v>
      </c>
      <c r="J1493" s="1">
        <v>2017.0</v>
      </c>
      <c r="K1493" s="1">
        <v>109.0</v>
      </c>
      <c r="L1493" s="1" t="s">
        <v>22</v>
      </c>
      <c r="M1493" s="1" t="s">
        <v>6011</v>
      </c>
      <c r="N1493" s="1" t="s">
        <v>43</v>
      </c>
      <c r="O1493" s="1" t="s">
        <v>49</v>
      </c>
      <c r="P1493" s="1" t="s">
        <v>6012</v>
      </c>
    </row>
    <row r="1494" ht="14.25" customHeight="1">
      <c r="A1494" s="1" t="s">
        <v>6013</v>
      </c>
      <c r="B1494" s="1" t="s">
        <v>6014</v>
      </c>
      <c r="C1494" s="1" t="s">
        <v>53</v>
      </c>
      <c r="D1494" s="1">
        <v>34696.0</v>
      </c>
      <c r="E1494" s="1" t="s">
        <v>40</v>
      </c>
      <c r="F1494" s="1" t="s">
        <v>94</v>
      </c>
      <c r="G1494" s="1" t="s">
        <v>31</v>
      </c>
      <c r="H1494" s="2">
        <v>2219.0</v>
      </c>
      <c r="I1494" s="2">
        <v>1682.0</v>
      </c>
      <c r="J1494" s="1">
        <v>1993.0</v>
      </c>
      <c r="K1494" s="1">
        <v>104.0</v>
      </c>
      <c r="L1494" s="1" t="s">
        <v>32</v>
      </c>
      <c r="M1494" s="1" t="s">
        <v>6015</v>
      </c>
      <c r="N1494" s="1" t="s">
        <v>48</v>
      </c>
      <c r="O1494" s="1" t="s">
        <v>25</v>
      </c>
      <c r="P1494" s="1" t="s">
        <v>6016</v>
      </c>
    </row>
    <row r="1495" ht="14.25" customHeight="1">
      <c r="A1495" s="1" t="s">
        <v>6017</v>
      </c>
      <c r="B1495" s="1" t="s">
        <v>6018</v>
      </c>
      <c r="C1495" s="1" t="s">
        <v>29</v>
      </c>
      <c r="D1495" s="1">
        <v>83240.0</v>
      </c>
      <c r="E1495" s="1" t="s">
        <v>40</v>
      </c>
      <c r="F1495" s="1" t="s">
        <v>54</v>
      </c>
      <c r="G1495" s="1" t="s">
        <v>55</v>
      </c>
      <c r="H1495" s="2">
        <v>1946.0</v>
      </c>
      <c r="I1495" s="2">
        <v>5418.0</v>
      </c>
      <c r="J1495" s="1">
        <v>2015.0</v>
      </c>
      <c r="K1495" s="1">
        <v>87.0</v>
      </c>
      <c r="L1495" s="1" t="s">
        <v>22</v>
      </c>
      <c r="M1495" s="1" t="s">
        <v>6019</v>
      </c>
      <c r="N1495" s="1" t="s">
        <v>24</v>
      </c>
      <c r="O1495" s="1" t="s">
        <v>35</v>
      </c>
      <c r="P1495" s="1" t="s">
        <v>6020</v>
      </c>
    </row>
    <row r="1496" ht="14.25" customHeight="1">
      <c r="A1496" s="1" t="s">
        <v>6021</v>
      </c>
      <c r="B1496" s="1" t="s">
        <v>6022</v>
      </c>
      <c r="C1496" s="1" t="s">
        <v>29</v>
      </c>
      <c r="D1496" s="1">
        <v>75571.0</v>
      </c>
      <c r="E1496" s="1" t="s">
        <v>30</v>
      </c>
      <c r="F1496" s="1" t="s">
        <v>94</v>
      </c>
      <c r="G1496" s="1" t="s">
        <v>31</v>
      </c>
      <c r="H1496" s="2">
        <v>1148.0</v>
      </c>
      <c r="I1496" s="2">
        <v>6767.0</v>
      </c>
      <c r="J1496" s="1">
        <v>2004.0</v>
      </c>
      <c r="K1496" s="1">
        <v>2.0</v>
      </c>
      <c r="L1496" s="1" t="s">
        <v>62</v>
      </c>
      <c r="M1496" s="1" t="s">
        <v>6023</v>
      </c>
      <c r="N1496" s="1" t="s">
        <v>48</v>
      </c>
      <c r="O1496" s="1" t="s">
        <v>25</v>
      </c>
      <c r="P1496" s="1" t="s">
        <v>6024</v>
      </c>
    </row>
    <row r="1497" ht="14.25" customHeight="1">
      <c r="A1497" s="1" t="s">
        <v>6025</v>
      </c>
      <c r="B1497" s="1" t="s">
        <v>6026</v>
      </c>
      <c r="C1497" s="1" t="s">
        <v>39</v>
      </c>
      <c r="D1497" s="1">
        <v>39262.0</v>
      </c>
      <c r="E1497" s="1" t="s">
        <v>30</v>
      </c>
      <c r="F1497" s="1" t="s">
        <v>46</v>
      </c>
      <c r="G1497" s="1" t="s">
        <v>21</v>
      </c>
      <c r="H1497" s="2">
        <v>929.0</v>
      </c>
      <c r="I1497" s="2">
        <v>5271.0</v>
      </c>
      <c r="J1497" s="1">
        <v>1961.0</v>
      </c>
      <c r="K1497" s="1">
        <v>16.0</v>
      </c>
      <c r="L1497" s="1" t="s">
        <v>95</v>
      </c>
      <c r="M1497" s="1" t="s">
        <v>6027</v>
      </c>
      <c r="N1497" s="1" t="s">
        <v>24</v>
      </c>
      <c r="O1497" s="1" t="s">
        <v>25</v>
      </c>
      <c r="P1497" s="1" t="s">
        <v>6028</v>
      </c>
    </row>
    <row r="1498" ht="14.25" customHeight="1">
      <c r="A1498" s="1" t="s">
        <v>6029</v>
      </c>
      <c r="B1498" s="1" t="s">
        <v>6030</v>
      </c>
      <c r="C1498" s="1" t="s">
        <v>53</v>
      </c>
      <c r="D1498" s="1">
        <v>13381.0</v>
      </c>
      <c r="E1498" s="1" t="s">
        <v>40</v>
      </c>
      <c r="F1498" s="1" t="s">
        <v>61</v>
      </c>
      <c r="G1498" s="1" t="s">
        <v>55</v>
      </c>
      <c r="H1498" s="2">
        <v>2144.0</v>
      </c>
      <c r="I1498" s="2">
        <v>1888.0</v>
      </c>
      <c r="J1498" s="1">
        <v>2022.0</v>
      </c>
      <c r="K1498" s="1">
        <v>19.0</v>
      </c>
      <c r="L1498" s="1" t="s">
        <v>32</v>
      </c>
      <c r="M1498" s="1" t="s">
        <v>6031</v>
      </c>
      <c r="N1498" s="1" t="s">
        <v>34</v>
      </c>
      <c r="O1498" s="1" t="s">
        <v>49</v>
      </c>
      <c r="P1498" s="1" t="s">
        <v>6032</v>
      </c>
    </row>
    <row r="1499" ht="14.25" customHeight="1">
      <c r="A1499" s="1" t="s">
        <v>6033</v>
      </c>
      <c r="B1499" s="1" t="s">
        <v>6034</v>
      </c>
      <c r="C1499" s="1" t="s">
        <v>29</v>
      </c>
      <c r="D1499" s="1">
        <v>95682.0</v>
      </c>
      <c r="E1499" s="1" t="s">
        <v>19</v>
      </c>
      <c r="F1499" s="1" t="s">
        <v>94</v>
      </c>
      <c r="G1499" s="1" t="s">
        <v>55</v>
      </c>
      <c r="H1499" s="2">
        <v>1178.0</v>
      </c>
      <c r="I1499" s="2">
        <v>6036.0</v>
      </c>
      <c r="J1499" s="1">
        <v>1952.0</v>
      </c>
      <c r="K1499" s="1">
        <v>65.0</v>
      </c>
      <c r="L1499" s="1" t="s">
        <v>95</v>
      </c>
      <c r="M1499" s="1" t="s">
        <v>6035</v>
      </c>
      <c r="N1499" s="1" t="s">
        <v>34</v>
      </c>
      <c r="O1499" s="1" t="s">
        <v>35</v>
      </c>
      <c r="P1499" s="1" t="s">
        <v>6036</v>
      </c>
    </row>
    <row r="1500" ht="14.25" customHeight="1">
      <c r="A1500" s="1" t="s">
        <v>6037</v>
      </c>
      <c r="B1500" s="1" t="s">
        <v>6038</v>
      </c>
      <c r="C1500" s="1" t="s">
        <v>29</v>
      </c>
      <c r="D1500" s="1">
        <v>49064.0</v>
      </c>
      <c r="E1500" s="1" t="s">
        <v>19</v>
      </c>
      <c r="F1500" s="1" t="s">
        <v>46</v>
      </c>
      <c r="G1500" s="1" t="s">
        <v>21</v>
      </c>
      <c r="H1500" s="2">
        <v>1618.0</v>
      </c>
      <c r="I1500" s="2">
        <v>1231.0</v>
      </c>
      <c r="J1500" s="1">
        <v>2006.0</v>
      </c>
      <c r="K1500" s="1">
        <v>40.0</v>
      </c>
      <c r="L1500" s="1" t="s">
        <v>95</v>
      </c>
      <c r="M1500" s="1" t="s">
        <v>6039</v>
      </c>
      <c r="N1500" s="1" t="s">
        <v>64</v>
      </c>
      <c r="O1500" s="1" t="s">
        <v>25</v>
      </c>
      <c r="P1500" s="1" t="s">
        <v>6040</v>
      </c>
    </row>
    <row r="1501" ht="14.25" customHeight="1">
      <c r="A1501" s="1" t="s">
        <v>6041</v>
      </c>
      <c r="B1501" s="1" t="s">
        <v>6042</v>
      </c>
      <c r="C1501" s="1" t="s">
        <v>18</v>
      </c>
      <c r="D1501" s="1">
        <v>35494.0</v>
      </c>
      <c r="E1501" s="1" t="s">
        <v>77</v>
      </c>
      <c r="F1501" s="1" t="s">
        <v>46</v>
      </c>
      <c r="G1501" s="1" t="s">
        <v>31</v>
      </c>
      <c r="H1501" s="2">
        <v>3941.0</v>
      </c>
      <c r="I1501" s="2">
        <v>1476.0</v>
      </c>
      <c r="J1501" s="1">
        <v>1989.0</v>
      </c>
      <c r="K1501" s="1">
        <v>85.0</v>
      </c>
      <c r="L1501" s="1" t="s">
        <v>22</v>
      </c>
      <c r="M1501" s="1" t="s">
        <v>6043</v>
      </c>
      <c r="N1501" s="1" t="s">
        <v>48</v>
      </c>
      <c r="O1501" s="1" t="s">
        <v>25</v>
      </c>
      <c r="P1501" s="1" t="s">
        <v>6044</v>
      </c>
    </row>
    <row r="1502" ht="14.25" customHeight="1">
      <c r="A1502" s="1" t="s">
        <v>6045</v>
      </c>
      <c r="B1502" s="1" t="s">
        <v>6046</v>
      </c>
      <c r="C1502" s="1" t="s">
        <v>76</v>
      </c>
      <c r="D1502" s="1">
        <v>99955.0</v>
      </c>
      <c r="E1502" s="1" t="s">
        <v>30</v>
      </c>
      <c r="F1502" s="1" t="s">
        <v>46</v>
      </c>
      <c r="G1502" s="1" t="s">
        <v>31</v>
      </c>
      <c r="H1502" s="2">
        <v>1212.0</v>
      </c>
      <c r="I1502" s="2">
        <v>2369.0</v>
      </c>
      <c r="J1502" s="1">
        <v>2009.0</v>
      </c>
      <c r="K1502" s="1">
        <v>78.0</v>
      </c>
      <c r="L1502" s="1" t="s">
        <v>62</v>
      </c>
      <c r="M1502" s="1" t="s">
        <v>6047</v>
      </c>
      <c r="N1502" s="1" t="s">
        <v>34</v>
      </c>
      <c r="O1502" s="1" t="s">
        <v>35</v>
      </c>
      <c r="P1502" s="1" t="s">
        <v>6048</v>
      </c>
    </row>
    <row r="1503" ht="14.25" customHeight="1">
      <c r="A1503" s="1" t="s">
        <v>6049</v>
      </c>
      <c r="B1503" s="1" t="s">
        <v>6050</v>
      </c>
      <c r="C1503" s="1" t="s">
        <v>18</v>
      </c>
      <c r="D1503" s="1">
        <v>70133.0</v>
      </c>
      <c r="E1503" s="1" t="s">
        <v>30</v>
      </c>
      <c r="F1503" s="1" t="s">
        <v>94</v>
      </c>
      <c r="G1503" s="1" t="s">
        <v>55</v>
      </c>
      <c r="H1503" s="2">
        <v>1064.0</v>
      </c>
      <c r="I1503" s="2">
        <v>7253.0</v>
      </c>
      <c r="J1503" s="1">
        <v>2015.0</v>
      </c>
      <c r="K1503" s="1">
        <v>41.0</v>
      </c>
      <c r="L1503" s="1" t="s">
        <v>95</v>
      </c>
      <c r="M1503" s="1" t="s">
        <v>6051</v>
      </c>
      <c r="N1503" s="1" t="s">
        <v>24</v>
      </c>
      <c r="O1503" s="1" t="s">
        <v>25</v>
      </c>
      <c r="P1503" s="1" t="s">
        <v>6052</v>
      </c>
    </row>
    <row r="1504" ht="14.25" customHeight="1">
      <c r="A1504" s="1" t="s">
        <v>6053</v>
      </c>
      <c r="B1504" s="1" t="s">
        <v>6054</v>
      </c>
      <c r="C1504" s="1" t="s">
        <v>53</v>
      </c>
      <c r="D1504" s="1">
        <v>66789.0</v>
      </c>
      <c r="E1504" s="1" t="s">
        <v>19</v>
      </c>
      <c r="F1504" s="1" t="s">
        <v>46</v>
      </c>
      <c r="G1504" s="1" t="s">
        <v>31</v>
      </c>
      <c r="H1504" s="2">
        <v>3160.0</v>
      </c>
      <c r="I1504" s="2">
        <v>9374.0</v>
      </c>
      <c r="J1504" s="1">
        <v>1968.0</v>
      </c>
      <c r="K1504" s="1">
        <v>84.0</v>
      </c>
      <c r="L1504" s="1" t="s">
        <v>32</v>
      </c>
      <c r="M1504" s="1" t="s">
        <v>6055</v>
      </c>
      <c r="N1504" s="1" t="s">
        <v>34</v>
      </c>
      <c r="O1504" s="1" t="s">
        <v>35</v>
      </c>
      <c r="P1504" s="1" t="s">
        <v>6056</v>
      </c>
    </row>
    <row r="1505" ht="14.25" customHeight="1">
      <c r="A1505" s="1" t="s">
        <v>6057</v>
      </c>
      <c r="B1505" s="1" t="s">
        <v>6058</v>
      </c>
      <c r="C1505" s="1" t="s">
        <v>29</v>
      </c>
      <c r="D1505" s="1">
        <v>12119.0</v>
      </c>
      <c r="E1505" s="1" t="s">
        <v>77</v>
      </c>
      <c r="F1505" s="1" t="s">
        <v>46</v>
      </c>
      <c r="G1505" s="1" t="s">
        <v>31</v>
      </c>
      <c r="H1505" s="2">
        <v>1349.0</v>
      </c>
      <c r="I1505" s="2">
        <v>1884.0</v>
      </c>
      <c r="J1505" s="1">
        <v>1976.0</v>
      </c>
      <c r="K1505" s="1">
        <v>83.0</v>
      </c>
      <c r="L1505" s="1" t="s">
        <v>95</v>
      </c>
      <c r="M1505" s="1" t="s">
        <v>6059</v>
      </c>
      <c r="N1505" s="1" t="s">
        <v>64</v>
      </c>
      <c r="O1505" s="1" t="s">
        <v>25</v>
      </c>
      <c r="P1505" s="1" t="s">
        <v>6060</v>
      </c>
    </row>
    <row r="1506" ht="14.25" customHeight="1">
      <c r="A1506" s="1" t="s">
        <v>6061</v>
      </c>
      <c r="B1506" s="1" t="s">
        <v>6062</v>
      </c>
      <c r="C1506" s="1" t="s">
        <v>39</v>
      </c>
      <c r="D1506" s="1">
        <v>41566.0</v>
      </c>
      <c r="E1506" s="1" t="s">
        <v>60</v>
      </c>
      <c r="F1506" s="1" t="s">
        <v>94</v>
      </c>
      <c r="G1506" s="1" t="s">
        <v>31</v>
      </c>
      <c r="H1506" s="2">
        <v>3038.0</v>
      </c>
      <c r="I1506" s="2">
        <v>1481.0</v>
      </c>
      <c r="J1506" s="1">
        <v>2001.0</v>
      </c>
      <c r="K1506" s="1">
        <v>60.0</v>
      </c>
      <c r="L1506" s="1" t="s">
        <v>62</v>
      </c>
      <c r="M1506" s="1" t="s">
        <v>6063</v>
      </c>
      <c r="N1506" s="1" t="s">
        <v>64</v>
      </c>
      <c r="O1506" s="1" t="s">
        <v>25</v>
      </c>
      <c r="P1506" s="1" t="s">
        <v>6064</v>
      </c>
    </row>
    <row r="1507" ht="14.25" customHeight="1">
      <c r="A1507" s="1" t="s">
        <v>6065</v>
      </c>
      <c r="B1507" s="1" t="s">
        <v>6066</v>
      </c>
      <c r="C1507" s="1" t="s">
        <v>53</v>
      </c>
      <c r="D1507" s="1">
        <v>54302.0</v>
      </c>
      <c r="E1507" s="1" t="s">
        <v>30</v>
      </c>
      <c r="F1507" s="1" t="s">
        <v>20</v>
      </c>
      <c r="G1507" s="1" t="s">
        <v>21</v>
      </c>
      <c r="H1507" s="2">
        <v>814.0</v>
      </c>
      <c r="I1507" s="2">
        <v>9595.0</v>
      </c>
      <c r="J1507" s="1">
        <v>2015.0</v>
      </c>
      <c r="K1507" s="1">
        <v>47.0</v>
      </c>
      <c r="L1507" s="1" t="s">
        <v>62</v>
      </c>
      <c r="M1507" s="1" t="s">
        <v>6067</v>
      </c>
      <c r="N1507" s="1" t="s">
        <v>24</v>
      </c>
      <c r="O1507" s="1" t="s">
        <v>35</v>
      </c>
      <c r="P1507" s="1" t="s">
        <v>6068</v>
      </c>
    </row>
    <row r="1508" ht="14.25" customHeight="1">
      <c r="A1508" s="1" t="s">
        <v>6069</v>
      </c>
      <c r="B1508" s="1" t="s">
        <v>6070</v>
      </c>
      <c r="C1508" s="1" t="s">
        <v>39</v>
      </c>
      <c r="D1508" s="1">
        <v>93365.0</v>
      </c>
      <c r="E1508" s="1" t="s">
        <v>30</v>
      </c>
      <c r="F1508" s="1" t="s">
        <v>61</v>
      </c>
      <c r="G1508" s="1" t="s">
        <v>31</v>
      </c>
      <c r="H1508" s="2">
        <v>3669.0</v>
      </c>
      <c r="I1508" s="2">
        <v>2090.0</v>
      </c>
      <c r="J1508" s="1">
        <v>1967.0</v>
      </c>
      <c r="K1508" s="1">
        <v>119.0</v>
      </c>
      <c r="L1508" s="1" t="s">
        <v>62</v>
      </c>
      <c r="M1508" s="1" t="s">
        <v>6071</v>
      </c>
      <c r="N1508" s="1" t="s">
        <v>64</v>
      </c>
      <c r="O1508" s="1" t="s">
        <v>25</v>
      </c>
      <c r="P1508" s="1" t="s">
        <v>6072</v>
      </c>
    </row>
    <row r="1509" ht="14.25" customHeight="1">
      <c r="A1509" s="1" t="s">
        <v>6073</v>
      </c>
      <c r="B1509" s="1" t="s">
        <v>6074</v>
      </c>
      <c r="C1509" s="1" t="s">
        <v>29</v>
      </c>
      <c r="D1509" s="1">
        <v>13967.0</v>
      </c>
      <c r="E1509" s="1" t="s">
        <v>40</v>
      </c>
      <c r="F1509" s="1" t="s">
        <v>46</v>
      </c>
      <c r="G1509" s="1" t="s">
        <v>21</v>
      </c>
      <c r="H1509" s="2">
        <v>2172.0</v>
      </c>
      <c r="I1509" s="2">
        <v>7021.0</v>
      </c>
      <c r="J1509" s="1">
        <v>1966.0</v>
      </c>
      <c r="K1509" s="1">
        <v>104.0</v>
      </c>
      <c r="L1509" s="1" t="s">
        <v>22</v>
      </c>
      <c r="M1509" s="1" t="s">
        <v>6075</v>
      </c>
      <c r="N1509" s="1" t="s">
        <v>43</v>
      </c>
      <c r="O1509" s="1" t="s">
        <v>25</v>
      </c>
      <c r="P1509" s="1" t="s">
        <v>6076</v>
      </c>
    </row>
    <row r="1510" ht="14.25" customHeight="1">
      <c r="A1510" s="1" t="s">
        <v>6077</v>
      </c>
      <c r="B1510" s="1" t="s">
        <v>6078</v>
      </c>
      <c r="C1510" s="1" t="s">
        <v>39</v>
      </c>
      <c r="D1510" s="1">
        <v>31364.0</v>
      </c>
      <c r="E1510" s="1" t="s">
        <v>19</v>
      </c>
      <c r="F1510" s="1" t="s">
        <v>61</v>
      </c>
      <c r="G1510" s="1" t="s">
        <v>21</v>
      </c>
      <c r="H1510" s="2">
        <v>3255.0</v>
      </c>
      <c r="I1510" s="2">
        <v>9208.0</v>
      </c>
      <c r="J1510" s="1">
        <v>2022.0</v>
      </c>
      <c r="K1510" s="1">
        <v>96.0</v>
      </c>
      <c r="L1510" s="1" t="s">
        <v>62</v>
      </c>
      <c r="M1510" s="1" t="s">
        <v>6079</v>
      </c>
      <c r="N1510" s="1" t="s">
        <v>48</v>
      </c>
      <c r="O1510" s="1" t="s">
        <v>35</v>
      </c>
      <c r="P1510" s="1" t="s">
        <v>6080</v>
      </c>
    </row>
    <row r="1511" ht="14.25" customHeight="1">
      <c r="A1511" s="1" t="s">
        <v>6081</v>
      </c>
      <c r="B1511" s="1" t="s">
        <v>6082</v>
      </c>
      <c r="C1511" s="1" t="s">
        <v>76</v>
      </c>
      <c r="D1511" s="1">
        <v>84752.0</v>
      </c>
      <c r="E1511" s="1" t="s">
        <v>60</v>
      </c>
      <c r="F1511" s="1" t="s">
        <v>94</v>
      </c>
      <c r="G1511" s="1" t="s">
        <v>100</v>
      </c>
      <c r="H1511" s="2">
        <v>2767.0</v>
      </c>
      <c r="I1511" s="2">
        <v>7204.0</v>
      </c>
      <c r="J1511" s="1">
        <v>1958.0</v>
      </c>
      <c r="K1511" s="1">
        <v>64.0</v>
      </c>
      <c r="L1511" s="1" t="s">
        <v>22</v>
      </c>
      <c r="M1511" s="1" t="s">
        <v>6083</v>
      </c>
      <c r="N1511" s="1" t="s">
        <v>24</v>
      </c>
      <c r="O1511" s="1" t="s">
        <v>35</v>
      </c>
      <c r="P1511" s="1" t="s">
        <v>6084</v>
      </c>
    </row>
    <row r="1512" ht="14.25" customHeight="1">
      <c r="A1512" s="1" t="s">
        <v>3242</v>
      </c>
      <c r="B1512" s="1" t="s">
        <v>6085</v>
      </c>
      <c r="C1512" s="1" t="s">
        <v>29</v>
      </c>
      <c r="D1512" s="1">
        <v>60495.0</v>
      </c>
      <c r="E1512" s="1" t="s">
        <v>19</v>
      </c>
      <c r="F1512" s="1" t="s">
        <v>20</v>
      </c>
      <c r="G1512" s="1" t="s">
        <v>55</v>
      </c>
      <c r="H1512" s="2">
        <v>1824.0</v>
      </c>
      <c r="I1512" s="2">
        <v>8908.0</v>
      </c>
      <c r="J1512" s="1">
        <v>1975.0</v>
      </c>
      <c r="K1512" s="1">
        <v>42.0</v>
      </c>
      <c r="L1512" s="1" t="s">
        <v>22</v>
      </c>
      <c r="M1512" s="1" t="s">
        <v>6086</v>
      </c>
      <c r="N1512" s="1" t="s">
        <v>64</v>
      </c>
      <c r="O1512" s="1" t="s">
        <v>25</v>
      </c>
      <c r="P1512" s="1" t="s">
        <v>6087</v>
      </c>
    </row>
    <row r="1513" ht="14.25" customHeight="1">
      <c r="A1513" s="1" t="s">
        <v>6088</v>
      </c>
      <c r="B1513" s="1" t="s">
        <v>6089</v>
      </c>
      <c r="C1513" s="1" t="s">
        <v>39</v>
      </c>
      <c r="D1513" s="1">
        <v>76924.0</v>
      </c>
      <c r="E1513" s="1" t="s">
        <v>19</v>
      </c>
      <c r="F1513" s="1" t="s">
        <v>94</v>
      </c>
      <c r="G1513" s="1" t="s">
        <v>100</v>
      </c>
      <c r="H1513" s="2">
        <v>3360.0</v>
      </c>
      <c r="I1513" s="2">
        <v>3890.0</v>
      </c>
      <c r="J1513" s="1">
        <v>2017.0</v>
      </c>
      <c r="K1513" s="1">
        <v>74.0</v>
      </c>
      <c r="L1513" s="1" t="s">
        <v>95</v>
      </c>
      <c r="M1513" s="1" t="s">
        <v>6090</v>
      </c>
      <c r="N1513" s="1" t="s">
        <v>64</v>
      </c>
      <c r="O1513" s="1" t="s">
        <v>25</v>
      </c>
      <c r="P1513" s="1" t="s">
        <v>6091</v>
      </c>
    </row>
    <row r="1514" ht="14.25" customHeight="1">
      <c r="A1514" s="1" t="s">
        <v>6092</v>
      </c>
      <c r="B1514" s="1" t="s">
        <v>6093</v>
      </c>
      <c r="C1514" s="1" t="s">
        <v>53</v>
      </c>
      <c r="D1514" s="1">
        <v>96371.0</v>
      </c>
      <c r="E1514" s="1" t="s">
        <v>77</v>
      </c>
      <c r="F1514" s="1" t="s">
        <v>46</v>
      </c>
      <c r="G1514" s="1" t="s">
        <v>55</v>
      </c>
      <c r="H1514" s="2">
        <v>666.0</v>
      </c>
      <c r="I1514" s="2">
        <v>9673.0</v>
      </c>
      <c r="J1514" s="1">
        <v>1971.0</v>
      </c>
      <c r="K1514" s="1">
        <v>110.0</v>
      </c>
      <c r="L1514" s="1" t="s">
        <v>62</v>
      </c>
      <c r="M1514" s="1" t="s">
        <v>6094</v>
      </c>
      <c r="N1514" s="1" t="s">
        <v>64</v>
      </c>
      <c r="O1514" s="1" t="s">
        <v>35</v>
      </c>
      <c r="P1514" s="1" t="s">
        <v>6095</v>
      </c>
    </row>
    <row r="1515" ht="14.25" customHeight="1">
      <c r="A1515" s="1" t="s">
        <v>6096</v>
      </c>
      <c r="B1515" s="1" t="s">
        <v>6097</v>
      </c>
      <c r="C1515" s="1" t="s">
        <v>29</v>
      </c>
      <c r="D1515" s="1">
        <v>65768.0</v>
      </c>
      <c r="E1515" s="1" t="s">
        <v>30</v>
      </c>
      <c r="F1515" s="1" t="s">
        <v>61</v>
      </c>
      <c r="G1515" s="1" t="s">
        <v>100</v>
      </c>
      <c r="H1515" s="2">
        <v>1457.0</v>
      </c>
      <c r="I1515" s="2">
        <v>7949.0</v>
      </c>
      <c r="J1515" s="1">
        <v>2004.0</v>
      </c>
      <c r="K1515" s="1">
        <v>64.0</v>
      </c>
      <c r="L1515" s="1" t="s">
        <v>22</v>
      </c>
      <c r="M1515" s="1" t="s">
        <v>6098</v>
      </c>
      <c r="N1515" s="1" t="s">
        <v>24</v>
      </c>
      <c r="O1515" s="1" t="s">
        <v>49</v>
      </c>
      <c r="P1515" s="1" t="s">
        <v>6099</v>
      </c>
    </row>
    <row r="1516" ht="14.25" customHeight="1">
      <c r="A1516" s="1" t="s">
        <v>6100</v>
      </c>
      <c r="B1516" s="1" t="s">
        <v>6101</v>
      </c>
      <c r="C1516" s="1" t="s">
        <v>18</v>
      </c>
      <c r="D1516" s="1">
        <v>50834.0</v>
      </c>
      <c r="E1516" s="1" t="s">
        <v>30</v>
      </c>
      <c r="F1516" s="1" t="s">
        <v>46</v>
      </c>
      <c r="G1516" s="1" t="s">
        <v>55</v>
      </c>
      <c r="H1516" s="2">
        <v>1004.0</v>
      </c>
      <c r="I1516" s="2">
        <v>6358.0</v>
      </c>
      <c r="J1516" s="1">
        <v>1979.0</v>
      </c>
      <c r="K1516" s="1">
        <v>5.0</v>
      </c>
      <c r="L1516" s="1" t="s">
        <v>95</v>
      </c>
      <c r="M1516" s="1" t="s">
        <v>6102</v>
      </c>
      <c r="N1516" s="1" t="s">
        <v>64</v>
      </c>
      <c r="O1516" s="1" t="s">
        <v>35</v>
      </c>
      <c r="P1516" s="1" t="s">
        <v>6103</v>
      </c>
    </row>
    <row r="1517" ht="14.25" customHeight="1">
      <c r="A1517" s="1" t="s">
        <v>6104</v>
      </c>
      <c r="B1517" s="1" t="s">
        <v>6105</v>
      </c>
      <c r="C1517" s="1" t="s">
        <v>76</v>
      </c>
      <c r="D1517" s="1">
        <v>52705.0</v>
      </c>
      <c r="E1517" s="1" t="s">
        <v>19</v>
      </c>
      <c r="F1517" s="1" t="s">
        <v>54</v>
      </c>
      <c r="G1517" s="1" t="s">
        <v>55</v>
      </c>
      <c r="H1517" s="2">
        <v>2728.0</v>
      </c>
      <c r="I1517" s="2">
        <v>9079.0</v>
      </c>
      <c r="J1517" s="1">
        <v>2019.0</v>
      </c>
      <c r="K1517" s="1">
        <v>113.0</v>
      </c>
      <c r="L1517" s="1" t="s">
        <v>95</v>
      </c>
      <c r="M1517" s="1" t="s">
        <v>6106</v>
      </c>
      <c r="N1517" s="1" t="s">
        <v>48</v>
      </c>
      <c r="O1517" s="1" t="s">
        <v>25</v>
      </c>
      <c r="P1517" s="1" t="s">
        <v>6107</v>
      </c>
    </row>
    <row r="1518" ht="14.25" customHeight="1">
      <c r="A1518" s="1" t="s">
        <v>6108</v>
      </c>
      <c r="B1518" s="1" t="s">
        <v>6109</v>
      </c>
      <c r="C1518" s="1" t="s">
        <v>53</v>
      </c>
      <c r="D1518" s="1">
        <v>62063.0</v>
      </c>
      <c r="E1518" s="1" t="s">
        <v>19</v>
      </c>
      <c r="F1518" s="1" t="s">
        <v>61</v>
      </c>
      <c r="G1518" s="1" t="s">
        <v>55</v>
      </c>
      <c r="H1518" s="2">
        <v>3149.0</v>
      </c>
      <c r="I1518" s="2">
        <v>6784.0</v>
      </c>
      <c r="J1518" s="1">
        <v>1962.0</v>
      </c>
      <c r="K1518" s="1">
        <v>88.0</v>
      </c>
      <c r="L1518" s="1" t="s">
        <v>141</v>
      </c>
      <c r="M1518" s="1" t="s">
        <v>6110</v>
      </c>
      <c r="N1518" s="1" t="s">
        <v>34</v>
      </c>
      <c r="O1518" s="1" t="s">
        <v>49</v>
      </c>
      <c r="P1518" s="1" t="s">
        <v>6111</v>
      </c>
    </row>
    <row r="1519" ht="14.25" customHeight="1">
      <c r="A1519" s="1" t="s">
        <v>6112</v>
      </c>
      <c r="B1519" s="1" t="s">
        <v>6113</v>
      </c>
      <c r="C1519" s="1" t="s">
        <v>18</v>
      </c>
      <c r="D1519" s="1">
        <v>98726.0</v>
      </c>
      <c r="E1519" s="1" t="s">
        <v>40</v>
      </c>
      <c r="F1519" s="1" t="s">
        <v>54</v>
      </c>
      <c r="G1519" s="1" t="s">
        <v>100</v>
      </c>
      <c r="H1519" s="2">
        <v>2720.0</v>
      </c>
      <c r="I1519" s="2">
        <v>3716.0</v>
      </c>
      <c r="J1519" s="1">
        <v>1967.0</v>
      </c>
      <c r="K1519" s="1">
        <v>118.0</v>
      </c>
      <c r="L1519" s="1" t="s">
        <v>95</v>
      </c>
      <c r="M1519" s="1" t="s">
        <v>6114</v>
      </c>
      <c r="N1519" s="1" t="s">
        <v>43</v>
      </c>
      <c r="O1519" s="1" t="s">
        <v>49</v>
      </c>
      <c r="P1519" s="1" t="s">
        <v>6115</v>
      </c>
    </row>
    <row r="1520" ht="14.25" customHeight="1">
      <c r="A1520" s="1" t="s">
        <v>6116</v>
      </c>
      <c r="B1520" s="1" t="s">
        <v>6117</v>
      </c>
      <c r="C1520" s="1" t="s">
        <v>18</v>
      </c>
      <c r="D1520" s="1">
        <v>22445.0</v>
      </c>
      <c r="E1520" s="1" t="s">
        <v>30</v>
      </c>
      <c r="F1520" s="1" t="s">
        <v>20</v>
      </c>
      <c r="G1520" s="1" t="s">
        <v>21</v>
      </c>
      <c r="H1520" s="2">
        <v>3633.0</v>
      </c>
      <c r="I1520" s="2">
        <v>3402.0</v>
      </c>
      <c r="J1520" s="1">
        <v>1989.0</v>
      </c>
      <c r="K1520" s="1">
        <v>44.0</v>
      </c>
      <c r="L1520" s="1" t="s">
        <v>95</v>
      </c>
      <c r="M1520" s="1" t="s">
        <v>6118</v>
      </c>
      <c r="N1520" s="1" t="s">
        <v>64</v>
      </c>
      <c r="O1520" s="1" t="s">
        <v>25</v>
      </c>
      <c r="P1520" s="1" t="s">
        <v>6119</v>
      </c>
    </row>
    <row r="1521" ht="14.25" customHeight="1">
      <c r="A1521" s="1" t="s">
        <v>6120</v>
      </c>
      <c r="B1521" s="1" t="s">
        <v>6121</v>
      </c>
      <c r="C1521" s="1" t="s">
        <v>76</v>
      </c>
      <c r="D1521" s="1">
        <v>51002.0</v>
      </c>
      <c r="E1521" s="1" t="s">
        <v>60</v>
      </c>
      <c r="F1521" s="1" t="s">
        <v>61</v>
      </c>
      <c r="G1521" s="1" t="s">
        <v>21</v>
      </c>
      <c r="H1521" s="2">
        <v>2383.0</v>
      </c>
      <c r="I1521" s="2">
        <v>4232.0</v>
      </c>
      <c r="J1521" s="1">
        <v>1961.0</v>
      </c>
      <c r="K1521" s="1">
        <v>80.0</v>
      </c>
      <c r="L1521" s="1" t="s">
        <v>141</v>
      </c>
      <c r="M1521" s="1" t="s">
        <v>6122</v>
      </c>
      <c r="N1521" s="1" t="s">
        <v>34</v>
      </c>
      <c r="O1521" s="1" t="s">
        <v>25</v>
      </c>
      <c r="P1521" s="1" t="s">
        <v>6123</v>
      </c>
    </row>
    <row r="1522" ht="14.25" customHeight="1">
      <c r="A1522" s="1" t="s">
        <v>6124</v>
      </c>
      <c r="B1522" s="1" t="s">
        <v>6125</v>
      </c>
      <c r="C1522" s="1" t="s">
        <v>76</v>
      </c>
      <c r="D1522" s="1">
        <v>41506.0</v>
      </c>
      <c r="E1522" s="1" t="s">
        <v>40</v>
      </c>
      <c r="F1522" s="1" t="s">
        <v>61</v>
      </c>
      <c r="G1522" s="1" t="s">
        <v>100</v>
      </c>
      <c r="H1522" s="2">
        <v>3276.0</v>
      </c>
      <c r="I1522" s="2">
        <v>2421.0</v>
      </c>
      <c r="J1522" s="1">
        <v>2012.0</v>
      </c>
      <c r="K1522" s="1">
        <v>104.0</v>
      </c>
      <c r="L1522" s="1" t="s">
        <v>32</v>
      </c>
      <c r="M1522" s="1" t="s">
        <v>6126</v>
      </c>
      <c r="N1522" s="1" t="s">
        <v>64</v>
      </c>
      <c r="O1522" s="1" t="s">
        <v>35</v>
      </c>
      <c r="P1522" s="1" t="s">
        <v>6127</v>
      </c>
    </row>
    <row r="1523" ht="14.25" customHeight="1">
      <c r="A1523" s="1" t="s">
        <v>6128</v>
      </c>
      <c r="B1523" s="1" t="s">
        <v>6129</v>
      </c>
      <c r="C1523" s="1" t="s">
        <v>76</v>
      </c>
      <c r="D1523" s="1">
        <v>92333.0</v>
      </c>
      <c r="E1523" s="1" t="s">
        <v>19</v>
      </c>
      <c r="F1523" s="1" t="s">
        <v>41</v>
      </c>
      <c r="G1523" s="1" t="s">
        <v>21</v>
      </c>
      <c r="H1523" s="2">
        <v>634.0</v>
      </c>
      <c r="I1523" s="2">
        <v>6288.0</v>
      </c>
      <c r="J1523" s="1">
        <v>2020.0</v>
      </c>
      <c r="K1523" s="1">
        <v>104.0</v>
      </c>
      <c r="L1523" s="1" t="s">
        <v>62</v>
      </c>
      <c r="M1523" s="1" t="s">
        <v>6130</v>
      </c>
      <c r="N1523" s="1" t="s">
        <v>34</v>
      </c>
      <c r="O1523" s="1" t="s">
        <v>25</v>
      </c>
      <c r="P1523" s="1" t="s">
        <v>6131</v>
      </c>
    </row>
    <row r="1524" ht="14.25" customHeight="1">
      <c r="A1524" s="1" t="s">
        <v>6132</v>
      </c>
      <c r="B1524" s="1" t="s">
        <v>6133</v>
      </c>
      <c r="C1524" s="1" t="s">
        <v>39</v>
      </c>
      <c r="D1524" s="1">
        <v>48036.0</v>
      </c>
      <c r="E1524" s="1" t="s">
        <v>60</v>
      </c>
      <c r="F1524" s="1" t="s">
        <v>20</v>
      </c>
      <c r="G1524" s="1" t="s">
        <v>21</v>
      </c>
      <c r="H1524" s="2">
        <v>2714.0</v>
      </c>
      <c r="I1524" s="2">
        <v>7865.0</v>
      </c>
      <c r="J1524" s="1">
        <v>1987.0</v>
      </c>
      <c r="K1524" s="1">
        <v>91.0</v>
      </c>
      <c r="L1524" s="1" t="s">
        <v>95</v>
      </c>
      <c r="M1524" s="1" t="s">
        <v>6134</v>
      </c>
      <c r="N1524" s="1" t="s">
        <v>24</v>
      </c>
      <c r="O1524" s="1" t="s">
        <v>35</v>
      </c>
      <c r="P1524" s="1" t="s">
        <v>6135</v>
      </c>
    </row>
    <row r="1525" ht="14.25" customHeight="1">
      <c r="A1525" s="1" t="s">
        <v>6136</v>
      </c>
      <c r="B1525" s="1" t="s">
        <v>6137</v>
      </c>
      <c r="C1525" s="1" t="s">
        <v>76</v>
      </c>
      <c r="D1525" s="1">
        <v>45047.0</v>
      </c>
      <c r="E1525" s="1" t="s">
        <v>77</v>
      </c>
      <c r="F1525" s="1" t="s">
        <v>94</v>
      </c>
      <c r="G1525" s="1" t="s">
        <v>31</v>
      </c>
      <c r="H1525" s="2">
        <v>3807.0</v>
      </c>
      <c r="I1525" s="2">
        <v>3790.0</v>
      </c>
      <c r="J1525" s="1">
        <v>1959.0</v>
      </c>
      <c r="K1525" s="1">
        <v>45.0</v>
      </c>
      <c r="L1525" s="1" t="s">
        <v>22</v>
      </c>
      <c r="M1525" s="1" t="s">
        <v>6138</v>
      </c>
      <c r="N1525" s="1" t="s">
        <v>34</v>
      </c>
      <c r="O1525" s="1" t="s">
        <v>49</v>
      </c>
      <c r="P1525" s="1" t="s">
        <v>6139</v>
      </c>
    </row>
    <row r="1526" ht="14.25" customHeight="1">
      <c r="A1526" s="1" t="s">
        <v>6140</v>
      </c>
      <c r="B1526" s="1" t="s">
        <v>6141</v>
      </c>
      <c r="C1526" s="1" t="s">
        <v>29</v>
      </c>
      <c r="D1526" s="1">
        <v>46347.0</v>
      </c>
      <c r="E1526" s="1" t="s">
        <v>77</v>
      </c>
      <c r="F1526" s="1" t="s">
        <v>54</v>
      </c>
      <c r="G1526" s="1" t="s">
        <v>31</v>
      </c>
      <c r="H1526" s="2">
        <v>826.0</v>
      </c>
      <c r="I1526" s="2">
        <v>3948.0</v>
      </c>
      <c r="J1526" s="1">
        <v>2018.0</v>
      </c>
      <c r="K1526" s="1">
        <v>55.0</v>
      </c>
      <c r="L1526" s="1" t="s">
        <v>141</v>
      </c>
      <c r="M1526" s="1" t="s">
        <v>6142</v>
      </c>
      <c r="N1526" s="1" t="s">
        <v>64</v>
      </c>
      <c r="O1526" s="1" t="s">
        <v>25</v>
      </c>
      <c r="P1526" s="1" t="s">
        <v>6143</v>
      </c>
    </row>
    <row r="1527" ht="14.25" customHeight="1">
      <c r="A1527" s="1" t="s">
        <v>6144</v>
      </c>
      <c r="B1527" s="1" t="s">
        <v>6145</v>
      </c>
      <c r="C1527" s="1" t="s">
        <v>18</v>
      </c>
      <c r="D1527" s="1">
        <v>35198.0</v>
      </c>
      <c r="E1527" s="1" t="s">
        <v>60</v>
      </c>
      <c r="F1527" s="1" t="s">
        <v>54</v>
      </c>
      <c r="G1527" s="1" t="s">
        <v>31</v>
      </c>
      <c r="H1527" s="2">
        <v>1682.0</v>
      </c>
      <c r="I1527" s="2">
        <v>4028.0</v>
      </c>
      <c r="J1527" s="1">
        <v>2015.0</v>
      </c>
      <c r="K1527" s="1">
        <v>39.0</v>
      </c>
      <c r="L1527" s="1" t="s">
        <v>95</v>
      </c>
      <c r="M1527" s="1" t="s">
        <v>6146</v>
      </c>
      <c r="N1527" s="1" t="s">
        <v>43</v>
      </c>
      <c r="O1527" s="1" t="s">
        <v>49</v>
      </c>
      <c r="P1527" s="1" t="s">
        <v>6147</v>
      </c>
    </row>
    <row r="1528" ht="14.25" customHeight="1">
      <c r="A1528" s="1" t="s">
        <v>6148</v>
      </c>
      <c r="B1528" s="1" t="s">
        <v>6149</v>
      </c>
      <c r="C1528" s="1" t="s">
        <v>76</v>
      </c>
      <c r="D1528" s="1">
        <v>82428.0</v>
      </c>
      <c r="E1528" s="1" t="s">
        <v>77</v>
      </c>
      <c r="F1528" s="1" t="s">
        <v>61</v>
      </c>
      <c r="G1528" s="1" t="s">
        <v>31</v>
      </c>
      <c r="H1528" s="2">
        <v>3855.0</v>
      </c>
      <c r="I1528" s="2">
        <v>2341.0</v>
      </c>
      <c r="J1528" s="1">
        <v>2023.0</v>
      </c>
      <c r="K1528" s="1">
        <v>71.0</v>
      </c>
      <c r="L1528" s="1" t="s">
        <v>22</v>
      </c>
      <c r="M1528" s="1" t="s">
        <v>6150</v>
      </c>
      <c r="N1528" s="1" t="s">
        <v>24</v>
      </c>
      <c r="O1528" s="1" t="s">
        <v>49</v>
      </c>
      <c r="P1528" s="1" t="s">
        <v>6151</v>
      </c>
    </row>
    <row r="1529" ht="14.25" customHeight="1">
      <c r="A1529" s="1" t="s">
        <v>6152</v>
      </c>
      <c r="B1529" s="1" t="s">
        <v>6153</v>
      </c>
      <c r="C1529" s="1" t="s">
        <v>18</v>
      </c>
      <c r="D1529" s="1">
        <v>66000.0</v>
      </c>
      <c r="E1529" s="1" t="s">
        <v>60</v>
      </c>
      <c r="F1529" s="1" t="s">
        <v>54</v>
      </c>
      <c r="G1529" s="1" t="s">
        <v>31</v>
      </c>
      <c r="H1529" s="2">
        <v>1691.0</v>
      </c>
      <c r="I1529" s="2">
        <v>5223.0</v>
      </c>
      <c r="J1529" s="1">
        <v>2021.0</v>
      </c>
      <c r="K1529" s="1">
        <v>52.0</v>
      </c>
      <c r="L1529" s="1" t="s">
        <v>141</v>
      </c>
      <c r="M1529" s="1" t="s">
        <v>6154</v>
      </c>
      <c r="N1529" s="1" t="s">
        <v>64</v>
      </c>
      <c r="O1529" s="1" t="s">
        <v>49</v>
      </c>
      <c r="P1529" s="1" t="s">
        <v>6155</v>
      </c>
    </row>
    <row r="1530" ht="14.25" customHeight="1">
      <c r="A1530" s="1" t="s">
        <v>6156</v>
      </c>
      <c r="B1530" s="1" t="s">
        <v>6157</v>
      </c>
      <c r="C1530" s="1" t="s">
        <v>39</v>
      </c>
      <c r="D1530" s="1">
        <v>15583.0</v>
      </c>
      <c r="E1530" s="1" t="s">
        <v>60</v>
      </c>
      <c r="F1530" s="1" t="s">
        <v>61</v>
      </c>
      <c r="G1530" s="1" t="s">
        <v>31</v>
      </c>
      <c r="H1530" s="2">
        <v>726.0</v>
      </c>
      <c r="I1530" s="2">
        <v>7912.0</v>
      </c>
      <c r="J1530" s="1">
        <v>2007.0</v>
      </c>
      <c r="K1530" s="1">
        <v>56.0</v>
      </c>
      <c r="L1530" s="1" t="s">
        <v>32</v>
      </c>
      <c r="M1530" s="1" t="s">
        <v>6158</v>
      </c>
      <c r="N1530" s="1" t="s">
        <v>34</v>
      </c>
      <c r="O1530" s="1" t="s">
        <v>35</v>
      </c>
      <c r="P1530" s="1" t="s">
        <v>6159</v>
      </c>
    </row>
    <row r="1531" ht="14.25" customHeight="1">
      <c r="A1531" s="1" t="s">
        <v>6160</v>
      </c>
      <c r="B1531" s="1" t="s">
        <v>6161</v>
      </c>
      <c r="C1531" s="1" t="s">
        <v>39</v>
      </c>
      <c r="D1531" s="1">
        <v>92649.0</v>
      </c>
      <c r="E1531" s="1" t="s">
        <v>77</v>
      </c>
      <c r="F1531" s="1" t="s">
        <v>46</v>
      </c>
      <c r="G1531" s="1" t="s">
        <v>100</v>
      </c>
      <c r="H1531" s="2">
        <v>3922.0</v>
      </c>
      <c r="I1531" s="2">
        <v>7984.0</v>
      </c>
      <c r="J1531" s="1">
        <v>1971.0</v>
      </c>
      <c r="K1531" s="1">
        <v>82.0</v>
      </c>
      <c r="L1531" s="1" t="s">
        <v>141</v>
      </c>
      <c r="M1531" s="1" t="s">
        <v>6162</v>
      </c>
      <c r="N1531" s="1" t="s">
        <v>64</v>
      </c>
      <c r="O1531" s="1" t="s">
        <v>25</v>
      </c>
      <c r="P1531" s="1" t="s">
        <v>6163</v>
      </c>
    </row>
    <row r="1532" ht="14.25" customHeight="1">
      <c r="A1532" s="1" t="s">
        <v>6164</v>
      </c>
      <c r="B1532" s="1" t="s">
        <v>6165</v>
      </c>
      <c r="C1532" s="1" t="s">
        <v>18</v>
      </c>
      <c r="D1532" s="1">
        <v>92760.0</v>
      </c>
      <c r="E1532" s="1" t="s">
        <v>60</v>
      </c>
      <c r="F1532" s="1" t="s">
        <v>41</v>
      </c>
      <c r="G1532" s="1" t="s">
        <v>100</v>
      </c>
      <c r="H1532" s="2">
        <v>3865.0</v>
      </c>
      <c r="I1532" s="2">
        <v>2589.0</v>
      </c>
      <c r="J1532" s="1">
        <v>1964.0</v>
      </c>
      <c r="K1532" s="1">
        <v>86.0</v>
      </c>
      <c r="L1532" s="1" t="s">
        <v>32</v>
      </c>
      <c r="M1532" s="1" t="s">
        <v>6166</v>
      </c>
      <c r="N1532" s="1" t="s">
        <v>24</v>
      </c>
      <c r="O1532" s="1" t="s">
        <v>35</v>
      </c>
      <c r="P1532" s="1" t="s">
        <v>6167</v>
      </c>
    </row>
    <row r="1533" ht="14.25" customHeight="1">
      <c r="A1533" s="1" t="s">
        <v>6168</v>
      </c>
      <c r="B1533" s="1" t="s">
        <v>6169</v>
      </c>
      <c r="C1533" s="1" t="s">
        <v>76</v>
      </c>
      <c r="D1533" s="1">
        <v>35662.0</v>
      </c>
      <c r="E1533" s="1" t="s">
        <v>77</v>
      </c>
      <c r="F1533" s="1" t="s">
        <v>94</v>
      </c>
      <c r="G1533" s="1" t="s">
        <v>100</v>
      </c>
      <c r="H1533" s="2">
        <v>1440.0</v>
      </c>
      <c r="I1533" s="2">
        <v>1097.0</v>
      </c>
      <c r="J1533" s="1">
        <v>1962.0</v>
      </c>
      <c r="K1533" s="1">
        <v>7.0</v>
      </c>
      <c r="L1533" s="1" t="s">
        <v>95</v>
      </c>
      <c r="M1533" s="1" t="s">
        <v>6170</v>
      </c>
      <c r="N1533" s="1" t="s">
        <v>34</v>
      </c>
      <c r="O1533" s="1" t="s">
        <v>35</v>
      </c>
      <c r="P1533" s="1" t="s">
        <v>6171</v>
      </c>
    </row>
    <row r="1534" ht="14.25" customHeight="1">
      <c r="A1534" s="1" t="s">
        <v>6172</v>
      </c>
      <c r="B1534" s="1" t="s">
        <v>6173</v>
      </c>
      <c r="C1534" s="1" t="s">
        <v>53</v>
      </c>
      <c r="D1534" s="1">
        <v>95565.0</v>
      </c>
      <c r="E1534" s="1" t="s">
        <v>77</v>
      </c>
      <c r="F1534" s="1" t="s">
        <v>94</v>
      </c>
      <c r="G1534" s="1" t="s">
        <v>100</v>
      </c>
      <c r="H1534" s="2">
        <v>3190.0</v>
      </c>
      <c r="I1534" s="2">
        <v>5838.0</v>
      </c>
      <c r="J1534" s="1">
        <v>2018.0</v>
      </c>
      <c r="K1534" s="1">
        <v>62.0</v>
      </c>
      <c r="L1534" s="1" t="s">
        <v>32</v>
      </c>
      <c r="M1534" s="1" t="s">
        <v>6174</v>
      </c>
      <c r="N1534" s="1" t="s">
        <v>64</v>
      </c>
      <c r="O1534" s="1" t="s">
        <v>35</v>
      </c>
      <c r="P1534" s="1" t="s">
        <v>6175</v>
      </c>
    </row>
    <row r="1535" ht="14.25" customHeight="1">
      <c r="A1535" s="1" t="s">
        <v>6176</v>
      </c>
      <c r="B1535" s="1" t="s">
        <v>6177</v>
      </c>
      <c r="C1535" s="1" t="s">
        <v>53</v>
      </c>
      <c r="D1535" s="1">
        <v>97508.0</v>
      </c>
      <c r="E1535" s="1" t="s">
        <v>19</v>
      </c>
      <c r="F1535" s="1" t="s">
        <v>41</v>
      </c>
      <c r="G1535" s="1" t="s">
        <v>100</v>
      </c>
      <c r="H1535" s="2">
        <v>3868.0</v>
      </c>
      <c r="I1535" s="2">
        <v>6366.0</v>
      </c>
      <c r="J1535" s="1">
        <v>2010.0</v>
      </c>
      <c r="K1535" s="1">
        <v>13.0</v>
      </c>
      <c r="L1535" s="1" t="s">
        <v>22</v>
      </c>
      <c r="M1535" s="1" t="s">
        <v>6178</v>
      </c>
      <c r="N1535" s="1" t="s">
        <v>34</v>
      </c>
      <c r="O1535" s="1" t="s">
        <v>49</v>
      </c>
      <c r="P1535" s="1" t="s">
        <v>6179</v>
      </c>
    </row>
    <row r="1536" ht="14.25" customHeight="1">
      <c r="A1536" s="1" t="s">
        <v>6180</v>
      </c>
      <c r="B1536" s="1" t="s">
        <v>6181</v>
      </c>
      <c r="C1536" s="1" t="s">
        <v>76</v>
      </c>
      <c r="D1536" s="1">
        <v>61959.0</v>
      </c>
      <c r="E1536" s="1" t="s">
        <v>19</v>
      </c>
      <c r="F1536" s="1" t="s">
        <v>61</v>
      </c>
      <c r="G1536" s="1" t="s">
        <v>55</v>
      </c>
      <c r="H1536" s="2">
        <v>677.0</v>
      </c>
      <c r="I1536" s="2">
        <v>9114.0</v>
      </c>
      <c r="J1536" s="1">
        <v>1954.0</v>
      </c>
      <c r="K1536" s="1">
        <v>26.0</v>
      </c>
      <c r="L1536" s="1" t="s">
        <v>22</v>
      </c>
      <c r="M1536" s="1" t="s">
        <v>6182</v>
      </c>
      <c r="N1536" s="1" t="s">
        <v>48</v>
      </c>
      <c r="O1536" s="1" t="s">
        <v>25</v>
      </c>
      <c r="P1536" s="1" t="s">
        <v>6183</v>
      </c>
    </row>
    <row r="1537" ht="14.25" customHeight="1">
      <c r="A1537" s="1" t="s">
        <v>6184</v>
      </c>
      <c r="B1537" s="1" t="s">
        <v>6185</v>
      </c>
      <c r="C1537" s="1" t="s">
        <v>76</v>
      </c>
      <c r="D1537" s="1">
        <v>27440.0</v>
      </c>
      <c r="E1537" s="1" t="s">
        <v>40</v>
      </c>
      <c r="F1537" s="1" t="s">
        <v>54</v>
      </c>
      <c r="G1537" s="1" t="s">
        <v>31</v>
      </c>
      <c r="H1537" s="2">
        <v>1682.0</v>
      </c>
      <c r="I1537" s="2">
        <v>7916.0</v>
      </c>
      <c r="J1537" s="1">
        <v>1981.0</v>
      </c>
      <c r="K1537" s="1">
        <v>34.0</v>
      </c>
      <c r="L1537" s="1" t="s">
        <v>22</v>
      </c>
      <c r="M1537" s="1" t="s">
        <v>6186</v>
      </c>
      <c r="N1537" s="1" t="s">
        <v>48</v>
      </c>
      <c r="O1537" s="1" t="s">
        <v>49</v>
      </c>
      <c r="P1537" s="1" t="s">
        <v>6187</v>
      </c>
    </row>
    <row r="1538" ht="14.25" customHeight="1">
      <c r="A1538" s="1" t="s">
        <v>6188</v>
      </c>
      <c r="B1538" s="1" t="s">
        <v>6189</v>
      </c>
      <c r="C1538" s="1" t="s">
        <v>53</v>
      </c>
      <c r="D1538" s="1">
        <v>31427.0</v>
      </c>
      <c r="E1538" s="1" t="s">
        <v>60</v>
      </c>
      <c r="F1538" s="1" t="s">
        <v>20</v>
      </c>
      <c r="G1538" s="1" t="s">
        <v>31</v>
      </c>
      <c r="H1538" s="2">
        <v>3261.0</v>
      </c>
      <c r="I1538" s="2">
        <v>7785.0</v>
      </c>
      <c r="J1538" s="1">
        <v>2008.0</v>
      </c>
      <c r="K1538" s="1">
        <v>100.0</v>
      </c>
      <c r="L1538" s="1" t="s">
        <v>22</v>
      </c>
      <c r="M1538" s="1" t="s">
        <v>6190</v>
      </c>
      <c r="N1538" s="1" t="s">
        <v>24</v>
      </c>
      <c r="O1538" s="1" t="s">
        <v>35</v>
      </c>
      <c r="P1538" s="1" t="s">
        <v>6191</v>
      </c>
    </row>
    <row r="1539" ht="14.25" customHeight="1">
      <c r="A1539" s="1" t="s">
        <v>6192</v>
      </c>
      <c r="B1539" s="1" t="s">
        <v>6193</v>
      </c>
      <c r="C1539" s="1" t="s">
        <v>76</v>
      </c>
      <c r="D1539" s="1">
        <v>79435.0</v>
      </c>
      <c r="E1539" s="1" t="s">
        <v>30</v>
      </c>
      <c r="F1539" s="1" t="s">
        <v>54</v>
      </c>
      <c r="G1539" s="1" t="s">
        <v>55</v>
      </c>
      <c r="H1539" s="2">
        <v>1006.0</v>
      </c>
      <c r="I1539" s="2">
        <v>8212.0</v>
      </c>
      <c r="J1539" s="1">
        <v>2010.0</v>
      </c>
      <c r="K1539" s="1">
        <v>83.0</v>
      </c>
      <c r="L1539" s="1" t="s">
        <v>141</v>
      </c>
      <c r="M1539" s="1" t="s">
        <v>6194</v>
      </c>
      <c r="N1539" s="1" t="s">
        <v>43</v>
      </c>
      <c r="O1539" s="1" t="s">
        <v>49</v>
      </c>
      <c r="P1539" s="1" t="s">
        <v>6195</v>
      </c>
    </row>
    <row r="1540" ht="14.25" customHeight="1">
      <c r="A1540" s="1" t="s">
        <v>6196</v>
      </c>
      <c r="B1540" s="1" t="s">
        <v>6197</v>
      </c>
      <c r="C1540" s="1" t="s">
        <v>29</v>
      </c>
      <c r="D1540" s="1">
        <v>22468.0</v>
      </c>
      <c r="E1540" s="1" t="s">
        <v>60</v>
      </c>
      <c r="F1540" s="1" t="s">
        <v>46</v>
      </c>
      <c r="G1540" s="1" t="s">
        <v>31</v>
      </c>
      <c r="H1540" s="2">
        <v>3078.0</v>
      </c>
      <c r="I1540" s="2">
        <v>4530.0</v>
      </c>
      <c r="J1540" s="1">
        <v>2004.0</v>
      </c>
      <c r="K1540" s="1">
        <v>30.0</v>
      </c>
      <c r="L1540" s="1" t="s">
        <v>141</v>
      </c>
      <c r="M1540" s="1" t="s">
        <v>6198</v>
      </c>
      <c r="N1540" s="1" t="s">
        <v>34</v>
      </c>
      <c r="O1540" s="1" t="s">
        <v>35</v>
      </c>
      <c r="P1540" s="1" t="s">
        <v>6199</v>
      </c>
    </row>
    <row r="1541" ht="14.25" customHeight="1">
      <c r="A1541" s="1" t="s">
        <v>6200</v>
      </c>
      <c r="B1541" s="1" t="s">
        <v>6201</v>
      </c>
      <c r="C1541" s="1" t="s">
        <v>76</v>
      </c>
      <c r="D1541" s="1">
        <v>69412.0</v>
      </c>
      <c r="E1541" s="1" t="s">
        <v>19</v>
      </c>
      <c r="F1541" s="1" t="s">
        <v>46</v>
      </c>
      <c r="G1541" s="1" t="s">
        <v>55</v>
      </c>
      <c r="H1541" s="2">
        <v>1374.0</v>
      </c>
      <c r="I1541" s="2">
        <v>2835.0</v>
      </c>
      <c r="J1541" s="1">
        <v>1995.0</v>
      </c>
      <c r="K1541" s="1">
        <v>120.0</v>
      </c>
      <c r="L1541" s="1" t="s">
        <v>62</v>
      </c>
      <c r="M1541" s="1" t="s">
        <v>6202</v>
      </c>
      <c r="N1541" s="1" t="s">
        <v>64</v>
      </c>
      <c r="O1541" s="1" t="s">
        <v>25</v>
      </c>
      <c r="P1541" s="1" t="s">
        <v>6203</v>
      </c>
    </row>
    <row r="1542" ht="14.25" customHeight="1">
      <c r="A1542" s="1" t="s">
        <v>6204</v>
      </c>
      <c r="B1542" s="1" t="s">
        <v>6205</v>
      </c>
      <c r="C1542" s="1" t="s">
        <v>39</v>
      </c>
      <c r="D1542" s="1">
        <v>53941.0</v>
      </c>
      <c r="E1542" s="1" t="s">
        <v>60</v>
      </c>
      <c r="F1542" s="1" t="s">
        <v>46</v>
      </c>
      <c r="G1542" s="1" t="s">
        <v>31</v>
      </c>
      <c r="H1542" s="2">
        <v>3416.0</v>
      </c>
      <c r="I1542" s="2">
        <v>8818.0</v>
      </c>
      <c r="J1542" s="1">
        <v>1954.0</v>
      </c>
      <c r="K1542" s="1">
        <v>77.0</v>
      </c>
      <c r="L1542" s="1" t="s">
        <v>22</v>
      </c>
      <c r="M1542" s="1" t="s">
        <v>6206</v>
      </c>
      <c r="N1542" s="1" t="s">
        <v>34</v>
      </c>
      <c r="O1542" s="1" t="s">
        <v>49</v>
      </c>
      <c r="P1542" s="1" t="s">
        <v>6207</v>
      </c>
    </row>
    <row r="1543" ht="14.25" customHeight="1">
      <c r="A1543" s="1" t="s">
        <v>6208</v>
      </c>
      <c r="B1543" s="1" t="s">
        <v>6209</v>
      </c>
      <c r="C1543" s="1" t="s">
        <v>18</v>
      </c>
      <c r="D1543" s="1">
        <v>48650.0</v>
      </c>
      <c r="E1543" s="1" t="s">
        <v>77</v>
      </c>
      <c r="F1543" s="1" t="s">
        <v>41</v>
      </c>
      <c r="G1543" s="1" t="s">
        <v>21</v>
      </c>
      <c r="H1543" s="2">
        <v>3965.0</v>
      </c>
      <c r="I1543" s="2">
        <v>3209.0</v>
      </c>
      <c r="J1543" s="1">
        <v>2010.0</v>
      </c>
      <c r="K1543" s="1">
        <v>31.0</v>
      </c>
      <c r="L1543" s="1" t="s">
        <v>62</v>
      </c>
      <c r="M1543" s="1" t="s">
        <v>6210</v>
      </c>
      <c r="N1543" s="1" t="s">
        <v>24</v>
      </c>
      <c r="O1543" s="1" t="s">
        <v>25</v>
      </c>
      <c r="P1543" s="1" t="s">
        <v>6211</v>
      </c>
    </row>
    <row r="1544" ht="14.25" customHeight="1">
      <c r="A1544" s="1" t="s">
        <v>6212</v>
      </c>
      <c r="B1544" s="1" t="s">
        <v>6213</v>
      </c>
      <c r="C1544" s="1" t="s">
        <v>29</v>
      </c>
      <c r="D1544" s="1">
        <v>62544.0</v>
      </c>
      <c r="E1544" s="1" t="s">
        <v>60</v>
      </c>
      <c r="F1544" s="1" t="s">
        <v>94</v>
      </c>
      <c r="G1544" s="1" t="s">
        <v>31</v>
      </c>
      <c r="H1544" s="2">
        <v>1600.0</v>
      </c>
      <c r="I1544" s="2">
        <v>9159.0</v>
      </c>
      <c r="J1544" s="1">
        <v>1990.0</v>
      </c>
      <c r="K1544" s="1">
        <v>16.0</v>
      </c>
      <c r="L1544" s="1" t="s">
        <v>32</v>
      </c>
      <c r="M1544" s="1" t="s">
        <v>6214</v>
      </c>
      <c r="N1544" s="1" t="s">
        <v>24</v>
      </c>
      <c r="O1544" s="1" t="s">
        <v>49</v>
      </c>
      <c r="P1544" s="1" t="s">
        <v>6215</v>
      </c>
    </row>
    <row r="1545" ht="14.25" customHeight="1">
      <c r="A1545" s="1" t="s">
        <v>6216</v>
      </c>
      <c r="B1545" s="1" t="s">
        <v>6217</v>
      </c>
      <c r="C1545" s="1" t="s">
        <v>29</v>
      </c>
      <c r="D1545" s="1">
        <v>94763.0</v>
      </c>
      <c r="E1545" s="1" t="s">
        <v>30</v>
      </c>
      <c r="F1545" s="1" t="s">
        <v>41</v>
      </c>
      <c r="G1545" s="1" t="s">
        <v>31</v>
      </c>
      <c r="H1545" s="2">
        <v>3141.0</v>
      </c>
      <c r="I1545" s="2">
        <v>8542.0</v>
      </c>
      <c r="J1545" s="1">
        <v>1992.0</v>
      </c>
      <c r="K1545" s="1">
        <v>117.0</v>
      </c>
      <c r="L1545" s="1" t="s">
        <v>95</v>
      </c>
      <c r="M1545" s="1" t="s">
        <v>6218</v>
      </c>
      <c r="N1545" s="1" t="s">
        <v>43</v>
      </c>
      <c r="O1545" s="1" t="s">
        <v>49</v>
      </c>
      <c r="P1545" s="1" t="s">
        <v>6219</v>
      </c>
    </row>
    <row r="1546" ht="14.25" customHeight="1">
      <c r="A1546" s="1" t="s">
        <v>6220</v>
      </c>
      <c r="B1546" s="1" t="s">
        <v>6221</v>
      </c>
      <c r="C1546" s="1" t="s">
        <v>76</v>
      </c>
      <c r="D1546" s="1">
        <v>36860.0</v>
      </c>
      <c r="E1546" s="1" t="s">
        <v>30</v>
      </c>
      <c r="F1546" s="1" t="s">
        <v>41</v>
      </c>
      <c r="G1546" s="1" t="s">
        <v>21</v>
      </c>
      <c r="H1546" s="2">
        <v>660.0</v>
      </c>
      <c r="I1546" s="2">
        <v>1460.0</v>
      </c>
      <c r="J1546" s="1">
        <v>2006.0</v>
      </c>
      <c r="K1546" s="1">
        <v>58.0</v>
      </c>
      <c r="L1546" s="1" t="s">
        <v>141</v>
      </c>
      <c r="M1546" s="1" t="s">
        <v>6222</v>
      </c>
      <c r="N1546" s="1" t="s">
        <v>48</v>
      </c>
      <c r="O1546" s="1" t="s">
        <v>35</v>
      </c>
      <c r="P1546" s="1" t="s">
        <v>6223</v>
      </c>
    </row>
    <row r="1547" ht="14.25" customHeight="1">
      <c r="A1547" s="1" t="s">
        <v>6224</v>
      </c>
      <c r="B1547" s="1" t="s">
        <v>6225</v>
      </c>
      <c r="C1547" s="1" t="s">
        <v>29</v>
      </c>
      <c r="D1547" s="1">
        <v>72546.0</v>
      </c>
      <c r="E1547" s="1" t="s">
        <v>19</v>
      </c>
      <c r="F1547" s="1" t="s">
        <v>20</v>
      </c>
      <c r="G1547" s="1" t="s">
        <v>31</v>
      </c>
      <c r="H1547" s="2">
        <v>3420.0</v>
      </c>
      <c r="I1547" s="2">
        <v>2949.0</v>
      </c>
      <c r="J1547" s="1">
        <v>1992.0</v>
      </c>
      <c r="K1547" s="1">
        <v>22.0</v>
      </c>
      <c r="L1547" s="1" t="s">
        <v>95</v>
      </c>
      <c r="M1547" s="1" t="s">
        <v>6226</v>
      </c>
      <c r="N1547" s="1" t="s">
        <v>34</v>
      </c>
      <c r="O1547" s="1" t="s">
        <v>49</v>
      </c>
      <c r="P1547" s="1" t="s">
        <v>6227</v>
      </c>
    </row>
    <row r="1548" ht="14.25" customHeight="1">
      <c r="A1548" s="1" t="s">
        <v>6228</v>
      </c>
      <c r="B1548" s="1" t="s">
        <v>6229</v>
      </c>
      <c r="C1548" s="1" t="s">
        <v>29</v>
      </c>
      <c r="D1548" s="1">
        <v>88446.0</v>
      </c>
      <c r="E1548" s="1" t="s">
        <v>60</v>
      </c>
      <c r="F1548" s="1" t="s">
        <v>54</v>
      </c>
      <c r="G1548" s="1" t="s">
        <v>100</v>
      </c>
      <c r="H1548" s="2">
        <v>717.0</v>
      </c>
      <c r="I1548" s="2">
        <v>4739.0</v>
      </c>
      <c r="J1548" s="1">
        <v>1964.0</v>
      </c>
      <c r="K1548" s="1">
        <v>58.0</v>
      </c>
      <c r="L1548" s="1" t="s">
        <v>141</v>
      </c>
      <c r="M1548" s="1" t="s">
        <v>6230</v>
      </c>
      <c r="N1548" s="1" t="s">
        <v>24</v>
      </c>
      <c r="O1548" s="1" t="s">
        <v>35</v>
      </c>
      <c r="P1548" s="1" t="s">
        <v>6231</v>
      </c>
    </row>
    <row r="1549" ht="14.25" customHeight="1">
      <c r="A1549" s="1" t="s">
        <v>6232</v>
      </c>
      <c r="B1549" s="1" t="s">
        <v>6233</v>
      </c>
      <c r="C1549" s="1" t="s">
        <v>29</v>
      </c>
      <c r="D1549" s="1">
        <v>50137.0</v>
      </c>
      <c r="E1549" s="1" t="s">
        <v>30</v>
      </c>
      <c r="F1549" s="1" t="s">
        <v>46</v>
      </c>
      <c r="G1549" s="1" t="s">
        <v>100</v>
      </c>
      <c r="H1549" s="2">
        <v>3941.0</v>
      </c>
      <c r="I1549" s="2">
        <v>6714.0</v>
      </c>
      <c r="J1549" s="1">
        <v>1955.0</v>
      </c>
      <c r="K1549" s="1">
        <v>72.0</v>
      </c>
      <c r="L1549" s="1" t="s">
        <v>95</v>
      </c>
      <c r="M1549" s="1" t="s">
        <v>6234</v>
      </c>
      <c r="N1549" s="1" t="s">
        <v>64</v>
      </c>
      <c r="O1549" s="1" t="s">
        <v>25</v>
      </c>
      <c r="P1549" s="1" t="s">
        <v>6235</v>
      </c>
    </row>
    <row r="1550" ht="14.25" customHeight="1">
      <c r="A1550" s="1" t="s">
        <v>6236</v>
      </c>
      <c r="B1550" s="1" t="s">
        <v>6237</v>
      </c>
      <c r="C1550" s="1" t="s">
        <v>76</v>
      </c>
      <c r="D1550" s="1">
        <v>17886.0</v>
      </c>
      <c r="E1550" s="1" t="s">
        <v>77</v>
      </c>
      <c r="F1550" s="1" t="s">
        <v>54</v>
      </c>
      <c r="G1550" s="1" t="s">
        <v>100</v>
      </c>
      <c r="H1550" s="2">
        <v>3428.0</v>
      </c>
      <c r="I1550" s="2">
        <v>9567.0</v>
      </c>
      <c r="J1550" s="1">
        <v>1969.0</v>
      </c>
      <c r="K1550" s="1">
        <v>36.0</v>
      </c>
      <c r="L1550" s="1" t="s">
        <v>95</v>
      </c>
      <c r="M1550" s="1" t="s">
        <v>6238</v>
      </c>
      <c r="N1550" s="1" t="s">
        <v>48</v>
      </c>
      <c r="O1550" s="1" t="s">
        <v>35</v>
      </c>
      <c r="P1550" s="1" t="s">
        <v>6239</v>
      </c>
    </row>
    <row r="1551" ht="14.25" customHeight="1">
      <c r="A1551" s="1" t="s">
        <v>6240</v>
      </c>
      <c r="B1551" s="1" t="s">
        <v>6241</v>
      </c>
      <c r="C1551" s="1" t="s">
        <v>29</v>
      </c>
      <c r="D1551" s="1">
        <v>13951.0</v>
      </c>
      <c r="E1551" s="1" t="s">
        <v>77</v>
      </c>
      <c r="F1551" s="1" t="s">
        <v>20</v>
      </c>
      <c r="G1551" s="1" t="s">
        <v>31</v>
      </c>
      <c r="H1551" s="2">
        <v>3511.0</v>
      </c>
      <c r="I1551" s="2">
        <v>6981.0</v>
      </c>
      <c r="J1551" s="1">
        <v>1964.0</v>
      </c>
      <c r="K1551" s="1">
        <v>48.0</v>
      </c>
      <c r="L1551" s="1" t="s">
        <v>32</v>
      </c>
      <c r="M1551" s="1" t="s">
        <v>6242</v>
      </c>
      <c r="N1551" s="1" t="s">
        <v>43</v>
      </c>
      <c r="O1551" s="1" t="s">
        <v>25</v>
      </c>
      <c r="P1551" s="1" t="s">
        <v>6243</v>
      </c>
    </row>
    <row r="1552" ht="14.25" customHeight="1">
      <c r="A1552" s="1" t="s">
        <v>6244</v>
      </c>
      <c r="B1552" s="1" t="s">
        <v>6245</v>
      </c>
      <c r="C1552" s="1" t="s">
        <v>76</v>
      </c>
      <c r="D1552" s="1">
        <v>37989.0</v>
      </c>
      <c r="E1552" s="1" t="s">
        <v>60</v>
      </c>
      <c r="F1552" s="1" t="s">
        <v>94</v>
      </c>
      <c r="G1552" s="1" t="s">
        <v>55</v>
      </c>
      <c r="H1552" s="2">
        <v>2535.0</v>
      </c>
      <c r="I1552" s="2">
        <v>2648.0</v>
      </c>
      <c r="J1552" s="1">
        <v>2017.0</v>
      </c>
      <c r="K1552" s="1">
        <v>55.0</v>
      </c>
      <c r="L1552" s="1" t="s">
        <v>22</v>
      </c>
      <c r="M1552" s="1" t="s">
        <v>6246</v>
      </c>
      <c r="N1552" s="1" t="s">
        <v>64</v>
      </c>
      <c r="O1552" s="1" t="s">
        <v>35</v>
      </c>
      <c r="P1552" s="1" t="s">
        <v>6247</v>
      </c>
    </row>
    <row r="1553" ht="14.25" customHeight="1">
      <c r="A1553" s="1" t="s">
        <v>6248</v>
      </c>
      <c r="B1553" s="1" t="s">
        <v>6249</v>
      </c>
      <c r="C1553" s="1" t="s">
        <v>18</v>
      </c>
      <c r="D1553" s="1">
        <v>70384.0</v>
      </c>
      <c r="E1553" s="1" t="s">
        <v>40</v>
      </c>
      <c r="F1553" s="1" t="s">
        <v>94</v>
      </c>
      <c r="G1553" s="1" t="s">
        <v>21</v>
      </c>
      <c r="H1553" s="2">
        <v>1590.0</v>
      </c>
      <c r="I1553" s="2">
        <v>4330.0</v>
      </c>
      <c r="J1553" s="1">
        <v>1985.0</v>
      </c>
      <c r="K1553" s="1">
        <v>3.0</v>
      </c>
      <c r="L1553" s="1" t="s">
        <v>141</v>
      </c>
      <c r="M1553" s="1" t="s">
        <v>6250</v>
      </c>
      <c r="N1553" s="1" t="s">
        <v>64</v>
      </c>
      <c r="O1553" s="1" t="s">
        <v>35</v>
      </c>
      <c r="P1553" s="1" t="s">
        <v>6251</v>
      </c>
    </row>
    <row r="1554" ht="14.25" customHeight="1">
      <c r="A1554" s="1" t="s">
        <v>6252</v>
      </c>
      <c r="B1554" s="1" t="s">
        <v>6253</v>
      </c>
      <c r="C1554" s="1" t="s">
        <v>53</v>
      </c>
      <c r="D1554" s="1">
        <v>13119.0</v>
      </c>
      <c r="E1554" s="1" t="s">
        <v>77</v>
      </c>
      <c r="F1554" s="1" t="s">
        <v>54</v>
      </c>
      <c r="G1554" s="1" t="s">
        <v>100</v>
      </c>
      <c r="H1554" s="2">
        <v>2492.0</v>
      </c>
      <c r="I1554" s="2">
        <v>5586.0</v>
      </c>
      <c r="J1554" s="1">
        <v>1957.0</v>
      </c>
      <c r="K1554" s="1">
        <v>38.0</v>
      </c>
      <c r="L1554" s="1" t="s">
        <v>32</v>
      </c>
      <c r="M1554" s="1" t="s">
        <v>6254</v>
      </c>
      <c r="N1554" s="1" t="s">
        <v>34</v>
      </c>
      <c r="O1554" s="1" t="s">
        <v>35</v>
      </c>
      <c r="P1554" s="1" t="s">
        <v>6255</v>
      </c>
    </row>
    <row r="1555" ht="14.25" customHeight="1">
      <c r="A1555" s="1" t="s">
        <v>6256</v>
      </c>
      <c r="B1555" s="1" t="s">
        <v>6257</v>
      </c>
      <c r="C1555" s="1" t="s">
        <v>29</v>
      </c>
      <c r="D1555" s="1">
        <v>78357.0</v>
      </c>
      <c r="E1555" s="1" t="s">
        <v>19</v>
      </c>
      <c r="F1555" s="1" t="s">
        <v>20</v>
      </c>
      <c r="G1555" s="1" t="s">
        <v>55</v>
      </c>
      <c r="H1555" s="2">
        <v>1575.0</v>
      </c>
      <c r="I1555" s="2">
        <v>5478.0</v>
      </c>
      <c r="J1555" s="1">
        <v>2011.0</v>
      </c>
      <c r="K1555" s="1">
        <v>10.0</v>
      </c>
      <c r="L1555" s="1" t="s">
        <v>62</v>
      </c>
      <c r="M1555" s="1" t="s">
        <v>6258</v>
      </c>
      <c r="N1555" s="1" t="s">
        <v>34</v>
      </c>
      <c r="O1555" s="1" t="s">
        <v>25</v>
      </c>
      <c r="P1555" s="1" t="s">
        <v>6259</v>
      </c>
    </row>
    <row r="1556" ht="14.25" customHeight="1">
      <c r="A1556" s="1" t="s">
        <v>6260</v>
      </c>
      <c r="B1556" s="1" t="s">
        <v>6261</v>
      </c>
      <c r="C1556" s="1" t="s">
        <v>18</v>
      </c>
      <c r="D1556" s="1">
        <v>21066.0</v>
      </c>
      <c r="E1556" s="1" t="s">
        <v>19</v>
      </c>
      <c r="F1556" s="1" t="s">
        <v>54</v>
      </c>
      <c r="G1556" s="1" t="s">
        <v>55</v>
      </c>
      <c r="H1556" s="2">
        <v>1505.0</v>
      </c>
      <c r="I1556" s="2">
        <v>2807.0</v>
      </c>
      <c r="J1556" s="1">
        <v>1973.0</v>
      </c>
      <c r="K1556" s="1">
        <v>39.0</v>
      </c>
      <c r="L1556" s="1" t="s">
        <v>32</v>
      </c>
      <c r="M1556" s="1" t="s">
        <v>6262</v>
      </c>
      <c r="N1556" s="1" t="s">
        <v>24</v>
      </c>
      <c r="O1556" s="1" t="s">
        <v>49</v>
      </c>
      <c r="P1556" s="1" t="s">
        <v>6263</v>
      </c>
    </row>
    <row r="1557" ht="14.25" customHeight="1">
      <c r="A1557" s="1" t="s">
        <v>6264</v>
      </c>
      <c r="B1557" s="1" t="s">
        <v>6265</v>
      </c>
      <c r="C1557" s="1" t="s">
        <v>18</v>
      </c>
      <c r="D1557" s="1">
        <v>56122.0</v>
      </c>
      <c r="E1557" s="1" t="s">
        <v>30</v>
      </c>
      <c r="F1557" s="1" t="s">
        <v>54</v>
      </c>
      <c r="G1557" s="1" t="s">
        <v>55</v>
      </c>
      <c r="H1557" s="2">
        <v>3405.0</v>
      </c>
      <c r="I1557" s="2">
        <v>1435.0</v>
      </c>
      <c r="J1557" s="1">
        <v>1995.0</v>
      </c>
      <c r="K1557" s="1">
        <v>70.0</v>
      </c>
      <c r="L1557" s="1" t="s">
        <v>62</v>
      </c>
      <c r="M1557" s="1" t="s">
        <v>6266</v>
      </c>
      <c r="N1557" s="1" t="s">
        <v>24</v>
      </c>
      <c r="O1557" s="1" t="s">
        <v>49</v>
      </c>
      <c r="P1557" s="1" t="s">
        <v>6267</v>
      </c>
    </row>
    <row r="1558" ht="14.25" customHeight="1">
      <c r="A1558" s="1" t="s">
        <v>6268</v>
      </c>
      <c r="B1558" s="1" t="s">
        <v>6269</v>
      </c>
      <c r="C1558" s="1" t="s">
        <v>53</v>
      </c>
      <c r="D1558" s="1">
        <v>25237.0</v>
      </c>
      <c r="E1558" s="1" t="s">
        <v>60</v>
      </c>
      <c r="F1558" s="1" t="s">
        <v>94</v>
      </c>
      <c r="G1558" s="1" t="s">
        <v>21</v>
      </c>
      <c r="H1558" s="2">
        <v>1840.0</v>
      </c>
      <c r="I1558" s="2">
        <v>6776.0</v>
      </c>
      <c r="J1558" s="1">
        <v>1986.0</v>
      </c>
      <c r="K1558" s="1">
        <v>99.0</v>
      </c>
      <c r="L1558" s="1" t="s">
        <v>95</v>
      </c>
      <c r="M1558" s="1" t="s">
        <v>6270</v>
      </c>
      <c r="N1558" s="1" t="s">
        <v>43</v>
      </c>
      <c r="O1558" s="1" t="s">
        <v>49</v>
      </c>
      <c r="P1558" s="1" t="s">
        <v>6271</v>
      </c>
    </row>
    <row r="1559" ht="14.25" customHeight="1">
      <c r="A1559" s="1" t="s">
        <v>6272</v>
      </c>
      <c r="B1559" s="1" t="s">
        <v>6273</v>
      </c>
      <c r="C1559" s="1" t="s">
        <v>53</v>
      </c>
      <c r="D1559" s="1">
        <v>27691.0</v>
      </c>
      <c r="E1559" s="1" t="s">
        <v>40</v>
      </c>
      <c r="F1559" s="1" t="s">
        <v>20</v>
      </c>
      <c r="G1559" s="1" t="s">
        <v>55</v>
      </c>
      <c r="H1559" s="2">
        <v>3090.0</v>
      </c>
      <c r="I1559" s="2">
        <v>1342.0</v>
      </c>
      <c r="J1559" s="1">
        <v>2011.0</v>
      </c>
      <c r="K1559" s="1">
        <v>30.0</v>
      </c>
      <c r="L1559" s="1" t="s">
        <v>62</v>
      </c>
      <c r="M1559" s="1" t="s">
        <v>6274</v>
      </c>
      <c r="N1559" s="1" t="s">
        <v>24</v>
      </c>
      <c r="O1559" s="1" t="s">
        <v>35</v>
      </c>
      <c r="P1559" s="1" t="s">
        <v>6275</v>
      </c>
    </row>
    <row r="1560" ht="14.25" customHeight="1">
      <c r="A1560" s="1" t="s">
        <v>6276</v>
      </c>
      <c r="B1560" s="1" t="s">
        <v>6277</v>
      </c>
      <c r="C1560" s="1" t="s">
        <v>18</v>
      </c>
      <c r="D1560" s="1">
        <v>80943.0</v>
      </c>
      <c r="E1560" s="1" t="s">
        <v>60</v>
      </c>
      <c r="F1560" s="1" t="s">
        <v>94</v>
      </c>
      <c r="G1560" s="1" t="s">
        <v>31</v>
      </c>
      <c r="H1560" s="2">
        <v>3991.0</v>
      </c>
      <c r="I1560" s="2">
        <v>6495.0</v>
      </c>
      <c r="J1560" s="1">
        <v>1957.0</v>
      </c>
      <c r="K1560" s="1">
        <v>95.0</v>
      </c>
      <c r="L1560" s="1" t="s">
        <v>32</v>
      </c>
      <c r="M1560" s="1" t="s">
        <v>6278</v>
      </c>
      <c r="N1560" s="1" t="s">
        <v>48</v>
      </c>
      <c r="O1560" s="1" t="s">
        <v>35</v>
      </c>
      <c r="P1560" s="1" t="s">
        <v>6279</v>
      </c>
    </row>
    <row r="1561" ht="14.25" customHeight="1">
      <c r="A1561" s="1" t="s">
        <v>6280</v>
      </c>
      <c r="B1561" s="1" t="s">
        <v>6281</v>
      </c>
      <c r="C1561" s="1" t="s">
        <v>76</v>
      </c>
      <c r="D1561" s="1">
        <v>38367.0</v>
      </c>
      <c r="E1561" s="1" t="s">
        <v>19</v>
      </c>
      <c r="F1561" s="1" t="s">
        <v>46</v>
      </c>
      <c r="G1561" s="1" t="s">
        <v>55</v>
      </c>
      <c r="H1561" s="2">
        <v>3487.0</v>
      </c>
      <c r="I1561" s="2">
        <v>6375.0</v>
      </c>
      <c r="J1561" s="1">
        <v>1993.0</v>
      </c>
      <c r="K1561" s="1">
        <v>24.0</v>
      </c>
      <c r="L1561" s="1" t="s">
        <v>95</v>
      </c>
      <c r="M1561" s="1" t="s">
        <v>6282</v>
      </c>
      <c r="N1561" s="1" t="s">
        <v>43</v>
      </c>
      <c r="O1561" s="1" t="s">
        <v>35</v>
      </c>
      <c r="P1561" s="1" t="s">
        <v>6283</v>
      </c>
    </row>
    <row r="1562" ht="14.25" customHeight="1">
      <c r="A1562" s="1" t="s">
        <v>6284</v>
      </c>
      <c r="B1562" s="1" t="s">
        <v>6285</v>
      </c>
      <c r="C1562" s="1" t="s">
        <v>39</v>
      </c>
      <c r="D1562" s="1">
        <v>14136.0</v>
      </c>
      <c r="E1562" s="1" t="s">
        <v>40</v>
      </c>
      <c r="F1562" s="1" t="s">
        <v>54</v>
      </c>
      <c r="G1562" s="1" t="s">
        <v>21</v>
      </c>
      <c r="H1562" s="2">
        <v>2386.0</v>
      </c>
      <c r="I1562" s="2">
        <v>1172.0</v>
      </c>
      <c r="J1562" s="1">
        <v>1960.0</v>
      </c>
      <c r="K1562" s="1">
        <v>103.0</v>
      </c>
      <c r="L1562" s="1" t="s">
        <v>62</v>
      </c>
      <c r="M1562" s="1" t="s">
        <v>6286</v>
      </c>
      <c r="N1562" s="1" t="s">
        <v>34</v>
      </c>
      <c r="O1562" s="1" t="s">
        <v>35</v>
      </c>
      <c r="P1562" s="1" t="s">
        <v>6287</v>
      </c>
    </row>
    <row r="1563" ht="14.25" customHeight="1">
      <c r="A1563" s="1" t="s">
        <v>6288</v>
      </c>
      <c r="B1563" s="1" t="s">
        <v>6289</v>
      </c>
      <c r="C1563" s="1" t="s">
        <v>76</v>
      </c>
      <c r="D1563" s="1">
        <v>18319.0</v>
      </c>
      <c r="E1563" s="1" t="s">
        <v>60</v>
      </c>
      <c r="F1563" s="1" t="s">
        <v>46</v>
      </c>
      <c r="G1563" s="1" t="s">
        <v>31</v>
      </c>
      <c r="H1563" s="2">
        <v>2017.0</v>
      </c>
      <c r="I1563" s="2">
        <v>4873.0</v>
      </c>
      <c r="J1563" s="1">
        <v>2010.0</v>
      </c>
      <c r="K1563" s="1">
        <v>105.0</v>
      </c>
      <c r="L1563" s="1" t="s">
        <v>95</v>
      </c>
      <c r="M1563" s="1" t="s">
        <v>6290</v>
      </c>
      <c r="N1563" s="1" t="s">
        <v>64</v>
      </c>
      <c r="O1563" s="1" t="s">
        <v>35</v>
      </c>
      <c r="P1563" s="1" t="s">
        <v>6291</v>
      </c>
    </row>
    <row r="1564" ht="14.25" customHeight="1">
      <c r="A1564" s="1" t="s">
        <v>6292</v>
      </c>
      <c r="B1564" s="1" t="s">
        <v>6293</v>
      </c>
      <c r="C1564" s="1" t="s">
        <v>53</v>
      </c>
      <c r="D1564" s="1">
        <v>22124.0</v>
      </c>
      <c r="E1564" s="1" t="s">
        <v>30</v>
      </c>
      <c r="F1564" s="1" t="s">
        <v>46</v>
      </c>
      <c r="G1564" s="1" t="s">
        <v>31</v>
      </c>
      <c r="H1564" s="2">
        <v>2757.0</v>
      </c>
      <c r="I1564" s="2">
        <v>5327.0</v>
      </c>
      <c r="J1564" s="1">
        <v>1997.0</v>
      </c>
      <c r="K1564" s="1">
        <v>19.0</v>
      </c>
      <c r="L1564" s="1" t="s">
        <v>62</v>
      </c>
      <c r="M1564" s="1" t="s">
        <v>6294</v>
      </c>
      <c r="N1564" s="1" t="s">
        <v>48</v>
      </c>
      <c r="O1564" s="1" t="s">
        <v>49</v>
      </c>
      <c r="P1564" s="1" t="s">
        <v>6295</v>
      </c>
    </row>
    <row r="1565" ht="14.25" customHeight="1">
      <c r="A1565" s="1" t="s">
        <v>6296</v>
      </c>
      <c r="B1565" s="1" t="s">
        <v>6297</v>
      </c>
      <c r="C1565" s="1" t="s">
        <v>53</v>
      </c>
      <c r="D1565" s="1">
        <v>88526.0</v>
      </c>
      <c r="E1565" s="1" t="s">
        <v>30</v>
      </c>
      <c r="F1565" s="1" t="s">
        <v>41</v>
      </c>
      <c r="G1565" s="1" t="s">
        <v>21</v>
      </c>
      <c r="H1565" s="2">
        <v>3490.0</v>
      </c>
      <c r="I1565" s="2">
        <v>9862.0</v>
      </c>
      <c r="J1565" s="1">
        <v>1951.0</v>
      </c>
      <c r="K1565" s="1">
        <v>15.0</v>
      </c>
      <c r="L1565" s="1" t="s">
        <v>62</v>
      </c>
      <c r="M1565" s="1" t="s">
        <v>6298</v>
      </c>
      <c r="N1565" s="1" t="s">
        <v>43</v>
      </c>
      <c r="O1565" s="1" t="s">
        <v>25</v>
      </c>
      <c r="P1565" s="1" t="s">
        <v>6299</v>
      </c>
    </row>
    <row r="1566" ht="14.25" customHeight="1">
      <c r="A1566" s="1" t="s">
        <v>6300</v>
      </c>
      <c r="B1566" s="1" t="s">
        <v>6301</v>
      </c>
      <c r="C1566" s="1" t="s">
        <v>29</v>
      </c>
      <c r="D1566" s="1">
        <v>58931.0</v>
      </c>
      <c r="E1566" s="1" t="s">
        <v>30</v>
      </c>
      <c r="F1566" s="1" t="s">
        <v>46</v>
      </c>
      <c r="G1566" s="1" t="s">
        <v>100</v>
      </c>
      <c r="H1566" s="2">
        <v>2583.0</v>
      </c>
      <c r="I1566" s="2">
        <v>2427.0</v>
      </c>
      <c r="J1566" s="1">
        <v>1953.0</v>
      </c>
      <c r="K1566" s="1">
        <v>80.0</v>
      </c>
      <c r="L1566" s="1" t="s">
        <v>62</v>
      </c>
      <c r="M1566" s="1" t="s">
        <v>6302</v>
      </c>
      <c r="N1566" s="1" t="s">
        <v>64</v>
      </c>
      <c r="O1566" s="1" t="s">
        <v>35</v>
      </c>
      <c r="P1566" s="1" t="s">
        <v>6303</v>
      </c>
    </row>
    <row r="1567" ht="14.25" customHeight="1">
      <c r="A1567" s="1" t="s">
        <v>6304</v>
      </c>
      <c r="B1567" s="1" t="s">
        <v>6305</v>
      </c>
      <c r="C1567" s="1" t="s">
        <v>18</v>
      </c>
      <c r="D1567" s="1">
        <v>50673.0</v>
      </c>
      <c r="E1567" s="1" t="s">
        <v>77</v>
      </c>
      <c r="F1567" s="1" t="s">
        <v>20</v>
      </c>
      <c r="G1567" s="1" t="s">
        <v>31</v>
      </c>
      <c r="H1567" s="2">
        <v>746.0</v>
      </c>
      <c r="I1567" s="2">
        <v>2428.0</v>
      </c>
      <c r="J1567" s="1">
        <v>2017.0</v>
      </c>
      <c r="K1567" s="1">
        <v>54.0</v>
      </c>
      <c r="L1567" s="1" t="s">
        <v>32</v>
      </c>
      <c r="M1567" s="1" t="s">
        <v>6306</v>
      </c>
      <c r="N1567" s="1" t="s">
        <v>48</v>
      </c>
      <c r="O1567" s="1" t="s">
        <v>35</v>
      </c>
      <c r="P1567" s="1" t="s">
        <v>6307</v>
      </c>
    </row>
    <row r="1568" ht="14.25" customHeight="1">
      <c r="A1568" s="1" t="s">
        <v>6308</v>
      </c>
      <c r="B1568" s="1" t="s">
        <v>6309</v>
      </c>
      <c r="C1568" s="1" t="s">
        <v>39</v>
      </c>
      <c r="D1568" s="1">
        <v>79405.0</v>
      </c>
      <c r="E1568" s="1" t="s">
        <v>19</v>
      </c>
      <c r="F1568" s="1" t="s">
        <v>41</v>
      </c>
      <c r="G1568" s="1" t="s">
        <v>21</v>
      </c>
      <c r="H1568" s="2">
        <v>3673.0</v>
      </c>
      <c r="I1568" s="2">
        <v>8567.0</v>
      </c>
      <c r="J1568" s="1">
        <v>1968.0</v>
      </c>
      <c r="K1568" s="1">
        <v>19.0</v>
      </c>
      <c r="L1568" s="1" t="s">
        <v>22</v>
      </c>
      <c r="M1568" s="1" t="s">
        <v>6310</v>
      </c>
      <c r="N1568" s="1" t="s">
        <v>24</v>
      </c>
      <c r="O1568" s="1" t="s">
        <v>35</v>
      </c>
      <c r="P1568" s="1" t="s">
        <v>6311</v>
      </c>
    </row>
    <row r="1569" ht="14.25" customHeight="1">
      <c r="A1569" s="1" t="s">
        <v>6312</v>
      </c>
      <c r="B1569" s="1" t="s">
        <v>6313</v>
      </c>
      <c r="C1569" s="1" t="s">
        <v>53</v>
      </c>
      <c r="D1569" s="1">
        <v>85999.0</v>
      </c>
      <c r="E1569" s="1" t="s">
        <v>30</v>
      </c>
      <c r="F1569" s="1" t="s">
        <v>41</v>
      </c>
      <c r="G1569" s="1" t="s">
        <v>100</v>
      </c>
      <c r="H1569" s="2">
        <v>1286.0</v>
      </c>
      <c r="I1569" s="2">
        <v>4898.0</v>
      </c>
      <c r="J1569" s="1">
        <v>1996.0</v>
      </c>
      <c r="K1569" s="1">
        <v>48.0</v>
      </c>
      <c r="L1569" s="1" t="s">
        <v>32</v>
      </c>
      <c r="M1569" s="1" t="s">
        <v>6314</v>
      </c>
      <c r="N1569" s="1" t="s">
        <v>24</v>
      </c>
      <c r="O1569" s="1" t="s">
        <v>35</v>
      </c>
      <c r="P1569" s="1" t="s">
        <v>6315</v>
      </c>
    </row>
    <row r="1570" ht="14.25" customHeight="1">
      <c r="A1570" s="1" t="s">
        <v>6316</v>
      </c>
      <c r="B1570" s="1" t="s">
        <v>6317</v>
      </c>
      <c r="C1570" s="1" t="s">
        <v>53</v>
      </c>
      <c r="D1570" s="1">
        <v>23857.0</v>
      </c>
      <c r="E1570" s="1" t="s">
        <v>77</v>
      </c>
      <c r="F1570" s="1" t="s">
        <v>61</v>
      </c>
      <c r="G1570" s="1" t="s">
        <v>31</v>
      </c>
      <c r="H1570" s="2">
        <v>2085.0</v>
      </c>
      <c r="I1570" s="2">
        <v>4530.0</v>
      </c>
      <c r="J1570" s="1">
        <v>1974.0</v>
      </c>
      <c r="K1570" s="1">
        <v>7.0</v>
      </c>
      <c r="L1570" s="1" t="s">
        <v>22</v>
      </c>
      <c r="M1570" s="1" t="s">
        <v>6318</v>
      </c>
      <c r="N1570" s="1" t="s">
        <v>24</v>
      </c>
      <c r="O1570" s="1" t="s">
        <v>49</v>
      </c>
      <c r="P1570" s="1" t="s">
        <v>6319</v>
      </c>
    </row>
    <row r="1571" ht="14.25" customHeight="1">
      <c r="A1571" s="1" t="s">
        <v>6320</v>
      </c>
      <c r="B1571" s="1" t="s">
        <v>6321</v>
      </c>
      <c r="C1571" s="1" t="s">
        <v>53</v>
      </c>
      <c r="D1571" s="1">
        <v>92240.0</v>
      </c>
      <c r="E1571" s="1" t="s">
        <v>77</v>
      </c>
      <c r="F1571" s="1" t="s">
        <v>54</v>
      </c>
      <c r="G1571" s="1" t="s">
        <v>31</v>
      </c>
      <c r="H1571" s="2">
        <v>2440.0</v>
      </c>
      <c r="I1571" s="2">
        <v>3622.0</v>
      </c>
      <c r="J1571" s="1">
        <v>1976.0</v>
      </c>
      <c r="K1571" s="1">
        <v>14.0</v>
      </c>
      <c r="L1571" s="1" t="s">
        <v>32</v>
      </c>
      <c r="M1571" s="1" t="s">
        <v>6322</v>
      </c>
      <c r="N1571" s="1" t="s">
        <v>48</v>
      </c>
      <c r="O1571" s="1" t="s">
        <v>35</v>
      </c>
      <c r="P1571" s="1" t="s">
        <v>6323</v>
      </c>
    </row>
    <row r="1572" ht="14.25" customHeight="1">
      <c r="A1572" s="1" t="s">
        <v>6324</v>
      </c>
      <c r="B1572" s="1" t="s">
        <v>6325</v>
      </c>
      <c r="C1572" s="1" t="s">
        <v>18</v>
      </c>
      <c r="D1572" s="1">
        <v>60459.0</v>
      </c>
      <c r="E1572" s="1" t="s">
        <v>40</v>
      </c>
      <c r="F1572" s="1" t="s">
        <v>20</v>
      </c>
      <c r="G1572" s="1" t="s">
        <v>21</v>
      </c>
      <c r="H1572" s="2">
        <v>3007.0</v>
      </c>
      <c r="I1572" s="2">
        <v>9694.0</v>
      </c>
      <c r="J1572" s="1">
        <v>1982.0</v>
      </c>
      <c r="K1572" s="1">
        <v>103.0</v>
      </c>
      <c r="L1572" s="1" t="s">
        <v>22</v>
      </c>
      <c r="M1572" s="1" t="s">
        <v>6326</v>
      </c>
      <c r="N1572" s="1" t="s">
        <v>48</v>
      </c>
      <c r="O1572" s="1" t="s">
        <v>35</v>
      </c>
      <c r="P1572" s="1" t="s">
        <v>6327</v>
      </c>
    </row>
    <row r="1573" ht="14.25" customHeight="1">
      <c r="A1573" s="1" t="s">
        <v>6328</v>
      </c>
      <c r="B1573" s="1" t="s">
        <v>6329</v>
      </c>
      <c r="C1573" s="1" t="s">
        <v>29</v>
      </c>
      <c r="D1573" s="1">
        <v>60012.0</v>
      </c>
      <c r="E1573" s="1" t="s">
        <v>30</v>
      </c>
      <c r="F1573" s="1" t="s">
        <v>20</v>
      </c>
      <c r="G1573" s="1" t="s">
        <v>100</v>
      </c>
      <c r="H1573" s="2">
        <v>1834.0</v>
      </c>
      <c r="I1573" s="2">
        <v>4014.0</v>
      </c>
      <c r="J1573" s="1">
        <v>1964.0</v>
      </c>
      <c r="K1573" s="1">
        <v>73.0</v>
      </c>
      <c r="L1573" s="1" t="s">
        <v>95</v>
      </c>
      <c r="M1573" s="1" t="s">
        <v>6330</v>
      </c>
      <c r="N1573" s="1" t="s">
        <v>43</v>
      </c>
      <c r="O1573" s="1" t="s">
        <v>49</v>
      </c>
      <c r="P1573" s="1" t="s">
        <v>6331</v>
      </c>
    </row>
    <row r="1574" ht="14.25" customHeight="1">
      <c r="A1574" s="1" t="s">
        <v>6332</v>
      </c>
      <c r="B1574" s="1" t="s">
        <v>6333</v>
      </c>
      <c r="C1574" s="1" t="s">
        <v>39</v>
      </c>
      <c r="D1574" s="1">
        <v>88736.0</v>
      </c>
      <c r="E1574" s="1" t="s">
        <v>40</v>
      </c>
      <c r="F1574" s="1" t="s">
        <v>46</v>
      </c>
      <c r="G1574" s="1" t="s">
        <v>31</v>
      </c>
      <c r="H1574" s="2">
        <v>3503.0</v>
      </c>
      <c r="I1574" s="2">
        <v>1584.0</v>
      </c>
      <c r="J1574" s="1">
        <v>2015.0</v>
      </c>
      <c r="K1574" s="1">
        <v>80.0</v>
      </c>
      <c r="L1574" s="1" t="s">
        <v>32</v>
      </c>
      <c r="M1574" s="1" t="s">
        <v>6334</v>
      </c>
      <c r="N1574" s="1" t="s">
        <v>24</v>
      </c>
      <c r="O1574" s="1" t="s">
        <v>25</v>
      </c>
      <c r="P1574" s="1" t="s">
        <v>6335</v>
      </c>
    </row>
    <row r="1575" ht="14.25" customHeight="1">
      <c r="A1575" s="1" t="s">
        <v>6336</v>
      </c>
      <c r="B1575" s="1" t="s">
        <v>6337</v>
      </c>
      <c r="C1575" s="1" t="s">
        <v>39</v>
      </c>
      <c r="D1575" s="1">
        <v>71689.0</v>
      </c>
      <c r="E1575" s="1" t="s">
        <v>60</v>
      </c>
      <c r="F1575" s="1" t="s">
        <v>61</v>
      </c>
      <c r="G1575" s="1" t="s">
        <v>21</v>
      </c>
      <c r="H1575" s="2">
        <v>1291.0</v>
      </c>
      <c r="I1575" s="2">
        <v>4423.0</v>
      </c>
      <c r="J1575" s="1">
        <v>1982.0</v>
      </c>
      <c r="K1575" s="1">
        <v>119.0</v>
      </c>
      <c r="L1575" s="1" t="s">
        <v>95</v>
      </c>
      <c r="M1575" s="1" t="s">
        <v>6338</v>
      </c>
      <c r="N1575" s="1" t="s">
        <v>24</v>
      </c>
      <c r="O1575" s="1" t="s">
        <v>49</v>
      </c>
      <c r="P1575" s="1" t="s">
        <v>6339</v>
      </c>
    </row>
    <row r="1576" ht="14.25" customHeight="1">
      <c r="A1576" s="1" t="s">
        <v>6340</v>
      </c>
      <c r="B1576" s="1" t="s">
        <v>6341</v>
      </c>
      <c r="C1576" s="1" t="s">
        <v>76</v>
      </c>
      <c r="D1576" s="1">
        <v>23327.0</v>
      </c>
      <c r="E1576" s="1" t="s">
        <v>19</v>
      </c>
      <c r="F1576" s="1" t="s">
        <v>61</v>
      </c>
      <c r="G1576" s="1" t="s">
        <v>31</v>
      </c>
      <c r="H1576" s="2">
        <v>1460.0</v>
      </c>
      <c r="I1576" s="2">
        <v>1207.0</v>
      </c>
      <c r="J1576" s="1">
        <v>1976.0</v>
      </c>
      <c r="K1576" s="1">
        <v>6.0</v>
      </c>
      <c r="L1576" s="1" t="s">
        <v>95</v>
      </c>
      <c r="M1576" s="1" t="s">
        <v>6342</v>
      </c>
      <c r="N1576" s="1" t="s">
        <v>43</v>
      </c>
      <c r="O1576" s="1" t="s">
        <v>25</v>
      </c>
      <c r="P1576" s="1" t="s">
        <v>6343</v>
      </c>
    </row>
    <row r="1577" ht="14.25" customHeight="1">
      <c r="A1577" s="1" t="s">
        <v>6344</v>
      </c>
      <c r="B1577" s="1" t="s">
        <v>6345</v>
      </c>
      <c r="C1577" s="1" t="s">
        <v>29</v>
      </c>
      <c r="D1577" s="1">
        <v>28493.0</v>
      </c>
      <c r="E1577" s="1" t="s">
        <v>19</v>
      </c>
      <c r="F1577" s="1" t="s">
        <v>61</v>
      </c>
      <c r="G1577" s="1" t="s">
        <v>100</v>
      </c>
      <c r="H1577" s="2">
        <v>1814.0</v>
      </c>
      <c r="I1577" s="2">
        <v>2565.0</v>
      </c>
      <c r="J1577" s="1">
        <v>2009.0</v>
      </c>
      <c r="K1577" s="1">
        <v>116.0</v>
      </c>
      <c r="L1577" s="1" t="s">
        <v>32</v>
      </c>
      <c r="M1577" s="1" t="s">
        <v>6346</v>
      </c>
      <c r="N1577" s="1" t="s">
        <v>48</v>
      </c>
      <c r="O1577" s="1" t="s">
        <v>35</v>
      </c>
      <c r="P1577" s="1" t="s">
        <v>6347</v>
      </c>
    </row>
    <row r="1578" ht="14.25" customHeight="1">
      <c r="A1578" s="1" t="s">
        <v>6348</v>
      </c>
      <c r="B1578" s="1" t="s">
        <v>6349</v>
      </c>
      <c r="C1578" s="1" t="s">
        <v>29</v>
      </c>
      <c r="D1578" s="1">
        <v>27528.0</v>
      </c>
      <c r="E1578" s="1" t="s">
        <v>40</v>
      </c>
      <c r="F1578" s="1" t="s">
        <v>20</v>
      </c>
      <c r="G1578" s="1" t="s">
        <v>31</v>
      </c>
      <c r="H1578" s="2">
        <v>607.0</v>
      </c>
      <c r="I1578" s="2">
        <v>9634.0</v>
      </c>
      <c r="J1578" s="1">
        <v>2007.0</v>
      </c>
      <c r="K1578" s="1">
        <v>39.0</v>
      </c>
      <c r="L1578" s="1" t="s">
        <v>141</v>
      </c>
      <c r="M1578" s="1" t="s">
        <v>6350</v>
      </c>
      <c r="N1578" s="1" t="s">
        <v>24</v>
      </c>
      <c r="O1578" s="1" t="s">
        <v>49</v>
      </c>
      <c r="P1578" s="1" t="s">
        <v>6351</v>
      </c>
    </row>
    <row r="1579" ht="14.25" customHeight="1">
      <c r="A1579" s="1" t="s">
        <v>6352</v>
      </c>
      <c r="B1579" s="1" t="s">
        <v>6353</v>
      </c>
      <c r="C1579" s="1" t="s">
        <v>29</v>
      </c>
      <c r="D1579" s="1">
        <v>63939.0</v>
      </c>
      <c r="E1579" s="1" t="s">
        <v>77</v>
      </c>
      <c r="F1579" s="1" t="s">
        <v>94</v>
      </c>
      <c r="G1579" s="1" t="s">
        <v>31</v>
      </c>
      <c r="H1579" s="2">
        <v>1322.0</v>
      </c>
      <c r="I1579" s="2">
        <v>9721.0</v>
      </c>
      <c r="J1579" s="1">
        <v>1955.0</v>
      </c>
      <c r="K1579" s="1">
        <v>33.0</v>
      </c>
      <c r="L1579" s="1" t="s">
        <v>22</v>
      </c>
      <c r="M1579" s="1" t="s">
        <v>6354</v>
      </c>
      <c r="N1579" s="1" t="s">
        <v>48</v>
      </c>
      <c r="O1579" s="1" t="s">
        <v>49</v>
      </c>
      <c r="P1579" s="1" t="s">
        <v>6355</v>
      </c>
    </row>
    <row r="1580" ht="14.25" customHeight="1">
      <c r="A1580" s="1" t="s">
        <v>6356</v>
      </c>
      <c r="B1580" s="1" t="s">
        <v>6357</v>
      </c>
      <c r="C1580" s="1" t="s">
        <v>53</v>
      </c>
      <c r="D1580" s="1">
        <v>92336.0</v>
      </c>
      <c r="E1580" s="1" t="s">
        <v>40</v>
      </c>
      <c r="F1580" s="1" t="s">
        <v>20</v>
      </c>
      <c r="G1580" s="1" t="s">
        <v>31</v>
      </c>
      <c r="H1580" s="2">
        <v>3037.0</v>
      </c>
      <c r="I1580" s="2">
        <v>9904.0</v>
      </c>
      <c r="J1580" s="1">
        <v>1979.0</v>
      </c>
      <c r="K1580" s="1">
        <v>5.0</v>
      </c>
      <c r="L1580" s="1" t="s">
        <v>62</v>
      </c>
      <c r="M1580" s="1" t="s">
        <v>6358</v>
      </c>
      <c r="N1580" s="1" t="s">
        <v>34</v>
      </c>
      <c r="O1580" s="1" t="s">
        <v>35</v>
      </c>
      <c r="P1580" s="1" t="s">
        <v>6359</v>
      </c>
    </row>
    <row r="1581" ht="14.25" customHeight="1">
      <c r="A1581" s="1" t="s">
        <v>6360</v>
      </c>
      <c r="B1581" s="1" t="s">
        <v>6361</v>
      </c>
      <c r="C1581" s="1" t="s">
        <v>76</v>
      </c>
      <c r="D1581" s="1">
        <v>70025.0</v>
      </c>
      <c r="E1581" s="1" t="s">
        <v>30</v>
      </c>
      <c r="F1581" s="1" t="s">
        <v>61</v>
      </c>
      <c r="G1581" s="1" t="s">
        <v>21</v>
      </c>
      <c r="H1581" s="2">
        <v>3689.0</v>
      </c>
      <c r="I1581" s="2">
        <v>5680.0</v>
      </c>
      <c r="J1581" s="1">
        <v>1951.0</v>
      </c>
      <c r="K1581" s="1">
        <v>9.0</v>
      </c>
      <c r="L1581" s="1" t="s">
        <v>32</v>
      </c>
      <c r="M1581" s="1" t="s">
        <v>6362</v>
      </c>
      <c r="N1581" s="1" t="s">
        <v>34</v>
      </c>
      <c r="O1581" s="1" t="s">
        <v>49</v>
      </c>
      <c r="P1581" s="1" t="s">
        <v>6363</v>
      </c>
    </row>
    <row r="1582" ht="14.25" customHeight="1">
      <c r="A1582" s="1" t="s">
        <v>6364</v>
      </c>
      <c r="B1582" s="1" t="s">
        <v>6365</v>
      </c>
      <c r="C1582" s="1" t="s">
        <v>53</v>
      </c>
      <c r="D1582" s="1">
        <v>48014.0</v>
      </c>
      <c r="E1582" s="1" t="s">
        <v>30</v>
      </c>
      <c r="F1582" s="1" t="s">
        <v>20</v>
      </c>
      <c r="G1582" s="1" t="s">
        <v>55</v>
      </c>
      <c r="H1582" s="2">
        <v>2443.0</v>
      </c>
      <c r="I1582" s="2">
        <v>1147.0</v>
      </c>
      <c r="J1582" s="1">
        <v>1999.0</v>
      </c>
      <c r="K1582" s="1">
        <v>98.0</v>
      </c>
      <c r="L1582" s="1" t="s">
        <v>22</v>
      </c>
      <c r="M1582" s="1" t="s">
        <v>6366</v>
      </c>
      <c r="N1582" s="1" t="s">
        <v>43</v>
      </c>
      <c r="O1582" s="1" t="s">
        <v>25</v>
      </c>
      <c r="P1582" s="1" t="s">
        <v>6367</v>
      </c>
    </row>
    <row r="1583" ht="14.25" customHeight="1">
      <c r="A1583" s="1" t="s">
        <v>6368</v>
      </c>
      <c r="B1583" s="1" t="s">
        <v>6369</v>
      </c>
      <c r="C1583" s="1" t="s">
        <v>29</v>
      </c>
      <c r="D1583" s="1">
        <v>59303.0</v>
      </c>
      <c r="E1583" s="1" t="s">
        <v>60</v>
      </c>
      <c r="F1583" s="1" t="s">
        <v>46</v>
      </c>
      <c r="G1583" s="1" t="s">
        <v>100</v>
      </c>
      <c r="H1583" s="2">
        <v>1407.0</v>
      </c>
      <c r="I1583" s="2">
        <v>4179.0</v>
      </c>
      <c r="J1583" s="1">
        <v>2010.0</v>
      </c>
      <c r="K1583" s="1">
        <v>33.0</v>
      </c>
      <c r="L1583" s="1" t="s">
        <v>22</v>
      </c>
      <c r="M1583" s="1" t="s">
        <v>6370</v>
      </c>
      <c r="N1583" s="1" t="s">
        <v>64</v>
      </c>
      <c r="O1583" s="1" t="s">
        <v>35</v>
      </c>
      <c r="P1583" s="1" t="s">
        <v>6371</v>
      </c>
    </row>
    <row r="1584" ht="14.25" customHeight="1">
      <c r="A1584" s="1" t="s">
        <v>6372</v>
      </c>
      <c r="B1584" s="1" t="s">
        <v>6373</v>
      </c>
      <c r="C1584" s="1" t="s">
        <v>53</v>
      </c>
      <c r="D1584" s="1">
        <v>67134.0</v>
      </c>
      <c r="E1584" s="1" t="s">
        <v>40</v>
      </c>
      <c r="F1584" s="1" t="s">
        <v>94</v>
      </c>
      <c r="G1584" s="1" t="s">
        <v>100</v>
      </c>
      <c r="H1584" s="2">
        <v>3608.0</v>
      </c>
      <c r="I1584" s="2">
        <v>2584.0</v>
      </c>
      <c r="J1584" s="1">
        <v>1998.0</v>
      </c>
      <c r="K1584" s="1">
        <v>118.0</v>
      </c>
      <c r="L1584" s="1" t="s">
        <v>141</v>
      </c>
      <c r="M1584" s="1" t="s">
        <v>6374</v>
      </c>
      <c r="N1584" s="1" t="s">
        <v>64</v>
      </c>
      <c r="O1584" s="1" t="s">
        <v>35</v>
      </c>
      <c r="P1584" s="1" t="s">
        <v>6375</v>
      </c>
    </row>
    <row r="1585" ht="14.25" customHeight="1">
      <c r="A1585" s="1" t="s">
        <v>6376</v>
      </c>
      <c r="B1585" s="1" t="s">
        <v>6377</v>
      </c>
      <c r="C1585" s="1" t="s">
        <v>53</v>
      </c>
      <c r="D1585" s="1">
        <v>36541.0</v>
      </c>
      <c r="E1585" s="1" t="s">
        <v>77</v>
      </c>
      <c r="F1585" s="1" t="s">
        <v>54</v>
      </c>
      <c r="G1585" s="1" t="s">
        <v>100</v>
      </c>
      <c r="H1585" s="2">
        <v>2139.0</v>
      </c>
      <c r="I1585" s="2">
        <v>4203.0</v>
      </c>
      <c r="J1585" s="1">
        <v>1976.0</v>
      </c>
      <c r="K1585" s="1">
        <v>46.0</v>
      </c>
      <c r="L1585" s="1" t="s">
        <v>141</v>
      </c>
      <c r="M1585" s="1" t="s">
        <v>6378</v>
      </c>
      <c r="N1585" s="1" t="s">
        <v>24</v>
      </c>
      <c r="O1585" s="1" t="s">
        <v>35</v>
      </c>
      <c r="P1585" s="1" t="s">
        <v>6379</v>
      </c>
    </row>
    <row r="1586" ht="14.25" customHeight="1">
      <c r="A1586" s="1" t="s">
        <v>6380</v>
      </c>
      <c r="B1586" s="1" t="s">
        <v>6381</v>
      </c>
      <c r="C1586" s="1" t="s">
        <v>29</v>
      </c>
      <c r="D1586" s="1">
        <v>75950.0</v>
      </c>
      <c r="E1586" s="1" t="s">
        <v>40</v>
      </c>
      <c r="F1586" s="1" t="s">
        <v>94</v>
      </c>
      <c r="G1586" s="1" t="s">
        <v>100</v>
      </c>
      <c r="H1586" s="2">
        <v>1077.0</v>
      </c>
      <c r="I1586" s="2">
        <v>5731.0</v>
      </c>
      <c r="J1586" s="1">
        <v>1980.0</v>
      </c>
      <c r="K1586" s="1">
        <v>77.0</v>
      </c>
      <c r="L1586" s="1" t="s">
        <v>62</v>
      </c>
      <c r="M1586" s="1" t="s">
        <v>6382</v>
      </c>
      <c r="N1586" s="1" t="s">
        <v>34</v>
      </c>
      <c r="O1586" s="1" t="s">
        <v>35</v>
      </c>
      <c r="P1586" s="1" t="s">
        <v>6383</v>
      </c>
    </row>
    <row r="1587" ht="14.25" customHeight="1">
      <c r="A1587" s="1" t="s">
        <v>6384</v>
      </c>
      <c r="B1587" s="1" t="s">
        <v>6385</v>
      </c>
      <c r="C1587" s="1" t="s">
        <v>29</v>
      </c>
      <c r="D1587" s="1">
        <v>39103.0</v>
      </c>
      <c r="E1587" s="1" t="s">
        <v>30</v>
      </c>
      <c r="F1587" s="1" t="s">
        <v>41</v>
      </c>
      <c r="G1587" s="1" t="s">
        <v>31</v>
      </c>
      <c r="H1587" s="2">
        <v>1507.0</v>
      </c>
      <c r="I1587" s="2">
        <v>1997.0</v>
      </c>
      <c r="J1587" s="1">
        <v>1975.0</v>
      </c>
      <c r="K1587" s="1">
        <v>2.0</v>
      </c>
      <c r="L1587" s="1" t="s">
        <v>95</v>
      </c>
      <c r="M1587" s="1" t="s">
        <v>6386</v>
      </c>
      <c r="N1587" s="1" t="s">
        <v>34</v>
      </c>
      <c r="O1587" s="1" t="s">
        <v>25</v>
      </c>
      <c r="P1587" s="1" t="s">
        <v>6387</v>
      </c>
    </row>
    <row r="1588" ht="14.25" customHeight="1">
      <c r="A1588" s="1" t="s">
        <v>6388</v>
      </c>
      <c r="B1588" s="1" t="s">
        <v>6389</v>
      </c>
      <c r="C1588" s="1" t="s">
        <v>29</v>
      </c>
      <c r="D1588" s="1">
        <v>73202.0</v>
      </c>
      <c r="E1588" s="1" t="s">
        <v>30</v>
      </c>
      <c r="F1588" s="1" t="s">
        <v>46</v>
      </c>
      <c r="G1588" s="1" t="s">
        <v>31</v>
      </c>
      <c r="H1588" s="2">
        <v>2829.0</v>
      </c>
      <c r="I1588" s="2">
        <v>6434.0</v>
      </c>
      <c r="J1588" s="1">
        <v>1994.0</v>
      </c>
      <c r="K1588" s="1">
        <v>117.0</v>
      </c>
      <c r="L1588" s="1" t="s">
        <v>62</v>
      </c>
      <c r="M1588" s="1" t="s">
        <v>6390</v>
      </c>
      <c r="N1588" s="1" t="s">
        <v>34</v>
      </c>
      <c r="O1588" s="1" t="s">
        <v>25</v>
      </c>
      <c r="P1588" s="1" t="s">
        <v>6391</v>
      </c>
    </row>
    <row r="1589" ht="14.25" customHeight="1">
      <c r="A1589" s="1" t="s">
        <v>6392</v>
      </c>
      <c r="B1589" s="1" t="s">
        <v>6393</v>
      </c>
      <c r="C1589" s="1" t="s">
        <v>53</v>
      </c>
      <c r="D1589" s="1">
        <v>38181.0</v>
      </c>
      <c r="E1589" s="1" t="s">
        <v>60</v>
      </c>
      <c r="F1589" s="1" t="s">
        <v>20</v>
      </c>
      <c r="G1589" s="1" t="s">
        <v>55</v>
      </c>
      <c r="H1589" s="2">
        <v>3405.0</v>
      </c>
      <c r="I1589" s="2">
        <v>2632.0</v>
      </c>
      <c r="J1589" s="1">
        <v>1989.0</v>
      </c>
      <c r="K1589" s="1">
        <v>116.0</v>
      </c>
      <c r="L1589" s="1" t="s">
        <v>95</v>
      </c>
      <c r="M1589" s="1" t="s">
        <v>6394</v>
      </c>
      <c r="N1589" s="1" t="s">
        <v>48</v>
      </c>
      <c r="O1589" s="1" t="s">
        <v>49</v>
      </c>
      <c r="P1589" s="1" t="s">
        <v>6395</v>
      </c>
    </row>
    <row r="1590" ht="14.25" customHeight="1">
      <c r="A1590" s="1" t="s">
        <v>6396</v>
      </c>
      <c r="B1590" s="1" t="s">
        <v>6397</v>
      </c>
      <c r="C1590" s="1" t="s">
        <v>76</v>
      </c>
      <c r="D1590" s="1">
        <v>61785.0</v>
      </c>
      <c r="E1590" s="1" t="s">
        <v>60</v>
      </c>
      <c r="F1590" s="1" t="s">
        <v>20</v>
      </c>
      <c r="G1590" s="1" t="s">
        <v>100</v>
      </c>
      <c r="H1590" s="2">
        <v>2317.0</v>
      </c>
      <c r="I1590" s="2">
        <v>3509.0</v>
      </c>
      <c r="J1590" s="1">
        <v>1961.0</v>
      </c>
      <c r="K1590" s="1">
        <v>24.0</v>
      </c>
      <c r="L1590" s="1" t="s">
        <v>141</v>
      </c>
      <c r="M1590" s="1" t="s">
        <v>6398</v>
      </c>
      <c r="N1590" s="1" t="s">
        <v>34</v>
      </c>
      <c r="O1590" s="1" t="s">
        <v>25</v>
      </c>
      <c r="P1590" s="1" t="s">
        <v>6399</v>
      </c>
    </row>
    <row r="1591" ht="14.25" customHeight="1">
      <c r="A1591" s="1" t="s">
        <v>6400</v>
      </c>
      <c r="B1591" s="1" t="s">
        <v>6401</v>
      </c>
      <c r="C1591" s="1" t="s">
        <v>18</v>
      </c>
      <c r="D1591" s="1">
        <v>92122.0</v>
      </c>
      <c r="E1591" s="1" t="s">
        <v>19</v>
      </c>
      <c r="F1591" s="1" t="s">
        <v>61</v>
      </c>
      <c r="G1591" s="1" t="s">
        <v>100</v>
      </c>
      <c r="H1591" s="2">
        <v>3642.0</v>
      </c>
      <c r="I1591" s="2">
        <v>1073.0</v>
      </c>
      <c r="J1591" s="1">
        <v>1978.0</v>
      </c>
      <c r="K1591" s="1">
        <v>32.0</v>
      </c>
      <c r="L1591" s="1" t="s">
        <v>22</v>
      </c>
      <c r="M1591" s="1" t="s">
        <v>6402</v>
      </c>
      <c r="N1591" s="1" t="s">
        <v>34</v>
      </c>
      <c r="O1591" s="1" t="s">
        <v>49</v>
      </c>
      <c r="P1591" s="1" t="s">
        <v>6403</v>
      </c>
    </row>
    <row r="1592" ht="14.25" customHeight="1">
      <c r="A1592" s="1" t="s">
        <v>6404</v>
      </c>
      <c r="B1592" s="1" t="s">
        <v>6405</v>
      </c>
      <c r="C1592" s="1" t="s">
        <v>29</v>
      </c>
      <c r="D1592" s="1">
        <v>79620.0</v>
      </c>
      <c r="E1592" s="1" t="s">
        <v>60</v>
      </c>
      <c r="F1592" s="1" t="s">
        <v>54</v>
      </c>
      <c r="G1592" s="1" t="s">
        <v>100</v>
      </c>
      <c r="H1592" s="2">
        <v>1451.0</v>
      </c>
      <c r="I1592" s="2">
        <v>4606.0</v>
      </c>
      <c r="J1592" s="1">
        <v>2001.0</v>
      </c>
      <c r="K1592" s="1">
        <v>99.0</v>
      </c>
      <c r="L1592" s="1" t="s">
        <v>141</v>
      </c>
      <c r="M1592" s="1" t="s">
        <v>6406</v>
      </c>
      <c r="N1592" s="1" t="s">
        <v>43</v>
      </c>
      <c r="O1592" s="1" t="s">
        <v>25</v>
      </c>
      <c r="P1592" s="1" t="s">
        <v>6407</v>
      </c>
    </row>
    <row r="1593" ht="14.25" customHeight="1">
      <c r="A1593" s="1" t="s">
        <v>6408</v>
      </c>
      <c r="B1593" s="1" t="s">
        <v>6409</v>
      </c>
      <c r="C1593" s="1" t="s">
        <v>39</v>
      </c>
      <c r="D1593" s="1">
        <v>64105.0</v>
      </c>
      <c r="E1593" s="1" t="s">
        <v>60</v>
      </c>
      <c r="F1593" s="1" t="s">
        <v>54</v>
      </c>
      <c r="G1593" s="1" t="s">
        <v>55</v>
      </c>
      <c r="H1593" s="2">
        <v>1723.0</v>
      </c>
      <c r="I1593" s="2">
        <v>5182.0</v>
      </c>
      <c r="J1593" s="1">
        <v>1956.0</v>
      </c>
      <c r="K1593" s="1">
        <v>98.0</v>
      </c>
      <c r="L1593" s="1" t="s">
        <v>141</v>
      </c>
      <c r="M1593" s="1" t="s">
        <v>6410</v>
      </c>
      <c r="N1593" s="1" t="s">
        <v>34</v>
      </c>
      <c r="O1593" s="1" t="s">
        <v>25</v>
      </c>
      <c r="P1593" s="1" t="s">
        <v>6411</v>
      </c>
    </row>
    <row r="1594" ht="14.25" customHeight="1">
      <c r="A1594" s="1" t="s">
        <v>6412</v>
      </c>
      <c r="B1594" s="1" t="s">
        <v>6413</v>
      </c>
      <c r="C1594" s="1" t="s">
        <v>53</v>
      </c>
      <c r="D1594" s="1">
        <v>95199.0</v>
      </c>
      <c r="E1594" s="1" t="s">
        <v>77</v>
      </c>
      <c r="F1594" s="1" t="s">
        <v>20</v>
      </c>
      <c r="G1594" s="1" t="s">
        <v>100</v>
      </c>
      <c r="H1594" s="2">
        <v>3881.0</v>
      </c>
      <c r="I1594" s="2">
        <v>6166.0</v>
      </c>
      <c r="J1594" s="1">
        <v>1955.0</v>
      </c>
      <c r="K1594" s="1">
        <v>15.0</v>
      </c>
      <c r="L1594" s="1" t="s">
        <v>141</v>
      </c>
      <c r="M1594" s="1" t="s">
        <v>6414</v>
      </c>
      <c r="N1594" s="1" t="s">
        <v>64</v>
      </c>
      <c r="O1594" s="1" t="s">
        <v>25</v>
      </c>
      <c r="P1594" s="1" t="s">
        <v>6415</v>
      </c>
    </row>
    <row r="1595" ht="14.25" customHeight="1">
      <c r="A1595" s="1" t="s">
        <v>6416</v>
      </c>
      <c r="B1595" s="1" t="s">
        <v>6417</v>
      </c>
      <c r="C1595" s="1" t="s">
        <v>29</v>
      </c>
      <c r="D1595" s="1">
        <v>12157.0</v>
      </c>
      <c r="E1595" s="1" t="s">
        <v>60</v>
      </c>
      <c r="F1595" s="1" t="s">
        <v>94</v>
      </c>
      <c r="G1595" s="1" t="s">
        <v>31</v>
      </c>
      <c r="H1595" s="2">
        <v>3719.0</v>
      </c>
      <c r="I1595" s="2">
        <v>9663.0</v>
      </c>
      <c r="J1595" s="1">
        <v>1981.0</v>
      </c>
      <c r="K1595" s="1">
        <v>4.0</v>
      </c>
      <c r="L1595" s="1" t="s">
        <v>22</v>
      </c>
      <c r="M1595" s="1" t="s">
        <v>6418</v>
      </c>
      <c r="N1595" s="1" t="s">
        <v>34</v>
      </c>
      <c r="O1595" s="1" t="s">
        <v>25</v>
      </c>
      <c r="P1595" s="1" t="s">
        <v>6419</v>
      </c>
    </row>
    <row r="1596" ht="14.25" customHeight="1">
      <c r="A1596" s="1" t="s">
        <v>6420</v>
      </c>
      <c r="B1596" s="1" t="s">
        <v>6421</v>
      </c>
      <c r="C1596" s="1" t="s">
        <v>53</v>
      </c>
      <c r="D1596" s="1">
        <v>11684.0</v>
      </c>
      <c r="E1596" s="1" t="s">
        <v>77</v>
      </c>
      <c r="F1596" s="1" t="s">
        <v>54</v>
      </c>
      <c r="G1596" s="1" t="s">
        <v>21</v>
      </c>
      <c r="H1596" s="2">
        <v>3166.0</v>
      </c>
      <c r="I1596" s="2">
        <v>5976.0</v>
      </c>
      <c r="J1596" s="1">
        <v>2021.0</v>
      </c>
      <c r="K1596" s="1">
        <v>80.0</v>
      </c>
      <c r="L1596" s="1" t="s">
        <v>62</v>
      </c>
      <c r="M1596" s="1" t="s">
        <v>6422</v>
      </c>
      <c r="N1596" s="1" t="s">
        <v>48</v>
      </c>
      <c r="O1596" s="1" t="s">
        <v>25</v>
      </c>
      <c r="P1596" s="1" t="s">
        <v>6423</v>
      </c>
    </row>
    <row r="1597" ht="14.25" customHeight="1">
      <c r="A1597" s="1" t="s">
        <v>6424</v>
      </c>
      <c r="B1597" s="1" t="s">
        <v>6425</v>
      </c>
      <c r="C1597" s="1" t="s">
        <v>39</v>
      </c>
      <c r="D1597" s="1">
        <v>39040.0</v>
      </c>
      <c r="E1597" s="1" t="s">
        <v>77</v>
      </c>
      <c r="F1597" s="1" t="s">
        <v>46</v>
      </c>
      <c r="G1597" s="1" t="s">
        <v>55</v>
      </c>
      <c r="H1597" s="2">
        <v>2445.0</v>
      </c>
      <c r="I1597" s="2">
        <v>7181.0</v>
      </c>
      <c r="J1597" s="1">
        <v>1970.0</v>
      </c>
      <c r="K1597" s="1">
        <v>82.0</v>
      </c>
      <c r="L1597" s="1" t="s">
        <v>141</v>
      </c>
      <c r="M1597" s="1" t="s">
        <v>6426</v>
      </c>
      <c r="N1597" s="1" t="s">
        <v>64</v>
      </c>
      <c r="O1597" s="1" t="s">
        <v>49</v>
      </c>
      <c r="P1597" s="1" t="s">
        <v>6427</v>
      </c>
    </row>
    <row r="1598" ht="14.25" customHeight="1">
      <c r="A1598" s="1" t="s">
        <v>6428</v>
      </c>
      <c r="B1598" s="1" t="s">
        <v>6429</v>
      </c>
      <c r="C1598" s="1" t="s">
        <v>39</v>
      </c>
      <c r="D1598" s="1">
        <v>41560.0</v>
      </c>
      <c r="E1598" s="1" t="s">
        <v>19</v>
      </c>
      <c r="F1598" s="1" t="s">
        <v>20</v>
      </c>
      <c r="G1598" s="1" t="s">
        <v>55</v>
      </c>
      <c r="H1598" s="2">
        <v>1637.0</v>
      </c>
      <c r="I1598" s="2">
        <v>9782.0</v>
      </c>
      <c r="J1598" s="1">
        <v>1987.0</v>
      </c>
      <c r="K1598" s="1">
        <v>115.0</v>
      </c>
      <c r="L1598" s="1" t="s">
        <v>62</v>
      </c>
      <c r="M1598" s="1" t="s">
        <v>6430</v>
      </c>
      <c r="N1598" s="1" t="s">
        <v>43</v>
      </c>
      <c r="O1598" s="1" t="s">
        <v>49</v>
      </c>
      <c r="P1598" s="1" t="s">
        <v>6431</v>
      </c>
    </row>
    <row r="1599" ht="14.25" customHeight="1">
      <c r="A1599" s="1" t="s">
        <v>6432</v>
      </c>
      <c r="B1599" s="1" t="s">
        <v>6433</v>
      </c>
      <c r="C1599" s="1" t="s">
        <v>39</v>
      </c>
      <c r="D1599" s="1">
        <v>94828.0</v>
      </c>
      <c r="E1599" s="1" t="s">
        <v>77</v>
      </c>
      <c r="F1599" s="1" t="s">
        <v>41</v>
      </c>
      <c r="G1599" s="1" t="s">
        <v>21</v>
      </c>
      <c r="H1599" s="2">
        <v>2776.0</v>
      </c>
      <c r="I1599" s="2">
        <v>9705.0</v>
      </c>
      <c r="J1599" s="1">
        <v>1972.0</v>
      </c>
      <c r="K1599" s="1">
        <v>83.0</v>
      </c>
      <c r="L1599" s="1" t="s">
        <v>22</v>
      </c>
      <c r="M1599" s="1" t="s">
        <v>6434</v>
      </c>
      <c r="N1599" s="1" t="s">
        <v>43</v>
      </c>
      <c r="O1599" s="1" t="s">
        <v>25</v>
      </c>
      <c r="P1599" s="1" t="s">
        <v>6435</v>
      </c>
    </row>
    <row r="1600" ht="14.25" customHeight="1">
      <c r="A1600" s="1" t="s">
        <v>6436</v>
      </c>
      <c r="B1600" s="1" t="s">
        <v>6437</v>
      </c>
      <c r="C1600" s="1" t="s">
        <v>76</v>
      </c>
      <c r="D1600" s="1">
        <v>39671.0</v>
      </c>
      <c r="E1600" s="1" t="s">
        <v>60</v>
      </c>
      <c r="F1600" s="1" t="s">
        <v>41</v>
      </c>
      <c r="G1600" s="1" t="s">
        <v>55</v>
      </c>
      <c r="H1600" s="2">
        <v>1671.0</v>
      </c>
      <c r="I1600" s="2">
        <v>5294.0</v>
      </c>
      <c r="J1600" s="1">
        <v>1971.0</v>
      </c>
      <c r="K1600" s="1">
        <v>26.0</v>
      </c>
      <c r="L1600" s="1" t="s">
        <v>95</v>
      </c>
      <c r="M1600" s="1" t="s">
        <v>6438</v>
      </c>
      <c r="N1600" s="1" t="s">
        <v>64</v>
      </c>
      <c r="O1600" s="1" t="s">
        <v>35</v>
      </c>
      <c r="P1600" s="1" t="s">
        <v>6439</v>
      </c>
    </row>
    <row r="1601" ht="14.25" customHeight="1">
      <c r="A1601" s="1" t="s">
        <v>6440</v>
      </c>
      <c r="B1601" s="1" t="s">
        <v>6441</v>
      </c>
      <c r="C1601" s="1" t="s">
        <v>53</v>
      </c>
      <c r="D1601" s="1">
        <v>12078.0</v>
      </c>
      <c r="E1601" s="1" t="s">
        <v>60</v>
      </c>
      <c r="F1601" s="1" t="s">
        <v>94</v>
      </c>
      <c r="G1601" s="1" t="s">
        <v>55</v>
      </c>
      <c r="H1601" s="2">
        <v>1873.0</v>
      </c>
      <c r="I1601" s="2">
        <v>8384.0</v>
      </c>
      <c r="J1601" s="1">
        <v>2016.0</v>
      </c>
      <c r="K1601" s="1">
        <v>56.0</v>
      </c>
      <c r="L1601" s="1" t="s">
        <v>22</v>
      </c>
      <c r="M1601" s="1" t="s">
        <v>6442</v>
      </c>
      <c r="N1601" s="1" t="s">
        <v>64</v>
      </c>
      <c r="O1601" s="1" t="s">
        <v>25</v>
      </c>
      <c r="P1601" s="1" t="s">
        <v>6443</v>
      </c>
    </row>
    <row r="1602" ht="14.25" customHeight="1">
      <c r="A1602" s="1" t="s">
        <v>6444</v>
      </c>
      <c r="B1602" s="1" t="s">
        <v>6445</v>
      </c>
      <c r="C1602" s="1" t="s">
        <v>76</v>
      </c>
      <c r="D1602" s="1">
        <v>81195.0</v>
      </c>
      <c r="E1602" s="1" t="s">
        <v>77</v>
      </c>
      <c r="F1602" s="1" t="s">
        <v>41</v>
      </c>
      <c r="G1602" s="1" t="s">
        <v>55</v>
      </c>
      <c r="H1602" s="2">
        <v>1797.0</v>
      </c>
      <c r="I1602" s="2">
        <v>9019.0</v>
      </c>
      <c r="J1602" s="1">
        <v>1964.0</v>
      </c>
      <c r="K1602" s="1">
        <v>116.0</v>
      </c>
      <c r="L1602" s="1" t="s">
        <v>95</v>
      </c>
      <c r="M1602" s="1" t="s">
        <v>6446</v>
      </c>
      <c r="N1602" s="1" t="s">
        <v>48</v>
      </c>
      <c r="O1602" s="1" t="s">
        <v>25</v>
      </c>
      <c r="P1602" s="1" t="s">
        <v>6447</v>
      </c>
    </row>
    <row r="1603" ht="14.25" customHeight="1">
      <c r="A1603" s="1" t="s">
        <v>6448</v>
      </c>
      <c r="B1603" s="1" t="s">
        <v>6449</v>
      </c>
      <c r="C1603" s="1" t="s">
        <v>39</v>
      </c>
      <c r="D1603" s="1">
        <v>18659.0</v>
      </c>
      <c r="E1603" s="1" t="s">
        <v>19</v>
      </c>
      <c r="F1603" s="1" t="s">
        <v>94</v>
      </c>
      <c r="G1603" s="1" t="s">
        <v>55</v>
      </c>
      <c r="H1603" s="2">
        <v>2050.0</v>
      </c>
      <c r="I1603" s="2">
        <v>5927.0</v>
      </c>
      <c r="J1603" s="1">
        <v>1965.0</v>
      </c>
      <c r="K1603" s="1">
        <v>3.0</v>
      </c>
      <c r="L1603" s="1" t="s">
        <v>141</v>
      </c>
      <c r="M1603" s="1" t="s">
        <v>6450</v>
      </c>
      <c r="N1603" s="1" t="s">
        <v>24</v>
      </c>
      <c r="O1603" s="1" t="s">
        <v>25</v>
      </c>
      <c r="P1603" s="1" t="s">
        <v>6451</v>
      </c>
    </row>
    <row r="1604" ht="14.25" customHeight="1">
      <c r="A1604" s="1" t="s">
        <v>6452</v>
      </c>
      <c r="B1604" s="1" t="s">
        <v>6453</v>
      </c>
      <c r="C1604" s="1" t="s">
        <v>29</v>
      </c>
      <c r="D1604" s="1">
        <v>46866.0</v>
      </c>
      <c r="E1604" s="1" t="s">
        <v>40</v>
      </c>
      <c r="F1604" s="1" t="s">
        <v>94</v>
      </c>
      <c r="G1604" s="1" t="s">
        <v>21</v>
      </c>
      <c r="H1604" s="2">
        <v>1410.0</v>
      </c>
      <c r="I1604" s="2">
        <v>7928.0</v>
      </c>
      <c r="J1604" s="1">
        <v>1981.0</v>
      </c>
      <c r="K1604" s="1">
        <v>88.0</v>
      </c>
      <c r="L1604" s="1" t="s">
        <v>22</v>
      </c>
      <c r="M1604" s="1" t="s">
        <v>6454</v>
      </c>
      <c r="N1604" s="1" t="s">
        <v>24</v>
      </c>
      <c r="O1604" s="1" t="s">
        <v>35</v>
      </c>
      <c r="P1604" s="1" t="s">
        <v>6455</v>
      </c>
    </row>
    <row r="1605" ht="14.25" customHeight="1">
      <c r="A1605" s="1" t="s">
        <v>6456</v>
      </c>
      <c r="B1605" s="1" t="s">
        <v>6457</v>
      </c>
      <c r="C1605" s="1" t="s">
        <v>18</v>
      </c>
      <c r="D1605" s="1">
        <v>81664.0</v>
      </c>
      <c r="E1605" s="1" t="s">
        <v>19</v>
      </c>
      <c r="F1605" s="1" t="s">
        <v>20</v>
      </c>
      <c r="G1605" s="1" t="s">
        <v>100</v>
      </c>
      <c r="H1605" s="2">
        <v>3571.0</v>
      </c>
      <c r="I1605" s="2">
        <v>2151.0</v>
      </c>
      <c r="J1605" s="1">
        <v>1958.0</v>
      </c>
      <c r="K1605" s="1">
        <v>26.0</v>
      </c>
      <c r="L1605" s="1" t="s">
        <v>22</v>
      </c>
      <c r="M1605" s="1" t="s">
        <v>6458</v>
      </c>
      <c r="N1605" s="1" t="s">
        <v>64</v>
      </c>
      <c r="O1605" s="1" t="s">
        <v>25</v>
      </c>
      <c r="P1605" s="1" t="s">
        <v>6459</v>
      </c>
    </row>
    <row r="1606" ht="14.25" customHeight="1">
      <c r="A1606" s="1" t="s">
        <v>6460</v>
      </c>
      <c r="B1606" s="1" t="s">
        <v>6461</v>
      </c>
      <c r="C1606" s="1" t="s">
        <v>29</v>
      </c>
      <c r="D1606" s="1">
        <v>67080.0</v>
      </c>
      <c r="E1606" s="1" t="s">
        <v>30</v>
      </c>
      <c r="F1606" s="1" t="s">
        <v>94</v>
      </c>
      <c r="G1606" s="1" t="s">
        <v>21</v>
      </c>
      <c r="H1606" s="2">
        <v>1355.0</v>
      </c>
      <c r="I1606" s="2">
        <v>6414.0</v>
      </c>
      <c r="J1606" s="1">
        <v>2017.0</v>
      </c>
      <c r="K1606" s="1">
        <v>19.0</v>
      </c>
      <c r="L1606" s="1" t="s">
        <v>22</v>
      </c>
      <c r="M1606" s="1" t="s">
        <v>6462</v>
      </c>
      <c r="N1606" s="1" t="s">
        <v>43</v>
      </c>
      <c r="O1606" s="1" t="s">
        <v>49</v>
      </c>
      <c r="P1606" s="1" t="s">
        <v>6463</v>
      </c>
    </row>
    <row r="1607" ht="14.25" customHeight="1">
      <c r="A1607" s="1" t="s">
        <v>6464</v>
      </c>
      <c r="B1607" s="1" t="s">
        <v>6465</v>
      </c>
      <c r="C1607" s="1" t="s">
        <v>39</v>
      </c>
      <c r="D1607" s="1">
        <v>99469.0</v>
      </c>
      <c r="E1607" s="1" t="s">
        <v>60</v>
      </c>
      <c r="F1607" s="1" t="s">
        <v>94</v>
      </c>
      <c r="G1607" s="1" t="s">
        <v>21</v>
      </c>
      <c r="H1607" s="2">
        <v>1525.0</v>
      </c>
      <c r="I1607" s="2">
        <v>6307.0</v>
      </c>
      <c r="J1607" s="1">
        <v>1980.0</v>
      </c>
      <c r="K1607" s="1">
        <v>64.0</v>
      </c>
      <c r="L1607" s="1" t="s">
        <v>95</v>
      </c>
      <c r="M1607" s="1" t="s">
        <v>6466</v>
      </c>
      <c r="N1607" s="1" t="s">
        <v>48</v>
      </c>
      <c r="O1607" s="1" t="s">
        <v>49</v>
      </c>
      <c r="P1607" s="1" t="s">
        <v>6467</v>
      </c>
    </row>
    <row r="1608" ht="14.25" customHeight="1">
      <c r="A1608" s="1" t="s">
        <v>6468</v>
      </c>
      <c r="B1608" s="1" t="s">
        <v>6469</v>
      </c>
      <c r="C1608" s="1" t="s">
        <v>29</v>
      </c>
      <c r="D1608" s="1">
        <v>36635.0</v>
      </c>
      <c r="E1608" s="1" t="s">
        <v>77</v>
      </c>
      <c r="F1608" s="1" t="s">
        <v>46</v>
      </c>
      <c r="G1608" s="1" t="s">
        <v>21</v>
      </c>
      <c r="H1608" s="2">
        <v>2283.0</v>
      </c>
      <c r="I1608" s="2">
        <v>2136.0</v>
      </c>
      <c r="J1608" s="1">
        <v>2009.0</v>
      </c>
      <c r="K1608" s="1">
        <v>43.0</v>
      </c>
      <c r="L1608" s="1" t="s">
        <v>62</v>
      </c>
      <c r="M1608" s="1" t="s">
        <v>6470</v>
      </c>
      <c r="N1608" s="1" t="s">
        <v>43</v>
      </c>
      <c r="O1608" s="1" t="s">
        <v>35</v>
      </c>
      <c r="P1608" s="1" t="s">
        <v>6471</v>
      </c>
    </row>
    <row r="1609" ht="14.25" customHeight="1">
      <c r="A1609" s="1" t="s">
        <v>6472</v>
      </c>
      <c r="B1609" s="1" t="s">
        <v>6473</v>
      </c>
      <c r="C1609" s="1" t="s">
        <v>76</v>
      </c>
      <c r="D1609" s="1">
        <v>89613.0</v>
      </c>
      <c r="E1609" s="1" t="s">
        <v>30</v>
      </c>
      <c r="F1609" s="1" t="s">
        <v>94</v>
      </c>
      <c r="G1609" s="1" t="s">
        <v>21</v>
      </c>
      <c r="H1609" s="2">
        <v>1675.0</v>
      </c>
      <c r="I1609" s="2">
        <v>5038.0</v>
      </c>
      <c r="J1609" s="1">
        <v>1983.0</v>
      </c>
      <c r="K1609" s="1">
        <v>2.0</v>
      </c>
      <c r="L1609" s="1" t="s">
        <v>141</v>
      </c>
      <c r="M1609" s="1" t="s">
        <v>6474</v>
      </c>
      <c r="N1609" s="1" t="s">
        <v>24</v>
      </c>
      <c r="O1609" s="1" t="s">
        <v>35</v>
      </c>
      <c r="P1609" s="1" t="s">
        <v>6475</v>
      </c>
    </row>
    <row r="1610" ht="14.25" customHeight="1">
      <c r="A1610" s="1" t="s">
        <v>6476</v>
      </c>
      <c r="B1610" s="1" t="s">
        <v>6477</v>
      </c>
      <c r="C1610" s="1" t="s">
        <v>76</v>
      </c>
      <c r="D1610" s="1">
        <v>47999.0</v>
      </c>
      <c r="E1610" s="1" t="s">
        <v>60</v>
      </c>
      <c r="F1610" s="1" t="s">
        <v>94</v>
      </c>
      <c r="G1610" s="1" t="s">
        <v>55</v>
      </c>
      <c r="H1610" s="2">
        <v>1687.0</v>
      </c>
      <c r="I1610" s="2">
        <v>1953.0</v>
      </c>
      <c r="J1610" s="1">
        <v>1998.0</v>
      </c>
      <c r="K1610" s="1">
        <v>114.0</v>
      </c>
      <c r="L1610" s="1" t="s">
        <v>95</v>
      </c>
      <c r="M1610" s="1" t="s">
        <v>6478</v>
      </c>
      <c r="N1610" s="1" t="s">
        <v>24</v>
      </c>
      <c r="O1610" s="1" t="s">
        <v>25</v>
      </c>
      <c r="P1610" s="1" t="s">
        <v>6479</v>
      </c>
    </row>
    <row r="1611" ht="14.25" customHeight="1">
      <c r="A1611" s="1" t="s">
        <v>6480</v>
      </c>
      <c r="B1611" s="1" t="s">
        <v>6481</v>
      </c>
      <c r="C1611" s="1" t="s">
        <v>53</v>
      </c>
      <c r="D1611" s="1">
        <v>84052.0</v>
      </c>
      <c r="E1611" s="1" t="s">
        <v>60</v>
      </c>
      <c r="F1611" s="1" t="s">
        <v>46</v>
      </c>
      <c r="G1611" s="1" t="s">
        <v>55</v>
      </c>
      <c r="H1611" s="2">
        <v>2948.0</v>
      </c>
      <c r="I1611" s="2">
        <v>2138.0</v>
      </c>
      <c r="J1611" s="1">
        <v>1992.0</v>
      </c>
      <c r="K1611" s="1">
        <v>6.0</v>
      </c>
      <c r="L1611" s="1" t="s">
        <v>62</v>
      </c>
      <c r="M1611" s="1" t="s">
        <v>6482</v>
      </c>
      <c r="N1611" s="1" t="s">
        <v>64</v>
      </c>
      <c r="O1611" s="1" t="s">
        <v>25</v>
      </c>
      <c r="P1611" s="1" t="s">
        <v>6483</v>
      </c>
    </row>
    <row r="1612" ht="14.25" customHeight="1">
      <c r="A1612" s="1" t="s">
        <v>6484</v>
      </c>
      <c r="B1612" s="1" t="s">
        <v>6485</v>
      </c>
      <c r="C1612" s="1" t="s">
        <v>76</v>
      </c>
      <c r="D1612" s="1">
        <v>67894.0</v>
      </c>
      <c r="E1612" s="1" t="s">
        <v>19</v>
      </c>
      <c r="F1612" s="1" t="s">
        <v>20</v>
      </c>
      <c r="G1612" s="1" t="s">
        <v>100</v>
      </c>
      <c r="H1612" s="2">
        <v>975.0</v>
      </c>
      <c r="I1612" s="2">
        <v>9552.0</v>
      </c>
      <c r="J1612" s="1">
        <v>1992.0</v>
      </c>
      <c r="K1612" s="1">
        <v>57.0</v>
      </c>
      <c r="L1612" s="1" t="s">
        <v>141</v>
      </c>
      <c r="M1612" s="1" t="s">
        <v>6486</v>
      </c>
      <c r="N1612" s="1" t="s">
        <v>24</v>
      </c>
      <c r="O1612" s="1" t="s">
        <v>49</v>
      </c>
      <c r="P1612" s="1" t="s">
        <v>6487</v>
      </c>
    </row>
    <row r="1613" ht="14.25" customHeight="1">
      <c r="A1613" s="1" t="s">
        <v>6488</v>
      </c>
      <c r="B1613" s="1" t="s">
        <v>6489</v>
      </c>
      <c r="C1613" s="1" t="s">
        <v>76</v>
      </c>
      <c r="D1613" s="1">
        <v>78665.0</v>
      </c>
      <c r="E1613" s="1" t="s">
        <v>40</v>
      </c>
      <c r="F1613" s="1" t="s">
        <v>94</v>
      </c>
      <c r="G1613" s="1" t="s">
        <v>55</v>
      </c>
      <c r="H1613" s="2">
        <v>886.0</v>
      </c>
      <c r="I1613" s="2">
        <v>2488.0</v>
      </c>
      <c r="J1613" s="1">
        <v>1974.0</v>
      </c>
      <c r="K1613" s="1">
        <v>78.0</v>
      </c>
      <c r="L1613" s="1" t="s">
        <v>32</v>
      </c>
      <c r="M1613" s="1" t="s">
        <v>6490</v>
      </c>
      <c r="N1613" s="1" t="s">
        <v>64</v>
      </c>
      <c r="O1613" s="1" t="s">
        <v>49</v>
      </c>
      <c r="P1613" s="1" t="s">
        <v>6491</v>
      </c>
    </row>
    <row r="1614" ht="14.25" customHeight="1">
      <c r="A1614" s="1" t="s">
        <v>6492</v>
      </c>
      <c r="B1614" s="1" t="s">
        <v>6493</v>
      </c>
      <c r="C1614" s="1" t="s">
        <v>53</v>
      </c>
      <c r="D1614" s="1">
        <v>18513.0</v>
      </c>
      <c r="E1614" s="1" t="s">
        <v>40</v>
      </c>
      <c r="F1614" s="1" t="s">
        <v>54</v>
      </c>
      <c r="G1614" s="1" t="s">
        <v>55</v>
      </c>
      <c r="H1614" s="2">
        <v>3468.0</v>
      </c>
      <c r="I1614" s="2">
        <v>4987.0</v>
      </c>
      <c r="J1614" s="1">
        <v>1989.0</v>
      </c>
      <c r="K1614" s="1">
        <v>118.0</v>
      </c>
      <c r="L1614" s="1" t="s">
        <v>32</v>
      </c>
      <c r="M1614" s="1" t="s">
        <v>6494</v>
      </c>
      <c r="N1614" s="1" t="s">
        <v>24</v>
      </c>
      <c r="O1614" s="1" t="s">
        <v>35</v>
      </c>
      <c r="P1614" s="1" t="s">
        <v>6495</v>
      </c>
    </row>
    <row r="1615" ht="14.25" customHeight="1">
      <c r="A1615" s="1" t="s">
        <v>6496</v>
      </c>
      <c r="B1615" s="1" t="s">
        <v>6497</v>
      </c>
      <c r="C1615" s="1" t="s">
        <v>76</v>
      </c>
      <c r="D1615" s="1">
        <v>23237.0</v>
      </c>
      <c r="E1615" s="1" t="s">
        <v>77</v>
      </c>
      <c r="F1615" s="1" t="s">
        <v>20</v>
      </c>
      <c r="G1615" s="1" t="s">
        <v>31</v>
      </c>
      <c r="H1615" s="2">
        <v>3511.0</v>
      </c>
      <c r="I1615" s="2">
        <v>2623.0</v>
      </c>
      <c r="J1615" s="1">
        <v>2023.0</v>
      </c>
      <c r="K1615" s="1">
        <v>21.0</v>
      </c>
      <c r="L1615" s="1" t="s">
        <v>141</v>
      </c>
      <c r="M1615" s="1" t="s">
        <v>6498</v>
      </c>
      <c r="N1615" s="1" t="s">
        <v>34</v>
      </c>
      <c r="O1615" s="1" t="s">
        <v>25</v>
      </c>
      <c r="P1615" s="1" t="s">
        <v>6499</v>
      </c>
    </row>
    <row r="1616" ht="14.25" customHeight="1">
      <c r="A1616" s="1" t="s">
        <v>6500</v>
      </c>
      <c r="B1616" s="1" t="s">
        <v>6501</v>
      </c>
      <c r="C1616" s="1" t="s">
        <v>76</v>
      </c>
      <c r="D1616" s="1">
        <v>44651.0</v>
      </c>
      <c r="E1616" s="1" t="s">
        <v>19</v>
      </c>
      <c r="F1616" s="1" t="s">
        <v>20</v>
      </c>
      <c r="G1616" s="1" t="s">
        <v>100</v>
      </c>
      <c r="H1616" s="2">
        <v>1345.0</v>
      </c>
      <c r="I1616" s="2">
        <v>5463.0</v>
      </c>
      <c r="J1616" s="1">
        <v>1962.0</v>
      </c>
      <c r="K1616" s="1">
        <v>63.0</v>
      </c>
      <c r="L1616" s="1" t="s">
        <v>62</v>
      </c>
      <c r="M1616" s="1" t="s">
        <v>6502</v>
      </c>
      <c r="N1616" s="1" t="s">
        <v>24</v>
      </c>
      <c r="O1616" s="1" t="s">
        <v>35</v>
      </c>
      <c r="P1616" s="1" t="s">
        <v>6503</v>
      </c>
    </row>
    <row r="1617" ht="14.25" customHeight="1">
      <c r="A1617" s="1" t="s">
        <v>6504</v>
      </c>
      <c r="B1617" s="1" t="s">
        <v>6505</v>
      </c>
      <c r="C1617" s="1" t="s">
        <v>39</v>
      </c>
      <c r="D1617" s="1">
        <v>70082.0</v>
      </c>
      <c r="E1617" s="1" t="s">
        <v>19</v>
      </c>
      <c r="F1617" s="1" t="s">
        <v>61</v>
      </c>
      <c r="G1617" s="1" t="s">
        <v>21</v>
      </c>
      <c r="H1617" s="2">
        <v>2371.0</v>
      </c>
      <c r="I1617" s="2">
        <v>4426.0</v>
      </c>
      <c r="J1617" s="1">
        <v>1963.0</v>
      </c>
      <c r="K1617" s="1">
        <v>29.0</v>
      </c>
      <c r="L1617" s="1" t="s">
        <v>62</v>
      </c>
      <c r="M1617" s="1" t="s">
        <v>6506</v>
      </c>
      <c r="N1617" s="1" t="s">
        <v>24</v>
      </c>
      <c r="O1617" s="1" t="s">
        <v>35</v>
      </c>
      <c r="P1617" s="1" t="s">
        <v>6507</v>
      </c>
    </row>
    <row r="1618" ht="14.25" customHeight="1">
      <c r="A1618" s="1" t="s">
        <v>6508</v>
      </c>
      <c r="B1618" s="1" t="s">
        <v>6509</v>
      </c>
      <c r="C1618" s="1" t="s">
        <v>76</v>
      </c>
      <c r="D1618" s="1">
        <v>35912.0</v>
      </c>
      <c r="E1618" s="1" t="s">
        <v>40</v>
      </c>
      <c r="F1618" s="1" t="s">
        <v>94</v>
      </c>
      <c r="G1618" s="1" t="s">
        <v>21</v>
      </c>
      <c r="H1618" s="2">
        <v>3652.0</v>
      </c>
      <c r="I1618" s="2">
        <v>7553.0</v>
      </c>
      <c r="J1618" s="1">
        <v>1953.0</v>
      </c>
      <c r="K1618" s="1">
        <v>32.0</v>
      </c>
      <c r="L1618" s="1" t="s">
        <v>32</v>
      </c>
      <c r="M1618" s="1" t="s">
        <v>6510</v>
      </c>
      <c r="N1618" s="1" t="s">
        <v>64</v>
      </c>
      <c r="O1618" s="1" t="s">
        <v>49</v>
      </c>
      <c r="P1618" s="1" t="s">
        <v>6511</v>
      </c>
    </row>
    <row r="1619" ht="14.25" customHeight="1">
      <c r="A1619" s="1" t="s">
        <v>6512</v>
      </c>
      <c r="B1619" s="1" t="s">
        <v>6513</v>
      </c>
      <c r="C1619" s="1" t="s">
        <v>39</v>
      </c>
      <c r="D1619" s="1">
        <v>20444.0</v>
      </c>
      <c r="E1619" s="1" t="s">
        <v>40</v>
      </c>
      <c r="F1619" s="1" t="s">
        <v>20</v>
      </c>
      <c r="G1619" s="1" t="s">
        <v>21</v>
      </c>
      <c r="H1619" s="2">
        <v>2449.0</v>
      </c>
      <c r="I1619" s="2">
        <v>5802.0</v>
      </c>
      <c r="J1619" s="1">
        <v>2005.0</v>
      </c>
      <c r="K1619" s="1">
        <v>85.0</v>
      </c>
      <c r="L1619" s="1" t="s">
        <v>32</v>
      </c>
      <c r="M1619" s="1" t="s">
        <v>6514</v>
      </c>
      <c r="N1619" s="1" t="s">
        <v>24</v>
      </c>
      <c r="O1619" s="1" t="s">
        <v>49</v>
      </c>
      <c r="P1619" s="1" t="s">
        <v>6515</v>
      </c>
    </row>
    <row r="1620" ht="14.25" customHeight="1">
      <c r="A1620" s="1" t="s">
        <v>6516</v>
      </c>
      <c r="B1620" s="1" t="s">
        <v>6517</v>
      </c>
      <c r="C1620" s="1" t="s">
        <v>76</v>
      </c>
      <c r="D1620" s="1">
        <v>28838.0</v>
      </c>
      <c r="E1620" s="1" t="s">
        <v>30</v>
      </c>
      <c r="F1620" s="1" t="s">
        <v>94</v>
      </c>
      <c r="G1620" s="1" t="s">
        <v>100</v>
      </c>
      <c r="H1620" s="2">
        <v>1645.0</v>
      </c>
      <c r="I1620" s="2">
        <v>7159.0</v>
      </c>
      <c r="J1620" s="1">
        <v>2014.0</v>
      </c>
      <c r="K1620" s="1">
        <v>7.0</v>
      </c>
      <c r="L1620" s="1" t="s">
        <v>32</v>
      </c>
      <c r="M1620" s="1" t="s">
        <v>6518</v>
      </c>
      <c r="N1620" s="1" t="s">
        <v>48</v>
      </c>
      <c r="O1620" s="1" t="s">
        <v>25</v>
      </c>
      <c r="P1620" s="1" t="s">
        <v>6519</v>
      </c>
    </row>
    <row r="1621" ht="14.25" customHeight="1">
      <c r="A1621" s="1" t="s">
        <v>6520</v>
      </c>
      <c r="B1621" s="1" t="s">
        <v>6521</v>
      </c>
      <c r="C1621" s="1" t="s">
        <v>18</v>
      </c>
      <c r="D1621" s="1">
        <v>40598.0</v>
      </c>
      <c r="E1621" s="1" t="s">
        <v>60</v>
      </c>
      <c r="F1621" s="1" t="s">
        <v>54</v>
      </c>
      <c r="G1621" s="1" t="s">
        <v>31</v>
      </c>
      <c r="H1621" s="2">
        <v>1680.0</v>
      </c>
      <c r="I1621" s="2">
        <v>5624.0</v>
      </c>
      <c r="J1621" s="1">
        <v>2006.0</v>
      </c>
      <c r="K1621" s="1">
        <v>76.0</v>
      </c>
      <c r="L1621" s="1" t="s">
        <v>141</v>
      </c>
      <c r="M1621" s="1" t="s">
        <v>6522</v>
      </c>
      <c r="N1621" s="1" t="s">
        <v>43</v>
      </c>
      <c r="O1621" s="1" t="s">
        <v>25</v>
      </c>
      <c r="P1621" s="1" t="s">
        <v>6523</v>
      </c>
    </row>
    <row r="1622" ht="14.25" customHeight="1">
      <c r="A1622" s="1" t="s">
        <v>6524</v>
      </c>
      <c r="B1622" s="1" t="s">
        <v>6525</v>
      </c>
      <c r="C1622" s="1" t="s">
        <v>53</v>
      </c>
      <c r="D1622" s="1">
        <v>36915.0</v>
      </c>
      <c r="E1622" s="1" t="s">
        <v>19</v>
      </c>
      <c r="F1622" s="1" t="s">
        <v>46</v>
      </c>
      <c r="G1622" s="1" t="s">
        <v>21</v>
      </c>
      <c r="H1622" s="2">
        <v>1476.0</v>
      </c>
      <c r="I1622" s="2">
        <v>1486.0</v>
      </c>
      <c r="J1622" s="1">
        <v>1979.0</v>
      </c>
      <c r="K1622" s="1">
        <v>71.0</v>
      </c>
      <c r="L1622" s="1" t="s">
        <v>95</v>
      </c>
      <c r="M1622" s="1" t="s">
        <v>6526</v>
      </c>
      <c r="N1622" s="1" t="s">
        <v>24</v>
      </c>
      <c r="O1622" s="1" t="s">
        <v>35</v>
      </c>
      <c r="P1622" s="1" t="s">
        <v>6527</v>
      </c>
    </row>
    <row r="1623" ht="14.25" customHeight="1">
      <c r="A1623" s="1" t="s">
        <v>6528</v>
      </c>
      <c r="B1623" s="1" t="s">
        <v>6529</v>
      </c>
      <c r="C1623" s="1" t="s">
        <v>18</v>
      </c>
      <c r="D1623" s="1">
        <v>84590.0</v>
      </c>
      <c r="E1623" s="1" t="s">
        <v>30</v>
      </c>
      <c r="F1623" s="1" t="s">
        <v>41</v>
      </c>
      <c r="G1623" s="1" t="s">
        <v>55</v>
      </c>
      <c r="H1623" s="2">
        <v>723.0</v>
      </c>
      <c r="I1623" s="2">
        <v>2244.0</v>
      </c>
      <c r="J1623" s="1">
        <v>1977.0</v>
      </c>
      <c r="K1623" s="1">
        <v>5.0</v>
      </c>
      <c r="L1623" s="1" t="s">
        <v>32</v>
      </c>
      <c r="M1623" s="1" t="s">
        <v>6530</v>
      </c>
      <c r="N1623" s="1" t="s">
        <v>43</v>
      </c>
      <c r="O1623" s="1" t="s">
        <v>25</v>
      </c>
      <c r="P1623" s="1" t="s">
        <v>6531</v>
      </c>
    </row>
    <row r="1624" ht="14.25" customHeight="1">
      <c r="A1624" s="1" t="s">
        <v>6532</v>
      </c>
      <c r="B1624" s="1" t="s">
        <v>6533</v>
      </c>
      <c r="C1624" s="1" t="s">
        <v>76</v>
      </c>
      <c r="D1624" s="1">
        <v>51813.0</v>
      </c>
      <c r="E1624" s="1" t="s">
        <v>40</v>
      </c>
      <c r="F1624" s="1" t="s">
        <v>54</v>
      </c>
      <c r="G1624" s="1" t="s">
        <v>31</v>
      </c>
      <c r="H1624" s="2">
        <v>3437.0</v>
      </c>
      <c r="I1624" s="2">
        <v>3735.0</v>
      </c>
      <c r="J1624" s="1">
        <v>1957.0</v>
      </c>
      <c r="K1624" s="1">
        <v>70.0</v>
      </c>
      <c r="L1624" s="1" t="s">
        <v>22</v>
      </c>
      <c r="M1624" s="1" t="s">
        <v>6534</v>
      </c>
      <c r="N1624" s="1" t="s">
        <v>64</v>
      </c>
      <c r="O1624" s="1" t="s">
        <v>49</v>
      </c>
      <c r="P1624" s="1" t="s">
        <v>6535</v>
      </c>
    </row>
    <row r="1625" ht="14.25" customHeight="1">
      <c r="A1625" s="1" t="s">
        <v>6536</v>
      </c>
      <c r="B1625" s="1" t="s">
        <v>6537</v>
      </c>
      <c r="C1625" s="1" t="s">
        <v>53</v>
      </c>
      <c r="D1625" s="1">
        <v>49902.0</v>
      </c>
      <c r="E1625" s="1" t="s">
        <v>19</v>
      </c>
      <c r="F1625" s="1" t="s">
        <v>54</v>
      </c>
      <c r="G1625" s="1" t="s">
        <v>55</v>
      </c>
      <c r="H1625" s="2">
        <v>1754.0</v>
      </c>
      <c r="I1625" s="2">
        <v>7511.0</v>
      </c>
      <c r="J1625" s="1">
        <v>1999.0</v>
      </c>
      <c r="K1625" s="1">
        <v>26.0</v>
      </c>
      <c r="L1625" s="1" t="s">
        <v>95</v>
      </c>
      <c r="M1625" s="1" t="s">
        <v>6538</v>
      </c>
      <c r="N1625" s="1" t="s">
        <v>24</v>
      </c>
      <c r="O1625" s="1" t="s">
        <v>49</v>
      </c>
      <c r="P1625" s="1" t="s">
        <v>6539</v>
      </c>
    </row>
    <row r="1626" ht="14.25" customHeight="1">
      <c r="A1626" s="1" t="s">
        <v>6540</v>
      </c>
      <c r="B1626" s="1" t="s">
        <v>6541</v>
      </c>
      <c r="C1626" s="1" t="s">
        <v>18</v>
      </c>
      <c r="D1626" s="1">
        <v>74657.0</v>
      </c>
      <c r="E1626" s="1" t="s">
        <v>40</v>
      </c>
      <c r="F1626" s="1" t="s">
        <v>46</v>
      </c>
      <c r="G1626" s="1" t="s">
        <v>100</v>
      </c>
      <c r="H1626" s="2">
        <v>1914.0</v>
      </c>
      <c r="I1626" s="2">
        <v>4991.0</v>
      </c>
      <c r="J1626" s="1">
        <v>2021.0</v>
      </c>
      <c r="K1626" s="1">
        <v>27.0</v>
      </c>
      <c r="L1626" s="1" t="s">
        <v>141</v>
      </c>
      <c r="M1626" s="1" t="s">
        <v>6542</v>
      </c>
      <c r="N1626" s="1" t="s">
        <v>43</v>
      </c>
      <c r="O1626" s="1" t="s">
        <v>25</v>
      </c>
      <c r="P1626" s="1" t="s">
        <v>6543</v>
      </c>
    </row>
    <row r="1627" ht="14.25" customHeight="1">
      <c r="A1627" s="1" t="s">
        <v>6544</v>
      </c>
      <c r="B1627" s="1" t="s">
        <v>6545</v>
      </c>
      <c r="C1627" s="1" t="s">
        <v>39</v>
      </c>
      <c r="D1627" s="1">
        <v>72702.0</v>
      </c>
      <c r="E1627" s="1" t="s">
        <v>30</v>
      </c>
      <c r="F1627" s="1" t="s">
        <v>20</v>
      </c>
      <c r="G1627" s="1" t="s">
        <v>31</v>
      </c>
      <c r="H1627" s="2">
        <v>1951.0</v>
      </c>
      <c r="I1627" s="2">
        <v>4375.0</v>
      </c>
      <c r="J1627" s="1">
        <v>1985.0</v>
      </c>
      <c r="K1627" s="1">
        <v>42.0</v>
      </c>
      <c r="L1627" s="1" t="s">
        <v>95</v>
      </c>
      <c r="M1627" s="1" t="s">
        <v>6546</v>
      </c>
      <c r="N1627" s="1" t="s">
        <v>24</v>
      </c>
      <c r="O1627" s="1" t="s">
        <v>49</v>
      </c>
      <c r="P1627" s="1" t="s">
        <v>6547</v>
      </c>
    </row>
    <row r="1628" ht="14.25" customHeight="1">
      <c r="A1628" s="1" t="s">
        <v>6548</v>
      </c>
      <c r="B1628" s="1" t="s">
        <v>6549</v>
      </c>
      <c r="C1628" s="1" t="s">
        <v>29</v>
      </c>
      <c r="D1628" s="1">
        <v>72560.0</v>
      </c>
      <c r="E1628" s="1" t="s">
        <v>40</v>
      </c>
      <c r="F1628" s="1" t="s">
        <v>46</v>
      </c>
      <c r="G1628" s="1" t="s">
        <v>31</v>
      </c>
      <c r="H1628" s="2">
        <v>2229.0</v>
      </c>
      <c r="I1628" s="2">
        <v>6047.0</v>
      </c>
      <c r="J1628" s="1">
        <v>1978.0</v>
      </c>
      <c r="K1628" s="1">
        <v>18.0</v>
      </c>
      <c r="L1628" s="1" t="s">
        <v>32</v>
      </c>
      <c r="M1628" s="1" t="s">
        <v>6550</v>
      </c>
      <c r="N1628" s="1" t="s">
        <v>34</v>
      </c>
      <c r="O1628" s="1" t="s">
        <v>49</v>
      </c>
      <c r="P1628" s="1" t="s">
        <v>6551</v>
      </c>
    </row>
    <row r="1629" ht="14.25" customHeight="1">
      <c r="A1629" s="1" t="s">
        <v>6552</v>
      </c>
      <c r="B1629" s="1" t="s">
        <v>6553</v>
      </c>
      <c r="C1629" s="1" t="s">
        <v>29</v>
      </c>
      <c r="D1629" s="1">
        <v>96038.0</v>
      </c>
      <c r="E1629" s="1" t="s">
        <v>60</v>
      </c>
      <c r="F1629" s="1" t="s">
        <v>61</v>
      </c>
      <c r="G1629" s="1" t="s">
        <v>100</v>
      </c>
      <c r="H1629" s="2">
        <v>3126.0</v>
      </c>
      <c r="I1629" s="2">
        <v>2569.0</v>
      </c>
      <c r="J1629" s="1">
        <v>1965.0</v>
      </c>
      <c r="K1629" s="1">
        <v>116.0</v>
      </c>
      <c r="L1629" s="1" t="s">
        <v>22</v>
      </c>
      <c r="M1629" s="1" t="s">
        <v>6554</v>
      </c>
      <c r="N1629" s="1" t="s">
        <v>48</v>
      </c>
      <c r="O1629" s="1" t="s">
        <v>35</v>
      </c>
      <c r="P1629" s="1" t="s">
        <v>6555</v>
      </c>
    </row>
    <row r="1630" ht="14.25" customHeight="1">
      <c r="A1630" s="1" t="s">
        <v>6556</v>
      </c>
      <c r="B1630" s="1" t="s">
        <v>6557</v>
      </c>
      <c r="C1630" s="1" t="s">
        <v>29</v>
      </c>
      <c r="D1630" s="1">
        <v>53172.0</v>
      </c>
      <c r="E1630" s="1" t="s">
        <v>77</v>
      </c>
      <c r="F1630" s="1" t="s">
        <v>20</v>
      </c>
      <c r="G1630" s="1" t="s">
        <v>100</v>
      </c>
      <c r="H1630" s="2">
        <v>2565.0</v>
      </c>
      <c r="I1630" s="2">
        <v>7622.0</v>
      </c>
      <c r="J1630" s="1">
        <v>1998.0</v>
      </c>
      <c r="K1630" s="1">
        <v>54.0</v>
      </c>
      <c r="L1630" s="1" t="s">
        <v>22</v>
      </c>
      <c r="M1630" s="1" t="s">
        <v>6558</v>
      </c>
      <c r="N1630" s="1" t="s">
        <v>24</v>
      </c>
      <c r="O1630" s="1" t="s">
        <v>49</v>
      </c>
      <c r="P1630" s="1" t="s">
        <v>6559</v>
      </c>
    </row>
    <row r="1631" ht="14.25" customHeight="1">
      <c r="A1631" s="1" t="s">
        <v>6560</v>
      </c>
      <c r="B1631" s="1" t="s">
        <v>6561</v>
      </c>
      <c r="C1631" s="1" t="s">
        <v>29</v>
      </c>
      <c r="D1631" s="1">
        <v>51303.0</v>
      </c>
      <c r="E1631" s="1" t="s">
        <v>30</v>
      </c>
      <c r="F1631" s="1" t="s">
        <v>20</v>
      </c>
      <c r="G1631" s="1" t="s">
        <v>21</v>
      </c>
      <c r="H1631" s="2">
        <v>3332.0</v>
      </c>
      <c r="I1631" s="2">
        <v>3979.0</v>
      </c>
      <c r="J1631" s="1">
        <v>1958.0</v>
      </c>
      <c r="K1631" s="1">
        <v>9.0</v>
      </c>
      <c r="L1631" s="1" t="s">
        <v>141</v>
      </c>
      <c r="M1631" s="1" t="s">
        <v>6562</v>
      </c>
      <c r="N1631" s="1" t="s">
        <v>24</v>
      </c>
      <c r="O1631" s="1" t="s">
        <v>35</v>
      </c>
      <c r="P1631" s="1" t="s">
        <v>6563</v>
      </c>
    </row>
    <row r="1632" ht="14.25" customHeight="1">
      <c r="A1632" s="1" t="s">
        <v>6564</v>
      </c>
      <c r="B1632" s="1" t="s">
        <v>6565</v>
      </c>
      <c r="C1632" s="1" t="s">
        <v>76</v>
      </c>
      <c r="D1632" s="1">
        <v>49017.0</v>
      </c>
      <c r="E1632" s="1" t="s">
        <v>19</v>
      </c>
      <c r="F1632" s="1" t="s">
        <v>61</v>
      </c>
      <c r="G1632" s="1" t="s">
        <v>31</v>
      </c>
      <c r="H1632" s="2">
        <v>1617.0</v>
      </c>
      <c r="I1632" s="2">
        <v>1674.0</v>
      </c>
      <c r="J1632" s="1">
        <v>2007.0</v>
      </c>
      <c r="K1632" s="1">
        <v>70.0</v>
      </c>
      <c r="L1632" s="1" t="s">
        <v>32</v>
      </c>
      <c r="M1632" s="1" t="s">
        <v>6566</v>
      </c>
      <c r="N1632" s="1" t="s">
        <v>64</v>
      </c>
      <c r="O1632" s="1" t="s">
        <v>49</v>
      </c>
      <c r="P1632" s="1" t="s">
        <v>6567</v>
      </c>
    </row>
    <row r="1633" ht="14.25" customHeight="1">
      <c r="A1633" s="1" t="s">
        <v>6568</v>
      </c>
      <c r="B1633" s="1" t="s">
        <v>6569</v>
      </c>
      <c r="C1633" s="1" t="s">
        <v>76</v>
      </c>
      <c r="D1633" s="1">
        <v>44968.0</v>
      </c>
      <c r="E1633" s="1" t="s">
        <v>77</v>
      </c>
      <c r="F1633" s="1" t="s">
        <v>20</v>
      </c>
      <c r="G1633" s="1" t="s">
        <v>55</v>
      </c>
      <c r="H1633" s="2">
        <v>3142.0</v>
      </c>
      <c r="I1633" s="2">
        <v>5889.0</v>
      </c>
      <c r="J1633" s="1">
        <v>1973.0</v>
      </c>
      <c r="K1633" s="1">
        <v>40.0</v>
      </c>
      <c r="L1633" s="1" t="s">
        <v>95</v>
      </c>
      <c r="M1633" s="1" t="s">
        <v>6570</v>
      </c>
      <c r="N1633" s="1" t="s">
        <v>64</v>
      </c>
      <c r="O1633" s="1" t="s">
        <v>25</v>
      </c>
      <c r="P1633" s="1" t="s">
        <v>6571</v>
      </c>
    </row>
    <row r="1634" ht="14.25" customHeight="1">
      <c r="A1634" s="1" t="s">
        <v>6572</v>
      </c>
      <c r="B1634" s="1" t="s">
        <v>6573</v>
      </c>
      <c r="C1634" s="1" t="s">
        <v>18</v>
      </c>
      <c r="D1634" s="1">
        <v>46612.0</v>
      </c>
      <c r="E1634" s="1" t="s">
        <v>60</v>
      </c>
      <c r="F1634" s="1" t="s">
        <v>54</v>
      </c>
      <c r="G1634" s="1" t="s">
        <v>55</v>
      </c>
      <c r="H1634" s="2">
        <v>3025.0</v>
      </c>
      <c r="I1634" s="2">
        <v>4857.0</v>
      </c>
      <c r="J1634" s="1">
        <v>1976.0</v>
      </c>
      <c r="K1634" s="1">
        <v>27.0</v>
      </c>
      <c r="L1634" s="1" t="s">
        <v>141</v>
      </c>
      <c r="M1634" s="1" t="s">
        <v>6574</v>
      </c>
      <c r="N1634" s="1" t="s">
        <v>24</v>
      </c>
      <c r="O1634" s="1" t="s">
        <v>49</v>
      </c>
      <c r="P1634" s="1" t="s">
        <v>6575</v>
      </c>
    </row>
    <row r="1635" ht="14.25" customHeight="1">
      <c r="A1635" s="1" t="s">
        <v>6576</v>
      </c>
      <c r="B1635" s="1" t="s">
        <v>6577</v>
      </c>
      <c r="C1635" s="1" t="s">
        <v>39</v>
      </c>
      <c r="D1635" s="1">
        <v>57945.0</v>
      </c>
      <c r="E1635" s="1" t="s">
        <v>60</v>
      </c>
      <c r="F1635" s="1" t="s">
        <v>46</v>
      </c>
      <c r="G1635" s="1" t="s">
        <v>55</v>
      </c>
      <c r="H1635" s="2">
        <v>2982.0</v>
      </c>
      <c r="I1635" s="2">
        <v>2343.0</v>
      </c>
      <c r="J1635" s="1">
        <v>2000.0</v>
      </c>
      <c r="K1635" s="1">
        <v>99.0</v>
      </c>
      <c r="L1635" s="1" t="s">
        <v>22</v>
      </c>
      <c r="M1635" s="1" t="s">
        <v>6578</v>
      </c>
      <c r="N1635" s="1" t="s">
        <v>43</v>
      </c>
      <c r="O1635" s="1" t="s">
        <v>49</v>
      </c>
      <c r="P1635" s="1" t="s">
        <v>6579</v>
      </c>
    </row>
    <row r="1636" ht="14.25" customHeight="1">
      <c r="A1636" s="1" t="s">
        <v>6580</v>
      </c>
      <c r="B1636" s="1" t="s">
        <v>6581</v>
      </c>
      <c r="C1636" s="1" t="s">
        <v>18</v>
      </c>
      <c r="D1636" s="1">
        <v>49609.0</v>
      </c>
      <c r="E1636" s="1" t="s">
        <v>40</v>
      </c>
      <c r="F1636" s="1" t="s">
        <v>94</v>
      </c>
      <c r="G1636" s="1" t="s">
        <v>100</v>
      </c>
      <c r="H1636" s="2">
        <v>1988.0</v>
      </c>
      <c r="I1636" s="2">
        <v>3095.0</v>
      </c>
      <c r="J1636" s="1">
        <v>2007.0</v>
      </c>
      <c r="K1636" s="1">
        <v>41.0</v>
      </c>
      <c r="L1636" s="1" t="s">
        <v>22</v>
      </c>
      <c r="M1636" s="1" t="s">
        <v>6582</v>
      </c>
      <c r="N1636" s="1" t="s">
        <v>48</v>
      </c>
      <c r="O1636" s="1" t="s">
        <v>49</v>
      </c>
      <c r="P1636" s="1" t="s">
        <v>6583</v>
      </c>
    </row>
    <row r="1637" ht="14.25" customHeight="1">
      <c r="A1637" s="1" t="s">
        <v>6584</v>
      </c>
      <c r="B1637" s="1" t="s">
        <v>6585</v>
      </c>
      <c r="C1637" s="1" t="s">
        <v>39</v>
      </c>
      <c r="D1637" s="1">
        <v>44927.0</v>
      </c>
      <c r="E1637" s="1" t="s">
        <v>30</v>
      </c>
      <c r="F1637" s="1" t="s">
        <v>46</v>
      </c>
      <c r="G1637" s="1" t="s">
        <v>31</v>
      </c>
      <c r="H1637" s="2">
        <v>3074.0</v>
      </c>
      <c r="I1637" s="2">
        <v>6108.0</v>
      </c>
      <c r="J1637" s="1">
        <v>2011.0</v>
      </c>
      <c r="K1637" s="1">
        <v>78.0</v>
      </c>
      <c r="L1637" s="1" t="s">
        <v>32</v>
      </c>
      <c r="M1637" s="1" t="s">
        <v>6586</v>
      </c>
      <c r="N1637" s="1" t="s">
        <v>64</v>
      </c>
      <c r="O1637" s="1" t="s">
        <v>35</v>
      </c>
      <c r="P1637" s="1" t="s">
        <v>6587</v>
      </c>
    </row>
    <row r="1638" ht="14.25" customHeight="1">
      <c r="A1638" s="1" t="s">
        <v>6588</v>
      </c>
      <c r="B1638" s="1" t="s">
        <v>6589</v>
      </c>
      <c r="C1638" s="1" t="s">
        <v>18</v>
      </c>
      <c r="D1638" s="1">
        <v>21893.0</v>
      </c>
      <c r="E1638" s="1" t="s">
        <v>77</v>
      </c>
      <c r="F1638" s="1" t="s">
        <v>20</v>
      </c>
      <c r="G1638" s="1" t="s">
        <v>100</v>
      </c>
      <c r="H1638" s="2">
        <v>3112.0</v>
      </c>
      <c r="I1638" s="2">
        <v>8342.0</v>
      </c>
      <c r="J1638" s="1">
        <v>2022.0</v>
      </c>
      <c r="K1638" s="1">
        <v>103.0</v>
      </c>
      <c r="L1638" s="1" t="s">
        <v>62</v>
      </c>
      <c r="M1638" s="1" t="s">
        <v>6590</v>
      </c>
      <c r="N1638" s="1" t="s">
        <v>43</v>
      </c>
      <c r="O1638" s="1" t="s">
        <v>25</v>
      </c>
      <c r="P1638" s="1" t="s">
        <v>6591</v>
      </c>
    </row>
    <row r="1639" ht="14.25" customHeight="1">
      <c r="A1639" s="1" t="s">
        <v>6592</v>
      </c>
      <c r="B1639" s="1" t="s">
        <v>6593</v>
      </c>
      <c r="C1639" s="1" t="s">
        <v>39</v>
      </c>
      <c r="D1639" s="1">
        <v>44376.0</v>
      </c>
      <c r="E1639" s="1" t="s">
        <v>77</v>
      </c>
      <c r="F1639" s="1" t="s">
        <v>41</v>
      </c>
      <c r="G1639" s="1" t="s">
        <v>100</v>
      </c>
      <c r="H1639" s="2">
        <v>1190.0</v>
      </c>
      <c r="I1639" s="2">
        <v>9794.0</v>
      </c>
      <c r="J1639" s="1">
        <v>2000.0</v>
      </c>
      <c r="K1639" s="1">
        <v>49.0</v>
      </c>
      <c r="L1639" s="1" t="s">
        <v>32</v>
      </c>
      <c r="M1639" s="1" t="s">
        <v>6594</v>
      </c>
      <c r="N1639" s="1" t="s">
        <v>64</v>
      </c>
      <c r="O1639" s="1" t="s">
        <v>49</v>
      </c>
      <c r="P1639" s="1" t="s">
        <v>6595</v>
      </c>
    </row>
    <row r="1640" ht="14.25" customHeight="1">
      <c r="A1640" s="1" t="s">
        <v>6596</v>
      </c>
      <c r="B1640" s="1" t="s">
        <v>6597</v>
      </c>
      <c r="C1640" s="1" t="s">
        <v>76</v>
      </c>
      <c r="D1640" s="1">
        <v>92847.0</v>
      </c>
      <c r="E1640" s="1" t="s">
        <v>30</v>
      </c>
      <c r="F1640" s="1" t="s">
        <v>46</v>
      </c>
      <c r="G1640" s="1" t="s">
        <v>31</v>
      </c>
      <c r="H1640" s="2">
        <v>2752.0</v>
      </c>
      <c r="I1640" s="2">
        <v>8277.0</v>
      </c>
      <c r="J1640" s="1">
        <v>1968.0</v>
      </c>
      <c r="K1640" s="1">
        <v>16.0</v>
      </c>
      <c r="L1640" s="1" t="s">
        <v>32</v>
      </c>
      <c r="M1640" s="1" t="s">
        <v>6598</v>
      </c>
      <c r="N1640" s="1" t="s">
        <v>34</v>
      </c>
      <c r="O1640" s="1" t="s">
        <v>35</v>
      </c>
      <c r="P1640" s="1" t="s">
        <v>6599</v>
      </c>
    </row>
    <row r="1641" ht="14.25" customHeight="1">
      <c r="A1641" s="1" t="s">
        <v>6600</v>
      </c>
      <c r="B1641" s="1" t="s">
        <v>6601</v>
      </c>
      <c r="C1641" s="1" t="s">
        <v>29</v>
      </c>
      <c r="D1641" s="1">
        <v>52312.0</v>
      </c>
      <c r="E1641" s="1" t="s">
        <v>30</v>
      </c>
      <c r="F1641" s="1" t="s">
        <v>94</v>
      </c>
      <c r="G1641" s="1" t="s">
        <v>31</v>
      </c>
      <c r="H1641" s="2">
        <v>1527.0</v>
      </c>
      <c r="I1641" s="2">
        <v>1259.0</v>
      </c>
      <c r="J1641" s="1">
        <v>1997.0</v>
      </c>
      <c r="K1641" s="1">
        <v>110.0</v>
      </c>
      <c r="L1641" s="1" t="s">
        <v>32</v>
      </c>
      <c r="M1641" s="1" t="s">
        <v>6602</v>
      </c>
      <c r="N1641" s="1" t="s">
        <v>48</v>
      </c>
      <c r="O1641" s="1" t="s">
        <v>49</v>
      </c>
      <c r="P1641" s="1" t="s">
        <v>6603</v>
      </c>
    </row>
    <row r="1642" ht="14.25" customHeight="1">
      <c r="A1642" s="1" t="s">
        <v>6604</v>
      </c>
      <c r="B1642" s="1" t="s">
        <v>6605</v>
      </c>
      <c r="C1642" s="1" t="s">
        <v>18</v>
      </c>
      <c r="D1642" s="1">
        <v>32524.0</v>
      </c>
      <c r="E1642" s="1" t="s">
        <v>60</v>
      </c>
      <c r="F1642" s="1" t="s">
        <v>61</v>
      </c>
      <c r="G1642" s="1" t="s">
        <v>100</v>
      </c>
      <c r="H1642" s="2">
        <v>724.0</v>
      </c>
      <c r="I1642" s="2">
        <v>6714.0</v>
      </c>
      <c r="J1642" s="1">
        <v>2009.0</v>
      </c>
      <c r="K1642" s="1">
        <v>47.0</v>
      </c>
      <c r="L1642" s="1" t="s">
        <v>141</v>
      </c>
      <c r="M1642" s="1" t="s">
        <v>6606</v>
      </c>
      <c r="N1642" s="1" t="s">
        <v>48</v>
      </c>
      <c r="O1642" s="1" t="s">
        <v>49</v>
      </c>
      <c r="P1642" s="1" t="s">
        <v>6607</v>
      </c>
    </row>
    <row r="1643" ht="14.25" customHeight="1">
      <c r="A1643" s="1" t="s">
        <v>6608</v>
      </c>
      <c r="B1643" s="1" t="s">
        <v>6609</v>
      </c>
      <c r="C1643" s="1" t="s">
        <v>76</v>
      </c>
      <c r="D1643" s="1">
        <v>54024.0</v>
      </c>
      <c r="E1643" s="1" t="s">
        <v>77</v>
      </c>
      <c r="F1643" s="1" t="s">
        <v>20</v>
      </c>
      <c r="G1643" s="1" t="s">
        <v>55</v>
      </c>
      <c r="H1643" s="2">
        <v>3184.0</v>
      </c>
      <c r="I1643" s="2">
        <v>3386.0</v>
      </c>
      <c r="J1643" s="1">
        <v>2007.0</v>
      </c>
      <c r="K1643" s="1">
        <v>117.0</v>
      </c>
      <c r="L1643" s="1" t="s">
        <v>141</v>
      </c>
      <c r="M1643" s="1" t="s">
        <v>6610</v>
      </c>
      <c r="N1643" s="1" t="s">
        <v>64</v>
      </c>
      <c r="O1643" s="1" t="s">
        <v>35</v>
      </c>
      <c r="P1643" s="1" t="s">
        <v>6611</v>
      </c>
    </row>
    <row r="1644" ht="14.25" customHeight="1">
      <c r="A1644" s="1" t="s">
        <v>6612</v>
      </c>
      <c r="B1644" s="1" t="s">
        <v>6613</v>
      </c>
      <c r="C1644" s="1" t="s">
        <v>76</v>
      </c>
      <c r="D1644" s="1">
        <v>68130.0</v>
      </c>
      <c r="E1644" s="1" t="s">
        <v>60</v>
      </c>
      <c r="F1644" s="1" t="s">
        <v>20</v>
      </c>
      <c r="G1644" s="1" t="s">
        <v>31</v>
      </c>
      <c r="H1644" s="2">
        <v>692.0</v>
      </c>
      <c r="I1644" s="2">
        <v>4845.0</v>
      </c>
      <c r="J1644" s="1">
        <v>1993.0</v>
      </c>
      <c r="K1644" s="1">
        <v>98.0</v>
      </c>
      <c r="L1644" s="1" t="s">
        <v>32</v>
      </c>
      <c r="M1644" s="1" t="s">
        <v>6614</v>
      </c>
      <c r="N1644" s="1" t="s">
        <v>64</v>
      </c>
      <c r="O1644" s="1" t="s">
        <v>35</v>
      </c>
      <c r="P1644" s="1" t="s">
        <v>6615</v>
      </c>
    </row>
    <row r="1645" ht="14.25" customHeight="1">
      <c r="A1645" s="1" t="s">
        <v>6616</v>
      </c>
      <c r="B1645" s="1" t="s">
        <v>6617</v>
      </c>
      <c r="C1645" s="1" t="s">
        <v>29</v>
      </c>
      <c r="D1645" s="1">
        <v>23130.0</v>
      </c>
      <c r="E1645" s="1" t="s">
        <v>30</v>
      </c>
      <c r="F1645" s="1" t="s">
        <v>41</v>
      </c>
      <c r="G1645" s="1" t="s">
        <v>21</v>
      </c>
      <c r="H1645" s="2">
        <v>3111.0</v>
      </c>
      <c r="I1645" s="2">
        <v>7802.0</v>
      </c>
      <c r="J1645" s="1">
        <v>1996.0</v>
      </c>
      <c r="K1645" s="1">
        <v>105.0</v>
      </c>
      <c r="L1645" s="1" t="s">
        <v>141</v>
      </c>
      <c r="M1645" s="1" t="s">
        <v>6618</v>
      </c>
      <c r="N1645" s="1" t="s">
        <v>64</v>
      </c>
      <c r="O1645" s="1" t="s">
        <v>49</v>
      </c>
      <c r="P1645" s="1" t="s">
        <v>6619</v>
      </c>
    </row>
    <row r="1646" ht="14.25" customHeight="1">
      <c r="A1646" s="1" t="s">
        <v>6620</v>
      </c>
      <c r="B1646" s="1" t="s">
        <v>6621</v>
      </c>
      <c r="C1646" s="1" t="s">
        <v>18</v>
      </c>
      <c r="D1646" s="1">
        <v>60440.0</v>
      </c>
      <c r="E1646" s="1" t="s">
        <v>19</v>
      </c>
      <c r="F1646" s="1" t="s">
        <v>94</v>
      </c>
      <c r="G1646" s="1" t="s">
        <v>21</v>
      </c>
      <c r="H1646" s="2">
        <v>2737.0</v>
      </c>
      <c r="I1646" s="2">
        <v>8829.0</v>
      </c>
      <c r="J1646" s="1">
        <v>2018.0</v>
      </c>
      <c r="K1646" s="1">
        <v>8.0</v>
      </c>
      <c r="L1646" s="1" t="s">
        <v>95</v>
      </c>
      <c r="M1646" s="1" t="s">
        <v>6622</v>
      </c>
      <c r="N1646" s="1" t="s">
        <v>24</v>
      </c>
      <c r="O1646" s="1" t="s">
        <v>49</v>
      </c>
      <c r="P1646" s="1" t="s">
        <v>6623</v>
      </c>
    </row>
    <row r="1647" ht="14.25" customHeight="1">
      <c r="A1647" s="1" t="s">
        <v>6624</v>
      </c>
      <c r="B1647" s="1" t="s">
        <v>6625</v>
      </c>
      <c r="C1647" s="1" t="s">
        <v>18</v>
      </c>
      <c r="D1647" s="1">
        <v>56768.0</v>
      </c>
      <c r="E1647" s="1" t="s">
        <v>77</v>
      </c>
      <c r="F1647" s="1" t="s">
        <v>20</v>
      </c>
      <c r="G1647" s="1" t="s">
        <v>55</v>
      </c>
      <c r="H1647" s="2">
        <v>3167.0</v>
      </c>
      <c r="I1647" s="2">
        <v>4021.0</v>
      </c>
      <c r="J1647" s="1">
        <v>1950.0</v>
      </c>
      <c r="K1647" s="1">
        <v>77.0</v>
      </c>
      <c r="L1647" s="1" t="s">
        <v>32</v>
      </c>
      <c r="M1647" s="1" t="s">
        <v>6626</v>
      </c>
      <c r="N1647" s="1" t="s">
        <v>43</v>
      </c>
      <c r="O1647" s="1" t="s">
        <v>35</v>
      </c>
      <c r="P1647" s="1" t="s">
        <v>6627</v>
      </c>
    </row>
    <row r="1648" ht="14.25" customHeight="1">
      <c r="A1648" s="1" t="s">
        <v>6628</v>
      </c>
      <c r="B1648" s="1" t="s">
        <v>6629</v>
      </c>
      <c r="C1648" s="1" t="s">
        <v>18</v>
      </c>
      <c r="D1648" s="1">
        <v>21705.0</v>
      </c>
      <c r="E1648" s="1" t="s">
        <v>30</v>
      </c>
      <c r="F1648" s="1" t="s">
        <v>46</v>
      </c>
      <c r="G1648" s="1" t="s">
        <v>100</v>
      </c>
      <c r="H1648" s="2">
        <v>1517.0</v>
      </c>
      <c r="I1648" s="2">
        <v>7456.0</v>
      </c>
      <c r="J1648" s="1">
        <v>1967.0</v>
      </c>
      <c r="K1648" s="1">
        <v>55.0</v>
      </c>
      <c r="L1648" s="1" t="s">
        <v>95</v>
      </c>
      <c r="M1648" s="1" t="s">
        <v>6630</v>
      </c>
      <c r="N1648" s="1" t="s">
        <v>43</v>
      </c>
      <c r="O1648" s="1" t="s">
        <v>25</v>
      </c>
      <c r="P1648" s="1" t="s">
        <v>6631</v>
      </c>
    </row>
    <row r="1649" ht="14.25" customHeight="1">
      <c r="A1649" s="1" t="s">
        <v>6632</v>
      </c>
      <c r="B1649" s="1" t="s">
        <v>6633</v>
      </c>
      <c r="C1649" s="1" t="s">
        <v>53</v>
      </c>
      <c r="D1649" s="1">
        <v>35395.0</v>
      </c>
      <c r="E1649" s="1" t="s">
        <v>60</v>
      </c>
      <c r="F1649" s="1" t="s">
        <v>20</v>
      </c>
      <c r="G1649" s="1" t="s">
        <v>100</v>
      </c>
      <c r="H1649" s="2">
        <v>1625.0</v>
      </c>
      <c r="I1649" s="2">
        <v>8067.0</v>
      </c>
      <c r="J1649" s="1">
        <v>2013.0</v>
      </c>
      <c r="K1649" s="1">
        <v>34.0</v>
      </c>
      <c r="L1649" s="1" t="s">
        <v>32</v>
      </c>
      <c r="M1649" s="1" t="s">
        <v>6634</v>
      </c>
      <c r="N1649" s="1" t="s">
        <v>64</v>
      </c>
      <c r="O1649" s="1" t="s">
        <v>49</v>
      </c>
      <c r="P1649" s="1" t="s">
        <v>6635</v>
      </c>
    </row>
    <row r="1650" ht="14.25" customHeight="1">
      <c r="A1650" s="1" t="s">
        <v>6636</v>
      </c>
      <c r="B1650" s="1" t="s">
        <v>6637</v>
      </c>
      <c r="C1650" s="1" t="s">
        <v>53</v>
      </c>
      <c r="D1650" s="1">
        <v>47236.0</v>
      </c>
      <c r="E1650" s="1" t="s">
        <v>19</v>
      </c>
      <c r="F1650" s="1" t="s">
        <v>94</v>
      </c>
      <c r="G1650" s="1" t="s">
        <v>55</v>
      </c>
      <c r="H1650" s="2">
        <v>2117.0</v>
      </c>
      <c r="I1650" s="2">
        <v>8508.0</v>
      </c>
      <c r="J1650" s="1">
        <v>1980.0</v>
      </c>
      <c r="K1650" s="1">
        <v>111.0</v>
      </c>
      <c r="L1650" s="1" t="s">
        <v>141</v>
      </c>
      <c r="M1650" s="1" t="s">
        <v>6638</v>
      </c>
      <c r="N1650" s="1" t="s">
        <v>64</v>
      </c>
      <c r="O1650" s="1" t="s">
        <v>35</v>
      </c>
      <c r="P1650" s="1" t="s">
        <v>6639</v>
      </c>
    </row>
    <row r="1651" ht="14.25" customHeight="1">
      <c r="A1651" s="1" t="s">
        <v>6640</v>
      </c>
      <c r="B1651" s="1" t="s">
        <v>6641</v>
      </c>
      <c r="C1651" s="1" t="s">
        <v>53</v>
      </c>
      <c r="D1651" s="1">
        <v>59479.0</v>
      </c>
      <c r="E1651" s="1" t="s">
        <v>40</v>
      </c>
      <c r="F1651" s="1" t="s">
        <v>20</v>
      </c>
      <c r="G1651" s="1" t="s">
        <v>21</v>
      </c>
      <c r="H1651" s="2">
        <v>3370.0</v>
      </c>
      <c r="I1651" s="2">
        <v>5055.0</v>
      </c>
      <c r="J1651" s="1">
        <v>1964.0</v>
      </c>
      <c r="K1651" s="1">
        <v>103.0</v>
      </c>
      <c r="L1651" s="1" t="s">
        <v>32</v>
      </c>
      <c r="M1651" s="1" t="s">
        <v>6642</v>
      </c>
      <c r="N1651" s="1" t="s">
        <v>34</v>
      </c>
      <c r="O1651" s="1" t="s">
        <v>49</v>
      </c>
      <c r="P1651" s="1" t="s">
        <v>6643</v>
      </c>
    </row>
    <row r="1652" ht="14.25" customHeight="1">
      <c r="A1652" s="1" t="s">
        <v>6644</v>
      </c>
      <c r="B1652" s="1" t="s">
        <v>6645</v>
      </c>
      <c r="C1652" s="1" t="s">
        <v>18</v>
      </c>
      <c r="D1652" s="1">
        <v>12372.0</v>
      </c>
      <c r="E1652" s="1" t="s">
        <v>60</v>
      </c>
      <c r="F1652" s="1" t="s">
        <v>20</v>
      </c>
      <c r="G1652" s="1" t="s">
        <v>31</v>
      </c>
      <c r="H1652" s="2">
        <v>3602.0</v>
      </c>
      <c r="I1652" s="2">
        <v>7421.0</v>
      </c>
      <c r="J1652" s="1">
        <v>2019.0</v>
      </c>
      <c r="K1652" s="1">
        <v>1.0</v>
      </c>
      <c r="L1652" s="1" t="s">
        <v>22</v>
      </c>
      <c r="M1652" s="1" t="s">
        <v>6646</v>
      </c>
      <c r="N1652" s="1" t="s">
        <v>64</v>
      </c>
      <c r="O1652" s="1" t="s">
        <v>35</v>
      </c>
      <c r="P1652" s="1" t="s">
        <v>6647</v>
      </c>
    </row>
    <row r="1653" ht="14.25" customHeight="1">
      <c r="A1653" s="1" t="s">
        <v>6648</v>
      </c>
      <c r="B1653" s="1" t="s">
        <v>6649</v>
      </c>
      <c r="C1653" s="1" t="s">
        <v>39</v>
      </c>
      <c r="D1653" s="1">
        <v>35223.0</v>
      </c>
      <c r="E1653" s="1" t="s">
        <v>60</v>
      </c>
      <c r="F1653" s="1" t="s">
        <v>46</v>
      </c>
      <c r="G1653" s="1" t="s">
        <v>31</v>
      </c>
      <c r="H1653" s="2">
        <v>1143.0</v>
      </c>
      <c r="I1653" s="2">
        <v>9636.0</v>
      </c>
      <c r="J1653" s="1">
        <v>2019.0</v>
      </c>
      <c r="K1653" s="1">
        <v>98.0</v>
      </c>
      <c r="L1653" s="1" t="s">
        <v>95</v>
      </c>
      <c r="M1653" s="1" t="s">
        <v>6650</v>
      </c>
      <c r="N1653" s="1" t="s">
        <v>34</v>
      </c>
      <c r="O1653" s="1" t="s">
        <v>25</v>
      </c>
      <c r="P1653" s="1" t="s">
        <v>6651</v>
      </c>
    </row>
    <row r="1654" ht="14.25" customHeight="1">
      <c r="A1654" s="1" t="s">
        <v>6652</v>
      </c>
      <c r="B1654" s="1" t="s">
        <v>6653</v>
      </c>
      <c r="C1654" s="1" t="s">
        <v>53</v>
      </c>
      <c r="D1654" s="1">
        <v>84493.0</v>
      </c>
      <c r="E1654" s="1" t="s">
        <v>19</v>
      </c>
      <c r="F1654" s="1" t="s">
        <v>46</v>
      </c>
      <c r="G1654" s="1" t="s">
        <v>31</v>
      </c>
      <c r="H1654" s="2">
        <v>1898.0</v>
      </c>
      <c r="I1654" s="2">
        <v>9644.0</v>
      </c>
      <c r="J1654" s="1">
        <v>1992.0</v>
      </c>
      <c r="K1654" s="1">
        <v>55.0</v>
      </c>
      <c r="L1654" s="1" t="s">
        <v>32</v>
      </c>
      <c r="M1654" s="1" t="s">
        <v>6654</v>
      </c>
      <c r="N1654" s="1" t="s">
        <v>24</v>
      </c>
      <c r="O1654" s="1" t="s">
        <v>25</v>
      </c>
      <c r="P1654" s="1" t="s">
        <v>6655</v>
      </c>
    </row>
    <row r="1655" ht="14.25" customHeight="1">
      <c r="A1655" s="1" t="s">
        <v>6656</v>
      </c>
      <c r="B1655" s="1" t="s">
        <v>6657</v>
      </c>
      <c r="C1655" s="1" t="s">
        <v>29</v>
      </c>
      <c r="D1655" s="1">
        <v>94640.0</v>
      </c>
      <c r="E1655" s="1" t="s">
        <v>40</v>
      </c>
      <c r="F1655" s="1" t="s">
        <v>94</v>
      </c>
      <c r="G1655" s="1" t="s">
        <v>55</v>
      </c>
      <c r="H1655" s="2">
        <v>892.0</v>
      </c>
      <c r="I1655" s="2">
        <v>8183.0</v>
      </c>
      <c r="J1655" s="1">
        <v>1966.0</v>
      </c>
      <c r="K1655" s="1">
        <v>68.0</v>
      </c>
      <c r="L1655" s="1" t="s">
        <v>32</v>
      </c>
      <c r="M1655" s="1" t="s">
        <v>6658</v>
      </c>
      <c r="N1655" s="1" t="s">
        <v>34</v>
      </c>
      <c r="O1655" s="1" t="s">
        <v>49</v>
      </c>
      <c r="P1655" s="1" t="s">
        <v>6659</v>
      </c>
    </row>
    <row r="1656" ht="14.25" customHeight="1">
      <c r="A1656" s="1" t="s">
        <v>6660</v>
      </c>
      <c r="B1656" s="1" t="s">
        <v>6661</v>
      </c>
      <c r="C1656" s="1" t="s">
        <v>76</v>
      </c>
      <c r="D1656" s="1">
        <v>60231.0</v>
      </c>
      <c r="E1656" s="1" t="s">
        <v>77</v>
      </c>
      <c r="F1656" s="1" t="s">
        <v>94</v>
      </c>
      <c r="G1656" s="1" t="s">
        <v>31</v>
      </c>
      <c r="H1656" s="2">
        <v>3886.0</v>
      </c>
      <c r="I1656" s="2">
        <v>6667.0</v>
      </c>
      <c r="J1656" s="1">
        <v>1996.0</v>
      </c>
      <c r="K1656" s="1">
        <v>9.0</v>
      </c>
      <c r="L1656" s="1" t="s">
        <v>32</v>
      </c>
      <c r="M1656" s="1" t="s">
        <v>6662</v>
      </c>
      <c r="N1656" s="1" t="s">
        <v>24</v>
      </c>
      <c r="O1656" s="1" t="s">
        <v>25</v>
      </c>
      <c r="P1656" s="1" t="s">
        <v>6663</v>
      </c>
    </row>
    <row r="1657" ht="14.25" customHeight="1">
      <c r="A1657" s="1" t="s">
        <v>6664</v>
      </c>
      <c r="B1657" s="1" t="s">
        <v>6665</v>
      </c>
      <c r="C1657" s="1" t="s">
        <v>29</v>
      </c>
      <c r="D1657" s="1">
        <v>82632.0</v>
      </c>
      <c r="E1657" s="1" t="s">
        <v>30</v>
      </c>
      <c r="F1657" s="1" t="s">
        <v>94</v>
      </c>
      <c r="G1657" s="1" t="s">
        <v>55</v>
      </c>
      <c r="H1657" s="2">
        <v>1745.0</v>
      </c>
      <c r="I1657" s="2">
        <v>2778.0</v>
      </c>
      <c r="J1657" s="1">
        <v>1958.0</v>
      </c>
      <c r="K1657" s="1">
        <v>9.0</v>
      </c>
      <c r="L1657" s="1" t="s">
        <v>22</v>
      </c>
      <c r="M1657" s="1" t="s">
        <v>6666</v>
      </c>
      <c r="N1657" s="1" t="s">
        <v>43</v>
      </c>
      <c r="O1657" s="1" t="s">
        <v>49</v>
      </c>
      <c r="P1657" s="1" t="s">
        <v>6667</v>
      </c>
    </row>
    <row r="1658" ht="14.25" customHeight="1">
      <c r="A1658" s="1" t="s">
        <v>6668</v>
      </c>
      <c r="B1658" s="1" t="s">
        <v>6669</v>
      </c>
      <c r="C1658" s="1" t="s">
        <v>53</v>
      </c>
      <c r="D1658" s="1">
        <v>88530.0</v>
      </c>
      <c r="E1658" s="1" t="s">
        <v>77</v>
      </c>
      <c r="F1658" s="1" t="s">
        <v>61</v>
      </c>
      <c r="G1658" s="1" t="s">
        <v>31</v>
      </c>
      <c r="H1658" s="2">
        <v>3985.0</v>
      </c>
      <c r="I1658" s="2">
        <v>1184.0</v>
      </c>
      <c r="J1658" s="1">
        <v>2005.0</v>
      </c>
      <c r="K1658" s="1">
        <v>107.0</v>
      </c>
      <c r="L1658" s="1" t="s">
        <v>22</v>
      </c>
      <c r="M1658" s="1" t="s">
        <v>6670</v>
      </c>
      <c r="N1658" s="1" t="s">
        <v>64</v>
      </c>
      <c r="O1658" s="1" t="s">
        <v>49</v>
      </c>
      <c r="P1658" s="1" t="s">
        <v>6671</v>
      </c>
    </row>
    <row r="1659" ht="14.25" customHeight="1">
      <c r="A1659" s="1" t="s">
        <v>6672</v>
      </c>
      <c r="B1659" s="1" t="s">
        <v>6673</v>
      </c>
      <c r="C1659" s="1" t="s">
        <v>29</v>
      </c>
      <c r="D1659" s="1">
        <v>54993.0</v>
      </c>
      <c r="E1659" s="1" t="s">
        <v>40</v>
      </c>
      <c r="F1659" s="1" t="s">
        <v>46</v>
      </c>
      <c r="G1659" s="1" t="s">
        <v>21</v>
      </c>
      <c r="H1659" s="2">
        <v>1806.0</v>
      </c>
      <c r="I1659" s="2">
        <v>4921.0</v>
      </c>
      <c r="J1659" s="1">
        <v>1990.0</v>
      </c>
      <c r="K1659" s="1">
        <v>79.0</v>
      </c>
      <c r="L1659" s="1" t="s">
        <v>62</v>
      </c>
      <c r="M1659" s="1" t="s">
        <v>6674</v>
      </c>
      <c r="N1659" s="1" t="s">
        <v>48</v>
      </c>
      <c r="O1659" s="1" t="s">
        <v>25</v>
      </c>
      <c r="P1659" s="1" t="s">
        <v>6675</v>
      </c>
    </row>
    <row r="1660" ht="14.25" customHeight="1">
      <c r="A1660" s="1" t="s">
        <v>6676</v>
      </c>
      <c r="B1660" s="1" t="s">
        <v>6677</v>
      </c>
      <c r="C1660" s="1" t="s">
        <v>53</v>
      </c>
      <c r="D1660" s="1">
        <v>85045.0</v>
      </c>
      <c r="E1660" s="1" t="s">
        <v>40</v>
      </c>
      <c r="F1660" s="1" t="s">
        <v>94</v>
      </c>
      <c r="G1660" s="1" t="s">
        <v>55</v>
      </c>
      <c r="H1660" s="2">
        <v>931.0</v>
      </c>
      <c r="I1660" s="2">
        <v>1462.0</v>
      </c>
      <c r="J1660" s="1">
        <v>1990.0</v>
      </c>
      <c r="K1660" s="1">
        <v>51.0</v>
      </c>
      <c r="L1660" s="1" t="s">
        <v>32</v>
      </c>
      <c r="M1660" s="1" t="s">
        <v>6678</v>
      </c>
      <c r="N1660" s="1" t="s">
        <v>24</v>
      </c>
      <c r="O1660" s="1" t="s">
        <v>49</v>
      </c>
      <c r="P1660" s="1" t="s">
        <v>6679</v>
      </c>
    </row>
    <row r="1661" ht="14.25" customHeight="1">
      <c r="A1661" s="1" t="s">
        <v>6680</v>
      </c>
      <c r="B1661" s="1" t="s">
        <v>6681</v>
      </c>
      <c r="C1661" s="1" t="s">
        <v>76</v>
      </c>
      <c r="D1661" s="1">
        <v>55113.0</v>
      </c>
      <c r="E1661" s="1" t="s">
        <v>40</v>
      </c>
      <c r="F1661" s="1" t="s">
        <v>20</v>
      </c>
      <c r="G1661" s="1" t="s">
        <v>100</v>
      </c>
      <c r="H1661" s="2">
        <v>1404.0</v>
      </c>
      <c r="I1661" s="2">
        <v>6978.0</v>
      </c>
      <c r="J1661" s="1">
        <v>1969.0</v>
      </c>
      <c r="K1661" s="1">
        <v>12.0</v>
      </c>
      <c r="L1661" s="1" t="s">
        <v>32</v>
      </c>
      <c r="M1661" s="1" t="s">
        <v>6682</v>
      </c>
      <c r="N1661" s="1" t="s">
        <v>43</v>
      </c>
      <c r="O1661" s="1" t="s">
        <v>25</v>
      </c>
      <c r="P1661" s="1" t="s">
        <v>6683</v>
      </c>
    </row>
    <row r="1662" ht="14.25" customHeight="1">
      <c r="A1662" s="1" t="s">
        <v>6684</v>
      </c>
      <c r="B1662" s="1" t="s">
        <v>6685</v>
      </c>
      <c r="C1662" s="1" t="s">
        <v>29</v>
      </c>
      <c r="D1662" s="1">
        <v>31004.0</v>
      </c>
      <c r="E1662" s="1" t="s">
        <v>60</v>
      </c>
      <c r="F1662" s="1" t="s">
        <v>94</v>
      </c>
      <c r="G1662" s="1" t="s">
        <v>21</v>
      </c>
      <c r="H1662" s="2">
        <v>1069.0</v>
      </c>
      <c r="I1662" s="2">
        <v>5588.0</v>
      </c>
      <c r="J1662" s="1">
        <v>1999.0</v>
      </c>
      <c r="K1662" s="1">
        <v>78.0</v>
      </c>
      <c r="L1662" s="1" t="s">
        <v>22</v>
      </c>
      <c r="M1662" s="1" t="s">
        <v>6686</v>
      </c>
      <c r="N1662" s="1" t="s">
        <v>24</v>
      </c>
      <c r="O1662" s="1" t="s">
        <v>25</v>
      </c>
      <c r="P1662" s="1" t="s">
        <v>6687</v>
      </c>
    </row>
    <row r="1663" ht="14.25" customHeight="1">
      <c r="A1663" s="1" t="s">
        <v>6688</v>
      </c>
      <c r="B1663" s="1" t="s">
        <v>6689</v>
      </c>
      <c r="C1663" s="1" t="s">
        <v>76</v>
      </c>
      <c r="D1663" s="1">
        <v>87865.0</v>
      </c>
      <c r="E1663" s="1" t="s">
        <v>40</v>
      </c>
      <c r="F1663" s="1" t="s">
        <v>54</v>
      </c>
      <c r="G1663" s="1" t="s">
        <v>55</v>
      </c>
      <c r="H1663" s="2">
        <v>2695.0</v>
      </c>
      <c r="I1663" s="2">
        <v>6672.0</v>
      </c>
      <c r="J1663" s="1">
        <v>1995.0</v>
      </c>
      <c r="K1663" s="1">
        <v>95.0</v>
      </c>
      <c r="L1663" s="1" t="s">
        <v>141</v>
      </c>
      <c r="M1663" s="1" t="s">
        <v>6690</v>
      </c>
      <c r="N1663" s="1" t="s">
        <v>34</v>
      </c>
      <c r="O1663" s="1" t="s">
        <v>49</v>
      </c>
      <c r="P1663" s="1" t="s">
        <v>6691</v>
      </c>
    </row>
    <row r="1664" ht="14.25" customHeight="1">
      <c r="A1664" s="1" t="s">
        <v>6692</v>
      </c>
      <c r="B1664" s="1" t="s">
        <v>6693</v>
      </c>
      <c r="C1664" s="1" t="s">
        <v>76</v>
      </c>
      <c r="D1664" s="1">
        <v>59792.0</v>
      </c>
      <c r="E1664" s="1" t="s">
        <v>77</v>
      </c>
      <c r="F1664" s="1" t="s">
        <v>54</v>
      </c>
      <c r="G1664" s="1" t="s">
        <v>100</v>
      </c>
      <c r="H1664" s="2">
        <v>3991.0</v>
      </c>
      <c r="I1664" s="2">
        <v>6335.0</v>
      </c>
      <c r="J1664" s="1">
        <v>2014.0</v>
      </c>
      <c r="K1664" s="1">
        <v>86.0</v>
      </c>
      <c r="L1664" s="1" t="s">
        <v>22</v>
      </c>
      <c r="M1664" s="1" t="s">
        <v>6694</v>
      </c>
      <c r="N1664" s="1" t="s">
        <v>48</v>
      </c>
      <c r="O1664" s="1" t="s">
        <v>35</v>
      </c>
      <c r="P1664" s="1" t="s">
        <v>6695</v>
      </c>
    </row>
    <row r="1665" ht="14.25" customHeight="1">
      <c r="A1665" s="1" t="s">
        <v>6696</v>
      </c>
      <c r="B1665" s="1" t="s">
        <v>6697</v>
      </c>
      <c r="C1665" s="1" t="s">
        <v>39</v>
      </c>
      <c r="D1665" s="1">
        <v>56988.0</v>
      </c>
      <c r="E1665" s="1" t="s">
        <v>60</v>
      </c>
      <c r="F1665" s="1" t="s">
        <v>41</v>
      </c>
      <c r="G1665" s="1" t="s">
        <v>21</v>
      </c>
      <c r="H1665" s="2">
        <v>3785.0</v>
      </c>
      <c r="I1665" s="2">
        <v>8693.0</v>
      </c>
      <c r="J1665" s="1">
        <v>2006.0</v>
      </c>
      <c r="K1665" s="1">
        <v>53.0</v>
      </c>
      <c r="L1665" s="1" t="s">
        <v>141</v>
      </c>
      <c r="M1665" s="1" t="s">
        <v>6698</v>
      </c>
      <c r="N1665" s="1" t="s">
        <v>48</v>
      </c>
      <c r="O1665" s="1" t="s">
        <v>49</v>
      </c>
      <c r="P1665" s="1" t="s">
        <v>6699</v>
      </c>
    </row>
    <row r="1666" ht="14.25" customHeight="1">
      <c r="A1666" s="1" t="s">
        <v>6700</v>
      </c>
      <c r="B1666" s="1" t="s">
        <v>6701</v>
      </c>
      <c r="C1666" s="1" t="s">
        <v>53</v>
      </c>
      <c r="D1666" s="1">
        <v>77095.0</v>
      </c>
      <c r="E1666" s="1" t="s">
        <v>30</v>
      </c>
      <c r="F1666" s="1" t="s">
        <v>61</v>
      </c>
      <c r="G1666" s="1" t="s">
        <v>21</v>
      </c>
      <c r="H1666" s="2">
        <v>966.0</v>
      </c>
      <c r="I1666" s="2">
        <v>3173.0</v>
      </c>
      <c r="J1666" s="1">
        <v>1964.0</v>
      </c>
      <c r="K1666" s="1">
        <v>86.0</v>
      </c>
      <c r="L1666" s="1" t="s">
        <v>32</v>
      </c>
      <c r="M1666" s="1" t="s">
        <v>6702</v>
      </c>
      <c r="N1666" s="1" t="s">
        <v>64</v>
      </c>
      <c r="O1666" s="1" t="s">
        <v>35</v>
      </c>
      <c r="P1666" s="1" t="s">
        <v>6703</v>
      </c>
    </row>
    <row r="1667" ht="14.25" customHeight="1">
      <c r="A1667" s="1" t="s">
        <v>6704</v>
      </c>
      <c r="B1667" s="1" t="s">
        <v>6705</v>
      </c>
      <c r="C1667" s="1" t="s">
        <v>76</v>
      </c>
      <c r="D1667" s="1">
        <v>20111.0</v>
      </c>
      <c r="E1667" s="1" t="s">
        <v>19</v>
      </c>
      <c r="F1667" s="1" t="s">
        <v>41</v>
      </c>
      <c r="G1667" s="1" t="s">
        <v>21</v>
      </c>
      <c r="H1667" s="2">
        <v>2843.0</v>
      </c>
      <c r="I1667" s="2">
        <v>6095.0</v>
      </c>
      <c r="J1667" s="1">
        <v>2008.0</v>
      </c>
      <c r="K1667" s="1">
        <v>100.0</v>
      </c>
      <c r="L1667" s="1" t="s">
        <v>32</v>
      </c>
      <c r="M1667" s="1" t="s">
        <v>6706</v>
      </c>
      <c r="N1667" s="1" t="s">
        <v>24</v>
      </c>
      <c r="O1667" s="1" t="s">
        <v>35</v>
      </c>
      <c r="P1667" s="1" t="s">
        <v>6707</v>
      </c>
    </row>
    <row r="1668" ht="14.25" customHeight="1">
      <c r="A1668" s="1" t="s">
        <v>6708</v>
      </c>
      <c r="B1668" s="1" t="s">
        <v>6709</v>
      </c>
      <c r="C1668" s="1" t="s">
        <v>29</v>
      </c>
      <c r="D1668" s="1">
        <v>59637.0</v>
      </c>
      <c r="E1668" s="1" t="s">
        <v>40</v>
      </c>
      <c r="F1668" s="1" t="s">
        <v>46</v>
      </c>
      <c r="G1668" s="1" t="s">
        <v>21</v>
      </c>
      <c r="H1668" s="2">
        <v>1577.0</v>
      </c>
      <c r="I1668" s="2">
        <v>4047.0</v>
      </c>
      <c r="J1668" s="1">
        <v>1989.0</v>
      </c>
      <c r="K1668" s="1">
        <v>103.0</v>
      </c>
      <c r="L1668" s="1" t="s">
        <v>141</v>
      </c>
      <c r="M1668" s="1" t="s">
        <v>6710</v>
      </c>
      <c r="N1668" s="1" t="s">
        <v>24</v>
      </c>
      <c r="O1668" s="1" t="s">
        <v>35</v>
      </c>
      <c r="P1668" s="1" t="s">
        <v>6711</v>
      </c>
    </row>
    <row r="1669" ht="14.25" customHeight="1">
      <c r="A1669" s="1" t="s">
        <v>6712</v>
      </c>
      <c r="B1669" s="1" t="s">
        <v>6713</v>
      </c>
      <c r="C1669" s="1" t="s">
        <v>53</v>
      </c>
      <c r="D1669" s="1">
        <v>28585.0</v>
      </c>
      <c r="E1669" s="1" t="s">
        <v>77</v>
      </c>
      <c r="F1669" s="1" t="s">
        <v>94</v>
      </c>
      <c r="G1669" s="1" t="s">
        <v>100</v>
      </c>
      <c r="H1669" s="2">
        <v>2670.0</v>
      </c>
      <c r="I1669" s="2">
        <v>3530.0</v>
      </c>
      <c r="J1669" s="1">
        <v>1991.0</v>
      </c>
      <c r="K1669" s="1">
        <v>38.0</v>
      </c>
      <c r="L1669" s="1" t="s">
        <v>22</v>
      </c>
      <c r="M1669" s="1" t="s">
        <v>6714</v>
      </c>
      <c r="N1669" s="1" t="s">
        <v>48</v>
      </c>
      <c r="O1669" s="1" t="s">
        <v>35</v>
      </c>
      <c r="P1669" s="1" t="s">
        <v>6715</v>
      </c>
    </row>
    <row r="1670" ht="14.25" customHeight="1">
      <c r="A1670" s="1" t="s">
        <v>6716</v>
      </c>
      <c r="B1670" s="1" t="s">
        <v>6717</v>
      </c>
      <c r="C1670" s="1" t="s">
        <v>39</v>
      </c>
      <c r="D1670" s="1">
        <v>19965.0</v>
      </c>
      <c r="E1670" s="1" t="s">
        <v>60</v>
      </c>
      <c r="F1670" s="1" t="s">
        <v>41</v>
      </c>
      <c r="G1670" s="1" t="s">
        <v>31</v>
      </c>
      <c r="H1670" s="2">
        <v>3467.0</v>
      </c>
      <c r="I1670" s="2">
        <v>4404.0</v>
      </c>
      <c r="J1670" s="1">
        <v>2012.0</v>
      </c>
      <c r="K1670" s="1">
        <v>88.0</v>
      </c>
      <c r="L1670" s="1" t="s">
        <v>22</v>
      </c>
      <c r="M1670" s="1" t="s">
        <v>6718</v>
      </c>
      <c r="N1670" s="1" t="s">
        <v>34</v>
      </c>
      <c r="O1670" s="1" t="s">
        <v>35</v>
      </c>
      <c r="P1670" s="1" t="s">
        <v>6719</v>
      </c>
    </row>
    <row r="1671" ht="14.25" customHeight="1">
      <c r="A1671" s="1" t="s">
        <v>6720</v>
      </c>
      <c r="B1671" s="1" t="s">
        <v>6721</v>
      </c>
      <c r="C1671" s="1" t="s">
        <v>53</v>
      </c>
      <c r="D1671" s="1">
        <v>16960.0</v>
      </c>
      <c r="E1671" s="1" t="s">
        <v>40</v>
      </c>
      <c r="F1671" s="1" t="s">
        <v>41</v>
      </c>
      <c r="G1671" s="1" t="s">
        <v>100</v>
      </c>
      <c r="H1671" s="2">
        <v>3191.0</v>
      </c>
      <c r="I1671" s="2">
        <v>8450.0</v>
      </c>
      <c r="J1671" s="1">
        <v>1981.0</v>
      </c>
      <c r="K1671" s="1">
        <v>54.0</v>
      </c>
      <c r="L1671" s="1" t="s">
        <v>22</v>
      </c>
      <c r="M1671" s="1" t="s">
        <v>6722</v>
      </c>
      <c r="N1671" s="1" t="s">
        <v>43</v>
      </c>
      <c r="O1671" s="1" t="s">
        <v>35</v>
      </c>
      <c r="P1671" s="1" t="s">
        <v>6723</v>
      </c>
    </row>
    <row r="1672" ht="14.25" customHeight="1">
      <c r="A1672" s="1" t="s">
        <v>6724</v>
      </c>
      <c r="B1672" s="1" t="s">
        <v>6725</v>
      </c>
      <c r="C1672" s="1" t="s">
        <v>53</v>
      </c>
      <c r="D1672" s="1">
        <v>26677.0</v>
      </c>
      <c r="E1672" s="1" t="s">
        <v>19</v>
      </c>
      <c r="F1672" s="1" t="s">
        <v>54</v>
      </c>
      <c r="G1672" s="1" t="s">
        <v>55</v>
      </c>
      <c r="H1672" s="2">
        <v>2578.0</v>
      </c>
      <c r="I1672" s="2">
        <v>8444.0</v>
      </c>
      <c r="J1672" s="1">
        <v>2016.0</v>
      </c>
      <c r="K1672" s="1">
        <v>54.0</v>
      </c>
      <c r="L1672" s="1" t="s">
        <v>32</v>
      </c>
      <c r="M1672" s="1" t="s">
        <v>6726</v>
      </c>
      <c r="N1672" s="1" t="s">
        <v>34</v>
      </c>
      <c r="O1672" s="1" t="s">
        <v>49</v>
      </c>
      <c r="P1672" s="1" t="s">
        <v>6727</v>
      </c>
    </row>
    <row r="1673" ht="14.25" customHeight="1">
      <c r="A1673" s="1" t="s">
        <v>6728</v>
      </c>
      <c r="B1673" s="1" t="s">
        <v>6729</v>
      </c>
      <c r="C1673" s="1" t="s">
        <v>53</v>
      </c>
      <c r="D1673" s="1">
        <v>69486.0</v>
      </c>
      <c r="E1673" s="1" t="s">
        <v>60</v>
      </c>
      <c r="F1673" s="1" t="s">
        <v>20</v>
      </c>
      <c r="G1673" s="1" t="s">
        <v>21</v>
      </c>
      <c r="H1673" s="2">
        <v>1857.0</v>
      </c>
      <c r="I1673" s="2">
        <v>5751.0</v>
      </c>
      <c r="J1673" s="1">
        <v>1990.0</v>
      </c>
      <c r="K1673" s="1">
        <v>83.0</v>
      </c>
      <c r="L1673" s="1" t="s">
        <v>62</v>
      </c>
      <c r="M1673" s="1" t="s">
        <v>6730</v>
      </c>
      <c r="N1673" s="1" t="s">
        <v>64</v>
      </c>
      <c r="O1673" s="1" t="s">
        <v>35</v>
      </c>
      <c r="P1673" s="1" t="s">
        <v>6731</v>
      </c>
    </row>
    <row r="1674" ht="14.25" customHeight="1">
      <c r="A1674" s="1" t="s">
        <v>6732</v>
      </c>
      <c r="B1674" s="1" t="s">
        <v>6733</v>
      </c>
      <c r="C1674" s="1" t="s">
        <v>39</v>
      </c>
      <c r="D1674" s="1">
        <v>42718.0</v>
      </c>
      <c r="E1674" s="1" t="s">
        <v>19</v>
      </c>
      <c r="F1674" s="1" t="s">
        <v>54</v>
      </c>
      <c r="G1674" s="1" t="s">
        <v>21</v>
      </c>
      <c r="H1674" s="2">
        <v>3911.0</v>
      </c>
      <c r="I1674" s="2">
        <v>8802.0</v>
      </c>
      <c r="J1674" s="1">
        <v>1996.0</v>
      </c>
      <c r="K1674" s="1">
        <v>46.0</v>
      </c>
      <c r="L1674" s="1" t="s">
        <v>32</v>
      </c>
      <c r="M1674" s="1" t="s">
        <v>6734</v>
      </c>
      <c r="N1674" s="1" t="s">
        <v>24</v>
      </c>
      <c r="O1674" s="1" t="s">
        <v>49</v>
      </c>
      <c r="P1674" s="1" t="s">
        <v>6735</v>
      </c>
    </row>
    <row r="1675" ht="14.25" customHeight="1">
      <c r="A1675" s="1" t="s">
        <v>6736</v>
      </c>
      <c r="B1675" s="1" t="s">
        <v>6737</v>
      </c>
      <c r="C1675" s="1" t="s">
        <v>18</v>
      </c>
      <c r="D1675" s="1">
        <v>10416.0</v>
      </c>
      <c r="E1675" s="1" t="s">
        <v>77</v>
      </c>
      <c r="F1675" s="1" t="s">
        <v>54</v>
      </c>
      <c r="G1675" s="1" t="s">
        <v>21</v>
      </c>
      <c r="H1675" s="2">
        <v>3232.0</v>
      </c>
      <c r="I1675" s="2">
        <v>1687.0</v>
      </c>
      <c r="J1675" s="1">
        <v>1967.0</v>
      </c>
      <c r="K1675" s="1">
        <v>115.0</v>
      </c>
      <c r="L1675" s="1" t="s">
        <v>22</v>
      </c>
      <c r="M1675" s="1" t="s">
        <v>6738</v>
      </c>
      <c r="N1675" s="1" t="s">
        <v>24</v>
      </c>
      <c r="O1675" s="1" t="s">
        <v>25</v>
      </c>
      <c r="P1675" s="1" t="s">
        <v>6739</v>
      </c>
    </row>
    <row r="1676" ht="14.25" customHeight="1">
      <c r="A1676" s="1" t="s">
        <v>6740</v>
      </c>
      <c r="B1676" s="1" t="s">
        <v>6741</v>
      </c>
      <c r="C1676" s="1" t="s">
        <v>76</v>
      </c>
      <c r="D1676" s="1">
        <v>31458.0</v>
      </c>
      <c r="E1676" s="1" t="s">
        <v>60</v>
      </c>
      <c r="F1676" s="1" t="s">
        <v>61</v>
      </c>
      <c r="G1676" s="1" t="s">
        <v>100</v>
      </c>
      <c r="H1676" s="2">
        <v>3556.0</v>
      </c>
      <c r="I1676" s="2">
        <v>1530.0</v>
      </c>
      <c r="J1676" s="1">
        <v>2022.0</v>
      </c>
      <c r="K1676" s="1">
        <v>17.0</v>
      </c>
      <c r="L1676" s="1" t="s">
        <v>22</v>
      </c>
      <c r="M1676" s="1" t="s">
        <v>6742</v>
      </c>
      <c r="N1676" s="1" t="s">
        <v>43</v>
      </c>
      <c r="O1676" s="1" t="s">
        <v>35</v>
      </c>
      <c r="P1676" s="1" t="s">
        <v>6743</v>
      </c>
    </row>
    <row r="1677" ht="14.25" customHeight="1">
      <c r="A1677" s="1" t="s">
        <v>6744</v>
      </c>
      <c r="B1677" s="1" t="s">
        <v>6745</v>
      </c>
      <c r="C1677" s="1" t="s">
        <v>76</v>
      </c>
      <c r="D1677" s="1">
        <v>50549.0</v>
      </c>
      <c r="E1677" s="1" t="s">
        <v>30</v>
      </c>
      <c r="F1677" s="1" t="s">
        <v>61</v>
      </c>
      <c r="G1677" s="1" t="s">
        <v>55</v>
      </c>
      <c r="H1677" s="2">
        <v>3763.0</v>
      </c>
      <c r="I1677" s="2">
        <v>9075.0</v>
      </c>
      <c r="J1677" s="1">
        <v>1985.0</v>
      </c>
      <c r="K1677" s="1">
        <v>12.0</v>
      </c>
      <c r="L1677" s="1" t="s">
        <v>141</v>
      </c>
      <c r="M1677" s="1" t="s">
        <v>6746</v>
      </c>
      <c r="N1677" s="1" t="s">
        <v>64</v>
      </c>
      <c r="O1677" s="1" t="s">
        <v>25</v>
      </c>
      <c r="P1677" s="1" t="s">
        <v>6747</v>
      </c>
    </row>
    <row r="1678" ht="14.25" customHeight="1">
      <c r="A1678" s="1" t="s">
        <v>6748</v>
      </c>
      <c r="B1678" s="1" t="s">
        <v>6749</v>
      </c>
      <c r="C1678" s="1" t="s">
        <v>53</v>
      </c>
      <c r="D1678" s="1">
        <v>75254.0</v>
      </c>
      <c r="E1678" s="1" t="s">
        <v>77</v>
      </c>
      <c r="F1678" s="1" t="s">
        <v>20</v>
      </c>
      <c r="G1678" s="1" t="s">
        <v>100</v>
      </c>
      <c r="H1678" s="2">
        <v>1764.0</v>
      </c>
      <c r="I1678" s="2">
        <v>9718.0</v>
      </c>
      <c r="J1678" s="1">
        <v>2019.0</v>
      </c>
      <c r="K1678" s="1">
        <v>55.0</v>
      </c>
      <c r="L1678" s="1" t="s">
        <v>62</v>
      </c>
      <c r="M1678" s="1" t="s">
        <v>6750</v>
      </c>
      <c r="N1678" s="1" t="s">
        <v>24</v>
      </c>
      <c r="O1678" s="1" t="s">
        <v>35</v>
      </c>
      <c r="P1678" s="1" t="s">
        <v>6751</v>
      </c>
    </row>
    <row r="1679" ht="14.25" customHeight="1">
      <c r="A1679" s="1" t="s">
        <v>6752</v>
      </c>
      <c r="B1679" s="1" t="s">
        <v>6753</v>
      </c>
      <c r="C1679" s="1" t="s">
        <v>53</v>
      </c>
      <c r="D1679" s="1">
        <v>18307.0</v>
      </c>
      <c r="E1679" s="1" t="s">
        <v>77</v>
      </c>
      <c r="F1679" s="1" t="s">
        <v>94</v>
      </c>
      <c r="G1679" s="1" t="s">
        <v>100</v>
      </c>
      <c r="H1679" s="2">
        <v>3349.0</v>
      </c>
      <c r="I1679" s="2">
        <v>8588.0</v>
      </c>
      <c r="J1679" s="1">
        <v>2001.0</v>
      </c>
      <c r="K1679" s="1">
        <v>86.0</v>
      </c>
      <c r="L1679" s="1" t="s">
        <v>95</v>
      </c>
      <c r="M1679" s="1" t="s">
        <v>6754</v>
      </c>
      <c r="N1679" s="1" t="s">
        <v>43</v>
      </c>
      <c r="O1679" s="1" t="s">
        <v>35</v>
      </c>
      <c r="P1679" s="1" t="s">
        <v>6755</v>
      </c>
    </row>
    <row r="1680" ht="14.25" customHeight="1">
      <c r="A1680" s="1" t="s">
        <v>6756</v>
      </c>
      <c r="B1680" s="1" t="s">
        <v>6757</v>
      </c>
      <c r="C1680" s="1" t="s">
        <v>53</v>
      </c>
      <c r="D1680" s="1">
        <v>54519.0</v>
      </c>
      <c r="E1680" s="1" t="s">
        <v>60</v>
      </c>
      <c r="F1680" s="1" t="s">
        <v>46</v>
      </c>
      <c r="G1680" s="1" t="s">
        <v>55</v>
      </c>
      <c r="H1680" s="2">
        <v>1446.0</v>
      </c>
      <c r="I1680" s="2">
        <v>2301.0</v>
      </c>
      <c r="J1680" s="1">
        <v>1982.0</v>
      </c>
      <c r="K1680" s="1">
        <v>31.0</v>
      </c>
      <c r="L1680" s="1" t="s">
        <v>32</v>
      </c>
      <c r="M1680" s="1" t="s">
        <v>6758</v>
      </c>
      <c r="N1680" s="1" t="s">
        <v>64</v>
      </c>
      <c r="O1680" s="1" t="s">
        <v>35</v>
      </c>
      <c r="P1680" s="1" t="s">
        <v>6759</v>
      </c>
    </row>
    <row r="1681" ht="14.25" customHeight="1">
      <c r="A1681" s="1" t="s">
        <v>6760</v>
      </c>
      <c r="B1681" s="1" t="s">
        <v>6761</v>
      </c>
      <c r="C1681" s="1" t="s">
        <v>29</v>
      </c>
      <c r="D1681" s="1">
        <v>62786.0</v>
      </c>
      <c r="E1681" s="1" t="s">
        <v>60</v>
      </c>
      <c r="F1681" s="1" t="s">
        <v>46</v>
      </c>
      <c r="G1681" s="1" t="s">
        <v>55</v>
      </c>
      <c r="H1681" s="2">
        <v>3553.0</v>
      </c>
      <c r="I1681" s="2">
        <v>4917.0</v>
      </c>
      <c r="J1681" s="1">
        <v>1970.0</v>
      </c>
      <c r="K1681" s="1">
        <v>90.0</v>
      </c>
      <c r="L1681" s="1" t="s">
        <v>141</v>
      </c>
      <c r="M1681" s="1" t="s">
        <v>6762</v>
      </c>
      <c r="N1681" s="1" t="s">
        <v>48</v>
      </c>
      <c r="O1681" s="1" t="s">
        <v>35</v>
      </c>
      <c r="P1681" s="1" t="s">
        <v>6763</v>
      </c>
    </row>
    <row r="1682" ht="14.25" customHeight="1">
      <c r="A1682" s="1" t="s">
        <v>6764</v>
      </c>
      <c r="B1682" s="1" t="s">
        <v>6765</v>
      </c>
      <c r="C1682" s="1" t="s">
        <v>18</v>
      </c>
      <c r="D1682" s="1">
        <v>41233.0</v>
      </c>
      <c r="E1682" s="1" t="s">
        <v>77</v>
      </c>
      <c r="F1682" s="1" t="s">
        <v>46</v>
      </c>
      <c r="G1682" s="1" t="s">
        <v>31</v>
      </c>
      <c r="H1682" s="2">
        <v>1788.0</v>
      </c>
      <c r="I1682" s="2">
        <v>2741.0</v>
      </c>
      <c r="J1682" s="1">
        <v>1963.0</v>
      </c>
      <c r="K1682" s="1">
        <v>1.0</v>
      </c>
      <c r="L1682" s="1" t="s">
        <v>95</v>
      </c>
      <c r="M1682" s="1" t="s">
        <v>6766</v>
      </c>
      <c r="N1682" s="1" t="s">
        <v>64</v>
      </c>
      <c r="O1682" s="1" t="s">
        <v>35</v>
      </c>
      <c r="P1682" s="1" t="s">
        <v>6767</v>
      </c>
    </row>
    <row r="1683" ht="14.25" customHeight="1">
      <c r="A1683" s="1" t="s">
        <v>6768</v>
      </c>
      <c r="B1683" s="1" t="s">
        <v>6769</v>
      </c>
      <c r="C1683" s="1" t="s">
        <v>53</v>
      </c>
      <c r="D1683" s="1">
        <v>10978.0</v>
      </c>
      <c r="E1683" s="1" t="s">
        <v>77</v>
      </c>
      <c r="F1683" s="1" t="s">
        <v>54</v>
      </c>
      <c r="G1683" s="1" t="s">
        <v>100</v>
      </c>
      <c r="H1683" s="2">
        <v>2170.0</v>
      </c>
      <c r="I1683" s="2">
        <v>2529.0</v>
      </c>
      <c r="J1683" s="1">
        <v>2018.0</v>
      </c>
      <c r="K1683" s="1">
        <v>38.0</v>
      </c>
      <c r="L1683" s="1" t="s">
        <v>141</v>
      </c>
      <c r="M1683" s="1" t="s">
        <v>6770</v>
      </c>
      <c r="N1683" s="1" t="s">
        <v>24</v>
      </c>
      <c r="O1683" s="1" t="s">
        <v>49</v>
      </c>
      <c r="P1683" s="1" t="s">
        <v>6771</v>
      </c>
    </row>
    <row r="1684" ht="14.25" customHeight="1">
      <c r="A1684" s="1" t="s">
        <v>6772</v>
      </c>
      <c r="B1684" s="1" t="s">
        <v>6773</v>
      </c>
      <c r="C1684" s="1" t="s">
        <v>18</v>
      </c>
      <c r="D1684" s="1">
        <v>99226.0</v>
      </c>
      <c r="E1684" s="1" t="s">
        <v>77</v>
      </c>
      <c r="F1684" s="1" t="s">
        <v>54</v>
      </c>
      <c r="G1684" s="1" t="s">
        <v>21</v>
      </c>
      <c r="H1684" s="2">
        <v>1369.0</v>
      </c>
      <c r="I1684" s="2">
        <v>3948.0</v>
      </c>
      <c r="J1684" s="1">
        <v>1996.0</v>
      </c>
      <c r="K1684" s="1">
        <v>37.0</v>
      </c>
      <c r="L1684" s="1" t="s">
        <v>32</v>
      </c>
      <c r="M1684" s="1" t="s">
        <v>6774</v>
      </c>
      <c r="N1684" s="1" t="s">
        <v>43</v>
      </c>
      <c r="O1684" s="1" t="s">
        <v>35</v>
      </c>
      <c r="P1684" s="1" t="s">
        <v>6775</v>
      </c>
    </row>
    <row r="1685" ht="14.25" customHeight="1">
      <c r="A1685" s="1" t="s">
        <v>6776</v>
      </c>
      <c r="B1685" s="1" t="s">
        <v>6777</v>
      </c>
      <c r="C1685" s="1" t="s">
        <v>53</v>
      </c>
      <c r="D1685" s="1">
        <v>66023.0</v>
      </c>
      <c r="E1685" s="1" t="s">
        <v>60</v>
      </c>
      <c r="F1685" s="1" t="s">
        <v>94</v>
      </c>
      <c r="G1685" s="1" t="s">
        <v>55</v>
      </c>
      <c r="H1685" s="2">
        <v>1202.0</v>
      </c>
      <c r="I1685" s="2">
        <v>1886.0</v>
      </c>
      <c r="J1685" s="1">
        <v>1958.0</v>
      </c>
      <c r="K1685" s="1">
        <v>54.0</v>
      </c>
      <c r="L1685" s="1" t="s">
        <v>62</v>
      </c>
      <c r="M1685" s="1" t="s">
        <v>6778</v>
      </c>
      <c r="N1685" s="1" t="s">
        <v>34</v>
      </c>
      <c r="O1685" s="1" t="s">
        <v>49</v>
      </c>
      <c r="P1685" s="1" t="s">
        <v>6779</v>
      </c>
    </row>
    <row r="1686" ht="14.25" customHeight="1">
      <c r="A1686" s="1" t="s">
        <v>6780</v>
      </c>
      <c r="B1686" s="1" t="s">
        <v>6781</v>
      </c>
      <c r="C1686" s="1" t="s">
        <v>18</v>
      </c>
      <c r="D1686" s="1">
        <v>58479.0</v>
      </c>
      <c r="E1686" s="1" t="s">
        <v>30</v>
      </c>
      <c r="F1686" s="1" t="s">
        <v>20</v>
      </c>
      <c r="G1686" s="1" t="s">
        <v>31</v>
      </c>
      <c r="H1686" s="2">
        <v>1720.0</v>
      </c>
      <c r="I1686" s="2">
        <v>6518.0</v>
      </c>
      <c r="J1686" s="1">
        <v>1991.0</v>
      </c>
      <c r="K1686" s="1">
        <v>102.0</v>
      </c>
      <c r="L1686" s="1" t="s">
        <v>32</v>
      </c>
      <c r="M1686" s="1" t="s">
        <v>6782</v>
      </c>
      <c r="N1686" s="1" t="s">
        <v>34</v>
      </c>
      <c r="O1686" s="1" t="s">
        <v>25</v>
      </c>
      <c r="P1686" s="1" t="s">
        <v>6783</v>
      </c>
    </row>
    <row r="1687" ht="14.25" customHeight="1">
      <c r="A1687" s="1" t="s">
        <v>6784</v>
      </c>
      <c r="B1687" s="1" t="s">
        <v>6785</v>
      </c>
      <c r="C1687" s="1" t="s">
        <v>53</v>
      </c>
      <c r="D1687" s="1">
        <v>73605.0</v>
      </c>
      <c r="E1687" s="1" t="s">
        <v>30</v>
      </c>
      <c r="F1687" s="1" t="s">
        <v>46</v>
      </c>
      <c r="G1687" s="1" t="s">
        <v>55</v>
      </c>
      <c r="H1687" s="2">
        <v>1433.0</v>
      </c>
      <c r="I1687" s="2">
        <v>9193.0</v>
      </c>
      <c r="J1687" s="1">
        <v>1998.0</v>
      </c>
      <c r="K1687" s="1">
        <v>102.0</v>
      </c>
      <c r="L1687" s="1" t="s">
        <v>95</v>
      </c>
      <c r="M1687" s="1" t="s">
        <v>6786</v>
      </c>
      <c r="N1687" s="1" t="s">
        <v>43</v>
      </c>
      <c r="O1687" s="1" t="s">
        <v>49</v>
      </c>
      <c r="P1687" s="1" t="s">
        <v>6787</v>
      </c>
    </row>
    <row r="1688" ht="14.25" customHeight="1">
      <c r="A1688" s="1" t="s">
        <v>6788</v>
      </c>
      <c r="B1688" s="1" t="s">
        <v>6789</v>
      </c>
      <c r="C1688" s="1" t="s">
        <v>53</v>
      </c>
      <c r="D1688" s="1">
        <v>47765.0</v>
      </c>
      <c r="E1688" s="1" t="s">
        <v>40</v>
      </c>
      <c r="F1688" s="1" t="s">
        <v>41</v>
      </c>
      <c r="G1688" s="1" t="s">
        <v>21</v>
      </c>
      <c r="H1688" s="2">
        <v>1255.0</v>
      </c>
      <c r="I1688" s="2">
        <v>1888.0</v>
      </c>
      <c r="J1688" s="1">
        <v>2001.0</v>
      </c>
      <c r="K1688" s="1">
        <v>120.0</v>
      </c>
      <c r="L1688" s="1" t="s">
        <v>141</v>
      </c>
      <c r="M1688" s="1" t="s">
        <v>6790</v>
      </c>
      <c r="N1688" s="1" t="s">
        <v>64</v>
      </c>
      <c r="O1688" s="1" t="s">
        <v>35</v>
      </c>
      <c r="P1688" s="1" t="s">
        <v>6791</v>
      </c>
    </row>
    <row r="1689" ht="14.25" customHeight="1">
      <c r="A1689" s="1" t="s">
        <v>6792</v>
      </c>
      <c r="B1689" s="1" t="s">
        <v>6793</v>
      </c>
      <c r="C1689" s="1" t="s">
        <v>18</v>
      </c>
      <c r="D1689" s="1">
        <v>77508.0</v>
      </c>
      <c r="E1689" s="1" t="s">
        <v>40</v>
      </c>
      <c r="F1689" s="1" t="s">
        <v>46</v>
      </c>
      <c r="G1689" s="1" t="s">
        <v>21</v>
      </c>
      <c r="H1689" s="2">
        <v>2204.0</v>
      </c>
      <c r="I1689" s="2">
        <v>3430.0</v>
      </c>
      <c r="J1689" s="1">
        <v>2002.0</v>
      </c>
      <c r="K1689" s="1">
        <v>49.0</v>
      </c>
      <c r="L1689" s="1" t="s">
        <v>32</v>
      </c>
      <c r="M1689" s="1" t="s">
        <v>6794</v>
      </c>
      <c r="N1689" s="1" t="s">
        <v>48</v>
      </c>
      <c r="O1689" s="1" t="s">
        <v>35</v>
      </c>
      <c r="P1689" s="1" t="s">
        <v>6795</v>
      </c>
    </row>
    <row r="1690" ht="14.25" customHeight="1">
      <c r="A1690" s="1" t="s">
        <v>6796</v>
      </c>
      <c r="B1690" s="1" t="s">
        <v>6797</v>
      </c>
      <c r="C1690" s="1" t="s">
        <v>18</v>
      </c>
      <c r="D1690" s="1">
        <v>66033.0</v>
      </c>
      <c r="E1690" s="1" t="s">
        <v>60</v>
      </c>
      <c r="F1690" s="1" t="s">
        <v>54</v>
      </c>
      <c r="G1690" s="1" t="s">
        <v>100</v>
      </c>
      <c r="H1690" s="2">
        <v>3810.0</v>
      </c>
      <c r="I1690" s="2">
        <v>6155.0</v>
      </c>
      <c r="J1690" s="1">
        <v>2012.0</v>
      </c>
      <c r="K1690" s="1">
        <v>3.0</v>
      </c>
      <c r="L1690" s="1" t="s">
        <v>22</v>
      </c>
      <c r="M1690" s="1" t="s">
        <v>6798</v>
      </c>
      <c r="N1690" s="1" t="s">
        <v>24</v>
      </c>
      <c r="O1690" s="1" t="s">
        <v>35</v>
      </c>
      <c r="P1690" s="1" t="s">
        <v>6799</v>
      </c>
    </row>
    <row r="1691" ht="14.25" customHeight="1">
      <c r="A1691" s="1" t="s">
        <v>6800</v>
      </c>
      <c r="B1691" s="1" t="s">
        <v>6801</v>
      </c>
      <c r="C1691" s="1" t="s">
        <v>53</v>
      </c>
      <c r="D1691" s="1">
        <v>55291.0</v>
      </c>
      <c r="E1691" s="1" t="s">
        <v>30</v>
      </c>
      <c r="F1691" s="1" t="s">
        <v>54</v>
      </c>
      <c r="G1691" s="1" t="s">
        <v>21</v>
      </c>
      <c r="H1691" s="2">
        <v>2768.0</v>
      </c>
      <c r="I1691" s="2">
        <v>2127.0</v>
      </c>
      <c r="J1691" s="1">
        <v>2009.0</v>
      </c>
      <c r="K1691" s="1">
        <v>93.0</v>
      </c>
      <c r="L1691" s="1" t="s">
        <v>32</v>
      </c>
      <c r="M1691" s="1" t="s">
        <v>6802</v>
      </c>
      <c r="N1691" s="1" t="s">
        <v>24</v>
      </c>
      <c r="O1691" s="1" t="s">
        <v>35</v>
      </c>
      <c r="P1691" s="1" t="s">
        <v>6803</v>
      </c>
    </row>
    <row r="1692" ht="14.25" customHeight="1">
      <c r="A1692" s="1" t="s">
        <v>6804</v>
      </c>
      <c r="B1692" s="1" t="s">
        <v>6805</v>
      </c>
      <c r="C1692" s="1" t="s">
        <v>39</v>
      </c>
      <c r="D1692" s="1">
        <v>69128.0</v>
      </c>
      <c r="E1692" s="1" t="s">
        <v>77</v>
      </c>
      <c r="F1692" s="1" t="s">
        <v>94</v>
      </c>
      <c r="G1692" s="1" t="s">
        <v>55</v>
      </c>
      <c r="H1692" s="2">
        <v>1574.0</v>
      </c>
      <c r="I1692" s="2">
        <v>1106.0</v>
      </c>
      <c r="J1692" s="1">
        <v>2022.0</v>
      </c>
      <c r="K1692" s="1">
        <v>19.0</v>
      </c>
      <c r="L1692" s="1" t="s">
        <v>22</v>
      </c>
      <c r="M1692" s="1" t="s">
        <v>6806</v>
      </c>
      <c r="N1692" s="1" t="s">
        <v>43</v>
      </c>
      <c r="O1692" s="1" t="s">
        <v>35</v>
      </c>
      <c r="P1692" s="1" t="s">
        <v>6807</v>
      </c>
    </row>
    <row r="1693" ht="14.25" customHeight="1">
      <c r="A1693" s="1" t="s">
        <v>6808</v>
      </c>
      <c r="B1693" s="1" t="s">
        <v>6809</v>
      </c>
      <c r="C1693" s="1" t="s">
        <v>29</v>
      </c>
      <c r="D1693" s="1">
        <v>43311.0</v>
      </c>
      <c r="E1693" s="1" t="s">
        <v>77</v>
      </c>
      <c r="F1693" s="1" t="s">
        <v>46</v>
      </c>
      <c r="G1693" s="1" t="s">
        <v>55</v>
      </c>
      <c r="H1693" s="2">
        <v>2306.0</v>
      </c>
      <c r="I1693" s="2">
        <v>1159.0</v>
      </c>
      <c r="J1693" s="1">
        <v>1950.0</v>
      </c>
      <c r="K1693" s="1">
        <v>2.0</v>
      </c>
      <c r="L1693" s="1" t="s">
        <v>22</v>
      </c>
      <c r="M1693" s="1" t="s">
        <v>6810</v>
      </c>
      <c r="N1693" s="1" t="s">
        <v>48</v>
      </c>
      <c r="O1693" s="1" t="s">
        <v>35</v>
      </c>
      <c r="P1693" s="1" t="s">
        <v>6811</v>
      </c>
    </row>
    <row r="1694" ht="14.25" customHeight="1">
      <c r="A1694" s="1" t="s">
        <v>6812</v>
      </c>
      <c r="B1694" s="1" t="s">
        <v>6813</v>
      </c>
      <c r="C1694" s="1" t="s">
        <v>39</v>
      </c>
      <c r="D1694" s="1">
        <v>52069.0</v>
      </c>
      <c r="E1694" s="1" t="s">
        <v>60</v>
      </c>
      <c r="F1694" s="1" t="s">
        <v>46</v>
      </c>
      <c r="G1694" s="1" t="s">
        <v>21</v>
      </c>
      <c r="H1694" s="2">
        <v>3403.0</v>
      </c>
      <c r="I1694" s="2">
        <v>2352.0</v>
      </c>
      <c r="J1694" s="1">
        <v>1996.0</v>
      </c>
      <c r="K1694" s="1">
        <v>11.0</v>
      </c>
      <c r="L1694" s="1" t="s">
        <v>32</v>
      </c>
      <c r="M1694" s="1" t="s">
        <v>6814</v>
      </c>
      <c r="N1694" s="1" t="s">
        <v>64</v>
      </c>
      <c r="O1694" s="1" t="s">
        <v>49</v>
      </c>
      <c r="P1694" s="1" t="s">
        <v>6815</v>
      </c>
    </row>
    <row r="1695" ht="14.25" customHeight="1">
      <c r="A1695" s="1" t="s">
        <v>6816</v>
      </c>
      <c r="B1695" s="1" t="s">
        <v>6817</v>
      </c>
      <c r="C1695" s="1" t="s">
        <v>18</v>
      </c>
      <c r="D1695" s="1">
        <v>62752.0</v>
      </c>
      <c r="E1695" s="1" t="s">
        <v>40</v>
      </c>
      <c r="F1695" s="1" t="s">
        <v>94</v>
      </c>
      <c r="G1695" s="1" t="s">
        <v>55</v>
      </c>
      <c r="H1695" s="2">
        <v>3147.0</v>
      </c>
      <c r="I1695" s="2">
        <v>6466.0</v>
      </c>
      <c r="J1695" s="1">
        <v>1959.0</v>
      </c>
      <c r="K1695" s="1">
        <v>26.0</v>
      </c>
      <c r="L1695" s="1" t="s">
        <v>95</v>
      </c>
      <c r="M1695" s="1" t="s">
        <v>6818</v>
      </c>
      <c r="N1695" s="1" t="s">
        <v>64</v>
      </c>
      <c r="O1695" s="1" t="s">
        <v>25</v>
      </c>
      <c r="P1695" s="1" t="s">
        <v>6819</v>
      </c>
    </row>
    <row r="1696" ht="14.25" customHeight="1">
      <c r="A1696" s="1" t="s">
        <v>6820</v>
      </c>
      <c r="B1696" s="1" t="s">
        <v>6821</v>
      </c>
      <c r="C1696" s="1" t="s">
        <v>29</v>
      </c>
      <c r="D1696" s="1">
        <v>72829.0</v>
      </c>
      <c r="E1696" s="1" t="s">
        <v>30</v>
      </c>
      <c r="F1696" s="1" t="s">
        <v>41</v>
      </c>
      <c r="G1696" s="1" t="s">
        <v>31</v>
      </c>
      <c r="H1696" s="2">
        <v>1351.0</v>
      </c>
      <c r="I1696" s="2">
        <v>4370.0</v>
      </c>
      <c r="J1696" s="1">
        <v>1969.0</v>
      </c>
      <c r="K1696" s="1">
        <v>1.0</v>
      </c>
      <c r="L1696" s="1" t="s">
        <v>62</v>
      </c>
      <c r="M1696" s="1" t="s">
        <v>6822</v>
      </c>
      <c r="N1696" s="1" t="s">
        <v>34</v>
      </c>
      <c r="O1696" s="1" t="s">
        <v>49</v>
      </c>
      <c r="P1696" s="1" t="s">
        <v>6823</v>
      </c>
    </row>
    <row r="1697" ht="14.25" customHeight="1">
      <c r="A1697" s="1" t="s">
        <v>6824</v>
      </c>
      <c r="B1697" s="1" t="s">
        <v>6825</v>
      </c>
      <c r="C1697" s="1" t="s">
        <v>76</v>
      </c>
      <c r="D1697" s="1">
        <v>32256.0</v>
      </c>
      <c r="E1697" s="1" t="s">
        <v>77</v>
      </c>
      <c r="F1697" s="1" t="s">
        <v>20</v>
      </c>
      <c r="G1697" s="1" t="s">
        <v>21</v>
      </c>
      <c r="H1697" s="2">
        <v>3988.0</v>
      </c>
      <c r="I1697" s="2">
        <v>8950.0</v>
      </c>
      <c r="J1697" s="1">
        <v>1960.0</v>
      </c>
      <c r="K1697" s="1">
        <v>84.0</v>
      </c>
      <c r="L1697" s="1" t="s">
        <v>141</v>
      </c>
      <c r="M1697" s="1" t="s">
        <v>6826</v>
      </c>
      <c r="N1697" s="1" t="s">
        <v>48</v>
      </c>
      <c r="O1697" s="1" t="s">
        <v>49</v>
      </c>
      <c r="P1697" s="1" t="s">
        <v>6827</v>
      </c>
    </row>
    <row r="1698" ht="14.25" customHeight="1">
      <c r="A1698" s="1" t="s">
        <v>6828</v>
      </c>
      <c r="B1698" s="1" t="s">
        <v>6829</v>
      </c>
      <c r="C1698" s="1" t="s">
        <v>39</v>
      </c>
      <c r="D1698" s="1">
        <v>72193.0</v>
      </c>
      <c r="E1698" s="1" t="s">
        <v>19</v>
      </c>
      <c r="F1698" s="1" t="s">
        <v>46</v>
      </c>
      <c r="G1698" s="1" t="s">
        <v>55</v>
      </c>
      <c r="H1698" s="2">
        <v>2241.0</v>
      </c>
      <c r="I1698" s="2">
        <v>9780.0</v>
      </c>
      <c r="J1698" s="1">
        <v>1967.0</v>
      </c>
      <c r="K1698" s="1">
        <v>32.0</v>
      </c>
      <c r="L1698" s="1" t="s">
        <v>32</v>
      </c>
      <c r="M1698" s="1" t="s">
        <v>6830</v>
      </c>
      <c r="N1698" s="1" t="s">
        <v>64</v>
      </c>
      <c r="O1698" s="1" t="s">
        <v>25</v>
      </c>
      <c r="P1698" s="1" t="s">
        <v>6831</v>
      </c>
    </row>
    <row r="1699" ht="14.25" customHeight="1">
      <c r="A1699" s="1" t="s">
        <v>6832</v>
      </c>
      <c r="B1699" s="1" t="s">
        <v>6833</v>
      </c>
      <c r="C1699" s="1" t="s">
        <v>53</v>
      </c>
      <c r="D1699" s="1">
        <v>26032.0</v>
      </c>
      <c r="E1699" s="1" t="s">
        <v>19</v>
      </c>
      <c r="F1699" s="1" t="s">
        <v>41</v>
      </c>
      <c r="G1699" s="1" t="s">
        <v>55</v>
      </c>
      <c r="H1699" s="2">
        <v>2299.0</v>
      </c>
      <c r="I1699" s="2">
        <v>1931.0</v>
      </c>
      <c r="J1699" s="1">
        <v>1987.0</v>
      </c>
      <c r="K1699" s="1">
        <v>67.0</v>
      </c>
      <c r="L1699" s="1" t="s">
        <v>32</v>
      </c>
      <c r="M1699" s="1" t="s">
        <v>6834</v>
      </c>
      <c r="N1699" s="1" t="s">
        <v>48</v>
      </c>
      <c r="O1699" s="1" t="s">
        <v>35</v>
      </c>
      <c r="P1699" s="1" t="s">
        <v>6835</v>
      </c>
    </row>
    <row r="1700" ht="14.25" customHeight="1">
      <c r="A1700" s="1" t="s">
        <v>6836</v>
      </c>
      <c r="B1700" s="1" t="s">
        <v>6837</v>
      </c>
      <c r="C1700" s="1" t="s">
        <v>76</v>
      </c>
      <c r="D1700" s="1">
        <v>85041.0</v>
      </c>
      <c r="E1700" s="1" t="s">
        <v>19</v>
      </c>
      <c r="F1700" s="1" t="s">
        <v>94</v>
      </c>
      <c r="G1700" s="1" t="s">
        <v>100</v>
      </c>
      <c r="H1700" s="2">
        <v>3253.0</v>
      </c>
      <c r="I1700" s="2">
        <v>7189.0</v>
      </c>
      <c r="J1700" s="1">
        <v>1984.0</v>
      </c>
      <c r="K1700" s="1">
        <v>60.0</v>
      </c>
      <c r="L1700" s="1" t="s">
        <v>22</v>
      </c>
      <c r="M1700" s="1" t="s">
        <v>6838</v>
      </c>
      <c r="N1700" s="1" t="s">
        <v>64</v>
      </c>
      <c r="O1700" s="1" t="s">
        <v>25</v>
      </c>
      <c r="P1700" s="1" t="s">
        <v>6839</v>
      </c>
    </row>
    <row r="1701" ht="14.25" customHeight="1">
      <c r="A1701" s="1" t="s">
        <v>6840</v>
      </c>
      <c r="B1701" s="1" t="s">
        <v>6841</v>
      </c>
      <c r="C1701" s="1" t="s">
        <v>53</v>
      </c>
      <c r="D1701" s="1">
        <v>93184.0</v>
      </c>
      <c r="E1701" s="1" t="s">
        <v>19</v>
      </c>
      <c r="F1701" s="1" t="s">
        <v>20</v>
      </c>
      <c r="G1701" s="1" t="s">
        <v>55</v>
      </c>
      <c r="H1701" s="2">
        <v>2821.0</v>
      </c>
      <c r="I1701" s="2">
        <v>1026.0</v>
      </c>
      <c r="J1701" s="1">
        <v>1952.0</v>
      </c>
      <c r="K1701" s="1">
        <v>18.0</v>
      </c>
      <c r="L1701" s="1" t="s">
        <v>95</v>
      </c>
      <c r="M1701" s="1" t="s">
        <v>6842</v>
      </c>
      <c r="N1701" s="1" t="s">
        <v>34</v>
      </c>
      <c r="O1701" s="1" t="s">
        <v>25</v>
      </c>
      <c r="P1701" s="1" t="s">
        <v>6843</v>
      </c>
    </row>
    <row r="1702" ht="14.25" customHeight="1">
      <c r="A1702" s="1" t="s">
        <v>6844</v>
      </c>
      <c r="B1702" s="1" t="s">
        <v>6845</v>
      </c>
      <c r="C1702" s="1" t="s">
        <v>76</v>
      </c>
      <c r="D1702" s="1">
        <v>64707.0</v>
      </c>
      <c r="E1702" s="1" t="s">
        <v>19</v>
      </c>
      <c r="F1702" s="1" t="s">
        <v>54</v>
      </c>
      <c r="G1702" s="1" t="s">
        <v>31</v>
      </c>
      <c r="H1702" s="2">
        <v>3861.0</v>
      </c>
      <c r="I1702" s="2">
        <v>7662.0</v>
      </c>
      <c r="J1702" s="1">
        <v>1968.0</v>
      </c>
      <c r="K1702" s="1">
        <v>115.0</v>
      </c>
      <c r="L1702" s="1" t="s">
        <v>141</v>
      </c>
      <c r="M1702" s="1" t="s">
        <v>6846</v>
      </c>
      <c r="N1702" s="1" t="s">
        <v>34</v>
      </c>
      <c r="O1702" s="1" t="s">
        <v>49</v>
      </c>
      <c r="P1702" s="1" t="s">
        <v>6847</v>
      </c>
    </row>
    <row r="1703" ht="14.25" customHeight="1">
      <c r="A1703" s="1" t="s">
        <v>6848</v>
      </c>
      <c r="B1703" s="1" t="s">
        <v>6849</v>
      </c>
      <c r="C1703" s="1" t="s">
        <v>53</v>
      </c>
      <c r="D1703" s="1">
        <v>45798.0</v>
      </c>
      <c r="E1703" s="1" t="s">
        <v>19</v>
      </c>
      <c r="F1703" s="1" t="s">
        <v>54</v>
      </c>
      <c r="G1703" s="1" t="s">
        <v>55</v>
      </c>
      <c r="H1703" s="2">
        <v>3353.0</v>
      </c>
      <c r="I1703" s="2">
        <v>4696.0</v>
      </c>
      <c r="J1703" s="1">
        <v>1970.0</v>
      </c>
      <c r="K1703" s="1">
        <v>48.0</v>
      </c>
      <c r="L1703" s="1" t="s">
        <v>62</v>
      </c>
      <c r="M1703" s="1" t="s">
        <v>6850</v>
      </c>
      <c r="N1703" s="1" t="s">
        <v>43</v>
      </c>
      <c r="O1703" s="1" t="s">
        <v>25</v>
      </c>
      <c r="P1703" s="1" t="s">
        <v>6851</v>
      </c>
    </row>
    <row r="1704" ht="14.25" customHeight="1">
      <c r="A1704" s="1" t="s">
        <v>6852</v>
      </c>
      <c r="B1704" s="1" t="s">
        <v>6853</v>
      </c>
      <c r="C1704" s="1" t="s">
        <v>39</v>
      </c>
      <c r="D1704" s="1">
        <v>98635.0</v>
      </c>
      <c r="E1704" s="1" t="s">
        <v>40</v>
      </c>
      <c r="F1704" s="1" t="s">
        <v>41</v>
      </c>
      <c r="G1704" s="1" t="s">
        <v>100</v>
      </c>
      <c r="H1704" s="2">
        <v>1005.0</v>
      </c>
      <c r="I1704" s="2">
        <v>4662.0</v>
      </c>
      <c r="J1704" s="1">
        <v>1974.0</v>
      </c>
      <c r="K1704" s="1">
        <v>114.0</v>
      </c>
      <c r="L1704" s="1" t="s">
        <v>32</v>
      </c>
      <c r="M1704" s="1" t="s">
        <v>6854</v>
      </c>
      <c r="N1704" s="1" t="s">
        <v>43</v>
      </c>
      <c r="O1704" s="1" t="s">
        <v>35</v>
      </c>
      <c r="P1704" s="1" t="s">
        <v>6855</v>
      </c>
    </row>
    <row r="1705" ht="14.25" customHeight="1">
      <c r="A1705" s="1" t="s">
        <v>6856</v>
      </c>
      <c r="B1705" s="1" t="s">
        <v>6857</v>
      </c>
      <c r="C1705" s="1" t="s">
        <v>76</v>
      </c>
      <c r="D1705" s="1">
        <v>47969.0</v>
      </c>
      <c r="E1705" s="1" t="s">
        <v>19</v>
      </c>
      <c r="F1705" s="1" t="s">
        <v>41</v>
      </c>
      <c r="G1705" s="1" t="s">
        <v>21</v>
      </c>
      <c r="H1705" s="2">
        <v>3756.0</v>
      </c>
      <c r="I1705" s="2">
        <v>5274.0</v>
      </c>
      <c r="J1705" s="1">
        <v>1959.0</v>
      </c>
      <c r="K1705" s="1">
        <v>116.0</v>
      </c>
      <c r="L1705" s="1" t="s">
        <v>95</v>
      </c>
      <c r="M1705" s="1" t="s">
        <v>6858</v>
      </c>
      <c r="N1705" s="1" t="s">
        <v>24</v>
      </c>
      <c r="O1705" s="1" t="s">
        <v>35</v>
      </c>
      <c r="P1705" s="1" t="s">
        <v>6859</v>
      </c>
    </row>
    <row r="1706" ht="14.25" customHeight="1">
      <c r="A1706" s="1" t="s">
        <v>6860</v>
      </c>
      <c r="B1706" s="1" t="s">
        <v>6861</v>
      </c>
      <c r="C1706" s="1" t="s">
        <v>29</v>
      </c>
      <c r="D1706" s="1">
        <v>13916.0</v>
      </c>
      <c r="E1706" s="1" t="s">
        <v>77</v>
      </c>
      <c r="F1706" s="1" t="s">
        <v>41</v>
      </c>
      <c r="G1706" s="1" t="s">
        <v>100</v>
      </c>
      <c r="H1706" s="2">
        <v>782.0</v>
      </c>
      <c r="I1706" s="2">
        <v>5929.0</v>
      </c>
      <c r="J1706" s="1">
        <v>2003.0</v>
      </c>
      <c r="K1706" s="1">
        <v>45.0</v>
      </c>
      <c r="L1706" s="1" t="s">
        <v>32</v>
      </c>
      <c r="M1706" s="1" t="s">
        <v>6862</v>
      </c>
      <c r="N1706" s="1" t="s">
        <v>64</v>
      </c>
      <c r="O1706" s="1" t="s">
        <v>25</v>
      </c>
      <c r="P1706" s="1" t="s">
        <v>6863</v>
      </c>
    </row>
    <row r="1707" ht="14.25" customHeight="1">
      <c r="A1707" s="1" t="s">
        <v>6864</v>
      </c>
      <c r="B1707" s="1" t="s">
        <v>6865</v>
      </c>
      <c r="C1707" s="1" t="s">
        <v>76</v>
      </c>
      <c r="D1707" s="1">
        <v>33511.0</v>
      </c>
      <c r="E1707" s="1" t="s">
        <v>77</v>
      </c>
      <c r="F1707" s="1" t="s">
        <v>20</v>
      </c>
      <c r="G1707" s="1" t="s">
        <v>55</v>
      </c>
      <c r="H1707" s="2">
        <v>2896.0</v>
      </c>
      <c r="I1707" s="2">
        <v>8577.0</v>
      </c>
      <c r="J1707" s="1">
        <v>1991.0</v>
      </c>
      <c r="K1707" s="1">
        <v>101.0</v>
      </c>
      <c r="L1707" s="1" t="s">
        <v>141</v>
      </c>
      <c r="M1707" s="1" t="s">
        <v>6866</v>
      </c>
      <c r="N1707" s="1" t="s">
        <v>34</v>
      </c>
      <c r="O1707" s="1" t="s">
        <v>25</v>
      </c>
      <c r="P1707" s="1" t="s">
        <v>6867</v>
      </c>
    </row>
    <row r="1708" ht="14.25" customHeight="1">
      <c r="A1708" s="1" t="s">
        <v>6868</v>
      </c>
      <c r="B1708" s="1" t="s">
        <v>6869</v>
      </c>
      <c r="C1708" s="1" t="s">
        <v>76</v>
      </c>
      <c r="D1708" s="1">
        <v>73137.0</v>
      </c>
      <c r="E1708" s="1" t="s">
        <v>60</v>
      </c>
      <c r="F1708" s="1" t="s">
        <v>94</v>
      </c>
      <c r="G1708" s="1" t="s">
        <v>100</v>
      </c>
      <c r="H1708" s="2">
        <v>2404.0</v>
      </c>
      <c r="I1708" s="2">
        <v>3942.0</v>
      </c>
      <c r="J1708" s="1">
        <v>1955.0</v>
      </c>
      <c r="K1708" s="1">
        <v>102.0</v>
      </c>
      <c r="L1708" s="1" t="s">
        <v>95</v>
      </c>
      <c r="M1708" s="1" t="s">
        <v>6870</v>
      </c>
      <c r="N1708" s="1" t="s">
        <v>48</v>
      </c>
      <c r="O1708" s="1" t="s">
        <v>49</v>
      </c>
      <c r="P1708" s="1" t="s">
        <v>6871</v>
      </c>
    </row>
    <row r="1709" ht="14.25" customHeight="1">
      <c r="A1709" s="1" t="s">
        <v>6872</v>
      </c>
      <c r="B1709" s="1" t="s">
        <v>6873</v>
      </c>
      <c r="C1709" s="1" t="s">
        <v>29</v>
      </c>
      <c r="D1709" s="1">
        <v>91478.0</v>
      </c>
      <c r="E1709" s="1" t="s">
        <v>40</v>
      </c>
      <c r="F1709" s="1" t="s">
        <v>41</v>
      </c>
      <c r="G1709" s="1" t="s">
        <v>55</v>
      </c>
      <c r="H1709" s="2">
        <v>1336.0</v>
      </c>
      <c r="I1709" s="2">
        <v>6701.0</v>
      </c>
      <c r="J1709" s="1">
        <v>2017.0</v>
      </c>
      <c r="K1709" s="1">
        <v>25.0</v>
      </c>
      <c r="L1709" s="1" t="s">
        <v>32</v>
      </c>
      <c r="M1709" s="1" t="s">
        <v>6874</v>
      </c>
      <c r="N1709" s="1" t="s">
        <v>48</v>
      </c>
      <c r="O1709" s="1" t="s">
        <v>25</v>
      </c>
      <c r="P1709" s="1" t="s">
        <v>6875</v>
      </c>
    </row>
    <row r="1710" ht="14.25" customHeight="1">
      <c r="A1710" s="1" t="s">
        <v>6876</v>
      </c>
      <c r="B1710" s="1" t="s">
        <v>6877</v>
      </c>
      <c r="C1710" s="1" t="s">
        <v>53</v>
      </c>
      <c r="D1710" s="1">
        <v>21192.0</v>
      </c>
      <c r="E1710" s="1" t="s">
        <v>77</v>
      </c>
      <c r="F1710" s="1" t="s">
        <v>46</v>
      </c>
      <c r="G1710" s="1" t="s">
        <v>55</v>
      </c>
      <c r="H1710" s="2">
        <v>1067.0</v>
      </c>
      <c r="I1710" s="2">
        <v>7604.0</v>
      </c>
      <c r="J1710" s="1">
        <v>2012.0</v>
      </c>
      <c r="K1710" s="1">
        <v>15.0</v>
      </c>
      <c r="L1710" s="1" t="s">
        <v>32</v>
      </c>
      <c r="M1710" s="1" t="s">
        <v>6878</v>
      </c>
      <c r="N1710" s="1" t="s">
        <v>48</v>
      </c>
      <c r="O1710" s="1" t="s">
        <v>25</v>
      </c>
      <c r="P1710" s="1" t="s">
        <v>6879</v>
      </c>
    </row>
    <row r="1711" ht="14.25" customHeight="1">
      <c r="A1711" s="1" t="s">
        <v>6880</v>
      </c>
      <c r="B1711" s="1" t="s">
        <v>6881</v>
      </c>
      <c r="C1711" s="1" t="s">
        <v>76</v>
      </c>
      <c r="D1711" s="1">
        <v>50906.0</v>
      </c>
      <c r="E1711" s="1" t="s">
        <v>30</v>
      </c>
      <c r="F1711" s="1" t="s">
        <v>41</v>
      </c>
      <c r="G1711" s="1" t="s">
        <v>55</v>
      </c>
      <c r="H1711" s="2">
        <v>2246.0</v>
      </c>
      <c r="I1711" s="2">
        <v>7016.0</v>
      </c>
      <c r="J1711" s="1">
        <v>1991.0</v>
      </c>
      <c r="K1711" s="1">
        <v>95.0</v>
      </c>
      <c r="L1711" s="1" t="s">
        <v>141</v>
      </c>
      <c r="M1711" s="1" t="s">
        <v>6882</v>
      </c>
      <c r="N1711" s="1" t="s">
        <v>64</v>
      </c>
      <c r="O1711" s="1" t="s">
        <v>35</v>
      </c>
      <c r="P1711" s="1" t="s">
        <v>6883</v>
      </c>
    </row>
    <row r="1712" ht="14.25" customHeight="1">
      <c r="A1712" s="1" t="s">
        <v>6884</v>
      </c>
      <c r="B1712" s="1" t="s">
        <v>6885</v>
      </c>
      <c r="C1712" s="1" t="s">
        <v>53</v>
      </c>
      <c r="D1712" s="1">
        <v>62280.0</v>
      </c>
      <c r="E1712" s="1" t="s">
        <v>19</v>
      </c>
      <c r="F1712" s="1" t="s">
        <v>61</v>
      </c>
      <c r="G1712" s="1" t="s">
        <v>55</v>
      </c>
      <c r="H1712" s="2">
        <v>2514.0</v>
      </c>
      <c r="I1712" s="2">
        <v>8087.0</v>
      </c>
      <c r="J1712" s="1">
        <v>1980.0</v>
      </c>
      <c r="K1712" s="1">
        <v>118.0</v>
      </c>
      <c r="L1712" s="1" t="s">
        <v>141</v>
      </c>
      <c r="M1712" s="1" t="s">
        <v>6886</v>
      </c>
      <c r="N1712" s="1" t="s">
        <v>24</v>
      </c>
      <c r="O1712" s="1" t="s">
        <v>35</v>
      </c>
      <c r="P1712" s="1" t="s">
        <v>6887</v>
      </c>
    </row>
    <row r="1713" ht="14.25" customHeight="1">
      <c r="A1713" s="1" t="s">
        <v>6888</v>
      </c>
      <c r="B1713" s="1" t="s">
        <v>6889</v>
      </c>
      <c r="C1713" s="1" t="s">
        <v>76</v>
      </c>
      <c r="D1713" s="1">
        <v>19447.0</v>
      </c>
      <c r="E1713" s="1" t="s">
        <v>30</v>
      </c>
      <c r="F1713" s="1" t="s">
        <v>20</v>
      </c>
      <c r="G1713" s="1" t="s">
        <v>31</v>
      </c>
      <c r="H1713" s="2">
        <v>3304.0</v>
      </c>
      <c r="I1713" s="2">
        <v>3087.0</v>
      </c>
      <c r="J1713" s="1">
        <v>1989.0</v>
      </c>
      <c r="K1713" s="1">
        <v>83.0</v>
      </c>
      <c r="L1713" s="1" t="s">
        <v>32</v>
      </c>
      <c r="M1713" s="1" t="s">
        <v>6890</v>
      </c>
      <c r="N1713" s="1" t="s">
        <v>43</v>
      </c>
      <c r="O1713" s="1" t="s">
        <v>35</v>
      </c>
      <c r="P1713" s="1" t="s">
        <v>6891</v>
      </c>
    </row>
    <row r="1714" ht="14.25" customHeight="1">
      <c r="A1714" s="1" t="s">
        <v>6892</v>
      </c>
      <c r="B1714" s="1" t="s">
        <v>6893</v>
      </c>
      <c r="C1714" s="1" t="s">
        <v>76</v>
      </c>
      <c r="D1714" s="1">
        <v>89904.0</v>
      </c>
      <c r="E1714" s="1" t="s">
        <v>60</v>
      </c>
      <c r="F1714" s="1" t="s">
        <v>61</v>
      </c>
      <c r="G1714" s="1" t="s">
        <v>31</v>
      </c>
      <c r="H1714" s="2">
        <v>1979.0</v>
      </c>
      <c r="I1714" s="2">
        <v>5449.0</v>
      </c>
      <c r="J1714" s="1">
        <v>1960.0</v>
      </c>
      <c r="K1714" s="1">
        <v>106.0</v>
      </c>
      <c r="L1714" s="1" t="s">
        <v>62</v>
      </c>
      <c r="M1714" s="1" t="s">
        <v>6894</v>
      </c>
      <c r="N1714" s="1" t="s">
        <v>24</v>
      </c>
      <c r="O1714" s="1" t="s">
        <v>25</v>
      </c>
      <c r="P1714" s="1" t="s">
        <v>6895</v>
      </c>
    </row>
    <row r="1715" ht="14.25" customHeight="1">
      <c r="A1715" s="1" t="s">
        <v>6896</v>
      </c>
      <c r="B1715" s="1" t="s">
        <v>6897</v>
      </c>
      <c r="C1715" s="1" t="s">
        <v>39</v>
      </c>
      <c r="D1715" s="1">
        <v>38784.0</v>
      </c>
      <c r="E1715" s="1" t="s">
        <v>30</v>
      </c>
      <c r="F1715" s="1" t="s">
        <v>20</v>
      </c>
      <c r="G1715" s="1" t="s">
        <v>55</v>
      </c>
      <c r="H1715" s="2">
        <v>1022.0</v>
      </c>
      <c r="I1715" s="2">
        <v>9197.0</v>
      </c>
      <c r="J1715" s="1">
        <v>1984.0</v>
      </c>
      <c r="K1715" s="1">
        <v>40.0</v>
      </c>
      <c r="L1715" s="1" t="s">
        <v>95</v>
      </c>
      <c r="M1715" s="1" t="s">
        <v>6898</v>
      </c>
      <c r="N1715" s="1" t="s">
        <v>64</v>
      </c>
      <c r="O1715" s="1" t="s">
        <v>49</v>
      </c>
      <c r="P1715" s="1" t="s">
        <v>6899</v>
      </c>
    </row>
    <row r="1716" ht="14.25" customHeight="1">
      <c r="A1716" s="1" t="s">
        <v>6900</v>
      </c>
      <c r="B1716" s="1" t="s">
        <v>6901</v>
      </c>
      <c r="C1716" s="1" t="s">
        <v>53</v>
      </c>
      <c r="D1716" s="1">
        <v>91963.0</v>
      </c>
      <c r="E1716" s="1" t="s">
        <v>30</v>
      </c>
      <c r="F1716" s="1" t="s">
        <v>20</v>
      </c>
      <c r="G1716" s="1" t="s">
        <v>100</v>
      </c>
      <c r="H1716" s="2">
        <v>1819.0</v>
      </c>
      <c r="I1716" s="2">
        <v>6913.0</v>
      </c>
      <c r="J1716" s="1">
        <v>1993.0</v>
      </c>
      <c r="K1716" s="1">
        <v>13.0</v>
      </c>
      <c r="L1716" s="1" t="s">
        <v>62</v>
      </c>
      <c r="M1716" s="1" t="s">
        <v>6902</v>
      </c>
      <c r="N1716" s="1" t="s">
        <v>34</v>
      </c>
      <c r="O1716" s="1" t="s">
        <v>35</v>
      </c>
      <c r="P1716" s="1" t="s">
        <v>6903</v>
      </c>
    </row>
    <row r="1717" ht="14.25" customHeight="1">
      <c r="A1717" s="1" t="s">
        <v>6904</v>
      </c>
      <c r="B1717" s="1" t="s">
        <v>6905</v>
      </c>
      <c r="C1717" s="1" t="s">
        <v>53</v>
      </c>
      <c r="D1717" s="1">
        <v>47210.0</v>
      </c>
      <c r="E1717" s="1" t="s">
        <v>19</v>
      </c>
      <c r="F1717" s="1" t="s">
        <v>46</v>
      </c>
      <c r="G1717" s="1" t="s">
        <v>31</v>
      </c>
      <c r="H1717" s="2">
        <v>2730.0</v>
      </c>
      <c r="I1717" s="2">
        <v>9045.0</v>
      </c>
      <c r="J1717" s="1">
        <v>1977.0</v>
      </c>
      <c r="K1717" s="1">
        <v>111.0</v>
      </c>
      <c r="L1717" s="1" t="s">
        <v>141</v>
      </c>
      <c r="M1717" s="1" t="s">
        <v>6906</v>
      </c>
      <c r="N1717" s="1" t="s">
        <v>24</v>
      </c>
      <c r="O1717" s="1" t="s">
        <v>25</v>
      </c>
      <c r="P1717" s="1" t="s">
        <v>6907</v>
      </c>
    </row>
    <row r="1718" ht="14.25" customHeight="1">
      <c r="A1718" s="1" t="s">
        <v>6908</v>
      </c>
      <c r="B1718" s="1" t="s">
        <v>6909</v>
      </c>
      <c r="C1718" s="1" t="s">
        <v>29</v>
      </c>
      <c r="D1718" s="1">
        <v>70215.0</v>
      </c>
      <c r="E1718" s="1" t="s">
        <v>77</v>
      </c>
      <c r="F1718" s="1" t="s">
        <v>94</v>
      </c>
      <c r="G1718" s="1" t="s">
        <v>21</v>
      </c>
      <c r="H1718" s="2">
        <v>2037.0</v>
      </c>
      <c r="I1718" s="2">
        <v>3781.0</v>
      </c>
      <c r="J1718" s="1">
        <v>1982.0</v>
      </c>
      <c r="K1718" s="1">
        <v>62.0</v>
      </c>
      <c r="L1718" s="1" t="s">
        <v>22</v>
      </c>
      <c r="M1718" s="1" t="s">
        <v>6910</v>
      </c>
      <c r="N1718" s="1" t="s">
        <v>24</v>
      </c>
      <c r="O1718" s="1" t="s">
        <v>25</v>
      </c>
      <c r="P1718" s="1" t="s">
        <v>6911</v>
      </c>
    </row>
    <row r="1719" ht="14.25" customHeight="1">
      <c r="A1719" s="1" t="s">
        <v>6912</v>
      </c>
      <c r="B1719" s="1" t="s">
        <v>6913</v>
      </c>
      <c r="C1719" s="1" t="s">
        <v>39</v>
      </c>
      <c r="D1719" s="1">
        <v>54548.0</v>
      </c>
      <c r="E1719" s="1" t="s">
        <v>30</v>
      </c>
      <c r="F1719" s="1" t="s">
        <v>46</v>
      </c>
      <c r="G1719" s="1" t="s">
        <v>21</v>
      </c>
      <c r="H1719" s="2">
        <v>2405.0</v>
      </c>
      <c r="I1719" s="2">
        <v>9872.0</v>
      </c>
      <c r="J1719" s="1">
        <v>1973.0</v>
      </c>
      <c r="K1719" s="1">
        <v>106.0</v>
      </c>
      <c r="L1719" s="1" t="s">
        <v>22</v>
      </c>
      <c r="M1719" s="1" t="s">
        <v>6914</v>
      </c>
      <c r="N1719" s="1" t="s">
        <v>64</v>
      </c>
      <c r="O1719" s="1" t="s">
        <v>35</v>
      </c>
      <c r="P1719" s="1" t="s">
        <v>6915</v>
      </c>
    </row>
    <row r="1720" ht="14.25" customHeight="1">
      <c r="A1720" s="1" t="s">
        <v>6916</v>
      </c>
      <c r="B1720" s="1" t="s">
        <v>6917</v>
      </c>
      <c r="C1720" s="1" t="s">
        <v>29</v>
      </c>
      <c r="D1720" s="1">
        <v>84482.0</v>
      </c>
      <c r="E1720" s="1" t="s">
        <v>40</v>
      </c>
      <c r="F1720" s="1" t="s">
        <v>46</v>
      </c>
      <c r="G1720" s="1" t="s">
        <v>100</v>
      </c>
      <c r="H1720" s="2">
        <v>884.0</v>
      </c>
      <c r="I1720" s="2">
        <v>5210.0</v>
      </c>
      <c r="J1720" s="1">
        <v>2000.0</v>
      </c>
      <c r="K1720" s="1">
        <v>74.0</v>
      </c>
      <c r="L1720" s="1" t="s">
        <v>32</v>
      </c>
      <c r="M1720" s="1" t="s">
        <v>6918</v>
      </c>
      <c r="N1720" s="1" t="s">
        <v>24</v>
      </c>
      <c r="O1720" s="1" t="s">
        <v>35</v>
      </c>
      <c r="P1720" s="1" t="s">
        <v>6919</v>
      </c>
    </row>
    <row r="1721" ht="14.25" customHeight="1">
      <c r="A1721" s="1" t="s">
        <v>6920</v>
      </c>
      <c r="B1721" s="1" t="s">
        <v>6921</v>
      </c>
      <c r="C1721" s="1" t="s">
        <v>18</v>
      </c>
      <c r="D1721" s="1">
        <v>53067.0</v>
      </c>
      <c r="E1721" s="1" t="s">
        <v>30</v>
      </c>
      <c r="F1721" s="1" t="s">
        <v>61</v>
      </c>
      <c r="G1721" s="1" t="s">
        <v>55</v>
      </c>
      <c r="H1721" s="2">
        <v>3508.0</v>
      </c>
      <c r="I1721" s="2">
        <v>3751.0</v>
      </c>
      <c r="J1721" s="1">
        <v>1974.0</v>
      </c>
      <c r="K1721" s="1">
        <v>113.0</v>
      </c>
      <c r="L1721" s="1" t="s">
        <v>95</v>
      </c>
      <c r="M1721" s="1" t="s">
        <v>6922</v>
      </c>
      <c r="N1721" s="1" t="s">
        <v>24</v>
      </c>
      <c r="O1721" s="1" t="s">
        <v>35</v>
      </c>
      <c r="P1721" s="1" t="s">
        <v>6923</v>
      </c>
    </row>
    <row r="1722" ht="14.25" customHeight="1">
      <c r="A1722" s="1" t="s">
        <v>6924</v>
      </c>
      <c r="B1722" s="1" t="s">
        <v>6925</v>
      </c>
      <c r="C1722" s="1" t="s">
        <v>53</v>
      </c>
      <c r="D1722" s="1">
        <v>75233.0</v>
      </c>
      <c r="E1722" s="1" t="s">
        <v>19</v>
      </c>
      <c r="F1722" s="1" t="s">
        <v>54</v>
      </c>
      <c r="G1722" s="1" t="s">
        <v>31</v>
      </c>
      <c r="H1722" s="2">
        <v>3016.0</v>
      </c>
      <c r="I1722" s="2">
        <v>4168.0</v>
      </c>
      <c r="J1722" s="1">
        <v>1973.0</v>
      </c>
      <c r="K1722" s="1">
        <v>41.0</v>
      </c>
      <c r="L1722" s="1" t="s">
        <v>95</v>
      </c>
      <c r="M1722" s="1" t="s">
        <v>6926</v>
      </c>
      <c r="N1722" s="1" t="s">
        <v>64</v>
      </c>
      <c r="O1722" s="1" t="s">
        <v>49</v>
      </c>
      <c r="P1722" s="1" t="s">
        <v>6927</v>
      </c>
    </row>
    <row r="1723" ht="14.25" customHeight="1">
      <c r="A1723" s="1" t="s">
        <v>6928</v>
      </c>
      <c r="B1723" s="1" t="s">
        <v>6929</v>
      </c>
      <c r="C1723" s="1" t="s">
        <v>18</v>
      </c>
      <c r="D1723" s="1">
        <v>41914.0</v>
      </c>
      <c r="E1723" s="1" t="s">
        <v>40</v>
      </c>
      <c r="F1723" s="1" t="s">
        <v>61</v>
      </c>
      <c r="G1723" s="1" t="s">
        <v>100</v>
      </c>
      <c r="H1723" s="2">
        <v>1746.0</v>
      </c>
      <c r="I1723" s="2">
        <v>6370.0</v>
      </c>
      <c r="J1723" s="1">
        <v>2008.0</v>
      </c>
      <c r="K1723" s="1">
        <v>87.0</v>
      </c>
      <c r="L1723" s="1" t="s">
        <v>141</v>
      </c>
      <c r="M1723" s="1" t="s">
        <v>6930</v>
      </c>
      <c r="N1723" s="1" t="s">
        <v>24</v>
      </c>
      <c r="O1723" s="1" t="s">
        <v>49</v>
      </c>
      <c r="P1723" s="1" t="s">
        <v>6931</v>
      </c>
    </row>
    <row r="1724" ht="14.25" customHeight="1">
      <c r="A1724" s="1" t="s">
        <v>6932</v>
      </c>
      <c r="B1724" s="1" t="s">
        <v>6933</v>
      </c>
      <c r="C1724" s="1" t="s">
        <v>29</v>
      </c>
      <c r="D1724" s="1">
        <v>71447.0</v>
      </c>
      <c r="E1724" s="1" t="s">
        <v>30</v>
      </c>
      <c r="F1724" s="1" t="s">
        <v>41</v>
      </c>
      <c r="G1724" s="1" t="s">
        <v>100</v>
      </c>
      <c r="H1724" s="2">
        <v>903.0</v>
      </c>
      <c r="I1724" s="2">
        <v>5156.0</v>
      </c>
      <c r="J1724" s="1">
        <v>1995.0</v>
      </c>
      <c r="K1724" s="1">
        <v>80.0</v>
      </c>
      <c r="L1724" s="1" t="s">
        <v>95</v>
      </c>
      <c r="M1724" s="1" t="s">
        <v>6934</v>
      </c>
      <c r="N1724" s="1" t="s">
        <v>64</v>
      </c>
      <c r="O1724" s="1" t="s">
        <v>35</v>
      </c>
      <c r="P1724" s="1" t="s">
        <v>6935</v>
      </c>
    </row>
    <row r="1725" ht="14.25" customHeight="1">
      <c r="A1725" s="1" t="s">
        <v>6936</v>
      </c>
      <c r="B1725" s="1" t="s">
        <v>6937</v>
      </c>
      <c r="C1725" s="1" t="s">
        <v>39</v>
      </c>
      <c r="D1725" s="1">
        <v>27579.0</v>
      </c>
      <c r="E1725" s="1" t="s">
        <v>19</v>
      </c>
      <c r="F1725" s="1" t="s">
        <v>41</v>
      </c>
      <c r="G1725" s="1" t="s">
        <v>31</v>
      </c>
      <c r="H1725" s="2">
        <v>935.0</v>
      </c>
      <c r="I1725" s="2">
        <v>7687.0</v>
      </c>
      <c r="J1725" s="1">
        <v>1966.0</v>
      </c>
      <c r="K1725" s="1">
        <v>9.0</v>
      </c>
      <c r="L1725" s="1" t="s">
        <v>32</v>
      </c>
      <c r="M1725" s="1" t="s">
        <v>6938</v>
      </c>
      <c r="N1725" s="1" t="s">
        <v>24</v>
      </c>
      <c r="O1725" s="1" t="s">
        <v>25</v>
      </c>
      <c r="P1725" s="1" t="s">
        <v>6939</v>
      </c>
    </row>
    <row r="1726" ht="14.25" customHeight="1">
      <c r="A1726" s="1" t="s">
        <v>6940</v>
      </c>
      <c r="B1726" s="1" t="s">
        <v>6941</v>
      </c>
      <c r="C1726" s="1" t="s">
        <v>39</v>
      </c>
      <c r="D1726" s="1">
        <v>32785.0</v>
      </c>
      <c r="E1726" s="1" t="s">
        <v>40</v>
      </c>
      <c r="F1726" s="1" t="s">
        <v>54</v>
      </c>
      <c r="G1726" s="1" t="s">
        <v>100</v>
      </c>
      <c r="H1726" s="2">
        <v>3065.0</v>
      </c>
      <c r="I1726" s="2">
        <v>8330.0</v>
      </c>
      <c r="J1726" s="1">
        <v>2004.0</v>
      </c>
      <c r="K1726" s="1">
        <v>15.0</v>
      </c>
      <c r="L1726" s="1" t="s">
        <v>22</v>
      </c>
      <c r="M1726" s="1" t="s">
        <v>6942</v>
      </c>
      <c r="N1726" s="1" t="s">
        <v>24</v>
      </c>
      <c r="O1726" s="1" t="s">
        <v>49</v>
      </c>
      <c r="P1726" s="1" t="s">
        <v>6943</v>
      </c>
    </row>
    <row r="1727" ht="14.25" customHeight="1">
      <c r="A1727" s="1" t="s">
        <v>6944</v>
      </c>
      <c r="B1727" s="1" t="s">
        <v>6945</v>
      </c>
      <c r="C1727" s="1" t="s">
        <v>18</v>
      </c>
      <c r="D1727" s="1">
        <v>37751.0</v>
      </c>
      <c r="E1727" s="1" t="s">
        <v>77</v>
      </c>
      <c r="F1727" s="1" t="s">
        <v>61</v>
      </c>
      <c r="G1727" s="1" t="s">
        <v>21</v>
      </c>
      <c r="H1727" s="2">
        <v>2277.0</v>
      </c>
      <c r="I1727" s="2">
        <v>7930.0</v>
      </c>
      <c r="J1727" s="1">
        <v>1981.0</v>
      </c>
      <c r="K1727" s="1">
        <v>57.0</v>
      </c>
      <c r="L1727" s="1" t="s">
        <v>141</v>
      </c>
      <c r="M1727" s="1" t="s">
        <v>6946</v>
      </c>
      <c r="N1727" s="1" t="s">
        <v>24</v>
      </c>
      <c r="O1727" s="1" t="s">
        <v>35</v>
      </c>
      <c r="P1727" s="1" t="s">
        <v>6947</v>
      </c>
    </row>
    <row r="1728" ht="14.25" customHeight="1">
      <c r="A1728" s="1" t="s">
        <v>6948</v>
      </c>
      <c r="B1728" s="1" t="s">
        <v>6949</v>
      </c>
      <c r="C1728" s="1" t="s">
        <v>39</v>
      </c>
      <c r="D1728" s="1">
        <v>42099.0</v>
      </c>
      <c r="E1728" s="1" t="s">
        <v>19</v>
      </c>
      <c r="F1728" s="1" t="s">
        <v>20</v>
      </c>
      <c r="G1728" s="1" t="s">
        <v>21</v>
      </c>
      <c r="H1728" s="2">
        <v>3101.0</v>
      </c>
      <c r="I1728" s="2">
        <v>7313.0</v>
      </c>
      <c r="J1728" s="1">
        <v>2008.0</v>
      </c>
      <c r="K1728" s="1">
        <v>44.0</v>
      </c>
      <c r="L1728" s="1" t="s">
        <v>95</v>
      </c>
      <c r="M1728" s="1" t="s">
        <v>6950</v>
      </c>
      <c r="N1728" s="1" t="s">
        <v>64</v>
      </c>
      <c r="O1728" s="1" t="s">
        <v>49</v>
      </c>
      <c r="P1728" s="1" t="s">
        <v>6951</v>
      </c>
    </row>
    <row r="1729" ht="14.25" customHeight="1">
      <c r="A1729" s="1" t="s">
        <v>6952</v>
      </c>
      <c r="B1729" s="1" t="s">
        <v>6953</v>
      </c>
      <c r="C1729" s="1" t="s">
        <v>39</v>
      </c>
      <c r="D1729" s="1">
        <v>13733.0</v>
      </c>
      <c r="E1729" s="1" t="s">
        <v>19</v>
      </c>
      <c r="F1729" s="1" t="s">
        <v>61</v>
      </c>
      <c r="G1729" s="1" t="s">
        <v>31</v>
      </c>
      <c r="H1729" s="2">
        <v>1176.0</v>
      </c>
      <c r="I1729" s="2">
        <v>5984.0</v>
      </c>
      <c r="J1729" s="1">
        <v>1995.0</v>
      </c>
      <c r="K1729" s="1">
        <v>69.0</v>
      </c>
      <c r="L1729" s="1" t="s">
        <v>141</v>
      </c>
      <c r="M1729" s="1" t="s">
        <v>6954</v>
      </c>
      <c r="N1729" s="1" t="s">
        <v>34</v>
      </c>
      <c r="O1729" s="1" t="s">
        <v>49</v>
      </c>
      <c r="P1729" s="1" t="s">
        <v>6955</v>
      </c>
    </row>
    <row r="1730" ht="14.25" customHeight="1">
      <c r="A1730" s="1" t="s">
        <v>6956</v>
      </c>
      <c r="B1730" s="1" t="s">
        <v>6957</v>
      </c>
      <c r="C1730" s="1" t="s">
        <v>76</v>
      </c>
      <c r="D1730" s="1">
        <v>93199.0</v>
      </c>
      <c r="E1730" s="1" t="s">
        <v>40</v>
      </c>
      <c r="F1730" s="1" t="s">
        <v>46</v>
      </c>
      <c r="G1730" s="1" t="s">
        <v>100</v>
      </c>
      <c r="H1730" s="2">
        <v>2508.0</v>
      </c>
      <c r="I1730" s="2">
        <v>1625.0</v>
      </c>
      <c r="J1730" s="1">
        <v>1980.0</v>
      </c>
      <c r="K1730" s="1">
        <v>4.0</v>
      </c>
      <c r="L1730" s="1" t="s">
        <v>62</v>
      </c>
      <c r="M1730" s="1" t="s">
        <v>6958</v>
      </c>
      <c r="N1730" s="1" t="s">
        <v>43</v>
      </c>
      <c r="O1730" s="1" t="s">
        <v>49</v>
      </c>
      <c r="P1730" s="1" t="s">
        <v>6959</v>
      </c>
    </row>
    <row r="1731" ht="14.25" customHeight="1">
      <c r="A1731" s="1" t="s">
        <v>6960</v>
      </c>
      <c r="B1731" s="1" t="s">
        <v>6961</v>
      </c>
      <c r="C1731" s="1" t="s">
        <v>39</v>
      </c>
      <c r="D1731" s="1">
        <v>79873.0</v>
      </c>
      <c r="E1731" s="1" t="s">
        <v>19</v>
      </c>
      <c r="F1731" s="1" t="s">
        <v>41</v>
      </c>
      <c r="G1731" s="1" t="s">
        <v>21</v>
      </c>
      <c r="H1731" s="2">
        <v>3381.0</v>
      </c>
      <c r="I1731" s="2">
        <v>4621.0</v>
      </c>
      <c r="J1731" s="1">
        <v>2019.0</v>
      </c>
      <c r="K1731" s="1">
        <v>27.0</v>
      </c>
      <c r="L1731" s="1" t="s">
        <v>141</v>
      </c>
      <c r="M1731" s="1" t="s">
        <v>6962</v>
      </c>
      <c r="N1731" s="1" t="s">
        <v>43</v>
      </c>
      <c r="O1731" s="1" t="s">
        <v>35</v>
      </c>
      <c r="P1731" s="1" t="s">
        <v>6963</v>
      </c>
    </row>
    <row r="1732" ht="14.25" customHeight="1">
      <c r="A1732" s="1" t="s">
        <v>6964</v>
      </c>
      <c r="B1732" s="1" t="s">
        <v>6965</v>
      </c>
      <c r="C1732" s="1" t="s">
        <v>39</v>
      </c>
      <c r="D1732" s="1">
        <v>45292.0</v>
      </c>
      <c r="E1732" s="1" t="s">
        <v>19</v>
      </c>
      <c r="F1732" s="1" t="s">
        <v>61</v>
      </c>
      <c r="G1732" s="1" t="s">
        <v>55</v>
      </c>
      <c r="H1732" s="2">
        <v>2841.0</v>
      </c>
      <c r="I1732" s="2">
        <v>8162.0</v>
      </c>
      <c r="J1732" s="1">
        <v>1987.0</v>
      </c>
      <c r="K1732" s="1">
        <v>83.0</v>
      </c>
      <c r="L1732" s="1" t="s">
        <v>62</v>
      </c>
      <c r="M1732" s="1" t="s">
        <v>6966</v>
      </c>
      <c r="N1732" s="1" t="s">
        <v>64</v>
      </c>
      <c r="O1732" s="1" t="s">
        <v>35</v>
      </c>
      <c r="P1732" s="1" t="s">
        <v>6967</v>
      </c>
    </row>
    <row r="1733" ht="14.25" customHeight="1">
      <c r="A1733" s="1" t="s">
        <v>6968</v>
      </c>
      <c r="B1733" s="1" t="s">
        <v>6969</v>
      </c>
      <c r="C1733" s="1" t="s">
        <v>29</v>
      </c>
      <c r="D1733" s="1">
        <v>73437.0</v>
      </c>
      <c r="E1733" s="1" t="s">
        <v>40</v>
      </c>
      <c r="F1733" s="1" t="s">
        <v>61</v>
      </c>
      <c r="G1733" s="1" t="s">
        <v>100</v>
      </c>
      <c r="H1733" s="2">
        <v>2310.0</v>
      </c>
      <c r="I1733" s="2">
        <v>4096.0</v>
      </c>
      <c r="J1733" s="1">
        <v>1974.0</v>
      </c>
      <c r="K1733" s="1">
        <v>116.0</v>
      </c>
      <c r="L1733" s="1" t="s">
        <v>22</v>
      </c>
      <c r="M1733" s="1" t="s">
        <v>6970</v>
      </c>
      <c r="N1733" s="1" t="s">
        <v>43</v>
      </c>
      <c r="O1733" s="1" t="s">
        <v>25</v>
      </c>
      <c r="P1733" s="1" t="s">
        <v>6971</v>
      </c>
    </row>
    <row r="1734" ht="14.25" customHeight="1">
      <c r="A1734" s="1" t="s">
        <v>6972</v>
      </c>
      <c r="B1734" s="1" t="s">
        <v>6973</v>
      </c>
      <c r="C1734" s="1" t="s">
        <v>76</v>
      </c>
      <c r="D1734" s="1">
        <v>56669.0</v>
      </c>
      <c r="E1734" s="1" t="s">
        <v>30</v>
      </c>
      <c r="F1734" s="1" t="s">
        <v>41</v>
      </c>
      <c r="G1734" s="1" t="s">
        <v>31</v>
      </c>
      <c r="H1734" s="2">
        <v>681.0</v>
      </c>
      <c r="I1734" s="2">
        <v>2821.0</v>
      </c>
      <c r="J1734" s="1">
        <v>2015.0</v>
      </c>
      <c r="K1734" s="1">
        <v>49.0</v>
      </c>
      <c r="L1734" s="1" t="s">
        <v>141</v>
      </c>
      <c r="M1734" s="1" t="s">
        <v>6974</v>
      </c>
      <c r="N1734" s="1" t="s">
        <v>24</v>
      </c>
      <c r="O1734" s="1" t="s">
        <v>35</v>
      </c>
      <c r="P1734" s="1" t="s">
        <v>6975</v>
      </c>
    </row>
    <row r="1735" ht="14.25" customHeight="1">
      <c r="A1735" s="1" t="s">
        <v>6976</v>
      </c>
      <c r="B1735" s="1" t="s">
        <v>6977</v>
      </c>
      <c r="C1735" s="1" t="s">
        <v>18</v>
      </c>
      <c r="D1735" s="1">
        <v>22444.0</v>
      </c>
      <c r="E1735" s="1" t="s">
        <v>19</v>
      </c>
      <c r="F1735" s="1" t="s">
        <v>54</v>
      </c>
      <c r="G1735" s="1" t="s">
        <v>31</v>
      </c>
      <c r="H1735" s="2">
        <v>1681.0</v>
      </c>
      <c r="I1735" s="2">
        <v>8477.0</v>
      </c>
      <c r="J1735" s="1">
        <v>1984.0</v>
      </c>
      <c r="K1735" s="1">
        <v>76.0</v>
      </c>
      <c r="L1735" s="1" t="s">
        <v>22</v>
      </c>
      <c r="M1735" s="1" t="s">
        <v>6978</v>
      </c>
      <c r="N1735" s="1" t="s">
        <v>64</v>
      </c>
      <c r="O1735" s="1" t="s">
        <v>35</v>
      </c>
      <c r="P1735" s="1" t="s">
        <v>6979</v>
      </c>
    </row>
    <row r="1736" ht="14.25" customHeight="1">
      <c r="A1736" s="1" t="s">
        <v>6980</v>
      </c>
      <c r="B1736" s="1" t="s">
        <v>6981</v>
      </c>
      <c r="C1736" s="1" t="s">
        <v>29</v>
      </c>
      <c r="D1736" s="1">
        <v>22268.0</v>
      </c>
      <c r="E1736" s="1" t="s">
        <v>30</v>
      </c>
      <c r="F1736" s="1" t="s">
        <v>61</v>
      </c>
      <c r="G1736" s="1" t="s">
        <v>21</v>
      </c>
      <c r="H1736" s="2">
        <v>1760.0</v>
      </c>
      <c r="I1736" s="2">
        <v>4882.0</v>
      </c>
      <c r="J1736" s="1">
        <v>1959.0</v>
      </c>
      <c r="K1736" s="1">
        <v>90.0</v>
      </c>
      <c r="L1736" s="1" t="s">
        <v>141</v>
      </c>
      <c r="M1736" s="1" t="s">
        <v>6982</v>
      </c>
      <c r="N1736" s="1" t="s">
        <v>34</v>
      </c>
      <c r="O1736" s="1" t="s">
        <v>49</v>
      </c>
      <c r="P1736" s="1" t="s">
        <v>6983</v>
      </c>
    </row>
    <row r="1737" ht="14.25" customHeight="1">
      <c r="A1737" s="1" t="s">
        <v>6984</v>
      </c>
      <c r="B1737" s="1" t="s">
        <v>6985</v>
      </c>
      <c r="C1737" s="1" t="s">
        <v>18</v>
      </c>
      <c r="D1737" s="1">
        <v>59855.0</v>
      </c>
      <c r="E1737" s="1" t="s">
        <v>40</v>
      </c>
      <c r="F1737" s="1" t="s">
        <v>46</v>
      </c>
      <c r="G1737" s="1" t="s">
        <v>55</v>
      </c>
      <c r="H1737" s="2">
        <v>1625.0</v>
      </c>
      <c r="I1737" s="2">
        <v>8321.0</v>
      </c>
      <c r="J1737" s="1">
        <v>2000.0</v>
      </c>
      <c r="K1737" s="1">
        <v>93.0</v>
      </c>
      <c r="L1737" s="1" t="s">
        <v>95</v>
      </c>
      <c r="M1737" s="1" t="s">
        <v>6986</v>
      </c>
      <c r="N1737" s="1" t="s">
        <v>64</v>
      </c>
      <c r="O1737" s="1" t="s">
        <v>49</v>
      </c>
      <c r="P1737" s="1" t="s">
        <v>6987</v>
      </c>
    </row>
    <row r="1738" ht="14.25" customHeight="1">
      <c r="A1738" s="1" t="s">
        <v>6988</v>
      </c>
      <c r="B1738" s="1" t="s">
        <v>6989</v>
      </c>
      <c r="C1738" s="1" t="s">
        <v>18</v>
      </c>
      <c r="D1738" s="1">
        <v>47734.0</v>
      </c>
      <c r="E1738" s="1" t="s">
        <v>19</v>
      </c>
      <c r="F1738" s="1" t="s">
        <v>46</v>
      </c>
      <c r="G1738" s="1" t="s">
        <v>21</v>
      </c>
      <c r="H1738" s="2">
        <v>3377.0</v>
      </c>
      <c r="I1738" s="2">
        <v>4297.0</v>
      </c>
      <c r="J1738" s="1">
        <v>1975.0</v>
      </c>
      <c r="K1738" s="1">
        <v>54.0</v>
      </c>
      <c r="L1738" s="1" t="s">
        <v>22</v>
      </c>
      <c r="M1738" s="1" t="s">
        <v>6990</v>
      </c>
      <c r="N1738" s="1" t="s">
        <v>48</v>
      </c>
      <c r="O1738" s="1" t="s">
        <v>35</v>
      </c>
      <c r="P1738" s="1" t="s">
        <v>6991</v>
      </c>
    </row>
    <row r="1739" ht="14.25" customHeight="1">
      <c r="A1739" s="1" t="s">
        <v>6992</v>
      </c>
      <c r="B1739" s="1" t="s">
        <v>6993</v>
      </c>
      <c r="C1739" s="1" t="s">
        <v>76</v>
      </c>
      <c r="D1739" s="1">
        <v>99940.0</v>
      </c>
      <c r="E1739" s="1" t="s">
        <v>77</v>
      </c>
      <c r="F1739" s="1" t="s">
        <v>94</v>
      </c>
      <c r="G1739" s="1" t="s">
        <v>31</v>
      </c>
      <c r="H1739" s="2">
        <v>3387.0</v>
      </c>
      <c r="I1739" s="2">
        <v>8326.0</v>
      </c>
      <c r="J1739" s="1">
        <v>1970.0</v>
      </c>
      <c r="K1739" s="1">
        <v>91.0</v>
      </c>
      <c r="L1739" s="1" t="s">
        <v>95</v>
      </c>
      <c r="M1739" s="1" t="s">
        <v>6994</v>
      </c>
      <c r="N1739" s="1" t="s">
        <v>34</v>
      </c>
      <c r="O1739" s="1" t="s">
        <v>25</v>
      </c>
      <c r="P1739" s="1" t="s">
        <v>6995</v>
      </c>
    </row>
    <row r="1740" ht="14.25" customHeight="1">
      <c r="A1740" s="1" t="s">
        <v>6996</v>
      </c>
      <c r="B1740" s="1" t="s">
        <v>6997</v>
      </c>
      <c r="C1740" s="1" t="s">
        <v>39</v>
      </c>
      <c r="D1740" s="1">
        <v>33519.0</v>
      </c>
      <c r="E1740" s="1" t="s">
        <v>30</v>
      </c>
      <c r="F1740" s="1" t="s">
        <v>61</v>
      </c>
      <c r="G1740" s="1" t="s">
        <v>55</v>
      </c>
      <c r="H1740" s="2">
        <v>1996.0</v>
      </c>
      <c r="I1740" s="2">
        <v>6494.0</v>
      </c>
      <c r="J1740" s="1">
        <v>1986.0</v>
      </c>
      <c r="K1740" s="1">
        <v>60.0</v>
      </c>
      <c r="L1740" s="1" t="s">
        <v>62</v>
      </c>
      <c r="M1740" s="1" t="s">
        <v>6998</v>
      </c>
      <c r="N1740" s="1" t="s">
        <v>48</v>
      </c>
      <c r="O1740" s="1" t="s">
        <v>25</v>
      </c>
      <c r="P1740" s="1" t="s">
        <v>6999</v>
      </c>
    </row>
    <row r="1741" ht="14.25" customHeight="1">
      <c r="A1741" s="1" t="s">
        <v>7000</v>
      </c>
      <c r="B1741" s="1" t="s">
        <v>7001</v>
      </c>
      <c r="C1741" s="1" t="s">
        <v>76</v>
      </c>
      <c r="D1741" s="1">
        <v>45493.0</v>
      </c>
      <c r="E1741" s="1" t="s">
        <v>40</v>
      </c>
      <c r="F1741" s="1" t="s">
        <v>94</v>
      </c>
      <c r="G1741" s="1" t="s">
        <v>55</v>
      </c>
      <c r="H1741" s="2">
        <v>1027.0</v>
      </c>
      <c r="I1741" s="2">
        <v>8698.0</v>
      </c>
      <c r="J1741" s="1">
        <v>1970.0</v>
      </c>
      <c r="K1741" s="1">
        <v>6.0</v>
      </c>
      <c r="L1741" s="1" t="s">
        <v>141</v>
      </c>
      <c r="M1741" s="1" t="s">
        <v>7002</v>
      </c>
      <c r="N1741" s="1" t="s">
        <v>43</v>
      </c>
      <c r="O1741" s="1" t="s">
        <v>49</v>
      </c>
      <c r="P1741" s="1" t="s">
        <v>7003</v>
      </c>
    </row>
    <row r="1742" ht="14.25" customHeight="1">
      <c r="A1742" s="1" t="s">
        <v>7004</v>
      </c>
      <c r="B1742" s="1" t="s">
        <v>7005</v>
      </c>
      <c r="C1742" s="1" t="s">
        <v>18</v>
      </c>
      <c r="D1742" s="1">
        <v>17567.0</v>
      </c>
      <c r="E1742" s="1" t="s">
        <v>30</v>
      </c>
      <c r="F1742" s="1" t="s">
        <v>61</v>
      </c>
      <c r="G1742" s="1" t="s">
        <v>21</v>
      </c>
      <c r="H1742" s="2">
        <v>2220.0</v>
      </c>
      <c r="I1742" s="2">
        <v>5105.0</v>
      </c>
      <c r="J1742" s="1">
        <v>2012.0</v>
      </c>
      <c r="K1742" s="1">
        <v>102.0</v>
      </c>
      <c r="L1742" s="1" t="s">
        <v>22</v>
      </c>
      <c r="M1742" s="1" t="s">
        <v>7006</v>
      </c>
      <c r="N1742" s="1" t="s">
        <v>64</v>
      </c>
      <c r="O1742" s="1" t="s">
        <v>49</v>
      </c>
      <c r="P1742" s="1" t="s">
        <v>7007</v>
      </c>
    </row>
    <row r="1743" ht="14.25" customHeight="1">
      <c r="A1743" s="1" t="s">
        <v>7008</v>
      </c>
      <c r="B1743" s="1" t="s">
        <v>7009</v>
      </c>
      <c r="C1743" s="1" t="s">
        <v>53</v>
      </c>
      <c r="D1743" s="1">
        <v>80793.0</v>
      </c>
      <c r="E1743" s="1" t="s">
        <v>40</v>
      </c>
      <c r="F1743" s="1" t="s">
        <v>46</v>
      </c>
      <c r="G1743" s="1" t="s">
        <v>31</v>
      </c>
      <c r="H1743" s="2">
        <v>1427.0</v>
      </c>
      <c r="I1743" s="2">
        <v>2122.0</v>
      </c>
      <c r="J1743" s="1">
        <v>1963.0</v>
      </c>
      <c r="K1743" s="1">
        <v>27.0</v>
      </c>
      <c r="L1743" s="1" t="s">
        <v>141</v>
      </c>
      <c r="M1743" s="1" t="s">
        <v>7010</v>
      </c>
      <c r="N1743" s="1" t="s">
        <v>43</v>
      </c>
      <c r="O1743" s="1" t="s">
        <v>25</v>
      </c>
      <c r="P1743" s="1" t="s">
        <v>7011</v>
      </c>
    </row>
    <row r="1744" ht="14.25" customHeight="1">
      <c r="A1744" s="1" t="s">
        <v>7012</v>
      </c>
      <c r="B1744" s="1" t="s">
        <v>7013</v>
      </c>
      <c r="C1744" s="1" t="s">
        <v>53</v>
      </c>
      <c r="D1744" s="1">
        <v>53682.0</v>
      </c>
      <c r="E1744" s="1" t="s">
        <v>60</v>
      </c>
      <c r="F1744" s="1" t="s">
        <v>20</v>
      </c>
      <c r="G1744" s="1" t="s">
        <v>31</v>
      </c>
      <c r="H1744" s="2">
        <v>1144.0</v>
      </c>
      <c r="I1744" s="2">
        <v>7089.0</v>
      </c>
      <c r="J1744" s="1">
        <v>1992.0</v>
      </c>
      <c r="K1744" s="1">
        <v>21.0</v>
      </c>
      <c r="L1744" s="1" t="s">
        <v>22</v>
      </c>
      <c r="M1744" s="1" t="s">
        <v>7014</v>
      </c>
      <c r="N1744" s="1" t="s">
        <v>48</v>
      </c>
      <c r="O1744" s="1" t="s">
        <v>49</v>
      </c>
      <c r="P1744" s="1" t="s">
        <v>7015</v>
      </c>
    </row>
    <row r="1745" ht="14.25" customHeight="1">
      <c r="A1745" s="1" t="s">
        <v>7016</v>
      </c>
      <c r="B1745" s="1" t="s">
        <v>7017</v>
      </c>
      <c r="C1745" s="1" t="s">
        <v>29</v>
      </c>
      <c r="D1745" s="1">
        <v>39489.0</v>
      </c>
      <c r="E1745" s="1" t="s">
        <v>77</v>
      </c>
      <c r="F1745" s="1" t="s">
        <v>54</v>
      </c>
      <c r="G1745" s="1" t="s">
        <v>31</v>
      </c>
      <c r="H1745" s="2">
        <v>849.0</v>
      </c>
      <c r="I1745" s="2">
        <v>9306.0</v>
      </c>
      <c r="J1745" s="1">
        <v>1963.0</v>
      </c>
      <c r="K1745" s="1">
        <v>50.0</v>
      </c>
      <c r="L1745" s="1" t="s">
        <v>32</v>
      </c>
      <c r="M1745" s="1" t="s">
        <v>7018</v>
      </c>
      <c r="N1745" s="1" t="s">
        <v>43</v>
      </c>
      <c r="O1745" s="1" t="s">
        <v>49</v>
      </c>
      <c r="P1745" s="1" t="s">
        <v>7019</v>
      </c>
    </row>
    <row r="1746" ht="14.25" customHeight="1">
      <c r="A1746" s="1" t="s">
        <v>7020</v>
      </c>
      <c r="B1746" s="1" t="s">
        <v>7021</v>
      </c>
      <c r="C1746" s="1" t="s">
        <v>29</v>
      </c>
      <c r="D1746" s="1">
        <v>18937.0</v>
      </c>
      <c r="E1746" s="1" t="s">
        <v>77</v>
      </c>
      <c r="F1746" s="1" t="s">
        <v>61</v>
      </c>
      <c r="G1746" s="1" t="s">
        <v>100</v>
      </c>
      <c r="H1746" s="2">
        <v>1404.0</v>
      </c>
      <c r="I1746" s="2">
        <v>3613.0</v>
      </c>
      <c r="J1746" s="1">
        <v>1972.0</v>
      </c>
      <c r="K1746" s="1">
        <v>81.0</v>
      </c>
      <c r="L1746" s="1" t="s">
        <v>32</v>
      </c>
      <c r="M1746" s="1" t="s">
        <v>7022</v>
      </c>
      <c r="N1746" s="1" t="s">
        <v>34</v>
      </c>
      <c r="O1746" s="1" t="s">
        <v>35</v>
      </c>
      <c r="P1746" s="1" t="s">
        <v>7023</v>
      </c>
    </row>
    <row r="1747" ht="14.25" customHeight="1">
      <c r="A1747" s="1" t="s">
        <v>7024</v>
      </c>
      <c r="B1747" s="1" t="s">
        <v>7025</v>
      </c>
      <c r="C1747" s="1" t="s">
        <v>29</v>
      </c>
      <c r="D1747" s="1">
        <v>58935.0</v>
      </c>
      <c r="E1747" s="1" t="s">
        <v>60</v>
      </c>
      <c r="F1747" s="1" t="s">
        <v>46</v>
      </c>
      <c r="G1747" s="1" t="s">
        <v>100</v>
      </c>
      <c r="H1747" s="2">
        <v>919.0</v>
      </c>
      <c r="I1747" s="2">
        <v>5625.0</v>
      </c>
      <c r="J1747" s="1">
        <v>1994.0</v>
      </c>
      <c r="K1747" s="1">
        <v>54.0</v>
      </c>
      <c r="L1747" s="1" t="s">
        <v>22</v>
      </c>
      <c r="M1747" s="1" t="s">
        <v>7026</v>
      </c>
      <c r="N1747" s="1" t="s">
        <v>34</v>
      </c>
      <c r="O1747" s="1" t="s">
        <v>25</v>
      </c>
      <c r="P1747" s="1" t="s">
        <v>7027</v>
      </c>
    </row>
    <row r="1748" ht="14.25" customHeight="1">
      <c r="A1748" s="1" t="s">
        <v>7028</v>
      </c>
      <c r="B1748" s="1" t="s">
        <v>7029</v>
      </c>
      <c r="C1748" s="1" t="s">
        <v>39</v>
      </c>
      <c r="D1748" s="1">
        <v>62633.0</v>
      </c>
      <c r="E1748" s="1" t="s">
        <v>19</v>
      </c>
      <c r="F1748" s="1" t="s">
        <v>54</v>
      </c>
      <c r="G1748" s="1" t="s">
        <v>31</v>
      </c>
      <c r="H1748" s="2">
        <v>618.0</v>
      </c>
      <c r="I1748" s="2">
        <v>5582.0</v>
      </c>
      <c r="J1748" s="1">
        <v>1987.0</v>
      </c>
      <c r="K1748" s="1">
        <v>99.0</v>
      </c>
      <c r="L1748" s="1" t="s">
        <v>95</v>
      </c>
      <c r="M1748" s="1" t="s">
        <v>7030</v>
      </c>
      <c r="N1748" s="1" t="s">
        <v>64</v>
      </c>
      <c r="O1748" s="1" t="s">
        <v>35</v>
      </c>
      <c r="P1748" s="1" t="s">
        <v>7031</v>
      </c>
    </row>
    <row r="1749" ht="14.25" customHeight="1">
      <c r="A1749" s="1" t="s">
        <v>7032</v>
      </c>
      <c r="B1749" s="1" t="s">
        <v>7033</v>
      </c>
      <c r="C1749" s="1" t="s">
        <v>76</v>
      </c>
      <c r="D1749" s="1">
        <v>96678.0</v>
      </c>
      <c r="E1749" s="1" t="s">
        <v>19</v>
      </c>
      <c r="F1749" s="1" t="s">
        <v>54</v>
      </c>
      <c r="G1749" s="1" t="s">
        <v>31</v>
      </c>
      <c r="H1749" s="2">
        <v>1934.0</v>
      </c>
      <c r="I1749" s="2">
        <v>7011.0</v>
      </c>
      <c r="J1749" s="1">
        <v>1970.0</v>
      </c>
      <c r="K1749" s="1">
        <v>118.0</v>
      </c>
      <c r="L1749" s="1" t="s">
        <v>62</v>
      </c>
      <c r="M1749" s="1" t="s">
        <v>7034</v>
      </c>
      <c r="N1749" s="1" t="s">
        <v>64</v>
      </c>
      <c r="O1749" s="1" t="s">
        <v>25</v>
      </c>
      <c r="P1749" s="1" t="s">
        <v>7035</v>
      </c>
    </row>
    <row r="1750" ht="14.25" customHeight="1">
      <c r="A1750" s="1" t="s">
        <v>7036</v>
      </c>
      <c r="B1750" s="1" t="s">
        <v>7037</v>
      </c>
      <c r="C1750" s="1" t="s">
        <v>76</v>
      </c>
      <c r="D1750" s="1">
        <v>29567.0</v>
      </c>
      <c r="E1750" s="1" t="s">
        <v>30</v>
      </c>
      <c r="F1750" s="1" t="s">
        <v>46</v>
      </c>
      <c r="G1750" s="1" t="s">
        <v>21</v>
      </c>
      <c r="H1750" s="2">
        <v>1546.0</v>
      </c>
      <c r="I1750" s="2">
        <v>9987.0</v>
      </c>
      <c r="J1750" s="1">
        <v>2006.0</v>
      </c>
      <c r="K1750" s="1">
        <v>5.0</v>
      </c>
      <c r="L1750" s="1" t="s">
        <v>22</v>
      </c>
      <c r="M1750" s="1" t="s">
        <v>7038</v>
      </c>
      <c r="N1750" s="1" t="s">
        <v>24</v>
      </c>
      <c r="O1750" s="1" t="s">
        <v>49</v>
      </c>
      <c r="P1750" s="1" t="s">
        <v>7039</v>
      </c>
    </row>
    <row r="1751" ht="14.25" customHeight="1">
      <c r="A1751" s="1" t="s">
        <v>7040</v>
      </c>
      <c r="B1751" s="1" t="s">
        <v>7041</v>
      </c>
      <c r="C1751" s="1" t="s">
        <v>29</v>
      </c>
      <c r="D1751" s="1">
        <v>71486.0</v>
      </c>
      <c r="E1751" s="1" t="s">
        <v>77</v>
      </c>
      <c r="F1751" s="1" t="s">
        <v>20</v>
      </c>
      <c r="G1751" s="1" t="s">
        <v>100</v>
      </c>
      <c r="H1751" s="2">
        <v>751.0</v>
      </c>
      <c r="I1751" s="2">
        <v>7400.0</v>
      </c>
      <c r="J1751" s="1">
        <v>2021.0</v>
      </c>
      <c r="K1751" s="1">
        <v>1.0</v>
      </c>
      <c r="L1751" s="1" t="s">
        <v>32</v>
      </c>
      <c r="M1751" s="1" t="s">
        <v>7042</v>
      </c>
      <c r="N1751" s="1" t="s">
        <v>64</v>
      </c>
      <c r="O1751" s="1" t="s">
        <v>35</v>
      </c>
      <c r="P1751" s="1" t="s">
        <v>7043</v>
      </c>
    </row>
    <row r="1752" ht="14.25" customHeight="1">
      <c r="A1752" s="1" t="s">
        <v>7044</v>
      </c>
      <c r="B1752" s="1" t="s">
        <v>7045</v>
      </c>
      <c r="C1752" s="1" t="s">
        <v>39</v>
      </c>
      <c r="D1752" s="1">
        <v>40146.0</v>
      </c>
      <c r="E1752" s="1" t="s">
        <v>19</v>
      </c>
      <c r="F1752" s="1" t="s">
        <v>94</v>
      </c>
      <c r="G1752" s="1" t="s">
        <v>100</v>
      </c>
      <c r="H1752" s="2">
        <v>2115.0</v>
      </c>
      <c r="I1752" s="2">
        <v>5527.0</v>
      </c>
      <c r="J1752" s="1">
        <v>1980.0</v>
      </c>
      <c r="K1752" s="1">
        <v>7.0</v>
      </c>
      <c r="L1752" s="1" t="s">
        <v>95</v>
      </c>
      <c r="M1752" s="1" t="s">
        <v>7046</v>
      </c>
      <c r="N1752" s="1" t="s">
        <v>24</v>
      </c>
      <c r="O1752" s="1" t="s">
        <v>49</v>
      </c>
      <c r="P1752" s="1" t="s">
        <v>7047</v>
      </c>
    </row>
    <row r="1753" ht="14.25" customHeight="1">
      <c r="A1753" s="1" t="s">
        <v>7048</v>
      </c>
      <c r="B1753" s="1" t="s">
        <v>7049</v>
      </c>
      <c r="C1753" s="1" t="s">
        <v>29</v>
      </c>
      <c r="D1753" s="1">
        <v>40774.0</v>
      </c>
      <c r="E1753" s="1" t="s">
        <v>77</v>
      </c>
      <c r="F1753" s="1" t="s">
        <v>94</v>
      </c>
      <c r="G1753" s="1" t="s">
        <v>21</v>
      </c>
      <c r="H1753" s="2">
        <v>3598.0</v>
      </c>
      <c r="I1753" s="2">
        <v>6671.0</v>
      </c>
      <c r="J1753" s="1">
        <v>1992.0</v>
      </c>
      <c r="K1753" s="1">
        <v>76.0</v>
      </c>
      <c r="L1753" s="1" t="s">
        <v>141</v>
      </c>
      <c r="M1753" s="1" t="s">
        <v>7050</v>
      </c>
      <c r="N1753" s="1" t="s">
        <v>34</v>
      </c>
      <c r="O1753" s="1" t="s">
        <v>35</v>
      </c>
      <c r="P1753" s="1" t="s">
        <v>7051</v>
      </c>
    </row>
    <row r="1754" ht="14.25" customHeight="1">
      <c r="A1754" s="1" t="s">
        <v>7052</v>
      </c>
      <c r="B1754" s="1" t="s">
        <v>7053</v>
      </c>
      <c r="C1754" s="1" t="s">
        <v>18</v>
      </c>
      <c r="D1754" s="1">
        <v>24650.0</v>
      </c>
      <c r="E1754" s="1" t="s">
        <v>19</v>
      </c>
      <c r="F1754" s="1" t="s">
        <v>94</v>
      </c>
      <c r="G1754" s="1" t="s">
        <v>31</v>
      </c>
      <c r="H1754" s="2">
        <v>953.0</v>
      </c>
      <c r="I1754" s="2">
        <v>6249.0</v>
      </c>
      <c r="J1754" s="1">
        <v>2015.0</v>
      </c>
      <c r="K1754" s="1">
        <v>90.0</v>
      </c>
      <c r="L1754" s="1" t="s">
        <v>62</v>
      </c>
      <c r="M1754" s="1" t="s">
        <v>7054</v>
      </c>
      <c r="N1754" s="1" t="s">
        <v>64</v>
      </c>
      <c r="O1754" s="1" t="s">
        <v>35</v>
      </c>
      <c r="P1754" s="1" t="s">
        <v>7055</v>
      </c>
    </row>
    <row r="1755" ht="14.25" customHeight="1">
      <c r="A1755" s="1" t="s">
        <v>7056</v>
      </c>
      <c r="B1755" s="1" t="s">
        <v>7057</v>
      </c>
      <c r="C1755" s="1" t="s">
        <v>76</v>
      </c>
      <c r="D1755" s="1">
        <v>83965.0</v>
      </c>
      <c r="E1755" s="1" t="s">
        <v>77</v>
      </c>
      <c r="F1755" s="1" t="s">
        <v>20</v>
      </c>
      <c r="G1755" s="1" t="s">
        <v>21</v>
      </c>
      <c r="H1755" s="2">
        <v>3371.0</v>
      </c>
      <c r="I1755" s="2">
        <v>2475.0</v>
      </c>
      <c r="J1755" s="1">
        <v>1960.0</v>
      </c>
      <c r="K1755" s="1">
        <v>118.0</v>
      </c>
      <c r="L1755" s="1" t="s">
        <v>141</v>
      </c>
      <c r="M1755" s="1" t="s">
        <v>7058</v>
      </c>
      <c r="N1755" s="1" t="s">
        <v>24</v>
      </c>
      <c r="O1755" s="1" t="s">
        <v>35</v>
      </c>
      <c r="P1755" s="1" t="s">
        <v>7059</v>
      </c>
    </row>
    <row r="1756" ht="14.25" customHeight="1">
      <c r="A1756" s="1" t="s">
        <v>7060</v>
      </c>
      <c r="B1756" s="1" t="s">
        <v>7061</v>
      </c>
      <c r="C1756" s="1" t="s">
        <v>53</v>
      </c>
      <c r="D1756" s="1">
        <v>90909.0</v>
      </c>
      <c r="E1756" s="1" t="s">
        <v>40</v>
      </c>
      <c r="F1756" s="1" t="s">
        <v>61</v>
      </c>
      <c r="G1756" s="1" t="s">
        <v>55</v>
      </c>
      <c r="H1756" s="2">
        <v>1920.0</v>
      </c>
      <c r="I1756" s="2">
        <v>3215.0</v>
      </c>
      <c r="J1756" s="1">
        <v>1961.0</v>
      </c>
      <c r="K1756" s="1">
        <v>63.0</v>
      </c>
      <c r="L1756" s="1" t="s">
        <v>141</v>
      </c>
      <c r="M1756" s="1" t="s">
        <v>7062</v>
      </c>
      <c r="N1756" s="1" t="s">
        <v>24</v>
      </c>
      <c r="O1756" s="1" t="s">
        <v>25</v>
      </c>
      <c r="P1756" s="1" t="s">
        <v>7063</v>
      </c>
    </row>
    <row r="1757" ht="14.25" customHeight="1">
      <c r="A1757" s="1" t="s">
        <v>7064</v>
      </c>
      <c r="B1757" s="1" t="s">
        <v>7065</v>
      </c>
      <c r="C1757" s="1" t="s">
        <v>29</v>
      </c>
      <c r="D1757" s="1">
        <v>39464.0</v>
      </c>
      <c r="E1757" s="1" t="s">
        <v>19</v>
      </c>
      <c r="F1757" s="1" t="s">
        <v>61</v>
      </c>
      <c r="G1757" s="1" t="s">
        <v>55</v>
      </c>
      <c r="H1757" s="2">
        <v>1139.0</v>
      </c>
      <c r="I1757" s="2">
        <v>5942.0</v>
      </c>
      <c r="J1757" s="1">
        <v>1982.0</v>
      </c>
      <c r="K1757" s="1">
        <v>11.0</v>
      </c>
      <c r="L1757" s="1" t="s">
        <v>95</v>
      </c>
      <c r="M1757" s="1" t="s">
        <v>7066</v>
      </c>
      <c r="N1757" s="1" t="s">
        <v>43</v>
      </c>
      <c r="O1757" s="1" t="s">
        <v>35</v>
      </c>
      <c r="P1757" s="1" t="s">
        <v>7067</v>
      </c>
    </row>
    <row r="1758" ht="14.25" customHeight="1">
      <c r="A1758" s="1" t="s">
        <v>7068</v>
      </c>
      <c r="B1758" s="1" t="s">
        <v>7069</v>
      </c>
      <c r="C1758" s="1" t="s">
        <v>29</v>
      </c>
      <c r="D1758" s="1">
        <v>36565.0</v>
      </c>
      <c r="E1758" s="1" t="s">
        <v>60</v>
      </c>
      <c r="F1758" s="1" t="s">
        <v>46</v>
      </c>
      <c r="G1758" s="1" t="s">
        <v>31</v>
      </c>
      <c r="H1758" s="2">
        <v>2299.0</v>
      </c>
      <c r="I1758" s="2">
        <v>6752.0</v>
      </c>
      <c r="J1758" s="1">
        <v>2009.0</v>
      </c>
      <c r="K1758" s="1">
        <v>66.0</v>
      </c>
      <c r="L1758" s="1" t="s">
        <v>141</v>
      </c>
      <c r="M1758" s="1" t="s">
        <v>7070</v>
      </c>
      <c r="N1758" s="1" t="s">
        <v>34</v>
      </c>
      <c r="O1758" s="1" t="s">
        <v>49</v>
      </c>
      <c r="P1758" s="1" t="s">
        <v>7071</v>
      </c>
    </row>
    <row r="1759" ht="14.25" customHeight="1">
      <c r="A1759" s="1" t="s">
        <v>7072</v>
      </c>
      <c r="B1759" s="1" t="s">
        <v>7073</v>
      </c>
      <c r="C1759" s="1" t="s">
        <v>29</v>
      </c>
      <c r="D1759" s="1">
        <v>22863.0</v>
      </c>
      <c r="E1759" s="1" t="s">
        <v>30</v>
      </c>
      <c r="F1759" s="1" t="s">
        <v>41</v>
      </c>
      <c r="G1759" s="1" t="s">
        <v>55</v>
      </c>
      <c r="H1759" s="2">
        <v>3122.0</v>
      </c>
      <c r="I1759" s="2">
        <v>3886.0</v>
      </c>
      <c r="J1759" s="1">
        <v>2002.0</v>
      </c>
      <c r="K1759" s="1">
        <v>108.0</v>
      </c>
      <c r="L1759" s="1" t="s">
        <v>95</v>
      </c>
      <c r="M1759" s="1" t="s">
        <v>7074</v>
      </c>
      <c r="N1759" s="1" t="s">
        <v>24</v>
      </c>
      <c r="O1759" s="1" t="s">
        <v>49</v>
      </c>
      <c r="P1759" s="1" t="s">
        <v>7075</v>
      </c>
    </row>
    <row r="1760" ht="14.25" customHeight="1">
      <c r="A1760" s="1" t="s">
        <v>7076</v>
      </c>
      <c r="B1760" s="1" t="s">
        <v>7077</v>
      </c>
      <c r="C1760" s="1" t="s">
        <v>29</v>
      </c>
      <c r="D1760" s="1">
        <v>14986.0</v>
      </c>
      <c r="E1760" s="1" t="s">
        <v>77</v>
      </c>
      <c r="F1760" s="1" t="s">
        <v>20</v>
      </c>
      <c r="G1760" s="1" t="s">
        <v>21</v>
      </c>
      <c r="H1760" s="2">
        <v>1990.0</v>
      </c>
      <c r="I1760" s="2">
        <v>7829.0</v>
      </c>
      <c r="J1760" s="1">
        <v>1992.0</v>
      </c>
      <c r="K1760" s="1">
        <v>47.0</v>
      </c>
      <c r="L1760" s="1" t="s">
        <v>32</v>
      </c>
      <c r="M1760" s="1" t="s">
        <v>7078</v>
      </c>
      <c r="N1760" s="1" t="s">
        <v>64</v>
      </c>
      <c r="O1760" s="1" t="s">
        <v>25</v>
      </c>
      <c r="P1760" s="1" t="s">
        <v>7079</v>
      </c>
    </row>
    <row r="1761" ht="14.25" customHeight="1">
      <c r="A1761" s="1" t="s">
        <v>7080</v>
      </c>
      <c r="B1761" s="1" t="s">
        <v>7081</v>
      </c>
      <c r="C1761" s="1" t="s">
        <v>18</v>
      </c>
      <c r="D1761" s="1">
        <v>18795.0</v>
      </c>
      <c r="E1761" s="1" t="s">
        <v>19</v>
      </c>
      <c r="F1761" s="1" t="s">
        <v>46</v>
      </c>
      <c r="G1761" s="1" t="s">
        <v>31</v>
      </c>
      <c r="H1761" s="2">
        <v>621.0</v>
      </c>
      <c r="I1761" s="2">
        <v>5600.0</v>
      </c>
      <c r="J1761" s="1">
        <v>2022.0</v>
      </c>
      <c r="K1761" s="1">
        <v>6.0</v>
      </c>
      <c r="L1761" s="1" t="s">
        <v>62</v>
      </c>
      <c r="M1761" s="1" t="s">
        <v>7082</v>
      </c>
      <c r="N1761" s="1" t="s">
        <v>64</v>
      </c>
      <c r="O1761" s="1" t="s">
        <v>25</v>
      </c>
      <c r="P1761" s="1" t="s">
        <v>7083</v>
      </c>
    </row>
    <row r="1762" ht="14.25" customHeight="1">
      <c r="A1762" s="1" t="s">
        <v>7084</v>
      </c>
      <c r="B1762" s="1" t="s">
        <v>7085</v>
      </c>
      <c r="C1762" s="1" t="s">
        <v>29</v>
      </c>
      <c r="D1762" s="1">
        <v>89688.0</v>
      </c>
      <c r="E1762" s="1" t="s">
        <v>19</v>
      </c>
      <c r="F1762" s="1" t="s">
        <v>20</v>
      </c>
      <c r="G1762" s="1" t="s">
        <v>31</v>
      </c>
      <c r="H1762" s="2">
        <v>1903.0</v>
      </c>
      <c r="I1762" s="2">
        <v>4803.0</v>
      </c>
      <c r="J1762" s="1">
        <v>1951.0</v>
      </c>
      <c r="K1762" s="1">
        <v>55.0</v>
      </c>
      <c r="L1762" s="1" t="s">
        <v>95</v>
      </c>
      <c r="M1762" s="1" t="s">
        <v>7086</v>
      </c>
      <c r="N1762" s="1" t="s">
        <v>48</v>
      </c>
      <c r="O1762" s="1" t="s">
        <v>49</v>
      </c>
      <c r="P1762" s="1" t="s">
        <v>7087</v>
      </c>
    </row>
    <row r="1763" ht="14.25" customHeight="1">
      <c r="A1763" s="1" t="s">
        <v>7088</v>
      </c>
      <c r="B1763" s="1" t="s">
        <v>7089</v>
      </c>
      <c r="C1763" s="1" t="s">
        <v>29</v>
      </c>
      <c r="D1763" s="1">
        <v>45136.0</v>
      </c>
      <c r="E1763" s="1" t="s">
        <v>60</v>
      </c>
      <c r="F1763" s="1" t="s">
        <v>54</v>
      </c>
      <c r="G1763" s="1" t="s">
        <v>21</v>
      </c>
      <c r="H1763" s="2">
        <v>731.0</v>
      </c>
      <c r="I1763" s="2">
        <v>7083.0</v>
      </c>
      <c r="J1763" s="1">
        <v>1992.0</v>
      </c>
      <c r="K1763" s="1">
        <v>67.0</v>
      </c>
      <c r="L1763" s="1" t="s">
        <v>62</v>
      </c>
      <c r="M1763" s="1" t="s">
        <v>7090</v>
      </c>
      <c r="N1763" s="1" t="s">
        <v>34</v>
      </c>
      <c r="O1763" s="1" t="s">
        <v>25</v>
      </c>
      <c r="P1763" s="1" t="s">
        <v>7091</v>
      </c>
    </row>
    <row r="1764" ht="14.25" customHeight="1">
      <c r="A1764" s="1" t="s">
        <v>7092</v>
      </c>
      <c r="B1764" s="1" t="s">
        <v>7093</v>
      </c>
      <c r="C1764" s="1" t="s">
        <v>29</v>
      </c>
      <c r="D1764" s="1">
        <v>39321.0</v>
      </c>
      <c r="E1764" s="1" t="s">
        <v>77</v>
      </c>
      <c r="F1764" s="1" t="s">
        <v>46</v>
      </c>
      <c r="G1764" s="1" t="s">
        <v>100</v>
      </c>
      <c r="H1764" s="2">
        <v>3339.0</v>
      </c>
      <c r="I1764" s="2">
        <v>3566.0</v>
      </c>
      <c r="J1764" s="1">
        <v>1976.0</v>
      </c>
      <c r="K1764" s="1">
        <v>118.0</v>
      </c>
      <c r="L1764" s="1" t="s">
        <v>95</v>
      </c>
      <c r="M1764" s="1" t="s">
        <v>7094</v>
      </c>
      <c r="N1764" s="1" t="s">
        <v>64</v>
      </c>
      <c r="O1764" s="1" t="s">
        <v>49</v>
      </c>
      <c r="P1764" s="1" t="s">
        <v>7095</v>
      </c>
    </row>
    <row r="1765" ht="14.25" customHeight="1">
      <c r="A1765" s="1" t="s">
        <v>7096</v>
      </c>
      <c r="B1765" s="1" t="s">
        <v>7097</v>
      </c>
      <c r="C1765" s="1" t="s">
        <v>53</v>
      </c>
      <c r="D1765" s="1">
        <v>45099.0</v>
      </c>
      <c r="E1765" s="1" t="s">
        <v>19</v>
      </c>
      <c r="F1765" s="1" t="s">
        <v>41</v>
      </c>
      <c r="G1765" s="1" t="s">
        <v>55</v>
      </c>
      <c r="H1765" s="2">
        <v>1850.0</v>
      </c>
      <c r="I1765" s="2">
        <v>1959.0</v>
      </c>
      <c r="J1765" s="1">
        <v>1975.0</v>
      </c>
      <c r="K1765" s="1">
        <v>25.0</v>
      </c>
      <c r="L1765" s="1" t="s">
        <v>62</v>
      </c>
      <c r="M1765" s="1" t="s">
        <v>7098</v>
      </c>
      <c r="N1765" s="1" t="s">
        <v>34</v>
      </c>
      <c r="O1765" s="1" t="s">
        <v>25</v>
      </c>
      <c r="P1765" s="1" t="s">
        <v>7099</v>
      </c>
    </row>
    <row r="1766" ht="14.25" customHeight="1">
      <c r="A1766" s="1" t="s">
        <v>7100</v>
      </c>
      <c r="B1766" s="1" t="s">
        <v>7101</v>
      </c>
      <c r="C1766" s="1" t="s">
        <v>29</v>
      </c>
      <c r="D1766" s="1">
        <v>75339.0</v>
      </c>
      <c r="E1766" s="1" t="s">
        <v>77</v>
      </c>
      <c r="F1766" s="1" t="s">
        <v>46</v>
      </c>
      <c r="G1766" s="1" t="s">
        <v>55</v>
      </c>
      <c r="H1766" s="2">
        <v>848.0</v>
      </c>
      <c r="I1766" s="2">
        <v>7441.0</v>
      </c>
      <c r="J1766" s="1">
        <v>1969.0</v>
      </c>
      <c r="K1766" s="1">
        <v>90.0</v>
      </c>
      <c r="L1766" s="1" t="s">
        <v>32</v>
      </c>
      <c r="M1766" s="1" t="s">
        <v>7102</v>
      </c>
      <c r="N1766" s="1" t="s">
        <v>48</v>
      </c>
      <c r="O1766" s="1" t="s">
        <v>49</v>
      </c>
      <c r="P1766" s="1" t="s">
        <v>7103</v>
      </c>
    </row>
    <row r="1767" ht="14.25" customHeight="1">
      <c r="A1767" s="1" t="s">
        <v>7104</v>
      </c>
      <c r="B1767" s="1" t="s">
        <v>7105</v>
      </c>
      <c r="C1767" s="1" t="s">
        <v>39</v>
      </c>
      <c r="D1767" s="1">
        <v>55582.0</v>
      </c>
      <c r="E1767" s="1" t="s">
        <v>60</v>
      </c>
      <c r="F1767" s="1" t="s">
        <v>94</v>
      </c>
      <c r="G1767" s="1" t="s">
        <v>21</v>
      </c>
      <c r="H1767" s="2">
        <v>1455.0</v>
      </c>
      <c r="I1767" s="2">
        <v>2776.0</v>
      </c>
      <c r="J1767" s="1">
        <v>2021.0</v>
      </c>
      <c r="K1767" s="1">
        <v>19.0</v>
      </c>
      <c r="L1767" s="1" t="s">
        <v>95</v>
      </c>
      <c r="M1767" s="1" t="s">
        <v>7106</v>
      </c>
      <c r="N1767" s="1" t="s">
        <v>24</v>
      </c>
      <c r="O1767" s="1" t="s">
        <v>49</v>
      </c>
      <c r="P1767" s="1" t="s">
        <v>7107</v>
      </c>
    </row>
    <row r="1768" ht="14.25" customHeight="1">
      <c r="A1768" s="1" t="s">
        <v>7108</v>
      </c>
      <c r="B1768" s="1" t="s">
        <v>7109</v>
      </c>
      <c r="C1768" s="1" t="s">
        <v>18</v>
      </c>
      <c r="D1768" s="1">
        <v>74405.0</v>
      </c>
      <c r="E1768" s="1" t="s">
        <v>19</v>
      </c>
      <c r="F1768" s="1" t="s">
        <v>94</v>
      </c>
      <c r="G1768" s="1" t="s">
        <v>55</v>
      </c>
      <c r="H1768" s="2">
        <v>826.0</v>
      </c>
      <c r="I1768" s="2">
        <v>2188.0</v>
      </c>
      <c r="J1768" s="1">
        <v>1981.0</v>
      </c>
      <c r="K1768" s="1">
        <v>99.0</v>
      </c>
      <c r="L1768" s="1" t="s">
        <v>62</v>
      </c>
      <c r="M1768" s="1" t="s">
        <v>7110</v>
      </c>
      <c r="N1768" s="1" t="s">
        <v>43</v>
      </c>
      <c r="O1768" s="1" t="s">
        <v>35</v>
      </c>
      <c r="P1768" s="1" t="s">
        <v>7111</v>
      </c>
    </row>
    <row r="1769" ht="14.25" customHeight="1">
      <c r="A1769" s="1" t="s">
        <v>7112</v>
      </c>
      <c r="B1769" s="1" t="s">
        <v>7113</v>
      </c>
      <c r="C1769" s="1" t="s">
        <v>18</v>
      </c>
      <c r="D1769" s="1">
        <v>67980.0</v>
      </c>
      <c r="E1769" s="1" t="s">
        <v>19</v>
      </c>
      <c r="F1769" s="1" t="s">
        <v>94</v>
      </c>
      <c r="G1769" s="1" t="s">
        <v>31</v>
      </c>
      <c r="H1769" s="2">
        <v>3890.0</v>
      </c>
      <c r="I1769" s="2">
        <v>1016.0</v>
      </c>
      <c r="J1769" s="1">
        <v>2014.0</v>
      </c>
      <c r="K1769" s="1">
        <v>69.0</v>
      </c>
      <c r="L1769" s="1" t="s">
        <v>22</v>
      </c>
      <c r="M1769" s="1" t="s">
        <v>7114</v>
      </c>
      <c r="N1769" s="1" t="s">
        <v>43</v>
      </c>
      <c r="O1769" s="1" t="s">
        <v>25</v>
      </c>
      <c r="P1769" s="1" t="s">
        <v>7115</v>
      </c>
    </row>
    <row r="1770" ht="14.25" customHeight="1">
      <c r="A1770" s="1" t="s">
        <v>7116</v>
      </c>
      <c r="B1770" s="1" t="s">
        <v>7117</v>
      </c>
      <c r="C1770" s="1" t="s">
        <v>18</v>
      </c>
      <c r="D1770" s="1">
        <v>24295.0</v>
      </c>
      <c r="E1770" s="1" t="s">
        <v>40</v>
      </c>
      <c r="F1770" s="1" t="s">
        <v>54</v>
      </c>
      <c r="G1770" s="1" t="s">
        <v>31</v>
      </c>
      <c r="H1770" s="2">
        <v>869.0</v>
      </c>
      <c r="I1770" s="2">
        <v>2109.0</v>
      </c>
      <c r="J1770" s="1">
        <v>2006.0</v>
      </c>
      <c r="K1770" s="1">
        <v>117.0</v>
      </c>
      <c r="L1770" s="1" t="s">
        <v>32</v>
      </c>
      <c r="M1770" s="1" t="s">
        <v>7118</v>
      </c>
      <c r="N1770" s="1" t="s">
        <v>34</v>
      </c>
      <c r="O1770" s="1" t="s">
        <v>35</v>
      </c>
      <c r="P1770" s="1" t="s">
        <v>7119</v>
      </c>
    </row>
    <row r="1771" ht="14.25" customHeight="1">
      <c r="A1771" s="1" t="s">
        <v>7120</v>
      </c>
      <c r="B1771" s="1" t="s">
        <v>7121</v>
      </c>
      <c r="C1771" s="1" t="s">
        <v>53</v>
      </c>
      <c r="D1771" s="1">
        <v>73870.0</v>
      </c>
      <c r="E1771" s="1" t="s">
        <v>60</v>
      </c>
      <c r="F1771" s="1" t="s">
        <v>46</v>
      </c>
      <c r="G1771" s="1" t="s">
        <v>55</v>
      </c>
      <c r="H1771" s="2">
        <v>1636.0</v>
      </c>
      <c r="I1771" s="2">
        <v>9803.0</v>
      </c>
      <c r="J1771" s="1">
        <v>1994.0</v>
      </c>
      <c r="K1771" s="1">
        <v>36.0</v>
      </c>
      <c r="L1771" s="1" t="s">
        <v>32</v>
      </c>
      <c r="M1771" s="1" t="s">
        <v>7122</v>
      </c>
      <c r="N1771" s="1" t="s">
        <v>24</v>
      </c>
      <c r="O1771" s="1" t="s">
        <v>49</v>
      </c>
      <c r="P1771" s="1" t="s">
        <v>7123</v>
      </c>
    </row>
    <row r="1772" ht="14.25" customHeight="1">
      <c r="A1772" s="1" t="s">
        <v>7124</v>
      </c>
      <c r="B1772" s="1" t="s">
        <v>7125</v>
      </c>
      <c r="C1772" s="1" t="s">
        <v>39</v>
      </c>
      <c r="D1772" s="1">
        <v>53719.0</v>
      </c>
      <c r="E1772" s="1" t="s">
        <v>30</v>
      </c>
      <c r="F1772" s="1" t="s">
        <v>54</v>
      </c>
      <c r="G1772" s="1" t="s">
        <v>31</v>
      </c>
      <c r="H1772" s="2">
        <v>1748.0</v>
      </c>
      <c r="I1772" s="2">
        <v>6213.0</v>
      </c>
      <c r="J1772" s="1">
        <v>1995.0</v>
      </c>
      <c r="K1772" s="1">
        <v>88.0</v>
      </c>
      <c r="L1772" s="1" t="s">
        <v>141</v>
      </c>
      <c r="M1772" s="1" t="s">
        <v>7126</v>
      </c>
      <c r="N1772" s="1" t="s">
        <v>43</v>
      </c>
      <c r="O1772" s="1" t="s">
        <v>49</v>
      </c>
      <c r="P1772" s="1" t="s">
        <v>7127</v>
      </c>
    </row>
    <row r="1773" ht="14.25" customHeight="1">
      <c r="A1773" s="1" t="s">
        <v>7128</v>
      </c>
      <c r="B1773" s="1" t="s">
        <v>7129</v>
      </c>
      <c r="C1773" s="1" t="s">
        <v>76</v>
      </c>
      <c r="D1773" s="1">
        <v>94653.0</v>
      </c>
      <c r="E1773" s="1" t="s">
        <v>77</v>
      </c>
      <c r="F1773" s="1" t="s">
        <v>61</v>
      </c>
      <c r="G1773" s="1" t="s">
        <v>21</v>
      </c>
      <c r="H1773" s="2">
        <v>1382.0</v>
      </c>
      <c r="I1773" s="2">
        <v>2005.0</v>
      </c>
      <c r="J1773" s="1">
        <v>1982.0</v>
      </c>
      <c r="K1773" s="1">
        <v>15.0</v>
      </c>
      <c r="L1773" s="1" t="s">
        <v>141</v>
      </c>
      <c r="M1773" s="1" t="s">
        <v>7130</v>
      </c>
      <c r="N1773" s="1" t="s">
        <v>64</v>
      </c>
      <c r="O1773" s="1" t="s">
        <v>25</v>
      </c>
      <c r="P1773" s="1" t="s">
        <v>7131</v>
      </c>
    </row>
    <row r="1774" ht="14.25" customHeight="1">
      <c r="A1774" s="1" t="s">
        <v>7132</v>
      </c>
      <c r="B1774" s="1" t="s">
        <v>7133</v>
      </c>
      <c r="C1774" s="1" t="s">
        <v>18</v>
      </c>
      <c r="D1774" s="1">
        <v>11161.0</v>
      </c>
      <c r="E1774" s="1" t="s">
        <v>40</v>
      </c>
      <c r="F1774" s="1" t="s">
        <v>94</v>
      </c>
      <c r="G1774" s="1" t="s">
        <v>100</v>
      </c>
      <c r="H1774" s="2">
        <v>2206.0</v>
      </c>
      <c r="I1774" s="2">
        <v>1872.0</v>
      </c>
      <c r="J1774" s="1">
        <v>1981.0</v>
      </c>
      <c r="K1774" s="1">
        <v>46.0</v>
      </c>
      <c r="L1774" s="1" t="s">
        <v>62</v>
      </c>
      <c r="M1774" s="1" t="s">
        <v>7134</v>
      </c>
      <c r="N1774" s="1" t="s">
        <v>34</v>
      </c>
      <c r="O1774" s="1" t="s">
        <v>35</v>
      </c>
      <c r="P1774" s="1" t="s">
        <v>7135</v>
      </c>
    </row>
    <row r="1775" ht="14.25" customHeight="1">
      <c r="A1775" s="1" t="s">
        <v>7136</v>
      </c>
      <c r="B1775" s="1" t="s">
        <v>7137</v>
      </c>
      <c r="C1775" s="1" t="s">
        <v>76</v>
      </c>
      <c r="D1775" s="1">
        <v>36942.0</v>
      </c>
      <c r="E1775" s="1" t="s">
        <v>77</v>
      </c>
      <c r="F1775" s="1" t="s">
        <v>94</v>
      </c>
      <c r="G1775" s="1" t="s">
        <v>31</v>
      </c>
      <c r="H1775" s="2">
        <v>2132.0</v>
      </c>
      <c r="I1775" s="2">
        <v>1110.0</v>
      </c>
      <c r="J1775" s="1">
        <v>1952.0</v>
      </c>
      <c r="K1775" s="1">
        <v>2.0</v>
      </c>
      <c r="L1775" s="1" t="s">
        <v>95</v>
      </c>
      <c r="M1775" s="1" t="s">
        <v>7138</v>
      </c>
      <c r="N1775" s="1" t="s">
        <v>48</v>
      </c>
      <c r="O1775" s="1" t="s">
        <v>35</v>
      </c>
      <c r="P1775" s="1" t="s">
        <v>7139</v>
      </c>
    </row>
    <row r="1776" ht="14.25" customHeight="1">
      <c r="A1776" s="1" t="s">
        <v>7140</v>
      </c>
      <c r="B1776" s="1" t="s">
        <v>7141</v>
      </c>
      <c r="C1776" s="1" t="s">
        <v>18</v>
      </c>
      <c r="D1776" s="1">
        <v>89282.0</v>
      </c>
      <c r="E1776" s="1" t="s">
        <v>40</v>
      </c>
      <c r="F1776" s="1" t="s">
        <v>94</v>
      </c>
      <c r="G1776" s="1" t="s">
        <v>100</v>
      </c>
      <c r="H1776" s="2">
        <v>1188.0</v>
      </c>
      <c r="I1776" s="2">
        <v>7036.0</v>
      </c>
      <c r="J1776" s="1">
        <v>1969.0</v>
      </c>
      <c r="K1776" s="1">
        <v>104.0</v>
      </c>
      <c r="L1776" s="1" t="s">
        <v>141</v>
      </c>
      <c r="M1776" s="1" t="s">
        <v>7142</v>
      </c>
      <c r="N1776" s="1" t="s">
        <v>43</v>
      </c>
      <c r="O1776" s="1" t="s">
        <v>35</v>
      </c>
      <c r="P1776" s="1" t="s">
        <v>7143</v>
      </c>
    </row>
    <row r="1777" ht="14.25" customHeight="1">
      <c r="A1777" s="1" t="s">
        <v>7144</v>
      </c>
      <c r="B1777" s="1" t="s">
        <v>7145</v>
      </c>
      <c r="C1777" s="1" t="s">
        <v>18</v>
      </c>
      <c r="D1777" s="1">
        <v>23484.0</v>
      </c>
      <c r="E1777" s="1" t="s">
        <v>77</v>
      </c>
      <c r="F1777" s="1" t="s">
        <v>46</v>
      </c>
      <c r="G1777" s="1" t="s">
        <v>55</v>
      </c>
      <c r="H1777" s="2">
        <v>1802.0</v>
      </c>
      <c r="I1777" s="2">
        <v>8381.0</v>
      </c>
      <c r="J1777" s="1">
        <v>1983.0</v>
      </c>
      <c r="K1777" s="1">
        <v>33.0</v>
      </c>
      <c r="L1777" s="1" t="s">
        <v>32</v>
      </c>
      <c r="M1777" s="1" t="s">
        <v>7146</v>
      </c>
      <c r="N1777" s="1" t="s">
        <v>43</v>
      </c>
      <c r="O1777" s="1" t="s">
        <v>25</v>
      </c>
      <c r="P1777" s="1" t="s">
        <v>7147</v>
      </c>
    </row>
    <row r="1778" ht="14.25" customHeight="1">
      <c r="A1778" s="1" t="s">
        <v>7148</v>
      </c>
      <c r="B1778" s="1" t="s">
        <v>7149</v>
      </c>
      <c r="C1778" s="1" t="s">
        <v>53</v>
      </c>
      <c r="D1778" s="1">
        <v>99833.0</v>
      </c>
      <c r="E1778" s="1" t="s">
        <v>19</v>
      </c>
      <c r="F1778" s="1" t="s">
        <v>94</v>
      </c>
      <c r="G1778" s="1" t="s">
        <v>21</v>
      </c>
      <c r="H1778" s="2">
        <v>3898.0</v>
      </c>
      <c r="I1778" s="2">
        <v>4407.0</v>
      </c>
      <c r="J1778" s="1">
        <v>2004.0</v>
      </c>
      <c r="K1778" s="1">
        <v>8.0</v>
      </c>
      <c r="L1778" s="1" t="s">
        <v>95</v>
      </c>
      <c r="M1778" s="1" t="s">
        <v>7150</v>
      </c>
      <c r="N1778" s="1" t="s">
        <v>43</v>
      </c>
      <c r="O1778" s="1" t="s">
        <v>35</v>
      </c>
      <c r="P1778" s="1" t="s">
        <v>7151</v>
      </c>
    </row>
    <row r="1779" ht="14.25" customHeight="1">
      <c r="A1779" s="1" t="s">
        <v>7152</v>
      </c>
      <c r="B1779" s="1" t="s">
        <v>7153</v>
      </c>
      <c r="C1779" s="1" t="s">
        <v>29</v>
      </c>
      <c r="D1779" s="1">
        <v>21246.0</v>
      </c>
      <c r="E1779" s="1" t="s">
        <v>77</v>
      </c>
      <c r="F1779" s="1" t="s">
        <v>54</v>
      </c>
      <c r="G1779" s="1" t="s">
        <v>31</v>
      </c>
      <c r="H1779" s="2">
        <v>3227.0</v>
      </c>
      <c r="I1779" s="2">
        <v>8308.0</v>
      </c>
      <c r="J1779" s="1">
        <v>1955.0</v>
      </c>
      <c r="K1779" s="1">
        <v>12.0</v>
      </c>
      <c r="L1779" s="1" t="s">
        <v>95</v>
      </c>
      <c r="M1779" s="1" t="s">
        <v>7154</v>
      </c>
      <c r="N1779" s="1" t="s">
        <v>34</v>
      </c>
      <c r="O1779" s="1" t="s">
        <v>49</v>
      </c>
      <c r="P1779" s="1" t="s">
        <v>7155</v>
      </c>
    </row>
    <row r="1780" ht="14.25" customHeight="1">
      <c r="A1780" s="1" t="s">
        <v>7156</v>
      </c>
      <c r="B1780" s="1" t="s">
        <v>7157</v>
      </c>
      <c r="C1780" s="1" t="s">
        <v>29</v>
      </c>
      <c r="D1780" s="1">
        <v>27368.0</v>
      </c>
      <c r="E1780" s="1" t="s">
        <v>40</v>
      </c>
      <c r="F1780" s="1" t="s">
        <v>46</v>
      </c>
      <c r="G1780" s="1" t="s">
        <v>100</v>
      </c>
      <c r="H1780" s="2">
        <v>3250.0</v>
      </c>
      <c r="I1780" s="2">
        <v>6051.0</v>
      </c>
      <c r="J1780" s="1">
        <v>1969.0</v>
      </c>
      <c r="K1780" s="1">
        <v>62.0</v>
      </c>
      <c r="L1780" s="1" t="s">
        <v>22</v>
      </c>
      <c r="M1780" s="1" t="s">
        <v>7158</v>
      </c>
      <c r="N1780" s="1" t="s">
        <v>34</v>
      </c>
      <c r="O1780" s="1" t="s">
        <v>49</v>
      </c>
      <c r="P1780" s="1" t="s">
        <v>7159</v>
      </c>
    </row>
    <row r="1781" ht="14.25" customHeight="1">
      <c r="A1781" s="1" t="s">
        <v>7160</v>
      </c>
      <c r="B1781" s="1" t="s">
        <v>7161</v>
      </c>
      <c r="C1781" s="1" t="s">
        <v>53</v>
      </c>
      <c r="D1781" s="1">
        <v>48649.0</v>
      </c>
      <c r="E1781" s="1" t="s">
        <v>40</v>
      </c>
      <c r="F1781" s="1" t="s">
        <v>94</v>
      </c>
      <c r="G1781" s="1" t="s">
        <v>100</v>
      </c>
      <c r="H1781" s="2">
        <v>2420.0</v>
      </c>
      <c r="I1781" s="2">
        <v>5481.0</v>
      </c>
      <c r="J1781" s="1">
        <v>2005.0</v>
      </c>
      <c r="K1781" s="1">
        <v>109.0</v>
      </c>
      <c r="L1781" s="1" t="s">
        <v>95</v>
      </c>
      <c r="M1781" s="1" t="s">
        <v>7162</v>
      </c>
      <c r="N1781" s="1" t="s">
        <v>43</v>
      </c>
      <c r="O1781" s="1" t="s">
        <v>35</v>
      </c>
      <c r="P1781" s="1" t="s">
        <v>7163</v>
      </c>
    </row>
    <row r="1782" ht="14.25" customHeight="1">
      <c r="A1782" s="1" t="s">
        <v>7164</v>
      </c>
      <c r="B1782" s="1" t="s">
        <v>7165</v>
      </c>
      <c r="C1782" s="1" t="s">
        <v>39</v>
      </c>
      <c r="D1782" s="1">
        <v>77686.0</v>
      </c>
      <c r="E1782" s="1" t="s">
        <v>30</v>
      </c>
      <c r="F1782" s="1" t="s">
        <v>54</v>
      </c>
      <c r="G1782" s="1" t="s">
        <v>31</v>
      </c>
      <c r="H1782" s="2">
        <v>1796.0</v>
      </c>
      <c r="I1782" s="2">
        <v>3596.0</v>
      </c>
      <c r="J1782" s="1">
        <v>2007.0</v>
      </c>
      <c r="K1782" s="1">
        <v>84.0</v>
      </c>
      <c r="L1782" s="1" t="s">
        <v>22</v>
      </c>
      <c r="M1782" s="1" t="s">
        <v>7166</v>
      </c>
      <c r="N1782" s="1" t="s">
        <v>48</v>
      </c>
      <c r="O1782" s="1" t="s">
        <v>49</v>
      </c>
      <c r="P1782" s="1" t="s">
        <v>7167</v>
      </c>
    </row>
    <row r="1783" ht="14.25" customHeight="1">
      <c r="A1783" s="1" t="s">
        <v>7168</v>
      </c>
      <c r="B1783" s="1" t="s">
        <v>7169</v>
      </c>
      <c r="C1783" s="1" t="s">
        <v>53</v>
      </c>
      <c r="D1783" s="1">
        <v>87095.0</v>
      </c>
      <c r="E1783" s="1" t="s">
        <v>19</v>
      </c>
      <c r="F1783" s="1" t="s">
        <v>46</v>
      </c>
      <c r="G1783" s="1" t="s">
        <v>31</v>
      </c>
      <c r="H1783" s="2">
        <v>3013.0</v>
      </c>
      <c r="I1783" s="2">
        <v>3985.0</v>
      </c>
      <c r="J1783" s="1">
        <v>1992.0</v>
      </c>
      <c r="K1783" s="1">
        <v>116.0</v>
      </c>
      <c r="L1783" s="1" t="s">
        <v>32</v>
      </c>
      <c r="M1783" s="1" t="s">
        <v>7170</v>
      </c>
      <c r="N1783" s="1" t="s">
        <v>34</v>
      </c>
      <c r="O1783" s="1" t="s">
        <v>49</v>
      </c>
      <c r="P1783" s="1" t="s">
        <v>7171</v>
      </c>
    </row>
    <row r="1784" ht="14.25" customHeight="1">
      <c r="A1784" s="1" t="s">
        <v>7172</v>
      </c>
      <c r="B1784" s="1" t="s">
        <v>7173</v>
      </c>
      <c r="C1784" s="1" t="s">
        <v>18</v>
      </c>
      <c r="D1784" s="1">
        <v>31733.0</v>
      </c>
      <c r="E1784" s="1" t="s">
        <v>30</v>
      </c>
      <c r="F1784" s="1" t="s">
        <v>54</v>
      </c>
      <c r="G1784" s="1" t="s">
        <v>31</v>
      </c>
      <c r="H1784" s="2">
        <v>1578.0</v>
      </c>
      <c r="I1784" s="2">
        <v>2603.0</v>
      </c>
      <c r="J1784" s="1">
        <v>2014.0</v>
      </c>
      <c r="K1784" s="1">
        <v>25.0</v>
      </c>
      <c r="L1784" s="1" t="s">
        <v>22</v>
      </c>
      <c r="M1784" s="1" t="s">
        <v>7174</v>
      </c>
      <c r="N1784" s="1" t="s">
        <v>64</v>
      </c>
      <c r="O1784" s="1" t="s">
        <v>35</v>
      </c>
      <c r="P1784" s="1" t="s">
        <v>7175</v>
      </c>
    </row>
    <row r="1785" ht="14.25" customHeight="1">
      <c r="A1785" s="1" t="s">
        <v>7176</v>
      </c>
      <c r="B1785" s="1" t="s">
        <v>7177</v>
      </c>
      <c r="C1785" s="1" t="s">
        <v>76</v>
      </c>
      <c r="D1785" s="1">
        <v>41775.0</v>
      </c>
      <c r="E1785" s="1" t="s">
        <v>19</v>
      </c>
      <c r="F1785" s="1" t="s">
        <v>94</v>
      </c>
      <c r="G1785" s="1" t="s">
        <v>100</v>
      </c>
      <c r="H1785" s="2">
        <v>1475.0</v>
      </c>
      <c r="I1785" s="2">
        <v>9331.0</v>
      </c>
      <c r="J1785" s="1">
        <v>1987.0</v>
      </c>
      <c r="K1785" s="1">
        <v>43.0</v>
      </c>
      <c r="L1785" s="1" t="s">
        <v>22</v>
      </c>
      <c r="M1785" s="1" t="s">
        <v>7178</v>
      </c>
      <c r="N1785" s="1" t="s">
        <v>34</v>
      </c>
      <c r="O1785" s="1" t="s">
        <v>25</v>
      </c>
      <c r="P1785" s="1" t="s">
        <v>7179</v>
      </c>
    </row>
    <row r="1786" ht="14.25" customHeight="1">
      <c r="A1786" s="1" t="s">
        <v>7180</v>
      </c>
      <c r="B1786" s="1" t="s">
        <v>7181</v>
      </c>
      <c r="C1786" s="1" t="s">
        <v>76</v>
      </c>
      <c r="D1786" s="1">
        <v>38499.0</v>
      </c>
      <c r="E1786" s="1" t="s">
        <v>60</v>
      </c>
      <c r="F1786" s="1" t="s">
        <v>41</v>
      </c>
      <c r="G1786" s="1" t="s">
        <v>21</v>
      </c>
      <c r="H1786" s="2">
        <v>3579.0</v>
      </c>
      <c r="I1786" s="2">
        <v>4662.0</v>
      </c>
      <c r="J1786" s="1">
        <v>1995.0</v>
      </c>
      <c r="K1786" s="1">
        <v>98.0</v>
      </c>
      <c r="L1786" s="1" t="s">
        <v>22</v>
      </c>
      <c r="M1786" s="1" t="s">
        <v>7182</v>
      </c>
      <c r="N1786" s="1" t="s">
        <v>34</v>
      </c>
      <c r="O1786" s="1" t="s">
        <v>25</v>
      </c>
      <c r="P1786" s="1" t="s">
        <v>7183</v>
      </c>
    </row>
    <row r="1787" ht="14.25" customHeight="1">
      <c r="A1787" s="1" t="s">
        <v>7184</v>
      </c>
      <c r="B1787" s="1" t="s">
        <v>7185</v>
      </c>
      <c r="C1787" s="1" t="s">
        <v>76</v>
      </c>
      <c r="D1787" s="1">
        <v>54158.0</v>
      </c>
      <c r="E1787" s="1" t="s">
        <v>77</v>
      </c>
      <c r="F1787" s="1" t="s">
        <v>54</v>
      </c>
      <c r="G1787" s="1" t="s">
        <v>31</v>
      </c>
      <c r="H1787" s="2">
        <v>3450.0</v>
      </c>
      <c r="I1787" s="2">
        <v>2632.0</v>
      </c>
      <c r="J1787" s="1">
        <v>1962.0</v>
      </c>
      <c r="K1787" s="1">
        <v>93.0</v>
      </c>
      <c r="L1787" s="1" t="s">
        <v>95</v>
      </c>
      <c r="M1787" s="1" t="s">
        <v>7186</v>
      </c>
      <c r="N1787" s="1" t="s">
        <v>43</v>
      </c>
      <c r="O1787" s="1" t="s">
        <v>25</v>
      </c>
      <c r="P1787" s="1" t="s">
        <v>7187</v>
      </c>
    </row>
    <row r="1788" ht="14.25" customHeight="1">
      <c r="A1788" s="1" t="s">
        <v>7188</v>
      </c>
      <c r="B1788" s="1" t="s">
        <v>7189</v>
      </c>
      <c r="C1788" s="1" t="s">
        <v>39</v>
      </c>
      <c r="D1788" s="1">
        <v>39086.0</v>
      </c>
      <c r="E1788" s="1" t="s">
        <v>40</v>
      </c>
      <c r="F1788" s="1" t="s">
        <v>46</v>
      </c>
      <c r="G1788" s="1" t="s">
        <v>31</v>
      </c>
      <c r="H1788" s="2">
        <v>1616.0</v>
      </c>
      <c r="I1788" s="2">
        <v>8257.0</v>
      </c>
      <c r="J1788" s="1">
        <v>1994.0</v>
      </c>
      <c r="K1788" s="1">
        <v>91.0</v>
      </c>
      <c r="L1788" s="1" t="s">
        <v>62</v>
      </c>
      <c r="M1788" s="1" t="s">
        <v>7190</v>
      </c>
      <c r="N1788" s="1" t="s">
        <v>64</v>
      </c>
      <c r="O1788" s="1" t="s">
        <v>35</v>
      </c>
      <c r="P1788" s="1" t="s">
        <v>7191</v>
      </c>
    </row>
    <row r="1789" ht="14.25" customHeight="1">
      <c r="A1789" s="1" t="s">
        <v>7192</v>
      </c>
      <c r="B1789" s="1" t="s">
        <v>7193</v>
      </c>
      <c r="C1789" s="1" t="s">
        <v>18</v>
      </c>
      <c r="D1789" s="1">
        <v>50594.0</v>
      </c>
      <c r="E1789" s="1" t="s">
        <v>77</v>
      </c>
      <c r="F1789" s="1" t="s">
        <v>46</v>
      </c>
      <c r="G1789" s="1" t="s">
        <v>21</v>
      </c>
      <c r="H1789" s="2">
        <v>3565.0</v>
      </c>
      <c r="I1789" s="2">
        <v>1910.0</v>
      </c>
      <c r="J1789" s="1">
        <v>1979.0</v>
      </c>
      <c r="K1789" s="1">
        <v>89.0</v>
      </c>
      <c r="L1789" s="1" t="s">
        <v>22</v>
      </c>
      <c r="M1789" s="1" t="s">
        <v>7194</v>
      </c>
      <c r="N1789" s="1" t="s">
        <v>64</v>
      </c>
      <c r="O1789" s="1" t="s">
        <v>25</v>
      </c>
      <c r="P1789" s="1" t="s">
        <v>7195</v>
      </c>
    </row>
    <row r="1790" ht="14.25" customHeight="1">
      <c r="A1790" s="1" t="s">
        <v>7196</v>
      </c>
      <c r="B1790" s="1" t="s">
        <v>7197</v>
      </c>
      <c r="C1790" s="1" t="s">
        <v>29</v>
      </c>
      <c r="D1790" s="1">
        <v>57121.0</v>
      </c>
      <c r="E1790" s="1" t="s">
        <v>30</v>
      </c>
      <c r="F1790" s="1" t="s">
        <v>41</v>
      </c>
      <c r="G1790" s="1" t="s">
        <v>100</v>
      </c>
      <c r="H1790" s="2">
        <v>3123.0</v>
      </c>
      <c r="I1790" s="2">
        <v>6375.0</v>
      </c>
      <c r="J1790" s="1">
        <v>2008.0</v>
      </c>
      <c r="K1790" s="1">
        <v>11.0</v>
      </c>
      <c r="L1790" s="1" t="s">
        <v>32</v>
      </c>
      <c r="M1790" s="1" t="s">
        <v>7198</v>
      </c>
      <c r="N1790" s="1" t="s">
        <v>34</v>
      </c>
      <c r="O1790" s="1" t="s">
        <v>25</v>
      </c>
      <c r="P1790" s="1" t="s">
        <v>7199</v>
      </c>
    </row>
    <row r="1791" ht="14.25" customHeight="1">
      <c r="A1791" s="1" t="s">
        <v>7200</v>
      </c>
      <c r="B1791" s="1" t="s">
        <v>7201</v>
      </c>
      <c r="C1791" s="1" t="s">
        <v>53</v>
      </c>
      <c r="D1791" s="1">
        <v>14869.0</v>
      </c>
      <c r="E1791" s="1" t="s">
        <v>19</v>
      </c>
      <c r="F1791" s="1" t="s">
        <v>61</v>
      </c>
      <c r="G1791" s="1" t="s">
        <v>55</v>
      </c>
      <c r="H1791" s="2">
        <v>1281.0</v>
      </c>
      <c r="I1791" s="2">
        <v>5710.0</v>
      </c>
      <c r="J1791" s="1">
        <v>2012.0</v>
      </c>
      <c r="K1791" s="1">
        <v>100.0</v>
      </c>
      <c r="L1791" s="1" t="s">
        <v>32</v>
      </c>
      <c r="M1791" s="1" t="s">
        <v>7202</v>
      </c>
      <c r="N1791" s="1" t="s">
        <v>64</v>
      </c>
      <c r="O1791" s="1" t="s">
        <v>49</v>
      </c>
      <c r="P1791" s="1" t="s">
        <v>7203</v>
      </c>
    </row>
    <row r="1792" ht="14.25" customHeight="1">
      <c r="A1792" s="1" t="s">
        <v>7204</v>
      </c>
      <c r="B1792" s="1" t="s">
        <v>7205</v>
      </c>
      <c r="C1792" s="1" t="s">
        <v>29</v>
      </c>
      <c r="D1792" s="1">
        <v>16558.0</v>
      </c>
      <c r="E1792" s="1" t="s">
        <v>60</v>
      </c>
      <c r="F1792" s="1" t="s">
        <v>20</v>
      </c>
      <c r="G1792" s="1" t="s">
        <v>100</v>
      </c>
      <c r="H1792" s="2">
        <v>3864.0</v>
      </c>
      <c r="I1792" s="2">
        <v>9789.0</v>
      </c>
      <c r="J1792" s="1">
        <v>2007.0</v>
      </c>
      <c r="K1792" s="1">
        <v>96.0</v>
      </c>
      <c r="L1792" s="1" t="s">
        <v>62</v>
      </c>
      <c r="M1792" s="1" t="s">
        <v>7206</v>
      </c>
      <c r="N1792" s="1" t="s">
        <v>64</v>
      </c>
      <c r="O1792" s="1" t="s">
        <v>49</v>
      </c>
      <c r="P1792" s="1" t="s">
        <v>7207</v>
      </c>
    </row>
    <row r="1793" ht="14.25" customHeight="1">
      <c r="A1793" s="1" t="s">
        <v>7208</v>
      </c>
      <c r="B1793" s="1" t="s">
        <v>7209</v>
      </c>
      <c r="C1793" s="1" t="s">
        <v>76</v>
      </c>
      <c r="D1793" s="1">
        <v>74559.0</v>
      </c>
      <c r="E1793" s="1" t="s">
        <v>40</v>
      </c>
      <c r="F1793" s="1" t="s">
        <v>20</v>
      </c>
      <c r="G1793" s="1" t="s">
        <v>55</v>
      </c>
      <c r="H1793" s="2">
        <v>3812.0</v>
      </c>
      <c r="I1793" s="2">
        <v>1453.0</v>
      </c>
      <c r="J1793" s="1">
        <v>1963.0</v>
      </c>
      <c r="K1793" s="1">
        <v>120.0</v>
      </c>
      <c r="L1793" s="1" t="s">
        <v>32</v>
      </c>
      <c r="M1793" s="1" t="s">
        <v>7210</v>
      </c>
      <c r="N1793" s="1" t="s">
        <v>64</v>
      </c>
      <c r="O1793" s="1" t="s">
        <v>25</v>
      </c>
      <c r="P1793" s="1" t="s">
        <v>7211</v>
      </c>
    </row>
    <row r="1794" ht="14.25" customHeight="1">
      <c r="A1794" s="1" t="s">
        <v>7212</v>
      </c>
      <c r="B1794" s="1" t="s">
        <v>7213</v>
      </c>
      <c r="C1794" s="1" t="s">
        <v>76</v>
      </c>
      <c r="D1794" s="1">
        <v>59168.0</v>
      </c>
      <c r="E1794" s="1" t="s">
        <v>19</v>
      </c>
      <c r="F1794" s="1" t="s">
        <v>61</v>
      </c>
      <c r="G1794" s="1" t="s">
        <v>55</v>
      </c>
      <c r="H1794" s="2">
        <v>1886.0</v>
      </c>
      <c r="I1794" s="2">
        <v>8226.0</v>
      </c>
      <c r="J1794" s="1">
        <v>2004.0</v>
      </c>
      <c r="K1794" s="1">
        <v>32.0</v>
      </c>
      <c r="L1794" s="1" t="s">
        <v>95</v>
      </c>
      <c r="M1794" s="1" t="s">
        <v>7214</v>
      </c>
      <c r="N1794" s="1" t="s">
        <v>34</v>
      </c>
      <c r="O1794" s="1" t="s">
        <v>49</v>
      </c>
      <c r="P1794" s="1" t="s">
        <v>7215</v>
      </c>
    </row>
    <row r="1795" ht="14.25" customHeight="1">
      <c r="A1795" s="1" t="s">
        <v>7216</v>
      </c>
      <c r="B1795" s="1" t="s">
        <v>7217</v>
      </c>
      <c r="C1795" s="1" t="s">
        <v>18</v>
      </c>
      <c r="D1795" s="1">
        <v>81788.0</v>
      </c>
      <c r="E1795" s="1" t="s">
        <v>19</v>
      </c>
      <c r="F1795" s="1" t="s">
        <v>20</v>
      </c>
      <c r="G1795" s="1" t="s">
        <v>55</v>
      </c>
      <c r="H1795" s="2">
        <v>1988.0</v>
      </c>
      <c r="I1795" s="2">
        <v>2237.0</v>
      </c>
      <c r="J1795" s="1">
        <v>1999.0</v>
      </c>
      <c r="K1795" s="1">
        <v>83.0</v>
      </c>
      <c r="L1795" s="1" t="s">
        <v>32</v>
      </c>
      <c r="M1795" s="1" t="s">
        <v>7218</v>
      </c>
      <c r="N1795" s="1" t="s">
        <v>24</v>
      </c>
      <c r="O1795" s="1" t="s">
        <v>49</v>
      </c>
      <c r="P1795" s="1" t="s">
        <v>7219</v>
      </c>
    </row>
    <row r="1796" ht="14.25" customHeight="1">
      <c r="A1796" s="1" t="s">
        <v>7220</v>
      </c>
      <c r="B1796" s="1" t="s">
        <v>7221</v>
      </c>
      <c r="C1796" s="1" t="s">
        <v>39</v>
      </c>
      <c r="D1796" s="1">
        <v>99458.0</v>
      </c>
      <c r="E1796" s="1" t="s">
        <v>30</v>
      </c>
      <c r="F1796" s="1" t="s">
        <v>20</v>
      </c>
      <c r="G1796" s="1" t="s">
        <v>55</v>
      </c>
      <c r="H1796" s="2">
        <v>2551.0</v>
      </c>
      <c r="I1796" s="2">
        <v>2042.0</v>
      </c>
      <c r="J1796" s="1">
        <v>1951.0</v>
      </c>
      <c r="K1796" s="1">
        <v>25.0</v>
      </c>
      <c r="L1796" s="1" t="s">
        <v>95</v>
      </c>
      <c r="M1796" s="1" t="s">
        <v>7222</v>
      </c>
      <c r="N1796" s="1" t="s">
        <v>24</v>
      </c>
      <c r="O1796" s="1" t="s">
        <v>25</v>
      </c>
      <c r="P1796" s="1" t="s">
        <v>7223</v>
      </c>
    </row>
    <row r="1797" ht="14.25" customHeight="1">
      <c r="A1797" s="1" t="s">
        <v>7224</v>
      </c>
      <c r="B1797" s="1" t="s">
        <v>7225</v>
      </c>
      <c r="C1797" s="1" t="s">
        <v>76</v>
      </c>
      <c r="D1797" s="1">
        <v>63394.0</v>
      </c>
      <c r="E1797" s="1" t="s">
        <v>40</v>
      </c>
      <c r="F1797" s="1" t="s">
        <v>61</v>
      </c>
      <c r="G1797" s="1" t="s">
        <v>31</v>
      </c>
      <c r="H1797" s="2">
        <v>1999.0</v>
      </c>
      <c r="I1797" s="2">
        <v>4541.0</v>
      </c>
      <c r="J1797" s="1">
        <v>1991.0</v>
      </c>
      <c r="K1797" s="1">
        <v>36.0</v>
      </c>
      <c r="L1797" s="1" t="s">
        <v>141</v>
      </c>
      <c r="M1797" s="1" t="s">
        <v>7226</v>
      </c>
      <c r="N1797" s="1" t="s">
        <v>48</v>
      </c>
      <c r="O1797" s="1" t="s">
        <v>35</v>
      </c>
      <c r="P1797" s="1" t="s">
        <v>7227</v>
      </c>
    </row>
    <row r="1798" ht="14.25" customHeight="1">
      <c r="A1798" s="1" t="s">
        <v>7228</v>
      </c>
      <c r="B1798" s="1" t="s">
        <v>7229</v>
      </c>
      <c r="C1798" s="1" t="s">
        <v>53</v>
      </c>
      <c r="D1798" s="1">
        <v>54265.0</v>
      </c>
      <c r="E1798" s="1" t="s">
        <v>19</v>
      </c>
      <c r="F1798" s="1" t="s">
        <v>46</v>
      </c>
      <c r="G1798" s="1" t="s">
        <v>100</v>
      </c>
      <c r="H1798" s="2">
        <v>2364.0</v>
      </c>
      <c r="I1798" s="2">
        <v>4964.0</v>
      </c>
      <c r="J1798" s="1">
        <v>1971.0</v>
      </c>
      <c r="K1798" s="1">
        <v>106.0</v>
      </c>
      <c r="L1798" s="1" t="s">
        <v>32</v>
      </c>
      <c r="M1798" s="1" t="s">
        <v>7230</v>
      </c>
      <c r="N1798" s="1" t="s">
        <v>48</v>
      </c>
      <c r="O1798" s="1" t="s">
        <v>25</v>
      </c>
      <c r="P1798" s="1" t="s">
        <v>7231</v>
      </c>
    </row>
    <row r="1799" ht="14.25" customHeight="1">
      <c r="A1799" s="1" t="s">
        <v>7232</v>
      </c>
      <c r="B1799" s="1" t="s">
        <v>7233</v>
      </c>
      <c r="C1799" s="1" t="s">
        <v>29</v>
      </c>
      <c r="D1799" s="1">
        <v>47215.0</v>
      </c>
      <c r="E1799" s="1" t="s">
        <v>77</v>
      </c>
      <c r="F1799" s="1" t="s">
        <v>94</v>
      </c>
      <c r="G1799" s="1" t="s">
        <v>100</v>
      </c>
      <c r="H1799" s="2">
        <v>2991.0</v>
      </c>
      <c r="I1799" s="2">
        <v>8023.0</v>
      </c>
      <c r="J1799" s="1">
        <v>1984.0</v>
      </c>
      <c r="K1799" s="1">
        <v>31.0</v>
      </c>
      <c r="L1799" s="1" t="s">
        <v>32</v>
      </c>
      <c r="M1799" s="1" t="s">
        <v>7234</v>
      </c>
      <c r="N1799" s="1" t="s">
        <v>48</v>
      </c>
      <c r="O1799" s="1" t="s">
        <v>49</v>
      </c>
      <c r="P1799" s="1" t="s">
        <v>7235</v>
      </c>
    </row>
    <row r="1800" ht="14.25" customHeight="1">
      <c r="A1800" s="1" t="s">
        <v>7236</v>
      </c>
      <c r="B1800" s="1" t="s">
        <v>7237</v>
      </c>
      <c r="C1800" s="1" t="s">
        <v>39</v>
      </c>
      <c r="D1800" s="1">
        <v>81002.0</v>
      </c>
      <c r="E1800" s="1" t="s">
        <v>30</v>
      </c>
      <c r="F1800" s="1" t="s">
        <v>20</v>
      </c>
      <c r="G1800" s="1" t="s">
        <v>55</v>
      </c>
      <c r="H1800" s="2">
        <v>3227.0</v>
      </c>
      <c r="I1800" s="2">
        <v>1628.0</v>
      </c>
      <c r="J1800" s="1">
        <v>1973.0</v>
      </c>
      <c r="K1800" s="1">
        <v>67.0</v>
      </c>
      <c r="L1800" s="1" t="s">
        <v>22</v>
      </c>
      <c r="M1800" s="1" t="s">
        <v>7238</v>
      </c>
      <c r="N1800" s="1" t="s">
        <v>34</v>
      </c>
      <c r="O1800" s="1" t="s">
        <v>25</v>
      </c>
      <c r="P1800" s="1" t="s">
        <v>7239</v>
      </c>
    </row>
    <row r="1801" ht="14.25" customHeight="1">
      <c r="A1801" s="1" t="s">
        <v>7240</v>
      </c>
      <c r="B1801" s="1" t="s">
        <v>7241</v>
      </c>
      <c r="C1801" s="1" t="s">
        <v>76</v>
      </c>
      <c r="D1801" s="1">
        <v>60302.0</v>
      </c>
      <c r="E1801" s="1" t="s">
        <v>30</v>
      </c>
      <c r="F1801" s="1" t="s">
        <v>46</v>
      </c>
      <c r="G1801" s="1" t="s">
        <v>31</v>
      </c>
      <c r="H1801" s="2">
        <v>802.0</v>
      </c>
      <c r="I1801" s="2">
        <v>5047.0</v>
      </c>
      <c r="J1801" s="1">
        <v>1988.0</v>
      </c>
      <c r="K1801" s="1">
        <v>48.0</v>
      </c>
      <c r="L1801" s="1" t="s">
        <v>95</v>
      </c>
      <c r="M1801" s="1" t="s">
        <v>7242</v>
      </c>
      <c r="N1801" s="1" t="s">
        <v>24</v>
      </c>
      <c r="O1801" s="1" t="s">
        <v>35</v>
      </c>
      <c r="P1801" s="1" t="s">
        <v>7243</v>
      </c>
    </row>
    <row r="1802" ht="14.25" customHeight="1">
      <c r="A1802" s="1" t="s">
        <v>7244</v>
      </c>
      <c r="B1802" s="1" t="s">
        <v>7245</v>
      </c>
      <c r="C1802" s="1" t="s">
        <v>39</v>
      </c>
      <c r="D1802" s="1">
        <v>27614.0</v>
      </c>
      <c r="E1802" s="1" t="s">
        <v>19</v>
      </c>
      <c r="F1802" s="1" t="s">
        <v>94</v>
      </c>
      <c r="G1802" s="1" t="s">
        <v>55</v>
      </c>
      <c r="H1802" s="2">
        <v>2464.0</v>
      </c>
      <c r="I1802" s="2">
        <v>5074.0</v>
      </c>
      <c r="J1802" s="1">
        <v>1956.0</v>
      </c>
      <c r="K1802" s="1">
        <v>20.0</v>
      </c>
      <c r="L1802" s="1" t="s">
        <v>32</v>
      </c>
      <c r="M1802" s="1" t="s">
        <v>7246</v>
      </c>
      <c r="N1802" s="1" t="s">
        <v>48</v>
      </c>
      <c r="O1802" s="1" t="s">
        <v>35</v>
      </c>
      <c r="P1802" s="1" t="s">
        <v>7247</v>
      </c>
    </row>
    <row r="1803" ht="14.25" customHeight="1">
      <c r="A1803" s="1" t="s">
        <v>7248</v>
      </c>
      <c r="B1803" s="1" t="s">
        <v>7249</v>
      </c>
      <c r="C1803" s="1" t="s">
        <v>76</v>
      </c>
      <c r="D1803" s="1">
        <v>24515.0</v>
      </c>
      <c r="E1803" s="1" t="s">
        <v>30</v>
      </c>
      <c r="F1803" s="1" t="s">
        <v>41</v>
      </c>
      <c r="G1803" s="1" t="s">
        <v>31</v>
      </c>
      <c r="H1803" s="2">
        <v>2359.0</v>
      </c>
      <c r="I1803" s="2">
        <v>3646.0</v>
      </c>
      <c r="J1803" s="1">
        <v>1987.0</v>
      </c>
      <c r="K1803" s="1">
        <v>113.0</v>
      </c>
      <c r="L1803" s="1" t="s">
        <v>62</v>
      </c>
      <c r="M1803" s="1" t="s">
        <v>7250</v>
      </c>
      <c r="N1803" s="1" t="s">
        <v>43</v>
      </c>
      <c r="O1803" s="1" t="s">
        <v>25</v>
      </c>
      <c r="P1803" s="1" t="s">
        <v>7251</v>
      </c>
    </row>
    <row r="1804" ht="14.25" customHeight="1">
      <c r="A1804" s="1" t="s">
        <v>7252</v>
      </c>
      <c r="B1804" s="1" t="s">
        <v>7253</v>
      </c>
      <c r="C1804" s="1" t="s">
        <v>39</v>
      </c>
      <c r="D1804" s="1">
        <v>18166.0</v>
      </c>
      <c r="E1804" s="1" t="s">
        <v>60</v>
      </c>
      <c r="F1804" s="1" t="s">
        <v>41</v>
      </c>
      <c r="G1804" s="1" t="s">
        <v>31</v>
      </c>
      <c r="H1804" s="2">
        <v>1457.0</v>
      </c>
      <c r="I1804" s="2">
        <v>8626.0</v>
      </c>
      <c r="J1804" s="1">
        <v>2014.0</v>
      </c>
      <c r="K1804" s="1">
        <v>18.0</v>
      </c>
      <c r="L1804" s="1" t="s">
        <v>32</v>
      </c>
      <c r="M1804" s="1" t="s">
        <v>7254</v>
      </c>
      <c r="N1804" s="1" t="s">
        <v>48</v>
      </c>
      <c r="O1804" s="1" t="s">
        <v>25</v>
      </c>
      <c r="P1804" s="1" t="s">
        <v>7255</v>
      </c>
    </row>
    <row r="1805" ht="14.25" customHeight="1">
      <c r="A1805" s="1" t="s">
        <v>7256</v>
      </c>
      <c r="B1805" s="1" t="s">
        <v>7257</v>
      </c>
      <c r="C1805" s="1" t="s">
        <v>39</v>
      </c>
      <c r="D1805" s="1">
        <v>73499.0</v>
      </c>
      <c r="E1805" s="1" t="s">
        <v>30</v>
      </c>
      <c r="F1805" s="1" t="s">
        <v>61</v>
      </c>
      <c r="G1805" s="1" t="s">
        <v>21</v>
      </c>
      <c r="H1805" s="2">
        <v>1385.0</v>
      </c>
      <c r="I1805" s="2">
        <v>8648.0</v>
      </c>
      <c r="J1805" s="1">
        <v>2017.0</v>
      </c>
      <c r="K1805" s="1">
        <v>96.0</v>
      </c>
      <c r="L1805" s="1" t="s">
        <v>32</v>
      </c>
      <c r="M1805" s="1" t="s">
        <v>7258</v>
      </c>
      <c r="N1805" s="1" t="s">
        <v>24</v>
      </c>
      <c r="O1805" s="1" t="s">
        <v>35</v>
      </c>
      <c r="P1805" s="1" t="s">
        <v>7259</v>
      </c>
    </row>
    <row r="1806" ht="14.25" customHeight="1">
      <c r="A1806" s="1" t="s">
        <v>7260</v>
      </c>
      <c r="B1806" s="1" t="s">
        <v>7261</v>
      </c>
      <c r="C1806" s="1" t="s">
        <v>29</v>
      </c>
      <c r="D1806" s="1">
        <v>20838.0</v>
      </c>
      <c r="E1806" s="1" t="s">
        <v>19</v>
      </c>
      <c r="F1806" s="1" t="s">
        <v>46</v>
      </c>
      <c r="G1806" s="1" t="s">
        <v>21</v>
      </c>
      <c r="H1806" s="2">
        <v>1062.0</v>
      </c>
      <c r="I1806" s="2">
        <v>1226.0</v>
      </c>
      <c r="J1806" s="1">
        <v>2022.0</v>
      </c>
      <c r="K1806" s="1">
        <v>84.0</v>
      </c>
      <c r="L1806" s="1" t="s">
        <v>95</v>
      </c>
      <c r="M1806" s="1" t="s">
        <v>7262</v>
      </c>
      <c r="N1806" s="1" t="s">
        <v>24</v>
      </c>
      <c r="O1806" s="1" t="s">
        <v>35</v>
      </c>
      <c r="P1806" s="1" t="s">
        <v>7263</v>
      </c>
    </row>
    <row r="1807" ht="14.25" customHeight="1">
      <c r="A1807" s="1" t="s">
        <v>7264</v>
      </c>
      <c r="B1807" s="1" t="s">
        <v>7265</v>
      </c>
      <c r="C1807" s="1" t="s">
        <v>18</v>
      </c>
      <c r="D1807" s="1">
        <v>47585.0</v>
      </c>
      <c r="E1807" s="1" t="s">
        <v>77</v>
      </c>
      <c r="F1807" s="1" t="s">
        <v>61</v>
      </c>
      <c r="G1807" s="1" t="s">
        <v>100</v>
      </c>
      <c r="H1807" s="2">
        <v>2484.0</v>
      </c>
      <c r="I1807" s="2">
        <v>7894.0</v>
      </c>
      <c r="J1807" s="1">
        <v>1970.0</v>
      </c>
      <c r="K1807" s="1">
        <v>83.0</v>
      </c>
      <c r="L1807" s="1" t="s">
        <v>22</v>
      </c>
      <c r="M1807" s="1" t="s">
        <v>7266</v>
      </c>
      <c r="N1807" s="1" t="s">
        <v>48</v>
      </c>
      <c r="O1807" s="1" t="s">
        <v>49</v>
      </c>
      <c r="P1807" s="1" t="s">
        <v>7267</v>
      </c>
    </row>
    <row r="1808" ht="14.25" customHeight="1">
      <c r="A1808" s="1" t="s">
        <v>7268</v>
      </c>
      <c r="B1808" s="1" t="s">
        <v>7269</v>
      </c>
      <c r="C1808" s="1" t="s">
        <v>29</v>
      </c>
      <c r="D1808" s="1">
        <v>42583.0</v>
      </c>
      <c r="E1808" s="1" t="s">
        <v>77</v>
      </c>
      <c r="F1808" s="1" t="s">
        <v>61</v>
      </c>
      <c r="G1808" s="1" t="s">
        <v>31</v>
      </c>
      <c r="H1808" s="2">
        <v>643.0</v>
      </c>
      <c r="I1808" s="2">
        <v>1361.0</v>
      </c>
      <c r="J1808" s="1">
        <v>1992.0</v>
      </c>
      <c r="K1808" s="1">
        <v>2.0</v>
      </c>
      <c r="L1808" s="1" t="s">
        <v>22</v>
      </c>
      <c r="M1808" s="1" t="s">
        <v>7270</v>
      </c>
      <c r="N1808" s="1" t="s">
        <v>64</v>
      </c>
      <c r="O1808" s="1" t="s">
        <v>35</v>
      </c>
      <c r="P1808" s="1" t="s">
        <v>7271</v>
      </c>
    </row>
    <row r="1809" ht="14.25" customHeight="1">
      <c r="A1809" s="1" t="s">
        <v>7272</v>
      </c>
      <c r="B1809" s="1" t="s">
        <v>7273</v>
      </c>
      <c r="C1809" s="1" t="s">
        <v>76</v>
      </c>
      <c r="D1809" s="1">
        <v>29419.0</v>
      </c>
      <c r="E1809" s="1" t="s">
        <v>77</v>
      </c>
      <c r="F1809" s="1" t="s">
        <v>46</v>
      </c>
      <c r="G1809" s="1" t="s">
        <v>31</v>
      </c>
      <c r="H1809" s="2">
        <v>3687.0</v>
      </c>
      <c r="I1809" s="2">
        <v>4499.0</v>
      </c>
      <c r="J1809" s="1">
        <v>1969.0</v>
      </c>
      <c r="K1809" s="1">
        <v>108.0</v>
      </c>
      <c r="L1809" s="1" t="s">
        <v>22</v>
      </c>
      <c r="M1809" s="1" t="s">
        <v>7274</v>
      </c>
      <c r="N1809" s="1" t="s">
        <v>24</v>
      </c>
      <c r="O1809" s="1" t="s">
        <v>25</v>
      </c>
      <c r="P1809" s="1" t="s">
        <v>7275</v>
      </c>
    </row>
    <row r="1810" ht="14.25" customHeight="1">
      <c r="A1810" s="1" t="s">
        <v>7276</v>
      </c>
      <c r="B1810" s="1" t="s">
        <v>7277</v>
      </c>
      <c r="C1810" s="1" t="s">
        <v>29</v>
      </c>
      <c r="D1810" s="1">
        <v>48794.0</v>
      </c>
      <c r="E1810" s="1" t="s">
        <v>30</v>
      </c>
      <c r="F1810" s="1" t="s">
        <v>41</v>
      </c>
      <c r="G1810" s="1" t="s">
        <v>100</v>
      </c>
      <c r="H1810" s="2">
        <v>1080.0</v>
      </c>
      <c r="I1810" s="2">
        <v>7567.0</v>
      </c>
      <c r="J1810" s="1">
        <v>2015.0</v>
      </c>
      <c r="K1810" s="1">
        <v>15.0</v>
      </c>
      <c r="L1810" s="1" t="s">
        <v>95</v>
      </c>
      <c r="M1810" s="1" t="s">
        <v>7278</v>
      </c>
      <c r="N1810" s="1" t="s">
        <v>64</v>
      </c>
      <c r="O1810" s="1" t="s">
        <v>25</v>
      </c>
      <c r="P1810" s="1" t="s">
        <v>7279</v>
      </c>
    </row>
    <row r="1811" ht="14.25" customHeight="1">
      <c r="A1811" s="1" t="s">
        <v>7280</v>
      </c>
      <c r="B1811" s="1" t="s">
        <v>7281</v>
      </c>
      <c r="C1811" s="1" t="s">
        <v>53</v>
      </c>
      <c r="D1811" s="1">
        <v>74534.0</v>
      </c>
      <c r="E1811" s="1" t="s">
        <v>60</v>
      </c>
      <c r="F1811" s="1" t="s">
        <v>46</v>
      </c>
      <c r="G1811" s="1" t="s">
        <v>100</v>
      </c>
      <c r="H1811" s="2">
        <v>3838.0</v>
      </c>
      <c r="I1811" s="2">
        <v>4678.0</v>
      </c>
      <c r="J1811" s="1">
        <v>2018.0</v>
      </c>
      <c r="K1811" s="1">
        <v>49.0</v>
      </c>
      <c r="L1811" s="1" t="s">
        <v>32</v>
      </c>
      <c r="M1811" s="1" t="s">
        <v>7282</v>
      </c>
      <c r="N1811" s="1" t="s">
        <v>34</v>
      </c>
      <c r="O1811" s="1" t="s">
        <v>35</v>
      </c>
      <c r="P1811" s="1" t="s">
        <v>7283</v>
      </c>
    </row>
    <row r="1812" ht="14.25" customHeight="1">
      <c r="A1812" s="1" t="s">
        <v>7284</v>
      </c>
      <c r="B1812" s="1" t="s">
        <v>7285</v>
      </c>
      <c r="C1812" s="1" t="s">
        <v>29</v>
      </c>
      <c r="D1812" s="1">
        <v>79704.0</v>
      </c>
      <c r="E1812" s="1" t="s">
        <v>77</v>
      </c>
      <c r="F1812" s="1" t="s">
        <v>46</v>
      </c>
      <c r="G1812" s="1" t="s">
        <v>31</v>
      </c>
      <c r="H1812" s="2">
        <v>3517.0</v>
      </c>
      <c r="I1812" s="2">
        <v>1384.0</v>
      </c>
      <c r="J1812" s="1">
        <v>1952.0</v>
      </c>
      <c r="K1812" s="1">
        <v>111.0</v>
      </c>
      <c r="L1812" s="1" t="s">
        <v>95</v>
      </c>
      <c r="M1812" s="1" t="s">
        <v>7286</v>
      </c>
      <c r="N1812" s="1" t="s">
        <v>64</v>
      </c>
      <c r="O1812" s="1" t="s">
        <v>49</v>
      </c>
      <c r="P1812" s="1" t="s">
        <v>7287</v>
      </c>
    </row>
    <row r="1813" ht="14.25" customHeight="1">
      <c r="A1813" s="1" t="s">
        <v>7288</v>
      </c>
      <c r="B1813" s="1" t="s">
        <v>7289</v>
      </c>
      <c r="C1813" s="1" t="s">
        <v>39</v>
      </c>
      <c r="D1813" s="1">
        <v>82216.0</v>
      </c>
      <c r="E1813" s="1" t="s">
        <v>77</v>
      </c>
      <c r="F1813" s="1" t="s">
        <v>46</v>
      </c>
      <c r="G1813" s="1" t="s">
        <v>100</v>
      </c>
      <c r="H1813" s="2">
        <v>1173.0</v>
      </c>
      <c r="I1813" s="2">
        <v>8666.0</v>
      </c>
      <c r="J1813" s="1">
        <v>2000.0</v>
      </c>
      <c r="K1813" s="1">
        <v>18.0</v>
      </c>
      <c r="L1813" s="1" t="s">
        <v>95</v>
      </c>
      <c r="M1813" s="1" t="s">
        <v>7290</v>
      </c>
      <c r="N1813" s="1" t="s">
        <v>43</v>
      </c>
      <c r="O1813" s="1" t="s">
        <v>25</v>
      </c>
      <c r="P1813" s="1" t="s">
        <v>7291</v>
      </c>
    </row>
    <row r="1814" ht="14.25" customHeight="1">
      <c r="A1814" s="1" t="s">
        <v>7292</v>
      </c>
      <c r="B1814" s="1" t="s">
        <v>7293</v>
      </c>
      <c r="C1814" s="1" t="s">
        <v>53</v>
      </c>
      <c r="D1814" s="1">
        <v>42151.0</v>
      </c>
      <c r="E1814" s="1" t="s">
        <v>19</v>
      </c>
      <c r="F1814" s="1" t="s">
        <v>46</v>
      </c>
      <c r="G1814" s="1" t="s">
        <v>55</v>
      </c>
      <c r="H1814" s="2">
        <v>2242.0</v>
      </c>
      <c r="I1814" s="2">
        <v>2758.0</v>
      </c>
      <c r="J1814" s="1">
        <v>2002.0</v>
      </c>
      <c r="K1814" s="1">
        <v>85.0</v>
      </c>
      <c r="L1814" s="1" t="s">
        <v>22</v>
      </c>
      <c r="M1814" s="1" t="s">
        <v>7294</v>
      </c>
      <c r="N1814" s="1" t="s">
        <v>24</v>
      </c>
      <c r="O1814" s="1" t="s">
        <v>25</v>
      </c>
      <c r="P1814" s="1" t="s">
        <v>7295</v>
      </c>
    </row>
    <row r="1815" ht="14.25" customHeight="1">
      <c r="A1815" s="1" t="s">
        <v>7296</v>
      </c>
      <c r="B1815" s="1" t="s">
        <v>7297</v>
      </c>
      <c r="C1815" s="1" t="s">
        <v>29</v>
      </c>
      <c r="D1815" s="1">
        <v>48506.0</v>
      </c>
      <c r="E1815" s="1" t="s">
        <v>60</v>
      </c>
      <c r="F1815" s="1" t="s">
        <v>94</v>
      </c>
      <c r="G1815" s="1" t="s">
        <v>31</v>
      </c>
      <c r="H1815" s="2">
        <v>2290.0</v>
      </c>
      <c r="I1815" s="2">
        <v>6616.0</v>
      </c>
      <c r="J1815" s="1">
        <v>1981.0</v>
      </c>
      <c r="K1815" s="1">
        <v>93.0</v>
      </c>
      <c r="L1815" s="1" t="s">
        <v>22</v>
      </c>
      <c r="M1815" s="1" t="s">
        <v>7298</v>
      </c>
      <c r="N1815" s="1" t="s">
        <v>64</v>
      </c>
      <c r="O1815" s="1" t="s">
        <v>25</v>
      </c>
      <c r="P1815" s="1" t="s">
        <v>7299</v>
      </c>
    </row>
    <row r="1816" ht="14.25" customHeight="1">
      <c r="A1816" s="1" t="s">
        <v>7300</v>
      </c>
      <c r="B1816" s="1" t="s">
        <v>7301</v>
      </c>
      <c r="C1816" s="1" t="s">
        <v>39</v>
      </c>
      <c r="D1816" s="1">
        <v>99411.0</v>
      </c>
      <c r="E1816" s="1" t="s">
        <v>30</v>
      </c>
      <c r="F1816" s="1" t="s">
        <v>46</v>
      </c>
      <c r="G1816" s="1" t="s">
        <v>31</v>
      </c>
      <c r="H1816" s="2">
        <v>1230.0</v>
      </c>
      <c r="I1816" s="2">
        <v>7208.0</v>
      </c>
      <c r="J1816" s="1">
        <v>1989.0</v>
      </c>
      <c r="K1816" s="1">
        <v>74.0</v>
      </c>
      <c r="L1816" s="1" t="s">
        <v>141</v>
      </c>
      <c r="M1816" s="1" t="s">
        <v>7302</v>
      </c>
      <c r="N1816" s="1" t="s">
        <v>43</v>
      </c>
      <c r="O1816" s="1" t="s">
        <v>35</v>
      </c>
      <c r="P1816" s="1" t="s">
        <v>7303</v>
      </c>
    </row>
    <row r="1817" ht="14.25" customHeight="1">
      <c r="A1817" s="1" t="s">
        <v>7304</v>
      </c>
      <c r="B1817" s="1" t="s">
        <v>7305</v>
      </c>
      <c r="C1817" s="1" t="s">
        <v>39</v>
      </c>
      <c r="D1817" s="1">
        <v>75044.0</v>
      </c>
      <c r="E1817" s="1" t="s">
        <v>60</v>
      </c>
      <c r="F1817" s="1" t="s">
        <v>54</v>
      </c>
      <c r="G1817" s="1" t="s">
        <v>31</v>
      </c>
      <c r="H1817" s="2">
        <v>3979.0</v>
      </c>
      <c r="I1817" s="2">
        <v>2797.0</v>
      </c>
      <c r="J1817" s="1">
        <v>1967.0</v>
      </c>
      <c r="K1817" s="1">
        <v>94.0</v>
      </c>
      <c r="L1817" s="1" t="s">
        <v>95</v>
      </c>
      <c r="M1817" s="1" t="s">
        <v>7306</v>
      </c>
      <c r="N1817" s="1" t="s">
        <v>34</v>
      </c>
      <c r="O1817" s="1" t="s">
        <v>49</v>
      </c>
      <c r="P1817" s="1" t="s">
        <v>7307</v>
      </c>
    </row>
    <row r="1818" ht="14.25" customHeight="1">
      <c r="A1818" s="1" t="s">
        <v>7308</v>
      </c>
      <c r="B1818" s="1" t="s">
        <v>7309</v>
      </c>
      <c r="C1818" s="1" t="s">
        <v>53</v>
      </c>
      <c r="D1818" s="1">
        <v>64043.0</v>
      </c>
      <c r="E1818" s="1" t="s">
        <v>40</v>
      </c>
      <c r="F1818" s="1" t="s">
        <v>20</v>
      </c>
      <c r="G1818" s="1" t="s">
        <v>100</v>
      </c>
      <c r="H1818" s="2">
        <v>2270.0</v>
      </c>
      <c r="I1818" s="2">
        <v>4520.0</v>
      </c>
      <c r="J1818" s="1">
        <v>1957.0</v>
      </c>
      <c r="K1818" s="1">
        <v>71.0</v>
      </c>
      <c r="L1818" s="1" t="s">
        <v>62</v>
      </c>
      <c r="M1818" s="1" t="s">
        <v>7310</v>
      </c>
      <c r="N1818" s="1" t="s">
        <v>48</v>
      </c>
      <c r="O1818" s="1" t="s">
        <v>35</v>
      </c>
      <c r="P1818" s="1" t="s">
        <v>7311</v>
      </c>
    </row>
    <row r="1819" ht="14.25" customHeight="1">
      <c r="A1819" s="1" t="s">
        <v>7312</v>
      </c>
      <c r="B1819" s="1" t="s">
        <v>7313</v>
      </c>
      <c r="C1819" s="1" t="s">
        <v>29</v>
      </c>
      <c r="D1819" s="1">
        <v>24208.0</v>
      </c>
      <c r="E1819" s="1" t="s">
        <v>19</v>
      </c>
      <c r="F1819" s="1" t="s">
        <v>54</v>
      </c>
      <c r="G1819" s="1" t="s">
        <v>100</v>
      </c>
      <c r="H1819" s="2">
        <v>788.0</v>
      </c>
      <c r="I1819" s="2">
        <v>8387.0</v>
      </c>
      <c r="J1819" s="1">
        <v>1962.0</v>
      </c>
      <c r="K1819" s="1">
        <v>59.0</v>
      </c>
      <c r="L1819" s="1" t="s">
        <v>95</v>
      </c>
      <c r="M1819" s="1" t="s">
        <v>7314</v>
      </c>
      <c r="N1819" s="1" t="s">
        <v>48</v>
      </c>
      <c r="O1819" s="1" t="s">
        <v>35</v>
      </c>
      <c r="P1819" s="1" t="s">
        <v>7315</v>
      </c>
    </row>
    <row r="1820" ht="14.25" customHeight="1">
      <c r="A1820" s="1" t="s">
        <v>7316</v>
      </c>
      <c r="B1820" s="1" t="s">
        <v>7317</v>
      </c>
      <c r="C1820" s="1" t="s">
        <v>53</v>
      </c>
      <c r="D1820" s="1">
        <v>12824.0</v>
      </c>
      <c r="E1820" s="1" t="s">
        <v>19</v>
      </c>
      <c r="F1820" s="1" t="s">
        <v>20</v>
      </c>
      <c r="G1820" s="1" t="s">
        <v>55</v>
      </c>
      <c r="H1820" s="2">
        <v>2646.0</v>
      </c>
      <c r="I1820" s="2">
        <v>4065.0</v>
      </c>
      <c r="J1820" s="1">
        <v>1994.0</v>
      </c>
      <c r="K1820" s="1">
        <v>72.0</v>
      </c>
      <c r="L1820" s="1" t="s">
        <v>22</v>
      </c>
      <c r="M1820" s="1" t="s">
        <v>7318</v>
      </c>
      <c r="N1820" s="1" t="s">
        <v>43</v>
      </c>
      <c r="O1820" s="1" t="s">
        <v>35</v>
      </c>
      <c r="P1820" s="1" t="s">
        <v>7319</v>
      </c>
    </row>
    <row r="1821" ht="14.25" customHeight="1">
      <c r="A1821" s="1" t="s">
        <v>7320</v>
      </c>
      <c r="B1821" s="1" t="s">
        <v>7321</v>
      </c>
      <c r="C1821" s="1" t="s">
        <v>39</v>
      </c>
      <c r="D1821" s="1">
        <v>24833.0</v>
      </c>
      <c r="E1821" s="1" t="s">
        <v>60</v>
      </c>
      <c r="F1821" s="1" t="s">
        <v>41</v>
      </c>
      <c r="G1821" s="1" t="s">
        <v>100</v>
      </c>
      <c r="H1821" s="2">
        <v>1101.0</v>
      </c>
      <c r="I1821" s="2">
        <v>2980.0</v>
      </c>
      <c r="J1821" s="1">
        <v>1990.0</v>
      </c>
      <c r="K1821" s="1">
        <v>54.0</v>
      </c>
      <c r="L1821" s="1" t="s">
        <v>95</v>
      </c>
      <c r="M1821" s="1" t="s">
        <v>7322</v>
      </c>
      <c r="N1821" s="1" t="s">
        <v>48</v>
      </c>
      <c r="O1821" s="1" t="s">
        <v>35</v>
      </c>
      <c r="P1821" s="1" t="s">
        <v>7323</v>
      </c>
    </row>
    <row r="1822" ht="14.25" customHeight="1">
      <c r="A1822" s="1" t="s">
        <v>7324</v>
      </c>
      <c r="B1822" s="1" t="s">
        <v>7325</v>
      </c>
      <c r="C1822" s="1" t="s">
        <v>39</v>
      </c>
      <c r="D1822" s="1">
        <v>74923.0</v>
      </c>
      <c r="E1822" s="1" t="s">
        <v>19</v>
      </c>
      <c r="F1822" s="1" t="s">
        <v>41</v>
      </c>
      <c r="G1822" s="1" t="s">
        <v>100</v>
      </c>
      <c r="H1822" s="2">
        <v>1640.0</v>
      </c>
      <c r="I1822" s="2">
        <v>6607.0</v>
      </c>
      <c r="J1822" s="1">
        <v>1951.0</v>
      </c>
      <c r="K1822" s="1">
        <v>36.0</v>
      </c>
      <c r="L1822" s="1" t="s">
        <v>32</v>
      </c>
      <c r="M1822" s="1" t="s">
        <v>7326</v>
      </c>
      <c r="N1822" s="1" t="s">
        <v>34</v>
      </c>
      <c r="O1822" s="1" t="s">
        <v>35</v>
      </c>
      <c r="P1822" s="1" t="s">
        <v>7327</v>
      </c>
    </row>
    <row r="1823" ht="14.25" customHeight="1">
      <c r="A1823" s="1" t="s">
        <v>7328</v>
      </c>
      <c r="B1823" s="1" t="s">
        <v>7329</v>
      </c>
      <c r="C1823" s="1" t="s">
        <v>29</v>
      </c>
      <c r="D1823" s="1">
        <v>91225.0</v>
      </c>
      <c r="E1823" s="1" t="s">
        <v>19</v>
      </c>
      <c r="F1823" s="1" t="s">
        <v>20</v>
      </c>
      <c r="G1823" s="1" t="s">
        <v>31</v>
      </c>
      <c r="H1823" s="2">
        <v>1055.0</v>
      </c>
      <c r="I1823" s="2">
        <v>8615.0</v>
      </c>
      <c r="J1823" s="1">
        <v>2022.0</v>
      </c>
      <c r="K1823" s="1">
        <v>22.0</v>
      </c>
      <c r="L1823" s="1" t="s">
        <v>32</v>
      </c>
      <c r="M1823" s="1" t="s">
        <v>7330</v>
      </c>
      <c r="N1823" s="1" t="s">
        <v>34</v>
      </c>
      <c r="O1823" s="1" t="s">
        <v>25</v>
      </c>
      <c r="P1823" s="1" t="s">
        <v>7331</v>
      </c>
    </row>
    <row r="1824" ht="14.25" customHeight="1">
      <c r="A1824" s="1" t="s">
        <v>7332</v>
      </c>
      <c r="B1824" s="1" t="s">
        <v>7333</v>
      </c>
      <c r="C1824" s="1" t="s">
        <v>29</v>
      </c>
      <c r="D1824" s="1">
        <v>55613.0</v>
      </c>
      <c r="E1824" s="1" t="s">
        <v>77</v>
      </c>
      <c r="F1824" s="1" t="s">
        <v>46</v>
      </c>
      <c r="G1824" s="1" t="s">
        <v>100</v>
      </c>
      <c r="H1824" s="2">
        <v>3754.0</v>
      </c>
      <c r="I1824" s="2">
        <v>5717.0</v>
      </c>
      <c r="J1824" s="1">
        <v>1958.0</v>
      </c>
      <c r="K1824" s="1">
        <v>107.0</v>
      </c>
      <c r="L1824" s="1" t="s">
        <v>95</v>
      </c>
      <c r="M1824" s="1" t="s">
        <v>7334</v>
      </c>
      <c r="N1824" s="1" t="s">
        <v>24</v>
      </c>
      <c r="O1824" s="1" t="s">
        <v>35</v>
      </c>
      <c r="P1824" s="1" t="s">
        <v>7335</v>
      </c>
    </row>
    <row r="1825" ht="14.25" customHeight="1">
      <c r="A1825" s="1" t="s">
        <v>7336</v>
      </c>
      <c r="B1825" s="1" t="s">
        <v>7337</v>
      </c>
      <c r="C1825" s="1" t="s">
        <v>76</v>
      </c>
      <c r="D1825" s="1">
        <v>98765.0</v>
      </c>
      <c r="E1825" s="1" t="s">
        <v>40</v>
      </c>
      <c r="F1825" s="1" t="s">
        <v>94</v>
      </c>
      <c r="G1825" s="1" t="s">
        <v>31</v>
      </c>
      <c r="H1825" s="2">
        <v>3122.0</v>
      </c>
      <c r="I1825" s="2">
        <v>9721.0</v>
      </c>
      <c r="J1825" s="1">
        <v>1975.0</v>
      </c>
      <c r="K1825" s="1">
        <v>79.0</v>
      </c>
      <c r="L1825" s="1" t="s">
        <v>62</v>
      </c>
      <c r="M1825" s="1" t="s">
        <v>7338</v>
      </c>
      <c r="N1825" s="1" t="s">
        <v>64</v>
      </c>
      <c r="O1825" s="1" t="s">
        <v>25</v>
      </c>
      <c r="P1825" s="1" t="s">
        <v>7339</v>
      </c>
    </row>
    <row r="1826" ht="14.25" customHeight="1">
      <c r="A1826" s="1" t="s">
        <v>7340</v>
      </c>
      <c r="B1826" s="1" t="s">
        <v>7341</v>
      </c>
      <c r="C1826" s="1" t="s">
        <v>76</v>
      </c>
      <c r="D1826" s="1">
        <v>13791.0</v>
      </c>
      <c r="E1826" s="1" t="s">
        <v>60</v>
      </c>
      <c r="F1826" s="1" t="s">
        <v>94</v>
      </c>
      <c r="G1826" s="1" t="s">
        <v>55</v>
      </c>
      <c r="H1826" s="2">
        <v>3213.0</v>
      </c>
      <c r="I1826" s="2">
        <v>1109.0</v>
      </c>
      <c r="J1826" s="1">
        <v>1957.0</v>
      </c>
      <c r="K1826" s="1">
        <v>89.0</v>
      </c>
      <c r="L1826" s="1" t="s">
        <v>62</v>
      </c>
      <c r="M1826" s="1" t="s">
        <v>7342</v>
      </c>
      <c r="N1826" s="1" t="s">
        <v>48</v>
      </c>
      <c r="O1826" s="1" t="s">
        <v>49</v>
      </c>
      <c r="P1826" s="1" t="s">
        <v>7343</v>
      </c>
    </row>
    <row r="1827" ht="14.25" customHeight="1">
      <c r="A1827" s="1" t="s">
        <v>7344</v>
      </c>
      <c r="B1827" s="1" t="s">
        <v>7345</v>
      </c>
      <c r="C1827" s="1" t="s">
        <v>18</v>
      </c>
      <c r="D1827" s="1">
        <v>30020.0</v>
      </c>
      <c r="E1827" s="1" t="s">
        <v>77</v>
      </c>
      <c r="F1827" s="1" t="s">
        <v>94</v>
      </c>
      <c r="G1827" s="1" t="s">
        <v>55</v>
      </c>
      <c r="H1827" s="2">
        <v>1775.0</v>
      </c>
      <c r="I1827" s="2">
        <v>4168.0</v>
      </c>
      <c r="J1827" s="1">
        <v>1989.0</v>
      </c>
      <c r="K1827" s="1">
        <v>51.0</v>
      </c>
      <c r="L1827" s="1" t="s">
        <v>22</v>
      </c>
      <c r="M1827" s="1" t="s">
        <v>7346</v>
      </c>
      <c r="N1827" s="1" t="s">
        <v>24</v>
      </c>
      <c r="O1827" s="1" t="s">
        <v>49</v>
      </c>
      <c r="P1827" s="1" t="s">
        <v>7347</v>
      </c>
    </row>
    <row r="1828" ht="14.25" customHeight="1">
      <c r="A1828" s="1" t="s">
        <v>7348</v>
      </c>
      <c r="B1828" s="1" t="s">
        <v>7349</v>
      </c>
      <c r="C1828" s="1" t="s">
        <v>53</v>
      </c>
      <c r="D1828" s="1">
        <v>10580.0</v>
      </c>
      <c r="E1828" s="1" t="s">
        <v>60</v>
      </c>
      <c r="F1828" s="1" t="s">
        <v>61</v>
      </c>
      <c r="G1828" s="1" t="s">
        <v>21</v>
      </c>
      <c r="H1828" s="2">
        <v>632.0</v>
      </c>
      <c r="I1828" s="2">
        <v>7673.0</v>
      </c>
      <c r="J1828" s="1">
        <v>2010.0</v>
      </c>
      <c r="K1828" s="1">
        <v>89.0</v>
      </c>
      <c r="L1828" s="1" t="s">
        <v>32</v>
      </c>
      <c r="M1828" s="1" t="s">
        <v>7350</v>
      </c>
      <c r="N1828" s="1" t="s">
        <v>34</v>
      </c>
      <c r="O1828" s="1" t="s">
        <v>25</v>
      </c>
      <c r="P1828" s="1" t="s">
        <v>7351</v>
      </c>
    </row>
    <row r="1829" ht="14.25" customHeight="1">
      <c r="A1829" s="1" t="s">
        <v>7352</v>
      </c>
      <c r="B1829" s="1" t="s">
        <v>7353</v>
      </c>
      <c r="C1829" s="1" t="s">
        <v>39</v>
      </c>
      <c r="D1829" s="1">
        <v>90175.0</v>
      </c>
      <c r="E1829" s="1" t="s">
        <v>60</v>
      </c>
      <c r="F1829" s="1" t="s">
        <v>54</v>
      </c>
      <c r="G1829" s="1" t="s">
        <v>100</v>
      </c>
      <c r="H1829" s="2">
        <v>3973.0</v>
      </c>
      <c r="I1829" s="2">
        <v>3348.0</v>
      </c>
      <c r="J1829" s="1">
        <v>2018.0</v>
      </c>
      <c r="K1829" s="1">
        <v>101.0</v>
      </c>
      <c r="L1829" s="1" t="s">
        <v>62</v>
      </c>
      <c r="M1829" s="1" t="s">
        <v>7354</v>
      </c>
      <c r="N1829" s="1" t="s">
        <v>48</v>
      </c>
      <c r="O1829" s="1" t="s">
        <v>25</v>
      </c>
      <c r="P1829" s="1" t="s">
        <v>7355</v>
      </c>
    </row>
    <row r="1830" ht="14.25" customHeight="1">
      <c r="A1830" s="1" t="s">
        <v>7356</v>
      </c>
      <c r="B1830" s="1" t="s">
        <v>7357</v>
      </c>
      <c r="C1830" s="1" t="s">
        <v>53</v>
      </c>
      <c r="D1830" s="1">
        <v>55660.0</v>
      </c>
      <c r="E1830" s="1" t="s">
        <v>19</v>
      </c>
      <c r="F1830" s="1" t="s">
        <v>61</v>
      </c>
      <c r="G1830" s="1" t="s">
        <v>31</v>
      </c>
      <c r="H1830" s="2">
        <v>2412.0</v>
      </c>
      <c r="I1830" s="2">
        <v>7316.0</v>
      </c>
      <c r="J1830" s="1">
        <v>1999.0</v>
      </c>
      <c r="K1830" s="1">
        <v>117.0</v>
      </c>
      <c r="L1830" s="1" t="s">
        <v>22</v>
      </c>
      <c r="M1830" s="1" t="s">
        <v>7358</v>
      </c>
      <c r="N1830" s="1" t="s">
        <v>48</v>
      </c>
      <c r="O1830" s="1" t="s">
        <v>49</v>
      </c>
      <c r="P1830" s="1" t="s">
        <v>7359</v>
      </c>
    </row>
    <row r="1831" ht="14.25" customHeight="1">
      <c r="A1831" s="1" t="s">
        <v>7360</v>
      </c>
      <c r="B1831" s="1" t="s">
        <v>7361</v>
      </c>
      <c r="C1831" s="1" t="s">
        <v>18</v>
      </c>
      <c r="D1831" s="1">
        <v>80255.0</v>
      </c>
      <c r="E1831" s="1" t="s">
        <v>60</v>
      </c>
      <c r="F1831" s="1" t="s">
        <v>41</v>
      </c>
      <c r="G1831" s="1" t="s">
        <v>100</v>
      </c>
      <c r="H1831" s="2">
        <v>1004.0</v>
      </c>
      <c r="I1831" s="2">
        <v>7193.0</v>
      </c>
      <c r="J1831" s="1">
        <v>1952.0</v>
      </c>
      <c r="K1831" s="1">
        <v>66.0</v>
      </c>
      <c r="L1831" s="1" t="s">
        <v>22</v>
      </c>
      <c r="M1831" s="1" t="s">
        <v>7362</v>
      </c>
      <c r="N1831" s="1" t="s">
        <v>64</v>
      </c>
      <c r="O1831" s="1" t="s">
        <v>25</v>
      </c>
      <c r="P1831" s="1" t="s">
        <v>7363</v>
      </c>
    </row>
    <row r="1832" ht="14.25" customHeight="1">
      <c r="A1832" s="1" t="s">
        <v>7364</v>
      </c>
      <c r="B1832" s="1" t="s">
        <v>7365</v>
      </c>
      <c r="C1832" s="1" t="s">
        <v>53</v>
      </c>
      <c r="D1832" s="1">
        <v>85304.0</v>
      </c>
      <c r="E1832" s="1" t="s">
        <v>40</v>
      </c>
      <c r="F1832" s="1" t="s">
        <v>61</v>
      </c>
      <c r="G1832" s="1" t="s">
        <v>55</v>
      </c>
      <c r="H1832" s="2">
        <v>812.0</v>
      </c>
      <c r="I1832" s="2">
        <v>9195.0</v>
      </c>
      <c r="J1832" s="1">
        <v>1983.0</v>
      </c>
      <c r="K1832" s="1">
        <v>103.0</v>
      </c>
      <c r="L1832" s="1" t="s">
        <v>62</v>
      </c>
      <c r="M1832" s="1" t="s">
        <v>7366</v>
      </c>
      <c r="N1832" s="1" t="s">
        <v>43</v>
      </c>
      <c r="O1832" s="1" t="s">
        <v>25</v>
      </c>
      <c r="P1832" s="1" t="s">
        <v>7367</v>
      </c>
    </row>
    <row r="1833" ht="14.25" customHeight="1">
      <c r="A1833" s="1" t="s">
        <v>7368</v>
      </c>
      <c r="B1833" s="1" t="s">
        <v>7369</v>
      </c>
      <c r="C1833" s="1" t="s">
        <v>29</v>
      </c>
      <c r="D1833" s="1">
        <v>49816.0</v>
      </c>
      <c r="E1833" s="1" t="s">
        <v>60</v>
      </c>
      <c r="F1833" s="1" t="s">
        <v>41</v>
      </c>
      <c r="G1833" s="1" t="s">
        <v>21</v>
      </c>
      <c r="H1833" s="2">
        <v>3949.0</v>
      </c>
      <c r="I1833" s="2">
        <v>8129.0</v>
      </c>
      <c r="J1833" s="1">
        <v>2008.0</v>
      </c>
      <c r="K1833" s="1">
        <v>70.0</v>
      </c>
      <c r="L1833" s="1" t="s">
        <v>95</v>
      </c>
      <c r="M1833" s="1" t="s">
        <v>7370</v>
      </c>
      <c r="N1833" s="1" t="s">
        <v>48</v>
      </c>
      <c r="O1833" s="1" t="s">
        <v>25</v>
      </c>
      <c r="P1833" s="1" t="s">
        <v>7371</v>
      </c>
    </row>
    <row r="1834" ht="14.25" customHeight="1">
      <c r="A1834" s="1" t="s">
        <v>7372</v>
      </c>
      <c r="B1834" s="1" t="s">
        <v>7373</v>
      </c>
      <c r="C1834" s="1" t="s">
        <v>76</v>
      </c>
      <c r="D1834" s="1">
        <v>47109.0</v>
      </c>
      <c r="E1834" s="1" t="s">
        <v>77</v>
      </c>
      <c r="F1834" s="1" t="s">
        <v>54</v>
      </c>
      <c r="G1834" s="1" t="s">
        <v>21</v>
      </c>
      <c r="H1834" s="2">
        <v>3444.0</v>
      </c>
      <c r="I1834" s="2">
        <v>2183.0</v>
      </c>
      <c r="J1834" s="1">
        <v>1969.0</v>
      </c>
      <c r="K1834" s="1">
        <v>120.0</v>
      </c>
      <c r="L1834" s="1" t="s">
        <v>32</v>
      </c>
      <c r="M1834" s="1" t="s">
        <v>7374</v>
      </c>
      <c r="N1834" s="1" t="s">
        <v>43</v>
      </c>
      <c r="O1834" s="1" t="s">
        <v>25</v>
      </c>
      <c r="P1834" s="1" t="s">
        <v>7375</v>
      </c>
    </row>
    <row r="1835" ht="14.25" customHeight="1">
      <c r="A1835" s="1" t="s">
        <v>7376</v>
      </c>
      <c r="B1835" s="1" t="s">
        <v>7377</v>
      </c>
      <c r="C1835" s="1" t="s">
        <v>39</v>
      </c>
      <c r="D1835" s="1">
        <v>49587.0</v>
      </c>
      <c r="E1835" s="1" t="s">
        <v>60</v>
      </c>
      <c r="F1835" s="1" t="s">
        <v>54</v>
      </c>
      <c r="G1835" s="1" t="s">
        <v>100</v>
      </c>
      <c r="H1835" s="2">
        <v>1394.0</v>
      </c>
      <c r="I1835" s="2">
        <v>5162.0</v>
      </c>
      <c r="J1835" s="1">
        <v>2018.0</v>
      </c>
      <c r="K1835" s="1">
        <v>8.0</v>
      </c>
      <c r="L1835" s="1" t="s">
        <v>32</v>
      </c>
      <c r="M1835" s="1" t="s">
        <v>7378</v>
      </c>
      <c r="N1835" s="1" t="s">
        <v>48</v>
      </c>
      <c r="O1835" s="1" t="s">
        <v>25</v>
      </c>
      <c r="P1835" s="1" t="s">
        <v>7379</v>
      </c>
    </row>
    <row r="1836" ht="14.25" customHeight="1">
      <c r="A1836" s="1" t="s">
        <v>7380</v>
      </c>
      <c r="B1836" s="1" t="s">
        <v>7381</v>
      </c>
      <c r="C1836" s="1" t="s">
        <v>39</v>
      </c>
      <c r="D1836" s="1">
        <v>96526.0</v>
      </c>
      <c r="E1836" s="1" t="s">
        <v>77</v>
      </c>
      <c r="F1836" s="1" t="s">
        <v>54</v>
      </c>
      <c r="G1836" s="1" t="s">
        <v>100</v>
      </c>
      <c r="H1836" s="2">
        <v>2660.0</v>
      </c>
      <c r="I1836" s="2">
        <v>8584.0</v>
      </c>
      <c r="J1836" s="1">
        <v>1990.0</v>
      </c>
      <c r="K1836" s="1">
        <v>68.0</v>
      </c>
      <c r="L1836" s="1" t="s">
        <v>32</v>
      </c>
      <c r="M1836" s="1" t="s">
        <v>7382</v>
      </c>
      <c r="N1836" s="1" t="s">
        <v>34</v>
      </c>
      <c r="O1836" s="1" t="s">
        <v>25</v>
      </c>
      <c r="P1836" s="1" t="s">
        <v>7383</v>
      </c>
    </row>
    <row r="1837" ht="14.25" customHeight="1">
      <c r="A1837" s="1" t="s">
        <v>7384</v>
      </c>
      <c r="B1837" s="1" t="s">
        <v>7385</v>
      </c>
      <c r="C1837" s="1" t="s">
        <v>18</v>
      </c>
      <c r="D1837" s="1">
        <v>38046.0</v>
      </c>
      <c r="E1837" s="1" t="s">
        <v>30</v>
      </c>
      <c r="F1837" s="1" t="s">
        <v>20</v>
      </c>
      <c r="G1837" s="1" t="s">
        <v>55</v>
      </c>
      <c r="H1837" s="2">
        <v>3057.0</v>
      </c>
      <c r="I1837" s="2">
        <v>2530.0</v>
      </c>
      <c r="J1837" s="1">
        <v>1952.0</v>
      </c>
      <c r="K1837" s="1">
        <v>78.0</v>
      </c>
      <c r="L1837" s="1" t="s">
        <v>141</v>
      </c>
      <c r="M1837" s="1" t="s">
        <v>7386</v>
      </c>
      <c r="N1837" s="1" t="s">
        <v>48</v>
      </c>
      <c r="O1837" s="1" t="s">
        <v>35</v>
      </c>
      <c r="P1837" s="1" t="s">
        <v>7387</v>
      </c>
    </row>
    <row r="1838" ht="14.25" customHeight="1">
      <c r="A1838" s="1" t="s">
        <v>7388</v>
      </c>
      <c r="B1838" s="1" t="s">
        <v>7389</v>
      </c>
      <c r="C1838" s="1" t="s">
        <v>18</v>
      </c>
      <c r="D1838" s="1">
        <v>60417.0</v>
      </c>
      <c r="E1838" s="1" t="s">
        <v>30</v>
      </c>
      <c r="F1838" s="1" t="s">
        <v>61</v>
      </c>
      <c r="G1838" s="1" t="s">
        <v>21</v>
      </c>
      <c r="H1838" s="2">
        <v>2280.0</v>
      </c>
      <c r="I1838" s="2">
        <v>4091.0</v>
      </c>
      <c r="J1838" s="1">
        <v>1979.0</v>
      </c>
      <c r="K1838" s="1">
        <v>27.0</v>
      </c>
      <c r="L1838" s="1" t="s">
        <v>22</v>
      </c>
      <c r="M1838" s="1" t="s">
        <v>7390</v>
      </c>
      <c r="N1838" s="1" t="s">
        <v>43</v>
      </c>
      <c r="O1838" s="1" t="s">
        <v>49</v>
      </c>
      <c r="P1838" s="1" t="s">
        <v>7391</v>
      </c>
    </row>
    <row r="1839" ht="14.25" customHeight="1">
      <c r="A1839" s="1" t="s">
        <v>7392</v>
      </c>
      <c r="B1839" s="1" t="s">
        <v>7393</v>
      </c>
      <c r="C1839" s="1" t="s">
        <v>39</v>
      </c>
      <c r="D1839" s="1">
        <v>73855.0</v>
      </c>
      <c r="E1839" s="1" t="s">
        <v>40</v>
      </c>
      <c r="F1839" s="1" t="s">
        <v>54</v>
      </c>
      <c r="G1839" s="1" t="s">
        <v>31</v>
      </c>
      <c r="H1839" s="2">
        <v>1924.0</v>
      </c>
      <c r="I1839" s="2">
        <v>5435.0</v>
      </c>
      <c r="J1839" s="1">
        <v>2021.0</v>
      </c>
      <c r="K1839" s="1">
        <v>55.0</v>
      </c>
      <c r="L1839" s="1" t="s">
        <v>32</v>
      </c>
      <c r="M1839" s="1" t="s">
        <v>7394</v>
      </c>
      <c r="N1839" s="1" t="s">
        <v>48</v>
      </c>
      <c r="O1839" s="1" t="s">
        <v>49</v>
      </c>
      <c r="P1839" s="1" t="s">
        <v>7395</v>
      </c>
    </row>
    <row r="1840" ht="14.25" customHeight="1">
      <c r="A1840" s="1" t="s">
        <v>7396</v>
      </c>
      <c r="B1840" s="1" t="s">
        <v>7397</v>
      </c>
      <c r="C1840" s="1" t="s">
        <v>53</v>
      </c>
      <c r="D1840" s="1">
        <v>55397.0</v>
      </c>
      <c r="E1840" s="1" t="s">
        <v>40</v>
      </c>
      <c r="F1840" s="1" t="s">
        <v>61</v>
      </c>
      <c r="G1840" s="1" t="s">
        <v>55</v>
      </c>
      <c r="H1840" s="2">
        <v>2862.0</v>
      </c>
      <c r="I1840" s="2">
        <v>9384.0</v>
      </c>
      <c r="J1840" s="1">
        <v>1987.0</v>
      </c>
      <c r="K1840" s="1">
        <v>62.0</v>
      </c>
      <c r="L1840" s="1" t="s">
        <v>95</v>
      </c>
      <c r="M1840" s="1" t="s">
        <v>7398</v>
      </c>
      <c r="N1840" s="1" t="s">
        <v>64</v>
      </c>
      <c r="O1840" s="1" t="s">
        <v>35</v>
      </c>
      <c r="P1840" s="1" t="s">
        <v>7399</v>
      </c>
    </row>
    <row r="1841" ht="14.25" customHeight="1">
      <c r="A1841" s="1" t="s">
        <v>7400</v>
      </c>
      <c r="B1841" s="1" t="s">
        <v>7401</v>
      </c>
      <c r="C1841" s="1" t="s">
        <v>76</v>
      </c>
      <c r="D1841" s="1">
        <v>86142.0</v>
      </c>
      <c r="E1841" s="1" t="s">
        <v>40</v>
      </c>
      <c r="F1841" s="1" t="s">
        <v>54</v>
      </c>
      <c r="G1841" s="1" t="s">
        <v>100</v>
      </c>
      <c r="H1841" s="2">
        <v>1939.0</v>
      </c>
      <c r="I1841" s="2">
        <v>4173.0</v>
      </c>
      <c r="J1841" s="1">
        <v>1964.0</v>
      </c>
      <c r="K1841" s="1">
        <v>84.0</v>
      </c>
      <c r="L1841" s="1" t="s">
        <v>141</v>
      </c>
      <c r="M1841" s="1" t="s">
        <v>7402</v>
      </c>
      <c r="N1841" s="1" t="s">
        <v>43</v>
      </c>
      <c r="O1841" s="1" t="s">
        <v>49</v>
      </c>
      <c r="P1841" s="1" t="s">
        <v>7403</v>
      </c>
    </row>
    <row r="1842" ht="14.25" customHeight="1">
      <c r="A1842" s="1" t="s">
        <v>7404</v>
      </c>
      <c r="B1842" s="1" t="s">
        <v>7405</v>
      </c>
      <c r="C1842" s="1" t="s">
        <v>29</v>
      </c>
      <c r="D1842" s="1">
        <v>41561.0</v>
      </c>
      <c r="E1842" s="1" t="s">
        <v>60</v>
      </c>
      <c r="F1842" s="1" t="s">
        <v>20</v>
      </c>
      <c r="G1842" s="1" t="s">
        <v>31</v>
      </c>
      <c r="H1842" s="2">
        <v>3127.0</v>
      </c>
      <c r="I1842" s="2">
        <v>2587.0</v>
      </c>
      <c r="J1842" s="1">
        <v>1962.0</v>
      </c>
      <c r="K1842" s="1">
        <v>50.0</v>
      </c>
      <c r="L1842" s="1" t="s">
        <v>141</v>
      </c>
      <c r="M1842" s="1" t="s">
        <v>7406</v>
      </c>
      <c r="N1842" s="1" t="s">
        <v>34</v>
      </c>
      <c r="O1842" s="1" t="s">
        <v>25</v>
      </c>
      <c r="P1842" s="1" t="s">
        <v>7407</v>
      </c>
    </row>
    <row r="1843" ht="14.25" customHeight="1">
      <c r="A1843" s="1" t="s">
        <v>7408</v>
      </c>
      <c r="B1843" s="1" t="s">
        <v>7409</v>
      </c>
      <c r="C1843" s="1" t="s">
        <v>39</v>
      </c>
      <c r="D1843" s="1">
        <v>85564.0</v>
      </c>
      <c r="E1843" s="1" t="s">
        <v>77</v>
      </c>
      <c r="F1843" s="1" t="s">
        <v>54</v>
      </c>
      <c r="G1843" s="1" t="s">
        <v>31</v>
      </c>
      <c r="H1843" s="2">
        <v>2402.0</v>
      </c>
      <c r="I1843" s="2">
        <v>3542.0</v>
      </c>
      <c r="J1843" s="1">
        <v>1971.0</v>
      </c>
      <c r="K1843" s="1">
        <v>33.0</v>
      </c>
      <c r="L1843" s="1" t="s">
        <v>141</v>
      </c>
      <c r="M1843" s="1" t="s">
        <v>7410</v>
      </c>
      <c r="N1843" s="1" t="s">
        <v>43</v>
      </c>
      <c r="O1843" s="1" t="s">
        <v>49</v>
      </c>
      <c r="P1843" s="1" t="s">
        <v>7411</v>
      </c>
    </row>
    <row r="1844" ht="14.25" customHeight="1">
      <c r="A1844" s="1" t="s">
        <v>7412</v>
      </c>
      <c r="B1844" s="1" t="s">
        <v>7413</v>
      </c>
      <c r="C1844" s="1" t="s">
        <v>76</v>
      </c>
      <c r="D1844" s="1">
        <v>79196.0</v>
      </c>
      <c r="E1844" s="1" t="s">
        <v>40</v>
      </c>
      <c r="F1844" s="1" t="s">
        <v>54</v>
      </c>
      <c r="G1844" s="1" t="s">
        <v>100</v>
      </c>
      <c r="H1844" s="2">
        <v>2906.0</v>
      </c>
      <c r="I1844" s="2">
        <v>3840.0</v>
      </c>
      <c r="J1844" s="1">
        <v>2021.0</v>
      </c>
      <c r="K1844" s="1">
        <v>112.0</v>
      </c>
      <c r="L1844" s="1" t="s">
        <v>62</v>
      </c>
      <c r="M1844" s="1" t="s">
        <v>7414</v>
      </c>
      <c r="N1844" s="1" t="s">
        <v>24</v>
      </c>
      <c r="O1844" s="1" t="s">
        <v>35</v>
      </c>
      <c r="P1844" s="1" t="s">
        <v>7415</v>
      </c>
    </row>
    <row r="1845" ht="14.25" customHeight="1">
      <c r="A1845" s="1" t="s">
        <v>7416</v>
      </c>
      <c r="B1845" s="1" t="s">
        <v>7417</v>
      </c>
      <c r="C1845" s="1" t="s">
        <v>29</v>
      </c>
      <c r="D1845" s="1">
        <v>86532.0</v>
      </c>
      <c r="E1845" s="1" t="s">
        <v>19</v>
      </c>
      <c r="F1845" s="1" t="s">
        <v>61</v>
      </c>
      <c r="G1845" s="1" t="s">
        <v>55</v>
      </c>
      <c r="H1845" s="2">
        <v>1932.0</v>
      </c>
      <c r="I1845" s="2">
        <v>3415.0</v>
      </c>
      <c r="J1845" s="1">
        <v>1984.0</v>
      </c>
      <c r="K1845" s="1">
        <v>110.0</v>
      </c>
      <c r="L1845" s="1" t="s">
        <v>141</v>
      </c>
      <c r="M1845" s="1" t="s">
        <v>7418</v>
      </c>
      <c r="N1845" s="1" t="s">
        <v>34</v>
      </c>
      <c r="O1845" s="1" t="s">
        <v>49</v>
      </c>
      <c r="P1845" s="1" t="s">
        <v>7419</v>
      </c>
    </row>
    <row r="1846" ht="14.25" customHeight="1">
      <c r="A1846" s="1" t="s">
        <v>7420</v>
      </c>
      <c r="B1846" s="1" t="s">
        <v>7421</v>
      </c>
      <c r="C1846" s="1" t="s">
        <v>18</v>
      </c>
      <c r="D1846" s="1">
        <v>29047.0</v>
      </c>
      <c r="E1846" s="1" t="s">
        <v>19</v>
      </c>
      <c r="F1846" s="1" t="s">
        <v>46</v>
      </c>
      <c r="G1846" s="1" t="s">
        <v>100</v>
      </c>
      <c r="H1846" s="2">
        <v>2266.0</v>
      </c>
      <c r="I1846" s="2">
        <v>6534.0</v>
      </c>
      <c r="J1846" s="1">
        <v>2011.0</v>
      </c>
      <c r="K1846" s="1">
        <v>95.0</v>
      </c>
      <c r="L1846" s="1" t="s">
        <v>62</v>
      </c>
      <c r="M1846" s="1" t="s">
        <v>7422</v>
      </c>
      <c r="N1846" s="1" t="s">
        <v>48</v>
      </c>
      <c r="O1846" s="1" t="s">
        <v>35</v>
      </c>
      <c r="P1846" s="1" t="s">
        <v>7423</v>
      </c>
    </row>
    <row r="1847" ht="14.25" customHeight="1">
      <c r="A1847" s="1" t="s">
        <v>7424</v>
      </c>
      <c r="B1847" s="1" t="s">
        <v>7425</v>
      </c>
      <c r="C1847" s="1" t="s">
        <v>76</v>
      </c>
      <c r="D1847" s="1">
        <v>52094.0</v>
      </c>
      <c r="E1847" s="1" t="s">
        <v>19</v>
      </c>
      <c r="F1847" s="1" t="s">
        <v>54</v>
      </c>
      <c r="G1847" s="1" t="s">
        <v>55</v>
      </c>
      <c r="H1847" s="2">
        <v>1929.0</v>
      </c>
      <c r="I1847" s="2">
        <v>5887.0</v>
      </c>
      <c r="J1847" s="1">
        <v>1977.0</v>
      </c>
      <c r="K1847" s="1">
        <v>12.0</v>
      </c>
      <c r="L1847" s="1" t="s">
        <v>62</v>
      </c>
      <c r="M1847" s="1" t="s">
        <v>7426</v>
      </c>
      <c r="N1847" s="1" t="s">
        <v>48</v>
      </c>
      <c r="O1847" s="1" t="s">
        <v>35</v>
      </c>
      <c r="P1847" s="1" t="s">
        <v>7427</v>
      </c>
    </row>
    <row r="1848" ht="14.25" customHeight="1">
      <c r="A1848" s="1" t="s">
        <v>7428</v>
      </c>
      <c r="B1848" s="1" t="s">
        <v>7429</v>
      </c>
      <c r="C1848" s="1" t="s">
        <v>76</v>
      </c>
      <c r="D1848" s="1">
        <v>68735.0</v>
      </c>
      <c r="E1848" s="1" t="s">
        <v>30</v>
      </c>
      <c r="F1848" s="1" t="s">
        <v>94</v>
      </c>
      <c r="G1848" s="1" t="s">
        <v>55</v>
      </c>
      <c r="H1848" s="2">
        <v>682.0</v>
      </c>
      <c r="I1848" s="2">
        <v>9103.0</v>
      </c>
      <c r="J1848" s="1">
        <v>1990.0</v>
      </c>
      <c r="K1848" s="1">
        <v>85.0</v>
      </c>
      <c r="L1848" s="1" t="s">
        <v>22</v>
      </c>
      <c r="M1848" s="1" t="s">
        <v>7430</v>
      </c>
      <c r="N1848" s="1" t="s">
        <v>24</v>
      </c>
      <c r="O1848" s="1" t="s">
        <v>35</v>
      </c>
      <c r="P1848" s="1" t="s">
        <v>7431</v>
      </c>
    </row>
    <row r="1849" ht="14.25" customHeight="1">
      <c r="A1849" s="1" t="s">
        <v>7432</v>
      </c>
      <c r="B1849" s="1" t="s">
        <v>7433</v>
      </c>
      <c r="C1849" s="1" t="s">
        <v>29</v>
      </c>
      <c r="D1849" s="1">
        <v>98694.0</v>
      </c>
      <c r="E1849" s="1" t="s">
        <v>19</v>
      </c>
      <c r="F1849" s="1" t="s">
        <v>41</v>
      </c>
      <c r="G1849" s="1" t="s">
        <v>21</v>
      </c>
      <c r="H1849" s="2">
        <v>1385.0</v>
      </c>
      <c r="I1849" s="2">
        <v>7713.0</v>
      </c>
      <c r="J1849" s="1">
        <v>2005.0</v>
      </c>
      <c r="K1849" s="1">
        <v>39.0</v>
      </c>
      <c r="L1849" s="1" t="s">
        <v>22</v>
      </c>
      <c r="M1849" s="1" t="s">
        <v>7434</v>
      </c>
      <c r="N1849" s="1" t="s">
        <v>24</v>
      </c>
      <c r="O1849" s="1" t="s">
        <v>49</v>
      </c>
      <c r="P1849" s="1" t="s">
        <v>7435</v>
      </c>
    </row>
    <row r="1850" ht="14.25" customHeight="1">
      <c r="A1850" s="1" t="s">
        <v>7436</v>
      </c>
      <c r="B1850" s="1" t="s">
        <v>7437</v>
      </c>
      <c r="C1850" s="1" t="s">
        <v>53</v>
      </c>
      <c r="D1850" s="1">
        <v>16519.0</v>
      </c>
      <c r="E1850" s="1" t="s">
        <v>30</v>
      </c>
      <c r="F1850" s="1" t="s">
        <v>94</v>
      </c>
      <c r="G1850" s="1" t="s">
        <v>31</v>
      </c>
      <c r="H1850" s="2">
        <v>3109.0</v>
      </c>
      <c r="I1850" s="2">
        <v>5757.0</v>
      </c>
      <c r="J1850" s="1">
        <v>1985.0</v>
      </c>
      <c r="K1850" s="1">
        <v>46.0</v>
      </c>
      <c r="L1850" s="1" t="s">
        <v>62</v>
      </c>
      <c r="M1850" s="1" t="s">
        <v>7438</v>
      </c>
      <c r="N1850" s="1" t="s">
        <v>48</v>
      </c>
      <c r="O1850" s="1" t="s">
        <v>49</v>
      </c>
      <c r="P1850" s="1" t="s">
        <v>7439</v>
      </c>
    </row>
    <row r="1851" ht="14.25" customHeight="1">
      <c r="A1851" s="1" t="s">
        <v>7440</v>
      </c>
      <c r="B1851" s="1" t="s">
        <v>7441</v>
      </c>
      <c r="C1851" s="1" t="s">
        <v>76</v>
      </c>
      <c r="D1851" s="1">
        <v>91208.0</v>
      </c>
      <c r="E1851" s="1" t="s">
        <v>77</v>
      </c>
      <c r="F1851" s="1" t="s">
        <v>46</v>
      </c>
      <c r="G1851" s="1" t="s">
        <v>100</v>
      </c>
      <c r="H1851" s="2">
        <v>3869.0</v>
      </c>
      <c r="I1851" s="2">
        <v>8315.0</v>
      </c>
      <c r="J1851" s="1">
        <v>2012.0</v>
      </c>
      <c r="K1851" s="1">
        <v>67.0</v>
      </c>
      <c r="L1851" s="1" t="s">
        <v>141</v>
      </c>
      <c r="M1851" s="1" t="s">
        <v>7442</v>
      </c>
      <c r="N1851" s="1" t="s">
        <v>48</v>
      </c>
      <c r="O1851" s="1" t="s">
        <v>25</v>
      </c>
      <c r="P1851" s="1" t="s">
        <v>7443</v>
      </c>
    </row>
    <row r="1852" ht="14.25" customHeight="1">
      <c r="A1852" s="1" t="s">
        <v>7444</v>
      </c>
      <c r="B1852" s="1" t="s">
        <v>7445</v>
      </c>
      <c r="C1852" s="1" t="s">
        <v>29</v>
      </c>
      <c r="D1852" s="1">
        <v>58030.0</v>
      </c>
      <c r="E1852" s="1" t="s">
        <v>77</v>
      </c>
      <c r="F1852" s="1" t="s">
        <v>94</v>
      </c>
      <c r="G1852" s="1" t="s">
        <v>100</v>
      </c>
      <c r="H1852" s="2">
        <v>3871.0</v>
      </c>
      <c r="I1852" s="2">
        <v>7018.0</v>
      </c>
      <c r="J1852" s="1">
        <v>1981.0</v>
      </c>
      <c r="K1852" s="1">
        <v>81.0</v>
      </c>
      <c r="L1852" s="1" t="s">
        <v>62</v>
      </c>
      <c r="M1852" s="1" t="s">
        <v>7446</v>
      </c>
      <c r="N1852" s="1" t="s">
        <v>64</v>
      </c>
      <c r="O1852" s="1" t="s">
        <v>49</v>
      </c>
      <c r="P1852" s="1" t="s">
        <v>7447</v>
      </c>
    </row>
    <row r="1853" ht="14.25" customHeight="1">
      <c r="A1853" s="1" t="s">
        <v>7448</v>
      </c>
      <c r="B1853" s="1" t="s">
        <v>7449</v>
      </c>
      <c r="C1853" s="1" t="s">
        <v>76</v>
      </c>
      <c r="D1853" s="1">
        <v>13564.0</v>
      </c>
      <c r="E1853" s="1" t="s">
        <v>77</v>
      </c>
      <c r="F1853" s="1" t="s">
        <v>61</v>
      </c>
      <c r="G1853" s="1" t="s">
        <v>55</v>
      </c>
      <c r="H1853" s="2">
        <v>1657.0</v>
      </c>
      <c r="I1853" s="2">
        <v>5304.0</v>
      </c>
      <c r="J1853" s="1">
        <v>1998.0</v>
      </c>
      <c r="K1853" s="1">
        <v>27.0</v>
      </c>
      <c r="L1853" s="1" t="s">
        <v>95</v>
      </c>
      <c r="M1853" s="1" t="s">
        <v>7450</v>
      </c>
      <c r="N1853" s="1" t="s">
        <v>48</v>
      </c>
      <c r="O1853" s="1" t="s">
        <v>35</v>
      </c>
      <c r="P1853" s="1" t="s">
        <v>7451</v>
      </c>
    </row>
    <row r="1854" ht="14.25" customHeight="1">
      <c r="A1854" s="1" t="s">
        <v>7452</v>
      </c>
      <c r="B1854" s="1" t="s">
        <v>7453</v>
      </c>
      <c r="C1854" s="1" t="s">
        <v>53</v>
      </c>
      <c r="D1854" s="1">
        <v>77472.0</v>
      </c>
      <c r="E1854" s="1" t="s">
        <v>77</v>
      </c>
      <c r="F1854" s="1" t="s">
        <v>41</v>
      </c>
      <c r="G1854" s="1" t="s">
        <v>31</v>
      </c>
      <c r="H1854" s="2">
        <v>2755.0</v>
      </c>
      <c r="I1854" s="2">
        <v>4268.0</v>
      </c>
      <c r="J1854" s="1">
        <v>2013.0</v>
      </c>
      <c r="K1854" s="1">
        <v>110.0</v>
      </c>
      <c r="L1854" s="1" t="s">
        <v>62</v>
      </c>
      <c r="M1854" s="1" t="s">
        <v>7454</v>
      </c>
      <c r="N1854" s="1" t="s">
        <v>64</v>
      </c>
      <c r="O1854" s="1" t="s">
        <v>35</v>
      </c>
      <c r="P1854" s="1" t="s">
        <v>7455</v>
      </c>
    </row>
    <row r="1855" ht="14.25" customHeight="1">
      <c r="A1855" s="1" t="s">
        <v>7456</v>
      </c>
      <c r="B1855" s="1" t="s">
        <v>7457</v>
      </c>
      <c r="C1855" s="1" t="s">
        <v>39</v>
      </c>
      <c r="D1855" s="1">
        <v>94078.0</v>
      </c>
      <c r="E1855" s="1" t="s">
        <v>60</v>
      </c>
      <c r="F1855" s="1" t="s">
        <v>20</v>
      </c>
      <c r="G1855" s="1" t="s">
        <v>31</v>
      </c>
      <c r="H1855" s="2">
        <v>2113.0</v>
      </c>
      <c r="I1855" s="2">
        <v>9966.0</v>
      </c>
      <c r="J1855" s="1">
        <v>1988.0</v>
      </c>
      <c r="K1855" s="1">
        <v>2.0</v>
      </c>
      <c r="L1855" s="1" t="s">
        <v>62</v>
      </c>
      <c r="M1855" s="1" t="s">
        <v>7458</v>
      </c>
      <c r="N1855" s="1" t="s">
        <v>24</v>
      </c>
      <c r="O1855" s="1" t="s">
        <v>25</v>
      </c>
      <c r="P1855" s="1" t="s">
        <v>7459</v>
      </c>
    </row>
    <row r="1856" ht="14.25" customHeight="1">
      <c r="A1856" s="1" t="s">
        <v>7460</v>
      </c>
      <c r="B1856" s="1" t="s">
        <v>7461</v>
      </c>
      <c r="C1856" s="1" t="s">
        <v>18</v>
      </c>
      <c r="D1856" s="1">
        <v>49251.0</v>
      </c>
      <c r="E1856" s="1" t="s">
        <v>30</v>
      </c>
      <c r="F1856" s="1" t="s">
        <v>41</v>
      </c>
      <c r="G1856" s="1" t="s">
        <v>55</v>
      </c>
      <c r="H1856" s="2">
        <v>3182.0</v>
      </c>
      <c r="I1856" s="2">
        <v>4947.0</v>
      </c>
      <c r="J1856" s="1">
        <v>1969.0</v>
      </c>
      <c r="K1856" s="1">
        <v>36.0</v>
      </c>
      <c r="L1856" s="1" t="s">
        <v>22</v>
      </c>
      <c r="M1856" s="1" t="s">
        <v>7462</v>
      </c>
      <c r="N1856" s="1" t="s">
        <v>48</v>
      </c>
      <c r="O1856" s="1" t="s">
        <v>25</v>
      </c>
      <c r="P1856" s="1" t="s">
        <v>7463</v>
      </c>
    </row>
    <row r="1857" ht="14.25" customHeight="1">
      <c r="A1857" s="1" t="s">
        <v>7464</v>
      </c>
      <c r="B1857" s="1" t="s">
        <v>7465</v>
      </c>
      <c r="C1857" s="1" t="s">
        <v>29</v>
      </c>
      <c r="D1857" s="1">
        <v>74333.0</v>
      </c>
      <c r="E1857" s="1" t="s">
        <v>77</v>
      </c>
      <c r="F1857" s="1" t="s">
        <v>46</v>
      </c>
      <c r="G1857" s="1" t="s">
        <v>100</v>
      </c>
      <c r="H1857" s="2">
        <v>3275.0</v>
      </c>
      <c r="I1857" s="2">
        <v>8269.0</v>
      </c>
      <c r="J1857" s="1">
        <v>1994.0</v>
      </c>
      <c r="K1857" s="1">
        <v>57.0</v>
      </c>
      <c r="L1857" s="1" t="s">
        <v>32</v>
      </c>
      <c r="M1857" s="1" t="s">
        <v>7466</v>
      </c>
      <c r="N1857" s="1" t="s">
        <v>24</v>
      </c>
      <c r="O1857" s="1" t="s">
        <v>35</v>
      </c>
      <c r="P1857" s="1" t="s">
        <v>7467</v>
      </c>
    </row>
    <row r="1858" ht="14.25" customHeight="1">
      <c r="A1858" s="1" t="s">
        <v>7468</v>
      </c>
      <c r="B1858" s="1" t="s">
        <v>7469</v>
      </c>
      <c r="C1858" s="1" t="s">
        <v>18</v>
      </c>
      <c r="D1858" s="1">
        <v>82020.0</v>
      </c>
      <c r="E1858" s="1" t="s">
        <v>19</v>
      </c>
      <c r="F1858" s="1" t="s">
        <v>54</v>
      </c>
      <c r="G1858" s="1" t="s">
        <v>21</v>
      </c>
      <c r="H1858" s="2">
        <v>2900.0</v>
      </c>
      <c r="I1858" s="2">
        <v>2311.0</v>
      </c>
      <c r="J1858" s="1">
        <v>2016.0</v>
      </c>
      <c r="K1858" s="1">
        <v>112.0</v>
      </c>
      <c r="L1858" s="1" t="s">
        <v>22</v>
      </c>
      <c r="M1858" s="1" t="s">
        <v>7470</v>
      </c>
      <c r="N1858" s="1" t="s">
        <v>24</v>
      </c>
      <c r="O1858" s="1" t="s">
        <v>25</v>
      </c>
      <c r="P1858" s="1" t="s">
        <v>7471</v>
      </c>
    </row>
    <row r="1859" ht="14.25" customHeight="1">
      <c r="A1859" s="1" t="s">
        <v>7472</v>
      </c>
      <c r="B1859" s="1" t="s">
        <v>7473</v>
      </c>
      <c r="C1859" s="1" t="s">
        <v>29</v>
      </c>
      <c r="D1859" s="1">
        <v>58626.0</v>
      </c>
      <c r="E1859" s="1" t="s">
        <v>19</v>
      </c>
      <c r="F1859" s="1" t="s">
        <v>41</v>
      </c>
      <c r="G1859" s="1" t="s">
        <v>21</v>
      </c>
      <c r="H1859" s="2">
        <v>1607.0</v>
      </c>
      <c r="I1859" s="2">
        <v>6024.0</v>
      </c>
      <c r="J1859" s="1">
        <v>2022.0</v>
      </c>
      <c r="K1859" s="1">
        <v>26.0</v>
      </c>
      <c r="L1859" s="1" t="s">
        <v>95</v>
      </c>
      <c r="M1859" s="1" t="s">
        <v>7474</v>
      </c>
      <c r="N1859" s="1" t="s">
        <v>64</v>
      </c>
      <c r="O1859" s="1" t="s">
        <v>25</v>
      </c>
      <c r="P1859" s="1" t="s">
        <v>7475</v>
      </c>
    </row>
    <row r="1860" ht="14.25" customHeight="1">
      <c r="A1860" s="1" t="s">
        <v>7476</v>
      </c>
      <c r="B1860" s="1" t="s">
        <v>7477</v>
      </c>
      <c r="C1860" s="1" t="s">
        <v>29</v>
      </c>
      <c r="D1860" s="1">
        <v>73201.0</v>
      </c>
      <c r="E1860" s="1" t="s">
        <v>19</v>
      </c>
      <c r="F1860" s="1" t="s">
        <v>54</v>
      </c>
      <c r="G1860" s="1" t="s">
        <v>31</v>
      </c>
      <c r="H1860" s="2">
        <v>3154.0</v>
      </c>
      <c r="I1860" s="2">
        <v>4410.0</v>
      </c>
      <c r="J1860" s="1">
        <v>1952.0</v>
      </c>
      <c r="K1860" s="1">
        <v>37.0</v>
      </c>
      <c r="L1860" s="1" t="s">
        <v>22</v>
      </c>
      <c r="M1860" s="1" t="s">
        <v>7478</v>
      </c>
      <c r="N1860" s="1" t="s">
        <v>64</v>
      </c>
      <c r="O1860" s="1" t="s">
        <v>35</v>
      </c>
      <c r="P1860" s="1" t="s">
        <v>7479</v>
      </c>
    </row>
    <row r="1861" ht="14.25" customHeight="1">
      <c r="A1861" s="1" t="s">
        <v>7480</v>
      </c>
      <c r="B1861" s="1" t="s">
        <v>7481</v>
      </c>
      <c r="C1861" s="1" t="s">
        <v>18</v>
      </c>
      <c r="D1861" s="1">
        <v>38521.0</v>
      </c>
      <c r="E1861" s="1" t="s">
        <v>19</v>
      </c>
      <c r="F1861" s="1" t="s">
        <v>94</v>
      </c>
      <c r="G1861" s="1" t="s">
        <v>21</v>
      </c>
      <c r="H1861" s="2">
        <v>1083.0</v>
      </c>
      <c r="I1861" s="2">
        <v>7167.0</v>
      </c>
      <c r="J1861" s="1">
        <v>1970.0</v>
      </c>
      <c r="K1861" s="1">
        <v>97.0</v>
      </c>
      <c r="L1861" s="1" t="s">
        <v>22</v>
      </c>
      <c r="M1861" s="1" t="s">
        <v>7482</v>
      </c>
      <c r="N1861" s="1" t="s">
        <v>48</v>
      </c>
      <c r="O1861" s="1" t="s">
        <v>49</v>
      </c>
      <c r="P1861" s="1" t="s">
        <v>7483</v>
      </c>
    </row>
    <row r="1862" ht="14.25" customHeight="1">
      <c r="A1862" s="1" t="s">
        <v>7484</v>
      </c>
      <c r="B1862" s="1" t="s">
        <v>7485</v>
      </c>
      <c r="C1862" s="1" t="s">
        <v>18</v>
      </c>
      <c r="D1862" s="1">
        <v>35007.0</v>
      </c>
      <c r="E1862" s="1" t="s">
        <v>40</v>
      </c>
      <c r="F1862" s="1" t="s">
        <v>54</v>
      </c>
      <c r="G1862" s="1" t="s">
        <v>31</v>
      </c>
      <c r="H1862" s="2">
        <v>1022.0</v>
      </c>
      <c r="I1862" s="2">
        <v>9130.0</v>
      </c>
      <c r="J1862" s="1">
        <v>1989.0</v>
      </c>
      <c r="K1862" s="1">
        <v>52.0</v>
      </c>
      <c r="L1862" s="1" t="s">
        <v>141</v>
      </c>
      <c r="M1862" s="1" t="s">
        <v>7486</v>
      </c>
      <c r="N1862" s="1" t="s">
        <v>48</v>
      </c>
      <c r="O1862" s="1" t="s">
        <v>25</v>
      </c>
      <c r="P1862" s="1" t="s">
        <v>7487</v>
      </c>
    </row>
    <row r="1863" ht="14.25" customHeight="1">
      <c r="A1863" s="1" t="s">
        <v>7488</v>
      </c>
      <c r="B1863" s="1" t="s">
        <v>7489</v>
      </c>
      <c r="C1863" s="1" t="s">
        <v>18</v>
      </c>
      <c r="D1863" s="1">
        <v>59418.0</v>
      </c>
      <c r="E1863" s="1" t="s">
        <v>60</v>
      </c>
      <c r="F1863" s="1" t="s">
        <v>94</v>
      </c>
      <c r="G1863" s="1" t="s">
        <v>55</v>
      </c>
      <c r="H1863" s="2">
        <v>1869.0</v>
      </c>
      <c r="I1863" s="2">
        <v>6115.0</v>
      </c>
      <c r="J1863" s="1">
        <v>1979.0</v>
      </c>
      <c r="K1863" s="1">
        <v>66.0</v>
      </c>
      <c r="L1863" s="1" t="s">
        <v>141</v>
      </c>
      <c r="M1863" s="1" t="s">
        <v>7490</v>
      </c>
      <c r="N1863" s="1" t="s">
        <v>64</v>
      </c>
      <c r="O1863" s="1" t="s">
        <v>35</v>
      </c>
      <c r="P1863" s="1" t="s">
        <v>7491</v>
      </c>
    </row>
    <row r="1864" ht="14.25" customHeight="1">
      <c r="A1864" s="1" t="s">
        <v>7492</v>
      </c>
      <c r="B1864" s="1" t="s">
        <v>7493</v>
      </c>
      <c r="C1864" s="1" t="s">
        <v>53</v>
      </c>
      <c r="D1864" s="1">
        <v>88644.0</v>
      </c>
      <c r="E1864" s="1" t="s">
        <v>60</v>
      </c>
      <c r="F1864" s="1" t="s">
        <v>41</v>
      </c>
      <c r="G1864" s="1" t="s">
        <v>21</v>
      </c>
      <c r="H1864" s="2">
        <v>3033.0</v>
      </c>
      <c r="I1864" s="2">
        <v>3484.0</v>
      </c>
      <c r="J1864" s="1">
        <v>1966.0</v>
      </c>
      <c r="K1864" s="1">
        <v>38.0</v>
      </c>
      <c r="L1864" s="1" t="s">
        <v>95</v>
      </c>
      <c r="M1864" s="1" t="s">
        <v>7494</v>
      </c>
      <c r="N1864" s="1" t="s">
        <v>48</v>
      </c>
      <c r="O1864" s="1" t="s">
        <v>25</v>
      </c>
      <c r="P1864" s="1" t="s">
        <v>7495</v>
      </c>
    </row>
    <row r="1865" ht="14.25" customHeight="1">
      <c r="A1865" s="1" t="s">
        <v>7496</v>
      </c>
      <c r="B1865" s="1" t="s">
        <v>7497</v>
      </c>
      <c r="C1865" s="1" t="s">
        <v>76</v>
      </c>
      <c r="D1865" s="1">
        <v>57158.0</v>
      </c>
      <c r="E1865" s="1" t="s">
        <v>60</v>
      </c>
      <c r="F1865" s="1" t="s">
        <v>94</v>
      </c>
      <c r="G1865" s="1" t="s">
        <v>31</v>
      </c>
      <c r="H1865" s="2">
        <v>1753.0</v>
      </c>
      <c r="I1865" s="2">
        <v>9075.0</v>
      </c>
      <c r="J1865" s="1">
        <v>1968.0</v>
      </c>
      <c r="K1865" s="1">
        <v>63.0</v>
      </c>
      <c r="L1865" s="1" t="s">
        <v>22</v>
      </c>
      <c r="M1865" s="1" t="s">
        <v>7498</v>
      </c>
      <c r="N1865" s="1" t="s">
        <v>43</v>
      </c>
      <c r="O1865" s="1" t="s">
        <v>25</v>
      </c>
      <c r="P1865" s="1" t="s">
        <v>7499</v>
      </c>
    </row>
    <row r="1866" ht="14.25" customHeight="1">
      <c r="A1866" s="1" t="s">
        <v>7500</v>
      </c>
      <c r="B1866" s="1" t="s">
        <v>7501</v>
      </c>
      <c r="C1866" s="1" t="s">
        <v>29</v>
      </c>
      <c r="D1866" s="1">
        <v>12532.0</v>
      </c>
      <c r="E1866" s="1" t="s">
        <v>30</v>
      </c>
      <c r="F1866" s="1" t="s">
        <v>41</v>
      </c>
      <c r="G1866" s="1" t="s">
        <v>55</v>
      </c>
      <c r="H1866" s="2">
        <v>2192.0</v>
      </c>
      <c r="I1866" s="2">
        <v>9466.0</v>
      </c>
      <c r="J1866" s="1">
        <v>1998.0</v>
      </c>
      <c r="K1866" s="1">
        <v>65.0</v>
      </c>
      <c r="L1866" s="1" t="s">
        <v>95</v>
      </c>
      <c r="M1866" s="1" t="s">
        <v>7502</v>
      </c>
      <c r="N1866" s="1" t="s">
        <v>24</v>
      </c>
      <c r="O1866" s="1" t="s">
        <v>35</v>
      </c>
      <c r="P1866" s="1" t="s">
        <v>7503</v>
      </c>
    </row>
    <row r="1867" ht="14.25" customHeight="1">
      <c r="A1867" s="1" t="s">
        <v>7504</v>
      </c>
      <c r="B1867" s="1" t="s">
        <v>7505</v>
      </c>
      <c r="C1867" s="1" t="s">
        <v>29</v>
      </c>
      <c r="D1867" s="1">
        <v>79672.0</v>
      </c>
      <c r="E1867" s="1" t="s">
        <v>30</v>
      </c>
      <c r="F1867" s="1" t="s">
        <v>94</v>
      </c>
      <c r="G1867" s="1" t="s">
        <v>21</v>
      </c>
      <c r="H1867" s="2">
        <v>2729.0</v>
      </c>
      <c r="I1867" s="2">
        <v>4190.0</v>
      </c>
      <c r="J1867" s="1">
        <v>1965.0</v>
      </c>
      <c r="K1867" s="1">
        <v>99.0</v>
      </c>
      <c r="L1867" s="1" t="s">
        <v>141</v>
      </c>
      <c r="M1867" s="1" t="s">
        <v>7506</v>
      </c>
      <c r="N1867" s="1" t="s">
        <v>64</v>
      </c>
      <c r="O1867" s="1" t="s">
        <v>35</v>
      </c>
      <c r="P1867" s="1" t="s">
        <v>7507</v>
      </c>
    </row>
    <row r="1868" ht="14.25" customHeight="1">
      <c r="A1868" s="1" t="s">
        <v>7508</v>
      </c>
      <c r="B1868" s="1" t="s">
        <v>7509</v>
      </c>
      <c r="C1868" s="1" t="s">
        <v>39</v>
      </c>
      <c r="D1868" s="1">
        <v>53411.0</v>
      </c>
      <c r="E1868" s="1" t="s">
        <v>19</v>
      </c>
      <c r="F1868" s="1" t="s">
        <v>61</v>
      </c>
      <c r="G1868" s="1" t="s">
        <v>100</v>
      </c>
      <c r="H1868" s="2">
        <v>849.0</v>
      </c>
      <c r="I1868" s="2">
        <v>7517.0</v>
      </c>
      <c r="J1868" s="1">
        <v>2022.0</v>
      </c>
      <c r="K1868" s="1">
        <v>97.0</v>
      </c>
      <c r="L1868" s="1" t="s">
        <v>62</v>
      </c>
      <c r="M1868" s="1" t="s">
        <v>7510</v>
      </c>
      <c r="N1868" s="1" t="s">
        <v>43</v>
      </c>
      <c r="O1868" s="1" t="s">
        <v>35</v>
      </c>
      <c r="P1868" s="1" t="s">
        <v>7511</v>
      </c>
    </row>
    <row r="1869" ht="14.25" customHeight="1">
      <c r="A1869" s="1" t="s">
        <v>7512</v>
      </c>
      <c r="B1869" s="1" t="s">
        <v>7513</v>
      </c>
      <c r="C1869" s="1" t="s">
        <v>76</v>
      </c>
      <c r="D1869" s="1">
        <v>45612.0</v>
      </c>
      <c r="E1869" s="1" t="s">
        <v>19</v>
      </c>
      <c r="F1869" s="1" t="s">
        <v>46</v>
      </c>
      <c r="G1869" s="1" t="s">
        <v>31</v>
      </c>
      <c r="H1869" s="2">
        <v>2851.0</v>
      </c>
      <c r="I1869" s="2">
        <v>4284.0</v>
      </c>
      <c r="J1869" s="1">
        <v>2010.0</v>
      </c>
      <c r="K1869" s="1">
        <v>3.0</v>
      </c>
      <c r="L1869" s="1" t="s">
        <v>32</v>
      </c>
      <c r="M1869" s="1" t="s">
        <v>7514</v>
      </c>
      <c r="N1869" s="1" t="s">
        <v>64</v>
      </c>
      <c r="O1869" s="1" t="s">
        <v>25</v>
      </c>
      <c r="P1869" s="1" t="s">
        <v>7515</v>
      </c>
    </row>
    <row r="1870" ht="14.25" customHeight="1">
      <c r="A1870" s="1" t="s">
        <v>7516</v>
      </c>
      <c r="B1870" s="1" t="s">
        <v>7517</v>
      </c>
      <c r="C1870" s="1" t="s">
        <v>18</v>
      </c>
      <c r="D1870" s="1">
        <v>64384.0</v>
      </c>
      <c r="E1870" s="1" t="s">
        <v>77</v>
      </c>
      <c r="F1870" s="1" t="s">
        <v>54</v>
      </c>
      <c r="G1870" s="1" t="s">
        <v>55</v>
      </c>
      <c r="H1870" s="2">
        <v>2570.0</v>
      </c>
      <c r="I1870" s="2">
        <v>8129.0</v>
      </c>
      <c r="J1870" s="1">
        <v>1978.0</v>
      </c>
      <c r="K1870" s="1">
        <v>107.0</v>
      </c>
      <c r="L1870" s="1" t="s">
        <v>22</v>
      </c>
      <c r="M1870" s="1" t="s">
        <v>7518</v>
      </c>
      <c r="N1870" s="1" t="s">
        <v>24</v>
      </c>
      <c r="O1870" s="1" t="s">
        <v>35</v>
      </c>
      <c r="P1870" s="1" t="s">
        <v>7519</v>
      </c>
    </row>
    <row r="1871" ht="14.25" customHeight="1">
      <c r="A1871" s="1" t="s">
        <v>7520</v>
      </c>
      <c r="B1871" s="1" t="s">
        <v>7521</v>
      </c>
      <c r="C1871" s="1" t="s">
        <v>76</v>
      </c>
      <c r="D1871" s="1">
        <v>57352.0</v>
      </c>
      <c r="E1871" s="1" t="s">
        <v>77</v>
      </c>
      <c r="F1871" s="1" t="s">
        <v>20</v>
      </c>
      <c r="G1871" s="1" t="s">
        <v>100</v>
      </c>
      <c r="H1871" s="2">
        <v>815.0</v>
      </c>
      <c r="I1871" s="2">
        <v>1114.0</v>
      </c>
      <c r="J1871" s="1">
        <v>2016.0</v>
      </c>
      <c r="K1871" s="1">
        <v>26.0</v>
      </c>
      <c r="L1871" s="1" t="s">
        <v>32</v>
      </c>
      <c r="M1871" s="1" t="s">
        <v>7522</v>
      </c>
      <c r="N1871" s="1" t="s">
        <v>24</v>
      </c>
      <c r="O1871" s="1" t="s">
        <v>35</v>
      </c>
      <c r="P1871" s="1" t="s">
        <v>7523</v>
      </c>
    </row>
    <row r="1872" ht="14.25" customHeight="1">
      <c r="A1872" s="1" t="s">
        <v>7524</v>
      </c>
      <c r="B1872" s="1" t="s">
        <v>7525</v>
      </c>
      <c r="C1872" s="1" t="s">
        <v>39</v>
      </c>
      <c r="D1872" s="1">
        <v>44660.0</v>
      </c>
      <c r="E1872" s="1" t="s">
        <v>60</v>
      </c>
      <c r="F1872" s="1" t="s">
        <v>54</v>
      </c>
      <c r="G1872" s="1" t="s">
        <v>31</v>
      </c>
      <c r="H1872" s="2">
        <v>3967.0</v>
      </c>
      <c r="I1872" s="2">
        <v>9785.0</v>
      </c>
      <c r="J1872" s="1">
        <v>2021.0</v>
      </c>
      <c r="K1872" s="1">
        <v>53.0</v>
      </c>
      <c r="L1872" s="1" t="s">
        <v>141</v>
      </c>
      <c r="M1872" s="1" t="s">
        <v>7526</v>
      </c>
      <c r="N1872" s="1" t="s">
        <v>43</v>
      </c>
      <c r="O1872" s="1" t="s">
        <v>35</v>
      </c>
      <c r="P1872" s="1" t="s">
        <v>7527</v>
      </c>
    </row>
    <row r="1873" ht="14.25" customHeight="1">
      <c r="A1873" s="1" t="s">
        <v>7528</v>
      </c>
      <c r="B1873" s="1" t="s">
        <v>7529</v>
      </c>
      <c r="C1873" s="1" t="s">
        <v>53</v>
      </c>
      <c r="D1873" s="1">
        <v>14871.0</v>
      </c>
      <c r="E1873" s="1" t="s">
        <v>19</v>
      </c>
      <c r="F1873" s="1" t="s">
        <v>61</v>
      </c>
      <c r="G1873" s="1" t="s">
        <v>31</v>
      </c>
      <c r="H1873" s="2">
        <v>2052.0</v>
      </c>
      <c r="I1873" s="2">
        <v>8704.0</v>
      </c>
      <c r="J1873" s="1">
        <v>1976.0</v>
      </c>
      <c r="K1873" s="1">
        <v>9.0</v>
      </c>
      <c r="L1873" s="1" t="s">
        <v>32</v>
      </c>
      <c r="M1873" s="1" t="s">
        <v>7530</v>
      </c>
      <c r="N1873" s="1" t="s">
        <v>24</v>
      </c>
      <c r="O1873" s="1" t="s">
        <v>49</v>
      </c>
      <c r="P1873" s="1" t="s">
        <v>7531</v>
      </c>
    </row>
    <row r="1874" ht="14.25" customHeight="1">
      <c r="A1874" s="1" t="s">
        <v>7532</v>
      </c>
      <c r="B1874" s="1" t="s">
        <v>7533</v>
      </c>
      <c r="C1874" s="1" t="s">
        <v>18</v>
      </c>
      <c r="D1874" s="1">
        <v>33243.0</v>
      </c>
      <c r="E1874" s="1" t="s">
        <v>30</v>
      </c>
      <c r="F1874" s="1" t="s">
        <v>20</v>
      </c>
      <c r="G1874" s="1" t="s">
        <v>31</v>
      </c>
      <c r="H1874" s="2">
        <v>1094.0</v>
      </c>
      <c r="I1874" s="2">
        <v>6376.0</v>
      </c>
      <c r="J1874" s="1">
        <v>1962.0</v>
      </c>
      <c r="K1874" s="1">
        <v>67.0</v>
      </c>
      <c r="L1874" s="1" t="s">
        <v>141</v>
      </c>
      <c r="M1874" s="1" t="s">
        <v>7534</v>
      </c>
      <c r="N1874" s="1" t="s">
        <v>24</v>
      </c>
      <c r="O1874" s="1" t="s">
        <v>49</v>
      </c>
      <c r="P1874" s="1" t="s">
        <v>7535</v>
      </c>
    </row>
    <row r="1875" ht="14.25" customHeight="1">
      <c r="A1875" s="1" t="s">
        <v>7536</v>
      </c>
      <c r="B1875" s="1" t="s">
        <v>7537</v>
      </c>
      <c r="C1875" s="1" t="s">
        <v>53</v>
      </c>
      <c r="D1875" s="1">
        <v>31199.0</v>
      </c>
      <c r="E1875" s="1" t="s">
        <v>77</v>
      </c>
      <c r="F1875" s="1" t="s">
        <v>54</v>
      </c>
      <c r="G1875" s="1" t="s">
        <v>100</v>
      </c>
      <c r="H1875" s="2">
        <v>1218.0</v>
      </c>
      <c r="I1875" s="2">
        <v>2965.0</v>
      </c>
      <c r="J1875" s="1">
        <v>1962.0</v>
      </c>
      <c r="K1875" s="1">
        <v>62.0</v>
      </c>
      <c r="L1875" s="1" t="s">
        <v>32</v>
      </c>
      <c r="M1875" s="1" t="s">
        <v>7538</v>
      </c>
      <c r="N1875" s="1" t="s">
        <v>43</v>
      </c>
      <c r="O1875" s="1" t="s">
        <v>49</v>
      </c>
      <c r="P1875" s="1" t="s">
        <v>7539</v>
      </c>
    </row>
    <row r="1876" ht="14.25" customHeight="1">
      <c r="A1876" s="1" t="s">
        <v>7540</v>
      </c>
      <c r="B1876" s="1" t="s">
        <v>7541</v>
      </c>
      <c r="C1876" s="1" t="s">
        <v>76</v>
      </c>
      <c r="D1876" s="1">
        <v>61889.0</v>
      </c>
      <c r="E1876" s="1" t="s">
        <v>30</v>
      </c>
      <c r="F1876" s="1" t="s">
        <v>54</v>
      </c>
      <c r="G1876" s="1" t="s">
        <v>55</v>
      </c>
      <c r="H1876" s="2">
        <v>1510.0</v>
      </c>
      <c r="I1876" s="2">
        <v>6197.0</v>
      </c>
      <c r="J1876" s="1">
        <v>2001.0</v>
      </c>
      <c r="K1876" s="1">
        <v>77.0</v>
      </c>
      <c r="L1876" s="1" t="s">
        <v>141</v>
      </c>
      <c r="M1876" s="1" t="s">
        <v>7542</v>
      </c>
      <c r="N1876" s="1" t="s">
        <v>24</v>
      </c>
      <c r="O1876" s="1" t="s">
        <v>35</v>
      </c>
      <c r="P1876" s="1" t="s">
        <v>7543</v>
      </c>
    </row>
    <row r="1877" ht="14.25" customHeight="1">
      <c r="A1877" s="1" t="s">
        <v>7544</v>
      </c>
      <c r="B1877" s="1" t="s">
        <v>7545</v>
      </c>
      <c r="C1877" s="1" t="s">
        <v>39</v>
      </c>
      <c r="D1877" s="1">
        <v>93475.0</v>
      </c>
      <c r="E1877" s="1" t="s">
        <v>60</v>
      </c>
      <c r="F1877" s="1" t="s">
        <v>94</v>
      </c>
      <c r="G1877" s="1" t="s">
        <v>31</v>
      </c>
      <c r="H1877" s="2">
        <v>1148.0</v>
      </c>
      <c r="I1877" s="2">
        <v>9249.0</v>
      </c>
      <c r="J1877" s="1">
        <v>2017.0</v>
      </c>
      <c r="K1877" s="1">
        <v>59.0</v>
      </c>
      <c r="L1877" s="1" t="s">
        <v>141</v>
      </c>
      <c r="M1877" s="1" t="s">
        <v>7546</v>
      </c>
      <c r="N1877" s="1" t="s">
        <v>43</v>
      </c>
      <c r="O1877" s="1" t="s">
        <v>25</v>
      </c>
      <c r="P1877" s="1" t="s">
        <v>7547</v>
      </c>
    </row>
    <row r="1878" ht="14.25" customHeight="1">
      <c r="A1878" s="1" t="s">
        <v>7548</v>
      </c>
      <c r="B1878" s="1" t="s">
        <v>7549</v>
      </c>
      <c r="C1878" s="1" t="s">
        <v>18</v>
      </c>
      <c r="D1878" s="1">
        <v>94949.0</v>
      </c>
      <c r="E1878" s="1" t="s">
        <v>30</v>
      </c>
      <c r="F1878" s="1" t="s">
        <v>46</v>
      </c>
      <c r="G1878" s="1" t="s">
        <v>100</v>
      </c>
      <c r="H1878" s="2">
        <v>3886.0</v>
      </c>
      <c r="I1878" s="2">
        <v>1489.0</v>
      </c>
      <c r="J1878" s="1">
        <v>1957.0</v>
      </c>
      <c r="K1878" s="1">
        <v>90.0</v>
      </c>
      <c r="L1878" s="1" t="s">
        <v>95</v>
      </c>
      <c r="M1878" s="1" t="s">
        <v>7550</v>
      </c>
      <c r="N1878" s="1" t="s">
        <v>24</v>
      </c>
      <c r="O1878" s="1" t="s">
        <v>49</v>
      </c>
      <c r="P1878" s="1" t="s">
        <v>7551</v>
      </c>
    </row>
    <row r="1879" ht="14.25" customHeight="1">
      <c r="A1879" s="1" t="s">
        <v>7552</v>
      </c>
      <c r="B1879" s="1" t="s">
        <v>7553</v>
      </c>
      <c r="C1879" s="1" t="s">
        <v>39</v>
      </c>
      <c r="D1879" s="1">
        <v>49155.0</v>
      </c>
      <c r="E1879" s="1" t="s">
        <v>19</v>
      </c>
      <c r="F1879" s="1" t="s">
        <v>61</v>
      </c>
      <c r="G1879" s="1" t="s">
        <v>55</v>
      </c>
      <c r="H1879" s="2">
        <v>3070.0</v>
      </c>
      <c r="I1879" s="2">
        <v>7268.0</v>
      </c>
      <c r="J1879" s="1">
        <v>1957.0</v>
      </c>
      <c r="K1879" s="1">
        <v>11.0</v>
      </c>
      <c r="L1879" s="1" t="s">
        <v>22</v>
      </c>
      <c r="M1879" s="1" t="s">
        <v>7554</v>
      </c>
      <c r="N1879" s="1" t="s">
        <v>34</v>
      </c>
      <c r="O1879" s="1" t="s">
        <v>25</v>
      </c>
      <c r="P1879" s="1" t="s">
        <v>7555</v>
      </c>
    </row>
    <row r="1880" ht="14.25" customHeight="1">
      <c r="A1880" s="1" t="s">
        <v>7556</v>
      </c>
      <c r="B1880" s="1" t="s">
        <v>7557</v>
      </c>
      <c r="C1880" s="1" t="s">
        <v>18</v>
      </c>
      <c r="D1880" s="1">
        <v>17898.0</v>
      </c>
      <c r="E1880" s="1" t="s">
        <v>19</v>
      </c>
      <c r="F1880" s="1" t="s">
        <v>54</v>
      </c>
      <c r="G1880" s="1" t="s">
        <v>55</v>
      </c>
      <c r="H1880" s="2">
        <v>1961.0</v>
      </c>
      <c r="I1880" s="2">
        <v>9625.0</v>
      </c>
      <c r="J1880" s="1">
        <v>1969.0</v>
      </c>
      <c r="K1880" s="1">
        <v>45.0</v>
      </c>
      <c r="L1880" s="1" t="s">
        <v>62</v>
      </c>
      <c r="M1880" s="1" t="s">
        <v>7558</v>
      </c>
      <c r="N1880" s="1" t="s">
        <v>48</v>
      </c>
      <c r="O1880" s="1" t="s">
        <v>49</v>
      </c>
      <c r="P1880" s="1" t="s">
        <v>7559</v>
      </c>
    </row>
    <row r="1881" ht="14.25" customHeight="1">
      <c r="A1881" s="1" t="s">
        <v>7560</v>
      </c>
      <c r="B1881" s="1" t="s">
        <v>7561</v>
      </c>
      <c r="C1881" s="1" t="s">
        <v>76</v>
      </c>
      <c r="D1881" s="1">
        <v>85654.0</v>
      </c>
      <c r="E1881" s="1" t="s">
        <v>30</v>
      </c>
      <c r="F1881" s="1" t="s">
        <v>54</v>
      </c>
      <c r="G1881" s="1" t="s">
        <v>100</v>
      </c>
      <c r="H1881" s="2">
        <v>815.0</v>
      </c>
      <c r="I1881" s="2">
        <v>7925.0</v>
      </c>
      <c r="J1881" s="1">
        <v>2017.0</v>
      </c>
      <c r="K1881" s="1">
        <v>39.0</v>
      </c>
      <c r="L1881" s="1" t="s">
        <v>32</v>
      </c>
      <c r="M1881" s="1" t="s">
        <v>7562</v>
      </c>
      <c r="N1881" s="1" t="s">
        <v>64</v>
      </c>
      <c r="O1881" s="1" t="s">
        <v>35</v>
      </c>
      <c r="P1881" s="1" t="s">
        <v>7563</v>
      </c>
    </row>
    <row r="1882" ht="14.25" customHeight="1">
      <c r="A1882" s="1" t="s">
        <v>7564</v>
      </c>
      <c r="B1882" s="1" t="s">
        <v>7565</v>
      </c>
      <c r="C1882" s="1" t="s">
        <v>76</v>
      </c>
      <c r="D1882" s="1">
        <v>22485.0</v>
      </c>
      <c r="E1882" s="1" t="s">
        <v>77</v>
      </c>
      <c r="F1882" s="1" t="s">
        <v>61</v>
      </c>
      <c r="G1882" s="1" t="s">
        <v>31</v>
      </c>
      <c r="H1882" s="2">
        <v>1655.0</v>
      </c>
      <c r="I1882" s="2">
        <v>1278.0</v>
      </c>
      <c r="J1882" s="1">
        <v>1950.0</v>
      </c>
      <c r="K1882" s="1">
        <v>45.0</v>
      </c>
      <c r="L1882" s="1" t="s">
        <v>141</v>
      </c>
      <c r="M1882" s="1" t="s">
        <v>7566</v>
      </c>
      <c r="N1882" s="1" t="s">
        <v>64</v>
      </c>
      <c r="O1882" s="1" t="s">
        <v>49</v>
      </c>
      <c r="P1882" s="1" t="s">
        <v>7567</v>
      </c>
    </row>
    <row r="1883" ht="14.25" customHeight="1">
      <c r="A1883" s="1" t="s">
        <v>7568</v>
      </c>
      <c r="B1883" s="1" t="s">
        <v>7569</v>
      </c>
      <c r="C1883" s="1" t="s">
        <v>39</v>
      </c>
      <c r="D1883" s="1">
        <v>77190.0</v>
      </c>
      <c r="E1883" s="1" t="s">
        <v>40</v>
      </c>
      <c r="F1883" s="1" t="s">
        <v>41</v>
      </c>
      <c r="G1883" s="1" t="s">
        <v>31</v>
      </c>
      <c r="H1883" s="2">
        <v>745.0</v>
      </c>
      <c r="I1883" s="2">
        <v>3375.0</v>
      </c>
      <c r="J1883" s="1">
        <v>1979.0</v>
      </c>
      <c r="K1883" s="1">
        <v>65.0</v>
      </c>
      <c r="L1883" s="1" t="s">
        <v>95</v>
      </c>
      <c r="M1883" s="1" t="s">
        <v>7570</v>
      </c>
      <c r="N1883" s="1" t="s">
        <v>24</v>
      </c>
      <c r="O1883" s="1" t="s">
        <v>49</v>
      </c>
      <c r="P1883" s="1" t="s">
        <v>7571</v>
      </c>
    </row>
    <row r="1884" ht="14.25" customHeight="1">
      <c r="A1884" s="1" t="s">
        <v>7572</v>
      </c>
      <c r="B1884" s="1" t="s">
        <v>7573</v>
      </c>
      <c r="C1884" s="1" t="s">
        <v>39</v>
      </c>
      <c r="D1884" s="1">
        <v>74608.0</v>
      </c>
      <c r="E1884" s="1" t="s">
        <v>30</v>
      </c>
      <c r="F1884" s="1" t="s">
        <v>61</v>
      </c>
      <c r="G1884" s="1" t="s">
        <v>21</v>
      </c>
      <c r="H1884" s="2">
        <v>3177.0</v>
      </c>
      <c r="I1884" s="2">
        <v>5099.0</v>
      </c>
      <c r="J1884" s="1">
        <v>1995.0</v>
      </c>
      <c r="K1884" s="1">
        <v>24.0</v>
      </c>
      <c r="L1884" s="1" t="s">
        <v>32</v>
      </c>
      <c r="M1884" s="1" t="s">
        <v>7574</v>
      </c>
      <c r="N1884" s="1" t="s">
        <v>24</v>
      </c>
      <c r="O1884" s="1" t="s">
        <v>25</v>
      </c>
      <c r="P1884" s="1" t="s">
        <v>7575</v>
      </c>
    </row>
    <row r="1885" ht="14.25" customHeight="1">
      <c r="A1885" s="1" t="s">
        <v>7576</v>
      </c>
      <c r="B1885" s="1" t="s">
        <v>7577</v>
      </c>
      <c r="C1885" s="1" t="s">
        <v>76</v>
      </c>
      <c r="D1885" s="1">
        <v>85430.0</v>
      </c>
      <c r="E1885" s="1" t="s">
        <v>40</v>
      </c>
      <c r="F1885" s="1" t="s">
        <v>41</v>
      </c>
      <c r="G1885" s="1" t="s">
        <v>100</v>
      </c>
      <c r="H1885" s="2">
        <v>2722.0</v>
      </c>
      <c r="I1885" s="2">
        <v>1438.0</v>
      </c>
      <c r="J1885" s="1">
        <v>2015.0</v>
      </c>
      <c r="K1885" s="1">
        <v>25.0</v>
      </c>
      <c r="L1885" s="1" t="s">
        <v>22</v>
      </c>
      <c r="M1885" s="1" t="s">
        <v>7578</v>
      </c>
      <c r="N1885" s="1" t="s">
        <v>24</v>
      </c>
      <c r="O1885" s="1" t="s">
        <v>35</v>
      </c>
      <c r="P1885" s="1" t="s">
        <v>7579</v>
      </c>
    </row>
    <row r="1886" ht="14.25" customHeight="1">
      <c r="A1886" s="1" t="s">
        <v>7580</v>
      </c>
      <c r="B1886" s="1" t="s">
        <v>7581</v>
      </c>
      <c r="C1886" s="1" t="s">
        <v>18</v>
      </c>
      <c r="D1886" s="1">
        <v>75915.0</v>
      </c>
      <c r="E1886" s="1" t="s">
        <v>19</v>
      </c>
      <c r="F1886" s="1" t="s">
        <v>54</v>
      </c>
      <c r="G1886" s="1" t="s">
        <v>100</v>
      </c>
      <c r="H1886" s="2">
        <v>3097.0</v>
      </c>
      <c r="I1886" s="2">
        <v>3307.0</v>
      </c>
      <c r="J1886" s="1">
        <v>2013.0</v>
      </c>
      <c r="K1886" s="1">
        <v>14.0</v>
      </c>
      <c r="L1886" s="1" t="s">
        <v>95</v>
      </c>
      <c r="M1886" s="1" t="s">
        <v>7582</v>
      </c>
      <c r="N1886" s="1" t="s">
        <v>43</v>
      </c>
      <c r="O1886" s="1" t="s">
        <v>35</v>
      </c>
      <c r="P1886" s="1" t="s">
        <v>7583</v>
      </c>
    </row>
    <row r="1887" ht="14.25" customHeight="1">
      <c r="A1887" s="1" t="s">
        <v>7584</v>
      </c>
      <c r="B1887" s="1" t="s">
        <v>7585</v>
      </c>
      <c r="C1887" s="1" t="s">
        <v>39</v>
      </c>
      <c r="D1887" s="1">
        <v>24761.0</v>
      </c>
      <c r="E1887" s="1" t="s">
        <v>19</v>
      </c>
      <c r="F1887" s="1" t="s">
        <v>20</v>
      </c>
      <c r="G1887" s="1" t="s">
        <v>100</v>
      </c>
      <c r="H1887" s="2">
        <v>2731.0</v>
      </c>
      <c r="I1887" s="2">
        <v>3353.0</v>
      </c>
      <c r="J1887" s="1">
        <v>1968.0</v>
      </c>
      <c r="K1887" s="1">
        <v>88.0</v>
      </c>
      <c r="L1887" s="1" t="s">
        <v>62</v>
      </c>
      <c r="M1887" s="1" t="s">
        <v>7586</v>
      </c>
      <c r="N1887" s="1" t="s">
        <v>43</v>
      </c>
      <c r="O1887" s="1" t="s">
        <v>35</v>
      </c>
      <c r="P1887" s="1" t="s">
        <v>7587</v>
      </c>
    </row>
    <row r="1888" ht="14.25" customHeight="1">
      <c r="A1888" s="1" t="s">
        <v>7588</v>
      </c>
      <c r="B1888" s="1" t="s">
        <v>7589</v>
      </c>
      <c r="C1888" s="1" t="s">
        <v>18</v>
      </c>
      <c r="D1888" s="1">
        <v>72503.0</v>
      </c>
      <c r="E1888" s="1" t="s">
        <v>77</v>
      </c>
      <c r="F1888" s="1" t="s">
        <v>54</v>
      </c>
      <c r="G1888" s="1" t="s">
        <v>31</v>
      </c>
      <c r="H1888" s="2">
        <v>2913.0</v>
      </c>
      <c r="I1888" s="2">
        <v>5963.0</v>
      </c>
      <c r="J1888" s="1">
        <v>1967.0</v>
      </c>
      <c r="K1888" s="1">
        <v>32.0</v>
      </c>
      <c r="L1888" s="1" t="s">
        <v>95</v>
      </c>
      <c r="M1888" s="1" t="s">
        <v>7590</v>
      </c>
      <c r="N1888" s="1" t="s">
        <v>64</v>
      </c>
      <c r="O1888" s="1" t="s">
        <v>25</v>
      </c>
      <c r="P1888" s="1" t="s">
        <v>7591</v>
      </c>
    </row>
    <row r="1889" ht="14.25" customHeight="1">
      <c r="A1889" s="1" t="s">
        <v>7592</v>
      </c>
      <c r="B1889" s="1" t="s">
        <v>7593</v>
      </c>
      <c r="C1889" s="1" t="s">
        <v>18</v>
      </c>
      <c r="D1889" s="1">
        <v>95615.0</v>
      </c>
      <c r="E1889" s="1" t="s">
        <v>60</v>
      </c>
      <c r="F1889" s="1" t="s">
        <v>20</v>
      </c>
      <c r="G1889" s="1" t="s">
        <v>21</v>
      </c>
      <c r="H1889" s="2">
        <v>1083.0</v>
      </c>
      <c r="I1889" s="2">
        <v>6836.0</v>
      </c>
      <c r="J1889" s="1">
        <v>2000.0</v>
      </c>
      <c r="K1889" s="1">
        <v>74.0</v>
      </c>
      <c r="L1889" s="1" t="s">
        <v>32</v>
      </c>
      <c r="M1889" s="1" t="s">
        <v>7594</v>
      </c>
      <c r="N1889" s="1" t="s">
        <v>24</v>
      </c>
      <c r="O1889" s="1" t="s">
        <v>49</v>
      </c>
      <c r="P1889" s="1" t="s">
        <v>7595</v>
      </c>
    </row>
    <row r="1890" ht="14.25" customHeight="1">
      <c r="A1890" s="1" t="s">
        <v>7596</v>
      </c>
      <c r="B1890" s="1" t="s">
        <v>7597</v>
      </c>
      <c r="C1890" s="1" t="s">
        <v>29</v>
      </c>
      <c r="D1890" s="1">
        <v>58601.0</v>
      </c>
      <c r="E1890" s="1" t="s">
        <v>40</v>
      </c>
      <c r="F1890" s="1" t="s">
        <v>61</v>
      </c>
      <c r="G1890" s="1" t="s">
        <v>21</v>
      </c>
      <c r="H1890" s="2">
        <v>1228.0</v>
      </c>
      <c r="I1890" s="2">
        <v>1347.0</v>
      </c>
      <c r="J1890" s="1">
        <v>2004.0</v>
      </c>
      <c r="K1890" s="1">
        <v>69.0</v>
      </c>
      <c r="L1890" s="1" t="s">
        <v>141</v>
      </c>
      <c r="M1890" s="1" t="s">
        <v>7598</v>
      </c>
      <c r="N1890" s="1" t="s">
        <v>24</v>
      </c>
      <c r="O1890" s="1" t="s">
        <v>35</v>
      </c>
      <c r="P1890" s="1" t="s">
        <v>7599</v>
      </c>
    </row>
    <row r="1891" ht="14.25" customHeight="1">
      <c r="A1891" s="1" t="s">
        <v>7600</v>
      </c>
      <c r="B1891" s="1" t="s">
        <v>7601</v>
      </c>
      <c r="C1891" s="1" t="s">
        <v>18</v>
      </c>
      <c r="D1891" s="1">
        <v>25297.0</v>
      </c>
      <c r="E1891" s="1" t="s">
        <v>40</v>
      </c>
      <c r="F1891" s="1" t="s">
        <v>41</v>
      </c>
      <c r="G1891" s="1" t="s">
        <v>31</v>
      </c>
      <c r="H1891" s="2">
        <v>1532.0</v>
      </c>
      <c r="I1891" s="2">
        <v>3781.0</v>
      </c>
      <c r="J1891" s="1">
        <v>1992.0</v>
      </c>
      <c r="K1891" s="1">
        <v>4.0</v>
      </c>
      <c r="L1891" s="1" t="s">
        <v>62</v>
      </c>
      <c r="M1891" s="1" t="s">
        <v>7602</v>
      </c>
      <c r="N1891" s="1" t="s">
        <v>24</v>
      </c>
      <c r="O1891" s="1" t="s">
        <v>35</v>
      </c>
      <c r="P1891" s="1" t="s">
        <v>7603</v>
      </c>
    </row>
    <row r="1892" ht="14.25" customHeight="1">
      <c r="A1892" s="1" t="s">
        <v>7604</v>
      </c>
      <c r="B1892" s="1" t="s">
        <v>7605</v>
      </c>
      <c r="C1892" s="1" t="s">
        <v>29</v>
      </c>
      <c r="D1892" s="1">
        <v>49968.0</v>
      </c>
      <c r="E1892" s="1" t="s">
        <v>19</v>
      </c>
      <c r="F1892" s="1" t="s">
        <v>54</v>
      </c>
      <c r="G1892" s="1" t="s">
        <v>55</v>
      </c>
      <c r="H1892" s="2">
        <v>3216.0</v>
      </c>
      <c r="I1892" s="2">
        <v>4235.0</v>
      </c>
      <c r="J1892" s="1">
        <v>2009.0</v>
      </c>
      <c r="K1892" s="1">
        <v>20.0</v>
      </c>
      <c r="L1892" s="1" t="s">
        <v>95</v>
      </c>
      <c r="M1892" s="1" t="s">
        <v>7606</v>
      </c>
      <c r="N1892" s="1" t="s">
        <v>48</v>
      </c>
      <c r="O1892" s="1" t="s">
        <v>35</v>
      </c>
      <c r="P1892" s="1" t="s">
        <v>7607</v>
      </c>
    </row>
    <row r="1893" ht="14.25" customHeight="1">
      <c r="A1893" s="1" t="s">
        <v>7608</v>
      </c>
      <c r="B1893" s="1" t="s">
        <v>7609</v>
      </c>
      <c r="C1893" s="1" t="s">
        <v>39</v>
      </c>
      <c r="D1893" s="1">
        <v>25867.0</v>
      </c>
      <c r="E1893" s="1" t="s">
        <v>77</v>
      </c>
      <c r="F1893" s="1" t="s">
        <v>61</v>
      </c>
      <c r="G1893" s="1" t="s">
        <v>31</v>
      </c>
      <c r="H1893" s="2">
        <v>2870.0</v>
      </c>
      <c r="I1893" s="2">
        <v>6069.0</v>
      </c>
      <c r="J1893" s="1">
        <v>2008.0</v>
      </c>
      <c r="K1893" s="1">
        <v>118.0</v>
      </c>
      <c r="L1893" s="1" t="s">
        <v>141</v>
      </c>
      <c r="M1893" s="1" t="s">
        <v>7610</v>
      </c>
      <c r="N1893" s="1" t="s">
        <v>64</v>
      </c>
      <c r="O1893" s="1" t="s">
        <v>25</v>
      </c>
      <c r="P1893" s="1" t="s">
        <v>7611</v>
      </c>
    </row>
    <row r="1894" ht="14.25" customHeight="1">
      <c r="A1894" s="1" t="s">
        <v>7612</v>
      </c>
      <c r="B1894" s="1" t="s">
        <v>7613</v>
      </c>
      <c r="C1894" s="1" t="s">
        <v>18</v>
      </c>
      <c r="D1894" s="1">
        <v>79585.0</v>
      </c>
      <c r="E1894" s="1" t="s">
        <v>30</v>
      </c>
      <c r="F1894" s="1" t="s">
        <v>20</v>
      </c>
      <c r="G1894" s="1" t="s">
        <v>31</v>
      </c>
      <c r="H1894" s="2">
        <v>1753.0</v>
      </c>
      <c r="I1894" s="2">
        <v>4728.0</v>
      </c>
      <c r="J1894" s="1">
        <v>1954.0</v>
      </c>
      <c r="K1894" s="1">
        <v>2.0</v>
      </c>
      <c r="L1894" s="1" t="s">
        <v>62</v>
      </c>
      <c r="M1894" s="1" t="s">
        <v>7614</v>
      </c>
      <c r="N1894" s="1" t="s">
        <v>24</v>
      </c>
      <c r="O1894" s="1" t="s">
        <v>49</v>
      </c>
      <c r="P1894" s="1" t="s">
        <v>7615</v>
      </c>
    </row>
    <row r="1895" ht="14.25" customHeight="1">
      <c r="A1895" s="1" t="s">
        <v>7616</v>
      </c>
      <c r="B1895" s="1" t="s">
        <v>7617</v>
      </c>
      <c r="C1895" s="1" t="s">
        <v>29</v>
      </c>
      <c r="D1895" s="1">
        <v>41583.0</v>
      </c>
      <c r="E1895" s="1" t="s">
        <v>60</v>
      </c>
      <c r="F1895" s="1" t="s">
        <v>46</v>
      </c>
      <c r="G1895" s="1" t="s">
        <v>31</v>
      </c>
      <c r="H1895" s="2">
        <v>884.0</v>
      </c>
      <c r="I1895" s="2">
        <v>4582.0</v>
      </c>
      <c r="J1895" s="1">
        <v>1953.0</v>
      </c>
      <c r="K1895" s="1">
        <v>12.0</v>
      </c>
      <c r="L1895" s="1" t="s">
        <v>22</v>
      </c>
      <c r="M1895" s="1" t="s">
        <v>7618</v>
      </c>
      <c r="N1895" s="1" t="s">
        <v>34</v>
      </c>
      <c r="O1895" s="1" t="s">
        <v>35</v>
      </c>
      <c r="P1895" s="1" t="s">
        <v>7619</v>
      </c>
    </row>
    <row r="1896" ht="14.25" customHeight="1">
      <c r="A1896" s="1" t="s">
        <v>7620</v>
      </c>
      <c r="B1896" s="1" t="s">
        <v>7621</v>
      </c>
      <c r="C1896" s="1" t="s">
        <v>29</v>
      </c>
      <c r="D1896" s="1">
        <v>17167.0</v>
      </c>
      <c r="E1896" s="1" t="s">
        <v>30</v>
      </c>
      <c r="F1896" s="1" t="s">
        <v>41</v>
      </c>
      <c r="G1896" s="1" t="s">
        <v>55</v>
      </c>
      <c r="H1896" s="2">
        <v>3143.0</v>
      </c>
      <c r="I1896" s="2">
        <v>1460.0</v>
      </c>
      <c r="J1896" s="1">
        <v>2017.0</v>
      </c>
      <c r="K1896" s="1">
        <v>56.0</v>
      </c>
      <c r="L1896" s="1" t="s">
        <v>32</v>
      </c>
      <c r="M1896" s="1" t="s">
        <v>7622</v>
      </c>
      <c r="N1896" s="1" t="s">
        <v>34</v>
      </c>
      <c r="O1896" s="1" t="s">
        <v>49</v>
      </c>
      <c r="P1896" s="1" t="s">
        <v>7623</v>
      </c>
    </row>
    <row r="1897" ht="14.25" customHeight="1">
      <c r="A1897" s="1" t="s">
        <v>7624</v>
      </c>
      <c r="B1897" s="1" t="s">
        <v>7625</v>
      </c>
      <c r="C1897" s="1" t="s">
        <v>76</v>
      </c>
      <c r="D1897" s="1">
        <v>64492.0</v>
      </c>
      <c r="E1897" s="1" t="s">
        <v>60</v>
      </c>
      <c r="F1897" s="1" t="s">
        <v>46</v>
      </c>
      <c r="G1897" s="1" t="s">
        <v>100</v>
      </c>
      <c r="H1897" s="2">
        <v>2400.0</v>
      </c>
      <c r="I1897" s="2">
        <v>8907.0</v>
      </c>
      <c r="J1897" s="1">
        <v>2013.0</v>
      </c>
      <c r="K1897" s="1">
        <v>107.0</v>
      </c>
      <c r="L1897" s="1" t="s">
        <v>22</v>
      </c>
      <c r="M1897" s="1" t="s">
        <v>7626</v>
      </c>
      <c r="N1897" s="1" t="s">
        <v>64</v>
      </c>
      <c r="O1897" s="1" t="s">
        <v>35</v>
      </c>
      <c r="P1897" s="1" t="s">
        <v>7627</v>
      </c>
    </row>
    <row r="1898" ht="14.25" customHeight="1">
      <c r="A1898" s="1" t="s">
        <v>7628</v>
      </c>
      <c r="B1898" s="1" t="s">
        <v>7629</v>
      </c>
      <c r="C1898" s="1" t="s">
        <v>29</v>
      </c>
      <c r="D1898" s="1">
        <v>16887.0</v>
      </c>
      <c r="E1898" s="1" t="s">
        <v>30</v>
      </c>
      <c r="F1898" s="1" t="s">
        <v>41</v>
      </c>
      <c r="G1898" s="1" t="s">
        <v>31</v>
      </c>
      <c r="H1898" s="2">
        <v>3140.0</v>
      </c>
      <c r="I1898" s="2">
        <v>5712.0</v>
      </c>
      <c r="J1898" s="1">
        <v>1958.0</v>
      </c>
      <c r="K1898" s="1">
        <v>104.0</v>
      </c>
      <c r="L1898" s="1" t="s">
        <v>62</v>
      </c>
      <c r="M1898" s="1" t="s">
        <v>7630</v>
      </c>
      <c r="N1898" s="1" t="s">
        <v>34</v>
      </c>
      <c r="O1898" s="1" t="s">
        <v>49</v>
      </c>
      <c r="P1898" s="1" t="s">
        <v>7631</v>
      </c>
    </row>
    <row r="1899" ht="14.25" customHeight="1">
      <c r="A1899" s="1" t="s">
        <v>7632</v>
      </c>
      <c r="B1899" s="1" t="s">
        <v>7633</v>
      </c>
      <c r="C1899" s="1" t="s">
        <v>76</v>
      </c>
      <c r="D1899" s="1">
        <v>90874.0</v>
      </c>
      <c r="E1899" s="1" t="s">
        <v>19</v>
      </c>
      <c r="F1899" s="1" t="s">
        <v>20</v>
      </c>
      <c r="G1899" s="1" t="s">
        <v>31</v>
      </c>
      <c r="H1899" s="2">
        <v>3716.0</v>
      </c>
      <c r="I1899" s="2">
        <v>1379.0</v>
      </c>
      <c r="J1899" s="1">
        <v>2003.0</v>
      </c>
      <c r="K1899" s="1">
        <v>117.0</v>
      </c>
      <c r="L1899" s="1" t="s">
        <v>32</v>
      </c>
      <c r="M1899" s="1" t="s">
        <v>7634</v>
      </c>
      <c r="N1899" s="1" t="s">
        <v>34</v>
      </c>
      <c r="O1899" s="1" t="s">
        <v>35</v>
      </c>
      <c r="P1899" s="1" t="s">
        <v>7635</v>
      </c>
    </row>
    <row r="1900" ht="14.25" customHeight="1">
      <c r="A1900" s="1" t="s">
        <v>7636</v>
      </c>
      <c r="B1900" s="1" t="s">
        <v>7637</v>
      </c>
      <c r="C1900" s="1" t="s">
        <v>29</v>
      </c>
      <c r="D1900" s="1">
        <v>53066.0</v>
      </c>
      <c r="E1900" s="1" t="s">
        <v>19</v>
      </c>
      <c r="F1900" s="1" t="s">
        <v>94</v>
      </c>
      <c r="G1900" s="1" t="s">
        <v>21</v>
      </c>
      <c r="H1900" s="2">
        <v>1244.0</v>
      </c>
      <c r="I1900" s="2">
        <v>3586.0</v>
      </c>
      <c r="J1900" s="1">
        <v>2022.0</v>
      </c>
      <c r="K1900" s="1">
        <v>72.0</v>
      </c>
      <c r="L1900" s="1" t="s">
        <v>32</v>
      </c>
      <c r="M1900" s="1" t="s">
        <v>7638</v>
      </c>
      <c r="N1900" s="1" t="s">
        <v>48</v>
      </c>
      <c r="O1900" s="1" t="s">
        <v>35</v>
      </c>
      <c r="P1900" s="1" t="s">
        <v>7639</v>
      </c>
    </row>
    <row r="1901" ht="14.25" customHeight="1">
      <c r="A1901" s="1" t="s">
        <v>7640</v>
      </c>
      <c r="B1901" s="1" t="s">
        <v>7641</v>
      </c>
      <c r="C1901" s="1" t="s">
        <v>18</v>
      </c>
      <c r="D1901" s="1">
        <v>28138.0</v>
      </c>
      <c r="E1901" s="1" t="s">
        <v>30</v>
      </c>
      <c r="F1901" s="1" t="s">
        <v>41</v>
      </c>
      <c r="G1901" s="1" t="s">
        <v>21</v>
      </c>
      <c r="H1901" s="2">
        <v>3079.0</v>
      </c>
      <c r="I1901" s="2">
        <v>5682.0</v>
      </c>
      <c r="J1901" s="1">
        <v>2005.0</v>
      </c>
      <c r="K1901" s="1">
        <v>41.0</v>
      </c>
      <c r="L1901" s="1" t="s">
        <v>32</v>
      </c>
      <c r="M1901" s="1" t="s">
        <v>7642</v>
      </c>
      <c r="N1901" s="1" t="s">
        <v>48</v>
      </c>
      <c r="O1901" s="1" t="s">
        <v>35</v>
      </c>
      <c r="P1901" s="1" t="s">
        <v>7643</v>
      </c>
    </row>
    <row r="1902" ht="14.25" customHeight="1">
      <c r="A1902" s="1" t="s">
        <v>7644</v>
      </c>
      <c r="B1902" s="1" t="s">
        <v>7645</v>
      </c>
      <c r="C1902" s="1" t="s">
        <v>53</v>
      </c>
      <c r="D1902" s="1">
        <v>21056.0</v>
      </c>
      <c r="E1902" s="1" t="s">
        <v>77</v>
      </c>
      <c r="F1902" s="1" t="s">
        <v>41</v>
      </c>
      <c r="G1902" s="1" t="s">
        <v>31</v>
      </c>
      <c r="H1902" s="2">
        <v>1380.0</v>
      </c>
      <c r="I1902" s="2">
        <v>5869.0</v>
      </c>
      <c r="J1902" s="1">
        <v>1996.0</v>
      </c>
      <c r="K1902" s="1">
        <v>31.0</v>
      </c>
      <c r="L1902" s="1" t="s">
        <v>22</v>
      </c>
      <c r="M1902" s="1" t="s">
        <v>7646</v>
      </c>
      <c r="N1902" s="1" t="s">
        <v>64</v>
      </c>
      <c r="O1902" s="1" t="s">
        <v>35</v>
      </c>
      <c r="P1902" s="1" t="s">
        <v>7647</v>
      </c>
    </row>
    <row r="1903" ht="14.25" customHeight="1">
      <c r="A1903" s="1" t="s">
        <v>7648</v>
      </c>
      <c r="B1903" s="1" t="s">
        <v>7649</v>
      </c>
      <c r="C1903" s="1" t="s">
        <v>39</v>
      </c>
      <c r="D1903" s="1">
        <v>70372.0</v>
      </c>
      <c r="E1903" s="1" t="s">
        <v>77</v>
      </c>
      <c r="F1903" s="1" t="s">
        <v>94</v>
      </c>
      <c r="G1903" s="1" t="s">
        <v>21</v>
      </c>
      <c r="H1903" s="2">
        <v>3154.0</v>
      </c>
      <c r="I1903" s="2">
        <v>8288.0</v>
      </c>
      <c r="J1903" s="1">
        <v>1999.0</v>
      </c>
      <c r="K1903" s="1">
        <v>118.0</v>
      </c>
      <c r="L1903" s="1" t="s">
        <v>95</v>
      </c>
      <c r="M1903" s="1" t="s">
        <v>7650</v>
      </c>
      <c r="N1903" s="1" t="s">
        <v>34</v>
      </c>
      <c r="O1903" s="1" t="s">
        <v>25</v>
      </c>
      <c r="P1903" s="1" t="s">
        <v>7651</v>
      </c>
    </row>
    <row r="1904" ht="14.25" customHeight="1">
      <c r="A1904" s="1" t="s">
        <v>7652</v>
      </c>
      <c r="B1904" s="1" t="s">
        <v>7653</v>
      </c>
      <c r="C1904" s="1" t="s">
        <v>76</v>
      </c>
      <c r="D1904" s="1">
        <v>57003.0</v>
      </c>
      <c r="E1904" s="1" t="s">
        <v>77</v>
      </c>
      <c r="F1904" s="1" t="s">
        <v>61</v>
      </c>
      <c r="G1904" s="1" t="s">
        <v>55</v>
      </c>
      <c r="H1904" s="2">
        <v>2370.0</v>
      </c>
      <c r="I1904" s="2">
        <v>7058.0</v>
      </c>
      <c r="J1904" s="1">
        <v>2010.0</v>
      </c>
      <c r="K1904" s="1">
        <v>59.0</v>
      </c>
      <c r="L1904" s="1" t="s">
        <v>62</v>
      </c>
      <c r="M1904" s="1" t="s">
        <v>7654</v>
      </c>
      <c r="N1904" s="1" t="s">
        <v>48</v>
      </c>
      <c r="O1904" s="1" t="s">
        <v>35</v>
      </c>
      <c r="P1904" s="1" t="s">
        <v>7655</v>
      </c>
    </row>
    <row r="1905" ht="14.25" customHeight="1">
      <c r="A1905" s="1" t="s">
        <v>7656</v>
      </c>
      <c r="B1905" s="1" t="s">
        <v>7657</v>
      </c>
      <c r="C1905" s="1" t="s">
        <v>53</v>
      </c>
      <c r="D1905" s="1">
        <v>34275.0</v>
      </c>
      <c r="E1905" s="1" t="s">
        <v>77</v>
      </c>
      <c r="F1905" s="1" t="s">
        <v>54</v>
      </c>
      <c r="G1905" s="1" t="s">
        <v>100</v>
      </c>
      <c r="H1905" s="2">
        <v>3946.0</v>
      </c>
      <c r="I1905" s="2">
        <v>4938.0</v>
      </c>
      <c r="J1905" s="1">
        <v>2010.0</v>
      </c>
      <c r="K1905" s="1">
        <v>88.0</v>
      </c>
      <c r="L1905" s="1" t="s">
        <v>95</v>
      </c>
      <c r="M1905" s="1" t="s">
        <v>7658</v>
      </c>
      <c r="N1905" s="1" t="s">
        <v>24</v>
      </c>
      <c r="O1905" s="1" t="s">
        <v>35</v>
      </c>
      <c r="P1905" s="1" t="s">
        <v>7659</v>
      </c>
    </row>
    <row r="1906" ht="14.25" customHeight="1">
      <c r="A1906" s="1" t="s">
        <v>7660</v>
      </c>
      <c r="B1906" s="1" t="s">
        <v>7661</v>
      </c>
      <c r="C1906" s="1" t="s">
        <v>18</v>
      </c>
      <c r="D1906" s="1">
        <v>69070.0</v>
      </c>
      <c r="E1906" s="1" t="s">
        <v>77</v>
      </c>
      <c r="F1906" s="1" t="s">
        <v>20</v>
      </c>
      <c r="G1906" s="1" t="s">
        <v>21</v>
      </c>
      <c r="H1906" s="2">
        <v>3188.0</v>
      </c>
      <c r="I1906" s="2">
        <v>1006.0</v>
      </c>
      <c r="J1906" s="1">
        <v>1990.0</v>
      </c>
      <c r="K1906" s="1">
        <v>91.0</v>
      </c>
      <c r="L1906" s="1" t="s">
        <v>95</v>
      </c>
      <c r="M1906" s="1" t="s">
        <v>7662</v>
      </c>
      <c r="N1906" s="1" t="s">
        <v>24</v>
      </c>
      <c r="O1906" s="1" t="s">
        <v>49</v>
      </c>
      <c r="P1906" s="1" t="s">
        <v>7663</v>
      </c>
    </row>
    <row r="1907" ht="14.25" customHeight="1">
      <c r="A1907" s="1" t="s">
        <v>7664</v>
      </c>
      <c r="B1907" s="1" t="s">
        <v>7665</v>
      </c>
      <c r="C1907" s="1" t="s">
        <v>29</v>
      </c>
      <c r="D1907" s="1">
        <v>52305.0</v>
      </c>
      <c r="E1907" s="1" t="s">
        <v>19</v>
      </c>
      <c r="F1907" s="1" t="s">
        <v>94</v>
      </c>
      <c r="G1907" s="1" t="s">
        <v>21</v>
      </c>
      <c r="H1907" s="2">
        <v>1608.0</v>
      </c>
      <c r="I1907" s="2">
        <v>2413.0</v>
      </c>
      <c r="J1907" s="1">
        <v>1975.0</v>
      </c>
      <c r="K1907" s="1">
        <v>88.0</v>
      </c>
      <c r="L1907" s="1" t="s">
        <v>32</v>
      </c>
      <c r="M1907" s="1" t="s">
        <v>7666</v>
      </c>
      <c r="N1907" s="1" t="s">
        <v>64</v>
      </c>
      <c r="O1907" s="1" t="s">
        <v>25</v>
      </c>
      <c r="P1907" s="1" t="s">
        <v>7667</v>
      </c>
    </row>
    <row r="1908" ht="14.25" customHeight="1">
      <c r="A1908" s="1" t="s">
        <v>7668</v>
      </c>
      <c r="B1908" s="1" t="s">
        <v>7669</v>
      </c>
      <c r="C1908" s="1" t="s">
        <v>53</v>
      </c>
      <c r="D1908" s="1">
        <v>54344.0</v>
      </c>
      <c r="E1908" s="1" t="s">
        <v>77</v>
      </c>
      <c r="F1908" s="1" t="s">
        <v>41</v>
      </c>
      <c r="G1908" s="1" t="s">
        <v>31</v>
      </c>
      <c r="H1908" s="2">
        <v>3887.0</v>
      </c>
      <c r="I1908" s="2">
        <v>1045.0</v>
      </c>
      <c r="J1908" s="1">
        <v>1976.0</v>
      </c>
      <c r="K1908" s="1">
        <v>100.0</v>
      </c>
      <c r="L1908" s="1" t="s">
        <v>32</v>
      </c>
      <c r="M1908" s="1" t="s">
        <v>7670</v>
      </c>
      <c r="N1908" s="1" t="s">
        <v>48</v>
      </c>
      <c r="O1908" s="1" t="s">
        <v>25</v>
      </c>
      <c r="P1908" s="1" t="s">
        <v>7671</v>
      </c>
    </row>
    <row r="1909" ht="14.25" customHeight="1">
      <c r="A1909" s="1" t="s">
        <v>7672</v>
      </c>
      <c r="B1909" s="1" t="s">
        <v>7673</v>
      </c>
      <c r="C1909" s="1" t="s">
        <v>76</v>
      </c>
      <c r="D1909" s="1">
        <v>49783.0</v>
      </c>
      <c r="E1909" s="1" t="s">
        <v>77</v>
      </c>
      <c r="F1909" s="1" t="s">
        <v>54</v>
      </c>
      <c r="G1909" s="1" t="s">
        <v>100</v>
      </c>
      <c r="H1909" s="2">
        <v>811.0</v>
      </c>
      <c r="I1909" s="2">
        <v>9209.0</v>
      </c>
      <c r="J1909" s="1">
        <v>1956.0</v>
      </c>
      <c r="K1909" s="1">
        <v>97.0</v>
      </c>
      <c r="L1909" s="1" t="s">
        <v>141</v>
      </c>
      <c r="M1909" s="1" t="s">
        <v>7674</v>
      </c>
      <c r="N1909" s="1" t="s">
        <v>24</v>
      </c>
      <c r="O1909" s="1" t="s">
        <v>25</v>
      </c>
      <c r="P1909" s="1" t="s">
        <v>7675</v>
      </c>
    </row>
    <row r="1910" ht="14.25" customHeight="1">
      <c r="A1910" s="1" t="s">
        <v>7676</v>
      </c>
      <c r="B1910" s="1" t="s">
        <v>7677</v>
      </c>
      <c r="C1910" s="1" t="s">
        <v>29</v>
      </c>
      <c r="D1910" s="1">
        <v>44922.0</v>
      </c>
      <c r="E1910" s="1" t="s">
        <v>77</v>
      </c>
      <c r="F1910" s="1" t="s">
        <v>41</v>
      </c>
      <c r="G1910" s="1" t="s">
        <v>100</v>
      </c>
      <c r="H1910" s="2">
        <v>1828.0</v>
      </c>
      <c r="I1910" s="2">
        <v>5916.0</v>
      </c>
      <c r="J1910" s="1">
        <v>1974.0</v>
      </c>
      <c r="K1910" s="1">
        <v>71.0</v>
      </c>
      <c r="L1910" s="1" t="s">
        <v>32</v>
      </c>
      <c r="M1910" s="1" t="s">
        <v>7678</v>
      </c>
      <c r="N1910" s="1" t="s">
        <v>34</v>
      </c>
      <c r="O1910" s="1" t="s">
        <v>49</v>
      </c>
      <c r="P1910" s="1" t="s">
        <v>7679</v>
      </c>
    </row>
    <row r="1911" ht="14.25" customHeight="1">
      <c r="A1911" s="1" t="s">
        <v>7680</v>
      </c>
      <c r="B1911" s="1" t="s">
        <v>7681</v>
      </c>
      <c r="C1911" s="1" t="s">
        <v>39</v>
      </c>
      <c r="D1911" s="1">
        <v>67646.0</v>
      </c>
      <c r="E1911" s="1" t="s">
        <v>19</v>
      </c>
      <c r="F1911" s="1" t="s">
        <v>46</v>
      </c>
      <c r="G1911" s="1" t="s">
        <v>55</v>
      </c>
      <c r="H1911" s="2">
        <v>3554.0</v>
      </c>
      <c r="I1911" s="2">
        <v>1189.0</v>
      </c>
      <c r="J1911" s="1">
        <v>1971.0</v>
      </c>
      <c r="K1911" s="1">
        <v>28.0</v>
      </c>
      <c r="L1911" s="1" t="s">
        <v>62</v>
      </c>
      <c r="M1911" s="1" t="s">
        <v>7682</v>
      </c>
      <c r="N1911" s="1" t="s">
        <v>43</v>
      </c>
      <c r="O1911" s="1" t="s">
        <v>35</v>
      </c>
      <c r="P1911" s="1" t="s">
        <v>7683</v>
      </c>
    </row>
    <row r="1912" ht="14.25" customHeight="1">
      <c r="A1912" s="1" t="s">
        <v>7684</v>
      </c>
      <c r="B1912" s="1" t="s">
        <v>7685</v>
      </c>
      <c r="C1912" s="1" t="s">
        <v>53</v>
      </c>
      <c r="D1912" s="1">
        <v>43139.0</v>
      </c>
      <c r="E1912" s="1" t="s">
        <v>77</v>
      </c>
      <c r="F1912" s="1" t="s">
        <v>20</v>
      </c>
      <c r="G1912" s="1" t="s">
        <v>21</v>
      </c>
      <c r="H1912" s="2">
        <v>3575.0</v>
      </c>
      <c r="I1912" s="2">
        <v>6578.0</v>
      </c>
      <c r="J1912" s="1">
        <v>1963.0</v>
      </c>
      <c r="K1912" s="1">
        <v>5.0</v>
      </c>
      <c r="L1912" s="1" t="s">
        <v>62</v>
      </c>
      <c r="M1912" s="1" t="s">
        <v>7686</v>
      </c>
      <c r="N1912" s="1" t="s">
        <v>24</v>
      </c>
      <c r="O1912" s="1" t="s">
        <v>49</v>
      </c>
      <c r="P1912" s="1" t="s">
        <v>7687</v>
      </c>
    </row>
    <row r="1913" ht="14.25" customHeight="1">
      <c r="A1913" s="1" t="s">
        <v>7688</v>
      </c>
      <c r="B1913" s="1" t="s">
        <v>7689</v>
      </c>
      <c r="C1913" s="1" t="s">
        <v>39</v>
      </c>
      <c r="D1913" s="1">
        <v>60095.0</v>
      </c>
      <c r="E1913" s="1" t="s">
        <v>19</v>
      </c>
      <c r="F1913" s="1" t="s">
        <v>20</v>
      </c>
      <c r="G1913" s="1" t="s">
        <v>55</v>
      </c>
      <c r="H1913" s="2">
        <v>2724.0</v>
      </c>
      <c r="I1913" s="2">
        <v>5688.0</v>
      </c>
      <c r="J1913" s="1">
        <v>1971.0</v>
      </c>
      <c r="K1913" s="1">
        <v>110.0</v>
      </c>
      <c r="L1913" s="1" t="s">
        <v>95</v>
      </c>
      <c r="M1913" s="1" t="s">
        <v>7690</v>
      </c>
      <c r="N1913" s="1" t="s">
        <v>24</v>
      </c>
      <c r="O1913" s="1" t="s">
        <v>25</v>
      </c>
      <c r="P1913" s="1" t="s">
        <v>7691</v>
      </c>
    </row>
    <row r="1914" ht="14.25" customHeight="1">
      <c r="A1914" s="1" t="s">
        <v>7692</v>
      </c>
      <c r="B1914" s="1" t="s">
        <v>7693</v>
      </c>
      <c r="C1914" s="1" t="s">
        <v>53</v>
      </c>
      <c r="D1914" s="1">
        <v>65504.0</v>
      </c>
      <c r="E1914" s="1" t="s">
        <v>40</v>
      </c>
      <c r="F1914" s="1" t="s">
        <v>61</v>
      </c>
      <c r="G1914" s="1" t="s">
        <v>55</v>
      </c>
      <c r="H1914" s="2">
        <v>2579.0</v>
      </c>
      <c r="I1914" s="2">
        <v>3469.0</v>
      </c>
      <c r="J1914" s="1">
        <v>1979.0</v>
      </c>
      <c r="K1914" s="1">
        <v>108.0</v>
      </c>
      <c r="L1914" s="1" t="s">
        <v>141</v>
      </c>
      <c r="M1914" s="1" t="s">
        <v>7694</v>
      </c>
      <c r="N1914" s="1" t="s">
        <v>34</v>
      </c>
      <c r="O1914" s="1" t="s">
        <v>25</v>
      </c>
      <c r="P1914" s="1" t="s">
        <v>7695</v>
      </c>
    </row>
    <row r="1915" ht="14.25" customHeight="1">
      <c r="A1915" s="1" t="s">
        <v>7696</v>
      </c>
      <c r="B1915" s="1" t="s">
        <v>7697</v>
      </c>
      <c r="C1915" s="1" t="s">
        <v>76</v>
      </c>
      <c r="D1915" s="1">
        <v>28163.0</v>
      </c>
      <c r="E1915" s="1" t="s">
        <v>30</v>
      </c>
      <c r="F1915" s="1" t="s">
        <v>46</v>
      </c>
      <c r="G1915" s="1" t="s">
        <v>21</v>
      </c>
      <c r="H1915" s="2">
        <v>1615.0</v>
      </c>
      <c r="I1915" s="2">
        <v>2997.0</v>
      </c>
      <c r="J1915" s="1">
        <v>1971.0</v>
      </c>
      <c r="K1915" s="1">
        <v>29.0</v>
      </c>
      <c r="L1915" s="1" t="s">
        <v>32</v>
      </c>
      <c r="M1915" s="1" t="s">
        <v>7698</v>
      </c>
      <c r="N1915" s="1" t="s">
        <v>34</v>
      </c>
      <c r="O1915" s="1" t="s">
        <v>25</v>
      </c>
      <c r="P1915" s="1" t="s">
        <v>7699</v>
      </c>
    </row>
    <row r="1916" ht="14.25" customHeight="1">
      <c r="A1916" s="1" t="s">
        <v>7700</v>
      </c>
      <c r="B1916" s="1" t="s">
        <v>7701</v>
      </c>
      <c r="C1916" s="1" t="s">
        <v>53</v>
      </c>
      <c r="D1916" s="1">
        <v>81107.0</v>
      </c>
      <c r="E1916" s="1" t="s">
        <v>19</v>
      </c>
      <c r="F1916" s="1" t="s">
        <v>46</v>
      </c>
      <c r="G1916" s="1" t="s">
        <v>21</v>
      </c>
      <c r="H1916" s="2">
        <v>2454.0</v>
      </c>
      <c r="I1916" s="2">
        <v>9981.0</v>
      </c>
      <c r="J1916" s="1">
        <v>1992.0</v>
      </c>
      <c r="K1916" s="1">
        <v>3.0</v>
      </c>
      <c r="L1916" s="1" t="s">
        <v>95</v>
      </c>
      <c r="M1916" s="1" t="s">
        <v>7702</v>
      </c>
      <c r="N1916" s="1" t="s">
        <v>24</v>
      </c>
      <c r="O1916" s="1" t="s">
        <v>49</v>
      </c>
      <c r="P1916" s="1" t="s">
        <v>7703</v>
      </c>
    </row>
    <row r="1917" ht="14.25" customHeight="1">
      <c r="A1917" s="1" t="s">
        <v>7704</v>
      </c>
      <c r="B1917" s="1" t="s">
        <v>7705</v>
      </c>
      <c r="C1917" s="1" t="s">
        <v>18</v>
      </c>
      <c r="D1917" s="1">
        <v>53430.0</v>
      </c>
      <c r="E1917" s="1" t="s">
        <v>30</v>
      </c>
      <c r="F1917" s="1" t="s">
        <v>61</v>
      </c>
      <c r="G1917" s="1" t="s">
        <v>21</v>
      </c>
      <c r="H1917" s="2">
        <v>2807.0</v>
      </c>
      <c r="I1917" s="2">
        <v>2721.0</v>
      </c>
      <c r="J1917" s="1">
        <v>1955.0</v>
      </c>
      <c r="K1917" s="1">
        <v>73.0</v>
      </c>
      <c r="L1917" s="1" t="s">
        <v>62</v>
      </c>
      <c r="M1917" s="1" t="s">
        <v>7706</v>
      </c>
      <c r="N1917" s="1" t="s">
        <v>43</v>
      </c>
      <c r="O1917" s="1" t="s">
        <v>25</v>
      </c>
      <c r="P1917" s="1" t="s">
        <v>7707</v>
      </c>
    </row>
    <row r="1918" ht="14.25" customHeight="1">
      <c r="A1918" s="1" t="s">
        <v>7708</v>
      </c>
      <c r="B1918" s="1" t="s">
        <v>7709</v>
      </c>
      <c r="C1918" s="1" t="s">
        <v>39</v>
      </c>
      <c r="D1918" s="1">
        <v>67859.0</v>
      </c>
      <c r="E1918" s="1" t="s">
        <v>60</v>
      </c>
      <c r="F1918" s="1" t="s">
        <v>94</v>
      </c>
      <c r="G1918" s="1" t="s">
        <v>55</v>
      </c>
      <c r="H1918" s="2">
        <v>3063.0</v>
      </c>
      <c r="I1918" s="2">
        <v>1184.0</v>
      </c>
      <c r="J1918" s="1">
        <v>1981.0</v>
      </c>
      <c r="K1918" s="1">
        <v>66.0</v>
      </c>
      <c r="L1918" s="1" t="s">
        <v>22</v>
      </c>
      <c r="M1918" s="1" t="s">
        <v>7710</v>
      </c>
      <c r="N1918" s="1" t="s">
        <v>34</v>
      </c>
      <c r="O1918" s="1" t="s">
        <v>35</v>
      </c>
      <c r="P1918" s="1" t="s">
        <v>7711</v>
      </c>
    </row>
    <row r="1919" ht="14.25" customHeight="1">
      <c r="A1919" s="1" t="s">
        <v>7712</v>
      </c>
      <c r="B1919" s="1" t="s">
        <v>7713</v>
      </c>
      <c r="C1919" s="1" t="s">
        <v>29</v>
      </c>
      <c r="D1919" s="1">
        <v>14659.0</v>
      </c>
      <c r="E1919" s="1" t="s">
        <v>60</v>
      </c>
      <c r="F1919" s="1" t="s">
        <v>54</v>
      </c>
      <c r="G1919" s="1" t="s">
        <v>21</v>
      </c>
      <c r="H1919" s="2">
        <v>1144.0</v>
      </c>
      <c r="I1919" s="2">
        <v>6726.0</v>
      </c>
      <c r="J1919" s="1">
        <v>1964.0</v>
      </c>
      <c r="K1919" s="1">
        <v>104.0</v>
      </c>
      <c r="L1919" s="1" t="s">
        <v>95</v>
      </c>
      <c r="M1919" s="1" t="s">
        <v>7714</v>
      </c>
      <c r="N1919" s="1" t="s">
        <v>43</v>
      </c>
      <c r="O1919" s="1" t="s">
        <v>25</v>
      </c>
      <c r="P1919" s="1" t="s">
        <v>7715</v>
      </c>
    </row>
    <row r="1920" ht="14.25" customHeight="1">
      <c r="A1920" s="1" t="s">
        <v>7716</v>
      </c>
      <c r="B1920" s="1" t="s">
        <v>7717</v>
      </c>
      <c r="C1920" s="1" t="s">
        <v>18</v>
      </c>
      <c r="D1920" s="1">
        <v>66643.0</v>
      </c>
      <c r="E1920" s="1" t="s">
        <v>60</v>
      </c>
      <c r="F1920" s="1" t="s">
        <v>94</v>
      </c>
      <c r="G1920" s="1" t="s">
        <v>31</v>
      </c>
      <c r="H1920" s="2">
        <v>1414.0</v>
      </c>
      <c r="I1920" s="2">
        <v>7638.0</v>
      </c>
      <c r="J1920" s="1">
        <v>1983.0</v>
      </c>
      <c r="K1920" s="1">
        <v>11.0</v>
      </c>
      <c r="L1920" s="1" t="s">
        <v>32</v>
      </c>
      <c r="M1920" s="1" t="s">
        <v>7718</v>
      </c>
      <c r="N1920" s="1" t="s">
        <v>43</v>
      </c>
      <c r="O1920" s="1" t="s">
        <v>35</v>
      </c>
      <c r="P1920" s="1" t="s">
        <v>7719</v>
      </c>
    </row>
    <row r="1921" ht="14.25" customHeight="1">
      <c r="A1921" s="1" t="s">
        <v>7720</v>
      </c>
      <c r="B1921" s="1" t="s">
        <v>7721</v>
      </c>
      <c r="C1921" s="1" t="s">
        <v>76</v>
      </c>
      <c r="D1921" s="1">
        <v>67726.0</v>
      </c>
      <c r="E1921" s="1" t="s">
        <v>19</v>
      </c>
      <c r="F1921" s="1" t="s">
        <v>94</v>
      </c>
      <c r="G1921" s="1" t="s">
        <v>55</v>
      </c>
      <c r="H1921" s="2">
        <v>3862.0</v>
      </c>
      <c r="I1921" s="2">
        <v>4850.0</v>
      </c>
      <c r="J1921" s="1">
        <v>2009.0</v>
      </c>
      <c r="K1921" s="1">
        <v>16.0</v>
      </c>
      <c r="L1921" s="1" t="s">
        <v>22</v>
      </c>
      <c r="M1921" s="1" t="s">
        <v>7722</v>
      </c>
      <c r="N1921" s="1" t="s">
        <v>34</v>
      </c>
      <c r="O1921" s="1" t="s">
        <v>25</v>
      </c>
      <c r="P1921" s="1" t="s">
        <v>7723</v>
      </c>
    </row>
    <row r="1922" ht="14.25" customHeight="1">
      <c r="A1922" s="1" t="s">
        <v>7724</v>
      </c>
      <c r="B1922" s="1" t="s">
        <v>7725</v>
      </c>
      <c r="C1922" s="1" t="s">
        <v>76</v>
      </c>
      <c r="D1922" s="1">
        <v>27037.0</v>
      </c>
      <c r="E1922" s="1" t="s">
        <v>77</v>
      </c>
      <c r="F1922" s="1" t="s">
        <v>61</v>
      </c>
      <c r="G1922" s="1" t="s">
        <v>55</v>
      </c>
      <c r="H1922" s="2">
        <v>661.0</v>
      </c>
      <c r="I1922" s="2">
        <v>3863.0</v>
      </c>
      <c r="J1922" s="1">
        <v>2019.0</v>
      </c>
      <c r="K1922" s="1">
        <v>84.0</v>
      </c>
      <c r="L1922" s="1" t="s">
        <v>32</v>
      </c>
      <c r="M1922" s="1" t="s">
        <v>7726</v>
      </c>
      <c r="N1922" s="1" t="s">
        <v>24</v>
      </c>
      <c r="O1922" s="1" t="s">
        <v>35</v>
      </c>
      <c r="P1922" s="1" t="s">
        <v>7727</v>
      </c>
    </row>
    <row r="1923" ht="14.25" customHeight="1">
      <c r="A1923" s="1" t="s">
        <v>7728</v>
      </c>
      <c r="B1923" s="1" t="s">
        <v>7729</v>
      </c>
      <c r="C1923" s="1" t="s">
        <v>53</v>
      </c>
      <c r="D1923" s="1">
        <v>64507.0</v>
      </c>
      <c r="E1923" s="1" t="s">
        <v>19</v>
      </c>
      <c r="F1923" s="1" t="s">
        <v>94</v>
      </c>
      <c r="G1923" s="1" t="s">
        <v>55</v>
      </c>
      <c r="H1923" s="2">
        <v>1323.0</v>
      </c>
      <c r="I1923" s="2">
        <v>3600.0</v>
      </c>
      <c r="J1923" s="1">
        <v>1952.0</v>
      </c>
      <c r="K1923" s="1">
        <v>62.0</v>
      </c>
      <c r="L1923" s="1" t="s">
        <v>62</v>
      </c>
      <c r="M1923" s="1" t="s">
        <v>7730</v>
      </c>
      <c r="N1923" s="1" t="s">
        <v>34</v>
      </c>
      <c r="O1923" s="1" t="s">
        <v>35</v>
      </c>
      <c r="P1923" s="1" t="s">
        <v>7731</v>
      </c>
    </row>
    <row r="1924" ht="14.25" customHeight="1">
      <c r="A1924" s="1" t="s">
        <v>7732</v>
      </c>
      <c r="B1924" s="1" t="s">
        <v>7733</v>
      </c>
      <c r="C1924" s="1" t="s">
        <v>39</v>
      </c>
      <c r="D1924" s="1">
        <v>92519.0</v>
      </c>
      <c r="E1924" s="1" t="s">
        <v>19</v>
      </c>
      <c r="F1924" s="1" t="s">
        <v>54</v>
      </c>
      <c r="G1924" s="1" t="s">
        <v>31</v>
      </c>
      <c r="H1924" s="2">
        <v>1800.0</v>
      </c>
      <c r="I1924" s="2">
        <v>2305.0</v>
      </c>
      <c r="J1924" s="1">
        <v>2005.0</v>
      </c>
      <c r="K1924" s="1">
        <v>18.0</v>
      </c>
      <c r="L1924" s="1" t="s">
        <v>95</v>
      </c>
      <c r="M1924" s="1" t="s">
        <v>7734</v>
      </c>
      <c r="N1924" s="1" t="s">
        <v>48</v>
      </c>
      <c r="O1924" s="1" t="s">
        <v>35</v>
      </c>
      <c r="P1924" s="1" t="s">
        <v>7735</v>
      </c>
    </row>
    <row r="1925" ht="14.25" customHeight="1">
      <c r="A1925" s="1" t="s">
        <v>7736</v>
      </c>
      <c r="B1925" s="1" t="s">
        <v>7737</v>
      </c>
      <c r="C1925" s="1" t="s">
        <v>39</v>
      </c>
      <c r="D1925" s="1">
        <v>85052.0</v>
      </c>
      <c r="E1925" s="1" t="s">
        <v>77</v>
      </c>
      <c r="F1925" s="1" t="s">
        <v>41</v>
      </c>
      <c r="G1925" s="1" t="s">
        <v>21</v>
      </c>
      <c r="H1925" s="2">
        <v>667.0</v>
      </c>
      <c r="I1925" s="2">
        <v>6216.0</v>
      </c>
      <c r="J1925" s="1">
        <v>1977.0</v>
      </c>
      <c r="K1925" s="1">
        <v>90.0</v>
      </c>
      <c r="L1925" s="1" t="s">
        <v>32</v>
      </c>
      <c r="M1925" s="1" t="s">
        <v>7738</v>
      </c>
      <c r="N1925" s="1" t="s">
        <v>43</v>
      </c>
      <c r="O1925" s="1" t="s">
        <v>35</v>
      </c>
      <c r="P1925" s="1" t="s">
        <v>7739</v>
      </c>
    </row>
    <row r="1926" ht="14.25" customHeight="1">
      <c r="A1926" s="1" t="s">
        <v>7740</v>
      </c>
      <c r="B1926" s="1" t="s">
        <v>7741</v>
      </c>
      <c r="C1926" s="1" t="s">
        <v>18</v>
      </c>
      <c r="D1926" s="1">
        <v>91990.0</v>
      </c>
      <c r="E1926" s="1" t="s">
        <v>30</v>
      </c>
      <c r="F1926" s="1" t="s">
        <v>20</v>
      </c>
      <c r="G1926" s="1" t="s">
        <v>31</v>
      </c>
      <c r="H1926" s="2">
        <v>3960.0</v>
      </c>
      <c r="I1926" s="2">
        <v>8959.0</v>
      </c>
      <c r="J1926" s="1">
        <v>1967.0</v>
      </c>
      <c r="K1926" s="1">
        <v>48.0</v>
      </c>
      <c r="L1926" s="1" t="s">
        <v>95</v>
      </c>
      <c r="M1926" s="1" t="s">
        <v>7742</v>
      </c>
      <c r="N1926" s="1" t="s">
        <v>24</v>
      </c>
      <c r="O1926" s="1" t="s">
        <v>25</v>
      </c>
      <c r="P1926" s="1" t="s">
        <v>7743</v>
      </c>
    </row>
    <row r="1927" ht="14.25" customHeight="1">
      <c r="A1927" s="1" t="s">
        <v>7744</v>
      </c>
      <c r="B1927" s="1" t="s">
        <v>7745</v>
      </c>
      <c r="C1927" s="1" t="s">
        <v>53</v>
      </c>
      <c r="D1927" s="1">
        <v>67992.0</v>
      </c>
      <c r="E1927" s="1" t="s">
        <v>30</v>
      </c>
      <c r="F1927" s="1" t="s">
        <v>61</v>
      </c>
      <c r="G1927" s="1" t="s">
        <v>31</v>
      </c>
      <c r="H1927" s="2">
        <v>3452.0</v>
      </c>
      <c r="I1927" s="2">
        <v>3588.0</v>
      </c>
      <c r="J1927" s="1">
        <v>1980.0</v>
      </c>
      <c r="K1927" s="1">
        <v>92.0</v>
      </c>
      <c r="L1927" s="1" t="s">
        <v>141</v>
      </c>
      <c r="M1927" s="1" t="s">
        <v>7746</v>
      </c>
      <c r="N1927" s="1" t="s">
        <v>48</v>
      </c>
      <c r="O1927" s="1" t="s">
        <v>25</v>
      </c>
      <c r="P1927" s="1" t="s">
        <v>7747</v>
      </c>
    </row>
    <row r="1928" ht="14.25" customHeight="1">
      <c r="A1928" s="1" t="s">
        <v>7748</v>
      </c>
      <c r="B1928" s="1" t="s">
        <v>7749</v>
      </c>
      <c r="C1928" s="1" t="s">
        <v>39</v>
      </c>
      <c r="D1928" s="1">
        <v>93328.0</v>
      </c>
      <c r="E1928" s="1" t="s">
        <v>60</v>
      </c>
      <c r="F1928" s="1" t="s">
        <v>46</v>
      </c>
      <c r="G1928" s="1" t="s">
        <v>31</v>
      </c>
      <c r="H1928" s="2">
        <v>2840.0</v>
      </c>
      <c r="I1928" s="2">
        <v>8445.0</v>
      </c>
      <c r="J1928" s="1">
        <v>1994.0</v>
      </c>
      <c r="K1928" s="1">
        <v>109.0</v>
      </c>
      <c r="L1928" s="1" t="s">
        <v>62</v>
      </c>
      <c r="M1928" s="1" t="s">
        <v>7750</v>
      </c>
      <c r="N1928" s="1" t="s">
        <v>34</v>
      </c>
      <c r="O1928" s="1" t="s">
        <v>25</v>
      </c>
      <c r="P1928" s="1" t="s">
        <v>7751</v>
      </c>
    </row>
    <row r="1929" ht="14.25" customHeight="1">
      <c r="A1929" s="1" t="s">
        <v>7752</v>
      </c>
      <c r="B1929" s="1" t="s">
        <v>7753</v>
      </c>
      <c r="C1929" s="1" t="s">
        <v>76</v>
      </c>
      <c r="D1929" s="1">
        <v>44960.0</v>
      </c>
      <c r="E1929" s="1" t="s">
        <v>19</v>
      </c>
      <c r="F1929" s="1" t="s">
        <v>41</v>
      </c>
      <c r="G1929" s="1" t="s">
        <v>100</v>
      </c>
      <c r="H1929" s="2">
        <v>2555.0</v>
      </c>
      <c r="I1929" s="2">
        <v>5225.0</v>
      </c>
      <c r="J1929" s="1">
        <v>2003.0</v>
      </c>
      <c r="K1929" s="1">
        <v>36.0</v>
      </c>
      <c r="L1929" s="1" t="s">
        <v>22</v>
      </c>
      <c r="M1929" s="1" t="s">
        <v>7754</v>
      </c>
      <c r="N1929" s="1" t="s">
        <v>64</v>
      </c>
      <c r="O1929" s="1" t="s">
        <v>49</v>
      </c>
      <c r="P1929" s="1" t="s">
        <v>7755</v>
      </c>
    </row>
    <row r="1930" ht="14.25" customHeight="1">
      <c r="A1930" s="1" t="s">
        <v>7756</v>
      </c>
      <c r="B1930" s="1" t="s">
        <v>7757</v>
      </c>
      <c r="C1930" s="1" t="s">
        <v>18</v>
      </c>
      <c r="D1930" s="1">
        <v>85377.0</v>
      </c>
      <c r="E1930" s="1" t="s">
        <v>77</v>
      </c>
      <c r="F1930" s="1" t="s">
        <v>61</v>
      </c>
      <c r="G1930" s="1" t="s">
        <v>31</v>
      </c>
      <c r="H1930" s="2">
        <v>3282.0</v>
      </c>
      <c r="I1930" s="2">
        <v>9275.0</v>
      </c>
      <c r="J1930" s="1">
        <v>1986.0</v>
      </c>
      <c r="K1930" s="1">
        <v>48.0</v>
      </c>
      <c r="L1930" s="1" t="s">
        <v>62</v>
      </c>
      <c r="M1930" s="1" t="s">
        <v>7758</v>
      </c>
      <c r="N1930" s="1" t="s">
        <v>34</v>
      </c>
      <c r="O1930" s="1" t="s">
        <v>25</v>
      </c>
      <c r="P1930" s="1" t="s">
        <v>7759</v>
      </c>
    </row>
    <row r="1931" ht="14.25" customHeight="1">
      <c r="A1931" s="1" t="s">
        <v>7760</v>
      </c>
      <c r="B1931" s="1" t="s">
        <v>7761</v>
      </c>
      <c r="C1931" s="1" t="s">
        <v>53</v>
      </c>
      <c r="D1931" s="1">
        <v>32122.0</v>
      </c>
      <c r="E1931" s="1" t="s">
        <v>60</v>
      </c>
      <c r="F1931" s="1" t="s">
        <v>61</v>
      </c>
      <c r="G1931" s="1" t="s">
        <v>100</v>
      </c>
      <c r="H1931" s="2">
        <v>2444.0</v>
      </c>
      <c r="I1931" s="2">
        <v>2773.0</v>
      </c>
      <c r="J1931" s="1">
        <v>1991.0</v>
      </c>
      <c r="K1931" s="1">
        <v>112.0</v>
      </c>
      <c r="L1931" s="1" t="s">
        <v>32</v>
      </c>
      <c r="M1931" s="1" t="s">
        <v>7762</v>
      </c>
      <c r="N1931" s="1" t="s">
        <v>24</v>
      </c>
      <c r="O1931" s="1" t="s">
        <v>49</v>
      </c>
      <c r="P1931" s="1" t="s">
        <v>7763</v>
      </c>
    </row>
    <row r="1932" ht="14.25" customHeight="1">
      <c r="A1932" s="1" t="s">
        <v>7764</v>
      </c>
      <c r="B1932" s="1" t="s">
        <v>7765</v>
      </c>
      <c r="C1932" s="1" t="s">
        <v>53</v>
      </c>
      <c r="D1932" s="1">
        <v>63109.0</v>
      </c>
      <c r="E1932" s="1" t="s">
        <v>19</v>
      </c>
      <c r="F1932" s="1" t="s">
        <v>46</v>
      </c>
      <c r="G1932" s="1" t="s">
        <v>100</v>
      </c>
      <c r="H1932" s="2">
        <v>635.0</v>
      </c>
      <c r="I1932" s="2">
        <v>4053.0</v>
      </c>
      <c r="J1932" s="1">
        <v>1971.0</v>
      </c>
      <c r="K1932" s="1">
        <v>68.0</v>
      </c>
      <c r="L1932" s="1" t="s">
        <v>32</v>
      </c>
      <c r="M1932" s="1" t="s">
        <v>7766</v>
      </c>
      <c r="N1932" s="1" t="s">
        <v>43</v>
      </c>
      <c r="O1932" s="1" t="s">
        <v>49</v>
      </c>
      <c r="P1932" s="1" t="s">
        <v>7767</v>
      </c>
    </row>
    <row r="1933" ht="14.25" customHeight="1">
      <c r="A1933" s="1" t="s">
        <v>7768</v>
      </c>
      <c r="B1933" s="1" t="s">
        <v>7769</v>
      </c>
      <c r="C1933" s="1" t="s">
        <v>39</v>
      </c>
      <c r="D1933" s="1">
        <v>29497.0</v>
      </c>
      <c r="E1933" s="1" t="s">
        <v>30</v>
      </c>
      <c r="F1933" s="1" t="s">
        <v>94</v>
      </c>
      <c r="G1933" s="1" t="s">
        <v>55</v>
      </c>
      <c r="H1933" s="2">
        <v>2221.0</v>
      </c>
      <c r="I1933" s="2">
        <v>2772.0</v>
      </c>
      <c r="J1933" s="1">
        <v>1980.0</v>
      </c>
      <c r="K1933" s="1">
        <v>98.0</v>
      </c>
      <c r="L1933" s="1" t="s">
        <v>62</v>
      </c>
      <c r="M1933" s="1" t="s">
        <v>7770</v>
      </c>
      <c r="N1933" s="1" t="s">
        <v>24</v>
      </c>
      <c r="O1933" s="1" t="s">
        <v>25</v>
      </c>
      <c r="P1933" s="1" t="s">
        <v>7771</v>
      </c>
    </row>
    <row r="1934" ht="14.25" customHeight="1">
      <c r="A1934" s="1" t="s">
        <v>7772</v>
      </c>
      <c r="B1934" s="1" t="s">
        <v>7773</v>
      </c>
      <c r="C1934" s="1" t="s">
        <v>39</v>
      </c>
      <c r="D1934" s="1">
        <v>22614.0</v>
      </c>
      <c r="E1934" s="1" t="s">
        <v>60</v>
      </c>
      <c r="F1934" s="1" t="s">
        <v>20</v>
      </c>
      <c r="G1934" s="1" t="s">
        <v>100</v>
      </c>
      <c r="H1934" s="2">
        <v>1566.0</v>
      </c>
      <c r="I1934" s="2">
        <v>7650.0</v>
      </c>
      <c r="J1934" s="1">
        <v>1956.0</v>
      </c>
      <c r="K1934" s="1">
        <v>19.0</v>
      </c>
      <c r="L1934" s="1" t="s">
        <v>62</v>
      </c>
      <c r="M1934" s="1" t="s">
        <v>7774</v>
      </c>
      <c r="N1934" s="1" t="s">
        <v>64</v>
      </c>
      <c r="O1934" s="1" t="s">
        <v>49</v>
      </c>
      <c r="P1934" s="1" t="s">
        <v>7775</v>
      </c>
    </row>
    <row r="1935" ht="14.25" customHeight="1">
      <c r="A1935" s="1" t="s">
        <v>7776</v>
      </c>
      <c r="B1935" s="1" t="s">
        <v>7777</v>
      </c>
      <c r="C1935" s="1" t="s">
        <v>18</v>
      </c>
      <c r="D1935" s="1">
        <v>17597.0</v>
      </c>
      <c r="E1935" s="1" t="s">
        <v>30</v>
      </c>
      <c r="F1935" s="1" t="s">
        <v>94</v>
      </c>
      <c r="G1935" s="1" t="s">
        <v>21</v>
      </c>
      <c r="H1935" s="2">
        <v>977.0</v>
      </c>
      <c r="I1935" s="2">
        <v>7248.0</v>
      </c>
      <c r="J1935" s="1">
        <v>1993.0</v>
      </c>
      <c r="K1935" s="1">
        <v>23.0</v>
      </c>
      <c r="L1935" s="1" t="s">
        <v>141</v>
      </c>
      <c r="M1935" s="1" t="s">
        <v>7778</v>
      </c>
      <c r="N1935" s="1" t="s">
        <v>43</v>
      </c>
      <c r="O1935" s="1" t="s">
        <v>25</v>
      </c>
      <c r="P1935" s="1" t="s">
        <v>7779</v>
      </c>
    </row>
    <row r="1936" ht="14.25" customHeight="1">
      <c r="A1936" s="1" t="s">
        <v>7780</v>
      </c>
      <c r="B1936" s="1" t="s">
        <v>7781</v>
      </c>
      <c r="C1936" s="1" t="s">
        <v>39</v>
      </c>
      <c r="D1936" s="1">
        <v>50727.0</v>
      </c>
      <c r="E1936" s="1" t="s">
        <v>60</v>
      </c>
      <c r="F1936" s="1" t="s">
        <v>54</v>
      </c>
      <c r="G1936" s="1" t="s">
        <v>21</v>
      </c>
      <c r="H1936" s="2">
        <v>1827.0</v>
      </c>
      <c r="I1936" s="2">
        <v>9471.0</v>
      </c>
      <c r="J1936" s="1">
        <v>2005.0</v>
      </c>
      <c r="K1936" s="1">
        <v>14.0</v>
      </c>
      <c r="L1936" s="1" t="s">
        <v>32</v>
      </c>
      <c r="M1936" s="1" t="s">
        <v>7782</v>
      </c>
      <c r="N1936" s="1" t="s">
        <v>64</v>
      </c>
      <c r="O1936" s="1" t="s">
        <v>35</v>
      </c>
      <c r="P1936" s="1" t="s">
        <v>7783</v>
      </c>
    </row>
    <row r="1937" ht="14.25" customHeight="1">
      <c r="A1937" s="1" t="s">
        <v>7784</v>
      </c>
      <c r="B1937" s="1" t="s">
        <v>7785</v>
      </c>
      <c r="C1937" s="1" t="s">
        <v>18</v>
      </c>
      <c r="D1937" s="1">
        <v>22202.0</v>
      </c>
      <c r="E1937" s="1" t="s">
        <v>60</v>
      </c>
      <c r="F1937" s="1" t="s">
        <v>20</v>
      </c>
      <c r="G1937" s="1" t="s">
        <v>21</v>
      </c>
      <c r="H1937" s="2">
        <v>3063.0</v>
      </c>
      <c r="I1937" s="2">
        <v>3574.0</v>
      </c>
      <c r="J1937" s="1">
        <v>1987.0</v>
      </c>
      <c r="K1937" s="1">
        <v>98.0</v>
      </c>
      <c r="L1937" s="1" t="s">
        <v>141</v>
      </c>
      <c r="M1937" s="1" t="s">
        <v>7786</v>
      </c>
      <c r="N1937" s="1" t="s">
        <v>64</v>
      </c>
      <c r="O1937" s="1" t="s">
        <v>35</v>
      </c>
      <c r="P1937" s="1" t="s">
        <v>7787</v>
      </c>
    </row>
    <row r="1938" ht="14.25" customHeight="1">
      <c r="A1938" s="1" t="s">
        <v>7788</v>
      </c>
      <c r="B1938" s="1" t="s">
        <v>7789</v>
      </c>
      <c r="C1938" s="1" t="s">
        <v>18</v>
      </c>
      <c r="D1938" s="1">
        <v>32625.0</v>
      </c>
      <c r="E1938" s="1" t="s">
        <v>60</v>
      </c>
      <c r="F1938" s="1" t="s">
        <v>20</v>
      </c>
      <c r="G1938" s="1" t="s">
        <v>100</v>
      </c>
      <c r="H1938" s="2">
        <v>3510.0</v>
      </c>
      <c r="I1938" s="2">
        <v>7635.0</v>
      </c>
      <c r="J1938" s="1">
        <v>2012.0</v>
      </c>
      <c r="K1938" s="1">
        <v>116.0</v>
      </c>
      <c r="L1938" s="1" t="s">
        <v>62</v>
      </c>
      <c r="M1938" s="1" t="s">
        <v>7790</v>
      </c>
      <c r="N1938" s="1" t="s">
        <v>48</v>
      </c>
      <c r="O1938" s="1" t="s">
        <v>49</v>
      </c>
      <c r="P1938" s="1" t="s">
        <v>7791</v>
      </c>
    </row>
    <row r="1939" ht="14.25" customHeight="1">
      <c r="A1939" s="1" t="s">
        <v>7792</v>
      </c>
      <c r="B1939" s="1" t="s">
        <v>7793</v>
      </c>
      <c r="C1939" s="1" t="s">
        <v>18</v>
      </c>
      <c r="D1939" s="1">
        <v>99077.0</v>
      </c>
      <c r="E1939" s="1" t="s">
        <v>30</v>
      </c>
      <c r="F1939" s="1" t="s">
        <v>94</v>
      </c>
      <c r="G1939" s="1" t="s">
        <v>21</v>
      </c>
      <c r="H1939" s="2">
        <v>3461.0</v>
      </c>
      <c r="I1939" s="2">
        <v>8702.0</v>
      </c>
      <c r="J1939" s="1">
        <v>1988.0</v>
      </c>
      <c r="K1939" s="1">
        <v>95.0</v>
      </c>
      <c r="L1939" s="1" t="s">
        <v>62</v>
      </c>
      <c r="M1939" s="1" t="s">
        <v>7794</v>
      </c>
      <c r="N1939" s="1" t="s">
        <v>48</v>
      </c>
      <c r="O1939" s="1" t="s">
        <v>25</v>
      </c>
      <c r="P1939" s="1" t="s">
        <v>7795</v>
      </c>
    </row>
    <row r="1940" ht="14.25" customHeight="1">
      <c r="A1940" s="1" t="s">
        <v>7796</v>
      </c>
      <c r="B1940" s="1" t="s">
        <v>7797</v>
      </c>
      <c r="C1940" s="1" t="s">
        <v>76</v>
      </c>
      <c r="D1940" s="1">
        <v>31277.0</v>
      </c>
      <c r="E1940" s="1" t="s">
        <v>19</v>
      </c>
      <c r="F1940" s="1" t="s">
        <v>41</v>
      </c>
      <c r="G1940" s="1" t="s">
        <v>31</v>
      </c>
      <c r="H1940" s="2">
        <v>2571.0</v>
      </c>
      <c r="I1940" s="2">
        <v>7284.0</v>
      </c>
      <c r="J1940" s="1">
        <v>2011.0</v>
      </c>
      <c r="K1940" s="1">
        <v>69.0</v>
      </c>
      <c r="L1940" s="1" t="s">
        <v>141</v>
      </c>
      <c r="M1940" s="1" t="s">
        <v>7798</v>
      </c>
      <c r="N1940" s="1" t="s">
        <v>64</v>
      </c>
      <c r="O1940" s="1" t="s">
        <v>25</v>
      </c>
      <c r="P1940" s="1" t="s">
        <v>7799</v>
      </c>
    </row>
    <row r="1941" ht="14.25" customHeight="1">
      <c r="A1941" s="1" t="s">
        <v>7800</v>
      </c>
      <c r="B1941" s="1" t="s">
        <v>7801</v>
      </c>
      <c r="C1941" s="1" t="s">
        <v>29</v>
      </c>
      <c r="D1941" s="1">
        <v>37973.0</v>
      </c>
      <c r="E1941" s="1" t="s">
        <v>60</v>
      </c>
      <c r="F1941" s="1" t="s">
        <v>20</v>
      </c>
      <c r="G1941" s="1" t="s">
        <v>55</v>
      </c>
      <c r="H1941" s="2">
        <v>3832.0</v>
      </c>
      <c r="I1941" s="2">
        <v>9081.0</v>
      </c>
      <c r="J1941" s="1">
        <v>1964.0</v>
      </c>
      <c r="K1941" s="1">
        <v>14.0</v>
      </c>
      <c r="L1941" s="1" t="s">
        <v>32</v>
      </c>
      <c r="M1941" s="1" t="s">
        <v>7802</v>
      </c>
      <c r="N1941" s="1" t="s">
        <v>24</v>
      </c>
      <c r="O1941" s="1" t="s">
        <v>25</v>
      </c>
      <c r="P1941" s="1" t="s">
        <v>7803</v>
      </c>
    </row>
    <row r="1942" ht="14.25" customHeight="1">
      <c r="A1942" s="1" t="s">
        <v>7804</v>
      </c>
      <c r="B1942" s="1" t="s">
        <v>7805</v>
      </c>
      <c r="C1942" s="1" t="s">
        <v>29</v>
      </c>
      <c r="D1942" s="1">
        <v>78518.0</v>
      </c>
      <c r="E1942" s="1" t="s">
        <v>60</v>
      </c>
      <c r="F1942" s="1" t="s">
        <v>61</v>
      </c>
      <c r="G1942" s="1" t="s">
        <v>21</v>
      </c>
      <c r="H1942" s="2">
        <v>1201.0</v>
      </c>
      <c r="I1942" s="2">
        <v>1993.0</v>
      </c>
      <c r="J1942" s="1">
        <v>1963.0</v>
      </c>
      <c r="K1942" s="1">
        <v>86.0</v>
      </c>
      <c r="L1942" s="1" t="s">
        <v>141</v>
      </c>
      <c r="M1942" s="1" t="s">
        <v>7806</v>
      </c>
      <c r="N1942" s="1" t="s">
        <v>34</v>
      </c>
      <c r="O1942" s="1" t="s">
        <v>35</v>
      </c>
      <c r="P1942" s="1" t="s">
        <v>7807</v>
      </c>
    </row>
    <row r="1943" ht="14.25" customHeight="1">
      <c r="A1943" s="1" t="s">
        <v>7808</v>
      </c>
      <c r="B1943" s="1" t="s">
        <v>7809</v>
      </c>
      <c r="C1943" s="1" t="s">
        <v>53</v>
      </c>
      <c r="D1943" s="1">
        <v>19495.0</v>
      </c>
      <c r="E1943" s="1" t="s">
        <v>19</v>
      </c>
      <c r="F1943" s="1" t="s">
        <v>61</v>
      </c>
      <c r="G1943" s="1" t="s">
        <v>31</v>
      </c>
      <c r="H1943" s="2">
        <v>1809.0</v>
      </c>
      <c r="I1943" s="2">
        <v>4278.0</v>
      </c>
      <c r="J1943" s="1">
        <v>1988.0</v>
      </c>
      <c r="K1943" s="1">
        <v>116.0</v>
      </c>
      <c r="L1943" s="1" t="s">
        <v>95</v>
      </c>
      <c r="M1943" s="1" t="s">
        <v>7810</v>
      </c>
      <c r="N1943" s="1" t="s">
        <v>34</v>
      </c>
      <c r="O1943" s="1" t="s">
        <v>49</v>
      </c>
      <c r="P1943" s="1" t="s">
        <v>7811</v>
      </c>
    </row>
    <row r="1944" ht="14.25" customHeight="1">
      <c r="A1944" s="1" t="s">
        <v>7812</v>
      </c>
      <c r="B1944" s="1" t="s">
        <v>7813</v>
      </c>
      <c r="C1944" s="1" t="s">
        <v>53</v>
      </c>
      <c r="D1944" s="1">
        <v>91480.0</v>
      </c>
      <c r="E1944" s="1" t="s">
        <v>60</v>
      </c>
      <c r="F1944" s="1" t="s">
        <v>54</v>
      </c>
      <c r="G1944" s="1" t="s">
        <v>55</v>
      </c>
      <c r="H1944" s="2">
        <v>1452.0</v>
      </c>
      <c r="I1944" s="2">
        <v>4743.0</v>
      </c>
      <c r="J1944" s="1">
        <v>2011.0</v>
      </c>
      <c r="K1944" s="1">
        <v>61.0</v>
      </c>
      <c r="L1944" s="1" t="s">
        <v>141</v>
      </c>
      <c r="M1944" s="1" t="s">
        <v>7814</v>
      </c>
      <c r="N1944" s="1" t="s">
        <v>48</v>
      </c>
      <c r="O1944" s="1" t="s">
        <v>35</v>
      </c>
      <c r="P1944" s="1" t="s">
        <v>7815</v>
      </c>
    </row>
    <row r="1945" ht="14.25" customHeight="1">
      <c r="A1945" s="1" t="s">
        <v>7816</v>
      </c>
      <c r="B1945" s="1" t="s">
        <v>7817</v>
      </c>
      <c r="C1945" s="1" t="s">
        <v>29</v>
      </c>
      <c r="D1945" s="1">
        <v>93059.0</v>
      </c>
      <c r="E1945" s="1" t="s">
        <v>30</v>
      </c>
      <c r="F1945" s="1" t="s">
        <v>20</v>
      </c>
      <c r="G1945" s="1" t="s">
        <v>100</v>
      </c>
      <c r="H1945" s="2">
        <v>3185.0</v>
      </c>
      <c r="I1945" s="2">
        <v>3030.0</v>
      </c>
      <c r="J1945" s="1">
        <v>1987.0</v>
      </c>
      <c r="K1945" s="1">
        <v>51.0</v>
      </c>
      <c r="L1945" s="1" t="s">
        <v>95</v>
      </c>
      <c r="M1945" s="1" t="s">
        <v>7818</v>
      </c>
      <c r="N1945" s="1" t="s">
        <v>48</v>
      </c>
      <c r="O1945" s="1" t="s">
        <v>25</v>
      </c>
      <c r="P1945" s="1" t="s">
        <v>7819</v>
      </c>
    </row>
    <row r="1946" ht="14.25" customHeight="1">
      <c r="A1946" s="1" t="s">
        <v>7820</v>
      </c>
      <c r="B1946" s="1" t="s">
        <v>7821</v>
      </c>
      <c r="C1946" s="1" t="s">
        <v>18</v>
      </c>
      <c r="D1946" s="1">
        <v>36616.0</v>
      </c>
      <c r="E1946" s="1" t="s">
        <v>30</v>
      </c>
      <c r="F1946" s="1" t="s">
        <v>46</v>
      </c>
      <c r="G1946" s="1" t="s">
        <v>55</v>
      </c>
      <c r="H1946" s="2">
        <v>2357.0</v>
      </c>
      <c r="I1946" s="2">
        <v>5185.0</v>
      </c>
      <c r="J1946" s="1">
        <v>1957.0</v>
      </c>
      <c r="K1946" s="1">
        <v>25.0</v>
      </c>
      <c r="L1946" s="1" t="s">
        <v>32</v>
      </c>
      <c r="M1946" s="1" t="s">
        <v>7822</v>
      </c>
      <c r="N1946" s="1" t="s">
        <v>34</v>
      </c>
      <c r="O1946" s="1" t="s">
        <v>35</v>
      </c>
      <c r="P1946" s="1" t="s">
        <v>7823</v>
      </c>
    </row>
    <row r="1947" ht="14.25" customHeight="1">
      <c r="A1947" s="1" t="s">
        <v>7824</v>
      </c>
      <c r="B1947" s="1" t="s">
        <v>7825</v>
      </c>
      <c r="C1947" s="1" t="s">
        <v>39</v>
      </c>
      <c r="D1947" s="1">
        <v>53456.0</v>
      </c>
      <c r="E1947" s="1" t="s">
        <v>77</v>
      </c>
      <c r="F1947" s="1" t="s">
        <v>20</v>
      </c>
      <c r="G1947" s="1" t="s">
        <v>21</v>
      </c>
      <c r="H1947" s="2">
        <v>2934.0</v>
      </c>
      <c r="I1947" s="2">
        <v>1484.0</v>
      </c>
      <c r="J1947" s="1">
        <v>2001.0</v>
      </c>
      <c r="K1947" s="1">
        <v>4.0</v>
      </c>
      <c r="L1947" s="1" t="s">
        <v>22</v>
      </c>
      <c r="M1947" s="1" t="s">
        <v>7826</v>
      </c>
      <c r="N1947" s="1" t="s">
        <v>64</v>
      </c>
      <c r="O1947" s="1" t="s">
        <v>49</v>
      </c>
      <c r="P1947" s="1" t="s">
        <v>7827</v>
      </c>
    </row>
    <row r="1948" ht="14.25" customHeight="1">
      <c r="A1948" s="1" t="s">
        <v>7828</v>
      </c>
      <c r="B1948" s="1" t="s">
        <v>7829</v>
      </c>
      <c r="C1948" s="1" t="s">
        <v>39</v>
      </c>
      <c r="D1948" s="1">
        <v>55641.0</v>
      </c>
      <c r="E1948" s="1" t="s">
        <v>30</v>
      </c>
      <c r="F1948" s="1" t="s">
        <v>41</v>
      </c>
      <c r="G1948" s="1" t="s">
        <v>31</v>
      </c>
      <c r="H1948" s="2">
        <v>2681.0</v>
      </c>
      <c r="I1948" s="2">
        <v>3662.0</v>
      </c>
      <c r="J1948" s="1">
        <v>2013.0</v>
      </c>
      <c r="K1948" s="1">
        <v>115.0</v>
      </c>
      <c r="L1948" s="1" t="s">
        <v>22</v>
      </c>
      <c r="M1948" s="1" t="s">
        <v>7830</v>
      </c>
      <c r="N1948" s="1" t="s">
        <v>64</v>
      </c>
      <c r="O1948" s="1" t="s">
        <v>35</v>
      </c>
      <c r="P1948" s="1" t="s">
        <v>7831</v>
      </c>
    </row>
    <row r="1949" ht="14.25" customHeight="1">
      <c r="A1949" s="1" t="s">
        <v>7832</v>
      </c>
      <c r="B1949" s="1" t="s">
        <v>7833</v>
      </c>
      <c r="C1949" s="1" t="s">
        <v>18</v>
      </c>
      <c r="D1949" s="1">
        <v>23424.0</v>
      </c>
      <c r="E1949" s="1" t="s">
        <v>77</v>
      </c>
      <c r="F1949" s="1" t="s">
        <v>61</v>
      </c>
      <c r="G1949" s="1" t="s">
        <v>55</v>
      </c>
      <c r="H1949" s="2">
        <v>3202.0</v>
      </c>
      <c r="I1949" s="2">
        <v>1468.0</v>
      </c>
      <c r="J1949" s="1">
        <v>1992.0</v>
      </c>
      <c r="K1949" s="1">
        <v>66.0</v>
      </c>
      <c r="L1949" s="1" t="s">
        <v>95</v>
      </c>
      <c r="M1949" s="1" t="s">
        <v>7834</v>
      </c>
      <c r="N1949" s="1" t="s">
        <v>34</v>
      </c>
      <c r="O1949" s="1" t="s">
        <v>25</v>
      </c>
      <c r="P1949" s="1" t="s">
        <v>7835</v>
      </c>
    </row>
    <row r="1950" ht="14.25" customHeight="1">
      <c r="A1950" s="1" t="s">
        <v>7836</v>
      </c>
      <c r="B1950" s="1" t="s">
        <v>7837</v>
      </c>
      <c r="C1950" s="1" t="s">
        <v>18</v>
      </c>
      <c r="D1950" s="1">
        <v>75241.0</v>
      </c>
      <c r="E1950" s="1" t="s">
        <v>30</v>
      </c>
      <c r="F1950" s="1" t="s">
        <v>54</v>
      </c>
      <c r="G1950" s="1" t="s">
        <v>55</v>
      </c>
      <c r="H1950" s="2">
        <v>1908.0</v>
      </c>
      <c r="I1950" s="2">
        <v>3178.0</v>
      </c>
      <c r="J1950" s="1">
        <v>1970.0</v>
      </c>
      <c r="K1950" s="1">
        <v>64.0</v>
      </c>
      <c r="L1950" s="1" t="s">
        <v>32</v>
      </c>
      <c r="M1950" s="1" t="s">
        <v>7838</v>
      </c>
      <c r="N1950" s="1" t="s">
        <v>64</v>
      </c>
      <c r="O1950" s="1" t="s">
        <v>25</v>
      </c>
      <c r="P1950" s="1" t="s">
        <v>7839</v>
      </c>
    </row>
    <row r="1951" ht="14.25" customHeight="1">
      <c r="A1951" s="1" t="s">
        <v>7840</v>
      </c>
      <c r="B1951" s="1" t="s">
        <v>7841</v>
      </c>
      <c r="C1951" s="1" t="s">
        <v>29</v>
      </c>
      <c r="D1951" s="1">
        <v>37778.0</v>
      </c>
      <c r="E1951" s="1" t="s">
        <v>30</v>
      </c>
      <c r="F1951" s="1" t="s">
        <v>54</v>
      </c>
      <c r="G1951" s="1" t="s">
        <v>21</v>
      </c>
      <c r="H1951" s="2">
        <v>3716.0</v>
      </c>
      <c r="I1951" s="2">
        <v>1646.0</v>
      </c>
      <c r="J1951" s="1">
        <v>1967.0</v>
      </c>
      <c r="K1951" s="1">
        <v>47.0</v>
      </c>
      <c r="L1951" s="1" t="s">
        <v>95</v>
      </c>
      <c r="M1951" s="1" t="s">
        <v>7842</v>
      </c>
      <c r="N1951" s="1" t="s">
        <v>43</v>
      </c>
      <c r="O1951" s="1" t="s">
        <v>35</v>
      </c>
      <c r="P1951" s="1" t="s">
        <v>7843</v>
      </c>
    </row>
    <row r="1952" ht="14.25" customHeight="1">
      <c r="A1952" s="1" t="s">
        <v>7844</v>
      </c>
      <c r="B1952" s="1" t="s">
        <v>7845</v>
      </c>
      <c r="C1952" s="1" t="s">
        <v>29</v>
      </c>
      <c r="D1952" s="1">
        <v>19568.0</v>
      </c>
      <c r="E1952" s="1" t="s">
        <v>40</v>
      </c>
      <c r="F1952" s="1" t="s">
        <v>61</v>
      </c>
      <c r="G1952" s="1" t="s">
        <v>21</v>
      </c>
      <c r="H1952" s="2">
        <v>1151.0</v>
      </c>
      <c r="I1952" s="2">
        <v>5402.0</v>
      </c>
      <c r="J1952" s="1">
        <v>2016.0</v>
      </c>
      <c r="K1952" s="1">
        <v>56.0</v>
      </c>
      <c r="L1952" s="1" t="s">
        <v>32</v>
      </c>
      <c r="M1952" s="1" t="s">
        <v>7846</v>
      </c>
      <c r="N1952" s="1" t="s">
        <v>24</v>
      </c>
      <c r="O1952" s="1" t="s">
        <v>25</v>
      </c>
      <c r="P1952" s="1" t="s">
        <v>7847</v>
      </c>
    </row>
    <row r="1953" ht="14.25" customHeight="1">
      <c r="A1953" s="1" t="s">
        <v>7848</v>
      </c>
      <c r="B1953" s="1" t="s">
        <v>7849</v>
      </c>
      <c r="C1953" s="1" t="s">
        <v>53</v>
      </c>
      <c r="D1953" s="1">
        <v>10334.0</v>
      </c>
      <c r="E1953" s="1" t="s">
        <v>60</v>
      </c>
      <c r="F1953" s="1" t="s">
        <v>46</v>
      </c>
      <c r="G1953" s="1" t="s">
        <v>55</v>
      </c>
      <c r="H1953" s="2">
        <v>1655.0</v>
      </c>
      <c r="I1953" s="2">
        <v>8013.0</v>
      </c>
      <c r="J1953" s="1">
        <v>1995.0</v>
      </c>
      <c r="K1953" s="1">
        <v>92.0</v>
      </c>
      <c r="L1953" s="1" t="s">
        <v>95</v>
      </c>
      <c r="M1953" s="1" t="s">
        <v>7850</v>
      </c>
      <c r="N1953" s="1" t="s">
        <v>24</v>
      </c>
      <c r="O1953" s="1" t="s">
        <v>35</v>
      </c>
      <c r="P1953" s="1" t="s">
        <v>7851</v>
      </c>
    </row>
    <row r="1954" ht="14.25" customHeight="1">
      <c r="A1954" s="1" t="s">
        <v>7852</v>
      </c>
      <c r="B1954" s="1" t="s">
        <v>7853</v>
      </c>
      <c r="C1954" s="1" t="s">
        <v>18</v>
      </c>
      <c r="D1954" s="1">
        <v>58326.0</v>
      </c>
      <c r="E1954" s="1" t="s">
        <v>19</v>
      </c>
      <c r="F1954" s="1" t="s">
        <v>41</v>
      </c>
      <c r="G1954" s="1" t="s">
        <v>55</v>
      </c>
      <c r="H1954" s="2">
        <v>1714.0</v>
      </c>
      <c r="I1954" s="2">
        <v>2999.0</v>
      </c>
      <c r="J1954" s="1">
        <v>1962.0</v>
      </c>
      <c r="K1954" s="1">
        <v>107.0</v>
      </c>
      <c r="L1954" s="1" t="s">
        <v>141</v>
      </c>
      <c r="M1954" s="1" t="s">
        <v>7854</v>
      </c>
      <c r="N1954" s="1" t="s">
        <v>48</v>
      </c>
      <c r="O1954" s="1" t="s">
        <v>49</v>
      </c>
      <c r="P1954" s="1" t="s">
        <v>7855</v>
      </c>
    </row>
    <row r="1955" ht="14.25" customHeight="1">
      <c r="A1955" s="1" t="s">
        <v>7856</v>
      </c>
      <c r="B1955" s="1" t="s">
        <v>7857</v>
      </c>
      <c r="C1955" s="1" t="s">
        <v>53</v>
      </c>
      <c r="D1955" s="1">
        <v>48435.0</v>
      </c>
      <c r="E1955" s="1" t="s">
        <v>19</v>
      </c>
      <c r="F1955" s="1" t="s">
        <v>46</v>
      </c>
      <c r="G1955" s="1" t="s">
        <v>55</v>
      </c>
      <c r="H1955" s="2">
        <v>2236.0</v>
      </c>
      <c r="I1955" s="2">
        <v>7897.0</v>
      </c>
      <c r="J1955" s="1">
        <v>2005.0</v>
      </c>
      <c r="K1955" s="1">
        <v>39.0</v>
      </c>
      <c r="L1955" s="1" t="s">
        <v>22</v>
      </c>
      <c r="M1955" s="1" t="s">
        <v>7858</v>
      </c>
      <c r="N1955" s="1" t="s">
        <v>48</v>
      </c>
      <c r="O1955" s="1" t="s">
        <v>25</v>
      </c>
      <c r="P1955" s="1" t="s">
        <v>7859</v>
      </c>
    </row>
    <row r="1956" ht="14.25" customHeight="1">
      <c r="A1956" s="1" t="s">
        <v>7860</v>
      </c>
      <c r="B1956" s="1" t="s">
        <v>7861</v>
      </c>
      <c r="C1956" s="1" t="s">
        <v>29</v>
      </c>
      <c r="D1956" s="1">
        <v>83139.0</v>
      </c>
      <c r="E1956" s="1" t="s">
        <v>30</v>
      </c>
      <c r="F1956" s="1" t="s">
        <v>94</v>
      </c>
      <c r="G1956" s="1" t="s">
        <v>31</v>
      </c>
      <c r="H1956" s="2">
        <v>1174.0</v>
      </c>
      <c r="I1956" s="2">
        <v>7019.0</v>
      </c>
      <c r="J1956" s="1">
        <v>1976.0</v>
      </c>
      <c r="K1956" s="1">
        <v>114.0</v>
      </c>
      <c r="L1956" s="1" t="s">
        <v>62</v>
      </c>
      <c r="M1956" s="1" t="s">
        <v>7862</v>
      </c>
      <c r="N1956" s="1" t="s">
        <v>24</v>
      </c>
      <c r="O1956" s="1" t="s">
        <v>35</v>
      </c>
      <c r="P1956" s="1" t="s">
        <v>7863</v>
      </c>
    </row>
    <row r="1957" ht="14.25" customHeight="1">
      <c r="A1957" s="1" t="s">
        <v>7864</v>
      </c>
      <c r="B1957" s="1" t="s">
        <v>7865</v>
      </c>
      <c r="C1957" s="1" t="s">
        <v>39</v>
      </c>
      <c r="D1957" s="1">
        <v>55598.0</v>
      </c>
      <c r="E1957" s="1" t="s">
        <v>60</v>
      </c>
      <c r="F1957" s="1" t="s">
        <v>41</v>
      </c>
      <c r="G1957" s="1" t="s">
        <v>100</v>
      </c>
      <c r="H1957" s="2">
        <v>2936.0</v>
      </c>
      <c r="I1957" s="2">
        <v>5090.0</v>
      </c>
      <c r="J1957" s="1">
        <v>1970.0</v>
      </c>
      <c r="K1957" s="1">
        <v>38.0</v>
      </c>
      <c r="L1957" s="1" t="s">
        <v>62</v>
      </c>
      <c r="M1957" s="1" t="s">
        <v>7866</v>
      </c>
      <c r="N1957" s="1" t="s">
        <v>43</v>
      </c>
      <c r="O1957" s="1" t="s">
        <v>35</v>
      </c>
      <c r="P1957" s="1" t="s">
        <v>7867</v>
      </c>
    </row>
    <row r="1958" ht="14.25" customHeight="1">
      <c r="A1958" s="1" t="s">
        <v>7868</v>
      </c>
      <c r="B1958" s="1" t="s">
        <v>7869</v>
      </c>
      <c r="C1958" s="1" t="s">
        <v>29</v>
      </c>
      <c r="D1958" s="1">
        <v>49075.0</v>
      </c>
      <c r="E1958" s="1" t="s">
        <v>60</v>
      </c>
      <c r="F1958" s="1" t="s">
        <v>46</v>
      </c>
      <c r="G1958" s="1" t="s">
        <v>55</v>
      </c>
      <c r="H1958" s="2">
        <v>2387.0</v>
      </c>
      <c r="I1958" s="2">
        <v>4993.0</v>
      </c>
      <c r="J1958" s="1">
        <v>1974.0</v>
      </c>
      <c r="K1958" s="1">
        <v>13.0</v>
      </c>
      <c r="L1958" s="1" t="s">
        <v>32</v>
      </c>
      <c r="M1958" s="1" t="s">
        <v>7870</v>
      </c>
      <c r="N1958" s="1" t="s">
        <v>64</v>
      </c>
      <c r="O1958" s="1" t="s">
        <v>25</v>
      </c>
      <c r="P1958" s="1" t="s">
        <v>7871</v>
      </c>
    </row>
    <row r="1959" ht="14.25" customHeight="1">
      <c r="A1959" s="1" t="s">
        <v>7872</v>
      </c>
      <c r="B1959" s="1" t="s">
        <v>7873</v>
      </c>
      <c r="C1959" s="1" t="s">
        <v>39</v>
      </c>
      <c r="D1959" s="1">
        <v>97171.0</v>
      </c>
      <c r="E1959" s="1" t="s">
        <v>60</v>
      </c>
      <c r="F1959" s="1" t="s">
        <v>41</v>
      </c>
      <c r="G1959" s="1" t="s">
        <v>55</v>
      </c>
      <c r="H1959" s="2">
        <v>1370.0</v>
      </c>
      <c r="I1959" s="2">
        <v>4487.0</v>
      </c>
      <c r="J1959" s="1">
        <v>1974.0</v>
      </c>
      <c r="K1959" s="1">
        <v>11.0</v>
      </c>
      <c r="L1959" s="1" t="s">
        <v>22</v>
      </c>
      <c r="M1959" s="1" t="s">
        <v>7874</v>
      </c>
      <c r="N1959" s="1" t="s">
        <v>34</v>
      </c>
      <c r="O1959" s="1" t="s">
        <v>49</v>
      </c>
      <c r="P1959" s="1" t="s">
        <v>7875</v>
      </c>
    </row>
    <row r="1960" ht="14.25" customHeight="1">
      <c r="A1960" s="1" t="s">
        <v>7876</v>
      </c>
      <c r="B1960" s="1" t="s">
        <v>7877</v>
      </c>
      <c r="C1960" s="1" t="s">
        <v>18</v>
      </c>
      <c r="D1960" s="1">
        <v>52184.0</v>
      </c>
      <c r="E1960" s="1" t="s">
        <v>40</v>
      </c>
      <c r="F1960" s="1" t="s">
        <v>54</v>
      </c>
      <c r="G1960" s="1" t="s">
        <v>100</v>
      </c>
      <c r="H1960" s="2">
        <v>3929.0</v>
      </c>
      <c r="I1960" s="2">
        <v>9053.0</v>
      </c>
      <c r="J1960" s="1">
        <v>2004.0</v>
      </c>
      <c r="K1960" s="1">
        <v>67.0</v>
      </c>
      <c r="L1960" s="1" t="s">
        <v>32</v>
      </c>
      <c r="M1960" s="1" t="s">
        <v>7878</v>
      </c>
      <c r="N1960" s="1" t="s">
        <v>34</v>
      </c>
      <c r="O1960" s="1" t="s">
        <v>49</v>
      </c>
      <c r="P1960" s="1" t="s">
        <v>7879</v>
      </c>
    </row>
    <row r="1961" ht="14.25" customHeight="1">
      <c r="A1961" s="1" t="s">
        <v>7880</v>
      </c>
      <c r="B1961" s="1" t="s">
        <v>7881</v>
      </c>
      <c r="C1961" s="1" t="s">
        <v>76</v>
      </c>
      <c r="D1961" s="1">
        <v>12658.0</v>
      </c>
      <c r="E1961" s="1" t="s">
        <v>19</v>
      </c>
      <c r="F1961" s="1" t="s">
        <v>20</v>
      </c>
      <c r="G1961" s="1" t="s">
        <v>55</v>
      </c>
      <c r="H1961" s="2">
        <v>1078.0</v>
      </c>
      <c r="I1961" s="2">
        <v>7511.0</v>
      </c>
      <c r="J1961" s="1">
        <v>2021.0</v>
      </c>
      <c r="K1961" s="1">
        <v>82.0</v>
      </c>
      <c r="L1961" s="1" t="s">
        <v>141</v>
      </c>
      <c r="M1961" s="1" t="s">
        <v>7882</v>
      </c>
      <c r="N1961" s="1" t="s">
        <v>34</v>
      </c>
      <c r="O1961" s="1" t="s">
        <v>49</v>
      </c>
      <c r="P1961" s="1" t="s">
        <v>7883</v>
      </c>
    </row>
    <row r="1962" ht="14.25" customHeight="1">
      <c r="A1962" s="1" t="s">
        <v>7884</v>
      </c>
      <c r="B1962" s="1" t="s">
        <v>7885</v>
      </c>
      <c r="C1962" s="1" t="s">
        <v>53</v>
      </c>
      <c r="D1962" s="1">
        <v>79098.0</v>
      </c>
      <c r="E1962" s="1" t="s">
        <v>77</v>
      </c>
      <c r="F1962" s="1" t="s">
        <v>41</v>
      </c>
      <c r="G1962" s="1" t="s">
        <v>31</v>
      </c>
      <c r="H1962" s="2">
        <v>610.0</v>
      </c>
      <c r="I1962" s="2">
        <v>2830.0</v>
      </c>
      <c r="J1962" s="1">
        <v>2012.0</v>
      </c>
      <c r="K1962" s="1">
        <v>18.0</v>
      </c>
      <c r="L1962" s="1" t="s">
        <v>95</v>
      </c>
      <c r="M1962" s="1" t="s">
        <v>7886</v>
      </c>
      <c r="N1962" s="1" t="s">
        <v>43</v>
      </c>
      <c r="O1962" s="1" t="s">
        <v>35</v>
      </c>
      <c r="P1962" s="1" t="s">
        <v>7887</v>
      </c>
    </row>
    <row r="1963" ht="14.25" customHeight="1">
      <c r="A1963" s="1" t="s">
        <v>7888</v>
      </c>
      <c r="B1963" s="1" t="s">
        <v>7889</v>
      </c>
      <c r="C1963" s="1" t="s">
        <v>39</v>
      </c>
      <c r="D1963" s="1">
        <v>12670.0</v>
      </c>
      <c r="E1963" s="1" t="s">
        <v>40</v>
      </c>
      <c r="F1963" s="1" t="s">
        <v>41</v>
      </c>
      <c r="G1963" s="1" t="s">
        <v>100</v>
      </c>
      <c r="H1963" s="2">
        <v>1401.0</v>
      </c>
      <c r="I1963" s="2">
        <v>8075.0</v>
      </c>
      <c r="J1963" s="1">
        <v>1978.0</v>
      </c>
      <c r="K1963" s="1">
        <v>10.0</v>
      </c>
      <c r="L1963" s="1" t="s">
        <v>62</v>
      </c>
      <c r="M1963" s="1" t="s">
        <v>7890</v>
      </c>
      <c r="N1963" s="1" t="s">
        <v>48</v>
      </c>
      <c r="O1963" s="1" t="s">
        <v>49</v>
      </c>
      <c r="P1963" s="1" t="s">
        <v>7891</v>
      </c>
    </row>
    <row r="1964" ht="14.25" customHeight="1">
      <c r="A1964" s="1" t="s">
        <v>7892</v>
      </c>
      <c r="B1964" s="1" t="s">
        <v>7893</v>
      </c>
      <c r="C1964" s="1" t="s">
        <v>39</v>
      </c>
      <c r="D1964" s="1">
        <v>33000.0</v>
      </c>
      <c r="E1964" s="1" t="s">
        <v>30</v>
      </c>
      <c r="F1964" s="1" t="s">
        <v>46</v>
      </c>
      <c r="G1964" s="1" t="s">
        <v>31</v>
      </c>
      <c r="H1964" s="2">
        <v>771.0</v>
      </c>
      <c r="I1964" s="2">
        <v>1654.0</v>
      </c>
      <c r="J1964" s="1">
        <v>2005.0</v>
      </c>
      <c r="K1964" s="1">
        <v>2.0</v>
      </c>
      <c r="L1964" s="1" t="s">
        <v>32</v>
      </c>
      <c r="M1964" s="1" t="s">
        <v>7894</v>
      </c>
      <c r="N1964" s="1" t="s">
        <v>24</v>
      </c>
      <c r="O1964" s="1" t="s">
        <v>49</v>
      </c>
      <c r="P1964" s="1" t="s">
        <v>7895</v>
      </c>
    </row>
    <row r="1965" ht="14.25" customHeight="1">
      <c r="A1965" s="1" t="s">
        <v>7896</v>
      </c>
      <c r="B1965" s="1" t="s">
        <v>7897</v>
      </c>
      <c r="C1965" s="1" t="s">
        <v>39</v>
      </c>
      <c r="D1965" s="1">
        <v>34584.0</v>
      </c>
      <c r="E1965" s="1" t="s">
        <v>40</v>
      </c>
      <c r="F1965" s="1" t="s">
        <v>61</v>
      </c>
      <c r="G1965" s="1" t="s">
        <v>100</v>
      </c>
      <c r="H1965" s="2">
        <v>3118.0</v>
      </c>
      <c r="I1965" s="2">
        <v>5948.0</v>
      </c>
      <c r="J1965" s="1">
        <v>1992.0</v>
      </c>
      <c r="K1965" s="1">
        <v>48.0</v>
      </c>
      <c r="L1965" s="1" t="s">
        <v>141</v>
      </c>
      <c r="M1965" s="1" t="s">
        <v>7898</v>
      </c>
      <c r="N1965" s="1" t="s">
        <v>34</v>
      </c>
      <c r="O1965" s="1" t="s">
        <v>35</v>
      </c>
      <c r="P1965" s="1" t="s">
        <v>7899</v>
      </c>
    </row>
    <row r="1966" ht="14.25" customHeight="1">
      <c r="A1966" s="1" t="s">
        <v>7900</v>
      </c>
      <c r="B1966" s="1" t="s">
        <v>7901</v>
      </c>
      <c r="C1966" s="1" t="s">
        <v>39</v>
      </c>
      <c r="D1966" s="1">
        <v>14344.0</v>
      </c>
      <c r="E1966" s="1" t="s">
        <v>19</v>
      </c>
      <c r="F1966" s="1" t="s">
        <v>94</v>
      </c>
      <c r="G1966" s="1" t="s">
        <v>100</v>
      </c>
      <c r="H1966" s="2">
        <v>698.0</v>
      </c>
      <c r="I1966" s="2">
        <v>7266.0</v>
      </c>
      <c r="J1966" s="1">
        <v>2004.0</v>
      </c>
      <c r="K1966" s="1">
        <v>48.0</v>
      </c>
      <c r="L1966" s="1" t="s">
        <v>141</v>
      </c>
      <c r="M1966" s="1" t="s">
        <v>7902</v>
      </c>
      <c r="N1966" s="1" t="s">
        <v>48</v>
      </c>
      <c r="O1966" s="1" t="s">
        <v>35</v>
      </c>
      <c r="P1966" s="1" t="s">
        <v>7903</v>
      </c>
    </row>
    <row r="1967" ht="14.25" customHeight="1">
      <c r="A1967" s="1" t="s">
        <v>7904</v>
      </c>
      <c r="B1967" s="1" t="s">
        <v>7905</v>
      </c>
      <c r="C1967" s="1" t="s">
        <v>76</v>
      </c>
      <c r="D1967" s="1">
        <v>21963.0</v>
      </c>
      <c r="E1967" s="1" t="s">
        <v>40</v>
      </c>
      <c r="F1967" s="1" t="s">
        <v>46</v>
      </c>
      <c r="G1967" s="1" t="s">
        <v>31</v>
      </c>
      <c r="H1967" s="2">
        <v>852.0</v>
      </c>
      <c r="I1967" s="2">
        <v>5560.0</v>
      </c>
      <c r="J1967" s="1">
        <v>1950.0</v>
      </c>
      <c r="K1967" s="1">
        <v>75.0</v>
      </c>
      <c r="L1967" s="1" t="s">
        <v>32</v>
      </c>
      <c r="M1967" s="1" t="s">
        <v>7906</v>
      </c>
      <c r="N1967" s="1" t="s">
        <v>24</v>
      </c>
      <c r="O1967" s="1" t="s">
        <v>49</v>
      </c>
      <c r="P1967" s="1" t="s">
        <v>7907</v>
      </c>
    </row>
    <row r="1968" ht="14.25" customHeight="1">
      <c r="A1968" s="1" t="s">
        <v>7908</v>
      </c>
      <c r="B1968" s="1" t="s">
        <v>7909</v>
      </c>
      <c r="C1968" s="1" t="s">
        <v>53</v>
      </c>
      <c r="D1968" s="1">
        <v>32546.0</v>
      </c>
      <c r="E1968" s="1" t="s">
        <v>40</v>
      </c>
      <c r="F1968" s="1" t="s">
        <v>54</v>
      </c>
      <c r="G1968" s="1" t="s">
        <v>55</v>
      </c>
      <c r="H1968" s="2">
        <v>1433.0</v>
      </c>
      <c r="I1968" s="2">
        <v>1541.0</v>
      </c>
      <c r="J1968" s="1">
        <v>1968.0</v>
      </c>
      <c r="K1968" s="1">
        <v>76.0</v>
      </c>
      <c r="L1968" s="1" t="s">
        <v>141</v>
      </c>
      <c r="M1968" s="1" t="s">
        <v>7910</v>
      </c>
      <c r="N1968" s="1" t="s">
        <v>43</v>
      </c>
      <c r="O1968" s="1" t="s">
        <v>35</v>
      </c>
      <c r="P1968" s="1" t="s">
        <v>7911</v>
      </c>
    </row>
    <row r="1969" ht="14.25" customHeight="1">
      <c r="A1969" s="1" t="s">
        <v>7912</v>
      </c>
      <c r="B1969" s="1" t="s">
        <v>7913</v>
      </c>
      <c r="C1969" s="1" t="s">
        <v>29</v>
      </c>
      <c r="D1969" s="1">
        <v>39951.0</v>
      </c>
      <c r="E1969" s="1" t="s">
        <v>30</v>
      </c>
      <c r="F1969" s="1" t="s">
        <v>46</v>
      </c>
      <c r="G1969" s="1" t="s">
        <v>100</v>
      </c>
      <c r="H1969" s="2">
        <v>856.0</v>
      </c>
      <c r="I1969" s="2">
        <v>6238.0</v>
      </c>
      <c r="J1969" s="1">
        <v>1952.0</v>
      </c>
      <c r="K1969" s="1">
        <v>102.0</v>
      </c>
      <c r="L1969" s="1" t="s">
        <v>62</v>
      </c>
      <c r="M1969" s="1" t="s">
        <v>7914</v>
      </c>
      <c r="N1969" s="1" t="s">
        <v>48</v>
      </c>
      <c r="O1969" s="1" t="s">
        <v>35</v>
      </c>
      <c r="P1969" s="1" t="s">
        <v>7915</v>
      </c>
    </row>
    <row r="1970" ht="14.25" customHeight="1">
      <c r="A1970" s="1" t="s">
        <v>7916</v>
      </c>
      <c r="B1970" s="1" t="s">
        <v>7917</v>
      </c>
      <c r="C1970" s="1" t="s">
        <v>39</v>
      </c>
      <c r="D1970" s="1">
        <v>16246.0</v>
      </c>
      <c r="E1970" s="1" t="s">
        <v>60</v>
      </c>
      <c r="F1970" s="1" t="s">
        <v>20</v>
      </c>
      <c r="G1970" s="1" t="s">
        <v>31</v>
      </c>
      <c r="H1970" s="2">
        <v>2888.0</v>
      </c>
      <c r="I1970" s="2">
        <v>6119.0</v>
      </c>
      <c r="J1970" s="1">
        <v>1950.0</v>
      </c>
      <c r="K1970" s="1">
        <v>79.0</v>
      </c>
      <c r="L1970" s="1" t="s">
        <v>22</v>
      </c>
      <c r="M1970" s="1" t="s">
        <v>7918</v>
      </c>
      <c r="N1970" s="1" t="s">
        <v>64</v>
      </c>
      <c r="O1970" s="1" t="s">
        <v>35</v>
      </c>
      <c r="P1970" s="1" t="s">
        <v>7919</v>
      </c>
    </row>
    <row r="1971" ht="14.25" customHeight="1">
      <c r="A1971" s="1" t="s">
        <v>7920</v>
      </c>
      <c r="B1971" s="1" t="s">
        <v>7921</v>
      </c>
      <c r="C1971" s="1" t="s">
        <v>18</v>
      </c>
      <c r="D1971" s="1">
        <v>35455.0</v>
      </c>
      <c r="E1971" s="1" t="s">
        <v>77</v>
      </c>
      <c r="F1971" s="1" t="s">
        <v>41</v>
      </c>
      <c r="G1971" s="1" t="s">
        <v>100</v>
      </c>
      <c r="H1971" s="2">
        <v>1299.0</v>
      </c>
      <c r="I1971" s="2">
        <v>5533.0</v>
      </c>
      <c r="J1971" s="1">
        <v>2009.0</v>
      </c>
      <c r="K1971" s="1">
        <v>84.0</v>
      </c>
      <c r="L1971" s="1" t="s">
        <v>95</v>
      </c>
      <c r="M1971" s="1" t="s">
        <v>7922</v>
      </c>
      <c r="N1971" s="1" t="s">
        <v>24</v>
      </c>
      <c r="O1971" s="1" t="s">
        <v>35</v>
      </c>
      <c r="P1971" s="1" t="s">
        <v>7923</v>
      </c>
    </row>
    <row r="1972" ht="14.25" customHeight="1">
      <c r="A1972" s="1" t="s">
        <v>7924</v>
      </c>
      <c r="B1972" s="1" t="s">
        <v>7925</v>
      </c>
      <c r="C1972" s="1" t="s">
        <v>53</v>
      </c>
      <c r="D1972" s="1">
        <v>78192.0</v>
      </c>
      <c r="E1972" s="1" t="s">
        <v>40</v>
      </c>
      <c r="F1972" s="1" t="s">
        <v>41</v>
      </c>
      <c r="G1972" s="1" t="s">
        <v>21</v>
      </c>
      <c r="H1972" s="2">
        <v>3928.0</v>
      </c>
      <c r="I1972" s="2">
        <v>8181.0</v>
      </c>
      <c r="J1972" s="1">
        <v>2009.0</v>
      </c>
      <c r="K1972" s="1">
        <v>86.0</v>
      </c>
      <c r="L1972" s="1" t="s">
        <v>141</v>
      </c>
      <c r="M1972" s="1" t="s">
        <v>7926</v>
      </c>
      <c r="N1972" s="1" t="s">
        <v>64</v>
      </c>
      <c r="O1972" s="1" t="s">
        <v>49</v>
      </c>
      <c r="P1972" s="1" t="s">
        <v>7927</v>
      </c>
    </row>
    <row r="1973" ht="14.25" customHeight="1">
      <c r="A1973" s="1" t="s">
        <v>7928</v>
      </c>
      <c r="B1973" s="1" t="s">
        <v>7929</v>
      </c>
      <c r="C1973" s="1" t="s">
        <v>53</v>
      </c>
      <c r="D1973" s="1">
        <v>63105.0</v>
      </c>
      <c r="E1973" s="1" t="s">
        <v>30</v>
      </c>
      <c r="F1973" s="1" t="s">
        <v>54</v>
      </c>
      <c r="G1973" s="1" t="s">
        <v>31</v>
      </c>
      <c r="H1973" s="2">
        <v>3236.0</v>
      </c>
      <c r="I1973" s="2">
        <v>2657.0</v>
      </c>
      <c r="J1973" s="1">
        <v>1953.0</v>
      </c>
      <c r="K1973" s="1">
        <v>17.0</v>
      </c>
      <c r="L1973" s="1" t="s">
        <v>32</v>
      </c>
      <c r="M1973" s="1" t="s">
        <v>7930</v>
      </c>
      <c r="N1973" s="1" t="s">
        <v>24</v>
      </c>
      <c r="O1973" s="1" t="s">
        <v>25</v>
      </c>
      <c r="P1973" s="1" t="s">
        <v>7931</v>
      </c>
    </row>
    <row r="1974" ht="14.25" customHeight="1">
      <c r="A1974" s="1" t="s">
        <v>7932</v>
      </c>
      <c r="B1974" s="1" t="s">
        <v>7933</v>
      </c>
      <c r="C1974" s="1" t="s">
        <v>18</v>
      </c>
      <c r="D1974" s="1">
        <v>57203.0</v>
      </c>
      <c r="E1974" s="1" t="s">
        <v>19</v>
      </c>
      <c r="F1974" s="1" t="s">
        <v>41</v>
      </c>
      <c r="G1974" s="1" t="s">
        <v>55</v>
      </c>
      <c r="H1974" s="2">
        <v>894.0</v>
      </c>
      <c r="I1974" s="2">
        <v>8876.0</v>
      </c>
      <c r="J1974" s="1">
        <v>1974.0</v>
      </c>
      <c r="K1974" s="1">
        <v>68.0</v>
      </c>
      <c r="L1974" s="1" t="s">
        <v>141</v>
      </c>
      <c r="M1974" s="1" t="s">
        <v>7934</v>
      </c>
      <c r="N1974" s="1" t="s">
        <v>43</v>
      </c>
      <c r="O1974" s="1" t="s">
        <v>49</v>
      </c>
      <c r="P1974" s="1" t="s">
        <v>7935</v>
      </c>
    </row>
    <row r="1975" ht="14.25" customHeight="1">
      <c r="A1975" s="1" t="s">
        <v>7936</v>
      </c>
      <c r="B1975" s="1" t="s">
        <v>7937</v>
      </c>
      <c r="C1975" s="1" t="s">
        <v>39</v>
      </c>
      <c r="D1975" s="1">
        <v>45847.0</v>
      </c>
      <c r="E1975" s="1" t="s">
        <v>77</v>
      </c>
      <c r="F1975" s="1" t="s">
        <v>54</v>
      </c>
      <c r="G1975" s="1" t="s">
        <v>55</v>
      </c>
      <c r="H1975" s="2">
        <v>944.0</v>
      </c>
      <c r="I1975" s="2">
        <v>3051.0</v>
      </c>
      <c r="J1975" s="1">
        <v>1977.0</v>
      </c>
      <c r="K1975" s="1">
        <v>29.0</v>
      </c>
      <c r="L1975" s="1" t="s">
        <v>22</v>
      </c>
      <c r="M1975" s="1" t="s">
        <v>7938</v>
      </c>
      <c r="N1975" s="1" t="s">
        <v>64</v>
      </c>
      <c r="O1975" s="1" t="s">
        <v>35</v>
      </c>
      <c r="P1975" s="1" t="s">
        <v>7939</v>
      </c>
    </row>
    <row r="1976" ht="14.25" customHeight="1">
      <c r="A1976" s="1" t="s">
        <v>7940</v>
      </c>
      <c r="B1976" s="1" t="s">
        <v>7941</v>
      </c>
      <c r="C1976" s="1" t="s">
        <v>39</v>
      </c>
      <c r="D1976" s="1">
        <v>60641.0</v>
      </c>
      <c r="E1976" s="1" t="s">
        <v>19</v>
      </c>
      <c r="F1976" s="1" t="s">
        <v>20</v>
      </c>
      <c r="G1976" s="1" t="s">
        <v>21</v>
      </c>
      <c r="H1976" s="2">
        <v>2126.0</v>
      </c>
      <c r="I1976" s="2">
        <v>6335.0</v>
      </c>
      <c r="J1976" s="1">
        <v>2017.0</v>
      </c>
      <c r="K1976" s="1">
        <v>18.0</v>
      </c>
      <c r="L1976" s="1" t="s">
        <v>141</v>
      </c>
      <c r="M1976" s="1" t="s">
        <v>7942</v>
      </c>
      <c r="N1976" s="1" t="s">
        <v>43</v>
      </c>
      <c r="O1976" s="1" t="s">
        <v>49</v>
      </c>
      <c r="P1976" s="1" t="s">
        <v>7943</v>
      </c>
    </row>
    <row r="1977" ht="14.25" customHeight="1">
      <c r="A1977" s="1" t="s">
        <v>7944</v>
      </c>
      <c r="B1977" s="1" t="s">
        <v>7945</v>
      </c>
      <c r="C1977" s="1" t="s">
        <v>39</v>
      </c>
      <c r="D1977" s="1">
        <v>37566.0</v>
      </c>
      <c r="E1977" s="1" t="s">
        <v>30</v>
      </c>
      <c r="F1977" s="1" t="s">
        <v>20</v>
      </c>
      <c r="G1977" s="1" t="s">
        <v>21</v>
      </c>
      <c r="H1977" s="2">
        <v>2862.0</v>
      </c>
      <c r="I1977" s="2">
        <v>8852.0</v>
      </c>
      <c r="J1977" s="1">
        <v>2016.0</v>
      </c>
      <c r="K1977" s="1">
        <v>69.0</v>
      </c>
      <c r="L1977" s="1" t="s">
        <v>32</v>
      </c>
      <c r="M1977" s="1" t="s">
        <v>7946</v>
      </c>
      <c r="N1977" s="1" t="s">
        <v>48</v>
      </c>
      <c r="O1977" s="1" t="s">
        <v>35</v>
      </c>
      <c r="P1977" s="1" t="s">
        <v>7947</v>
      </c>
    </row>
    <row r="1978" ht="14.25" customHeight="1">
      <c r="A1978" s="1" t="s">
        <v>7948</v>
      </c>
      <c r="B1978" s="1" t="s">
        <v>7949</v>
      </c>
      <c r="C1978" s="1" t="s">
        <v>39</v>
      </c>
      <c r="D1978" s="1">
        <v>96591.0</v>
      </c>
      <c r="E1978" s="1" t="s">
        <v>30</v>
      </c>
      <c r="F1978" s="1" t="s">
        <v>61</v>
      </c>
      <c r="G1978" s="1" t="s">
        <v>100</v>
      </c>
      <c r="H1978" s="2">
        <v>3739.0</v>
      </c>
      <c r="I1978" s="2">
        <v>8398.0</v>
      </c>
      <c r="J1978" s="1">
        <v>1997.0</v>
      </c>
      <c r="K1978" s="1">
        <v>52.0</v>
      </c>
      <c r="L1978" s="1" t="s">
        <v>22</v>
      </c>
      <c r="M1978" s="1" t="s">
        <v>7950</v>
      </c>
      <c r="N1978" s="1" t="s">
        <v>43</v>
      </c>
      <c r="O1978" s="1" t="s">
        <v>49</v>
      </c>
      <c r="P1978" s="1" t="s">
        <v>7951</v>
      </c>
    </row>
    <row r="1979" ht="14.25" customHeight="1">
      <c r="A1979" s="1" t="s">
        <v>7952</v>
      </c>
      <c r="B1979" s="1" t="s">
        <v>7953</v>
      </c>
      <c r="C1979" s="1" t="s">
        <v>39</v>
      </c>
      <c r="D1979" s="1">
        <v>25541.0</v>
      </c>
      <c r="E1979" s="1" t="s">
        <v>40</v>
      </c>
      <c r="F1979" s="1" t="s">
        <v>46</v>
      </c>
      <c r="G1979" s="1" t="s">
        <v>55</v>
      </c>
      <c r="H1979" s="2">
        <v>2055.0</v>
      </c>
      <c r="I1979" s="2">
        <v>6683.0</v>
      </c>
      <c r="J1979" s="1">
        <v>1984.0</v>
      </c>
      <c r="K1979" s="1">
        <v>104.0</v>
      </c>
      <c r="L1979" s="1" t="s">
        <v>32</v>
      </c>
      <c r="M1979" s="1" t="s">
        <v>7954</v>
      </c>
      <c r="N1979" s="1" t="s">
        <v>34</v>
      </c>
      <c r="O1979" s="1" t="s">
        <v>49</v>
      </c>
      <c r="P1979" s="1" t="s">
        <v>7955</v>
      </c>
    </row>
    <row r="1980" ht="14.25" customHeight="1">
      <c r="A1980" s="1" t="s">
        <v>7956</v>
      </c>
      <c r="B1980" s="1" t="s">
        <v>7957</v>
      </c>
      <c r="C1980" s="1" t="s">
        <v>76</v>
      </c>
      <c r="D1980" s="1">
        <v>69345.0</v>
      </c>
      <c r="E1980" s="1" t="s">
        <v>30</v>
      </c>
      <c r="F1980" s="1" t="s">
        <v>41</v>
      </c>
      <c r="G1980" s="1" t="s">
        <v>100</v>
      </c>
      <c r="H1980" s="2">
        <v>2176.0</v>
      </c>
      <c r="I1980" s="2">
        <v>1436.0</v>
      </c>
      <c r="J1980" s="1">
        <v>1970.0</v>
      </c>
      <c r="K1980" s="1">
        <v>32.0</v>
      </c>
      <c r="L1980" s="1" t="s">
        <v>22</v>
      </c>
      <c r="M1980" s="1" t="s">
        <v>7958</v>
      </c>
      <c r="N1980" s="1" t="s">
        <v>64</v>
      </c>
      <c r="O1980" s="1" t="s">
        <v>49</v>
      </c>
      <c r="P1980" s="1" t="s">
        <v>7959</v>
      </c>
    </row>
    <row r="1981" ht="14.25" customHeight="1">
      <c r="A1981" s="1" t="s">
        <v>7960</v>
      </c>
      <c r="B1981" s="1" t="s">
        <v>7961</v>
      </c>
      <c r="C1981" s="1" t="s">
        <v>76</v>
      </c>
      <c r="D1981" s="1">
        <v>12385.0</v>
      </c>
      <c r="E1981" s="1" t="s">
        <v>77</v>
      </c>
      <c r="F1981" s="1" t="s">
        <v>46</v>
      </c>
      <c r="G1981" s="1" t="s">
        <v>21</v>
      </c>
      <c r="H1981" s="2">
        <v>1663.0</v>
      </c>
      <c r="I1981" s="2">
        <v>7361.0</v>
      </c>
      <c r="J1981" s="1">
        <v>2015.0</v>
      </c>
      <c r="K1981" s="1">
        <v>75.0</v>
      </c>
      <c r="L1981" s="1" t="s">
        <v>32</v>
      </c>
      <c r="M1981" s="1" t="s">
        <v>7962</v>
      </c>
      <c r="N1981" s="1" t="s">
        <v>34</v>
      </c>
      <c r="O1981" s="1" t="s">
        <v>25</v>
      </c>
      <c r="P1981" s="1" t="s">
        <v>7963</v>
      </c>
    </row>
    <row r="1982" ht="14.25" customHeight="1">
      <c r="A1982" s="1" t="s">
        <v>7964</v>
      </c>
      <c r="B1982" s="1" t="s">
        <v>7965</v>
      </c>
      <c r="C1982" s="1" t="s">
        <v>53</v>
      </c>
      <c r="D1982" s="1">
        <v>99474.0</v>
      </c>
      <c r="E1982" s="1" t="s">
        <v>77</v>
      </c>
      <c r="F1982" s="1" t="s">
        <v>94</v>
      </c>
      <c r="G1982" s="1" t="s">
        <v>21</v>
      </c>
      <c r="H1982" s="2">
        <v>3458.0</v>
      </c>
      <c r="I1982" s="2">
        <v>2761.0</v>
      </c>
      <c r="J1982" s="1">
        <v>1982.0</v>
      </c>
      <c r="K1982" s="1">
        <v>3.0</v>
      </c>
      <c r="L1982" s="1" t="s">
        <v>32</v>
      </c>
      <c r="M1982" s="1" t="s">
        <v>7966</v>
      </c>
      <c r="N1982" s="1" t="s">
        <v>64</v>
      </c>
      <c r="O1982" s="1" t="s">
        <v>25</v>
      </c>
      <c r="P1982" s="1" t="s">
        <v>7967</v>
      </c>
    </row>
    <row r="1983" ht="14.25" customHeight="1">
      <c r="A1983" s="1" t="s">
        <v>7968</v>
      </c>
      <c r="B1983" s="1" t="s">
        <v>7969</v>
      </c>
      <c r="C1983" s="1" t="s">
        <v>53</v>
      </c>
      <c r="D1983" s="1">
        <v>78338.0</v>
      </c>
      <c r="E1983" s="1" t="s">
        <v>30</v>
      </c>
      <c r="F1983" s="1" t="s">
        <v>20</v>
      </c>
      <c r="G1983" s="1" t="s">
        <v>21</v>
      </c>
      <c r="H1983" s="2">
        <v>2467.0</v>
      </c>
      <c r="I1983" s="2">
        <v>5508.0</v>
      </c>
      <c r="J1983" s="1">
        <v>1971.0</v>
      </c>
      <c r="K1983" s="1">
        <v>42.0</v>
      </c>
      <c r="L1983" s="1" t="s">
        <v>95</v>
      </c>
      <c r="M1983" s="1" t="s">
        <v>7970</v>
      </c>
      <c r="N1983" s="1" t="s">
        <v>48</v>
      </c>
      <c r="O1983" s="1" t="s">
        <v>49</v>
      </c>
      <c r="P1983" s="1" t="s">
        <v>7971</v>
      </c>
    </row>
    <row r="1984" ht="14.25" customHeight="1">
      <c r="A1984" s="1" t="s">
        <v>7972</v>
      </c>
      <c r="B1984" s="1" t="s">
        <v>7973</v>
      </c>
      <c r="C1984" s="1" t="s">
        <v>53</v>
      </c>
      <c r="D1984" s="1">
        <v>64500.0</v>
      </c>
      <c r="E1984" s="1" t="s">
        <v>60</v>
      </c>
      <c r="F1984" s="1" t="s">
        <v>41</v>
      </c>
      <c r="G1984" s="1" t="s">
        <v>31</v>
      </c>
      <c r="H1984" s="2">
        <v>1326.0</v>
      </c>
      <c r="I1984" s="2">
        <v>9805.0</v>
      </c>
      <c r="J1984" s="1">
        <v>2010.0</v>
      </c>
      <c r="K1984" s="1">
        <v>72.0</v>
      </c>
      <c r="L1984" s="1" t="s">
        <v>22</v>
      </c>
      <c r="M1984" s="1" t="s">
        <v>7974</v>
      </c>
      <c r="N1984" s="1" t="s">
        <v>34</v>
      </c>
      <c r="O1984" s="1" t="s">
        <v>25</v>
      </c>
      <c r="P1984" s="1" t="s">
        <v>7975</v>
      </c>
    </row>
    <row r="1985" ht="14.25" customHeight="1">
      <c r="A1985" s="1" t="s">
        <v>7976</v>
      </c>
      <c r="B1985" s="1" t="s">
        <v>7977</v>
      </c>
      <c r="C1985" s="1" t="s">
        <v>18</v>
      </c>
      <c r="D1985" s="1">
        <v>29707.0</v>
      </c>
      <c r="E1985" s="1" t="s">
        <v>19</v>
      </c>
      <c r="F1985" s="1" t="s">
        <v>61</v>
      </c>
      <c r="G1985" s="1" t="s">
        <v>21</v>
      </c>
      <c r="H1985" s="2">
        <v>2055.0</v>
      </c>
      <c r="I1985" s="2">
        <v>7958.0</v>
      </c>
      <c r="J1985" s="1">
        <v>1970.0</v>
      </c>
      <c r="K1985" s="1">
        <v>25.0</v>
      </c>
      <c r="L1985" s="1" t="s">
        <v>141</v>
      </c>
      <c r="M1985" s="1" t="s">
        <v>7978</v>
      </c>
      <c r="N1985" s="1" t="s">
        <v>48</v>
      </c>
      <c r="O1985" s="1" t="s">
        <v>35</v>
      </c>
      <c r="P1985" s="1" t="s">
        <v>7979</v>
      </c>
    </row>
    <row r="1986" ht="14.25" customHeight="1">
      <c r="A1986" s="1" t="s">
        <v>7980</v>
      </c>
      <c r="B1986" s="1" t="s">
        <v>7981</v>
      </c>
      <c r="C1986" s="1" t="s">
        <v>29</v>
      </c>
      <c r="D1986" s="1">
        <v>60175.0</v>
      </c>
      <c r="E1986" s="1" t="s">
        <v>40</v>
      </c>
      <c r="F1986" s="1" t="s">
        <v>41</v>
      </c>
      <c r="G1986" s="1" t="s">
        <v>100</v>
      </c>
      <c r="H1986" s="2">
        <v>1516.0</v>
      </c>
      <c r="I1986" s="2">
        <v>2170.0</v>
      </c>
      <c r="J1986" s="1">
        <v>2006.0</v>
      </c>
      <c r="K1986" s="1">
        <v>81.0</v>
      </c>
      <c r="L1986" s="1" t="s">
        <v>32</v>
      </c>
      <c r="M1986" s="1" t="s">
        <v>7982</v>
      </c>
      <c r="N1986" s="1" t="s">
        <v>48</v>
      </c>
      <c r="O1986" s="1" t="s">
        <v>49</v>
      </c>
      <c r="P1986" s="1" t="s">
        <v>7983</v>
      </c>
    </row>
    <row r="1987" ht="14.25" customHeight="1">
      <c r="A1987" s="1" t="s">
        <v>7984</v>
      </c>
      <c r="B1987" s="1" t="s">
        <v>7985</v>
      </c>
      <c r="C1987" s="1" t="s">
        <v>39</v>
      </c>
      <c r="D1987" s="1">
        <v>44426.0</v>
      </c>
      <c r="E1987" s="1" t="s">
        <v>19</v>
      </c>
      <c r="F1987" s="1" t="s">
        <v>94</v>
      </c>
      <c r="G1987" s="1" t="s">
        <v>31</v>
      </c>
      <c r="H1987" s="2">
        <v>3699.0</v>
      </c>
      <c r="I1987" s="2">
        <v>1187.0</v>
      </c>
      <c r="J1987" s="1">
        <v>2020.0</v>
      </c>
      <c r="K1987" s="1">
        <v>119.0</v>
      </c>
      <c r="L1987" s="1" t="s">
        <v>22</v>
      </c>
      <c r="M1987" s="1" t="s">
        <v>7986</v>
      </c>
      <c r="N1987" s="1" t="s">
        <v>43</v>
      </c>
      <c r="O1987" s="1" t="s">
        <v>49</v>
      </c>
      <c r="P1987" s="1" t="s">
        <v>7987</v>
      </c>
    </row>
    <row r="1988" ht="14.25" customHeight="1">
      <c r="A1988" s="1" t="s">
        <v>7988</v>
      </c>
      <c r="B1988" s="1" t="s">
        <v>7989</v>
      </c>
      <c r="C1988" s="1" t="s">
        <v>18</v>
      </c>
      <c r="D1988" s="1">
        <v>62271.0</v>
      </c>
      <c r="E1988" s="1" t="s">
        <v>40</v>
      </c>
      <c r="F1988" s="1" t="s">
        <v>54</v>
      </c>
      <c r="G1988" s="1" t="s">
        <v>100</v>
      </c>
      <c r="H1988" s="2">
        <v>1590.0</v>
      </c>
      <c r="I1988" s="2">
        <v>4301.0</v>
      </c>
      <c r="J1988" s="1">
        <v>1950.0</v>
      </c>
      <c r="K1988" s="1">
        <v>116.0</v>
      </c>
      <c r="L1988" s="1" t="s">
        <v>141</v>
      </c>
      <c r="M1988" s="1" t="s">
        <v>7990</v>
      </c>
      <c r="N1988" s="1" t="s">
        <v>43</v>
      </c>
      <c r="O1988" s="1" t="s">
        <v>35</v>
      </c>
      <c r="P1988" s="1" t="s">
        <v>7991</v>
      </c>
    </row>
    <row r="1989" ht="14.25" customHeight="1">
      <c r="A1989" s="1" t="s">
        <v>7992</v>
      </c>
      <c r="B1989" s="1" t="s">
        <v>7993</v>
      </c>
      <c r="C1989" s="1" t="s">
        <v>76</v>
      </c>
      <c r="D1989" s="1">
        <v>70050.0</v>
      </c>
      <c r="E1989" s="1" t="s">
        <v>40</v>
      </c>
      <c r="F1989" s="1" t="s">
        <v>46</v>
      </c>
      <c r="G1989" s="1" t="s">
        <v>21</v>
      </c>
      <c r="H1989" s="2">
        <v>1791.0</v>
      </c>
      <c r="I1989" s="2">
        <v>3104.0</v>
      </c>
      <c r="J1989" s="1">
        <v>1993.0</v>
      </c>
      <c r="K1989" s="1">
        <v>79.0</v>
      </c>
      <c r="L1989" s="1" t="s">
        <v>22</v>
      </c>
      <c r="M1989" s="1" t="s">
        <v>7994</v>
      </c>
      <c r="N1989" s="1" t="s">
        <v>43</v>
      </c>
      <c r="O1989" s="1" t="s">
        <v>49</v>
      </c>
      <c r="P1989" s="1" t="s">
        <v>7995</v>
      </c>
    </row>
    <row r="1990" ht="14.25" customHeight="1">
      <c r="A1990" s="1" t="s">
        <v>7996</v>
      </c>
      <c r="B1990" s="1" t="s">
        <v>7997</v>
      </c>
      <c r="C1990" s="1" t="s">
        <v>39</v>
      </c>
      <c r="D1990" s="1">
        <v>19584.0</v>
      </c>
      <c r="E1990" s="1" t="s">
        <v>60</v>
      </c>
      <c r="F1990" s="1" t="s">
        <v>61</v>
      </c>
      <c r="G1990" s="1" t="s">
        <v>100</v>
      </c>
      <c r="H1990" s="2">
        <v>1988.0</v>
      </c>
      <c r="I1990" s="2">
        <v>3003.0</v>
      </c>
      <c r="J1990" s="1">
        <v>1996.0</v>
      </c>
      <c r="K1990" s="1">
        <v>64.0</v>
      </c>
      <c r="L1990" s="1" t="s">
        <v>141</v>
      </c>
      <c r="M1990" s="1" t="s">
        <v>7998</v>
      </c>
      <c r="N1990" s="1" t="s">
        <v>64</v>
      </c>
      <c r="O1990" s="1" t="s">
        <v>35</v>
      </c>
      <c r="P1990" s="1" t="s">
        <v>7999</v>
      </c>
    </row>
    <row r="1991" ht="14.25" customHeight="1">
      <c r="A1991" s="1" t="s">
        <v>8000</v>
      </c>
      <c r="B1991" s="1" t="s">
        <v>8001</v>
      </c>
      <c r="C1991" s="1" t="s">
        <v>18</v>
      </c>
      <c r="D1991" s="1">
        <v>13737.0</v>
      </c>
      <c r="E1991" s="1" t="s">
        <v>40</v>
      </c>
      <c r="F1991" s="1" t="s">
        <v>61</v>
      </c>
      <c r="G1991" s="1" t="s">
        <v>31</v>
      </c>
      <c r="H1991" s="2">
        <v>1533.0</v>
      </c>
      <c r="I1991" s="2">
        <v>4105.0</v>
      </c>
      <c r="J1991" s="1">
        <v>1994.0</v>
      </c>
      <c r="K1991" s="1">
        <v>83.0</v>
      </c>
      <c r="L1991" s="1" t="s">
        <v>62</v>
      </c>
      <c r="M1991" s="1" t="s">
        <v>8002</v>
      </c>
      <c r="N1991" s="1" t="s">
        <v>43</v>
      </c>
      <c r="O1991" s="1" t="s">
        <v>35</v>
      </c>
      <c r="P1991" s="1" t="s">
        <v>8003</v>
      </c>
    </row>
    <row r="1992" ht="14.25" customHeight="1">
      <c r="A1992" s="1" t="s">
        <v>8004</v>
      </c>
      <c r="B1992" s="1" t="s">
        <v>8005</v>
      </c>
      <c r="C1992" s="1" t="s">
        <v>39</v>
      </c>
      <c r="D1992" s="1">
        <v>12697.0</v>
      </c>
      <c r="E1992" s="1" t="s">
        <v>40</v>
      </c>
      <c r="F1992" s="1" t="s">
        <v>41</v>
      </c>
      <c r="G1992" s="1" t="s">
        <v>21</v>
      </c>
      <c r="H1992" s="2">
        <v>2593.0</v>
      </c>
      <c r="I1992" s="2">
        <v>5638.0</v>
      </c>
      <c r="J1992" s="1">
        <v>1986.0</v>
      </c>
      <c r="K1992" s="1">
        <v>117.0</v>
      </c>
      <c r="L1992" s="1" t="s">
        <v>32</v>
      </c>
      <c r="M1992" s="1" t="s">
        <v>8006</v>
      </c>
      <c r="N1992" s="1" t="s">
        <v>43</v>
      </c>
      <c r="O1992" s="1" t="s">
        <v>25</v>
      </c>
      <c r="P1992" s="1" t="s">
        <v>8007</v>
      </c>
    </row>
    <row r="1993" ht="14.25" customHeight="1">
      <c r="A1993" s="1" t="s">
        <v>8008</v>
      </c>
      <c r="B1993" s="1" t="s">
        <v>8009</v>
      </c>
      <c r="C1993" s="1" t="s">
        <v>76</v>
      </c>
      <c r="D1993" s="1">
        <v>57058.0</v>
      </c>
      <c r="E1993" s="1" t="s">
        <v>30</v>
      </c>
      <c r="F1993" s="1" t="s">
        <v>61</v>
      </c>
      <c r="G1993" s="1" t="s">
        <v>55</v>
      </c>
      <c r="H1993" s="2">
        <v>2720.0</v>
      </c>
      <c r="I1993" s="2">
        <v>7791.0</v>
      </c>
      <c r="J1993" s="1">
        <v>1964.0</v>
      </c>
      <c r="K1993" s="1">
        <v>44.0</v>
      </c>
      <c r="L1993" s="1" t="s">
        <v>62</v>
      </c>
      <c r="M1993" s="1" t="s">
        <v>8010</v>
      </c>
      <c r="N1993" s="1" t="s">
        <v>43</v>
      </c>
      <c r="O1993" s="1" t="s">
        <v>49</v>
      </c>
      <c r="P1993" s="1" t="s">
        <v>8011</v>
      </c>
    </row>
    <row r="1994" ht="14.25" customHeight="1">
      <c r="A1994" s="1" t="s">
        <v>8012</v>
      </c>
      <c r="B1994" s="1" t="s">
        <v>8013</v>
      </c>
      <c r="C1994" s="1" t="s">
        <v>76</v>
      </c>
      <c r="D1994" s="1">
        <v>12184.0</v>
      </c>
      <c r="E1994" s="1" t="s">
        <v>19</v>
      </c>
      <c r="F1994" s="1" t="s">
        <v>41</v>
      </c>
      <c r="G1994" s="1" t="s">
        <v>31</v>
      </c>
      <c r="H1994" s="2">
        <v>998.0</v>
      </c>
      <c r="I1994" s="2">
        <v>9749.0</v>
      </c>
      <c r="J1994" s="1">
        <v>1970.0</v>
      </c>
      <c r="K1994" s="1">
        <v>87.0</v>
      </c>
      <c r="L1994" s="1" t="s">
        <v>95</v>
      </c>
      <c r="M1994" s="1" t="s">
        <v>8014</v>
      </c>
      <c r="N1994" s="1" t="s">
        <v>43</v>
      </c>
      <c r="O1994" s="1" t="s">
        <v>49</v>
      </c>
      <c r="P1994" s="1" t="s">
        <v>8015</v>
      </c>
    </row>
    <row r="1995" ht="14.25" customHeight="1">
      <c r="A1995" s="1" t="s">
        <v>8016</v>
      </c>
      <c r="B1995" s="1" t="s">
        <v>8017</v>
      </c>
      <c r="C1995" s="1" t="s">
        <v>76</v>
      </c>
      <c r="D1995" s="1">
        <v>51915.0</v>
      </c>
      <c r="E1995" s="1" t="s">
        <v>19</v>
      </c>
      <c r="F1995" s="1" t="s">
        <v>46</v>
      </c>
      <c r="G1995" s="1" t="s">
        <v>100</v>
      </c>
      <c r="H1995" s="2">
        <v>1471.0</v>
      </c>
      <c r="I1995" s="2">
        <v>5605.0</v>
      </c>
      <c r="J1995" s="1">
        <v>1994.0</v>
      </c>
      <c r="K1995" s="1">
        <v>118.0</v>
      </c>
      <c r="L1995" s="1" t="s">
        <v>22</v>
      </c>
      <c r="M1995" s="1" t="s">
        <v>8018</v>
      </c>
      <c r="N1995" s="1" t="s">
        <v>34</v>
      </c>
      <c r="O1995" s="1" t="s">
        <v>35</v>
      </c>
      <c r="P1995" s="1" t="s">
        <v>8019</v>
      </c>
    </row>
    <row r="1996" ht="14.25" customHeight="1">
      <c r="A1996" s="1" t="s">
        <v>8020</v>
      </c>
      <c r="B1996" s="1" t="s">
        <v>8021</v>
      </c>
      <c r="C1996" s="1" t="s">
        <v>29</v>
      </c>
      <c r="D1996" s="1">
        <v>11490.0</v>
      </c>
      <c r="E1996" s="1" t="s">
        <v>30</v>
      </c>
      <c r="F1996" s="1" t="s">
        <v>61</v>
      </c>
      <c r="G1996" s="1" t="s">
        <v>100</v>
      </c>
      <c r="H1996" s="2">
        <v>3392.0</v>
      </c>
      <c r="I1996" s="2">
        <v>1371.0</v>
      </c>
      <c r="J1996" s="1">
        <v>2017.0</v>
      </c>
      <c r="K1996" s="1">
        <v>77.0</v>
      </c>
      <c r="L1996" s="1" t="s">
        <v>32</v>
      </c>
      <c r="M1996" s="1" t="s">
        <v>8022</v>
      </c>
      <c r="N1996" s="1" t="s">
        <v>24</v>
      </c>
      <c r="O1996" s="1" t="s">
        <v>35</v>
      </c>
      <c r="P1996" s="1" t="s">
        <v>8023</v>
      </c>
    </row>
    <row r="1997" ht="14.25" customHeight="1">
      <c r="A1997" s="1" t="s">
        <v>8024</v>
      </c>
      <c r="B1997" s="1" t="s">
        <v>8025</v>
      </c>
      <c r="C1997" s="1" t="s">
        <v>53</v>
      </c>
      <c r="D1997" s="1">
        <v>29033.0</v>
      </c>
      <c r="E1997" s="1" t="s">
        <v>19</v>
      </c>
      <c r="F1997" s="1" t="s">
        <v>61</v>
      </c>
      <c r="G1997" s="1" t="s">
        <v>31</v>
      </c>
      <c r="H1997" s="2">
        <v>2480.0</v>
      </c>
      <c r="I1997" s="2">
        <v>6351.0</v>
      </c>
      <c r="J1997" s="1">
        <v>1956.0</v>
      </c>
      <c r="K1997" s="1">
        <v>13.0</v>
      </c>
      <c r="L1997" s="1" t="s">
        <v>95</v>
      </c>
      <c r="M1997" s="1" t="s">
        <v>8026</v>
      </c>
      <c r="N1997" s="1" t="s">
        <v>48</v>
      </c>
      <c r="O1997" s="1" t="s">
        <v>49</v>
      </c>
      <c r="P1997" s="1" t="s">
        <v>8027</v>
      </c>
    </row>
    <row r="1998" ht="14.25" customHeight="1">
      <c r="A1998" s="1" t="s">
        <v>8028</v>
      </c>
      <c r="B1998" s="1" t="s">
        <v>8029</v>
      </c>
      <c r="C1998" s="1" t="s">
        <v>29</v>
      </c>
      <c r="D1998" s="1">
        <v>54993.0</v>
      </c>
      <c r="E1998" s="1" t="s">
        <v>19</v>
      </c>
      <c r="F1998" s="1" t="s">
        <v>94</v>
      </c>
      <c r="G1998" s="1" t="s">
        <v>21</v>
      </c>
      <c r="H1998" s="2">
        <v>3512.0</v>
      </c>
      <c r="I1998" s="2">
        <v>4318.0</v>
      </c>
      <c r="J1998" s="1">
        <v>2007.0</v>
      </c>
      <c r="K1998" s="1">
        <v>27.0</v>
      </c>
      <c r="L1998" s="1" t="s">
        <v>141</v>
      </c>
      <c r="M1998" s="1" t="s">
        <v>8030</v>
      </c>
      <c r="N1998" s="1" t="s">
        <v>64</v>
      </c>
      <c r="O1998" s="1" t="s">
        <v>49</v>
      </c>
      <c r="P1998" s="1" t="s">
        <v>8031</v>
      </c>
    </row>
    <row r="1999" ht="14.25" customHeight="1">
      <c r="A1999" s="1" t="s">
        <v>8032</v>
      </c>
      <c r="B1999" s="1" t="s">
        <v>8033</v>
      </c>
      <c r="C1999" s="1" t="s">
        <v>76</v>
      </c>
      <c r="D1999" s="1">
        <v>68667.0</v>
      </c>
      <c r="E1999" s="1" t="s">
        <v>60</v>
      </c>
      <c r="F1999" s="1" t="s">
        <v>41</v>
      </c>
      <c r="G1999" s="1" t="s">
        <v>21</v>
      </c>
      <c r="H1999" s="2">
        <v>1648.0</v>
      </c>
      <c r="I1999" s="2">
        <v>6405.0</v>
      </c>
      <c r="J1999" s="1">
        <v>1990.0</v>
      </c>
      <c r="K1999" s="1">
        <v>65.0</v>
      </c>
      <c r="L1999" s="1" t="s">
        <v>62</v>
      </c>
      <c r="M1999" s="1" t="s">
        <v>8034</v>
      </c>
      <c r="N1999" s="1" t="s">
        <v>24</v>
      </c>
      <c r="O1999" s="1" t="s">
        <v>49</v>
      </c>
      <c r="P1999" s="1" t="s">
        <v>8035</v>
      </c>
    </row>
    <row r="2000" ht="14.25" customHeight="1">
      <c r="A2000" s="1" t="s">
        <v>8036</v>
      </c>
      <c r="B2000" s="1" t="s">
        <v>8037</v>
      </c>
      <c r="C2000" s="1" t="s">
        <v>18</v>
      </c>
      <c r="D2000" s="1">
        <v>47929.0</v>
      </c>
      <c r="E2000" s="1" t="s">
        <v>60</v>
      </c>
      <c r="F2000" s="1" t="s">
        <v>61</v>
      </c>
      <c r="G2000" s="1" t="s">
        <v>55</v>
      </c>
      <c r="H2000" s="2">
        <v>2900.0</v>
      </c>
      <c r="I2000" s="2">
        <v>7671.0</v>
      </c>
      <c r="J2000" s="1">
        <v>1993.0</v>
      </c>
      <c r="K2000" s="1">
        <v>72.0</v>
      </c>
      <c r="L2000" s="1" t="s">
        <v>95</v>
      </c>
      <c r="M2000" s="1" t="s">
        <v>8038</v>
      </c>
      <c r="N2000" s="1" t="s">
        <v>48</v>
      </c>
      <c r="O2000" s="1" t="s">
        <v>35</v>
      </c>
      <c r="P2000" s="1" t="s">
        <v>8039</v>
      </c>
    </row>
    <row r="2001" ht="14.25" customHeight="1">
      <c r="A2001" s="1" t="s">
        <v>8040</v>
      </c>
      <c r="B2001" s="1" t="s">
        <v>8041</v>
      </c>
      <c r="C2001" s="1" t="s">
        <v>18</v>
      </c>
      <c r="D2001" s="1">
        <v>66456.0</v>
      </c>
      <c r="E2001" s="1" t="s">
        <v>30</v>
      </c>
      <c r="F2001" s="1" t="s">
        <v>41</v>
      </c>
      <c r="G2001" s="1" t="s">
        <v>100</v>
      </c>
      <c r="H2001" s="2">
        <v>2894.0</v>
      </c>
      <c r="I2001" s="2">
        <v>8414.0</v>
      </c>
      <c r="J2001" s="1">
        <v>1959.0</v>
      </c>
      <c r="K2001" s="1">
        <v>30.0</v>
      </c>
      <c r="L2001" s="1" t="s">
        <v>141</v>
      </c>
      <c r="M2001" s="1" t="s">
        <v>8042</v>
      </c>
      <c r="N2001" s="1" t="s">
        <v>43</v>
      </c>
      <c r="O2001" s="1" t="s">
        <v>35</v>
      </c>
      <c r="P2001" s="1" t="s">
        <v>8043</v>
      </c>
    </row>
    <row r="2002" ht="14.25" customHeight="1">
      <c r="A2002" s="1" t="s">
        <v>8044</v>
      </c>
      <c r="B2002" s="1" t="s">
        <v>8045</v>
      </c>
      <c r="C2002" s="1" t="s">
        <v>18</v>
      </c>
      <c r="D2002" s="1">
        <v>75023.0</v>
      </c>
      <c r="E2002" s="1" t="s">
        <v>19</v>
      </c>
      <c r="F2002" s="1" t="s">
        <v>94</v>
      </c>
      <c r="G2002" s="1" t="s">
        <v>100</v>
      </c>
      <c r="H2002" s="2">
        <v>2878.0</v>
      </c>
      <c r="I2002" s="2">
        <v>1563.0</v>
      </c>
      <c r="J2002" s="1">
        <v>1983.0</v>
      </c>
      <c r="K2002" s="1">
        <v>68.0</v>
      </c>
      <c r="L2002" s="1" t="s">
        <v>22</v>
      </c>
      <c r="M2002" s="1" t="s">
        <v>8046</v>
      </c>
      <c r="N2002" s="1" t="s">
        <v>43</v>
      </c>
      <c r="O2002" s="1" t="s">
        <v>49</v>
      </c>
      <c r="P2002" s="1" t="s">
        <v>8047</v>
      </c>
    </row>
    <row r="2003" ht="14.25" customHeight="1">
      <c r="A2003" s="1" t="s">
        <v>8048</v>
      </c>
      <c r="B2003" s="1" t="s">
        <v>8049</v>
      </c>
      <c r="C2003" s="1" t="s">
        <v>39</v>
      </c>
      <c r="D2003" s="1">
        <v>36123.0</v>
      </c>
      <c r="E2003" s="1" t="s">
        <v>30</v>
      </c>
      <c r="F2003" s="1" t="s">
        <v>61</v>
      </c>
      <c r="G2003" s="1" t="s">
        <v>55</v>
      </c>
      <c r="H2003" s="2">
        <v>607.0</v>
      </c>
      <c r="I2003" s="2">
        <v>8745.0</v>
      </c>
      <c r="J2003" s="1">
        <v>1997.0</v>
      </c>
      <c r="K2003" s="1">
        <v>86.0</v>
      </c>
      <c r="L2003" s="1" t="s">
        <v>95</v>
      </c>
      <c r="M2003" s="1" t="s">
        <v>8050</v>
      </c>
      <c r="N2003" s="1" t="s">
        <v>43</v>
      </c>
      <c r="O2003" s="1" t="s">
        <v>49</v>
      </c>
      <c r="P2003" s="1" t="s">
        <v>8051</v>
      </c>
    </row>
    <row r="2004" ht="14.25" customHeight="1">
      <c r="A2004" s="1" t="s">
        <v>8052</v>
      </c>
      <c r="B2004" s="1" t="s">
        <v>8053</v>
      </c>
      <c r="C2004" s="1" t="s">
        <v>76</v>
      </c>
      <c r="D2004" s="1">
        <v>42352.0</v>
      </c>
      <c r="E2004" s="1" t="s">
        <v>30</v>
      </c>
      <c r="F2004" s="1" t="s">
        <v>41</v>
      </c>
      <c r="G2004" s="1" t="s">
        <v>31</v>
      </c>
      <c r="H2004" s="2">
        <v>3817.0</v>
      </c>
      <c r="I2004" s="2">
        <v>1554.0</v>
      </c>
      <c r="J2004" s="1">
        <v>1993.0</v>
      </c>
      <c r="K2004" s="1">
        <v>90.0</v>
      </c>
      <c r="L2004" s="1" t="s">
        <v>141</v>
      </c>
      <c r="M2004" s="1" t="s">
        <v>8054</v>
      </c>
      <c r="N2004" s="1" t="s">
        <v>24</v>
      </c>
      <c r="O2004" s="1" t="s">
        <v>25</v>
      </c>
      <c r="P2004" s="1" t="s">
        <v>8055</v>
      </c>
    </row>
    <row r="2005" ht="14.25" customHeight="1">
      <c r="A2005" s="1" t="s">
        <v>8056</v>
      </c>
      <c r="B2005" s="1" t="s">
        <v>8057</v>
      </c>
      <c r="C2005" s="1" t="s">
        <v>76</v>
      </c>
      <c r="D2005" s="1">
        <v>70953.0</v>
      </c>
      <c r="E2005" s="1" t="s">
        <v>40</v>
      </c>
      <c r="F2005" s="1" t="s">
        <v>41</v>
      </c>
      <c r="G2005" s="1" t="s">
        <v>21</v>
      </c>
      <c r="H2005" s="2">
        <v>1422.0</v>
      </c>
      <c r="I2005" s="2">
        <v>9790.0</v>
      </c>
      <c r="J2005" s="1">
        <v>1958.0</v>
      </c>
      <c r="K2005" s="1">
        <v>67.0</v>
      </c>
      <c r="L2005" s="1" t="s">
        <v>32</v>
      </c>
      <c r="M2005" s="1" t="s">
        <v>8058</v>
      </c>
      <c r="N2005" s="1" t="s">
        <v>34</v>
      </c>
      <c r="O2005" s="1" t="s">
        <v>25</v>
      </c>
      <c r="P2005" s="1" t="s">
        <v>8059</v>
      </c>
    </row>
    <row r="2006" ht="14.25" customHeight="1">
      <c r="A2006" s="1" t="s">
        <v>8060</v>
      </c>
      <c r="B2006" s="1" t="s">
        <v>8061</v>
      </c>
      <c r="C2006" s="1" t="s">
        <v>53</v>
      </c>
      <c r="D2006" s="1">
        <v>45081.0</v>
      </c>
      <c r="E2006" s="1" t="s">
        <v>60</v>
      </c>
      <c r="F2006" s="1" t="s">
        <v>20</v>
      </c>
      <c r="G2006" s="1" t="s">
        <v>21</v>
      </c>
      <c r="H2006" s="2">
        <v>3036.0</v>
      </c>
      <c r="I2006" s="2">
        <v>8954.0</v>
      </c>
      <c r="J2006" s="1">
        <v>1967.0</v>
      </c>
      <c r="K2006" s="1">
        <v>78.0</v>
      </c>
      <c r="L2006" s="1" t="s">
        <v>141</v>
      </c>
      <c r="M2006" s="1" t="s">
        <v>8062</v>
      </c>
      <c r="N2006" s="1" t="s">
        <v>34</v>
      </c>
      <c r="O2006" s="1" t="s">
        <v>25</v>
      </c>
      <c r="P2006" s="1" t="s">
        <v>8063</v>
      </c>
    </row>
    <row r="2007" ht="14.25" customHeight="1">
      <c r="A2007" s="1" t="s">
        <v>8064</v>
      </c>
      <c r="B2007" s="1" t="s">
        <v>8065</v>
      </c>
      <c r="C2007" s="1" t="s">
        <v>53</v>
      </c>
      <c r="D2007" s="1">
        <v>83045.0</v>
      </c>
      <c r="E2007" s="1" t="s">
        <v>77</v>
      </c>
      <c r="F2007" s="1" t="s">
        <v>20</v>
      </c>
      <c r="G2007" s="1" t="s">
        <v>21</v>
      </c>
      <c r="H2007" s="2">
        <v>1506.0</v>
      </c>
      <c r="I2007" s="2">
        <v>4183.0</v>
      </c>
      <c r="J2007" s="1">
        <v>1979.0</v>
      </c>
      <c r="K2007" s="1">
        <v>28.0</v>
      </c>
      <c r="L2007" s="1" t="s">
        <v>22</v>
      </c>
      <c r="M2007" s="1" t="s">
        <v>8066</v>
      </c>
      <c r="N2007" s="1" t="s">
        <v>64</v>
      </c>
      <c r="O2007" s="1" t="s">
        <v>49</v>
      </c>
      <c r="P2007" s="1" t="s">
        <v>8067</v>
      </c>
    </row>
    <row r="2008" ht="14.25" customHeight="1">
      <c r="A2008" s="1" t="s">
        <v>8068</v>
      </c>
      <c r="B2008" s="1" t="s">
        <v>8069</v>
      </c>
      <c r="C2008" s="1" t="s">
        <v>76</v>
      </c>
      <c r="D2008" s="1">
        <v>29514.0</v>
      </c>
      <c r="E2008" s="1" t="s">
        <v>30</v>
      </c>
      <c r="F2008" s="1" t="s">
        <v>41</v>
      </c>
      <c r="G2008" s="1" t="s">
        <v>31</v>
      </c>
      <c r="H2008" s="2">
        <v>2399.0</v>
      </c>
      <c r="I2008" s="2">
        <v>5002.0</v>
      </c>
      <c r="J2008" s="1">
        <v>2002.0</v>
      </c>
      <c r="K2008" s="1">
        <v>31.0</v>
      </c>
      <c r="L2008" s="1" t="s">
        <v>62</v>
      </c>
      <c r="M2008" s="1" t="s">
        <v>8070</v>
      </c>
      <c r="N2008" s="1" t="s">
        <v>43</v>
      </c>
      <c r="O2008" s="1" t="s">
        <v>25</v>
      </c>
      <c r="P2008" s="1" t="s">
        <v>8071</v>
      </c>
    </row>
    <row r="2009" ht="14.25" customHeight="1">
      <c r="A2009" s="1" t="s">
        <v>8072</v>
      </c>
      <c r="B2009" s="1" t="s">
        <v>8073</v>
      </c>
      <c r="C2009" s="1" t="s">
        <v>18</v>
      </c>
      <c r="D2009" s="1">
        <v>84198.0</v>
      </c>
      <c r="E2009" s="1" t="s">
        <v>77</v>
      </c>
      <c r="F2009" s="1" t="s">
        <v>41</v>
      </c>
      <c r="G2009" s="1" t="s">
        <v>21</v>
      </c>
      <c r="H2009" s="2">
        <v>2022.0</v>
      </c>
      <c r="I2009" s="2">
        <v>7868.0</v>
      </c>
      <c r="J2009" s="1">
        <v>1955.0</v>
      </c>
      <c r="K2009" s="1">
        <v>19.0</v>
      </c>
      <c r="L2009" s="1" t="s">
        <v>62</v>
      </c>
      <c r="M2009" s="1" t="s">
        <v>8074</v>
      </c>
      <c r="N2009" s="1" t="s">
        <v>64</v>
      </c>
      <c r="O2009" s="1" t="s">
        <v>49</v>
      </c>
      <c r="P2009" s="1" t="s">
        <v>8075</v>
      </c>
    </row>
    <row r="2010" ht="14.25" customHeight="1">
      <c r="A2010" s="1" t="s">
        <v>8076</v>
      </c>
      <c r="B2010" s="1" t="s">
        <v>8077</v>
      </c>
      <c r="C2010" s="1" t="s">
        <v>39</v>
      </c>
      <c r="D2010" s="1">
        <v>77681.0</v>
      </c>
      <c r="E2010" s="1" t="s">
        <v>60</v>
      </c>
      <c r="F2010" s="1" t="s">
        <v>41</v>
      </c>
      <c r="G2010" s="1" t="s">
        <v>21</v>
      </c>
      <c r="H2010" s="2">
        <v>1615.0</v>
      </c>
      <c r="I2010" s="2">
        <v>2049.0</v>
      </c>
      <c r="J2010" s="1">
        <v>1989.0</v>
      </c>
      <c r="K2010" s="1">
        <v>106.0</v>
      </c>
      <c r="L2010" s="1" t="s">
        <v>22</v>
      </c>
      <c r="M2010" s="1" t="s">
        <v>8078</v>
      </c>
      <c r="N2010" s="1" t="s">
        <v>34</v>
      </c>
      <c r="O2010" s="1" t="s">
        <v>49</v>
      </c>
      <c r="P2010" s="1" t="s">
        <v>8079</v>
      </c>
    </row>
    <row r="2011" ht="14.25" customHeight="1">
      <c r="A2011" s="1" t="s">
        <v>8080</v>
      </c>
      <c r="B2011" s="1" t="s">
        <v>8081</v>
      </c>
      <c r="C2011" s="1" t="s">
        <v>76</v>
      </c>
      <c r="D2011" s="1">
        <v>49105.0</v>
      </c>
      <c r="E2011" s="1" t="s">
        <v>60</v>
      </c>
      <c r="F2011" s="1" t="s">
        <v>54</v>
      </c>
      <c r="G2011" s="1" t="s">
        <v>31</v>
      </c>
      <c r="H2011" s="2">
        <v>3728.0</v>
      </c>
      <c r="I2011" s="2">
        <v>9614.0</v>
      </c>
      <c r="J2011" s="1">
        <v>1990.0</v>
      </c>
      <c r="K2011" s="1">
        <v>106.0</v>
      </c>
      <c r="L2011" s="1" t="s">
        <v>95</v>
      </c>
      <c r="M2011" s="1" t="s">
        <v>8082</v>
      </c>
      <c r="N2011" s="1" t="s">
        <v>34</v>
      </c>
      <c r="O2011" s="1" t="s">
        <v>49</v>
      </c>
      <c r="P2011" s="1" t="s">
        <v>8083</v>
      </c>
    </row>
    <row r="2012" ht="14.25" customHeight="1">
      <c r="A2012" s="1" t="s">
        <v>8084</v>
      </c>
      <c r="B2012" s="1" t="s">
        <v>8085</v>
      </c>
      <c r="C2012" s="1" t="s">
        <v>76</v>
      </c>
      <c r="D2012" s="1">
        <v>29839.0</v>
      </c>
      <c r="E2012" s="1" t="s">
        <v>40</v>
      </c>
      <c r="F2012" s="1" t="s">
        <v>94</v>
      </c>
      <c r="G2012" s="1" t="s">
        <v>31</v>
      </c>
      <c r="H2012" s="2">
        <v>1118.0</v>
      </c>
      <c r="I2012" s="2">
        <v>1722.0</v>
      </c>
      <c r="J2012" s="1">
        <v>2012.0</v>
      </c>
      <c r="K2012" s="1">
        <v>57.0</v>
      </c>
      <c r="L2012" s="1" t="s">
        <v>22</v>
      </c>
      <c r="M2012" s="1" t="s">
        <v>8086</v>
      </c>
      <c r="N2012" s="1" t="s">
        <v>24</v>
      </c>
      <c r="O2012" s="1" t="s">
        <v>49</v>
      </c>
      <c r="P2012" s="1" t="s">
        <v>8087</v>
      </c>
    </row>
    <row r="2013" ht="14.25" customHeight="1">
      <c r="A2013" s="1" t="s">
        <v>8088</v>
      </c>
      <c r="B2013" s="1" t="s">
        <v>8089</v>
      </c>
      <c r="C2013" s="1" t="s">
        <v>39</v>
      </c>
      <c r="D2013" s="1">
        <v>17275.0</v>
      </c>
      <c r="E2013" s="1" t="s">
        <v>77</v>
      </c>
      <c r="F2013" s="1" t="s">
        <v>20</v>
      </c>
      <c r="G2013" s="1" t="s">
        <v>100</v>
      </c>
      <c r="H2013" s="2">
        <v>1355.0</v>
      </c>
      <c r="I2013" s="2">
        <v>2015.0</v>
      </c>
      <c r="J2013" s="1">
        <v>1992.0</v>
      </c>
      <c r="K2013" s="1">
        <v>32.0</v>
      </c>
      <c r="L2013" s="1" t="s">
        <v>62</v>
      </c>
      <c r="M2013" s="1" t="s">
        <v>8090</v>
      </c>
      <c r="N2013" s="1" t="s">
        <v>48</v>
      </c>
      <c r="O2013" s="1" t="s">
        <v>49</v>
      </c>
      <c r="P2013" s="1" t="s">
        <v>8091</v>
      </c>
    </row>
    <row r="2014" ht="14.25" customHeight="1">
      <c r="A2014" s="1" t="s">
        <v>8092</v>
      </c>
      <c r="B2014" s="1" t="s">
        <v>8093</v>
      </c>
      <c r="C2014" s="1" t="s">
        <v>18</v>
      </c>
      <c r="D2014" s="1">
        <v>24689.0</v>
      </c>
      <c r="E2014" s="1" t="s">
        <v>30</v>
      </c>
      <c r="F2014" s="1" t="s">
        <v>41</v>
      </c>
      <c r="G2014" s="1" t="s">
        <v>100</v>
      </c>
      <c r="H2014" s="2">
        <v>824.0</v>
      </c>
      <c r="I2014" s="2">
        <v>3403.0</v>
      </c>
      <c r="J2014" s="1">
        <v>1987.0</v>
      </c>
      <c r="K2014" s="1">
        <v>55.0</v>
      </c>
      <c r="L2014" s="1" t="s">
        <v>141</v>
      </c>
      <c r="M2014" s="1" t="s">
        <v>8094</v>
      </c>
      <c r="N2014" s="1" t="s">
        <v>43</v>
      </c>
      <c r="O2014" s="1" t="s">
        <v>25</v>
      </c>
      <c r="P2014" s="1" t="s">
        <v>8095</v>
      </c>
    </row>
    <row r="2015" ht="14.25" customHeight="1">
      <c r="A2015" s="1" t="s">
        <v>8096</v>
      </c>
      <c r="B2015" s="1" t="s">
        <v>8097</v>
      </c>
      <c r="C2015" s="1" t="s">
        <v>29</v>
      </c>
      <c r="D2015" s="1">
        <v>42271.0</v>
      </c>
      <c r="E2015" s="1" t="s">
        <v>30</v>
      </c>
      <c r="F2015" s="1" t="s">
        <v>94</v>
      </c>
      <c r="G2015" s="1" t="s">
        <v>31</v>
      </c>
      <c r="H2015" s="2">
        <v>3704.0</v>
      </c>
      <c r="I2015" s="2">
        <v>7253.0</v>
      </c>
      <c r="J2015" s="1">
        <v>1986.0</v>
      </c>
      <c r="K2015" s="1">
        <v>23.0</v>
      </c>
      <c r="L2015" s="1" t="s">
        <v>62</v>
      </c>
      <c r="M2015" s="1" t="s">
        <v>8098</v>
      </c>
      <c r="N2015" s="1" t="s">
        <v>43</v>
      </c>
      <c r="O2015" s="1" t="s">
        <v>49</v>
      </c>
      <c r="P2015" s="1" t="s">
        <v>8099</v>
      </c>
    </row>
    <row r="2016" ht="14.25" customHeight="1">
      <c r="A2016" s="1" t="s">
        <v>8100</v>
      </c>
      <c r="B2016" s="1" t="s">
        <v>8101</v>
      </c>
      <c r="C2016" s="1" t="s">
        <v>18</v>
      </c>
      <c r="D2016" s="1">
        <v>21158.0</v>
      </c>
      <c r="E2016" s="1" t="s">
        <v>30</v>
      </c>
      <c r="F2016" s="1" t="s">
        <v>41</v>
      </c>
      <c r="G2016" s="1" t="s">
        <v>100</v>
      </c>
      <c r="H2016" s="2">
        <v>3082.0</v>
      </c>
      <c r="I2016" s="2">
        <v>9611.0</v>
      </c>
      <c r="J2016" s="1">
        <v>1991.0</v>
      </c>
      <c r="K2016" s="1">
        <v>40.0</v>
      </c>
      <c r="L2016" s="1" t="s">
        <v>62</v>
      </c>
      <c r="M2016" s="1" t="s">
        <v>8102</v>
      </c>
      <c r="N2016" s="1" t="s">
        <v>34</v>
      </c>
      <c r="O2016" s="1" t="s">
        <v>35</v>
      </c>
      <c r="P2016" s="1" t="s">
        <v>8103</v>
      </c>
    </row>
    <row r="2017" ht="14.25" customHeight="1">
      <c r="A2017" s="1" t="s">
        <v>8104</v>
      </c>
      <c r="B2017" s="1" t="s">
        <v>8105</v>
      </c>
      <c r="C2017" s="1" t="s">
        <v>18</v>
      </c>
      <c r="D2017" s="1">
        <v>14696.0</v>
      </c>
      <c r="E2017" s="1" t="s">
        <v>60</v>
      </c>
      <c r="F2017" s="1" t="s">
        <v>54</v>
      </c>
      <c r="G2017" s="1" t="s">
        <v>100</v>
      </c>
      <c r="H2017" s="2">
        <v>1502.0</v>
      </c>
      <c r="I2017" s="2">
        <v>8891.0</v>
      </c>
      <c r="J2017" s="1">
        <v>2002.0</v>
      </c>
      <c r="K2017" s="1">
        <v>72.0</v>
      </c>
      <c r="L2017" s="1" t="s">
        <v>32</v>
      </c>
      <c r="M2017" s="1" t="s">
        <v>8106</v>
      </c>
      <c r="N2017" s="1" t="s">
        <v>48</v>
      </c>
      <c r="O2017" s="1" t="s">
        <v>49</v>
      </c>
      <c r="P2017" s="1" t="s">
        <v>8107</v>
      </c>
    </row>
    <row r="2018" ht="14.25" customHeight="1">
      <c r="A2018" s="1" t="s">
        <v>8108</v>
      </c>
      <c r="B2018" s="1" t="s">
        <v>8109</v>
      </c>
      <c r="C2018" s="1" t="s">
        <v>18</v>
      </c>
      <c r="D2018" s="1">
        <v>34517.0</v>
      </c>
      <c r="E2018" s="1" t="s">
        <v>60</v>
      </c>
      <c r="F2018" s="1" t="s">
        <v>20</v>
      </c>
      <c r="G2018" s="1" t="s">
        <v>100</v>
      </c>
      <c r="H2018" s="2">
        <v>2617.0</v>
      </c>
      <c r="I2018" s="2">
        <v>3030.0</v>
      </c>
      <c r="J2018" s="1">
        <v>2015.0</v>
      </c>
      <c r="K2018" s="1">
        <v>106.0</v>
      </c>
      <c r="L2018" s="1" t="s">
        <v>141</v>
      </c>
      <c r="M2018" s="1" t="s">
        <v>8110</v>
      </c>
      <c r="N2018" s="1" t="s">
        <v>64</v>
      </c>
      <c r="O2018" s="1" t="s">
        <v>49</v>
      </c>
      <c r="P2018" s="1" t="s">
        <v>8111</v>
      </c>
    </row>
    <row r="2019" ht="14.25" customHeight="1">
      <c r="A2019" s="1" t="s">
        <v>8112</v>
      </c>
      <c r="B2019" s="1" t="s">
        <v>8113</v>
      </c>
      <c r="C2019" s="1" t="s">
        <v>76</v>
      </c>
      <c r="D2019" s="1">
        <v>93066.0</v>
      </c>
      <c r="E2019" s="1" t="s">
        <v>60</v>
      </c>
      <c r="F2019" s="1" t="s">
        <v>41</v>
      </c>
      <c r="G2019" s="1" t="s">
        <v>21</v>
      </c>
      <c r="H2019" s="2">
        <v>3228.0</v>
      </c>
      <c r="I2019" s="2">
        <v>9175.0</v>
      </c>
      <c r="J2019" s="1">
        <v>2004.0</v>
      </c>
      <c r="K2019" s="1">
        <v>13.0</v>
      </c>
      <c r="L2019" s="1" t="s">
        <v>141</v>
      </c>
      <c r="M2019" s="1" t="s">
        <v>8114</v>
      </c>
      <c r="N2019" s="1" t="s">
        <v>24</v>
      </c>
      <c r="O2019" s="1" t="s">
        <v>35</v>
      </c>
      <c r="P2019" s="1" t="s">
        <v>8115</v>
      </c>
    </row>
    <row r="2020" ht="14.25" customHeight="1">
      <c r="A2020" s="1" t="s">
        <v>8116</v>
      </c>
      <c r="B2020" s="1" t="s">
        <v>8117</v>
      </c>
      <c r="C2020" s="1" t="s">
        <v>53</v>
      </c>
      <c r="D2020" s="1">
        <v>67228.0</v>
      </c>
      <c r="E2020" s="1" t="s">
        <v>19</v>
      </c>
      <c r="F2020" s="1" t="s">
        <v>20</v>
      </c>
      <c r="G2020" s="1" t="s">
        <v>55</v>
      </c>
      <c r="H2020" s="2">
        <v>3753.0</v>
      </c>
      <c r="I2020" s="2">
        <v>4999.0</v>
      </c>
      <c r="J2020" s="1">
        <v>2003.0</v>
      </c>
      <c r="K2020" s="1">
        <v>118.0</v>
      </c>
      <c r="L2020" s="1" t="s">
        <v>32</v>
      </c>
      <c r="M2020" s="1" t="s">
        <v>8118</v>
      </c>
      <c r="N2020" s="1" t="s">
        <v>64</v>
      </c>
      <c r="O2020" s="1" t="s">
        <v>49</v>
      </c>
      <c r="P2020" s="1" t="s">
        <v>8119</v>
      </c>
    </row>
    <row r="2021" ht="14.25" customHeight="1">
      <c r="A2021" s="1" t="s">
        <v>8120</v>
      </c>
      <c r="B2021" s="1" t="s">
        <v>8121</v>
      </c>
      <c r="C2021" s="1" t="s">
        <v>76</v>
      </c>
      <c r="D2021" s="1">
        <v>92828.0</v>
      </c>
      <c r="E2021" s="1" t="s">
        <v>19</v>
      </c>
      <c r="F2021" s="1" t="s">
        <v>61</v>
      </c>
      <c r="G2021" s="1" t="s">
        <v>21</v>
      </c>
      <c r="H2021" s="2">
        <v>3379.0</v>
      </c>
      <c r="I2021" s="2">
        <v>8722.0</v>
      </c>
      <c r="J2021" s="1">
        <v>1982.0</v>
      </c>
      <c r="K2021" s="1">
        <v>32.0</v>
      </c>
      <c r="L2021" s="1" t="s">
        <v>22</v>
      </c>
      <c r="M2021" s="1" t="s">
        <v>8122</v>
      </c>
      <c r="N2021" s="1" t="s">
        <v>48</v>
      </c>
      <c r="O2021" s="1" t="s">
        <v>35</v>
      </c>
      <c r="P2021" s="1" t="s">
        <v>8123</v>
      </c>
    </row>
    <row r="2022" ht="14.25" customHeight="1">
      <c r="A2022" s="1" t="s">
        <v>8124</v>
      </c>
      <c r="B2022" s="1" t="s">
        <v>8125</v>
      </c>
      <c r="C2022" s="1" t="s">
        <v>53</v>
      </c>
      <c r="D2022" s="1">
        <v>54178.0</v>
      </c>
      <c r="E2022" s="1" t="s">
        <v>19</v>
      </c>
      <c r="F2022" s="1" t="s">
        <v>54</v>
      </c>
      <c r="G2022" s="1" t="s">
        <v>21</v>
      </c>
      <c r="H2022" s="2">
        <v>778.0</v>
      </c>
      <c r="I2022" s="2">
        <v>2076.0</v>
      </c>
      <c r="J2022" s="1">
        <v>1956.0</v>
      </c>
      <c r="K2022" s="1">
        <v>26.0</v>
      </c>
      <c r="L2022" s="1" t="s">
        <v>22</v>
      </c>
      <c r="M2022" s="1" t="s">
        <v>8126</v>
      </c>
      <c r="N2022" s="1" t="s">
        <v>34</v>
      </c>
      <c r="O2022" s="1" t="s">
        <v>49</v>
      </c>
      <c r="P2022" s="1" t="s">
        <v>8127</v>
      </c>
    </row>
    <row r="2023" ht="14.25" customHeight="1">
      <c r="A2023" s="1" t="s">
        <v>8128</v>
      </c>
      <c r="B2023" s="1" t="s">
        <v>8129</v>
      </c>
      <c r="C2023" s="1" t="s">
        <v>18</v>
      </c>
      <c r="D2023" s="1">
        <v>14862.0</v>
      </c>
      <c r="E2023" s="1" t="s">
        <v>19</v>
      </c>
      <c r="F2023" s="1" t="s">
        <v>20</v>
      </c>
      <c r="G2023" s="1" t="s">
        <v>31</v>
      </c>
      <c r="H2023" s="2">
        <v>965.0</v>
      </c>
      <c r="I2023" s="2">
        <v>2591.0</v>
      </c>
      <c r="J2023" s="1">
        <v>2019.0</v>
      </c>
      <c r="K2023" s="1">
        <v>107.0</v>
      </c>
      <c r="L2023" s="1" t="s">
        <v>141</v>
      </c>
      <c r="M2023" s="1" t="s">
        <v>8130</v>
      </c>
      <c r="N2023" s="1" t="s">
        <v>48</v>
      </c>
      <c r="O2023" s="1" t="s">
        <v>49</v>
      </c>
      <c r="P2023" s="1" t="s">
        <v>8131</v>
      </c>
    </row>
    <row r="2024" ht="14.25" customHeight="1">
      <c r="A2024" s="1" t="s">
        <v>8132</v>
      </c>
      <c r="B2024" s="1" t="s">
        <v>8133</v>
      </c>
      <c r="C2024" s="1" t="s">
        <v>29</v>
      </c>
      <c r="D2024" s="1">
        <v>42379.0</v>
      </c>
      <c r="E2024" s="1" t="s">
        <v>60</v>
      </c>
      <c r="F2024" s="1" t="s">
        <v>46</v>
      </c>
      <c r="G2024" s="1" t="s">
        <v>31</v>
      </c>
      <c r="H2024" s="2">
        <v>957.0</v>
      </c>
      <c r="I2024" s="2">
        <v>9039.0</v>
      </c>
      <c r="J2024" s="1">
        <v>1999.0</v>
      </c>
      <c r="K2024" s="1">
        <v>107.0</v>
      </c>
      <c r="L2024" s="1" t="s">
        <v>32</v>
      </c>
      <c r="M2024" s="1" t="s">
        <v>8134</v>
      </c>
      <c r="N2024" s="1" t="s">
        <v>48</v>
      </c>
      <c r="O2024" s="1" t="s">
        <v>35</v>
      </c>
      <c r="P2024" s="1" t="s">
        <v>8135</v>
      </c>
    </row>
    <row r="2025" ht="14.25" customHeight="1">
      <c r="A2025" s="1" t="s">
        <v>8136</v>
      </c>
      <c r="B2025" s="1" t="s">
        <v>8137</v>
      </c>
      <c r="C2025" s="1" t="s">
        <v>76</v>
      </c>
      <c r="D2025" s="1">
        <v>68312.0</v>
      </c>
      <c r="E2025" s="1" t="s">
        <v>40</v>
      </c>
      <c r="F2025" s="1" t="s">
        <v>61</v>
      </c>
      <c r="G2025" s="1" t="s">
        <v>100</v>
      </c>
      <c r="H2025" s="2">
        <v>2976.0</v>
      </c>
      <c r="I2025" s="2">
        <v>8446.0</v>
      </c>
      <c r="J2025" s="1">
        <v>1980.0</v>
      </c>
      <c r="K2025" s="1">
        <v>63.0</v>
      </c>
      <c r="L2025" s="1" t="s">
        <v>141</v>
      </c>
      <c r="M2025" s="1" t="s">
        <v>8138</v>
      </c>
      <c r="N2025" s="1" t="s">
        <v>34</v>
      </c>
      <c r="O2025" s="1" t="s">
        <v>25</v>
      </c>
      <c r="P2025" s="1" t="s">
        <v>8139</v>
      </c>
    </row>
    <row r="2026" ht="14.25" customHeight="1">
      <c r="A2026" s="1" t="s">
        <v>8140</v>
      </c>
      <c r="B2026" s="1" t="s">
        <v>8141</v>
      </c>
      <c r="C2026" s="1" t="s">
        <v>18</v>
      </c>
      <c r="D2026" s="1">
        <v>96844.0</v>
      </c>
      <c r="E2026" s="1" t="s">
        <v>77</v>
      </c>
      <c r="F2026" s="1" t="s">
        <v>41</v>
      </c>
      <c r="G2026" s="1" t="s">
        <v>55</v>
      </c>
      <c r="H2026" s="2">
        <v>2842.0</v>
      </c>
      <c r="I2026" s="2">
        <v>1409.0</v>
      </c>
      <c r="J2026" s="1">
        <v>1964.0</v>
      </c>
      <c r="K2026" s="1">
        <v>105.0</v>
      </c>
      <c r="L2026" s="1" t="s">
        <v>22</v>
      </c>
      <c r="M2026" s="1" t="s">
        <v>8142</v>
      </c>
      <c r="N2026" s="1" t="s">
        <v>24</v>
      </c>
      <c r="O2026" s="1" t="s">
        <v>49</v>
      </c>
      <c r="P2026" s="1" t="s">
        <v>8143</v>
      </c>
    </row>
    <row r="2027" ht="14.25" customHeight="1">
      <c r="A2027" s="1" t="s">
        <v>8144</v>
      </c>
      <c r="B2027" s="1" t="s">
        <v>8145</v>
      </c>
      <c r="C2027" s="1" t="s">
        <v>39</v>
      </c>
      <c r="D2027" s="1">
        <v>36216.0</v>
      </c>
      <c r="E2027" s="1" t="s">
        <v>60</v>
      </c>
      <c r="F2027" s="1" t="s">
        <v>94</v>
      </c>
      <c r="G2027" s="1" t="s">
        <v>100</v>
      </c>
      <c r="H2027" s="2">
        <v>3554.0</v>
      </c>
      <c r="I2027" s="2">
        <v>8879.0</v>
      </c>
      <c r="J2027" s="1">
        <v>1969.0</v>
      </c>
      <c r="K2027" s="1">
        <v>77.0</v>
      </c>
      <c r="L2027" s="1" t="s">
        <v>141</v>
      </c>
      <c r="M2027" s="1" t="s">
        <v>8146</v>
      </c>
      <c r="N2027" s="1" t="s">
        <v>64</v>
      </c>
      <c r="O2027" s="1" t="s">
        <v>49</v>
      </c>
      <c r="P2027" s="1" t="s">
        <v>8147</v>
      </c>
    </row>
    <row r="2028" ht="14.25" customHeight="1">
      <c r="A2028" s="1" t="s">
        <v>8148</v>
      </c>
      <c r="B2028" s="1" t="s">
        <v>8149</v>
      </c>
      <c r="C2028" s="1" t="s">
        <v>76</v>
      </c>
      <c r="D2028" s="1">
        <v>76098.0</v>
      </c>
      <c r="E2028" s="1" t="s">
        <v>40</v>
      </c>
      <c r="F2028" s="1" t="s">
        <v>20</v>
      </c>
      <c r="G2028" s="1" t="s">
        <v>31</v>
      </c>
      <c r="H2028" s="2">
        <v>809.0</v>
      </c>
      <c r="I2028" s="2">
        <v>5686.0</v>
      </c>
      <c r="J2028" s="1">
        <v>1997.0</v>
      </c>
      <c r="K2028" s="1">
        <v>99.0</v>
      </c>
      <c r="L2028" s="1" t="s">
        <v>32</v>
      </c>
      <c r="M2028" s="1" t="s">
        <v>8150</v>
      </c>
      <c r="N2028" s="1" t="s">
        <v>43</v>
      </c>
      <c r="O2028" s="1" t="s">
        <v>49</v>
      </c>
      <c r="P2028" s="1" t="s">
        <v>8151</v>
      </c>
    </row>
    <row r="2029" ht="14.25" customHeight="1">
      <c r="A2029" s="1" t="s">
        <v>8152</v>
      </c>
      <c r="B2029" s="1" t="s">
        <v>8153</v>
      </c>
      <c r="C2029" s="1" t="s">
        <v>29</v>
      </c>
      <c r="D2029" s="1">
        <v>11217.0</v>
      </c>
      <c r="E2029" s="1" t="s">
        <v>77</v>
      </c>
      <c r="F2029" s="1" t="s">
        <v>94</v>
      </c>
      <c r="G2029" s="1" t="s">
        <v>100</v>
      </c>
      <c r="H2029" s="2">
        <v>3433.0</v>
      </c>
      <c r="I2029" s="2">
        <v>8275.0</v>
      </c>
      <c r="J2029" s="1">
        <v>1991.0</v>
      </c>
      <c r="K2029" s="1">
        <v>114.0</v>
      </c>
      <c r="L2029" s="1" t="s">
        <v>141</v>
      </c>
      <c r="M2029" s="1" t="s">
        <v>8154</v>
      </c>
      <c r="N2029" s="1" t="s">
        <v>43</v>
      </c>
      <c r="O2029" s="1" t="s">
        <v>35</v>
      </c>
      <c r="P2029" s="1" t="s">
        <v>8155</v>
      </c>
    </row>
    <row r="2030" ht="14.25" customHeight="1">
      <c r="A2030" s="1" t="s">
        <v>8156</v>
      </c>
      <c r="B2030" s="1" t="s">
        <v>8157</v>
      </c>
      <c r="C2030" s="1" t="s">
        <v>53</v>
      </c>
      <c r="D2030" s="1">
        <v>45712.0</v>
      </c>
      <c r="E2030" s="1" t="s">
        <v>30</v>
      </c>
      <c r="F2030" s="1" t="s">
        <v>20</v>
      </c>
      <c r="G2030" s="1" t="s">
        <v>55</v>
      </c>
      <c r="H2030" s="2">
        <v>1400.0</v>
      </c>
      <c r="I2030" s="2">
        <v>1089.0</v>
      </c>
      <c r="J2030" s="1">
        <v>1974.0</v>
      </c>
      <c r="K2030" s="1">
        <v>61.0</v>
      </c>
      <c r="L2030" s="1" t="s">
        <v>95</v>
      </c>
      <c r="M2030" s="1" t="s">
        <v>8158</v>
      </c>
      <c r="N2030" s="1" t="s">
        <v>64</v>
      </c>
      <c r="O2030" s="1" t="s">
        <v>25</v>
      </c>
      <c r="P2030" s="1" t="s">
        <v>8159</v>
      </c>
    </row>
    <row r="2031" ht="14.25" customHeight="1">
      <c r="A2031" s="1" t="s">
        <v>8160</v>
      </c>
      <c r="B2031" s="1" t="s">
        <v>8161</v>
      </c>
      <c r="C2031" s="1" t="s">
        <v>76</v>
      </c>
      <c r="D2031" s="1">
        <v>54997.0</v>
      </c>
      <c r="E2031" s="1" t="s">
        <v>30</v>
      </c>
      <c r="F2031" s="1" t="s">
        <v>54</v>
      </c>
      <c r="G2031" s="1" t="s">
        <v>55</v>
      </c>
      <c r="H2031" s="2">
        <v>627.0</v>
      </c>
      <c r="I2031" s="2">
        <v>9930.0</v>
      </c>
      <c r="J2031" s="1">
        <v>2006.0</v>
      </c>
      <c r="K2031" s="1">
        <v>8.0</v>
      </c>
      <c r="L2031" s="1" t="s">
        <v>32</v>
      </c>
      <c r="M2031" s="1" t="s">
        <v>8162</v>
      </c>
      <c r="N2031" s="1" t="s">
        <v>48</v>
      </c>
      <c r="O2031" s="1" t="s">
        <v>35</v>
      </c>
      <c r="P2031" s="1" t="s">
        <v>8163</v>
      </c>
    </row>
    <row r="2032" ht="14.25" customHeight="1">
      <c r="A2032" s="1" t="s">
        <v>8164</v>
      </c>
      <c r="B2032" s="1" t="s">
        <v>8165</v>
      </c>
      <c r="C2032" s="1" t="s">
        <v>29</v>
      </c>
      <c r="D2032" s="1">
        <v>21350.0</v>
      </c>
      <c r="E2032" s="1" t="s">
        <v>40</v>
      </c>
      <c r="F2032" s="1" t="s">
        <v>61</v>
      </c>
      <c r="G2032" s="1" t="s">
        <v>31</v>
      </c>
      <c r="H2032" s="2">
        <v>1768.0</v>
      </c>
      <c r="I2032" s="2">
        <v>4280.0</v>
      </c>
      <c r="J2032" s="1">
        <v>1997.0</v>
      </c>
      <c r="K2032" s="1">
        <v>111.0</v>
      </c>
      <c r="L2032" s="1" t="s">
        <v>95</v>
      </c>
      <c r="M2032" s="1" t="s">
        <v>8166</v>
      </c>
      <c r="N2032" s="1" t="s">
        <v>34</v>
      </c>
      <c r="O2032" s="1" t="s">
        <v>49</v>
      </c>
      <c r="P2032" s="1" t="s">
        <v>8167</v>
      </c>
    </row>
    <row r="2033" ht="14.25" customHeight="1">
      <c r="A2033" s="1" t="s">
        <v>8168</v>
      </c>
      <c r="B2033" s="1" t="s">
        <v>8169</v>
      </c>
      <c r="C2033" s="1" t="s">
        <v>76</v>
      </c>
      <c r="D2033" s="1">
        <v>65526.0</v>
      </c>
      <c r="E2033" s="1" t="s">
        <v>19</v>
      </c>
      <c r="F2033" s="1" t="s">
        <v>94</v>
      </c>
      <c r="G2033" s="1" t="s">
        <v>31</v>
      </c>
      <c r="H2033" s="2">
        <v>2843.0</v>
      </c>
      <c r="I2033" s="2">
        <v>8340.0</v>
      </c>
      <c r="J2033" s="1">
        <v>1991.0</v>
      </c>
      <c r="K2033" s="1">
        <v>84.0</v>
      </c>
      <c r="L2033" s="1" t="s">
        <v>22</v>
      </c>
      <c r="M2033" s="1" t="s">
        <v>8170</v>
      </c>
      <c r="N2033" s="1" t="s">
        <v>24</v>
      </c>
      <c r="O2033" s="1" t="s">
        <v>25</v>
      </c>
      <c r="P2033" s="1" t="s">
        <v>8171</v>
      </c>
    </row>
    <row r="2034" ht="14.25" customHeight="1">
      <c r="A2034" s="1" t="s">
        <v>8172</v>
      </c>
      <c r="B2034" s="1" t="s">
        <v>8173</v>
      </c>
      <c r="C2034" s="1" t="s">
        <v>39</v>
      </c>
      <c r="D2034" s="1">
        <v>74303.0</v>
      </c>
      <c r="E2034" s="1" t="s">
        <v>60</v>
      </c>
      <c r="F2034" s="1" t="s">
        <v>41</v>
      </c>
      <c r="G2034" s="1" t="s">
        <v>21</v>
      </c>
      <c r="H2034" s="2">
        <v>1098.0</v>
      </c>
      <c r="I2034" s="2">
        <v>4948.0</v>
      </c>
      <c r="J2034" s="1">
        <v>1974.0</v>
      </c>
      <c r="K2034" s="1">
        <v>65.0</v>
      </c>
      <c r="L2034" s="1" t="s">
        <v>62</v>
      </c>
      <c r="M2034" s="1" t="s">
        <v>8174</v>
      </c>
      <c r="N2034" s="1" t="s">
        <v>64</v>
      </c>
      <c r="O2034" s="1" t="s">
        <v>25</v>
      </c>
      <c r="P2034" s="1" t="s">
        <v>8175</v>
      </c>
    </row>
    <row r="2035" ht="14.25" customHeight="1">
      <c r="A2035" s="1" t="s">
        <v>8176</v>
      </c>
      <c r="B2035" s="1" t="s">
        <v>8177</v>
      </c>
      <c r="C2035" s="1" t="s">
        <v>76</v>
      </c>
      <c r="D2035" s="1">
        <v>31215.0</v>
      </c>
      <c r="E2035" s="1" t="s">
        <v>40</v>
      </c>
      <c r="F2035" s="1" t="s">
        <v>46</v>
      </c>
      <c r="G2035" s="1" t="s">
        <v>55</v>
      </c>
      <c r="H2035" s="2">
        <v>1231.0</v>
      </c>
      <c r="I2035" s="2">
        <v>5771.0</v>
      </c>
      <c r="J2035" s="1">
        <v>1999.0</v>
      </c>
      <c r="K2035" s="1">
        <v>10.0</v>
      </c>
      <c r="L2035" s="1" t="s">
        <v>62</v>
      </c>
      <c r="M2035" s="1" t="s">
        <v>8178</v>
      </c>
      <c r="N2035" s="1" t="s">
        <v>43</v>
      </c>
      <c r="O2035" s="1" t="s">
        <v>25</v>
      </c>
      <c r="P2035" s="1" t="s">
        <v>8179</v>
      </c>
    </row>
    <row r="2036" ht="14.25" customHeight="1">
      <c r="A2036" s="1" t="s">
        <v>8180</v>
      </c>
      <c r="B2036" s="1" t="s">
        <v>8181</v>
      </c>
      <c r="C2036" s="1" t="s">
        <v>39</v>
      </c>
      <c r="D2036" s="1">
        <v>52410.0</v>
      </c>
      <c r="E2036" s="1" t="s">
        <v>30</v>
      </c>
      <c r="F2036" s="1" t="s">
        <v>46</v>
      </c>
      <c r="G2036" s="1" t="s">
        <v>100</v>
      </c>
      <c r="H2036" s="2">
        <v>3422.0</v>
      </c>
      <c r="I2036" s="2">
        <v>4496.0</v>
      </c>
      <c r="J2036" s="1">
        <v>1985.0</v>
      </c>
      <c r="K2036" s="1">
        <v>32.0</v>
      </c>
      <c r="L2036" s="1" t="s">
        <v>62</v>
      </c>
      <c r="M2036" s="1" t="s">
        <v>8182</v>
      </c>
      <c r="N2036" s="1" t="s">
        <v>43</v>
      </c>
      <c r="O2036" s="1" t="s">
        <v>49</v>
      </c>
      <c r="P2036" s="1" t="s">
        <v>8183</v>
      </c>
    </row>
    <row r="2037" ht="14.25" customHeight="1">
      <c r="A2037" s="1" t="s">
        <v>8184</v>
      </c>
      <c r="B2037" s="1" t="s">
        <v>8185</v>
      </c>
      <c r="C2037" s="1" t="s">
        <v>76</v>
      </c>
      <c r="D2037" s="1">
        <v>68317.0</v>
      </c>
      <c r="E2037" s="1" t="s">
        <v>19</v>
      </c>
      <c r="F2037" s="1" t="s">
        <v>94</v>
      </c>
      <c r="G2037" s="1" t="s">
        <v>31</v>
      </c>
      <c r="H2037" s="2">
        <v>2224.0</v>
      </c>
      <c r="I2037" s="2">
        <v>3750.0</v>
      </c>
      <c r="J2037" s="1">
        <v>1974.0</v>
      </c>
      <c r="K2037" s="1">
        <v>105.0</v>
      </c>
      <c r="L2037" s="1" t="s">
        <v>95</v>
      </c>
      <c r="M2037" s="1" t="s">
        <v>8186</v>
      </c>
      <c r="N2037" s="1" t="s">
        <v>48</v>
      </c>
      <c r="O2037" s="1" t="s">
        <v>49</v>
      </c>
      <c r="P2037" s="1" t="s">
        <v>8187</v>
      </c>
    </row>
    <row r="2038" ht="14.25" customHeight="1">
      <c r="A2038" s="1" t="s">
        <v>8188</v>
      </c>
      <c r="B2038" s="1" t="s">
        <v>8189</v>
      </c>
      <c r="C2038" s="1" t="s">
        <v>39</v>
      </c>
      <c r="D2038" s="1">
        <v>91711.0</v>
      </c>
      <c r="E2038" s="1" t="s">
        <v>60</v>
      </c>
      <c r="F2038" s="1" t="s">
        <v>54</v>
      </c>
      <c r="G2038" s="1" t="s">
        <v>31</v>
      </c>
      <c r="H2038" s="2">
        <v>2790.0</v>
      </c>
      <c r="I2038" s="2">
        <v>6966.0</v>
      </c>
      <c r="J2038" s="1">
        <v>1986.0</v>
      </c>
      <c r="K2038" s="1">
        <v>43.0</v>
      </c>
      <c r="L2038" s="1" t="s">
        <v>22</v>
      </c>
      <c r="M2038" s="1" t="s">
        <v>8190</v>
      </c>
      <c r="N2038" s="1" t="s">
        <v>48</v>
      </c>
      <c r="O2038" s="1" t="s">
        <v>35</v>
      </c>
      <c r="P2038" s="1" t="s">
        <v>8191</v>
      </c>
    </row>
    <row r="2039" ht="14.25" customHeight="1">
      <c r="A2039" s="1" t="s">
        <v>8192</v>
      </c>
      <c r="B2039" s="1" t="s">
        <v>8193</v>
      </c>
      <c r="C2039" s="1" t="s">
        <v>53</v>
      </c>
      <c r="D2039" s="1">
        <v>79724.0</v>
      </c>
      <c r="E2039" s="1" t="s">
        <v>77</v>
      </c>
      <c r="F2039" s="1" t="s">
        <v>94</v>
      </c>
      <c r="G2039" s="1" t="s">
        <v>100</v>
      </c>
      <c r="H2039" s="2">
        <v>2690.0</v>
      </c>
      <c r="I2039" s="2">
        <v>2493.0</v>
      </c>
      <c r="J2039" s="1">
        <v>2009.0</v>
      </c>
      <c r="K2039" s="1">
        <v>44.0</v>
      </c>
      <c r="L2039" s="1" t="s">
        <v>62</v>
      </c>
      <c r="M2039" s="1" t="s">
        <v>8194</v>
      </c>
      <c r="N2039" s="1" t="s">
        <v>34</v>
      </c>
      <c r="O2039" s="1" t="s">
        <v>49</v>
      </c>
      <c r="P2039" s="1" t="s">
        <v>8195</v>
      </c>
    </row>
    <row r="2040" ht="14.25" customHeight="1">
      <c r="A2040" s="1" t="s">
        <v>8196</v>
      </c>
      <c r="B2040" s="1" t="s">
        <v>8197</v>
      </c>
      <c r="C2040" s="1" t="s">
        <v>76</v>
      </c>
      <c r="D2040" s="1">
        <v>56536.0</v>
      </c>
      <c r="E2040" s="1" t="s">
        <v>30</v>
      </c>
      <c r="F2040" s="1" t="s">
        <v>61</v>
      </c>
      <c r="G2040" s="1" t="s">
        <v>31</v>
      </c>
      <c r="H2040" s="2">
        <v>2065.0</v>
      </c>
      <c r="I2040" s="2">
        <v>2677.0</v>
      </c>
      <c r="J2040" s="1">
        <v>1996.0</v>
      </c>
      <c r="K2040" s="1">
        <v>52.0</v>
      </c>
      <c r="L2040" s="1" t="s">
        <v>22</v>
      </c>
      <c r="M2040" s="1" t="s">
        <v>8198</v>
      </c>
      <c r="N2040" s="1" t="s">
        <v>64</v>
      </c>
      <c r="O2040" s="1" t="s">
        <v>49</v>
      </c>
      <c r="P2040" s="1" t="s">
        <v>8199</v>
      </c>
    </row>
    <row r="2041" ht="14.25" customHeight="1">
      <c r="A2041" s="1" t="s">
        <v>8200</v>
      </c>
      <c r="B2041" s="1" t="s">
        <v>8201</v>
      </c>
      <c r="C2041" s="1" t="s">
        <v>76</v>
      </c>
      <c r="D2041" s="1">
        <v>18648.0</v>
      </c>
      <c r="E2041" s="1" t="s">
        <v>19</v>
      </c>
      <c r="F2041" s="1" t="s">
        <v>54</v>
      </c>
      <c r="G2041" s="1" t="s">
        <v>21</v>
      </c>
      <c r="H2041" s="2">
        <v>3314.0</v>
      </c>
      <c r="I2041" s="2">
        <v>6129.0</v>
      </c>
      <c r="J2041" s="1">
        <v>1964.0</v>
      </c>
      <c r="K2041" s="1">
        <v>57.0</v>
      </c>
      <c r="L2041" s="1" t="s">
        <v>32</v>
      </c>
      <c r="M2041" s="1" t="s">
        <v>8202</v>
      </c>
      <c r="N2041" s="1" t="s">
        <v>64</v>
      </c>
      <c r="O2041" s="1" t="s">
        <v>49</v>
      </c>
      <c r="P2041" s="1" t="s">
        <v>8203</v>
      </c>
    </row>
    <row r="2042" ht="14.25" customHeight="1">
      <c r="A2042" s="1" t="s">
        <v>8204</v>
      </c>
      <c r="B2042" s="1" t="s">
        <v>8205</v>
      </c>
      <c r="C2042" s="1" t="s">
        <v>39</v>
      </c>
      <c r="D2042" s="1">
        <v>81929.0</v>
      </c>
      <c r="E2042" s="1" t="s">
        <v>60</v>
      </c>
      <c r="F2042" s="1" t="s">
        <v>41</v>
      </c>
      <c r="G2042" s="1" t="s">
        <v>55</v>
      </c>
      <c r="H2042" s="2">
        <v>3789.0</v>
      </c>
      <c r="I2042" s="2">
        <v>3783.0</v>
      </c>
      <c r="J2042" s="1">
        <v>1977.0</v>
      </c>
      <c r="K2042" s="1">
        <v>54.0</v>
      </c>
      <c r="L2042" s="1" t="s">
        <v>95</v>
      </c>
      <c r="M2042" s="1" t="s">
        <v>8206</v>
      </c>
      <c r="N2042" s="1" t="s">
        <v>24</v>
      </c>
      <c r="O2042" s="1" t="s">
        <v>35</v>
      </c>
      <c r="P2042" s="1" t="s">
        <v>8207</v>
      </c>
    </row>
    <row r="2043" ht="14.25" customHeight="1">
      <c r="A2043" s="1" t="s">
        <v>8208</v>
      </c>
      <c r="B2043" s="1" t="s">
        <v>8209</v>
      </c>
      <c r="C2043" s="1" t="s">
        <v>53</v>
      </c>
      <c r="D2043" s="1">
        <v>20851.0</v>
      </c>
      <c r="E2043" s="1" t="s">
        <v>77</v>
      </c>
      <c r="F2043" s="1" t="s">
        <v>54</v>
      </c>
      <c r="G2043" s="1" t="s">
        <v>100</v>
      </c>
      <c r="H2043" s="2">
        <v>3622.0</v>
      </c>
      <c r="I2043" s="2">
        <v>2452.0</v>
      </c>
      <c r="J2043" s="1">
        <v>1972.0</v>
      </c>
      <c r="K2043" s="1">
        <v>13.0</v>
      </c>
      <c r="L2043" s="1" t="s">
        <v>32</v>
      </c>
      <c r="M2043" s="1" t="s">
        <v>8210</v>
      </c>
      <c r="N2043" s="1" t="s">
        <v>24</v>
      </c>
      <c r="O2043" s="1" t="s">
        <v>25</v>
      </c>
      <c r="P2043" s="1" t="s">
        <v>8211</v>
      </c>
    </row>
    <row r="2044" ht="14.25" customHeight="1">
      <c r="A2044" s="1" t="s">
        <v>8212</v>
      </c>
      <c r="B2044" s="1" t="s">
        <v>8213</v>
      </c>
      <c r="C2044" s="1" t="s">
        <v>76</v>
      </c>
      <c r="D2044" s="1">
        <v>72148.0</v>
      </c>
      <c r="E2044" s="1" t="s">
        <v>40</v>
      </c>
      <c r="F2044" s="1" t="s">
        <v>41</v>
      </c>
      <c r="G2044" s="1" t="s">
        <v>55</v>
      </c>
      <c r="H2044" s="2">
        <v>3297.0</v>
      </c>
      <c r="I2044" s="2">
        <v>8824.0</v>
      </c>
      <c r="J2044" s="1">
        <v>2009.0</v>
      </c>
      <c r="K2044" s="1">
        <v>50.0</v>
      </c>
      <c r="L2044" s="1" t="s">
        <v>95</v>
      </c>
      <c r="M2044" s="1" t="s">
        <v>8214</v>
      </c>
      <c r="N2044" s="1" t="s">
        <v>48</v>
      </c>
      <c r="O2044" s="1" t="s">
        <v>35</v>
      </c>
      <c r="P2044" s="1" t="s">
        <v>8215</v>
      </c>
    </row>
    <row r="2045" ht="14.25" customHeight="1">
      <c r="A2045" s="1" t="s">
        <v>8216</v>
      </c>
      <c r="B2045" s="1" t="s">
        <v>8217</v>
      </c>
      <c r="C2045" s="1" t="s">
        <v>53</v>
      </c>
      <c r="D2045" s="1">
        <v>25999.0</v>
      </c>
      <c r="E2045" s="1" t="s">
        <v>77</v>
      </c>
      <c r="F2045" s="1" t="s">
        <v>20</v>
      </c>
      <c r="G2045" s="1" t="s">
        <v>100</v>
      </c>
      <c r="H2045" s="2">
        <v>3688.0</v>
      </c>
      <c r="I2045" s="2">
        <v>5933.0</v>
      </c>
      <c r="J2045" s="1">
        <v>2006.0</v>
      </c>
      <c r="K2045" s="1">
        <v>93.0</v>
      </c>
      <c r="L2045" s="1" t="s">
        <v>22</v>
      </c>
      <c r="M2045" s="1" t="s">
        <v>8218</v>
      </c>
      <c r="N2045" s="1" t="s">
        <v>34</v>
      </c>
      <c r="O2045" s="1" t="s">
        <v>25</v>
      </c>
      <c r="P2045" s="1" t="s">
        <v>8219</v>
      </c>
    </row>
    <row r="2046" ht="14.25" customHeight="1">
      <c r="A2046" s="1" t="s">
        <v>8220</v>
      </c>
      <c r="B2046" s="1" t="s">
        <v>8221</v>
      </c>
      <c r="C2046" s="1" t="s">
        <v>39</v>
      </c>
      <c r="D2046" s="1">
        <v>22975.0</v>
      </c>
      <c r="E2046" s="1" t="s">
        <v>19</v>
      </c>
      <c r="F2046" s="1" t="s">
        <v>20</v>
      </c>
      <c r="G2046" s="1" t="s">
        <v>21</v>
      </c>
      <c r="H2046" s="2">
        <v>3730.0</v>
      </c>
      <c r="I2046" s="2">
        <v>9083.0</v>
      </c>
      <c r="J2046" s="1">
        <v>2006.0</v>
      </c>
      <c r="K2046" s="1">
        <v>78.0</v>
      </c>
      <c r="L2046" s="1" t="s">
        <v>141</v>
      </c>
      <c r="M2046" s="1" t="s">
        <v>8222</v>
      </c>
      <c r="N2046" s="1" t="s">
        <v>48</v>
      </c>
      <c r="O2046" s="1" t="s">
        <v>35</v>
      </c>
      <c r="P2046" s="1" t="s">
        <v>8223</v>
      </c>
    </row>
    <row r="2047" ht="14.25" customHeight="1">
      <c r="A2047" s="1" t="s">
        <v>8224</v>
      </c>
      <c r="B2047" s="1" t="s">
        <v>8225</v>
      </c>
      <c r="C2047" s="1" t="s">
        <v>29</v>
      </c>
      <c r="D2047" s="1">
        <v>35646.0</v>
      </c>
      <c r="E2047" s="1" t="s">
        <v>40</v>
      </c>
      <c r="F2047" s="1" t="s">
        <v>46</v>
      </c>
      <c r="G2047" s="1" t="s">
        <v>55</v>
      </c>
      <c r="H2047" s="2">
        <v>3450.0</v>
      </c>
      <c r="I2047" s="2">
        <v>2492.0</v>
      </c>
      <c r="J2047" s="1">
        <v>1968.0</v>
      </c>
      <c r="K2047" s="1">
        <v>110.0</v>
      </c>
      <c r="L2047" s="1" t="s">
        <v>32</v>
      </c>
      <c r="M2047" s="1" t="s">
        <v>8226</v>
      </c>
      <c r="N2047" s="1" t="s">
        <v>24</v>
      </c>
      <c r="O2047" s="1" t="s">
        <v>25</v>
      </c>
      <c r="P2047" s="1" t="s">
        <v>8227</v>
      </c>
    </row>
    <row r="2048" ht="14.25" customHeight="1">
      <c r="A2048" s="1" t="s">
        <v>8228</v>
      </c>
      <c r="B2048" s="1" t="s">
        <v>8229</v>
      </c>
      <c r="C2048" s="1" t="s">
        <v>76</v>
      </c>
      <c r="D2048" s="1">
        <v>52206.0</v>
      </c>
      <c r="E2048" s="1" t="s">
        <v>60</v>
      </c>
      <c r="F2048" s="1" t="s">
        <v>61</v>
      </c>
      <c r="G2048" s="1" t="s">
        <v>55</v>
      </c>
      <c r="H2048" s="2">
        <v>2997.0</v>
      </c>
      <c r="I2048" s="2">
        <v>2622.0</v>
      </c>
      <c r="J2048" s="1">
        <v>1996.0</v>
      </c>
      <c r="K2048" s="1">
        <v>89.0</v>
      </c>
      <c r="L2048" s="1" t="s">
        <v>62</v>
      </c>
      <c r="M2048" s="1" t="s">
        <v>8230</v>
      </c>
      <c r="N2048" s="1" t="s">
        <v>43</v>
      </c>
      <c r="O2048" s="1" t="s">
        <v>49</v>
      </c>
      <c r="P2048" s="1" t="s">
        <v>8231</v>
      </c>
    </row>
    <row r="2049" ht="14.25" customHeight="1">
      <c r="A2049" s="1" t="s">
        <v>8232</v>
      </c>
      <c r="B2049" s="1" t="s">
        <v>8233</v>
      </c>
      <c r="C2049" s="1" t="s">
        <v>39</v>
      </c>
      <c r="D2049" s="1">
        <v>64667.0</v>
      </c>
      <c r="E2049" s="1" t="s">
        <v>30</v>
      </c>
      <c r="F2049" s="1" t="s">
        <v>94</v>
      </c>
      <c r="G2049" s="1" t="s">
        <v>100</v>
      </c>
      <c r="H2049" s="2">
        <v>628.0</v>
      </c>
      <c r="I2049" s="2">
        <v>9590.0</v>
      </c>
      <c r="J2049" s="1">
        <v>2018.0</v>
      </c>
      <c r="K2049" s="1">
        <v>5.0</v>
      </c>
      <c r="L2049" s="1" t="s">
        <v>141</v>
      </c>
      <c r="M2049" s="1" t="s">
        <v>8234</v>
      </c>
      <c r="N2049" s="1" t="s">
        <v>43</v>
      </c>
      <c r="O2049" s="1" t="s">
        <v>35</v>
      </c>
      <c r="P2049" s="1" t="s">
        <v>8235</v>
      </c>
    </row>
    <row r="2050" ht="14.25" customHeight="1">
      <c r="A2050" s="1" t="s">
        <v>8236</v>
      </c>
      <c r="B2050" s="1" t="s">
        <v>8237</v>
      </c>
      <c r="C2050" s="1" t="s">
        <v>29</v>
      </c>
      <c r="D2050" s="1">
        <v>62369.0</v>
      </c>
      <c r="E2050" s="1" t="s">
        <v>30</v>
      </c>
      <c r="F2050" s="1" t="s">
        <v>61</v>
      </c>
      <c r="G2050" s="1" t="s">
        <v>21</v>
      </c>
      <c r="H2050" s="2">
        <v>904.0</v>
      </c>
      <c r="I2050" s="2">
        <v>3576.0</v>
      </c>
      <c r="J2050" s="1">
        <v>1954.0</v>
      </c>
      <c r="K2050" s="1">
        <v>54.0</v>
      </c>
      <c r="L2050" s="1" t="s">
        <v>62</v>
      </c>
      <c r="M2050" s="1" t="s">
        <v>8238</v>
      </c>
      <c r="N2050" s="1" t="s">
        <v>64</v>
      </c>
      <c r="O2050" s="1" t="s">
        <v>49</v>
      </c>
      <c r="P2050" s="1" t="s">
        <v>8239</v>
      </c>
    </row>
    <row r="2051" ht="14.25" customHeight="1">
      <c r="A2051" s="1" t="s">
        <v>8240</v>
      </c>
      <c r="B2051" s="1" t="s">
        <v>8241</v>
      </c>
      <c r="C2051" s="1" t="s">
        <v>18</v>
      </c>
      <c r="D2051" s="1">
        <v>91039.0</v>
      </c>
      <c r="E2051" s="1" t="s">
        <v>60</v>
      </c>
      <c r="F2051" s="1" t="s">
        <v>94</v>
      </c>
      <c r="G2051" s="1" t="s">
        <v>100</v>
      </c>
      <c r="H2051" s="2">
        <v>1572.0</v>
      </c>
      <c r="I2051" s="2">
        <v>5622.0</v>
      </c>
      <c r="J2051" s="1">
        <v>1995.0</v>
      </c>
      <c r="K2051" s="1">
        <v>65.0</v>
      </c>
      <c r="L2051" s="1" t="s">
        <v>32</v>
      </c>
      <c r="M2051" s="1" t="s">
        <v>8242</v>
      </c>
      <c r="N2051" s="1" t="s">
        <v>24</v>
      </c>
      <c r="O2051" s="1" t="s">
        <v>25</v>
      </c>
      <c r="P2051" s="1" t="s">
        <v>8243</v>
      </c>
    </row>
    <row r="2052" ht="14.25" customHeight="1">
      <c r="A2052" s="1" t="s">
        <v>8244</v>
      </c>
      <c r="B2052" s="1" t="s">
        <v>8245</v>
      </c>
      <c r="C2052" s="1" t="s">
        <v>76</v>
      </c>
      <c r="D2052" s="1">
        <v>46321.0</v>
      </c>
      <c r="E2052" s="1" t="s">
        <v>60</v>
      </c>
      <c r="F2052" s="1" t="s">
        <v>46</v>
      </c>
      <c r="G2052" s="1" t="s">
        <v>21</v>
      </c>
      <c r="H2052" s="2">
        <v>3777.0</v>
      </c>
      <c r="I2052" s="2">
        <v>9177.0</v>
      </c>
      <c r="J2052" s="1">
        <v>2006.0</v>
      </c>
      <c r="K2052" s="1">
        <v>28.0</v>
      </c>
      <c r="L2052" s="1" t="s">
        <v>22</v>
      </c>
      <c r="M2052" s="1" t="s">
        <v>8246</v>
      </c>
      <c r="N2052" s="1" t="s">
        <v>43</v>
      </c>
      <c r="O2052" s="1" t="s">
        <v>49</v>
      </c>
      <c r="P2052" s="1" t="s">
        <v>8247</v>
      </c>
    </row>
    <row r="2053" ht="14.25" customHeight="1">
      <c r="A2053" s="1" t="s">
        <v>8248</v>
      </c>
      <c r="B2053" s="1" t="s">
        <v>8249</v>
      </c>
      <c r="C2053" s="1" t="s">
        <v>53</v>
      </c>
      <c r="D2053" s="1">
        <v>13319.0</v>
      </c>
      <c r="E2053" s="1" t="s">
        <v>19</v>
      </c>
      <c r="F2053" s="1" t="s">
        <v>46</v>
      </c>
      <c r="G2053" s="1" t="s">
        <v>100</v>
      </c>
      <c r="H2053" s="2">
        <v>2765.0</v>
      </c>
      <c r="I2053" s="2">
        <v>8936.0</v>
      </c>
      <c r="J2053" s="1">
        <v>2021.0</v>
      </c>
      <c r="K2053" s="1">
        <v>67.0</v>
      </c>
      <c r="L2053" s="1" t="s">
        <v>22</v>
      </c>
      <c r="M2053" s="1" t="s">
        <v>8250</v>
      </c>
      <c r="N2053" s="1" t="s">
        <v>64</v>
      </c>
      <c r="O2053" s="1" t="s">
        <v>49</v>
      </c>
      <c r="P2053" s="1" t="s">
        <v>8251</v>
      </c>
    </row>
    <row r="2054" ht="14.25" customHeight="1">
      <c r="A2054" s="1" t="s">
        <v>8252</v>
      </c>
      <c r="B2054" s="1" t="s">
        <v>8253</v>
      </c>
      <c r="C2054" s="1" t="s">
        <v>39</v>
      </c>
      <c r="D2054" s="1">
        <v>16968.0</v>
      </c>
      <c r="E2054" s="1" t="s">
        <v>77</v>
      </c>
      <c r="F2054" s="1" t="s">
        <v>41</v>
      </c>
      <c r="G2054" s="1" t="s">
        <v>100</v>
      </c>
      <c r="H2054" s="2">
        <v>3494.0</v>
      </c>
      <c r="I2054" s="2">
        <v>4969.0</v>
      </c>
      <c r="J2054" s="1">
        <v>1977.0</v>
      </c>
      <c r="K2054" s="1">
        <v>41.0</v>
      </c>
      <c r="L2054" s="1" t="s">
        <v>141</v>
      </c>
      <c r="M2054" s="1" t="s">
        <v>8254</v>
      </c>
      <c r="N2054" s="1" t="s">
        <v>34</v>
      </c>
      <c r="O2054" s="1" t="s">
        <v>49</v>
      </c>
      <c r="P2054" s="1" t="s">
        <v>8255</v>
      </c>
    </row>
    <row r="2055" ht="14.25" customHeight="1">
      <c r="A2055" s="1" t="s">
        <v>8256</v>
      </c>
      <c r="B2055" s="1" t="s">
        <v>8257</v>
      </c>
      <c r="C2055" s="1" t="s">
        <v>29</v>
      </c>
      <c r="D2055" s="1">
        <v>92818.0</v>
      </c>
      <c r="E2055" s="1" t="s">
        <v>19</v>
      </c>
      <c r="F2055" s="1" t="s">
        <v>61</v>
      </c>
      <c r="G2055" s="1" t="s">
        <v>31</v>
      </c>
      <c r="H2055" s="2">
        <v>3019.0</v>
      </c>
      <c r="I2055" s="2">
        <v>6247.0</v>
      </c>
      <c r="J2055" s="1">
        <v>1971.0</v>
      </c>
      <c r="K2055" s="1">
        <v>115.0</v>
      </c>
      <c r="L2055" s="1" t="s">
        <v>95</v>
      </c>
      <c r="M2055" s="1" t="s">
        <v>8258</v>
      </c>
      <c r="N2055" s="1" t="s">
        <v>64</v>
      </c>
      <c r="O2055" s="1" t="s">
        <v>49</v>
      </c>
      <c r="P2055" s="1" t="s">
        <v>8259</v>
      </c>
    </row>
    <row r="2056" ht="14.25" customHeight="1">
      <c r="A2056" s="1" t="s">
        <v>8260</v>
      </c>
      <c r="B2056" s="1" t="s">
        <v>8261</v>
      </c>
      <c r="C2056" s="1" t="s">
        <v>18</v>
      </c>
      <c r="D2056" s="1">
        <v>68978.0</v>
      </c>
      <c r="E2056" s="1" t="s">
        <v>19</v>
      </c>
      <c r="F2056" s="1" t="s">
        <v>20</v>
      </c>
      <c r="G2056" s="1" t="s">
        <v>31</v>
      </c>
      <c r="H2056" s="2">
        <v>1490.0</v>
      </c>
      <c r="I2056" s="2">
        <v>5205.0</v>
      </c>
      <c r="J2056" s="1">
        <v>1958.0</v>
      </c>
      <c r="K2056" s="1">
        <v>63.0</v>
      </c>
      <c r="L2056" s="1" t="s">
        <v>141</v>
      </c>
      <c r="M2056" s="1" t="s">
        <v>8262</v>
      </c>
      <c r="N2056" s="1" t="s">
        <v>43</v>
      </c>
      <c r="O2056" s="1" t="s">
        <v>49</v>
      </c>
      <c r="P2056" s="1" t="s">
        <v>8263</v>
      </c>
    </row>
    <row r="2057" ht="14.25" customHeight="1">
      <c r="A2057" s="1" t="s">
        <v>8264</v>
      </c>
      <c r="B2057" s="1" t="s">
        <v>8265</v>
      </c>
      <c r="C2057" s="1" t="s">
        <v>29</v>
      </c>
      <c r="D2057" s="1">
        <v>62758.0</v>
      </c>
      <c r="E2057" s="1" t="s">
        <v>60</v>
      </c>
      <c r="F2057" s="1" t="s">
        <v>54</v>
      </c>
      <c r="G2057" s="1" t="s">
        <v>55</v>
      </c>
      <c r="H2057" s="2">
        <v>3904.0</v>
      </c>
      <c r="I2057" s="2">
        <v>4219.0</v>
      </c>
      <c r="J2057" s="1">
        <v>1956.0</v>
      </c>
      <c r="K2057" s="1">
        <v>112.0</v>
      </c>
      <c r="L2057" s="1" t="s">
        <v>32</v>
      </c>
      <c r="M2057" s="1" t="s">
        <v>8266</v>
      </c>
      <c r="N2057" s="1" t="s">
        <v>24</v>
      </c>
      <c r="O2057" s="1" t="s">
        <v>35</v>
      </c>
      <c r="P2057" s="1" t="s">
        <v>8267</v>
      </c>
    </row>
    <row r="2058" ht="14.25" customHeight="1">
      <c r="A2058" s="1" t="s">
        <v>8268</v>
      </c>
      <c r="B2058" s="1" t="s">
        <v>8269</v>
      </c>
      <c r="C2058" s="1" t="s">
        <v>18</v>
      </c>
      <c r="D2058" s="1">
        <v>19349.0</v>
      </c>
      <c r="E2058" s="1" t="s">
        <v>77</v>
      </c>
      <c r="F2058" s="1" t="s">
        <v>41</v>
      </c>
      <c r="G2058" s="1" t="s">
        <v>100</v>
      </c>
      <c r="H2058" s="2">
        <v>1351.0</v>
      </c>
      <c r="I2058" s="2">
        <v>5582.0</v>
      </c>
      <c r="J2058" s="1">
        <v>1961.0</v>
      </c>
      <c r="K2058" s="1">
        <v>88.0</v>
      </c>
      <c r="L2058" s="1" t="s">
        <v>95</v>
      </c>
      <c r="M2058" s="1" t="s">
        <v>8270</v>
      </c>
      <c r="N2058" s="1" t="s">
        <v>24</v>
      </c>
      <c r="O2058" s="1" t="s">
        <v>35</v>
      </c>
      <c r="P2058" s="1" t="s">
        <v>8271</v>
      </c>
    </row>
    <row r="2059" ht="14.25" customHeight="1">
      <c r="A2059" s="1" t="s">
        <v>8272</v>
      </c>
      <c r="B2059" s="1" t="s">
        <v>8273</v>
      </c>
      <c r="C2059" s="1" t="s">
        <v>53</v>
      </c>
      <c r="D2059" s="1">
        <v>48055.0</v>
      </c>
      <c r="E2059" s="1" t="s">
        <v>40</v>
      </c>
      <c r="F2059" s="1" t="s">
        <v>41</v>
      </c>
      <c r="G2059" s="1" t="s">
        <v>21</v>
      </c>
      <c r="H2059" s="2">
        <v>1051.0</v>
      </c>
      <c r="I2059" s="2">
        <v>7416.0</v>
      </c>
      <c r="J2059" s="1">
        <v>1974.0</v>
      </c>
      <c r="K2059" s="1">
        <v>69.0</v>
      </c>
      <c r="L2059" s="1" t="s">
        <v>22</v>
      </c>
      <c r="M2059" s="1" t="s">
        <v>8274</v>
      </c>
      <c r="N2059" s="1" t="s">
        <v>64</v>
      </c>
      <c r="O2059" s="1" t="s">
        <v>35</v>
      </c>
      <c r="P2059" s="1" t="s">
        <v>8275</v>
      </c>
    </row>
    <row r="2060" ht="14.25" customHeight="1">
      <c r="A2060" s="1" t="s">
        <v>8276</v>
      </c>
      <c r="B2060" s="1" t="s">
        <v>8277</v>
      </c>
      <c r="C2060" s="1" t="s">
        <v>39</v>
      </c>
      <c r="D2060" s="1">
        <v>59736.0</v>
      </c>
      <c r="E2060" s="1" t="s">
        <v>30</v>
      </c>
      <c r="F2060" s="1" t="s">
        <v>20</v>
      </c>
      <c r="G2060" s="1" t="s">
        <v>21</v>
      </c>
      <c r="H2060" s="2">
        <v>602.0</v>
      </c>
      <c r="I2060" s="2">
        <v>9567.0</v>
      </c>
      <c r="J2060" s="1">
        <v>1977.0</v>
      </c>
      <c r="K2060" s="1">
        <v>45.0</v>
      </c>
      <c r="L2060" s="1" t="s">
        <v>62</v>
      </c>
      <c r="M2060" s="1" t="s">
        <v>8278</v>
      </c>
      <c r="N2060" s="1" t="s">
        <v>48</v>
      </c>
      <c r="O2060" s="1" t="s">
        <v>49</v>
      </c>
      <c r="P2060" s="1" t="s">
        <v>8279</v>
      </c>
    </row>
    <row r="2061" ht="14.25" customHeight="1">
      <c r="A2061" s="1" t="s">
        <v>8280</v>
      </c>
      <c r="B2061" s="1" t="s">
        <v>8281</v>
      </c>
      <c r="C2061" s="1" t="s">
        <v>76</v>
      </c>
      <c r="D2061" s="1">
        <v>74766.0</v>
      </c>
      <c r="E2061" s="1" t="s">
        <v>77</v>
      </c>
      <c r="F2061" s="1" t="s">
        <v>54</v>
      </c>
      <c r="G2061" s="1" t="s">
        <v>31</v>
      </c>
      <c r="H2061" s="2">
        <v>2236.0</v>
      </c>
      <c r="I2061" s="2">
        <v>3820.0</v>
      </c>
      <c r="J2061" s="1">
        <v>2016.0</v>
      </c>
      <c r="K2061" s="1">
        <v>88.0</v>
      </c>
      <c r="L2061" s="1" t="s">
        <v>141</v>
      </c>
      <c r="M2061" s="1" t="s">
        <v>8282</v>
      </c>
      <c r="N2061" s="1" t="s">
        <v>24</v>
      </c>
      <c r="O2061" s="1" t="s">
        <v>49</v>
      </c>
      <c r="P2061" s="1" t="s">
        <v>8283</v>
      </c>
    </row>
    <row r="2062" ht="14.25" customHeight="1">
      <c r="A2062" s="1" t="s">
        <v>8284</v>
      </c>
      <c r="B2062" s="1" t="s">
        <v>8285</v>
      </c>
      <c r="C2062" s="1" t="s">
        <v>29</v>
      </c>
      <c r="D2062" s="1">
        <v>91628.0</v>
      </c>
      <c r="E2062" s="1" t="s">
        <v>77</v>
      </c>
      <c r="F2062" s="1" t="s">
        <v>54</v>
      </c>
      <c r="G2062" s="1" t="s">
        <v>31</v>
      </c>
      <c r="H2062" s="2">
        <v>1495.0</v>
      </c>
      <c r="I2062" s="2">
        <v>2449.0</v>
      </c>
      <c r="J2062" s="1">
        <v>2004.0</v>
      </c>
      <c r="K2062" s="1">
        <v>111.0</v>
      </c>
      <c r="L2062" s="1" t="s">
        <v>95</v>
      </c>
      <c r="M2062" s="1" t="s">
        <v>8286</v>
      </c>
      <c r="N2062" s="1" t="s">
        <v>43</v>
      </c>
      <c r="O2062" s="1" t="s">
        <v>35</v>
      </c>
      <c r="P2062" s="1" t="s">
        <v>8287</v>
      </c>
    </row>
    <row r="2063" ht="14.25" customHeight="1">
      <c r="A2063" s="1" t="s">
        <v>8288</v>
      </c>
      <c r="B2063" s="1" t="s">
        <v>8289</v>
      </c>
      <c r="C2063" s="1" t="s">
        <v>29</v>
      </c>
      <c r="D2063" s="1">
        <v>83413.0</v>
      </c>
      <c r="E2063" s="1" t="s">
        <v>60</v>
      </c>
      <c r="F2063" s="1" t="s">
        <v>94</v>
      </c>
      <c r="G2063" s="1" t="s">
        <v>100</v>
      </c>
      <c r="H2063" s="2">
        <v>2383.0</v>
      </c>
      <c r="I2063" s="2">
        <v>6304.0</v>
      </c>
      <c r="J2063" s="1">
        <v>1988.0</v>
      </c>
      <c r="K2063" s="1">
        <v>11.0</v>
      </c>
      <c r="L2063" s="1" t="s">
        <v>95</v>
      </c>
      <c r="M2063" s="1" t="s">
        <v>8290</v>
      </c>
      <c r="N2063" s="1" t="s">
        <v>24</v>
      </c>
      <c r="O2063" s="1" t="s">
        <v>49</v>
      </c>
      <c r="P2063" s="1" t="s">
        <v>8291</v>
      </c>
    </row>
    <row r="2064" ht="14.25" customHeight="1">
      <c r="A2064" s="1" t="s">
        <v>8292</v>
      </c>
      <c r="B2064" s="1" t="s">
        <v>8293</v>
      </c>
      <c r="C2064" s="1" t="s">
        <v>53</v>
      </c>
      <c r="D2064" s="1">
        <v>41731.0</v>
      </c>
      <c r="E2064" s="1" t="s">
        <v>30</v>
      </c>
      <c r="F2064" s="1" t="s">
        <v>94</v>
      </c>
      <c r="G2064" s="1" t="s">
        <v>31</v>
      </c>
      <c r="H2064" s="2">
        <v>1198.0</v>
      </c>
      <c r="I2064" s="2">
        <v>9580.0</v>
      </c>
      <c r="J2064" s="1">
        <v>1999.0</v>
      </c>
      <c r="K2064" s="1">
        <v>95.0</v>
      </c>
      <c r="L2064" s="1" t="s">
        <v>141</v>
      </c>
      <c r="M2064" s="1" t="s">
        <v>8294</v>
      </c>
      <c r="N2064" s="1" t="s">
        <v>43</v>
      </c>
      <c r="O2064" s="1" t="s">
        <v>35</v>
      </c>
      <c r="P2064" s="1" t="s">
        <v>8295</v>
      </c>
    </row>
    <row r="2065" ht="14.25" customHeight="1">
      <c r="A2065" s="1" t="s">
        <v>8296</v>
      </c>
      <c r="B2065" s="1" t="s">
        <v>8297</v>
      </c>
      <c r="C2065" s="1" t="s">
        <v>76</v>
      </c>
      <c r="D2065" s="1">
        <v>93817.0</v>
      </c>
      <c r="E2065" s="1" t="s">
        <v>77</v>
      </c>
      <c r="F2065" s="1" t="s">
        <v>54</v>
      </c>
      <c r="G2065" s="1" t="s">
        <v>21</v>
      </c>
      <c r="H2065" s="2">
        <v>766.0</v>
      </c>
      <c r="I2065" s="2">
        <v>6790.0</v>
      </c>
      <c r="J2065" s="1">
        <v>2014.0</v>
      </c>
      <c r="K2065" s="1">
        <v>69.0</v>
      </c>
      <c r="L2065" s="1" t="s">
        <v>141</v>
      </c>
      <c r="M2065" s="1" t="s">
        <v>8298</v>
      </c>
      <c r="N2065" s="1" t="s">
        <v>24</v>
      </c>
      <c r="O2065" s="1" t="s">
        <v>49</v>
      </c>
      <c r="P2065" s="1" t="s">
        <v>8299</v>
      </c>
    </row>
    <row r="2066" ht="14.25" customHeight="1">
      <c r="A2066" s="1" t="s">
        <v>8300</v>
      </c>
      <c r="B2066" s="1" t="s">
        <v>8301</v>
      </c>
      <c r="C2066" s="1" t="s">
        <v>29</v>
      </c>
      <c r="D2066" s="1">
        <v>91641.0</v>
      </c>
      <c r="E2066" s="1" t="s">
        <v>60</v>
      </c>
      <c r="F2066" s="1" t="s">
        <v>94</v>
      </c>
      <c r="G2066" s="1" t="s">
        <v>31</v>
      </c>
      <c r="H2066" s="2">
        <v>2114.0</v>
      </c>
      <c r="I2066" s="2">
        <v>6303.0</v>
      </c>
      <c r="J2066" s="1">
        <v>1995.0</v>
      </c>
      <c r="K2066" s="1">
        <v>72.0</v>
      </c>
      <c r="L2066" s="1" t="s">
        <v>22</v>
      </c>
      <c r="M2066" s="1" t="s">
        <v>8302</v>
      </c>
      <c r="N2066" s="1" t="s">
        <v>34</v>
      </c>
      <c r="O2066" s="1" t="s">
        <v>49</v>
      </c>
      <c r="P2066" s="1" t="s">
        <v>8303</v>
      </c>
    </row>
    <row r="2067" ht="14.25" customHeight="1">
      <c r="A2067" s="1" t="s">
        <v>8304</v>
      </c>
      <c r="B2067" s="1" t="s">
        <v>8305</v>
      </c>
      <c r="C2067" s="1" t="s">
        <v>53</v>
      </c>
      <c r="D2067" s="1">
        <v>71445.0</v>
      </c>
      <c r="E2067" s="1" t="s">
        <v>77</v>
      </c>
      <c r="F2067" s="1" t="s">
        <v>41</v>
      </c>
      <c r="G2067" s="1" t="s">
        <v>100</v>
      </c>
      <c r="H2067" s="2">
        <v>1147.0</v>
      </c>
      <c r="I2067" s="2">
        <v>3928.0</v>
      </c>
      <c r="J2067" s="1">
        <v>1992.0</v>
      </c>
      <c r="K2067" s="1">
        <v>92.0</v>
      </c>
      <c r="L2067" s="1" t="s">
        <v>22</v>
      </c>
      <c r="M2067" s="1" t="s">
        <v>8306</v>
      </c>
      <c r="N2067" s="1" t="s">
        <v>34</v>
      </c>
      <c r="O2067" s="1" t="s">
        <v>35</v>
      </c>
      <c r="P2067" s="1" t="s">
        <v>8307</v>
      </c>
    </row>
    <row r="2068" ht="14.25" customHeight="1">
      <c r="A2068" s="1" t="s">
        <v>8308</v>
      </c>
      <c r="B2068" s="1" t="s">
        <v>8309</v>
      </c>
      <c r="C2068" s="1" t="s">
        <v>18</v>
      </c>
      <c r="D2068" s="1">
        <v>30564.0</v>
      </c>
      <c r="E2068" s="1" t="s">
        <v>40</v>
      </c>
      <c r="F2068" s="1" t="s">
        <v>41</v>
      </c>
      <c r="G2068" s="1" t="s">
        <v>100</v>
      </c>
      <c r="H2068" s="2">
        <v>2855.0</v>
      </c>
      <c r="I2068" s="2">
        <v>6831.0</v>
      </c>
      <c r="J2068" s="1">
        <v>1987.0</v>
      </c>
      <c r="K2068" s="1">
        <v>115.0</v>
      </c>
      <c r="L2068" s="1" t="s">
        <v>32</v>
      </c>
      <c r="M2068" s="1" t="s">
        <v>8310</v>
      </c>
      <c r="N2068" s="1" t="s">
        <v>43</v>
      </c>
      <c r="O2068" s="1" t="s">
        <v>35</v>
      </c>
      <c r="P2068" s="1" t="s">
        <v>8311</v>
      </c>
    </row>
    <row r="2069" ht="14.25" customHeight="1">
      <c r="A2069" s="1" t="s">
        <v>7676</v>
      </c>
      <c r="B2069" s="1" t="s">
        <v>8312</v>
      </c>
      <c r="C2069" s="1" t="s">
        <v>76</v>
      </c>
      <c r="D2069" s="1">
        <v>76206.0</v>
      </c>
      <c r="E2069" s="1" t="s">
        <v>30</v>
      </c>
      <c r="F2069" s="1" t="s">
        <v>41</v>
      </c>
      <c r="G2069" s="1" t="s">
        <v>100</v>
      </c>
      <c r="H2069" s="2">
        <v>1017.0</v>
      </c>
      <c r="I2069" s="2">
        <v>3635.0</v>
      </c>
      <c r="J2069" s="1">
        <v>2021.0</v>
      </c>
      <c r="K2069" s="1">
        <v>37.0</v>
      </c>
      <c r="L2069" s="1" t="s">
        <v>22</v>
      </c>
      <c r="M2069" s="1" t="s">
        <v>8313</v>
      </c>
      <c r="N2069" s="1" t="s">
        <v>64</v>
      </c>
      <c r="O2069" s="1" t="s">
        <v>35</v>
      </c>
      <c r="P2069" s="1" t="s">
        <v>8314</v>
      </c>
    </row>
    <row r="2070" ht="14.25" customHeight="1">
      <c r="A2070" s="1" t="s">
        <v>8315</v>
      </c>
      <c r="B2070" s="1" t="s">
        <v>8316</v>
      </c>
      <c r="C2070" s="1" t="s">
        <v>76</v>
      </c>
      <c r="D2070" s="1">
        <v>71220.0</v>
      </c>
      <c r="E2070" s="1" t="s">
        <v>60</v>
      </c>
      <c r="F2070" s="1" t="s">
        <v>46</v>
      </c>
      <c r="G2070" s="1" t="s">
        <v>55</v>
      </c>
      <c r="H2070" s="2">
        <v>3604.0</v>
      </c>
      <c r="I2070" s="2">
        <v>2479.0</v>
      </c>
      <c r="J2070" s="1">
        <v>1992.0</v>
      </c>
      <c r="K2070" s="1">
        <v>9.0</v>
      </c>
      <c r="L2070" s="1" t="s">
        <v>32</v>
      </c>
      <c r="M2070" s="1" t="s">
        <v>8317</v>
      </c>
      <c r="N2070" s="1" t="s">
        <v>34</v>
      </c>
      <c r="O2070" s="1" t="s">
        <v>49</v>
      </c>
      <c r="P2070" s="1" t="s">
        <v>8318</v>
      </c>
    </row>
    <row r="2071" ht="14.25" customHeight="1">
      <c r="A2071" s="1" t="s">
        <v>8319</v>
      </c>
      <c r="B2071" s="1" t="s">
        <v>8320</v>
      </c>
      <c r="C2071" s="1" t="s">
        <v>53</v>
      </c>
      <c r="D2071" s="1">
        <v>73252.0</v>
      </c>
      <c r="E2071" s="1" t="s">
        <v>60</v>
      </c>
      <c r="F2071" s="1" t="s">
        <v>61</v>
      </c>
      <c r="G2071" s="1" t="s">
        <v>55</v>
      </c>
      <c r="H2071" s="2">
        <v>3727.0</v>
      </c>
      <c r="I2071" s="2">
        <v>6955.0</v>
      </c>
      <c r="J2071" s="1">
        <v>1951.0</v>
      </c>
      <c r="K2071" s="1">
        <v>55.0</v>
      </c>
      <c r="L2071" s="1" t="s">
        <v>32</v>
      </c>
      <c r="M2071" s="1" t="s">
        <v>8321</v>
      </c>
      <c r="N2071" s="1" t="s">
        <v>24</v>
      </c>
      <c r="O2071" s="1" t="s">
        <v>25</v>
      </c>
      <c r="P2071" s="1" t="s">
        <v>8322</v>
      </c>
    </row>
    <row r="2072" ht="14.25" customHeight="1">
      <c r="A2072" s="1" t="s">
        <v>8323</v>
      </c>
      <c r="B2072" s="1" t="s">
        <v>8324</v>
      </c>
      <c r="C2072" s="1" t="s">
        <v>39</v>
      </c>
      <c r="D2072" s="1">
        <v>57265.0</v>
      </c>
      <c r="E2072" s="1" t="s">
        <v>30</v>
      </c>
      <c r="F2072" s="1" t="s">
        <v>54</v>
      </c>
      <c r="G2072" s="1" t="s">
        <v>55</v>
      </c>
      <c r="H2072" s="2">
        <v>1424.0</v>
      </c>
      <c r="I2072" s="2">
        <v>1967.0</v>
      </c>
      <c r="J2072" s="1">
        <v>1962.0</v>
      </c>
      <c r="K2072" s="1">
        <v>63.0</v>
      </c>
      <c r="L2072" s="1" t="s">
        <v>32</v>
      </c>
      <c r="M2072" s="1" t="s">
        <v>8325</v>
      </c>
      <c r="N2072" s="1" t="s">
        <v>43</v>
      </c>
      <c r="O2072" s="1" t="s">
        <v>25</v>
      </c>
      <c r="P2072" s="1" t="s">
        <v>8326</v>
      </c>
    </row>
    <row r="2073" ht="14.25" customHeight="1">
      <c r="A2073" s="1" t="s">
        <v>8327</v>
      </c>
      <c r="B2073" s="1" t="s">
        <v>8328</v>
      </c>
      <c r="C2073" s="1" t="s">
        <v>53</v>
      </c>
      <c r="D2073" s="1">
        <v>54611.0</v>
      </c>
      <c r="E2073" s="1" t="s">
        <v>19</v>
      </c>
      <c r="F2073" s="1" t="s">
        <v>54</v>
      </c>
      <c r="G2073" s="1" t="s">
        <v>55</v>
      </c>
      <c r="H2073" s="2">
        <v>3472.0</v>
      </c>
      <c r="I2073" s="2">
        <v>1393.0</v>
      </c>
      <c r="J2073" s="1">
        <v>1984.0</v>
      </c>
      <c r="K2073" s="1">
        <v>47.0</v>
      </c>
      <c r="L2073" s="1" t="s">
        <v>141</v>
      </c>
      <c r="M2073" s="1" t="s">
        <v>8329</v>
      </c>
      <c r="N2073" s="1" t="s">
        <v>64</v>
      </c>
      <c r="O2073" s="1" t="s">
        <v>25</v>
      </c>
      <c r="P2073" s="1" t="s">
        <v>8330</v>
      </c>
    </row>
    <row r="2074" ht="14.25" customHeight="1">
      <c r="A2074" s="1" t="s">
        <v>8331</v>
      </c>
      <c r="B2074" s="1" t="s">
        <v>8332</v>
      </c>
      <c r="C2074" s="1" t="s">
        <v>76</v>
      </c>
      <c r="D2074" s="1">
        <v>62332.0</v>
      </c>
      <c r="E2074" s="1" t="s">
        <v>77</v>
      </c>
      <c r="F2074" s="1" t="s">
        <v>46</v>
      </c>
      <c r="G2074" s="1" t="s">
        <v>21</v>
      </c>
      <c r="H2074" s="2">
        <v>2908.0</v>
      </c>
      <c r="I2074" s="2">
        <v>4547.0</v>
      </c>
      <c r="J2074" s="1">
        <v>2022.0</v>
      </c>
      <c r="K2074" s="1">
        <v>43.0</v>
      </c>
      <c r="L2074" s="1" t="s">
        <v>32</v>
      </c>
      <c r="M2074" s="1" t="s">
        <v>8333</v>
      </c>
      <c r="N2074" s="1" t="s">
        <v>48</v>
      </c>
      <c r="O2074" s="1" t="s">
        <v>25</v>
      </c>
      <c r="P2074" s="1" t="s">
        <v>8334</v>
      </c>
    </row>
    <row r="2075" ht="14.25" customHeight="1">
      <c r="A2075" s="1" t="s">
        <v>8335</v>
      </c>
      <c r="B2075" s="1" t="s">
        <v>8336</v>
      </c>
      <c r="C2075" s="1" t="s">
        <v>76</v>
      </c>
      <c r="D2075" s="1">
        <v>42736.0</v>
      </c>
      <c r="E2075" s="1" t="s">
        <v>19</v>
      </c>
      <c r="F2075" s="1" t="s">
        <v>41</v>
      </c>
      <c r="G2075" s="1" t="s">
        <v>55</v>
      </c>
      <c r="H2075" s="2">
        <v>3769.0</v>
      </c>
      <c r="I2075" s="2">
        <v>7471.0</v>
      </c>
      <c r="J2075" s="1">
        <v>1965.0</v>
      </c>
      <c r="K2075" s="1">
        <v>11.0</v>
      </c>
      <c r="L2075" s="1" t="s">
        <v>22</v>
      </c>
      <c r="M2075" s="1" t="s">
        <v>8337</v>
      </c>
      <c r="N2075" s="1" t="s">
        <v>43</v>
      </c>
      <c r="O2075" s="1" t="s">
        <v>35</v>
      </c>
      <c r="P2075" s="1" t="s">
        <v>8338</v>
      </c>
    </row>
    <row r="2076" ht="14.25" customHeight="1">
      <c r="A2076" s="1" t="s">
        <v>8339</v>
      </c>
      <c r="B2076" s="1" t="s">
        <v>8340</v>
      </c>
      <c r="C2076" s="1" t="s">
        <v>39</v>
      </c>
      <c r="D2076" s="1">
        <v>37877.0</v>
      </c>
      <c r="E2076" s="1" t="s">
        <v>77</v>
      </c>
      <c r="F2076" s="1" t="s">
        <v>54</v>
      </c>
      <c r="G2076" s="1" t="s">
        <v>55</v>
      </c>
      <c r="H2076" s="2">
        <v>2117.0</v>
      </c>
      <c r="I2076" s="2">
        <v>1249.0</v>
      </c>
      <c r="J2076" s="1">
        <v>1953.0</v>
      </c>
      <c r="K2076" s="1">
        <v>112.0</v>
      </c>
      <c r="L2076" s="1" t="s">
        <v>95</v>
      </c>
      <c r="M2076" s="1" t="s">
        <v>8341</v>
      </c>
      <c r="N2076" s="1" t="s">
        <v>48</v>
      </c>
      <c r="O2076" s="1" t="s">
        <v>25</v>
      </c>
      <c r="P2076" s="1" t="s">
        <v>8342</v>
      </c>
    </row>
    <row r="2077" ht="14.25" customHeight="1">
      <c r="A2077" s="1" t="s">
        <v>8343</v>
      </c>
      <c r="B2077" s="1" t="s">
        <v>8344</v>
      </c>
      <c r="C2077" s="1" t="s">
        <v>39</v>
      </c>
      <c r="D2077" s="1">
        <v>30883.0</v>
      </c>
      <c r="E2077" s="1" t="s">
        <v>40</v>
      </c>
      <c r="F2077" s="1" t="s">
        <v>20</v>
      </c>
      <c r="G2077" s="1" t="s">
        <v>55</v>
      </c>
      <c r="H2077" s="2">
        <v>1817.0</v>
      </c>
      <c r="I2077" s="2">
        <v>5191.0</v>
      </c>
      <c r="J2077" s="1">
        <v>1990.0</v>
      </c>
      <c r="K2077" s="1">
        <v>39.0</v>
      </c>
      <c r="L2077" s="1" t="s">
        <v>22</v>
      </c>
      <c r="M2077" s="1" t="s">
        <v>8345</v>
      </c>
      <c r="N2077" s="1" t="s">
        <v>48</v>
      </c>
      <c r="O2077" s="1" t="s">
        <v>49</v>
      </c>
      <c r="P2077" s="1" t="s">
        <v>8346</v>
      </c>
    </row>
    <row r="2078" ht="14.25" customHeight="1">
      <c r="A2078" s="1" t="s">
        <v>8347</v>
      </c>
      <c r="B2078" s="1" t="s">
        <v>8348</v>
      </c>
      <c r="C2078" s="1" t="s">
        <v>76</v>
      </c>
      <c r="D2078" s="1">
        <v>58605.0</v>
      </c>
      <c r="E2078" s="1" t="s">
        <v>30</v>
      </c>
      <c r="F2078" s="1" t="s">
        <v>54</v>
      </c>
      <c r="G2078" s="1" t="s">
        <v>55</v>
      </c>
      <c r="H2078" s="2">
        <v>1567.0</v>
      </c>
      <c r="I2078" s="2">
        <v>1551.0</v>
      </c>
      <c r="J2078" s="1">
        <v>2011.0</v>
      </c>
      <c r="K2078" s="1">
        <v>118.0</v>
      </c>
      <c r="L2078" s="1" t="s">
        <v>32</v>
      </c>
      <c r="M2078" s="1" t="s">
        <v>8349</v>
      </c>
      <c r="N2078" s="1" t="s">
        <v>34</v>
      </c>
      <c r="O2078" s="1" t="s">
        <v>49</v>
      </c>
      <c r="P2078" s="1" t="s">
        <v>8350</v>
      </c>
    </row>
    <row r="2079" ht="14.25" customHeight="1">
      <c r="A2079" s="1" t="s">
        <v>8351</v>
      </c>
      <c r="B2079" s="1" t="s">
        <v>8352</v>
      </c>
      <c r="C2079" s="1" t="s">
        <v>29</v>
      </c>
      <c r="D2079" s="1">
        <v>93941.0</v>
      </c>
      <c r="E2079" s="1" t="s">
        <v>19</v>
      </c>
      <c r="F2079" s="1" t="s">
        <v>94</v>
      </c>
      <c r="G2079" s="1" t="s">
        <v>21</v>
      </c>
      <c r="H2079" s="2">
        <v>3739.0</v>
      </c>
      <c r="I2079" s="2">
        <v>3026.0</v>
      </c>
      <c r="J2079" s="1">
        <v>2009.0</v>
      </c>
      <c r="K2079" s="1">
        <v>119.0</v>
      </c>
      <c r="L2079" s="1" t="s">
        <v>32</v>
      </c>
      <c r="M2079" s="1" t="s">
        <v>8353</v>
      </c>
      <c r="N2079" s="1" t="s">
        <v>64</v>
      </c>
      <c r="O2079" s="1" t="s">
        <v>25</v>
      </c>
      <c r="P2079" s="1" t="s">
        <v>8354</v>
      </c>
    </row>
    <row r="2080" ht="14.25" customHeight="1">
      <c r="A2080" s="1" t="s">
        <v>8355</v>
      </c>
      <c r="B2080" s="1" t="s">
        <v>8356</v>
      </c>
      <c r="C2080" s="1" t="s">
        <v>53</v>
      </c>
      <c r="D2080" s="1">
        <v>75225.0</v>
      </c>
      <c r="E2080" s="1" t="s">
        <v>60</v>
      </c>
      <c r="F2080" s="1" t="s">
        <v>46</v>
      </c>
      <c r="G2080" s="1" t="s">
        <v>31</v>
      </c>
      <c r="H2080" s="2">
        <v>941.0</v>
      </c>
      <c r="I2080" s="2">
        <v>6207.0</v>
      </c>
      <c r="J2080" s="1">
        <v>1984.0</v>
      </c>
      <c r="K2080" s="1">
        <v>60.0</v>
      </c>
      <c r="L2080" s="1" t="s">
        <v>95</v>
      </c>
      <c r="M2080" s="1" t="s">
        <v>8357</v>
      </c>
      <c r="N2080" s="1" t="s">
        <v>24</v>
      </c>
      <c r="O2080" s="1" t="s">
        <v>35</v>
      </c>
      <c r="P2080" s="1" t="s">
        <v>8358</v>
      </c>
    </row>
    <row r="2081" ht="14.25" customHeight="1">
      <c r="A2081" s="1" t="s">
        <v>8359</v>
      </c>
      <c r="B2081" s="1" t="s">
        <v>8360</v>
      </c>
      <c r="C2081" s="1" t="s">
        <v>18</v>
      </c>
      <c r="D2081" s="1">
        <v>18089.0</v>
      </c>
      <c r="E2081" s="1" t="s">
        <v>77</v>
      </c>
      <c r="F2081" s="1" t="s">
        <v>46</v>
      </c>
      <c r="G2081" s="1" t="s">
        <v>31</v>
      </c>
      <c r="H2081" s="2">
        <v>2887.0</v>
      </c>
      <c r="I2081" s="2">
        <v>4616.0</v>
      </c>
      <c r="J2081" s="1">
        <v>2015.0</v>
      </c>
      <c r="K2081" s="1">
        <v>10.0</v>
      </c>
      <c r="L2081" s="1" t="s">
        <v>62</v>
      </c>
      <c r="M2081" s="1" t="s">
        <v>8361</v>
      </c>
      <c r="N2081" s="1" t="s">
        <v>43</v>
      </c>
      <c r="O2081" s="1" t="s">
        <v>25</v>
      </c>
      <c r="P2081" s="1" t="s">
        <v>8362</v>
      </c>
    </row>
    <row r="2082" ht="14.25" customHeight="1">
      <c r="A2082" s="1" t="s">
        <v>8363</v>
      </c>
      <c r="B2082" s="1" t="s">
        <v>8364</v>
      </c>
      <c r="C2082" s="1" t="s">
        <v>39</v>
      </c>
      <c r="D2082" s="1">
        <v>13531.0</v>
      </c>
      <c r="E2082" s="1" t="s">
        <v>19</v>
      </c>
      <c r="F2082" s="1" t="s">
        <v>41</v>
      </c>
      <c r="G2082" s="1" t="s">
        <v>100</v>
      </c>
      <c r="H2082" s="2">
        <v>3706.0</v>
      </c>
      <c r="I2082" s="2">
        <v>1068.0</v>
      </c>
      <c r="J2082" s="1">
        <v>1963.0</v>
      </c>
      <c r="K2082" s="1">
        <v>103.0</v>
      </c>
      <c r="L2082" s="1" t="s">
        <v>141</v>
      </c>
      <c r="M2082" s="1" t="s">
        <v>8365</v>
      </c>
      <c r="N2082" s="1" t="s">
        <v>34</v>
      </c>
      <c r="O2082" s="1" t="s">
        <v>25</v>
      </c>
      <c r="P2082" s="1" t="s">
        <v>8366</v>
      </c>
    </row>
    <row r="2083" ht="14.25" customHeight="1">
      <c r="A2083" s="1" t="s">
        <v>8367</v>
      </c>
      <c r="B2083" s="1" t="s">
        <v>8368</v>
      </c>
      <c r="C2083" s="1" t="s">
        <v>39</v>
      </c>
      <c r="D2083" s="1">
        <v>49878.0</v>
      </c>
      <c r="E2083" s="1" t="s">
        <v>30</v>
      </c>
      <c r="F2083" s="1" t="s">
        <v>94</v>
      </c>
      <c r="G2083" s="1" t="s">
        <v>55</v>
      </c>
      <c r="H2083" s="2">
        <v>1766.0</v>
      </c>
      <c r="I2083" s="2">
        <v>6977.0</v>
      </c>
      <c r="J2083" s="1">
        <v>1991.0</v>
      </c>
      <c r="K2083" s="1">
        <v>27.0</v>
      </c>
      <c r="L2083" s="1" t="s">
        <v>32</v>
      </c>
      <c r="M2083" s="1" t="s">
        <v>8369</v>
      </c>
      <c r="N2083" s="1" t="s">
        <v>64</v>
      </c>
      <c r="O2083" s="1" t="s">
        <v>49</v>
      </c>
      <c r="P2083" s="1" t="s">
        <v>8370</v>
      </c>
    </row>
    <row r="2084" ht="14.25" customHeight="1">
      <c r="A2084" s="1" t="s">
        <v>8371</v>
      </c>
      <c r="B2084" s="1" t="s">
        <v>8372</v>
      </c>
      <c r="C2084" s="1" t="s">
        <v>76</v>
      </c>
      <c r="D2084" s="1">
        <v>96466.0</v>
      </c>
      <c r="E2084" s="1" t="s">
        <v>40</v>
      </c>
      <c r="F2084" s="1" t="s">
        <v>61</v>
      </c>
      <c r="G2084" s="1" t="s">
        <v>21</v>
      </c>
      <c r="H2084" s="2">
        <v>3750.0</v>
      </c>
      <c r="I2084" s="2">
        <v>3199.0</v>
      </c>
      <c r="J2084" s="1">
        <v>1984.0</v>
      </c>
      <c r="K2084" s="1">
        <v>103.0</v>
      </c>
      <c r="L2084" s="1" t="s">
        <v>95</v>
      </c>
      <c r="M2084" s="1" t="s">
        <v>8373</v>
      </c>
      <c r="N2084" s="1" t="s">
        <v>34</v>
      </c>
      <c r="O2084" s="1" t="s">
        <v>35</v>
      </c>
      <c r="P2084" s="1" t="s">
        <v>8374</v>
      </c>
    </row>
    <row r="2085" ht="14.25" customHeight="1">
      <c r="A2085" s="1" t="s">
        <v>8375</v>
      </c>
      <c r="B2085" s="1" t="s">
        <v>8376</v>
      </c>
      <c r="C2085" s="1" t="s">
        <v>29</v>
      </c>
      <c r="D2085" s="1">
        <v>19174.0</v>
      </c>
      <c r="E2085" s="1" t="s">
        <v>40</v>
      </c>
      <c r="F2085" s="1" t="s">
        <v>46</v>
      </c>
      <c r="G2085" s="1" t="s">
        <v>31</v>
      </c>
      <c r="H2085" s="2">
        <v>3916.0</v>
      </c>
      <c r="I2085" s="2">
        <v>9776.0</v>
      </c>
      <c r="J2085" s="1">
        <v>1988.0</v>
      </c>
      <c r="K2085" s="1">
        <v>83.0</v>
      </c>
      <c r="L2085" s="1" t="s">
        <v>62</v>
      </c>
      <c r="M2085" s="1" t="s">
        <v>8377</v>
      </c>
      <c r="N2085" s="1" t="s">
        <v>64</v>
      </c>
      <c r="O2085" s="1" t="s">
        <v>25</v>
      </c>
      <c r="P2085" s="1" t="s">
        <v>8378</v>
      </c>
    </row>
    <row r="2086" ht="14.25" customHeight="1">
      <c r="A2086" s="1" t="s">
        <v>8379</v>
      </c>
      <c r="B2086" s="1" t="s">
        <v>8380</v>
      </c>
      <c r="C2086" s="1" t="s">
        <v>29</v>
      </c>
      <c r="D2086" s="1">
        <v>32179.0</v>
      </c>
      <c r="E2086" s="1" t="s">
        <v>30</v>
      </c>
      <c r="F2086" s="1" t="s">
        <v>46</v>
      </c>
      <c r="G2086" s="1" t="s">
        <v>55</v>
      </c>
      <c r="H2086" s="2">
        <v>2480.0</v>
      </c>
      <c r="I2086" s="2">
        <v>9940.0</v>
      </c>
      <c r="J2086" s="1">
        <v>1954.0</v>
      </c>
      <c r="K2086" s="1">
        <v>31.0</v>
      </c>
      <c r="L2086" s="1" t="s">
        <v>141</v>
      </c>
      <c r="M2086" s="1" t="s">
        <v>8381</v>
      </c>
      <c r="N2086" s="1" t="s">
        <v>24</v>
      </c>
      <c r="O2086" s="1" t="s">
        <v>49</v>
      </c>
      <c r="P2086" s="1" t="s">
        <v>8382</v>
      </c>
    </row>
    <row r="2087" ht="14.25" customHeight="1">
      <c r="A2087" s="1" t="s">
        <v>8383</v>
      </c>
      <c r="B2087" s="1" t="s">
        <v>8384</v>
      </c>
      <c r="C2087" s="1" t="s">
        <v>39</v>
      </c>
      <c r="D2087" s="1">
        <v>35096.0</v>
      </c>
      <c r="E2087" s="1" t="s">
        <v>77</v>
      </c>
      <c r="F2087" s="1" t="s">
        <v>61</v>
      </c>
      <c r="G2087" s="1" t="s">
        <v>21</v>
      </c>
      <c r="H2087" s="2">
        <v>3910.0</v>
      </c>
      <c r="I2087" s="2">
        <v>1805.0</v>
      </c>
      <c r="J2087" s="1">
        <v>1970.0</v>
      </c>
      <c r="K2087" s="1">
        <v>21.0</v>
      </c>
      <c r="L2087" s="1" t="s">
        <v>32</v>
      </c>
      <c r="M2087" s="1" t="s">
        <v>8385</v>
      </c>
      <c r="N2087" s="1" t="s">
        <v>43</v>
      </c>
      <c r="O2087" s="1" t="s">
        <v>49</v>
      </c>
      <c r="P2087" s="1" t="s">
        <v>8386</v>
      </c>
    </row>
    <row r="2088" ht="14.25" customHeight="1">
      <c r="A2088" s="1" t="s">
        <v>8387</v>
      </c>
      <c r="B2088" s="1" t="s">
        <v>8388</v>
      </c>
      <c r="C2088" s="1" t="s">
        <v>29</v>
      </c>
      <c r="D2088" s="1">
        <v>42123.0</v>
      </c>
      <c r="E2088" s="1" t="s">
        <v>60</v>
      </c>
      <c r="F2088" s="1" t="s">
        <v>61</v>
      </c>
      <c r="G2088" s="1" t="s">
        <v>21</v>
      </c>
      <c r="H2088" s="2">
        <v>2280.0</v>
      </c>
      <c r="I2088" s="2">
        <v>8446.0</v>
      </c>
      <c r="J2088" s="1">
        <v>1966.0</v>
      </c>
      <c r="K2088" s="1">
        <v>10.0</v>
      </c>
      <c r="L2088" s="1" t="s">
        <v>22</v>
      </c>
      <c r="M2088" s="1" t="s">
        <v>8389</v>
      </c>
      <c r="N2088" s="1" t="s">
        <v>43</v>
      </c>
      <c r="O2088" s="1" t="s">
        <v>49</v>
      </c>
      <c r="P2088" s="1" t="s">
        <v>8390</v>
      </c>
    </row>
    <row r="2089" ht="14.25" customHeight="1">
      <c r="A2089" s="1" t="s">
        <v>8391</v>
      </c>
      <c r="B2089" s="1" t="s">
        <v>8392</v>
      </c>
      <c r="C2089" s="1" t="s">
        <v>76</v>
      </c>
      <c r="D2089" s="1">
        <v>90436.0</v>
      </c>
      <c r="E2089" s="1" t="s">
        <v>30</v>
      </c>
      <c r="F2089" s="1" t="s">
        <v>41</v>
      </c>
      <c r="G2089" s="1" t="s">
        <v>55</v>
      </c>
      <c r="H2089" s="2">
        <v>3204.0</v>
      </c>
      <c r="I2089" s="2">
        <v>6527.0</v>
      </c>
      <c r="J2089" s="1">
        <v>2018.0</v>
      </c>
      <c r="K2089" s="1">
        <v>73.0</v>
      </c>
      <c r="L2089" s="1" t="s">
        <v>22</v>
      </c>
      <c r="M2089" s="1" t="s">
        <v>8393</v>
      </c>
      <c r="N2089" s="1" t="s">
        <v>48</v>
      </c>
      <c r="O2089" s="1" t="s">
        <v>49</v>
      </c>
      <c r="P2089" s="1" t="s">
        <v>8394</v>
      </c>
    </row>
    <row r="2090" ht="14.25" customHeight="1">
      <c r="A2090" s="1" t="s">
        <v>8395</v>
      </c>
      <c r="B2090" s="1" t="s">
        <v>8396</v>
      </c>
      <c r="C2090" s="1" t="s">
        <v>76</v>
      </c>
      <c r="D2090" s="1">
        <v>80159.0</v>
      </c>
      <c r="E2090" s="1" t="s">
        <v>19</v>
      </c>
      <c r="F2090" s="1" t="s">
        <v>54</v>
      </c>
      <c r="G2090" s="1" t="s">
        <v>21</v>
      </c>
      <c r="H2090" s="2">
        <v>2930.0</v>
      </c>
      <c r="I2090" s="2">
        <v>4969.0</v>
      </c>
      <c r="J2090" s="1">
        <v>1961.0</v>
      </c>
      <c r="K2090" s="1">
        <v>52.0</v>
      </c>
      <c r="L2090" s="1" t="s">
        <v>32</v>
      </c>
      <c r="M2090" s="1" t="s">
        <v>8397</v>
      </c>
      <c r="N2090" s="1" t="s">
        <v>43</v>
      </c>
      <c r="O2090" s="1" t="s">
        <v>25</v>
      </c>
      <c r="P2090" s="1" t="s">
        <v>8398</v>
      </c>
    </row>
    <row r="2091" ht="14.25" customHeight="1">
      <c r="A2091" s="1" t="s">
        <v>8399</v>
      </c>
      <c r="B2091" s="1" t="s">
        <v>8400</v>
      </c>
      <c r="C2091" s="1" t="s">
        <v>29</v>
      </c>
      <c r="D2091" s="1">
        <v>59014.0</v>
      </c>
      <c r="E2091" s="1" t="s">
        <v>30</v>
      </c>
      <c r="F2091" s="1" t="s">
        <v>46</v>
      </c>
      <c r="G2091" s="1" t="s">
        <v>31</v>
      </c>
      <c r="H2091" s="2">
        <v>2058.0</v>
      </c>
      <c r="I2091" s="2">
        <v>2891.0</v>
      </c>
      <c r="J2091" s="1">
        <v>1999.0</v>
      </c>
      <c r="K2091" s="1">
        <v>72.0</v>
      </c>
      <c r="L2091" s="1" t="s">
        <v>22</v>
      </c>
      <c r="M2091" s="1" t="s">
        <v>8401</v>
      </c>
      <c r="N2091" s="1" t="s">
        <v>43</v>
      </c>
      <c r="O2091" s="1" t="s">
        <v>35</v>
      </c>
      <c r="P2091" s="1" t="s">
        <v>8402</v>
      </c>
    </row>
    <row r="2092" ht="14.25" customHeight="1">
      <c r="A2092" s="1" t="s">
        <v>8403</v>
      </c>
      <c r="B2092" s="1" t="s">
        <v>8404</v>
      </c>
      <c r="C2092" s="1" t="s">
        <v>29</v>
      </c>
      <c r="D2092" s="1">
        <v>88744.0</v>
      </c>
      <c r="E2092" s="1" t="s">
        <v>19</v>
      </c>
      <c r="F2092" s="1" t="s">
        <v>61</v>
      </c>
      <c r="G2092" s="1" t="s">
        <v>21</v>
      </c>
      <c r="H2092" s="2">
        <v>3062.0</v>
      </c>
      <c r="I2092" s="2">
        <v>7555.0</v>
      </c>
      <c r="J2092" s="1">
        <v>1960.0</v>
      </c>
      <c r="K2092" s="1">
        <v>67.0</v>
      </c>
      <c r="L2092" s="1" t="s">
        <v>22</v>
      </c>
      <c r="M2092" s="1" t="s">
        <v>8405</v>
      </c>
      <c r="N2092" s="1" t="s">
        <v>24</v>
      </c>
      <c r="O2092" s="1" t="s">
        <v>25</v>
      </c>
      <c r="P2092" s="1" t="s">
        <v>8406</v>
      </c>
    </row>
    <row r="2093" ht="14.25" customHeight="1">
      <c r="A2093" s="1" t="s">
        <v>8407</v>
      </c>
      <c r="B2093" s="1" t="s">
        <v>8408</v>
      </c>
      <c r="C2093" s="1" t="s">
        <v>39</v>
      </c>
      <c r="D2093" s="1">
        <v>60507.0</v>
      </c>
      <c r="E2093" s="1" t="s">
        <v>77</v>
      </c>
      <c r="F2093" s="1" t="s">
        <v>54</v>
      </c>
      <c r="G2093" s="1" t="s">
        <v>21</v>
      </c>
      <c r="H2093" s="2">
        <v>2530.0</v>
      </c>
      <c r="I2093" s="2">
        <v>6060.0</v>
      </c>
      <c r="J2093" s="1">
        <v>1976.0</v>
      </c>
      <c r="K2093" s="1">
        <v>100.0</v>
      </c>
      <c r="L2093" s="1" t="s">
        <v>32</v>
      </c>
      <c r="M2093" s="1" t="s">
        <v>8409</v>
      </c>
      <c r="N2093" s="1" t="s">
        <v>48</v>
      </c>
      <c r="O2093" s="1" t="s">
        <v>49</v>
      </c>
      <c r="P2093" s="1" t="s">
        <v>8410</v>
      </c>
    </row>
    <row r="2094" ht="14.25" customHeight="1">
      <c r="A2094" s="1" t="s">
        <v>8411</v>
      </c>
      <c r="B2094" s="1" t="s">
        <v>8412</v>
      </c>
      <c r="C2094" s="1" t="s">
        <v>18</v>
      </c>
      <c r="D2094" s="1">
        <v>62447.0</v>
      </c>
      <c r="E2094" s="1" t="s">
        <v>40</v>
      </c>
      <c r="F2094" s="1" t="s">
        <v>20</v>
      </c>
      <c r="G2094" s="1" t="s">
        <v>55</v>
      </c>
      <c r="H2094" s="2">
        <v>2575.0</v>
      </c>
      <c r="I2094" s="2">
        <v>3936.0</v>
      </c>
      <c r="J2094" s="1">
        <v>2022.0</v>
      </c>
      <c r="K2094" s="1">
        <v>115.0</v>
      </c>
      <c r="L2094" s="1" t="s">
        <v>32</v>
      </c>
      <c r="M2094" s="1" t="s">
        <v>8413</v>
      </c>
      <c r="N2094" s="1" t="s">
        <v>64</v>
      </c>
      <c r="O2094" s="1" t="s">
        <v>35</v>
      </c>
      <c r="P2094" s="1" t="s">
        <v>8414</v>
      </c>
    </row>
    <row r="2095" ht="14.25" customHeight="1">
      <c r="A2095" s="1" t="s">
        <v>8415</v>
      </c>
      <c r="B2095" s="1" t="s">
        <v>8416</v>
      </c>
      <c r="C2095" s="1" t="s">
        <v>53</v>
      </c>
      <c r="D2095" s="1">
        <v>25054.0</v>
      </c>
      <c r="E2095" s="1" t="s">
        <v>19</v>
      </c>
      <c r="F2095" s="1" t="s">
        <v>41</v>
      </c>
      <c r="G2095" s="1" t="s">
        <v>31</v>
      </c>
      <c r="H2095" s="2">
        <v>2808.0</v>
      </c>
      <c r="I2095" s="2">
        <v>2102.0</v>
      </c>
      <c r="J2095" s="1">
        <v>1975.0</v>
      </c>
      <c r="K2095" s="1">
        <v>104.0</v>
      </c>
      <c r="L2095" s="1" t="s">
        <v>32</v>
      </c>
      <c r="M2095" s="1" t="s">
        <v>8417</v>
      </c>
      <c r="N2095" s="1" t="s">
        <v>34</v>
      </c>
      <c r="O2095" s="1" t="s">
        <v>25</v>
      </c>
      <c r="P2095" s="1" t="s">
        <v>8418</v>
      </c>
    </row>
    <row r="2096" ht="14.25" customHeight="1">
      <c r="A2096" s="1" t="s">
        <v>8419</v>
      </c>
      <c r="B2096" s="1" t="s">
        <v>8420</v>
      </c>
      <c r="C2096" s="1" t="s">
        <v>53</v>
      </c>
      <c r="D2096" s="1">
        <v>66487.0</v>
      </c>
      <c r="E2096" s="1" t="s">
        <v>60</v>
      </c>
      <c r="F2096" s="1" t="s">
        <v>41</v>
      </c>
      <c r="G2096" s="1" t="s">
        <v>31</v>
      </c>
      <c r="H2096" s="2">
        <v>3338.0</v>
      </c>
      <c r="I2096" s="2">
        <v>1279.0</v>
      </c>
      <c r="J2096" s="1">
        <v>2009.0</v>
      </c>
      <c r="K2096" s="1">
        <v>90.0</v>
      </c>
      <c r="L2096" s="1" t="s">
        <v>141</v>
      </c>
      <c r="M2096" s="1" t="s">
        <v>8421</v>
      </c>
      <c r="N2096" s="1" t="s">
        <v>43</v>
      </c>
      <c r="O2096" s="1" t="s">
        <v>25</v>
      </c>
      <c r="P2096" s="1" t="s">
        <v>8422</v>
      </c>
    </row>
    <row r="2097" ht="14.25" customHeight="1">
      <c r="A2097" s="1" t="s">
        <v>8423</v>
      </c>
      <c r="B2097" s="1" t="s">
        <v>8424</v>
      </c>
      <c r="C2097" s="1" t="s">
        <v>39</v>
      </c>
      <c r="D2097" s="1">
        <v>42611.0</v>
      </c>
      <c r="E2097" s="1" t="s">
        <v>60</v>
      </c>
      <c r="F2097" s="1" t="s">
        <v>41</v>
      </c>
      <c r="G2097" s="1" t="s">
        <v>100</v>
      </c>
      <c r="H2097" s="2">
        <v>1950.0</v>
      </c>
      <c r="I2097" s="2">
        <v>3558.0</v>
      </c>
      <c r="J2097" s="1">
        <v>1990.0</v>
      </c>
      <c r="K2097" s="1">
        <v>80.0</v>
      </c>
      <c r="L2097" s="1" t="s">
        <v>141</v>
      </c>
      <c r="M2097" s="1" t="s">
        <v>8425</v>
      </c>
      <c r="N2097" s="1" t="s">
        <v>48</v>
      </c>
      <c r="O2097" s="1" t="s">
        <v>35</v>
      </c>
      <c r="P2097" s="1" t="s">
        <v>8426</v>
      </c>
    </row>
    <row r="2098" ht="14.25" customHeight="1">
      <c r="A2098" s="1" t="s">
        <v>8427</v>
      </c>
      <c r="B2098" s="1" t="s">
        <v>8428</v>
      </c>
      <c r="C2098" s="1" t="s">
        <v>29</v>
      </c>
      <c r="D2098" s="1">
        <v>46903.0</v>
      </c>
      <c r="E2098" s="1" t="s">
        <v>77</v>
      </c>
      <c r="F2098" s="1" t="s">
        <v>61</v>
      </c>
      <c r="G2098" s="1" t="s">
        <v>55</v>
      </c>
      <c r="H2098" s="2">
        <v>3385.0</v>
      </c>
      <c r="I2098" s="2">
        <v>7762.0</v>
      </c>
      <c r="J2098" s="1">
        <v>2018.0</v>
      </c>
      <c r="K2098" s="1">
        <v>18.0</v>
      </c>
      <c r="L2098" s="1" t="s">
        <v>62</v>
      </c>
      <c r="M2098" s="1" t="s">
        <v>8429</v>
      </c>
      <c r="N2098" s="1" t="s">
        <v>64</v>
      </c>
      <c r="O2098" s="1" t="s">
        <v>35</v>
      </c>
      <c r="P2098" s="1" t="s">
        <v>8430</v>
      </c>
    </row>
    <row r="2099" ht="14.25" customHeight="1">
      <c r="A2099" s="1" t="s">
        <v>8431</v>
      </c>
      <c r="B2099" s="1" t="s">
        <v>8432</v>
      </c>
      <c r="C2099" s="1" t="s">
        <v>29</v>
      </c>
      <c r="D2099" s="1">
        <v>12761.0</v>
      </c>
      <c r="E2099" s="1" t="s">
        <v>40</v>
      </c>
      <c r="F2099" s="1" t="s">
        <v>54</v>
      </c>
      <c r="G2099" s="1" t="s">
        <v>31</v>
      </c>
      <c r="H2099" s="2">
        <v>3401.0</v>
      </c>
      <c r="I2099" s="2">
        <v>2796.0</v>
      </c>
      <c r="J2099" s="1">
        <v>1993.0</v>
      </c>
      <c r="K2099" s="1">
        <v>83.0</v>
      </c>
      <c r="L2099" s="1" t="s">
        <v>22</v>
      </c>
      <c r="M2099" s="1" t="s">
        <v>8433</v>
      </c>
      <c r="N2099" s="1" t="s">
        <v>64</v>
      </c>
      <c r="O2099" s="1" t="s">
        <v>35</v>
      </c>
      <c r="P2099" s="1" t="s">
        <v>8434</v>
      </c>
    </row>
    <row r="2100" ht="14.25" customHeight="1">
      <c r="A2100" s="1" t="s">
        <v>8435</v>
      </c>
      <c r="B2100" s="1" t="s">
        <v>8436</v>
      </c>
      <c r="C2100" s="1" t="s">
        <v>76</v>
      </c>
      <c r="D2100" s="1">
        <v>80491.0</v>
      </c>
      <c r="E2100" s="1" t="s">
        <v>40</v>
      </c>
      <c r="F2100" s="1" t="s">
        <v>46</v>
      </c>
      <c r="G2100" s="1" t="s">
        <v>100</v>
      </c>
      <c r="H2100" s="2">
        <v>2580.0</v>
      </c>
      <c r="I2100" s="2">
        <v>3554.0</v>
      </c>
      <c r="J2100" s="1">
        <v>1991.0</v>
      </c>
      <c r="K2100" s="1">
        <v>103.0</v>
      </c>
      <c r="L2100" s="1" t="s">
        <v>22</v>
      </c>
      <c r="M2100" s="1" t="s">
        <v>8437</v>
      </c>
      <c r="N2100" s="1" t="s">
        <v>48</v>
      </c>
      <c r="O2100" s="1" t="s">
        <v>49</v>
      </c>
      <c r="P2100" s="1" t="s">
        <v>8438</v>
      </c>
    </row>
    <row r="2101" ht="14.25" customHeight="1">
      <c r="A2101" s="1" t="s">
        <v>8439</v>
      </c>
      <c r="B2101" s="1" t="s">
        <v>8440</v>
      </c>
      <c r="C2101" s="1" t="s">
        <v>76</v>
      </c>
      <c r="D2101" s="1">
        <v>66081.0</v>
      </c>
      <c r="E2101" s="1" t="s">
        <v>77</v>
      </c>
      <c r="F2101" s="1" t="s">
        <v>94</v>
      </c>
      <c r="G2101" s="1" t="s">
        <v>100</v>
      </c>
      <c r="H2101" s="2">
        <v>1644.0</v>
      </c>
      <c r="I2101" s="2">
        <v>8549.0</v>
      </c>
      <c r="J2101" s="1">
        <v>2022.0</v>
      </c>
      <c r="K2101" s="1">
        <v>40.0</v>
      </c>
      <c r="L2101" s="1" t="s">
        <v>95</v>
      </c>
      <c r="M2101" s="1" t="s">
        <v>8441</v>
      </c>
      <c r="N2101" s="1" t="s">
        <v>43</v>
      </c>
      <c r="O2101" s="1" t="s">
        <v>35</v>
      </c>
      <c r="P2101" s="1" t="s">
        <v>8442</v>
      </c>
    </row>
    <row r="2102" ht="14.25" customHeight="1">
      <c r="A2102" s="1" t="s">
        <v>8443</v>
      </c>
      <c r="B2102" s="1" t="s">
        <v>8444</v>
      </c>
      <c r="C2102" s="1" t="s">
        <v>53</v>
      </c>
      <c r="D2102" s="1">
        <v>16392.0</v>
      </c>
      <c r="E2102" s="1" t="s">
        <v>19</v>
      </c>
      <c r="F2102" s="1" t="s">
        <v>20</v>
      </c>
      <c r="G2102" s="1" t="s">
        <v>100</v>
      </c>
      <c r="H2102" s="2">
        <v>1526.0</v>
      </c>
      <c r="I2102" s="2">
        <v>8865.0</v>
      </c>
      <c r="J2102" s="1">
        <v>1979.0</v>
      </c>
      <c r="K2102" s="1">
        <v>45.0</v>
      </c>
      <c r="L2102" s="1" t="s">
        <v>62</v>
      </c>
      <c r="M2102" s="1" t="s">
        <v>8445</v>
      </c>
      <c r="N2102" s="1" t="s">
        <v>64</v>
      </c>
      <c r="O2102" s="1" t="s">
        <v>25</v>
      </c>
      <c r="P2102" s="1" t="s">
        <v>8446</v>
      </c>
    </row>
    <row r="2103" ht="14.25" customHeight="1">
      <c r="A2103" s="1" t="s">
        <v>8447</v>
      </c>
      <c r="B2103" s="1" t="s">
        <v>8448</v>
      </c>
      <c r="C2103" s="1" t="s">
        <v>39</v>
      </c>
      <c r="D2103" s="1">
        <v>62413.0</v>
      </c>
      <c r="E2103" s="1" t="s">
        <v>60</v>
      </c>
      <c r="F2103" s="1" t="s">
        <v>54</v>
      </c>
      <c r="G2103" s="1" t="s">
        <v>100</v>
      </c>
      <c r="H2103" s="2">
        <v>3104.0</v>
      </c>
      <c r="I2103" s="2">
        <v>5719.0</v>
      </c>
      <c r="J2103" s="1">
        <v>1980.0</v>
      </c>
      <c r="K2103" s="1">
        <v>82.0</v>
      </c>
      <c r="L2103" s="1" t="s">
        <v>141</v>
      </c>
      <c r="M2103" s="1" t="s">
        <v>8449</v>
      </c>
      <c r="N2103" s="1" t="s">
        <v>34</v>
      </c>
      <c r="O2103" s="1" t="s">
        <v>25</v>
      </c>
      <c r="P2103" s="1" t="s">
        <v>8450</v>
      </c>
    </row>
    <row r="2104" ht="14.25" customHeight="1">
      <c r="A2104" s="1" t="s">
        <v>8451</v>
      </c>
      <c r="B2104" s="1" t="s">
        <v>8452</v>
      </c>
      <c r="C2104" s="1" t="s">
        <v>18</v>
      </c>
      <c r="D2104" s="1">
        <v>81825.0</v>
      </c>
      <c r="E2104" s="1" t="s">
        <v>19</v>
      </c>
      <c r="F2104" s="1" t="s">
        <v>20</v>
      </c>
      <c r="G2104" s="1" t="s">
        <v>21</v>
      </c>
      <c r="H2104" s="2">
        <v>3984.0</v>
      </c>
      <c r="I2104" s="2">
        <v>6750.0</v>
      </c>
      <c r="J2104" s="1">
        <v>2008.0</v>
      </c>
      <c r="K2104" s="1">
        <v>62.0</v>
      </c>
      <c r="L2104" s="1" t="s">
        <v>62</v>
      </c>
      <c r="M2104" s="1" t="s">
        <v>8453</v>
      </c>
      <c r="N2104" s="1" t="s">
        <v>24</v>
      </c>
      <c r="O2104" s="1" t="s">
        <v>25</v>
      </c>
      <c r="P2104" s="1" t="s">
        <v>8454</v>
      </c>
    </row>
    <row r="2105" ht="14.25" customHeight="1">
      <c r="A2105" s="1" t="s">
        <v>8455</v>
      </c>
      <c r="B2105" s="1" t="s">
        <v>8456</v>
      </c>
      <c r="C2105" s="1" t="s">
        <v>39</v>
      </c>
      <c r="D2105" s="1">
        <v>92292.0</v>
      </c>
      <c r="E2105" s="1" t="s">
        <v>77</v>
      </c>
      <c r="F2105" s="1" t="s">
        <v>94</v>
      </c>
      <c r="G2105" s="1" t="s">
        <v>21</v>
      </c>
      <c r="H2105" s="2">
        <v>1407.0</v>
      </c>
      <c r="I2105" s="2">
        <v>4888.0</v>
      </c>
      <c r="J2105" s="1">
        <v>1993.0</v>
      </c>
      <c r="K2105" s="1">
        <v>87.0</v>
      </c>
      <c r="L2105" s="1" t="s">
        <v>141</v>
      </c>
      <c r="M2105" s="1" t="s">
        <v>8457</v>
      </c>
      <c r="N2105" s="1" t="s">
        <v>24</v>
      </c>
      <c r="O2105" s="1" t="s">
        <v>49</v>
      </c>
      <c r="P2105" s="1" t="s">
        <v>8458</v>
      </c>
    </row>
    <row r="2106" ht="14.25" customHeight="1">
      <c r="A2106" s="1" t="s">
        <v>8459</v>
      </c>
      <c r="B2106" s="1" t="s">
        <v>8460</v>
      </c>
      <c r="C2106" s="1" t="s">
        <v>76</v>
      </c>
      <c r="D2106" s="1">
        <v>85224.0</v>
      </c>
      <c r="E2106" s="1" t="s">
        <v>19</v>
      </c>
      <c r="F2106" s="1" t="s">
        <v>94</v>
      </c>
      <c r="G2106" s="1" t="s">
        <v>21</v>
      </c>
      <c r="H2106" s="2">
        <v>3489.0</v>
      </c>
      <c r="I2106" s="2">
        <v>6783.0</v>
      </c>
      <c r="J2106" s="1">
        <v>1998.0</v>
      </c>
      <c r="K2106" s="1">
        <v>21.0</v>
      </c>
      <c r="L2106" s="1" t="s">
        <v>62</v>
      </c>
      <c r="M2106" s="1" t="s">
        <v>8461</v>
      </c>
      <c r="N2106" s="1" t="s">
        <v>64</v>
      </c>
      <c r="O2106" s="1" t="s">
        <v>35</v>
      </c>
      <c r="P2106" s="1" t="s">
        <v>8462</v>
      </c>
    </row>
    <row r="2107" ht="14.25" customHeight="1">
      <c r="A2107" s="1" t="s">
        <v>8463</v>
      </c>
      <c r="B2107" s="1" t="s">
        <v>8464</v>
      </c>
      <c r="C2107" s="1" t="s">
        <v>76</v>
      </c>
      <c r="D2107" s="1">
        <v>59545.0</v>
      </c>
      <c r="E2107" s="1" t="s">
        <v>30</v>
      </c>
      <c r="F2107" s="1" t="s">
        <v>41</v>
      </c>
      <c r="G2107" s="1" t="s">
        <v>21</v>
      </c>
      <c r="H2107" s="2">
        <v>3647.0</v>
      </c>
      <c r="I2107" s="2">
        <v>1557.0</v>
      </c>
      <c r="J2107" s="1">
        <v>1976.0</v>
      </c>
      <c r="K2107" s="1">
        <v>108.0</v>
      </c>
      <c r="L2107" s="1" t="s">
        <v>62</v>
      </c>
      <c r="M2107" s="1" t="s">
        <v>8465</v>
      </c>
      <c r="N2107" s="1" t="s">
        <v>24</v>
      </c>
      <c r="O2107" s="1" t="s">
        <v>25</v>
      </c>
      <c r="P2107" s="1" t="s">
        <v>8466</v>
      </c>
    </row>
    <row r="2108" ht="14.25" customHeight="1">
      <c r="A2108" s="1" t="s">
        <v>8467</v>
      </c>
      <c r="B2108" s="1" t="s">
        <v>8468</v>
      </c>
      <c r="C2108" s="1" t="s">
        <v>53</v>
      </c>
      <c r="D2108" s="1">
        <v>69880.0</v>
      </c>
      <c r="E2108" s="1" t="s">
        <v>30</v>
      </c>
      <c r="F2108" s="1" t="s">
        <v>20</v>
      </c>
      <c r="G2108" s="1" t="s">
        <v>100</v>
      </c>
      <c r="H2108" s="2">
        <v>2484.0</v>
      </c>
      <c r="I2108" s="2">
        <v>6400.0</v>
      </c>
      <c r="J2108" s="1">
        <v>1951.0</v>
      </c>
      <c r="K2108" s="1">
        <v>23.0</v>
      </c>
      <c r="L2108" s="1" t="s">
        <v>141</v>
      </c>
      <c r="M2108" s="1" t="s">
        <v>8469</v>
      </c>
      <c r="N2108" s="1" t="s">
        <v>34</v>
      </c>
      <c r="O2108" s="1" t="s">
        <v>35</v>
      </c>
      <c r="P2108" s="1" t="s">
        <v>8470</v>
      </c>
    </row>
    <row r="2109" ht="14.25" customHeight="1">
      <c r="A2109" s="1" t="s">
        <v>8471</v>
      </c>
      <c r="B2109" s="1" t="s">
        <v>8472</v>
      </c>
      <c r="C2109" s="1" t="s">
        <v>29</v>
      </c>
      <c r="D2109" s="1">
        <v>22001.0</v>
      </c>
      <c r="E2109" s="1" t="s">
        <v>19</v>
      </c>
      <c r="F2109" s="1" t="s">
        <v>54</v>
      </c>
      <c r="G2109" s="1" t="s">
        <v>100</v>
      </c>
      <c r="H2109" s="2">
        <v>3842.0</v>
      </c>
      <c r="I2109" s="2">
        <v>1098.0</v>
      </c>
      <c r="J2109" s="1">
        <v>1982.0</v>
      </c>
      <c r="K2109" s="1">
        <v>55.0</v>
      </c>
      <c r="L2109" s="1" t="s">
        <v>32</v>
      </c>
      <c r="M2109" s="1" t="s">
        <v>8473</v>
      </c>
      <c r="N2109" s="1" t="s">
        <v>34</v>
      </c>
      <c r="O2109" s="1" t="s">
        <v>25</v>
      </c>
      <c r="P2109" s="1" t="s">
        <v>8474</v>
      </c>
    </row>
    <row r="2110" ht="14.25" customHeight="1">
      <c r="A2110" s="1" t="s">
        <v>8475</v>
      </c>
      <c r="B2110" s="1" t="s">
        <v>8476</v>
      </c>
      <c r="C2110" s="1" t="s">
        <v>53</v>
      </c>
      <c r="D2110" s="1">
        <v>14171.0</v>
      </c>
      <c r="E2110" s="1" t="s">
        <v>30</v>
      </c>
      <c r="F2110" s="1" t="s">
        <v>20</v>
      </c>
      <c r="G2110" s="1" t="s">
        <v>21</v>
      </c>
      <c r="H2110" s="2">
        <v>1389.0</v>
      </c>
      <c r="I2110" s="2">
        <v>3200.0</v>
      </c>
      <c r="J2110" s="1">
        <v>2009.0</v>
      </c>
      <c r="K2110" s="1">
        <v>110.0</v>
      </c>
      <c r="L2110" s="1" t="s">
        <v>95</v>
      </c>
      <c r="M2110" s="1" t="s">
        <v>8477</v>
      </c>
      <c r="N2110" s="1" t="s">
        <v>43</v>
      </c>
      <c r="O2110" s="1" t="s">
        <v>35</v>
      </c>
      <c r="P2110" s="1" t="s">
        <v>8478</v>
      </c>
    </row>
    <row r="2111" ht="14.25" customHeight="1">
      <c r="A2111" s="1" t="s">
        <v>8479</v>
      </c>
      <c r="B2111" s="1" t="s">
        <v>8480</v>
      </c>
      <c r="C2111" s="1" t="s">
        <v>39</v>
      </c>
      <c r="D2111" s="1">
        <v>81379.0</v>
      </c>
      <c r="E2111" s="1" t="s">
        <v>60</v>
      </c>
      <c r="F2111" s="1" t="s">
        <v>61</v>
      </c>
      <c r="G2111" s="1" t="s">
        <v>100</v>
      </c>
      <c r="H2111" s="2">
        <v>2402.0</v>
      </c>
      <c r="I2111" s="2">
        <v>6454.0</v>
      </c>
      <c r="J2111" s="1">
        <v>1996.0</v>
      </c>
      <c r="K2111" s="1">
        <v>92.0</v>
      </c>
      <c r="L2111" s="1" t="s">
        <v>95</v>
      </c>
      <c r="M2111" s="1" t="s">
        <v>8481</v>
      </c>
      <c r="N2111" s="1" t="s">
        <v>64</v>
      </c>
      <c r="O2111" s="1" t="s">
        <v>25</v>
      </c>
      <c r="P2111" s="1" t="s">
        <v>8482</v>
      </c>
    </row>
    <row r="2112" ht="14.25" customHeight="1">
      <c r="A2112" s="1" t="s">
        <v>8483</v>
      </c>
      <c r="B2112" s="1" t="s">
        <v>8484</v>
      </c>
      <c r="C2112" s="1" t="s">
        <v>18</v>
      </c>
      <c r="D2112" s="1">
        <v>28912.0</v>
      </c>
      <c r="E2112" s="1" t="s">
        <v>40</v>
      </c>
      <c r="F2112" s="1" t="s">
        <v>94</v>
      </c>
      <c r="G2112" s="1" t="s">
        <v>31</v>
      </c>
      <c r="H2112" s="2">
        <v>3877.0</v>
      </c>
      <c r="I2112" s="2">
        <v>8330.0</v>
      </c>
      <c r="J2112" s="1">
        <v>1978.0</v>
      </c>
      <c r="K2112" s="1">
        <v>60.0</v>
      </c>
      <c r="L2112" s="1" t="s">
        <v>32</v>
      </c>
      <c r="M2112" s="1" t="s">
        <v>8485</v>
      </c>
      <c r="N2112" s="1" t="s">
        <v>43</v>
      </c>
      <c r="O2112" s="1" t="s">
        <v>35</v>
      </c>
      <c r="P2112" s="1" t="s">
        <v>8486</v>
      </c>
    </row>
    <row r="2113" ht="14.25" customHeight="1">
      <c r="A2113" s="1" t="s">
        <v>8487</v>
      </c>
      <c r="B2113" s="1" t="s">
        <v>8488</v>
      </c>
      <c r="C2113" s="1" t="s">
        <v>53</v>
      </c>
      <c r="D2113" s="1">
        <v>91991.0</v>
      </c>
      <c r="E2113" s="1" t="s">
        <v>30</v>
      </c>
      <c r="F2113" s="1" t="s">
        <v>20</v>
      </c>
      <c r="G2113" s="1" t="s">
        <v>21</v>
      </c>
      <c r="H2113" s="2">
        <v>3340.0</v>
      </c>
      <c r="I2113" s="2">
        <v>2973.0</v>
      </c>
      <c r="J2113" s="1">
        <v>1989.0</v>
      </c>
      <c r="K2113" s="1">
        <v>82.0</v>
      </c>
      <c r="L2113" s="1" t="s">
        <v>95</v>
      </c>
      <c r="M2113" s="1" t="s">
        <v>8489</v>
      </c>
      <c r="N2113" s="1" t="s">
        <v>34</v>
      </c>
      <c r="O2113" s="1" t="s">
        <v>25</v>
      </c>
      <c r="P2113" s="1" t="s">
        <v>8490</v>
      </c>
    </row>
    <row r="2114" ht="14.25" customHeight="1">
      <c r="A2114" s="1" t="s">
        <v>8491</v>
      </c>
      <c r="B2114" s="1" t="s">
        <v>8492</v>
      </c>
      <c r="C2114" s="1" t="s">
        <v>53</v>
      </c>
      <c r="D2114" s="1">
        <v>69470.0</v>
      </c>
      <c r="E2114" s="1" t="s">
        <v>60</v>
      </c>
      <c r="F2114" s="1" t="s">
        <v>54</v>
      </c>
      <c r="G2114" s="1" t="s">
        <v>21</v>
      </c>
      <c r="H2114" s="2">
        <v>2959.0</v>
      </c>
      <c r="I2114" s="2">
        <v>8347.0</v>
      </c>
      <c r="J2114" s="1">
        <v>2023.0</v>
      </c>
      <c r="K2114" s="1">
        <v>88.0</v>
      </c>
      <c r="L2114" s="1" t="s">
        <v>62</v>
      </c>
      <c r="M2114" s="1" t="s">
        <v>8493</v>
      </c>
      <c r="N2114" s="1" t="s">
        <v>24</v>
      </c>
      <c r="O2114" s="1" t="s">
        <v>49</v>
      </c>
      <c r="P2114" s="1" t="s">
        <v>8494</v>
      </c>
    </row>
    <row r="2115" ht="14.25" customHeight="1">
      <c r="A2115" s="1" t="s">
        <v>8495</v>
      </c>
      <c r="B2115" s="1" t="s">
        <v>8496</v>
      </c>
      <c r="C2115" s="1" t="s">
        <v>29</v>
      </c>
      <c r="D2115" s="1">
        <v>97298.0</v>
      </c>
      <c r="E2115" s="1" t="s">
        <v>30</v>
      </c>
      <c r="F2115" s="1" t="s">
        <v>94</v>
      </c>
      <c r="G2115" s="1" t="s">
        <v>21</v>
      </c>
      <c r="H2115" s="2">
        <v>1047.0</v>
      </c>
      <c r="I2115" s="2">
        <v>2456.0</v>
      </c>
      <c r="J2115" s="1">
        <v>1989.0</v>
      </c>
      <c r="K2115" s="1">
        <v>55.0</v>
      </c>
      <c r="L2115" s="1" t="s">
        <v>95</v>
      </c>
      <c r="M2115" s="1" t="s">
        <v>8497</v>
      </c>
      <c r="N2115" s="1" t="s">
        <v>64</v>
      </c>
      <c r="O2115" s="1" t="s">
        <v>25</v>
      </c>
      <c r="P2115" s="1" t="s">
        <v>8498</v>
      </c>
    </row>
    <row r="2116" ht="14.25" customHeight="1">
      <c r="A2116" s="1" t="s">
        <v>8499</v>
      </c>
      <c r="B2116" s="1" t="s">
        <v>8500</v>
      </c>
      <c r="C2116" s="1" t="s">
        <v>18</v>
      </c>
      <c r="D2116" s="1">
        <v>84305.0</v>
      </c>
      <c r="E2116" s="1" t="s">
        <v>77</v>
      </c>
      <c r="F2116" s="1" t="s">
        <v>54</v>
      </c>
      <c r="G2116" s="1" t="s">
        <v>55</v>
      </c>
      <c r="H2116" s="2">
        <v>3163.0</v>
      </c>
      <c r="I2116" s="2">
        <v>8284.0</v>
      </c>
      <c r="J2116" s="1">
        <v>1989.0</v>
      </c>
      <c r="K2116" s="1">
        <v>94.0</v>
      </c>
      <c r="L2116" s="1" t="s">
        <v>62</v>
      </c>
      <c r="M2116" s="1" t="s">
        <v>8501</v>
      </c>
      <c r="N2116" s="1" t="s">
        <v>48</v>
      </c>
      <c r="O2116" s="1" t="s">
        <v>25</v>
      </c>
      <c r="P2116" s="1" t="s">
        <v>8502</v>
      </c>
    </row>
    <row r="2117" ht="14.25" customHeight="1">
      <c r="A2117" s="1" t="s">
        <v>8503</v>
      </c>
      <c r="B2117" s="1" t="s">
        <v>8504</v>
      </c>
      <c r="C2117" s="1" t="s">
        <v>18</v>
      </c>
      <c r="D2117" s="1">
        <v>84314.0</v>
      </c>
      <c r="E2117" s="1" t="s">
        <v>30</v>
      </c>
      <c r="F2117" s="1" t="s">
        <v>46</v>
      </c>
      <c r="G2117" s="1" t="s">
        <v>21</v>
      </c>
      <c r="H2117" s="2">
        <v>1041.0</v>
      </c>
      <c r="I2117" s="2">
        <v>7976.0</v>
      </c>
      <c r="J2117" s="1">
        <v>1950.0</v>
      </c>
      <c r="K2117" s="1">
        <v>7.0</v>
      </c>
      <c r="L2117" s="1" t="s">
        <v>62</v>
      </c>
      <c r="M2117" s="1" t="s">
        <v>8505</v>
      </c>
      <c r="N2117" s="1" t="s">
        <v>64</v>
      </c>
      <c r="O2117" s="1" t="s">
        <v>35</v>
      </c>
      <c r="P2117" s="1" t="s">
        <v>8506</v>
      </c>
    </row>
    <row r="2118" ht="14.25" customHeight="1">
      <c r="A2118" s="1" t="s">
        <v>8507</v>
      </c>
      <c r="B2118" s="1" t="s">
        <v>8508</v>
      </c>
      <c r="C2118" s="1" t="s">
        <v>18</v>
      </c>
      <c r="D2118" s="1">
        <v>51208.0</v>
      </c>
      <c r="E2118" s="1" t="s">
        <v>19</v>
      </c>
      <c r="F2118" s="1" t="s">
        <v>46</v>
      </c>
      <c r="G2118" s="1" t="s">
        <v>31</v>
      </c>
      <c r="H2118" s="2">
        <v>1941.0</v>
      </c>
      <c r="I2118" s="2">
        <v>4142.0</v>
      </c>
      <c r="J2118" s="1">
        <v>2022.0</v>
      </c>
      <c r="K2118" s="1">
        <v>107.0</v>
      </c>
      <c r="L2118" s="1" t="s">
        <v>22</v>
      </c>
      <c r="M2118" s="1" t="s">
        <v>8509</v>
      </c>
      <c r="N2118" s="1" t="s">
        <v>48</v>
      </c>
      <c r="O2118" s="1" t="s">
        <v>49</v>
      </c>
      <c r="P2118" s="1" t="s">
        <v>8510</v>
      </c>
    </row>
    <row r="2119" ht="14.25" customHeight="1">
      <c r="A2119" s="1" t="s">
        <v>8511</v>
      </c>
      <c r="B2119" s="1" t="s">
        <v>8512</v>
      </c>
      <c r="C2119" s="1" t="s">
        <v>53</v>
      </c>
      <c r="D2119" s="1">
        <v>73045.0</v>
      </c>
      <c r="E2119" s="1" t="s">
        <v>40</v>
      </c>
      <c r="F2119" s="1" t="s">
        <v>54</v>
      </c>
      <c r="G2119" s="1" t="s">
        <v>100</v>
      </c>
      <c r="H2119" s="2">
        <v>2194.0</v>
      </c>
      <c r="I2119" s="2">
        <v>5588.0</v>
      </c>
      <c r="J2119" s="1">
        <v>2006.0</v>
      </c>
      <c r="K2119" s="1">
        <v>33.0</v>
      </c>
      <c r="L2119" s="1" t="s">
        <v>22</v>
      </c>
      <c r="M2119" s="1" t="s">
        <v>8513</v>
      </c>
      <c r="N2119" s="1" t="s">
        <v>34</v>
      </c>
      <c r="O2119" s="1" t="s">
        <v>25</v>
      </c>
      <c r="P2119" s="1" t="s">
        <v>8514</v>
      </c>
    </row>
    <row r="2120" ht="14.25" customHeight="1">
      <c r="A2120" s="1" t="s">
        <v>8515</v>
      </c>
      <c r="B2120" s="1" t="s">
        <v>8516</v>
      </c>
      <c r="C2120" s="1" t="s">
        <v>18</v>
      </c>
      <c r="D2120" s="1">
        <v>72249.0</v>
      </c>
      <c r="E2120" s="1" t="s">
        <v>30</v>
      </c>
      <c r="F2120" s="1" t="s">
        <v>54</v>
      </c>
      <c r="G2120" s="1" t="s">
        <v>55</v>
      </c>
      <c r="H2120" s="2">
        <v>1668.0</v>
      </c>
      <c r="I2120" s="2">
        <v>7798.0</v>
      </c>
      <c r="J2120" s="1">
        <v>1963.0</v>
      </c>
      <c r="K2120" s="1">
        <v>12.0</v>
      </c>
      <c r="L2120" s="1" t="s">
        <v>141</v>
      </c>
      <c r="M2120" s="1" t="s">
        <v>8517</v>
      </c>
      <c r="N2120" s="1" t="s">
        <v>34</v>
      </c>
      <c r="O2120" s="1" t="s">
        <v>49</v>
      </c>
      <c r="P2120" s="1" t="s">
        <v>8518</v>
      </c>
    </row>
    <row r="2121" ht="14.25" customHeight="1">
      <c r="A2121" s="1" t="s">
        <v>8519</v>
      </c>
      <c r="B2121" s="1" t="s">
        <v>8520</v>
      </c>
      <c r="C2121" s="1" t="s">
        <v>76</v>
      </c>
      <c r="D2121" s="1">
        <v>57861.0</v>
      </c>
      <c r="E2121" s="1" t="s">
        <v>30</v>
      </c>
      <c r="F2121" s="1" t="s">
        <v>41</v>
      </c>
      <c r="G2121" s="1" t="s">
        <v>55</v>
      </c>
      <c r="H2121" s="2">
        <v>3127.0</v>
      </c>
      <c r="I2121" s="2">
        <v>1874.0</v>
      </c>
      <c r="J2121" s="1">
        <v>1986.0</v>
      </c>
      <c r="K2121" s="1">
        <v>85.0</v>
      </c>
      <c r="L2121" s="1" t="s">
        <v>32</v>
      </c>
      <c r="M2121" s="1" t="s">
        <v>8521</v>
      </c>
      <c r="N2121" s="1" t="s">
        <v>48</v>
      </c>
      <c r="O2121" s="1" t="s">
        <v>25</v>
      </c>
      <c r="P2121" s="1" t="s">
        <v>8522</v>
      </c>
    </row>
    <row r="2122" ht="14.25" customHeight="1">
      <c r="A2122" s="1" t="s">
        <v>8523</v>
      </c>
      <c r="B2122" s="1" t="s">
        <v>8524</v>
      </c>
      <c r="C2122" s="1" t="s">
        <v>39</v>
      </c>
      <c r="D2122" s="1">
        <v>60157.0</v>
      </c>
      <c r="E2122" s="1" t="s">
        <v>30</v>
      </c>
      <c r="F2122" s="1" t="s">
        <v>54</v>
      </c>
      <c r="G2122" s="1" t="s">
        <v>55</v>
      </c>
      <c r="H2122" s="2">
        <v>3396.0</v>
      </c>
      <c r="I2122" s="2">
        <v>5199.0</v>
      </c>
      <c r="J2122" s="1">
        <v>1963.0</v>
      </c>
      <c r="K2122" s="1">
        <v>60.0</v>
      </c>
      <c r="L2122" s="1" t="s">
        <v>141</v>
      </c>
      <c r="M2122" s="1" t="s">
        <v>8525</v>
      </c>
      <c r="N2122" s="1" t="s">
        <v>43</v>
      </c>
      <c r="O2122" s="1" t="s">
        <v>25</v>
      </c>
      <c r="P2122" s="1" t="s">
        <v>8526</v>
      </c>
    </row>
    <row r="2123" ht="14.25" customHeight="1">
      <c r="A2123" s="1" t="s">
        <v>8527</v>
      </c>
      <c r="B2123" s="1" t="s">
        <v>8528</v>
      </c>
      <c r="C2123" s="1" t="s">
        <v>39</v>
      </c>
      <c r="D2123" s="1">
        <v>41797.0</v>
      </c>
      <c r="E2123" s="1" t="s">
        <v>19</v>
      </c>
      <c r="F2123" s="1" t="s">
        <v>54</v>
      </c>
      <c r="G2123" s="1" t="s">
        <v>55</v>
      </c>
      <c r="H2123" s="2">
        <v>2169.0</v>
      </c>
      <c r="I2123" s="2">
        <v>1344.0</v>
      </c>
      <c r="J2123" s="1">
        <v>1957.0</v>
      </c>
      <c r="K2123" s="1">
        <v>36.0</v>
      </c>
      <c r="L2123" s="1" t="s">
        <v>62</v>
      </c>
      <c r="M2123" s="1" t="s">
        <v>8529</v>
      </c>
      <c r="N2123" s="1" t="s">
        <v>34</v>
      </c>
      <c r="O2123" s="1" t="s">
        <v>35</v>
      </c>
      <c r="P2123" s="1" t="s">
        <v>8530</v>
      </c>
    </row>
    <row r="2124" ht="14.25" customHeight="1">
      <c r="A2124" s="1" t="s">
        <v>8531</v>
      </c>
      <c r="B2124" s="1" t="s">
        <v>8532</v>
      </c>
      <c r="C2124" s="1" t="s">
        <v>29</v>
      </c>
      <c r="D2124" s="1">
        <v>20922.0</v>
      </c>
      <c r="E2124" s="1" t="s">
        <v>60</v>
      </c>
      <c r="F2124" s="1" t="s">
        <v>54</v>
      </c>
      <c r="G2124" s="1" t="s">
        <v>31</v>
      </c>
      <c r="H2124" s="2">
        <v>3023.0</v>
      </c>
      <c r="I2124" s="2">
        <v>4813.0</v>
      </c>
      <c r="J2124" s="1">
        <v>2010.0</v>
      </c>
      <c r="K2124" s="1">
        <v>116.0</v>
      </c>
      <c r="L2124" s="1" t="s">
        <v>32</v>
      </c>
      <c r="M2124" s="1" t="s">
        <v>8533</v>
      </c>
      <c r="N2124" s="1" t="s">
        <v>24</v>
      </c>
      <c r="O2124" s="1" t="s">
        <v>35</v>
      </c>
      <c r="P2124" s="1" t="s">
        <v>8534</v>
      </c>
    </row>
    <row r="2125" ht="14.25" customHeight="1">
      <c r="A2125" s="1" t="s">
        <v>8535</v>
      </c>
      <c r="B2125" s="1" t="s">
        <v>8536</v>
      </c>
      <c r="C2125" s="1" t="s">
        <v>76</v>
      </c>
      <c r="D2125" s="1">
        <v>84600.0</v>
      </c>
      <c r="E2125" s="1" t="s">
        <v>40</v>
      </c>
      <c r="F2125" s="1" t="s">
        <v>46</v>
      </c>
      <c r="G2125" s="1" t="s">
        <v>31</v>
      </c>
      <c r="H2125" s="2">
        <v>652.0</v>
      </c>
      <c r="I2125" s="2">
        <v>6031.0</v>
      </c>
      <c r="J2125" s="1">
        <v>1967.0</v>
      </c>
      <c r="K2125" s="1">
        <v>87.0</v>
      </c>
      <c r="L2125" s="1" t="s">
        <v>22</v>
      </c>
      <c r="M2125" s="1" t="s">
        <v>8537</v>
      </c>
      <c r="N2125" s="1" t="s">
        <v>64</v>
      </c>
      <c r="O2125" s="1" t="s">
        <v>35</v>
      </c>
      <c r="P2125" s="1" t="s">
        <v>8538</v>
      </c>
    </row>
    <row r="2126" ht="14.25" customHeight="1">
      <c r="A2126" s="1" t="s">
        <v>8539</v>
      </c>
      <c r="B2126" s="1" t="s">
        <v>8540</v>
      </c>
      <c r="C2126" s="1" t="s">
        <v>39</v>
      </c>
      <c r="D2126" s="1">
        <v>79056.0</v>
      </c>
      <c r="E2126" s="1" t="s">
        <v>30</v>
      </c>
      <c r="F2126" s="1" t="s">
        <v>46</v>
      </c>
      <c r="G2126" s="1" t="s">
        <v>21</v>
      </c>
      <c r="H2126" s="2">
        <v>747.0</v>
      </c>
      <c r="I2126" s="2">
        <v>8973.0</v>
      </c>
      <c r="J2126" s="1">
        <v>1995.0</v>
      </c>
      <c r="K2126" s="1">
        <v>107.0</v>
      </c>
      <c r="L2126" s="1" t="s">
        <v>32</v>
      </c>
      <c r="M2126" s="1" t="s">
        <v>8541</v>
      </c>
      <c r="N2126" s="1" t="s">
        <v>24</v>
      </c>
      <c r="O2126" s="1" t="s">
        <v>35</v>
      </c>
      <c r="P2126" s="1" t="s">
        <v>8542</v>
      </c>
    </row>
    <row r="2127" ht="14.25" customHeight="1">
      <c r="A2127" s="1" t="s">
        <v>8543</v>
      </c>
      <c r="B2127" s="1" t="s">
        <v>8544</v>
      </c>
      <c r="C2127" s="1" t="s">
        <v>29</v>
      </c>
      <c r="D2127" s="1">
        <v>93607.0</v>
      </c>
      <c r="E2127" s="1" t="s">
        <v>30</v>
      </c>
      <c r="F2127" s="1" t="s">
        <v>61</v>
      </c>
      <c r="G2127" s="1" t="s">
        <v>100</v>
      </c>
      <c r="H2127" s="2">
        <v>3628.0</v>
      </c>
      <c r="I2127" s="2">
        <v>6969.0</v>
      </c>
      <c r="J2127" s="1">
        <v>1984.0</v>
      </c>
      <c r="K2127" s="1">
        <v>118.0</v>
      </c>
      <c r="L2127" s="1" t="s">
        <v>95</v>
      </c>
      <c r="M2127" s="1" t="s">
        <v>8545</v>
      </c>
      <c r="N2127" s="1" t="s">
        <v>48</v>
      </c>
      <c r="O2127" s="1" t="s">
        <v>25</v>
      </c>
      <c r="P2127" s="1" t="s">
        <v>8546</v>
      </c>
    </row>
    <row r="2128" ht="14.25" customHeight="1">
      <c r="A2128" s="1" t="s">
        <v>8547</v>
      </c>
      <c r="B2128" s="1" t="s">
        <v>8548</v>
      </c>
      <c r="C2128" s="1" t="s">
        <v>18</v>
      </c>
      <c r="D2128" s="1">
        <v>60875.0</v>
      </c>
      <c r="E2128" s="1" t="s">
        <v>19</v>
      </c>
      <c r="F2128" s="1" t="s">
        <v>54</v>
      </c>
      <c r="G2128" s="1" t="s">
        <v>55</v>
      </c>
      <c r="H2128" s="2">
        <v>2293.0</v>
      </c>
      <c r="I2128" s="2">
        <v>4954.0</v>
      </c>
      <c r="J2128" s="1">
        <v>1993.0</v>
      </c>
      <c r="K2128" s="1">
        <v>4.0</v>
      </c>
      <c r="L2128" s="1" t="s">
        <v>95</v>
      </c>
      <c r="M2128" s="1" t="s">
        <v>8549</v>
      </c>
      <c r="N2128" s="1" t="s">
        <v>43</v>
      </c>
      <c r="O2128" s="1" t="s">
        <v>25</v>
      </c>
      <c r="P2128" s="1" t="s">
        <v>8550</v>
      </c>
    </row>
    <row r="2129" ht="14.25" customHeight="1">
      <c r="A2129" s="1" t="s">
        <v>8551</v>
      </c>
      <c r="B2129" s="1" t="s">
        <v>8552</v>
      </c>
      <c r="C2129" s="1" t="s">
        <v>29</v>
      </c>
      <c r="D2129" s="1">
        <v>21097.0</v>
      </c>
      <c r="E2129" s="1" t="s">
        <v>19</v>
      </c>
      <c r="F2129" s="1" t="s">
        <v>94</v>
      </c>
      <c r="G2129" s="1" t="s">
        <v>100</v>
      </c>
      <c r="H2129" s="2">
        <v>1540.0</v>
      </c>
      <c r="I2129" s="2">
        <v>6068.0</v>
      </c>
      <c r="J2129" s="1">
        <v>2017.0</v>
      </c>
      <c r="K2129" s="1">
        <v>47.0</v>
      </c>
      <c r="L2129" s="1" t="s">
        <v>141</v>
      </c>
      <c r="M2129" s="1" t="s">
        <v>8553</v>
      </c>
      <c r="N2129" s="1" t="s">
        <v>24</v>
      </c>
      <c r="O2129" s="1" t="s">
        <v>49</v>
      </c>
      <c r="P2129" s="1" t="s">
        <v>8554</v>
      </c>
    </row>
    <row r="2130" ht="14.25" customHeight="1">
      <c r="A2130" s="1" t="s">
        <v>8555</v>
      </c>
      <c r="B2130" s="1" t="s">
        <v>8556</v>
      </c>
      <c r="C2130" s="1" t="s">
        <v>76</v>
      </c>
      <c r="D2130" s="1">
        <v>79825.0</v>
      </c>
      <c r="E2130" s="1" t="s">
        <v>30</v>
      </c>
      <c r="F2130" s="1" t="s">
        <v>20</v>
      </c>
      <c r="G2130" s="1" t="s">
        <v>21</v>
      </c>
      <c r="H2130" s="2">
        <v>3224.0</v>
      </c>
      <c r="I2130" s="2">
        <v>1128.0</v>
      </c>
      <c r="J2130" s="1">
        <v>1965.0</v>
      </c>
      <c r="K2130" s="1">
        <v>100.0</v>
      </c>
      <c r="L2130" s="1" t="s">
        <v>62</v>
      </c>
      <c r="M2130" s="1" t="s">
        <v>8557</v>
      </c>
      <c r="N2130" s="1" t="s">
        <v>24</v>
      </c>
      <c r="O2130" s="1" t="s">
        <v>49</v>
      </c>
      <c r="P2130" s="1" t="s">
        <v>8558</v>
      </c>
    </row>
    <row r="2131" ht="14.25" customHeight="1">
      <c r="A2131" s="1" t="s">
        <v>8559</v>
      </c>
      <c r="B2131" s="1" t="s">
        <v>8560</v>
      </c>
      <c r="C2131" s="1" t="s">
        <v>18</v>
      </c>
      <c r="D2131" s="1">
        <v>99660.0</v>
      </c>
      <c r="E2131" s="1" t="s">
        <v>60</v>
      </c>
      <c r="F2131" s="1" t="s">
        <v>46</v>
      </c>
      <c r="G2131" s="1" t="s">
        <v>100</v>
      </c>
      <c r="H2131" s="2">
        <v>925.0</v>
      </c>
      <c r="I2131" s="2">
        <v>1975.0</v>
      </c>
      <c r="J2131" s="1">
        <v>2013.0</v>
      </c>
      <c r="K2131" s="1">
        <v>69.0</v>
      </c>
      <c r="L2131" s="1" t="s">
        <v>95</v>
      </c>
      <c r="M2131" s="1" t="s">
        <v>8561</v>
      </c>
      <c r="N2131" s="1" t="s">
        <v>24</v>
      </c>
      <c r="O2131" s="1" t="s">
        <v>35</v>
      </c>
      <c r="P2131" s="1" t="s">
        <v>8562</v>
      </c>
    </row>
    <row r="2132" ht="14.25" customHeight="1">
      <c r="A2132" s="1" t="s">
        <v>8563</v>
      </c>
      <c r="B2132" s="1" t="s">
        <v>8564</v>
      </c>
      <c r="C2132" s="1" t="s">
        <v>39</v>
      </c>
      <c r="D2132" s="1">
        <v>51838.0</v>
      </c>
      <c r="E2132" s="1" t="s">
        <v>40</v>
      </c>
      <c r="F2132" s="1" t="s">
        <v>94</v>
      </c>
      <c r="G2132" s="1" t="s">
        <v>100</v>
      </c>
      <c r="H2132" s="2">
        <v>1395.0</v>
      </c>
      <c r="I2132" s="2">
        <v>2554.0</v>
      </c>
      <c r="J2132" s="1">
        <v>1960.0</v>
      </c>
      <c r="K2132" s="1">
        <v>67.0</v>
      </c>
      <c r="L2132" s="1" t="s">
        <v>22</v>
      </c>
      <c r="M2132" s="1" t="s">
        <v>8565</v>
      </c>
      <c r="N2132" s="1" t="s">
        <v>34</v>
      </c>
      <c r="O2132" s="1" t="s">
        <v>49</v>
      </c>
      <c r="P2132" s="1" t="s">
        <v>8566</v>
      </c>
    </row>
    <row r="2133" ht="14.25" customHeight="1">
      <c r="A2133" s="1" t="s">
        <v>8567</v>
      </c>
      <c r="B2133" s="1" t="s">
        <v>8568</v>
      </c>
      <c r="C2133" s="1" t="s">
        <v>39</v>
      </c>
      <c r="D2133" s="1">
        <v>52087.0</v>
      </c>
      <c r="E2133" s="1" t="s">
        <v>19</v>
      </c>
      <c r="F2133" s="1" t="s">
        <v>94</v>
      </c>
      <c r="G2133" s="1" t="s">
        <v>31</v>
      </c>
      <c r="H2133" s="2">
        <v>1476.0</v>
      </c>
      <c r="I2133" s="2">
        <v>9187.0</v>
      </c>
      <c r="J2133" s="1">
        <v>2000.0</v>
      </c>
      <c r="K2133" s="1">
        <v>22.0</v>
      </c>
      <c r="L2133" s="1" t="s">
        <v>32</v>
      </c>
      <c r="M2133" s="1" t="s">
        <v>8569</v>
      </c>
      <c r="N2133" s="1" t="s">
        <v>64</v>
      </c>
      <c r="O2133" s="1" t="s">
        <v>35</v>
      </c>
      <c r="P2133" s="1" t="s">
        <v>8570</v>
      </c>
    </row>
    <row r="2134" ht="14.25" customHeight="1">
      <c r="A2134" s="1" t="s">
        <v>8571</v>
      </c>
      <c r="B2134" s="1" t="s">
        <v>8572</v>
      </c>
      <c r="C2134" s="1" t="s">
        <v>18</v>
      </c>
      <c r="D2134" s="1">
        <v>35530.0</v>
      </c>
      <c r="E2134" s="1" t="s">
        <v>60</v>
      </c>
      <c r="F2134" s="1" t="s">
        <v>41</v>
      </c>
      <c r="G2134" s="1" t="s">
        <v>21</v>
      </c>
      <c r="H2134" s="2">
        <v>2905.0</v>
      </c>
      <c r="I2134" s="2">
        <v>7062.0</v>
      </c>
      <c r="J2134" s="1">
        <v>1964.0</v>
      </c>
      <c r="K2134" s="1">
        <v>66.0</v>
      </c>
      <c r="L2134" s="1" t="s">
        <v>22</v>
      </c>
      <c r="M2134" s="1" t="s">
        <v>8573</v>
      </c>
      <c r="N2134" s="1" t="s">
        <v>24</v>
      </c>
      <c r="O2134" s="1" t="s">
        <v>49</v>
      </c>
      <c r="P2134" s="1" t="s">
        <v>8574</v>
      </c>
    </row>
    <row r="2135" ht="14.25" customHeight="1">
      <c r="A2135" s="1" t="s">
        <v>8575</v>
      </c>
      <c r="B2135" s="1" t="s">
        <v>8576</v>
      </c>
      <c r="C2135" s="1" t="s">
        <v>18</v>
      </c>
      <c r="D2135" s="1">
        <v>13222.0</v>
      </c>
      <c r="E2135" s="1" t="s">
        <v>30</v>
      </c>
      <c r="F2135" s="1" t="s">
        <v>41</v>
      </c>
      <c r="G2135" s="1" t="s">
        <v>100</v>
      </c>
      <c r="H2135" s="2">
        <v>2538.0</v>
      </c>
      <c r="I2135" s="2">
        <v>4510.0</v>
      </c>
      <c r="J2135" s="1">
        <v>1984.0</v>
      </c>
      <c r="K2135" s="1">
        <v>35.0</v>
      </c>
      <c r="L2135" s="1" t="s">
        <v>95</v>
      </c>
      <c r="M2135" s="1" t="s">
        <v>8577</v>
      </c>
      <c r="N2135" s="1" t="s">
        <v>24</v>
      </c>
      <c r="O2135" s="1" t="s">
        <v>35</v>
      </c>
      <c r="P2135" s="1" t="s">
        <v>8578</v>
      </c>
    </row>
    <row r="2136" ht="14.25" customHeight="1">
      <c r="A2136" s="1" t="s">
        <v>8579</v>
      </c>
      <c r="B2136" s="1" t="s">
        <v>8580</v>
      </c>
      <c r="C2136" s="1" t="s">
        <v>53</v>
      </c>
      <c r="D2136" s="1">
        <v>38613.0</v>
      </c>
      <c r="E2136" s="1" t="s">
        <v>77</v>
      </c>
      <c r="F2136" s="1" t="s">
        <v>46</v>
      </c>
      <c r="G2136" s="1" t="s">
        <v>31</v>
      </c>
      <c r="H2136" s="2">
        <v>1335.0</v>
      </c>
      <c r="I2136" s="2">
        <v>4113.0</v>
      </c>
      <c r="J2136" s="1">
        <v>1982.0</v>
      </c>
      <c r="K2136" s="1">
        <v>71.0</v>
      </c>
      <c r="L2136" s="1" t="s">
        <v>32</v>
      </c>
      <c r="M2136" s="1" t="s">
        <v>8581</v>
      </c>
      <c r="N2136" s="1" t="s">
        <v>43</v>
      </c>
      <c r="O2136" s="1" t="s">
        <v>25</v>
      </c>
      <c r="P2136" s="1" t="s">
        <v>8582</v>
      </c>
    </row>
    <row r="2137" ht="14.25" customHeight="1">
      <c r="A2137" s="1" t="s">
        <v>8583</v>
      </c>
      <c r="B2137" s="1" t="s">
        <v>8584</v>
      </c>
      <c r="C2137" s="1" t="s">
        <v>29</v>
      </c>
      <c r="D2137" s="1">
        <v>12309.0</v>
      </c>
      <c r="E2137" s="1" t="s">
        <v>30</v>
      </c>
      <c r="F2137" s="1" t="s">
        <v>94</v>
      </c>
      <c r="G2137" s="1" t="s">
        <v>55</v>
      </c>
      <c r="H2137" s="2">
        <v>3603.0</v>
      </c>
      <c r="I2137" s="2">
        <v>5090.0</v>
      </c>
      <c r="J2137" s="1">
        <v>1974.0</v>
      </c>
      <c r="K2137" s="1">
        <v>109.0</v>
      </c>
      <c r="L2137" s="1" t="s">
        <v>32</v>
      </c>
      <c r="M2137" s="1" t="s">
        <v>8585</v>
      </c>
      <c r="N2137" s="1" t="s">
        <v>48</v>
      </c>
      <c r="O2137" s="1" t="s">
        <v>25</v>
      </c>
      <c r="P2137" s="1" t="s">
        <v>8586</v>
      </c>
    </row>
    <row r="2138" ht="14.25" customHeight="1">
      <c r="A2138" s="1" t="s">
        <v>8587</v>
      </c>
      <c r="B2138" s="1" t="s">
        <v>8588</v>
      </c>
      <c r="C2138" s="1" t="s">
        <v>76</v>
      </c>
      <c r="D2138" s="1">
        <v>95350.0</v>
      </c>
      <c r="E2138" s="1" t="s">
        <v>77</v>
      </c>
      <c r="F2138" s="1" t="s">
        <v>94</v>
      </c>
      <c r="G2138" s="1" t="s">
        <v>55</v>
      </c>
      <c r="H2138" s="2">
        <v>1126.0</v>
      </c>
      <c r="I2138" s="2">
        <v>3093.0</v>
      </c>
      <c r="J2138" s="1">
        <v>1959.0</v>
      </c>
      <c r="K2138" s="1">
        <v>97.0</v>
      </c>
      <c r="L2138" s="1" t="s">
        <v>22</v>
      </c>
      <c r="M2138" s="1" t="s">
        <v>8589</v>
      </c>
      <c r="N2138" s="1" t="s">
        <v>34</v>
      </c>
      <c r="O2138" s="1" t="s">
        <v>49</v>
      </c>
      <c r="P2138" s="1" t="s">
        <v>8590</v>
      </c>
    </row>
    <row r="2139" ht="14.25" customHeight="1">
      <c r="A2139" s="1" t="s">
        <v>8591</v>
      </c>
      <c r="B2139" s="1" t="s">
        <v>8592</v>
      </c>
      <c r="C2139" s="1" t="s">
        <v>53</v>
      </c>
      <c r="D2139" s="1">
        <v>62583.0</v>
      </c>
      <c r="E2139" s="1" t="s">
        <v>60</v>
      </c>
      <c r="F2139" s="1" t="s">
        <v>20</v>
      </c>
      <c r="G2139" s="1" t="s">
        <v>21</v>
      </c>
      <c r="H2139" s="2">
        <v>670.0</v>
      </c>
      <c r="I2139" s="2">
        <v>4921.0</v>
      </c>
      <c r="J2139" s="1">
        <v>1996.0</v>
      </c>
      <c r="K2139" s="1">
        <v>17.0</v>
      </c>
      <c r="L2139" s="1" t="s">
        <v>22</v>
      </c>
      <c r="M2139" s="1" t="s">
        <v>8593</v>
      </c>
      <c r="N2139" s="1" t="s">
        <v>24</v>
      </c>
      <c r="O2139" s="1" t="s">
        <v>35</v>
      </c>
      <c r="P2139" s="1" t="s">
        <v>8594</v>
      </c>
    </row>
    <row r="2140" ht="14.25" customHeight="1">
      <c r="A2140" s="1" t="s">
        <v>8595</v>
      </c>
      <c r="B2140" s="1" t="s">
        <v>8596</v>
      </c>
      <c r="C2140" s="1" t="s">
        <v>18</v>
      </c>
      <c r="D2140" s="1">
        <v>66109.0</v>
      </c>
      <c r="E2140" s="1" t="s">
        <v>30</v>
      </c>
      <c r="F2140" s="1" t="s">
        <v>54</v>
      </c>
      <c r="G2140" s="1" t="s">
        <v>100</v>
      </c>
      <c r="H2140" s="2">
        <v>2566.0</v>
      </c>
      <c r="I2140" s="2">
        <v>4783.0</v>
      </c>
      <c r="J2140" s="1">
        <v>1968.0</v>
      </c>
      <c r="K2140" s="1">
        <v>59.0</v>
      </c>
      <c r="L2140" s="1" t="s">
        <v>22</v>
      </c>
      <c r="M2140" s="1" t="s">
        <v>8597</v>
      </c>
      <c r="N2140" s="1" t="s">
        <v>34</v>
      </c>
      <c r="O2140" s="1" t="s">
        <v>25</v>
      </c>
      <c r="P2140" s="1" t="s">
        <v>8598</v>
      </c>
    </row>
    <row r="2141" ht="14.25" customHeight="1">
      <c r="A2141" s="1" t="s">
        <v>8599</v>
      </c>
      <c r="B2141" s="1" t="s">
        <v>8600</v>
      </c>
      <c r="C2141" s="1" t="s">
        <v>76</v>
      </c>
      <c r="D2141" s="1">
        <v>87803.0</v>
      </c>
      <c r="E2141" s="1" t="s">
        <v>40</v>
      </c>
      <c r="F2141" s="1" t="s">
        <v>54</v>
      </c>
      <c r="G2141" s="1" t="s">
        <v>100</v>
      </c>
      <c r="H2141" s="2">
        <v>1243.0</v>
      </c>
      <c r="I2141" s="2">
        <v>6073.0</v>
      </c>
      <c r="J2141" s="1">
        <v>2008.0</v>
      </c>
      <c r="K2141" s="1">
        <v>36.0</v>
      </c>
      <c r="L2141" s="1" t="s">
        <v>141</v>
      </c>
      <c r="M2141" s="1" t="s">
        <v>8601</v>
      </c>
      <c r="N2141" s="1" t="s">
        <v>24</v>
      </c>
      <c r="O2141" s="1" t="s">
        <v>49</v>
      </c>
      <c r="P2141" s="1" t="s">
        <v>8602</v>
      </c>
    </row>
    <row r="2142" ht="14.25" customHeight="1">
      <c r="A2142" s="1" t="s">
        <v>8603</v>
      </c>
      <c r="B2142" s="1" t="s">
        <v>8604</v>
      </c>
      <c r="C2142" s="1" t="s">
        <v>39</v>
      </c>
      <c r="D2142" s="1">
        <v>16022.0</v>
      </c>
      <c r="E2142" s="1" t="s">
        <v>19</v>
      </c>
      <c r="F2142" s="1" t="s">
        <v>54</v>
      </c>
      <c r="G2142" s="1" t="s">
        <v>100</v>
      </c>
      <c r="H2142" s="2">
        <v>3224.0</v>
      </c>
      <c r="I2142" s="2">
        <v>4508.0</v>
      </c>
      <c r="J2142" s="1">
        <v>1952.0</v>
      </c>
      <c r="K2142" s="1">
        <v>22.0</v>
      </c>
      <c r="L2142" s="1" t="s">
        <v>95</v>
      </c>
      <c r="M2142" s="1" t="s">
        <v>8605</v>
      </c>
      <c r="N2142" s="1" t="s">
        <v>64</v>
      </c>
      <c r="O2142" s="1" t="s">
        <v>35</v>
      </c>
      <c r="P2142" s="1" t="s">
        <v>8606</v>
      </c>
    </row>
    <row r="2143" ht="14.25" customHeight="1">
      <c r="A2143" s="1" t="s">
        <v>8607</v>
      </c>
      <c r="B2143" s="1" t="s">
        <v>8608</v>
      </c>
      <c r="C2143" s="1" t="s">
        <v>53</v>
      </c>
      <c r="D2143" s="1">
        <v>97674.0</v>
      </c>
      <c r="E2143" s="1" t="s">
        <v>30</v>
      </c>
      <c r="F2143" s="1" t="s">
        <v>54</v>
      </c>
      <c r="G2143" s="1" t="s">
        <v>55</v>
      </c>
      <c r="H2143" s="2">
        <v>1511.0</v>
      </c>
      <c r="I2143" s="2">
        <v>3608.0</v>
      </c>
      <c r="J2143" s="1">
        <v>1956.0</v>
      </c>
      <c r="K2143" s="1">
        <v>66.0</v>
      </c>
      <c r="L2143" s="1" t="s">
        <v>141</v>
      </c>
      <c r="M2143" s="1" t="s">
        <v>8609</v>
      </c>
      <c r="N2143" s="1" t="s">
        <v>48</v>
      </c>
      <c r="O2143" s="1" t="s">
        <v>49</v>
      </c>
      <c r="P2143" s="1" t="s">
        <v>8610</v>
      </c>
    </row>
    <row r="2144" ht="14.25" customHeight="1">
      <c r="A2144" s="1" t="s">
        <v>8611</v>
      </c>
      <c r="B2144" s="1" t="s">
        <v>8612</v>
      </c>
      <c r="C2144" s="1" t="s">
        <v>18</v>
      </c>
      <c r="D2144" s="1">
        <v>62559.0</v>
      </c>
      <c r="E2144" s="1" t="s">
        <v>77</v>
      </c>
      <c r="F2144" s="1" t="s">
        <v>46</v>
      </c>
      <c r="G2144" s="1" t="s">
        <v>21</v>
      </c>
      <c r="H2144" s="2">
        <v>920.0</v>
      </c>
      <c r="I2144" s="2">
        <v>4728.0</v>
      </c>
      <c r="J2144" s="1">
        <v>1989.0</v>
      </c>
      <c r="K2144" s="1">
        <v>12.0</v>
      </c>
      <c r="L2144" s="1" t="s">
        <v>62</v>
      </c>
      <c r="M2144" s="1" t="s">
        <v>8613</v>
      </c>
      <c r="N2144" s="1" t="s">
        <v>24</v>
      </c>
      <c r="O2144" s="1" t="s">
        <v>25</v>
      </c>
      <c r="P2144" s="1" t="s">
        <v>8614</v>
      </c>
    </row>
    <row r="2145" ht="14.25" customHeight="1">
      <c r="A2145" s="1" t="s">
        <v>8615</v>
      </c>
      <c r="B2145" s="1" t="s">
        <v>8616</v>
      </c>
      <c r="C2145" s="1" t="s">
        <v>39</v>
      </c>
      <c r="D2145" s="1">
        <v>98562.0</v>
      </c>
      <c r="E2145" s="1" t="s">
        <v>60</v>
      </c>
      <c r="F2145" s="1" t="s">
        <v>61</v>
      </c>
      <c r="G2145" s="1" t="s">
        <v>21</v>
      </c>
      <c r="H2145" s="2">
        <v>815.0</v>
      </c>
      <c r="I2145" s="2">
        <v>2426.0</v>
      </c>
      <c r="J2145" s="1">
        <v>2006.0</v>
      </c>
      <c r="K2145" s="1">
        <v>50.0</v>
      </c>
      <c r="L2145" s="1" t="s">
        <v>95</v>
      </c>
      <c r="M2145" s="1" t="s">
        <v>8617</v>
      </c>
      <c r="N2145" s="1" t="s">
        <v>64</v>
      </c>
      <c r="O2145" s="1" t="s">
        <v>35</v>
      </c>
      <c r="P2145" s="1" t="s">
        <v>8618</v>
      </c>
    </row>
    <row r="2146" ht="14.25" customHeight="1">
      <c r="A2146" s="1" t="s">
        <v>8619</v>
      </c>
      <c r="B2146" s="1" t="s">
        <v>8620</v>
      </c>
      <c r="C2146" s="1" t="s">
        <v>39</v>
      </c>
      <c r="D2146" s="1">
        <v>18019.0</v>
      </c>
      <c r="E2146" s="1" t="s">
        <v>60</v>
      </c>
      <c r="F2146" s="1" t="s">
        <v>46</v>
      </c>
      <c r="G2146" s="1" t="s">
        <v>100</v>
      </c>
      <c r="H2146" s="2">
        <v>2567.0</v>
      </c>
      <c r="I2146" s="2">
        <v>5847.0</v>
      </c>
      <c r="J2146" s="1">
        <v>2002.0</v>
      </c>
      <c r="K2146" s="1">
        <v>42.0</v>
      </c>
      <c r="L2146" s="1" t="s">
        <v>32</v>
      </c>
      <c r="M2146" s="1" t="s">
        <v>8621</v>
      </c>
      <c r="N2146" s="1" t="s">
        <v>48</v>
      </c>
      <c r="O2146" s="1" t="s">
        <v>49</v>
      </c>
      <c r="P2146" s="1" t="s">
        <v>8622</v>
      </c>
    </row>
    <row r="2147" ht="14.25" customHeight="1">
      <c r="A2147" s="1" t="s">
        <v>8623</v>
      </c>
      <c r="B2147" s="1" t="s">
        <v>8624</v>
      </c>
      <c r="C2147" s="1" t="s">
        <v>76</v>
      </c>
      <c r="D2147" s="1">
        <v>89641.0</v>
      </c>
      <c r="E2147" s="1" t="s">
        <v>40</v>
      </c>
      <c r="F2147" s="1" t="s">
        <v>46</v>
      </c>
      <c r="G2147" s="1" t="s">
        <v>55</v>
      </c>
      <c r="H2147" s="2">
        <v>3297.0</v>
      </c>
      <c r="I2147" s="2">
        <v>6952.0</v>
      </c>
      <c r="J2147" s="1">
        <v>2020.0</v>
      </c>
      <c r="K2147" s="1">
        <v>84.0</v>
      </c>
      <c r="L2147" s="1" t="s">
        <v>62</v>
      </c>
      <c r="M2147" s="1" t="s">
        <v>8625</v>
      </c>
      <c r="N2147" s="1" t="s">
        <v>43</v>
      </c>
      <c r="O2147" s="1" t="s">
        <v>35</v>
      </c>
      <c r="P2147" s="1" t="s">
        <v>8626</v>
      </c>
    </row>
    <row r="2148" ht="14.25" customHeight="1">
      <c r="A2148" s="1" t="s">
        <v>8627</v>
      </c>
      <c r="B2148" s="1" t="s">
        <v>8628</v>
      </c>
      <c r="C2148" s="1" t="s">
        <v>18</v>
      </c>
      <c r="D2148" s="1">
        <v>44504.0</v>
      </c>
      <c r="E2148" s="1" t="s">
        <v>77</v>
      </c>
      <c r="F2148" s="1" t="s">
        <v>61</v>
      </c>
      <c r="G2148" s="1" t="s">
        <v>21</v>
      </c>
      <c r="H2148" s="2">
        <v>1610.0</v>
      </c>
      <c r="I2148" s="2">
        <v>1096.0</v>
      </c>
      <c r="J2148" s="1">
        <v>1953.0</v>
      </c>
      <c r="K2148" s="1">
        <v>13.0</v>
      </c>
      <c r="L2148" s="1" t="s">
        <v>95</v>
      </c>
      <c r="M2148" s="1" t="s">
        <v>8629</v>
      </c>
      <c r="N2148" s="1" t="s">
        <v>34</v>
      </c>
      <c r="O2148" s="1" t="s">
        <v>25</v>
      </c>
      <c r="P2148" s="1" t="s">
        <v>8630</v>
      </c>
    </row>
    <row r="2149" ht="14.25" customHeight="1">
      <c r="A2149" s="1" t="s">
        <v>8631</v>
      </c>
      <c r="B2149" s="1" t="s">
        <v>8632</v>
      </c>
      <c r="C2149" s="1" t="s">
        <v>53</v>
      </c>
      <c r="D2149" s="1">
        <v>44449.0</v>
      </c>
      <c r="E2149" s="1" t="s">
        <v>30</v>
      </c>
      <c r="F2149" s="1" t="s">
        <v>46</v>
      </c>
      <c r="G2149" s="1" t="s">
        <v>55</v>
      </c>
      <c r="H2149" s="2">
        <v>603.0</v>
      </c>
      <c r="I2149" s="2">
        <v>7069.0</v>
      </c>
      <c r="J2149" s="1">
        <v>1959.0</v>
      </c>
      <c r="K2149" s="1">
        <v>90.0</v>
      </c>
      <c r="L2149" s="1" t="s">
        <v>22</v>
      </c>
      <c r="M2149" s="1" t="s">
        <v>8633</v>
      </c>
      <c r="N2149" s="1" t="s">
        <v>64</v>
      </c>
      <c r="O2149" s="1" t="s">
        <v>35</v>
      </c>
      <c r="P2149" s="1" t="s">
        <v>8634</v>
      </c>
    </row>
    <row r="2150" ht="14.25" customHeight="1">
      <c r="A2150" s="1" t="s">
        <v>8635</v>
      </c>
      <c r="B2150" s="1" t="s">
        <v>8636</v>
      </c>
      <c r="C2150" s="1" t="s">
        <v>76</v>
      </c>
      <c r="D2150" s="1">
        <v>37560.0</v>
      </c>
      <c r="E2150" s="1" t="s">
        <v>30</v>
      </c>
      <c r="F2150" s="1" t="s">
        <v>61</v>
      </c>
      <c r="G2150" s="1" t="s">
        <v>55</v>
      </c>
      <c r="H2150" s="2">
        <v>1109.0</v>
      </c>
      <c r="I2150" s="2">
        <v>1425.0</v>
      </c>
      <c r="J2150" s="1">
        <v>1967.0</v>
      </c>
      <c r="K2150" s="1">
        <v>30.0</v>
      </c>
      <c r="L2150" s="1" t="s">
        <v>141</v>
      </c>
      <c r="M2150" s="1" t="s">
        <v>8637</v>
      </c>
      <c r="N2150" s="1" t="s">
        <v>43</v>
      </c>
      <c r="O2150" s="1" t="s">
        <v>25</v>
      </c>
      <c r="P2150" s="1" t="s">
        <v>8638</v>
      </c>
    </row>
    <row r="2151" ht="14.25" customHeight="1">
      <c r="A2151" s="1" t="s">
        <v>8639</v>
      </c>
      <c r="B2151" s="1" t="s">
        <v>8640</v>
      </c>
      <c r="C2151" s="1" t="s">
        <v>29</v>
      </c>
      <c r="D2151" s="1">
        <v>92901.0</v>
      </c>
      <c r="E2151" s="1" t="s">
        <v>40</v>
      </c>
      <c r="F2151" s="1" t="s">
        <v>20</v>
      </c>
      <c r="G2151" s="1" t="s">
        <v>100</v>
      </c>
      <c r="H2151" s="2">
        <v>1560.0</v>
      </c>
      <c r="I2151" s="2">
        <v>8607.0</v>
      </c>
      <c r="J2151" s="1">
        <v>1989.0</v>
      </c>
      <c r="K2151" s="1">
        <v>62.0</v>
      </c>
      <c r="L2151" s="1" t="s">
        <v>32</v>
      </c>
      <c r="M2151" s="1" t="s">
        <v>8641</v>
      </c>
      <c r="N2151" s="1" t="s">
        <v>24</v>
      </c>
      <c r="O2151" s="1" t="s">
        <v>49</v>
      </c>
      <c r="P2151" s="1" t="s">
        <v>8642</v>
      </c>
    </row>
    <row r="2152" ht="14.25" customHeight="1">
      <c r="A2152" s="1" t="s">
        <v>8643</v>
      </c>
      <c r="B2152" s="1" t="s">
        <v>8644</v>
      </c>
      <c r="C2152" s="1" t="s">
        <v>18</v>
      </c>
      <c r="D2152" s="1">
        <v>97723.0</v>
      </c>
      <c r="E2152" s="1" t="s">
        <v>40</v>
      </c>
      <c r="F2152" s="1" t="s">
        <v>41</v>
      </c>
      <c r="G2152" s="1" t="s">
        <v>21</v>
      </c>
      <c r="H2152" s="2">
        <v>3769.0</v>
      </c>
      <c r="I2152" s="2">
        <v>1397.0</v>
      </c>
      <c r="J2152" s="1">
        <v>2007.0</v>
      </c>
      <c r="K2152" s="1">
        <v>73.0</v>
      </c>
      <c r="L2152" s="1" t="s">
        <v>95</v>
      </c>
      <c r="M2152" s="1" t="s">
        <v>8645</v>
      </c>
      <c r="N2152" s="1" t="s">
        <v>24</v>
      </c>
      <c r="O2152" s="1" t="s">
        <v>35</v>
      </c>
      <c r="P2152" s="1" t="s">
        <v>8646</v>
      </c>
    </row>
    <row r="2153" ht="14.25" customHeight="1">
      <c r="A2153" s="1" t="s">
        <v>8647</v>
      </c>
      <c r="B2153" s="1" t="s">
        <v>8648</v>
      </c>
      <c r="C2153" s="1" t="s">
        <v>29</v>
      </c>
      <c r="D2153" s="1">
        <v>88406.0</v>
      </c>
      <c r="E2153" s="1" t="s">
        <v>40</v>
      </c>
      <c r="F2153" s="1" t="s">
        <v>54</v>
      </c>
      <c r="G2153" s="1" t="s">
        <v>31</v>
      </c>
      <c r="H2153" s="2">
        <v>916.0</v>
      </c>
      <c r="I2153" s="2">
        <v>6496.0</v>
      </c>
      <c r="J2153" s="1">
        <v>1971.0</v>
      </c>
      <c r="K2153" s="1">
        <v>120.0</v>
      </c>
      <c r="L2153" s="1" t="s">
        <v>32</v>
      </c>
      <c r="M2153" s="1" t="s">
        <v>8649</v>
      </c>
      <c r="N2153" s="1" t="s">
        <v>64</v>
      </c>
      <c r="O2153" s="1" t="s">
        <v>35</v>
      </c>
      <c r="P2153" s="1" t="s">
        <v>8650</v>
      </c>
    </row>
    <row r="2154" ht="14.25" customHeight="1">
      <c r="A2154" s="1" t="s">
        <v>8651</v>
      </c>
      <c r="B2154" s="1" t="s">
        <v>8652</v>
      </c>
      <c r="C2154" s="1" t="s">
        <v>29</v>
      </c>
      <c r="D2154" s="1">
        <v>64363.0</v>
      </c>
      <c r="E2154" s="1" t="s">
        <v>30</v>
      </c>
      <c r="F2154" s="1" t="s">
        <v>94</v>
      </c>
      <c r="G2154" s="1" t="s">
        <v>55</v>
      </c>
      <c r="H2154" s="2">
        <v>1770.0</v>
      </c>
      <c r="I2154" s="2">
        <v>2786.0</v>
      </c>
      <c r="J2154" s="1">
        <v>1988.0</v>
      </c>
      <c r="K2154" s="1">
        <v>88.0</v>
      </c>
      <c r="L2154" s="1" t="s">
        <v>22</v>
      </c>
      <c r="M2154" s="1" t="s">
        <v>8653</v>
      </c>
      <c r="N2154" s="1" t="s">
        <v>48</v>
      </c>
      <c r="O2154" s="1" t="s">
        <v>25</v>
      </c>
      <c r="P2154" s="1" t="s">
        <v>8654</v>
      </c>
    </row>
    <row r="2155" ht="14.25" customHeight="1">
      <c r="A2155" s="1" t="s">
        <v>8655</v>
      </c>
      <c r="B2155" s="1" t="s">
        <v>8656</v>
      </c>
      <c r="C2155" s="1" t="s">
        <v>18</v>
      </c>
      <c r="D2155" s="1">
        <v>18958.0</v>
      </c>
      <c r="E2155" s="1" t="s">
        <v>40</v>
      </c>
      <c r="F2155" s="1" t="s">
        <v>20</v>
      </c>
      <c r="G2155" s="1" t="s">
        <v>100</v>
      </c>
      <c r="H2155" s="2">
        <v>1737.0</v>
      </c>
      <c r="I2155" s="2">
        <v>7580.0</v>
      </c>
      <c r="J2155" s="1">
        <v>1980.0</v>
      </c>
      <c r="K2155" s="1">
        <v>110.0</v>
      </c>
      <c r="L2155" s="1" t="s">
        <v>95</v>
      </c>
      <c r="M2155" s="1" t="s">
        <v>8657</v>
      </c>
      <c r="N2155" s="1" t="s">
        <v>64</v>
      </c>
      <c r="O2155" s="1" t="s">
        <v>25</v>
      </c>
      <c r="P2155" s="1" t="s">
        <v>8658</v>
      </c>
    </row>
    <row r="2156" ht="14.25" customHeight="1">
      <c r="A2156" s="1" t="s">
        <v>8659</v>
      </c>
      <c r="B2156" s="1" t="s">
        <v>8660</v>
      </c>
      <c r="C2156" s="1" t="s">
        <v>39</v>
      </c>
      <c r="D2156" s="1">
        <v>82125.0</v>
      </c>
      <c r="E2156" s="1" t="s">
        <v>19</v>
      </c>
      <c r="F2156" s="1" t="s">
        <v>54</v>
      </c>
      <c r="G2156" s="1" t="s">
        <v>21</v>
      </c>
      <c r="H2156" s="2">
        <v>3053.0</v>
      </c>
      <c r="I2156" s="2">
        <v>7488.0</v>
      </c>
      <c r="J2156" s="1">
        <v>2018.0</v>
      </c>
      <c r="K2156" s="1">
        <v>9.0</v>
      </c>
      <c r="L2156" s="1" t="s">
        <v>62</v>
      </c>
      <c r="M2156" s="1" t="s">
        <v>8661</v>
      </c>
      <c r="N2156" s="1" t="s">
        <v>48</v>
      </c>
      <c r="O2156" s="1" t="s">
        <v>49</v>
      </c>
      <c r="P2156" s="1" t="s">
        <v>8662</v>
      </c>
    </row>
    <row r="2157" ht="14.25" customHeight="1">
      <c r="A2157" s="1" t="s">
        <v>8663</v>
      </c>
      <c r="B2157" s="1" t="s">
        <v>8664</v>
      </c>
      <c r="C2157" s="1" t="s">
        <v>53</v>
      </c>
      <c r="D2157" s="1">
        <v>56664.0</v>
      </c>
      <c r="E2157" s="1" t="s">
        <v>19</v>
      </c>
      <c r="F2157" s="1" t="s">
        <v>54</v>
      </c>
      <c r="G2157" s="1" t="s">
        <v>55</v>
      </c>
      <c r="H2157" s="2">
        <v>2122.0</v>
      </c>
      <c r="I2157" s="2">
        <v>6716.0</v>
      </c>
      <c r="J2157" s="1">
        <v>2008.0</v>
      </c>
      <c r="K2157" s="1">
        <v>8.0</v>
      </c>
      <c r="L2157" s="1" t="s">
        <v>95</v>
      </c>
      <c r="M2157" s="1" t="s">
        <v>8665</v>
      </c>
      <c r="N2157" s="1" t="s">
        <v>24</v>
      </c>
      <c r="O2157" s="1" t="s">
        <v>49</v>
      </c>
      <c r="P2157" s="1" t="s">
        <v>8666</v>
      </c>
    </row>
    <row r="2158" ht="14.25" customHeight="1">
      <c r="A2158" s="1" t="s">
        <v>8667</v>
      </c>
      <c r="B2158" s="1" t="s">
        <v>8668</v>
      </c>
      <c r="C2158" s="1" t="s">
        <v>18</v>
      </c>
      <c r="D2158" s="1">
        <v>23062.0</v>
      </c>
      <c r="E2158" s="1" t="s">
        <v>77</v>
      </c>
      <c r="F2158" s="1" t="s">
        <v>20</v>
      </c>
      <c r="G2158" s="1" t="s">
        <v>55</v>
      </c>
      <c r="H2158" s="2">
        <v>3368.0</v>
      </c>
      <c r="I2158" s="2">
        <v>9679.0</v>
      </c>
      <c r="J2158" s="1">
        <v>1965.0</v>
      </c>
      <c r="K2158" s="1">
        <v>83.0</v>
      </c>
      <c r="L2158" s="1" t="s">
        <v>22</v>
      </c>
      <c r="M2158" s="1" t="s">
        <v>8669</v>
      </c>
      <c r="N2158" s="1" t="s">
        <v>24</v>
      </c>
      <c r="O2158" s="1" t="s">
        <v>25</v>
      </c>
      <c r="P2158" s="1" t="s">
        <v>8670</v>
      </c>
    </row>
    <row r="2159" ht="14.25" customHeight="1">
      <c r="A2159" s="1" t="s">
        <v>8671</v>
      </c>
      <c r="B2159" s="1" t="s">
        <v>8672</v>
      </c>
      <c r="C2159" s="1" t="s">
        <v>76</v>
      </c>
      <c r="D2159" s="1">
        <v>20961.0</v>
      </c>
      <c r="E2159" s="1" t="s">
        <v>60</v>
      </c>
      <c r="F2159" s="1" t="s">
        <v>20</v>
      </c>
      <c r="G2159" s="1" t="s">
        <v>55</v>
      </c>
      <c r="H2159" s="2">
        <v>1706.0</v>
      </c>
      <c r="I2159" s="2">
        <v>2820.0</v>
      </c>
      <c r="J2159" s="1">
        <v>2016.0</v>
      </c>
      <c r="K2159" s="1">
        <v>90.0</v>
      </c>
      <c r="L2159" s="1" t="s">
        <v>62</v>
      </c>
      <c r="M2159" s="1" t="s">
        <v>8673</v>
      </c>
      <c r="N2159" s="1" t="s">
        <v>43</v>
      </c>
      <c r="O2159" s="1" t="s">
        <v>35</v>
      </c>
      <c r="P2159" s="1" t="s">
        <v>8674</v>
      </c>
    </row>
    <row r="2160" ht="14.25" customHeight="1">
      <c r="A2160" s="1" t="s">
        <v>8675</v>
      </c>
      <c r="B2160" s="1" t="s">
        <v>8676</v>
      </c>
      <c r="C2160" s="1" t="s">
        <v>29</v>
      </c>
      <c r="D2160" s="1">
        <v>50273.0</v>
      </c>
      <c r="E2160" s="1" t="s">
        <v>19</v>
      </c>
      <c r="F2160" s="1" t="s">
        <v>41</v>
      </c>
      <c r="G2160" s="1" t="s">
        <v>100</v>
      </c>
      <c r="H2160" s="2">
        <v>3102.0</v>
      </c>
      <c r="I2160" s="2">
        <v>8603.0</v>
      </c>
      <c r="J2160" s="1">
        <v>1953.0</v>
      </c>
      <c r="K2160" s="1">
        <v>114.0</v>
      </c>
      <c r="L2160" s="1" t="s">
        <v>22</v>
      </c>
      <c r="M2160" s="1" t="s">
        <v>8677</v>
      </c>
      <c r="N2160" s="1" t="s">
        <v>48</v>
      </c>
      <c r="O2160" s="1" t="s">
        <v>49</v>
      </c>
      <c r="P2160" s="1" t="s">
        <v>8678</v>
      </c>
    </row>
    <row r="2161" ht="14.25" customHeight="1">
      <c r="A2161" s="1" t="s">
        <v>8679</v>
      </c>
      <c r="B2161" s="1" t="s">
        <v>8680</v>
      </c>
      <c r="C2161" s="1" t="s">
        <v>18</v>
      </c>
      <c r="D2161" s="1">
        <v>43420.0</v>
      </c>
      <c r="E2161" s="1" t="s">
        <v>30</v>
      </c>
      <c r="F2161" s="1" t="s">
        <v>54</v>
      </c>
      <c r="G2161" s="1" t="s">
        <v>100</v>
      </c>
      <c r="H2161" s="2">
        <v>1093.0</v>
      </c>
      <c r="I2161" s="2">
        <v>3089.0</v>
      </c>
      <c r="J2161" s="1">
        <v>1970.0</v>
      </c>
      <c r="K2161" s="1">
        <v>42.0</v>
      </c>
      <c r="L2161" s="1" t="s">
        <v>141</v>
      </c>
      <c r="M2161" s="1" t="s">
        <v>8681</v>
      </c>
      <c r="N2161" s="1" t="s">
        <v>34</v>
      </c>
      <c r="O2161" s="1" t="s">
        <v>35</v>
      </c>
      <c r="P2161" s="1" t="s">
        <v>8682</v>
      </c>
    </row>
    <row r="2162" ht="14.25" customHeight="1">
      <c r="A2162" s="1" t="s">
        <v>8683</v>
      </c>
      <c r="B2162" s="1" t="s">
        <v>8684</v>
      </c>
      <c r="C2162" s="1" t="s">
        <v>53</v>
      </c>
      <c r="D2162" s="1">
        <v>92407.0</v>
      </c>
      <c r="E2162" s="1" t="s">
        <v>60</v>
      </c>
      <c r="F2162" s="1" t="s">
        <v>61</v>
      </c>
      <c r="G2162" s="1" t="s">
        <v>31</v>
      </c>
      <c r="H2162" s="2">
        <v>825.0</v>
      </c>
      <c r="I2162" s="2">
        <v>7352.0</v>
      </c>
      <c r="J2162" s="1">
        <v>1965.0</v>
      </c>
      <c r="K2162" s="1">
        <v>24.0</v>
      </c>
      <c r="L2162" s="1" t="s">
        <v>95</v>
      </c>
      <c r="M2162" s="1" t="s">
        <v>8685</v>
      </c>
      <c r="N2162" s="1" t="s">
        <v>48</v>
      </c>
      <c r="O2162" s="1" t="s">
        <v>49</v>
      </c>
      <c r="P2162" s="1" t="s">
        <v>8686</v>
      </c>
    </row>
    <row r="2163" ht="14.25" customHeight="1">
      <c r="A2163" s="1" t="s">
        <v>8687</v>
      </c>
      <c r="B2163" s="1" t="s">
        <v>8688</v>
      </c>
      <c r="C2163" s="1" t="s">
        <v>29</v>
      </c>
      <c r="D2163" s="1">
        <v>34454.0</v>
      </c>
      <c r="E2163" s="1" t="s">
        <v>30</v>
      </c>
      <c r="F2163" s="1" t="s">
        <v>54</v>
      </c>
      <c r="G2163" s="1" t="s">
        <v>100</v>
      </c>
      <c r="H2163" s="2">
        <v>2439.0</v>
      </c>
      <c r="I2163" s="2">
        <v>5763.0</v>
      </c>
      <c r="J2163" s="1">
        <v>1979.0</v>
      </c>
      <c r="K2163" s="1">
        <v>111.0</v>
      </c>
      <c r="L2163" s="1" t="s">
        <v>141</v>
      </c>
      <c r="M2163" s="1" t="s">
        <v>8689</v>
      </c>
      <c r="N2163" s="1" t="s">
        <v>43</v>
      </c>
      <c r="O2163" s="1" t="s">
        <v>35</v>
      </c>
      <c r="P2163" s="1" t="s">
        <v>8690</v>
      </c>
    </row>
    <row r="2164" ht="14.25" customHeight="1">
      <c r="A2164" s="1" t="s">
        <v>8691</v>
      </c>
      <c r="B2164" s="1" t="s">
        <v>8692</v>
      </c>
      <c r="C2164" s="1" t="s">
        <v>53</v>
      </c>
      <c r="D2164" s="1">
        <v>87356.0</v>
      </c>
      <c r="E2164" s="1" t="s">
        <v>60</v>
      </c>
      <c r="F2164" s="1" t="s">
        <v>41</v>
      </c>
      <c r="G2164" s="1" t="s">
        <v>31</v>
      </c>
      <c r="H2164" s="2">
        <v>997.0</v>
      </c>
      <c r="I2164" s="2">
        <v>1478.0</v>
      </c>
      <c r="J2164" s="1">
        <v>2003.0</v>
      </c>
      <c r="K2164" s="1">
        <v>73.0</v>
      </c>
      <c r="L2164" s="1" t="s">
        <v>22</v>
      </c>
      <c r="M2164" s="1" t="s">
        <v>8693</v>
      </c>
      <c r="N2164" s="1" t="s">
        <v>43</v>
      </c>
      <c r="O2164" s="1" t="s">
        <v>35</v>
      </c>
      <c r="P2164" s="1" t="s">
        <v>8694</v>
      </c>
    </row>
    <row r="2165" ht="14.25" customHeight="1">
      <c r="A2165" s="1" t="s">
        <v>8695</v>
      </c>
      <c r="B2165" s="1" t="s">
        <v>8696</v>
      </c>
      <c r="C2165" s="1" t="s">
        <v>39</v>
      </c>
      <c r="D2165" s="1">
        <v>75868.0</v>
      </c>
      <c r="E2165" s="1" t="s">
        <v>19</v>
      </c>
      <c r="F2165" s="1" t="s">
        <v>54</v>
      </c>
      <c r="G2165" s="1" t="s">
        <v>31</v>
      </c>
      <c r="H2165" s="2">
        <v>2496.0</v>
      </c>
      <c r="I2165" s="2">
        <v>6790.0</v>
      </c>
      <c r="J2165" s="1">
        <v>2007.0</v>
      </c>
      <c r="K2165" s="1">
        <v>71.0</v>
      </c>
      <c r="L2165" s="1" t="s">
        <v>32</v>
      </c>
      <c r="M2165" s="1" t="s">
        <v>8697</v>
      </c>
      <c r="N2165" s="1" t="s">
        <v>64</v>
      </c>
      <c r="O2165" s="1" t="s">
        <v>35</v>
      </c>
      <c r="P2165" s="1" t="s">
        <v>8698</v>
      </c>
    </row>
    <row r="2166" ht="14.25" customHeight="1">
      <c r="A2166" s="1" t="s">
        <v>8699</v>
      </c>
      <c r="B2166" s="1" t="s">
        <v>8700</v>
      </c>
      <c r="C2166" s="1" t="s">
        <v>39</v>
      </c>
      <c r="D2166" s="1">
        <v>65166.0</v>
      </c>
      <c r="E2166" s="1" t="s">
        <v>40</v>
      </c>
      <c r="F2166" s="1" t="s">
        <v>41</v>
      </c>
      <c r="G2166" s="1" t="s">
        <v>100</v>
      </c>
      <c r="H2166" s="2">
        <v>2857.0</v>
      </c>
      <c r="I2166" s="2">
        <v>2065.0</v>
      </c>
      <c r="J2166" s="1">
        <v>1999.0</v>
      </c>
      <c r="K2166" s="1">
        <v>54.0</v>
      </c>
      <c r="L2166" s="1" t="s">
        <v>62</v>
      </c>
      <c r="M2166" s="1" t="s">
        <v>8701</v>
      </c>
      <c r="N2166" s="1" t="s">
        <v>34</v>
      </c>
      <c r="O2166" s="1" t="s">
        <v>49</v>
      </c>
      <c r="P2166" s="1" t="s">
        <v>8702</v>
      </c>
    </row>
    <row r="2167" ht="14.25" customHeight="1">
      <c r="A2167" s="1" t="s">
        <v>8703</v>
      </c>
      <c r="B2167" s="1" t="s">
        <v>8704</v>
      </c>
      <c r="C2167" s="1" t="s">
        <v>29</v>
      </c>
      <c r="D2167" s="1">
        <v>69272.0</v>
      </c>
      <c r="E2167" s="1" t="s">
        <v>40</v>
      </c>
      <c r="F2167" s="1" t="s">
        <v>61</v>
      </c>
      <c r="G2167" s="1" t="s">
        <v>21</v>
      </c>
      <c r="H2167" s="2">
        <v>3052.0</v>
      </c>
      <c r="I2167" s="2">
        <v>4381.0</v>
      </c>
      <c r="J2167" s="1">
        <v>2018.0</v>
      </c>
      <c r="K2167" s="1">
        <v>81.0</v>
      </c>
      <c r="L2167" s="1" t="s">
        <v>141</v>
      </c>
      <c r="M2167" s="1" t="s">
        <v>8705</v>
      </c>
      <c r="N2167" s="1" t="s">
        <v>43</v>
      </c>
      <c r="O2167" s="1" t="s">
        <v>49</v>
      </c>
      <c r="P2167" s="1" t="s">
        <v>8706</v>
      </c>
    </row>
    <row r="2168" ht="14.25" customHeight="1">
      <c r="A2168" s="1" t="s">
        <v>8707</v>
      </c>
      <c r="B2168" s="1" t="s">
        <v>8708</v>
      </c>
      <c r="C2168" s="1" t="s">
        <v>39</v>
      </c>
      <c r="D2168" s="1">
        <v>88216.0</v>
      </c>
      <c r="E2168" s="1" t="s">
        <v>77</v>
      </c>
      <c r="F2168" s="1" t="s">
        <v>41</v>
      </c>
      <c r="G2168" s="1" t="s">
        <v>55</v>
      </c>
      <c r="H2168" s="2">
        <v>3444.0</v>
      </c>
      <c r="I2168" s="2">
        <v>2503.0</v>
      </c>
      <c r="J2168" s="1">
        <v>1954.0</v>
      </c>
      <c r="K2168" s="1">
        <v>106.0</v>
      </c>
      <c r="L2168" s="1" t="s">
        <v>22</v>
      </c>
      <c r="M2168" s="1" t="s">
        <v>8709</v>
      </c>
      <c r="N2168" s="1" t="s">
        <v>34</v>
      </c>
      <c r="O2168" s="1" t="s">
        <v>35</v>
      </c>
      <c r="P2168" s="1" t="s">
        <v>8710</v>
      </c>
    </row>
    <row r="2169" ht="14.25" customHeight="1">
      <c r="A2169" s="1" t="s">
        <v>8711</v>
      </c>
      <c r="B2169" s="1" t="s">
        <v>8712</v>
      </c>
      <c r="C2169" s="1" t="s">
        <v>18</v>
      </c>
      <c r="D2169" s="1">
        <v>90147.0</v>
      </c>
      <c r="E2169" s="1" t="s">
        <v>77</v>
      </c>
      <c r="F2169" s="1" t="s">
        <v>20</v>
      </c>
      <c r="G2169" s="1" t="s">
        <v>21</v>
      </c>
      <c r="H2169" s="2">
        <v>2429.0</v>
      </c>
      <c r="I2169" s="2">
        <v>4992.0</v>
      </c>
      <c r="J2169" s="1">
        <v>1971.0</v>
      </c>
      <c r="K2169" s="1">
        <v>64.0</v>
      </c>
      <c r="L2169" s="1" t="s">
        <v>22</v>
      </c>
      <c r="M2169" s="1" t="s">
        <v>8713</v>
      </c>
      <c r="N2169" s="1" t="s">
        <v>34</v>
      </c>
      <c r="O2169" s="1" t="s">
        <v>49</v>
      </c>
      <c r="P2169" s="1" t="s">
        <v>8714</v>
      </c>
    </row>
    <row r="2170" ht="14.25" customHeight="1">
      <c r="A2170" s="1" t="s">
        <v>8715</v>
      </c>
      <c r="B2170" s="1" t="s">
        <v>8716</v>
      </c>
      <c r="C2170" s="1" t="s">
        <v>39</v>
      </c>
      <c r="D2170" s="1">
        <v>91809.0</v>
      </c>
      <c r="E2170" s="1" t="s">
        <v>77</v>
      </c>
      <c r="F2170" s="1" t="s">
        <v>94</v>
      </c>
      <c r="G2170" s="1" t="s">
        <v>55</v>
      </c>
      <c r="H2170" s="2">
        <v>1297.0</v>
      </c>
      <c r="I2170" s="2">
        <v>3698.0</v>
      </c>
      <c r="J2170" s="1">
        <v>1956.0</v>
      </c>
      <c r="K2170" s="1">
        <v>113.0</v>
      </c>
      <c r="L2170" s="1" t="s">
        <v>22</v>
      </c>
      <c r="M2170" s="1" t="s">
        <v>8717</v>
      </c>
      <c r="N2170" s="1" t="s">
        <v>43</v>
      </c>
      <c r="O2170" s="1" t="s">
        <v>49</v>
      </c>
      <c r="P2170" s="1" t="s">
        <v>8718</v>
      </c>
    </row>
    <row r="2171" ht="14.25" customHeight="1">
      <c r="A2171" s="1" t="s">
        <v>8719</v>
      </c>
      <c r="B2171" s="1" t="s">
        <v>8720</v>
      </c>
      <c r="C2171" s="1" t="s">
        <v>53</v>
      </c>
      <c r="D2171" s="1">
        <v>20151.0</v>
      </c>
      <c r="E2171" s="1" t="s">
        <v>77</v>
      </c>
      <c r="F2171" s="1" t="s">
        <v>41</v>
      </c>
      <c r="G2171" s="1" t="s">
        <v>21</v>
      </c>
      <c r="H2171" s="2">
        <v>2181.0</v>
      </c>
      <c r="I2171" s="2">
        <v>4515.0</v>
      </c>
      <c r="J2171" s="1">
        <v>2015.0</v>
      </c>
      <c r="K2171" s="1">
        <v>3.0</v>
      </c>
      <c r="L2171" s="1" t="s">
        <v>95</v>
      </c>
      <c r="M2171" s="1" t="s">
        <v>8721</v>
      </c>
      <c r="N2171" s="1" t="s">
        <v>43</v>
      </c>
      <c r="O2171" s="1" t="s">
        <v>25</v>
      </c>
      <c r="P2171" s="1" t="s">
        <v>8722</v>
      </c>
    </row>
    <row r="2172" ht="14.25" customHeight="1">
      <c r="A2172" s="1" t="s">
        <v>8723</v>
      </c>
      <c r="B2172" s="1" t="s">
        <v>8724</v>
      </c>
      <c r="C2172" s="1" t="s">
        <v>29</v>
      </c>
      <c r="D2172" s="1">
        <v>68236.0</v>
      </c>
      <c r="E2172" s="1" t="s">
        <v>60</v>
      </c>
      <c r="F2172" s="1" t="s">
        <v>94</v>
      </c>
      <c r="G2172" s="1" t="s">
        <v>100</v>
      </c>
      <c r="H2172" s="2">
        <v>1109.0</v>
      </c>
      <c r="I2172" s="2">
        <v>9449.0</v>
      </c>
      <c r="J2172" s="1">
        <v>2002.0</v>
      </c>
      <c r="K2172" s="1">
        <v>10.0</v>
      </c>
      <c r="L2172" s="1" t="s">
        <v>22</v>
      </c>
      <c r="M2172" s="1" t="s">
        <v>8725</v>
      </c>
      <c r="N2172" s="1" t="s">
        <v>48</v>
      </c>
      <c r="O2172" s="1" t="s">
        <v>49</v>
      </c>
      <c r="P2172" s="1" t="s">
        <v>8726</v>
      </c>
    </row>
    <row r="2173" ht="14.25" customHeight="1">
      <c r="A2173" s="1" t="s">
        <v>8727</v>
      </c>
      <c r="B2173" s="1" t="s">
        <v>8728</v>
      </c>
      <c r="C2173" s="1" t="s">
        <v>18</v>
      </c>
      <c r="D2173" s="1">
        <v>39067.0</v>
      </c>
      <c r="E2173" s="1" t="s">
        <v>30</v>
      </c>
      <c r="F2173" s="1" t="s">
        <v>41</v>
      </c>
      <c r="G2173" s="1" t="s">
        <v>55</v>
      </c>
      <c r="H2173" s="2">
        <v>3898.0</v>
      </c>
      <c r="I2173" s="2">
        <v>2000.0</v>
      </c>
      <c r="J2173" s="1">
        <v>1955.0</v>
      </c>
      <c r="K2173" s="1">
        <v>16.0</v>
      </c>
      <c r="L2173" s="1" t="s">
        <v>62</v>
      </c>
      <c r="M2173" s="1" t="s">
        <v>8729</v>
      </c>
      <c r="N2173" s="1" t="s">
        <v>48</v>
      </c>
      <c r="O2173" s="1" t="s">
        <v>49</v>
      </c>
      <c r="P2173" s="1" t="s">
        <v>8730</v>
      </c>
    </row>
    <row r="2174" ht="14.25" customHeight="1">
      <c r="A2174" s="1" t="s">
        <v>8731</v>
      </c>
      <c r="B2174" s="1" t="s">
        <v>8732</v>
      </c>
      <c r="C2174" s="1" t="s">
        <v>53</v>
      </c>
      <c r="D2174" s="1">
        <v>49782.0</v>
      </c>
      <c r="E2174" s="1" t="s">
        <v>77</v>
      </c>
      <c r="F2174" s="1" t="s">
        <v>20</v>
      </c>
      <c r="G2174" s="1" t="s">
        <v>55</v>
      </c>
      <c r="H2174" s="2">
        <v>3257.0</v>
      </c>
      <c r="I2174" s="2">
        <v>7096.0</v>
      </c>
      <c r="J2174" s="1">
        <v>1998.0</v>
      </c>
      <c r="K2174" s="1">
        <v>39.0</v>
      </c>
      <c r="L2174" s="1" t="s">
        <v>141</v>
      </c>
      <c r="M2174" s="1" t="s">
        <v>8733</v>
      </c>
      <c r="N2174" s="1" t="s">
        <v>64</v>
      </c>
      <c r="O2174" s="1" t="s">
        <v>35</v>
      </c>
      <c r="P2174" s="1" t="s">
        <v>8734</v>
      </c>
    </row>
    <row r="2175" ht="14.25" customHeight="1">
      <c r="A2175" s="1" t="s">
        <v>8735</v>
      </c>
      <c r="B2175" s="1" t="s">
        <v>8736</v>
      </c>
      <c r="C2175" s="1" t="s">
        <v>76</v>
      </c>
      <c r="D2175" s="1">
        <v>12037.0</v>
      </c>
      <c r="E2175" s="1" t="s">
        <v>40</v>
      </c>
      <c r="F2175" s="1" t="s">
        <v>46</v>
      </c>
      <c r="G2175" s="1" t="s">
        <v>100</v>
      </c>
      <c r="H2175" s="2">
        <v>3064.0</v>
      </c>
      <c r="I2175" s="2">
        <v>5829.0</v>
      </c>
      <c r="J2175" s="1">
        <v>2002.0</v>
      </c>
      <c r="K2175" s="1">
        <v>53.0</v>
      </c>
      <c r="L2175" s="1" t="s">
        <v>22</v>
      </c>
      <c r="M2175" s="1" t="s">
        <v>8737</v>
      </c>
      <c r="N2175" s="1" t="s">
        <v>64</v>
      </c>
      <c r="O2175" s="1" t="s">
        <v>49</v>
      </c>
      <c r="P2175" s="1" t="s">
        <v>8738</v>
      </c>
    </row>
    <row r="2176" ht="14.25" customHeight="1">
      <c r="A2176" s="1" t="s">
        <v>8739</v>
      </c>
      <c r="B2176" s="1" t="s">
        <v>8740</v>
      </c>
      <c r="C2176" s="1" t="s">
        <v>39</v>
      </c>
      <c r="D2176" s="1">
        <v>72224.0</v>
      </c>
      <c r="E2176" s="1" t="s">
        <v>19</v>
      </c>
      <c r="F2176" s="1" t="s">
        <v>54</v>
      </c>
      <c r="G2176" s="1" t="s">
        <v>55</v>
      </c>
      <c r="H2176" s="2">
        <v>1723.0</v>
      </c>
      <c r="I2176" s="2">
        <v>4001.0</v>
      </c>
      <c r="J2176" s="1">
        <v>2012.0</v>
      </c>
      <c r="K2176" s="1">
        <v>21.0</v>
      </c>
      <c r="L2176" s="1" t="s">
        <v>95</v>
      </c>
      <c r="M2176" s="1" t="s">
        <v>8741</v>
      </c>
      <c r="N2176" s="1" t="s">
        <v>64</v>
      </c>
      <c r="O2176" s="1" t="s">
        <v>25</v>
      </c>
      <c r="P2176" s="1" t="s">
        <v>8742</v>
      </c>
    </row>
    <row r="2177" ht="14.25" customHeight="1">
      <c r="A2177" s="1" t="s">
        <v>8743</v>
      </c>
      <c r="B2177" s="1" t="s">
        <v>8744</v>
      </c>
      <c r="C2177" s="1" t="s">
        <v>53</v>
      </c>
      <c r="D2177" s="1">
        <v>34706.0</v>
      </c>
      <c r="E2177" s="1" t="s">
        <v>19</v>
      </c>
      <c r="F2177" s="1" t="s">
        <v>54</v>
      </c>
      <c r="G2177" s="1" t="s">
        <v>100</v>
      </c>
      <c r="H2177" s="2">
        <v>651.0</v>
      </c>
      <c r="I2177" s="2">
        <v>8974.0</v>
      </c>
      <c r="J2177" s="1">
        <v>1999.0</v>
      </c>
      <c r="K2177" s="1">
        <v>18.0</v>
      </c>
      <c r="L2177" s="1" t="s">
        <v>95</v>
      </c>
      <c r="M2177" s="1" t="s">
        <v>8745</v>
      </c>
      <c r="N2177" s="1" t="s">
        <v>43</v>
      </c>
      <c r="O2177" s="1" t="s">
        <v>35</v>
      </c>
      <c r="P2177" s="1" t="s">
        <v>8746</v>
      </c>
    </row>
    <row r="2178" ht="14.25" customHeight="1">
      <c r="A2178" s="1" t="s">
        <v>8747</v>
      </c>
      <c r="B2178" s="1" t="s">
        <v>8748</v>
      </c>
      <c r="C2178" s="1" t="s">
        <v>53</v>
      </c>
      <c r="D2178" s="1">
        <v>16982.0</v>
      </c>
      <c r="E2178" s="1" t="s">
        <v>77</v>
      </c>
      <c r="F2178" s="1" t="s">
        <v>54</v>
      </c>
      <c r="G2178" s="1" t="s">
        <v>21</v>
      </c>
      <c r="H2178" s="2">
        <v>3933.0</v>
      </c>
      <c r="I2178" s="2">
        <v>1000.0</v>
      </c>
      <c r="J2178" s="1">
        <v>1981.0</v>
      </c>
      <c r="K2178" s="1">
        <v>28.0</v>
      </c>
      <c r="L2178" s="1" t="s">
        <v>62</v>
      </c>
      <c r="M2178" s="1" t="s">
        <v>8749</v>
      </c>
      <c r="N2178" s="1" t="s">
        <v>24</v>
      </c>
      <c r="O2178" s="1" t="s">
        <v>35</v>
      </c>
      <c r="P2178" s="1" t="s">
        <v>8750</v>
      </c>
    </row>
    <row r="2179" ht="14.25" customHeight="1">
      <c r="A2179" s="1" t="s">
        <v>8751</v>
      </c>
      <c r="B2179" s="1" t="s">
        <v>8752</v>
      </c>
      <c r="C2179" s="1" t="s">
        <v>76</v>
      </c>
      <c r="D2179" s="1">
        <v>35549.0</v>
      </c>
      <c r="E2179" s="1" t="s">
        <v>30</v>
      </c>
      <c r="F2179" s="1" t="s">
        <v>61</v>
      </c>
      <c r="G2179" s="1" t="s">
        <v>21</v>
      </c>
      <c r="H2179" s="2">
        <v>885.0</v>
      </c>
      <c r="I2179" s="2">
        <v>8073.0</v>
      </c>
      <c r="J2179" s="1">
        <v>1957.0</v>
      </c>
      <c r="K2179" s="1">
        <v>89.0</v>
      </c>
      <c r="L2179" s="1" t="s">
        <v>141</v>
      </c>
      <c r="M2179" s="1" t="s">
        <v>8753</v>
      </c>
      <c r="N2179" s="1" t="s">
        <v>43</v>
      </c>
      <c r="O2179" s="1" t="s">
        <v>35</v>
      </c>
      <c r="P2179" s="1" t="s">
        <v>8754</v>
      </c>
    </row>
    <row r="2180" ht="14.25" customHeight="1">
      <c r="A2180" s="1" t="s">
        <v>8755</v>
      </c>
      <c r="B2180" s="1" t="s">
        <v>8756</v>
      </c>
      <c r="C2180" s="1" t="s">
        <v>29</v>
      </c>
      <c r="D2180" s="1">
        <v>85014.0</v>
      </c>
      <c r="E2180" s="1" t="s">
        <v>77</v>
      </c>
      <c r="F2180" s="1" t="s">
        <v>94</v>
      </c>
      <c r="G2180" s="1" t="s">
        <v>55</v>
      </c>
      <c r="H2180" s="2">
        <v>3264.0</v>
      </c>
      <c r="I2180" s="2">
        <v>5699.0</v>
      </c>
      <c r="J2180" s="1">
        <v>1990.0</v>
      </c>
      <c r="K2180" s="1">
        <v>87.0</v>
      </c>
      <c r="L2180" s="1" t="s">
        <v>95</v>
      </c>
      <c r="M2180" s="1" t="s">
        <v>8757</v>
      </c>
      <c r="N2180" s="1" t="s">
        <v>43</v>
      </c>
      <c r="O2180" s="1" t="s">
        <v>35</v>
      </c>
      <c r="P2180" s="1" t="s">
        <v>8758</v>
      </c>
    </row>
    <row r="2181" ht="14.25" customHeight="1">
      <c r="A2181" s="1" t="s">
        <v>8759</v>
      </c>
      <c r="B2181" s="1" t="s">
        <v>8760</v>
      </c>
      <c r="C2181" s="1" t="s">
        <v>29</v>
      </c>
      <c r="D2181" s="1">
        <v>46959.0</v>
      </c>
      <c r="E2181" s="1" t="s">
        <v>40</v>
      </c>
      <c r="F2181" s="1" t="s">
        <v>61</v>
      </c>
      <c r="G2181" s="1" t="s">
        <v>100</v>
      </c>
      <c r="H2181" s="2">
        <v>1836.0</v>
      </c>
      <c r="I2181" s="2">
        <v>2151.0</v>
      </c>
      <c r="J2181" s="1">
        <v>1988.0</v>
      </c>
      <c r="K2181" s="1">
        <v>39.0</v>
      </c>
      <c r="L2181" s="1" t="s">
        <v>22</v>
      </c>
      <c r="M2181" s="1" t="s">
        <v>8761</v>
      </c>
      <c r="N2181" s="1" t="s">
        <v>43</v>
      </c>
      <c r="O2181" s="1" t="s">
        <v>49</v>
      </c>
      <c r="P2181" s="1" t="s">
        <v>8762</v>
      </c>
    </row>
    <row r="2182" ht="14.25" customHeight="1">
      <c r="A2182" s="1" t="s">
        <v>8763</v>
      </c>
      <c r="B2182" s="1" t="s">
        <v>8764</v>
      </c>
      <c r="C2182" s="1" t="s">
        <v>29</v>
      </c>
      <c r="D2182" s="1">
        <v>21860.0</v>
      </c>
      <c r="E2182" s="1" t="s">
        <v>19</v>
      </c>
      <c r="F2182" s="1" t="s">
        <v>54</v>
      </c>
      <c r="G2182" s="1" t="s">
        <v>31</v>
      </c>
      <c r="H2182" s="2">
        <v>2179.0</v>
      </c>
      <c r="I2182" s="2">
        <v>9052.0</v>
      </c>
      <c r="J2182" s="1">
        <v>1979.0</v>
      </c>
      <c r="K2182" s="1">
        <v>100.0</v>
      </c>
      <c r="L2182" s="1" t="s">
        <v>141</v>
      </c>
      <c r="M2182" s="1" t="s">
        <v>8765</v>
      </c>
      <c r="N2182" s="1" t="s">
        <v>34</v>
      </c>
      <c r="O2182" s="1" t="s">
        <v>49</v>
      </c>
      <c r="P2182" s="1" t="s">
        <v>8766</v>
      </c>
    </row>
    <row r="2183" ht="14.25" customHeight="1">
      <c r="A2183" s="1" t="s">
        <v>8767</v>
      </c>
      <c r="B2183" s="1" t="s">
        <v>8768</v>
      </c>
      <c r="C2183" s="1" t="s">
        <v>18</v>
      </c>
      <c r="D2183" s="1">
        <v>93478.0</v>
      </c>
      <c r="E2183" s="1" t="s">
        <v>19</v>
      </c>
      <c r="F2183" s="1" t="s">
        <v>20</v>
      </c>
      <c r="G2183" s="1" t="s">
        <v>100</v>
      </c>
      <c r="H2183" s="2">
        <v>3585.0</v>
      </c>
      <c r="I2183" s="2">
        <v>6337.0</v>
      </c>
      <c r="J2183" s="1">
        <v>1977.0</v>
      </c>
      <c r="K2183" s="1">
        <v>56.0</v>
      </c>
      <c r="L2183" s="1" t="s">
        <v>62</v>
      </c>
      <c r="M2183" s="1" t="s">
        <v>8769</v>
      </c>
      <c r="N2183" s="1" t="s">
        <v>43</v>
      </c>
      <c r="O2183" s="1" t="s">
        <v>35</v>
      </c>
      <c r="P2183" s="1" t="s">
        <v>8770</v>
      </c>
    </row>
    <row r="2184" ht="14.25" customHeight="1">
      <c r="A2184" s="1" t="s">
        <v>8771</v>
      </c>
      <c r="B2184" s="1" t="s">
        <v>8772</v>
      </c>
      <c r="C2184" s="1" t="s">
        <v>29</v>
      </c>
      <c r="D2184" s="1">
        <v>63899.0</v>
      </c>
      <c r="E2184" s="1" t="s">
        <v>19</v>
      </c>
      <c r="F2184" s="1" t="s">
        <v>94</v>
      </c>
      <c r="G2184" s="1" t="s">
        <v>31</v>
      </c>
      <c r="H2184" s="2">
        <v>1484.0</v>
      </c>
      <c r="I2184" s="2">
        <v>1302.0</v>
      </c>
      <c r="J2184" s="1">
        <v>1950.0</v>
      </c>
      <c r="K2184" s="1">
        <v>73.0</v>
      </c>
      <c r="L2184" s="1" t="s">
        <v>141</v>
      </c>
      <c r="M2184" s="1" t="s">
        <v>8773</v>
      </c>
      <c r="N2184" s="1" t="s">
        <v>48</v>
      </c>
      <c r="O2184" s="1" t="s">
        <v>35</v>
      </c>
      <c r="P2184" s="1" t="s">
        <v>8774</v>
      </c>
    </row>
    <row r="2185" ht="14.25" customHeight="1">
      <c r="A2185" s="1" t="s">
        <v>8775</v>
      </c>
      <c r="B2185" s="1" t="s">
        <v>8776</v>
      </c>
      <c r="C2185" s="1" t="s">
        <v>39</v>
      </c>
      <c r="D2185" s="1">
        <v>88464.0</v>
      </c>
      <c r="E2185" s="1" t="s">
        <v>19</v>
      </c>
      <c r="F2185" s="1" t="s">
        <v>20</v>
      </c>
      <c r="G2185" s="1" t="s">
        <v>100</v>
      </c>
      <c r="H2185" s="2">
        <v>3335.0</v>
      </c>
      <c r="I2185" s="2">
        <v>5930.0</v>
      </c>
      <c r="J2185" s="1">
        <v>1991.0</v>
      </c>
      <c r="K2185" s="1">
        <v>78.0</v>
      </c>
      <c r="L2185" s="1" t="s">
        <v>22</v>
      </c>
      <c r="M2185" s="1" t="s">
        <v>8777</v>
      </c>
      <c r="N2185" s="1" t="s">
        <v>64</v>
      </c>
      <c r="O2185" s="1" t="s">
        <v>49</v>
      </c>
      <c r="P2185" s="1" t="s">
        <v>8778</v>
      </c>
    </row>
    <row r="2186" ht="14.25" customHeight="1">
      <c r="A2186" s="1" t="s">
        <v>8779</v>
      </c>
      <c r="B2186" s="1" t="s">
        <v>8780</v>
      </c>
      <c r="C2186" s="1" t="s">
        <v>39</v>
      </c>
      <c r="D2186" s="1">
        <v>36185.0</v>
      </c>
      <c r="E2186" s="1" t="s">
        <v>60</v>
      </c>
      <c r="F2186" s="1" t="s">
        <v>20</v>
      </c>
      <c r="G2186" s="1" t="s">
        <v>55</v>
      </c>
      <c r="H2186" s="2">
        <v>2856.0</v>
      </c>
      <c r="I2186" s="2">
        <v>3603.0</v>
      </c>
      <c r="J2186" s="1">
        <v>2005.0</v>
      </c>
      <c r="K2186" s="1">
        <v>25.0</v>
      </c>
      <c r="L2186" s="1" t="s">
        <v>62</v>
      </c>
      <c r="M2186" s="1" t="s">
        <v>8781</v>
      </c>
      <c r="N2186" s="1" t="s">
        <v>34</v>
      </c>
      <c r="O2186" s="1" t="s">
        <v>35</v>
      </c>
      <c r="P2186" s="1" t="s">
        <v>8782</v>
      </c>
    </row>
    <row r="2187" ht="14.25" customHeight="1">
      <c r="A2187" s="1" t="s">
        <v>8783</v>
      </c>
      <c r="B2187" s="1" t="s">
        <v>8784</v>
      </c>
      <c r="C2187" s="1" t="s">
        <v>53</v>
      </c>
      <c r="D2187" s="1">
        <v>35075.0</v>
      </c>
      <c r="E2187" s="1" t="s">
        <v>60</v>
      </c>
      <c r="F2187" s="1" t="s">
        <v>20</v>
      </c>
      <c r="G2187" s="1" t="s">
        <v>31</v>
      </c>
      <c r="H2187" s="2">
        <v>3967.0</v>
      </c>
      <c r="I2187" s="2">
        <v>5193.0</v>
      </c>
      <c r="J2187" s="1">
        <v>1962.0</v>
      </c>
      <c r="K2187" s="1">
        <v>100.0</v>
      </c>
      <c r="L2187" s="1" t="s">
        <v>62</v>
      </c>
      <c r="M2187" s="1" t="s">
        <v>8785</v>
      </c>
      <c r="N2187" s="1" t="s">
        <v>64</v>
      </c>
      <c r="O2187" s="1" t="s">
        <v>49</v>
      </c>
      <c r="P2187" s="1" t="s">
        <v>8786</v>
      </c>
    </row>
    <row r="2188" ht="14.25" customHeight="1">
      <c r="A2188" s="1" t="s">
        <v>8787</v>
      </c>
      <c r="B2188" s="1" t="s">
        <v>8788</v>
      </c>
      <c r="C2188" s="1" t="s">
        <v>76</v>
      </c>
      <c r="D2188" s="1">
        <v>82166.0</v>
      </c>
      <c r="E2188" s="1" t="s">
        <v>30</v>
      </c>
      <c r="F2188" s="1" t="s">
        <v>94</v>
      </c>
      <c r="G2188" s="1" t="s">
        <v>55</v>
      </c>
      <c r="H2188" s="2">
        <v>2753.0</v>
      </c>
      <c r="I2188" s="2">
        <v>7661.0</v>
      </c>
      <c r="J2188" s="1">
        <v>2004.0</v>
      </c>
      <c r="K2188" s="1">
        <v>118.0</v>
      </c>
      <c r="L2188" s="1" t="s">
        <v>141</v>
      </c>
      <c r="M2188" s="1" t="s">
        <v>8789</v>
      </c>
      <c r="N2188" s="1" t="s">
        <v>34</v>
      </c>
      <c r="O2188" s="1" t="s">
        <v>35</v>
      </c>
      <c r="P2188" s="1" t="s">
        <v>8790</v>
      </c>
    </row>
    <row r="2189" ht="14.25" customHeight="1">
      <c r="A2189" s="1" t="s">
        <v>8791</v>
      </c>
      <c r="B2189" s="1" t="s">
        <v>8792</v>
      </c>
      <c r="C2189" s="1" t="s">
        <v>53</v>
      </c>
      <c r="D2189" s="1">
        <v>19992.0</v>
      </c>
      <c r="E2189" s="1" t="s">
        <v>40</v>
      </c>
      <c r="F2189" s="1" t="s">
        <v>41</v>
      </c>
      <c r="G2189" s="1" t="s">
        <v>31</v>
      </c>
      <c r="H2189" s="2">
        <v>3060.0</v>
      </c>
      <c r="I2189" s="2">
        <v>9324.0</v>
      </c>
      <c r="J2189" s="1">
        <v>1990.0</v>
      </c>
      <c r="K2189" s="1">
        <v>109.0</v>
      </c>
      <c r="L2189" s="1" t="s">
        <v>62</v>
      </c>
      <c r="M2189" s="1" t="s">
        <v>8793</v>
      </c>
      <c r="N2189" s="1" t="s">
        <v>24</v>
      </c>
      <c r="O2189" s="1" t="s">
        <v>49</v>
      </c>
      <c r="P2189" s="1" t="s">
        <v>8794</v>
      </c>
    </row>
    <row r="2190" ht="14.25" customHeight="1">
      <c r="A2190" s="1" t="s">
        <v>8795</v>
      </c>
      <c r="B2190" s="1" t="s">
        <v>8796</v>
      </c>
      <c r="C2190" s="1" t="s">
        <v>53</v>
      </c>
      <c r="D2190" s="1">
        <v>40319.0</v>
      </c>
      <c r="E2190" s="1" t="s">
        <v>77</v>
      </c>
      <c r="F2190" s="1" t="s">
        <v>46</v>
      </c>
      <c r="G2190" s="1" t="s">
        <v>31</v>
      </c>
      <c r="H2190" s="2">
        <v>2271.0</v>
      </c>
      <c r="I2190" s="2">
        <v>9042.0</v>
      </c>
      <c r="J2190" s="1">
        <v>2001.0</v>
      </c>
      <c r="K2190" s="1">
        <v>115.0</v>
      </c>
      <c r="L2190" s="1" t="s">
        <v>141</v>
      </c>
      <c r="M2190" s="1" t="s">
        <v>8797</v>
      </c>
      <c r="N2190" s="1" t="s">
        <v>24</v>
      </c>
      <c r="O2190" s="1" t="s">
        <v>25</v>
      </c>
      <c r="P2190" s="1" t="s">
        <v>8798</v>
      </c>
    </row>
    <row r="2191" ht="14.25" customHeight="1">
      <c r="A2191" s="1" t="s">
        <v>8799</v>
      </c>
      <c r="B2191" s="1" t="s">
        <v>8800</v>
      </c>
      <c r="C2191" s="1" t="s">
        <v>76</v>
      </c>
      <c r="D2191" s="1">
        <v>85572.0</v>
      </c>
      <c r="E2191" s="1" t="s">
        <v>77</v>
      </c>
      <c r="F2191" s="1" t="s">
        <v>94</v>
      </c>
      <c r="G2191" s="1" t="s">
        <v>55</v>
      </c>
      <c r="H2191" s="2">
        <v>1485.0</v>
      </c>
      <c r="I2191" s="2">
        <v>2501.0</v>
      </c>
      <c r="J2191" s="1">
        <v>1994.0</v>
      </c>
      <c r="K2191" s="1">
        <v>105.0</v>
      </c>
      <c r="L2191" s="1" t="s">
        <v>62</v>
      </c>
      <c r="M2191" s="1" t="s">
        <v>8801</v>
      </c>
      <c r="N2191" s="1" t="s">
        <v>34</v>
      </c>
      <c r="O2191" s="1" t="s">
        <v>49</v>
      </c>
      <c r="P2191" s="1" t="s">
        <v>8802</v>
      </c>
    </row>
    <row r="2192" ht="14.25" customHeight="1">
      <c r="A2192" s="1" t="s">
        <v>8803</v>
      </c>
      <c r="B2192" s="1" t="s">
        <v>8804</v>
      </c>
      <c r="C2192" s="1" t="s">
        <v>53</v>
      </c>
      <c r="D2192" s="1">
        <v>61427.0</v>
      </c>
      <c r="E2192" s="1" t="s">
        <v>19</v>
      </c>
      <c r="F2192" s="1" t="s">
        <v>41</v>
      </c>
      <c r="G2192" s="1" t="s">
        <v>21</v>
      </c>
      <c r="H2192" s="2">
        <v>642.0</v>
      </c>
      <c r="I2192" s="2">
        <v>7982.0</v>
      </c>
      <c r="J2192" s="1">
        <v>1974.0</v>
      </c>
      <c r="K2192" s="1">
        <v>109.0</v>
      </c>
      <c r="L2192" s="1" t="s">
        <v>141</v>
      </c>
      <c r="M2192" s="1" t="s">
        <v>8805</v>
      </c>
      <c r="N2192" s="1" t="s">
        <v>34</v>
      </c>
      <c r="O2192" s="1" t="s">
        <v>35</v>
      </c>
      <c r="P2192" s="1" t="s">
        <v>8806</v>
      </c>
    </row>
    <row r="2193" ht="14.25" customHeight="1">
      <c r="A2193" s="1" t="s">
        <v>8807</v>
      </c>
      <c r="B2193" s="1" t="s">
        <v>8808</v>
      </c>
      <c r="C2193" s="1" t="s">
        <v>29</v>
      </c>
      <c r="D2193" s="1">
        <v>21356.0</v>
      </c>
      <c r="E2193" s="1" t="s">
        <v>77</v>
      </c>
      <c r="F2193" s="1" t="s">
        <v>61</v>
      </c>
      <c r="G2193" s="1" t="s">
        <v>21</v>
      </c>
      <c r="H2193" s="2">
        <v>2708.0</v>
      </c>
      <c r="I2193" s="2">
        <v>7698.0</v>
      </c>
      <c r="J2193" s="1">
        <v>1987.0</v>
      </c>
      <c r="K2193" s="1">
        <v>102.0</v>
      </c>
      <c r="L2193" s="1" t="s">
        <v>95</v>
      </c>
      <c r="M2193" s="1" t="s">
        <v>8809</v>
      </c>
      <c r="N2193" s="1" t="s">
        <v>43</v>
      </c>
      <c r="O2193" s="1" t="s">
        <v>35</v>
      </c>
      <c r="P2193" s="1" t="s">
        <v>8810</v>
      </c>
    </row>
    <row r="2194" ht="14.25" customHeight="1">
      <c r="A2194" s="1" t="s">
        <v>8811</v>
      </c>
      <c r="B2194" s="1" t="s">
        <v>8812</v>
      </c>
      <c r="C2194" s="1" t="s">
        <v>53</v>
      </c>
      <c r="D2194" s="1">
        <v>11595.0</v>
      </c>
      <c r="E2194" s="1" t="s">
        <v>77</v>
      </c>
      <c r="F2194" s="1" t="s">
        <v>20</v>
      </c>
      <c r="G2194" s="1" t="s">
        <v>55</v>
      </c>
      <c r="H2194" s="2">
        <v>2507.0</v>
      </c>
      <c r="I2194" s="2">
        <v>6876.0</v>
      </c>
      <c r="J2194" s="1">
        <v>1960.0</v>
      </c>
      <c r="K2194" s="1">
        <v>2.0</v>
      </c>
      <c r="L2194" s="1" t="s">
        <v>141</v>
      </c>
      <c r="M2194" s="1" t="s">
        <v>8813</v>
      </c>
      <c r="N2194" s="1" t="s">
        <v>64</v>
      </c>
      <c r="O2194" s="1" t="s">
        <v>25</v>
      </c>
      <c r="P2194" s="1" t="s">
        <v>8814</v>
      </c>
    </row>
    <row r="2195" ht="14.25" customHeight="1">
      <c r="A2195" s="1" t="s">
        <v>8815</v>
      </c>
      <c r="B2195" s="1" t="s">
        <v>8816</v>
      </c>
      <c r="C2195" s="1" t="s">
        <v>18</v>
      </c>
      <c r="D2195" s="1">
        <v>70713.0</v>
      </c>
      <c r="E2195" s="1" t="s">
        <v>77</v>
      </c>
      <c r="F2195" s="1" t="s">
        <v>94</v>
      </c>
      <c r="G2195" s="1" t="s">
        <v>31</v>
      </c>
      <c r="H2195" s="2">
        <v>3590.0</v>
      </c>
      <c r="I2195" s="2">
        <v>1269.0</v>
      </c>
      <c r="J2195" s="1">
        <v>2007.0</v>
      </c>
      <c r="K2195" s="1">
        <v>108.0</v>
      </c>
      <c r="L2195" s="1" t="s">
        <v>141</v>
      </c>
      <c r="M2195" s="1" t="s">
        <v>8817</v>
      </c>
      <c r="N2195" s="1" t="s">
        <v>48</v>
      </c>
      <c r="O2195" s="1" t="s">
        <v>25</v>
      </c>
      <c r="P2195" s="1" t="s">
        <v>8818</v>
      </c>
    </row>
    <row r="2196" ht="14.25" customHeight="1">
      <c r="A2196" s="1" t="s">
        <v>8819</v>
      </c>
      <c r="B2196" s="1" t="s">
        <v>8820</v>
      </c>
      <c r="C2196" s="1" t="s">
        <v>18</v>
      </c>
      <c r="D2196" s="1">
        <v>42092.0</v>
      </c>
      <c r="E2196" s="1" t="s">
        <v>19</v>
      </c>
      <c r="F2196" s="1" t="s">
        <v>94</v>
      </c>
      <c r="G2196" s="1" t="s">
        <v>31</v>
      </c>
      <c r="H2196" s="2">
        <v>2280.0</v>
      </c>
      <c r="I2196" s="2">
        <v>7286.0</v>
      </c>
      <c r="J2196" s="1">
        <v>1956.0</v>
      </c>
      <c r="K2196" s="1">
        <v>119.0</v>
      </c>
      <c r="L2196" s="1" t="s">
        <v>95</v>
      </c>
      <c r="M2196" s="1" t="s">
        <v>8821</v>
      </c>
      <c r="N2196" s="1" t="s">
        <v>24</v>
      </c>
      <c r="O2196" s="1" t="s">
        <v>35</v>
      </c>
      <c r="P2196" s="1" t="s">
        <v>8822</v>
      </c>
    </row>
    <row r="2197" ht="14.25" customHeight="1">
      <c r="A2197" s="1" t="s">
        <v>8823</v>
      </c>
      <c r="B2197" s="1" t="s">
        <v>8824</v>
      </c>
      <c r="C2197" s="1" t="s">
        <v>53</v>
      </c>
      <c r="D2197" s="1">
        <v>17336.0</v>
      </c>
      <c r="E2197" s="1" t="s">
        <v>60</v>
      </c>
      <c r="F2197" s="1" t="s">
        <v>54</v>
      </c>
      <c r="G2197" s="1" t="s">
        <v>100</v>
      </c>
      <c r="H2197" s="2">
        <v>832.0</v>
      </c>
      <c r="I2197" s="2">
        <v>8827.0</v>
      </c>
      <c r="J2197" s="1">
        <v>1973.0</v>
      </c>
      <c r="K2197" s="1">
        <v>58.0</v>
      </c>
      <c r="L2197" s="1" t="s">
        <v>141</v>
      </c>
      <c r="M2197" s="1" t="s">
        <v>8825</v>
      </c>
      <c r="N2197" s="1" t="s">
        <v>64</v>
      </c>
      <c r="O2197" s="1" t="s">
        <v>49</v>
      </c>
      <c r="P2197" s="1" t="s">
        <v>8826</v>
      </c>
    </row>
    <row r="2198" ht="14.25" customHeight="1">
      <c r="A2198" s="1" t="s">
        <v>8827</v>
      </c>
      <c r="B2198" s="1" t="s">
        <v>8828</v>
      </c>
      <c r="C2198" s="1" t="s">
        <v>53</v>
      </c>
      <c r="D2198" s="1">
        <v>13336.0</v>
      </c>
      <c r="E2198" s="1" t="s">
        <v>77</v>
      </c>
      <c r="F2198" s="1" t="s">
        <v>54</v>
      </c>
      <c r="G2198" s="1" t="s">
        <v>21</v>
      </c>
      <c r="H2198" s="2">
        <v>2882.0</v>
      </c>
      <c r="I2198" s="2">
        <v>3887.0</v>
      </c>
      <c r="J2198" s="1">
        <v>1989.0</v>
      </c>
      <c r="K2198" s="1">
        <v>74.0</v>
      </c>
      <c r="L2198" s="1" t="s">
        <v>32</v>
      </c>
      <c r="M2198" s="1" t="s">
        <v>8829</v>
      </c>
      <c r="N2198" s="1" t="s">
        <v>43</v>
      </c>
      <c r="O2198" s="1" t="s">
        <v>25</v>
      </c>
      <c r="P2198" s="1" t="s">
        <v>8830</v>
      </c>
    </row>
    <row r="2199" ht="14.25" customHeight="1">
      <c r="A2199" s="1" t="s">
        <v>8831</v>
      </c>
      <c r="B2199" s="1" t="s">
        <v>8832</v>
      </c>
      <c r="C2199" s="1" t="s">
        <v>29</v>
      </c>
      <c r="D2199" s="1">
        <v>14695.0</v>
      </c>
      <c r="E2199" s="1" t="s">
        <v>77</v>
      </c>
      <c r="F2199" s="1" t="s">
        <v>41</v>
      </c>
      <c r="G2199" s="1" t="s">
        <v>21</v>
      </c>
      <c r="H2199" s="2">
        <v>1202.0</v>
      </c>
      <c r="I2199" s="2">
        <v>6481.0</v>
      </c>
      <c r="J2199" s="1">
        <v>1975.0</v>
      </c>
      <c r="K2199" s="1">
        <v>28.0</v>
      </c>
      <c r="L2199" s="1" t="s">
        <v>95</v>
      </c>
      <c r="M2199" s="1" t="s">
        <v>8833</v>
      </c>
      <c r="N2199" s="1" t="s">
        <v>48</v>
      </c>
      <c r="O2199" s="1" t="s">
        <v>25</v>
      </c>
      <c r="P2199" s="1" t="s">
        <v>8834</v>
      </c>
    </row>
    <row r="2200" ht="14.25" customHeight="1">
      <c r="A2200" s="1" t="s">
        <v>8835</v>
      </c>
      <c r="B2200" s="1" t="s">
        <v>8836</v>
      </c>
      <c r="C2200" s="1" t="s">
        <v>18</v>
      </c>
      <c r="D2200" s="1">
        <v>71107.0</v>
      </c>
      <c r="E2200" s="1" t="s">
        <v>30</v>
      </c>
      <c r="F2200" s="1" t="s">
        <v>94</v>
      </c>
      <c r="G2200" s="1" t="s">
        <v>55</v>
      </c>
      <c r="H2200" s="2">
        <v>1973.0</v>
      </c>
      <c r="I2200" s="2">
        <v>3867.0</v>
      </c>
      <c r="J2200" s="1">
        <v>1968.0</v>
      </c>
      <c r="K2200" s="1">
        <v>33.0</v>
      </c>
      <c r="L2200" s="1" t="s">
        <v>141</v>
      </c>
      <c r="M2200" s="1" t="s">
        <v>8837</v>
      </c>
      <c r="N2200" s="1" t="s">
        <v>34</v>
      </c>
      <c r="O2200" s="1" t="s">
        <v>35</v>
      </c>
      <c r="P2200" s="1" t="s">
        <v>8838</v>
      </c>
    </row>
    <row r="2201" ht="14.25" customHeight="1">
      <c r="A2201" s="1" t="s">
        <v>8839</v>
      </c>
      <c r="B2201" s="1" t="s">
        <v>8840</v>
      </c>
      <c r="C2201" s="1" t="s">
        <v>29</v>
      </c>
      <c r="D2201" s="1">
        <v>94503.0</v>
      </c>
      <c r="E2201" s="1" t="s">
        <v>19</v>
      </c>
      <c r="F2201" s="1" t="s">
        <v>61</v>
      </c>
      <c r="G2201" s="1" t="s">
        <v>31</v>
      </c>
      <c r="H2201" s="2">
        <v>2302.0</v>
      </c>
      <c r="I2201" s="2">
        <v>2533.0</v>
      </c>
      <c r="J2201" s="1">
        <v>2016.0</v>
      </c>
      <c r="K2201" s="1">
        <v>66.0</v>
      </c>
      <c r="L2201" s="1" t="s">
        <v>22</v>
      </c>
      <c r="M2201" s="1" t="s">
        <v>5927</v>
      </c>
      <c r="N2201" s="1" t="s">
        <v>64</v>
      </c>
      <c r="O2201" s="1" t="s">
        <v>35</v>
      </c>
      <c r="P2201" s="1" t="s">
        <v>8841</v>
      </c>
    </row>
    <row r="2202" ht="14.25" customHeight="1">
      <c r="A2202" s="1" t="s">
        <v>8842</v>
      </c>
      <c r="B2202" s="1" t="s">
        <v>8843</v>
      </c>
      <c r="C2202" s="1" t="s">
        <v>18</v>
      </c>
      <c r="D2202" s="1">
        <v>17198.0</v>
      </c>
      <c r="E2202" s="1" t="s">
        <v>30</v>
      </c>
      <c r="F2202" s="1" t="s">
        <v>54</v>
      </c>
      <c r="G2202" s="1" t="s">
        <v>100</v>
      </c>
      <c r="H2202" s="2">
        <v>1025.0</v>
      </c>
      <c r="I2202" s="2">
        <v>9244.0</v>
      </c>
      <c r="J2202" s="1">
        <v>1997.0</v>
      </c>
      <c r="K2202" s="1">
        <v>1.0</v>
      </c>
      <c r="L2202" s="1" t="s">
        <v>141</v>
      </c>
      <c r="M2202" s="1" t="s">
        <v>8844</v>
      </c>
      <c r="N2202" s="1" t="s">
        <v>48</v>
      </c>
      <c r="O2202" s="1" t="s">
        <v>35</v>
      </c>
      <c r="P2202" s="1" t="s">
        <v>8845</v>
      </c>
    </row>
    <row r="2203" ht="14.25" customHeight="1">
      <c r="A2203" s="1" t="s">
        <v>8846</v>
      </c>
      <c r="B2203" s="1" t="s">
        <v>8847</v>
      </c>
      <c r="C2203" s="1" t="s">
        <v>39</v>
      </c>
      <c r="D2203" s="1">
        <v>48480.0</v>
      </c>
      <c r="E2203" s="1" t="s">
        <v>40</v>
      </c>
      <c r="F2203" s="1" t="s">
        <v>46</v>
      </c>
      <c r="G2203" s="1" t="s">
        <v>21</v>
      </c>
      <c r="H2203" s="2">
        <v>2842.0</v>
      </c>
      <c r="I2203" s="2">
        <v>1614.0</v>
      </c>
      <c r="J2203" s="1">
        <v>1954.0</v>
      </c>
      <c r="K2203" s="1">
        <v>17.0</v>
      </c>
      <c r="L2203" s="1" t="s">
        <v>62</v>
      </c>
      <c r="M2203" s="1" t="s">
        <v>8848</v>
      </c>
      <c r="N2203" s="1" t="s">
        <v>64</v>
      </c>
      <c r="O2203" s="1" t="s">
        <v>35</v>
      </c>
      <c r="P2203" s="1" t="s">
        <v>8849</v>
      </c>
    </row>
    <row r="2204" ht="14.25" customHeight="1">
      <c r="A2204" s="1" t="s">
        <v>8850</v>
      </c>
      <c r="B2204" s="1" t="s">
        <v>8851</v>
      </c>
      <c r="C2204" s="1" t="s">
        <v>29</v>
      </c>
      <c r="D2204" s="1">
        <v>29671.0</v>
      </c>
      <c r="E2204" s="1" t="s">
        <v>40</v>
      </c>
      <c r="F2204" s="1" t="s">
        <v>46</v>
      </c>
      <c r="G2204" s="1" t="s">
        <v>100</v>
      </c>
      <c r="H2204" s="2">
        <v>882.0</v>
      </c>
      <c r="I2204" s="2">
        <v>9978.0</v>
      </c>
      <c r="J2204" s="1">
        <v>2006.0</v>
      </c>
      <c r="K2204" s="1">
        <v>110.0</v>
      </c>
      <c r="L2204" s="1" t="s">
        <v>141</v>
      </c>
      <c r="M2204" s="1" t="s">
        <v>8852</v>
      </c>
      <c r="N2204" s="1" t="s">
        <v>48</v>
      </c>
      <c r="O2204" s="1" t="s">
        <v>25</v>
      </c>
      <c r="P2204" s="1" t="s">
        <v>8853</v>
      </c>
    </row>
    <row r="2205" ht="14.25" customHeight="1">
      <c r="A2205" s="1" t="s">
        <v>8854</v>
      </c>
      <c r="B2205" s="1" t="s">
        <v>8855</v>
      </c>
      <c r="C2205" s="1" t="s">
        <v>53</v>
      </c>
      <c r="D2205" s="1">
        <v>88270.0</v>
      </c>
      <c r="E2205" s="1" t="s">
        <v>40</v>
      </c>
      <c r="F2205" s="1" t="s">
        <v>61</v>
      </c>
      <c r="G2205" s="1" t="s">
        <v>31</v>
      </c>
      <c r="H2205" s="2">
        <v>1402.0</v>
      </c>
      <c r="I2205" s="2">
        <v>8264.0</v>
      </c>
      <c r="J2205" s="1">
        <v>1993.0</v>
      </c>
      <c r="K2205" s="1">
        <v>25.0</v>
      </c>
      <c r="L2205" s="1" t="s">
        <v>95</v>
      </c>
      <c r="M2205" s="1" t="s">
        <v>8856</v>
      </c>
      <c r="N2205" s="1" t="s">
        <v>24</v>
      </c>
      <c r="O2205" s="1" t="s">
        <v>49</v>
      </c>
      <c r="P2205" s="1" t="s">
        <v>8857</v>
      </c>
    </row>
    <row r="2206" ht="14.25" customHeight="1">
      <c r="A2206" s="1" t="s">
        <v>8858</v>
      </c>
      <c r="B2206" s="1" t="s">
        <v>8859</v>
      </c>
      <c r="C2206" s="1" t="s">
        <v>39</v>
      </c>
      <c r="D2206" s="1">
        <v>87952.0</v>
      </c>
      <c r="E2206" s="1" t="s">
        <v>30</v>
      </c>
      <c r="F2206" s="1" t="s">
        <v>54</v>
      </c>
      <c r="G2206" s="1" t="s">
        <v>21</v>
      </c>
      <c r="H2206" s="2">
        <v>3853.0</v>
      </c>
      <c r="I2206" s="2">
        <v>7652.0</v>
      </c>
      <c r="J2206" s="1">
        <v>1991.0</v>
      </c>
      <c r="K2206" s="1">
        <v>77.0</v>
      </c>
      <c r="L2206" s="1" t="s">
        <v>95</v>
      </c>
      <c r="M2206" s="1" t="s">
        <v>8860</v>
      </c>
      <c r="N2206" s="1" t="s">
        <v>64</v>
      </c>
      <c r="O2206" s="1" t="s">
        <v>25</v>
      </c>
      <c r="P2206" s="1" t="s">
        <v>8861</v>
      </c>
    </row>
    <row r="2207" ht="14.25" customHeight="1">
      <c r="A2207" s="1" t="s">
        <v>8862</v>
      </c>
      <c r="B2207" s="1" t="s">
        <v>8863</v>
      </c>
      <c r="C2207" s="1" t="s">
        <v>18</v>
      </c>
      <c r="D2207" s="1">
        <v>74961.0</v>
      </c>
      <c r="E2207" s="1" t="s">
        <v>19</v>
      </c>
      <c r="F2207" s="1" t="s">
        <v>41</v>
      </c>
      <c r="G2207" s="1" t="s">
        <v>100</v>
      </c>
      <c r="H2207" s="2">
        <v>2675.0</v>
      </c>
      <c r="I2207" s="2">
        <v>3186.0</v>
      </c>
      <c r="J2207" s="1">
        <v>2018.0</v>
      </c>
      <c r="K2207" s="1">
        <v>65.0</v>
      </c>
      <c r="L2207" s="1" t="s">
        <v>22</v>
      </c>
      <c r="M2207" s="1" t="s">
        <v>8864</v>
      </c>
      <c r="N2207" s="1" t="s">
        <v>64</v>
      </c>
      <c r="O2207" s="1" t="s">
        <v>25</v>
      </c>
      <c r="P2207" s="1" t="s">
        <v>8865</v>
      </c>
    </row>
    <row r="2208" ht="14.25" customHeight="1">
      <c r="A2208" s="1" t="s">
        <v>8866</v>
      </c>
      <c r="B2208" s="1" t="s">
        <v>8867</v>
      </c>
      <c r="C2208" s="1" t="s">
        <v>76</v>
      </c>
      <c r="D2208" s="1">
        <v>26090.0</v>
      </c>
      <c r="E2208" s="1" t="s">
        <v>40</v>
      </c>
      <c r="F2208" s="1" t="s">
        <v>54</v>
      </c>
      <c r="G2208" s="1" t="s">
        <v>100</v>
      </c>
      <c r="H2208" s="2">
        <v>3443.0</v>
      </c>
      <c r="I2208" s="2">
        <v>6406.0</v>
      </c>
      <c r="J2208" s="1">
        <v>1959.0</v>
      </c>
      <c r="K2208" s="1">
        <v>71.0</v>
      </c>
      <c r="L2208" s="1" t="s">
        <v>32</v>
      </c>
      <c r="M2208" s="1" t="s">
        <v>8868</v>
      </c>
      <c r="N2208" s="1" t="s">
        <v>34</v>
      </c>
      <c r="O2208" s="1" t="s">
        <v>49</v>
      </c>
      <c r="P2208" s="1" t="s">
        <v>8869</v>
      </c>
    </row>
    <row r="2209" ht="14.25" customHeight="1">
      <c r="A2209" s="1" t="s">
        <v>8870</v>
      </c>
      <c r="B2209" s="1" t="s">
        <v>8871</v>
      </c>
      <c r="C2209" s="1" t="s">
        <v>29</v>
      </c>
      <c r="D2209" s="1">
        <v>19990.0</v>
      </c>
      <c r="E2209" s="1" t="s">
        <v>30</v>
      </c>
      <c r="F2209" s="1" t="s">
        <v>94</v>
      </c>
      <c r="G2209" s="1" t="s">
        <v>31</v>
      </c>
      <c r="H2209" s="2">
        <v>936.0</v>
      </c>
      <c r="I2209" s="2">
        <v>7113.0</v>
      </c>
      <c r="J2209" s="1">
        <v>1996.0</v>
      </c>
      <c r="K2209" s="1">
        <v>77.0</v>
      </c>
      <c r="L2209" s="1" t="s">
        <v>95</v>
      </c>
      <c r="M2209" s="1" t="s">
        <v>8872</v>
      </c>
      <c r="N2209" s="1" t="s">
        <v>43</v>
      </c>
      <c r="O2209" s="1" t="s">
        <v>49</v>
      </c>
      <c r="P2209" s="1" t="s">
        <v>8873</v>
      </c>
    </row>
    <row r="2210" ht="14.25" customHeight="1">
      <c r="A2210" s="1" t="s">
        <v>8874</v>
      </c>
      <c r="B2210" s="1" t="s">
        <v>8875</v>
      </c>
      <c r="C2210" s="1" t="s">
        <v>18</v>
      </c>
      <c r="D2210" s="1">
        <v>59100.0</v>
      </c>
      <c r="E2210" s="1" t="s">
        <v>60</v>
      </c>
      <c r="F2210" s="1" t="s">
        <v>94</v>
      </c>
      <c r="G2210" s="1" t="s">
        <v>55</v>
      </c>
      <c r="H2210" s="2">
        <v>2984.0</v>
      </c>
      <c r="I2210" s="2">
        <v>3811.0</v>
      </c>
      <c r="J2210" s="1">
        <v>1955.0</v>
      </c>
      <c r="K2210" s="1">
        <v>105.0</v>
      </c>
      <c r="L2210" s="1" t="s">
        <v>95</v>
      </c>
      <c r="M2210" s="1" t="s">
        <v>8876</v>
      </c>
      <c r="N2210" s="1" t="s">
        <v>34</v>
      </c>
      <c r="O2210" s="1" t="s">
        <v>25</v>
      </c>
      <c r="P2210" s="1" t="s">
        <v>8877</v>
      </c>
    </row>
    <row r="2211" ht="14.25" customHeight="1">
      <c r="A2211" s="1" t="s">
        <v>8878</v>
      </c>
      <c r="B2211" s="1" t="s">
        <v>8879</v>
      </c>
      <c r="C2211" s="1" t="s">
        <v>18</v>
      </c>
      <c r="D2211" s="1">
        <v>69433.0</v>
      </c>
      <c r="E2211" s="1" t="s">
        <v>60</v>
      </c>
      <c r="F2211" s="1" t="s">
        <v>94</v>
      </c>
      <c r="G2211" s="1" t="s">
        <v>100</v>
      </c>
      <c r="H2211" s="2">
        <v>1019.0</v>
      </c>
      <c r="I2211" s="2">
        <v>7710.0</v>
      </c>
      <c r="J2211" s="1">
        <v>2012.0</v>
      </c>
      <c r="K2211" s="1">
        <v>56.0</v>
      </c>
      <c r="L2211" s="1" t="s">
        <v>95</v>
      </c>
      <c r="M2211" s="1" t="s">
        <v>8880</v>
      </c>
      <c r="N2211" s="1" t="s">
        <v>34</v>
      </c>
      <c r="O2211" s="1" t="s">
        <v>25</v>
      </c>
      <c r="P2211" s="1" t="s">
        <v>8881</v>
      </c>
    </row>
    <row r="2212" ht="14.25" customHeight="1">
      <c r="A2212" s="1" t="s">
        <v>8882</v>
      </c>
      <c r="B2212" s="1" t="s">
        <v>8883</v>
      </c>
      <c r="C2212" s="1" t="s">
        <v>76</v>
      </c>
      <c r="D2212" s="1">
        <v>52565.0</v>
      </c>
      <c r="E2212" s="1" t="s">
        <v>30</v>
      </c>
      <c r="F2212" s="1" t="s">
        <v>41</v>
      </c>
      <c r="G2212" s="1" t="s">
        <v>100</v>
      </c>
      <c r="H2212" s="2">
        <v>3189.0</v>
      </c>
      <c r="I2212" s="2">
        <v>8223.0</v>
      </c>
      <c r="J2212" s="1">
        <v>1966.0</v>
      </c>
      <c r="K2212" s="1">
        <v>108.0</v>
      </c>
      <c r="L2212" s="1" t="s">
        <v>141</v>
      </c>
      <c r="M2212" s="1" t="s">
        <v>8884</v>
      </c>
      <c r="N2212" s="1" t="s">
        <v>64</v>
      </c>
      <c r="O2212" s="1" t="s">
        <v>35</v>
      </c>
      <c r="P2212" s="1" t="s">
        <v>8885</v>
      </c>
    </row>
    <row r="2213" ht="14.25" customHeight="1">
      <c r="A2213" s="1" t="s">
        <v>8886</v>
      </c>
      <c r="B2213" s="1" t="s">
        <v>8887</v>
      </c>
      <c r="C2213" s="1" t="s">
        <v>76</v>
      </c>
      <c r="D2213" s="1">
        <v>89150.0</v>
      </c>
      <c r="E2213" s="1" t="s">
        <v>40</v>
      </c>
      <c r="F2213" s="1" t="s">
        <v>20</v>
      </c>
      <c r="G2213" s="1" t="s">
        <v>31</v>
      </c>
      <c r="H2213" s="2">
        <v>2574.0</v>
      </c>
      <c r="I2213" s="2">
        <v>5978.0</v>
      </c>
      <c r="J2213" s="1">
        <v>2006.0</v>
      </c>
      <c r="K2213" s="1">
        <v>89.0</v>
      </c>
      <c r="L2213" s="1" t="s">
        <v>22</v>
      </c>
      <c r="M2213" s="1" t="s">
        <v>8888</v>
      </c>
      <c r="N2213" s="1" t="s">
        <v>64</v>
      </c>
      <c r="O2213" s="1" t="s">
        <v>35</v>
      </c>
      <c r="P2213" s="1" t="s">
        <v>8889</v>
      </c>
    </row>
    <row r="2214" ht="14.25" customHeight="1">
      <c r="A2214" s="1" t="s">
        <v>8890</v>
      </c>
      <c r="B2214" s="1" t="s">
        <v>8891</v>
      </c>
      <c r="C2214" s="1" t="s">
        <v>29</v>
      </c>
      <c r="D2214" s="1">
        <v>50468.0</v>
      </c>
      <c r="E2214" s="1" t="s">
        <v>30</v>
      </c>
      <c r="F2214" s="1" t="s">
        <v>94</v>
      </c>
      <c r="G2214" s="1" t="s">
        <v>31</v>
      </c>
      <c r="H2214" s="2">
        <v>3003.0</v>
      </c>
      <c r="I2214" s="2">
        <v>1908.0</v>
      </c>
      <c r="J2214" s="1">
        <v>2014.0</v>
      </c>
      <c r="K2214" s="1">
        <v>118.0</v>
      </c>
      <c r="L2214" s="1" t="s">
        <v>141</v>
      </c>
      <c r="M2214" s="1" t="s">
        <v>8892</v>
      </c>
      <c r="N2214" s="1" t="s">
        <v>34</v>
      </c>
      <c r="O2214" s="1" t="s">
        <v>25</v>
      </c>
      <c r="P2214" s="1" t="s">
        <v>8893</v>
      </c>
    </row>
    <row r="2215" ht="14.25" customHeight="1">
      <c r="A2215" s="1" t="s">
        <v>8894</v>
      </c>
      <c r="B2215" s="1" t="s">
        <v>8895</v>
      </c>
      <c r="C2215" s="1" t="s">
        <v>29</v>
      </c>
      <c r="D2215" s="1">
        <v>91578.0</v>
      </c>
      <c r="E2215" s="1" t="s">
        <v>77</v>
      </c>
      <c r="F2215" s="1" t="s">
        <v>61</v>
      </c>
      <c r="G2215" s="1" t="s">
        <v>31</v>
      </c>
      <c r="H2215" s="2">
        <v>893.0</v>
      </c>
      <c r="I2215" s="2">
        <v>4226.0</v>
      </c>
      <c r="J2215" s="1">
        <v>1951.0</v>
      </c>
      <c r="K2215" s="1">
        <v>94.0</v>
      </c>
      <c r="L2215" s="1" t="s">
        <v>32</v>
      </c>
      <c r="M2215" s="1" t="s">
        <v>8896</v>
      </c>
      <c r="N2215" s="1" t="s">
        <v>34</v>
      </c>
      <c r="O2215" s="1" t="s">
        <v>35</v>
      </c>
      <c r="P2215" s="1" t="s">
        <v>8897</v>
      </c>
    </row>
    <row r="2216" ht="14.25" customHeight="1">
      <c r="A2216" s="1" t="s">
        <v>8898</v>
      </c>
      <c r="B2216" s="1" t="s">
        <v>8899</v>
      </c>
      <c r="C2216" s="1" t="s">
        <v>29</v>
      </c>
      <c r="D2216" s="1">
        <v>26426.0</v>
      </c>
      <c r="E2216" s="1" t="s">
        <v>40</v>
      </c>
      <c r="F2216" s="1" t="s">
        <v>41</v>
      </c>
      <c r="G2216" s="1" t="s">
        <v>55</v>
      </c>
      <c r="H2216" s="2">
        <v>3326.0</v>
      </c>
      <c r="I2216" s="2">
        <v>6511.0</v>
      </c>
      <c r="J2216" s="1">
        <v>2002.0</v>
      </c>
      <c r="K2216" s="1">
        <v>47.0</v>
      </c>
      <c r="L2216" s="1" t="s">
        <v>62</v>
      </c>
      <c r="M2216" s="1" t="s">
        <v>8900</v>
      </c>
      <c r="N2216" s="1" t="s">
        <v>34</v>
      </c>
      <c r="O2216" s="1" t="s">
        <v>35</v>
      </c>
      <c r="P2216" s="1" t="s">
        <v>8901</v>
      </c>
    </row>
    <row r="2217" ht="14.25" customHeight="1">
      <c r="A2217" s="1" t="s">
        <v>8902</v>
      </c>
      <c r="B2217" s="1" t="s">
        <v>8903</v>
      </c>
      <c r="C2217" s="1" t="s">
        <v>76</v>
      </c>
      <c r="D2217" s="1">
        <v>37461.0</v>
      </c>
      <c r="E2217" s="1" t="s">
        <v>40</v>
      </c>
      <c r="F2217" s="1" t="s">
        <v>54</v>
      </c>
      <c r="G2217" s="1" t="s">
        <v>21</v>
      </c>
      <c r="H2217" s="2">
        <v>2754.0</v>
      </c>
      <c r="I2217" s="2">
        <v>2212.0</v>
      </c>
      <c r="J2217" s="1">
        <v>2004.0</v>
      </c>
      <c r="K2217" s="1">
        <v>84.0</v>
      </c>
      <c r="L2217" s="1" t="s">
        <v>141</v>
      </c>
      <c r="M2217" s="1" t="s">
        <v>8904</v>
      </c>
      <c r="N2217" s="1" t="s">
        <v>48</v>
      </c>
      <c r="O2217" s="1" t="s">
        <v>25</v>
      </c>
      <c r="P2217" s="1" t="s">
        <v>8905</v>
      </c>
    </row>
    <row r="2218" ht="14.25" customHeight="1">
      <c r="A2218" s="1" t="s">
        <v>8906</v>
      </c>
      <c r="B2218" s="1" t="s">
        <v>8907</v>
      </c>
      <c r="C2218" s="1" t="s">
        <v>76</v>
      </c>
      <c r="D2218" s="1">
        <v>68470.0</v>
      </c>
      <c r="E2218" s="1" t="s">
        <v>30</v>
      </c>
      <c r="F2218" s="1" t="s">
        <v>41</v>
      </c>
      <c r="G2218" s="1" t="s">
        <v>21</v>
      </c>
      <c r="H2218" s="2">
        <v>3973.0</v>
      </c>
      <c r="I2218" s="2">
        <v>4380.0</v>
      </c>
      <c r="J2218" s="1">
        <v>1969.0</v>
      </c>
      <c r="K2218" s="1">
        <v>118.0</v>
      </c>
      <c r="L2218" s="1" t="s">
        <v>22</v>
      </c>
      <c r="M2218" s="1" t="s">
        <v>8908</v>
      </c>
      <c r="N2218" s="1" t="s">
        <v>34</v>
      </c>
      <c r="O2218" s="1" t="s">
        <v>35</v>
      </c>
      <c r="P2218" s="1" t="s">
        <v>8909</v>
      </c>
    </row>
    <row r="2219" ht="14.25" customHeight="1">
      <c r="A2219" s="1" t="s">
        <v>8910</v>
      </c>
      <c r="B2219" s="1" t="s">
        <v>8911</v>
      </c>
      <c r="C2219" s="1" t="s">
        <v>53</v>
      </c>
      <c r="D2219" s="1">
        <v>19011.0</v>
      </c>
      <c r="E2219" s="1" t="s">
        <v>60</v>
      </c>
      <c r="F2219" s="1" t="s">
        <v>94</v>
      </c>
      <c r="G2219" s="1" t="s">
        <v>31</v>
      </c>
      <c r="H2219" s="2">
        <v>2006.0</v>
      </c>
      <c r="I2219" s="2">
        <v>9486.0</v>
      </c>
      <c r="J2219" s="1">
        <v>1992.0</v>
      </c>
      <c r="K2219" s="1">
        <v>112.0</v>
      </c>
      <c r="L2219" s="1" t="s">
        <v>95</v>
      </c>
      <c r="M2219" s="1" t="s">
        <v>8912</v>
      </c>
      <c r="N2219" s="1" t="s">
        <v>24</v>
      </c>
      <c r="O2219" s="1" t="s">
        <v>35</v>
      </c>
      <c r="P2219" s="1" t="s">
        <v>8913</v>
      </c>
    </row>
    <row r="2220" ht="14.25" customHeight="1">
      <c r="A2220" s="1" t="s">
        <v>8914</v>
      </c>
      <c r="B2220" s="1" t="s">
        <v>8915</v>
      </c>
      <c r="C2220" s="1" t="s">
        <v>53</v>
      </c>
      <c r="D2220" s="1">
        <v>47488.0</v>
      </c>
      <c r="E2220" s="1" t="s">
        <v>77</v>
      </c>
      <c r="F2220" s="1" t="s">
        <v>54</v>
      </c>
      <c r="G2220" s="1" t="s">
        <v>55</v>
      </c>
      <c r="H2220" s="2">
        <v>3975.0</v>
      </c>
      <c r="I2220" s="2">
        <v>5472.0</v>
      </c>
      <c r="J2220" s="1">
        <v>2000.0</v>
      </c>
      <c r="K2220" s="1">
        <v>102.0</v>
      </c>
      <c r="L2220" s="1" t="s">
        <v>95</v>
      </c>
      <c r="M2220" s="1" t="s">
        <v>8916</v>
      </c>
      <c r="N2220" s="1" t="s">
        <v>48</v>
      </c>
      <c r="O2220" s="1" t="s">
        <v>25</v>
      </c>
      <c r="P2220" s="1" t="s">
        <v>8917</v>
      </c>
    </row>
    <row r="2221" ht="14.25" customHeight="1">
      <c r="A2221" s="1" t="s">
        <v>8918</v>
      </c>
      <c r="B2221" s="1" t="s">
        <v>8919</v>
      </c>
      <c r="C2221" s="1" t="s">
        <v>53</v>
      </c>
      <c r="D2221" s="1">
        <v>50049.0</v>
      </c>
      <c r="E2221" s="1" t="s">
        <v>40</v>
      </c>
      <c r="F2221" s="1" t="s">
        <v>41</v>
      </c>
      <c r="G2221" s="1" t="s">
        <v>21</v>
      </c>
      <c r="H2221" s="2">
        <v>1023.0</v>
      </c>
      <c r="I2221" s="2">
        <v>5966.0</v>
      </c>
      <c r="J2221" s="1">
        <v>1989.0</v>
      </c>
      <c r="K2221" s="1">
        <v>39.0</v>
      </c>
      <c r="L2221" s="1" t="s">
        <v>95</v>
      </c>
      <c r="M2221" s="1" t="s">
        <v>8920</v>
      </c>
      <c r="N2221" s="1" t="s">
        <v>43</v>
      </c>
      <c r="O2221" s="1" t="s">
        <v>49</v>
      </c>
      <c r="P2221" s="1" t="s">
        <v>8921</v>
      </c>
    </row>
    <row r="2222" ht="14.25" customHeight="1">
      <c r="A2222" s="1" t="s">
        <v>8922</v>
      </c>
      <c r="B2222" s="1" t="s">
        <v>8923</v>
      </c>
      <c r="C2222" s="1" t="s">
        <v>39</v>
      </c>
      <c r="D2222" s="1">
        <v>52654.0</v>
      </c>
      <c r="E2222" s="1" t="s">
        <v>30</v>
      </c>
      <c r="F2222" s="1" t="s">
        <v>46</v>
      </c>
      <c r="G2222" s="1" t="s">
        <v>100</v>
      </c>
      <c r="H2222" s="2">
        <v>3877.0</v>
      </c>
      <c r="I2222" s="2">
        <v>2422.0</v>
      </c>
      <c r="J2222" s="1">
        <v>2014.0</v>
      </c>
      <c r="K2222" s="1">
        <v>84.0</v>
      </c>
      <c r="L2222" s="1" t="s">
        <v>95</v>
      </c>
      <c r="M2222" s="1" t="s">
        <v>8924</v>
      </c>
      <c r="N2222" s="1" t="s">
        <v>24</v>
      </c>
      <c r="O2222" s="1" t="s">
        <v>35</v>
      </c>
      <c r="P2222" s="1" t="s">
        <v>8925</v>
      </c>
    </row>
    <row r="2223" ht="14.25" customHeight="1">
      <c r="A2223" s="1" t="s">
        <v>8926</v>
      </c>
      <c r="B2223" s="1" t="s">
        <v>8927</v>
      </c>
      <c r="C2223" s="1" t="s">
        <v>39</v>
      </c>
      <c r="D2223" s="1">
        <v>67674.0</v>
      </c>
      <c r="E2223" s="1" t="s">
        <v>40</v>
      </c>
      <c r="F2223" s="1" t="s">
        <v>61</v>
      </c>
      <c r="G2223" s="1" t="s">
        <v>55</v>
      </c>
      <c r="H2223" s="2">
        <v>600.0</v>
      </c>
      <c r="I2223" s="2">
        <v>8315.0</v>
      </c>
      <c r="J2223" s="1">
        <v>1964.0</v>
      </c>
      <c r="K2223" s="1">
        <v>63.0</v>
      </c>
      <c r="L2223" s="1" t="s">
        <v>95</v>
      </c>
      <c r="M2223" s="1" t="s">
        <v>8928</v>
      </c>
      <c r="N2223" s="1" t="s">
        <v>34</v>
      </c>
      <c r="O2223" s="1" t="s">
        <v>49</v>
      </c>
      <c r="P2223" s="1" t="s">
        <v>8929</v>
      </c>
    </row>
    <row r="2224" ht="14.25" customHeight="1">
      <c r="A2224" s="1" t="s">
        <v>8930</v>
      </c>
      <c r="B2224" s="1" t="s">
        <v>8931</v>
      </c>
      <c r="C2224" s="1" t="s">
        <v>18</v>
      </c>
      <c r="D2224" s="1">
        <v>81946.0</v>
      </c>
      <c r="E2224" s="1" t="s">
        <v>40</v>
      </c>
      <c r="F2224" s="1" t="s">
        <v>94</v>
      </c>
      <c r="G2224" s="1" t="s">
        <v>55</v>
      </c>
      <c r="H2224" s="2">
        <v>2935.0</v>
      </c>
      <c r="I2224" s="2">
        <v>3470.0</v>
      </c>
      <c r="J2224" s="1">
        <v>1967.0</v>
      </c>
      <c r="K2224" s="1">
        <v>98.0</v>
      </c>
      <c r="L2224" s="1" t="s">
        <v>141</v>
      </c>
      <c r="M2224" s="1" t="s">
        <v>8932</v>
      </c>
      <c r="N2224" s="1" t="s">
        <v>48</v>
      </c>
      <c r="O2224" s="1" t="s">
        <v>49</v>
      </c>
      <c r="P2224" s="1" t="s">
        <v>8933</v>
      </c>
    </row>
    <row r="2225" ht="14.25" customHeight="1">
      <c r="A2225" s="1" t="s">
        <v>8934</v>
      </c>
      <c r="B2225" s="1" t="s">
        <v>8935</v>
      </c>
      <c r="C2225" s="1" t="s">
        <v>18</v>
      </c>
      <c r="D2225" s="1">
        <v>31872.0</v>
      </c>
      <c r="E2225" s="1" t="s">
        <v>60</v>
      </c>
      <c r="F2225" s="1" t="s">
        <v>41</v>
      </c>
      <c r="G2225" s="1" t="s">
        <v>31</v>
      </c>
      <c r="H2225" s="2">
        <v>1000.0</v>
      </c>
      <c r="I2225" s="2">
        <v>5090.0</v>
      </c>
      <c r="J2225" s="1">
        <v>2008.0</v>
      </c>
      <c r="K2225" s="1">
        <v>104.0</v>
      </c>
      <c r="L2225" s="1" t="s">
        <v>62</v>
      </c>
      <c r="M2225" s="1" t="s">
        <v>8936</v>
      </c>
      <c r="N2225" s="1" t="s">
        <v>24</v>
      </c>
      <c r="O2225" s="1" t="s">
        <v>25</v>
      </c>
      <c r="P2225" s="1" t="s">
        <v>8937</v>
      </c>
    </row>
    <row r="2226" ht="14.25" customHeight="1">
      <c r="A2226" s="1" t="s">
        <v>8938</v>
      </c>
      <c r="B2226" s="1" t="s">
        <v>8939</v>
      </c>
      <c r="C2226" s="1" t="s">
        <v>39</v>
      </c>
      <c r="D2226" s="1">
        <v>19965.0</v>
      </c>
      <c r="E2226" s="1" t="s">
        <v>77</v>
      </c>
      <c r="F2226" s="1" t="s">
        <v>54</v>
      </c>
      <c r="G2226" s="1" t="s">
        <v>21</v>
      </c>
      <c r="H2226" s="2">
        <v>1866.0</v>
      </c>
      <c r="I2226" s="2">
        <v>9073.0</v>
      </c>
      <c r="J2226" s="1">
        <v>2002.0</v>
      </c>
      <c r="K2226" s="1">
        <v>116.0</v>
      </c>
      <c r="L2226" s="1" t="s">
        <v>32</v>
      </c>
      <c r="M2226" s="1" t="s">
        <v>8940</v>
      </c>
      <c r="N2226" s="1" t="s">
        <v>24</v>
      </c>
      <c r="O2226" s="1" t="s">
        <v>49</v>
      </c>
      <c r="P2226" s="1" t="s">
        <v>8941</v>
      </c>
    </row>
    <row r="2227" ht="14.25" customHeight="1">
      <c r="A2227" s="1" t="s">
        <v>8942</v>
      </c>
      <c r="B2227" s="1" t="s">
        <v>8943</v>
      </c>
      <c r="C2227" s="1" t="s">
        <v>76</v>
      </c>
      <c r="D2227" s="1">
        <v>66268.0</v>
      </c>
      <c r="E2227" s="1" t="s">
        <v>60</v>
      </c>
      <c r="F2227" s="1" t="s">
        <v>54</v>
      </c>
      <c r="G2227" s="1" t="s">
        <v>100</v>
      </c>
      <c r="H2227" s="2">
        <v>1750.0</v>
      </c>
      <c r="I2227" s="2">
        <v>9129.0</v>
      </c>
      <c r="J2227" s="1">
        <v>2012.0</v>
      </c>
      <c r="K2227" s="1">
        <v>41.0</v>
      </c>
      <c r="L2227" s="1" t="s">
        <v>32</v>
      </c>
      <c r="M2227" s="1" t="s">
        <v>8944</v>
      </c>
      <c r="N2227" s="1" t="s">
        <v>34</v>
      </c>
      <c r="O2227" s="1" t="s">
        <v>49</v>
      </c>
      <c r="P2227" s="1" t="s">
        <v>8945</v>
      </c>
    </row>
    <row r="2228" ht="14.25" customHeight="1">
      <c r="A2228" s="1" t="s">
        <v>8946</v>
      </c>
      <c r="B2228" s="1" t="s">
        <v>8947</v>
      </c>
      <c r="C2228" s="1" t="s">
        <v>53</v>
      </c>
      <c r="D2228" s="1">
        <v>27879.0</v>
      </c>
      <c r="E2228" s="1" t="s">
        <v>30</v>
      </c>
      <c r="F2228" s="1" t="s">
        <v>46</v>
      </c>
      <c r="G2228" s="1" t="s">
        <v>31</v>
      </c>
      <c r="H2228" s="2">
        <v>3213.0</v>
      </c>
      <c r="I2228" s="2">
        <v>5703.0</v>
      </c>
      <c r="J2228" s="1">
        <v>1962.0</v>
      </c>
      <c r="K2228" s="1">
        <v>119.0</v>
      </c>
      <c r="L2228" s="1" t="s">
        <v>32</v>
      </c>
      <c r="M2228" s="1" t="s">
        <v>8948</v>
      </c>
      <c r="N2228" s="1" t="s">
        <v>24</v>
      </c>
      <c r="O2228" s="1" t="s">
        <v>49</v>
      </c>
      <c r="P2228" s="1" t="s">
        <v>8949</v>
      </c>
    </row>
    <row r="2229" ht="14.25" customHeight="1">
      <c r="A2229" s="1" t="s">
        <v>8950</v>
      </c>
      <c r="B2229" s="1" t="s">
        <v>8951</v>
      </c>
      <c r="C2229" s="1" t="s">
        <v>39</v>
      </c>
      <c r="D2229" s="1">
        <v>55823.0</v>
      </c>
      <c r="E2229" s="1" t="s">
        <v>19</v>
      </c>
      <c r="F2229" s="1" t="s">
        <v>54</v>
      </c>
      <c r="G2229" s="1" t="s">
        <v>21</v>
      </c>
      <c r="H2229" s="2">
        <v>2952.0</v>
      </c>
      <c r="I2229" s="2">
        <v>7959.0</v>
      </c>
      <c r="J2229" s="1">
        <v>1994.0</v>
      </c>
      <c r="K2229" s="1">
        <v>40.0</v>
      </c>
      <c r="L2229" s="1" t="s">
        <v>62</v>
      </c>
      <c r="M2229" s="1" t="s">
        <v>8952</v>
      </c>
      <c r="N2229" s="1" t="s">
        <v>24</v>
      </c>
      <c r="O2229" s="1" t="s">
        <v>25</v>
      </c>
      <c r="P2229" s="1" t="s">
        <v>8953</v>
      </c>
    </row>
    <row r="2230" ht="14.25" customHeight="1">
      <c r="A2230" s="1" t="s">
        <v>8954</v>
      </c>
      <c r="B2230" s="1" t="s">
        <v>8955</v>
      </c>
      <c r="C2230" s="1" t="s">
        <v>39</v>
      </c>
      <c r="D2230" s="1">
        <v>11175.0</v>
      </c>
      <c r="E2230" s="1" t="s">
        <v>77</v>
      </c>
      <c r="F2230" s="1" t="s">
        <v>20</v>
      </c>
      <c r="G2230" s="1" t="s">
        <v>21</v>
      </c>
      <c r="H2230" s="2">
        <v>1372.0</v>
      </c>
      <c r="I2230" s="2">
        <v>1551.0</v>
      </c>
      <c r="J2230" s="1">
        <v>2009.0</v>
      </c>
      <c r="K2230" s="1">
        <v>23.0</v>
      </c>
      <c r="L2230" s="1" t="s">
        <v>95</v>
      </c>
      <c r="M2230" s="1" t="s">
        <v>8956</v>
      </c>
      <c r="N2230" s="1" t="s">
        <v>34</v>
      </c>
      <c r="O2230" s="1" t="s">
        <v>49</v>
      </c>
      <c r="P2230" s="1" t="s">
        <v>8957</v>
      </c>
    </row>
    <row r="2231" ht="14.25" customHeight="1">
      <c r="A2231" s="1" t="s">
        <v>8958</v>
      </c>
      <c r="B2231" s="1" t="s">
        <v>8959</v>
      </c>
      <c r="C2231" s="1" t="s">
        <v>18</v>
      </c>
      <c r="D2231" s="1">
        <v>82188.0</v>
      </c>
      <c r="E2231" s="1" t="s">
        <v>77</v>
      </c>
      <c r="F2231" s="1" t="s">
        <v>94</v>
      </c>
      <c r="G2231" s="1" t="s">
        <v>100</v>
      </c>
      <c r="H2231" s="2">
        <v>1586.0</v>
      </c>
      <c r="I2231" s="2">
        <v>8177.0</v>
      </c>
      <c r="J2231" s="1">
        <v>1980.0</v>
      </c>
      <c r="K2231" s="1">
        <v>52.0</v>
      </c>
      <c r="L2231" s="1" t="s">
        <v>22</v>
      </c>
      <c r="M2231" s="1" t="s">
        <v>8960</v>
      </c>
      <c r="N2231" s="1" t="s">
        <v>48</v>
      </c>
      <c r="O2231" s="1" t="s">
        <v>25</v>
      </c>
      <c r="P2231" s="1" t="s">
        <v>8961</v>
      </c>
    </row>
    <row r="2232" ht="14.25" customHeight="1">
      <c r="A2232" s="1" t="s">
        <v>8962</v>
      </c>
      <c r="B2232" s="1" t="s">
        <v>8963</v>
      </c>
      <c r="C2232" s="1" t="s">
        <v>53</v>
      </c>
      <c r="D2232" s="1">
        <v>49745.0</v>
      </c>
      <c r="E2232" s="1" t="s">
        <v>77</v>
      </c>
      <c r="F2232" s="1" t="s">
        <v>54</v>
      </c>
      <c r="G2232" s="1" t="s">
        <v>21</v>
      </c>
      <c r="H2232" s="2">
        <v>2726.0</v>
      </c>
      <c r="I2232" s="2">
        <v>9685.0</v>
      </c>
      <c r="J2232" s="1">
        <v>2012.0</v>
      </c>
      <c r="K2232" s="1">
        <v>72.0</v>
      </c>
      <c r="L2232" s="1" t="s">
        <v>141</v>
      </c>
      <c r="M2232" s="1" t="s">
        <v>8964</v>
      </c>
      <c r="N2232" s="1" t="s">
        <v>64</v>
      </c>
      <c r="O2232" s="1" t="s">
        <v>49</v>
      </c>
      <c r="P2232" s="1" t="s">
        <v>8965</v>
      </c>
    </row>
    <row r="2233" ht="14.25" customHeight="1">
      <c r="A2233" s="1" t="s">
        <v>8966</v>
      </c>
      <c r="B2233" s="1" t="s">
        <v>8967</v>
      </c>
      <c r="C2233" s="1" t="s">
        <v>76</v>
      </c>
      <c r="D2233" s="1">
        <v>54762.0</v>
      </c>
      <c r="E2233" s="1" t="s">
        <v>77</v>
      </c>
      <c r="F2233" s="1" t="s">
        <v>46</v>
      </c>
      <c r="G2233" s="1" t="s">
        <v>21</v>
      </c>
      <c r="H2233" s="2">
        <v>1695.0</v>
      </c>
      <c r="I2233" s="2">
        <v>7194.0</v>
      </c>
      <c r="J2233" s="1">
        <v>1960.0</v>
      </c>
      <c r="K2233" s="1">
        <v>96.0</v>
      </c>
      <c r="L2233" s="1" t="s">
        <v>32</v>
      </c>
      <c r="M2233" s="1" t="s">
        <v>8968</v>
      </c>
      <c r="N2233" s="1" t="s">
        <v>48</v>
      </c>
      <c r="O2233" s="1" t="s">
        <v>35</v>
      </c>
      <c r="P2233" s="1" t="s">
        <v>8969</v>
      </c>
    </row>
    <row r="2234" ht="14.25" customHeight="1">
      <c r="A2234" s="1" t="s">
        <v>8970</v>
      </c>
      <c r="B2234" s="1" t="s">
        <v>8971</v>
      </c>
      <c r="C2234" s="1" t="s">
        <v>29</v>
      </c>
      <c r="D2234" s="1">
        <v>63254.0</v>
      </c>
      <c r="E2234" s="1" t="s">
        <v>60</v>
      </c>
      <c r="F2234" s="1" t="s">
        <v>61</v>
      </c>
      <c r="G2234" s="1" t="s">
        <v>55</v>
      </c>
      <c r="H2234" s="2">
        <v>1893.0</v>
      </c>
      <c r="I2234" s="2">
        <v>9315.0</v>
      </c>
      <c r="J2234" s="1">
        <v>1975.0</v>
      </c>
      <c r="K2234" s="1">
        <v>95.0</v>
      </c>
      <c r="L2234" s="1" t="s">
        <v>141</v>
      </c>
      <c r="M2234" s="1" t="s">
        <v>8972</v>
      </c>
      <c r="N2234" s="1" t="s">
        <v>34</v>
      </c>
      <c r="O2234" s="1" t="s">
        <v>35</v>
      </c>
      <c r="P2234" s="1" t="s">
        <v>8973</v>
      </c>
    </row>
    <row r="2235" ht="14.25" customHeight="1">
      <c r="A2235" s="1" t="s">
        <v>8974</v>
      </c>
      <c r="B2235" s="1" t="s">
        <v>8975</v>
      </c>
      <c r="C2235" s="1" t="s">
        <v>76</v>
      </c>
      <c r="D2235" s="1">
        <v>48888.0</v>
      </c>
      <c r="E2235" s="1" t="s">
        <v>30</v>
      </c>
      <c r="F2235" s="1" t="s">
        <v>20</v>
      </c>
      <c r="G2235" s="1" t="s">
        <v>100</v>
      </c>
      <c r="H2235" s="2">
        <v>2775.0</v>
      </c>
      <c r="I2235" s="2">
        <v>1100.0</v>
      </c>
      <c r="J2235" s="1">
        <v>1979.0</v>
      </c>
      <c r="K2235" s="1">
        <v>119.0</v>
      </c>
      <c r="L2235" s="1" t="s">
        <v>62</v>
      </c>
      <c r="M2235" s="1" t="s">
        <v>8976</v>
      </c>
      <c r="N2235" s="1" t="s">
        <v>34</v>
      </c>
      <c r="O2235" s="1" t="s">
        <v>49</v>
      </c>
      <c r="P2235" s="1" t="s">
        <v>8977</v>
      </c>
    </row>
    <row r="2236" ht="14.25" customHeight="1">
      <c r="A2236" s="1" t="s">
        <v>8978</v>
      </c>
      <c r="B2236" s="1" t="s">
        <v>8979</v>
      </c>
      <c r="C2236" s="1" t="s">
        <v>29</v>
      </c>
      <c r="D2236" s="1">
        <v>59274.0</v>
      </c>
      <c r="E2236" s="1" t="s">
        <v>19</v>
      </c>
      <c r="F2236" s="1" t="s">
        <v>41</v>
      </c>
      <c r="G2236" s="1" t="s">
        <v>31</v>
      </c>
      <c r="H2236" s="2">
        <v>1784.0</v>
      </c>
      <c r="I2236" s="2">
        <v>3104.0</v>
      </c>
      <c r="J2236" s="1">
        <v>1985.0</v>
      </c>
      <c r="K2236" s="1">
        <v>110.0</v>
      </c>
      <c r="L2236" s="1" t="s">
        <v>32</v>
      </c>
      <c r="M2236" s="1" t="s">
        <v>8980</v>
      </c>
      <c r="N2236" s="1" t="s">
        <v>48</v>
      </c>
      <c r="O2236" s="1" t="s">
        <v>35</v>
      </c>
      <c r="P2236" s="1" t="s">
        <v>8981</v>
      </c>
    </row>
    <row r="2237" ht="14.25" customHeight="1">
      <c r="A2237" s="1" t="s">
        <v>8982</v>
      </c>
      <c r="B2237" s="1" t="s">
        <v>8983</v>
      </c>
      <c r="C2237" s="1" t="s">
        <v>53</v>
      </c>
      <c r="D2237" s="1">
        <v>49328.0</v>
      </c>
      <c r="E2237" s="1" t="s">
        <v>60</v>
      </c>
      <c r="F2237" s="1" t="s">
        <v>61</v>
      </c>
      <c r="G2237" s="1" t="s">
        <v>21</v>
      </c>
      <c r="H2237" s="2">
        <v>2933.0</v>
      </c>
      <c r="I2237" s="2">
        <v>9856.0</v>
      </c>
      <c r="J2237" s="1">
        <v>1958.0</v>
      </c>
      <c r="K2237" s="1">
        <v>14.0</v>
      </c>
      <c r="L2237" s="1" t="s">
        <v>62</v>
      </c>
      <c r="M2237" s="1" t="s">
        <v>8984</v>
      </c>
      <c r="N2237" s="1" t="s">
        <v>43</v>
      </c>
      <c r="O2237" s="1" t="s">
        <v>35</v>
      </c>
      <c r="P2237" s="1" t="s">
        <v>8985</v>
      </c>
    </row>
    <row r="2238" ht="14.25" customHeight="1">
      <c r="A2238" s="1" t="s">
        <v>8986</v>
      </c>
      <c r="B2238" s="1" t="s">
        <v>8987</v>
      </c>
      <c r="C2238" s="1" t="s">
        <v>53</v>
      </c>
      <c r="D2238" s="1">
        <v>33353.0</v>
      </c>
      <c r="E2238" s="1" t="s">
        <v>19</v>
      </c>
      <c r="F2238" s="1" t="s">
        <v>94</v>
      </c>
      <c r="G2238" s="1" t="s">
        <v>55</v>
      </c>
      <c r="H2238" s="2">
        <v>1266.0</v>
      </c>
      <c r="I2238" s="2">
        <v>6775.0</v>
      </c>
      <c r="J2238" s="1">
        <v>2020.0</v>
      </c>
      <c r="K2238" s="1">
        <v>115.0</v>
      </c>
      <c r="L2238" s="1" t="s">
        <v>62</v>
      </c>
      <c r="M2238" s="1" t="s">
        <v>8988</v>
      </c>
      <c r="N2238" s="1" t="s">
        <v>48</v>
      </c>
      <c r="O2238" s="1" t="s">
        <v>49</v>
      </c>
      <c r="P2238" s="1" t="s">
        <v>8989</v>
      </c>
    </row>
    <row r="2239" ht="14.25" customHeight="1">
      <c r="A2239" s="1" t="s">
        <v>8990</v>
      </c>
      <c r="B2239" s="1" t="s">
        <v>8991</v>
      </c>
      <c r="C2239" s="1" t="s">
        <v>76</v>
      </c>
      <c r="D2239" s="1">
        <v>82956.0</v>
      </c>
      <c r="E2239" s="1" t="s">
        <v>40</v>
      </c>
      <c r="F2239" s="1" t="s">
        <v>54</v>
      </c>
      <c r="G2239" s="1" t="s">
        <v>31</v>
      </c>
      <c r="H2239" s="2">
        <v>3034.0</v>
      </c>
      <c r="I2239" s="2">
        <v>1184.0</v>
      </c>
      <c r="J2239" s="1">
        <v>1981.0</v>
      </c>
      <c r="K2239" s="1">
        <v>101.0</v>
      </c>
      <c r="L2239" s="1" t="s">
        <v>32</v>
      </c>
      <c r="M2239" s="1" t="s">
        <v>8992</v>
      </c>
      <c r="N2239" s="1" t="s">
        <v>48</v>
      </c>
      <c r="O2239" s="1" t="s">
        <v>35</v>
      </c>
      <c r="P2239" s="1" t="s">
        <v>8993</v>
      </c>
    </row>
    <row r="2240" ht="14.25" customHeight="1">
      <c r="A2240" s="1" t="s">
        <v>8994</v>
      </c>
      <c r="B2240" s="1" t="s">
        <v>8995</v>
      </c>
      <c r="C2240" s="1" t="s">
        <v>18</v>
      </c>
      <c r="D2240" s="1">
        <v>53119.0</v>
      </c>
      <c r="E2240" s="1" t="s">
        <v>19</v>
      </c>
      <c r="F2240" s="1" t="s">
        <v>41</v>
      </c>
      <c r="G2240" s="1" t="s">
        <v>55</v>
      </c>
      <c r="H2240" s="2">
        <v>1302.0</v>
      </c>
      <c r="I2240" s="2">
        <v>5463.0</v>
      </c>
      <c r="J2240" s="1">
        <v>1963.0</v>
      </c>
      <c r="K2240" s="1">
        <v>47.0</v>
      </c>
      <c r="L2240" s="1" t="s">
        <v>62</v>
      </c>
      <c r="M2240" s="1" t="s">
        <v>8996</v>
      </c>
      <c r="N2240" s="1" t="s">
        <v>24</v>
      </c>
      <c r="O2240" s="1" t="s">
        <v>35</v>
      </c>
      <c r="P2240" s="1" t="s">
        <v>8997</v>
      </c>
    </row>
    <row r="2241" ht="14.25" customHeight="1">
      <c r="A2241" s="1" t="s">
        <v>8998</v>
      </c>
      <c r="B2241" s="1" t="s">
        <v>8999</v>
      </c>
      <c r="C2241" s="1" t="s">
        <v>53</v>
      </c>
      <c r="D2241" s="1">
        <v>36720.0</v>
      </c>
      <c r="E2241" s="1" t="s">
        <v>30</v>
      </c>
      <c r="F2241" s="1" t="s">
        <v>94</v>
      </c>
      <c r="G2241" s="1" t="s">
        <v>21</v>
      </c>
      <c r="H2241" s="2">
        <v>946.0</v>
      </c>
      <c r="I2241" s="2">
        <v>4067.0</v>
      </c>
      <c r="J2241" s="1">
        <v>2003.0</v>
      </c>
      <c r="K2241" s="1">
        <v>60.0</v>
      </c>
      <c r="L2241" s="1" t="s">
        <v>95</v>
      </c>
      <c r="M2241" s="1" t="s">
        <v>9000</v>
      </c>
      <c r="N2241" s="1" t="s">
        <v>48</v>
      </c>
      <c r="O2241" s="1" t="s">
        <v>49</v>
      </c>
      <c r="P2241" s="1" t="s">
        <v>9001</v>
      </c>
    </row>
    <row r="2242" ht="14.25" customHeight="1">
      <c r="A2242" s="1" t="s">
        <v>9002</v>
      </c>
      <c r="B2242" s="1" t="s">
        <v>9003</v>
      </c>
      <c r="C2242" s="1" t="s">
        <v>29</v>
      </c>
      <c r="D2242" s="1">
        <v>58683.0</v>
      </c>
      <c r="E2242" s="1" t="s">
        <v>40</v>
      </c>
      <c r="F2242" s="1" t="s">
        <v>94</v>
      </c>
      <c r="G2242" s="1" t="s">
        <v>55</v>
      </c>
      <c r="H2242" s="2">
        <v>917.0</v>
      </c>
      <c r="I2242" s="2">
        <v>1749.0</v>
      </c>
      <c r="J2242" s="1">
        <v>1963.0</v>
      </c>
      <c r="K2242" s="1">
        <v>61.0</v>
      </c>
      <c r="L2242" s="1" t="s">
        <v>62</v>
      </c>
      <c r="M2242" s="1" t="s">
        <v>9004</v>
      </c>
      <c r="N2242" s="1" t="s">
        <v>64</v>
      </c>
      <c r="O2242" s="1" t="s">
        <v>49</v>
      </c>
      <c r="P2242" s="1" t="s">
        <v>9005</v>
      </c>
    </row>
    <row r="2243" ht="14.25" customHeight="1">
      <c r="A2243" s="1" t="s">
        <v>9006</v>
      </c>
      <c r="B2243" s="1" t="s">
        <v>9007</v>
      </c>
      <c r="C2243" s="1" t="s">
        <v>53</v>
      </c>
      <c r="D2243" s="1">
        <v>53835.0</v>
      </c>
      <c r="E2243" s="1" t="s">
        <v>19</v>
      </c>
      <c r="F2243" s="1" t="s">
        <v>94</v>
      </c>
      <c r="G2243" s="1" t="s">
        <v>100</v>
      </c>
      <c r="H2243" s="2">
        <v>1581.0</v>
      </c>
      <c r="I2243" s="2">
        <v>8211.0</v>
      </c>
      <c r="J2243" s="1">
        <v>1997.0</v>
      </c>
      <c r="K2243" s="1">
        <v>9.0</v>
      </c>
      <c r="L2243" s="1" t="s">
        <v>32</v>
      </c>
      <c r="M2243" s="1" t="s">
        <v>9008</v>
      </c>
      <c r="N2243" s="1" t="s">
        <v>24</v>
      </c>
      <c r="O2243" s="1" t="s">
        <v>25</v>
      </c>
      <c r="P2243" s="1" t="s">
        <v>9009</v>
      </c>
    </row>
    <row r="2244" ht="14.25" customHeight="1">
      <c r="A2244" s="1" t="s">
        <v>9010</v>
      </c>
      <c r="B2244" s="1" t="s">
        <v>9011</v>
      </c>
      <c r="C2244" s="1" t="s">
        <v>39</v>
      </c>
      <c r="D2244" s="1">
        <v>25265.0</v>
      </c>
      <c r="E2244" s="1" t="s">
        <v>19</v>
      </c>
      <c r="F2244" s="1" t="s">
        <v>41</v>
      </c>
      <c r="G2244" s="1" t="s">
        <v>21</v>
      </c>
      <c r="H2244" s="2">
        <v>2841.0</v>
      </c>
      <c r="I2244" s="2">
        <v>2988.0</v>
      </c>
      <c r="J2244" s="1">
        <v>1963.0</v>
      </c>
      <c r="K2244" s="1">
        <v>81.0</v>
      </c>
      <c r="L2244" s="1" t="s">
        <v>32</v>
      </c>
      <c r="M2244" s="1" t="s">
        <v>9012</v>
      </c>
      <c r="N2244" s="1" t="s">
        <v>43</v>
      </c>
      <c r="O2244" s="1" t="s">
        <v>35</v>
      </c>
      <c r="P2244" s="1" t="s">
        <v>9013</v>
      </c>
    </row>
    <row r="2245" ht="14.25" customHeight="1">
      <c r="A2245" s="1" t="s">
        <v>9014</v>
      </c>
      <c r="B2245" s="1" t="s">
        <v>9015</v>
      </c>
      <c r="C2245" s="1" t="s">
        <v>76</v>
      </c>
      <c r="D2245" s="1">
        <v>41817.0</v>
      </c>
      <c r="E2245" s="1" t="s">
        <v>77</v>
      </c>
      <c r="F2245" s="1" t="s">
        <v>61</v>
      </c>
      <c r="G2245" s="1" t="s">
        <v>100</v>
      </c>
      <c r="H2245" s="2">
        <v>3838.0</v>
      </c>
      <c r="I2245" s="2">
        <v>1292.0</v>
      </c>
      <c r="J2245" s="1">
        <v>1983.0</v>
      </c>
      <c r="K2245" s="1">
        <v>43.0</v>
      </c>
      <c r="L2245" s="1" t="s">
        <v>22</v>
      </c>
      <c r="M2245" s="1" t="s">
        <v>9016</v>
      </c>
      <c r="N2245" s="1" t="s">
        <v>43</v>
      </c>
      <c r="O2245" s="1" t="s">
        <v>35</v>
      </c>
      <c r="P2245" s="1" t="s">
        <v>9017</v>
      </c>
    </row>
    <row r="2246" ht="14.25" customHeight="1">
      <c r="A2246" s="1" t="s">
        <v>9018</v>
      </c>
      <c r="B2246" s="1" t="s">
        <v>9019</v>
      </c>
      <c r="C2246" s="1" t="s">
        <v>29</v>
      </c>
      <c r="D2246" s="1">
        <v>59825.0</v>
      </c>
      <c r="E2246" s="1" t="s">
        <v>77</v>
      </c>
      <c r="F2246" s="1" t="s">
        <v>54</v>
      </c>
      <c r="G2246" s="1" t="s">
        <v>21</v>
      </c>
      <c r="H2246" s="2">
        <v>1096.0</v>
      </c>
      <c r="I2246" s="2">
        <v>4175.0</v>
      </c>
      <c r="J2246" s="1">
        <v>2006.0</v>
      </c>
      <c r="K2246" s="1">
        <v>109.0</v>
      </c>
      <c r="L2246" s="1" t="s">
        <v>62</v>
      </c>
      <c r="M2246" s="1" t="s">
        <v>9020</v>
      </c>
      <c r="N2246" s="1" t="s">
        <v>24</v>
      </c>
      <c r="O2246" s="1" t="s">
        <v>35</v>
      </c>
      <c r="P2246" s="1" t="s">
        <v>9021</v>
      </c>
    </row>
    <row r="2247" ht="14.25" customHeight="1">
      <c r="A2247" s="1" t="s">
        <v>9022</v>
      </c>
      <c r="B2247" s="1" t="s">
        <v>9023</v>
      </c>
      <c r="C2247" s="1" t="s">
        <v>29</v>
      </c>
      <c r="D2247" s="1">
        <v>92018.0</v>
      </c>
      <c r="E2247" s="1" t="s">
        <v>60</v>
      </c>
      <c r="F2247" s="1" t="s">
        <v>94</v>
      </c>
      <c r="G2247" s="1" t="s">
        <v>21</v>
      </c>
      <c r="H2247" s="2">
        <v>3420.0</v>
      </c>
      <c r="I2247" s="2">
        <v>7535.0</v>
      </c>
      <c r="J2247" s="1">
        <v>1973.0</v>
      </c>
      <c r="K2247" s="1">
        <v>50.0</v>
      </c>
      <c r="L2247" s="1" t="s">
        <v>95</v>
      </c>
      <c r="M2247" s="1" t="s">
        <v>9024</v>
      </c>
      <c r="N2247" s="1" t="s">
        <v>34</v>
      </c>
      <c r="O2247" s="1" t="s">
        <v>35</v>
      </c>
      <c r="P2247" s="1" t="s">
        <v>9025</v>
      </c>
    </row>
    <row r="2248" ht="14.25" customHeight="1">
      <c r="A2248" s="1" t="s">
        <v>9026</v>
      </c>
      <c r="B2248" s="1" t="s">
        <v>9027</v>
      </c>
      <c r="C2248" s="1" t="s">
        <v>39</v>
      </c>
      <c r="D2248" s="1">
        <v>75619.0</v>
      </c>
      <c r="E2248" s="1" t="s">
        <v>19</v>
      </c>
      <c r="F2248" s="1" t="s">
        <v>94</v>
      </c>
      <c r="G2248" s="1" t="s">
        <v>100</v>
      </c>
      <c r="H2248" s="2">
        <v>1117.0</v>
      </c>
      <c r="I2248" s="2">
        <v>7459.0</v>
      </c>
      <c r="J2248" s="1">
        <v>1968.0</v>
      </c>
      <c r="K2248" s="1">
        <v>112.0</v>
      </c>
      <c r="L2248" s="1" t="s">
        <v>62</v>
      </c>
      <c r="M2248" s="1" t="s">
        <v>9028</v>
      </c>
      <c r="N2248" s="1" t="s">
        <v>48</v>
      </c>
      <c r="O2248" s="1" t="s">
        <v>49</v>
      </c>
      <c r="P2248" s="1" t="s">
        <v>9029</v>
      </c>
    </row>
    <row r="2249" ht="14.25" customHeight="1">
      <c r="A2249" s="1" t="s">
        <v>9030</v>
      </c>
      <c r="B2249" s="1" t="s">
        <v>9031</v>
      </c>
      <c r="C2249" s="1" t="s">
        <v>39</v>
      </c>
      <c r="D2249" s="1">
        <v>80466.0</v>
      </c>
      <c r="E2249" s="1" t="s">
        <v>60</v>
      </c>
      <c r="F2249" s="1" t="s">
        <v>46</v>
      </c>
      <c r="G2249" s="1" t="s">
        <v>55</v>
      </c>
      <c r="H2249" s="2">
        <v>897.0</v>
      </c>
      <c r="I2249" s="2">
        <v>3165.0</v>
      </c>
      <c r="J2249" s="1">
        <v>1992.0</v>
      </c>
      <c r="K2249" s="1">
        <v>102.0</v>
      </c>
      <c r="L2249" s="1" t="s">
        <v>22</v>
      </c>
      <c r="M2249" s="1" t="s">
        <v>9032</v>
      </c>
      <c r="N2249" s="1" t="s">
        <v>48</v>
      </c>
      <c r="O2249" s="1" t="s">
        <v>49</v>
      </c>
      <c r="P2249" s="1" t="s">
        <v>9033</v>
      </c>
    </row>
    <row r="2250" ht="14.25" customHeight="1">
      <c r="A2250" s="1" t="s">
        <v>9034</v>
      </c>
      <c r="B2250" s="1" t="s">
        <v>9035</v>
      </c>
      <c r="C2250" s="1" t="s">
        <v>18</v>
      </c>
      <c r="D2250" s="1">
        <v>18625.0</v>
      </c>
      <c r="E2250" s="1" t="s">
        <v>40</v>
      </c>
      <c r="F2250" s="1" t="s">
        <v>20</v>
      </c>
      <c r="G2250" s="1" t="s">
        <v>21</v>
      </c>
      <c r="H2250" s="2">
        <v>1427.0</v>
      </c>
      <c r="I2250" s="2">
        <v>5638.0</v>
      </c>
      <c r="J2250" s="1">
        <v>2017.0</v>
      </c>
      <c r="K2250" s="1">
        <v>108.0</v>
      </c>
      <c r="L2250" s="1" t="s">
        <v>62</v>
      </c>
      <c r="M2250" s="1" t="s">
        <v>9036</v>
      </c>
      <c r="N2250" s="1" t="s">
        <v>24</v>
      </c>
      <c r="O2250" s="1" t="s">
        <v>49</v>
      </c>
      <c r="P2250" s="1" t="s">
        <v>9037</v>
      </c>
    </row>
    <row r="2251" ht="14.25" customHeight="1">
      <c r="A2251" s="1" t="s">
        <v>9038</v>
      </c>
      <c r="B2251" s="1" t="s">
        <v>9039</v>
      </c>
      <c r="C2251" s="1" t="s">
        <v>76</v>
      </c>
      <c r="D2251" s="1">
        <v>21054.0</v>
      </c>
      <c r="E2251" s="1" t="s">
        <v>40</v>
      </c>
      <c r="F2251" s="1" t="s">
        <v>61</v>
      </c>
      <c r="G2251" s="1" t="s">
        <v>21</v>
      </c>
      <c r="H2251" s="2">
        <v>915.0</v>
      </c>
      <c r="I2251" s="2">
        <v>9654.0</v>
      </c>
      <c r="J2251" s="1">
        <v>1973.0</v>
      </c>
      <c r="K2251" s="1">
        <v>56.0</v>
      </c>
      <c r="L2251" s="1" t="s">
        <v>22</v>
      </c>
      <c r="M2251" s="1" t="s">
        <v>9040</v>
      </c>
      <c r="N2251" s="1" t="s">
        <v>64</v>
      </c>
      <c r="O2251" s="1" t="s">
        <v>49</v>
      </c>
      <c r="P2251" s="1" t="s">
        <v>9041</v>
      </c>
    </row>
    <row r="2252" ht="14.25" customHeight="1">
      <c r="A2252" s="1" t="s">
        <v>9042</v>
      </c>
      <c r="B2252" s="1" t="s">
        <v>9043</v>
      </c>
      <c r="C2252" s="1" t="s">
        <v>18</v>
      </c>
      <c r="D2252" s="1">
        <v>11517.0</v>
      </c>
      <c r="E2252" s="1" t="s">
        <v>40</v>
      </c>
      <c r="F2252" s="1" t="s">
        <v>94</v>
      </c>
      <c r="G2252" s="1" t="s">
        <v>31</v>
      </c>
      <c r="H2252" s="2">
        <v>2423.0</v>
      </c>
      <c r="I2252" s="2">
        <v>4676.0</v>
      </c>
      <c r="J2252" s="1">
        <v>1970.0</v>
      </c>
      <c r="K2252" s="1">
        <v>68.0</v>
      </c>
      <c r="L2252" s="1" t="s">
        <v>95</v>
      </c>
      <c r="M2252" s="1" t="s">
        <v>9044</v>
      </c>
      <c r="N2252" s="1" t="s">
        <v>43</v>
      </c>
      <c r="O2252" s="1" t="s">
        <v>35</v>
      </c>
      <c r="P2252" s="1" t="s">
        <v>9045</v>
      </c>
    </row>
    <row r="2253" ht="14.25" customHeight="1">
      <c r="A2253" s="1" t="s">
        <v>9046</v>
      </c>
      <c r="B2253" s="1" t="s">
        <v>9047</v>
      </c>
      <c r="C2253" s="1" t="s">
        <v>53</v>
      </c>
      <c r="D2253" s="1">
        <v>23456.0</v>
      </c>
      <c r="E2253" s="1" t="s">
        <v>30</v>
      </c>
      <c r="F2253" s="1" t="s">
        <v>54</v>
      </c>
      <c r="G2253" s="1" t="s">
        <v>55</v>
      </c>
      <c r="H2253" s="2">
        <v>1470.0</v>
      </c>
      <c r="I2253" s="2">
        <v>2755.0</v>
      </c>
      <c r="J2253" s="1">
        <v>1952.0</v>
      </c>
      <c r="K2253" s="1">
        <v>27.0</v>
      </c>
      <c r="L2253" s="1" t="s">
        <v>95</v>
      </c>
      <c r="M2253" s="1" t="s">
        <v>9048</v>
      </c>
      <c r="N2253" s="1" t="s">
        <v>24</v>
      </c>
      <c r="O2253" s="1" t="s">
        <v>25</v>
      </c>
      <c r="P2253" s="1" t="s">
        <v>9049</v>
      </c>
    </row>
    <row r="2254" ht="14.25" customHeight="1">
      <c r="A2254" s="1" t="s">
        <v>9050</v>
      </c>
      <c r="B2254" s="1" t="s">
        <v>9051</v>
      </c>
      <c r="C2254" s="1" t="s">
        <v>18</v>
      </c>
      <c r="D2254" s="1">
        <v>56617.0</v>
      </c>
      <c r="E2254" s="1" t="s">
        <v>60</v>
      </c>
      <c r="F2254" s="1" t="s">
        <v>54</v>
      </c>
      <c r="G2254" s="1" t="s">
        <v>100</v>
      </c>
      <c r="H2254" s="2">
        <v>3040.0</v>
      </c>
      <c r="I2254" s="2">
        <v>5352.0</v>
      </c>
      <c r="J2254" s="1">
        <v>1965.0</v>
      </c>
      <c r="K2254" s="1">
        <v>73.0</v>
      </c>
      <c r="L2254" s="1" t="s">
        <v>22</v>
      </c>
      <c r="M2254" s="1" t="s">
        <v>9052</v>
      </c>
      <c r="N2254" s="1" t="s">
        <v>34</v>
      </c>
      <c r="O2254" s="1" t="s">
        <v>49</v>
      </c>
      <c r="P2254" s="1" t="s">
        <v>9053</v>
      </c>
    </row>
    <row r="2255" ht="14.25" customHeight="1">
      <c r="A2255" s="1" t="s">
        <v>9054</v>
      </c>
      <c r="B2255" s="1" t="s">
        <v>9055</v>
      </c>
      <c r="C2255" s="1" t="s">
        <v>18</v>
      </c>
      <c r="D2255" s="1">
        <v>92002.0</v>
      </c>
      <c r="E2255" s="1" t="s">
        <v>30</v>
      </c>
      <c r="F2255" s="1" t="s">
        <v>54</v>
      </c>
      <c r="G2255" s="1" t="s">
        <v>55</v>
      </c>
      <c r="H2255" s="2">
        <v>1959.0</v>
      </c>
      <c r="I2255" s="2">
        <v>2374.0</v>
      </c>
      <c r="J2255" s="1">
        <v>1958.0</v>
      </c>
      <c r="K2255" s="1">
        <v>33.0</v>
      </c>
      <c r="L2255" s="1" t="s">
        <v>22</v>
      </c>
      <c r="M2255" s="1" t="s">
        <v>9056</v>
      </c>
      <c r="N2255" s="1" t="s">
        <v>24</v>
      </c>
      <c r="O2255" s="1" t="s">
        <v>25</v>
      </c>
      <c r="P2255" s="1" t="s">
        <v>9057</v>
      </c>
    </row>
    <row r="2256" ht="14.25" customHeight="1">
      <c r="A2256" s="1" t="s">
        <v>9058</v>
      </c>
      <c r="B2256" s="1" t="s">
        <v>9059</v>
      </c>
      <c r="C2256" s="1" t="s">
        <v>53</v>
      </c>
      <c r="D2256" s="1">
        <v>73223.0</v>
      </c>
      <c r="E2256" s="1" t="s">
        <v>40</v>
      </c>
      <c r="F2256" s="1" t="s">
        <v>41</v>
      </c>
      <c r="G2256" s="1" t="s">
        <v>55</v>
      </c>
      <c r="H2256" s="2">
        <v>3736.0</v>
      </c>
      <c r="I2256" s="2">
        <v>4449.0</v>
      </c>
      <c r="J2256" s="1">
        <v>1957.0</v>
      </c>
      <c r="K2256" s="1">
        <v>107.0</v>
      </c>
      <c r="L2256" s="1" t="s">
        <v>95</v>
      </c>
      <c r="M2256" s="1" t="s">
        <v>9060</v>
      </c>
      <c r="N2256" s="1" t="s">
        <v>43</v>
      </c>
      <c r="O2256" s="1" t="s">
        <v>49</v>
      </c>
      <c r="P2256" s="1" t="s">
        <v>9061</v>
      </c>
    </row>
    <row r="2257" ht="14.25" customHeight="1">
      <c r="A2257" s="1" t="s">
        <v>9062</v>
      </c>
      <c r="B2257" s="1" t="s">
        <v>9063</v>
      </c>
      <c r="C2257" s="1" t="s">
        <v>76</v>
      </c>
      <c r="D2257" s="1">
        <v>84862.0</v>
      </c>
      <c r="E2257" s="1" t="s">
        <v>77</v>
      </c>
      <c r="F2257" s="1" t="s">
        <v>46</v>
      </c>
      <c r="G2257" s="1" t="s">
        <v>21</v>
      </c>
      <c r="H2257" s="2">
        <v>2815.0</v>
      </c>
      <c r="I2257" s="2">
        <v>8689.0</v>
      </c>
      <c r="J2257" s="1">
        <v>2000.0</v>
      </c>
      <c r="K2257" s="1">
        <v>11.0</v>
      </c>
      <c r="L2257" s="1" t="s">
        <v>141</v>
      </c>
      <c r="M2257" s="1" t="s">
        <v>9064</v>
      </c>
      <c r="N2257" s="1" t="s">
        <v>34</v>
      </c>
      <c r="O2257" s="1" t="s">
        <v>35</v>
      </c>
      <c r="P2257" s="1" t="s">
        <v>9065</v>
      </c>
    </row>
    <row r="2258" ht="14.25" customHeight="1">
      <c r="A2258" s="1" t="s">
        <v>9066</v>
      </c>
      <c r="B2258" s="1" t="s">
        <v>9067</v>
      </c>
      <c r="C2258" s="1" t="s">
        <v>39</v>
      </c>
      <c r="D2258" s="1">
        <v>62364.0</v>
      </c>
      <c r="E2258" s="1" t="s">
        <v>77</v>
      </c>
      <c r="F2258" s="1" t="s">
        <v>94</v>
      </c>
      <c r="G2258" s="1" t="s">
        <v>100</v>
      </c>
      <c r="H2258" s="2">
        <v>1318.0</v>
      </c>
      <c r="I2258" s="2">
        <v>7683.0</v>
      </c>
      <c r="J2258" s="1">
        <v>1987.0</v>
      </c>
      <c r="K2258" s="1">
        <v>66.0</v>
      </c>
      <c r="L2258" s="1" t="s">
        <v>95</v>
      </c>
      <c r="M2258" s="1" t="s">
        <v>9068</v>
      </c>
      <c r="N2258" s="1" t="s">
        <v>64</v>
      </c>
      <c r="O2258" s="1" t="s">
        <v>25</v>
      </c>
      <c r="P2258" s="1" t="s">
        <v>9069</v>
      </c>
    </row>
    <row r="2259" ht="14.25" customHeight="1">
      <c r="A2259" s="1" t="s">
        <v>9070</v>
      </c>
      <c r="B2259" s="1" t="s">
        <v>9071</v>
      </c>
      <c r="C2259" s="1" t="s">
        <v>18</v>
      </c>
      <c r="D2259" s="1">
        <v>13373.0</v>
      </c>
      <c r="E2259" s="1" t="s">
        <v>77</v>
      </c>
      <c r="F2259" s="1" t="s">
        <v>61</v>
      </c>
      <c r="G2259" s="1" t="s">
        <v>55</v>
      </c>
      <c r="H2259" s="2">
        <v>2852.0</v>
      </c>
      <c r="I2259" s="2">
        <v>5892.0</v>
      </c>
      <c r="J2259" s="1">
        <v>1950.0</v>
      </c>
      <c r="K2259" s="1">
        <v>110.0</v>
      </c>
      <c r="L2259" s="1" t="s">
        <v>95</v>
      </c>
      <c r="M2259" s="1" t="s">
        <v>9072</v>
      </c>
      <c r="N2259" s="1" t="s">
        <v>64</v>
      </c>
      <c r="O2259" s="1" t="s">
        <v>49</v>
      </c>
      <c r="P2259" s="1" t="s">
        <v>9073</v>
      </c>
    </row>
    <row r="2260" ht="14.25" customHeight="1">
      <c r="A2260" s="1" t="s">
        <v>9074</v>
      </c>
      <c r="B2260" s="1" t="s">
        <v>9075</v>
      </c>
      <c r="C2260" s="1" t="s">
        <v>18</v>
      </c>
      <c r="D2260" s="1">
        <v>36566.0</v>
      </c>
      <c r="E2260" s="1" t="s">
        <v>30</v>
      </c>
      <c r="F2260" s="1" t="s">
        <v>20</v>
      </c>
      <c r="G2260" s="1" t="s">
        <v>100</v>
      </c>
      <c r="H2260" s="2">
        <v>764.0</v>
      </c>
      <c r="I2260" s="2">
        <v>7932.0</v>
      </c>
      <c r="J2260" s="1">
        <v>1965.0</v>
      </c>
      <c r="K2260" s="1">
        <v>102.0</v>
      </c>
      <c r="L2260" s="1" t="s">
        <v>95</v>
      </c>
      <c r="M2260" s="1" t="s">
        <v>9076</v>
      </c>
      <c r="N2260" s="1" t="s">
        <v>34</v>
      </c>
      <c r="O2260" s="1" t="s">
        <v>49</v>
      </c>
      <c r="P2260" s="1" t="s">
        <v>9077</v>
      </c>
    </row>
    <row r="2261" ht="14.25" customHeight="1">
      <c r="A2261" s="1" t="s">
        <v>9078</v>
      </c>
      <c r="B2261" s="1" t="s">
        <v>9079</v>
      </c>
      <c r="C2261" s="1" t="s">
        <v>39</v>
      </c>
      <c r="D2261" s="1">
        <v>57743.0</v>
      </c>
      <c r="E2261" s="1" t="s">
        <v>30</v>
      </c>
      <c r="F2261" s="1" t="s">
        <v>20</v>
      </c>
      <c r="G2261" s="1" t="s">
        <v>55</v>
      </c>
      <c r="H2261" s="2">
        <v>1629.0</v>
      </c>
      <c r="I2261" s="2">
        <v>9192.0</v>
      </c>
      <c r="J2261" s="1">
        <v>2010.0</v>
      </c>
      <c r="K2261" s="1">
        <v>77.0</v>
      </c>
      <c r="L2261" s="1" t="s">
        <v>22</v>
      </c>
      <c r="M2261" s="1" t="s">
        <v>9080</v>
      </c>
      <c r="N2261" s="1" t="s">
        <v>43</v>
      </c>
      <c r="O2261" s="1" t="s">
        <v>35</v>
      </c>
      <c r="P2261" s="1" t="s">
        <v>9081</v>
      </c>
    </row>
    <row r="2262" ht="14.25" customHeight="1">
      <c r="A2262" s="1" t="s">
        <v>9082</v>
      </c>
      <c r="B2262" s="1" t="s">
        <v>9083</v>
      </c>
      <c r="C2262" s="1" t="s">
        <v>18</v>
      </c>
      <c r="D2262" s="1">
        <v>85988.0</v>
      </c>
      <c r="E2262" s="1" t="s">
        <v>40</v>
      </c>
      <c r="F2262" s="1" t="s">
        <v>61</v>
      </c>
      <c r="G2262" s="1" t="s">
        <v>21</v>
      </c>
      <c r="H2262" s="2">
        <v>3719.0</v>
      </c>
      <c r="I2262" s="2">
        <v>7688.0</v>
      </c>
      <c r="J2262" s="1">
        <v>1959.0</v>
      </c>
      <c r="K2262" s="1">
        <v>52.0</v>
      </c>
      <c r="L2262" s="1" t="s">
        <v>62</v>
      </c>
      <c r="M2262" s="1" t="s">
        <v>9084</v>
      </c>
      <c r="N2262" s="1" t="s">
        <v>48</v>
      </c>
      <c r="O2262" s="1" t="s">
        <v>35</v>
      </c>
      <c r="P2262" s="1" t="s">
        <v>9085</v>
      </c>
    </row>
    <row r="2263" ht="14.25" customHeight="1">
      <c r="A2263" s="1" t="s">
        <v>9086</v>
      </c>
      <c r="B2263" s="1" t="s">
        <v>9087</v>
      </c>
      <c r="C2263" s="1" t="s">
        <v>18</v>
      </c>
      <c r="D2263" s="1">
        <v>60251.0</v>
      </c>
      <c r="E2263" s="1" t="s">
        <v>30</v>
      </c>
      <c r="F2263" s="1" t="s">
        <v>41</v>
      </c>
      <c r="G2263" s="1" t="s">
        <v>31</v>
      </c>
      <c r="H2263" s="2">
        <v>2447.0</v>
      </c>
      <c r="I2263" s="2">
        <v>2798.0</v>
      </c>
      <c r="J2263" s="1">
        <v>2020.0</v>
      </c>
      <c r="K2263" s="1">
        <v>66.0</v>
      </c>
      <c r="L2263" s="1" t="s">
        <v>141</v>
      </c>
      <c r="M2263" s="1" t="s">
        <v>9088</v>
      </c>
      <c r="N2263" s="1" t="s">
        <v>48</v>
      </c>
      <c r="O2263" s="1" t="s">
        <v>35</v>
      </c>
      <c r="P2263" s="1" t="s">
        <v>9089</v>
      </c>
    </row>
    <row r="2264" ht="14.25" customHeight="1">
      <c r="A2264" s="1" t="s">
        <v>9090</v>
      </c>
      <c r="B2264" s="1" t="s">
        <v>9091</v>
      </c>
      <c r="C2264" s="1" t="s">
        <v>39</v>
      </c>
      <c r="D2264" s="1">
        <v>45058.0</v>
      </c>
      <c r="E2264" s="1" t="s">
        <v>40</v>
      </c>
      <c r="F2264" s="1" t="s">
        <v>94</v>
      </c>
      <c r="G2264" s="1" t="s">
        <v>21</v>
      </c>
      <c r="H2264" s="2">
        <v>610.0</v>
      </c>
      <c r="I2264" s="2">
        <v>5225.0</v>
      </c>
      <c r="J2264" s="1">
        <v>2019.0</v>
      </c>
      <c r="K2264" s="1">
        <v>57.0</v>
      </c>
      <c r="L2264" s="1" t="s">
        <v>95</v>
      </c>
      <c r="M2264" s="1" t="s">
        <v>9092</v>
      </c>
      <c r="N2264" s="1" t="s">
        <v>48</v>
      </c>
      <c r="O2264" s="1" t="s">
        <v>25</v>
      </c>
      <c r="P2264" s="1" t="s">
        <v>9093</v>
      </c>
    </row>
    <row r="2265" ht="14.25" customHeight="1">
      <c r="A2265" s="1" t="s">
        <v>9094</v>
      </c>
      <c r="B2265" s="1" t="s">
        <v>9095</v>
      </c>
      <c r="C2265" s="1" t="s">
        <v>29</v>
      </c>
      <c r="D2265" s="1">
        <v>15208.0</v>
      </c>
      <c r="E2265" s="1" t="s">
        <v>77</v>
      </c>
      <c r="F2265" s="1" t="s">
        <v>61</v>
      </c>
      <c r="G2265" s="1" t="s">
        <v>21</v>
      </c>
      <c r="H2265" s="2">
        <v>830.0</v>
      </c>
      <c r="I2265" s="2">
        <v>7568.0</v>
      </c>
      <c r="J2265" s="1">
        <v>1983.0</v>
      </c>
      <c r="K2265" s="1">
        <v>91.0</v>
      </c>
      <c r="L2265" s="1" t="s">
        <v>141</v>
      </c>
      <c r="M2265" s="1" t="s">
        <v>9096</v>
      </c>
      <c r="N2265" s="1" t="s">
        <v>64</v>
      </c>
      <c r="O2265" s="1" t="s">
        <v>25</v>
      </c>
      <c r="P2265" s="1" t="s">
        <v>9097</v>
      </c>
    </row>
    <row r="2266" ht="14.25" customHeight="1">
      <c r="A2266" s="1" t="s">
        <v>9098</v>
      </c>
      <c r="B2266" s="1" t="s">
        <v>9099</v>
      </c>
      <c r="C2266" s="1" t="s">
        <v>18</v>
      </c>
      <c r="D2266" s="1">
        <v>86716.0</v>
      </c>
      <c r="E2266" s="1" t="s">
        <v>60</v>
      </c>
      <c r="F2266" s="1" t="s">
        <v>41</v>
      </c>
      <c r="G2266" s="1" t="s">
        <v>55</v>
      </c>
      <c r="H2266" s="2">
        <v>1773.0</v>
      </c>
      <c r="I2266" s="2">
        <v>6571.0</v>
      </c>
      <c r="J2266" s="1">
        <v>2014.0</v>
      </c>
      <c r="K2266" s="1">
        <v>115.0</v>
      </c>
      <c r="L2266" s="1" t="s">
        <v>22</v>
      </c>
      <c r="M2266" s="1" t="s">
        <v>9100</v>
      </c>
      <c r="N2266" s="1" t="s">
        <v>48</v>
      </c>
      <c r="O2266" s="1" t="s">
        <v>35</v>
      </c>
      <c r="P2266" s="1" t="s">
        <v>9101</v>
      </c>
    </row>
    <row r="2267" ht="14.25" customHeight="1">
      <c r="A2267" s="1" t="s">
        <v>9102</v>
      </c>
      <c r="B2267" s="1" t="s">
        <v>9103</v>
      </c>
      <c r="C2267" s="1" t="s">
        <v>29</v>
      </c>
      <c r="D2267" s="1">
        <v>79869.0</v>
      </c>
      <c r="E2267" s="1" t="s">
        <v>19</v>
      </c>
      <c r="F2267" s="1" t="s">
        <v>20</v>
      </c>
      <c r="G2267" s="1" t="s">
        <v>21</v>
      </c>
      <c r="H2267" s="2">
        <v>3185.0</v>
      </c>
      <c r="I2267" s="2">
        <v>4105.0</v>
      </c>
      <c r="J2267" s="1">
        <v>2014.0</v>
      </c>
      <c r="K2267" s="1">
        <v>63.0</v>
      </c>
      <c r="L2267" s="1" t="s">
        <v>22</v>
      </c>
      <c r="M2267" s="1" t="s">
        <v>9104</v>
      </c>
      <c r="N2267" s="1" t="s">
        <v>24</v>
      </c>
      <c r="O2267" s="1" t="s">
        <v>49</v>
      </c>
      <c r="P2267" s="1" t="s">
        <v>9105</v>
      </c>
    </row>
    <row r="2268" ht="14.25" customHeight="1">
      <c r="A2268" s="1" t="s">
        <v>9106</v>
      </c>
      <c r="B2268" s="1" t="s">
        <v>9107</v>
      </c>
      <c r="C2268" s="1" t="s">
        <v>39</v>
      </c>
      <c r="D2268" s="1">
        <v>96802.0</v>
      </c>
      <c r="E2268" s="1" t="s">
        <v>60</v>
      </c>
      <c r="F2268" s="1" t="s">
        <v>94</v>
      </c>
      <c r="G2268" s="1" t="s">
        <v>21</v>
      </c>
      <c r="H2268" s="2">
        <v>3497.0</v>
      </c>
      <c r="I2268" s="2">
        <v>8061.0</v>
      </c>
      <c r="J2268" s="1">
        <v>2015.0</v>
      </c>
      <c r="K2268" s="1">
        <v>109.0</v>
      </c>
      <c r="L2268" s="1" t="s">
        <v>95</v>
      </c>
      <c r="M2268" s="1" t="s">
        <v>9108</v>
      </c>
      <c r="N2268" s="1" t="s">
        <v>24</v>
      </c>
      <c r="O2268" s="1" t="s">
        <v>49</v>
      </c>
      <c r="P2268" s="1" t="s">
        <v>9109</v>
      </c>
    </row>
    <row r="2269" ht="14.25" customHeight="1">
      <c r="A2269" s="1" t="s">
        <v>9110</v>
      </c>
      <c r="B2269" s="1" t="s">
        <v>9111</v>
      </c>
      <c r="C2269" s="1" t="s">
        <v>29</v>
      </c>
      <c r="D2269" s="1">
        <v>69172.0</v>
      </c>
      <c r="E2269" s="1" t="s">
        <v>30</v>
      </c>
      <c r="F2269" s="1" t="s">
        <v>54</v>
      </c>
      <c r="G2269" s="1" t="s">
        <v>100</v>
      </c>
      <c r="H2269" s="2">
        <v>1751.0</v>
      </c>
      <c r="I2269" s="2">
        <v>9808.0</v>
      </c>
      <c r="J2269" s="1">
        <v>2020.0</v>
      </c>
      <c r="K2269" s="1">
        <v>39.0</v>
      </c>
      <c r="L2269" s="1" t="s">
        <v>22</v>
      </c>
      <c r="M2269" s="1" t="s">
        <v>9112</v>
      </c>
      <c r="N2269" s="1" t="s">
        <v>24</v>
      </c>
      <c r="O2269" s="1" t="s">
        <v>35</v>
      </c>
      <c r="P2269" s="1" t="s">
        <v>9113</v>
      </c>
    </row>
    <row r="2270" ht="14.25" customHeight="1">
      <c r="A2270" s="1" t="s">
        <v>9114</v>
      </c>
      <c r="B2270" s="1" t="s">
        <v>9115</v>
      </c>
      <c r="C2270" s="1" t="s">
        <v>39</v>
      </c>
      <c r="D2270" s="1">
        <v>52085.0</v>
      </c>
      <c r="E2270" s="1" t="s">
        <v>40</v>
      </c>
      <c r="F2270" s="1" t="s">
        <v>41</v>
      </c>
      <c r="G2270" s="1" t="s">
        <v>100</v>
      </c>
      <c r="H2270" s="2">
        <v>1054.0</v>
      </c>
      <c r="I2270" s="2">
        <v>9111.0</v>
      </c>
      <c r="J2270" s="1">
        <v>1973.0</v>
      </c>
      <c r="K2270" s="1">
        <v>4.0</v>
      </c>
      <c r="L2270" s="1" t="s">
        <v>141</v>
      </c>
      <c r="M2270" s="1" t="s">
        <v>9116</v>
      </c>
      <c r="N2270" s="1" t="s">
        <v>43</v>
      </c>
      <c r="O2270" s="1" t="s">
        <v>49</v>
      </c>
      <c r="P2270" s="1" t="s">
        <v>9117</v>
      </c>
    </row>
    <row r="2271" ht="14.25" customHeight="1">
      <c r="A2271" s="1" t="s">
        <v>9118</v>
      </c>
      <c r="B2271" s="1" t="s">
        <v>9119</v>
      </c>
      <c r="C2271" s="1" t="s">
        <v>18</v>
      </c>
      <c r="D2271" s="1">
        <v>86478.0</v>
      </c>
      <c r="E2271" s="1" t="s">
        <v>40</v>
      </c>
      <c r="F2271" s="1" t="s">
        <v>94</v>
      </c>
      <c r="G2271" s="1" t="s">
        <v>21</v>
      </c>
      <c r="H2271" s="2">
        <v>2680.0</v>
      </c>
      <c r="I2271" s="2">
        <v>8167.0</v>
      </c>
      <c r="J2271" s="1">
        <v>2021.0</v>
      </c>
      <c r="K2271" s="1">
        <v>117.0</v>
      </c>
      <c r="L2271" s="1" t="s">
        <v>32</v>
      </c>
      <c r="M2271" s="1" t="s">
        <v>9120</v>
      </c>
      <c r="N2271" s="1" t="s">
        <v>43</v>
      </c>
      <c r="O2271" s="1" t="s">
        <v>35</v>
      </c>
      <c r="P2271" s="1" t="s">
        <v>9121</v>
      </c>
    </row>
    <row r="2272" ht="14.25" customHeight="1">
      <c r="A2272" s="1" t="s">
        <v>9122</v>
      </c>
      <c r="B2272" s="1" t="s">
        <v>9123</v>
      </c>
      <c r="C2272" s="1" t="s">
        <v>53</v>
      </c>
      <c r="D2272" s="1">
        <v>49058.0</v>
      </c>
      <c r="E2272" s="1" t="s">
        <v>30</v>
      </c>
      <c r="F2272" s="1" t="s">
        <v>46</v>
      </c>
      <c r="G2272" s="1" t="s">
        <v>21</v>
      </c>
      <c r="H2272" s="2">
        <v>2460.0</v>
      </c>
      <c r="I2272" s="2">
        <v>1358.0</v>
      </c>
      <c r="J2272" s="1">
        <v>2010.0</v>
      </c>
      <c r="K2272" s="1">
        <v>26.0</v>
      </c>
      <c r="L2272" s="1" t="s">
        <v>141</v>
      </c>
      <c r="M2272" s="1" t="s">
        <v>9124</v>
      </c>
      <c r="N2272" s="1" t="s">
        <v>48</v>
      </c>
      <c r="O2272" s="1" t="s">
        <v>49</v>
      </c>
      <c r="P2272" s="1" t="s">
        <v>9125</v>
      </c>
    </row>
    <row r="2273" ht="14.25" customHeight="1">
      <c r="A2273" s="1" t="s">
        <v>9126</v>
      </c>
      <c r="B2273" s="1" t="s">
        <v>9127</v>
      </c>
      <c r="C2273" s="1" t="s">
        <v>76</v>
      </c>
      <c r="D2273" s="1">
        <v>44868.0</v>
      </c>
      <c r="E2273" s="1" t="s">
        <v>77</v>
      </c>
      <c r="F2273" s="1" t="s">
        <v>46</v>
      </c>
      <c r="G2273" s="1" t="s">
        <v>55</v>
      </c>
      <c r="H2273" s="2">
        <v>942.0</v>
      </c>
      <c r="I2273" s="2">
        <v>8026.0</v>
      </c>
      <c r="J2273" s="1">
        <v>2007.0</v>
      </c>
      <c r="K2273" s="1">
        <v>49.0</v>
      </c>
      <c r="L2273" s="1" t="s">
        <v>22</v>
      </c>
      <c r="M2273" s="1" t="s">
        <v>9128</v>
      </c>
      <c r="N2273" s="1" t="s">
        <v>24</v>
      </c>
      <c r="O2273" s="1" t="s">
        <v>49</v>
      </c>
      <c r="P2273" s="1" t="s">
        <v>9129</v>
      </c>
    </row>
    <row r="2274" ht="14.25" customHeight="1">
      <c r="A2274" s="1" t="s">
        <v>9130</v>
      </c>
      <c r="B2274" s="1" t="s">
        <v>9131</v>
      </c>
      <c r="C2274" s="1" t="s">
        <v>18</v>
      </c>
      <c r="D2274" s="1">
        <v>58644.0</v>
      </c>
      <c r="E2274" s="1" t="s">
        <v>40</v>
      </c>
      <c r="F2274" s="1" t="s">
        <v>41</v>
      </c>
      <c r="G2274" s="1" t="s">
        <v>31</v>
      </c>
      <c r="H2274" s="2">
        <v>1443.0</v>
      </c>
      <c r="I2274" s="2">
        <v>1918.0</v>
      </c>
      <c r="J2274" s="1">
        <v>1951.0</v>
      </c>
      <c r="K2274" s="1">
        <v>99.0</v>
      </c>
      <c r="L2274" s="1" t="s">
        <v>32</v>
      </c>
      <c r="M2274" s="1" t="s">
        <v>9132</v>
      </c>
      <c r="N2274" s="1" t="s">
        <v>34</v>
      </c>
      <c r="O2274" s="1" t="s">
        <v>49</v>
      </c>
      <c r="P2274" s="1" t="s">
        <v>9133</v>
      </c>
    </row>
    <row r="2275" ht="14.25" customHeight="1">
      <c r="A2275" s="1" t="s">
        <v>9134</v>
      </c>
      <c r="B2275" s="1" t="s">
        <v>9135</v>
      </c>
      <c r="C2275" s="1" t="s">
        <v>39</v>
      </c>
      <c r="D2275" s="1">
        <v>80992.0</v>
      </c>
      <c r="E2275" s="1" t="s">
        <v>40</v>
      </c>
      <c r="F2275" s="1" t="s">
        <v>54</v>
      </c>
      <c r="G2275" s="1" t="s">
        <v>100</v>
      </c>
      <c r="H2275" s="2">
        <v>2762.0</v>
      </c>
      <c r="I2275" s="2">
        <v>5940.0</v>
      </c>
      <c r="J2275" s="1">
        <v>1990.0</v>
      </c>
      <c r="K2275" s="1">
        <v>30.0</v>
      </c>
      <c r="L2275" s="1" t="s">
        <v>95</v>
      </c>
      <c r="M2275" s="1" t="s">
        <v>9136</v>
      </c>
      <c r="N2275" s="1" t="s">
        <v>34</v>
      </c>
      <c r="O2275" s="1" t="s">
        <v>35</v>
      </c>
      <c r="P2275" s="1" t="s">
        <v>9137</v>
      </c>
    </row>
    <row r="2276" ht="14.25" customHeight="1">
      <c r="A2276" s="1" t="s">
        <v>9138</v>
      </c>
      <c r="B2276" s="1" t="s">
        <v>9139</v>
      </c>
      <c r="C2276" s="1" t="s">
        <v>18</v>
      </c>
      <c r="D2276" s="1">
        <v>23325.0</v>
      </c>
      <c r="E2276" s="1" t="s">
        <v>30</v>
      </c>
      <c r="F2276" s="1" t="s">
        <v>54</v>
      </c>
      <c r="G2276" s="1" t="s">
        <v>31</v>
      </c>
      <c r="H2276" s="2">
        <v>715.0</v>
      </c>
      <c r="I2276" s="2">
        <v>4919.0</v>
      </c>
      <c r="J2276" s="1">
        <v>2018.0</v>
      </c>
      <c r="K2276" s="1">
        <v>68.0</v>
      </c>
      <c r="L2276" s="1" t="s">
        <v>32</v>
      </c>
      <c r="M2276" s="1" t="s">
        <v>9140</v>
      </c>
      <c r="N2276" s="1" t="s">
        <v>48</v>
      </c>
      <c r="O2276" s="1" t="s">
        <v>35</v>
      </c>
      <c r="P2276" s="1" t="s">
        <v>9141</v>
      </c>
    </row>
    <row r="2277" ht="14.25" customHeight="1">
      <c r="A2277" s="1" t="s">
        <v>9142</v>
      </c>
      <c r="B2277" s="1" t="s">
        <v>9143</v>
      </c>
      <c r="C2277" s="1" t="s">
        <v>76</v>
      </c>
      <c r="D2277" s="1">
        <v>66767.0</v>
      </c>
      <c r="E2277" s="1" t="s">
        <v>19</v>
      </c>
      <c r="F2277" s="1" t="s">
        <v>54</v>
      </c>
      <c r="G2277" s="1" t="s">
        <v>31</v>
      </c>
      <c r="H2277" s="2">
        <v>693.0</v>
      </c>
      <c r="I2277" s="2">
        <v>5724.0</v>
      </c>
      <c r="J2277" s="1">
        <v>1991.0</v>
      </c>
      <c r="K2277" s="1">
        <v>12.0</v>
      </c>
      <c r="L2277" s="1" t="s">
        <v>141</v>
      </c>
      <c r="M2277" s="1" t="s">
        <v>9144</v>
      </c>
      <c r="N2277" s="1" t="s">
        <v>48</v>
      </c>
      <c r="O2277" s="1" t="s">
        <v>49</v>
      </c>
      <c r="P2277" s="1" t="s">
        <v>9145</v>
      </c>
    </row>
    <row r="2278" ht="14.25" customHeight="1">
      <c r="A2278" s="1" t="s">
        <v>9146</v>
      </c>
      <c r="B2278" s="1" t="s">
        <v>9147</v>
      </c>
      <c r="C2278" s="1" t="s">
        <v>18</v>
      </c>
      <c r="D2278" s="1">
        <v>98218.0</v>
      </c>
      <c r="E2278" s="1" t="s">
        <v>30</v>
      </c>
      <c r="F2278" s="1" t="s">
        <v>54</v>
      </c>
      <c r="G2278" s="1" t="s">
        <v>31</v>
      </c>
      <c r="H2278" s="2">
        <v>2425.0</v>
      </c>
      <c r="I2278" s="2">
        <v>9622.0</v>
      </c>
      <c r="J2278" s="1">
        <v>1958.0</v>
      </c>
      <c r="K2278" s="1">
        <v>102.0</v>
      </c>
      <c r="L2278" s="1" t="s">
        <v>141</v>
      </c>
      <c r="M2278" s="1" t="s">
        <v>9148</v>
      </c>
      <c r="N2278" s="1" t="s">
        <v>43</v>
      </c>
      <c r="O2278" s="1" t="s">
        <v>25</v>
      </c>
      <c r="P2278" s="1" t="s">
        <v>9149</v>
      </c>
    </row>
    <row r="2279" ht="14.25" customHeight="1">
      <c r="A2279" s="1" t="s">
        <v>9150</v>
      </c>
      <c r="B2279" s="1" t="s">
        <v>9151</v>
      </c>
      <c r="C2279" s="1" t="s">
        <v>18</v>
      </c>
      <c r="D2279" s="1">
        <v>60212.0</v>
      </c>
      <c r="E2279" s="1" t="s">
        <v>60</v>
      </c>
      <c r="F2279" s="1" t="s">
        <v>61</v>
      </c>
      <c r="G2279" s="1" t="s">
        <v>100</v>
      </c>
      <c r="H2279" s="2">
        <v>909.0</v>
      </c>
      <c r="I2279" s="2">
        <v>5990.0</v>
      </c>
      <c r="J2279" s="1">
        <v>1953.0</v>
      </c>
      <c r="K2279" s="1">
        <v>70.0</v>
      </c>
      <c r="L2279" s="1" t="s">
        <v>141</v>
      </c>
      <c r="M2279" s="1" t="s">
        <v>9152</v>
      </c>
      <c r="N2279" s="1" t="s">
        <v>24</v>
      </c>
      <c r="O2279" s="1" t="s">
        <v>49</v>
      </c>
      <c r="P2279" s="1" t="s">
        <v>9153</v>
      </c>
    </row>
    <row r="2280" ht="14.25" customHeight="1">
      <c r="A2280" s="1" t="s">
        <v>9154</v>
      </c>
      <c r="B2280" s="1" t="s">
        <v>9155</v>
      </c>
      <c r="C2280" s="1" t="s">
        <v>53</v>
      </c>
      <c r="D2280" s="1">
        <v>88981.0</v>
      </c>
      <c r="E2280" s="1" t="s">
        <v>60</v>
      </c>
      <c r="F2280" s="1" t="s">
        <v>20</v>
      </c>
      <c r="G2280" s="1" t="s">
        <v>31</v>
      </c>
      <c r="H2280" s="2">
        <v>3868.0</v>
      </c>
      <c r="I2280" s="2">
        <v>2315.0</v>
      </c>
      <c r="J2280" s="1">
        <v>1989.0</v>
      </c>
      <c r="K2280" s="1">
        <v>5.0</v>
      </c>
      <c r="L2280" s="1" t="s">
        <v>141</v>
      </c>
      <c r="M2280" s="1" t="s">
        <v>9156</v>
      </c>
      <c r="N2280" s="1" t="s">
        <v>48</v>
      </c>
      <c r="O2280" s="1" t="s">
        <v>49</v>
      </c>
      <c r="P2280" s="1" t="s">
        <v>9157</v>
      </c>
    </row>
    <row r="2281" ht="14.25" customHeight="1">
      <c r="A2281" s="1" t="s">
        <v>9158</v>
      </c>
      <c r="B2281" s="1" t="s">
        <v>9159</v>
      </c>
      <c r="C2281" s="1" t="s">
        <v>39</v>
      </c>
      <c r="D2281" s="1">
        <v>56656.0</v>
      </c>
      <c r="E2281" s="1" t="s">
        <v>77</v>
      </c>
      <c r="F2281" s="1" t="s">
        <v>41</v>
      </c>
      <c r="G2281" s="1" t="s">
        <v>31</v>
      </c>
      <c r="H2281" s="2">
        <v>2522.0</v>
      </c>
      <c r="I2281" s="2">
        <v>9661.0</v>
      </c>
      <c r="J2281" s="1">
        <v>1970.0</v>
      </c>
      <c r="K2281" s="1">
        <v>58.0</v>
      </c>
      <c r="L2281" s="1" t="s">
        <v>141</v>
      </c>
      <c r="M2281" s="1" t="s">
        <v>9160</v>
      </c>
      <c r="N2281" s="1" t="s">
        <v>64</v>
      </c>
      <c r="O2281" s="1" t="s">
        <v>49</v>
      </c>
      <c r="P2281" s="1" t="s">
        <v>9161</v>
      </c>
    </row>
    <row r="2282" ht="14.25" customHeight="1">
      <c r="A2282" s="1" t="s">
        <v>9162</v>
      </c>
      <c r="B2282" s="1" t="s">
        <v>9163</v>
      </c>
      <c r="C2282" s="1" t="s">
        <v>53</v>
      </c>
      <c r="D2282" s="1">
        <v>53119.0</v>
      </c>
      <c r="E2282" s="1" t="s">
        <v>77</v>
      </c>
      <c r="F2282" s="1" t="s">
        <v>46</v>
      </c>
      <c r="G2282" s="1" t="s">
        <v>100</v>
      </c>
      <c r="H2282" s="2">
        <v>3006.0</v>
      </c>
      <c r="I2282" s="2">
        <v>6315.0</v>
      </c>
      <c r="J2282" s="1">
        <v>1990.0</v>
      </c>
      <c r="K2282" s="1">
        <v>55.0</v>
      </c>
      <c r="L2282" s="1" t="s">
        <v>22</v>
      </c>
      <c r="M2282" s="1" t="s">
        <v>9164</v>
      </c>
      <c r="N2282" s="1" t="s">
        <v>48</v>
      </c>
      <c r="O2282" s="1" t="s">
        <v>25</v>
      </c>
      <c r="P2282" s="1" t="s">
        <v>9165</v>
      </c>
    </row>
    <row r="2283" ht="14.25" customHeight="1">
      <c r="A2283" s="1" t="s">
        <v>9166</v>
      </c>
      <c r="B2283" s="1" t="s">
        <v>9167</v>
      </c>
      <c r="C2283" s="1" t="s">
        <v>29</v>
      </c>
      <c r="D2283" s="1">
        <v>81440.0</v>
      </c>
      <c r="E2283" s="1" t="s">
        <v>40</v>
      </c>
      <c r="F2283" s="1" t="s">
        <v>61</v>
      </c>
      <c r="G2283" s="1" t="s">
        <v>100</v>
      </c>
      <c r="H2283" s="2">
        <v>3653.0</v>
      </c>
      <c r="I2283" s="2">
        <v>4837.0</v>
      </c>
      <c r="J2283" s="1">
        <v>2003.0</v>
      </c>
      <c r="K2283" s="1">
        <v>108.0</v>
      </c>
      <c r="L2283" s="1" t="s">
        <v>95</v>
      </c>
      <c r="M2283" s="1" t="s">
        <v>9168</v>
      </c>
      <c r="N2283" s="1" t="s">
        <v>64</v>
      </c>
      <c r="O2283" s="1" t="s">
        <v>49</v>
      </c>
      <c r="P2283" s="1" t="s">
        <v>9169</v>
      </c>
    </row>
    <row r="2284" ht="14.25" customHeight="1">
      <c r="A2284" s="1" t="s">
        <v>9170</v>
      </c>
      <c r="B2284" s="1" t="s">
        <v>9171</v>
      </c>
      <c r="C2284" s="1" t="s">
        <v>29</v>
      </c>
      <c r="D2284" s="1">
        <v>57201.0</v>
      </c>
      <c r="E2284" s="1" t="s">
        <v>40</v>
      </c>
      <c r="F2284" s="1" t="s">
        <v>61</v>
      </c>
      <c r="G2284" s="1" t="s">
        <v>55</v>
      </c>
      <c r="H2284" s="2">
        <v>2421.0</v>
      </c>
      <c r="I2284" s="2">
        <v>1632.0</v>
      </c>
      <c r="J2284" s="1">
        <v>2012.0</v>
      </c>
      <c r="K2284" s="1">
        <v>106.0</v>
      </c>
      <c r="L2284" s="1" t="s">
        <v>32</v>
      </c>
      <c r="M2284" s="1" t="s">
        <v>9172</v>
      </c>
      <c r="N2284" s="1" t="s">
        <v>64</v>
      </c>
      <c r="O2284" s="1" t="s">
        <v>35</v>
      </c>
      <c r="P2284" s="1" t="s">
        <v>9173</v>
      </c>
    </row>
    <row r="2285" ht="14.25" customHeight="1">
      <c r="A2285" s="1" t="s">
        <v>9174</v>
      </c>
      <c r="B2285" s="1" t="s">
        <v>9175</v>
      </c>
      <c r="C2285" s="1" t="s">
        <v>18</v>
      </c>
      <c r="D2285" s="1">
        <v>65088.0</v>
      </c>
      <c r="E2285" s="1" t="s">
        <v>19</v>
      </c>
      <c r="F2285" s="1" t="s">
        <v>94</v>
      </c>
      <c r="G2285" s="1" t="s">
        <v>100</v>
      </c>
      <c r="H2285" s="2">
        <v>3325.0</v>
      </c>
      <c r="I2285" s="2">
        <v>1493.0</v>
      </c>
      <c r="J2285" s="1">
        <v>2001.0</v>
      </c>
      <c r="K2285" s="1">
        <v>103.0</v>
      </c>
      <c r="L2285" s="1" t="s">
        <v>22</v>
      </c>
      <c r="M2285" s="1" t="s">
        <v>9176</v>
      </c>
      <c r="N2285" s="1" t="s">
        <v>34</v>
      </c>
      <c r="O2285" s="1" t="s">
        <v>35</v>
      </c>
      <c r="P2285" s="1" t="s">
        <v>9177</v>
      </c>
    </row>
    <row r="2286" ht="14.25" customHeight="1">
      <c r="A2286" s="1" t="s">
        <v>9178</v>
      </c>
      <c r="B2286" s="1" t="s">
        <v>9179</v>
      </c>
      <c r="C2286" s="1" t="s">
        <v>29</v>
      </c>
      <c r="D2286" s="1">
        <v>88534.0</v>
      </c>
      <c r="E2286" s="1" t="s">
        <v>40</v>
      </c>
      <c r="F2286" s="1" t="s">
        <v>20</v>
      </c>
      <c r="G2286" s="1" t="s">
        <v>31</v>
      </c>
      <c r="H2286" s="2">
        <v>775.0</v>
      </c>
      <c r="I2286" s="2">
        <v>9593.0</v>
      </c>
      <c r="J2286" s="1">
        <v>1999.0</v>
      </c>
      <c r="K2286" s="1">
        <v>17.0</v>
      </c>
      <c r="L2286" s="1" t="s">
        <v>62</v>
      </c>
      <c r="M2286" s="1" t="s">
        <v>9180</v>
      </c>
      <c r="N2286" s="1" t="s">
        <v>48</v>
      </c>
      <c r="O2286" s="1" t="s">
        <v>49</v>
      </c>
      <c r="P2286" s="1" t="s">
        <v>9181</v>
      </c>
    </row>
    <row r="2287" ht="14.25" customHeight="1">
      <c r="A2287" s="1" t="s">
        <v>9182</v>
      </c>
      <c r="B2287" s="1" t="s">
        <v>9183</v>
      </c>
      <c r="C2287" s="1" t="s">
        <v>76</v>
      </c>
      <c r="D2287" s="1">
        <v>20246.0</v>
      </c>
      <c r="E2287" s="1" t="s">
        <v>19</v>
      </c>
      <c r="F2287" s="1" t="s">
        <v>94</v>
      </c>
      <c r="G2287" s="1" t="s">
        <v>31</v>
      </c>
      <c r="H2287" s="2">
        <v>3852.0</v>
      </c>
      <c r="I2287" s="2">
        <v>2748.0</v>
      </c>
      <c r="J2287" s="1">
        <v>1991.0</v>
      </c>
      <c r="K2287" s="1">
        <v>62.0</v>
      </c>
      <c r="L2287" s="1" t="s">
        <v>32</v>
      </c>
      <c r="M2287" s="1" t="s">
        <v>9184</v>
      </c>
      <c r="N2287" s="1" t="s">
        <v>48</v>
      </c>
      <c r="O2287" s="1" t="s">
        <v>49</v>
      </c>
      <c r="P2287" s="1" t="s">
        <v>9185</v>
      </c>
    </row>
    <row r="2288" ht="14.25" customHeight="1">
      <c r="A2288" s="1" t="s">
        <v>9186</v>
      </c>
      <c r="B2288" s="1" t="s">
        <v>9187</v>
      </c>
      <c r="C2288" s="1" t="s">
        <v>18</v>
      </c>
      <c r="D2288" s="1">
        <v>14992.0</v>
      </c>
      <c r="E2288" s="1" t="s">
        <v>19</v>
      </c>
      <c r="F2288" s="1" t="s">
        <v>41</v>
      </c>
      <c r="G2288" s="1" t="s">
        <v>21</v>
      </c>
      <c r="H2288" s="2">
        <v>2139.0</v>
      </c>
      <c r="I2288" s="2">
        <v>9931.0</v>
      </c>
      <c r="J2288" s="1">
        <v>1998.0</v>
      </c>
      <c r="K2288" s="1">
        <v>83.0</v>
      </c>
      <c r="L2288" s="1" t="s">
        <v>32</v>
      </c>
      <c r="M2288" s="1" t="s">
        <v>9188</v>
      </c>
      <c r="N2288" s="1" t="s">
        <v>24</v>
      </c>
      <c r="O2288" s="1" t="s">
        <v>35</v>
      </c>
      <c r="P2288" s="1" t="s">
        <v>9189</v>
      </c>
    </row>
    <row r="2289" ht="14.25" customHeight="1">
      <c r="A2289" s="1" t="s">
        <v>9190</v>
      </c>
      <c r="B2289" s="1" t="s">
        <v>9191</v>
      </c>
      <c r="C2289" s="1" t="s">
        <v>39</v>
      </c>
      <c r="D2289" s="1">
        <v>28763.0</v>
      </c>
      <c r="E2289" s="1" t="s">
        <v>40</v>
      </c>
      <c r="F2289" s="1" t="s">
        <v>61</v>
      </c>
      <c r="G2289" s="1" t="s">
        <v>100</v>
      </c>
      <c r="H2289" s="2">
        <v>3224.0</v>
      </c>
      <c r="I2289" s="2">
        <v>6335.0</v>
      </c>
      <c r="J2289" s="1">
        <v>2023.0</v>
      </c>
      <c r="K2289" s="1">
        <v>7.0</v>
      </c>
      <c r="L2289" s="1" t="s">
        <v>32</v>
      </c>
      <c r="M2289" s="1" t="s">
        <v>9192</v>
      </c>
      <c r="N2289" s="1" t="s">
        <v>34</v>
      </c>
      <c r="O2289" s="1" t="s">
        <v>49</v>
      </c>
      <c r="P2289" s="1" t="s">
        <v>9193</v>
      </c>
    </row>
    <row r="2290" ht="14.25" customHeight="1">
      <c r="A2290" s="1" t="s">
        <v>9194</v>
      </c>
      <c r="B2290" s="1" t="s">
        <v>9195</v>
      </c>
      <c r="C2290" s="1" t="s">
        <v>18</v>
      </c>
      <c r="D2290" s="1">
        <v>44519.0</v>
      </c>
      <c r="E2290" s="1" t="s">
        <v>40</v>
      </c>
      <c r="F2290" s="1" t="s">
        <v>41</v>
      </c>
      <c r="G2290" s="1" t="s">
        <v>55</v>
      </c>
      <c r="H2290" s="2">
        <v>2454.0</v>
      </c>
      <c r="I2290" s="2">
        <v>7445.0</v>
      </c>
      <c r="J2290" s="1">
        <v>1971.0</v>
      </c>
      <c r="K2290" s="1">
        <v>26.0</v>
      </c>
      <c r="L2290" s="1" t="s">
        <v>141</v>
      </c>
      <c r="M2290" s="1" t="s">
        <v>9196</v>
      </c>
      <c r="N2290" s="1" t="s">
        <v>34</v>
      </c>
      <c r="O2290" s="1" t="s">
        <v>35</v>
      </c>
      <c r="P2290" s="1" t="s">
        <v>9197</v>
      </c>
    </row>
    <row r="2291" ht="14.25" customHeight="1">
      <c r="A2291" s="1" t="s">
        <v>9198</v>
      </c>
      <c r="B2291" s="1" t="s">
        <v>9199</v>
      </c>
      <c r="C2291" s="1" t="s">
        <v>29</v>
      </c>
      <c r="D2291" s="1">
        <v>12498.0</v>
      </c>
      <c r="E2291" s="1" t="s">
        <v>19</v>
      </c>
      <c r="F2291" s="1" t="s">
        <v>41</v>
      </c>
      <c r="G2291" s="1" t="s">
        <v>31</v>
      </c>
      <c r="H2291" s="2">
        <v>2240.0</v>
      </c>
      <c r="I2291" s="2">
        <v>9123.0</v>
      </c>
      <c r="J2291" s="1">
        <v>1956.0</v>
      </c>
      <c r="K2291" s="1">
        <v>82.0</v>
      </c>
      <c r="L2291" s="1" t="s">
        <v>141</v>
      </c>
      <c r="M2291" s="1" t="s">
        <v>9200</v>
      </c>
      <c r="N2291" s="1" t="s">
        <v>43</v>
      </c>
      <c r="O2291" s="1" t="s">
        <v>49</v>
      </c>
      <c r="P2291" s="1" t="s">
        <v>9201</v>
      </c>
    </row>
    <row r="2292" ht="14.25" customHeight="1">
      <c r="A2292" s="1" t="s">
        <v>9202</v>
      </c>
      <c r="B2292" s="1" t="s">
        <v>9203</v>
      </c>
      <c r="C2292" s="1" t="s">
        <v>76</v>
      </c>
      <c r="D2292" s="1">
        <v>41619.0</v>
      </c>
      <c r="E2292" s="1" t="s">
        <v>60</v>
      </c>
      <c r="F2292" s="1" t="s">
        <v>61</v>
      </c>
      <c r="G2292" s="1" t="s">
        <v>31</v>
      </c>
      <c r="H2292" s="2">
        <v>2389.0</v>
      </c>
      <c r="I2292" s="2">
        <v>1362.0</v>
      </c>
      <c r="J2292" s="1">
        <v>1976.0</v>
      </c>
      <c r="K2292" s="1">
        <v>57.0</v>
      </c>
      <c r="L2292" s="1" t="s">
        <v>62</v>
      </c>
      <c r="M2292" s="1" t="s">
        <v>9204</v>
      </c>
      <c r="N2292" s="1" t="s">
        <v>64</v>
      </c>
      <c r="O2292" s="1" t="s">
        <v>35</v>
      </c>
      <c r="P2292" s="1" t="s">
        <v>9205</v>
      </c>
    </row>
    <row r="2293" ht="14.25" customHeight="1">
      <c r="A2293" s="1" t="s">
        <v>9206</v>
      </c>
      <c r="B2293" s="1" t="s">
        <v>9207</v>
      </c>
      <c r="C2293" s="1" t="s">
        <v>39</v>
      </c>
      <c r="D2293" s="1">
        <v>24576.0</v>
      </c>
      <c r="E2293" s="1" t="s">
        <v>77</v>
      </c>
      <c r="F2293" s="1" t="s">
        <v>94</v>
      </c>
      <c r="G2293" s="1" t="s">
        <v>31</v>
      </c>
      <c r="H2293" s="2">
        <v>2572.0</v>
      </c>
      <c r="I2293" s="2">
        <v>1621.0</v>
      </c>
      <c r="J2293" s="1">
        <v>2002.0</v>
      </c>
      <c r="K2293" s="1">
        <v>68.0</v>
      </c>
      <c r="L2293" s="1" t="s">
        <v>141</v>
      </c>
      <c r="M2293" s="1" t="s">
        <v>9208</v>
      </c>
      <c r="N2293" s="1" t="s">
        <v>64</v>
      </c>
      <c r="O2293" s="1" t="s">
        <v>25</v>
      </c>
      <c r="P2293" s="1" t="s">
        <v>9209</v>
      </c>
    </row>
    <row r="2294" ht="14.25" customHeight="1">
      <c r="A2294" s="1" t="s">
        <v>9210</v>
      </c>
      <c r="B2294" s="1" t="s">
        <v>9211</v>
      </c>
      <c r="C2294" s="1" t="s">
        <v>18</v>
      </c>
      <c r="D2294" s="1">
        <v>43051.0</v>
      </c>
      <c r="E2294" s="1" t="s">
        <v>60</v>
      </c>
      <c r="F2294" s="1" t="s">
        <v>54</v>
      </c>
      <c r="G2294" s="1" t="s">
        <v>31</v>
      </c>
      <c r="H2294" s="2">
        <v>2776.0</v>
      </c>
      <c r="I2294" s="2">
        <v>4498.0</v>
      </c>
      <c r="J2294" s="1">
        <v>1965.0</v>
      </c>
      <c r="K2294" s="1">
        <v>59.0</v>
      </c>
      <c r="L2294" s="1" t="s">
        <v>62</v>
      </c>
      <c r="M2294" s="1" t="s">
        <v>9212</v>
      </c>
      <c r="N2294" s="1" t="s">
        <v>34</v>
      </c>
      <c r="O2294" s="1" t="s">
        <v>35</v>
      </c>
      <c r="P2294" s="1" t="s">
        <v>9213</v>
      </c>
    </row>
    <row r="2295" ht="14.25" customHeight="1">
      <c r="A2295" s="1" t="s">
        <v>9214</v>
      </c>
      <c r="B2295" s="1" t="s">
        <v>9215</v>
      </c>
      <c r="C2295" s="1" t="s">
        <v>18</v>
      </c>
      <c r="D2295" s="1">
        <v>55020.0</v>
      </c>
      <c r="E2295" s="1" t="s">
        <v>77</v>
      </c>
      <c r="F2295" s="1" t="s">
        <v>46</v>
      </c>
      <c r="G2295" s="1" t="s">
        <v>100</v>
      </c>
      <c r="H2295" s="2">
        <v>3321.0</v>
      </c>
      <c r="I2295" s="2">
        <v>6287.0</v>
      </c>
      <c r="J2295" s="1">
        <v>1991.0</v>
      </c>
      <c r="K2295" s="1">
        <v>13.0</v>
      </c>
      <c r="L2295" s="1" t="s">
        <v>32</v>
      </c>
      <c r="M2295" s="1" t="s">
        <v>9216</v>
      </c>
      <c r="N2295" s="1" t="s">
        <v>48</v>
      </c>
      <c r="O2295" s="1" t="s">
        <v>25</v>
      </c>
      <c r="P2295" s="1" t="s">
        <v>9217</v>
      </c>
    </row>
    <row r="2296" ht="14.25" customHeight="1">
      <c r="A2296" s="1" t="s">
        <v>9218</v>
      </c>
      <c r="B2296" s="1" t="s">
        <v>9219</v>
      </c>
      <c r="C2296" s="1" t="s">
        <v>53</v>
      </c>
      <c r="D2296" s="1">
        <v>32456.0</v>
      </c>
      <c r="E2296" s="1" t="s">
        <v>19</v>
      </c>
      <c r="F2296" s="1" t="s">
        <v>94</v>
      </c>
      <c r="G2296" s="1" t="s">
        <v>55</v>
      </c>
      <c r="H2296" s="2">
        <v>3094.0</v>
      </c>
      <c r="I2296" s="2">
        <v>3518.0</v>
      </c>
      <c r="J2296" s="1">
        <v>1995.0</v>
      </c>
      <c r="K2296" s="1">
        <v>86.0</v>
      </c>
      <c r="L2296" s="1" t="s">
        <v>32</v>
      </c>
      <c r="M2296" s="1" t="s">
        <v>9220</v>
      </c>
      <c r="N2296" s="1" t="s">
        <v>34</v>
      </c>
      <c r="O2296" s="1" t="s">
        <v>35</v>
      </c>
      <c r="P2296" s="1" t="s">
        <v>9221</v>
      </c>
    </row>
    <row r="2297" ht="14.25" customHeight="1">
      <c r="A2297" s="1" t="s">
        <v>9222</v>
      </c>
      <c r="B2297" s="1" t="s">
        <v>9223</v>
      </c>
      <c r="C2297" s="1" t="s">
        <v>53</v>
      </c>
      <c r="D2297" s="1">
        <v>43647.0</v>
      </c>
      <c r="E2297" s="1" t="s">
        <v>40</v>
      </c>
      <c r="F2297" s="1" t="s">
        <v>54</v>
      </c>
      <c r="G2297" s="1" t="s">
        <v>31</v>
      </c>
      <c r="H2297" s="2">
        <v>3228.0</v>
      </c>
      <c r="I2297" s="2">
        <v>2324.0</v>
      </c>
      <c r="J2297" s="1">
        <v>1954.0</v>
      </c>
      <c r="K2297" s="1">
        <v>96.0</v>
      </c>
      <c r="L2297" s="1" t="s">
        <v>95</v>
      </c>
      <c r="M2297" s="1" t="s">
        <v>9224</v>
      </c>
      <c r="N2297" s="1" t="s">
        <v>43</v>
      </c>
      <c r="O2297" s="1" t="s">
        <v>49</v>
      </c>
      <c r="P2297" s="1" t="s">
        <v>9225</v>
      </c>
    </row>
    <row r="2298" ht="14.25" customHeight="1">
      <c r="A2298" s="1" t="s">
        <v>9226</v>
      </c>
      <c r="B2298" s="1" t="s">
        <v>9227</v>
      </c>
      <c r="C2298" s="1" t="s">
        <v>39</v>
      </c>
      <c r="D2298" s="1">
        <v>42121.0</v>
      </c>
      <c r="E2298" s="1" t="s">
        <v>40</v>
      </c>
      <c r="F2298" s="1" t="s">
        <v>41</v>
      </c>
      <c r="G2298" s="1" t="s">
        <v>100</v>
      </c>
      <c r="H2298" s="2">
        <v>1280.0</v>
      </c>
      <c r="I2298" s="2">
        <v>5850.0</v>
      </c>
      <c r="J2298" s="1">
        <v>1976.0</v>
      </c>
      <c r="K2298" s="1">
        <v>39.0</v>
      </c>
      <c r="L2298" s="1" t="s">
        <v>62</v>
      </c>
      <c r="M2298" s="1" t="s">
        <v>9228</v>
      </c>
      <c r="N2298" s="1" t="s">
        <v>64</v>
      </c>
      <c r="O2298" s="1" t="s">
        <v>35</v>
      </c>
      <c r="P2298" s="1" t="s">
        <v>9229</v>
      </c>
    </row>
    <row r="2299" ht="14.25" customHeight="1">
      <c r="A2299" s="1" t="s">
        <v>9230</v>
      </c>
      <c r="B2299" s="1" t="s">
        <v>9231</v>
      </c>
      <c r="C2299" s="1" t="s">
        <v>76</v>
      </c>
      <c r="D2299" s="1">
        <v>38871.0</v>
      </c>
      <c r="E2299" s="1" t="s">
        <v>30</v>
      </c>
      <c r="F2299" s="1" t="s">
        <v>61</v>
      </c>
      <c r="G2299" s="1" t="s">
        <v>21</v>
      </c>
      <c r="H2299" s="2">
        <v>1229.0</v>
      </c>
      <c r="I2299" s="2">
        <v>8658.0</v>
      </c>
      <c r="J2299" s="1">
        <v>1997.0</v>
      </c>
      <c r="K2299" s="1">
        <v>9.0</v>
      </c>
      <c r="L2299" s="1" t="s">
        <v>141</v>
      </c>
      <c r="M2299" s="1" t="s">
        <v>9232</v>
      </c>
      <c r="N2299" s="1" t="s">
        <v>48</v>
      </c>
      <c r="O2299" s="1" t="s">
        <v>49</v>
      </c>
      <c r="P2299" s="1" t="s">
        <v>9233</v>
      </c>
    </row>
    <row r="2300" ht="14.25" customHeight="1">
      <c r="A2300" s="1" t="s">
        <v>9234</v>
      </c>
      <c r="B2300" s="1" t="s">
        <v>9235</v>
      </c>
      <c r="C2300" s="1" t="s">
        <v>18</v>
      </c>
      <c r="D2300" s="1">
        <v>81109.0</v>
      </c>
      <c r="E2300" s="1" t="s">
        <v>40</v>
      </c>
      <c r="F2300" s="1" t="s">
        <v>41</v>
      </c>
      <c r="G2300" s="1" t="s">
        <v>31</v>
      </c>
      <c r="H2300" s="2">
        <v>3855.0</v>
      </c>
      <c r="I2300" s="2">
        <v>9872.0</v>
      </c>
      <c r="J2300" s="1">
        <v>2014.0</v>
      </c>
      <c r="K2300" s="1">
        <v>35.0</v>
      </c>
      <c r="L2300" s="1" t="s">
        <v>95</v>
      </c>
      <c r="M2300" s="1" t="s">
        <v>9236</v>
      </c>
      <c r="N2300" s="1" t="s">
        <v>43</v>
      </c>
      <c r="O2300" s="1" t="s">
        <v>35</v>
      </c>
      <c r="P2300" s="1" t="s">
        <v>9237</v>
      </c>
    </row>
    <row r="2301" ht="14.25" customHeight="1">
      <c r="A2301" s="1" t="s">
        <v>9238</v>
      </c>
      <c r="B2301" s="1" t="s">
        <v>9239</v>
      </c>
      <c r="C2301" s="1" t="s">
        <v>53</v>
      </c>
      <c r="D2301" s="1">
        <v>75220.0</v>
      </c>
      <c r="E2301" s="1" t="s">
        <v>60</v>
      </c>
      <c r="F2301" s="1" t="s">
        <v>54</v>
      </c>
      <c r="G2301" s="1" t="s">
        <v>31</v>
      </c>
      <c r="H2301" s="2">
        <v>2965.0</v>
      </c>
      <c r="I2301" s="2">
        <v>1422.0</v>
      </c>
      <c r="J2301" s="1">
        <v>1955.0</v>
      </c>
      <c r="K2301" s="1">
        <v>9.0</v>
      </c>
      <c r="L2301" s="1" t="s">
        <v>95</v>
      </c>
      <c r="M2301" s="1" t="s">
        <v>9240</v>
      </c>
      <c r="N2301" s="1" t="s">
        <v>43</v>
      </c>
      <c r="O2301" s="1" t="s">
        <v>49</v>
      </c>
      <c r="P2301" s="1" t="s">
        <v>9241</v>
      </c>
    </row>
    <row r="2302" ht="14.25" customHeight="1">
      <c r="A2302" s="1" t="s">
        <v>9242</v>
      </c>
      <c r="B2302" s="1" t="s">
        <v>9243</v>
      </c>
      <c r="C2302" s="1" t="s">
        <v>76</v>
      </c>
      <c r="D2302" s="1">
        <v>43019.0</v>
      </c>
      <c r="E2302" s="1" t="s">
        <v>30</v>
      </c>
      <c r="F2302" s="1" t="s">
        <v>41</v>
      </c>
      <c r="G2302" s="1" t="s">
        <v>21</v>
      </c>
      <c r="H2302" s="2">
        <v>1557.0</v>
      </c>
      <c r="I2302" s="2">
        <v>1265.0</v>
      </c>
      <c r="J2302" s="1">
        <v>1980.0</v>
      </c>
      <c r="K2302" s="1">
        <v>20.0</v>
      </c>
      <c r="L2302" s="1" t="s">
        <v>32</v>
      </c>
      <c r="M2302" s="1" t="s">
        <v>9244</v>
      </c>
      <c r="N2302" s="1" t="s">
        <v>24</v>
      </c>
      <c r="O2302" s="1" t="s">
        <v>49</v>
      </c>
      <c r="P2302" s="1" t="s">
        <v>9245</v>
      </c>
    </row>
    <row r="2303" ht="14.25" customHeight="1">
      <c r="A2303" s="1" t="s">
        <v>9246</v>
      </c>
      <c r="B2303" s="1" t="s">
        <v>9247</v>
      </c>
      <c r="C2303" s="1" t="s">
        <v>53</v>
      </c>
      <c r="D2303" s="1">
        <v>83809.0</v>
      </c>
      <c r="E2303" s="1" t="s">
        <v>40</v>
      </c>
      <c r="F2303" s="1" t="s">
        <v>46</v>
      </c>
      <c r="G2303" s="1" t="s">
        <v>55</v>
      </c>
      <c r="H2303" s="2">
        <v>3527.0</v>
      </c>
      <c r="I2303" s="2">
        <v>7278.0</v>
      </c>
      <c r="J2303" s="1">
        <v>2013.0</v>
      </c>
      <c r="K2303" s="1">
        <v>56.0</v>
      </c>
      <c r="L2303" s="1" t="s">
        <v>22</v>
      </c>
      <c r="M2303" s="1" t="s">
        <v>9248</v>
      </c>
      <c r="N2303" s="1" t="s">
        <v>34</v>
      </c>
      <c r="O2303" s="1" t="s">
        <v>35</v>
      </c>
      <c r="P2303" s="1" t="s">
        <v>9249</v>
      </c>
    </row>
    <row r="2304" ht="14.25" customHeight="1">
      <c r="A2304" s="1" t="s">
        <v>9250</v>
      </c>
      <c r="B2304" s="1" t="s">
        <v>9251</v>
      </c>
      <c r="C2304" s="1" t="s">
        <v>53</v>
      </c>
      <c r="D2304" s="1">
        <v>63376.0</v>
      </c>
      <c r="E2304" s="1" t="s">
        <v>30</v>
      </c>
      <c r="F2304" s="1" t="s">
        <v>46</v>
      </c>
      <c r="G2304" s="1" t="s">
        <v>55</v>
      </c>
      <c r="H2304" s="2">
        <v>1083.0</v>
      </c>
      <c r="I2304" s="2">
        <v>3160.0</v>
      </c>
      <c r="J2304" s="1">
        <v>2007.0</v>
      </c>
      <c r="K2304" s="1">
        <v>65.0</v>
      </c>
      <c r="L2304" s="1" t="s">
        <v>141</v>
      </c>
      <c r="M2304" s="1" t="s">
        <v>9252</v>
      </c>
      <c r="N2304" s="1" t="s">
        <v>24</v>
      </c>
      <c r="O2304" s="1" t="s">
        <v>25</v>
      </c>
      <c r="P2304" s="1" t="s">
        <v>9253</v>
      </c>
    </row>
    <row r="2305" ht="14.25" customHeight="1">
      <c r="A2305" s="1" t="s">
        <v>9254</v>
      </c>
      <c r="B2305" s="1" t="s">
        <v>9255</v>
      </c>
      <c r="C2305" s="1" t="s">
        <v>76</v>
      </c>
      <c r="D2305" s="1">
        <v>36990.0</v>
      </c>
      <c r="E2305" s="1" t="s">
        <v>40</v>
      </c>
      <c r="F2305" s="1" t="s">
        <v>61</v>
      </c>
      <c r="G2305" s="1" t="s">
        <v>55</v>
      </c>
      <c r="H2305" s="2">
        <v>2237.0</v>
      </c>
      <c r="I2305" s="2">
        <v>9194.0</v>
      </c>
      <c r="J2305" s="1">
        <v>2016.0</v>
      </c>
      <c r="K2305" s="1">
        <v>50.0</v>
      </c>
      <c r="L2305" s="1" t="s">
        <v>62</v>
      </c>
      <c r="M2305" s="1" t="s">
        <v>9256</v>
      </c>
      <c r="N2305" s="1" t="s">
        <v>48</v>
      </c>
      <c r="O2305" s="1" t="s">
        <v>49</v>
      </c>
      <c r="P2305" s="1" t="s">
        <v>9257</v>
      </c>
    </row>
    <row r="2306" ht="14.25" customHeight="1">
      <c r="A2306" s="1" t="s">
        <v>9258</v>
      </c>
      <c r="B2306" s="1" t="s">
        <v>9259</v>
      </c>
      <c r="C2306" s="1" t="s">
        <v>76</v>
      </c>
      <c r="D2306" s="1">
        <v>44583.0</v>
      </c>
      <c r="E2306" s="1" t="s">
        <v>77</v>
      </c>
      <c r="F2306" s="1" t="s">
        <v>94</v>
      </c>
      <c r="G2306" s="1" t="s">
        <v>100</v>
      </c>
      <c r="H2306" s="2">
        <v>1605.0</v>
      </c>
      <c r="I2306" s="2">
        <v>6754.0</v>
      </c>
      <c r="J2306" s="1">
        <v>1973.0</v>
      </c>
      <c r="K2306" s="1">
        <v>17.0</v>
      </c>
      <c r="L2306" s="1" t="s">
        <v>32</v>
      </c>
      <c r="M2306" s="1" t="s">
        <v>9260</v>
      </c>
      <c r="N2306" s="1" t="s">
        <v>24</v>
      </c>
      <c r="O2306" s="1" t="s">
        <v>49</v>
      </c>
      <c r="P2306" s="1" t="s">
        <v>9261</v>
      </c>
    </row>
    <row r="2307" ht="14.25" customHeight="1">
      <c r="A2307" s="1" t="s">
        <v>9262</v>
      </c>
      <c r="B2307" s="1" t="s">
        <v>9263</v>
      </c>
      <c r="C2307" s="1" t="s">
        <v>53</v>
      </c>
      <c r="D2307" s="1">
        <v>40751.0</v>
      </c>
      <c r="E2307" s="1" t="s">
        <v>19</v>
      </c>
      <c r="F2307" s="1" t="s">
        <v>20</v>
      </c>
      <c r="G2307" s="1" t="s">
        <v>100</v>
      </c>
      <c r="H2307" s="2">
        <v>2416.0</v>
      </c>
      <c r="I2307" s="2">
        <v>4111.0</v>
      </c>
      <c r="J2307" s="1">
        <v>2018.0</v>
      </c>
      <c r="K2307" s="1">
        <v>4.0</v>
      </c>
      <c r="L2307" s="1" t="s">
        <v>32</v>
      </c>
      <c r="M2307" s="1" t="s">
        <v>9264</v>
      </c>
      <c r="N2307" s="1" t="s">
        <v>43</v>
      </c>
      <c r="O2307" s="1" t="s">
        <v>25</v>
      </c>
      <c r="P2307" s="1" t="s">
        <v>9265</v>
      </c>
    </row>
    <row r="2308" ht="14.25" customHeight="1">
      <c r="A2308" s="1" t="s">
        <v>9266</v>
      </c>
      <c r="B2308" s="1" t="s">
        <v>9267</v>
      </c>
      <c r="C2308" s="1" t="s">
        <v>18</v>
      </c>
      <c r="D2308" s="1">
        <v>97190.0</v>
      </c>
      <c r="E2308" s="1" t="s">
        <v>40</v>
      </c>
      <c r="F2308" s="1" t="s">
        <v>41</v>
      </c>
      <c r="G2308" s="1" t="s">
        <v>31</v>
      </c>
      <c r="H2308" s="2">
        <v>788.0</v>
      </c>
      <c r="I2308" s="2">
        <v>2149.0</v>
      </c>
      <c r="J2308" s="1">
        <v>2005.0</v>
      </c>
      <c r="K2308" s="1">
        <v>108.0</v>
      </c>
      <c r="L2308" s="1" t="s">
        <v>32</v>
      </c>
      <c r="M2308" s="1" t="s">
        <v>9268</v>
      </c>
      <c r="N2308" s="1" t="s">
        <v>64</v>
      </c>
      <c r="O2308" s="1" t="s">
        <v>49</v>
      </c>
      <c r="P2308" s="1" t="s">
        <v>9269</v>
      </c>
    </row>
    <row r="2309" ht="14.25" customHeight="1">
      <c r="A2309" s="1" t="s">
        <v>9270</v>
      </c>
      <c r="B2309" s="1" t="s">
        <v>9271</v>
      </c>
      <c r="C2309" s="1" t="s">
        <v>39</v>
      </c>
      <c r="D2309" s="1">
        <v>21289.0</v>
      </c>
      <c r="E2309" s="1" t="s">
        <v>19</v>
      </c>
      <c r="F2309" s="1" t="s">
        <v>61</v>
      </c>
      <c r="G2309" s="1" t="s">
        <v>55</v>
      </c>
      <c r="H2309" s="2">
        <v>1412.0</v>
      </c>
      <c r="I2309" s="2">
        <v>8249.0</v>
      </c>
      <c r="J2309" s="1">
        <v>1983.0</v>
      </c>
      <c r="K2309" s="1">
        <v>73.0</v>
      </c>
      <c r="L2309" s="1" t="s">
        <v>22</v>
      </c>
      <c r="M2309" s="1" t="s">
        <v>9272</v>
      </c>
      <c r="N2309" s="1" t="s">
        <v>64</v>
      </c>
      <c r="O2309" s="1" t="s">
        <v>35</v>
      </c>
      <c r="P2309" s="1" t="s">
        <v>9273</v>
      </c>
    </row>
    <row r="2310" ht="14.25" customHeight="1">
      <c r="A2310" s="1" t="s">
        <v>9274</v>
      </c>
      <c r="B2310" s="1" t="s">
        <v>9275</v>
      </c>
      <c r="C2310" s="1" t="s">
        <v>18</v>
      </c>
      <c r="D2310" s="1">
        <v>39662.0</v>
      </c>
      <c r="E2310" s="1" t="s">
        <v>60</v>
      </c>
      <c r="F2310" s="1" t="s">
        <v>61</v>
      </c>
      <c r="G2310" s="1" t="s">
        <v>31</v>
      </c>
      <c r="H2310" s="2">
        <v>3456.0</v>
      </c>
      <c r="I2310" s="2">
        <v>2115.0</v>
      </c>
      <c r="J2310" s="1">
        <v>1960.0</v>
      </c>
      <c r="K2310" s="1">
        <v>69.0</v>
      </c>
      <c r="L2310" s="1" t="s">
        <v>141</v>
      </c>
      <c r="M2310" s="1" t="s">
        <v>9276</v>
      </c>
      <c r="N2310" s="1" t="s">
        <v>48</v>
      </c>
      <c r="O2310" s="1" t="s">
        <v>35</v>
      </c>
      <c r="P2310" s="1" t="s">
        <v>9277</v>
      </c>
    </row>
    <row r="2311" ht="14.25" customHeight="1">
      <c r="A2311" s="1" t="s">
        <v>9278</v>
      </c>
      <c r="B2311" s="1" t="s">
        <v>9279</v>
      </c>
      <c r="C2311" s="1" t="s">
        <v>39</v>
      </c>
      <c r="D2311" s="1">
        <v>44461.0</v>
      </c>
      <c r="E2311" s="1" t="s">
        <v>19</v>
      </c>
      <c r="F2311" s="1" t="s">
        <v>54</v>
      </c>
      <c r="G2311" s="1" t="s">
        <v>31</v>
      </c>
      <c r="H2311" s="2">
        <v>2632.0</v>
      </c>
      <c r="I2311" s="2">
        <v>1613.0</v>
      </c>
      <c r="J2311" s="1">
        <v>1995.0</v>
      </c>
      <c r="K2311" s="1">
        <v>35.0</v>
      </c>
      <c r="L2311" s="1" t="s">
        <v>95</v>
      </c>
      <c r="M2311" s="1" t="s">
        <v>9280</v>
      </c>
      <c r="N2311" s="1" t="s">
        <v>43</v>
      </c>
      <c r="O2311" s="1" t="s">
        <v>35</v>
      </c>
      <c r="P2311" s="1" t="s">
        <v>9281</v>
      </c>
    </row>
    <row r="2312" ht="14.25" customHeight="1">
      <c r="A2312" s="1" t="s">
        <v>9282</v>
      </c>
      <c r="B2312" s="1" t="s">
        <v>9283</v>
      </c>
      <c r="C2312" s="1" t="s">
        <v>29</v>
      </c>
      <c r="D2312" s="1">
        <v>60396.0</v>
      </c>
      <c r="E2312" s="1" t="s">
        <v>30</v>
      </c>
      <c r="F2312" s="1" t="s">
        <v>94</v>
      </c>
      <c r="G2312" s="1" t="s">
        <v>55</v>
      </c>
      <c r="H2312" s="2">
        <v>1099.0</v>
      </c>
      <c r="I2312" s="2">
        <v>4286.0</v>
      </c>
      <c r="J2312" s="1">
        <v>2015.0</v>
      </c>
      <c r="K2312" s="1">
        <v>88.0</v>
      </c>
      <c r="L2312" s="1" t="s">
        <v>62</v>
      </c>
      <c r="M2312" s="1" t="s">
        <v>9284</v>
      </c>
      <c r="N2312" s="1" t="s">
        <v>43</v>
      </c>
      <c r="O2312" s="1" t="s">
        <v>35</v>
      </c>
      <c r="P2312" s="1" t="s">
        <v>9285</v>
      </c>
    </row>
    <row r="2313" ht="14.25" customHeight="1">
      <c r="A2313" s="1" t="s">
        <v>9286</v>
      </c>
      <c r="B2313" s="1" t="s">
        <v>9287</v>
      </c>
      <c r="C2313" s="1" t="s">
        <v>39</v>
      </c>
      <c r="D2313" s="1">
        <v>86614.0</v>
      </c>
      <c r="E2313" s="1" t="s">
        <v>60</v>
      </c>
      <c r="F2313" s="1" t="s">
        <v>41</v>
      </c>
      <c r="G2313" s="1" t="s">
        <v>55</v>
      </c>
      <c r="H2313" s="2">
        <v>2674.0</v>
      </c>
      <c r="I2313" s="2">
        <v>5344.0</v>
      </c>
      <c r="J2313" s="1">
        <v>2011.0</v>
      </c>
      <c r="K2313" s="1">
        <v>44.0</v>
      </c>
      <c r="L2313" s="1" t="s">
        <v>95</v>
      </c>
      <c r="M2313" s="1" t="s">
        <v>9288</v>
      </c>
      <c r="N2313" s="1" t="s">
        <v>64</v>
      </c>
      <c r="O2313" s="1" t="s">
        <v>35</v>
      </c>
      <c r="P2313" s="1" t="s">
        <v>9289</v>
      </c>
    </row>
    <row r="2314" ht="14.25" customHeight="1">
      <c r="A2314" s="1" t="s">
        <v>9290</v>
      </c>
      <c r="B2314" s="1" t="s">
        <v>9291</v>
      </c>
      <c r="C2314" s="1" t="s">
        <v>53</v>
      </c>
      <c r="D2314" s="1">
        <v>90761.0</v>
      </c>
      <c r="E2314" s="1" t="s">
        <v>60</v>
      </c>
      <c r="F2314" s="1" t="s">
        <v>46</v>
      </c>
      <c r="G2314" s="1" t="s">
        <v>21</v>
      </c>
      <c r="H2314" s="2">
        <v>3077.0</v>
      </c>
      <c r="I2314" s="2">
        <v>4217.0</v>
      </c>
      <c r="J2314" s="1">
        <v>2007.0</v>
      </c>
      <c r="K2314" s="1">
        <v>26.0</v>
      </c>
      <c r="L2314" s="1" t="s">
        <v>95</v>
      </c>
      <c r="M2314" s="1" t="s">
        <v>9292</v>
      </c>
      <c r="N2314" s="1" t="s">
        <v>43</v>
      </c>
      <c r="O2314" s="1" t="s">
        <v>49</v>
      </c>
      <c r="P2314" s="1" t="s">
        <v>9293</v>
      </c>
    </row>
    <row r="2315" ht="14.25" customHeight="1">
      <c r="A2315" s="1" t="s">
        <v>9294</v>
      </c>
      <c r="B2315" s="1" t="s">
        <v>9295</v>
      </c>
      <c r="C2315" s="1" t="s">
        <v>39</v>
      </c>
      <c r="D2315" s="1">
        <v>36868.0</v>
      </c>
      <c r="E2315" s="1" t="s">
        <v>19</v>
      </c>
      <c r="F2315" s="1" t="s">
        <v>94</v>
      </c>
      <c r="G2315" s="1" t="s">
        <v>31</v>
      </c>
      <c r="H2315" s="2">
        <v>1441.0</v>
      </c>
      <c r="I2315" s="2">
        <v>9793.0</v>
      </c>
      <c r="J2315" s="1">
        <v>1993.0</v>
      </c>
      <c r="K2315" s="1">
        <v>9.0</v>
      </c>
      <c r="L2315" s="1" t="s">
        <v>141</v>
      </c>
      <c r="M2315" s="1" t="s">
        <v>9296</v>
      </c>
      <c r="N2315" s="1" t="s">
        <v>64</v>
      </c>
      <c r="O2315" s="1" t="s">
        <v>49</v>
      </c>
      <c r="P2315" s="1" t="s">
        <v>9297</v>
      </c>
    </row>
    <row r="2316" ht="14.25" customHeight="1">
      <c r="A2316" s="1" t="s">
        <v>9298</v>
      </c>
      <c r="B2316" s="1" t="s">
        <v>9299</v>
      </c>
      <c r="C2316" s="1" t="s">
        <v>76</v>
      </c>
      <c r="D2316" s="1">
        <v>43832.0</v>
      </c>
      <c r="E2316" s="1" t="s">
        <v>19</v>
      </c>
      <c r="F2316" s="1" t="s">
        <v>61</v>
      </c>
      <c r="G2316" s="1" t="s">
        <v>55</v>
      </c>
      <c r="H2316" s="2">
        <v>3969.0</v>
      </c>
      <c r="I2316" s="2">
        <v>5832.0</v>
      </c>
      <c r="J2316" s="1">
        <v>1956.0</v>
      </c>
      <c r="K2316" s="1">
        <v>9.0</v>
      </c>
      <c r="L2316" s="1" t="s">
        <v>62</v>
      </c>
      <c r="M2316" s="1" t="s">
        <v>9300</v>
      </c>
      <c r="N2316" s="1" t="s">
        <v>43</v>
      </c>
      <c r="O2316" s="1" t="s">
        <v>35</v>
      </c>
      <c r="P2316" s="1" t="s">
        <v>9301</v>
      </c>
    </row>
    <row r="2317" ht="14.25" customHeight="1">
      <c r="A2317" s="1" t="s">
        <v>9302</v>
      </c>
      <c r="B2317" s="1" t="s">
        <v>9303</v>
      </c>
      <c r="C2317" s="1" t="s">
        <v>18</v>
      </c>
      <c r="D2317" s="1">
        <v>79772.0</v>
      </c>
      <c r="E2317" s="1" t="s">
        <v>19</v>
      </c>
      <c r="F2317" s="1" t="s">
        <v>46</v>
      </c>
      <c r="G2317" s="1" t="s">
        <v>100</v>
      </c>
      <c r="H2317" s="2">
        <v>3039.0</v>
      </c>
      <c r="I2317" s="2">
        <v>5444.0</v>
      </c>
      <c r="J2317" s="1">
        <v>1981.0</v>
      </c>
      <c r="K2317" s="1">
        <v>109.0</v>
      </c>
      <c r="L2317" s="1" t="s">
        <v>32</v>
      </c>
      <c r="M2317" s="1" t="s">
        <v>9304</v>
      </c>
      <c r="N2317" s="1" t="s">
        <v>48</v>
      </c>
      <c r="O2317" s="1" t="s">
        <v>49</v>
      </c>
      <c r="P2317" s="1" t="s">
        <v>9305</v>
      </c>
    </row>
    <row r="2318" ht="14.25" customHeight="1">
      <c r="A2318" s="1" t="s">
        <v>9306</v>
      </c>
      <c r="B2318" s="1" t="s">
        <v>9307</v>
      </c>
      <c r="C2318" s="1" t="s">
        <v>39</v>
      </c>
      <c r="D2318" s="1">
        <v>72455.0</v>
      </c>
      <c r="E2318" s="1" t="s">
        <v>77</v>
      </c>
      <c r="F2318" s="1" t="s">
        <v>61</v>
      </c>
      <c r="G2318" s="1" t="s">
        <v>31</v>
      </c>
      <c r="H2318" s="2">
        <v>1665.0</v>
      </c>
      <c r="I2318" s="2">
        <v>3519.0</v>
      </c>
      <c r="J2318" s="1">
        <v>1983.0</v>
      </c>
      <c r="K2318" s="1">
        <v>41.0</v>
      </c>
      <c r="L2318" s="1" t="s">
        <v>95</v>
      </c>
      <c r="M2318" s="1" t="s">
        <v>9308</v>
      </c>
      <c r="N2318" s="1" t="s">
        <v>48</v>
      </c>
      <c r="O2318" s="1" t="s">
        <v>35</v>
      </c>
      <c r="P2318" s="1" t="s">
        <v>9309</v>
      </c>
    </row>
    <row r="2319" ht="14.25" customHeight="1">
      <c r="A2319" s="1" t="s">
        <v>9310</v>
      </c>
      <c r="B2319" s="1" t="s">
        <v>9311</v>
      </c>
      <c r="C2319" s="1" t="s">
        <v>53</v>
      </c>
      <c r="D2319" s="1">
        <v>72490.0</v>
      </c>
      <c r="E2319" s="1" t="s">
        <v>60</v>
      </c>
      <c r="F2319" s="1" t="s">
        <v>41</v>
      </c>
      <c r="G2319" s="1" t="s">
        <v>100</v>
      </c>
      <c r="H2319" s="2">
        <v>1694.0</v>
      </c>
      <c r="I2319" s="2">
        <v>8847.0</v>
      </c>
      <c r="J2319" s="1">
        <v>2009.0</v>
      </c>
      <c r="K2319" s="1">
        <v>98.0</v>
      </c>
      <c r="L2319" s="1" t="s">
        <v>22</v>
      </c>
      <c r="M2319" s="1" t="s">
        <v>9312</v>
      </c>
      <c r="N2319" s="1" t="s">
        <v>43</v>
      </c>
      <c r="O2319" s="1" t="s">
        <v>49</v>
      </c>
      <c r="P2319" s="1" t="s">
        <v>9313</v>
      </c>
    </row>
    <row r="2320" ht="14.25" customHeight="1">
      <c r="A2320" s="1" t="s">
        <v>9314</v>
      </c>
      <c r="B2320" s="1" t="s">
        <v>9315</v>
      </c>
      <c r="C2320" s="1" t="s">
        <v>29</v>
      </c>
      <c r="D2320" s="1">
        <v>50553.0</v>
      </c>
      <c r="E2320" s="1" t="s">
        <v>60</v>
      </c>
      <c r="F2320" s="1" t="s">
        <v>20</v>
      </c>
      <c r="G2320" s="1" t="s">
        <v>100</v>
      </c>
      <c r="H2320" s="2">
        <v>2863.0</v>
      </c>
      <c r="I2320" s="2">
        <v>3998.0</v>
      </c>
      <c r="J2320" s="1">
        <v>1958.0</v>
      </c>
      <c r="K2320" s="1">
        <v>15.0</v>
      </c>
      <c r="L2320" s="1" t="s">
        <v>62</v>
      </c>
      <c r="M2320" s="1" t="s">
        <v>9316</v>
      </c>
      <c r="N2320" s="1" t="s">
        <v>34</v>
      </c>
      <c r="O2320" s="1" t="s">
        <v>49</v>
      </c>
      <c r="P2320" s="1" t="s">
        <v>9317</v>
      </c>
    </row>
    <row r="2321" ht="14.25" customHeight="1">
      <c r="A2321" s="1" t="s">
        <v>9318</v>
      </c>
      <c r="B2321" s="1" t="s">
        <v>9319</v>
      </c>
      <c r="C2321" s="1" t="s">
        <v>53</v>
      </c>
      <c r="D2321" s="1">
        <v>64486.0</v>
      </c>
      <c r="E2321" s="1" t="s">
        <v>77</v>
      </c>
      <c r="F2321" s="1" t="s">
        <v>54</v>
      </c>
      <c r="G2321" s="1" t="s">
        <v>31</v>
      </c>
      <c r="H2321" s="2">
        <v>2825.0</v>
      </c>
      <c r="I2321" s="2">
        <v>6422.0</v>
      </c>
      <c r="J2321" s="1">
        <v>2018.0</v>
      </c>
      <c r="K2321" s="1">
        <v>10.0</v>
      </c>
      <c r="L2321" s="1" t="s">
        <v>95</v>
      </c>
      <c r="M2321" s="1" t="s">
        <v>9320</v>
      </c>
      <c r="N2321" s="1" t="s">
        <v>48</v>
      </c>
      <c r="O2321" s="1" t="s">
        <v>49</v>
      </c>
      <c r="P2321" s="1" t="s">
        <v>9321</v>
      </c>
    </row>
    <row r="2322" ht="14.25" customHeight="1">
      <c r="A2322" s="1" t="s">
        <v>9322</v>
      </c>
      <c r="B2322" s="1" t="s">
        <v>9323</v>
      </c>
      <c r="C2322" s="1" t="s">
        <v>29</v>
      </c>
      <c r="D2322" s="1">
        <v>93761.0</v>
      </c>
      <c r="E2322" s="1" t="s">
        <v>19</v>
      </c>
      <c r="F2322" s="1" t="s">
        <v>61</v>
      </c>
      <c r="G2322" s="1" t="s">
        <v>55</v>
      </c>
      <c r="H2322" s="2">
        <v>1130.0</v>
      </c>
      <c r="I2322" s="2">
        <v>6871.0</v>
      </c>
      <c r="J2322" s="1">
        <v>2018.0</v>
      </c>
      <c r="K2322" s="1">
        <v>77.0</v>
      </c>
      <c r="L2322" s="1" t="s">
        <v>141</v>
      </c>
      <c r="M2322" s="1" t="s">
        <v>9324</v>
      </c>
      <c r="N2322" s="1" t="s">
        <v>43</v>
      </c>
      <c r="O2322" s="1" t="s">
        <v>25</v>
      </c>
      <c r="P2322" s="1" t="s">
        <v>9325</v>
      </c>
    </row>
    <row r="2323" ht="14.25" customHeight="1">
      <c r="A2323" s="1" t="s">
        <v>9326</v>
      </c>
      <c r="B2323" s="1" t="s">
        <v>9327</v>
      </c>
      <c r="C2323" s="1" t="s">
        <v>53</v>
      </c>
      <c r="D2323" s="1">
        <v>22560.0</v>
      </c>
      <c r="E2323" s="1" t="s">
        <v>30</v>
      </c>
      <c r="F2323" s="1" t="s">
        <v>94</v>
      </c>
      <c r="G2323" s="1" t="s">
        <v>100</v>
      </c>
      <c r="H2323" s="2">
        <v>1801.0</v>
      </c>
      <c r="I2323" s="2">
        <v>8114.0</v>
      </c>
      <c r="J2323" s="1">
        <v>1957.0</v>
      </c>
      <c r="K2323" s="1">
        <v>102.0</v>
      </c>
      <c r="L2323" s="1" t="s">
        <v>32</v>
      </c>
      <c r="M2323" s="1" t="s">
        <v>9328</v>
      </c>
      <c r="N2323" s="1" t="s">
        <v>48</v>
      </c>
      <c r="O2323" s="1" t="s">
        <v>25</v>
      </c>
      <c r="P2323" s="1" t="s">
        <v>9329</v>
      </c>
    </row>
    <row r="2324" ht="14.25" customHeight="1">
      <c r="A2324" s="1" t="s">
        <v>9330</v>
      </c>
      <c r="B2324" s="1" t="s">
        <v>9331</v>
      </c>
      <c r="C2324" s="1" t="s">
        <v>53</v>
      </c>
      <c r="D2324" s="1">
        <v>39553.0</v>
      </c>
      <c r="E2324" s="1" t="s">
        <v>19</v>
      </c>
      <c r="F2324" s="1" t="s">
        <v>61</v>
      </c>
      <c r="G2324" s="1" t="s">
        <v>100</v>
      </c>
      <c r="H2324" s="2">
        <v>2768.0</v>
      </c>
      <c r="I2324" s="2">
        <v>1054.0</v>
      </c>
      <c r="J2324" s="1">
        <v>2003.0</v>
      </c>
      <c r="K2324" s="1">
        <v>9.0</v>
      </c>
      <c r="L2324" s="1" t="s">
        <v>22</v>
      </c>
      <c r="M2324" s="1" t="s">
        <v>9332</v>
      </c>
      <c r="N2324" s="1" t="s">
        <v>64</v>
      </c>
      <c r="O2324" s="1" t="s">
        <v>25</v>
      </c>
      <c r="P2324" s="1" t="s">
        <v>9333</v>
      </c>
    </row>
    <row r="2325" ht="14.25" customHeight="1">
      <c r="A2325" s="1" t="s">
        <v>9334</v>
      </c>
      <c r="B2325" s="1" t="s">
        <v>9335</v>
      </c>
      <c r="C2325" s="1" t="s">
        <v>29</v>
      </c>
      <c r="D2325" s="1">
        <v>90049.0</v>
      </c>
      <c r="E2325" s="1" t="s">
        <v>19</v>
      </c>
      <c r="F2325" s="1" t="s">
        <v>94</v>
      </c>
      <c r="G2325" s="1" t="s">
        <v>31</v>
      </c>
      <c r="H2325" s="2">
        <v>3972.0</v>
      </c>
      <c r="I2325" s="2">
        <v>5149.0</v>
      </c>
      <c r="J2325" s="1">
        <v>1977.0</v>
      </c>
      <c r="K2325" s="1">
        <v>58.0</v>
      </c>
      <c r="L2325" s="1" t="s">
        <v>141</v>
      </c>
      <c r="M2325" s="1" t="s">
        <v>9336</v>
      </c>
      <c r="N2325" s="1" t="s">
        <v>24</v>
      </c>
      <c r="O2325" s="1" t="s">
        <v>35</v>
      </c>
      <c r="P2325" s="1" t="s">
        <v>9337</v>
      </c>
    </row>
    <row r="2326" ht="14.25" customHeight="1">
      <c r="A2326" s="1" t="s">
        <v>9338</v>
      </c>
      <c r="B2326" s="1" t="s">
        <v>9339</v>
      </c>
      <c r="C2326" s="1" t="s">
        <v>29</v>
      </c>
      <c r="D2326" s="1">
        <v>81534.0</v>
      </c>
      <c r="E2326" s="1" t="s">
        <v>40</v>
      </c>
      <c r="F2326" s="1" t="s">
        <v>94</v>
      </c>
      <c r="G2326" s="1" t="s">
        <v>31</v>
      </c>
      <c r="H2326" s="2">
        <v>3813.0</v>
      </c>
      <c r="I2326" s="2">
        <v>1470.0</v>
      </c>
      <c r="J2326" s="1">
        <v>1999.0</v>
      </c>
      <c r="K2326" s="1">
        <v>27.0</v>
      </c>
      <c r="L2326" s="1" t="s">
        <v>62</v>
      </c>
      <c r="M2326" s="1" t="s">
        <v>9340</v>
      </c>
      <c r="N2326" s="1" t="s">
        <v>24</v>
      </c>
      <c r="O2326" s="1" t="s">
        <v>35</v>
      </c>
      <c r="P2326" s="1" t="s">
        <v>9341</v>
      </c>
    </row>
    <row r="2327" ht="14.25" customHeight="1">
      <c r="A2327" s="1" t="s">
        <v>9342</v>
      </c>
      <c r="B2327" s="1" t="s">
        <v>9343</v>
      </c>
      <c r="C2327" s="1" t="s">
        <v>39</v>
      </c>
      <c r="D2327" s="1">
        <v>38728.0</v>
      </c>
      <c r="E2327" s="1" t="s">
        <v>19</v>
      </c>
      <c r="F2327" s="1" t="s">
        <v>54</v>
      </c>
      <c r="G2327" s="1" t="s">
        <v>31</v>
      </c>
      <c r="H2327" s="2">
        <v>2100.0</v>
      </c>
      <c r="I2327" s="2">
        <v>7081.0</v>
      </c>
      <c r="J2327" s="1">
        <v>1995.0</v>
      </c>
      <c r="K2327" s="1">
        <v>77.0</v>
      </c>
      <c r="L2327" s="1" t="s">
        <v>62</v>
      </c>
      <c r="M2327" s="1" t="s">
        <v>9344</v>
      </c>
      <c r="N2327" s="1" t="s">
        <v>34</v>
      </c>
      <c r="O2327" s="1" t="s">
        <v>35</v>
      </c>
      <c r="P2327" s="1" t="s">
        <v>9345</v>
      </c>
    </row>
    <row r="2328" ht="14.25" customHeight="1">
      <c r="A2328" s="1" t="s">
        <v>9346</v>
      </c>
      <c r="B2328" s="1" t="s">
        <v>9347</v>
      </c>
      <c r="C2328" s="1" t="s">
        <v>76</v>
      </c>
      <c r="D2328" s="1">
        <v>43032.0</v>
      </c>
      <c r="E2328" s="1" t="s">
        <v>19</v>
      </c>
      <c r="F2328" s="1" t="s">
        <v>94</v>
      </c>
      <c r="G2328" s="1" t="s">
        <v>55</v>
      </c>
      <c r="H2328" s="2">
        <v>1809.0</v>
      </c>
      <c r="I2328" s="2">
        <v>1985.0</v>
      </c>
      <c r="J2328" s="1">
        <v>2015.0</v>
      </c>
      <c r="K2328" s="1">
        <v>90.0</v>
      </c>
      <c r="L2328" s="1" t="s">
        <v>95</v>
      </c>
      <c r="M2328" s="1" t="s">
        <v>9348</v>
      </c>
      <c r="N2328" s="1" t="s">
        <v>34</v>
      </c>
      <c r="O2328" s="1" t="s">
        <v>25</v>
      </c>
      <c r="P2328" s="1" t="s">
        <v>9349</v>
      </c>
    </row>
    <row r="2329" ht="14.25" customHeight="1">
      <c r="A2329" s="1" t="s">
        <v>9350</v>
      </c>
      <c r="B2329" s="1" t="s">
        <v>9351</v>
      </c>
      <c r="C2329" s="1" t="s">
        <v>29</v>
      </c>
      <c r="D2329" s="1">
        <v>69983.0</v>
      </c>
      <c r="E2329" s="1" t="s">
        <v>40</v>
      </c>
      <c r="F2329" s="1" t="s">
        <v>94</v>
      </c>
      <c r="G2329" s="1" t="s">
        <v>100</v>
      </c>
      <c r="H2329" s="2">
        <v>2923.0</v>
      </c>
      <c r="I2329" s="2">
        <v>3343.0</v>
      </c>
      <c r="J2329" s="1">
        <v>2011.0</v>
      </c>
      <c r="K2329" s="1">
        <v>68.0</v>
      </c>
      <c r="L2329" s="1" t="s">
        <v>141</v>
      </c>
      <c r="M2329" s="1" t="s">
        <v>9352</v>
      </c>
      <c r="N2329" s="1" t="s">
        <v>24</v>
      </c>
      <c r="O2329" s="1" t="s">
        <v>25</v>
      </c>
      <c r="P2329" s="1" t="s">
        <v>9353</v>
      </c>
    </row>
    <row r="2330" ht="14.25" customHeight="1">
      <c r="A2330" s="1" t="s">
        <v>9354</v>
      </c>
      <c r="B2330" s="1" t="s">
        <v>9355</v>
      </c>
      <c r="C2330" s="1" t="s">
        <v>18</v>
      </c>
      <c r="D2330" s="1">
        <v>93305.0</v>
      </c>
      <c r="E2330" s="1" t="s">
        <v>19</v>
      </c>
      <c r="F2330" s="1" t="s">
        <v>46</v>
      </c>
      <c r="G2330" s="1" t="s">
        <v>31</v>
      </c>
      <c r="H2330" s="2">
        <v>1217.0</v>
      </c>
      <c r="I2330" s="2">
        <v>7906.0</v>
      </c>
      <c r="J2330" s="1">
        <v>1969.0</v>
      </c>
      <c r="K2330" s="1">
        <v>73.0</v>
      </c>
      <c r="L2330" s="1" t="s">
        <v>22</v>
      </c>
      <c r="M2330" s="1" t="s">
        <v>9356</v>
      </c>
      <c r="N2330" s="1" t="s">
        <v>34</v>
      </c>
      <c r="O2330" s="1" t="s">
        <v>49</v>
      </c>
      <c r="P2330" s="1" t="s">
        <v>9357</v>
      </c>
    </row>
    <row r="2331" ht="14.25" customHeight="1">
      <c r="A2331" s="1" t="s">
        <v>9358</v>
      </c>
      <c r="B2331" s="1" t="s">
        <v>9359</v>
      </c>
      <c r="C2331" s="1" t="s">
        <v>76</v>
      </c>
      <c r="D2331" s="1">
        <v>63758.0</v>
      </c>
      <c r="E2331" s="1" t="s">
        <v>60</v>
      </c>
      <c r="F2331" s="1" t="s">
        <v>41</v>
      </c>
      <c r="G2331" s="1" t="s">
        <v>31</v>
      </c>
      <c r="H2331" s="2">
        <v>1942.0</v>
      </c>
      <c r="I2331" s="2">
        <v>7187.0</v>
      </c>
      <c r="J2331" s="1">
        <v>2002.0</v>
      </c>
      <c r="K2331" s="1">
        <v>12.0</v>
      </c>
      <c r="L2331" s="1" t="s">
        <v>141</v>
      </c>
      <c r="M2331" s="1" t="s">
        <v>9360</v>
      </c>
      <c r="N2331" s="1" t="s">
        <v>43</v>
      </c>
      <c r="O2331" s="1" t="s">
        <v>35</v>
      </c>
      <c r="P2331" s="1" t="s">
        <v>9361</v>
      </c>
    </row>
    <row r="2332" ht="14.25" customHeight="1">
      <c r="A2332" s="1" t="s">
        <v>9362</v>
      </c>
      <c r="B2332" s="1" t="s">
        <v>9363</v>
      </c>
      <c r="C2332" s="1" t="s">
        <v>29</v>
      </c>
      <c r="D2332" s="1">
        <v>86255.0</v>
      </c>
      <c r="E2332" s="1" t="s">
        <v>60</v>
      </c>
      <c r="F2332" s="1" t="s">
        <v>54</v>
      </c>
      <c r="G2332" s="1" t="s">
        <v>55</v>
      </c>
      <c r="H2332" s="2">
        <v>1606.0</v>
      </c>
      <c r="I2332" s="2">
        <v>8191.0</v>
      </c>
      <c r="J2332" s="1">
        <v>1970.0</v>
      </c>
      <c r="K2332" s="1">
        <v>38.0</v>
      </c>
      <c r="L2332" s="1" t="s">
        <v>141</v>
      </c>
      <c r="M2332" s="1" t="s">
        <v>9364</v>
      </c>
      <c r="N2332" s="1" t="s">
        <v>34</v>
      </c>
      <c r="O2332" s="1" t="s">
        <v>25</v>
      </c>
      <c r="P2332" s="1" t="s">
        <v>9365</v>
      </c>
    </row>
    <row r="2333" ht="14.25" customHeight="1">
      <c r="A2333" s="1" t="s">
        <v>9366</v>
      </c>
      <c r="B2333" s="1" t="s">
        <v>9367</v>
      </c>
      <c r="C2333" s="1" t="s">
        <v>53</v>
      </c>
      <c r="D2333" s="1">
        <v>86392.0</v>
      </c>
      <c r="E2333" s="1" t="s">
        <v>40</v>
      </c>
      <c r="F2333" s="1" t="s">
        <v>46</v>
      </c>
      <c r="G2333" s="1" t="s">
        <v>100</v>
      </c>
      <c r="H2333" s="2">
        <v>2236.0</v>
      </c>
      <c r="I2333" s="2">
        <v>2697.0</v>
      </c>
      <c r="J2333" s="1">
        <v>1969.0</v>
      </c>
      <c r="K2333" s="1">
        <v>103.0</v>
      </c>
      <c r="L2333" s="1" t="s">
        <v>22</v>
      </c>
      <c r="M2333" s="1" t="s">
        <v>9368</v>
      </c>
      <c r="N2333" s="1" t="s">
        <v>64</v>
      </c>
      <c r="O2333" s="1" t="s">
        <v>25</v>
      </c>
      <c r="P2333" s="1" t="s">
        <v>9369</v>
      </c>
    </row>
    <row r="2334" ht="14.25" customHeight="1">
      <c r="A2334" s="1" t="s">
        <v>9370</v>
      </c>
      <c r="B2334" s="1" t="s">
        <v>9371</v>
      </c>
      <c r="C2334" s="1" t="s">
        <v>39</v>
      </c>
      <c r="D2334" s="1">
        <v>87872.0</v>
      </c>
      <c r="E2334" s="1" t="s">
        <v>30</v>
      </c>
      <c r="F2334" s="1" t="s">
        <v>94</v>
      </c>
      <c r="G2334" s="1" t="s">
        <v>21</v>
      </c>
      <c r="H2334" s="2">
        <v>1860.0</v>
      </c>
      <c r="I2334" s="2">
        <v>6006.0</v>
      </c>
      <c r="J2334" s="1">
        <v>2021.0</v>
      </c>
      <c r="K2334" s="1">
        <v>7.0</v>
      </c>
      <c r="L2334" s="1" t="s">
        <v>62</v>
      </c>
      <c r="M2334" s="1" t="s">
        <v>9372</v>
      </c>
      <c r="N2334" s="1" t="s">
        <v>64</v>
      </c>
      <c r="O2334" s="1" t="s">
        <v>49</v>
      </c>
      <c r="P2334" s="1" t="s">
        <v>9373</v>
      </c>
    </row>
    <row r="2335" ht="14.25" customHeight="1">
      <c r="A2335" s="1" t="s">
        <v>9374</v>
      </c>
      <c r="B2335" s="1" t="s">
        <v>9375</v>
      </c>
      <c r="C2335" s="1" t="s">
        <v>29</v>
      </c>
      <c r="D2335" s="1">
        <v>10536.0</v>
      </c>
      <c r="E2335" s="1" t="s">
        <v>40</v>
      </c>
      <c r="F2335" s="1" t="s">
        <v>20</v>
      </c>
      <c r="G2335" s="1" t="s">
        <v>31</v>
      </c>
      <c r="H2335" s="2">
        <v>3332.0</v>
      </c>
      <c r="I2335" s="2">
        <v>2777.0</v>
      </c>
      <c r="J2335" s="1">
        <v>2017.0</v>
      </c>
      <c r="K2335" s="1">
        <v>96.0</v>
      </c>
      <c r="L2335" s="1" t="s">
        <v>95</v>
      </c>
      <c r="M2335" s="1" t="s">
        <v>9376</v>
      </c>
      <c r="N2335" s="1" t="s">
        <v>48</v>
      </c>
      <c r="O2335" s="1" t="s">
        <v>25</v>
      </c>
      <c r="P2335" s="1" t="s">
        <v>9377</v>
      </c>
    </row>
    <row r="2336" ht="14.25" customHeight="1">
      <c r="A2336" s="1" t="s">
        <v>9378</v>
      </c>
      <c r="B2336" s="1" t="s">
        <v>9379</v>
      </c>
      <c r="C2336" s="1" t="s">
        <v>53</v>
      </c>
      <c r="D2336" s="1">
        <v>39632.0</v>
      </c>
      <c r="E2336" s="1" t="s">
        <v>19</v>
      </c>
      <c r="F2336" s="1" t="s">
        <v>20</v>
      </c>
      <c r="G2336" s="1" t="s">
        <v>55</v>
      </c>
      <c r="H2336" s="2">
        <v>1933.0</v>
      </c>
      <c r="I2336" s="2">
        <v>5909.0</v>
      </c>
      <c r="J2336" s="1">
        <v>1977.0</v>
      </c>
      <c r="K2336" s="1">
        <v>45.0</v>
      </c>
      <c r="L2336" s="1" t="s">
        <v>32</v>
      </c>
      <c r="M2336" s="1" t="s">
        <v>9380</v>
      </c>
      <c r="N2336" s="1" t="s">
        <v>34</v>
      </c>
      <c r="O2336" s="1" t="s">
        <v>35</v>
      </c>
      <c r="P2336" s="1" t="s">
        <v>9381</v>
      </c>
    </row>
    <row r="2337" ht="14.25" customHeight="1">
      <c r="A2337" s="1" t="s">
        <v>9382</v>
      </c>
      <c r="B2337" s="1" t="s">
        <v>9383</v>
      </c>
      <c r="C2337" s="1" t="s">
        <v>39</v>
      </c>
      <c r="D2337" s="1">
        <v>91711.0</v>
      </c>
      <c r="E2337" s="1" t="s">
        <v>30</v>
      </c>
      <c r="F2337" s="1" t="s">
        <v>94</v>
      </c>
      <c r="G2337" s="1" t="s">
        <v>31</v>
      </c>
      <c r="H2337" s="2">
        <v>1410.0</v>
      </c>
      <c r="I2337" s="2">
        <v>5158.0</v>
      </c>
      <c r="J2337" s="1">
        <v>1993.0</v>
      </c>
      <c r="K2337" s="1">
        <v>118.0</v>
      </c>
      <c r="L2337" s="1" t="s">
        <v>32</v>
      </c>
      <c r="M2337" s="1" t="s">
        <v>9384</v>
      </c>
      <c r="N2337" s="1" t="s">
        <v>43</v>
      </c>
      <c r="O2337" s="1" t="s">
        <v>49</v>
      </c>
      <c r="P2337" s="1" t="s">
        <v>9385</v>
      </c>
    </row>
    <row r="2338" ht="14.25" customHeight="1">
      <c r="A2338" s="1" t="s">
        <v>9386</v>
      </c>
      <c r="B2338" s="1" t="s">
        <v>9387</v>
      </c>
      <c r="C2338" s="1" t="s">
        <v>39</v>
      </c>
      <c r="D2338" s="1">
        <v>19611.0</v>
      </c>
      <c r="E2338" s="1" t="s">
        <v>60</v>
      </c>
      <c r="F2338" s="1" t="s">
        <v>41</v>
      </c>
      <c r="G2338" s="1" t="s">
        <v>100</v>
      </c>
      <c r="H2338" s="2">
        <v>882.0</v>
      </c>
      <c r="I2338" s="2">
        <v>7084.0</v>
      </c>
      <c r="J2338" s="1">
        <v>1993.0</v>
      </c>
      <c r="K2338" s="1">
        <v>39.0</v>
      </c>
      <c r="L2338" s="1" t="s">
        <v>95</v>
      </c>
      <c r="M2338" s="1" t="s">
        <v>9388</v>
      </c>
      <c r="N2338" s="1" t="s">
        <v>64</v>
      </c>
      <c r="O2338" s="1" t="s">
        <v>25</v>
      </c>
      <c r="P2338" s="1" t="s">
        <v>9389</v>
      </c>
    </row>
    <row r="2339" ht="14.25" customHeight="1">
      <c r="A2339" s="1" t="s">
        <v>9390</v>
      </c>
      <c r="B2339" s="1" t="s">
        <v>9391</v>
      </c>
      <c r="C2339" s="1" t="s">
        <v>53</v>
      </c>
      <c r="D2339" s="1">
        <v>30850.0</v>
      </c>
      <c r="E2339" s="1" t="s">
        <v>77</v>
      </c>
      <c r="F2339" s="1" t="s">
        <v>41</v>
      </c>
      <c r="G2339" s="1" t="s">
        <v>100</v>
      </c>
      <c r="H2339" s="2">
        <v>1466.0</v>
      </c>
      <c r="I2339" s="2">
        <v>5493.0</v>
      </c>
      <c r="J2339" s="1">
        <v>1989.0</v>
      </c>
      <c r="K2339" s="1">
        <v>61.0</v>
      </c>
      <c r="L2339" s="1" t="s">
        <v>22</v>
      </c>
      <c r="M2339" s="1" t="s">
        <v>9392</v>
      </c>
      <c r="N2339" s="1" t="s">
        <v>24</v>
      </c>
      <c r="O2339" s="1" t="s">
        <v>49</v>
      </c>
      <c r="P2339" s="1" t="s">
        <v>9393</v>
      </c>
    </row>
    <row r="2340" ht="14.25" customHeight="1">
      <c r="A2340" s="1" t="s">
        <v>9394</v>
      </c>
      <c r="B2340" s="1" t="s">
        <v>9395</v>
      </c>
      <c r="C2340" s="1" t="s">
        <v>39</v>
      </c>
      <c r="D2340" s="1">
        <v>87329.0</v>
      </c>
      <c r="E2340" s="1" t="s">
        <v>30</v>
      </c>
      <c r="F2340" s="1" t="s">
        <v>94</v>
      </c>
      <c r="G2340" s="1" t="s">
        <v>100</v>
      </c>
      <c r="H2340" s="2">
        <v>3797.0</v>
      </c>
      <c r="I2340" s="2">
        <v>4841.0</v>
      </c>
      <c r="J2340" s="1">
        <v>1962.0</v>
      </c>
      <c r="K2340" s="1">
        <v>89.0</v>
      </c>
      <c r="L2340" s="1" t="s">
        <v>141</v>
      </c>
      <c r="M2340" s="1" t="s">
        <v>9396</v>
      </c>
      <c r="N2340" s="1" t="s">
        <v>43</v>
      </c>
      <c r="O2340" s="1" t="s">
        <v>35</v>
      </c>
      <c r="P2340" s="1" t="s">
        <v>9397</v>
      </c>
    </row>
    <row r="2341" ht="14.25" customHeight="1">
      <c r="A2341" s="1" t="s">
        <v>9398</v>
      </c>
      <c r="B2341" s="1" t="s">
        <v>9399</v>
      </c>
      <c r="C2341" s="1" t="s">
        <v>29</v>
      </c>
      <c r="D2341" s="1">
        <v>42332.0</v>
      </c>
      <c r="E2341" s="1" t="s">
        <v>19</v>
      </c>
      <c r="F2341" s="1" t="s">
        <v>94</v>
      </c>
      <c r="G2341" s="1" t="s">
        <v>31</v>
      </c>
      <c r="H2341" s="2">
        <v>1462.0</v>
      </c>
      <c r="I2341" s="2">
        <v>3326.0</v>
      </c>
      <c r="J2341" s="1">
        <v>1951.0</v>
      </c>
      <c r="K2341" s="1">
        <v>78.0</v>
      </c>
      <c r="L2341" s="1" t="s">
        <v>95</v>
      </c>
      <c r="M2341" s="1" t="s">
        <v>9400</v>
      </c>
      <c r="N2341" s="1" t="s">
        <v>24</v>
      </c>
      <c r="O2341" s="1" t="s">
        <v>35</v>
      </c>
      <c r="P2341" s="1" t="s">
        <v>9401</v>
      </c>
    </row>
    <row r="2342" ht="14.25" customHeight="1">
      <c r="A2342" s="1" t="s">
        <v>9402</v>
      </c>
      <c r="B2342" s="1" t="s">
        <v>9403</v>
      </c>
      <c r="C2342" s="1" t="s">
        <v>53</v>
      </c>
      <c r="D2342" s="1">
        <v>55515.0</v>
      </c>
      <c r="E2342" s="1" t="s">
        <v>30</v>
      </c>
      <c r="F2342" s="1" t="s">
        <v>61</v>
      </c>
      <c r="G2342" s="1" t="s">
        <v>55</v>
      </c>
      <c r="H2342" s="2">
        <v>1460.0</v>
      </c>
      <c r="I2342" s="2">
        <v>8369.0</v>
      </c>
      <c r="J2342" s="1">
        <v>1987.0</v>
      </c>
      <c r="K2342" s="1">
        <v>118.0</v>
      </c>
      <c r="L2342" s="1" t="s">
        <v>62</v>
      </c>
      <c r="M2342" s="1" t="s">
        <v>9404</v>
      </c>
      <c r="N2342" s="1" t="s">
        <v>43</v>
      </c>
      <c r="O2342" s="1" t="s">
        <v>25</v>
      </c>
      <c r="P2342" s="1" t="s">
        <v>9405</v>
      </c>
    </row>
    <row r="2343" ht="14.25" customHeight="1">
      <c r="A2343" s="1" t="s">
        <v>9406</v>
      </c>
      <c r="B2343" s="1" t="s">
        <v>9407</v>
      </c>
      <c r="C2343" s="1" t="s">
        <v>76</v>
      </c>
      <c r="D2343" s="1">
        <v>92035.0</v>
      </c>
      <c r="E2343" s="1" t="s">
        <v>60</v>
      </c>
      <c r="F2343" s="1" t="s">
        <v>61</v>
      </c>
      <c r="G2343" s="1" t="s">
        <v>100</v>
      </c>
      <c r="H2343" s="2">
        <v>2552.0</v>
      </c>
      <c r="I2343" s="2">
        <v>4652.0</v>
      </c>
      <c r="J2343" s="1">
        <v>2006.0</v>
      </c>
      <c r="K2343" s="1">
        <v>49.0</v>
      </c>
      <c r="L2343" s="1" t="s">
        <v>22</v>
      </c>
      <c r="M2343" s="1" t="s">
        <v>9408</v>
      </c>
      <c r="N2343" s="1" t="s">
        <v>24</v>
      </c>
      <c r="O2343" s="1" t="s">
        <v>25</v>
      </c>
      <c r="P2343" s="1" t="s">
        <v>9409</v>
      </c>
    </row>
    <row r="2344" ht="14.25" customHeight="1">
      <c r="A2344" s="1" t="s">
        <v>9410</v>
      </c>
      <c r="B2344" s="1" t="s">
        <v>9411</v>
      </c>
      <c r="C2344" s="1" t="s">
        <v>53</v>
      </c>
      <c r="D2344" s="1">
        <v>83930.0</v>
      </c>
      <c r="E2344" s="1" t="s">
        <v>77</v>
      </c>
      <c r="F2344" s="1" t="s">
        <v>46</v>
      </c>
      <c r="G2344" s="1" t="s">
        <v>100</v>
      </c>
      <c r="H2344" s="2">
        <v>3512.0</v>
      </c>
      <c r="I2344" s="2">
        <v>7003.0</v>
      </c>
      <c r="J2344" s="1">
        <v>1965.0</v>
      </c>
      <c r="K2344" s="1">
        <v>92.0</v>
      </c>
      <c r="L2344" s="1" t="s">
        <v>95</v>
      </c>
      <c r="M2344" s="1" t="s">
        <v>9412</v>
      </c>
      <c r="N2344" s="1" t="s">
        <v>24</v>
      </c>
      <c r="O2344" s="1" t="s">
        <v>49</v>
      </c>
      <c r="P2344" s="1" t="s">
        <v>9413</v>
      </c>
    </row>
    <row r="2345" ht="14.25" customHeight="1">
      <c r="A2345" s="1" t="s">
        <v>9414</v>
      </c>
      <c r="B2345" s="1" t="s">
        <v>9415</v>
      </c>
      <c r="C2345" s="1" t="s">
        <v>29</v>
      </c>
      <c r="D2345" s="1">
        <v>98695.0</v>
      </c>
      <c r="E2345" s="1" t="s">
        <v>19</v>
      </c>
      <c r="F2345" s="1" t="s">
        <v>20</v>
      </c>
      <c r="G2345" s="1" t="s">
        <v>55</v>
      </c>
      <c r="H2345" s="2">
        <v>2398.0</v>
      </c>
      <c r="I2345" s="2">
        <v>9644.0</v>
      </c>
      <c r="J2345" s="1">
        <v>2013.0</v>
      </c>
      <c r="K2345" s="1">
        <v>2.0</v>
      </c>
      <c r="L2345" s="1" t="s">
        <v>141</v>
      </c>
      <c r="M2345" s="1" t="s">
        <v>9416</v>
      </c>
      <c r="N2345" s="1" t="s">
        <v>24</v>
      </c>
      <c r="O2345" s="1" t="s">
        <v>35</v>
      </c>
      <c r="P2345" s="1" t="s">
        <v>9417</v>
      </c>
    </row>
    <row r="2346" ht="14.25" customHeight="1">
      <c r="A2346" s="1" t="s">
        <v>9418</v>
      </c>
      <c r="B2346" s="1" t="s">
        <v>9419</v>
      </c>
      <c r="C2346" s="1" t="s">
        <v>18</v>
      </c>
      <c r="D2346" s="1">
        <v>96081.0</v>
      </c>
      <c r="E2346" s="1" t="s">
        <v>40</v>
      </c>
      <c r="F2346" s="1" t="s">
        <v>54</v>
      </c>
      <c r="G2346" s="1" t="s">
        <v>31</v>
      </c>
      <c r="H2346" s="2">
        <v>3578.0</v>
      </c>
      <c r="I2346" s="2">
        <v>9553.0</v>
      </c>
      <c r="J2346" s="1">
        <v>2011.0</v>
      </c>
      <c r="K2346" s="1">
        <v>13.0</v>
      </c>
      <c r="L2346" s="1" t="s">
        <v>22</v>
      </c>
      <c r="M2346" s="1" t="s">
        <v>9420</v>
      </c>
      <c r="N2346" s="1" t="s">
        <v>48</v>
      </c>
      <c r="O2346" s="1" t="s">
        <v>25</v>
      </c>
      <c r="P2346" s="1" t="s">
        <v>9421</v>
      </c>
    </row>
    <row r="2347" ht="14.25" customHeight="1">
      <c r="A2347" s="1" t="s">
        <v>9422</v>
      </c>
      <c r="B2347" s="1" t="s">
        <v>9423</v>
      </c>
      <c r="C2347" s="1" t="s">
        <v>39</v>
      </c>
      <c r="D2347" s="1">
        <v>92484.0</v>
      </c>
      <c r="E2347" s="1" t="s">
        <v>19</v>
      </c>
      <c r="F2347" s="1" t="s">
        <v>54</v>
      </c>
      <c r="G2347" s="1" t="s">
        <v>31</v>
      </c>
      <c r="H2347" s="2">
        <v>2183.0</v>
      </c>
      <c r="I2347" s="2">
        <v>5809.0</v>
      </c>
      <c r="J2347" s="1">
        <v>2020.0</v>
      </c>
      <c r="K2347" s="1">
        <v>65.0</v>
      </c>
      <c r="L2347" s="1" t="s">
        <v>95</v>
      </c>
      <c r="M2347" s="1" t="s">
        <v>9424</v>
      </c>
      <c r="N2347" s="1" t="s">
        <v>24</v>
      </c>
      <c r="O2347" s="1" t="s">
        <v>25</v>
      </c>
      <c r="P2347" s="1" t="s">
        <v>9425</v>
      </c>
    </row>
    <row r="2348" ht="14.25" customHeight="1">
      <c r="A2348" s="1" t="s">
        <v>9426</v>
      </c>
      <c r="B2348" s="1" t="s">
        <v>9427</v>
      </c>
      <c r="C2348" s="1" t="s">
        <v>39</v>
      </c>
      <c r="D2348" s="1">
        <v>93008.0</v>
      </c>
      <c r="E2348" s="1" t="s">
        <v>19</v>
      </c>
      <c r="F2348" s="1" t="s">
        <v>46</v>
      </c>
      <c r="G2348" s="1" t="s">
        <v>55</v>
      </c>
      <c r="H2348" s="2">
        <v>1392.0</v>
      </c>
      <c r="I2348" s="2">
        <v>8342.0</v>
      </c>
      <c r="J2348" s="1">
        <v>1958.0</v>
      </c>
      <c r="K2348" s="1">
        <v>59.0</v>
      </c>
      <c r="L2348" s="1" t="s">
        <v>32</v>
      </c>
      <c r="M2348" s="1" t="s">
        <v>9428</v>
      </c>
      <c r="N2348" s="1" t="s">
        <v>24</v>
      </c>
      <c r="O2348" s="1" t="s">
        <v>49</v>
      </c>
      <c r="P2348" s="1" t="s">
        <v>9429</v>
      </c>
    </row>
    <row r="2349" ht="14.25" customHeight="1">
      <c r="A2349" s="1" t="s">
        <v>9430</v>
      </c>
      <c r="B2349" s="1" t="s">
        <v>9431</v>
      </c>
      <c r="C2349" s="1" t="s">
        <v>39</v>
      </c>
      <c r="D2349" s="1">
        <v>61576.0</v>
      </c>
      <c r="E2349" s="1" t="s">
        <v>40</v>
      </c>
      <c r="F2349" s="1" t="s">
        <v>54</v>
      </c>
      <c r="G2349" s="1" t="s">
        <v>31</v>
      </c>
      <c r="H2349" s="2">
        <v>1187.0</v>
      </c>
      <c r="I2349" s="2">
        <v>8603.0</v>
      </c>
      <c r="J2349" s="1">
        <v>1953.0</v>
      </c>
      <c r="K2349" s="1">
        <v>76.0</v>
      </c>
      <c r="L2349" s="1" t="s">
        <v>141</v>
      </c>
      <c r="M2349" s="1" t="s">
        <v>9432</v>
      </c>
      <c r="N2349" s="1" t="s">
        <v>34</v>
      </c>
      <c r="O2349" s="1" t="s">
        <v>49</v>
      </c>
      <c r="P2349" s="1" t="s">
        <v>9433</v>
      </c>
    </row>
    <row r="2350" ht="14.25" customHeight="1">
      <c r="A2350" s="1" t="s">
        <v>9434</v>
      </c>
      <c r="B2350" s="1" t="s">
        <v>9435</v>
      </c>
      <c r="C2350" s="1" t="s">
        <v>76</v>
      </c>
      <c r="D2350" s="1">
        <v>75902.0</v>
      </c>
      <c r="E2350" s="1" t="s">
        <v>40</v>
      </c>
      <c r="F2350" s="1" t="s">
        <v>54</v>
      </c>
      <c r="G2350" s="1" t="s">
        <v>100</v>
      </c>
      <c r="H2350" s="2">
        <v>1848.0</v>
      </c>
      <c r="I2350" s="2">
        <v>4632.0</v>
      </c>
      <c r="J2350" s="1">
        <v>2012.0</v>
      </c>
      <c r="K2350" s="1">
        <v>3.0</v>
      </c>
      <c r="L2350" s="1" t="s">
        <v>32</v>
      </c>
      <c r="M2350" s="1" t="s">
        <v>9436</v>
      </c>
      <c r="N2350" s="1" t="s">
        <v>48</v>
      </c>
      <c r="O2350" s="1" t="s">
        <v>49</v>
      </c>
      <c r="P2350" s="1" t="s">
        <v>9437</v>
      </c>
    </row>
    <row r="2351" ht="14.25" customHeight="1">
      <c r="A2351" s="1" t="s">
        <v>9438</v>
      </c>
      <c r="B2351" s="1" t="s">
        <v>9439</v>
      </c>
      <c r="C2351" s="1" t="s">
        <v>29</v>
      </c>
      <c r="D2351" s="1">
        <v>38628.0</v>
      </c>
      <c r="E2351" s="1" t="s">
        <v>77</v>
      </c>
      <c r="F2351" s="1" t="s">
        <v>46</v>
      </c>
      <c r="G2351" s="1" t="s">
        <v>31</v>
      </c>
      <c r="H2351" s="2">
        <v>1195.0</v>
      </c>
      <c r="I2351" s="2">
        <v>4722.0</v>
      </c>
      <c r="J2351" s="1">
        <v>1955.0</v>
      </c>
      <c r="K2351" s="1">
        <v>48.0</v>
      </c>
      <c r="L2351" s="1" t="s">
        <v>95</v>
      </c>
      <c r="M2351" s="1" t="s">
        <v>9440</v>
      </c>
      <c r="N2351" s="1" t="s">
        <v>24</v>
      </c>
      <c r="O2351" s="1" t="s">
        <v>25</v>
      </c>
      <c r="P2351" s="1" t="s">
        <v>9441</v>
      </c>
    </row>
    <row r="2352" ht="14.25" customHeight="1">
      <c r="A2352" s="1" t="s">
        <v>9442</v>
      </c>
      <c r="B2352" s="1" t="s">
        <v>9443</v>
      </c>
      <c r="C2352" s="1" t="s">
        <v>76</v>
      </c>
      <c r="D2352" s="1">
        <v>60225.0</v>
      </c>
      <c r="E2352" s="1" t="s">
        <v>77</v>
      </c>
      <c r="F2352" s="1" t="s">
        <v>54</v>
      </c>
      <c r="G2352" s="1" t="s">
        <v>21</v>
      </c>
      <c r="H2352" s="2">
        <v>3828.0</v>
      </c>
      <c r="I2352" s="2">
        <v>4647.0</v>
      </c>
      <c r="J2352" s="1">
        <v>2019.0</v>
      </c>
      <c r="K2352" s="1">
        <v>65.0</v>
      </c>
      <c r="L2352" s="1" t="s">
        <v>22</v>
      </c>
      <c r="M2352" s="1" t="s">
        <v>9444</v>
      </c>
      <c r="N2352" s="1" t="s">
        <v>24</v>
      </c>
      <c r="O2352" s="1" t="s">
        <v>35</v>
      </c>
      <c r="P2352" s="1" t="s">
        <v>9445</v>
      </c>
    </row>
    <row r="2353" ht="14.25" customHeight="1">
      <c r="A2353" s="1" t="s">
        <v>9446</v>
      </c>
      <c r="B2353" s="1" t="s">
        <v>9447</v>
      </c>
      <c r="C2353" s="1" t="s">
        <v>76</v>
      </c>
      <c r="D2353" s="1">
        <v>56905.0</v>
      </c>
      <c r="E2353" s="1" t="s">
        <v>40</v>
      </c>
      <c r="F2353" s="1" t="s">
        <v>94</v>
      </c>
      <c r="G2353" s="1" t="s">
        <v>21</v>
      </c>
      <c r="H2353" s="2">
        <v>2329.0</v>
      </c>
      <c r="I2353" s="2">
        <v>2596.0</v>
      </c>
      <c r="J2353" s="1">
        <v>2006.0</v>
      </c>
      <c r="K2353" s="1">
        <v>53.0</v>
      </c>
      <c r="L2353" s="1" t="s">
        <v>22</v>
      </c>
      <c r="M2353" s="1" t="s">
        <v>9448</v>
      </c>
      <c r="N2353" s="1" t="s">
        <v>43</v>
      </c>
      <c r="O2353" s="1" t="s">
        <v>25</v>
      </c>
      <c r="P2353" s="1" t="s">
        <v>9449</v>
      </c>
    </row>
    <row r="2354" ht="14.25" customHeight="1">
      <c r="A2354" s="1" t="s">
        <v>9450</v>
      </c>
      <c r="B2354" s="1" t="s">
        <v>9451</v>
      </c>
      <c r="C2354" s="1" t="s">
        <v>76</v>
      </c>
      <c r="D2354" s="1">
        <v>33634.0</v>
      </c>
      <c r="E2354" s="1" t="s">
        <v>19</v>
      </c>
      <c r="F2354" s="1" t="s">
        <v>54</v>
      </c>
      <c r="G2354" s="1" t="s">
        <v>21</v>
      </c>
      <c r="H2354" s="2">
        <v>1254.0</v>
      </c>
      <c r="I2354" s="2">
        <v>1160.0</v>
      </c>
      <c r="J2354" s="1">
        <v>1964.0</v>
      </c>
      <c r="K2354" s="1">
        <v>72.0</v>
      </c>
      <c r="L2354" s="1" t="s">
        <v>22</v>
      </c>
      <c r="M2354" s="1" t="s">
        <v>9452</v>
      </c>
      <c r="N2354" s="1" t="s">
        <v>34</v>
      </c>
      <c r="O2354" s="1" t="s">
        <v>35</v>
      </c>
      <c r="P2354" s="1" t="s">
        <v>9453</v>
      </c>
    </row>
    <row r="2355" ht="14.25" customHeight="1">
      <c r="A2355" s="1" t="s">
        <v>9454</v>
      </c>
      <c r="B2355" s="1" t="s">
        <v>9455</v>
      </c>
      <c r="C2355" s="1" t="s">
        <v>39</v>
      </c>
      <c r="D2355" s="1">
        <v>85240.0</v>
      </c>
      <c r="E2355" s="1" t="s">
        <v>77</v>
      </c>
      <c r="F2355" s="1" t="s">
        <v>94</v>
      </c>
      <c r="G2355" s="1" t="s">
        <v>21</v>
      </c>
      <c r="H2355" s="2">
        <v>3074.0</v>
      </c>
      <c r="I2355" s="2">
        <v>1832.0</v>
      </c>
      <c r="J2355" s="1">
        <v>2015.0</v>
      </c>
      <c r="K2355" s="1">
        <v>84.0</v>
      </c>
      <c r="L2355" s="1" t="s">
        <v>62</v>
      </c>
      <c r="M2355" s="1" t="s">
        <v>9456</v>
      </c>
      <c r="N2355" s="1" t="s">
        <v>48</v>
      </c>
      <c r="O2355" s="1" t="s">
        <v>49</v>
      </c>
      <c r="P2355" s="1" t="s">
        <v>9457</v>
      </c>
    </row>
    <row r="2356" ht="14.25" customHeight="1">
      <c r="A2356" s="1" t="s">
        <v>9458</v>
      </c>
      <c r="B2356" s="1" t="s">
        <v>9459</v>
      </c>
      <c r="C2356" s="1" t="s">
        <v>29</v>
      </c>
      <c r="D2356" s="1">
        <v>27696.0</v>
      </c>
      <c r="E2356" s="1" t="s">
        <v>19</v>
      </c>
      <c r="F2356" s="1" t="s">
        <v>94</v>
      </c>
      <c r="G2356" s="1" t="s">
        <v>55</v>
      </c>
      <c r="H2356" s="2">
        <v>3792.0</v>
      </c>
      <c r="I2356" s="2">
        <v>7066.0</v>
      </c>
      <c r="J2356" s="1">
        <v>2018.0</v>
      </c>
      <c r="K2356" s="1">
        <v>89.0</v>
      </c>
      <c r="L2356" s="1" t="s">
        <v>141</v>
      </c>
      <c r="M2356" s="1" t="s">
        <v>9460</v>
      </c>
      <c r="N2356" s="1" t="s">
        <v>48</v>
      </c>
      <c r="O2356" s="1" t="s">
        <v>49</v>
      </c>
      <c r="P2356" s="1" t="s">
        <v>9461</v>
      </c>
    </row>
    <row r="2357" ht="14.25" customHeight="1">
      <c r="A2357" s="1" t="s">
        <v>9462</v>
      </c>
      <c r="B2357" s="1" t="s">
        <v>9463</v>
      </c>
      <c r="C2357" s="1" t="s">
        <v>29</v>
      </c>
      <c r="D2357" s="1">
        <v>57095.0</v>
      </c>
      <c r="E2357" s="1" t="s">
        <v>40</v>
      </c>
      <c r="F2357" s="1" t="s">
        <v>41</v>
      </c>
      <c r="G2357" s="1" t="s">
        <v>31</v>
      </c>
      <c r="H2357" s="2">
        <v>2695.0</v>
      </c>
      <c r="I2357" s="2">
        <v>9472.0</v>
      </c>
      <c r="J2357" s="1">
        <v>1956.0</v>
      </c>
      <c r="K2357" s="1">
        <v>69.0</v>
      </c>
      <c r="L2357" s="1" t="s">
        <v>141</v>
      </c>
      <c r="M2357" s="1" t="s">
        <v>9464</v>
      </c>
      <c r="N2357" s="1" t="s">
        <v>48</v>
      </c>
      <c r="O2357" s="1" t="s">
        <v>49</v>
      </c>
      <c r="P2357" s="1" t="s">
        <v>9465</v>
      </c>
    </row>
    <row r="2358" ht="14.25" customHeight="1">
      <c r="A2358" s="1" t="s">
        <v>9466</v>
      </c>
      <c r="B2358" s="1" t="s">
        <v>9467</v>
      </c>
      <c r="C2358" s="1" t="s">
        <v>53</v>
      </c>
      <c r="D2358" s="1">
        <v>12662.0</v>
      </c>
      <c r="E2358" s="1" t="s">
        <v>60</v>
      </c>
      <c r="F2358" s="1" t="s">
        <v>61</v>
      </c>
      <c r="G2358" s="1" t="s">
        <v>31</v>
      </c>
      <c r="H2358" s="2">
        <v>1275.0</v>
      </c>
      <c r="I2358" s="2">
        <v>9678.0</v>
      </c>
      <c r="J2358" s="1">
        <v>1993.0</v>
      </c>
      <c r="K2358" s="1">
        <v>81.0</v>
      </c>
      <c r="L2358" s="1" t="s">
        <v>62</v>
      </c>
      <c r="M2358" s="1" t="s">
        <v>9468</v>
      </c>
      <c r="N2358" s="1" t="s">
        <v>48</v>
      </c>
      <c r="O2358" s="1" t="s">
        <v>49</v>
      </c>
      <c r="P2358" s="1" t="s">
        <v>9469</v>
      </c>
    </row>
    <row r="2359" ht="14.25" customHeight="1">
      <c r="A2359" s="1" t="s">
        <v>9470</v>
      </c>
      <c r="B2359" s="1" t="s">
        <v>9471</v>
      </c>
      <c r="C2359" s="1" t="s">
        <v>53</v>
      </c>
      <c r="D2359" s="1">
        <v>95297.0</v>
      </c>
      <c r="E2359" s="1" t="s">
        <v>60</v>
      </c>
      <c r="F2359" s="1" t="s">
        <v>54</v>
      </c>
      <c r="G2359" s="1" t="s">
        <v>31</v>
      </c>
      <c r="H2359" s="2">
        <v>932.0</v>
      </c>
      <c r="I2359" s="2">
        <v>9842.0</v>
      </c>
      <c r="J2359" s="1">
        <v>1966.0</v>
      </c>
      <c r="K2359" s="1">
        <v>47.0</v>
      </c>
      <c r="L2359" s="1" t="s">
        <v>141</v>
      </c>
      <c r="M2359" s="1" t="s">
        <v>9472</v>
      </c>
      <c r="N2359" s="1" t="s">
        <v>48</v>
      </c>
      <c r="O2359" s="1" t="s">
        <v>49</v>
      </c>
      <c r="P2359" s="1" t="s">
        <v>9473</v>
      </c>
    </row>
    <row r="2360" ht="14.25" customHeight="1">
      <c r="A2360" s="1" t="s">
        <v>9474</v>
      </c>
      <c r="B2360" s="1" t="s">
        <v>9475</v>
      </c>
      <c r="C2360" s="1" t="s">
        <v>39</v>
      </c>
      <c r="D2360" s="1">
        <v>24915.0</v>
      </c>
      <c r="E2360" s="1" t="s">
        <v>60</v>
      </c>
      <c r="F2360" s="1" t="s">
        <v>20</v>
      </c>
      <c r="G2360" s="1" t="s">
        <v>100</v>
      </c>
      <c r="H2360" s="2">
        <v>1703.0</v>
      </c>
      <c r="I2360" s="2">
        <v>9188.0</v>
      </c>
      <c r="J2360" s="1">
        <v>1986.0</v>
      </c>
      <c r="K2360" s="1">
        <v>10.0</v>
      </c>
      <c r="L2360" s="1" t="s">
        <v>141</v>
      </c>
      <c r="M2360" s="1" t="s">
        <v>9476</v>
      </c>
      <c r="N2360" s="1" t="s">
        <v>48</v>
      </c>
      <c r="O2360" s="1" t="s">
        <v>35</v>
      </c>
      <c r="P2360" s="1" t="s">
        <v>9477</v>
      </c>
    </row>
    <row r="2361" ht="14.25" customHeight="1">
      <c r="A2361" s="1" t="s">
        <v>9478</v>
      </c>
      <c r="B2361" s="1" t="s">
        <v>9479</v>
      </c>
      <c r="C2361" s="1" t="s">
        <v>29</v>
      </c>
      <c r="D2361" s="1">
        <v>76828.0</v>
      </c>
      <c r="E2361" s="1" t="s">
        <v>60</v>
      </c>
      <c r="F2361" s="1" t="s">
        <v>54</v>
      </c>
      <c r="G2361" s="1" t="s">
        <v>21</v>
      </c>
      <c r="H2361" s="2">
        <v>2353.0</v>
      </c>
      <c r="I2361" s="2">
        <v>5835.0</v>
      </c>
      <c r="J2361" s="1">
        <v>1967.0</v>
      </c>
      <c r="K2361" s="1">
        <v>54.0</v>
      </c>
      <c r="L2361" s="1" t="s">
        <v>32</v>
      </c>
      <c r="M2361" s="1" t="s">
        <v>9480</v>
      </c>
      <c r="N2361" s="1" t="s">
        <v>43</v>
      </c>
      <c r="O2361" s="1" t="s">
        <v>35</v>
      </c>
      <c r="P2361" s="1" t="s">
        <v>9481</v>
      </c>
    </row>
    <row r="2362" ht="14.25" customHeight="1">
      <c r="A2362" s="1" t="s">
        <v>9482</v>
      </c>
      <c r="B2362" s="1" t="s">
        <v>9483</v>
      </c>
      <c r="C2362" s="1" t="s">
        <v>29</v>
      </c>
      <c r="D2362" s="1">
        <v>35115.0</v>
      </c>
      <c r="E2362" s="1" t="s">
        <v>60</v>
      </c>
      <c r="F2362" s="1" t="s">
        <v>41</v>
      </c>
      <c r="G2362" s="1" t="s">
        <v>21</v>
      </c>
      <c r="H2362" s="2">
        <v>1883.0</v>
      </c>
      <c r="I2362" s="2">
        <v>4819.0</v>
      </c>
      <c r="J2362" s="1">
        <v>1998.0</v>
      </c>
      <c r="K2362" s="1">
        <v>44.0</v>
      </c>
      <c r="L2362" s="1" t="s">
        <v>141</v>
      </c>
      <c r="M2362" s="1" t="s">
        <v>9484</v>
      </c>
      <c r="N2362" s="1" t="s">
        <v>34</v>
      </c>
      <c r="O2362" s="1" t="s">
        <v>35</v>
      </c>
      <c r="P2362" s="1" t="s">
        <v>9485</v>
      </c>
    </row>
    <row r="2363" ht="14.25" customHeight="1">
      <c r="A2363" s="1" t="s">
        <v>9486</v>
      </c>
      <c r="B2363" s="1" t="s">
        <v>9487</v>
      </c>
      <c r="C2363" s="1" t="s">
        <v>39</v>
      </c>
      <c r="D2363" s="1">
        <v>37203.0</v>
      </c>
      <c r="E2363" s="1" t="s">
        <v>60</v>
      </c>
      <c r="F2363" s="1" t="s">
        <v>94</v>
      </c>
      <c r="G2363" s="1" t="s">
        <v>21</v>
      </c>
      <c r="H2363" s="2">
        <v>2042.0</v>
      </c>
      <c r="I2363" s="2">
        <v>1284.0</v>
      </c>
      <c r="J2363" s="1">
        <v>2010.0</v>
      </c>
      <c r="K2363" s="1">
        <v>45.0</v>
      </c>
      <c r="L2363" s="1" t="s">
        <v>62</v>
      </c>
      <c r="M2363" s="1" t="s">
        <v>9488</v>
      </c>
      <c r="N2363" s="1" t="s">
        <v>34</v>
      </c>
      <c r="O2363" s="1" t="s">
        <v>49</v>
      </c>
      <c r="P2363" s="1" t="s">
        <v>9489</v>
      </c>
    </row>
    <row r="2364" ht="14.25" customHeight="1">
      <c r="A2364" s="1" t="s">
        <v>9490</v>
      </c>
      <c r="B2364" s="1" t="s">
        <v>9491</v>
      </c>
      <c r="C2364" s="1" t="s">
        <v>53</v>
      </c>
      <c r="D2364" s="1">
        <v>53697.0</v>
      </c>
      <c r="E2364" s="1" t="s">
        <v>30</v>
      </c>
      <c r="F2364" s="1" t="s">
        <v>46</v>
      </c>
      <c r="G2364" s="1" t="s">
        <v>21</v>
      </c>
      <c r="H2364" s="2">
        <v>3672.0</v>
      </c>
      <c r="I2364" s="2">
        <v>7279.0</v>
      </c>
      <c r="J2364" s="1">
        <v>1951.0</v>
      </c>
      <c r="K2364" s="1">
        <v>86.0</v>
      </c>
      <c r="L2364" s="1" t="s">
        <v>32</v>
      </c>
      <c r="M2364" s="1" t="s">
        <v>9492</v>
      </c>
      <c r="N2364" s="1" t="s">
        <v>24</v>
      </c>
      <c r="O2364" s="1" t="s">
        <v>49</v>
      </c>
      <c r="P2364" s="1" t="s">
        <v>9493</v>
      </c>
    </row>
    <row r="2365" ht="14.25" customHeight="1">
      <c r="A2365" s="1" t="s">
        <v>9494</v>
      </c>
      <c r="B2365" s="1" t="s">
        <v>9495</v>
      </c>
      <c r="C2365" s="1" t="s">
        <v>53</v>
      </c>
      <c r="D2365" s="1">
        <v>27588.0</v>
      </c>
      <c r="E2365" s="1" t="s">
        <v>77</v>
      </c>
      <c r="F2365" s="1" t="s">
        <v>41</v>
      </c>
      <c r="G2365" s="1" t="s">
        <v>55</v>
      </c>
      <c r="H2365" s="2">
        <v>1993.0</v>
      </c>
      <c r="I2365" s="2">
        <v>7426.0</v>
      </c>
      <c r="J2365" s="1">
        <v>1952.0</v>
      </c>
      <c r="K2365" s="1">
        <v>83.0</v>
      </c>
      <c r="L2365" s="1" t="s">
        <v>95</v>
      </c>
      <c r="M2365" s="1" t="s">
        <v>9496</v>
      </c>
      <c r="N2365" s="1" t="s">
        <v>34</v>
      </c>
      <c r="O2365" s="1" t="s">
        <v>35</v>
      </c>
      <c r="P2365" s="1" t="s">
        <v>9497</v>
      </c>
    </row>
    <row r="2366" ht="14.25" customHeight="1">
      <c r="A2366" s="1" t="s">
        <v>9498</v>
      </c>
      <c r="B2366" s="1" t="s">
        <v>9499</v>
      </c>
      <c r="C2366" s="1" t="s">
        <v>39</v>
      </c>
      <c r="D2366" s="1">
        <v>65857.0</v>
      </c>
      <c r="E2366" s="1" t="s">
        <v>30</v>
      </c>
      <c r="F2366" s="1" t="s">
        <v>20</v>
      </c>
      <c r="G2366" s="1" t="s">
        <v>100</v>
      </c>
      <c r="H2366" s="2">
        <v>2731.0</v>
      </c>
      <c r="I2366" s="2">
        <v>2153.0</v>
      </c>
      <c r="J2366" s="1">
        <v>2017.0</v>
      </c>
      <c r="K2366" s="1">
        <v>104.0</v>
      </c>
      <c r="L2366" s="1" t="s">
        <v>141</v>
      </c>
      <c r="M2366" s="1" t="s">
        <v>9500</v>
      </c>
      <c r="N2366" s="1" t="s">
        <v>34</v>
      </c>
      <c r="O2366" s="1" t="s">
        <v>25</v>
      </c>
      <c r="P2366" s="1" t="s">
        <v>9501</v>
      </c>
    </row>
    <row r="2367" ht="14.25" customHeight="1">
      <c r="A2367" s="1" t="s">
        <v>9502</v>
      </c>
      <c r="B2367" s="1" t="s">
        <v>9503</v>
      </c>
      <c r="C2367" s="1" t="s">
        <v>39</v>
      </c>
      <c r="D2367" s="1">
        <v>41371.0</v>
      </c>
      <c r="E2367" s="1" t="s">
        <v>40</v>
      </c>
      <c r="F2367" s="1" t="s">
        <v>46</v>
      </c>
      <c r="G2367" s="1" t="s">
        <v>21</v>
      </c>
      <c r="H2367" s="2">
        <v>2146.0</v>
      </c>
      <c r="I2367" s="2">
        <v>9709.0</v>
      </c>
      <c r="J2367" s="1">
        <v>2013.0</v>
      </c>
      <c r="K2367" s="1">
        <v>36.0</v>
      </c>
      <c r="L2367" s="1" t="s">
        <v>141</v>
      </c>
      <c r="M2367" s="1" t="s">
        <v>9504</v>
      </c>
      <c r="N2367" s="1" t="s">
        <v>24</v>
      </c>
      <c r="O2367" s="1" t="s">
        <v>49</v>
      </c>
      <c r="P2367" s="1" t="s">
        <v>9505</v>
      </c>
    </row>
    <row r="2368" ht="14.25" customHeight="1">
      <c r="A2368" s="1" t="s">
        <v>9506</v>
      </c>
      <c r="B2368" s="1" t="s">
        <v>9507</v>
      </c>
      <c r="C2368" s="1" t="s">
        <v>39</v>
      </c>
      <c r="D2368" s="1">
        <v>84496.0</v>
      </c>
      <c r="E2368" s="1" t="s">
        <v>30</v>
      </c>
      <c r="F2368" s="1" t="s">
        <v>20</v>
      </c>
      <c r="G2368" s="1" t="s">
        <v>21</v>
      </c>
      <c r="H2368" s="2">
        <v>2724.0</v>
      </c>
      <c r="I2368" s="2">
        <v>4041.0</v>
      </c>
      <c r="J2368" s="1">
        <v>1968.0</v>
      </c>
      <c r="K2368" s="1">
        <v>49.0</v>
      </c>
      <c r="L2368" s="1" t="s">
        <v>62</v>
      </c>
      <c r="M2368" s="1" t="s">
        <v>9508</v>
      </c>
      <c r="N2368" s="1" t="s">
        <v>43</v>
      </c>
      <c r="O2368" s="1" t="s">
        <v>35</v>
      </c>
      <c r="P2368" s="1" t="s">
        <v>9509</v>
      </c>
    </row>
    <row r="2369" ht="14.25" customHeight="1">
      <c r="A2369" s="1" t="s">
        <v>9510</v>
      </c>
      <c r="B2369" s="1" t="s">
        <v>9511</v>
      </c>
      <c r="C2369" s="1" t="s">
        <v>53</v>
      </c>
      <c r="D2369" s="1">
        <v>87781.0</v>
      </c>
      <c r="E2369" s="1" t="s">
        <v>19</v>
      </c>
      <c r="F2369" s="1" t="s">
        <v>41</v>
      </c>
      <c r="G2369" s="1" t="s">
        <v>31</v>
      </c>
      <c r="H2369" s="2">
        <v>2508.0</v>
      </c>
      <c r="I2369" s="2">
        <v>9105.0</v>
      </c>
      <c r="J2369" s="1">
        <v>1978.0</v>
      </c>
      <c r="K2369" s="1">
        <v>41.0</v>
      </c>
      <c r="L2369" s="1" t="s">
        <v>95</v>
      </c>
      <c r="M2369" s="1" t="s">
        <v>9512</v>
      </c>
      <c r="N2369" s="1" t="s">
        <v>43</v>
      </c>
      <c r="O2369" s="1" t="s">
        <v>49</v>
      </c>
      <c r="P2369" s="1" t="s">
        <v>9513</v>
      </c>
    </row>
    <row r="2370" ht="14.25" customHeight="1">
      <c r="A2370" s="1" t="s">
        <v>9514</v>
      </c>
      <c r="B2370" s="1" t="s">
        <v>9515</v>
      </c>
      <c r="C2370" s="1" t="s">
        <v>53</v>
      </c>
      <c r="D2370" s="1">
        <v>99258.0</v>
      </c>
      <c r="E2370" s="1" t="s">
        <v>60</v>
      </c>
      <c r="F2370" s="1" t="s">
        <v>41</v>
      </c>
      <c r="G2370" s="1" t="s">
        <v>55</v>
      </c>
      <c r="H2370" s="2">
        <v>1612.0</v>
      </c>
      <c r="I2370" s="2">
        <v>2858.0</v>
      </c>
      <c r="J2370" s="1">
        <v>2003.0</v>
      </c>
      <c r="K2370" s="1">
        <v>100.0</v>
      </c>
      <c r="L2370" s="1" t="s">
        <v>62</v>
      </c>
      <c r="M2370" s="1" t="s">
        <v>9516</v>
      </c>
      <c r="N2370" s="1" t="s">
        <v>64</v>
      </c>
      <c r="O2370" s="1" t="s">
        <v>35</v>
      </c>
      <c r="P2370" s="1" t="s">
        <v>9517</v>
      </c>
    </row>
    <row r="2371" ht="14.25" customHeight="1">
      <c r="A2371" s="1" t="s">
        <v>9518</v>
      </c>
      <c r="B2371" s="1" t="s">
        <v>9519</v>
      </c>
      <c r="C2371" s="1" t="s">
        <v>29</v>
      </c>
      <c r="D2371" s="1">
        <v>64412.0</v>
      </c>
      <c r="E2371" s="1" t="s">
        <v>77</v>
      </c>
      <c r="F2371" s="1" t="s">
        <v>54</v>
      </c>
      <c r="G2371" s="1" t="s">
        <v>55</v>
      </c>
      <c r="H2371" s="2">
        <v>2645.0</v>
      </c>
      <c r="I2371" s="2">
        <v>8445.0</v>
      </c>
      <c r="J2371" s="1">
        <v>2013.0</v>
      </c>
      <c r="K2371" s="1">
        <v>114.0</v>
      </c>
      <c r="L2371" s="1" t="s">
        <v>95</v>
      </c>
      <c r="M2371" s="1" t="s">
        <v>9520</v>
      </c>
      <c r="N2371" s="1" t="s">
        <v>43</v>
      </c>
      <c r="O2371" s="1" t="s">
        <v>25</v>
      </c>
      <c r="P2371" s="1" t="s">
        <v>9521</v>
      </c>
    </row>
    <row r="2372" ht="14.25" customHeight="1">
      <c r="A2372" s="1" t="s">
        <v>9522</v>
      </c>
      <c r="B2372" s="1" t="s">
        <v>9523</v>
      </c>
      <c r="C2372" s="1" t="s">
        <v>39</v>
      </c>
      <c r="D2372" s="1">
        <v>16961.0</v>
      </c>
      <c r="E2372" s="1" t="s">
        <v>19</v>
      </c>
      <c r="F2372" s="1" t="s">
        <v>46</v>
      </c>
      <c r="G2372" s="1" t="s">
        <v>21</v>
      </c>
      <c r="H2372" s="2">
        <v>3898.0</v>
      </c>
      <c r="I2372" s="2">
        <v>2020.0</v>
      </c>
      <c r="J2372" s="1">
        <v>2014.0</v>
      </c>
      <c r="K2372" s="1">
        <v>31.0</v>
      </c>
      <c r="L2372" s="1" t="s">
        <v>32</v>
      </c>
      <c r="M2372" s="1" t="s">
        <v>9524</v>
      </c>
      <c r="N2372" s="1" t="s">
        <v>24</v>
      </c>
      <c r="O2372" s="1" t="s">
        <v>49</v>
      </c>
      <c r="P2372" s="1" t="s">
        <v>9525</v>
      </c>
    </row>
    <row r="2373" ht="14.25" customHeight="1">
      <c r="A2373" s="1" t="s">
        <v>9526</v>
      </c>
      <c r="B2373" s="1" t="s">
        <v>9527</v>
      </c>
      <c r="C2373" s="1" t="s">
        <v>39</v>
      </c>
      <c r="D2373" s="1">
        <v>76660.0</v>
      </c>
      <c r="E2373" s="1" t="s">
        <v>30</v>
      </c>
      <c r="F2373" s="1" t="s">
        <v>46</v>
      </c>
      <c r="G2373" s="1" t="s">
        <v>31</v>
      </c>
      <c r="H2373" s="2">
        <v>997.0</v>
      </c>
      <c r="I2373" s="2">
        <v>6985.0</v>
      </c>
      <c r="J2373" s="1">
        <v>1988.0</v>
      </c>
      <c r="K2373" s="1">
        <v>24.0</v>
      </c>
      <c r="L2373" s="1" t="s">
        <v>62</v>
      </c>
      <c r="M2373" s="1" t="s">
        <v>9528</v>
      </c>
      <c r="N2373" s="1" t="s">
        <v>48</v>
      </c>
      <c r="O2373" s="1" t="s">
        <v>25</v>
      </c>
      <c r="P2373" s="1" t="s">
        <v>9529</v>
      </c>
    </row>
    <row r="2374" ht="14.25" customHeight="1">
      <c r="A2374" s="1" t="s">
        <v>9530</v>
      </c>
      <c r="B2374" s="1" t="s">
        <v>9531</v>
      </c>
      <c r="C2374" s="1" t="s">
        <v>53</v>
      </c>
      <c r="D2374" s="1">
        <v>44822.0</v>
      </c>
      <c r="E2374" s="1" t="s">
        <v>60</v>
      </c>
      <c r="F2374" s="1" t="s">
        <v>46</v>
      </c>
      <c r="G2374" s="1" t="s">
        <v>55</v>
      </c>
      <c r="H2374" s="2">
        <v>1872.0</v>
      </c>
      <c r="I2374" s="2">
        <v>9203.0</v>
      </c>
      <c r="J2374" s="1">
        <v>1980.0</v>
      </c>
      <c r="K2374" s="1">
        <v>32.0</v>
      </c>
      <c r="L2374" s="1" t="s">
        <v>32</v>
      </c>
      <c r="M2374" s="1" t="s">
        <v>9532</v>
      </c>
      <c r="N2374" s="1" t="s">
        <v>24</v>
      </c>
      <c r="O2374" s="1" t="s">
        <v>35</v>
      </c>
      <c r="P2374" s="1" t="s">
        <v>9533</v>
      </c>
    </row>
    <row r="2375" ht="14.25" customHeight="1">
      <c r="A2375" s="1" t="s">
        <v>9534</v>
      </c>
      <c r="B2375" s="1" t="s">
        <v>9535</v>
      </c>
      <c r="C2375" s="1" t="s">
        <v>29</v>
      </c>
      <c r="D2375" s="1">
        <v>45404.0</v>
      </c>
      <c r="E2375" s="1" t="s">
        <v>40</v>
      </c>
      <c r="F2375" s="1" t="s">
        <v>41</v>
      </c>
      <c r="G2375" s="1" t="s">
        <v>100</v>
      </c>
      <c r="H2375" s="2">
        <v>2286.0</v>
      </c>
      <c r="I2375" s="2">
        <v>2669.0</v>
      </c>
      <c r="J2375" s="1">
        <v>1962.0</v>
      </c>
      <c r="K2375" s="1">
        <v>67.0</v>
      </c>
      <c r="L2375" s="1" t="s">
        <v>95</v>
      </c>
      <c r="M2375" s="1" t="s">
        <v>9536</v>
      </c>
      <c r="N2375" s="1" t="s">
        <v>48</v>
      </c>
      <c r="O2375" s="1" t="s">
        <v>25</v>
      </c>
      <c r="P2375" s="1" t="s">
        <v>9537</v>
      </c>
    </row>
    <row r="2376" ht="14.25" customHeight="1">
      <c r="A2376" s="1" t="s">
        <v>9538</v>
      </c>
      <c r="B2376" s="1" t="s">
        <v>9539</v>
      </c>
      <c r="C2376" s="1" t="s">
        <v>53</v>
      </c>
      <c r="D2376" s="1">
        <v>86034.0</v>
      </c>
      <c r="E2376" s="1" t="s">
        <v>77</v>
      </c>
      <c r="F2376" s="1" t="s">
        <v>94</v>
      </c>
      <c r="G2376" s="1" t="s">
        <v>55</v>
      </c>
      <c r="H2376" s="2">
        <v>752.0</v>
      </c>
      <c r="I2376" s="2">
        <v>9155.0</v>
      </c>
      <c r="J2376" s="1">
        <v>2007.0</v>
      </c>
      <c r="K2376" s="1">
        <v>39.0</v>
      </c>
      <c r="L2376" s="1" t="s">
        <v>62</v>
      </c>
      <c r="M2376" s="1" t="s">
        <v>9540</v>
      </c>
      <c r="N2376" s="1" t="s">
        <v>43</v>
      </c>
      <c r="O2376" s="1" t="s">
        <v>35</v>
      </c>
      <c r="P2376" s="1" t="s">
        <v>9541</v>
      </c>
    </row>
    <row r="2377" ht="14.25" customHeight="1">
      <c r="A2377" s="1" t="s">
        <v>9542</v>
      </c>
      <c r="B2377" s="1" t="s">
        <v>9543</v>
      </c>
      <c r="C2377" s="1" t="s">
        <v>76</v>
      </c>
      <c r="D2377" s="1">
        <v>15276.0</v>
      </c>
      <c r="E2377" s="1" t="s">
        <v>19</v>
      </c>
      <c r="F2377" s="1" t="s">
        <v>94</v>
      </c>
      <c r="G2377" s="1" t="s">
        <v>21</v>
      </c>
      <c r="H2377" s="2">
        <v>913.0</v>
      </c>
      <c r="I2377" s="2">
        <v>8805.0</v>
      </c>
      <c r="J2377" s="1">
        <v>1965.0</v>
      </c>
      <c r="K2377" s="1">
        <v>117.0</v>
      </c>
      <c r="L2377" s="1" t="s">
        <v>141</v>
      </c>
      <c r="M2377" s="1" t="s">
        <v>9544</v>
      </c>
      <c r="N2377" s="1" t="s">
        <v>24</v>
      </c>
      <c r="O2377" s="1" t="s">
        <v>25</v>
      </c>
      <c r="P2377" s="1" t="s">
        <v>9545</v>
      </c>
    </row>
    <row r="2378" ht="14.25" customHeight="1">
      <c r="A2378" s="1" t="s">
        <v>9546</v>
      </c>
      <c r="B2378" s="1" t="s">
        <v>9547</v>
      </c>
      <c r="C2378" s="1" t="s">
        <v>29</v>
      </c>
      <c r="D2378" s="1">
        <v>83220.0</v>
      </c>
      <c r="E2378" s="1" t="s">
        <v>60</v>
      </c>
      <c r="F2378" s="1" t="s">
        <v>94</v>
      </c>
      <c r="G2378" s="1" t="s">
        <v>31</v>
      </c>
      <c r="H2378" s="2">
        <v>3299.0</v>
      </c>
      <c r="I2378" s="2">
        <v>7676.0</v>
      </c>
      <c r="J2378" s="1">
        <v>1997.0</v>
      </c>
      <c r="K2378" s="1">
        <v>20.0</v>
      </c>
      <c r="L2378" s="1" t="s">
        <v>141</v>
      </c>
      <c r="M2378" s="1" t="s">
        <v>9548</v>
      </c>
      <c r="N2378" s="1" t="s">
        <v>34</v>
      </c>
      <c r="O2378" s="1" t="s">
        <v>49</v>
      </c>
      <c r="P2378" s="1" t="s">
        <v>9549</v>
      </c>
    </row>
    <row r="2379" ht="14.25" customHeight="1">
      <c r="A2379" s="1" t="s">
        <v>9550</v>
      </c>
      <c r="B2379" s="1" t="s">
        <v>9551</v>
      </c>
      <c r="C2379" s="1" t="s">
        <v>18</v>
      </c>
      <c r="D2379" s="1">
        <v>63640.0</v>
      </c>
      <c r="E2379" s="1" t="s">
        <v>19</v>
      </c>
      <c r="F2379" s="1" t="s">
        <v>46</v>
      </c>
      <c r="G2379" s="1" t="s">
        <v>21</v>
      </c>
      <c r="H2379" s="2">
        <v>850.0</v>
      </c>
      <c r="I2379" s="2">
        <v>8047.0</v>
      </c>
      <c r="J2379" s="1">
        <v>1956.0</v>
      </c>
      <c r="K2379" s="1">
        <v>99.0</v>
      </c>
      <c r="L2379" s="1" t="s">
        <v>95</v>
      </c>
      <c r="M2379" s="1" t="s">
        <v>9552</v>
      </c>
      <c r="N2379" s="1" t="s">
        <v>48</v>
      </c>
      <c r="O2379" s="1" t="s">
        <v>49</v>
      </c>
      <c r="P2379" s="1" t="s">
        <v>9553</v>
      </c>
    </row>
    <row r="2380" ht="14.25" customHeight="1">
      <c r="A2380" s="1" t="s">
        <v>9554</v>
      </c>
      <c r="B2380" s="1" t="s">
        <v>9555</v>
      </c>
      <c r="C2380" s="1" t="s">
        <v>76</v>
      </c>
      <c r="D2380" s="1">
        <v>64916.0</v>
      </c>
      <c r="E2380" s="1" t="s">
        <v>40</v>
      </c>
      <c r="F2380" s="1" t="s">
        <v>54</v>
      </c>
      <c r="G2380" s="1" t="s">
        <v>100</v>
      </c>
      <c r="H2380" s="2">
        <v>1825.0</v>
      </c>
      <c r="I2380" s="2">
        <v>5394.0</v>
      </c>
      <c r="J2380" s="1">
        <v>2012.0</v>
      </c>
      <c r="K2380" s="1">
        <v>32.0</v>
      </c>
      <c r="L2380" s="1" t="s">
        <v>32</v>
      </c>
      <c r="M2380" s="1" t="s">
        <v>9556</v>
      </c>
      <c r="N2380" s="1" t="s">
        <v>34</v>
      </c>
      <c r="O2380" s="1" t="s">
        <v>35</v>
      </c>
      <c r="P2380" s="1" t="s">
        <v>9557</v>
      </c>
    </row>
    <row r="2381" ht="14.25" customHeight="1">
      <c r="A2381" s="1" t="s">
        <v>9558</v>
      </c>
      <c r="B2381" s="1" t="s">
        <v>9559</v>
      </c>
      <c r="C2381" s="1" t="s">
        <v>18</v>
      </c>
      <c r="D2381" s="1">
        <v>78460.0</v>
      </c>
      <c r="E2381" s="1" t="s">
        <v>30</v>
      </c>
      <c r="F2381" s="1" t="s">
        <v>61</v>
      </c>
      <c r="G2381" s="1" t="s">
        <v>55</v>
      </c>
      <c r="H2381" s="2">
        <v>843.0</v>
      </c>
      <c r="I2381" s="2">
        <v>3451.0</v>
      </c>
      <c r="J2381" s="1">
        <v>2010.0</v>
      </c>
      <c r="K2381" s="1">
        <v>96.0</v>
      </c>
      <c r="L2381" s="1" t="s">
        <v>22</v>
      </c>
      <c r="M2381" s="1" t="s">
        <v>9560</v>
      </c>
      <c r="N2381" s="1" t="s">
        <v>64</v>
      </c>
      <c r="O2381" s="1" t="s">
        <v>25</v>
      </c>
      <c r="P2381" s="1" t="s">
        <v>9561</v>
      </c>
    </row>
    <row r="2382" ht="14.25" customHeight="1">
      <c r="A2382" s="1" t="s">
        <v>9562</v>
      </c>
      <c r="B2382" s="1" t="s">
        <v>9563</v>
      </c>
      <c r="C2382" s="1" t="s">
        <v>53</v>
      </c>
      <c r="D2382" s="1">
        <v>42734.0</v>
      </c>
      <c r="E2382" s="1" t="s">
        <v>77</v>
      </c>
      <c r="F2382" s="1" t="s">
        <v>20</v>
      </c>
      <c r="G2382" s="1" t="s">
        <v>31</v>
      </c>
      <c r="H2382" s="2">
        <v>1930.0</v>
      </c>
      <c r="I2382" s="2">
        <v>2188.0</v>
      </c>
      <c r="J2382" s="1">
        <v>1993.0</v>
      </c>
      <c r="K2382" s="1">
        <v>74.0</v>
      </c>
      <c r="L2382" s="1" t="s">
        <v>95</v>
      </c>
      <c r="M2382" s="1" t="s">
        <v>9564</v>
      </c>
      <c r="N2382" s="1" t="s">
        <v>24</v>
      </c>
      <c r="O2382" s="1" t="s">
        <v>49</v>
      </c>
      <c r="P2382" s="1" t="s">
        <v>9565</v>
      </c>
    </row>
    <row r="2383" ht="14.25" customHeight="1">
      <c r="A2383" s="1" t="s">
        <v>9566</v>
      </c>
      <c r="B2383" s="1" t="s">
        <v>9567</v>
      </c>
      <c r="C2383" s="1" t="s">
        <v>29</v>
      </c>
      <c r="D2383" s="1">
        <v>76238.0</v>
      </c>
      <c r="E2383" s="1" t="s">
        <v>40</v>
      </c>
      <c r="F2383" s="1" t="s">
        <v>41</v>
      </c>
      <c r="G2383" s="1" t="s">
        <v>31</v>
      </c>
      <c r="H2383" s="2">
        <v>2291.0</v>
      </c>
      <c r="I2383" s="2">
        <v>6478.0</v>
      </c>
      <c r="J2383" s="1">
        <v>1996.0</v>
      </c>
      <c r="K2383" s="1">
        <v>22.0</v>
      </c>
      <c r="L2383" s="1" t="s">
        <v>141</v>
      </c>
      <c r="M2383" s="1" t="s">
        <v>9568</v>
      </c>
      <c r="N2383" s="1" t="s">
        <v>34</v>
      </c>
      <c r="O2383" s="1" t="s">
        <v>49</v>
      </c>
      <c r="P2383" s="1" t="s">
        <v>9569</v>
      </c>
    </row>
    <row r="2384" ht="14.25" customHeight="1">
      <c r="A2384" s="1" t="s">
        <v>9570</v>
      </c>
      <c r="B2384" s="1" t="s">
        <v>9571</v>
      </c>
      <c r="C2384" s="1" t="s">
        <v>53</v>
      </c>
      <c r="D2384" s="1">
        <v>63071.0</v>
      </c>
      <c r="E2384" s="1" t="s">
        <v>19</v>
      </c>
      <c r="F2384" s="1" t="s">
        <v>94</v>
      </c>
      <c r="G2384" s="1" t="s">
        <v>21</v>
      </c>
      <c r="H2384" s="2">
        <v>2816.0</v>
      </c>
      <c r="I2384" s="2">
        <v>8981.0</v>
      </c>
      <c r="J2384" s="1">
        <v>2008.0</v>
      </c>
      <c r="K2384" s="1">
        <v>79.0</v>
      </c>
      <c r="L2384" s="1" t="s">
        <v>22</v>
      </c>
      <c r="M2384" s="1" t="s">
        <v>9572</v>
      </c>
      <c r="N2384" s="1" t="s">
        <v>48</v>
      </c>
      <c r="O2384" s="1" t="s">
        <v>49</v>
      </c>
      <c r="P2384" s="1" t="s">
        <v>9573</v>
      </c>
    </row>
    <row r="2385" ht="14.25" customHeight="1">
      <c r="A2385" s="1" t="s">
        <v>9574</v>
      </c>
      <c r="B2385" s="1" t="s">
        <v>9575</v>
      </c>
      <c r="C2385" s="1" t="s">
        <v>76</v>
      </c>
      <c r="D2385" s="1">
        <v>21233.0</v>
      </c>
      <c r="E2385" s="1" t="s">
        <v>77</v>
      </c>
      <c r="F2385" s="1" t="s">
        <v>94</v>
      </c>
      <c r="G2385" s="1" t="s">
        <v>55</v>
      </c>
      <c r="H2385" s="2">
        <v>735.0</v>
      </c>
      <c r="I2385" s="2">
        <v>4447.0</v>
      </c>
      <c r="J2385" s="1">
        <v>1992.0</v>
      </c>
      <c r="K2385" s="1">
        <v>69.0</v>
      </c>
      <c r="L2385" s="1" t="s">
        <v>32</v>
      </c>
      <c r="M2385" s="1" t="s">
        <v>9576</v>
      </c>
      <c r="N2385" s="1" t="s">
        <v>34</v>
      </c>
      <c r="O2385" s="1" t="s">
        <v>49</v>
      </c>
      <c r="P2385" s="1" t="s">
        <v>9577</v>
      </c>
    </row>
    <row r="2386" ht="14.25" customHeight="1">
      <c r="A2386" s="1" t="s">
        <v>9578</v>
      </c>
      <c r="B2386" s="1" t="s">
        <v>9579</v>
      </c>
      <c r="C2386" s="1" t="s">
        <v>76</v>
      </c>
      <c r="D2386" s="1">
        <v>13360.0</v>
      </c>
      <c r="E2386" s="1" t="s">
        <v>77</v>
      </c>
      <c r="F2386" s="1" t="s">
        <v>41</v>
      </c>
      <c r="G2386" s="1" t="s">
        <v>31</v>
      </c>
      <c r="H2386" s="2">
        <v>3541.0</v>
      </c>
      <c r="I2386" s="2">
        <v>3253.0</v>
      </c>
      <c r="J2386" s="1">
        <v>1959.0</v>
      </c>
      <c r="K2386" s="1">
        <v>11.0</v>
      </c>
      <c r="L2386" s="1" t="s">
        <v>62</v>
      </c>
      <c r="M2386" s="1" t="s">
        <v>9580</v>
      </c>
      <c r="N2386" s="1" t="s">
        <v>24</v>
      </c>
      <c r="O2386" s="1" t="s">
        <v>35</v>
      </c>
      <c r="P2386" s="1" t="s">
        <v>9581</v>
      </c>
    </row>
    <row r="2387" ht="14.25" customHeight="1">
      <c r="A2387" s="1" t="s">
        <v>9582</v>
      </c>
      <c r="B2387" s="1" t="s">
        <v>9583</v>
      </c>
      <c r="C2387" s="1" t="s">
        <v>76</v>
      </c>
      <c r="D2387" s="1">
        <v>37047.0</v>
      </c>
      <c r="E2387" s="1" t="s">
        <v>60</v>
      </c>
      <c r="F2387" s="1" t="s">
        <v>20</v>
      </c>
      <c r="G2387" s="1" t="s">
        <v>55</v>
      </c>
      <c r="H2387" s="2">
        <v>3228.0</v>
      </c>
      <c r="I2387" s="2">
        <v>8158.0</v>
      </c>
      <c r="J2387" s="1">
        <v>1987.0</v>
      </c>
      <c r="K2387" s="1">
        <v>4.0</v>
      </c>
      <c r="L2387" s="1" t="s">
        <v>32</v>
      </c>
      <c r="M2387" s="1" t="s">
        <v>9584</v>
      </c>
      <c r="N2387" s="1" t="s">
        <v>64</v>
      </c>
      <c r="O2387" s="1" t="s">
        <v>35</v>
      </c>
      <c r="P2387" s="1" t="s">
        <v>9585</v>
      </c>
    </row>
    <row r="2388" ht="14.25" customHeight="1">
      <c r="A2388" s="1" t="s">
        <v>9586</v>
      </c>
      <c r="B2388" s="1" t="s">
        <v>9587</v>
      </c>
      <c r="C2388" s="1" t="s">
        <v>39</v>
      </c>
      <c r="D2388" s="1">
        <v>30852.0</v>
      </c>
      <c r="E2388" s="1" t="s">
        <v>19</v>
      </c>
      <c r="F2388" s="1" t="s">
        <v>94</v>
      </c>
      <c r="G2388" s="1" t="s">
        <v>100</v>
      </c>
      <c r="H2388" s="2">
        <v>3046.0</v>
      </c>
      <c r="I2388" s="2">
        <v>2281.0</v>
      </c>
      <c r="J2388" s="1">
        <v>2018.0</v>
      </c>
      <c r="K2388" s="1">
        <v>38.0</v>
      </c>
      <c r="L2388" s="1" t="s">
        <v>141</v>
      </c>
      <c r="M2388" s="1" t="s">
        <v>9588</v>
      </c>
      <c r="N2388" s="1" t="s">
        <v>34</v>
      </c>
      <c r="O2388" s="1" t="s">
        <v>35</v>
      </c>
      <c r="P2388" s="1" t="s">
        <v>9589</v>
      </c>
    </row>
    <row r="2389" ht="14.25" customHeight="1">
      <c r="A2389" s="1" t="s">
        <v>9590</v>
      </c>
      <c r="B2389" s="1" t="s">
        <v>9591</v>
      </c>
      <c r="C2389" s="1" t="s">
        <v>29</v>
      </c>
      <c r="D2389" s="1">
        <v>76872.0</v>
      </c>
      <c r="E2389" s="1" t="s">
        <v>77</v>
      </c>
      <c r="F2389" s="1" t="s">
        <v>94</v>
      </c>
      <c r="G2389" s="1" t="s">
        <v>55</v>
      </c>
      <c r="H2389" s="2">
        <v>3893.0</v>
      </c>
      <c r="I2389" s="2">
        <v>5673.0</v>
      </c>
      <c r="J2389" s="1">
        <v>1977.0</v>
      </c>
      <c r="K2389" s="1">
        <v>100.0</v>
      </c>
      <c r="L2389" s="1" t="s">
        <v>32</v>
      </c>
      <c r="M2389" s="1" t="s">
        <v>9592</v>
      </c>
      <c r="N2389" s="1" t="s">
        <v>34</v>
      </c>
      <c r="O2389" s="1" t="s">
        <v>49</v>
      </c>
      <c r="P2389" s="1" t="s">
        <v>9593</v>
      </c>
    </row>
    <row r="2390" ht="14.25" customHeight="1">
      <c r="A2390" s="1" t="s">
        <v>9594</v>
      </c>
      <c r="B2390" s="1" t="s">
        <v>9595</v>
      </c>
      <c r="C2390" s="1" t="s">
        <v>76</v>
      </c>
      <c r="D2390" s="1">
        <v>98660.0</v>
      </c>
      <c r="E2390" s="1" t="s">
        <v>30</v>
      </c>
      <c r="F2390" s="1" t="s">
        <v>94</v>
      </c>
      <c r="G2390" s="1" t="s">
        <v>31</v>
      </c>
      <c r="H2390" s="2">
        <v>921.0</v>
      </c>
      <c r="I2390" s="2">
        <v>4769.0</v>
      </c>
      <c r="J2390" s="1">
        <v>2014.0</v>
      </c>
      <c r="K2390" s="1">
        <v>92.0</v>
      </c>
      <c r="L2390" s="1" t="s">
        <v>62</v>
      </c>
      <c r="M2390" s="1" t="s">
        <v>9596</v>
      </c>
      <c r="N2390" s="1" t="s">
        <v>64</v>
      </c>
      <c r="O2390" s="1" t="s">
        <v>35</v>
      </c>
      <c r="P2390" s="1" t="s">
        <v>9597</v>
      </c>
    </row>
    <row r="2391" ht="14.25" customHeight="1">
      <c r="A2391" s="1" t="s">
        <v>9598</v>
      </c>
      <c r="B2391" s="1" t="s">
        <v>9599</v>
      </c>
      <c r="C2391" s="1" t="s">
        <v>29</v>
      </c>
      <c r="D2391" s="1">
        <v>64140.0</v>
      </c>
      <c r="E2391" s="1" t="s">
        <v>19</v>
      </c>
      <c r="F2391" s="1" t="s">
        <v>54</v>
      </c>
      <c r="G2391" s="1" t="s">
        <v>21</v>
      </c>
      <c r="H2391" s="2">
        <v>3991.0</v>
      </c>
      <c r="I2391" s="2">
        <v>9816.0</v>
      </c>
      <c r="J2391" s="1">
        <v>1987.0</v>
      </c>
      <c r="K2391" s="1">
        <v>102.0</v>
      </c>
      <c r="L2391" s="1" t="s">
        <v>62</v>
      </c>
      <c r="M2391" s="1" t="s">
        <v>9600</v>
      </c>
      <c r="N2391" s="1" t="s">
        <v>34</v>
      </c>
      <c r="O2391" s="1" t="s">
        <v>35</v>
      </c>
      <c r="P2391" s="1" t="s">
        <v>9601</v>
      </c>
    </row>
    <row r="2392" ht="14.25" customHeight="1">
      <c r="A2392" s="1" t="s">
        <v>9602</v>
      </c>
      <c r="B2392" s="1" t="s">
        <v>9603</v>
      </c>
      <c r="C2392" s="1" t="s">
        <v>29</v>
      </c>
      <c r="D2392" s="1">
        <v>44872.0</v>
      </c>
      <c r="E2392" s="1" t="s">
        <v>60</v>
      </c>
      <c r="F2392" s="1" t="s">
        <v>54</v>
      </c>
      <c r="G2392" s="1" t="s">
        <v>21</v>
      </c>
      <c r="H2392" s="2">
        <v>1803.0</v>
      </c>
      <c r="I2392" s="2">
        <v>3453.0</v>
      </c>
      <c r="J2392" s="1">
        <v>1965.0</v>
      </c>
      <c r="K2392" s="1">
        <v>70.0</v>
      </c>
      <c r="L2392" s="1" t="s">
        <v>32</v>
      </c>
      <c r="M2392" s="1" t="s">
        <v>9604</v>
      </c>
      <c r="N2392" s="1" t="s">
        <v>43</v>
      </c>
      <c r="O2392" s="1" t="s">
        <v>25</v>
      </c>
      <c r="P2392" s="1" t="s">
        <v>9605</v>
      </c>
    </row>
    <row r="2393" ht="14.25" customHeight="1">
      <c r="A2393" s="1" t="s">
        <v>9606</v>
      </c>
      <c r="B2393" s="1" t="s">
        <v>9607</v>
      </c>
      <c r="C2393" s="1" t="s">
        <v>39</v>
      </c>
      <c r="D2393" s="1">
        <v>66680.0</v>
      </c>
      <c r="E2393" s="1" t="s">
        <v>40</v>
      </c>
      <c r="F2393" s="1" t="s">
        <v>20</v>
      </c>
      <c r="G2393" s="1" t="s">
        <v>100</v>
      </c>
      <c r="H2393" s="2">
        <v>1482.0</v>
      </c>
      <c r="I2393" s="2">
        <v>2746.0</v>
      </c>
      <c r="J2393" s="1">
        <v>1950.0</v>
      </c>
      <c r="K2393" s="1">
        <v>12.0</v>
      </c>
      <c r="L2393" s="1" t="s">
        <v>141</v>
      </c>
      <c r="M2393" s="1" t="s">
        <v>9608</v>
      </c>
      <c r="N2393" s="1" t="s">
        <v>48</v>
      </c>
      <c r="O2393" s="1" t="s">
        <v>35</v>
      </c>
      <c r="P2393" s="1" t="s">
        <v>9609</v>
      </c>
    </row>
    <row r="2394" ht="14.25" customHeight="1">
      <c r="A2394" s="1" t="s">
        <v>9610</v>
      </c>
      <c r="B2394" s="1" t="s">
        <v>9611</v>
      </c>
      <c r="C2394" s="1" t="s">
        <v>39</v>
      </c>
      <c r="D2394" s="1">
        <v>56610.0</v>
      </c>
      <c r="E2394" s="1" t="s">
        <v>19</v>
      </c>
      <c r="F2394" s="1" t="s">
        <v>94</v>
      </c>
      <c r="G2394" s="1" t="s">
        <v>55</v>
      </c>
      <c r="H2394" s="2">
        <v>2086.0</v>
      </c>
      <c r="I2394" s="2">
        <v>5795.0</v>
      </c>
      <c r="J2394" s="1">
        <v>1990.0</v>
      </c>
      <c r="K2394" s="1">
        <v>98.0</v>
      </c>
      <c r="L2394" s="1" t="s">
        <v>95</v>
      </c>
      <c r="M2394" s="1" t="s">
        <v>9612</v>
      </c>
      <c r="N2394" s="1" t="s">
        <v>24</v>
      </c>
      <c r="O2394" s="1" t="s">
        <v>49</v>
      </c>
      <c r="P2394" s="1" t="s">
        <v>9613</v>
      </c>
    </row>
    <row r="2395" ht="14.25" customHeight="1">
      <c r="A2395" s="1" t="s">
        <v>9614</v>
      </c>
      <c r="B2395" s="1" t="s">
        <v>9615</v>
      </c>
      <c r="C2395" s="1" t="s">
        <v>29</v>
      </c>
      <c r="D2395" s="1">
        <v>94589.0</v>
      </c>
      <c r="E2395" s="1" t="s">
        <v>77</v>
      </c>
      <c r="F2395" s="1" t="s">
        <v>54</v>
      </c>
      <c r="G2395" s="1" t="s">
        <v>55</v>
      </c>
      <c r="H2395" s="2">
        <v>3158.0</v>
      </c>
      <c r="I2395" s="2">
        <v>2927.0</v>
      </c>
      <c r="J2395" s="1">
        <v>1970.0</v>
      </c>
      <c r="K2395" s="1">
        <v>116.0</v>
      </c>
      <c r="L2395" s="1" t="s">
        <v>141</v>
      </c>
      <c r="M2395" s="1" t="s">
        <v>9616</v>
      </c>
      <c r="N2395" s="1" t="s">
        <v>43</v>
      </c>
      <c r="O2395" s="1" t="s">
        <v>25</v>
      </c>
      <c r="P2395" s="1" t="s">
        <v>9617</v>
      </c>
    </row>
    <row r="2396" ht="14.25" customHeight="1">
      <c r="A2396" s="1" t="s">
        <v>9618</v>
      </c>
      <c r="B2396" s="1" t="s">
        <v>9619</v>
      </c>
      <c r="C2396" s="1" t="s">
        <v>53</v>
      </c>
      <c r="D2396" s="1">
        <v>28238.0</v>
      </c>
      <c r="E2396" s="1" t="s">
        <v>40</v>
      </c>
      <c r="F2396" s="1" t="s">
        <v>20</v>
      </c>
      <c r="G2396" s="1" t="s">
        <v>31</v>
      </c>
      <c r="H2396" s="2">
        <v>1817.0</v>
      </c>
      <c r="I2396" s="2">
        <v>9868.0</v>
      </c>
      <c r="J2396" s="1">
        <v>2001.0</v>
      </c>
      <c r="K2396" s="1">
        <v>104.0</v>
      </c>
      <c r="L2396" s="1" t="s">
        <v>141</v>
      </c>
      <c r="M2396" s="1" t="s">
        <v>9620</v>
      </c>
      <c r="N2396" s="1" t="s">
        <v>43</v>
      </c>
      <c r="O2396" s="1" t="s">
        <v>35</v>
      </c>
      <c r="P2396" s="1" t="s">
        <v>9621</v>
      </c>
    </row>
    <row r="2397" ht="14.25" customHeight="1">
      <c r="A2397" s="1" t="s">
        <v>9622</v>
      </c>
      <c r="B2397" s="1" t="s">
        <v>9623</v>
      </c>
      <c r="C2397" s="1" t="s">
        <v>53</v>
      </c>
      <c r="D2397" s="1">
        <v>47247.0</v>
      </c>
      <c r="E2397" s="1" t="s">
        <v>40</v>
      </c>
      <c r="F2397" s="1" t="s">
        <v>61</v>
      </c>
      <c r="G2397" s="1" t="s">
        <v>31</v>
      </c>
      <c r="H2397" s="2">
        <v>1415.0</v>
      </c>
      <c r="I2397" s="2">
        <v>5897.0</v>
      </c>
      <c r="J2397" s="1">
        <v>2000.0</v>
      </c>
      <c r="K2397" s="1">
        <v>89.0</v>
      </c>
      <c r="L2397" s="1" t="s">
        <v>62</v>
      </c>
      <c r="M2397" s="1" t="s">
        <v>9624</v>
      </c>
      <c r="N2397" s="1" t="s">
        <v>34</v>
      </c>
      <c r="O2397" s="1" t="s">
        <v>35</v>
      </c>
      <c r="P2397" s="1" t="s">
        <v>9625</v>
      </c>
    </row>
    <row r="2398" ht="14.25" customHeight="1">
      <c r="A2398" s="1" t="s">
        <v>9626</v>
      </c>
      <c r="B2398" s="1" t="s">
        <v>9627</v>
      </c>
      <c r="C2398" s="1" t="s">
        <v>76</v>
      </c>
      <c r="D2398" s="1">
        <v>82843.0</v>
      </c>
      <c r="E2398" s="1" t="s">
        <v>77</v>
      </c>
      <c r="F2398" s="1" t="s">
        <v>54</v>
      </c>
      <c r="G2398" s="1" t="s">
        <v>55</v>
      </c>
      <c r="H2398" s="2">
        <v>2727.0</v>
      </c>
      <c r="I2398" s="2">
        <v>4914.0</v>
      </c>
      <c r="J2398" s="1">
        <v>1997.0</v>
      </c>
      <c r="K2398" s="1">
        <v>49.0</v>
      </c>
      <c r="L2398" s="1" t="s">
        <v>95</v>
      </c>
      <c r="M2398" s="1" t="s">
        <v>9628</v>
      </c>
      <c r="N2398" s="1" t="s">
        <v>64</v>
      </c>
      <c r="O2398" s="1" t="s">
        <v>35</v>
      </c>
      <c r="P2398" s="1" t="s">
        <v>9629</v>
      </c>
    </row>
    <row r="2399" ht="14.25" customHeight="1">
      <c r="A2399" s="1" t="s">
        <v>9630</v>
      </c>
      <c r="B2399" s="1" t="s">
        <v>9631</v>
      </c>
      <c r="C2399" s="1" t="s">
        <v>53</v>
      </c>
      <c r="D2399" s="1">
        <v>64566.0</v>
      </c>
      <c r="E2399" s="1" t="s">
        <v>60</v>
      </c>
      <c r="F2399" s="1" t="s">
        <v>54</v>
      </c>
      <c r="G2399" s="1" t="s">
        <v>31</v>
      </c>
      <c r="H2399" s="2">
        <v>2866.0</v>
      </c>
      <c r="I2399" s="2">
        <v>1004.0</v>
      </c>
      <c r="J2399" s="1">
        <v>2017.0</v>
      </c>
      <c r="K2399" s="1">
        <v>1.0</v>
      </c>
      <c r="L2399" s="1" t="s">
        <v>141</v>
      </c>
      <c r="M2399" s="1" t="s">
        <v>9632</v>
      </c>
      <c r="N2399" s="1" t="s">
        <v>64</v>
      </c>
      <c r="O2399" s="1" t="s">
        <v>35</v>
      </c>
      <c r="P2399" s="1" t="s">
        <v>9633</v>
      </c>
    </row>
    <row r="2400" ht="14.25" customHeight="1">
      <c r="A2400" s="1" t="s">
        <v>9634</v>
      </c>
      <c r="B2400" s="1" t="s">
        <v>9635</v>
      </c>
      <c r="C2400" s="1" t="s">
        <v>53</v>
      </c>
      <c r="D2400" s="1">
        <v>41219.0</v>
      </c>
      <c r="E2400" s="1" t="s">
        <v>30</v>
      </c>
      <c r="F2400" s="1" t="s">
        <v>20</v>
      </c>
      <c r="G2400" s="1" t="s">
        <v>55</v>
      </c>
      <c r="H2400" s="2">
        <v>3894.0</v>
      </c>
      <c r="I2400" s="2">
        <v>8616.0</v>
      </c>
      <c r="J2400" s="1">
        <v>2000.0</v>
      </c>
      <c r="K2400" s="1">
        <v>97.0</v>
      </c>
      <c r="L2400" s="1" t="s">
        <v>141</v>
      </c>
      <c r="M2400" s="1" t="s">
        <v>9636</v>
      </c>
      <c r="N2400" s="1" t="s">
        <v>64</v>
      </c>
      <c r="O2400" s="1" t="s">
        <v>25</v>
      </c>
      <c r="P2400" s="1" t="s">
        <v>9637</v>
      </c>
    </row>
    <row r="2401" ht="14.25" customHeight="1">
      <c r="A2401" s="1" t="s">
        <v>9638</v>
      </c>
      <c r="B2401" s="1" t="s">
        <v>9639</v>
      </c>
      <c r="C2401" s="1" t="s">
        <v>39</v>
      </c>
      <c r="D2401" s="1">
        <v>49352.0</v>
      </c>
      <c r="E2401" s="1" t="s">
        <v>40</v>
      </c>
      <c r="F2401" s="1" t="s">
        <v>20</v>
      </c>
      <c r="G2401" s="1" t="s">
        <v>55</v>
      </c>
      <c r="H2401" s="2">
        <v>1567.0</v>
      </c>
      <c r="I2401" s="2">
        <v>9813.0</v>
      </c>
      <c r="J2401" s="1">
        <v>1975.0</v>
      </c>
      <c r="K2401" s="1">
        <v>44.0</v>
      </c>
      <c r="L2401" s="1" t="s">
        <v>32</v>
      </c>
      <c r="M2401" s="1" t="s">
        <v>9640</v>
      </c>
      <c r="N2401" s="1" t="s">
        <v>43</v>
      </c>
      <c r="O2401" s="1" t="s">
        <v>25</v>
      </c>
      <c r="P2401" s="1" t="s">
        <v>9641</v>
      </c>
    </row>
    <row r="2402" ht="14.25" customHeight="1">
      <c r="A2402" s="1" t="s">
        <v>9642</v>
      </c>
      <c r="B2402" s="1" t="s">
        <v>9643</v>
      </c>
      <c r="C2402" s="1" t="s">
        <v>53</v>
      </c>
      <c r="D2402" s="1">
        <v>47133.0</v>
      </c>
      <c r="E2402" s="1" t="s">
        <v>19</v>
      </c>
      <c r="F2402" s="1" t="s">
        <v>94</v>
      </c>
      <c r="G2402" s="1" t="s">
        <v>100</v>
      </c>
      <c r="H2402" s="2">
        <v>2628.0</v>
      </c>
      <c r="I2402" s="2">
        <v>1738.0</v>
      </c>
      <c r="J2402" s="1">
        <v>1958.0</v>
      </c>
      <c r="K2402" s="1">
        <v>87.0</v>
      </c>
      <c r="L2402" s="1" t="s">
        <v>62</v>
      </c>
      <c r="M2402" s="1" t="s">
        <v>9644</v>
      </c>
      <c r="N2402" s="1" t="s">
        <v>24</v>
      </c>
      <c r="O2402" s="1" t="s">
        <v>25</v>
      </c>
      <c r="P2402" s="1" t="s">
        <v>9645</v>
      </c>
    </row>
    <row r="2403" ht="14.25" customHeight="1">
      <c r="A2403" s="1" t="s">
        <v>9646</v>
      </c>
      <c r="B2403" s="1" t="s">
        <v>9647</v>
      </c>
      <c r="C2403" s="1" t="s">
        <v>76</v>
      </c>
      <c r="D2403" s="1">
        <v>79829.0</v>
      </c>
      <c r="E2403" s="1" t="s">
        <v>19</v>
      </c>
      <c r="F2403" s="1" t="s">
        <v>46</v>
      </c>
      <c r="G2403" s="1" t="s">
        <v>55</v>
      </c>
      <c r="H2403" s="2">
        <v>3815.0</v>
      </c>
      <c r="I2403" s="2">
        <v>6795.0</v>
      </c>
      <c r="J2403" s="1">
        <v>1966.0</v>
      </c>
      <c r="K2403" s="1">
        <v>9.0</v>
      </c>
      <c r="L2403" s="1" t="s">
        <v>22</v>
      </c>
      <c r="M2403" s="1" t="s">
        <v>9648</v>
      </c>
      <c r="N2403" s="1" t="s">
        <v>34</v>
      </c>
      <c r="O2403" s="1" t="s">
        <v>35</v>
      </c>
      <c r="P2403" s="1" t="s">
        <v>9649</v>
      </c>
    </row>
    <row r="2404" ht="14.25" customHeight="1">
      <c r="A2404" s="1" t="s">
        <v>9650</v>
      </c>
      <c r="B2404" s="1" t="s">
        <v>9651</v>
      </c>
      <c r="C2404" s="1" t="s">
        <v>29</v>
      </c>
      <c r="D2404" s="1">
        <v>97823.0</v>
      </c>
      <c r="E2404" s="1" t="s">
        <v>19</v>
      </c>
      <c r="F2404" s="1" t="s">
        <v>94</v>
      </c>
      <c r="G2404" s="1" t="s">
        <v>21</v>
      </c>
      <c r="H2404" s="2">
        <v>1555.0</v>
      </c>
      <c r="I2404" s="2">
        <v>8426.0</v>
      </c>
      <c r="J2404" s="1">
        <v>2023.0</v>
      </c>
      <c r="K2404" s="1">
        <v>57.0</v>
      </c>
      <c r="L2404" s="1" t="s">
        <v>95</v>
      </c>
      <c r="M2404" s="1" t="s">
        <v>9652</v>
      </c>
      <c r="N2404" s="1" t="s">
        <v>34</v>
      </c>
      <c r="O2404" s="1" t="s">
        <v>35</v>
      </c>
      <c r="P2404" s="1" t="s">
        <v>9653</v>
      </c>
    </row>
    <row r="2405" ht="14.25" customHeight="1">
      <c r="A2405" s="1" t="s">
        <v>9654</v>
      </c>
      <c r="B2405" s="1" t="s">
        <v>9655</v>
      </c>
      <c r="C2405" s="1" t="s">
        <v>53</v>
      </c>
      <c r="D2405" s="1">
        <v>55537.0</v>
      </c>
      <c r="E2405" s="1" t="s">
        <v>77</v>
      </c>
      <c r="F2405" s="1" t="s">
        <v>20</v>
      </c>
      <c r="G2405" s="1" t="s">
        <v>100</v>
      </c>
      <c r="H2405" s="2">
        <v>3280.0</v>
      </c>
      <c r="I2405" s="2">
        <v>8832.0</v>
      </c>
      <c r="J2405" s="1">
        <v>2012.0</v>
      </c>
      <c r="K2405" s="1">
        <v>62.0</v>
      </c>
      <c r="L2405" s="1" t="s">
        <v>32</v>
      </c>
      <c r="M2405" s="1" t="s">
        <v>9656</v>
      </c>
      <c r="N2405" s="1" t="s">
        <v>64</v>
      </c>
      <c r="O2405" s="1" t="s">
        <v>25</v>
      </c>
      <c r="P2405" s="1" t="s">
        <v>9657</v>
      </c>
    </row>
    <row r="2406" ht="14.25" customHeight="1">
      <c r="A2406" s="1" t="s">
        <v>9658</v>
      </c>
      <c r="B2406" s="1" t="s">
        <v>9659</v>
      </c>
      <c r="C2406" s="1" t="s">
        <v>39</v>
      </c>
      <c r="D2406" s="1">
        <v>38529.0</v>
      </c>
      <c r="E2406" s="1" t="s">
        <v>60</v>
      </c>
      <c r="F2406" s="1" t="s">
        <v>61</v>
      </c>
      <c r="G2406" s="1" t="s">
        <v>21</v>
      </c>
      <c r="H2406" s="2">
        <v>1988.0</v>
      </c>
      <c r="I2406" s="2">
        <v>6701.0</v>
      </c>
      <c r="J2406" s="1">
        <v>1987.0</v>
      </c>
      <c r="K2406" s="1">
        <v>79.0</v>
      </c>
      <c r="L2406" s="1" t="s">
        <v>22</v>
      </c>
      <c r="M2406" s="1" t="s">
        <v>9660</v>
      </c>
      <c r="N2406" s="1" t="s">
        <v>64</v>
      </c>
      <c r="O2406" s="1" t="s">
        <v>25</v>
      </c>
      <c r="P2406" s="1" t="s">
        <v>9661</v>
      </c>
    </row>
    <row r="2407" ht="14.25" customHeight="1">
      <c r="A2407" s="1" t="s">
        <v>9662</v>
      </c>
      <c r="B2407" s="1" t="s">
        <v>9663</v>
      </c>
      <c r="C2407" s="1" t="s">
        <v>76</v>
      </c>
      <c r="D2407" s="1">
        <v>31671.0</v>
      </c>
      <c r="E2407" s="1" t="s">
        <v>77</v>
      </c>
      <c r="F2407" s="1" t="s">
        <v>46</v>
      </c>
      <c r="G2407" s="1" t="s">
        <v>31</v>
      </c>
      <c r="H2407" s="2">
        <v>3872.0</v>
      </c>
      <c r="I2407" s="2">
        <v>1960.0</v>
      </c>
      <c r="J2407" s="1">
        <v>2005.0</v>
      </c>
      <c r="K2407" s="1">
        <v>97.0</v>
      </c>
      <c r="L2407" s="1" t="s">
        <v>62</v>
      </c>
      <c r="M2407" s="1" t="s">
        <v>9664</v>
      </c>
      <c r="N2407" s="1" t="s">
        <v>64</v>
      </c>
      <c r="O2407" s="1" t="s">
        <v>49</v>
      </c>
      <c r="P2407" s="1" t="s">
        <v>9665</v>
      </c>
    </row>
    <row r="2408" ht="14.25" customHeight="1">
      <c r="A2408" s="1" t="s">
        <v>9666</v>
      </c>
      <c r="B2408" s="1" t="s">
        <v>9667</v>
      </c>
      <c r="C2408" s="1" t="s">
        <v>76</v>
      </c>
      <c r="D2408" s="1">
        <v>35368.0</v>
      </c>
      <c r="E2408" s="1" t="s">
        <v>19</v>
      </c>
      <c r="F2408" s="1" t="s">
        <v>94</v>
      </c>
      <c r="G2408" s="1" t="s">
        <v>31</v>
      </c>
      <c r="H2408" s="2">
        <v>2546.0</v>
      </c>
      <c r="I2408" s="2">
        <v>2645.0</v>
      </c>
      <c r="J2408" s="1">
        <v>1975.0</v>
      </c>
      <c r="K2408" s="1">
        <v>46.0</v>
      </c>
      <c r="L2408" s="1" t="s">
        <v>62</v>
      </c>
      <c r="M2408" s="1" t="s">
        <v>9668</v>
      </c>
      <c r="N2408" s="1" t="s">
        <v>64</v>
      </c>
      <c r="O2408" s="1" t="s">
        <v>35</v>
      </c>
      <c r="P2408" s="1" t="s">
        <v>9669</v>
      </c>
    </row>
    <row r="2409" ht="14.25" customHeight="1">
      <c r="A2409" s="1" t="s">
        <v>9670</v>
      </c>
      <c r="B2409" s="1" t="s">
        <v>9671</v>
      </c>
      <c r="C2409" s="1" t="s">
        <v>53</v>
      </c>
      <c r="D2409" s="1">
        <v>37017.0</v>
      </c>
      <c r="E2409" s="1" t="s">
        <v>19</v>
      </c>
      <c r="F2409" s="1" t="s">
        <v>61</v>
      </c>
      <c r="G2409" s="1" t="s">
        <v>55</v>
      </c>
      <c r="H2409" s="2">
        <v>3663.0</v>
      </c>
      <c r="I2409" s="2">
        <v>6570.0</v>
      </c>
      <c r="J2409" s="1">
        <v>2015.0</v>
      </c>
      <c r="K2409" s="1">
        <v>38.0</v>
      </c>
      <c r="L2409" s="1" t="s">
        <v>22</v>
      </c>
      <c r="M2409" s="1" t="s">
        <v>9672</v>
      </c>
      <c r="N2409" s="1" t="s">
        <v>43</v>
      </c>
      <c r="O2409" s="1" t="s">
        <v>35</v>
      </c>
      <c r="P2409" s="1" t="s">
        <v>9673</v>
      </c>
    </row>
    <row r="2410" ht="14.25" customHeight="1">
      <c r="A2410" s="1" t="s">
        <v>9674</v>
      </c>
      <c r="B2410" s="1" t="s">
        <v>9675</v>
      </c>
      <c r="C2410" s="1" t="s">
        <v>53</v>
      </c>
      <c r="D2410" s="1">
        <v>47278.0</v>
      </c>
      <c r="E2410" s="1" t="s">
        <v>77</v>
      </c>
      <c r="F2410" s="1" t="s">
        <v>20</v>
      </c>
      <c r="G2410" s="1" t="s">
        <v>100</v>
      </c>
      <c r="H2410" s="2">
        <v>3522.0</v>
      </c>
      <c r="I2410" s="2">
        <v>4583.0</v>
      </c>
      <c r="J2410" s="1">
        <v>2011.0</v>
      </c>
      <c r="K2410" s="1">
        <v>45.0</v>
      </c>
      <c r="L2410" s="1" t="s">
        <v>32</v>
      </c>
      <c r="M2410" s="1" t="s">
        <v>9676</v>
      </c>
      <c r="N2410" s="1" t="s">
        <v>64</v>
      </c>
      <c r="O2410" s="1" t="s">
        <v>35</v>
      </c>
      <c r="P2410" s="1" t="s">
        <v>9677</v>
      </c>
    </row>
    <row r="2411" ht="14.25" customHeight="1">
      <c r="A2411" s="1" t="s">
        <v>9678</v>
      </c>
      <c r="B2411" s="1" t="s">
        <v>9679</v>
      </c>
      <c r="C2411" s="1" t="s">
        <v>18</v>
      </c>
      <c r="D2411" s="1">
        <v>34088.0</v>
      </c>
      <c r="E2411" s="1" t="s">
        <v>40</v>
      </c>
      <c r="F2411" s="1" t="s">
        <v>54</v>
      </c>
      <c r="G2411" s="1" t="s">
        <v>100</v>
      </c>
      <c r="H2411" s="2">
        <v>698.0</v>
      </c>
      <c r="I2411" s="2">
        <v>8122.0</v>
      </c>
      <c r="J2411" s="1">
        <v>1992.0</v>
      </c>
      <c r="K2411" s="1">
        <v>99.0</v>
      </c>
      <c r="L2411" s="1" t="s">
        <v>22</v>
      </c>
      <c r="M2411" s="1" t="s">
        <v>9680</v>
      </c>
      <c r="N2411" s="1" t="s">
        <v>43</v>
      </c>
      <c r="O2411" s="1" t="s">
        <v>25</v>
      </c>
      <c r="P2411" s="1" t="s">
        <v>9681</v>
      </c>
    </row>
    <row r="2412" ht="14.25" customHeight="1">
      <c r="A2412" s="1" t="s">
        <v>9682</v>
      </c>
      <c r="B2412" s="1" t="s">
        <v>9683</v>
      </c>
      <c r="C2412" s="1" t="s">
        <v>18</v>
      </c>
      <c r="D2412" s="1">
        <v>24971.0</v>
      </c>
      <c r="E2412" s="1" t="s">
        <v>40</v>
      </c>
      <c r="F2412" s="1" t="s">
        <v>41</v>
      </c>
      <c r="G2412" s="1" t="s">
        <v>31</v>
      </c>
      <c r="H2412" s="2">
        <v>2078.0</v>
      </c>
      <c r="I2412" s="2">
        <v>7945.0</v>
      </c>
      <c r="J2412" s="1">
        <v>2001.0</v>
      </c>
      <c r="K2412" s="1">
        <v>1.0</v>
      </c>
      <c r="L2412" s="1" t="s">
        <v>32</v>
      </c>
      <c r="M2412" s="1" t="s">
        <v>9684</v>
      </c>
      <c r="N2412" s="1" t="s">
        <v>48</v>
      </c>
      <c r="O2412" s="1" t="s">
        <v>25</v>
      </c>
      <c r="P2412" s="1" t="s">
        <v>9685</v>
      </c>
    </row>
    <row r="2413" ht="14.25" customHeight="1">
      <c r="A2413" s="1" t="s">
        <v>9686</v>
      </c>
      <c r="B2413" s="1" t="s">
        <v>9687</v>
      </c>
      <c r="C2413" s="1" t="s">
        <v>39</v>
      </c>
      <c r="D2413" s="1">
        <v>51838.0</v>
      </c>
      <c r="E2413" s="1" t="s">
        <v>40</v>
      </c>
      <c r="F2413" s="1" t="s">
        <v>61</v>
      </c>
      <c r="G2413" s="1" t="s">
        <v>55</v>
      </c>
      <c r="H2413" s="2">
        <v>3650.0</v>
      </c>
      <c r="I2413" s="2">
        <v>2092.0</v>
      </c>
      <c r="J2413" s="1">
        <v>1970.0</v>
      </c>
      <c r="K2413" s="1">
        <v>11.0</v>
      </c>
      <c r="L2413" s="1" t="s">
        <v>95</v>
      </c>
      <c r="M2413" s="1" t="s">
        <v>9688</v>
      </c>
      <c r="N2413" s="1" t="s">
        <v>43</v>
      </c>
      <c r="O2413" s="1" t="s">
        <v>25</v>
      </c>
      <c r="P2413" s="1" t="s">
        <v>9689</v>
      </c>
    </row>
    <row r="2414" ht="14.25" customHeight="1">
      <c r="A2414" s="1" t="s">
        <v>9690</v>
      </c>
      <c r="B2414" s="1" t="s">
        <v>9691</v>
      </c>
      <c r="C2414" s="1" t="s">
        <v>39</v>
      </c>
      <c r="D2414" s="1">
        <v>17843.0</v>
      </c>
      <c r="E2414" s="1" t="s">
        <v>30</v>
      </c>
      <c r="F2414" s="1" t="s">
        <v>61</v>
      </c>
      <c r="G2414" s="1" t="s">
        <v>100</v>
      </c>
      <c r="H2414" s="2">
        <v>3753.0</v>
      </c>
      <c r="I2414" s="2">
        <v>8524.0</v>
      </c>
      <c r="J2414" s="1">
        <v>2004.0</v>
      </c>
      <c r="K2414" s="1">
        <v>3.0</v>
      </c>
      <c r="L2414" s="1" t="s">
        <v>22</v>
      </c>
      <c r="M2414" s="1" t="s">
        <v>9692</v>
      </c>
      <c r="N2414" s="1" t="s">
        <v>24</v>
      </c>
      <c r="O2414" s="1" t="s">
        <v>49</v>
      </c>
      <c r="P2414" s="1" t="s">
        <v>9693</v>
      </c>
    </row>
    <row r="2415" ht="14.25" customHeight="1">
      <c r="A2415" s="1" t="s">
        <v>9694</v>
      </c>
      <c r="B2415" s="1" t="s">
        <v>9695</v>
      </c>
      <c r="C2415" s="1" t="s">
        <v>53</v>
      </c>
      <c r="D2415" s="1">
        <v>32705.0</v>
      </c>
      <c r="E2415" s="1" t="s">
        <v>77</v>
      </c>
      <c r="F2415" s="1" t="s">
        <v>61</v>
      </c>
      <c r="G2415" s="1" t="s">
        <v>31</v>
      </c>
      <c r="H2415" s="2">
        <v>959.0</v>
      </c>
      <c r="I2415" s="2">
        <v>9348.0</v>
      </c>
      <c r="J2415" s="1">
        <v>1969.0</v>
      </c>
      <c r="K2415" s="1">
        <v>62.0</v>
      </c>
      <c r="L2415" s="1" t="s">
        <v>62</v>
      </c>
      <c r="M2415" s="1" t="s">
        <v>9696</v>
      </c>
      <c r="N2415" s="1" t="s">
        <v>48</v>
      </c>
      <c r="O2415" s="1" t="s">
        <v>35</v>
      </c>
      <c r="P2415" s="1" t="s">
        <v>9697</v>
      </c>
    </row>
    <row r="2416" ht="14.25" customHeight="1">
      <c r="A2416" s="1" t="s">
        <v>9698</v>
      </c>
      <c r="B2416" s="1" t="s">
        <v>9699</v>
      </c>
      <c r="C2416" s="1" t="s">
        <v>53</v>
      </c>
      <c r="D2416" s="1">
        <v>84254.0</v>
      </c>
      <c r="E2416" s="1" t="s">
        <v>19</v>
      </c>
      <c r="F2416" s="1" t="s">
        <v>20</v>
      </c>
      <c r="G2416" s="1" t="s">
        <v>100</v>
      </c>
      <c r="H2416" s="2">
        <v>2538.0</v>
      </c>
      <c r="I2416" s="2">
        <v>6282.0</v>
      </c>
      <c r="J2416" s="1">
        <v>1968.0</v>
      </c>
      <c r="K2416" s="1">
        <v>28.0</v>
      </c>
      <c r="L2416" s="1" t="s">
        <v>95</v>
      </c>
      <c r="M2416" s="1" t="s">
        <v>9700</v>
      </c>
      <c r="N2416" s="1" t="s">
        <v>34</v>
      </c>
      <c r="O2416" s="1" t="s">
        <v>35</v>
      </c>
      <c r="P2416" s="1" t="s">
        <v>9701</v>
      </c>
    </row>
    <row r="2417" ht="14.25" customHeight="1">
      <c r="A2417" s="1" t="s">
        <v>9702</v>
      </c>
      <c r="B2417" s="1" t="s">
        <v>9703</v>
      </c>
      <c r="C2417" s="1" t="s">
        <v>29</v>
      </c>
      <c r="D2417" s="1">
        <v>48796.0</v>
      </c>
      <c r="E2417" s="1" t="s">
        <v>60</v>
      </c>
      <c r="F2417" s="1" t="s">
        <v>20</v>
      </c>
      <c r="G2417" s="1" t="s">
        <v>21</v>
      </c>
      <c r="H2417" s="2">
        <v>1689.0</v>
      </c>
      <c r="I2417" s="2">
        <v>8669.0</v>
      </c>
      <c r="J2417" s="1">
        <v>1974.0</v>
      </c>
      <c r="K2417" s="1">
        <v>65.0</v>
      </c>
      <c r="L2417" s="1" t="s">
        <v>22</v>
      </c>
      <c r="M2417" s="1" t="s">
        <v>9704</v>
      </c>
      <c r="N2417" s="1" t="s">
        <v>34</v>
      </c>
      <c r="O2417" s="1" t="s">
        <v>49</v>
      </c>
      <c r="P2417" s="1" t="s">
        <v>9705</v>
      </c>
    </row>
    <row r="2418" ht="14.25" customHeight="1">
      <c r="A2418" s="1" t="s">
        <v>9706</v>
      </c>
      <c r="B2418" s="1" t="s">
        <v>9707</v>
      </c>
      <c r="C2418" s="1" t="s">
        <v>39</v>
      </c>
      <c r="D2418" s="1">
        <v>35774.0</v>
      </c>
      <c r="E2418" s="1" t="s">
        <v>60</v>
      </c>
      <c r="F2418" s="1" t="s">
        <v>20</v>
      </c>
      <c r="G2418" s="1" t="s">
        <v>55</v>
      </c>
      <c r="H2418" s="2">
        <v>2435.0</v>
      </c>
      <c r="I2418" s="2">
        <v>4973.0</v>
      </c>
      <c r="J2418" s="1">
        <v>1967.0</v>
      </c>
      <c r="K2418" s="1">
        <v>18.0</v>
      </c>
      <c r="L2418" s="1" t="s">
        <v>95</v>
      </c>
      <c r="M2418" s="1" t="s">
        <v>9708</v>
      </c>
      <c r="N2418" s="1" t="s">
        <v>43</v>
      </c>
      <c r="O2418" s="1" t="s">
        <v>49</v>
      </c>
      <c r="P2418" s="1" t="s">
        <v>9709</v>
      </c>
    </row>
    <row r="2419" ht="14.25" customHeight="1">
      <c r="A2419" s="1" t="s">
        <v>9710</v>
      </c>
      <c r="B2419" s="1" t="s">
        <v>9711</v>
      </c>
      <c r="C2419" s="1" t="s">
        <v>18</v>
      </c>
      <c r="D2419" s="1">
        <v>96515.0</v>
      </c>
      <c r="E2419" s="1" t="s">
        <v>77</v>
      </c>
      <c r="F2419" s="1" t="s">
        <v>41</v>
      </c>
      <c r="G2419" s="1" t="s">
        <v>21</v>
      </c>
      <c r="H2419" s="2">
        <v>1430.0</v>
      </c>
      <c r="I2419" s="2">
        <v>9425.0</v>
      </c>
      <c r="J2419" s="1">
        <v>1993.0</v>
      </c>
      <c r="K2419" s="1">
        <v>112.0</v>
      </c>
      <c r="L2419" s="1" t="s">
        <v>32</v>
      </c>
      <c r="M2419" s="1" t="s">
        <v>9712</v>
      </c>
      <c r="N2419" s="1" t="s">
        <v>43</v>
      </c>
      <c r="O2419" s="1" t="s">
        <v>35</v>
      </c>
      <c r="P2419" s="1" t="s">
        <v>9713</v>
      </c>
    </row>
    <row r="2420" ht="14.25" customHeight="1">
      <c r="A2420" s="1" t="s">
        <v>9714</v>
      </c>
      <c r="B2420" s="1" t="s">
        <v>9715</v>
      </c>
      <c r="C2420" s="1" t="s">
        <v>18</v>
      </c>
      <c r="D2420" s="1">
        <v>61427.0</v>
      </c>
      <c r="E2420" s="1" t="s">
        <v>30</v>
      </c>
      <c r="F2420" s="1" t="s">
        <v>46</v>
      </c>
      <c r="G2420" s="1" t="s">
        <v>55</v>
      </c>
      <c r="H2420" s="2">
        <v>3305.0</v>
      </c>
      <c r="I2420" s="2">
        <v>8199.0</v>
      </c>
      <c r="J2420" s="1">
        <v>1972.0</v>
      </c>
      <c r="K2420" s="1">
        <v>119.0</v>
      </c>
      <c r="L2420" s="1" t="s">
        <v>95</v>
      </c>
      <c r="M2420" s="1" t="s">
        <v>9716</v>
      </c>
      <c r="N2420" s="1" t="s">
        <v>24</v>
      </c>
      <c r="O2420" s="1" t="s">
        <v>25</v>
      </c>
      <c r="P2420" s="1" t="s">
        <v>9717</v>
      </c>
    </row>
    <row r="2421" ht="14.25" customHeight="1">
      <c r="A2421" s="1" t="s">
        <v>9718</v>
      </c>
      <c r="B2421" s="1" t="s">
        <v>9719</v>
      </c>
      <c r="C2421" s="1" t="s">
        <v>53</v>
      </c>
      <c r="D2421" s="1">
        <v>42468.0</v>
      </c>
      <c r="E2421" s="1" t="s">
        <v>19</v>
      </c>
      <c r="F2421" s="1" t="s">
        <v>20</v>
      </c>
      <c r="G2421" s="1" t="s">
        <v>21</v>
      </c>
      <c r="H2421" s="2">
        <v>3136.0</v>
      </c>
      <c r="I2421" s="2">
        <v>7264.0</v>
      </c>
      <c r="J2421" s="1">
        <v>1987.0</v>
      </c>
      <c r="K2421" s="1">
        <v>98.0</v>
      </c>
      <c r="L2421" s="1" t="s">
        <v>22</v>
      </c>
      <c r="M2421" s="1" t="s">
        <v>9720</v>
      </c>
      <c r="N2421" s="1" t="s">
        <v>34</v>
      </c>
      <c r="O2421" s="1" t="s">
        <v>35</v>
      </c>
      <c r="P2421" s="1" t="s">
        <v>9721</v>
      </c>
    </row>
    <row r="2422" ht="14.25" customHeight="1">
      <c r="A2422" s="1" t="s">
        <v>9722</v>
      </c>
      <c r="B2422" s="1" t="s">
        <v>9723</v>
      </c>
      <c r="C2422" s="1" t="s">
        <v>53</v>
      </c>
      <c r="D2422" s="1">
        <v>33549.0</v>
      </c>
      <c r="E2422" s="1" t="s">
        <v>19</v>
      </c>
      <c r="F2422" s="1" t="s">
        <v>61</v>
      </c>
      <c r="G2422" s="1" t="s">
        <v>55</v>
      </c>
      <c r="H2422" s="2">
        <v>1243.0</v>
      </c>
      <c r="I2422" s="2">
        <v>2670.0</v>
      </c>
      <c r="J2422" s="1">
        <v>2005.0</v>
      </c>
      <c r="K2422" s="1">
        <v>110.0</v>
      </c>
      <c r="L2422" s="1" t="s">
        <v>62</v>
      </c>
      <c r="M2422" s="1" t="s">
        <v>9724</v>
      </c>
      <c r="N2422" s="1" t="s">
        <v>64</v>
      </c>
      <c r="O2422" s="1" t="s">
        <v>49</v>
      </c>
      <c r="P2422" s="1" t="s">
        <v>9725</v>
      </c>
    </row>
    <row r="2423" ht="14.25" customHeight="1">
      <c r="A2423" s="1" t="s">
        <v>9726</v>
      </c>
      <c r="B2423" s="1" t="s">
        <v>9727</v>
      </c>
      <c r="C2423" s="1" t="s">
        <v>29</v>
      </c>
      <c r="D2423" s="1">
        <v>65915.0</v>
      </c>
      <c r="E2423" s="1" t="s">
        <v>77</v>
      </c>
      <c r="F2423" s="1" t="s">
        <v>61</v>
      </c>
      <c r="G2423" s="1" t="s">
        <v>55</v>
      </c>
      <c r="H2423" s="2">
        <v>1663.0</v>
      </c>
      <c r="I2423" s="2">
        <v>1517.0</v>
      </c>
      <c r="J2423" s="1">
        <v>2009.0</v>
      </c>
      <c r="K2423" s="1">
        <v>94.0</v>
      </c>
      <c r="L2423" s="1" t="s">
        <v>95</v>
      </c>
      <c r="M2423" s="1" t="s">
        <v>9728</v>
      </c>
      <c r="N2423" s="1" t="s">
        <v>48</v>
      </c>
      <c r="O2423" s="1" t="s">
        <v>25</v>
      </c>
      <c r="P2423" s="1" t="s">
        <v>9729</v>
      </c>
    </row>
    <row r="2424" ht="14.25" customHeight="1">
      <c r="A2424" s="1" t="s">
        <v>9730</v>
      </c>
      <c r="B2424" s="1" t="s">
        <v>9731</v>
      </c>
      <c r="C2424" s="1" t="s">
        <v>29</v>
      </c>
      <c r="D2424" s="1">
        <v>14407.0</v>
      </c>
      <c r="E2424" s="1" t="s">
        <v>77</v>
      </c>
      <c r="F2424" s="1" t="s">
        <v>20</v>
      </c>
      <c r="G2424" s="1" t="s">
        <v>100</v>
      </c>
      <c r="H2424" s="2">
        <v>3471.0</v>
      </c>
      <c r="I2424" s="2">
        <v>7008.0</v>
      </c>
      <c r="J2424" s="1">
        <v>1990.0</v>
      </c>
      <c r="K2424" s="1">
        <v>3.0</v>
      </c>
      <c r="L2424" s="1" t="s">
        <v>22</v>
      </c>
      <c r="M2424" s="1" t="s">
        <v>9732</v>
      </c>
      <c r="N2424" s="1" t="s">
        <v>43</v>
      </c>
      <c r="O2424" s="1" t="s">
        <v>25</v>
      </c>
      <c r="P2424" s="1" t="s">
        <v>9733</v>
      </c>
    </row>
    <row r="2425" ht="14.25" customHeight="1">
      <c r="A2425" s="1" t="s">
        <v>9734</v>
      </c>
      <c r="B2425" s="1" t="s">
        <v>9735</v>
      </c>
      <c r="C2425" s="1" t="s">
        <v>53</v>
      </c>
      <c r="D2425" s="1">
        <v>41858.0</v>
      </c>
      <c r="E2425" s="1" t="s">
        <v>19</v>
      </c>
      <c r="F2425" s="1" t="s">
        <v>41</v>
      </c>
      <c r="G2425" s="1" t="s">
        <v>55</v>
      </c>
      <c r="H2425" s="2">
        <v>2155.0</v>
      </c>
      <c r="I2425" s="2">
        <v>9159.0</v>
      </c>
      <c r="J2425" s="1">
        <v>2008.0</v>
      </c>
      <c r="K2425" s="1">
        <v>62.0</v>
      </c>
      <c r="L2425" s="1" t="s">
        <v>62</v>
      </c>
      <c r="M2425" s="1" t="s">
        <v>9736</v>
      </c>
      <c r="N2425" s="1" t="s">
        <v>64</v>
      </c>
      <c r="O2425" s="1" t="s">
        <v>25</v>
      </c>
      <c r="P2425" s="1" t="s">
        <v>9737</v>
      </c>
    </row>
    <row r="2426" ht="14.25" customHeight="1">
      <c r="A2426" s="1" t="s">
        <v>9738</v>
      </c>
      <c r="B2426" s="1" t="s">
        <v>9739</v>
      </c>
      <c r="C2426" s="1" t="s">
        <v>53</v>
      </c>
      <c r="D2426" s="1">
        <v>57304.0</v>
      </c>
      <c r="E2426" s="1" t="s">
        <v>77</v>
      </c>
      <c r="F2426" s="1" t="s">
        <v>41</v>
      </c>
      <c r="G2426" s="1" t="s">
        <v>100</v>
      </c>
      <c r="H2426" s="2">
        <v>1874.0</v>
      </c>
      <c r="I2426" s="2">
        <v>1458.0</v>
      </c>
      <c r="J2426" s="1">
        <v>1993.0</v>
      </c>
      <c r="K2426" s="1">
        <v>88.0</v>
      </c>
      <c r="L2426" s="1" t="s">
        <v>141</v>
      </c>
      <c r="M2426" s="1" t="s">
        <v>9740</v>
      </c>
      <c r="N2426" s="1" t="s">
        <v>48</v>
      </c>
      <c r="O2426" s="1" t="s">
        <v>35</v>
      </c>
      <c r="P2426" s="1" t="s">
        <v>9741</v>
      </c>
    </row>
    <row r="2427" ht="14.25" customHeight="1">
      <c r="A2427" s="1" t="s">
        <v>9742</v>
      </c>
      <c r="B2427" s="1" t="s">
        <v>9743</v>
      </c>
      <c r="C2427" s="1" t="s">
        <v>29</v>
      </c>
      <c r="D2427" s="1">
        <v>56633.0</v>
      </c>
      <c r="E2427" s="1" t="s">
        <v>30</v>
      </c>
      <c r="F2427" s="1" t="s">
        <v>41</v>
      </c>
      <c r="G2427" s="1" t="s">
        <v>31</v>
      </c>
      <c r="H2427" s="2">
        <v>1005.0</v>
      </c>
      <c r="I2427" s="2">
        <v>6375.0</v>
      </c>
      <c r="J2427" s="1">
        <v>1992.0</v>
      </c>
      <c r="K2427" s="1">
        <v>70.0</v>
      </c>
      <c r="L2427" s="1" t="s">
        <v>95</v>
      </c>
      <c r="M2427" s="1" t="s">
        <v>9744</v>
      </c>
      <c r="N2427" s="1" t="s">
        <v>64</v>
      </c>
      <c r="O2427" s="1" t="s">
        <v>25</v>
      </c>
      <c r="P2427" s="1" t="s">
        <v>9745</v>
      </c>
    </row>
    <row r="2428" ht="14.25" customHeight="1">
      <c r="A2428" s="1" t="s">
        <v>9746</v>
      </c>
      <c r="B2428" s="1" t="s">
        <v>9747</v>
      </c>
      <c r="C2428" s="1" t="s">
        <v>18</v>
      </c>
      <c r="D2428" s="1">
        <v>63703.0</v>
      </c>
      <c r="E2428" s="1" t="s">
        <v>30</v>
      </c>
      <c r="F2428" s="1" t="s">
        <v>46</v>
      </c>
      <c r="G2428" s="1" t="s">
        <v>21</v>
      </c>
      <c r="H2428" s="2">
        <v>1444.0</v>
      </c>
      <c r="I2428" s="2">
        <v>9707.0</v>
      </c>
      <c r="J2428" s="1">
        <v>2009.0</v>
      </c>
      <c r="K2428" s="1">
        <v>83.0</v>
      </c>
      <c r="L2428" s="1" t="s">
        <v>62</v>
      </c>
      <c r="M2428" s="1" t="s">
        <v>9748</v>
      </c>
      <c r="N2428" s="1" t="s">
        <v>24</v>
      </c>
      <c r="O2428" s="1" t="s">
        <v>35</v>
      </c>
      <c r="P2428" s="1" t="s">
        <v>9749</v>
      </c>
    </row>
    <row r="2429" ht="14.25" customHeight="1">
      <c r="A2429" s="1" t="s">
        <v>9750</v>
      </c>
      <c r="B2429" s="1" t="s">
        <v>9751</v>
      </c>
      <c r="C2429" s="1" t="s">
        <v>53</v>
      </c>
      <c r="D2429" s="1">
        <v>84873.0</v>
      </c>
      <c r="E2429" s="1" t="s">
        <v>19</v>
      </c>
      <c r="F2429" s="1" t="s">
        <v>94</v>
      </c>
      <c r="G2429" s="1" t="s">
        <v>55</v>
      </c>
      <c r="H2429" s="2">
        <v>736.0</v>
      </c>
      <c r="I2429" s="2">
        <v>1647.0</v>
      </c>
      <c r="J2429" s="1">
        <v>1979.0</v>
      </c>
      <c r="K2429" s="1">
        <v>6.0</v>
      </c>
      <c r="L2429" s="1" t="s">
        <v>95</v>
      </c>
      <c r="M2429" s="1" t="s">
        <v>9752</v>
      </c>
      <c r="N2429" s="1" t="s">
        <v>64</v>
      </c>
      <c r="O2429" s="1" t="s">
        <v>25</v>
      </c>
      <c r="P2429" s="1" t="s">
        <v>9753</v>
      </c>
    </row>
    <row r="2430" ht="14.25" customHeight="1">
      <c r="A2430" s="1" t="s">
        <v>9754</v>
      </c>
      <c r="B2430" s="1" t="s">
        <v>9755</v>
      </c>
      <c r="C2430" s="1" t="s">
        <v>29</v>
      </c>
      <c r="D2430" s="1">
        <v>15079.0</v>
      </c>
      <c r="E2430" s="1" t="s">
        <v>19</v>
      </c>
      <c r="F2430" s="1" t="s">
        <v>94</v>
      </c>
      <c r="G2430" s="1" t="s">
        <v>100</v>
      </c>
      <c r="H2430" s="2">
        <v>2049.0</v>
      </c>
      <c r="I2430" s="2">
        <v>1722.0</v>
      </c>
      <c r="J2430" s="1">
        <v>1988.0</v>
      </c>
      <c r="K2430" s="1">
        <v>118.0</v>
      </c>
      <c r="L2430" s="1" t="s">
        <v>95</v>
      </c>
      <c r="M2430" s="1" t="s">
        <v>9756</v>
      </c>
      <c r="N2430" s="1" t="s">
        <v>48</v>
      </c>
      <c r="O2430" s="1" t="s">
        <v>49</v>
      </c>
      <c r="P2430" s="1" t="s">
        <v>9757</v>
      </c>
    </row>
    <row r="2431" ht="14.25" customHeight="1">
      <c r="A2431" s="1" t="s">
        <v>9758</v>
      </c>
      <c r="B2431" s="1" t="s">
        <v>9759</v>
      </c>
      <c r="C2431" s="1" t="s">
        <v>53</v>
      </c>
      <c r="D2431" s="1">
        <v>30522.0</v>
      </c>
      <c r="E2431" s="1" t="s">
        <v>40</v>
      </c>
      <c r="F2431" s="1" t="s">
        <v>41</v>
      </c>
      <c r="G2431" s="1" t="s">
        <v>21</v>
      </c>
      <c r="H2431" s="2">
        <v>1508.0</v>
      </c>
      <c r="I2431" s="2">
        <v>1660.0</v>
      </c>
      <c r="J2431" s="1">
        <v>1963.0</v>
      </c>
      <c r="K2431" s="1">
        <v>30.0</v>
      </c>
      <c r="L2431" s="1" t="s">
        <v>62</v>
      </c>
      <c r="M2431" s="1" t="s">
        <v>9760</v>
      </c>
      <c r="N2431" s="1" t="s">
        <v>24</v>
      </c>
      <c r="O2431" s="1" t="s">
        <v>35</v>
      </c>
      <c r="P2431" s="1" t="s">
        <v>9761</v>
      </c>
    </row>
    <row r="2432" ht="14.25" customHeight="1">
      <c r="A2432" s="1" t="s">
        <v>9762</v>
      </c>
      <c r="B2432" s="1" t="s">
        <v>9763</v>
      </c>
      <c r="C2432" s="1" t="s">
        <v>53</v>
      </c>
      <c r="D2432" s="1">
        <v>54046.0</v>
      </c>
      <c r="E2432" s="1" t="s">
        <v>60</v>
      </c>
      <c r="F2432" s="1" t="s">
        <v>94</v>
      </c>
      <c r="G2432" s="1" t="s">
        <v>100</v>
      </c>
      <c r="H2432" s="2">
        <v>1770.0</v>
      </c>
      <c r="I2432" s="2">
        <v>7185.0</v>
      </c>
      <c r="J2432" s="1">
        <v>1983.0</v>
      </c>
      <c r="K2432" s="1">
        <v>75.0</v>
      </c>
      <c r="L2432" s="1" t="s">
        <v>62</v>
      </c>
      <c r="M2432" s="1" t="s">
        <v>9764</v>
      </c>
      <c r="N2432" s="1" t="s">
        <v>48</v>
      </c>
      <c r="O2432" s="1" t="s">
        <v>35</v>
      </c>
      <c r="P2432" s="1" t="s">
        <v>9765</v>
      </c>
    </row>
    <row r="2433" ht="14.25" customHeight="1">
      <c r="A2433" s="1" t="s">
        <v>9766</v>
      </c>
      <c r="B2433" s="1" t="s">
        <v>9767</v>
      </c>
      <c r="C2433" s="1" t="s">
        <v>53</v>
      </c>
      <c r="D2433" s="1">
        <v>57914.0</v>
      </c>
      <c r="E2433" s="1" t="s">
        <v>60</v>
      </c>
      <c r="F2433" s="1" t="s">
        <v>41</v>
      </c>
      <c r="G2433" s="1" t="s">
        <v>100</v>
      </c>
      <c r="H2433" s="2">
        <v>3968.0</v>
      </c>
      <c r="I2433" s="2">
        <v>6777.0</v>
      </c>
      <c r="J2433" s="1">
        <v>2019.0</v>
      </c>
      <c r="K2433" s="1">
        <v>50.0</v>
      </c>
      <c r="L2433" s="1" t="s">
        <v>62</v>
      </c>
      <c r="M2433" s="1" t="s">
        <v>9768</v>
      </c>
      <c r="N2433" s="1" t="s">
        <v>64</v>
      </c>
      <c r="O2433" s="1" t="s">
        <v>35</v>
      </c>
      <c r="P2433" s="1" t="s">
        <v>9769</v>
      </c>
    </row>
    <row r="2434" ht="14.25" customHeight="1">
      <c r="A2434" s="1" t="s">
        <v>9770</v>
      </c>
      <c r="B2434" s="1" t="s">
        <v>9771</v>
      </c>
      <c r="C2434" s="1" t="s">
        <v>29</v>
      </c>
      <c r="D2434" s="1">
        <v>43818.0</v>
      </c>
      <c r="E2434" s="1" t="s">
        <v>30</v>
      </c>
      <c r="F2434" s="1" t="s">
        <v>61</v>
      </c>
      <c r="G2434" s="1" t="s">
        <v>31</v>
      </c>
      <c r="H2434" s="2">
        <v>2054.0</v>
      </c>
      <c r="I2434" s="2">
        <v>6068.0</v>
      </c>
      <c r="J2434" s="1">
        <v>1990.0</v>
      </c>
      <c r="K2434" s="1">
        <v>45.0</v>
      </c>
      <c r="L2434" s="1" t="s">
        <v>141</v>
      </c>
      <c r="M2434" s="1" t="s">
        <v>9772</v>
      </c>
      <c r="N2434" s="1" t="s">
        <v>48</v>
      </c>
      <c r="O2434" s="1" t="s">
        <v>35</v>
      </c>
      <c r="P2434" s="1" t="s">
        <v>9773</v>
      </c>
    </row>
    <row r="2435" ht="14.25" customHeight="1">
      <c r="A2435" s="1" t="s">
        <v>9774</v>
      </c>
      <c r="B2435" s="1" t="s">
        <v>9775</v>
      </c>
      <c r="C2435" s="1" t="s">
        <v>39</v>
      </c>
      <c r="D2435" s="1">
        <v>54592.0</v>
      </c>
      <c r="E2435" s="1" t="s">
        <v>30</v>
      </c>
      <c r="F2435" s="1" t="s">
        <v>61</v>
      </c>
      <c r="G2435" s="1" t="s">
        <v>21</v>
      </c>
      <c r="H2435" s="2">
        <v>2672.0</v>
      </c>
      <c r="I2435" s="2">
        <v>2777.0</v>
      </c>
      <c r="J2435" s="1">
        <v>1982.0</v>
      </c>
      <c r="K2435" s="1">
        <v>104.0</v>
      </c>
      <c r="L2435" s="1" t="s">
        <v>32</v>
      </c>
      <c r="M2435" s="1" t="s">
        <v>9776</v>
      </c>
      <c r="N2435" s="1" t="s">
        <v>24</v>
      </c>
      <c r="O2435" s="1" t="s">
        <v>25</v>
      </c>
      <c r="P2435" s="1" t="s">
        <v>9777</v>
      </c>
    </row>
    <row r="2436" ht="14.25" customHeight="1">
      <c r="A2436" s="1" t="s">
        <v>9778</v>
      </c>
      <c r="B2436" s="1" t="s">
        <v>9779</v>
      </c>
      <c r="C2436" s="1" t="s">
        <v>53</v>
      </c>
      <c r="D2436" s="1">
        <v>21619.0</v>
      </c>
      <c r="E2436" s="1" t="s">
        <v>40</v>
      </c>
      <c r="F2436" s="1" t="s">
        <v>41</v>
      </c>
      <c r="G2436" s="1" t="s">
        <v>21</v>
      </c>
      <c r="H2436" s="2">
        <v>2441.0</v>
      </c>
      <c r="I2436" s="2">
        <v>3137.0</v>
      </c>
      <c r="J2436" s="1">
        <v>1990.0</v>
      </c>
      <c r="K2436" s="1">
        <v>120.0</v>
      </c>
      <c r="L2436" s="1" t="s">
        <v>32</v>
      </c>
      <c r="M2436" s="1" t="s">
        <v>9780</v>
      </c>
      <c r="N2436" s="1" t="s">
        <v>24</v>
      </c>
      <c r="O2436" s="1" t="s">
        <v>25</v>
      </c>
      <c r="P2436" s="1" t="s">
        <v>9781</v>
      </c>
    </row>
    <row r="2437" ht="14.25" customHeight="1">
      <c r="A2437" s="1" t="s">
        <v>9782</v>
      </c>
      <c r="B2437" s="1" t="s">
        <v>9783</v>
      </c>
      <c r="C2437" s="1" t="s">
        <v>76</v>
      </c>
      <c r="D2437" s="1">
        <v>30494.0</v>
      </c>
      <c r="E2437" s="1" t="s">
        <v>19</v>
      </c>
      <c r="F2437" s="1" t="s">
        <v>94</v>
      </c>
      <c r="G2437" s="1" t="s">
        <v>100</v>
      </c>
      <c r="H2437" s="2">
        <v>1413.0</v>
      </c>
      <c r="I2437" s="2">
        <v>4633.0</v>
      </c>
      <c r="J2437" s="1">
        <v>1982.0</v>
      </c>
      <c r="K2437" s="1">
        <v>35.0</v>
      </c>
      <c r="L2437" s="1" t="s">
        <v>95</v>
      </c>
      <c r="M2437" s="1" t="s">
        <v>9784</v>
      </c>
      <c r="N2437" s="1" t="s">
        <v>43</v>
      </c>
      <c r="O2437" s="1" t="s">
        <v>25</v>
      </c>
      <c r="P2437" s="1" t="s">
        <v>9785</v>
      </c>
    </row>
    <row r="2438" ht="14.25" customHeight="1">
      <c r="A2438" s="1" t="s">
        <v>9786</v>
      </c>
      <c r="B2438" s="1" t="s">
        <v>9787</v>
      </c>
      <c r="C2438" s="1" t="s">
        <v>76</v>
      </c>
      <c r="D2438" s="1">
        <v>45954.0</v>
      </c>
      <c r="E2438" s="1" t="s">
        <v>60</v>
      </c>
      <c r="F2438" s="1" t="s">
        <v>61</v>
      </c>
      <c r="G2438" s="1" t="s">
        <v>55</v>
      </c>
      <c r="H2438" s="2">
        <v>2597.0</v>
      </c>
      <c r="I2438" s="2">
        <v>7103.0</v>
      </c>
      <c r="J2438" s="1">
        <v>1960.0</v>
      </c>
      <c r="K2438" s="1">
        <v>13.0</v>
      </c>
      <c r="L2438" s="1" t="s">
        <v>22</v>
      </c>
      <c r="M2438" s="1" t="s">
        <v>9788</v>
      </c>
      <c r="N2438" s="1" t="s">
        <v>24</v>
      </c>
      <c r="O2438" s="1" t="s">
        <v>35</v>
      </c>
      <c r="P2438" s="1" t="s">
        <v>9789</v>
      </c>
    </row>
    <row r="2439" ht="14.25" customHeight="1">
      <c r="A2439" s="1" t="s">
        <v>9790</v>
      </c>
      <c r="B2439" s="1" t="s">
        <v>9791</v>
      </c>
      <c r="C2439" s="1" t="s">
        <v>53</v>
      </c>
      <c r="D2439" s="1">
        <v>82694.0</v>
      </c>
      <c r="E2439" s="1" t="s">
        <v>77</v>
      </c>
      <c r="F2439" s="1" t="s">
        <v>61</v>
      </c>
      <c r="G2439" s="1" t="s">
        <v>21</v>
      </c>
      <c r="H2439" s="2">
        <v>2974.0</v>
      </c>
      <c r="I2439" s="2">
        <v>8712.0</v>
      </c>
      <c r="J2439" s="1">
        <v>1996.0</v>
      </c>
      <c r="K2439" s="1">
        <v>120.0</v>
      </c>
      <c r="L2439" s="1" t="s">
        <v>95</v>
      </c>
      <c r="M2439" s="1" t="s">
        <v>9792</v>
      </c>
      <c r="N2439" s="1" t="s">
        <v>34</v>
      </c>
      <c r="O2439" s="1" t="s">
        <v>25</v>
      </c>
      <c r="P2439" s="1" t="s">
        <v>9793</v>
      </c>
    </row>
    <row r="2440" ht="14.25" customHeight="1">
      <c r="A2440" s="1" t="s">
        <v>9794</v>
      </c>
      <c r="B2440" s="1" t="s">
        <v>9795</v>
      </c>
      <c r="C2440" s="1" t="s">
        <v>53</v>
      </c>
      <c r="D2440" s="1">
        <v>47247.0</v>
      </c>
      <c r="E2440" s="1" t="s">
        <v>40</v>
      </c>
      <c r="F2440" s="1" t="s">
        <v>46</v>
      </c>
      <c r="G2440" s="1" t="s">
        <v>31</v>
      </c>
      <c r="H2440" s="2">
        <v>2399.0</v>
      </c>
      <c r="I2440" s="2">
        <v>2256.0</v>
      </c>
      <c r="J2440" s="1">
        <v>1985.0</v>
      </c>
      <c r="K2440" s="1">
        <v>70.0</v>
      </c>
      <c r="L2440" s="1" t="s">
        <v>22</v>
      </c>
      <c r="M2440" s="1" t="s">
        <v>9796</v>
      </c>
      <c r="N2440" s="1" t="s">
        <v>64</v>
      </c>
      <c r="O2440" s="1" t="s">
        <v>35</v>
      </c>
      <c r="P2440" s="1" t="s">
        <v>9797</v>
      </c>
    </row>
    <row r="2441" ht="14.25" customHeight="1">
      <c r="A2441" s="1" t="s">
        <v>9798</v>
      </c>
      <c r="B2441" s="1" t="s">
        <v>9799</v>
      </c>
      <c r="C2441" s="1" t="s">
        <v>39</v>
      </c>
      <c r="D2441" s="1">
        <v>21178.0</v>
      </c>
      <c r="E2441" s="1" t="s">
        <v>40</v>
      </c>
      <c r="F2441" s="1" t="s">
        <v>61</v>
      </c>
      <c r="G2441" s="1" t="s">
        <v>55</v>
      </c>
      <c r="H2441" s="2">
        <v>1965.0</v>
      </c>
      <c r="I2441" s="2">
        <v>3349.0</v>
      </c>
      <c r="J2441" s="1">
        <v>2010.0</v>
      </c>
      <c r="K2441" s="1">
        <v>76.0</v>
      </c>
      <c r="L2441" s="1" t="s">
        <v>32</v>
      </c>
      <c r="M2441" s="1" t="s">
        <v>9800</v>
      </c>
      <c r="N2441" s="1" t="s">
        <v>64</v>
      </c>
      <c r="O2441" s="1" t="s">
        <v>49</v>
      </c>
      <c r="P2441" s="1" t="s">
        <v>9801</v>
      </c>
    </row>
    <row r="2442" ht="14.25" customHeight="1">
      <c r="A2442" s="1" t="s">
        <v>9802</v>
      </c>
      <c r="B2442" s="1" t="s">
        <v>9803</v>
      </c>
      <c r="C2442" s="1" t="s">
        <v>76</v>
      </c>
      <c r="D2442" s="1">
        <v>94550.0</v>
      </c>
      <c r="E2442" s="1" t="s">
        <v>40</v>
      </c>
      <c r="F2442" s="1" t="s">
        <v>20</v>
      </c>
      <c r="G2442" s="1" t="s">
        <v>100</v>
      </c>
      <c r="H2442" s="2">
        <v>1630.0</v>
      </c>
      <c r="I2442" s="2">
        <v>5717.0</v>
      </c>
      <c r="J2442" s="1">
        <v>2023.0</v>
      </c>
      <c r="K2442" s="1">
        <v>89.0</v>
      </c>
      <c r="L2442" s="1" t="s">
        <v>141</v>
      </c>
      <c r="M2442" s="1" t="s">
        <v>9804</v>
      </c>
      <c r="N2442" s="1" t="s">
        <v>43</v>
      </c>
      <c r="O2442" s="1" t="s">
        <v>35</v>
      </c>
      <c r="P2442" s="1" t="s">
        <v>9805</v>
      </c>
    </row>
    <row r="2443" ht="14.25" customHeight="1">
      <c r="A2443" s="1" t="s">
        <v>9806</v>
      </c>
      <c r="B2443" s="1" t="s">
        <v>9807</v>
      </c>
      <c r="C2443" s="1" t="s">
        <v>18</v>
      </c>
      <c r="D2443" s="1">
        <v>22902.0</v>
      </c>
      <c r="E2443" s="1" t="s">
        <v>60</v>
      </c>
      <c r="F2443" s="1" t="s">
        <v>94</v>
      </c>
      <c r="G2443" s="1" t="s">
        <v>31</v>
      </c>
      <c r="H2443" s="2">
        <v>2261.0</v>
      </c>
      <c r="I2443" s="2">
        <v>1673.0</v>
      </c>
      <c r="J2443" s="1">
        <v>2022.0</v>
      </c>
      <c r="K2443" s="1">
        <v>19.0</v>
      </c>
      <c r="L2443" s="1" t="s">
        <v>32</v>
      </c>
      <c r="M2443" s="1" t="s">
        <v>9808</v>
      </c>
      <c r="N2443" s="1" t="s">
        <v>64</v>
      </c>
      <c r="O2443" s="1" t="s">
        <v>49</v>
      </c>
      <c r="P2443" s="1" t="s">
        <v>9809</v>
      </c>
    </row>
    <row r="2444" ht="14.25" customHeight="1">
      <c r="A2444" s="1" t="s">
        <v>9810</v>
      </c>
      <c r="B2444" s="1" t="s">
        <v>9811</v>
      </c>
      <c r="C2444" s="1" t="s">
        <v>18</v>
      </c>
      <c r="D2444" s="1">
        <v>57259.0</v>
      </c>
      <c r="E2444" s="1" t="s">
        <v>40</v>
      </c>
      <c r="F2444" s="1" t="s">
        <v>41</v>
      </c>
      <c r="G2444" s="1" t="s">
        <v>55</v>
      </c>
      <c r="H2444" s="2">
        <v>1289.0</v>
      </c>
      <c r="I2444" s="2">
        <v>3845.0</v>
      </c>
      <c r="J2444" s="1">
        <v>1976.0</v>
      </c>
      <c r="K2444" s="1">
        <v>19.0</v>
      </c>
      <c r="L2444" s="1" t="s">
        <v>22</v>
      </c>
      <c r="M2444" s="1" t="s">
        <v>9812</v>
      </c>
      <c r="N2444" s="1" t="s">
        <v>34</v>
      </c>
      <c r="O2444" s="1" t="s">
        <v>49</v>
      </c>
      <c r="P2444" s="1" t="s">
        <v>9813</v>
      </c>
    </row>
    <row r="2445" ht="14.25" customHeight="1">
      <c r="A2445" s="1" t="s">
        <v>9814</v>
      </c>
      <c r="B2445" s="1" t="s">
        <v>9815</v>
      </c>
      <c r="C2445" s="1" t="s">
        <v>29</v>
      </c>
      <c r="D2445" s="1">
        <v>48748.0</v>
      </c>
      <c r="E2445" s="1" t="s">
        <v>40</v>
      </c>
      <c r="F2445" s="1" t="s">
        <v>94</v>
      </c>
      <c r="G2445" s="1" t="s">
        <v>21</v>
      </c>
      <c r="H2445" s="2">
        <v>2502.0</v>
      </c>
      <c r="I2445" s="2">
        <v>1715.0</v>
      </c>
      <c r="J2445" s="1">
        <v>1998.0</v>
      </c>
      <c r="K2445" s="1">
        <v>10.0</v>
      </c>
      <c r="L2445" s="1" t="s">
        <v>141</v>
      </c>
      <c r="M2445" s="1" t="s">
        <v>9816</v>
      </c>
      <c r="N2445" s="1" t="s">
        <v>48</v>
      </c>
      <c r="O2445" s="1" t="s">
        <v>35</v>
      </c>
      <c r="P2445" s="1" t="s">
        <v>9817</v>
      </c>
    </row>
    <row r="2446" ht="14.25" customHeight="1">
      <c r="A2446" s="1" t="s">
        <v>9818</v>
      </c>
      <c r="B2446" s="1" t="s">
        <v>9819</v>
      </c>
      <c r="C2446" s="1" t="s">
        <v>53</v>
      </c>
      <c r="D2446" s="1">
        <v>38144.0</v>
      </c>
      <c r="E2446" s="1" t="s">
        <v>77</v>
      </c>
      <c r="F2446" s="1" t="s">
        <v>20</v>
      </c>
      <c r="G2446" s="1" t="s">
        <v>31</v>
      </c>
      <c r="H2446" s="2">
        <v>1222.0</v>
      </c>
      <c r="I2446" s="2">
        <v>9288.0</v>
      </c>
      <c r="J2446" s="1">
        <v>2004.0</v>
      </c>
      <c r="K2446" s="1">
        <v>39.0</v>
      </c>
      <c r="L2446" s="1" t="s">
        <v>141</v>
      </c>
      <c r="M2446" s="1" t="s">
        <v>9820</v>
      </c>
      <c r="N2446" s="1" t="s">
        <v>24</v>
      </c>
      <c r="O2446" s="1" t="s">
        <v>35</v>
      </c>
      <c r="P2446" s="1" t="s">
        <v>9821</v>
      </c>
    </row>
    <row r="2447" ht="14.25" customHeight="1">
      <c r="A2447" s="1" t="s">
        <v>9822</v>
      </c>
      <c r="B2447" s="1" t="s">
        <v>9823</v>
      </c>
      <c r="C2447" s="1" t="s">
        <v>18</v>
      </c>
      <c r="D2447" s="1">
        <v>14783.0</v>
      </c>
      <c r="E2447" s="1" t="s">
        <v>30</v>
      </c>
      <c r="F2447" s="1" t="s">
        <v>94</v>
      </c>
      <c r="G2447" s="1" t="s">
        <v>100</v>
      </c>
      <c r="H2447" s="2">
        <v>3952.0</v>
      </c>
      <c r="I2447" s="2">
        <v>9538.0</v>
      </c>
      <c r="J2447" s="1">
        <v>1994.0</v>
      </c>
      <c r="K2447" s="1">
        <v>84.0</v>
      </c>
      <c r="L2447" s="1" t="s">
        <v>22</v>
      </c>
      <c r="M2447" s="1" t="s">
        <v>9824</v>
      </c>
      <c r="N2447" s="1" t="s">
        <v>64</v>
      </c>
      <c r="O2447" s="1" t="s">
        <v>25</v>
      </c>
      <c r="P2447" s="1" t="s">
        <v>9825</v>
      </c>
    </row>
    <row r="2448" ht="14.25" customHeight="1">
      <c r="A2448" s="1" t="s">
        <v>9826</v>
      </c>
      <c r="B2448" s="1" t="s">
        <v>9827</v>
      </c>
      <c r="C2448" s="1" t="s">
        <v>29</v>
      </c>
      <c r="D2448" s="1">
        <v>55175.0</v>
      </c>
      <c r="E2448" s="1" t="s">
        <v>60</v>
      </c>
      <c r="F2448" s="1" t="s">
        <v>41</v>
      </c>
      <c r="G2448" s="1" t="s">
        <v>31</v>
      </c>
      <c r="H2448" s="2">
        <v>707.0</v>
      </c>
      <c r="I2448" s="2">
        <v>2993.0</v>
      </c>
      <c r="J2448" s="1">
        <v>2000.0</v>
      </c>
      <c r="K2448" s="1">
        <v>102.0</v>
      </c>
      <c r="L2448" s="1" t="s">
        <v>141</v>
      </c>
      <c r="M2448" s="1" t="s">
        <v>9828</v>
      </c>
      <c r="N2448" s="1" t="s">
        <v>43</v>
      </c>
      <c r="O2448" s="1" t="s">
        <v>35</v>
      </c>
      <c r="P2448" s="1" t="s">
        <v>9829</v>
      </c>
    </row>
    <row r="2449" ht="14.25" customHeight="1">
      <c r="A2449" s="1" t="s">
        <v>9830</v>
      </c>
      <c r="B2449" s="1" t="s">
        <v>9831</v>
      </c>
      <c r="C2449" s="1" t="s">
        <v>76</v>
      </c>
      <c r="D2449" s="1">
        <v>75630.0</v>
      </c>
      <c r="E2449" s="1" t="s">
        <v>30</v>
      </c>
      <c r="F2449" s="1" t="s">
        <v>61</v>
      </c>
      <c r="G2449" s="1" t="s">
        <v>31</v>
      </c>
      <c r="H2449" s="2">
        <v>3246.0</v>
      </c>
      <c r="I2449" s="2">
        <v>9897.0</v>
      </c>
      <c r="J2449" s="1">
        <v>1958.0</v>
      </c>
      <c r="K2449" s="1">
        <v>65.0</v>
      </c>
      <c r="L2449" s="1" t="s">
        <v>141</v>
      </c>
      <c r="M2449" s="1" t="s">
        <v>9832</v>
      </c>
      <c r="N2449" s="1" t="s">
        <v>34</v>
      </c>
      <c r="O2449" s="1" t="s">
        <v>49</v>
      </c>
      <c r="P2449" s="1" t="s">
        <v>9833</v>
      </c>
    </row>
    <row r="2450" ht="14.25" customHeight="1">
      <c r="A2450" s="1" t="s">
        <v>9834</v>
      </c>
      <c r="B2450" s="1" t="s">
        <v>9835</v>
      </c>
      <c r="C2450" s="1" t="s">
        <v>18</v>
      </c>
      <c r="D2450" s="1">
        <v>42031.0</v>
      </c>
      <c r="E2450" s="1" t="s">
        <v>19</v>
      </c>
      <c r="F2450" s="1" t="s">
        <v>41</v>
      </c>
      <c r="G2450" s="1" t="s">
        <v>31</v>
      </c>
      <c r="H2450" s="2">
        <v>2136.0</v>
      </c>
      <c r="I2450" s="2">
        <v>9116.0</v>
      </c>
      <c r="J2450" s="1">
        <v>2014.0</v>
      </c>
      <c r="K2450" s="1">
        <v>66.0</v>
      </c>
      <c r="L2450" s="1" t="s">
        <v>32</v>
      </c>
      <c r="M2450" s="1" t="s">
        <v>9836</v>
      </c>
      <c r="N2450" s="1" t="s">
        <v>64</v>
      </c>
      <c r="O2450" s="1" t="s">
        <v>35</v>
      </c>
      <c r="P2450" s="1" t="s">
        <v>9837</v>
      </c>
    </row>
    <row r="2451" ht="14.25" customHeight="1">
      <c r="A2451" s="1" t="s">
        <v>9838</v>
      </c>
      <c r="B2451" s="1" t="s">
        <v>9839</v>
      </c>
      <c r="C2451" s="1" t="s">
        <v>29</v>
      </c>
      <c r="D2451" s="1">
        <v>71418.0</v>
      </c>
      <c r="E2451" s="1" t="s">
        <v>60</v>
      </c>
      <c r="F2451" s="1" t="s">
        <v>20</v>
      </c>
      <c r="G2451" s="1" t="s">
        <v>31</v>
      </c>
      <c r="H2451" s="2">
        <v>2425.0</v>
      </c>
      <c r="I2451" s="2">
        <v>4746.0</v>
      </c>
      <c r="J2451" s="1">
        <v>2010.0</v>
      </c>
      <c r="K2451" s="1">
        <v>41.0</v>
      </c>
      <c r="L2451" s="1" t="s">
        <v>141</v>
      </c>
      <c r="M2451" s="1" t="s">
        <v>9840</v>
      </c>
      <c r="N2451" s="1" t="s">
        <v>64</v>
      </c>
      <c r="O2451" s="1" t="s">
        <v>35</v>
      </c>
      <c r="P2451" s="1" t="s">
        <v>9841</v>
      </c>
    </row>
    <row r="2452" ht="14.25" customHeight="1">
      <c r="A2452" s="1" t="s">
        <v>9842</v>
      </c>
      <c r="B2452" s="1" t="s">
        <v>9843</v>
      </c>
      <c r="C2452" s="1" t="s">
        <v>18</v>
      </c>
      <c r="D2452" s="1">
        <v>10015.0</v>
      </c>
      <c r="E2452" s="1" t="s">
        <v>60</v>
      </c>
      <c r="F2452" s="1" t="s">
        <v>94</v>
      </c>
      <c r="G2452" s="1" t="s">
        <v>21</v>
      </c>
      <c r="H2452" s="2">
        <v>656.0</v>
      </c>
      <c r="I2452" s="2">
        <v>4490.0</v>
      </c>
      <c r="J2452" s="1">
        <v>1993.0</v>
      </c>
      <c r="K2452" s="1">
        <v>86.0</v>
      </c>
      <c r="L2452" s="1" t="s">
        <v>62</v>
      </c>
      <c r="M2452" s="1" t="s">
        <v>9844</v>
      </c>
      <c r="N2452" s="1" t="s">
        <v>24</v>
      </c>
      <c r="O2452" s="1" t="s">
        <v>25</v>
      </c>
      <c r="P2452" s="1" t="s">
        <v>9845</v>
      </c>
    </row>
    <row r="2453" ht="14.25" customHeight="1">
      <c r="A2453" s="1" t="s">
        <v>9846</v>
      </c>
      <c r="B2453" s="1" t="s">
        <v>9847</v>
      </c>
      <c r="C2453" s="1" t="s">
        <v>18</v>
      </c>
      <c r="D2453" s="1">
        <v>39622.0</v>
      </c>
      <c r="E2453" s="1" t="s">
        <v>77</v>
      </c>
      <c r="F2453" s="1" t="s">
        <v>94</v>
      </c>
      <c r="G2453" s="1" t="s">
        <v>55</v>
      </c>
      <c r="H2453" s="2">
        <v>2033.0</v>
      </c>
      <c r="I2453" s="2">
        <v>4505.0</v>
      </c>
      <c r="J2453" s="1">
        <v>1963.0</v>
      </c>
      <c r="K2453" s="1">
        <v>49.0</v>
      </c>
      <c r="L2453" s="1" t="s">
        <v>141</v>
      </c>
      <c r="M2453" s="1" t="s">
        <v>9848</v>
      </c>
      <c r="N2453" s="1" t="s">
        <v>24</v>
      </c>
      <c r="O2453" s="1" t="s">
        <v>35</v>
      </c>
      <c r="P2453" s="1" t="s">
        <v>9849</v>
      </c>
    </row>
    <row r="2454" ht="14.25" customHeight="1">
      <c r="A2454" s="1" t="s">
        <v>9850</v>
      </c>
      <c r="B2454" s="1" t="s">
        <v>9851</v>
      </c>
      <c r="C2454" s="1" t="s">
        <v>53</v>
      </c>
      <c r="D2454" s="1">
        <v>10068.0</v>
      </c>
      <c r="E2454" s="1" t="s">
        <v>40</v>
      </c>
      <c r="F2454" s="1" t="s">
        <v>20</v>
      </c>
      <c r="G2454" s="1" t="s">
        <v>100</v>
      </c>
      <c r="H2454" s="2">
        <v>3947.0</v>
      </c>
      <c r="I2454" s="2">
        <v>9510.0</v>
      </c>
      <c r="J2454" s="1">
        <v>1991.0</v>
      </c>
      <c r="K2454" s="1">
        <v>13.0</v>
      </c>
      <c r="L2454" s="1" t="s">
        <v>62</v>
      </c>
      <c r="M2454" s="1" t="s">
        <v>9852</v>
      </c>
      <c r="N2454" s="1" t="s">
        <v>43</v>
      </c>
      <c r="O2454" s="1" t="s">
        <v>49</v>
      </c>
      <c r="P2454" s="1" t="s">
        <v>9853</v>
      </c>
    </row>
    <row r="2455" ht="14.25" customHeight="1">
      <c r="A2455" s="1" t="s">
        <v>9854</v>
      </c>
      <c r="B2455" s="1" t="s">
        <v>9855</v>
      </c>
      <c r="C2455" s="1" t="s">
        <v>29</v>
      </c>
      <c r="D2455" s="1">
        <v>91382.0</v>
      </c>
      <c r="E2455" s="1" t="s">
        <v>19</v>
      </c>
      <c r="F2455" s="1" t="s">
        <v>46</v>
      </c>
      <c r="G2455" s="1" t="s">
        <v>31</v>
      </c>
      <c r="H2455" s="2">
        <v>1842.0</v>
      </c>
      <c r="I2455" s="2">
        <v>9218.0</v>
      </c>
      <c r="J2455" s="1">
        <v>2019.0</v>
      </c>
      <c r="K2455" s="1">
        <v>57.0</v>
      </c>
      <c r="L2455" s="1" t="s">
        <v>95</v>
      </c>
      <c r="M2455" s="1" t="s">
        <v>9856</v>
      </c>
      <c r="N2455" s="1" t="s">
        <v>64</v>
      </c>
      <c r="O2455" s="1" t="s">
        <v>25</v>
      </c>
      <c r="P2455" s="1" t="s">
        <v>9857</v>
      </c>
    </row>
    <row r="2456" ht="14.25" customHeight="1">
      <c r="A2456" s="1" t="s">
        <v>9858</v>
      </c>
      <c r="B2456" s="1" t="s">
        <v>9859</v>
      </c>
      <c r="C2456" s="1" t="s">
        <v>76</v>
      </c>
      <c r="D2456" s="1">
        <v>16675.0</v>
      </c>
      <c r="E2456" s="1" t="s">
        <v>19</v>
      </c>
      <c r="F2456" s="1" t="s">
        <v>41</v>
      </c>
      <c r="G2456" s="1" t="s">
        <v>55</v>
      </c>
      <c r="H2456" s="2">
        <v>1564.0</v>
      </c>
      <c r="I2456" s="2">
        <v>4303.0</v>
      </c>
      <c r="J2456" s="1">
        <v>1976.0</v>
      </c>
      <c r="K2456" s="1">
        <v>85.0</v>
      </c>
      <c r="L2456" s="1" t="s">
        <v>95</v>
      </c>
      <c r="M2456" s="1" t="s">
        <v>9860</v>
      </c>
      <c r="N2456" s="1" t="s">
        <v>48</v>
      </c>
      <c r="O2456" s="1" t="s">
        <v>25</v>
      </c>
      <c r="P2456" s="1" t="s">
        <v>9861</v>
      </c>
    </row>
    <row r="2457" ht="14.25" customHeight="1">
      <c r="A2457" s="1" t="s">
        <v>9862</v>
      </c>
      <c r="B2457" s="1" t="s">
        <v>9863</v>
      </c>
      <c r="C2457" s="1" t="s">
        <v>39</v>
      </c>
      <c r="D2457" s="1">
        <v>73131.0</v>
      </c>
      <c r="E2457" s="1" t="s">
        <v>19</v>
      </c>
      <c r="F2457" s="1" t="s">
        <v>54</v>
      </c>
      <c r="G2457" s="1" t="s">
        <v>31</v>
      </c>
      <c r="H2457" s="2">
        <v>2761.0</v>
      </c>
      <c r="I2457" s="2">
        <v>3226.0</v>
      </c>
      <c r="J2457" s="1">
        <v>1994.0</v>
      </c>
      <c r="K2457" s="1">
        <v>98.0</v>
      </c>
      <c r="L2457" s="1" t="s">
        <v>141</v>
      </c>
      <c r="M2457" s="1" t="s">
        <v>9864</v>
      </c>
      <c r="N2457" s="1" t="s">
        <v>43</v>
      </c>
      <c r="O2457" s="1" t="s">
        <v>35</v>
      </c>
      <c r="P2457" s="1" t="s">
        <v>9865</v>
      </c>
    </row>
    <row r="2458" ht="14.25" customHeight="1">
      <c r="A2458" s="1" t="s">
        <v>9866</v>
      </c>
      <c r="B2458" s="1" t="s">
        <v>9867</v>
      </c>
      <c r="C2458" s="1" t="s">
        <v>29</v>
      </c>
      <c r="D2458" s="1">
        <v>10177.0</v>
      </c>
      <c r="E2458" s="1" t="s">
        <v>77</v>
      </c>
      <c r="F2458" s="1" t="s">
        <v>61</v>
      </c>
      <c r="G2458" s="1" t="s">
        <v>55</v>
      </c>
      <c r="H2458" s="2">
        <v>3902.0</v>
      </c>
      <c r="I2458" s="2">
        <v>7085.0</v>
      </c>
      <c r="J2458" s="1">
        <v>1972.0</v>
      </c>
      <c r="K2458" s="1">
        <v>59.0</v>
      </c>
      <c r="L2458" s="1" t="s">
        <v>95</v>
      </c>
      <c r="M2458" s="1" t="s">
        <v>9868</v>
      </c>
      <c r="N2458" s="1" t="s">
        <v>48</v>
      </c>
      <c r="O2458" s="1" t="s">
        <v>35</v>
      </c>
      <c r="P2458" s="1" t="s">
        <v>9869</v>
      </c>
    </row>
    <row r="2459" ht="14.25" customHeight="1">
      <c r="A2459" s="1" t="s">
        <v>9870</v>
      </c>
      <c r="B2459" s="1" t="s">
        <v>9871</v>
      </c>
      <c r="C2459" s="1" t="s">
        <v>29</v>
      </c>
      <c r="D2459" s="1">
        <v>97897.0</v>
      </c>
      <c r="E2459" s="1" t="s">
        <v>60</v>
      </c>
      <c r="F2459" s="1" t="s">
        <v>41</v>
      </c>
      <c r="G2459" s="1" t="s">
        <v>100</v>
      </c>
      <c r="H2459" s="2">
        <v>1066.0</v>
      </c>
      <c r="I2459" s="2">
        <v>5289.0</v>
      </c>
      <c r="J2459" s="1">
        <v>2005.0</v>
      </c>
      <c r="K2459" s="1">
        <v>105.0</v>
      </c>
      <c r="L2459" s="1" t="s">
        <v>95</v>
      </c>
      <c r="M2459" s="1" t="s">
        <v>9872</v>
      </c>
      <c r="N2459" s="1" t="s">
        <v>34</v>
      </c>
      <c r="O2459" s="1" t="s">
        <v>25</v>
      </c>
      <c r="P2459" s="1" t="s">
        <v>9873</v>
      </c>
    </row>
    <row r="2460" ht="14.25" customHeight="1">
      <c r="A2460" s="1" t="s">
        <v>9874</v>
      </c>
      <c r="B2460" s="1" t="s">
        <v>9875</v>
      </c>
      <c r="C2460" s="1" t="s">
        <v>76</v>
      </c>
      <c r="D2460" s="1">
        <v>20397.0</v>
      </c>
      <c r="E2460" s="1" t="s">
        <v>40</v>
      </c>
      <c r="F2460" s="1" t="s">
        <v>46</v>
      </c>
      <c r="G2460" s="1" t="s">
        <v>55</v>
      </c>
      <c r="H2460" s="2">
        <v>1977.0</v>
      </c>
      <c r="I2460" s="2">
        <v>7338.0</v>
      </c>
      <c r="J2460" s="1">
        <v>1959.0</v>
      </c>
      <c r="K2460" s="1">
        <v>52.0</v>
      </c>
      <c r="L2460" s="1" t="s">
        <v>22</v>
      </c>
      <c r="M2460" s="1" t="s">
        <v>9876</v>
      </c>
      <c r="N2460" s="1" t="s">
        <v>34</v>
      </c>
      <c r="O2460" s="1" t="s">
        <v>49</v>
      </c>
      <c r="P2460" s="1" t="s">
        <v>9877</v>
      </c>
    </row>
    <row r="2461" ht="14.25" customHeight="1">
      <c r="A2461" s="1" t="s">
        <v>9878</v>
      </c>
      <c r="B2461" s="1" t="s">
        <v>9879</v>
      </c>
      <c r="C2461" s="1" t="s">
        <v>53</v>
      </c>
      <c r="D2461" s="1">
        <v>13028.0</v>
      </c>
      <c r="E2461" s="1" t="s">
        <v>60</v>
      </c>
      <c r="F2461" s="1" t="s">
        <v>94</v>
      </c>
      <c r="G2461" s="1" t="s">
        <v>21</v>
      </c>
      <c r="H2461" s="2">
        <v>2583.0</v>
      </c>
      <c r="I2461" s="2">
        <v>7414.0</v>
      </c>
      <c r="J2461" s="1">
        <v>1988.0</v>
      </c>
      <c r="K2461" s="1">
        <v>105.0</v>
      </c>
      <c r="L2461" s="1" t="s">
        <v>141</v>
      </c>
      <c r="M2461" s="1" t="s">
        <v>9880</v>
      </c>
      <c r="N2461" s="1" t="s">
        <v>34</v>
      </c>
      <c r="O2461" s="1" t="s">
        <v>35</v>
      </c>
      <c r="P2461" s="1" t="s">
        <v>9881</v>
      </c>
    </row>
    <row r="2462" ht="14.25" customHeight="1">
      <c r="A2462" s="1" t="s">
        <v>9882</v>
      </c>
      <c r="B2462" s="1" t="s">
        <v>9883</v>
      </c>
      <c r="C2462" s="1" t="s">
        <v>76</v>
      </c>
      <c r="D2462" s="1">
        <v>24068.0</v>
      </c>
      <c r="E2462" s="1" t="s">
        <v>40</v>
      </c>
      <c r="F2462" s="1" t="s">
        <v>61</v>
      </c>
      <c r="G2462" s="1" t="s">
        <v>21</v>
      </c>
      <c r="H2462" s="2">
        <v>1476.0</v>
      </c>
      <c r="I2462" s="2">
        <v>4790.0</v>
      </c>
      <c r="J2462" s="1">
        <v>2011.0</v>
      </c>
      <c r="K2462" s="1">
        <v>45.0</v>
      </c>
      <c r="L2462" s="1" t="s">
        <v>62</v>
      </c>
      <c r="M2462" s="1" t="s">
        <v>9884</v>
      </c>
      <c r="N2462" s="1" t="s">
        <v>34</v>
      </c>
      <c r="O2462" s="1" t="s">
        <v>25</v>
      </c>
      <c r="P2462" s="1" t="s">
        <v>9885</v>
      </c>
    </row>
    <row r="2463" ht="14.25" customHeight="1">
      <c r="A2463" s="1" t="s">
        <v>9886</v>
      </c>
      <c r="B2463" s="1" t="s">
        <v>9887</v>
      </c>
      <c r="C2463" s="1" t="s">
        <v>76</v>
      </c>
      <c r="D2463" s="1">
        <v>88717.0</v>
      </c>
      <c r="E2463" s="1" t="s">
        <v>30</v>
      </c>
      <c r="F2463" s="1" t="s">
        <v>46</v>
      </c>
      <c r="G2463" s="1" t="s">
        <v>100</v>
      </c>
      <c r="H2463" s="2">
        <v>1097.0</v>
      </c>
      <c r="I2463" s="2">
        <v>1263.0</v>
      </c>
      <c r="J2463" s="1">
        <v>1964.0</v>
      </c>
      <c r="K2463" s="1">
        <v>82.0</v>
      </c>
      <c r="L2463" s="1" t="s">
        <v>62</v>
      </c>
      <c r="M2463" s="1" t="s">
        <v>9888</v>
      </c>
      <c r="N2463" s="1" t="s">
        <v>24</v>
      </c>
      <c r="O2463" s="1" t="s">
        <v>25</v>
      </c>
      <c r="P2463" s="1" t="s">
        <v>9889</v>
      </c>
    </row>
    <row r="2464" ht="14.25" customHeight="1">
      <c r="A2464" s="1" t="s">
        <v>9890</v>
      </c>
      <c r="B2464" s="1" t="s">
        <v>9891</v>
      </c>
      <c r="C2464" s="1" t="s">
        <v>29</v>
      </c>
      <c r="D2464" s="1">
        <v>71256.0</v>
      </c>
      <c r="E2464" s="1" t="s">
        <v>30</v>
      </c>
      <c r="F2464" s="1" t="s">
        <v>54</v>
      </c>
      <c r="G2464" s="1" t="s">
        <v>100</v>
      </c>
      <c r="H2464" s="2">
        <v>3473.0</v>
      </c>
      <c r="I2464" s="2">
        <v>6168.0</v>
      </c>
      <c r="J2464" s="1">
        <v>2014.0</v>
      </c>
      <c r="K2464" s="1">
        <v>65.0</v>
      </c>
      <c r="L2464" s="1" t="s">
        <v>141</v>
      </c>
      <c r="M2464" s="1" t="s">
        <v>9892</v>
      </c>
      <c r="N2464" s="1" t="s">
        <v>48</v>
      </c>
      <c r="O2464" s="1" t="s">
        <v>35</v>
      </c>
      <c r="P2464" s="1" t="s">
        <v>9893</v>
      </c>
    </row>
    <row r="2465" ht="14.25" customHeight="1">
      <c r="A2465" s="1" t="s">
        <v>9894</v>
      </c>
      <c r="B2465" s="1" t="s">
        <v>9895</v>
      </c>
      <c r="C2465" s="1" t="s">
        <v>29</v>
      </c>
      <c r="D2465" s="1">
        <v>31513.0</v>
      </c>
      <c r="E2465" s="1" t="s">
        <v>77</v>
      </c>
      <c r="F2465" s="1" t="s">
        <v>20</v>
      </c>
      <c r="G2465" s="1" t="s">
        <v>55</v>
      </c>
      <c r="H2465" s="2">
        <v>985.0</v>
      </c>
      <c r="I2465" s="2">
        <v>8716.0</v>
      </c>
      <c r="J2465" s="1">
        <v>2019.0</v>
      </c>
      <c r="K2465" s="1">
        <v>11.0</v>
      </c>
      <c r="L2465" s="1" t="s">
        <v>141</v>
      </c>
      <c r="M2465" s="1" t="s">
        <v>9896</v>
      </c>
      <c r="N2465" s="1" t="s">
        <v>24</v>
      </c>
      <c r="O2465" s="1" t="s">
        <v>49</v>
      </c>
      <c r="P2465" s="1" t="s">
        <v>9897</v>
      </c>
    </row>
    <row r="2466" ht="14.25" customHeight="1">
      <c r="A2466" s="1" t="s">
        <v>9898</v>
      </c>
      <c r="B2466" s="1" t="s">
        <v>9899</v>
      </c>
      <c r="C2466" s="1" t="s">
        <v>29</v>
      </c>
      <c r="D2466" s="1">
        <v>17027.0</v>
      </c>
      <c r="E2466" s="1" t="s">
        <v>30</v>
      </c>
      <c r="F2466" s="1" t="s">
        <v>46</v>
      </c>
      <c r="G2466" s="1" t="s">
        <v>55</v>
      </c>
      <c r="H2466" s="2">
        <v>1337.0</v>
      </c>
      <c r="I2466" s="2">
        <v>8033.0</v>
      </c>
      <c r="J2466" s="1">
        <v>1953.0</v>
      </c>
      <c r="K2466" s="1">
        <v>64.0</v>
      </c>
      <c r="L2466" s="1" t="s">
        <v>95</v>
      </c>
      <c r="M2466" s="1" t="s">
        <v>9900</v>
      </c>
      <c r="N2466" s="1" t="s">
        <v>64</v>
      </c>
      <c r="O2466" s="1" t="s">
        <v>35</v>
      </c>
      <c r="P2466" s="1" t="s">
        <v>9901</v>
      </c>
    </row>
    <row r="2467" ht="14.25" customHeight="1">
      <c r="A2467" s="1" t="s">
        <v>9902</v>
      </c>
      <c r="B2467" s="1" t="s">
        <v>9903</v>
      </c>
      <c r="C2467" s="1" t="s">
        <v>53</v>
      </c>
      <c r="D2467" s="1">
        <v>40641.0</v>
      </c>
      <c r="E2467" s="1" t="s">
        <v>19</v>
      </c>
      <c r="F2467" s="1" t="s">
        <v>46</v>
      </c>
      <c r="G2467" s="1" t="s">
        <v>31</v>
      </c>
      <c r="H2467" s="2">
        <v>2769.0</v>
      </c>
      <c r="I2467" s="2">
        <v>1747.0</v>
      </c>
      <c r="J2467" s="1">
        <v>1967.0</v>
      </c>
      <c r="K2467" s="1">
        <v>55.0</v>
      </c>
      <c r="L2467" s="1" t="s">
        <v>95</v>
      </c>
      <c r="M2467" s="1" t="s">
        <v>9904</v>
      </c>
      <c r="N2467" s="1" t="s">
        <v>43</v>
      </c>
      <c r="O2467" s="1" t="s">
        <v>25</v>
      </c>
      <c r="P2467" s="1" t="s">
        <v>9905</v>
      </c>
    </row>
    <row r="2468" ht="14.25" customHeight="1">
      <c r="A2468" s="1" t="s">
        <v>9906</v>
      </c>
      <c r="B2468" s="1" t="s">
        <v>9907</v>
      </c>
      <c r="C2468" s="1" t="s">
        <v>39</v>
      </c>
      <c r="D2468" s="1">
        <v>28063.0</v>
      </c>
      <c r="E2468" s="1" t="s">
        <v>77</v>
      </c>
      <c r="F2468" s="1" t="s">
        <v>41</v>
      </c>
      <c r="G2468" s="1" t="s">
        <v>55</v>
      </c>
      <c r="H2468" s="2">
        <v>2835.0</v>
      </c>
      <c r="I2468" s="2">
        <v>1428.0</v>
      </c>
      <c r="J2468" s="1">
        <v>1956.0</v>
      </c>
      <c r="K2468" s="1">
        <v>92.0</v>
      </c>
      <c r="L2468" s="1" t="s">
        <v>32</v>
      </c>
      <c r="M2468" s="1" t="s">
        <v>9908</v>
      </c>
      <c r="N2468" s="1" t="s">
        <v>34</v>
      </c>
      <c r="O2468" s="1" t="s">
        <v>25</v>
      </c>
      <c r="P2468" s="1" t="s">
        <v>9909</v>
      </c>
    </row>
    <row r="2469" ht="14.25" customHeight="1">
      <c r="A2469" s="1" t="s">
        <v>9910</v>
      </c>
      <c r="B2469" s="1" t="s">
        <v>9911</v>
      </c>
      <c r="C2469" s="1" t="s">
        <v>76</v>
      </c>
      <c r="D2469" s="1">
        <v>50263.0</v>
      </c>
      <c r="E2469" s="1" t="s">
        <v>19</v>
      </c>
      <c r="F2469" s="1" t="s">
        <v>94</v>
      </c>
      <c r="G2469" s="1" t="s">
        <v>55</v>
      </c>
      <c r="H2469" s="2">
        <v>1016.0</v>
      </c>
      <c r="I2469" s="2">
        <v>7438.0</v>
      </c>
      <c r="J2469" s="1">
        <v>1981.0</v>
      </c>
      <c r="K2469" s="1">
        <v>72.0</v>
      </c>
      <c r="L2469" s="1" t="s">
        <v>32</v>
      </c>
      <c r="M2469" s="1" t="s">
        <v>9912</v>
      </c>
      <c r="N2469" s="1" t="s">
        <v>24</v>
      </c>
      <c r="O2469" s="1" t="s">
        <v>25</v>
      </c>
      <c r="P2469" s="1" t="s">
        <v>9913</v>
      </c>
    </row>
    <row r="2470" ht="14.25" customHeight="1">
      <c r="A2470" s="1" t="s">
        <v>9914</v>
      </c>
      <c r="B2470" s="1" t="s">
        <v>9915</v>
      </c>
      <c r="C2470" s="1" t="s">
        <v>29</v>
      </c>
      <c r="D2470" s="1">
        <v>12937.0</v>
      </c>
      <c r="E2470" s="1" t="s">
        <v>60</v>
      </c>
      <c r="F2470" s="1" t="s">
        <v>54</v>
      </c>
      <c r="G2470" s="1" t="s">
        <v>55</v>
      </c>
      <c r="H2470" s="2">
        <v>2943.0</v>
      </c>
      <c r="I2470" s="2">
        <v>5547.0</v>
      </c>
      <c r="J2470" s="1">
        <v>2017.0</v>
      </c>
      <c r="K2470" s="1">
        <v>55.0</v>
      </c>
      <c r="L2470" s="1" t="s">
        <v>141</v>
      </c>
      <c r="M2470" s="1" t="s">
        <v>9916</v>
      </c>
      <c r="N2470" s="1" t="s">
        <v>43</v>
      </c>
      <c r="O2470" s="1" t="s">
        <v>49</v>
      </c>
      <c r="P2470" s="1" t="s">
        <v>9917</v>
      </c>
    </row>
    <row r="2471" ht="14.25" customHeight="1">
      <c r="A2471" s="1" t="s">
        <v>9918</v>
      </c>
      <c r="B2471" s="1" t="s">
        <v>9919</v>
      </c>
      <c r="C2471" s="1" t="s">
        <v>18</v>
      </c>
      <c r="D2471" s="1">
        <v>80716.0</v>
      </c>
      <c r="E2471" s="1" t="s">
        <v>40</v>
      </c>
      <c r="F2471" s="1" t="s">
        <v>61</v>
      </c>
      <c r="G2471" s="1" t="s">
        <v>55</v>
      </c>
      <c r="H2471" s="2">
        <v>3933.0</v>
      </c>
      <c r="I2471" s="2">
        <v>7939.0</v>
      </c>
      <c r="J2471" s="1">
        <v>1975.0</v>
      </c>
      <c r="K2471" s="1">
        <v>39.0</v>
      </c>
      <c r="L2471" s="1" t="s">
        <v>22</v>
      </c>
      <c r="M2471" s="1" t="s">
        <v>9920</v>
      </c>
      <c r="N2471" s="1" t="s">
        <v>64</v>
      </c>
      <c r="O2471" s="1" t="s">
        <v>49</v>
      </c>
      <c r="P2471" s="1" t="s">
        <v>9921</v>
      </c>
    </row>
    <row r="2472" ht="14.25" customHeight="1">
      <c r="A2472" s="1" t="s">
        <v>9922</v>
      </c>
      <c r="B2472" s="1" t="s">
        <v>9923</v>
      </c>
      <c r="C2472" s="1" t="s">
        <v>18</v>
      </c>
      <c r="D2472" s="1">
        <v>48152.0</v>
      </c>
      <c r="E2472" s="1" t="s">
        <v>30</v>
      </c>
      <c r="F2472" s="1" t="s">
        <v>54</v>
      </c>
      <c r="G2472" s="1" t="s">
        <v>55</v>
      </c>
      <c r="H2472" s="2">
        <v>1121.0</v>
      </c>
      <c r="I2472" s="2">
        <v>4308.0</v>
      </c>
      <c r="J2472" s="1">
        <v>2023.0</v>
      </c>
      <c r="K2472" s="1">
        <v>59.0</v>
      </c>
      <c r="L2472" s="1" t="s">
        <v>62</v>
      </c>
      <c r="M2472" s="1" t="s">
        <v>9924</v>
      </c>
      <c r="N2472" s="1" t="s">
        <v>64</v>
      </c>
      <c r="O2472" s="1" t="s">
        <v>25</v>
      </c>
      <c r="P2472" s="1" t="s">
        <v>9925</v>
      </c>
    </row>
    <row r="2473" ht="14.25" customHeight="1">
      <c r="A2473" s="1" t="s">
        <v>9926</v>
      </c>
      <c r="B2473" s="1" t="s">
        <v>9927</v>
      </c>
      <c r="C2473" s="1" t="s">
        <v>53</v>
      </c>
      <c r="D2473" s="1">
        <v>72880.0</v>
      </c>
      <c r="E2473" s="1" t="s">
        <v>77</v>
      </c>
      <c r="F2473" s="1" t="s">
        <v>46</v>
      </c>
      <c r="G2473" s="1" t="s">
        <v>55</v>
      </c>
      <c r="H2473" s="2">
        <v>1119.0</v>
      </c>
      <c r="I2473" s="2">
        <v>7345.0</v>
      </c>
      <c r="J2473" s="1">
        <v>2013.0</v>
      </c>
      <c r="K2473" s="1">
        <v>76.0</v>
      </c>
      <c r="L2473" s="1" t="s">
        <v>22</v>
      </c>
      <c r="M2473" s="1" t="s">
        <v>9928</v>
      </c>
      <c r="N2473" s="1" t="s">
        <v>43</v>
      </c>
      <c r="O2473" s="1" t="s">
        <v>35</v>
      </c>
      <c r="P2473" s="1" t="s">
        <v>9929</v>
      </c>
    </row>
    <row r="2474" ht="14.25" customHeight="1">
      <c r="A2474" s="1" t="s">
        <v>9930</v>
      </c>
      <c r="B2474" s="1" t="s">
        <v>9931</v>
      </c>
      <c r="C2474" s="1" t="s">
        <v>53</v>
      </c>
      <c r="D2474" s="1">
        <v>56372.0</v>
      </c>
      <c r="E2474" s="1" t="s">
        <v>19</v>
      </c>
      <c r="F2474" s="1" t="s">
        <v>94</v>
      </c>
      <c r="G2474" s="1" t="s">
        <v>100</v>
      </c>
      <c r="H2474" s="2">
        <v>1188.0</v>
      </c>
      <c r="I2474" s="2">
        <v>6887.0</v>
      </c>
      <c r="J2474" s="1">
        <v>1993.0</v>
      </c>
      <c r="K2474" s="1">
        <v>66.0</v>
      </c>
      <c r="L2474" s="1" t="s">
        <v>95</v>
      </c>
      <c r="M2474" s="1" t="s">
        <v>9932</v>
      </c>
      <c r="N2474" s="1" t="s">
        <v>34</v>
      </c>
      <c r="O2474" s="1" t="s">
        <v>25</v>
      </c>
      <c r="P2474" s="1" t="s">
        <v>9933</v>
      </c>
    </row>
    <row r="2475" ht="14.25" customHeight="1">
      <c r="A2475" s="1" t="s">
        <v>9934</v>
      </c>
      <c r="B2475" s="1" t="s">
        <v>9935</v>
      </c>
      <c r="C2475" s="1" t="s">
        <v>53</v>
      </c>
      <c r="D2475" s="1">
        <v>54472.0</v>
      </c>
      <c r="E2475" s="1" t="s">
        <v>19</v>
      </c>
      <c r="F2475" s="1" t="s">
        <v>61</v>
      </c>
      <c r="G2475" s="1" t="s">
        <v>31</v>
      </c>
      <c r="H2475" s="2">
        <v>2346.0</v>
      </c>
      <c r="I2475" s="2">
        <v>4873.0</v>
      </c>
      <c r="J2475" s="1">
        <v>2012.0</v>
      </c>
      <c r="K2475" s="1">
        <v>112.0</v>
      </c>
      <c r="L2475" s="1" t="s">
        <v>62</v>
      </c>
      <c r="M2475" s="1" t="s">
        <v>9936</v>
      </c>
      <c r="N2475" s="1" t="s">
        <v>24</v>
      </c>
      <c r="O2475" s="1" t="s">
        <v>25</v>
      </c>
      <c r="P2475" s="1" t="s">
        <v>9937</v>
      </c>
    </row>
    <row r="2476" ht="14.25" customHeight="1">
      <c r="A2476" s="1" t="s">
        <v>9938</v>
      </c>
      <c r="B2476" s="1" t="s">
        <v>9939</v>
      </c>
      <c r="C2476" s="1" t="s">
        <v>18</v>
      </c>
      <c r="D2476" s="1">
        <v>35221.0</v>
      </c>
      <c r="E2476" s="1" t="s">
        <v>40</v>
      </c>
      <c r="F2476" s="1" t="s">
        <v>46</v>
      </c>
      <c r="G2476" s="1" t="s">
        <v>55</v>
      </c>
      <c r="H2476" s="2">
        <v>3039.0</v>
      </c>
      <c r="I2476" s="2">
        <v>2982.0</v>
      </c>
      <c r="J2476" s="1">
        <v>1976.0</v>
      </c>
      <c r="K2476" s="1">
        <v>33.0</v>
      </c>
      <c r="L2476" s="1" t="s">
        <v>32</v>
      </c>
      <c r="M2476" s="1" t="s">
        <v>9940</v>
      </c>
      <c r="N2476" s="1" t="s">
        <v>43</v>
      </c>
      <c r="O2476" s="1" t="s">
        <v>25</v>
      </c>
      <c r="P2476" s="1" t="s">
        <v>9941</v>
      </c>
    </row>
    <row r="2477" ht="14.25" customHeight="1">
      <c r="A2477" s="1" t="s">
        <v>9942</v>
      </c>
      <c r="B2477" s="1" t="s">
        <v>9943</v>
      </c>
      <c r="C2477" s="1" t="s">
        <v>29</v>
      </c>
      <c r="D2477" s="1">
        <v>71836.0</v>
      </c>
      <c r="E2477" s="1" t="s">
        <v>19</v>
      </c>
      <c r="F2477" s="1" t="s">
        <v>20</v>
      </c>
      <c r="G2477" s="1" t="s">
        <v>100</v>
      </c>
      <c r="H2477" s="2">
        <v>3781.0</v>
      </c>
      <c r="I2477" s="2">
        <v>5150.0</v>
      </c>
      <c r="J2477" s="1">
        <v>2016.0</v>
      </c>
      <c r="K2477" s="1">
        <v>48.0</v>
      </c>
      <c r="L2477" s="1" t="s">
        <v>95</v>
      </c>
      <c r="M2477" s="1" t="s">
        <v>9944</v>
      </c>
      <c r="N2477" s="1" t="s">
        <v>48</v>
      </c>
      <c r="O2477" s="1" t="s">
        <v>35</v>
      </c>
      <c r="P2477" s="1" t="s">
        <v>9945</v>
      </c>
    </row>
    <row r="2478" ht="14.25" customHeight="1">
      <c r="A2478" s="1" t="s">
        <v>9946</v>
      </c>
      <c r="B2478" s="1" t="s">
        <v>9947</v>
      </c>
      <c r="C2478" s="1" t="s">
        <v>53</v>
      </c>
      <c r="D2478" s="1">
        <v>94687.0</v>
      </c>
      <c r="E2478" s="1" t="s">
        <v>30</v>
      </c>
      <c r="F2478" s="1" t="s">
        <v>41</v>
      </c>
      <c r="G2478" s="1" t="s">
        <v>31</v>
      </c>
      <c r="H2478" s="2">
        <v>1484.0</v>
      </c>
      <c r="I2478" s="2">
        <v>4177.0</v>
      </c>
      <c r="J2478" s="1">
        <v>1979.0</v>
      </c>
      <c r="K2478" s="1">
        <v>16.0</v>
      </c>
      <c r="L2478" s="1" t="s">
        <v>22</v>
      </c>
      <c r="M2478" s="1" t="s">
        <v>9948</v>
      </c>
      <c r="N2478" s="1" t="s">
        <v>48</v>
      </c>
      <c r="O2478" s="1" t="s">
        <v>35</v>
      </c>
      <c r="P2478" s="1" t="s">
        <v>9949</v>
      </c>
    </row>
    <row r="2479" ht="14.25" customHeight="1">
      <c r="A2479" s="1" t="s">
        <v>9950</v>
      </c>
      <c r="B2479" s="1" t="s">
        <v>9951</v>
      </c>
      <c r="C2479" s="1" t="s">
        <v>76</v>
      </c>
      <c r="D2479" s="1">
        <v>12129.0</v>
      </c>
      <c r="E2479" s="1" t="s">
        <v>40</v>
      </c>
      <c r="F2479" s="1" t="s">
        <v>46</v>
      </c>
      <c r="G2479" s="1" t="s">
        <v>100</v>
      </c>
      <c r="H2479" s="2">
        <v>2136.0</v>
      </c>
      <c r="I2479" s="2">
        <v>1853.0</v>
      </c>
      <c r="J2479" s="1">
        <v>1972.0</v>
      </c>
      <c r="K2479" s="1">
        <v>103.0</v>
      </c>
      <c r="L2479" s="1" t="s">
        <v>141</v>
      </c>
      <c r="M2479" s="1" t="s">
        <v>9952</v>
      </c>
      <c r="N2479" s="1" t="s">
        <v>24</v>
      </c>
      <c r="O2479" s="1" t="s">
        <v>49</v>
      </c>
      <c r="P2479" s="1" t="s">
        <v>9953</v>
      </c>
    </row>
    <row r="2480" ht="14.25" customHeight="1">
      <c r="A2480" s="1" t="s">
        <v>9954</v>
      </c>
      <c r="B2480" s="1" t="s">
        <v>9955</v>
      </c>
      <c r="C2480" s="1" t="s">
        <v>53</v>
      </c>
      <c r="D2480" s="1">
        <v>53443.0</v>
      </c>
      <c r="E2480" s="1" t="s">
        <v>60</v>
      </c>
      <c r="F2480" s="1" t="s">
        <v>94</v>
      </c>
      <c r="G2480" s="1" t="s">
        <v>55</v>
      </c>
      <c r="H2480" s="2">
        <v>2213.0</v>
      </c>
      <c r="I2480" s="2">
        <v>1267.0</v>
      </c>
      <c r="J2480" s="1">
        <v>1963.0</v>
      </c>
      <c r="K2480" s="1">
        <v>46.0</v>
      </c>
      <c r="L2480" s="1" t="s">
        <v>62</v>
      </c>
      <c r="M2480" s="1" t="s">
        <v>9956</v>
      </c>
      <c r="N2480" s="1" t="s">
        <v>48</v>
      </c>
      <c r="O2480" s="1" t="s">
        <v>35</v>
      </c>
      <c r="P2480" s="1" t="s">
        <v>9957</v>
      </c>
    </row>
    <row r="2481" ht="14.25" customHeight="1">
      <c r="A2481" s="1" t="s">
        <v>9958</v>
      </c>
      <c r="B2481" s="1" t="s">
        <v>9959</v>
      </c>
      <c r="C2481" s="1" t="s">
        <v>18</v>
      </c>
      <c r="D2481" s="1">
        <v>97974.0</v>
      </c>
      <c r="E2481" s="1" t="s">
        <v>40</v>
      </c>
      <c r="F2481" s="1" t="s">
        <v>94</v>
      </c>
      <c r="G2481" s="1" t="s">
        <v>100</v>
      </c>
      <c r="H2481" s="2">
        <v>2716.0</v>
      </c>
      <c r="I2481" s="2">
        <v>3353.0</v>
      </c>
      <c r="J2481" s="1">
        <v>2008.0</v>
      </c>
      <c r="K2481" s="1">
        <v>65.0</v>
      </c>
      <c r="L2481" s="1" t="s">
        <v>32</v>
      </c>
      <c r="M2481" s="1" t="s">
        <v>9960</v>
      </c>
      <c r="N2481" s="1" t="s">
        <v>64</v>
      </c>
      <c r="O2481" s="1" t="s">
        <v>35</v>
      </c>
      <c r="P2481" s="1" t="s">
        <v>9961</v>
      </c>
    </row>
    <row r="2482" ht="14.25" customHeight="1">
      <c r="A2482" s="1" t="s">
        <v>9962</v>
      </c>
      <c r="B2482" s="1" t="s">
        <v>9963</v>
      </c>
      <c r="C2482" s="1" t="s">
        <v>18</v>
      </c>
      <c r="D2482" s="1">
        <v>76487.0</v>
      </c>
      <c r="E2482" s="1" t="s">
        <v>60</v>
      </c>
      <c r="F2482" s="1" t="s">
        <v>46</v>
      </c>
      <c r="G2482" s="1" t="s">
        <v>21</v>
      </c>
      <c r="H2482" s="2">
        <v>2978.0</v>
      </c>
      <c r="I2482" s="2">
        <v>3399.0</v>
      </c>
      <c r="J2482" s="1">
        <v>1961.0</v>
      </c>
      <c r="K2482" s="1">
        <v>42.0</v>
      </c>
      <c r="L2482" s="1" t="s">
        <v>141</v>
      </c>
      <c r="M2482" s="1" t="s">
        <v>9964</v>
      </c>
      <c r="N2482" s="1" t="s">
        <v>24</v>
      </c>
      <c r="O2482" s="1" t="s">
        <v>35</v>
      </c>
      <c r="P2482" s="1" t="s">
        <v>9965</v>
      </c>
    </row>
    <row r="2483" ht="14.25" customHeight="1">
      <c r="A2483" s="1" t="s">
        <v>9966</v>
      </c>
      <c r="B2483" s="1" t="s">
        <v>9967</v>
      </c>
      <c r="C2483" s="1" t="s">
        <v>29</v>
      </c>
      <c r="D2483" s="1">
        <v>96969.0</v>
      </c>
      <c r="E2483" s="1" t="s">
        <v>77</v>
      </c>
      <c r="F2483" s="1" t="s">
        <v>20</v>
      </c>
      <c r="G2483" s="1" t="s">
        <v>100</v>
      </c>
      <c r="H2483" s="2">
        <v>1701.0</v>
      </c>
      <c r="I2483" s="2">
        <v>3039.0</v>
      </c>
      <c r="J2483" s="1">
        <v>1955.0</v>
      </c>
      <c r="K2483" s="1">
        <v>6.0</v>
      </c>
      <c r="L2483" s="1" t="s">
        <v>141</v>
      </c>
      <c r="M2483" s="1" t="s">
        <v>9968</v>
      </c>
      <c r="N2483" s="1" t="s">
        <v>24</v>
      </c>
      <c r="O2483" s="1" t="s">
        <v>49</v>
      </c>
      <c r="P2483" s="1" t="s">
        <v>9969</v>
      </c>
    </row>
    <row r="2484" ht="14.25" customHeight="1">
      <c r="A2484" s="1" t="s">
        <v>9970</v>
      </c>
      <c r="B2484" s="1" t="s">
        <v>9971</v>
      </c>
      <c r="C2484" s="1" t="s">
        <v>76</v>
      </c>
      <c r="D2484" s="1">
        <v>15800.0</v>
      </c>
      <c r="E2484" s="1" t="s">
        <v>77</v>
      </c>
      <c r="F2484" s="1" t="s">
        <v>41</v>
      </c>
      <c r="G2484" s="1" t="s">
        <v>21</v>
      </c>
      <c r="H2484" s="2">
        <v>1484.0</v>
      </c>
      <c r="I2484" s="2">
        <v>6821.0</v>
      </c>
      <c r="J2484" s="1">
        <v>2006.0</v>
      </c>
      <c r="K2484" s="1">
        <v>73.0</v>
      </c>
      <c r="L2484" s="1" t="s">
        <v>141</v>
      </c>
      <c r="M2484" s="1" t="s">
        <v>9972</v>
      </c>
      <c r="N2484" s="1" t="s">
        <v>34</v>
      </c>
      <c r="O2484" s="1" t="s">
        <v>49</v>
      </c>
      <c r="P2484" s="1" t="s">
        <v>9973</v>
      </c>
    </row>
    <row r="2485" ht="14.25" customHeight="1">
      <c r="A2485" s="1" t="s">
        <v>9974</v>
      </c>
      <c r="B2485" s="1" t="s">
        <v>9975</v>
      </c>
      <c r="C2485" s="1" t="s">
        <v>53</v>
      </c>
      <c r="D2485" s="1">
        <v>68966.0</v>
      </c>
      <c r="E2485" s="1" t="s">
        <v>77</v>
      </c>
      <c r="F2485" s="1" t="s">
        <v>61</v>
      </c>
      <c r="G2485" s="1" t="s">
        <v>100</v>
      </c>
      <c r="H2485" s="2">
        <v>2495.0</v>
      </c>
      <c r="I2485" s="2">
        <v>8665.0</v>
      </c>
      <c r="J2485" s="1">
        <v>2021.0</v>
      </c>
      <c r="K2485" s="1">
        <v>102.0</v>
      </c>
      <c r="L2485" s="1" t="s">
        <v>62</v>
      </c>
      <c r="M2485" s="1" t="s">
        <v>9976</v>
      </c>
      <c r="N2485" s="1" t="s">
        <v>64</v>
      </c>
      <c r="O2485" s="1" t="s">
        <v>35</v>
      </c>
      <c r="P2485" s="1" t="s">
        <v>9977</v>
      </c>
    </row>
    <row r="2486" ht="14.25" customHeight="1">
      <c r="A2486" s="1" t="s">
        <v>9978</v>
      </c>
      <c r="B2486" s="1" t="s">
        <v>9979</v>
      </c>
      <c r="C2486" s="1" t="s">
        <v>39</v>
      </c>
      <c r="D2486" s="1">
        <v>32713.0</v>
      </c>
      <c r="E2486" s="1" t="s">
        <v>60</v>
      </c>
      <c r="F2486" s="1" t="s">
        <v>41</v>
      </c>
      <c r="G2486" s="1" t="s">
        <v>21</v>
      </c>
      <c r="H2486" s="2">
        <v>2717.0</v>
      </c>
      <c r="I2486" s="2">
        <v>5323.0</v>
      </c>
      <c r="J2486" s="1">
        <v>2022.0</v>
      </c>
      <c r="K2486" s="1">
        <v>31.0</v>
      </c>
      <c r="L2486" s="1" t="s">
        <v>95</v>
      </c>
      <c r="M2486" s="1" t="s">
        <v>9980</v>
      </c>
      <c r="N2486" s="1" t="s">
        <v>34</v>
      </c>
      <c r="O2486" s="1" t="s">
        <v>35</v>
      </c>
      <c r="P2486" s="1" t="s">
        <v>9981</v>
      </c>
    </row>
    <row r="2487" ht="14.25" customHeight="1">
      <c r="A2487" s="1" t="s">
        <v>9982</v>
      </c>
      <c r="B2487" s="1" t="s">
        <v>9983</v>
      </c>
      <c r="C2487" s="1" t="s">
        <v>29</v>
      </c>
      <c r="D2487" s="1">
        <v>71252.0</v>
      </c>
      <c r="E2487" s="1" t="s">
        <v>77</v>
      </c>
      <c r="F2487" s="1" t="s">
        <v>41</v>
      </c>
      <c r="G2487" s="1" t="s">
        <v>21</v>
      </c>
      <c r="H2487" s="2">
        <v>3026.0</v>
      </c>
      <c r="I2487" s="2">
        <v>8560.0</v>
      </c>
      <c r="J2487" s="1">
        <v>1971.0</v>
      </c>
      <c r="K2487" s="1">
        <v>107.0</v>
      </c>
      <c r="L2487" s="1" t="s">
        <v>95</v>
      </c>
      <c r="M2487" s="1" t="s">
        <v>9984</v>
      </c>
      <c r="N2487" s="1" t="s">
        <v>24</v>
      </c>
      <c r="O2487" s="1" t="s">
        <v>35</v>
      </c>
      <c r="P2487" s="1" t="s">
        <v>9985</v>
      </c>
    </row>
    <row r="2488" ht="14.25" customHeight="1">
      <c r="A2488" s="1" t="s">
        <v>9986</v>
      </c>
      <c r="B2488" s="1" t="s">
        <v>9987</v>
      </c>
      <c r="C2488" s="1" t="s">
        <v>18</v>
      </c>
      <c r="D2488" s="1">
        <v>14756.0</v>
      </c>
      <c r="E2488" s="1" t="s">
        <v>77</v>
      </c>
      <c r="F2488" s="1" t="s">
        <v>46</v>
      </c>
      <c r="G2488" s="1" t="s">
        <v>21</v>
      </c>
      <c r="H2488" s="2">
        <v>1540.0</v>
      </c>
      <c r="I2488" s="2">
        <v>4802.0</v>
      </c>
      <c r="J2488" s="1">
        <v>1960.0</v>
      </c>
      <c r="K2488" s="1">
        <v>38.0</v>
      </c>
      <c r="L2488" s="1" t="s">
        <v>62</v>
      </c>
      <c r="M2488" s="1" t="s">
        <v>9988</v>
      </c>
      <c r="N2488" s="1" t="s">
        <v>48</v>
      </c>
      <c r="O2488" s="1" t="s">
        <v>25</v>
      </c>
      <c r="P2488" s="1" t="s">
        <v>9989</v>
      </c>
    </row>
    <row r="2489" ht="14.25" customHeight="1">
      <c r="A2489" s="1" t="s">
        <v>9990</v>
      </c>
      <c r="B2489" s="1" t="s">
        <v>9991</v>
      </c>
      <c r="C2489" s="1" t="s">
        <v>53</v>
      </c>
      <c r="D2489" s="1">
        <v>93006.0</v>
      </c>
      <c r="E2489" s="1" t="s">
        <v>40</v>
      </c>
      <c r="F2489" s="1" t="s">
        <v>54</v>
      </c>
      <c r="G2489" s="1" t="s">
        <v>55</v>
      </c>
      <c r="H2489" s="2">
        <v>2774.0</v>
      </c>
      <c r="I2489" s="2">
        <v>6268.0</v>
      </c>
      <c r="J2489" s="1">
        <v>1978.0</v>
      </c>
      <c r="K2489" s="1">
        <v>78.0</v>
      </c>
      <c r="L2489" s="1" t="s">
        <v>22</v>
      </c>
      <c r="M2489" s="1" t="s">
        <v>9992</v>
      </c>
      <c r="N2489" s="1" t="s">
        <v>43</v>
      </c>
      <c r="O2489" s="1" t="s">
        <v>35</v>
      </c>
      <c r="P2489" s="1" t="s">
        <v>9993</v>
      </c>
    </row>
    <row r="2490" ht="14.25" customHeight="1">
      <c r="A2490" s="1" t="s">
        <v>9994</v>
      </c>
      <c r="B2490" s="1" t="s">
        <v>9995</v>
      </c>
      <c r="C2490" s="1" t="s">
        <v>39</v>
      </c>
      <c r="D2490" s="1">
        <v>54203.0</v>
      </c>
      <c r="E2490" s="1" t="s">
        <v>77</v>
      </c>
      <c r="F2490" s="1" t="s">
        <v>94</v>
      </c>
      <c r="G2490" s="1" t="s">
        <v>55</v>
      </c>
      <c r="H2490" s="2">
        <v>2851.0</v>
      </c>
      <c r="I2490" s="2">
        <v>9947.0</v>
      </c>
      <c r="J2490" s="1">
        <v>1988.0</v>
      </c>
      <c r="K2490" s="1">
        <v>109.0</v>
      </c>
      <c r="L2490" s="1" t="s">
        <v>141</v>
      </c>
      <c r="M2490" s="1" t="s">
        <v>9996</v>
      </c>
      <c r="N2490" s="1" t="s">
        <v>64</v>
      </c>
      <c r="O2490" s="1" t="s">
        <v>35</v>
      </c>
      <c r="P2490" s="1" t="s">
        <v>9997</v>
      </c>
    </row>
    <row r="2491" ht="14.25" customHeight="1">
      <c r="A2491" s="1" t="s">
        <v>9998</v>
      </c>
      <c r="B2491" s="1" t="s">
        <v>9999</v>
      </c>
      <c r="C2491" s="1" t="s">
        <v>18</v>
      </c>
      <c r="D2491" s="1">
        <v>15937.0</v>
      </c>
      <c r="E2491" s="1" t="s">
        <v>77</v>
      </c>
      <c r="F2491" s="1" t="s">
        <v>61</v>
      </c>
      <c r="G2491" s="1" t="s">
        <v>55</v>
      </c>
      <c r="H2491" s="2">
        <v>1168.0</v>
      </c>
      <c r="I2491" s="2">
        <v>2426.0</v>
      </c>
      <c r="J2491" s="1">
        <v>1952.0</v>
      </c>
      <c r="K2491" s="1">
        <v>36.0</v>
      </c>
      <c r="L2491" s="1" t="s">
        <v>95</v>
      </c>
      <c r="M2491" s="1" t="s">
        <v>10000</v>
      </c>
      <c r="N2491" s="1" t="s">
        <v>24</v>
      </c>
      <c r="O2491" s="1" t="s">
        <v>49</v>
      </c>
      <c r="P2491" s="1" t="s">
        <v>10001</v>
      </c>
    </row>
    <row r="2492" ht="14.25" customHeight="1">
      <c r="A2492" s="1" t="s">
        <v>10002</v>
      </c>
      <c r="B2492" s="1" t="s">
        <v>10003</v>
      </c>
      <c r="C2492" s="1" t="s">
        <v>18</v>
      </c>
      <c r="D2492" s="1">
        <v>46465.0</v>
      </c>
      <c r="E2492" s="1" t="s">
        <v>30</v>
      </c>
      <c r="F2492" s="1" t="s">
        <v>41</v>
      </c>
      <c r="G2492" s="1" t="s">
        <v>55</v>
      </c>
      <c r="H2492" s="2">
        <v>2507.0</v>
      </c>
      <c r="I2492" s="2">
        <v>9515.0</v>
      </c>
      <c r="J2492" s="1">
        <v>2008.0</v>
      </c>
      <c r="K2492" s="1">
        <v>27.0</v>
      </c>
      <c r="L2492" s="1" t="s">
        <v>62</v>
      </c>
      <c r="M2492" s="1" t="s">
        <v>10004</v>
      </c>
      <c r="N2492" s="1" t="s">
        <v>34</v>
      </c>
      <c r="O2492" s="1" t="s">
        <v>25</v>
      </c>
      <c r="P2492" s="1" t="s">
        <v>10005</v>
      </c>
    </row>
    <row r="2493" ht="14.25" customHeight="1">
      <c r="A2493" s="1" t="s">
        <v>10006</v>
      </c>
      <c r="B2493" s="1" t="s">
        <v>10007</v>
      </c>
      <c r="C2493" s="1" t="s">
        <v>29</v>
      </c>
      <c r="D2493" s="1">
        <v>99071.0</v>
      </c>
      <c r="E2493" s="1" t="s">
        <v>40</v>
      </c>
      <c r="F2493" s="1" t="s">
        <v>61</v>
      </c>
      <c r="G2493" s="1" t="s">
        <v>21</v>
      </c>
      <c r="H2493" s="2">
        <v>3752.0</v>
      </c>
      <c r="I2493" s="2">
        <v>5990.0</v>
      </c>
      <c r="J2493" s="1">
        <v>2023.0</v>
      </c>
      <c r="K2493" s="1">
        <v>45.0</v>
      </c>
      <c r="L2493" s="1" t="s">
        <v>32</v>
      </c>
      <c r="M2493" s="1" t="s">
        <v>10008</v>
      </c>
      <c r="N2493" s="1" t="s">
        <v>24</v>
      </c>
      <c r="O2493" s="1" t="s">
        <v>25</v>
      </c>
      <c r="P2493" s="1" t="s">
        <v>10009</v>
      </c>
    </row>
    <row r="2494" ht="14.25" customHeight="1">
      <c r="A2494" s="1" t="s">
        <v>10010</v>
      </c>
      <c r="B2494" s="1" t="s">
        <v>10011</v>
      </c>
      <c r="C2494" s="1" t="s">
        <v>39</v>
      </c>
      <c r="D2494" s="1">
        <v>33180.0</v>
      </c>
      <c r="E2494" s="1" t="s">
        <v>19</v>
      </c>
      <c r="F2494" s="1" t="s">
        <v>94</v>
      </c>
      <c r="G2494" s="1" t="s">
        <v>100</v>
      </c>
      <c r="H2494" s="2">
        <v>1993.0</v>
      </c>
      <c r="I2494" s="2">
        <v>4801.0</v>
      </c>
      <c r="J2494" s="1">
        <v>2007.0</v>
      </c>
      <c r="K2494" s="1">
        <v>105.0</v>
      </c>
      <c r="L2494" s="1" t="s">
        <v>32</v>
      </c>
      <c r="M2494" s="1" t="s">
        <v>10012</v>
      </c>
      <c r="N2494" s="1" t="s">
        <v>48</v>
      </c>
      <c r="O2494" s="1" t="s">
        <v>49</v>
      </c>
      <c r="P2494" s="1" t="s">
        <v>10013</v>
      </c>
    </row>
    <row r="2495" ht="14.25" customHeight="1">
      <c r="A2495" s="1" t="s">
        <v>10014</v>
      </c>
      <c r="B2495" s="1" t="s">
        <v>10015</v>
      </c>
      <c r="C2495" s="1" t="s">
        <v>76</v>
      </c>
      <c r="D2495" s="1">
        <v>31860.0</v>
      </c>
      <c r="E2495" s="1" t="s">
        <v>19</v>
      </c>
      <c r="F2495" s="1" t="s">
        <v>46</v>
      </c>
      <c r="G2495" s="1" t="s">
        <v>100</v>
      </c>
      <c r="H2495" s="2">
        <v>3364.0</v>
      </c>
      <c r="I2495" s="2">
        <v>3901.0</v>
      </c>
      <c r="J2495" s="1">
        <v>2017.0</v>
      </c>
      <c r="K2495" s="1">
        <v>26.0</v>
      </c>
      <c r="L2495" s="1" t="s">
        <v>32</v>
      </c>
      <c r="M2495" s="1" t="s">
        <v>10016</v>
      </c>
      <c r="N2495" s="1" t="s">
        <v>64</v>
      </c>
      <c r="O2495" s="1" t="s">
        <v>25</v>
      </c>
      <c r="P2495" s="1" t="s">
        <v>10017</v>
      </c>
    </row>
    <row r="2496" ht="14.25" customHeight="1">
      <c r="A2496" s="1" t="s">
        <v>10018</v>
      </c>
      <c r="B2496" s="1" t="s">
        <v>10019</v>
      </c>
      <c r="C2496" s="1" t="s">
        <v>76</v>
      </c>
      <c r="D2496" s="1">
        <v>14091.0</v>
      </c>
      <c r="E2496" s="1" t="s">
        <v>40</v>
      </c>
      <c r="F2496" s="1" t="s">
        <v>46</v>
      </c>
      <c r="G2496" s="1" t="s">
        <v>21</v>
      </c>
      <c r="H2496" s="2">
        <v>728.0</v>
      </c>
      <c r="I2496" s="2">
        <v>9200.0</v>
      </c>
      <c r="J2496" s="1">
        <v>1953.0</v>
      </c>
      <c r="K2496" s="1">
        <v>81.0</v>
      </c>
      <c r="L2496" s="1" t="s">
        <v>32</v>
      </c>
      <c r="M2496" s="1" t="s">
        <v>10020</v>
      </c>
      <c r="N2496" s="1" t="s">
        <v>24</v>
      </c>
      <c r="O2496" s="1" t="s">
        <v>35</v>
      </c>
      <c r="P2496" s="1" t="s">
        <v>10021</v>
      </c>
    </row>
    <row r="2497" ht="14.25" customHeight="1">
      <c r="A2497" s="1" t="s">
        <v>10022</v>
      </c>
      <c r="B2497" s="1" t="s">
        <v>10023</v>
      </c>
      <c r="C2497" s="1" t="s">
        <v>29</v>
      </c>
      <c r="D2497" s="1">
        <v>46489.0</v>
      </c>
      <c r="E2497" s="1" t="s">
        <v>40</v>
      </c>
      <c r="F2497" s="1" t="s">
        <v>61</v>
      </c>
      <c r="G2497" s="1" t="s">
        <v>100</v>
      </c>
      <c r="H2497" s="2">
        <v>1815.0</v>
      </c>
      <c r="I2497" s="2">
        <v>2687.0</v>
      </c>
      <c r="J2497" s="1">
        <v>1961.0</v>
      </c>
      <c r="K2497" s="1">
        <v>9.0</v>
      </c>
      <c r="L2497" s="1" t="s">
        <v>95</v>
      </c>
      <c r="M2497" s="1" t="s">
        <v>10024</v>
      </c>
      <c r="N2497" s="1" t="s">
        <v>34</v>
      </c>
      <c r="O2497" s="1" t="s">
        <v>49</v>
      </c>
      <c r="P2497" s="1" t="s">
        <v>10025</v>
      </c>
    </row>
    <row r="2498" ht="14.25" customHeight="1">
      <c r="A2498" s="1" t="s">
        <v>10026</v>
      </c>
      <c r="B2498" s="1" t="s">
        <v>10027</v>
      </c>
      <c r="C2498" s="1" t="s">
        <v>29</v>
      </c>
      <c r="D2498" s="1">
        <v>14649.0</v>
      </c>
      <c r="E2498" s="1" t="s">
        <v>30</v>
      </c>
      <c r="F2498" s="1" t="s">
        <v>20</v>
      </c>
      <c r="G2498" s="1" t="s">
        <v>31</v>
      </c>
      <c r="H2498" s="2">
        <v>1142.0</v>
      </c>
      <c r="I2498" s="2">
        <v>9094.0</v>
      </c>
      <c r="J2498" s="1">
        <v>1971.0</v>
      </c>
      <c r="K2498" s="1">
        <v>31.0</v>
      </c>
      <c r="L2498" s="1" t="s">
        <v>32</v>
      </c>
      <c r="M2498" s="1" t="s">
        <v>10028</v>
      </c>
      <c r="N2498" s="1" t="s">
        <v>24</v>
      </c>
      <c r="O2498" s="1" t="s">
        <v>25</v>
      </c>
      <c r="P2498" s="1" t="s">
        <v>10029</v>
      </c>
    </row>
    <row r="2499" ht="14.25" customHeight="1">
      <c r="A2499" s="1" t="s">
        <v>10030</v>
      </c>
      <c r="B2499" s="1" t="s">
        <v>10031</v>
      </c>
      <c r="C2499" s="1" t="s">
        <v>29</v>
      </c>
      <c r="D2499" s="1">
        <v>37362.0</v>
      </c>
      <c r="E2499" s="1" t="s">
        <v>77</v>
      </c>
      <c r="F2499" s="1" t="s">
        <v>61</v>
      </c>
      <c r="G2499" s="1" t="s">
        <v>100</v>
      </c>
      <c r="H2499" s="2">
        <v>3663.0</v>
      </c>
      <c r="I2499" s="2">
        <v>8122.0</v>
      </c>
      <c r="J2499" s="1">
        <v>1989.0</v>
      </c>
      <c r="K2499" s="1">
        <v>68.0</v>
      </c>
      <c r="L2499" s="1" t="s">
        <v>32</v>
      </c>
      <c r="M2499" s="1" t="s">
        <v>10032</v>
      </c>
      <c r="N2499" s="1" t="s">
        <v>48</v>
      </c>
      <c r="O2499" s="1" t="s">
        <v>49</v>
      </c>
      <c r="P2499" s="1" t="s">
        <v>10033</v>
      </c>
    </row>
    <row r="2500" ht="14.25" customHeight="1">
      <c r="A2500" s="1" t="s">
        <v>10034</v>
      </c>
      <c r="B2500" s="1" t="s">
        <v>10035</v>
      </c>
      <c r="C2500" s="1" t="s">
        <v>29</v>
      </c>
      <c r="D2500" s="1">
        <v>49637.0</v>
      </c>
      <c r="E2500" s="1" t="s">
        <v>19</v>
      </c>
      <c r="F2500" s="1" t="s">
        <v>94</v>
      </c>
      <c r="G2500" s="1" t="s">
        <v>31</v>
      </c>
      <c r="H2500" s="2">
        <v>2547.0</v>
      </c>
      <c r="I2500" s="2">
        <v>9437.0</v>
      </c>
      <c r="J2500" s="1">
        <v>2015.0</v>
      </c>
      <c r="K2500" s="1">
        <v>119.0</v>
      </c>
      <c r="L2500" s="1" t="s">
        <v>141</v>
      </c>
      <c r="M2500" s="1" t="s">
        <v>10036</v>
      </c>
      <c r="N2500" s="1" t="s">
        <v>64</v>
      </c>
      <c r="O2500" s="1" t="s">
        <v>49</v>
      </c>
      <c r="P2500" s="1" t="s">
        <v>10037</v>
      </c>
    </row>
    <row r="2501" ht="14.25" customHeight="1">
      <c r="A2501" s="1" t="s">
        <v>10038</v>
      </c>
      <c r="B2501" s="1" t="s">
        <v>10039</v>
      </c>
      <c r="C2501" s="1" t="s">
        <v>39</v>
      </c>
      <c r="D2501" s="1">
        <v>14794.0</v>
      </c>
      <c r="E2501" s="1" t="s">
        <v>40</v>
      </c>
      <c r="F2501" s="1" t="s">
        <v>94</v>
      </c>
      <c r="G2501" s="1" t="s">
        <v>31</v>
      </c>
      <c r="H2501" s="2">
        <v>2380.0</v>
      </c>
      <c r="I2501" s="2">
        <v>9666.0</v>
      </c>
      <c r="J2501" s="1">
        <v>1987.0</v>
      </c>
      <c r="K2501" s="1">
        <v>67.0</v>
      </c>
      <c r="L2501" s="1" t="s">
        <v>95</v>
      </c>
      <c r="M2501" s="1" t="s">
        <v>10040</v>
      </c>
      <c r="N2501" s="1" t="s">
        <v>43</v>
      </c>
      <c r="O2501" s="1" t="s">
        <v>25</v>
      </c>
      <c r="P2501" s="1" t="s">
        <v>10041</v>
      </c>
    </row>
    <row r="2502" ht="14.25" customHeight="1">
      <c r="A2502" s="1" t="s">
        <v>10042</v>
      </c>
      <c r="B2502" s="1" t="s">
        <v>10043</v>
      </c>
      <c r="C2502" s="1" t="s">
        <v>76</v>
      </c>
      <c r="D2502" s="1">
        <v>72478.0</v>
      </c>
      <c r="E2502" s="1" t="s">
        <v>60</v>
      </c>
      <c r="F2502" s="1" t="s">
        <v>41</v>
      </c>
      <c r="G2502" s="1" t="s">
        <v>55</v>
      </c>
      <c r="H2502" s="2">
        <v>1036.0</v>
      </c>
      <c r="I2502" s="2">
        <v>1340.0</v>
      </c>
      <c r="J2502" s="1">
        <v>2017.0</v>
      </c>
      <c r="K2502" s="1">
        <v>9.0</v>
      </c>
      <c r="L2502" s="1" t="s">
        <v>62</v>
      </c>
      <c r="M2502" s="1" t="s">
        <v>10044</v>
      </c>
      <c r="N2502" s="1" t="s">
        <v>34</v>
      </c>
      <c r="O2502" s="1" t="s">
        <v>49</v>
      </c>
      <c r="P2502" s="1" t="s">
        <v>10045</v>
      </c>
    </row>
    <row r="2503" ht="14.25" customHeight="1">
      <c r="A2503" s="1" t="s">
        <v>10046</v>
      </c>
      <c r="B2503" s="1" t="s">
        <v>10047</v>
      </c>
      <c r="C2503" s="1" t="s">
        <v>53</v>
      </c>
      <c r="D2503" s="1">
        <v>98903.0</v>
      </c>
      <c r="E2503" s="1" t="s">
        <v>60</v>
      </c>
      <c r="F2503" s="1" t="s">
        <v>54</v>
      </c>
      <c r="G2503" s="1" t="s">
        <v>100</v>
      </c>
      <c r="H2503" s="2">
        <v>771.0</v>
      </c>
      <c r="I2503" s="2">
        <v>6596.0</v>
      </c>
      <c r="J2503" s="1">
        <v>1990.0</v>
      </c>
      <c r="K2503" s="1">
        <v>67.0</v>
      </c>
      <c r="L2503" s="1" t="s">
        <v>95</v>
      </c>
      <c r="M2503" s="1" t="s">
        <v>10048</v>
      </c>
      <c r="N2503" s="1" t="s">
        <v>24</v>
      </c>
      <c r="O2503" s="1" t="s">
        <v>49</v>
      </c>
      <c r="P2503" s="1" t="s">
        <v>10049</v>
      </c>
    </row>
    <row r="2504" ht="14.25" customHeight="1">
      <c r="A2504" s="1" t="s">
        <v>10050</v>
      </c>
      <c r="B2504" s="1" t="s">
        <v>10051</v>
      </c>
      <c r="C2504" s="1" t="s">
        <v>39</v>
      </c>
      <c r="D2504" s="1">
        <v>97192.0</v>
      </c>
      <c r="E2504" s="1" t="s">
        <v>60</v>
      </c>
      <c r="F2504" s="1" t="s">
        <v>46</v>
      </c>
      <c r="G2504" s="1" t="s">
        <v>55</v>
      </c>
      <c r="H2504" s="2">
        <v>2734.0</v>
      </c>
      <c r="I2504" s="2">
        <v>1591.0</v>
      </c>
      <c r="J2504" s="1">
        <v>1990.0</v>
      </c>
      <c r="K2504" s="1">
        <v>108.0</v>
      </c>
      <c r="L2504" s="1" t="s">
        <v>32</v>
      </c>
      <c r="M2504" s="1" t="s">
        <v>10052</v>
      </c>
      <c r="N2504" s="1" t="s">
        <v>64</v>
      </c>
      <c r="O2504" s="1" t="s">
        <v>49</v>
      </c>
      <c r="P2504" s="1" t="s">
        <v>10053</v>
      </c>
    </row>
    <row r="2505" ht="14.25" customHeight="1">
      <c r="A2505" s="1" t="s">
        <v>10054</v>
      </c>
      <c r="B2505" s="1" t="s">
        <v>10055</v>
      </c>
      <c r="C2505" s="1" t="s">
        <v>39</v>
      </c>
      <c r="D2505" s="1">
        <v>98581.0</v>
      </c>
      <c r="E2505" s="1" t="s">
        <v>77</v>
      </c>
      <c r="F2505" s="1" t="s">
        <v>54</v>
      </c>
      <c r="G2505" s="1" t="s">
        <v>55</v>
      </c>
      <c r="H2505" s="2">
        <v>2321.0</v>
      </c>
      <c r="I2505" s="2">
        <v>5966.0</v>
      </c>
      <c r="J2505" s="1">
        <v>1957.0</v>
      </c>
      <c r="K2505" s="1">
        <v>27.0</v>
      </c>
      <c r="L2505" s="1" t="s">
        <v>22</v>
      </c>
      <c r="M2505" s="1" t="s">
        <v>10056</v>
      </c>
      <c r="N2505" s="1" t="s">
        <v>24</v>
      </c>
      <c r="O2505" s="1" t="s">
        <v>35</v>
      </c>
      <c r="P2505" s="1" t="s">
        <v>10057</v>
      </c>
    </row>
    <row r="2506" ht="14.25" customHeight="1">
      <c r="A2506" s="1" t="s">
        <v>10058</v>
      </c>
      <c r="B2506" s="1" t="s">
        <v>10059</v>
      </c>
      <c r="C2506" s="1" t="s">
        <v>18</v>
      </c>
      <c r="D2506" s="1">
        <v>72949.0</v>
      </c>
      <c r="E2506" s="1" t="s">
        <v>40</v>
      </c>
      <c r="F2506" s="1" t="s">
        <v>46</v>
      </c>
      <c r="G2506" s="1" t="s">
        <v>100</v>
      </c>
      <c r="H2506" s="2">
        <v>1892.0</v>
      </c>
      <c r="I2506" s="2">
        <v>9135.0</v>
      </c>
      <c r="J2506" s="1">
        <v>1960.0</v>
      </c>
      <c r="K2506" s="1">
        <v>20.0</v>
      </c>
      <c r="L2506" s="1" t="s">
        <v>62</v>
      </c>
      <c r="M2506" s="1" t="s">
        <v>10060</v>
      </c>
      <c r="N2506" s="1" t="s">
        <v>43</v>
      </c>
      <c r="O2506" s="1" t="s">
        <v>25</v>
      </c>
      <c r="P2506" s="1" t="s">
        <v>10061</v>
      </c>
    </row>
    <row r="2507" ht="14.25" customHeight="1">
      <c r="A2507" s="1" t="s">
        <v>10062</v>
      </c>
      <c r="B2507" s="1" t="s">
        <v>10063</v>
      </c>
      <c r="C2507" s="1" t="s">
        <v>76</v>
      </c>
      <c r="D2507" s="1">
        <v>90870.0</v>
      </c>
      <c r="E2507" s="1" t="s">
        <v>30</v>
      </c>
      <c r="F2507" s="1" t="s">
        <v>41</v>
      </c>
      <c r="G2507" s="1" t="s">
        <v>100</v>
      </c>
      <c r="H2507" s="2">
        <v>1531.0</v>
      </c>
      <c r="I2507" s="2">
        <v>6926.0</v>
      </c>
      <c r="J2507" s="1">
        <v>1961.0</v>
      </c>
      <c r="K2507" s="1">
        <v>12.0</v>
      </c>
      <c r="L2507" s="1" t="s">
        <v>95</v>
      </c>
      <c r="M2507" s="1" t="s">
        <v>10064</v>
      </c>
      <c r="N2507" s="1" t="s">
        <v>24</v>
      </c>
      <c r="O2507" s="1" t="s">
        <v>25</v>
      </c>
      <c r="P2507" s="1" t="s">
        <v>10065</v>
      </c>
    </row>
    <row r="2508" ht="14.25" customHeight="1">
      <c r="A2508" s="1" t="s">
        <v>10066</v>
      </c>
      <c r="B2508" s="1" t="s">
        <v>10067</v>
      </c>
      <c r="C2508" s="1" t="s">
        <v>39</v>
      </c>
      <c r="D2508" s="1">
        <v>64643.0</v>
      </c>
      <c r="E2508" s="1" t="s">
        <v>77</v>
      </c>
      <c r="F2508" s="1" t="s">
        <v>20</v>
      </c>
      <c r="G2508" s="1" t="s">
        <v>55</v>
      </c>
      <c r="H2508" s="2">
        <v>1791.0</v>
      </c>
      <c r="I2508" s="2">
        <v>5764.0</v>
      </c>
      <c r="J2508" s="1">
        <v>1959.0</v>
      </c>
      <c r="K2508" s="1">
        <v>100.0</v>
      </c>
      <c r="L2508" s="1" t="s">
        <v>22</v>
      </c>
      <c r="M2508" s="1" t="s">
        <v>10068</v>
      </c>
      <c r="N2508" s="1" t="s">
        <v>34</v>
      </c>
      <c r="O2508" s="1" t="s">
        <v>25</v>
      </c>
      <c r="P2508" s="1" t="s">
        <v>10069</v>
      </c>
    </row>
    <row r="2509" ht="14.25" customHeight="1">
      <c r="A2509" s="1" t="s">
        <v>10070</v>
      </c>
      <c r="B2509" s="1" t="s">
        <v>10071</v>
      </c>
      <c r="C2509" s="1" t="s">
        <v>39</v>
      </c>
      <c r="D2509" s="1">
        <v>35537.0</v>
      </c>
      <c r="E2509" s="1" t="s">
        <v>60</v>
      </c>
      <c r="F2509" s="1" t="s">
        <v>61</v>
      </c>
      <c r="G2509" s="1" t="s">
        <v>31</v>
      </c>
      <c r="H2509" s="2">
        <v>1051.0</v>
      </c>
      <c r="I2509" s="2">
        <v>8100.0</v>
      </c>
      <c r="J2509" s="1">
        <v>1966.0</v>
      </c>
      <c r="K2509" s="1">
        <v>49.0</v>
      </c>
      <c r="L2509" s="1" t="s">
        <v>141</v>
      </c>
      <c r="M2509" s="1" t="s">
        <v>10072</v>
      </c>
      <c r="N2509" s="1" t="s">
        <v>48</v>
      </c>
      <c r="O2509" s="1" t="s">
        <v>49</v>
      </c>
      <c r="P2509" s="1" t="s">
        <v>10073</v>
      </c>
    </row>
    <row r="2510" ht="14.25" customHeight="1">
      <c r="A2510" s="1" t="s">
        <v>10074</v>
      </c>
      <c r="B2510" s="1" t="s">
        <v>10075</v>
      </c>
      <c r="C2510" s="1" t="s">
        <v>76</v>
      </c>
      <c r="D2510" s="1">
        <v>52843.0</v>
      </c>
      <c r="E2510" s="1" t="s">
        <v>19</v>
      </c>
      <c r="F2510" s="1" t="s">
        <v>94</v>
      </c>
      <c r="G2510" s="1" t="s">
        <v>21</v>
      </c>
      <c r="H2510" s="2">
        <v>3458.0</v>
      </c>
      <c r="I2510" s="2">
        <v>3731.0</v>
      </c>
      <c r="J2510" s="1">
        <v>2004.0</v>
      </c>
      <c r="K2510" s="1">
        <v>14.0</v>
      </c>
      <c r="L2510" s="1" t="s">
        <v>22</v>
      </c>
      <c r="M2510" s="1" t="s">
        <v>10076</v>
      </c>
      <c r="N2510" s="1" t="s">
        <v>24</v>
      </c>
      <c r="O2510" s="1" t="s">
        <v>25</v>
      </c>
      <c r="P2510" s="1" t="s">
        <v>10077</v>
      </c>
    </row>
    <row r="2511" ht="14.25" customHeight="1">
      <c r="A2511" s="1" t="s">
        <v>10078</v>
      </c>
      <c r="B2511" s="1" t="s">
        <v>10079</v>
      </c>
      <c r="C2511" s="1" t="s">
        <v>53</v>
      </c>
      <c r="D2511" s="1">
        <v>41767.0</v>
      </c>
      <c r="E2511" s="1" t="s">
        <v>77</v>
      </c>
      <c r="F2511" s="1" t="s">
        <v>61</v>
      </c>
      <c r="G2511" s="1" t="s">
        <v>31</v>
      </c>
      <c r="H2511" s="2">
        <v>2489.0</v>
      </c>
      <c r="I2511" s="2">
        <v>2406.0</v>
      </c>
      <c r="J2511" s="1">
        <v>1960.0</v>
      </c>
      <c r="K2511" s="1">
        <v>19.0</v>
      </c>
      <c r="L2511" s="1" t="s">
        <v>32</v>
      </c>
      <c r="M2511" s="1" t="s">
        <v>10080</v>
      </c>
      <c r="N2511" s="1" t="s">
        <v>34</v>
      </c>
      <c r="O2511" s="1" t="s">
        <v>35</v>
      </c>
      <c r="P2511" s="1" t="s">
        <v>10081</v>
      </c>
    </row>
    <row r="2512" ht="14.25" customHeight="1">
      <c r="A2512" s="1" t="s">
        <v>10082</v>
      </c>
      <c r="B2512" s="1" t="s">
        <v>10083</v>
      </c>
      <c r="C2512" s="1" t="s">
        <v>39</v>
      </c>
      <c r="D2512" s="1">
        <v>31183.0</v>
      </c>
      <c r="E2512" s="1" t="s">
        <v>40</v>
      </c>
      <c r="F2512" s="1" t="s">
        <v>54</v>
      </c>
      <c r="G2512" s="1" t="s">
        <v>21</v>
      </c>
      <c r="H2512" s="2">
        <v>877.0</v>
      </c>
      <c r="I2512" s="2">
        <v>7507.0</v>
      </c>
      <c r="J2512" s="1">
        <v>1980.0</v>
      </c>
      <c r="K2512" s="1">
        <v>83.0</v>
      </c>
      <c r="L2512" s="1" t="s">
        <v>62</v>
      </c>
      <c r="M2512" s="1" t="s">
        <v>10084</v>
      </c>
      <c r="N2512" s="1" t="s">
        <v>43</v>
      </c>
      <c r="O2512" s="1" t="s">
        <v>35</v>
      </c>
      <c r="P2512" s="1" t="s">
        <v>10085</v>
      </c>
    </row>
    <row r="2513" ht="14.25" customHeight="1">
      <c r="A2513" s="1" t="s">
        <v>10086</v>
      </c>
      <c r="B2513" s="1" t="s">
        <v>10087</v>
      </c>
      <c r="C2513" s="1" t="s">
        <v>39</v>
      </c>
      <c r="D2513" s="1">
        <v>93992.0</v>
      </c>
      <c r="E2513" s="1" t="s">
        <v>77</v>
      </c>
      <c r="F2513" s="1" t="s">
        <v>41</v>
      </c>
      <c r="G2513" s="1" t="s">
        <v>55</v>
      </c>
      <c r="H2513" s="2">
        <v>2951.0</v>
      </c>
      <c r="I2513" s="2">
        <v>9590.0</v>
      </c>
      <c r="J2513" s="1">
        <v>1996.0</v>
      </c>
      <c r="K2513" s="1">
        <v>1.0</v>
      </c>
      <c r="L2513" s="1" t="s">
        <v>141</v>
      </c>
      <c r="M2513" s="1" t="s">
        <v>10088</v>
      </c>
      <c r="N2513" s="1" t="s">
        <v>64</v>
      </c>
      <c r="O2513" s="1" t="s">
        <v>35</v>
      </c>
      <c r="P2513" s="1" t="s">
        <v>10089</v>
      </c>
    </row>
    <row r="2514" ht="14.25" customHeight="1">
      <c r="A2514" s="1" t="s">
        <v>10090</v>
      </c>
      <c r="B2514" s="1" t="s">
        <v>10091</v>
      </c>
      <c r="C2514" s="1" t="s">
        <v>39</v>
      </c>
      <c r="D2514" s="1">
        <v>79161.0</v>
      </c>
      <c r="E2514" s="1" t="s">
        <v>30</v>
      </c>
      <c r="F2514" s="1" t="s">
        <v>20</v>
      </c>
      <c r="G2514" s="1" t="s">
        <v>21</v>
      </c>
      <c r="H2514" s="2">
        <v>792.0</v>
      </c>
      <c r="I2514" s="2">
        <v>9053.0</v>
      </c>
      <c r="J2514" s="1">
        <v>1964.0</v>
      </c>
      <c r="K2514" s="1">
        <v>49.0</v>
      </c>
      <c r="L2514" s="1" t="s">
        <v>62</v>
      </c>
      <c r="M2514" s="1" t="s">
        <v>10092</v>
      </c>
      <c r="N2514" s="1" t="s">
        <v>64</v>
      </c>
      <c r="O2514" s="1" t="s">
        <v>49</v>
      </c>
      <c r="P2514" s="1" t="s">
        <v>10093</v>
      </c>
    </row>
    <row r="2515" ht="14.25" customHeight="1">
      <c r="A2515" s="1" t="s">
        <v>10094</v>
      </c>
      <c r="B2515" s="1" t="s">
        <v>10095</v>
      </c>
      <c r="C2515" s="1" t="s">
        <v>39</v>
      </c>
      <c r="D2515" s="1">
        <v>21071.0</v>
      </c>
      <c r="E2515" s="1" t="s">
        <v>77</v>
      </c>
      <c r="F2515" s="1" t="s">
        <v>46</v>
      </c>
      <c r="G2515" s="1" t="s">
        <v>21</v>
      </c>
      <c r="H2515" s="2">
        <v>1051.0</v>
      </c>
      <c r="I2515" s="2">
        <v>3048.0</v>
      </c>
      <c r="J2515" s="1">
        <v>2009.0</v>
      </c>
      <c r="K2515" s="1">
        <v>24.0</v>
      </c>
      <c r="L2515" s="1" t="s">
        <v>95</v>
      </c>
      <c r="M2515" s="1" t="s">
        <v>10096</v>
      </c>
      <c r="N2515" s="1" t="s">
        <v>48</v>
      </c>
      <c r="O2515" s="1" t="s">
        <v>35</v>
      </c>
      <c r="P2515" s="1" t="s">
        <v>10097</v>
      </c>
    </row>
    <row r="2516" ht="14.25" customHeight="1">
      <c r="A2516" s="1" t="s">
        <v>10098</v>
      </c>
      <c r="B2516" s="1" t="s">
        <v>10099</v>
      </c>
      <c r="C2516" s="1" t="s">
        <v>18</v>
      </c>
      <c r="D2516" s="1">
        <v>29957.0</v>
      </c>
      <c r="E2516" s="1" t="s">
        <v>40</v>
      </c>
      <c r="F2516" s="1" t="s">
        <v>54</v>
      </c>
      <c r="G2516" s="1" t="s">
        <v>55</v>
      </c>
      <c r="H2516" s="2">
        <v>3548.0</v>
      </c>
      <c r="I2516" s="2">
        <v>7516.0</v>
      </c>
      <c r="J2516" s="1">
        <v>1972.0</v>
      </c>
      <c r="K2516" s="1">
        <v>20.0</v>
      </c>
      <c r="L2516" s="1" t="s">
        <v>22</v>
      </c>
      <c r="M2516" s="1" t="s">
        <v>10100</v>
      </c>
      <c r="N2516" s="1" t="s">
        <v>24</v>
      </c>
      <c r="O2516" s="1" t="s">
        <v>25</v>
      </c>
      <c r="P2516" s="1" t="s">
        <v>10101</v>
      </c>
    </row>
    <row r="2517" ht="14.25" customHeight="1">
      <c r="A2517" s="1" t="s">
        <v>10102</v>
      </c>
      <c r="B2517" s="1" t="s">
        <v>10103</v>
      </c>
      <c r="C2517" s="1" t="s">
        <v>53</v>
      </c>
      <c r="D2517" s="1">
        <v>16787.0</v>
      </c>
      <c r="E2517" s="1" t="s">
        <v>19</v>
      </c>
      <c r="F2517" s="1" t="s">
        <v>54</v>
      </c>
      <c r="G2517" s="1" t="s">
        <v>31</v>
      </c>
      <c r="H2517" s="2">
        <v>3414.0</v>
      </c>
      <c r="I2517" s="2">
        <v>8605.0</v>
      </c>
      <c r="J2517" s="1">
        <v>1952.0</v>
      </c>
      <c r="K2517" s="1">
        <v>100.0</v>
      </c>
      <c r="L2517" s="1" t="s">
        <v>141</v>
      </c>
      <c r="M2517" s="1" t="s">
        <v>10104</v>
      </c>
      <c r="N2517" s="1" t="s">
        <v>64</v>
      </c>
      <c r="O2517" s="1" t="s">
        <v>49</v>
      </c>
      <c r="P2517" s="1" t="s">
        <v>10105</v>
      </c>
    </row>
    <row r="2518" ht="14.25" customHeight="1">
      <c r="A2518" s="1" t="s">
        <v>10106</v>
      </c>
      <c r="B2518" s="1" t="s">
        <v>10107</v>
      </c>
      <c r="C2518" s="1" t="s">
        <v>76</v>
      </c>
      <c r="D2518" s="1">
        <v>71717.0</v>
      </c>
      <c r="E2518" s="1" t="s">
        <v>60</v>
      </c>
      <c r="F2518" s="1" t="s">
        <v>46</v>
      </c>
      <c r="G2518" s="1" t="s">
        <v>100</v>
      </c>
      <c r="H2518" s="2">
        <v>3821.0</v>
      </c>
      <c r="I2518" s="2">
        <v>7525.0</v>
      </c>
      <c r="J2518" s="1">
        <v>2019.0</v>
      </c>
      <c r="K2518" s="1">
        <v>24.0</v>
      </c>
      <c r="L2518" s="1" t="s">
        <v>22</v>
      </c>
      <c r="M2518" s="1" t="s">
        <v>10108</v>
      </c>
      <c r="N2518" s="1" t="s">
        <v>48</v>
      </c>
      <c r="O2518" s="1" t="s">
        <v>25</v>
      </c>
      <c r="P2518" s="1" t="s">
        <v>10109</v>
      </c>
    </row>
    <row r="2519" ht="14.25" customHeight="1">
      <c r="A2519" s="1" t="s">
        <v>10110</v>
      </c>
      <c r="B2519" s="1" t="s">
        <v>10111</v>
      </c>
      <c r="C2519" s="1" t="s">
        <v>39</v>
      </c>
      <c r="D2519" s="1">
        <v>63296.0</v>
      </c>
      <c r="E2519" s="1" t="s">
        <v>40</v>
      </c>
      <c r="F2519" s="1" t="s">
        <v>94</v>
      </c>
      <c r="G2519" s="1" t="s">
        <v>21</v>
      </c>
      <c r="H2519" s="2">
        <v>3424.0</v>
      </c>
      <c r="I2519" s="2">
        <v>3819.0</v>
      </c>
      <c r="J2519" s="1">
        <v>1977.0</v>
      </c>
      <c r="K2519" s="1">
        <v>90.0</v>
      </c>
      <c r="L2519" s="1" t="s">
        <v>32</v>
      </c>
      <c r="M2519" s="1" t="s">
        <v>10112</v>
      </c>
      <c r="N2519" s="1" t="s">
        <v>34</v>
      </c>
      <c r="O2519" s="1" t="s">
        <v>25</v>
      </c>
      <c r="P2519" s="1" t="s">
        <v>10113</v>
      </c>
    </row>
    <row r="2520" ht="14.25" customHeight="1">
      <c r="A2520" s="1" t="s">
        <v>10114</v>
      </c>
      <c r="B2520" s="1" t="s">
        <v>10115</v>
      </c>
      <c r="C2520" s="1" t="s">
        <v>53</v>
      </c>
      <c r="D2520" s="1">
        <v>70574.0</v>
      </c>
      <c r="E2520" s="1" t="s">
        <v>19</v>
      </c>
      <c r="F2520" s="1" t="s">
        <v>46</v>
      </c>
      <c r="G2520" s="1" t="s">
        <v>55</v>
      </c>
      <c r="H2520" s="2">
        <v>1204.0</v>
      </c>
      <c r="I2520" s="2">
        <v>4851.0</v>
      </c>
      <c r="J2520" s="1">
        <v>2003.0</v>
      </c>
      <c r="K2520" s="1">
        <v>23.0</v>
      </c>
      <c r="L2520" s="1" t="s">
        <v>62</v>
      </c>
      <c r="M2520" s="1" t="s">
        <v>10116</v>
      </c>
      <c r="N2520" s="1" t="s">
        <v>48</v>
      </c>
      <c r="O2520" s="1" t="s">
        <v>25</v>
      </c>
      <c r="P2520" s="1" t="s">
        <v>10117</v>
      </c>
    </row>
    <row r="2521" ht="14.25" customHeight="1">
      <c r="A2521" s="1" t="s">
        <v>10118</v>
      </c>
      <c r="B2521" s="1" t="s">
        <v>10119</v>
      </c>
      <c r="C2521" s="1" t="s">
        <v>53</v>
      </c>
      <c r="D2521" s="1">
        <v>85350.0</v>
      </c>
      <c r="E2521" s="1" t="s">
        <v>19</v>
      </c>
      <c r="F2521" s="1" t="s">
        <v>41</v>
      </c>
      <c r="G2521" s="1" t="s">
        <v>21</v>
      </c>
      <c r="H2521" s="2">
        <v>1340.0</v>
      </c>
      <c r="I2521" s="2">
        <v>8639.0</v>
      </c>
      <c r="J2521" s="1">
        <v>1954.0</v>
      </c>
      <c r="K2521" s="1">
        <v>120.0</v>
      </c>
      <c r="L2521" s="1" t="s">
        <v>32</v>
      </c>
      <c r="M2521" s="1" t="s">
        <v>10120</v>
      </c>
      <c r="N2521" s="1" t="s">
        <v>64</v>
      </c>
      <c r="O2521" s="1" t="s">
        <v>35</v>
      </c>
      <c r="P2521" s="1" t="s">
        <v>10121</v>
      </c>
    </row>
    <row r="2522" ht="14.25" customHeight="1">
      <c r="A2522" s="1" t="s">
        <v>10122</v>
      </c>
      <c r="B2522" s="1" t="s">
        <v>10123</v>
      </c>
      <c r="C2522" s="1" t="s">
        <v>18</v>
      </c>
      <c r="D2522" s="1">
        <v>27608.0</v>
      </c>
      <c r="E2522" s="1" t="s">
        <v>19</v>
      </c>
      <c r="F2522" s="1" t="s">
        <v>61</v>
      </c>
      <c r="G2522" s="1" t="s">
        <v>21</v>
      </c>
      <c r="H2522" s="2">
        <v>3150.0</v>
      </c>
      <c r="I2522" s="2">
        <v>8665.0</v>
      </c>
      <c r="J2522" s="1">
        <v>1996.0</v>
      </c>
      <c r="K2522" s="1">
        <v>74.0</v>
      </c>
      <c r="L2522" s="1" t="s">
        <v>141</v>
      </c>
      <c r="M2522" s="1" t="s">
        <v>10124</v>
      </c>
      <c r="N2522" s="1" t="s">
        <v>48</v>
      </c>
      <c r="O2522" s="1" t="s">
        <v>35</v>
      </c>
      <c r="P2522" s="1" t="s">
        <v>10125</v>
      </c>
    </row>
    <row r="2523" ht="14.25" customHeight="1">
      <c r="A2523" s="1" t="s">
        <v>10126</v>
      </c>
      <c r="B2523" s="1" t="s">
        <v>10127</v>
      </c>
      <c r="C2523" s="1" t="s">
        <v>76</v>
      </c>
      <c r="D2523" s="1">
        <v>51061.0</v>
      </c>
      <c r="E2523" s="1" t="s">
        <v>77</v>
      </c>
      <c r="F2523" s="1" t="s">
        <v>20</v>
      </c>
      <c r="G2523" s="1" t="s">
        <v>100</v>
      </c>
      <c r="H2523" s="2">
        <v>939.0</v>
      </c>
      <c r="I2523" s="2">
        <v>5223.0</v>
      </c>
      <c r="J2523" s="1">
        <v>1982.0</v>
      </c>
      <c r="K2523" s="1">
        <v>55.0</v>
      </c>
      <c r="L2523" s="1" t="s">
        <v>22</v>
      </c>
      <c r="M2523" s="1" t="s">
        <v>10128</v>
      </c>
      <c r="N2523" s="1" t="s">
        <v>48</v>
      </c>
      <c r="O2523" s="1" t="s">
        <v>25</v>
      </c>
      <c r="P2523" s="1" t="s">
        <v>10129</v>
      </c>
    </row>
    <row r="2524" ht="14.25" customHeight="1">
      <c r="A2524" s="1" t="s">
        <v>10130</v>
      </c>
      <c r="B2524" s="1" t="s">
        <v>10131</v>
      </c>
      <c r="C2524" s="1" t="s">
        <v>39</v>
      </c>
      <c r="D2524" s="1">
        <v>88532.0</v>
      </c>
      <c r="E2524" s="1" t="s">
        <v>30</v>
      </c>
      <c r="F2524" s="1" t="s">
        <v>46</v>
      </c>
      <c r="G2524" s="1" t="s">
        <v>55</v>
      </c>
      <c r="H2524" s="2">
        <v>2241.0</v>
      </c>
      <c r="I2524" s="2">
        <v>6036.0</v>
      </c>
      <c r="J2524" s="1">
        <v>1986.0</v>
      </c>
      <c r="K2524" s="1">
        <v>41.0</v>
      </c>
      <c r="L2524" s="1" t="s">
        <v>22</v>
      </c>
      <c r="M2524" s="1" t="s">
        <v>10132</v>
      </c>
      <c r="N2524" s="1" t="s">
        <v>34</v>
      </c>
      <c r="O2524" s="1" t="s">
        <v>25</v>
      </c>
      <c r="P2524" s="1" t="s">
        <v>10133</v>
      </c>
    </row>
    <row r="2525" ht="14.25" customHeight="1">
      <c r="A2525" s="1" t="s">
        <v>10134</v>
      </c>
      <c r="B2525" s="1" t="s">
        <v>10135</v>
      </c>
      <c r="C2525" s="1" t="s">
        <v>39</v>
      </c>
      <c r="D2525" s="1">
        <v>96442.0</v>
      </c>
      <c r="E2525" s="1" t="s">
        <v>30</v>
      </c>
      <c r="F2525" s="1" t="s">
        <v>61</v>
      </c>
      <c r="G2525" s="1" t="s">
        <v>100</v>
      </c>
      <c r="H2525" s="2">
        <v>3179.0</v>
      </c>
      <c r="I2525" s="2">
        <v>4822.0</v>
      </c>
      <c r="J2525" s="1">
        <v>1976.0</v>
      </c>
      <c r="K2525" s="1">
        <v>18.0</v>
      </c>
      <c r="L2525" s="1" t="s">
        <v>141</v>
      </c>
      <c r="M2525" s="1" t="s">
        <v>10136</v>
      </c>
      <c r="N2525" s="1" t="s">
        <v>43</v>
      </c>
      <c r="O2525" s="1" t="s">
        <v>49</v>
      </c>
      <c r="P2525" s="1" t="s">
        <v>10137</v>
      </c>
    </row>
    <row r="2526" ht="14.25" customHeight="1">
      <c r="A2526" s="1" t="s">
        <v>10138</v>
      </c>
      <c r="B2526" s="1" t="s">
        <v>10139</v>
      </c>
      <c r="C2526" s="1" t="s">
        <v>76</v>
      </c>
      <c r="D2526" s="1">
        <v>36272.0</v>
      </c>
      <c r="E2526" s="1" t="s">
        <v>77</v>
      </c>
      <c r="F2526" s="1" t="s">
        <v>20</v>
      </c>
      <c r="G2526" s="1" t="s">
        <v>55</v>
      </c>
      <c r="H2526" s="2">
        <v>3647.0</v>
      </c>
      <c r="I2526" s="2">
        <v>2658.0</v>
      </c>
      <c r="J2526" s="1">
        <v>2008.0</v>
      </c>
      <c r="K2526" s="1">
        <v>61.0</v>
      </c>
      <c r="L2526" s="1" t="s">
        <v>22</v>
      </c>
      <c r="M2526" s="1" t="s">
        <v>10140</v>
      </c>
      <c r="N2526" s="1" t="s">
        <v>64</v>
      </c>
      <c r="O2526" s="1" t="s">
        <v>35</v>
      </c>
      <c r="P2526" s="1" t="s">
        <v>10141</v>
      </c>
    </row>
    <row r="2527" ht="14.25" customHeight="1">
      <c r="A2527" s="1" t="s">
        <v>10142</v>
      </c>
      <c r="B2527" s="1" t="s">
        <v>10143</v>
      </c>
      <c r="C2527" s="1" t="s">
        <v>76</v>
      </c>
      <c r="D2527" s="1">
        <v>74937.0</v>
      </c>
      <c r="E2527" s="1" t="s">
        <v>40</v>
      </c>
      <c r="F2527" s="1" t="s">
        <v>41</v>
      </c>
      <c r="G2527" s="1" t="s">
        <v>100</v>
      </c>
      <c r="H2527" s="2">
        <v>3339.0</v>
      </c>
      <c r="I2527" s="2">
        <v>2091.0</v>
      </c>
      <c r="J2527" s="1">
        <v>1995.0</v>
      </c>
      <c r="K2527" s="1">
        <v>9.0</v>
      </c>
      <c r="L2527" s="1" t="s">
        <v>22</v>
      </c>
      <c r="M2527" s="1" t="s">
        <v>10144</v>
      </c>
      <c r="N2527" s="1" t="s">
        <v>48</v>
      </c>
      <c r="O2527" s="1" t="s">
        <v>25</v>
      </c>
      <c r="P2527" s="1" t="s">
        <v>10145</v>
      </c>
    </row>
    <row r="2528" ht="14.25" customHeight="1">
      <c r="A2528" s="1" t="s">
        <v>10146</v>
      </c>
      <c r="B2528" s="1" t="s">
        <v>10147</v>
      </c>
      <c r="C2528" s="1" t="s">
        <v>39</v>
      </c>
      <c r="D2528" s="1">
        <v>41440.0</v>
      </c>
      <c r="E2528" s="1" t="s">
        <v>77</v>
      </c>
      <c r="F2528" s="1" t="s">
        <v>94</v>
      </c>
      <c r="G2528" s="1" t="s">
        <v>31</v>
      </c>
      <c r="H2528" s="2">
        <v>1255.0</v>
      </c>
      <c r="I2528" s="2">
        <v>5859.0</v>
      </c>
      <c r="J2528" s="1">
        <v>2018.0</v>
      </c>
      <c r="K2528" s="1">
        <v>26.0</v>
      </c>
      <c r="L2528" s="1" t="s">
        <v>141</v>
      </c>
      <c r="M2528" s="1" t="s">
        <v>10148</v>
      </c>
      <c r="N2528" s="1" t="s">
        <v>24</v>
      </c>
      <c r="O2528" s="1" t="s">
        <v>35</v>
      </c>
      <c r="P2528" s="1" t="s">
        <v>10149</v>
      </c>
    </row>
    <row r="2529" ht="14.25" customHeight="1">
      <c r="A2529" s="1" t="s">
        <v>10150</v>
      </c>
      <c r="B2529" s="1" t="s">
        <v>10151</v>
      </c>
      <c r="C2529" s="1" t="s">
        <v>39</v>
      </c>
      <c r="D2529" s="1">
        <v>62542.0</v>
      </c>
      <c r="E2529" s="1" t="s">
        <v>60</v>
      </c>
      <c r="F2529" s="1" t="s">
        <v>61</v>
      </c>
      <c r="G2529" s="1" t="s">
        <v>55</v>
      </c>
      <c r="H2529" s="2">
        <v>2012.0</v>
      </c>
      <c r="I2529" s="2">
        <v>6508.0</v>
      </c>
      <c r="J2529" s="1">
        <v>2000.0</v>
      </c>
      <c r="K2529" s="1">
        <v>65.0</v>
      </c>
      <c r="L2529" s="1" t="s">
        <v>22</v>
      </c>
      <c r="M2529" s="1" t="s">
        <v>10152</v>
      </c>
      <c r="N2529" s="1" t="s">
        <v>64</v>
      </c>
      <c r="O2529" s="1" t="s">
        <v>49</v>
      </c>
      <c r="P2529" s="1" t="s">
        <v>10153</v>
      </c>
    </row>
    <row r="2530" ht="14.25" customHeight="1">
      <c r="A2530" s="1" t="s">
        <v>10154</v>
      </c>
      <c r="B2530" s="1" t="s">
        <v>10155</v>
      </c>
      <c r="C2530" s="1" t="s">
        <v>39</v>
      </c>
      <c r="D2530" s="1">
        <v>46081.0</v>
      </c>
      <c r="E2530" s="1" t="s">
        <v>77</v>
      </c>
      <c r="F2530" s="1" t="s">
        <v>61</v>
      </c>
      <c r="G2530" s="1" t="s">
        <v>100</v>
      </c>
      <c r="H2530" s="2">
        <v>1899.0</v>
      </c>
      <c r="I2530" s="2">
        <v>8581.0</v>
      </c>
      <c r="J2530" s="1">
        <v>2012.0</v>
      </c>
      <c r="K2530" s="1">
        <v>5.0</v>
      </c>
      <c r="L2530" s="1" t="s">
        <v>22</v>
      </c>
      <c r="M2530" s="1" t="s">
        <v>10156</v>
      </c>
      <c r="N2530" s="1" t="s">
        <v>34</v>
      </c>
      <c r="O2530" s="1" t="s">
        <v>25</v>
      </c>
      <c r="P2530" s="1" t="s">
        <v>10157</v>
      </c>
    </row>
    <row r="2531" ht="14.25" customHeight="1">
      <c r="A2531" s="1" t="s">
        <v>10158</v>
      </c>
      <c r="B2531" s="1" t="s">
        <v>10159</v>
      </c>
      <c r="C2531" s="1" t="s">
        <v>76</v>
      </c>
      <c r="D2531" s="1">
        <v>87215.0</v>
      </c>
      <c r="E2531" s="1" t="s">
        <v>19</v>
      </c>
      <c r="F2531" s="1" t="s">
        <v>41</v>
      </c>
      <c r="G2531" s="1" t="s">
        <v>55</v>
      </c>
      <c r="H2531" s="2">
        <v>2313.0</v>
      </c>
      <c r="I2531" s="2">
        <v>8668.0</v>
      </c>
      <c r="J2531" s="1">
        <v>1966.0</v>
      </c>
      <c r="K2531" s="1">
        <v>120.0</v>
      </c>
      <c r="L2531" s="1" t="s">
        <v>141</v>
      </c>
      <c r="M2531" s="1" t="s">
        <v>10160</v>
      </c>
      <c r="N2531" s="1" t="s">
        <v>34</v>
      </c>
      <c r="O2531" s="1" t="s">
        <v>35</v>
      </c>
      <c r="P2531" s="1" t="s">
        <v>10161</v>
      </c>
    </row>
    <row r="2532" ht="14.25" customHeight="1">
      <c r="A2532" s="1" t="s">
        <v>10162</v>
      </c>
      <c r="B2532" s="1" t="s">
        <v>10163</v>
      </c>
      <c r="C2532" s="1" t="s">
        <v>29</v>
      </c>
      <c r="D2532" s="1">
        <v>54737.0</v>
      </c>
      <c r="E2532" s="1" t="s">
        <v>19</v>
      </c>
      <c r="F2532" s="1" t="s">
        <v>54</v>
      </c>
      <c r="G2532" s="1" t="s">
        <v>55</v>
      </c>
      <c r="H2532" s="2">
        <v>2472.0</v>
      </c>
      <c r="I2532" s="2">
        <v>9961.0</v>
      </c>
      <c r="J2532" s="1">
        <v>1997.0</v>
      </c>
      <c r="K2532" s="1">
        <v>53.0</v>
      </c>
      <c r="L2532" s="1" t="s">
        <v>22</v>
      </c>
      <c r="M2532" s="1" t="s">
        <v>10164</v>
      </c>
      <c r="N2532" s="1" t="s">
        <v>64</v>
      </c>
      <c r="O2532" s="1" t="s">
        <v>49</v>
      </c>
      <c r="P2532" s="1" t="s">
        <v>10165</v>
      </c>
    </row>
    <row r="2533" ht="14.25" customHeight="1">
      <c r="A2533" s="1" t="s">
        <v>10166</v>
      </c>
      <c r="B2533" s="1" t="s">
        <v>10167</v>
      </c>
      <c r="C2533" s="1" t="s">
        <v>53</v>
      </c>
      <c r="D2533" s="1">
        <v>99142.0</v>
      </c>
      <c r="E2533" s="1" t="s">
        <v>77</v>
      </c>
      <c r="F2533" s="1" t="s">
        <v>61</v>
      </c>
      <c r="G2533" s="1" t="s">
        <v>31</v>
      </c>
      <c r="H2533" s="2">
        <v>2717.0</v>
      </c>
      <c r="I2533" s="2">
        <v>3335.0</v>
      </c>
      <c r="J2533" s="1">
        <v>1985.0</v>
      </c>
      <c r="K2533" s="1">
        <v>96.0</v>
      </c>
      <c r="L2533" s="1" t="s">
        <v>62</v>
      </c>
      <c r="M2533" s="1" t="s">
        <v>10168</v>
      </c>
      <c r="N2533" s="1" t="s">
        <v>48</v>
      </c>
      <c r="O2533" s="1" t="s">
        <v>35</v>
      </c>
      <c r="P2533" s="1" t="s">
        <v>10169</v>
      </c>
    </row>
    <row r="2534" ht="14.25" customHeight="1">
      <c r="A2534" s="1" t="s">
        <v>10170</v>
      </c>
      <c r="B2534" s="1" t="s">
        <v>10171</v>
      </c>
      <c r="C2534" s="1" t="s">
        <v>53</v>
      </c>
      <c r="D2534" s="1">
        <v>34395.0</v>
      </c>
      <c r="E2534" s="1" t="s">
        <v>77</v>
      </c>
      <c r="F2534" s="1" t="s">
        <v>20</v>
      </c>
      <c r="G2534" s="1" t="s">
        <v>100</v>
      </c>
      <c r="H2534" s="2">
        <v>640.0</v>
      </c>
      <c r="I2534" s="2">
        <v>8485.0</v>
      </c>
      <c r="J2534" s="1">
        <v>1960.0</v>
      </c>
      <c r="K2534" s="1">
        <v>29.0</v>
      </c>
      <c r="L2534" s="1" t="s">
        <v>141</v>
      </c>
      <c r="M2534" s="1" t="s">
        <v>10172</v>
      </c>
      <c r="N2534" s="1" t="s">
        <v>48</v>
      </c>
      <c r="O2534" s="1" t="s">
        <v>49</v>
      </c>
      <c r="P2534" s="1" t="s">
        <v>10173</v>
      </c>
    </row>
    <row r="2535" ht="14.25" customHeight="1">
      <c r="A2535" s="1" t="s">
        <v>10174</v>
      </c>
      <c r="B2535" s="1" t="s">
        <v>10175</v>
      </c>
      <c r="C2535" s="1" t="s">
        <v>53</v>
      </c>
      <c r="D2535" s="1">
        <v>79755.0</v>
      </c>
      <c r="E2535" s="1" t="s">
        <v>19</v>
      </c>
      <c r="F2535" s="1" t="s">
        <v>61</v>
      </c>
      <c r="G2535" s="1" t="s">
        <v>100</v>
      </c>
      <c r="H2535" s="2">
        <v>2559.0</v>
      </c>
      <c r="I2535" s="2">
        <v>4137.0</v>
      </c>
      <c r="J2535" s="1">
        <v>1984.0</v>
      </c>
      <c r="K2535" s="1">
        <v>29.0</v>
      </c>
      <c r="L2535" s="1" t="s">
        <v>32</v>
      </c>
      <c r="M2535" s="1" t="s">
        <v>10176</v>
      </c>
      <c r="N2535" s="1" t="s">
        <v>24</v>
      </c>
      <c r="O2535" s="1" t="s">
        <v>25</v>
      </c>
      <c r="P2535" s="1" t="s">
        <v>10177</v>
      </c>
    </row>
    <row r="2536" ht="14.25" customHeight="1">
      <c r="A2536" s="1" t="s">
        <v>10178</v>
      </c>
      <c r="B2536" s="1" t="s">
        <v>10179</v>
      </c>
      <c r="C2536" s="1" t="s">
        <v>39</v>
      </c>
      <c r="D2536" s="1">
        <v>67956.0</v>
      </c>
      <c r="E2536" s="1" t="s">
        <v>30</v>
      </c>
      <c r="F2536" s="1" t="s">
        <v>46</v>
      </c>
      <c r="G2536" s="1" t="s">
        <v>31</v>
      </c>
      <c r="H2536" s="2">
        <v>1074.0</v>
      </c>
      <c r="I2536" s="2">
        <v>8697.0</v>
      </c>
      <c r="J2536" s="1">
        <v>1993.0</v>
      </c>
      <c r="K2536" s="1">
        <v>23.0</v>
      </c>
      <c r="L2536" s="1" t="s">
        <v>95</v>
      </c>
      <c r="M2536" s="1" t="s">
        <v>10180</v>
      </c>
      <c r="N2536" s="1" t="s">
        <v>48</v>
      </c>
      <c r="O2536" s="1" t="s">
        <v>49</v>
      </c>
      <c r="P2536" s="1" t="s">
        <v>10181</v>
      </c>
    </row>
    <row r="2537" ht="14.25" customHeight="1">
      <c r="A2537" s="1" t="s">
        <v>10182</v>
      </c>
      <c r="B2537" s="1" t="s">
        <v>10183</v>
      </c>
      <c r="C2537" s="1" t="s">
        <v>39</v>
      </c>
      <c r="D2537" s="1">
        <v>87399.0</v>
      </c>
      <c r="E2537" s="1" t="s">
        <v>40</v>
      </c>
      <c r="F2537" s="1" t="s">
        <v>61</v>
      </c>
      <c r="G2537" s="1" t="s">
        <v>21</v>
      </c>
      <c r="H2537" s="2">
        <v>1146.0</v>
      </c>
      <c r="I2537" s="2">
        <v>9817.0</v>
      </c>
      <c r="J2537" s="1">
        <v>2006.0</v>
      </c>
      <c r="K2537" s="1">
        <v>115.0</v>
      </c>
      <c r="L2537" s="1" t="s">
        <v>32</v>
      </c>
      <c r="M2537" s="1" t="s">
        <v>10184</v>
      </c>
      <c r="N2537" s="1" t="s">
        <v>48</v>
      </c>
      <c r="O2537" s="1" t="s">
        <v>49</v>
      </c>
      <c r="P2537" s="1" t="s">
        <v>10185</v>
      </c>
    </row>
    <row r="2538" ht="14.25" customHeight="1">
      <c r="A2538" s="1" t="s">
        <v>10186</v>
      </c>
      <c r="B2538" s="1" t="s">
        <v>10187</v>
      </c>
      <c r="C2538" s="1" t="s">
        <v>76</v>
      </c>
      <c r="D2538" s="1">
        <v>23668.0</v>
      </c>
      <c r="E2538" s="1" t="s">
        <v>40</v>
      </c>
      <c r="F2538" s="1" t="s">
        <v>41</v>
      </c>
      <c r="G2538" s="1" t="s">
        <v>31</v>
      </c>
      <c r="H2538" s="2">
        <v>2400.0</v>
      </c>
      <c r="I2538" s="2">
        <v>3558.0</v>
      </c>
      <c r="J2538" s="1">
        <v>2003.0</v>
      </c>
      <c r="K2538" s="1">
        <v>30.0</v>
      </c>
      <c r="L2538" s="1" t="s">
        <v>22</v>
      </c>
      <c r="M2538" s="1" t="s">
        <v>10188</v>
      </c>
      <c r="N2538" s="1" t="s">
        <v>64</v>
      </c>
      <c r="O2538" s="1" t="s">
        <v>25</v>
      </c>
      <c r="P2538" s="1" t="s">
        <v>10189</v>
      </c>
    </row>
    <row r="2539" ht="14.25" customHeight="1">
      <c r="A2539" s="1" t="s">
        <v>10190</v>
      </c>
      <c r="B2539" s="1" t="s">
        <v>10191</v>
      </c>
      <c r="C2539" s="1" t="s">
        <v>53</v>
      </c>
      <c r="D2539" s="1">
        <v>93832.0</v>
      </c>
      <c r="E2539" s="1" t="s">
        <v>60</v>
      </c>
      <c r="F2539" s="1" t="s">
        <v>46</v>
      </c>
      <c r="G2539" s="1" t="s">
        <v>55</v>
      </c>
      <c r="H2539" s="2">
        <v>3201.0</v>
      </c>
      <c r="I2539" s="2">
        <v>5870.0</v>
      </c>
      <c r="J2539" s="1">
        <v>2022.0</v>
      </c>
      <c r="K2539" s="1">
        <v>1.0</v>
      </c>
      <c r="L2539" s="1" t="s">
        <v>22</v>
      </c>
      <c r="M2539" s="1" t="s">
        <v>10192</v>
      </c>
      <c r="N2539" s="1" t="s">
        <v>64</v>
      </c>
      <c r="O2539" s="1" t="s">
        <v>25</v>
      </c>
      <c r="P2539" s="1" t="s">
        <v>10193</v>
      </c>
    </row>
    <row r="2540" ht="14.25" customHeight="1">
      <c r="A2540" s="1" t="s">
        <v>10194</v>
      </c>
      <c r="B2540" s="1" t="s">
        <v>10195</v>
      </c>
      <c r="C2540" s="1" t="s">
        <v>29</v>
      </c>
      <c r="D2540" s="1">
        <v>42083.0</v>
      </c>
      <c r="E2540" s="1" t="s">
        <v>19</v>
      </c>
      <c r="F2540" s="1" t="s">
        <v>61</v>
      </c>
      <c r="G2540" s="1" t="s">
        <v>55</v>
      </c>
      <c r="H2540" s="2">
        <v>877.0</v>
      </c>
      <c r="I2540" s="2">
        <v>5619.0</v>
      </c>
      <c r="J2540" s="1">
        <v>1981.0</v>
      </c>
      <c r="K2540" s="1">
        <v>42.0</v>
      </c>
      <c r="L2540" s="1" t="s">
        <v>95</v>
      </c>
      <c r="M2540" s="1" t="s">
        <v>10196</v>
      </c>
      <c r="N2540" s="1" t="s">
        <v>43</v>
      </c>
      <c r="O2540" s="1" t="s">
        <v>49</v>
      </c>
      <c r="P2540" s="1" t="s">
        <v>10197</v>
      </c>
    </row>
    <row r="2541" ht="14.25" customHeight="1">
      <c r="A2541" s="1" t="s">
        <v>10198</v>
      </c>
      <c r="B2541" s="1" t="s">
        <v>10199</v>
      </c>
      <c r="C2541" s="1" t="s">
        <v>76</v>
      </c>
      <c r="D2541" s="1">
        <v>58725.0</v>
      </c>
      <c r="E2541" s="1" t="s">
        <v>77</v>
      </c>
      <c r="F2541" s="1" t="s">
        <v>41</v>
      </c>
      <c r="G2541" s="1" t="s">
        <v>31</v>
      </c>
      <c r="H2541" s="2">
        <v>3795.0</v>
      </c>
      <c r="I2541" s="2">
        <v>1401.0</v>
      </c>
      <c r="J2541" s="1">
        <v>1977.0</v>
      </c>
      <c r="K2541" s="1">
        <v>90.0</v>
      </c>
      <c r="L2541" s="1" t="s">
        <v>62</v>
      </c>
      <c r="M2541" s="1" t="s">
        <v>10200</v>
      </c>
      <c r="N2541" s="1" t="s">
        <v>48</v>
      </c>
      <c r="O2541" s="1" t="s">
        <v>35</v>
      </c>
      <c r="P2541" s="1" t="s">
        <v>10201</v>
      </c>
    </row>
    <row r="2542" ht="14.25" customHeight="1">
      <c r="A2542" s="1" t="s">
        <v>10202</v>
      </c>
      <c r="B2542" s="1" t="s">
        <v>10203</v>
      </c>
      <c r="C2542" s="1" t="s">
        <v>29</v>
      </c>
      <c r="D2542" s="1">
        <v>49310.0</v>
      </c>
      <c r="E2542" s="1" t="s">
        <v>30</v>
      </c>
      <c r="F2542" s="1" t="s">
        <v>54</v>
      </c>
      <c r="G2542" s="1" t="s">
        <v>55</v>
      </c>
      <c r="H2542" s="2">
        <v>3940.0</v>
      </c>
      <c r="I2542" s="2">
        <v>7101.0</v>
      </c>
      <c r="J2542" s="1">
        <v>1950.0</v>
      </c>
      <c r="K2542" s="1">
        <v>58.0</v>
      </c>
      <c r="L2542" s="1" t="s">
        <v>62</v>
      </c>
      <c r="M2542" s="1" t="s">
        <v>10204</v>
      </c>
      <c r="N2542" s="1" t="s">
        <v>24</v>
      </c>
      <c r="O2542" s="1" t="s">
        <v>25</v>
      </c>
      <c r="P2542" s="1" t="s">
        <v>10205</v>
      </c>
    </row>
    <row r="2543" ht="14.25" customHeight="1">
      <c r="A2543" s="1" t="s">
        <v>10206</v>
      </c>
      <c r="B2543" s="1" t="s">
        <v>10207</v>
      </c>
      <c r="C2543" s="1" t="s">
        <v>29</v>
      </c>
      <c r="D2543" s="1">
        <v>11392.0</v>
      </c>
      <c r="E2543" s="1" t="s">
        <v>77</v>
      </c>
      <c r="F2543" s="1" t="s">
        <v>41</v>
      </c>
      <c r="G2543" s="1" t="s">
        <v>55</v>
      </c>
      <c r="H2543" s="2">
        <v>913.0</v>
      </c>
      <c r="I2543" s="2">
        <v>7685.0</v>
      </c>
      <c r="J2543" s="1">
        <v>2005.0</v>
      </c>
      <c r="K2543" s="1">
        <v>65.0</v>
      </c>
      <c r="L2543" s="1" t="s">
        <v>95</v>
      </c>
      <c r="M2543" s="1" t="s">
        <v>10208</v>
      </c>
      <c r="N2543" s="1" t="s">
        <v>48</v>
      </c>
      <c r="O2543" s="1" t="s">
        <v>35</v>
      </c>
      <c r="P2543" s="1" t="s">
        <v>10209</v>
      </c>
    </row>
    <row r="2544" ht="14.25" customHeight="1">
      <c r="A2544" s="1" t="s">
        <v>10210</v>
      </c>
      <c r="B2544" s="1" t="s">
        <v>10211</v>
      </c>
      <c r="C2544" s="1" t="s">
        <v>18</v>
      </c>
      <c r="D2544" s="1">
        <v>69770.0</v>
      </c>
      <c r="E2544" s="1" t="s">
        <v>60</v>
      </c>
      <c r="F2544" s="1" t="s">
        <v>94</v>
      </c>
      <c r="G2544" s="1" t="s">
        <v>100</v>
      </c>
      <c r="H2544" s="2">
        <v>3499.0</v>
      </c>
      <c r="I2544" s="2">
        <v>8456.0</v>
      </c>
      <c r="J2544" s="1">
        <v>1985.0</v>
      </c>
      <c r="K2544" s="1">
        <v>86.0</v>
      </c>
      <c r="L2544" s="1" t="s">
        <v>62</v>
      </c>
      <c r="M2544" s="1" t="s">
        <v>10212</v>
      </c>
      <c r="N2544" s="1" t="s">
        <v>43</v>
      </c>
      <c r="O2544" s="1" t="s">
        <v>25</v>
      </c>
      <c r="P2544" s="1" t="s">
        <v>10213</v>
      </c>
    </row>
    <row r="2545" ht="14.25" customHeight="1">
      <c r="A2545" s="1" t="s">
        <v>10214</v>
      </c>
      <c r="B2545" s="1" t="s">
        <v>10215</v>
      </c>
      <c r="C2545" s="1" t="s">
        <v>76</v>
      </c>
      <c r="D2545" s="1">
        <v>99109.0</v>
      </c>
      <c r="E2545" s="1" t="s">
        <v>40</v>
      </c>
      <c r="F2545" s="1" t="s">
        <v>20</v>
      </c>
      <c r="G2545" s="1" t="s">
        <v>31</v>
      </c>
      <c r="H2545" s="2">
        <v>1445.0</v>
      </c>
      <c r="I2545" s="2">
        <v>6017.0</v>
      </c>
      <c r="J2545" s="1">
        <v>1972.0</v>
      </c>
      <c r="K2545" s="1">
        <v>62.0</v>
      </c>
      <c r="L2545" s="1" t="s">
        <v>62</v>
      </c>
      <c r="M2545" s="1" t="s">
        <v>10216</v>
      </c>
      <c r="N2545" s="1" t="s">
        <v>24</v>
      </c>
      <c r="O2545" s="1" t="s">
        <v>35</v>
      </c>
      <c r="P2545" s="1" t="s">
        <v>10217</v>
      </c>
    </row>
    <row r="2546" ht="14.25" customHeight="1">
      <c r="A2546" s="1" t="s">
        <v>10218</v>
      </c>
      <c r="B2546" s="1" t="s">
        <v>10219</v>
      </c>
      <c r="C2546" s="1" t="s">
        <v>18</v>
      </c>
      <c r="D2546" s="1">
        <v>39273.0</v>
      </c>
      <c r="E2546" s="1" t="s">
        <v>19</v>
      </c>
      <c r="F2546" s="1" t="s">
        <v>46</v>
      </c>
      <c r="G2546" s="1" t="s">
        <v>55</v>
      </c>
      <c r="H2546" s="2">
        <v>838.0</v>
      </c>
      <c r="I2546" s="2">
        <v>8886.0</v>
      </c>
      <c r="J2546" s="1">
        <v>1974.0</v>
      </c>
      <c r="K2546" s="1">
        <v>33.0</v>
      </c>
      <c r="L2546" s="1" t="s">
        <v>141</v>
      </c>
      <c r="M2546" s="1" t="s">
        <v>10220</v>
      </c>
      <c r="N2546" s="1" t="s">
        <v>34</v>
      </c>
      <c r="O2546" s="1" t="s">
        <v>49</v>
      </c>
      <c r="P2546" s="1" t="s">
        <v>10221</v>
      </c>
    </row>
    <row r="2547" ht="14.25" customHeight="1">
      <c r="A2547" s="1" t="s">
        <v>10222</v>
      </c>
      <c r="B2547" s="1" t="s">
        <v>10223</v>
      </c>
      <c r="C2547" s="1" t="s">
        <v>53</v>
      </c>
      <c r="D2547" s="1">
        <v>82851.0</v>
      </c>
      <c r="E2547" s="1" t="s">
        <v>40</v>
      </c>
      <c r="F2547" s="1" t="s">
        <v>41</v>
      </c>
      <c r="G2547" s="1" t="s">
        <v>55</v>
      </c>
      <c r="H2547" s="2">
        <v>2680.0</v>
      </c>
      <c r="I2547" s="2">
        <v>9331.0</v>
      </c>
      <c r="J2547" s="1">
        <v>1951.0</v>
      </c>
      <c r="K2547" s="1">
        <v>99.0</v>
      </c>
      <c r="L2547" s="1" t="s">
        <v>141</v>
      </c>
      <c r="M2547" s="1" t="s">
        <v>10224</v>
      </c>
      <c r="N2547" s="1" t="s">
        <v>43</v>
      </c>
      <c r="O2547" s="1" t="s">
        <v>49</v>
      </c>
      <c r="P2547" s="1" t="s">
        <v>10225</v>
      </c>
    </row>
    <row r="2548" ht="14.25" customHeight="1">
      <c r="A2548" s="1" t="s">
        <v>10226</v>
      </c>
      <c r="B2548" s="1" t="s">
        <v>10227</v>
      </c>
      <c r="C2548" s="1" t="s">
        <v>76</v>
      </c>
      <c r="D2548" s="1">
        <v>94122.0</v>
      </c>
      <c r="E2548" s="1" t="s">
        <v>30</v>
      </c>
      <c r="F2548" s="1" t="s">
        <v>94</v>
      </c>
      <c r="G2548" s="1" t="s">
        <v>100</v>
      </c>
      <c r="H2548" s="2">
        <v>3812.0</v>
      </c>
      <c r="I2548" s="2">
        <v>4888.0</v>
      </c>
      <c r="J2548" s="1">
        <v>2021.0</v>
      </c>
      <c r="K2548" s="1">
        <v>84.0</v>
      </c>
      <c r="L2548" s="1" t="s">
        <v>141</v>
      </c>
      <c r="M2548" s="1" t="s">
        <v>10228</v>
      </c>
      <c r="N2548" s="1" t="s">
        <v>64</v>
      </c>
      <c r="O2548" s="1" t="s">
        <v>25</v>
      </c>
      <c r="P2548" s="1" t="s">
        <v>10229</v>
      </c>
    </row>
    <row r="2549" ht="14.25" customHeight="1">
      <c r="A2549" s="1" t="s">
        <v>10230</v>
      </c>
      <c r="B2549" s="1" t="s">
        <v>10231</v>
      </c>
      <c r="C2549" s="1" t="s">
        <v>76</v>
      </c>
      <c r="D2549" s="1">
        <v>37653.0</v>
      </c>
      <c r="E2549" s="1" t="s">
        <v>19</v>
      </c>
      <c r="F2549" s="1" t="s">
        <v>20</v>
      </c>
      <c r="G2549" s="1" t="s">
        <v>21</v>
      </c>
      <c r="H2549" s="2">
        <v>2725.0</v>
      </c>
      <c r="I2549" s="2">
        <v>8055.0</v>
      </c>
      <c r="J2549" s="1">
        <v>1996.0</v>
      </c>
      <c r="K2549" s="1">
        <v>16.0</v>
      </c>
      <c r="L2549" s="1" t="s">
        <v>95</v>
      </c>
      <c r="M2549" s="1" t="s">
        <v>10232</v>
      </c>
      <c r="N2549" s="1" t="s">
        <v>48</v>
      </c>
      <c r="O2549" s="1" t="s">
        <v>35</v>
      </c>
      <c r="P2549" s="1" t="s">
        <v>10233</v>
      </c>
    </row>
    <row r="2550" ht="14.25" customHeight="1">
      <c r="A2550" s="1" t="s">
        <v>10234</v>
      </c>
      <c r="B2550" s="1" t="s">
        <v>10235</v>
      </c>
      <c r="C2550" s="1" t="s">
        <v>29</v>
      </c>
      <c r="D2550" s="1">
        <v>72704.0</v>
      </c>
      <c r="E2550" s="1" t="s">
        <v>77</v>
      </c>
      <c r="F2550" s="1" t="s">
        <v>61</v>
      </c>
      <c r="G2550" s="1" t="s">
        <v>21</v>
      </c>
      <c r="H2550" s="2">
        <v>2527.0</v>
      </c>
      <c r="I2550" s="2">
        <v>8377.0</v>
      </c>
      <c r="J2550" s="1">
        <v>1973.0</v>
      </c>
      <c r="K2550" s="1">
        <v>32.0</v>
      </c>
      <c r="L2550" s="1" t="s">
        <v>141</v>
      </c>
      <c r="M2550" s="1" t="s">
        <v>10236</v>
      </c>
      <c r="N2550" s="1" t="s">
        <v>24</v>
      </c>
      <c r="O2550" s="1" t="s">
        <v>35</v>
      </c>
      <c r="P2550" s="1" t="s">
        <v>10237</v>
      </c>
    </row>
    <row r="2551" ht="14.25" customHeight="1">
      <c r="A2551" s="1" t="s">
        <v>10238</v>
      </c>
      <c r="B2551" s="1" t="s">
        <v>10239</v>
      </c>
      <c r="C2551" s="1" t="s">
        <v>76</v>
      </c>
      <c r="D2551" s="1">
        <v>75563.0</v>
      </c>
      <c r="E2551" s="1" t="s">
        <v>60</v>
      </c>
      <c r="F2551" s="1" t="s">
        <v>20</v>
      </c>
      <c r="G2551" s="1" t="s">
        <v>21</v>
      </c>
      <c r="H2551" s="2">
        <v>1767.0</v>
      </c>
      <c r="I2551" s="2">
        <v>7923.0</v>
      </c>
      <c r="J2551" s="1">
        <v>1988.0</v>
      </c>
      <c r="K2551" s="1">
        <v>34.0</v>
      </c>
      <c r="L2551" s="1" t="s">
        <v>22</v>
      </c>
      <c r="M2551" s="1" t="s">
        <v>10240</v>
      </c>
      <c r="N2551" s="1" t="s">
        <v>48</v>
      </c>
      <c r="O2551" s="1" t="s">
        <v>35</v>
      </c>
      <c r="P2551" s="1" t="s">
        <v>10241</v>
      </c>
    </row>
    <row r="2552" ht="14.25" customHeight="1">
      <c r="A2552" s="1" t="s">
        <v>10242</v>
      </c>
      <c r="B2552" s="1" t="s">
        <v>10243</v>
      </c>
      <c r="C2552" s="1" t="s">
        <v>18</v>
      </c>
      <c r="D2552" s="1">
        <v>51904.0</v>
      </c>
      <c r="E2552" s="1" t="s">
        <v>19</v>
      </c>
      <c r="F2552" s="1" t="s">
        <v>20</v>
      </c>
      <c r="G2552" s="1" t="s">
        <v>100</v>
      </c>
      <c r="H2552" s="2">
        <v>3603.0</v>
      </c>
      <c r="I2552" s="2">
        <v>7329.0</v>
      </c>
      <c r="J2552" s="1">
        <v>2008.0</v>
      </c>
      <c r="K2552" s="1">
        <v>7.0</v>
      </c>
      <c r="L2552" s="1" t="s">
        <v>141</v>
      </c>
      <c r="M2552" s="1" t="s">
        <v>10244</v>
      </c>
      <c r="N2552" s="1" t="s">
        <v>64</v>
      </c>
      <c r="O2552" s="1" t="s">
        <v>49</v>
      </c>
      <c r="P2552" s="1" t="s">
        <v>10245</v>
      </c>
    </row>
    <row r="2553" ht="14.25" customHeight="1">
      <c r="A2553" s="1" t="s">
        <v>10246</v>
      </c>
      <c r="B2553" s="1" t="s">
        <v>10247</v>
      </c>
      <c r="C2553" s="1" t="s">
        <v>39</v>
      </c>
      <c r="D2553" s="1">
        <v>34748.0</v>
      </c>
      <c r="E2553" s="1" t="s">
        <v>30</v>
      </c>
      <c r="F2553" s="1" t="s">
        <v>54</v>
      </c>
      <c r="G2553" s="1" t="s">
        <v>55</v>
      </c>
      <c r="H2553" s="2">
        <v>2087.0</v>
      </c>
      <c r="I2553" s="2">
        <v>6203.0</v>
      </c>
      <c r="J2553" s="1">
        <v>2023.0</v>
      </c>
      <c r="K2553" s="1">
        <v>108.0</v>
      </c>
      <c r="L2553" s="1" t="s">
        <v>22</v>
      </c>
      <c r="M2553" s="1" t="s">
        <v>10248</v>
      </c>
      <c r="N2553" s="1" t="s">
        <v>24</v>
      </c>
      <c r="O2553" s="1" t="s">
        <v>25</v>
      </c>
      <c r="P2553" s="1" t="s">
        <v>10249</v>
      </c>
    </row>
    <row r="2554" ht="14.25" customHeight="1">
      <c r="A2554" s="1" t="s">
        <v>10250</v>
      </c>
      <c r="B2554" s="1" t="s">
        <v>10251</v>
      </c>
      <c r="C2554" s="1" t="s">
        <v>76</v>
      </c>
      <c r="D2554" s="1">
        <v>12301.0</v>
      </c>
      <c r="E2554" s="1" t="s">
        <v>19</v>
      </c>
      <c r="F2554" s="1" t="s">
        <v>20</v>
      </c>
      <c r="G2554" s="1" t="s">
        <v>21</v>
      </c>
      <c r="H2554" s="2">
        <v>3449.0</v>
      </c>
      <c r="I2554" s="2">
        <v>1752.0</v>
      </c>
      <c r="J2554" s="1">
        <v>1968.0</v>
      </c>
      <c r="K2554" s="1">
        <v>78.0</v>
      </c>
      <c r="L2554" s="1" t="s">
        <v>22</v>
      </c>
      <c r="M2554" s="1" t="s">
        <v>10252</v>
      </c>
      <c r="N2554" s="1" t="s">
        <v>24</v>
      </c>
      <c r="O2554" s="1" t="s">
        <v>25</v>
      </c>
      <c r="P2554" s="1" t="s">
        <v>10253</v>
      </c>
    </row>
    <row r="2555" ht="14.25" customHeight="1">
      <c r="A2555" s="1" t="s">
        <v>10254</v>
      </c>
      <c r="B2555" s="1" t="s">
        <v>10255</v>
      </c>
      <c r="C2555" s="1" t="s">
        <v>18</v>
      </c>
      <c r="D2555" s="1">
        <v>42128.0</v>
      </c>
      <c r="E2555" s="1" t="s">
        <v>77</v>
      </c>
      <c r="F2555" s="1" t="s">
        <v>94</v>
      </c>
      <c r="G2555" s="1" t="s">
        <v>55</v>
      </c>
      <c r="H2555" s="2">
        <v>677.0</v>
      </c>
      <c r="I2555" s="2">
        <v>2720.0</v>
      </c>
      <c r="J2555" s="1">
        <v>1963.0</v>
      </c>
      <c r="K2555" s="1">
        <v>51.0</v>
      </c>
      <c r="L2555" s="1" t="s">
        <v>32</v>
      </c>
      <c r="M2555" s="1" t="s">
        <v>10256</v>
      </c>
      <c r="N2555" s="1" t="s">
        <v>24</v>
      </c>
      <c r="O2555" s="1" t="s">
        <v>25</v>
      </c>
      <c r="P2555" s="1" t="s">
        <v>10257</v>
      </c>
    </row>
    <row r="2556" ht="14.25" customHeight="1">
      <c r="A2556" s="1" t="s">
        <v>10258</v>
      </c>
      <c r="B2556" s="1" t="s">
        <v>10259</v>
      </c>
      <c r="C2556" s="1" t="s">
        <v>76</v>
      </c>
      <c r="D2556" s="1">
        <v>52335.0</v>
      </c>
      <c r="E2556" s="1" t="s">
        <v>60</v>
      </c>
      <c r="F2556" s="1" t="s">
        <v>54</v>
      </c>
      <c r="G2556" s="1" t="s">
        <v>55</v>
      </c>
      <c r="H2556" s="2">
        <v>2976.0</v>
      </c>
      <c r="I2556" s="2">
        <v>3492.0</v>
      </c>
      <c r="J2556" s="1">
        <v>2005.0</v>
      </c>
      <c r="K2556" s="1">
        <v>107.0</v>
      </c>
      <c r="L2556" s="1" t="s">
        <v>62</v>
      </c>
      <c r="M2556" s="1" t="s">
        <v>10260</v>
      </c>
      <c r="N2556" s="1" t="s">
        <v>34</v>
      </c>
      <c r="O2556" s="1" t="s">
        <v>25</v>
      </c>
      <c r="P2556" s="1" t="s">
        <v>10261</v>
      </c>
    </row>
    <row r="2557" ht="14.25" customHeight="1">
      <c r="A2557" s="1" t="s">
        <v>10262</v>
      </c>
      <c r="B2557" s="1" t="s">
        <v>10263</v>
      </c>
      <c r="C2557" s="1" t="s">
        <v>18</v>
      </c>
      <c r="D2557" s="1">
        <v>39144.0</v>
      </c>
      <c r="E2557" s="1" t="s">
        <v>19</v>
      </c>
      <c r="F2557" s="1" t="s">
        <v>41</v>
      </c>
      <c r="G2557" s="1" t="s">
        <v>21</v>
      </c>
      <c r="H2557" s="2">
        <v>1597.0</v>
      </c>
      <c r="I2557" s="2">
        <v>2002.0</v>
      </c>
      <c r="J2557" s="1">
        <v>1994.0</v>
      </c>
      <c r="K2557" s="1">
        <v>79.0</v>
      </c>
      <c r="L2557" s="1" t="s">
        <v>62</v>
      </c>
      <c r="M2557" s="1" t="s">
        <v>10264</v>
      </c>
      <c r="N2557" s="1" t="s">
        <v>43</v>
      </c>
      <c r="O2557" s="1" t="s">
        <v>25</v>
      </c>
      <c r="P2557" s="1" t="s">
        <v>10265</v>
      </c>
    </row>
    <row r="2558" ht="14.25" customHeight="1">
      <c r="A2558" s="1" t="s">
        <v>10266</v>
      </c>
      <c r="B2558" s="1" t="s">
        <v>10267</v>
      </c>
      <c r="C2558" s="1" t="s">
        <v>76</v>
      </c>
      <c r="D2558" s="1">
        <v>77910.0</v>
      </c>
      <c r="E2558" s="1" t="s">
        <v>30</v>
      </c>
      <c r="F2558" s="1" t="s">
        <v>20</v>
      </c>
      <c r="G2558" s="1" t="s">
        <v>21</v>
      </c>
      <c r="H2558" s="2">
        <v>1465.0</v>
      </c>
      <c r="I2558" s="2">
        <v>2488.0</v>
      </c>
      <c r="J2558" s="1">
        <v>2023.0</v>
      </c>
      <c r="K2558" s="1">
        <v>77.0</v>
      </c>
      <c r="L2558" s="1" t="s">
        <v>95</v>
      </c>
      <c r="M2558" s="1" t="s">
        <v>10268</v>
      </c>
      <c r="N2558" s="1" t="s">
        <v>43</v>
      </c>
      <c r="O2558" s="1" t="s">
        <v>35</v>
      </c>
      <c r="P2558" s="1" t="s">
        <v>10269</v>
      </c>
    </row>
    <row r="2559" ht="14.25" customHeight="1">
      <c r="A2559" s="1" t="s">
        <v>10270</v>
      </c>
      <c r="B2559" s="1" t="s">
        <v>10271</v>
      </c>
      <c r="C2559" s="1" t="s">
        <v>18</v>
      </c>
      <c r="D2559" s="1">
        <v>89949.0</v>
      </c>
      <c r="E2559" s="1" t="s">
        <v>40</v>
      </c>
      <c r="F2559" s="1" t="s">
        <v>46</v>
      </c>
      <c r="G2559" s="1" t="s">
        <v>31</v>
      </c>
      <c r="H2559" s="2">
        <v>1787.0</v>
      </c>
      <c r="I2559" s="2">
        <v>3019.0</v>
      </c>
      <c r="J2559" s="1">
        <v>1988.0</v>
      </c>
      <c r="K2559" s="1">
        <v>18.0</v>
      </c>
      <c r="L2559" s="1" t="s">
        <v>95</v>
      </c>
      <c r="M2559" s="1" t="s">
        <v>10272</v>
      </c>
      <c r="N2559" s="1" t="s">
        <v>43</v>
      </c>
      <c r="O2559" s="1" t="s">
        <v>49</v>
      </c>
      <c r="P2559" s="1" t="s">
        <v>10273</v>
      </c>
    </row>
    <row r="2560" ht="14.25" customHeight="1">
      <c r="A2560" s="1" t="s">
        <v>10274</v>
      </c>
      <c r="B2560" s="1" t="s">
        <v>10275</v>
      </c>
      <c r="C2560" s="1" t="s">
        <v>39</v>
      </c>
      <c r="D2560" s="1">
        <v>70846.0</v>
      </c>
      <c r="E2560" s="1" t="s">
        <v>40</v>
      </c>
      <c r="F2560" s="1" t="s">
        <v>61</v>
      </c>
      <c r="G2560" s="1" t="s">
        <v>55</v>
      </c>
      <c r="H2560" s="2">
        <v>1085.0</v>
      </c>
      <c r="I2560" s="2">
        <v>9452.0</v>
      </c>
      <c r="J2560" s="1">
        <v>2017.0</v>
      </c>
      <c r="K2560" s="1">
        <v>100.0</v>
      </c>
      <c r="L2560" s="1" t="s">
        <v>22</v>
      </c>
      <c r="M2560" s="1" t="s">
        <v>10276</v>
      </c>
      <c r="N2560" s="1" t="s">
        <v>43</v>
      </c>
      <c r="O2560" s="1" t="s">
        <v>35</v>
      </c>
      <c r="P2560" s="1" t="s">
        <v>10277</v>
      </c>
    </row>
    <row r="2561" ht="14.25" customHeight="1">
      <c r="A2561" s="1" t="s">
        <v>10278</v>
      </c>
      <c r="B2561" s="1" t="s">
        <v>10279</v>
      </c>
      <c r="C2561" s="1" t="s">
        <v>29</v>
      </c>
      <c r="D2561" s="1">
        <v>71049.0</v>
      </c>
      <c r="E2561" s="1" t="s">
        <v>77</v>
      </c>
      <c r="F2561" s="1" t="s">
        <v>20</v>
      </c>
      <c r="G2561" s="1" t="s">
        <v>21</v>
      </c>
      <c r="H2561" s="2">
        <v>1686.0</v>
      </c>
      <c r="I2561" s="2">
        <v>2945.0</v>
      </c>
      <c r="J2561" s="1">
        <v>1984.0</v>
      </c>
      <c r="K2561" s="1">
        <v>85.0</v>
      </c>
      <c r="L2561" s="1" t="s">
        <v>22</v>
      </c>
      <c r="M2561" s="1" t="s">
        <v>10280</v>
      </c>
      <c r="N2561" s="1" t="s">
        <v>43</v>
      </c>
      <c r="O2561" s="1" t="s">
        <v>25</v>
      </c>
      <c r="P2561" s="1" t="s">
        <v>10281</v>
      </c>
    </row>
    <row r="2562" ht="14.25" customHeight="1">
      <c r="A2562" s="1" t="s">
        <v>10282</v>
      </c>
      <c r="B2562" s="1" t="s">
        <v>10283</v>
      </c>
      <c r="C2562" s="1" t="s">
        <v>39</v>
      </c>
      <c r="D2562" s="1">
        <v>15971.0</v>
      </c>
      <c r="E2562" s="1" t="s">
        <v>77</v>
      </c>
      <c r="F2562" s="1" t="s">
        <v>54</v>
      </c>
      <c r="G2562" s="1" t="s">
        <v>55</v>
      </c>
      <c r="H2562" s="2">
        <v>797.0</v>
      </c>
      <c r="I2562" s="2">
        <v>4774.0</v>
      </c>
      <c r="J2562" s="1">
        <v>1953.0</v>
      </c>
      <c r="K2562" s="1">
        <v>49.0</v>
      </c>
      <c r="L2562" s="1" t="s">
        <v>22</v>
      </c>
      <c r="M2562" s="1" t="s">
        <v>10284</v>
      </c>
      <c r="N2562" s="1" t="s">
        <v>24</v>
      </c>
      <c r="O2562" s="1" t="s">
        <v>35</v>
      </c>
      <c r="P2562" s="1" t="s">
        <v>10285</v>
      </c>
    </row>
    <row r="2563" ht="14.25" customHeight="1">
      <c r="A2563" s="1" t="s">
        <v>10286</v>
      </c>
      <c r="B2563" s="1" t="s">
        <v>10287</v>
      </c>
      <c r="C2563" s="1" t="s">
        <v>29</v>
      </c>
      <c r="D2563" s="1">
        <v>61189.0</v>
      </c>
      <c r="E2563" s="1" t="s">
        <v>77</v>
      </c>
      <c r="F2563" s="1" t="s">
        <v>94</v>
      </c>
      <c r="G2563" s="1" t="s">
        <v>31</v>
      </c>
      <c r="H2563" s="2">
        <v>3198.0</v>
      </c>
      <c r="I2563" s="2">
        <v>6731.0</v>
      </c>
      <c r="J2563" s="1">
        <v>2016.0</v>
      </c>
      <c r="K2563" s="1">
        <v>83.0</v>
      </c>
      <c r="L2563" s="1" t="s">
        <v>22</v>
      </c>
      <c r="M2563" s="1" t="s">
        <v>10288</v>
      </c>
      <c r="N2563" s="1" t="s">
        <v>24</v>
      </c>
      <c r="O2563" s="1" t="s">
        <v>49</v>
      </c>
      <c r="P2563" s="1" t="s">
        <v>10289</v>
      </c>
    </row>
    <row r="2564" ht="14.25" customHeight="1">
      <c r="A2564" s="1" t="s">
        <v>10290</v>
      </c>
      <c r="B2564" s="1" t="s">
        <v>10291</v>
      </c>
      <c r="C2564" s="1" t="s">
        <v>29</v>
      </c>
      <c r="D2564" s="1">
        <v>87047.0</v>
      </c>
      <c r="E2564" s="1" t="s">
        <v>40</v>
      </c>
      <c r="F2564" s="1" t="s">
        <v>41</v>
      </c>
      <c r="G2564" s="1" t="s">
        <v>55</v>
      </c>
      <c r="H2564" s="2">
        <v>3923.0</v>
      </c>
      <c r="I2564" s="2">
        <v>7174.0</v>
      </c>
      <c r="J2564" s="1">
        <v>1985.0</v>
      </c>
      <c r="K2564" s="1">
        <v>29.0</v>
      </c>
      <c r="L2564" s="1" t="s">
        <v>32</v>
      </c>
      <c r="M2564" s="1" t="s">
        <v>10292</v>
      </c>
      <c r="N2564" s="1" t="s">
        <v>43</v>
      </c>
      <c r="O2564" s="1" t="s">
        <v>35</v>
      </c>
      <c r="P2564" s="1" t="s">
        <v>10293</v>
      </c>
    </row>
    <row r="2565" ht="14.25" customHeight="1">
      <c r="A2565" s="1" t="s">
        <v>10294</v>
      </c>
      <c r="B2565" s="1" t="s">
        <v>10295</v>
      </c>
      <c r="C2565" s="1" t="s">
        <v>76</v>
      </c>
      <c r="D2565" s="1">
        <v>11212.0</v>
      </c>
      <c r="E2565" s="1" t="s">
        <v>60</v>
      </c>
      <c r="F2565" s="1" t="s">
        <v>61</v>
      </c>
      <c r="G2565" s="1" t="s">
        <v>31</v>
      </c>
      <c r="H2565" s="2">
        <v>3480.0</v>
      </c>
      <c r="I2565" s="2">
        <v>8203.0</v>
      </c>
      <c r="J2565" s="1">
        <v>1969.0</v>
      </c>
      <c r="K2565" s="1">
        <v>47.0</v>
      </c>
      <c r="L2565" s="1" t="s">
        <v>95</v>
      </c>
      <c r="M2565" s="1" t="s">
        <v>10296</v>
      </c>
      <c r="N2565" s="1" t="s">
        <v>43</v>
      </c>
      <c r="O2565" s="1" t="s">
        <v>49</v>
      </c>
      <c r="P2565" s="1" t="s">
        <v>10297</v>
      </c>
    </row>
    <row r="2566" ht="14.25" customHeight="1">
      <c r="A2566" s="1" t="s">
        <v>10298</v>
      </c>
      <c r="B2566" s="1" t="s">
        <v>10299</v>
      </c>
      <c r="C2566" s="1" t="s">
        <v>29</v>
      </c>
      <c r="D2566" s="1">
        <v>85872.0</v>
      </c>
      <c r="E2566" s="1" t="s">
        <v>40</v>
      </c>
      <c r="F2566" s="1" t="s">
        <v>20</v>
      </c>
      <c r="G2566" s="1" t="s">
        <v>21</v>
      </c>
      <c r="H2566" s="2">
        <v>1885.0</v>
      </c>
      <c r="I2566" s="2">
        <v>4141.0</v>
      </c>
      <c r="J2566" s="1">
        <v>2021.0</v>
      </c>
      <c r="K2566" s="1">
        <v>19.0</v>
      </c>
      <c r="L2566" s="1" t="s">
        <v>32</v>
      </c>
      <c r="M2566" s="1" t="s">
        <v>10300</v>
      </c>
      <c r="N2566" s="1" t="s">
        <v>64</v>
      </c>
      <c r="O2566" s="1" t="s">
        <v>25</v>
      </c>
      <c r="P2566" s="1" t="s">
        <v>10301</v>
      </c>
    </row>
    <row r="2567" ht="14.25" customHeight="1">
      <c r="A2567" s="1" t="s">
        <v>10302</v>
      </c>
      <c r="B2567" s="1" t="s">
        <v>10303</v>
      </c>
      <c r="C2567" s="1" t="s">
        <v>29</v>
      </c>
      <c r="D2567" s="1">
        <v>82252.0</v>
      </c>
      <c r="E2567" s="1" t="s">
        <v>77</v>
      </c>
      <c r="F2567" s="1" t="s">
        <v>41</v>
      </c>
      <c r="G2567" s="1" t="s">
        <v>100</v>
      </c>
      <c r="H2567" s="2">
        <v>2171.0</v>
      </c>
      <c r="I2567" s="2">
        <v>1619.0</v>
      </c>
      <c r="J2567" s="1">
        <v>2020.0</v>
      </c>
      <c r="K2567" s="1">
        <v>82.0</v>
      </c>
      <c r="L2567" s="1" t="s">
        <v>22</v>
      </c>
      <c r="M2567" s="1" t="s">
        <v>10304</v>
      </c>
      <c r="N2567" s="1" t="s">
        <v>24</v>
      </c>
      <c r="O2567" s="1" t="s">
        <v>35</v>
      </c>
      <c r="P2567" s="1" t="s">
        <v>10305</v>
      </c>
    </row>
    <row r="2568" ht="14.25" customHeight="1">
      <c r="A2568" s="1" t="s">
        <v>10306</v>
      </c>
      <c r="B2568" s="1" t="s">
        <v>10307</v>
      </c>
      <c r="C2568" s="1" t="s">
        <v>18</v>
      </c>
      <c r="D2568" s="1">
        <v>81965.0</v>
      </c>
      <c r="E2568" s="1" t="s">
        <v>19</v>
      </c>
      <c r="F2568" s="1" t="s">
        <v>41</v>
      </c>
      <c r="G2568" s="1" t="s">
        <v>55</v>
      </c>
      <c r="H2568" s="2">
        <v>3954.0</v>
      </c>
      <c r="I2568" s="2">
        <v>4382.0</v>
      </c>
      <c r="J2568" s="1">
        <v>2012.0</v>
      </c>
      <c r="K2568" s="1">
        <v>27.0</v>
      </c>
      <c r="L2568" s="1" t="s">
        <v>95</v>
      </c>
      <c r="M2568" s="1" t="s">
        <v>10308</v>
      </c>
      <c r="N2568" s="1" t="s">
        <v>34</v>
      </c>
      <c r="O2568" s="1" t="s">
        <v>25</v>
      </c>
      <c r="P2568" s="1" t="s">
        <v>10309</v>
      </c>
    </row>
    <row r="2569" ht="14.25" customHeight="1">
      <c r="A2569" s="1" t="s">
        <v>10310</v>
      </c>
      <c r="B2569" s="1" t="s">
        <v>10311</v>
      </c>
      <c r="C2569" s="1" t="s">
        <v>76</v>
      </c>
      <c r="D2569" s="1">
        <v>69022.0</v>
      </c>
      <c r="E2569" s="1" t="s">
        <v>40</v>
      </c>
      <c r="F2569" s="1" t="s">
        <v>46</v>
      </c>
      <c r="G2569" s="1" t="s">
        <v>31</v>
      </c>
      <c r="H2569" s="2">
        <v>1839.0</v>
      </c>
      <c r="I2569" s="2">
        <v>3256.0</v>
      </c>
      <c r="J2569" s="1">
        <v>1953.0</v>
      </c>
      <c r="K2569" s="1">
        <v>82.0</v>
      </c>
      <c r="L2569" s="1" t="s">
        <v>32</v>
      </c>
      <c r="M2569" s="1" t="s">
        <v>10312</v>
      </c>
      <c r="N2569" s="1" t="s">
        <v>43</v>
      </c>
      <c r="O2569" s="1" t="s">
        <v>49</v>
      </c>
      <c r="P2569" s="1" t="s">
        <v>10313</v>
      </c>
    </row>
    <row r="2570" ht="14.25" customHeight="1">
      <c r="A2570" s="1" t="s">
        <v>10314</v>
      </c>
      <c r="B2570" s="1" t="s">
        <v>10315</v>
      </c>
      <c r="C2570" s="1" t="s">
        <v>53</v>
      </c>
      <c r="D2570" s="1">
        <v>25354.0</v>
      </c>
      <c r="E2570" s="1" t="s">
        <v>19</v>
      </c>
      <c r="F2570" s="1" t="s">
        <v>61</v>
      </c>
      <c r="G2570" s="1" t="s">
        <v>31</v>
      </c>
      <c r="H2570" s="2">
        <v>1588.0</v>
      </c>
      <c r="I2570" s="2">
        <v>5042.0</v>
      </c>
      <c r="J2570" s="1">
        <v>1953.0</v>
      </c>
      <c r="K2570" s="1">
        <v>63.0</v>
      </c>
      <c r="L2570" s="1" t="s">
        <v>141</v>
      </c>
      <c r="M2570" s="1" t="s">
        <v>10316</v>
      </c>
      <c r="N2570" s="1" t="s">
        <v>34</v>
      </c>
      <c r="O2570" s="1" t="s">
        <v>49</v>
      </c>
      <c r="P2570" s="1" t="s">
        <v>10317</v>
      </c>
    </row>
    <row r="2571" ht="14.25" customHeight="1">
      <c r="A2571" s="1" t="s">
        <v>10318</v>
      </c>
      <c r="B2571" s="1" t="s">
        <v>10319</v>
      </c>
      <c r="C2571" s="1" t="s">
        <v>18</v>
      </c>
      <c r="D2571" s="1">
        <v>68572.0</v>
      </c>
      <c r="E2571" s="1" t="s">
        <v>30</v>
      </c>
      <c r="F2571" s="1" t="s">
        <v>94</v>
      </c>
      <c r="G2571" s="1" t="s">
        <v>55</v>
      </c>
      <c r="H2571" s="2">
        <v>1421.0</v>
      </c>
      <c r="I2571" s="2">
        <v>9537.0</v>
      </c>
      <c r="J2571" s="1">
        <v>1989.0</v>
      </c>
      <c r="K2571" s="1">
        <v>114.0</v>
      </c>
      <c r="L2571" s="1" t="s">
        <v>22</v>
      </c>
      <c r="M2571" s="1" t="s">
        <v>10320</v>
      </c>
      <c r="N2571" s="1" t="s">
        <v>48</v>
      </c>
      <c r="O2571" s="1" t="s">
        <v>35</v>
      </c>
      <c r="P2571" s="1" t="s">
        <v>10321</v>
      </c>
    </row>
    <row r="2572" ht="14.25" customHeight="1">
      <c r="A2572" s="1" t="s">
        <v>10322</v>
      </c>
      <c r="B2572" s="1" t="s">
        <v>10323</v>
      </c>
      <c r="C2572" s="1" t="s">
        <v>29</v>
      </c>
      <c r="D2572" s="1">
        <v>39619.0</v>
      </c>
      <c r="E2572" s="1" t="s">
        <v>40</v>
      </c>
      <c r="F2572" s="1" t="s">
        <v>54</v>
      </c>
      <c r="G2572" s="1" t="s">
        <v>100</v>
      </c>
      <c r="H2572" s="2">
        <v>1824.0</v>
      </c>
      <c r="I2572" s="2">
        <v>2391.0</v>
      </c>
      <c r="J2572" s="1">
        <v>1970.0</v>
      </c>
      <c r="K2572" s="1">
        <v>14.0</v>
      </c>
      <c r="L2572" s="1" t="s">
        <v>32</v>
      </c>
      <c r="M2572" s="1" t="s">
        <v>10324</v>
      </c>
      <c r="N2572" s="1" t="s">
        <v>64</v>
      </c>
      <c r="O2572" s="1" t="s">
        <v>35</v>
      </c>
      <c r="P2572" s="1" t="s">
        <v>10325</v>
      </c>
    </row>
    <row r="2573" ht="14.25" customHeight="1">
      <c r="A2573" s="1" t="s">
        <v>10326</v>
      </c>
      <c r="B2573" s="1" t="s">
        <v>10327</v>
      </c>
      <c r="C2573" s="1" t="s">
        <v>76</v>
      </c>
      <c r="D2573" s="1">
        <v>40214.0</v>
      </c>
      <c r="E2573" s="1" t="s">
        <v>40</v>
      </c>
      <c r="F2573" s="1" t="s">
        <v>41</v>
      </c>
      <c r="G2573" s="1" t="s">
        <v>21</v>
      </c>
      <c r="H2573" s="2">
        <v>1991.0</v>
      </c>
      <c r="I2573" s="2">
        <v>8115.0</v>
      </c>
      <c r="J2573" s="1">
        <v>1982.0</v>
      </c>
      <c r="K2573" s="1">
        <v>54.0</v>
      </c>
      <c r="L2573" s="1" t="s">
        <v>141</v>
      </c>
      <c r="M2573" s="1" t="s">
        <v>10328</v>
      </c>
      <c r="N2573" s="1" t="s">
        <v>64</v>
      </c>
      <c r="O2573" s="1" t="s">
        <v>25</v>
      </c>
      <c r="P2573" s="1" t="s">
        <v>10329</v>
      </c>
    </row>
    <row r="2574" ht="14.25" customHeight="1">
      <c r="A2574" s="1" t="s">
        <v>10330</v>
      </c>
      <c r="B2574" s="1" t="s">
        <v>10331</v>
      </c>
      <c r="C2574" s="1" t="s">
        <v>29</v>
      </c>
      <c r="D2574" s="1">
        <v>87777.0</v>
      </c>
      <c r="E2574" s="1" t="s">
        <v>30</v>
      </c>
      <c r="F2574" s="1" t="s">
        <v>54</v>
      </c>
      <c r="G2574" s="1" t="s">
        <v>100</v>
      </c>
      <c r="H2574" s="2">
        <v>3737.0</v>
      </c>
      <c r="I2574" s="2">
        <v>9711.0</v>
      </c>
      <c r="J2574" s="1">
        <v>1968.0</v>
      </c>
      <c r="K2574" s="1">
        <v>109.0</v>
      </c>
      <c r="L2574" s="1" t="s">
        <v>22</v>
      </c>
      <c r="M2574" s="1" t="s">
        <v>10332</v>
      </c>
      <c r="N2574" s="1" t="s">
        <v>24</v>
      </c>
      <c r="O2574" s="1" t="s">
        <v>35</v>
      </c>
      <c r="P2574" s="1" t="s">
        <v>10333</v>
      </c>
    </row>
    <row r="2575" ht="14.25" customHeight="1">
      <c r="A2575" s="1" t="s">
        <v>10334</v>
      </c>
      <c r="B2575" s="1" t="s">
        <v>10335</v>
      </c>
      <c r="C2575" s="1" t="s">
        <v>53</v>
      </c>
      <c r="D2575" s="1">
        <v>49498.0</v>
      </c>
      <c r="E2575" s="1" t="s">
        <v>30</v>
      </c>
      <c r="F2575" s="1" t="s">
        <v>94</v>
      </c>
      <c r="G2575" s="1" t="s">
        <v>21</v>
      </c>
      <c r="H2575" s="2">
        <v>3388.0</v>
      </c>
      <c r="I2575" s="2">
        <v>4205.0</v>
      </c>
      <c r="J2575" s="1">
        <v>2007.0</v>
      </c>
      <c r="K2575" s="1">
        <v>3.0</v>
      </c>
      <c r="L2575" s="1" t="s">
        <v>32</v>
      </c>
      <c r="M2575" s="1" t="s">
        <v>10336</v>
      </c>
      <c r="N2575" s="1" t="s">
        <v>34</v>
      </c>
      <c r="O2575" s="1" t="s">
        <v>35</v>
      </c>
      <c r="P2575" s="1" t="s">
        <v>10337</v>
      </c>
    </row>
    <row r="2576" ht="14.25" customHeight="1">
      <c r="A2576" s="1" t="s">
        <v>10338</v>
      </c>
      <c r="B2576" s="1" t="s">
        <v>10339</v>
      </c>
      <c r="C2576" s="1" t="s">
        <v>53</v>
      </c>
      <c r="D2576" s="1">
        <v>78041.0</v>
      </c>
      <c r="E2576" s="1" t="s">
        <v>19</v>
      </c>
      <c r="F2576" s="1" t="s">
        <v>94</v>
      </c>
      <c r="G2576" s="1" t="s">
        <v>31</v>
      </c>
      <c r="H2576" s="2">
        <v>1847.0</v>
      </c>
      <c r="I2576" s="2">
        <v>6979.0</v>
      </c>
      <c r="J2576" s="1">
        <v>2011.0</v>
      </c>
      <c r="K2576" s="1">
        <v>119.0</v>
      </c>
      <c r="L2576" s="1" t="s">
        <v>141</v>
      </c>
      <c r="M2576" s="1" t="s">
        <v>10340</v>
      </c>
      <c r="N2576" s="1" t="s">
        <v>43</v>
      </c>
      <c r="O2576" s="1" t="s">
        <v>25</v>
      </c>
      <c r="P2576" s="1" t="s">
        <v>10341</v>
      </c>
    </row>
    <row r="2577" ht="14.25" customHeight="1">
      <c r="A2577" s="1" t="s">
        <v>10342</v>
      </c>
      <c r="B2577" s="1" t="s">
        <v>10343</v>
      </c>
      <c r="C2577" s="1" t="s">
        <v>18</v>
      </c>
      <c r="D2577" s="1">
        <v>68659.0</v>
      </c>
      <c r="E2577" s="1" t="s">
        <v>40</v>
      </c>
      <c r="F2577" s="1" t="s">
        <v>61</v>
      </c>
      <c r="G2577" s="1" t="s">
        <v>55</v>
      </c>
      <c r="H2577" s="2">
        <v>2940.0</v>
      </c>
      <c r="I2577" s="2">
        <v>6911.0</v>
      </c>
      <c r="J2577" s="1">
        <v>1995.0</v>
      </c>
      <c r="K2577" s="1">
        <v>98.0</v>
      </c>
      <c r="L2577" s="1" t="s">
        <v>141</v>
      </c>
      <c r="M2577" s="1" t="s">
        <v>10344</v>
      </c>
      <c r="N2577" s="1" t="s">
        <v>24</v>
      </c>
      <c r="O2577" s="1" t="s">
        <v>49</v>
      </c>
      <c r="P2577" s="1" t="s">
        <v>10345</v>
      </c>
    </row>
    <row r="2578" ht="14.25" customHeight="1">
      <c r="A2578" s="1" t="s">
        <v>10346</v>
      </c>
      <c r="B2578" s="1" t="s">
        <v>10347</v>
      </c>
      <c r="C2578" s="1" t="s">
        <v>53</v>
      </c>
      <c r="D2578" s="1">
        <v>21255.0</v>
      </c>
      <c r="E2578" s="1" t="s">
        <v>40</v>
      </c>
      <c r="F2578" s="1" t="s">
        <v>41</v>
      </c>
      <c r="G2578" s="1" t="s">
        <v>21</v>
      </c>
      <c r="H2578" s="2">
        <v>1130.0</v>
      </c>
      <c r="I2578" s="2">
        <v>3933.0</v>
      </c>
      <c r="J2578" s="1">
        <v>1987.0</v>
      </c>
      <c r="K2578" s="1">
        <v>83.0</v>
      </c>
      <c r="L2578" s="1" t="s">
        <v>22</v>
      </c>
      <c r="M2578" s="1" t="s">
        <v>10348</v>
      </c>
      <c r="N2578" s="1" t="s">
        <v>64</v>
      </c>
      <c r="O2578" s="1" t="s">
        <v>35</v>
      </c>
      <c r="P2578" s="1" t="s">
        <v>10349</v>
      </c>
    </row>
    <row r="2579" ht="14.25" customHeight="1">
      <c r="A2579" s="1" t="s">
        <v>10350</v>
      </c>
      <c r="B2579" s="1" t="s">
        <v>10351</v>
      </c>
      <c r="C2579" s="1" t="s">
        <v>76</v>
      </c>
      <c r="D2579" s="1">
        <v>54069.0</v>
      </c>
      <c r="E2579" s="1" t="s">
        <v>60</v>
      </c>
      <c r="F2579" s="1" t="s">
        <v>41</v>
      </c>
      <c r="G2579" s="1" t="s">
        <v>55</v>
      </c>
      <c r="H2579" s="2">
        <v>2057.0</v>
      </c>
      <c r="I2579" s="2">
        <v>4026.0</v>
      </c>
      <c r="J2579" s="1">
        <v>1955.0</v>
      </c>
      <c r="K2579" s="1">
        <v>35.0</v>
      </c>
      <c r="L2579" s="1" t="s">
        <v>141</v>
      </c>
      <c r="M2579" s="1" t="s">
        <v>10352</v>
      </c>
      <c r="N2579" s="1" t="s">
        <v>64</v>
      </c>
      <c r="O2579" s="1" t="s">
        <v>25</v>
      </c>
      <c r="P2579" s="1" t="s">
        <v>10353</v>
      </c>
    </row>
    <row r="2580" ht="14.25" customHeight="1">
      <c r="A2580" s="1" t="s">
        <v>10354</v>
      </c>
      <c r="B2580" s="1" t="s">
        <v>10355</v>
      </c>
      <c r="C2580" s="1" t="s">
        <v>18</v>
      </c>
      <c r="D2580" s="1">
        <v>15359.0</v>
      </c>
      <c r="E2580" s="1" t="s">
        <v>30</v>
      </c>
      <c r="F2580" s="1" t="s">
        <v>41</v>
      </c>
      <c r="G2580" s="1" t="s">
        <v>21</v>
      </c>
      <c r="H2580" s="2">
        <v>2376.0</v>
      </c>
      <c r="I2580" s="2">
        <v>1194.0</v>
      </c>
      <c r="J2580" s="1">
        <v>1984.0</v>
      </c>
      <c r="K2580" s="1">
        <v>113.0</v>
      </c>
      <c r="L2580" s="1" t="s">
        <v>141</v>
      </c>
      <c r="M2580" s="1" t="s">
        <v>10356</v>
      </c>
      <c r="N2580" s="1" t="s">
        <v>64</v>
      </c>
      <c r="O2580" s="1" t="s">
        <v>35</v>
      </c>
      <c r="P2580" s="1" t="s">
        <v>10357</v>
      </c>
    </row>
    <row r="2581" ht="14.25" customHeight="1">
      <c r="A2581" s="1" t="s">
        <v>10358</v>
      </c>
      <c r="B2581" s="1" t="s">
        <v>10359</v>
      </c>
      <c r="C2581" s="1" t="s">
        <v>29</v>
      </c>
      <c r="D2581" s="1">
        <v>95064.0</v>
      </c>
      <c r="E2581" s="1" t="s">
        <v>40</v>
      </c>
      <c r="F2581" s="1" t="s">
        <v>94</v>
      </c>
      <c r="G2581" s="1" t="s">
        <v>21</v>
      </c>
      <c r="H2581" s="2">
        <v>1262.0</v>
      </c>
      <c r="I2581" s="2">
        <v>6808.0</v>
      </c>
      <c r="J2581" s="1">
        <v>1979.0</v>
      </c>
      <c r="K2581" s="1">
        <v>75.0</v>
      </c>
      <c r="L2581" s="1" t="s">
        <v>95</v>
      </c>
      <c r="M2581" s="1" t="s">
        <v>10360</v>
      </c>
      <c r="N2581" s="1" t="s">
        <v>64</v>
      </c>
      <c r="O2581" s="1" t="s">
        <v>25</v>
      </c>
      <c r="P2581" s="1" t="s">
        <v>10361</v>
      </c>
    </row>
    <row r="2582" ht="14.25" customHeight="1">
      <c r="A2582" s="1" t="s">
        <v>10362</v>
      </c>
      <c r="B2582" s="1" t="s">
        <v>10363</v>
      </c>
      <c r="C2582" s="1" t="s">
        <v>18</v>
      </c>
      <c r="D2582" s="1">
        <v>56546.0</v>
      </c>
      <c r="E2582" s="1" t="s">
        <v>40</v>
      </c>
      <c r="F2582" s="1" t="s">
        <v>41</v>
      </c>
      <c r="G2582" s="1" t="s">
        <v>55</v>
      </c>
      <c r="H2582" s="2">
        <v>2302.0</v>
      </c>
      <c r="I2582" s="2">
        <v>3464.0</v>
      </c>
      <c r="J2582" s="1">
        <v>1957.0</v>
      </c>
      <c r="K2582" s="1">
        <v>110.0</v>
      </c>
      <c r="L2582" s="1" t="s">
        <v>32</v>
      </c>
      <c r="M2582" s="1" t="s">
        <v>10364</v>
      </c>
      <c r="N2582" s="1" t="s">
        <v>43</v>
      </c>
      <c r="O2582" s="1" t="s">
        <v>35</v>
      </c>
      <c r="P2582" s="1" t="s">
        <v>10365</v>
      </c>
    </row>
    <row r="2583" ht="14.25" customHeight="1">
      <c r="A2583" s="1" t="s">
        <v>10366</v>
      </c>
      <c r="B2583" s="1" t="s">
        <v>10367</v>
      </c>
      <c r="C2583" s="1" t="s">
        <v>18</v>
      </c>
      <c r="D2583" s="1">
        <v>70440.0</v>
      </c>
      <c r="E2583" s="1" t="s">
        <v>40</v>
      </c>
      <c r="F2583" s="1" t="s">
        <v>61</v>
      </c>
      <c r="G2583" s="1" t="s">
        <v>21</v>
      </c>
      <c r="H2583" s="2">
        <v>3263.0</v>
      </c>
      <c r="I2583" s="2">
        <v>8629.0</v>
      </c>
      <c r="J2583" s="1">
        <v>2018.0</v>
      </c>
      <c r="K2583" s="1">
        <v>32.0</v>
      </c>
      <c r="L2583" s="1" t="s">
        <v>62</v>
      </c>
      <c r="M2583" s="1" t="s">
        <v>10368</v>
      </c>
      <c r="N2583" s="1" t="s">
        <v>43</v>
      </c>
      <c r="O2583" s="1" t="s">
        <v>25</v>
      </c>
      <c r="P2583" s="1" t="s">
        <v>10369</v>
      </c>
    </row>
    <row r="2584" ht="14.25" customHeight="1">
      <c r="A2584" s="1" t="s">
        <v>10370</v>
      </c>
      <c r="B2584" s="1" t="s">
        <v>10371</v>
      </c>
      <c r="C2584" s="1" t="s">
        <v>53</v>
      </c>
      <c r="D2584" s="1">
        <v>59917.0</v>
      </c>
      <c r="E2584" s="1" t="s">
        <v>60</v>
      </c>
      <c r="F2584" s="1" t="s">
        <v>61</v>
      </c>
      <c r="G2584" s="1" t="s">
        <v>31</v>
      </c>
      <c r="H2584" s="2">
        <v>3449.0</v>
      </c>
      <c r="I2584" s="2">
        <v>6190.0</v>
      </c>
      <c r="J2584" s="1">
        <v>1981.0</v>
      </c>
      <c r="K2584" s="1">
        <v>94.0</v>
      </c>
      <c r="L2584" s="1" t="s">
        <v>22</v>
      </c>
      <c r="M2584" s="1" t="s">
        <v>10372</v>
      </c>
      <c r="N2584" s="1" t="s">
        <v>43</v>
      </c>
      <c r="O2584" s="1" t="s">
        <v>49</v>
      </c>
      <c r="P2584" s="1" t="s">
        <v>10373</v>
      </c>
    </row>
    <row r="2585" ht="14.25" customHeight="1">
      <c r="A2585" s="1" t="s">
        <v>10374</v>
      </c>
      <c r="B2585" s="1" t="s">
        <v>10375</v>
      </c>
      <c r="C2585" s="1" t="s">
        <v>18</v>
      </c>
      <c r="D2585" s="1">
        <v>87567.0</v>
      </c>
      <c r="E2585" s="1" t="s">
        <v>30</v>
      </c>
      <c r="F2585" s="1" t="s">
        <v>20</v>
      </c>
      <c r="G2585" s="1" t="s">
        <v>31</v>
      </c>
      <c r="H2585" s="2">
        <v>2174.0</v>
      </c>
      <c r="I2585" s="2">
        <v>6229.0</v>
      </c>
      <c r="J2585" s="1">
        <v>1993.0</v>
      </c>
      <c r="K2585" s="1">
        <v>8.0</v>
      </c>
      <c r="L2585" s="1" t="s">
        <v>22</v>
      </c>
      <c r="M2585" s="1" t="s">
        <v>10376</v>
      </c>
      <c r="N2585" s="1" t="s">
        <v>48</v>
      </c>
      <c r="O2585" s="1" t="s">
        <v>49</v>
      </c>
      <c r="P2585" s="1" t="s">
        <v>10377</v>
      </c>
    </row>
    <row r="2586" ht="14.25" customHeight="1">
      <c r="A2586" s="1" t="s">
        <v>10378</v>
      </c>
      <c r="B2586" s="1" t="s">
        <v>10379</v>
      </c>
      <c r="C2586" s="1" t="s">
        <v>18</v>
      </c>
      <c r="D2586" s="1">
        <v>64486.0</v>
      </c>
      <c r="E2586" s="1" t="s">
        <v>40</v>
      </c>
      <c r="F2586" s="1" t="s">
        <v>94</v>
      </c>
      <c r="G2586" s="1" t="s">
        <v>21</v>
      </c>
      <c r="H2586" s="2">
        <v>3197.0</v>
      </c>
      <c r="I2586" s="2">
        <v>7649.0</v>
      </c>
      <c r="J2586" s="1">
        <v>2012.0</v>
      </c>
      <c r="K2586" s="1">
        <v>97.0</v>
      </c>
      <c r="L2586" s="1" t="s">
        <v>62</v>
      </c>
      <c r="M2586" s="1" t="s">
        <v>10380</v>
      </c>
      <c r="N2586" s="1" t="s">
        <v>48</v>
      </c>
      <c r="O2586" s="1" t="s">
        <v>35</v>
      </c>
      <c r="P2586" s="1" t="s">
        <v>10381</v>
      </c>
    </row>
    <row r="2587" ht="14.25" customHeight="1">
      <c r="A2587" s="1" t="s">
        <v>10382</v>
      </c>
      <c r="B2587" s="1" t="s">
        <v>10383</v>
      </c>
      <c r="C2587" s="1" t="s">
        <v>53</v>
      </c>
      <c r="D2587" s="1">
        <v>83219.0</v>
      </c>
      <c r="E2587" s="1" t="s">
        <v>19</v>
      </c>
      <c r="F2587" s="1" t="s">
        <v>94</v>
      </c>
      <c r="G2587" s="1" t="s">
        <v>21</v>
      </c>
      <c r="H2587" s="2">
        <v>3657.0</v>
      </c>
      <c r="I2587" s="2">
        <v>7506.0</v>
      </c>
      <c r="J2587" s="1">
        <v>2012.0</v>
      </c>
      <c r="K2587" s="1">
        <v>21.0</v>
      </c>
      <c r="L2587" s="1" t="s">
        <v>62</v>
      </c>
      <c r="M2587" s="1" t="s">
        <v>10384</v>
      </c>
      <c r="N2587" s="1" t="s">
        <v>24</v>
      </c>
      <c r="O2587" s="1" t="s">
        <v>49</v>
      </c>
      <c r="P2587" s="1" t="s">
        <v>10385</v>
      </c>
    </row>
    <row r="2588" ht="14.25" customHeight="1">
      <c r="A2588" s="1" t="s">
        <v>10386</v>
      </c>
      <c r="B2588" s="1" t="s">
        <v>10387</v>
      </c>
      <c r="C2588" s="1" t="s">
        <v>76</v>
      </c>
      <c r="D2588" s="1">
        <v>89048.0</v>
      </c>
      <c r="E2588" s="1" t="s">
        <v>77</v>
      </c>
      <c r="F2588" s="1" t="s">
        <v>61</v>
      </c>
      <c r="G2588" s="1" t="s">
        <v>55</v>
      </c>
      <c r="H2588" s="2">
        <v>3773.0</v>
      </c>
      <c r="I2588" s="2">
        <v>2548.0</v>
      </c>
      <c r="J2588" s="1">
        <v>1986.0</v>
      </c>
      <c r="K2588" s="1">
        <v>99.0</v>
      </c>
      <c r="L2588" s="1" t="s">
        <v>62</v>
      </c>
      <c r="M2588" s="1" t="s">
        <v>10388</v>
      </c>
      <c r="N2588" s="1" t="s">
        <v>64</v>
      </c>
      <c r="O2588" s="1" t="s">
        <v>25</v>
      </c>
      <c r="P2588" s="1" t="s">
        <v>10389</v>
      </c>
    </row>
    <row r="2589" ht="14.25" customHeight="1">
      <c r="A2589" s="1" t="s">
        <v>10390</v>
      </c>
      <c r="B2589" s="1" t="s">
        <v>10391</v>
      </c>
      <c r="C2589" s="1" t="s">
        <v>29</v>
      </c>
      <c r="D2589" s="1">
        <v>15004.0</v>
      </c>
      <c r="E2589" s="1" t="s">
        <v>19</v>
      </c>
      <c r="F2589" s="1" t="s">
        <v>41</v>
      </c>
      <c r="G2589" s="1" t="s">
        <v>31</v>
      </c>
      <c r="H2589" s="2">
        <v>3662.0</v>
      </c>
      <c r="I2589" s="2">
        <v>9461.0</v>
      </c>
      <c r="J2589" s="1">
        <v>2012.0</v>
      </c>
      <c r="K2589" s="1">
        <v>68.0</v>
      </c>
      <c r="L2589" s="1" t="s">
        <v>22</v>
      </c>
      <c r="M2589" s="1" t="s">
        <v>10392</v>
      </c>
      <c r="N2589" s="1" t="s">
        <v>64</v>
      </c>
      <c r="O2589" s="1" t="s">
        <v>25</v>
      </c>
      <c r="P2589" s="1" t="s">
        <v>10393</v>
      </c>
    </row>
    <row r="2590" ht="14.25" customHeight="1">
      <c r="A2590" s="1" t="s">
        <v>10394</v>
      </c>
      <c r="B2590" s="1" t="s">
        <v>10395</v>
      </c>
      <c r="C2590" s="1" t="s">
        <v>76</v>
      </c>
      <c r="D2590" s="1">
        <v>29177.0</v>
      </c>
      <c r="E2590" s="1" t="s">
        <v>30</v>
      </c>
      <c r="F2590" s="1" t="s">
        <v>61</v>
      </c>
      <c r="G2590" s="1" t="s">
        <v>55</v>
      </c>
      <c r="H2590" s="2">
        <v>2461.0</v>
      </c>
      <c r="I2590" s="2">
        <v>9880.0</v>
      </c>
      <c r="J2590" s="1">
        <v>2008.0</v>
      </c>
      <c r="K2590" s="1">
        <v>40.0</v>
      </c>
      <c r="L2590" s="1" t="s">
        <v>32</v>
      </c>
      <c r="M2590" s="1" t="s">
        <v>10396</v>
      </c>
      <c r="N2590" s="1" t="s">
        <v>34</v>
      </c>
      <c r="O2590" s="1" t="s">
        <v>49</v>
      </c>
      <c r="P2590" s="1" t="s">
        <v>10397</v>
      </c>
    </row>
    <row r="2591" ht="14.25" customHeight="1">
      <c r="A2591" s="1" t="s">
        <v>10398</v>
      </c>
      <c r="B2591" s="1" t="s">
        <v>10399</v>
      </c>
      <c r="C2591" s="1" t="s">
        <v>39</v>
      </c>
      <c r="D2591" s="1">
        <v>48888.0</v>
      </c>
      <c r="E2591" s="1" t="s">
        <v>19</v>
      </c>
      <c r="F2591" s="1" t="s">
        <v>54</v>
      </c>
      <c r="G2591" s="1" t="s">
        <v>21</v>
      </c>
      <c r="H2591" s="2">
        <v>2873.0</v>
      </c>
      <c r="I2591" s="2">
        <v>6540.0</v>
      </c>
      <c r="J2591" s="1">
        <v>2021.0</v>
      </c>
      <c r="K2591" s="1">
        <v>41.0</v>
      </c>
      <c r="L2591" s="1" t="s">
        <v>22</v>
      </c>
      <c r="M2591" s="1" t="s">
        <v>10400</v>
      </c>
      <c r="N2591" s="1" t="s">
        <v>48</v>
      </c>
      <c r="O2591" s="1" t="s">
        <v>25</v>
      </c>
      <c r="P2591" s="1" t="s">
        <v>10401</v>
      </c>
    </row>
    <row r="2592" ht="14.25" customHeight="1">
      <c r="A2592" s="1" t="s">
        <v>10402</v>
      </c>
      <c r="B2592" s="1" t="s">
        <v>10403</v>
      </c>
      <c r="C2592" s="1" t="s">
        <v>29</v>
      </c>
      <c r="D2592" s="1">
        <v>24550.0</v>
      </c>
      <c r="E2592" s="1" t="s">
        <v>19</v>
      </c>
      <c r="F2592" s="1" t="s">
        <v>46</v>
      </c>
      <c r="G2592" s="1" t="s">
        <v>100</v>
      </c>
      <c r="H2592" s="2">
        <v>3869.0</v>
      </c>
      <c r="I2592" s="2">
        <v>5985.0</v>
      </c>
      <c r="J2592" s="1">
        <v>1966.0</v>
      </c>
      <c r="K2592" s="1">
        <v>89.0</v>
      </c>
      <c r="L2592" s="1" t="s">
        <v>95</v>
      </c>
      <c r="M2592" s="1" t="s">
        <v>10404</v>
      </c>
      <c r="N2592" s="1" t="s">
        <v>34</v>
      </c>
      <c r="O2592" s="1" t="s">
        <v>49</v>
      </c>
      <c r="P2592" s="1" t="s">
        <v>10405</v>
      </c>
    </row>
    <row r="2593" ht="14.25" customHeight="1">
      <c r="A2593" s="1" t="s">
        <v>10406</v>
      </c>
      <c r="B2593" s="1" t="s">
        <v>10407</v>
      </c>
      <c r="C2593" s="1" t="s">
        <v>53</v>
      </c>
      <c r="D2593" s="1">
        <v>57691.0</v>
      </c>
      <c r="E2593" s="1" t="s">
        <v>77</v>
      </c>
      <c r="F2593" s="1" t="s">
        <v>41</v>
      </c>
      <c r="G2593" s="1" t="s">
        <v>55</v>
      </c>
      <c r="H2593" s="2">
        <v>3406.0</v>
      </c>
      <c r="I2593" s="2">
        <v>4753.0</v>
      </c>
      <c r="J2593" s="1">
        <v>1950.0</v>
      </c>
      <c r="K2593" s="1">
        <v>116.0</v>
      </c>
      <c r="L2593" s="1" t="s">
        <v>32</v>
      </c>
      <c r="M2593" s="1" t="s">
        <v>10408</v>
      </c>
      <c r="N2593" s="1" t="s">
        <v>64</v>
      </c>
      <c r="O2593" s="1" t="s">
        <v>35</v>
      </c>
      <c r="P2593" s="1" t="s">
        <v>10409</v>
      </c>
    </row>
    <row r="2594" ht="14.25" customHeight="1">
      <c r="A2594" s="1" t="s">
        <v>10410</v>
      </c>
      <c r="B2594" s="1" t="s">
        <v>10411</v>
      </c>
      <c r="C2594" s="1" t="s">
        <v>29</v>
      </c>
      <c r="D2594" s="1">
        <v>57184.0</v>
      </c>
      <c r="E2594" s="1" t="s">
        <v>40</v>
      </c>
      <c r="F2594" s="1" t="s">
        <v>46</v>
      </c>
      <c r="G2594" s="1" t="s">
        <v>31</v>
      </c>
      <c r="H2594" s="2">
        <v>1273.0</v>
      </c>
      <c r="I2594" s="2">
        <v>9310.0</v>
      </c>
      <c r="J2594" s="1">
        <v>2011.0</v>
      </c>
      <c r="K2594" s="1">
        <v>90.0</v>
      </c>
      <c r="L2594" s="1" t="s">
        <v>141</v>
      </c>
      <c r="M2594" s="1" t="s">
        <v>10412</v>
      </c>
      <c r="N2594" s="1" t="s">
        <v>43</v>
      </c>
      <c r="O2594" s="1" t="s">
        <v>25</v>
      </c>
      <c r="P2594" s="1" t="s">
        <v>10413</v>
      </c>
    </row>
    <row r="2595" ht="14.25" customHeight="1">
      <c r="A2595" s="1" t="s">
        <v>10414</v>
      </c>
      <c r="B2595" s="1" t="s">
        <v>10415</v>
      </c>
      <c r="C2595" s="1" t="s">
        <v>18</v>
      </c>
      <c r="D2595" s="1">
        <v>25581.0</v>
      </c>
      <c r="E2595" s="1" t="s">
        <v>30</v>
      </c>
      <c r="F2595" s="1" t="s">
        <v>20</v>
      </c>
      <c r="G2595" s="1" t="s">
        <v>21</v>
      </c>
      <c r="H2595" s="2">
        <v>3075.0</v>
      </c>
      <c r="I2595" s="2">
        <v>7324.0</v>
      </c>
      <c r="J2595" s="1">
        <v>1956.0</v>
      </c>
      <c r="K2595" s="1">
        <v>95.0</v>
      </c>
      <c r="L2595" s="1" t="s">
        <v>141</v>
      </c>
      <c r="M2595" s="1" t="s">
        <v>10416</v>
      </c>
      <c r="N2595" s="1" t="s">
        <v>24</v>
      </c>
      <c r="O2595" s="1" t="s">
        <v>25</v>
      </c>
      <c r="P2595" s="1" t="s">
        <v>10417</v>
      </c>
    </row>
    <row r="2596" ht="14.25" customHeight="1">
      <c r="A2596" s="1" t="s">
        <v>10418</v>
      </c>
      <c r="B2596" s="1" t="s">
        <v>10419</v>
      </c>
      <c r="C2596" s="1" t="s">
        <v>76</v>
      </c>
      <c r="D2596" s="1">
        <v>73076.0</v>
      </c>
      <c r="E2596" s="1" t="s">
        <v>60</v>
      </c>
      <c r="F2596" s="1" t="s">
        <v>54</v>
      </c>
      <c r="G2596" s="1" t="s">
        <v>31</v>
      </c>
      <c r="H2596" s="2">
        <v>3346.0</v>
      </c>
      <c r="I2596" s="2">
        <v>2712.0</v>
      </c>
      <c r="J2596" s="1">
        <v>1991.0</v>
      </c>
      <c r="K2596" s="1">
        <v>106.0</v>
      </c>
      <c r="L2596" s="1" t="s">
        <v>62</v>
      </c>
      <c r="M2596" s="1" t="s">
        <v>10420</v>
      </c>
      <c r="N2596" s="1" t="s">
        <v>48</v>
      </c>
      <c r="O2596" s="1" t="s">
        <v>49</v>
      </c>
      <c r="P2596" s="1" t="s">
        <v>10421</v>
      </c>
    </row>
    <row r="2597" ht="14.25" customHeight="1">
      <c r="A2597" s="1" t="s">
        <v>10422</v>
      </c>
      <c r="B2597" s="1" t="s">
        <v>10423</v>
      </c>
      <c r="C2597" s="1" t="s">
        <v>53</v>
      </c>
      <c r="D2597" s="1">
        <v>15899.0</v>
      </c>
      <c r="E2597" s="1" t="s">
        <v>60</v>
      </c>
      <c r="F2597" s="1" t="s">
        <v>41</v>
      </c>
      <c r="G2597" s="1" t="s">
        <v>100</v>
      </c>
      <c r="H2597" s="2">
        <v>1479.0</v>
      </c>
      <c r="I2597" s="2">
        <v>5654.0</v>
      </c>
      <c r="J2597" s="1">
        <v>1995.0</v>
      </c>
      <c r="K2597" s="1">
        <v>36.0</v>
      </c>
      <c r="L2597" s="1" t="s">
        <v>95</v>
      </c>
      <c r="M2597" s="1" t="s">
        <v>10424</v>
      </c>
      <c r="N2597" s="1" t="s">
        <v>34</v>
      </c>
      <c r="O2597" s="1" t="s">
        <v>25</v>
      </c>
      <c r="P2597" s="1" t="s">
        <v>10425</v>
      </c>
    </row>
    <row r="2598" ht="14.25" customHeight="1">
      <c r="A2598" s="1" t="s">
        <v>10426</v>
      </c>
      <c r="B2598" s="1" t="s">
        <v>10427</v>
      </c>
      <c r="C2598" s="1" t="s">
        <v>18</v>
      </c>
      <c r="D2598" s="1">
        <v>49351.0</v>
      </c>
      <c r="E2598" s="1" t="s">
        <v>30</v>
      </c>
      <c r="F2598" s="1" t="s">
        <v>46</v>
      </c>
      <c r="G2598" s="1" t="s">
        <v>100</v>
      </c>
      <c r="H2598" s="2">
        <v>1705.0</v>
      </c>
      <c r="I2598" s="2">
        <v>3387.0</v>
      </c>
      <c r="J2598" s="1">
        <v>1956.0</v>
      </c>
      <c r="K2598" s="1">
        <v>98.0</v>
      </c>
      <c r="L2598" s="1" t="s">
        <v>141</v>
      </c>
      <c r="M2598" s="1" t="s">
        <v>10428</v>
      </c>
      <c r="N2598" s="1" t="s">
        <v>43</v>
      </c>
      <c r="O2598" s="1" t="s">
        <v>35</v>
      </c>
      <c r="P2598" s="1" t="s">
        <v>10429</v>
      </c>
    </row>
    <row r="2599" ht="14.25" customHeight="1">
      <c r="A2599" s="1" t="s">
        <v>10430</v>
      </c>
      <c r="B2599" s="1" t="s">
        <v>10431</v>
      </c>
      <c r="C2599" s="1" t="s">
        <v>76</v>
      </c>
      <c r="D2599" s="1">
        <v>60062.0</v>
      </c>
      <c r="E2599" s="1" t="s">
        <v>40</v>
      </c>
      <c r="F2599" s="1" t="s">
        <v>54</v>
      </c>
      <c r="G2599" s="1" t="s">
        <v>100</v>
      </c>
      <c r="H2599" s="2">
        <v>3839.0</v>
      </c>
      <c r="I2599" s="2">
        <v>8863.0</v>
      </c>
      <c r="J2599" s="1">
        <v>2015.0</v>
      </c>
      <c r="K2599" s="1">
        <v>29.0</v>
      </c>
      <c r="L2599" s="1" t="s">
        <v>95</v>
      </c>
      <c r="M2599" s="1" t="s">
        <v>10432</v>
      </c>
      <c r="N2599" s="1" t="s">
        <v>43</v>
      </c>
      <c r="O2599" s="1" t="s">
        <v>25</v>
      </c>
      <c r="P2599" s="1" t="s">
        <v>10433</v>
      </c>
    </row>
    <row r="2600" ht="14.25" customHeight="1">
      <c r="A2600" s="1" t="s">
        <v>10434</v>
      </c>
      <c r="B2600" s="1" t="s">
        <v>10435</v>
      </c>
      <c r="C2600" s="1" t="s">
        <v>53</v>
      </c>
      <c r="D2600" s="1">
        <v>13121.0</v>
      </c>
      <c r="E2600" s="1" t="s">
        <v>30</v>
      </c>
      <c r="F2600" s="1" t="s">
        <v>41</v>
      </c>
      <c r="G2600" s="1" t="s">
        <v>31</v>
      </c>
      <c r="H2600" s="2">
        <v>3358.0</v>
      </c>
      <c r="I2600" s="2">
        <v>9952.0</v>
      </c>
      <c r="J2600" s="1">
        <v>1991.0</v>
      </c>
      <c r="K2600" s="1">
        <v>39.0</v>
      </c>
      <c r="L2600" s="1" t="s">
        <v>32</v>
      </c>
      <c r="M2600" s="1" t="s">
        <v>10436</v>
      </c>
      <c r="N2600" s="1" t="s">
        <v>34</v>
      </c>
      <c r="O2600" s="1" t="s">
        <v>25</v>
      </c>
      <c r="P2600" s="1" t="s">
        <v>10437</v>
      </c>
    </row>
    <row r="2601" ht="14.25" customHeight="1">
      <c r="A2601" s="1" t="s">
        <v>10438</v>
      </c>
      <c r="B2601" s="1" t="s">
        <v>10439</v>
      </c>
      <c r="C2601" s="1" t="s">
        <v>29</v>
      </c>
      <c r="D2601" s="1">
        <v>61689.0</v>
      </c>
      <c r="E2601" s="1" t="s">
        <v>77</v>
      </c>
      <c r="F2601" s="1" t="s">
        <v>61</v>
      </c>
      <c r="G2601" s="1" t="s">
        <v>100</v>
      </c>
      <c r="H2601" s="2">
        <v>2449.0</v>
      </c>
      <c r="I2601" s="2">
        <v>9375.0</v>
      </c>
      <c r="J2601" s="1">
        <v>1984.0</v>
      </c>
      <c r="K2601" s="1">
        <v>36.0</v>
      </c>
      <c r="L2601" s="1" t="s">
        <v>22</v>
      </c>
      <c r="M2601" s="1" t="s">
        <v>10440</v>
      </c>
      <c r="N2601" s="1" t="s">
        <v>24</v>
      </c>
      <c r="O2601" s="1" t="s">
        <v>49</v>
      </c>
      <c r="P2601" s="1" t="s">
        <v>10441</v>
      </c>
    </row>
    <row r="2602" ht="14.25" customHeight="1">
      <c r="A2602" s="1" t="s">
        <v>10442</v>
      </c>
      <c r="B2602" s="1" t="s">
        <v>10443</v>
      </c>
      <c r="C2602" s="1" t="s">
        <v>29</v>
      </c>
      <c r="D2602" s="1">
        <v>77955.0</v>
      </c>
      <c r="E2602" s="1" t="s">
        <v>77</v>
      </c>
      <c r="F2602" s="1" t="s">
        <v>94</v>
      </c>
      <c r="G2602" s="1" t="s">
        <v>55</v>
      </c>
      <c r="H2602" s="2">
        <v>915.0</v>
      </c>
      <c r="I2602" s="2">
        <v>5399.0</v>
      </c>
      <c r="J2602" s="1">
        <v>2023.0</v>
      </c>
      <c r="K2602" s="1">
        <v>105.0</v>
      </c>
      <c r="L2602" s="1" t="s">
        <v>32</v>
      </c>
      <c r="M2602" s="1" t="s">
        <v>10444</v>
      </c>
      <c r="N2602" s="1" t="s">
        <v>64</v>
      </c>
      <c r="O2602" s="1" t="s">
        <v>35</v>
      </c>
      <c r="P2602" s="1" t="s">
        <v>10445</v>
      </c>
    </row>
    <row r="2603" ht="14.25" customHeight="1">
      <c r="A2603" s="1" t="s">
        <v>10446</v>
      </c>
      <c r="B2603" s="1" t="s">
        <v>10447</v>
      </c>
      <c r="C2603" s="1" t="s">
        <v>18</v>
      </c>
      <c r="D2603" s="1">
        <v>69013.0</v>
      </c>
      <c r="E2603" s="1" t="s">
        <v>19</v>
      </c>
      <c r="F2603" s="1" t="s">
        <v>20</v>
      </c>
      <c r="G2603" s="1" t="s">
        <v>100</v>
      </c>
      <c r="H2603" s="2">
        <v>1587.0</v>
      </c>
      <c r="I2603" s="2">
        <v>8030.0</v>
      </c>
      <c r="J2603" s="1">
        <v>1956.0</v>
      </c>
      <c r="K2603" s="1">
        <v>27.0</v>
      </c>
      <c r="L2603" s="1" t="s">
        <v>62</v>
      </c>
      <c r="M2603" s="1" t="s">
        <v>10448</v>
      </c>
      <c r="N2603" s="1" t="s">
        <v>64</v>
      </c>
      <c r="O2603" s="1" t="s">
        <v>49</v>
      </c>
      <c r="P2603" s="1" t="s">
        <v>10449</v>
      </c>
    </row>
    <row r="2604" ht="14.25" customHeight="1">
      <c r="A2604" s="1" t="s">
        <v>10450</v>
      </c>
      <c r="B2604" s="1" t="s">
        <v>10451</v>
      </c>
      <c r="C2604" s="1" t="s">
        <v>53</v>
      </c>
      <c r="D2604" s="1">
        <v>36484.0</v>
      </c>
      <c r="E2604" s="1" t="s">
        <v>19</v>
      </c>
      <c r="F2604" s="1" t="s">
        <v>46</v>
      </c>
      <c r="G2604" s="1" t="s">
        <v>21</v>
      </c>
      <c r="H2604" s="2">
        <v>1051.0</v>
      </c>
      <c r="I2604" s="2">
        <v>4519.0</v>
      </c>
      <c r="J2604" s="1">
        <v>1966.0</v>
      </c>
      <c r="K2604" s="1">
        <v>82.0</v>
      </c>
      <c r="L2604" s="1" t="s">
        <v>22</v>
      </c>
      <c r="M2604" s="1" t="s">
        <v>10452</v>
      </c>
      <c r="N2604" s="1" t="s">
        <v>24</v>
      </c>
      <c r="O2604" s="1" t="s">
        <v>25</v>
      </c>
      <c r="P2604" s="1" t="s">
        <v>10453</v>
      </c>
    </row>
    <row r="2605" ht="14.25" customHeight="1">
      <c r="A2605" s="1" t="s">
        <v>10454</v>
      </c>
      <c r="B2605" s="1" t="s">
        <v>10455</v>
      </c>
      <c r="C2605" s="1" t="s">
        <v>76</v>
      </c>
      <c r="D2605" s="1">
        <v>14524.0</v>
      </c>
      <c r="E2605" s="1" t="s">
        <v>30</v>
      </c>
      <c r="F2605" s="1" t="s">
        <v>20</v>
      </c>
      <c r="G2605" s="1" t="s">
        <v>55</v>
      </c>
      <c r="H2605" s="2">
        <v>3025.0</v>
      </c>
      <c r="I2605" s="2">
        <v>2461.0</v>
      </c>
      <c r="J2605" s="1">
        <v>1988.0</v>
      </c>
      <c r="K2605" s="1">
        <v>61.0</v>
      </c>
      <c r="L2605" s="1" t="s">
        <v>22</v>
      </c>
      <c r="M2605" s="1" t="s">
        <v>10456</v>
      </c>
      <c r="N2605" s="1" t="s">
        <v>48</v>
      </c>
      <c r="O2605" s="1" t="s">
        <v>35</v>
      </c>
      <c r="P2605" s="1" t="s">
        <v>10457</v>
      </c>
    </row>
    <row r="2606" ht="14.25" customHeight="1">
      <c r="A2606" s="1" t="s">
        <v>10458</v>
      </c>
      <c r="B2606" s="1" t="s">
        <v>10459</v>
      </c>
      <c r="C2606" s="1" t="s">
        <v>76</v>
      </c>
      <c r="D2606" s="1">
        <v>68864.0</v>
      </c>
      <c r="E2606" s="1" t="s">
        <v>60</v>
      </c>
      <c r="F2606" s="1" t="s">
        <v>46</v>
      </c>
      <c r="G2606" s="1" t="s">
        <v>55</v>
      </c>
      <c r="H2606" s="2">
        <v>869.0</v>
      </c>
      <c r="I2606" s="2">
        <v>3791.0</v>
      </c>
      <c r="J2606" s="1">
        <v>2000.0</v>
      </c>
      <c r="K2606" s="1">
        <v>75.0</v>
      </c>
      <c r="L2606" s="1" t="s">
        <v>22</v>
      </c>
      <c r="M2606" s="1" t="s">
        <v>10460</v>
      </c>
      <c r="N2606" s="1" t="s">
        <v>64</v>
      </c>
      <c r="O2606" s="1" t="s">
        <v>49</v>
      </c>
      <c r="P2606" s="1" t="s">
        <v>10461</v>
      </c>
    </row>
    <row r="2607" ht="14.25" customHeight="1">
      <c r="A2607" s="1" t="s">
        <v>10462</v>
      </c>
      <c r="B2607" s="1" t="s">
        <v>10463</v>
      </c>
      <c r="C2607" s="1" t="s">
        <v>53</v>
      </c>
      <c r="D2607" s="1">
        <v>13032.0</v>
      </c>
      <c r="E2607" s="1" t="s">
        <v>40</v>
      </c>
      <c r="F2607" s="1" t="s">
        <v>94</v>
      </c>
      <c r="G2607" s="1" t="s">
        <v>55</v>
      </c>
      <c r="H2607" s="2">
        <v>2971.0</v>
      </c>
      <c r="I2607" s="2">
        <v>2391.0</v>
      </c>
      <c r="J2607" s="1">
        <v>1981.0</v>
      </c>
      <c r="K2607" s="1">
        <v>18.0</v>
      </c>
      <c r="L2607" s="1" t="s">
        <v>95</v>
      </c>
      <c r="M2607" s="1" t="s">
        <v>10464</v>
      </c>
      <c r="N2607" s="1" t="s">
        <v>43</v>
      </c>
      <c r="O2607" s="1" t="s">
        <v>35</v>
      </c>
      <c r="P2607" s="1" t="s">
        <v>10465</v>
      </c>
    </row>
    <row r="2608" ht="14.25" customHeight="1">
      <c r="A2608" s="1" t="s">
        <v>10466</v>
      </c>
      <c r="B2608" s="1" t="s">
        <v>10467</v>
      </c>
      <c r="C2608" s="1" t="s">
        <v>29</v>
      </c>
      <c r="D2608" s="1">
        <v>97789.0</v>
      </c>
      <c r="E2608" s="1" t="s">
        <v>30</v>
      </c>
      <c r="F2608" s="1" t="s">
        <v>54</v>
      </c>
      <c r="G2608" s="1" t="s">
        <v>100</v>
      </c>
      <c r="H2608" s="2">
        <v>2942.0</v>
      </c>
      <c r="I2608" s="2">
        <v>1991.0</v>
      </c>
      <c r="J2608" s="1">
        <v>1972.0</v>
      </c>
      <c r="K2608" s="1">
        <v>63.0</v>
      </c>
      <c r="L2608" s="1" t="s">
        <v>32</v>
      </c>
      <c r="M2608" s="1" t="s">
        <v>10468</v>
      </c>
      <c r="N2608" s="1" t="s">
        <v>48</v>
      </c>
      <c r="O2608" s="1" t="s">
        <v>25</v>
      </c>
      <c r="P2608" s="1" t="s">
        <v>10469</v>
      </c>
    </row>
    <row r="2609" ht="14.25" customHeight="1">
      <c r="A2609" s="1" t="s">
        <v>10470</v>
      </c>
      <c r="B2609" s="1" t="s">
        <v>10471</v>
      </c>
      <c r="C2609" s="1" t="s">
        <v>76</v>
      </c>
      <c r="D2609" s="1">
        <v>22910.0</v>
      </c>
      <c r="E2609" s="1" t="s">
        <v>77</v>
      </c>
      <c r="F2609" s="1" t="s">
        <v>54</v>
      </c>
      <c r="G2609" s="1" t="s">
        <v>100</v>
      </c>
      <c r="H2609" s="2">
        <v>2123.0</v>
      </c>
      <c r="I2609" s="2">
        <v>2056.0</v>
      </c>
      <c r="J2609" s="1">
        <v>1960.0</v>
      </c>
      <c r="K2609" s="1">
        <v>4.0</v>
      </c>
      <c r="L2609" s="1" t="s">
        <v>95</v>
      </c>
      <c r="M2609" s="1" t="s">
        <v>10472</v>
      </c>
      <c r="N2609" s="1" t="s">
        <v>43</v>
      </c>
      <c r="O2609" s="1" t="s">
        <v>49</v>
      </c>
      <c r="P2609" s="1" t="s">
        <v>10473</v>
      </c>
    </row>
    <row r="2610" ht="14.25" customHeight="1">
      <c r="A2610" s="1" t="s">
        <v>10474</v>
      </c>
      <c r="B2610" s="1" t="s">
        <v>10475</v>
      </c>
      <c r="C2610" s="1" t="s">
        <v>29</v>
      </c>
      <c r="D2610" s="1">
        <v>94096.0</v>
      </c>
      <c r="E2610" s="1" t="s">
        <v>60</v>
      </c>
      <c r="F2610" s="1" t="s">
        <v>20</v>
      </c>
      <c r="G2610" s="1" t="s">
        <v>21</v>
      </c>
      <c r="H2610" s="2">
        <v>1792.0</v>
      </c>
      <c r="I2610" s="2">
        <v>3712.0</v>
      </c>
      <c r="J2610" s="1">
        <v>1951.0</v>
      </c>
      <c r="K2610" s="1">
        <v>41.0</v>
      </c>
      <c r="L2610" s="1" t="s">
        <v>62</v>
      </c>
      <c r="M2610" s="1" t="s">
        <v>10476</v>
      </c>
      <c r="N2610" s="1" t="s">
        <v>43</v>
      </c>
      <c r="O2610" s="1" t="s">
        <v>25</v>
      </c>
      <c r="P2610" s="1" t="s">
        <v>10477</v>
      </c>
    </row>
    <row r="2611" ht="14.25" customHeight="1">
      <c r="A2611" s="1" t="s">
        <v>10478</v>
      </c>
      <c r="B2611" s="1" t="s">
        <v>10479</v>
      </c>
      <c r="C2611" s="1" t="s">
        <v>18</v>
      </c>
      <c r="D2611" s="1">
        <v>38395.0</v>
      </c>
      <c r="E2611" s="1" t="s">
        <v>40</v>
      </c>
      <c r="F2611" s="1" t="s">
        <v>61</v>
      </c>
      <c r="G2611" s="1" t="s">
        <v>55</v>
      </c>
      <c r="H2611" s="2">
        <v>881.0</v>
      </c>
      <c r="I2611" s="2">
        <v>4456.0</v>
      </c>
      <c r="J2611" s="1">
        <v>1953.0</v>
      </c>
      <c r="K2611" s="1">
        <v>94.0</v>
      </c>
      <c r="L2611" s="1" t="s">
        <v>95</v>
      </c>
      <c r="M2611" s="1" t="s">
        <v>10480</v>
      </c>
      <c r="N2611" s="1" t="s">
        <v>64</v>
      </c>
      <c r="O2611" s="1" t="s">
        <v>25</v>
      </c>
      <c r="P2611" s="1" t="s">
        <v>10481</v>
      </c>
    </row>
    <row r="2612" ht="14.25" customHeight="1">
      <c r="A2612" s="1" t="s">
        <v>10482</v>
      </c>
      <c r="B2612" s="1" t="s">
        <v>10483</v>
      </c>
      <c r="C2612" s="1" t="s">
        <v>39</v>
      </c>
      <c r="D2612" s="1">
        <v>64385.0</v>
      </c>
      <c r="E2612" s="1" t="s">
        <v>60</v>
      </c>
      <c r="F2612" s="1" t="s">
        <v>20</v>
      </c>
      <c r="G2612" s="1" t="s">
        <v>31</v>
      </c>
      <c r="H2612" s="2">
        <v>1921.0</v>
      </c>
      <c r="I2612" s="2">
        <v>1584.0</v>
      </c>
      <c r="J2612" s="1">
        <v>1956.0</v>
      </c>
      <c r="K2612" s="1">
        <v>5.0</v>
      </c>
      <c r="L2612" s="1" t="s">
        <v>22</v>
      </c>
      <c r="M2612" s="1" t="s">
        <v>10484</v>
      </c>
      <c r="N2612" s="1" t="s">
        <v>34</v>
      </c>
      <c r="O2612" s="1" t="s">
        <v>49</v>
      </c>
      <c r="P2612" s="1" t="s">
        <v>10485</v>
      </c>
    </row>
    <row r="2613" ht="14.25" customHeight="1">
      <c r="A2613" s="1" t="s">
        <v>10486</v>
      </c>
      <c r="B2613" s="1" t="s">
        <v>10487</v>
      </c>
      <c r="C2613" s="1" t="s">
        <v>76</v>
      </c>
      <c r="D2613" s="1">
        <v>35493.0</v>
      </c>
      <c r="E2613" s="1" t="s">
        <v>77</v>
      </c>
      <c r="F2613" s="1" t="s">
        <v>46</v>
      </c>
      <c r="G2613" s="1" t="s">
        <v>31</v>
      </c>
      <c r="H2613" s="2">
        <v>1931.0</v>
      </c>
      <c r="I2613" s="2">
        <v>1209.0</v>
      </c>
      <c r="J2613" s="1">
        <v>2004.0</v>
      </c>
      <c r="K2613" s="1">
        <v>59.0</v>
      </c>
      <c r="L2613" s="1" t="s">
        <v>62</v>
      </c>
      <c r="M2613" s="1" t="s">
        <v>10488</v>
      </c>
      <c r="N2613" s="1" t="s">
        <v>34</v>
      </c>
      <c r="O2613" s="1" t="s">
        <v>25</v>
      </c>
      <c r="P2613" s="1" t="s">
        <v>10489</v>
      </c>
    </row>
    <row r="2614" ht="14.25" customHeight="1">
      <c r="A2614" s="1" t="s">
        <v>10490</v>
      </c>
      <c r="B2614" s="1" t="s">
        <v>10491</v>
      </c>
      <c r="C2614" s="1" t="s">
        <v>18</v>
      </c>
      <c r="D2614" s="1">
        <v>89979.0</v>
      </c>
      <c r="E2614" s="1" t="s">
        <v>40</v>
      </c>
      <c r="F2614" s="1" t="s">
        <v>41</v>
      </c>
      <c r="G2614" s="1" t="s">
        <v>21</v>
      </c>
      <c r="H2614" s="2">
        <v>640.0</v>
      </c>
      <c r="I2614" s="2">
        <v>3424.0</v>
      </c>
      <c r="J2614" s="1">
        <v>1958.0</v>
      </c>
      <c r="K2614" s="1">
        <v>114.0</v>
      </c>
      <c r="L2614" s="1" t="s">
        <v>95</v>
      </c>
      <c r="M2614" s="1" t="s">
        <v>10492</v>
      </c>
      <c r="N2614" s="1" t="s">
        <v>34</v>
      </c>
      <c r="O2614" s="1" t="s">
        <v>25</v>
      </c>
      <c r="P2614" s="1" t="s">
        <v>10493</v>
      </c>
    </row>
    <row r="2615" ht="14.25" customHeight="1">
      <c r="A2615" s="1" t="s">
        <v>10494</v>
      </c>
      <c r="B2615" s="1" t="s">
        <v>10495</v>
      </c>
      <c r="C2615" s="1" t="s">
        <v>29</v>
      </c>
      <c r="D2615" s="1">
        <v>80231.0</v>
      </c>
      <c r="E2615" s="1" t="s">
        <v>19</v>
      </c>
      <c r="F2615" s="1" t="s">
        <v>61</v>
      </c>
      <c r="G2615" s="1" t="s">
        <v>31</v>
      </c>
      <c r="H2615" s="2">
        <v>3952.0</v>
      </c>
      <c r="I2615" s="2">
        <v>7159.0</v>
      </c>
      <c r="J2615" s="1">
        <v>2004.0</v>
      </c>
      <c r="K2615" s="1">
        <v>15.0</v>
      </c>
      <c r="L2615" s="1" t="s">
        <v>32</v>
      </c>
      <c r="M2615" s="1" t="s">
        <v>10496</v>
      </c>
      <c r="N2615" s="1" t="s">
        <v>64</v>
      </c>
      <c r="O2615" s="1" t="s">
        <v>49</v>
      </c>
      <c r="P2615" s="1" t="s">
        <v>10497</v>
      </c>
    </row>
    <row r="2616" ht="14.25" customHeight="1">
      <c r="A2616" s="1" t="s">
        <v>10498</v>
      </c>
      <c r="B2616" s="1" t="s">
        <v>10499</v>
      </c>
      <c r="C2616" s="1" t="s">
        <v>39</v>
      </c>
      <c r="D2616" s="1">
        <v>22414.0</v>
      </c>
      <c r="E2616" s="1" t="s">
        <v>77</v>
      </c>
      <c r="F2616" s="1" t="s">
        <v>54</v>
      </c>
      <c r="G2616" s="1" t="s">
        <v>55</v>
      </c>
      <c r="H2616" s="2">
        <v>2504.0</v>
      </c>
      <c r="I2616" s="2">
        <v>4982.0</v>
      </c>
      <c r="J2616" s="1">
        <v>1972.0</v>
      </c>
      <c r="K2616" s="1">
        <v>18.0</v>
      </c>
      <c r="L2616" s="1" t="s">
        <v>95</v>
      </c>
      <c r="M2616" s="1" t="s">
        <v>10500</v>
      </c>
      <c r="N2616" s="1" t="s">
        <v>43</v>
      </c>
      <c r="O2616" s="1" t="s">
        <v>49</v>
      </c>
      <c r="P2616" s="1" t="s">
        <v>10501</v>
      </c>
    </row>
    <row r="2617" ht="14.25" customHeight="1">
      <c r="A2617" s="1" t="s">
        <v>10502</v>
      </c>
      <c r="B2617" s="1" t="s">
        <v>10503</v>
      </c>
      <c r="C2617" s="1" t="s">
        <v>53</v>
      </c>
      <c r="D2617" s="1">
        <v>19656.0</v>
      </c>
      <c r="E2617" s="1" t="s">
        <v>60</v>
      </c>
      <c r="F2617" s="1" t="s">
        <v>46</v>
      </c>
      <c r="G2617" s="1" t="s">
        <v>100</v>
      </c>
      <c r="H2617" s="2">
        <v>1396.0</v>
      </c>
      <c r="I2617" s="2">
        <v>2237.0</v>
      </c>
      <c r="J2617" s="1">
        <v>2021.0</v>
      </c>
      <c r="K2617" s="1">
        <v>21.0</v>
      </c>
      <c r="L2617" s="1" t="s">
        <v>22</v>
      </c>
      <c r="M2617" s="1" t="s">
        <v>10504</v>
      </c>
      <c r="N2617" s="1" t="s">
        <v>64</v>
      </c>
      <c r="O2617" s="1" t="s">
        <v>25</v>
      </c>
      <c r="P2617" s="1" t="s">
        <v>10505</v>
      </c>
    </row>
    <row r="2618" ht="14.25" customHeight="1">
      <c r="A2618" s="1" t="s">
        <v>10506</v>
      </c>
      <c r="B2618" s="1" t="s">
        <v>10507</v>
      </c>
      <c r="C2618" s="1" t="s">
        <v>76</v>
      </c>
      <c r="D2618" s="1">
        <v>80773.0</v>
      </c>
      <c r="E2618" s="1" t="s">
        <v>19</v>
      </c>
      <c r="F2618" s="1" t="s">
        <v>41</v>
      </c>
      <c r="G2618" s="1" t="s">
        <v>100</v>
      </c>
      <c r="H2618" s="2">
        <v>1325.0</v>
      </c>
      <c r="I2618" s="2">
        <v>5265.0</v>
      </c>
      <c r="J2618" s="1">
        <v>1978.0</v>
      </c>
      <c r="K2618" s="1">
        <v>9.0</v>
      </c>
      <c r="L2618" s="1" t="s">
        <v>22</v>
      </c>
      <c r="M2618" s="1" t="s">
        <v>10508</v>
      </c>
      <c r="N2618" s="1" t="s">
        <v>34</v>
      </c>
      <c r="O2618" s="1" t="s">
        <v>25</v>
      </c>
      <c r="P2618" s="1" t="s">
        <v>10509</v>
      </c>
    </row>
    <row r="2619" ht="14.25" customHeight="1">
      <c r="A2619" s="1" t="s">
        <v>10510</v>
      </c>
      <c r="B2619" s="1" t="s">
        <v>10511</v>
      </c>
      <c r="C2619" s="1" t="s">
        <v>18</v>
      </c>
      <c r="D2619" s="1">
        <v>42327.0</v>
      </c>
      <c r="E2619" s="1" t="s">
        <v>60</v>
      </c>
      <c r="F2619" s="1" t="s">
        <v>54</v>
      </c>
      <c r="G2619" s="1" t="s">
        <v>31</v>
      </c>
      <c r="H2619" s="2">
        <v>3353.0</v>
      </c>
      <c r="I2619" s="2">
        <v>5888.0</v>
      </c>
      <c r="J2619" s="1">
        <v>1991.0</v>
      </c>
      <c r="K2619" s="1">
        <v>116.0</v>
      </c>
      <c r="L2619" s="1" t="s">
        <v>141</v>
      </c>
      <c r="M2619" s="1" t="s">
        <v>10512</v>
      </c>
      <c r="N2619" s="1" t="s">
        <v>43</v>
      </c>
      <c r="O2619" s="1" t="s">
        <v>49</v>
      </c>
      <c r="P2619" s="1" t="s">
        <v>10513</v>
      </c>
    </row>
    <row r="2620" ht="14.25" customHeight="1">
      <c r="A2620" s="1" t="s">
        <v>10514</v>
      </c>
      <c r="B2620" s="1" t="s">
        <v>10515</v>
      </c>
      <c r="C2620" s="1" t="s">
        <v>29</v>
      </c>
      <c r="D2620" s="1">
        <v>52034.0</v>
      </c>
      <c r="E2620" s="1" t="s">
        <v>30</v>
      </c>
      <c r="F2620" s="1" t="s">
        <v>61</v>
      </c>
      <c r="G2620" s="1" t="s">
        <v>55</v>
      </c>
      <c r="H2620" s="2">
        <v>2069.0</v>
      </c>
      <c r="I2620" s="2">
        <v>1317.0</v>
      </c>
      <c r="J2620" s="1">
        <v>1976.0</v>
      </c>
      <c r="K2620" s="1">
        <v>74.0</v>
      </c>
      <c r="L2620" s="1" t="s">
        <v>95</v>
      </c>
      <c r="M2620" s="1" t="s">
        <v>10516</v>
      </c>
      <c r="N2620" s="1" t="s">
        <v>24</v>
      </c>
      <c r="O2620" s="1" t="s">
        <v>49</v>
      </c>
      <c r="P2620" s="1" t="s">
        <v>10517</v>
      </c>
    </row>
    <row r="2621" ht="14.25" customHeight="1">
      <c r="A2621" s="1" t="s">
        <v>10518</v>
      </c>
      <c r="B2621" s="1" t="s">
        <v>10519</v>
      </c>
      <c r="C2621" s="1" t="s">
        <v>18</v>
      </c>
      <c r="D2621" s="1">
        <v>24359.0</v>
      </c>
      <c r="E2621" s="1" t="s">
        <v>77</v>
      </c>
      <c r="F2621" s="1" t="s">
        <v>54</v>
      </c>
      <c r="G2621" s="1" t="s">
        <v>21</v>
      </c>
      <c r="H2621" s="2">
        <v>3231.0</v>
      </c>
      <c r="I2621" s="2">
        <v>9006.0</v>
      </c>
      <c r="J2621" s="1">
        <v>1980.0</v>
      </c>
      <c r="K2621" s="1">
        <v>46.0</v>
      </c>
      <c r="L2621" s="1" t="s">
        <v>22</v>
      </c>
      <c r="M2621" s="1" t="s">
        <v>10520</v>
      </c>
      <c r="N2621" s="1" t="s">
        <v>24</v>
      </c>
      <c r="O2621" s="1" t="s">
        <v>49</v>
      </c>
      <c r="P2621" s="1" t="s">
        <v>10521</v>
      </c>
    </row>
    <row r="2622" ht="14.25" customHeight="1">
      <c r="A2622" s="1" t="s">
        <v>10522</v>
      </c>
      <c r="B2622" s="1" t="s">
        <v>10523</v>
      </c>
      <c r="C2622" s="1" t="s">
        <v>53</v>
      </c>
      <c r="D2622" s="1">
        <v>26190.0</v>
      </c>
      <c r="E2622" s="1" t="s">
        <v>30</v>
      </c>
      <c r="F2622" s="1" t="s">
        <v>41</v>
      </c>
      <c r="G2622" s="1" t="s">
        <v>55</v>
      </c>
      <c r="H2622" s="2">
        <v>3678.0</v>
      </c>
      <c r="I2622" s="2">
        <v>8659.0</v>
      </c>
      <c r="J2622" s="1">
        <v>2019.0</v>
      </c>
      <c r="K2622" s="1">
        <v>48.0</v>
      </c>
      <c r="L2622" s="1" t="s">
        <v>32</v>
      </c>
      <c r="M2622" s="1" t="s">
        <v>10524</v>
      </c>
      <c r="N2622" s="1" t="s">
        <v>24</v>
      </c>
      <c r="O2622" s="1" t="s">
        <v>49</v>
      </c>
      <c r="P2622" s="1" t="s">
        <v>10525</v>
      </c>
    </row>
    <row r="2623" ht="14.25" customHeight="1">
      <c r="A2623" s="1" t="s">
        <v>10526</v>
      </c>
      <c r="B2623" s="1" t="s">
        <v>10527</v>
      </c>
      <c r="C2623" s="1" t="s">
        <v>18</v>
      </c>
      <c r="D2623" s="1">
        <v>67088.0</v>
      </c>
      <c r="E2623" s="1" t="s">
        <v>30</v>
      </c>
      <c r="F2623" s="1" t="s">
        <v>94</v>
      </c>
      <c r="G2623" s="1" t="s">
        <v>21</v>
      </c>
      <c r="H2623" s="2">
        <v>1353.0</v>
      </c>
      <c r="I2623" s="2">
        <v>4933.0</v>
      </c>
      <c r="J2623" s="1">
        <v>2020.0</v>
      </c>
      <c r="K2623" s="1">
        <v>79.0</v>
      </c>
      <c r="L2623" s="1" t="s">
        <v>141</v>
      </c>
      <c r="M2623" s="1" t="s">
        <v>10528</v>
      </c>
      <c r="N2623" s="1" t="s">
        <v>43</v>
      </c>
      <c r="O2623" s="1" t="s">
        <v>25</v>
      </c>
      <c r="P2623" s="1" t="s">
        <v>10529</v>
      </c>
    </row>
    <row r="2624" ht="14.25" customHeight="1">
      <c r="A2624" s="1" t="s">
        <v>10530</v>
      </c>
      <c r="B2624" s="1" t="s">
        <v>10531</v>
      </c>
      <c r="C2624" s="1" t="s">
        <v>39</v>
      </c>
      <c r="D2624" s="1">
        <v>13557.0</v>
      </c>
      <c r="E2624" s="1" t="s">
        <v>40</v>
      </c>
      <c r="F2624" s="1" t="s">
        <v>94</v>
      </c>
      <c r="G2624" s="1" t="s">
        <v>55</v>
      </c>
      <c r="H2624" s="2">
        <v>3224.0</v>
      </c>
      <c r="I2624" s="2">
        <v>9777.0</v>
      </c>
      <c r="J2624" s="1">
        <v>2005.0</v>
      </c>
      <c r="K2624" s="1">
        <v>118.0</v>
      </c>
      <c r="L2624" s="1" t="s">
        <v>62</v>
      </c>
      <c r="M2624" s="1" t="s">
        <v>10532</v>
      </c>
      <c r="N2624" s="1" t="s">
        <v>24</v>
      </c>
      <c r="O2624" s="1" t="s">
        <v>49</v>
      </c>
      <c r="P2624" s="1" t="s">
        <v>10533</v>
      </c>
    </row>
    <row r="2625" ht="14.25" customHeight="1">
      <c r="A2625" s="1" t="s">
        <v>10534</v>
      </c>
      <c r="B2625" s="1" t="s">
        <v>10535</v>
      </c>
      <c r="C2625" s="1" t="s">
        <v>76</v>
      </c>
      <c r="D2625" s="1">
        <v>45797.0</v>
      </c>
      <c r="E2625" s="1" t="s">
        <v>30</v>
      </c>
      <c r="F2625" s="1" t="s">
        <v>46</v>
      </c>
      <c r="G2625" s="1" t="s">
        <v>55</v>
      </c>
      <c r="H2625" s="2">
        <v>2648.0</v>
      </c>
      <c r="I2625" s="2">
        <v>7956.0</v>
      </c>
      <c r="J2625" s="1">
        <v>1958.0</v>
      </c>
      <c r="K2625" s="1">
        <v>68.0</v>
      </c>
      <c r="L2625" s="1" t="s">
        <v>22</v>
      </c>
      <c r="M2625" s="1" t="s">
        <v>10536</v>
      </c>
      <c r="N2625" s="1" t="s">
        <v>24</v>
      </c>
      <c r="O2625" s="1" t="s">
        <v>25</v>
      </c>
      <c r="P2625" s="1" t="s">
        <v>10537</v>
      </c>
    </row>
    <row r="2626" ht="14.25" customHeight="1">
      <c r="A2626" s="1" t="s">
        <v>10538</v>
      </c>
      <c r="B2626" s="1" t="s">
        <v>10539</v>
      </c>
      <c r="C2626" s="1" t="s">
        <v>39</v>
      </c>
      <c r="D2626" s="1">
        <v>50963.0</v>
      </c>
      <c r="E2626" s="1" t="s">
        <v>30</v>
      </c>
      <c r="F2626" s="1" t="s">
        <v>20</v>
      </c>
      <c r="G2626" s="1" t="s">
        <v>100</v>
      </c>
      <c r="H2626" s="2">
        <v>1512.0</v>
      </c>
      <c r="I2626" s="2">
        <v>4251.0</v>
      </c>
      <c r="J2626" s="1">
        <v>1990.0</v>
      </c>
      <c r="K2626" s="1">
        <v>6.0</v>
      </c>
      <c r="L2626" s="1" t="s">
        <v>22</v>
      </c>
      <c r="M2626" s="1" t="s">
        <v>10540</v>
      </c>
      <c r="N2626" s="1" t="s">
        <v>48</v>
      </c>
      <c r="O2626" s="1" t="s">
        <v>25</v>
      </c>
      <c r="P2626" s="1" t="s">
        <v>10541</v>
      </c>
    </row>
    <row r="2627" ht="14.25" customHeight="1">
      <c r="A2627" s="1" t="s">
        <v>10542</v>
      </c>
      <c r="B2627" s="1" t="s">
        <v>10543</v>
      </c>
      <c r="C2627" s="1" t="s">
        <v>18</v>
      </c>
      <c r="D2627" s="1">
        <v>38624.0</v>
      </c>
      <c r="E2627" s="1" t="s">
        <v>19</v>
      </c>
      <c r="F2627" s="1" t="s">
        <v>20</v>
      </c>
      <c r="G2627" s="1" t="s">
        <v>31</v>
      </c>
      <c r="H2627" s="2">
        <v>1200.0</v>
      </c>
      <c r="I2627" s="2">
        <v>1804.0</v>
      </c>
      <c r="J2627" s="1">
        <v>1991.0</v>
      </c>
      <c r="K2627" s="1">
        <v>56.0</v>
      </c>
      <c r="L2627" s="1" t="s">
        <v>62</v>
      </c>
      <c r="M2627" s="1" t="s">
        <v>10544</v>
      </c>
      <c r="N2627" s="1" t="s">
        <v>34</v>
      </c>
      <c r="O2627" s="1" t="s">
        <v>35</v>
      </c>
      <c r="P2627" s="1" t="s">
        <v>10545</v>
      </c>
    </row>
    <row r="2628" ht="14.25" customHeight="1">
      <c r="A2628" s="1" t="s">
        <v>10546</v>
      </c>
      <c r="B2628" s="1" t="s">
        <v>10547</v>
      </c>
      <c r="C2628" s="1" t="s">
        <v>29</v>
      </c>
      <c r="D2628" s="1">
        <v>39426.0</v>
      </c>
      <c r="E2628" s="1" t="s">
        <v>19</v>
      </c>
      <c r="F2628" s="1" t="s">
        <v>94</v>
      </c>
      <c r="G2628" s="1" t="s">
        <v>31</v>
      </c>
      <c r="H2628" s="2">
        <v>653.0</v>
      </c>
      <c r="I2628" s="2">
        <v>3243.0</v>
      </c>
      <c r="J2628" s="1">
        <v>1976.0</v>
      </c>
      <c r="K2628" s="1">
        <v>29.0</v>
      </c>
      <c r="L2628" s="1" t="s">
        <v>62</v>
      </c>
      <c r="M2628" s="1" t="s">
        <v>10548</v>
      </c>
      <c r="N2628" s="1" t="s">
        <v>48</v>
      </c>
      <c r="O2628" s="1" t="s">
        <v>35</v>
      </c>
      <c r="P2628" s="1" t="s">
        <v>10549</v>
      </c>
    </row>
    <row r="2629" ht="14.25" customHeight="1">
      <c r="A2629" s="1" t="s">
        <v>10550</v>
      </c>
      <c r="B2629" s="1" t="s">
        <v>10551</v>
      </c>
      <c r="C2629" s="1" t="s">
        <v>39</v>
      </c>
      <c r="D2629" s="1">
        <v>35587.0</v>
      </c>
      <c r="E2629" s="1" t="s">
        <v>60</v>
      </c>
      <c r="F2629" s="1" t="s">
        <v>20</v>
      </c>
      <c r="G2629" s="1" t="s">
        <v>100</v>
      </c>
      <c r="H2629" s="2">
        <v>2421.0</v>
      </c>
      <c r="I2629" s="2">
        <v>1738.0</v>
      </c>
      <c r="J2629" s="1">
        <v>1959.0</v>
      </c>
      <c r="K2629" s="1">
        <v>16.0</v>
      </c>
      <c r="L2629" s="1" t="s">
        <v>32</v>
      </c>
      <c r="M2629" s="1" t="s">
        <v>10552</v>
      </c>
      <c r="N2629" s="1" t="s">
        <v>24</v>
      </c>
      <c r="O2629" s="1" t="s">
        <v>49</v>
      </c>
      <c r="P2629" s="1" t="s">
        <v>10553</v>
      </c>
    </row>
    <row r="2630" ht="14.25" customHeight="1">
      <c r="A2630" s="1" t="s">
        <v>10554</v>
      </c>
      <c r="B2630" s="1" t="s">
        <v>10555</v>
      </c>
      <c r="C2630" s="1" t="s">
        <v>76</v>
      </c>
      <c r="D2630" s="1">
        <v>73490.0</v>
      </c>
      <c r="E2630" s="1" t="s">
        <v>77</v>
      </c>
      <c r="F2630" s="1" t="s">
        <v>61</v>
      </c>
      <c r="G2630" s="1" t="s">
        <v>55</v>
      </c>
      <c r="H2630" s="2">
        <v>3489.0</v>
      </c>
      <c r="I2630" s="2">
        <v>3663.0</v>
      </c>
      <c r="J2630" s="1">
        <v>1973.0</v>
      </c>
      <c r="K2630" s="1">
        <v>40.0</v>
      </c>
      <c r="L2630" s="1" t="s">
        <v>62</v>
      </c>
      <c r="M2630" s="1" t="s">
        <v>10556</v>
      </c>
      <c r="N2630" s="1" t="s">
        <v>24</v>
      </c>
      <c r="O2630" s="1" t="s">
        <v>35</v>
      </c>
      <c r="P2630" s="1" t="s">
        <v>10557</v>
      </c>
    </row>
    <row r="2631" ht="14.25" customHeight="1">
      <c r="A2631" s="1" t="s">
        <v>10558</v>
      </c>
      <c r="B2631" s="1" t="s">
        <v>10559</v>
      </c>
      <c r="C2631" s="1" t="s">
        <v>18</v>
      </c>
      <c r="D2631" s="1">
        <v>71253.0</v>
      </c>
      <c r="E2631" s="1" t="s">
        <v>60</v>
      </c>
      <c r="F2631" s="1" t="s">
        <v>41</v>
      </c>
      <c r="G2631" s="1" t="s">
        <v>31</v>
      </c>
      <c r="H2631" s="2">
        <v>828.0</v>
      </c>
      <c r="I2631" s="2">
        <v>3281.0</v>
      </c>
      <c r="J2631" s="1">
        <v>1982.0</v>
      </c>
      <c r="K2631" s="1">
        <v>80.0</v>
      </c>
      <c r="L2631" s="1" t="s">
        <v>32</v>
      </c>
      <c r="M2631" s="1" t="s">
        <v>10560</v>
      </c>
      <c r="N2631" s="1" t="s">
        <v>48</v>
      </c>
      <c r="O2631" s="1" t="s">
        <v>49</v>
      </c>
      <c r="P2631" s="1" t="s">
        <v>10561</v>
      </c>
    </row>
    <row r="2632" ht="14.25" customHeight="1">
      <c r="A2632" s="1" t="s">
        <v>10562</v>
      </c>
      <c r="B2632" s="1" t="s">
        <v>10563</v>
      </c>
      <c r="C2632" s="1" t="s">
        <v>39</v>
      </c>
      <c r="D2632" s="1">
        <v>44938.0</v>
      </c>
      <c r="E2632" s="1" t="s">
        <v>40</v>
      </c>
      <c r="F2632" s="1" t="s">
        <v>94</v>
      </c>
      <c r="G2632" s="1" t="s">
        <v>55</v>
      </c>
      <c r="H2632" s="2">
        <v>824.0</v>
      </c>
      <c r="I2632" s="2">
        <v>4458.0</v>
      </c>
      <c r="J2632" s="1">
        <v>1981.0</v>
      </c>
      <c r="K2632" s="1">
        <v>105.0</v>
      </c>
      <c r="L2632" s="1" t="s">
        <v>141</v>
      </c>
      <c r="M2632" s="1" t="s">
        <v>10564</v>
      </c>
      <c r="N2632" s="1" t="s">
        <v>48</v>
      </c>
      <c r="O2632" s="1" t="s">
        <v>35</v>
      </c>
      <c r="P2632" s="1" t="s">
        <v>10565</v>
      </c>
    </row>
    <row r="2633" ht="14.25" customHeight="1">
      <c r="A2633" s="1" t="s">
        <v>10566</v>
      </c>
      <c r="B2633" s="1" t="s">
        <v>10567</v>
      </c>
      <c r="C2633" s="1" t="s">
        <v>39</v>
      </c>
      <c r="D2633" s="1">
        <v>43399.0</v>
      </c>
      <c r="E2633" s="1" t="s">
        <v>19</v>
      </c>
      <c r="F2633" s="1" t="s">
        <v>20</v>
      </c>
      <c r="G2633" s="1" t="s">
        <v>100</v>
      </c>
      <c r="H2633" s="2">
        <v>3753.0</v>
      </c>
      <c r="I2633" s="2">
        <v>8564.0</v>
      </c>
      <c r="J2633" s="1">
        <v>1979.0</v>
      </c>
      <c r="K2633" s="1">
        <v>25.0</v>
      </c>
      <c r="L2633" s="1" t="s">
        <v>32</v>
      </c>
      <c r="M2633" s="1" t="s">
        <v>10568</v>
      </c>
      <c r="N2633" s="1" t="s">
        <v>48</v>
      </c>
      <c r="O2633" s="1" t="s">
        <v>35</v>
      </c>
      <c r="P2633" s="1" t="s">
        <v>10569</v>
      </c>
    </row>
    <row r="2634" ht="14.25" customHeight="1">
      <c r="A2634" s="1" t="s">
        <v>10570</v>
      </c>
      <c r="B2634" s="1" t="s">
        <v>10571</v>
      </c>
      <c r="C2634" s="1" t="s">
        <v>39</v>
      </c>
      <c r="D2634" s="1">
        <v>44942.0</v>
      </c>
      <c r="E2634" s="1" t="s">
        <v>19</v>
      </c>
      <c r="F2634" s="1" t="s">
        <v>41</v>
      </c>
      <c r="G2634" s="1" t="s">
        <v>55</v>
      </c>
      <c r="H2634" s="2">
        <v>2586.0</v>
      </c>
      <c r="I2634" s="2">
        <v>9932.0</v>
      </c>
      <c r="J2634" s="1">
        <v>2008.0</v>
      </c>
      <c r="K2634" s="1">
        <v>9.0</v>
      </c>
      <c r="L2634" s="1" t="s">
        <v>32</v>
      </c>
      <c r="M2634" s="1" t="s">
        <v>10572</v>
      </c>
      <c r="N2634" s="1" t="s">
        <v>48</v>
      </c>
      <c r="O2634" s="1" t="s">
        <v>49</v>
      </c>
      <c r="P2634" s="1" t="s">
        <v>10573</v>
      </c>
    </row>
    <row r="2635" ht="14.25" customHeight="1">
      <c r="A2635" s="1" t="s">
        <v>10574</v>
      </c>
      <c r="B2635" s="1" t="s">
        <v>10575</v>
      </c>
      <c r="C2635" s="1" t="s">
        <v>39</v>
      </c>
      <c r="D2635" s="1">
        <v>79679.0</v>
      </c>
      <c r="E2635" s="1" t="s">
        <v>60</v>
      </c>
      <c r="F2635" s="1" t="s">
        <v>20</v>
      </c>
      <c r="G2635" s="1" t="s">
        <v>100</v>
      </c>
      <c r="H2635" s="2">
        <v>917.0</v>
      </c>
      <c r="I2635" s="2">
        <v>3505.0</v>
      </c>
      <c r="J2635" s="1">
        <v>1959.0</v>
      </c>
      <c r="K2635" s="1">
        <v>67.0</v>
      </c>
      <c r="L2635" s="1" t="s">
        <v>22</v>
      </c>
      <c r="M2635" s="1" t="s">
        <v>10576</v>
      </c>
      <c r="N2635" s="1" t="s">
        <v>64</v>
      </c>
      <c r="O2635" s="1" t="s">
        <v>49</v>
      </c>
      <c r="P2635" s="1" t="s">
        <v>10577</v>
      </c>
    </row>
    <row r="2636" ht="14.25" customHeight="1">
      <c r="A2636" s="1" t="s">
        <v>10578</v>
      </c>
      <c r="B2636" s="1" t="s">
        <v>10579</v>
      </c>
      <c r="C2636" s="1" t="s">
        <v>53</v>
      </c>
      <c r="D2636" s="1">
        <v>35408.0</v>
      </c>
      <c r="E2636" s="1" t="s">
        <v>40</v>
      </c>
      <c r="F2636" s="1" t="s">
        <v>46</v>
      </c>
      <c r="G2636" s="1" t="s">
        <v>21</v>
      </c>
      <c r="H2636" s="2">
        <v>873.0</v>
      </c>
      <c r="I2636" s="2">
        <v>5439.0</v>
      </c>
      <c r="J2636" s="1">
        <v>1984.0</v>
      </c>
      <c r="K2636" s="1">
        <v>5.0</v>
      </c>
      <c r="L2636" s="1" t="s">
        <v>95</v>
      </c>
      <c r="M2636" s="1" t="s">
        <v>10580</v>
      </c>
      <c r="N2636" s="1" t="s">
        <v>64</v>
      </c>
      <c r="O2636" s="1" t="s">
        <v>35</v>
      </c>
      <c r="P2636" s="1" t="s">
        <v>10581</v>
      </c>
    </row>
    <row r="2637" ht="14.25" customHeight="1">
      <c r="A2637" s="1" t="s">
        <v>10582</v>
      </c>
      <c r="B2637" s="1" t="s">
        <v>10583</v>
      </c>
      <c r="C2637" s="1" t="s">
        <v>53</v>
      </c>
      <c r="D2637" s="1">
        <v>52754.0</v>
      </c>
      <c r="E2637" s="1" t="s">
        <v>30</v>
      </c>
      <c r="F2637" s="1" t="s">
        <v>20</v>
      </c>
      <c r="G2637" s="1" t="s">
        <v>31</v>
      </c>
      <c r="H2637" s="2">
        <v>3630.0</v>
      </c>
      <c r="I2637" s="2">
        <v>5094.0</v>
      </c>
      <c r="J2637" s="1">
        <v>2005.0</v>
      </c>
      <c r="K2637" s="1">
        <v>117.0</v>
      </c>
      <c r="L2637" s="1" t="s">
        <v>22</v>
      </c>
      <c r="M2637" s="1" t="s">
        <v>10584</v>
      </c>
      <c r="N2637" s="1" t="s">
        <v>43</v>
      </c>
      <c r="O2637" s="1" t="s">
        <v>49</v>
      </c>
      <c r="P2637" s="1" t="s">
        <v>10585</v>
      </c>
    </row>
    <row r="2638" ht="14.25" customHeight="1">
      <c r="A2638" s="1" t="s">
        <v>10586</v>
      </c>
      <c r="B2638" s="1" t="s">
        <v>10587</v>
      </c>
      <c r="C2638" s="1" t="s">
        <v>76</v>
      </c>
      <c r="D2638" s="1">
        <v>59991.0</v>
      </c>
      <c r="E2638" s="1" t="s">
        <v>60</v>
      </c>
      <c r="F2638" s="1" t="s">
        <v>41</v>
      </c>
      <c r="G2638" s="1" t="s">
        <v>100</v>
      </c>
      <c r="H2638" s="2">
        <v>612.0</v>
      </c>
      <c r="I2638" s="2">
        <v>3259.0</v>
      </c>
      <c r="J2638" s="1">
        <v>1977.0</v>
      </c>
      <c r="K2638" s="1">
        <v>18.0</v>
      </c>
      <c r="L2638" s="1" t="s">
        <v>32</v>
      </c>
      <c r="M2638" s="1" t="s">
        <v>10588</v>
      </c>
      <c r="N2638" s="1" t="s">
        <v>64</v>
      </c>
      <c r="O2638" s="1" t="s">
        <v>35</v>
      </c>
      <c r="P2638" s="1" t="s">
        <v>10589</v>
      </c>
    </row>
    <row r="2639" ht="14.25" customHeight="1">
      <c r="A2639" s="1" t="s">
        <v>10590</v>
      </c>
      <c r="B2639" s="1" t="s">
        <v>10591</v>
      </c>
      <c r="C2639" s="1" t="s">
        <v>18</v>
      </c>
      <c r="D2639" s="1">
        <v>65240.0</v>
      </c>
      <c r="E2639" s="1" t="s">
        <v>30</v>
      </c>
      <c r="F2639" s="1" t="s">
        <v>20</v>
      </c>
      <c r="G2639" s="1" t="s">
        <v>100</v>
      </c>
      <c r="H2639" s="2">
        <v>3607.0</v>
      </c>
      <c r="I2639" s="2">
        <v>4500.0</v>
      </c>
      <c r="J2639" s="1">
        <v>1959.0</v>
      </c>
      <c r="K2639" s="1">
        <v>81.0</v>
      </c>
      <c r="L2639" s="1" t="s">
        <v>32</v>
      </c>
      <c r="M2639" s="1" t="s">
        <v>10592</v>
      </c>
      <c r="N2639" s="1" t="s">
        <v>24</v>
      </c>
      <c r="O2639" s="1" t="s">
        <v>49</v>
      </c>
      <c r="P2639" s="1" t="s">
        <v>10593</v>
      </c>
    </row>
    <row r="2640" ht="14.25" customHeight="1">
      <c r="A2640" s="1" t="s">
        <v>10594</v>
      </c>
      <c r="B2640" s="1" t="s">
        <v>10595</v>
      </c>
      <c r="C2640" s="1" t="s">
        <v>18</v>
      </c>
      <c r="D2640" s="1">
        <v>89898.0</v>
      </c>
      <c r="E2640" s="1" t="s">
        <v>77</v>
      </c>
      <c r="F2640" s="1" t="s">
        <v>54</v>
      </c>
      <c r="G2640" s="1" t="s">
        <v>55</v>
      </c>
      <c r="H2640" s="2">
        <v>3379.0</v>
      </c>
      <c r="I2640" s="2">
        <v>1263.0</v>
      </c>
      <c r="J2640" s="1">
        <v>1992.0</v>
      </c>
      <c r="K2640" s="1">
        <v>102.0</v>
      </c>
      <c r="L2640" s="1" t="s">
        <v>141</v>
      </c>
      <c r="M2640" s="1" t="s">
        <v>10596</v>
      </c>
      <c r="N2640" s="1" t="s">
        <v>64</v>
      </c>
      <c r="O2640" s="1" t="s">
        <v>35</v>
      </c>
      <c r="P2640" s="1" t="s">
        <v>10597</v>
      </c>
    </row>
    <row r="2641" ht="14.25" customHeight="1">
      <c r="A2641" s="1" t="s">
        <v>10598</v>
      </c>
      <c r="B2641" s="1" t="s">
        <v>10599</v>
      </c>
      <c r="C2641" s="1" t="s">
        <v>53</v>
      </c>
      <c r="D2641" s="1">
        <v>86802.0</v>
      </c>
      <c r="E2641" s="1" t="s">
        <v>60</v>
      </c>
      <c r="F2641" s="1" t="s">
        <v>46</v>
      </c>
      <c r="G2641" s="1" t="s">
        <v>100</v>
      </c>
      <c r="H2641" s="2">
        <v>1664.0</v>
      </c>
      <c r="I2641" s="2">
        <v>8392.0</v>
      </c>
      <c r="J2641" s="1">
        <v>1993.0</v>
      </c>
      <c r="K2641" s="1">
        <v>104.0</v>
      </c>
      <c r="L2641" s="1" t="s">
        <v>141</v>
      </c>
      <c r="M2641" s="1" t="s">
        <v>10600</v>
      </c>
      <c r="N2641" s="1" t="s">
        <v>48</v>
      </c>
      <c r="O2641" s="1" t="s">
        <v>35</v>
      </c>
      <c r="P2641" s="1" t="s">
        <v>10601</v>
      </c>
    </row>
    <row r="2642" ht="14.25" customHeight="1">
      <c r="A2642" s="1" t="s">
        <v>10602</v>
      </c>
      <c r="B2642" s="1" t="s">
        <v>10603</v>
      </c>
      <c r="C2642" s="1" t="s">
        <v>53</v>
      </c>
      <c r="D2642" s="1">
        <v>86926.0</v>
      </c>
      <c r="E2642" s="1" t="s">
        <v>60</v>
      </c>
      <c r="F2642" s="1" t="s">
        <v>46</v>
      </c>
      <c r="G2642" s="1" t="s">
        <v>21</v>
      </c>
      <c r="H2642" s="2">
        <v>688.0</v>
      </c>
      <c r="I2642" s="2">
        <v>2415.0</v>
      </c>
      <c r="J2642" s="1">
        <v>2017.0</v>
      </c>
      <c r="K2642" s="1">
        <v>92.0</v>
      </c>
      <c r="L2642" s="1" t="s">
        <v>141</v>
      </c>
      <c r="M2642" s="1" t="s">
        <v>10604</v>
      </c>
      <c r="N2642" s="1" t="s">
        <v>64</v>
      </c>
      <c r="O2642" s="1" t="s">
        <v>49</v>
      </c>
      <c r="P2642" s="1" t="s">
        <v>10605</v>
      </c>
    </row>
    <row r="2643" ht="14.25" customHeight="1">
      <c r="A2643" s="1" t="s">
        <v>10606</v>
      </c>
      <c r="B2643" s="1" t="s">
        <v>10607</v>
      </c>
      <c r="C2643" s="1" t="s">
        <v>29</v>
      </c>
      <c r="D2643" s="1">
        <v>80351.0</v>
      </c>
      <c r="E2643" s="1" t="s">
        <v>77</v>
      </c>
      <c r="F2643" s="1" t="s">
        <v>20</v>
      </c>
      <c r="G2643" s="1" t="s">
        <v>31</v>
      </c>
      <c r="H2643" s="2">
        <v>716.0</v>
      </c>
      <c r="I2643" s="2">
        <v>1882.0</v>
      </c>
      <c r="J2643" s="1">
        <v>1967.0</v>
      </c>
      <c r="K2643" s="1">
        <v>113.0</v>
      </c>
      <c r="L2643" s="1" t="s">
        <v>22</v>
      </c>
      <c r="M2643" s="1" t="s">
        <v>10608</v>
      </c>
      <c r="N2643" s="1" t="s">
        <v>64</v>
      </c>
      <c r="O2643" s="1" t="s">
        <v>35</v>
      </c>
      <c r="P2643" s="1" t="s">
        <v>10609</v>
      </c>
    </row>
    <row r="2644" ht="14.25" customHeight="1">
      <c r="A2644" s="1" t="s">
        <v>10610</v>
      </c>
      <c r="B2644" s="1" t="s">
        <v>10611</v>
      </c>
      <c r="C2644" s="1" t="s">
        <v>29</v>
      </c>
      <c r="D2644" s="1">
        <v>35778.0</v>
      </c>
      <c r="E2644" s="1" t="s">
        <v>60</v>
      </c>
      <c r="F2644" s="1" t="s">
        <v>54</v>
      </c>
      <c r="G2644" s="1" t="s">
        <v>31</v>
      </c>
      <c r="H2644" s="2">
        <v>1387.0</v>
      </c>
      <c r="I2644" s="2">
        <v>4226.0</v>
      </c>
      <c r="J2644" s="1">
        <v>1998.0</v>
      </c>
      <c r="K2644" s="1">
        <v>30.0</v>
      </c>
      <c r="L2644" s="1" t="s">
        <v>32</v>
      </c>
      <c r="M2644" s="1" t="s">
        <v>10612</v>
      </c>
      <c r="N2644" s="1" t="s">
        <v>48</v>
      </c>
      <c r="O2644" s="1" t="s">
        <v>35</v>
      </c>
      <c r="P2644" s="1" t="s">
        <v>10613</v>
      </c>
    </row>
    <row r="2645" ht="14.25" customHeight="1">
      <c r="A2645" s="1" t="s">
        <v>10614</v>
      </c>
      <c r="B2645" s="1" t="s">
        <v>10615</v>
      </c>
      <c r="C2645" s="1" t="s">
        <v>18</v>
      </c>
      <c r="D2645" s="1">
        <v>86871.0</v>
      </c>
      <c r="E2645" s="1" t="s">
        <v>77</v>
      </c>
      <c r="F2645" s="1" t="s">
        <v>46</v>
      </c>
      <c r="G2645" s="1" t="s">
        <v>31</v>
      </c>
      <c r="H2645" s="2">
        <v>1540.0</v>
      </c>
      <c r="I2645" s="2">
        <v>6242.0</v>
      </c>
      <c r="J2645" s="1">
        <v>2019.0</v>
      </c>
      <c r="K2645" s="1">
        <v>67.0</v>
      </c>
      <c r="L2645" s="1" t="s">
        <v>32</v>
      </c>
      <c r="M2645" s="1" t="s">
        <v>10616</v>
      </c>
      <c r="N2645" s="1" t="s">
        <v>34</v>
      </c>
      <c r="O2645" s="1" t="s">
        <v>35</v>
      </c>
      <c r="P2645" s="1" t="s">
        <v>10617</v>
      </c>
    </row>
    <row r="2646" ht="14.25" customHeight="1">
      <c r="A2646" s="1" t="s">
        <v>10618</v>
      </c>
      <c r="B2646" s="1" t="s">
        <v>10619</v>
      </c>
      <c r="C2646" s="1" t="s">
        <v>76</v>
      </c>
      <c r="D2646" s="1">
        <v>51805.0</v>
      </c>
      <c r="E2646" s="1" t="s">
        <v>60</v>
      </c>
      <c r="F2646" s="1" t="s">
        <v>54</v>
      </c>
      <c r="G2646" s="1" t="s">
        <v>100</v>
      </c>
      <c r="H2646" s="2">
        <v>3276.0</v>
      </c>
      <c r="I2646" s="2">
        <v>6338.0</v>
      </c>
      <c r="J2646" s="1">
        <v>1998.0</v>
      </c>
      <c r="K2646" s="1">
        <v>78.0</v>
      </c>
      <c r="L2646" s="1" t="s">
        <v>32</v>
      </c>
      <c r="M2646" s="1" t="s">
        <v>10620</v>
      </c>
      <c r="N2646" s="1" t="s">
        <v>48</v>
      </c>
      <c r="O2646" s="1" t="s">
        <v>35</v>
      </c>
      <c r="P2646" s="1" t="s">
        <v>10621</v>
      </c>
    </row>
    <row r="2647" ht="14.25" customHeight="1">
      <c r="A2647" s="1" t="s">
        <v>10622</v>
      </c>
      <c r="B2647" s="1" t="s">
        <v>10623</v>
      </c>
      <c r="C2647" s="1" t="s">
        <v>29</v>
      </c>
      <c r="D2647" s="1">
        <v>16407.0</v>
      </c>
      <c r="E2647" s="1" t="s">
        <v>77</v>
      </c>
      <c r="F2647" s="1" t="s">
        <v>61</v>
      </c>
      <c r="G2647" s="1" t="s">
        <v>31</v>
      </c>
      <c r="H2647" s="2">
        <v>2049.0</v>
      </c>
      <c r="I2647" s="2">
        <v>9210.0</v>
      </c>
      <c r="J2647" s="1">
        <v>1969.0</v>
      </c>
      <c r="K2647" s="1">
        <v>67.0</v>
      </c>
      <c r="L2647" s="1" t="s">
        <v>22</v>
      </c>
      <c r="M2647" s="1" t="s">
        <v>10624</v>
      </c>
      <c r="N2647" s="1" t="s">
        <v>48</v>
      </c>
      <c r="O2647" s="1" t="s">
        <v>49</v>
      </c>
      <c r="P2647" s="1" t="s">
        <v>10625</v>
      </c>
    </row>
    <row r="2648" ht="14.25" customHeight="1">
      <c r="A2648" s="1" t="s">
        <v>10626</v>
      </c>
      <c r="B2648" s="1" t="s">
        <v>10627</v>
      </c>
      <c r="C2648" s="1" t="s">
        <v>53</v>
      </c>
      <c r="D2648" s="1">
        <v>83882.0</v>
      </c>
      <c r="E2648" s="1" t="s">
        <v>30</v>
      </c>
      <c r="F2648" s="1" t="s">
        <v>20</v>
      </c>
      <c r="G2648" s="1" t="s">
        <v>31</v>
      </c>
      <c r="H2648" s="2">
        <v>3240.0</v>
      </c>
      <c r="I2648" s="2">
        <v>9748.0</v>
      </c>
      <c r="J2648" s="1">
        <v>1971.0</v>
      </c>
      <c r="K2648" s="1">
        <v>55.0</v>
      </c>
      <c r="L2648" s="1" t="s">
        <v>141</v>
      </c>
      <c r="M2648" s="1" t="s">
        <v>10628</v>
      </c>
      <c r="N2648" s="1" t="s">
        <v>43</v>
      </c>
      <c r="O2648" s="1" t="s">
        <v>49</v>
      </c>
      <c r="P2648" s="1" t="s">
        <v>10629</v>
      </c>
    </row>
    <row r="2649" ht="14.25" customHeight="1">
      <c r="A2649" s="1" t="s">
        <v>10630</v>
      </c>
      <c r="B2649" s="1" t="s">
        <v>10631</v>
      </c>
      <c r="C2649" s="1" t="s">
        <v>53</v>
      </c>
      <c r="D2649" s="1">
        <v>57464.0</v>
      </c>
      <c r="E2649" s="1" t="s">
        <v>19</v>
      </c>
      <c r="F2649" s="1" t="s">
        <v>61</v>
      </c>
      <c r="G2649" s="1" t="s">
        <v>100</v>
      </c>
      <c r="H2649" s="2">
        <v>2501.0</v>
      </c>
      <c r="I2649" s="2">
        <v>4493.0</v>
      </c>
      <c r="J2649" s="1">
        <v>1958.0</v>
      </c>
      <c r="K2649" s="1">
        <v>115.0</v>
      </c>
      <c r="L2649" s="1" t="s">
        <v>22</v>
      </c>
      <c r="M2649" s="1" t="s">
        <v>10632</v>
      </c>
      <c r="N2649" s="1" t="s">
        <v>34</v>
      </c>
      <c r="O2649" s="1" t="s">
        <v>49</v>
      </c>
      <c r="P2649" s="1" t="s">
        <v>10633</v>
      </c>
    </row>
    <row r="2650" ht="14.25" customHeight="1">
      <c r="A2650" s="1" t="s">
        <v>10634</v>
      </c>
      <c r="B2650" s="1" t="s">
        <v>10635</v>
      </c>
      <c r="C2650" s="1" t="s">
        <v>76</v>
      </c>
      <c r="D2650" s="1">
        <v>55776.0</v>
      </c>
      <c r="E2650" s="1" t="s">
        <v>60</v>
      </c>
      <c r="F2650" s="1" t="s">
        <v>20</v>
      </c>
      <c r="G2650" s="1" t="s">
        <v>31</v>
      </c>
      <c r="H2650" s="2">
        <v>3194.0</v>
      </c>
      <c r="I2650" s="2">
        <v>3870.0</v>
      </c>
      <c r="J2650" s="1">
        <v>1950.0</v>
      </c>
      <c r="K2650" s="1">
        <v>69.0</v>
      </c>
      <c r="L2650" s="1" t="s">
        <v>62</v>
      </c>
      <c r="M2650" s="1" t="s">
        <v>10636</v>
      </c>
      <c r="N2650" s="1" t="s">
        <v>24</v>
      </c>
      <c r="O2650" s="1" t="s">
        <v>35</v>
      </c>
      <c r="P2650" s="1" t="s">
        <v>10637</v>
      </c>
    </row>
    <row r="2651" ht="14.25" customHeight="1">
      <c r="A2651" s="1" t="s">
        <v>10638</v>
      </c>
      <c r="B2651" s="1" t="s">
        <v>10639</v>
      </c>
      <c r="C2651" s="1" t="s">
        <v>18</v>
      </c>
      <c r="D2651" s="1">
        <v>62730.0</v>
      </c>
      <c r="E2651" s="1" t="s">
        <v>77</v>
      </c>
      <c r="F2651" s="1" t="s">
        <v>41</v>
      </c>
      <c r="G2651" s="1" t="s">
        <v>55</v>
      </c>
      <c r="H2651" s="2">
        <v>3117.0</v>
      </c>
      <c r="I2651" s="2">
        <v>9659.0</v>
      </c>
      <c r="J2651" s="1">
        <v>2015.0</v>
      </c>
      <c r="K2651" s="1">
        <v>24.0</v>
      </c>
      <c r="L2651" s="1" t="s">
        <v>95</v>
      </c>
      <c r="M2651" s="1" t="s">
        <v>10640</v>
      </c>
      <c r="N2651" s="1" t="s">
        <v>64</v>
      </c>
      <c r="O2651" s="1" t="s">
        <v>35</v>
      </c>
      <c r="P2651" s="1" t="s">
        <v>10641</v>
      </c>
    </row>
    <row r="2652" ht="14.25" customHeight="1">
      <c r="A2652" s="1" t="s">
        <v>10642</v>
      </c>
      <c r="B2652" s="1" t="s">
        <v>10643</v>
      </c>
      <c r="C2652" s="1" t="s">
        <v>53</v>
      </c>
      <c r="D2652" s="1">
        <v>30028.0</v>
      </c>
      <c r="E2652" s="1" t="s">
        <v>19</v>
      </c>
      <c r="F2652" s="1" t="s">
        <v>46</v>
      </c>
      <c r="G2652" s="1" t="s">
        <v>31</v>
      </c>
      <c r="H2652" s="2">
        <v>3063.0</v>
      </c>
      <c r="I2652" s="2">
        <v>5881.0</v>
      </c>
      <c r="J2652" s="1">
        <v>2005.0</v>
      </c>
      <c r="K2652" s="1">
        <v>22.0</v>
      </c>
      <c r="L2652" s="1" t="s">
        <v>22</v>
      </c>
      <c r="M2652" s="1" t="s">
        <v>10644</v>
      </c>
      <c r="N2652" s="1" t="s">
        <v>64</v>
      </c>
      <c r="O2652" s="1" t="s">
        <v>25</v>
      </c>
      <c r="P2652" s="1" t="s">
        <v>10645</v>
      </c>
    </row>
    <row r="2653" ht="14.25" customHeight="1">
      <c r="A2653" s="1" t="s">
        <v>10646</v>
      </c>
      <c r="B2653" s="1" t="s">
        <v>10647</v>
      </c>
      <c r="C2653" s="1" t="s">
        <v>39</v>
      </c>
      <c r="D2653" s="1">
        <v>85906.0</v>
      </c>
      <c r="E2653" s="1" t="s">
        <v>30</v>
      </c>
      <c r="F2653" s="1" t="s">
        <v>94</v>
      </c>
      <c r="G2653" s="1" t="s">
        <v>21</v>
      </c>
      <c r="H2653" s="2">
        <v>719.0</v>
      </c>
      <c r="I2653" s="2">
        <v>1166.0</v>
      </c>
      <c r="J2653" s="1">
        <v>2023.0</v>
      </c>
      <c r="K2653" s="1">
        <v>115.0</v>
      </c>
      <c r="L2653" s="1" t="s">
        <v>95</v>
      </c>
      <c r="M2653" s="1" t="s">
        <v>10648</v>
      </c>
      <c r="N2653" s="1" t="s">
        <v>24</v>
      </c>
      <c r="O2653" s="1" t="s">
        <v>35</v>
      </c>
      <c r="P2653" s="1" t="s">
        <v>10649</v>
      </c>
    </row>
    <row r="2654" ht="14.25" customHeight="1">
      <c r="A2654" s="1" t="s">
        <v>10650</v>
      </c>
      <c r="B2654" s="1" t="s">
        <v>10651</v>
      </c>
      <c r="C2654" s="1" t="s">
        <v>53</v>
      </c>
      <c r="D2654" s="1">
        <v>62853.0</v>
      </c>
      <c r="E2654" s="1" t="s">
        <v>77</v>
      </c>
      <c r="F2654" s="1" t="s">
        <v>61</v>
      </c>
      <c r="G2654" s="1" t="s">
        <v>100</v>
      </c>
      <c r="H2654" s="2">
        <v>3530.0</v>
      </c>
      <c r="I2654" s="2">
        <v>3648.0</v>
      </c>
      <c r="J2654" s="1">
        <v>1996.0</v>
      </c>
      <c r="K2654" s="1">
        <v>63.0</v>
      </c>
      <c r="L2654" s="1" t="s">
        <v>62</v>
      </c>
      <c r="M2654" s="1" t="s">
        <v>10652</v>
      </c>
      <c r="N2654" s="1" t="s">
        <v>43</v>
      </c>
      <c r="O2654" s="1" t="s">
        <v>49</v>
      </c>
      <c r="P2654" s="1" t="s">
        <v>10653</v>
      </c>
    </row>
    <row r="2655" ht="14.25" customHeight="1">
      <c r="A2655" s="1" t="s">
        <v>10654</v>
      </c>
      <c r="B2655" s="1" t="s">
        <v>10655</v>
      </c>
      <c r="C2655" s="1" t="s">
        <v>53</v>
      </c>
      <c r="D2655" s="1">
        <v>35374.0</v>
      </c>
      <c r="E2655" s="1" t="s">
        <v>60</v>
      </c>
      <c r="F2655" s="1" t="s">
        <v>46</v>
      </c>
      <c r="G2655" s="1" t="s">
        <v>31</v>
      </c>
      <c r="H2655" s="2">
        <v>1976.0</v>
      </c>
      <c r="I2655" s="2">
        <v>6619.0</v>
      </c>
      <c r="J2655" s="1">
        <v>1966.0</v>
      </c>
      <c r="K2655" s="1">
        <v>102.0</v>
      </c>
      <c r="L2655" s="1" t="s">
        <v>22</v>
      </c>
      <c r="M2655" s="1" t="s">
        <v>10656</v>
      </c>
      <c r="N2655" s="1" t="s">
        <v>34</v>
      </c>
      <c r="O2655" s="1" t="s">
        <v>49</v>
      </c>
      <c r="P2655" s="1" t="s">
        <v>10657</v>
      </c>
    </row>
    <row r="2656" ht="14.25" customHeight="1">
      <c r="A2656" s="1" t="s">
        <v>10658</v>
      </c>
      <c r="B2656" s="1" t="s">
        <v>10659</v>
      </c>
      <c r="C2656" s="1" t="s">
        <v>53</v>
      </c>
      <c r="D2656" s="1">
        <v>86128.0</v>
      </c>
      <c r="E2656" s="1" t="s">
        <v>60</v>
      </c>
      <c r="F2656" s="1" t="s">
        <v>20</v>
      </c>
      <c r="G2656" s="1" t="s">
        <v>100</v>
      </c>
      <c r="H2656" s="2">
        <v>3255.0</v>
      </c>
      <c r="I2656" s="2">
        <v>7762.0</v>
      </c>
      <c r="J2656" s="1">
        <v>1964.0</v>
      </c>
      <c r="K2656" s="1">
        <v>117.0</v>
      </c>
      <c r="L2656" s="1" t="s">
        <v>62</v>
      </c>
      <c r="M2656" s="1" t="s">
        <v>10660</v>
      </c>
      <c r="N2656" s="1" t="s">
        <v>24</v>
      </c>
      <c r="O2656" s="1" t="s">
        <v>35</v>
      </c>
      <c r="P2656" s="1" t="s">
        <v>10661</v>
      </c>
    </row>
    <row r="2657" ht="14.25" customHeight="1">
      <c r="A2657" s="1" t="s">
        <v>10662</v>
      </c>
      <c r="B2657" s="1" t="s">
        <v>10663</v>
      </c>
      <c r="C2657" s="1" t="s">
        <v>18</v>
      </c>
      <c r="D2657" s="1">
        <v>31284.0</v>
      </c>
      <c r="E2657" s="1" t="s">
        <v>30</v>
      </c>
      <c r="F2657" s="1" t="s">
        <v>94</v>
      </c>
      <c r="G2657" s="1" t="s">
        <v>55</v>
      </c>
      <c r="H2657" s="2">
        <v>847.0</v>
      </c>
      <c r="I2657" s="2">
        <v>6174.0</v>
      </c>
      <c r="J2657" s="1">
        <v>1952.0</v>
      </c>
      <c r="K2657" s="1">
        <v>61.0</v>
      </c>
      <c r="L2657" s="1" t="s">
        <v>95</v>
      </c>
      <c r="M2657" s="1" t="s">
        <v>10664</v>
      </c>
      <c r="N2657" s="1" t="s">
        <v>64</v>
      </c>
      <c r="O2657" s="1" t="s">
        <v>35</v>
      </c>
      <c r="P2657" s="1" t="s">
        <v>10665</v>
      </c>
    </row>
    <row r="2658" ht="14.25" customHeight="1">
      <c r="A2658" s="1" t="s">
        <v>10666</v>
      </c>
      <c r="B2658" s="1" t="s">
        <v>10667</v>
      </c>
      <c r="C2658" s="1" t="s">
        <v>18</v>
      </c>
      <c r="D2658" s="1">
        <v>28207.0</v>
      </c>
      <c r="E2658" s="1" t="s">
        <v>40</v>
      </c>
      <c r="F2658" s="1" t="s">
        <v>54</v>
      </c>
      <c r="G2658" s="1" t="s">
        <v>31</v>
      </c>
      <c r="H2658" s="2">
        <v>3393.0</v>
      </c>
      <c r="I2658" s="2">
        <v>6673.0</v>
      </c>
      <c r="J2658" s="1">
        <v>1978.0</v>
      </c>
      <c r="K2658" s="1">
        <v>86.0</v>
      </c>
      <c r="L2658" s="1" t="s">
        <v>32</v>
      </c>
      <c r="M2658" s="1" t="s">
        <v>10668</v>
      </c>
      <c r="N2658" s="1" t="s">
        <v>43</v>
      </c>
      <c r="O2658" s="1" t="s">
        <v>35</v>
      </c>
      <c r="P2658" s="1" t="s">
        <v>10669</v>
      </c>
    </row>
    <row r="2659" ht="14.25" customHeight="1">
      <c r="A2659" s="1" t="s">
        <v>10670</v>
      </c>
      <c r="B2659" s="1" t="s">
        <v>10671</v>
      </c>
      <c r="C2659" s="1" t="s">
        <v>53</v>
      </c>
      <c r="D2659" s="1">
        <v>70569.0</v>
      </c>
      <c r="E2659" s="1" t="s">
        <v>60</v>
      </c>
      <c r="F2659" s="1" t="s">
        <v>94</v>
      </c>
      <c r="G2659" s="1" t="s">
        <v>31</v>
      </c>
      <c r="H2659" s="2">
        <v>3498.0</v>
      </c>
      <c r="I2659" s="2">
        <v>2168.0</v>
      </c>
      <c r="J2659" s="1">
        <v>1959.0</v>
      </c>
      <c r="K2659" s="1">
        <v>74.0</v>
      </c>
      <c r="L2659" s="1" t="s">
        <v>62</v>
      </c>
      <c r="M2659" s="1" t="s">
        <v>10672</v>
      </c>
      <c r="N2659" s="1" t="s">
        <v>43</v>
      </c>
      <c r="O2659" s="1" t="s">
        <v>49</v>
      </c>
      <c r="P2659" s="1" t="s">
        <v>10673</v>
      </c>
    </row>
    <row r="2660" ht="14.25" customHeight="1">
      <c r="A2660" s="1" t="s">
        <v>10674</v>
      </c>
      <c r="B2660" s="1" t="s">
        <v>10675</v>
      </c>
      <c r="C2660" s="1" t="s">
        <v>29</v>
      </c>
      <c r="D2660" s="1">
        <v>63326.0</v>
      </c>
      <c r="E2660" s="1" t="s">
        <v>19</v>
      </c>
      <c r="F2660" s="1" t="s">
        <v>41</v>
      </c>
      <c r="G2660" s="1" t="s">
        <v>31</v>
      </c>
      <c r="H2660" s="2">
        <v>1575.0</v>
      </c>
      <c r="I2660" s="2">
        <v>3011.0</v>
      </c>
      <c r="J2660" s="1">
        <v>1989.0</v>
      </c>
      <c r="K2660" s="1">
        <v>85.0</v>
      </c>
      <c r="L2660" s="1" t="s">
        <v>141</v>
      </c>
      <c r="M2660" s="1" t="s">
        <v>10676</v>
      </c>
      <c r="N2660" s="1" t="s">
        <v>64</v>
      </c>
      <c r="O2660" s="1" t="s">
        <v>35</v>
      </c>
      <c r="P2660" s="1" t="s">
        <v>10677</v>
      </c>
    </row>
    <row r="2661" ht="14.25" customHeight="1">
      <c r="A2661" s="1" t="s">
        <v>10678</v>
      </c>
      <c r="B2661" s="1" t="s">
        <v>10679</v>
      </c>
      <c r="C2661" s="1" t="s">
        <v>76</v>
      </c>
      <c r="D2661" s="1">
        <v>39748.0</v>
      </c>
      <c r="E2661" s="1" t="s">
        <v>40</v>
      </c>
      <c r="F2661" s="1" t="s">
        <v>20</v>
      </c>
      <c r="G2661" s="1" t="s">
        <v>55</v>
      </c>
      <c r="H2661" s="2">
        <v>2012.0</v>
      </c>
      <c r="I2661" s="2">
        <v>8095.0</v>
      </c>
      <c r="J2661" s="1">
        <v>2022.0</v>
      </c>
      <c r="K2661" s="1">
        <v>9.0</v>
      </c>
      <c r="L2661" s="1" t="s">
        <v>22</v>
      </c>
      <c r="M2661" s="1" t="s">
        <v>10680</v>
      </c>
      <c r="N2661" s="1" t="s">
        <v>34</v>
      </c>
      <c r="O2661" s="1" t="s">
        <v>49</v>
      </c>
      <c r="P2661" s="1" t="s">
        <v>10681</v>
      </c>
    </row>
    <row r="2662" ht="14.25" customHeight="1">
      <c r="A2662" s="1" t="s">
        <v>10682</v>
      </c>
      <c r="B2662" s="1" t="s">
        <v>10683</v>
      </c>
      <c r="C2662" s="1" t="s">
        <v>29</v>
      </c>
      <c r="D2662" s="1">
        <v>24387.0</v>
      </c>
      <c r="E2662" s="1" t="s">
        <v>40</v>
      </c>
      <c r="F2662" s="1" t="s">
        <v>46</v>
      </c>
      <c r="G2662" s="1" t="s">
        <v>100</v>
      </c>
      <c r="H2662" s="2">
        <v>3577.0</v>
      </c>
      <c r="I2662" s="2">
        <v>6712.0</v>
      </c>
      <c r="J2662" s="1">
        <v>2022.0</v>
      </c>
      <c r="K2662" s="1">
        <v>17.0</v>
      </c>
      <c r="L2662" s="1" t="s">
        <v>32</v>
      </c>
      <c r="M2662" s="1" t="s">
        <v>10684</v>
      </c>
      <c r="N2662" s="1" t="s">
        <v>24</v>
      </c>
      <c r="O2662" s="1" t="s">
        <v>25</v>
      </c>
      <c r="P2662" s="1" t="s">
        <v>10685</v>
      </c>
    </row>
    <row r="2663" ht="14.25" customHeight="1">
      <c r="A2663" s="1" t="s">
        <v>10686</v>
      </c>
      <c r="B2663" s="1" t="s">
        <v>10687</v>
      </c>
      <c r="C2663" s="1" t="s">
        <v>18</v>
      </c>
      <c r="D2663" s="1">
        <v>21933.0</v>
      </c>
      <c r="E2663" s="1" t="s">
        <v>60</v>
      </c>
      <c r="F2663" s="1" t="s">
        <v>20</v>
      </c>
      <c r="G2663" s="1" t="s">
        <v>21</v>
      </c>
      <c r="H2663" s="2">
        <v>1121.0</v>
      </c>
      <c r="I2663" s="2">
        <v>8337.0</v>
      </c>
      <c r="J2663" s="1">
        <v>1982.0</v>
      </c>
      <c r="K2663" s="1">
        <v>30.0</v>
      </c>
      <c r="L2663" s="1" t="s">
        <v>141</v>
      </c>
      <c r="M2663" s="1" t="s">
        <v>10688</v>
      </c>
      <c r="N2663" s="1" t="s">
        <v>43</v>
      </c>
      <c r="O2663" s="1" t="s">
        <v>35</v>
      </c>
      <c r="P2663" s="1" t="s">
        <v>10689</v>
      </c>
    </row>
    <row r="2664" ht="14.25" customHeight="1">
      <c r="A2664" s="1" t="s">
        <v>10690</v>
      </c>
      <c r="B2664" s="1" t="s">
        <v>10691</v>
      </c>
      <c r="C2664" s="1" t="s">
        <v>39</v>
      </c>
      <c r="D2664" s="1">
        <v>72103.0</v>
      </c>
      <c r="E2664" s="1" t="s">
        <v>30</v>
      </c>
      <c r="F2664" s="1" t="s">
        <v>54</v>
      </c>
      <c r="G2664" s="1" t="s">
        <v>21</v>
      </c>
      <c r="H2664" s="2">
        <v>2855.0</v>
      </c>
      <c r="I2664" s="2">
        <v>3028.0</v>
      </c>
      <c r="J2664" s="1">
        <v>1987.0</v>
      </c>
      <c r="K2664" s="1">
        <v>6.0</v>
      </c>
      <c r="L2664" s="1" t="s">
        <v>95</v>
      </c>
      <c r="M2664" s="1" t="s">
        <v>10692</v>
      </c>
      <c r="N2664" s="1" t="s">
        <v>34</v>
      </c>
      <c r="O2664" s="1" t="s">
        <v>35</v>
      </c>
      <c r="P2664" s="1" t="s">
        <v>10693</v>
      </c>
    </row>
    <row r="2665" ht="14.25" customHeight="1">
      <c r="A2665" s="1" t="s">
        <v>10694</v>
      </c>
      <c r="B2665" s="1" t="s">
        <v>10695</v>
      </c>
      <c r="C2665" s="1" t="s">
        <v>18</v>
      </c>
      <c r="D2665" s="1">
        <v>30325.0</v>
      </c>
      <c r="E2665" s="1" t="s">
        <v>60</v>
      </c>
      <c r="F2665" s="1" t="s">
        <v>46</v>
      </c>
      <c r="G2665" s="1" t="s">
        <v>21</v>
      </c>
      <c r="H2665" s="2">
        <v>2775.0</v>
      </c>
      <c r="I2665" s="2">
        <v>4426.0</v>
      </c>
      <c r="J2665" s="1">
        <v>1958.0</v>
      </c>
      <c r="K2665" s="1">
        <v>89.0</v>
      </c>
      <c r="L2665" s="1" t="s">
        <v>22</v>
      </c>
      <c r="M2665" s="1" t="s">
        <v>10696</v>
      </c>
      <c r="N2665" s="1" t="s">
        <v>43</v>
      </c>
      <c r="O2665" s="1" t="s">
        <v>35</v>
      </c>
      <c r="P2665" s="1" t="s">
        <v>10697</v>
      </c>
    </row>
    <row r="2666" ht="14.25" customHeight="1">
      <c r="A2666" s="1" t="s">
        <v>10698</v>
      </c>
      <c r="B2666" s="1" t="s">
        <v>10699</v>
      </c>
      <c r="C2666" s="1" t="s">
        <v>18</v>
      </c>
      <c r="D2666" s="1">
        <v>87954.0</v>
      </c>
      <c r="E2666" s="1" t="s">
        <v>60</v>
      </c>
      <c r="F2666" s="1" t="s">
        <v>54</v>
      </c>
      <c r="G2666" s="1" t="s">
        <v>55</v>
      </c>
      <c r="H2666" s="2">
        <v>1634.0</v>
      </c>
      <c r="I2666" s="2">
        <v>7935.0</v>
      </c>
      <c r="J2666" s="1">
        <v>2001.0</v>
      </c>
      <c r="K2666" s="1">
        <v>109.0</v>
      </c>
      <c r="L2666" s="1" t="s">
        <v>22</v>
      </c>
      <c r="M2666" s="1" t="s">
        <v>10700</v>
      </c>
      <c r="N2666" s="1" t="s">
        <v>43</v>
      </c>
      <c r="O2666" s="1" t="s">
        <v>49</v>
      </c>
      <c r="P2666" s="1" t="s">
        <v>10701</v>
      </c>
    </row>
    <row r="2667" ht="14.25" customHeight="1">
      <c r="A2667" s="1" t="s">
        <v>10702</v>
      </c>
      <c r="B2667" s="1" t="s">
        <v>10703</v>
      </c>
      <c r="C2667" s="1" t="s">
        <v>53</v>
      </c>
      <c r="D2667" s="1">
        <v>43975.0</v>
      </c>
      <c r="E2667" s="1" t="s">
        <v>30</v>
      </c>
      <c r="F2667" s="1" t="s">
        <v>94</v>
      </c>
      <c r="G2667" s="1" t="s">
        <v>55</v>
      </c>
      <c r="H2667" s="2">
        <v>1576.0</v>
      </c>
      <c r="I2667" s="2">
        <v>9384.0</v>
      </c>
      <c r="J2667" s="1">
        <v>1981.0</v>
      </c>
      <c r="K2667" s="1">
        <v>60.0</v>
      </c>
      <c r="L2667" s="1" t="s">
        <v>32</v>
      </c>
      <c r="M2667" s="1" t="s">
        <v>10704</v>
      </c>
      <c r="N2667" s="1" t="s">
        <v>43</v>
      </c>
      <c r="O2667" s="1" t="s">
        <v>25</v>
      </c>
      <c r="P2667" s="1" t="s">
        <v>10705</v>
      </c>
    </row>
    <row r="2668" ht="14.25" customHeight="1">
      <c r="A2668" s="1" t="s">
        <v>10706</v>
      </c>
      <c r="B2668" s="1" t="s">
        <v>10707</v>
      </c>
      <c r="C2668" s="1" t="s">
        <v>53</v>
      </c>
      <c r="D2668" s="1">
        <v>82594.0</v>
      </c>
      <c r="E2668" s="1" t="s">
        <v>60</v>
      </c>
      <c r="F2668" s="1" t="s">
        <v>20</v>
      </c>
      <c r="G2668" s="1" t="s">
        <v>21</v>
      </c>
      <c r="H2668" s="2">
        <v>3150.0</v>
      </c>
      <c r="I2668" s="2">
        <v>2541.0</v>
      </c>
      <c r="J2668" s="1">
        <v>1979.0</v>
      </c>
      <c r="K2668" s="1">
        <v>96.0</v>
      </c>
      <c r="L2668" s="1" t="s">
        <v>32</v>
      </c>
      <c r="M2668" s="1" t="s">
        <v>10708</v>
      </c>
      <c r="N2668" s="1" t="s">
        <v>24</v>
      </c>
      <c r="O2668" s="1" t="s">
        <v>35</v>
      </c>
      <c r="P2668" s="1" t="s">
        <v>10709</v>
      </c>
    </row>
    <row r="2669" ht="14.25" customHeight="1">
      <c r="A2669" s="1" t="s">
        <v>10710</v>
      </c>
      <c r="B2669" s="1" t="s">
        <v>10711</v>
      </c>
      <c r="C2669" s="1" t="s">
        <v>18</v>
      </c>
      <c r="D2669" s="1">
        <v>90159.0</v>
      </c>
      <c r="E2669" s="1" t="s">
        <v>19</v>
      </c>
      <c r="F2669" s="1" t="s">
        <v>41</v>
      </c>
      <c r="G2669" s="1" t="s">
        <v>21</v>
      </c>
      <c r="H2669" s="2">
        <v>3373.0</v>
      </c>
      <c r="I2669" s="2">
        <v>4274.0</v>
      </c>
      <c r="J2669" s="1">
        <v>1964.0</v>
      </c>
      <c r="K2669" s="1">
        <v>83.0</v>
      </c>
      <c r="L2669" s="1" t="s">
        <v>95</v>
      </c>
      <c r="M2669" s="1" t="s">
        <v>10712</v>
      </c>
      <c r="N2669" s="1" t="s">
        <v>43</v>
      </c>
      <c r="O2669" s="1" t="s">
        <v>49</v>
      </c>
      <c r="P2669" s="1" t="s">
        <v>10713</v>
      </c>
    </row>
    <row r="2670" ht="14.25" customHeight="1">
      <c r="A2670" s="1" t="s">
        <v>10714</v>
      </c>
      <c r="B2670" s="1" t="s">
        <v>10715</v>
      </c>
      <c r="C2670" s="1" t="s">
        <v>39</v>
      </c>
      <c r="D2670" s="1">
        <v>51702.0</v>
      </c>
      <c r="E2670" s="1" t="s">
        <v>60</v>
      </c>
      <c r="F2670" s="1" t="s">
        <v>54</v>
      </c>
      <c r="G2670" s="1" t="s">
        <v>55</v>
      </c>
      <c r="H2670" s="2">
        <v>1109.0</v>
      </c>
      <c r="I2670" s="2">
        <v>2075.0</v>
      </c>
      <c r="J2670" s="1">
        <v>1989.0</v>
      </c>
      <c r="K2670" s="1">
        <v>39.0</v>
      </c>
      <c r="L2670" s="1" t="s">
        <v>95</v>
      </c>
      <c r="M2670" s="1" t="s">
        <v>10716</v>
      </c>
      <c r="N2670" s="1" t="s">
        <v>24</v>
      </c>
      <c r="O2670" s="1" t="s">
        <v>49</v>
      </c>
      <c r="P2670" s="1" t="s">
        <v>10717</v>
      </c>
    </row>
    <row r="2671" ht="14.25" customHeight="1">
      <c r="A2671" s="1" t="s">
        <v>10718</v>
      </c>
      <c r="B2671" s="1" t="s">
        <v>10719</v>
      </c>
      <c r="C2671" s="1" t="s">
        <v>53</v>
      </c>
      <c r="D2671" s="1">
        <v>29255.0</v>
      </c>
      <c r="E2671" s="1" t="s">
        <v>30</v>
      </c>
      <c r="F2671" s="1" t="s">
        <v>46</v>
      </c>
      <c r="G2671" s="1" t="s">
        <v>100</v>
      </c>
      <c r="H2671" s="2">
        <v>1027.0</v>
      </c>
      <c r="I2671" s="2">
        <v>7976.0</v>
      </c>
      <c r="J2671" s="1">
        <v>2013.0</v>
      </c>
      <c r="K2671" s="1">
        <v>16.0</v>
      </c>
      <c r="L2671" s="1" t="s">
        <v>141</v>
      </c>
      <c r="M2671" s="1" t="s">
        <v>10720</v>
      </c>
      <c r="N2671" s="1" t="s">
        <v>48</v>
      </c>
      <c r="O2671" s="1" t="s">
        <v>35</v>
      </c>
      <c r="P2671" s="1" t="s">
        <v>10721</v>
      </c>
    </row>
    <row r="2672" ht="14.25" customHeight="1">
      <c r="A2672" s="1" t="s">
        <v>10722</v>
      </c>
      <c r="B2672" s="1" t="s">
        <v>10723</v>
      </c>
      <c r="C2672" s="1" t="s">
        <v>39</v>
      </c>
      <c r="D2672" s="1">
        <v>25138.0</v>
      </c>
      <c r="E2672" s="1" t="s">
        <v>40</v>
      </c>
      <c r="F2672" s="1" t="s">
        <v>20</v>
      </c>
      <c r="G2672" s="1" t="s">
        <v>21</v>
      </c>
      <c r="H2672" s="2">
        <v>2017.0</v>
      </c>
      <c r="I2672" s="2">
        <v>3216.0</v>
      </c>
      <c r="J2672" s="1">
        <v>2022.0</v>
      </c>
      <c r="K2672" s="1">
        <v>59.0</v>
      </c>
      <c r="L2672" s="1" t="s">
        <v>32</v>
      </c>
      <c r="M2672" s="1" t="s">
        <v>10724</v>
      </c>
      <c r="N2672" s="1" t="s">
        <v>43</v>
      </c>
      <c r="O2672" s="1" t="s">
        <v>49</v>
      </c>
      <c r="P2672" s="1" t="s">
        <v>10725</v>
      </c>
    </row>
    <row r="2673" ht="14.25" customHeight="1">
      <c r="A2673" s="1" t="s">
        <v>10726</v>
      </c>
      <c r="B2673" s="1" t="s">
        <v>10727</v>
      </c>
      <c r="C2673" s="1" t="s">
        <v>18</v>
      </c>
      <c r="D2673" s="1">
        <v>86775.0</v>
      </c>
      <c r="E2673" s="1" t="s">
        <v>30</v>
      </c>
      <c r="F2673" s="1" t="s">
        <v>61</v>
      </c>
      <c r="G2673" s="1" t="s">
        <v>100</v>
      </c>
      <c r="H2673" s="2">
        <v>1863.0</v>
      </c>
      <c r="I2673" s="2">
        <v>3313.0</v>
      </c>
      <c r="J2673" s="1">
        <v>1965.0</v>
      </c>
      <c r="K2673" s="1">
        <v>15.0</v>
      </c>
      <c r="L2673" s="1" t="s">
        <v>141</v>
      </c>
      <c r="M2673" s="1" t="s">
        <v>10728</v>
      </c>
      <c r="N2673" s="1" t="s">
        <v>24</v>
      </c>
      <c r="O2673" s="1" t="s">
        <v>25</v>
      </c>
      <c r="P2673" s="1" t="s">
        <v>10729</v>
      </c>
    </row>
    <row r="2674" ht="14.25" customHeight="1">
      <c r="A2674" s="1" t="s">
        <v>10730</v>
      </c>
      <c r="B2674" s="1" t="s">
        <v>10731</v>
      </c>
      <c r="C2674" s="1" t="s">
        <v>76</v>
      </c>
      <c r="D2674" s="1">
        <v>28779.0</v>
      </c>
      <c r="E2674" s="1" t="s">
        <v>77</v>
      </c>
      <c r="F2674" s="1" t="s">
        <v>61</v>
      </c>
      <c r="G2674" s="1" t="s">
        <v>55</v>
      </c>
      <c r="H2674" s="2">
        <v>2312.0</v>
      </c>
      <c r="I2674" s="2">
        <v>7156.0</v>
      </c>
      <c r="J2674" s="1">
        <v>1987.0</v>
      </c>
      <c r="K2674" s="1">
        <v>39.0</v>
      </c>
      <c r="L2674" s="1" t="s">
        <v>32</v>
      </c>
      <c r="M2674" s="1" t="s">
        <v>10732</v>
      </c>
      <c r="N2674" s="1" t="s">
        <v>34</v>
      </c>
      <c r="O2674" s="1" t="s">
        <v>25</v>
      </c>
      <c r="P2674" s="1" t="s">
        <v>10733</v>
      </c>
    </row>
    <row r="2675" ht="14.25" customHeight="1">
      <c r="A2675" s="1" t="s">
        <v>10734</v>
      </c>
      <c r="B2675" s="1" t="s">
        <v>10735</v>
      </c>
      <c r="C2675" s="1" t="s">
        <v>18</v>
      </c>
      <c r="D2675" s="1">
        <v>41974.0</v>
      </c>
      <c r="E2675" s="1" t="s">
        <v>77</v>
      </c>
      <c r="F2675" s="1" t="s">
        <v>46</v>
      </c>
      <c r="G2675" s="1" t="s">
        <v>31</v>
      </c>
      <c r="H2675" s="2">
        <v>1628.0</v>
      </c>
      <c r="I2675" s="2">
        <v>6833.0</v>
      </c>
      <c r="J2675" s="1">
        <v>1957.0</v>
      </c>
      <c r="K2675" s="1">
        <v>22.0</v>
      </c>
      <c r="L2675" s="1" t="s">
        <v>22</v>
      </c>
      <c r="M2675" s="1" t="s">
        <v>10736</v>
      </c>
      <c r="N2675" s="1" t="s">
        <v>24</v>
      </c>
      <c r="O2675" s="1" t="s">
        <v>49</v>
      </c>
      <c r="P2675" s="1" t="s">
        <v>10737</v>
      </c>
    </row>
    <row r="2676" ht="14.25" customHeight="1">
      <c r="A2676" s="1" t="s">
        <v>10738</v>
      </c>
      <c r="B2676" s="1" t="s">
        <v>10739</v>
      </c>
      <c r="C2676" s="1" t="s">
        <v>76</v>
      </c>
      <c r="D2676" s="1">
        <v>46390.0</v>
      </c>
      <c r="E2676" s="1" t="s">
        <v>40</v>
      </c>
      <c r="F2676" s="1" t="s">
        <v>20</v>
      </c>
      <c r="G2676" s="1" t="s">
        <v>100</v>
      </c>
      <c r="H2676" s="2">
        <v>672.0</v>
      </c>
      <c r="I2676" s="2">
        <v>7427.0</v>
      </c>
      <c r="J2676" s="1">
        <v>2017.0</v>
      </c>
      <c r="K2676" s="1">
        <v>16.0</v>
      </c>
      <c r="L2676" s="1" t="s">
        <v>95</v>
      </c>
      <c r="M2676" s="1" t="s">
        <v>10740</v>
      </c>
      <c r="N2676" s="1" t="s">
        <v>43</v>
      </c>
      <c r="O2676" s="1" t="s">
        <v>49</v>
      </c>
      <c r="P2676" s="1" t="s">
        <v>10741</v>
      </c>
    </row>
    <row r="2677" ht="14.25" customHeight="1">
      <c r="A2677" s="1" t="s">
        <v>10742</v>
      </c>
      <c r="B2677" s="1" t="s">
        <v>10743</v>
      </c>
      <c r="C2677" s="1" t="s">
        <v>76</v>
      </c>
      <c r="D2677" s="1">
        <v>37799.0</v>
      </c>
      <c r="E2677" s="1" t="s">
        <v>30</v>
      </c>
      <c r="F2677" s="1" t="s">
        <v>54</v>
      </c>
      <c r="G2677" s="1" t="s">
        <v>21</v>
      </c>
      <c r="H2677" s="2">
        <v>1611.0</v>
      </c>
      <c r="I2677" s="2">
        <v>9895.0</v>
      </c>
      <c r="J2677" s="1">
        <v>1954.0</v>
      </c>
      <c r="K2677" s="1">
        <v>120.0</v>
      </c>
      <c r="L2677" s="1" t="s">
        <v>141</v>
      </c>
      <c r="M2677" s="1" t="s">
        <v>10744</v>
      </c>
      <c r="N2677" s="1" t="s">
        <v>64</v>
      </c>
      <c r="O2677" s="1" t="s">
        <v>25</v>
      </c>
      <c r="P2677" s="1" t="s">
        <v>10745</v>
      </c>
    </row>
    <row r="2678" ht="14.25" customHeight="1">
      <c r="A2678" s="1" t="s">
        <v>10746</v>
      </c>
      <c r="B2678" s="1" t="s">
        <v>10747</v>
      </c>
      <c r="C2678" s="1" t="s">
        <v>18</v>
      </c>
      <c r="D2678" s="1">
        <v>82664.0</v>
      </c>
      <c r="E2678" s="1" t="s">
        <v>60</v>
      </c>
      <c r="F2678" s="1" t="s">
        <v>20</v>
      </c>
      <c r="G2678" s="1" t="s">
        <v>31</v>
      </c>
      <c r="H2678" s="2">
        <v>1045.0</v>
      </c>
      <c r="I2678" s="2">
        <v>9187.0</v>
      </c>
      <c r="J2678" s="1">
        <v>1979.0</v>
      </c>
      <c r="K2678" s="1">
        <v>81.0</v>
      </c>
      <c r="L2678" s="1" t="s">
        <v>22</v>
      </c>
      <c r="M2678" s="1" t="s">
        <v>10748</v>
      </c>
      <c r="N2678" s="1" t="s">
        <v>43</v>
      </c>
      <c r="O2678" s="1" t="s">
        <v>49</v>
      </c>
      <c r="P2678" s="1" t="s">
        <v>10749</v>
      </c>
    </row>
    <row r="2679" ht="14.25" customHeight="1">
      <c r="A2679" s="1" t="s">
        <v>10750</v>
      </c>
      <c r="B2679" s="1" t="s">
        <v>10751</v>
      </c>
      <c r="C2679" s="1" t="s">
        <v>18</v>
      </c>
      <c r="D2679" s="1">
        <v>17279.0</v>
      </c>
      <c r="E2679" s="1" t="s">
        <v>19</v>
      </c>
      <c r="F2679" s="1" t="s">
        <v>41</v>
      </c>
      <c r="G2679" s="1" t="s">
        <v>31</v>
      </c>
      <c r="H2679" s="2">
        <v>3662.0</v>
      </c>
      <c r="I2679" s="2">
        <v>8587.0</v>
      </c>
      <c r="J2679" s="1">
        <v>1956.0</v>
      </c>
      <c r="K2679" s="1">
        <v>12.0</v>
      </c>
      <c r="L2679" s="1" t="s">
        <v>22</v>
      </c>
      <c r="M2679" s="1" t="s">
        <v>10752</v>
      </c>
      <c r="N2679" s="1" t="s">
        <v>48</v>
      </c>
      <c r="O2679" s="1" t="s">
        <v>25</v>
      </c>
      <c r="P2679" s="1" t="s">
        <v>10753</v>
      </c>
    </row>
    <row r="2680" ht="14.25" customHeight="1">
      <c r="A2680" s="1" t="s">
        <v>10754</v>
      </c>
      <c r="B2680" s="1" t="s">
        <v>10755</v>
      </c>
      <c r="C2680" s="1" t="s">
        <v>76</v>
      </c>
      <c r="D2680" s="1">
        <v>58087.0</v>
      </c>
      <c r="E2680" s="1" t="s">
        <v>40</v>
      </c>
      <c r="F2680" s="1" t="s">
        <v>61</v>
      </c>
      <c r="G2680" s="1" t="s">
        <v>21</v>
      </c>
      <c r="H2680" s="2">
        <v>2540.0</v>
      </c>
      <c r="I2680" s="2">
        <v>4722.0</v>
      </c>
      <c r="J2680" s="1">
        <v>2017.0</v>
      </c>
      <c r="K2680" s="1">
        <v>108.0</v>
      </c>
      <c r="L2680" s="1" t="s">
        <v>62</v>
      </c>
      <c r="M2680" s="1" t="s">
        <v>10756</v>
      </c>
      <c r="N2680" s="1" t="s">
        <v>48</v>
      </c>
      <c r="O2680" s="1" t="s">
        <v>49</v>
      </c>
      <c r="P2680" s="1" t="s">
        <v>10757</v>
      </c>
    </row>
    <row r="2681" ht="14.25" customHeight="1">
      <c r="A2681" s="1" t="s">
        <v>10758</v>
      </c>
      <c r="B2681" s="1" t="s">
        <v>10759</v>
      </c>
      <c r="C2681" s="1" t="s">
        <v>53</v>
      </c>
      <c r="D2681" s="1">
        <v>96815.0</v>
      </c>
      <c r="E2681" s="1" t="s">
        <v>19</v>
      </c>
      <c r="F2681" s="1" t="s">
        <v>61</v>
      </c>
      <c r="G2681" s="1" t="s">
        <v>100</v>
      </c>
      <c r="H2681" s="2">
        <v>2232.0</v>
      </c>
      <c r="I2681" s="2">
        <v>1212.0</v>
      </c>
      <c r="J2681" s="1">
        <v>1995.0</v>
      </c>
      <c r="K2681" s="1">
        <v>89.0</v>
      </c>
      <c r="L2681" s="1" t="s">
        <v>62</v>
      </c>
      <c r="M2681" s="1" t="s">
        <v>10760</v>
      </c>
      <c r="N2681" s="1" t="s">
        <v>34</v>
      </c>
      <c r="O2681" s="1" t="s">
        <v>25</v>
      </c>
      <c r="P2681" s="1" t="s">
        <v>10761</v>
      </c>
    </row>
    <row r="2682" ht="14.25" customHeight="1">
      <c r="A2682" s="1" t="s">
        <v>10762</v>
      </c>
      <c r="B2682" s="1" t="s">
        <v>10763</v>
      </c>
      <c r="C2682" s="1" t="s">
        <v>18</v>
      </c>
      <c r="D2682" s="1">
        <v>98880.0</v>
      </c>
      <c r="E2682" s="1" t="s">
        <v>60</v>
      </c>
      <c r="F2682" s="1" t="s">
        <v>20</v>
      </c>
      <c r="G2682" s="1" t="s">
        <v>100</v>
      </c>
      <c r="H2682" s="2">
        <v>3035.0</v>
      </c>
      <c r="I2682" s="2">
        <v>7988.0</v>
      </c>
      <c r="J2682" s="1">
        <v>1987.0</v>
      </c>
      <c r="K2682" s="1">
        <v>42.0</v>
      </c>
      <c r="L2682" s="1" t="s">
        <v>32</v>
      </c>
      <c r="M2682" s="1" t="s">
        <v>10764</v>
      </c>
      <c r="N2682" s="1" t="s">
        <v>34</v>
      </c>
      <c r="O2682" s="1" t="s">
        <v>25</v>
      </c>
      <c r="P2682" s="1" t="s">
        <v>10765</v>
      </c>
    </row>
    <row r="2683" ht="14.25" customHeight="1">
      <c r="A2683" s="1" t="s">
        <v>10766</v>
      </c>
      <c r="B2683" s="1" t="s">
        <v>10767</v>
      </c>
      <c r="C2683" s="1" t="s">
        <v>39</v>
      </c>
      <c r="D2683" s="1">
        <v>97988.0</v>
      </c>
      <c r="E2683" s="1" t="s">
        <v>40</v>
      </c>
      <c r="F2683" s="1" t="s">
        <v>54</v>
      </c>
      <c r="G2683" s="1" t="s">
        <v>55</v>
      </c>
      <c r="H2683" s="2">
        <v>2423.0</v>
      </c>
      <c r="I2683" s="2">
        <v>6174.0</v>
      </c>
      <c r="J2683" s="1">
        <v>2004.0</v>
      </c>
      <c r="K2683" s="1">
        <v>98.0</v>
      </c>
      <c r="L2683" s="1" t="s">
        <v>22</v>
      </c>
      <c r="M2683" s="1" t="s">
        <v>10768</v>
      </c>
      <c r="N2683" s="1" t="s">
        <v>34</v>
      </c>
      <c r="O2683" s="1" t="s">
        <v>49</v>
      </c>
      <c r="P2683" s="1" t="s">
        <v>10769</v>
      </c>
    </row>
    <row r="2684" ht="14.25" customHeight="1">
      <c r="A2684" s="1" t="s">
        <v>10770</v>
      </c>
      <c r="B2684" s="1" t="s">
        <v>10771</v>
      </c>
      <c r="C2684" s="1" t="s">
        <v>76</v>
      </c>
      <c r="D2684" s="1">
        <v>85803.0</v>
      </c>
      <c r="E2684" s="1" t="s">
        <v>40</v>
      </c>
      <c r="F2684" s="1" t="s">
        <v>20</v>
      </c>
      <c r="G2684" s="1" t="s">
        <v>31</v>
      </c>
      <c r="H2684" s="2">
        <v>1424.0</v>
      </c>
      <c r="I2684" s="2">
        <v>2429.0</v>
      </c>
      <c r="J2684" s="1">
        <v>2012.0</v>
      </c>
      <c r="K2684" s="1">
        <v>9.0</v>
      </c>
      <c r="L2684" s="1" t="s">
        <v>32</v>
      </c>
      <c r="M2684" s="1" t="s">
        <v>10772</v>
      </c>
      <c r="N2684" s="1" t="s">
        <v>48</v>
      </c>
      <c r="O2684" s="1" t="s">
        <v>49</v>
      </c>
      <c r="P2684" s="1" t="s">
        <v>10773</v>
      </c>
    </row>
    <row r="2685" ht="14.25" customHeight="1">
      <c r="A2685" s="1" t="s">
        <v>10774</v>
      </c>
      <c r="B2685" s="1" t="s">
        <v>10775</v>
      </c>
      <c r="C2685" s="1" t="s">
        <v>18</v>
      </c>
      <c r="D2685" s="1">
        <v>92796.0</v>
      </c>
      <c r="E2685" s="1" t="s">
        <v>40</v>
      </c>
      <c r="F2685" s="1" t="s">
        <v>94</v>
      </c>
      <c r="G2685" s="1" t="s">
        <v>21</v>
      </c>
      <c r="H2685" s="2">
        <v>819.0</v>
      </c>
      <c r="I2685" s="2">
        <v>6327.0</v>
      </c>
      <c r="J2685" s="1">
        <v>1959.0</v>
      </c>
      <c r="K2685" s="1">
        <v>112.0</v>
      </c>
      <c r="L2685" s="1" t="s">
        <v>95</v>
      </c>
      <c r="M2685" s="1" t="s">
        <v>10776</v>
      </c>
      <c r="N2685" s="1" t="s">
        <v>48</v>
      </c>
      <c r="O2685" s="1" t="s">
        <v>25</v>
      </c>
      <c r="P2685" s="1" t="s">
        <v>10777</v>
      </c>
    </row>
    <row r="2686" ht="14.25" customHeight="1">
      <c r="A2686" s="1" t="s">
        <v>10778</v>
      </c>
      <c r="B2686" s="1" t="s">
        <v>10779</v>
      </c>
      <c r="C2686" s="1" t="s">
        <v>29</v>
      </c>
      <c r="D2686" s="1">
        <v>20224.0</v>
      </c>
      <c r="E2686" s="1" t="s">
        <v>19</v>
      </c>
      <c r="F2686" s="1" t="s">
        <v>94</v>
      </c>
      <c r="G2686" s="1" t="s">
        <v>100</v>
      </c>
      <c r="H2686" s="2">
        <v>2361.0</v>
      </c>
      <c r="I2686" s="2">
        <v>4893.0</v>
      </c>
      <c r="J2686" s="1">
        <v>1999.0</v>
      </c>
      <c r="K2686" s="1">
        <v>49.0</v>
      </c>
      <c r="L2686" s="1" t="s">
        <v>22</v>
      </c>
      <c r="M2686" s="1" t="s">
        <v>10780</v>
      </c>
      <c r="N2686" s="1" t="s">
        <v>48</v>
      </c>
      <c r="O2686" s="1" t="s">
        <v>35</v>
      </c>
      <c r="P2686" s="1" t="s">
        <v>10781</v>
      </c>
    </row>
    <row r="2687" ht="14.25" customHeight="1">
      <c r="A2687" s="1" t="s">
        <v>10782</v>
      </c>
      <c r="B2687" s="1" t="s">
        <v>10783</v>
      </c>
      <c r="C2687" s="1" t="s">
        <v>18</v>
      </c>
      <c r="D2687" s="1">
        <v>72741.0</v>
      </c>
      <c r="E2687" s="1" t="s">
        <v>40</v>
      </c>
      <c r="F2687" s="1" t="s">
        <v>61</v>
      </c>
      <c r="G2687" s="1" t="s">
        <v>55</v>
      </c>
      <c r="H2687" s="2">
        <v>1008.0</v>
      </c>
      <c r="I2687" s="2">
        <v>8619.0</v>
      </c>
      <c r="J2687" s="1">
        <v>1972.0</v>
      </c>
      <c r="K2687" s="1">
        <v>109.0</v>
      </c>
      <c r="L2687" s="1" t="s">
        <v>32</v>
      </c>
      <c r="M2687" s="1" t="s">
        <v>10784</v>
      </c>
      <c r="N2687" s="1" t="s">
        <v>48</v>
      </c>
      <c r="O2687" s="1" t="s">
        <v>35</v>
      </c>
      <c r="P2687" s="1" t="s">
        <v>10785</v>
      </c>
    </row>
    <row r="2688" ht="14.25" customHeight="1">
      <c r="A2688" s="1" t="s">
        <v>10786</v>
      </c>
      <c r="B2688" s="1" t="s">
        <v>10787</v>
      </c>
      <c r="C2688" s="1" t="s">
        <v>53</v>
      </c>
      <c r="D2688" s="1">
        <v>30810.0</v>
      </c>
      <c r="E2688" s="1" t="s">
        <v>60</v>
      </c>
      <c r="F2688" s="1" t="s">
        <v>61</v>
      </c>
      <c r="G2688" s="1" t="s">
        <v>31</v>
      </c>
      <c r="H2688" s="2">
        <v>2704.0</v>
      </c>
      <c r="I2688" s="2">
        <v>8023.0</v>
      </c>
      <c r="J2688" s="1">
        <v>2019.0</v>
      </c>
      <c r="K2688" s="1">
        <v>63.0</v>
      </c>
      <c r="L2688" s="1" t="s">
        <v>141</v>
      </c>
      <c r="M2688" s="1" t="s">
        <v>10788</v>
      </c>
      <c r="N2688" s="1" t="s">
        <v>43</v>
      </c>
      <c r="O2688" s="1" t="s">
        <v>25</v>
      </c>
      <c r="P2688" s="1" t="s">
        <v>10789</v>
      </c>
    </row>
    <row r="2689" ht="14.25" customHeight="1">
      <c r="A2689" s="1" t="s">
        <v>10790</v>
      </c>
      <c r="B2689" s="1" t="s">
        <v>10791</v>
      </c>
      <c r="C2689" s="1" t="s">
        <v>53</v>
      </c>
      <c r="D2689" s="1">
        <v>27723.0</v>
      </c>
      <c r="E2689" s="1" t="s">
        <v>30</v>
      </c>
      <c r="F2689" s="1" t="s">
        <v>54</v>
      </c>
      <c r="G2689" s="1" t="s">
        <v>55</v>
      </c>
      <c r="H2689" s="2">
        <v>2962.0</v>
      </c>
      <c r="I2689" s="2">
        <v>1933.0</v>
      </c>
      <c r="J2689" s="1">
        <v>1992.0</v>
      </c>
      <c r="K2689" s="1">
        <v>67.0</v>
      </c>
      <c r="L2689" s="1" t="s">
        <v>22</v>
      </c>
      <c r="M2689" s="1" t="s">
        <v>10792</v>
      </c>
      <c r="N2689" s="1" t="s">
        <v>48</v>
      </c>
      <c r="O2689" s="1" t="s">
        <v>25</v>
      </c>
      <c r="P2689" s="1" t="s">
        <v>10793</v>
      </c>
    </row>
    <row r="2690" ht="14.25" customHeight="1">
      <c r="A2690" s="1" t="s">
        <v>10794</v>
      </c>
      <c r="B2690" s="1" t="s">
        <v>10795</v>
      </c>
      <c r="C2690" s="1" t="s">
        <v>29</v>
      </c>
      <c r="D2690" s="1">
        <v>41611.0</v>
      </c>
      <c r="E2690" s="1" t="s">
        <v>60</v>
      </c>
      <c r="F2690" s="1" t="s">
        <v>46</v>
      </c>
      <c r="G2690" s="1" t="s">
        <v>100</v>
      </c>
      <c r="H2690" s="2">
        <v>1119.0</v>
      </c>
      <c r="I2690" s="2">
        <v>6335.0</v>
      </c>
      <c r="J2690" s="1">
        <v>2015.0</v>
      </c>
      <c r="K2690" s="1">
        <v>32.0</v>
      </c>
      <c r="L2690" s="1" t="s">
        <v>141</v>
      </c>
      <c r="M2690" s="1" t="s">
        <v>10796</v>
      </c>
      <c r="N2690" s="1" t="s">
        <v>34</v>
      </c>
      <c r="O2690" s="1" t="s">
        <v>49</v>
      </c>
      <c r="P2690" s="1" t="s">
        <v>10797</v>
      </c>
    </row>
    <row r="2691" ht="14.25" customHeight="1">
      <c r="A2691" s="1" t="s">
        <v>10798</v>
      </c>
      <c r="B2691" s="1" t="s">
        <v>10799</v>
      </c>
      <c r="C2691" s="1" t="s">
        <v>76</v>
      </c>
      <c r="D2691" s="1">
        <v>57725.0</v>
      </c>
      <c r="E2691" s="1" t="s">
        <v>60</v>
      </c>
      <c r="F2691" s="1" t="s">
        <v>20</v>
      </c>
      <c r="G2691" s="1" t="s">
        <v>100</v>
      </c>
      <c r="H2691" s="2">
        <v>3429.0</v>
      </c>
      <c r="I2691" s="2">
        <v>9457.0</v>
      </c>
      <c r="J2691" s="1">
        <v>1984.0</v>
      </c>
      <c r="K2691" s="1">
        <v>14.0</v>
      </c>
      <c r="L2691" s="1" t="s">
        <v>22</v>
      </c>
      <c r="M2691" s="1" t="s">
        <v>10800</v>
      </c>
      <c r="N2691" s="1" t="s">
        <v>34</v>
      </c>
      <c r="O2691" s="1" t="s">
        <v>35</v>
      </c>
      <c r="P2691" s="1" t="s">
        <v>10801</v>
      </c>
    </row>
    <row r="2692" ht="14.25" customHeight="1">
      <c r="A2692" s="1" t="s">
        <v>10802</v>
      </c>
      <c r="B2692" s="1" t="s">
        <v>10803</v>
      </c>
      <c r="C2692" s="1" t="s">
        <v>18</v>
      </c>
      <c r="D2692" s="1">
        <v>74406.0</v>
      </c>
      <c r="E2692" s="1" t="s">
        <v>19</v>
      </c>
      <c r="F2692" s="1" t="s">
        <v>41</v>
      </c>
      <c r="G2692" s="1" t="s">
        <v>31</v>
      </c>
      <c r="H2692" s="2">
        <v>3838.0</v>
      </c>
      <c r="I2692" s="2">
        <v>6060.0</v>
      </c>
      <c r="J2692" s="1">
        <v>2018.0</v>
      </c>
      <c r="K2692" s="1">
        <v>56.0</v>
      </c>
      <c r="L2692" s="1" t="s">
        <v>22</v>
      </c>
      <c r="M2692" s="1" t="s">
        <v>10804</v>
      </c>
      <c r="N2692" s="1" t="s">
        <v>34</v>
      </c>
      <c r="O2692" s="1" t="s">
        <v>49</v>
      </c>
      <c r="P2692" s="1" t="s">
        <v>10805</v>
      </c>
    </row>
    <row r="2693" ht="14.25" customHeight="1">
      <c r="A2693" s="1" t="s">
        <v>10806</v>
      </c>
      <c r="B2693" s="1" t="s">
        <v>10807</v>
      </c>
      <c r="C2693" s="1" t="s">
        <v>39</v>
      </c>
      <c r="D2693" s="1">
        <v>69180.0</v>
      </c>
      <c r="E2693" s="1" t="s">
        <v>40</v>
      </c>
      <c r="F2693" s="1" t="s">
        <v>46</v>
      </c>
      <c r="G2693" s="1" t="s">
        <v>55</v>
      </c>
      <c r="H2693" s="2">
        <v>871.0</v>
      </c>
      <c r="I2693" s="2">
        <v>8988.0</v>
      </c>
      <c r="J2693" s="1">
        <v>1951.0</v>
      </c>
      <c r="K2693" s="1">
        <v>11.0</v>
      </c>
      <c r="L2693" s="1" t="s">
        <v>141</v>
      </c>
      <c r="M2693" s="1" t="s">
        <v>10808</v>
      </c>
      <c r="N2693" s="1" t="s">
        <v>24</v>
      </c>
      <c r="O2693" s="1" t="s">
        <v>25</v>
      </c>
      <c r="P2693" s="1" t="s">
        <v>10809</v>
      </c>
    </row>
    <row r="2694" ht="14.25" customHeight="1">
      <c r="A2694" s="1" t="s">
        <v>10810</v>
      </c>
      <c r="B2694" s="1" t="s">
        <v>10811</v>
      </c>
      <c r="C2694" s="1" t="s">
        <v>29</v>
      </c>
      <c r="D2694" s="1">
        <v>41345.0</v>
      </c>
      <c r="E2694" s="1" t="s">
        <v>40</v>
      </c>
      <c r="F2694" s="1" t="s">
        <v>46</v>
      </c>
      <c r="G2694" s="1" t="s">
        <v>55</v>
      </c>
      <c r="H2694" s="2">
        <v>2162.0</v>
      </c>
      <c r="I2694" s="2">
        <v>1508.0</v>
      </c>
      <c r="J2694" s="1">
        <v>1977.0</v>
      </c>
      <c r="K2694" s="1">
        <v>13.0</v>
      </c>
      <c r="L2694" s="1" t="s">
        <v>95</v>
      </c>
      <c r="M2694" s="1" t="s">
        <v>10812</v>
      </c>
      <c r="N2694" s="1" t="s">
        <v>64</v>
      </c>
      <c r="O2694" s="1" t="s">
        <v>25</v>
      </c>
      <c r="P2694" s="1" t="s">
        <v>10813</v>
      </c>
    </row>
    <row r="2695" ht="14.25" customHeight="1">
      <c r="A2695" s="1" t="s">
        <v>10814</v>
      </c>
      <c r="B2695" s="1" t="s">
        <v>10815</v>
      </c>
      <c r="C2695" s="1" t="s">
        <v>53</v>
      </c>
      <c r="D2695" s="1">
        <v>38615.0</v>
      </c>
      <c r="E2695" s="1" t="s">
        <v>60</v>
      </c>
      <c r="F2695" s="1" t="s">
        <v>41</v>
      </c>
      <c r="G2695" s="1" t="s">
        <v>21</v>
      </c>
      <c r="H2695" s="2">
        <v>2774.0</v>
      </c>
      <c r="I2695" s="2">
        <v>1509.0</v>
      </c>
      <c r="J2695" s="1">
        <v>1996.0</v>
      </c>
      <c r="K2695" s="1">
        <v>93.0</v>
      </c>
      <c r="L2695" s="1" t="s">
        <v>22</v>
      </c>
      <c r="M2695" s="1" t="s">
        <v>10816</v>
      </c>
      <c r="N2695" s="1" t="s">
        <v>34</v>
      </c>
      <c r="O2695" s="1" t="s">
        <v>25</v>
      </c>
      <c r="P2695" s="1" t="s">
        <v>10817</v>
      </c>
    </row>
    <row r="2696" ht="14.25" customHeight="1">
      <c r="A2696" s="1" t="s">
        <v>10818</v>
      </c>
      <c r="B2696" s="1" t="s">
        <v>10819</v>
      </c>
      <c r="C2696" s="1" t="s">
        <v>76</v>
      </c>
      <c r="D2696" s="1">
        <v>84376.0</v>
      </c>
      <c r="E2696" s="1" t="s">
        <v>30</v>
      </c>
      <c r="F2696" s="1" t="s">
        <v>20</v>
      </c>
      <c r="G2696" s="1" t="s">
        <v>55</v>
      </c>
      <c r="H2696" s="2">
        <v>2768.0</v>
      </c>
      <c r="I2696" s="2">
        <v>7807.0</v>
      </c>
      <c r="J2696" s="1">
        <v>2009.0</v>
      </c>
      <c r="K2696" s="1">
        <v>59.0</v>
      </c>
      <c r="L2696" s="1" t="s">
        <v>62</v>
      </c>
      <c r="M2696" s="1" t="s">
        <v>10820</v>
      </c>
      <c r="N2696" s="1" t="s">
        <v>43</v>
      </c>
      <c r="O2696" s="1" t="s">
        <v>35</v>
      </c>
      <c r="P2696" s="1" t="s">
        <v>10821</v>
      </c>
    </row>
    <row r="2697" ht="14.25" customHeight="1">
      <c r="A2697" s="1" t="s">
        <v>10822</v>
      </c>
      <c r="B2697" s="1" t="s">
        <v>10823</v>
      </c>
      <c r="C2697" s="1" t="s">
        <v>76</v>
      </c>
      <c r="D2697" s="1">
        <v>18384.0</v>
      </c>
      <c r="E2697" s="1" t="s">
        <v>40</v>
      </c>
      <c r="F2697" s="1" t="s">
        <v>41</v>
      </c>
      <c r="G2697" s="1" t="s">
        <v>100</v>
      </c>
      <c r="H2697" s="2">
        <v>3119.0</v>
      </c>
      <c r="I2697" s="2">
        <v>9710.0</v>
      </c>
      <c r="J2697" s="1">
        <v>1980.0</v>
      </c>
      <c r="K2697" s="1">
        <v>114.0</v>
      </c>
      <c r="L2697" s="1" t="s">
        <v>62</v>
      </c>
      <c r="M2697" s="1" t="s">
        <v>10824</v>
      </c>
      <c r="N2697" s="1" t="s">
        <v>34</v>
      </c>
      <c r="O2697" s="1" t="s">
        <v>25</v>
      </c>
      <c r="P2697" s="1" t="s">
        <v>10825</v>
      </c>
    </row>
    <row r="2698" ht="14.25" customHeight="1">
      <c r="A2698" s="1" t="s">
        <v>10826</v>
      </c>
      <c r="B2698" s="1" t="s">
        <v>10827</v>
      </c>
      <c r="C2698" s="1" t="s">
        <v>39</v>
      </c>
      <c r="D2698" s="1">
        <v>47481.0</v>
      </c>
      <c r="E2698" s="1" t="s">
        <v>19</v>
      </c>
      <c r="F2698" s="1" t="s">
        <v>61</v>
      </c>
      <c r="G2698" s="1" t="s">
        <v>31</v>
      </c>
      <c r="H2698" s="2">
        <v>2734.0</v>
      </c>
      <c r="I2698" s="2">
        <v>6166.0</v>
      </c>
      <c r="J2698" s="1">
        <v>1998.0</v>
      </c>
      <c r="K2698" s="1">
        <v>82.0</v>
      </c>
      <c r="L2698" s="1" t="s">
        <v>141</v>
      </c>
      <c r="M2698" s="1" t="s">
        <v>10828</v>
      </c>
      <c r="N2698" s="1" t="s">
        <v>34</v>
      </c>
      <c r="O2698" s="1" t="s">
        <v>49</v>
      </c>
      <c r="P2698" s="1" t="s">
        <v>10829</v>
      </c>
    </row>
    <row r="2699" ht="14.25" customHeight="1">
      <c r="A2699" s="1" t="s">
        <v>10830</v>
      </c>
      <c r="B2699" s="1" t="s">
        <v>10831</v>
      </c>
      <c r="C2699" s="1" t="s">
        <v>76</v>
      </c>
      <c r="D2699" s="1">
        <v>55834.0</v>
      </c>
      <c r="E2699" s="1" t="s">
        <v>40</v>
      </c>
      <c r="F2699" s="1" t="s">
        <v>54</v>
      </c>
      <c r="G2699" s="1" t="s">
        <v>21</v>
      </c>
      <c r="H2699" s="2">
        <v>3703.0</v>
      </c>
      <c r="I2699" s="2">
        <v>9009.0</v>
      </c>
      <c r="J2699" s="1">
        <v>1989.0</v>
      </c>
      <c r="K2699" s="1">
        <v>38.0</v>
      </c>
      <c r="L2699" s="1" t="s">
        <v>62</v>
      </c>
      <c r="M2699" s="1" t="s">
        <v>10832</v>
      </c>
      <c r="N2699" s="1" t="s">
        <v>64</v>
      </c>
      <c r="O2699" s="1" t="s">
        <v>25</v>
      </c>
      <c r="P2699" s="1" t="s">
        <v>10833</v>
      </c>
    </row>
    <row r="2700" ht="14.25" customHeight="1">
      <c r="A2700" s="1" t="s">
        <v>10834</v>
      </c>
      <c r="B2700" s="1" t="s">
        <v>10835</v>
      </c>
      <c r="C2700" s="1" t="s">
        <v>76</v>
      </c>
      <c r="D2700" s="1">
        <v>50636.0</v>
      </c>
      <c r="E2700" s="1" t="s">
        <v>60</v>
      </c>
      <c r="F2700" s="1" t="s">
        <v>20</v>
      </c>
      <c r="G2700" s="1" t="s">
        <v>31</v>
      </c>
      <c r="H2700" s="2">
        <v>1191.0</v>
      </c>
      <c r="I2700" s="2">
        <v>3303.0</v>
      </c>
      <c r="J2700" s="1">
        <v>1964.0</v>
      </c>
      <c r="K2700" s="1">
        <v>62.0</v>
      </c>
      <c r="L2700" s="1" t="s">
        <v>62</v>
      </c>
      <c r="M2700" s="1" t="s">
        <v>10836</v>
      </c>
      <c r="N2700" s="1" t="s">
        <v>34</v>
      </c>
      <c r="O2700" s="1" t="s">
        <v>25</v>
      </c>
      <c r="P2700" s="1" t="s">
        <v>10837</v>
      </c>
    </row>
    <row r="2701" ht="14.25" customHeight="1">
      <c r="A2701" s="1" t="s">
        <v>10838</v>
      </c>
      <c r="B2701" s="1" t="s">
        <v>10839</v>
      </c>
      <c r="C2701" s="1" t="s">
        <v>29</v>
      </c>
      <c r="D2701" s="1">
        <v>90226.0</v>
      </c>
      <c r="E2701" s="1" t="s">
        <v>19</v>
      </c>
      <c r="F2701" s="1" t="s">
        <v>94</v>
      </c>
      <c r="G2701" s="1" t="s">
        <v>55</v>
      </c>
      <c r="H2701" s="2">
        <v>3952.0</v>
      </c>
      <c r="I2701" s="2">
        <v>3347.0</v>
      </c>
      <c r="J2701" s="1">
        <v>1973.0</v>
      </c>
      <c r="K2701" s="1">
        <v>114.0</v>
      </c>
      <c r="L2701" s="1" t="s">
        <v>32</v>
      </c>
      <c r="M2701" s="1" t="s">
        <v>10840</v>
      </c>
      <c r="N2701" s="1" t="s">
        <v>34</v>
      </c>
      <c r="O2701" s="1" t="s">
        <v>35</v>
      </c>
      <c r="P2701" s="1" t="s">
        <v>10841</v>
      </c>
    </row>
    <row r="2702" ht="14.25" customHeight="1">
      <c r="A2702" s="1" t="s">
        <v>10842</v>
      </c>
      <c r="B2702" s="1" t="s">
        <v>10843</v>
      </c>
      <c r="C2702" s="1" t="s">
        <v>29</v>
      </c>
      <c r="D2702" s="1">
        <v>57885.0</v>
      </c>
      <c r="E2702" s="1" t="s">
        <v>60</v>
      </c>
      <c r="F2702" s="1" t="s">
        <v>54</v>
      </c>
      <c r="G2702" s="1" t="s">
        <v>21</v>
      </c>
      <c r="H2702" s="2">
        <v>1065.0</v>
      </c>
      <c r="I2702" s="2">
        <v>3506.0</v>
      </c>
      <c r="J2702" s="1">
        <v>2012.0</v>
      </c>
      <c r="K2702" s="1">
        <v>87.0</v>
      </c>
      <c r="L2702" s="1" t="s">
        <v>32</v>
      </c>
      <c r="M2702" s="1" t="s">
        <v>10844</v>
      </c>
      <c r="N2702" s="1" t="s">
        <v>64</v>
      </c>
      <c r="O2702" s="1" t="s">
        <v>35</v>
      </c>
      <c r="P2702" s="1" t="s">
        <v>10845</v>
      </c>
    </row>
    <row r="2703" ht="14.25" customHeight="1">
      <c r="A2703" s="1" t="s">
        <v>10846</v>
      </c>
      <c r="B2703" s="1" t="s">
        <v>10847</v>
      </c>
      <c r="C2703" s="1" t="s">
        <v>39</v>
      </c>
      <c r="D2703" s="1">
        <v>93874.0</v>
      </c>
      <c r="E2703" s="1" t="s">
        <v>40</v>
      </c>
      <c r="F2703" s="1" t="s">
        <v>20</v>
      </c>
      <c r="G2703" s="1" t="s">
        <v>21</v>
      </c>
      <c r="H2703" s="2">
        <v>2960.0</v>
      </c>
      <c r="I2703" s="2">
        <v>3374.0</v>
      </c>
      <c r="J2703" s="1">
        <v>1983.0</v>
      </c>
      <c r="K2703" s="1">
        <v>9.0</v>
      </c>
      <c r="L2703" s="1" t="s">
        <v>32</v>
      </c>
      <c r="M2703" s="1" t="s">
        <v>10848</v>
      </c>
      <c r="N2703" s="1" t="s">
        <v>43</v>
      </c>
      <c r="O2703" s="1" t="s">
        <v>35</v>
      </c>
      <c r="P2703" s="1" t="s">
        <v>10849</v>
      </c>
    </row>
    <row r="2704" ht="14.25" customHeight="1">
      <c r="A2704" s="1" t="s">
        <v>10850</v>
      </c>
      <c r="B2704" s="1" t="s">
        <v>10851</v>
      </c>
      <c r="C2704" s="1" t="s">
        <v>29</v>
      </c>
      <c r="D2704" s="1">
        <v>30885.0</v>
      </c>
      <c r="E2704" s="1" t="s">
        <v>77</v>
      </c>
      <c r="F2704" s="1" t="s">
        <v>54</v>
      </c>
      <c r="G2704" s="1" t="s">
        <v>21</v>
      </c>
      <c r="H2704" s="2">
        <v>1513.0</v>
      </c>
      <c r="I2704" s="2">
        <v>6424.0</v>
      </c>
      <c r="J2704" s="1">
        <v>2007.0</v>
      </c>
      <c r="K2704" s="1">
        <v>77.0</v>
      </c>
      <c r="L2704" s="1" t="s">
        <v>95</v>
      </c>
      <c r="M2704" s="1" t="s">
        <v>10852</v>
      </c>
      <c r="N2704" s="1" t="s">
        <v>64</v>
      </c>
      <c r="O2704" s="1" t="s">
        <v>25</v>
      </c>
      <c r="P2704" s="1" t="s">
        <v>10853</v>
      </c>
    </row>
    <row r="2705" ht="14.25" customHeight="1">
      <c r="A2705" s="1" t="s">
        <v>10854</v>
      </c>
      <c r="B2705" s="1" t="s">
        <v>10855</v>
      </c>
      <c r="C2705" s="1" t="s">
        <v>53</v>
      </c>
      <c r="D2705" s="1">
        <v>43095.0</v>
      </c>
      <c r="E2705" s="1" t="s">
        <v>19</v>
      </c>
      <c r="F2705" s="1" t="s">
        <v>54</v>
      </c>
      <c r="G2705" s="1" t="s">
        <v>100</v>
      </c>
      <c r="H2705" s="2">
        <v>3948.0</v>
      </c>
      <c r="I2705" s="2">
        <v>7934.0</v>
      </c>
      <c r="J2705" s="1">
        <v>1976.0</v>
      </c>
      <c r="K2705" s="1">
        <v>113.0</v>
      </c>
      <c r="L2705" s="1" t="s">
        <v>62</v>
      </c>
      <c r="M2705" s="1" t="s">
        <v>10856</v>
      </c>
      <c r="N2705" s="1" t="s">
        <v>48</v>
      </c>
      <c r="O2705" s="1" t="s">
        <v>35</v>
      </c>
      <c r="P2705" s="1" t="s">
        <v>10857</v>
      </c>
    </row>
    <row r="2706" ht="14.25" customHeight="1">
      <c r="A2706" s="1" t="s">
        <v>10858</v>
      </c>
      <c r="B2706" s="1" t="s">
        <v>10859</v>
      </c>
      <c r="C2706" s="1" t="s">
        <v>76</v>
      </c>
      <c r="D2706" s="1">
        <v>16179.0</v>
      </c>
      <c r="E2706" s="1" t="s">
        <v>30</v>
      </c>
      <c r="F2706" s="1" t="s">
        <v>61</v>
      </c>
      <c r="G2706" s="1" t="s">
        <v>21</v>
      </c>
      <c r="H2706" s="2">
        <v>2641.0</v>
      </c>
      <c r="I2706" s="2">
        <v>1819.0</v>
      </c>
      <c r="J2706" s="1">
        <v>1957.0</v>
      </c>
      <c r="K2706" s="1">
        <v>93.0</v>
      </c>
      <c r="L2706" s="1" t="s">
        <v>22</v>
      </c>
      <c r="M2706" s="1" t="s">
        <v>10860</v>
      </c>
      <c r="N2706" s="1" t="s">
        <v>64</v>
      </c>
      <c r="O2706" s="1" t="s">
        <v>35</v>
      </c>
      <c r="P2706" s="1" t="s">
        <v>10861</v>
      </c>
    </row>
    <row r="2707" ht="14.25" customHeight="1">
      <c r="A2707" s="1" t="s">
        <v>10862</v>
      </c>
      <c r="B2707" s="1" t="s">
        <v>10863</v>
      </c>
      <c r="C2707" s="1" t="s">
        <v>29</v>
      </c>
      <c r="D2707" s="1">
        <v>18368.0</v>
      </c>
      <c r="E2707" s="1" t="s">
        <v>77</v>
      </c>
      <c r="F2707" s="1" t="s">
        <v>20</v>
      </c>
      <c r="G2707" s="1" t="s">
        <v>100</v>
      </c>
      <c r="H2707" s="2">
        <v>3205.0</v>
      </c>
      <c r="I2707" s="2">
        <v>6265.0</v>
      </c>
      <c r="J2707" s="1">
        <v>1980.0</v>
      </c>
      <c r="K2707" s="1">
        <v>9.0</v>
      </c>
      <c r="L2707" s="1" t="s">
        <v>141</v>
      </c>
      <c r="M2707" s="1" t="s">
        <v>10864</v>
      </c>
      <c r="N2707" s="1" t="s">
        <v>34</v>
      </c>
      <c r="O2707" s="1" t="s">
        <v>35</v>
      </c>
      <c r="P2707" s="1" t="s">
        <v>10865</v>
      </c>
    </row>
    <row r="2708" ht="14.25" customHeight="1">
      <c r="A2708" s="1" t="s">
        <v>10866</v>
      </c>
      <c r="B2708" s="1" t="s">
        <v>10867</v>
      </c>
      <c r="C2708" s="1" t="s">
        <v>53</v>
      </c>
      <c r="D2708" s="1">
        <v>41408.0</v>
      </c>
      <c r="E2708" s="1" t="s">
        <v>19</v>
      </c>
      <c r="F2708" s="1" t="s">
        <v>54</v>
      </c>
      <c r="G2708" s="1" t="s">
        <v>21</v>
      </c>
      <c r="H2708" s="2">
        <v>1423.0</v>
      </c>
      <c r="I2708" s="2">
        <v>6959.0</v>
      </c>
      <c r="J2708" s="1">
        <v>1963.0</v>
      </c>
      <c r="K2708" s="1">
        <v>97.0</v>
      </c>
      <c r="L2708" s="1" t="s">
        <v>22</v>
      </c>
      <c r="M2708" s="1" t="s">
        <v>10868</v>
      </c>
      <c r="N2708" s="1" t="s">
        <v>34</v>
      </c>
      <c r="O2708" s="1" t="s">
        <v>25</v>
      </c>
      <c r="P2708" s="1" t="s">
        <v>10869</v>
      </c>
    </row>
    <row r="2709" ht="14.25" customHeight="1">
      <c r="A2709" s="1" t="s">
        <v>10870</v>
      </c>
      <c r="B2709" s="1" t="s">
        <v>10871</v>
      </c>
      <c r="C2709" s="1" t="s">
        <v>53</v>
      </c>
      <c r="D2709" s="1">
        <v>76192.0</v>
      </c>
      <c r="E2709" s="1" t="s">
        <v>40</v>
      </c>
      <c r="F2709" s="1" t="s">
        <v>41</v>
      </c>
      <c r="G2709" s="1" t="s">
        <v>100</v>
      </c>
      <c r="H2709" s="2">
        <v>3696.0</v>
      </c>
      <c r="I2709" s="2">
        <v>8469.0</v>
      </c>
      <c r="J2709" s="1">
        <v>2002.0</v>
      </c>
      <c r="K2709" s="1">
        <v>45.0</v>
      </c>
      <c r="L2709" s="1" t="s">
        <v>95</v>
      </c>
      <c r="M2709" s="1" t="s">
        <v>10872</v>
      </c>
      <c r="N2709" s="1" t="s">
        <v>64</v>
      </c>
      <c r="O2709" s="1" t="s">
        <v>49</v>
      </c>
      <c r="P2709" s="1" t="s">
        <v>10873</v>
      </c>
    </row>
    <row r="2710" ht="14.25" customHeight="1">
      <c r="A2710" s="1" t="s">
        <v>10874</v>
      </c>
      <c r="B2710" s="1" t="s">
        <v>10875</v>
      </c>
      <c r="C2710" s="1" t="s">
        <v>29</v>
      </c>
      <c r="D2710" s="1">
        <v>63613.0</v>
      </c>
      <c r="E2710" s="1" t="s">
        <v>30</v>
      </c>
      <c r="F2710" s="1" t="s">
        <v>41</v>
      </c>
      <c r="G2710" s="1" t="s">
        <v>100</v>
      </c>
      <c r="H2710" s="2">
        <v>3037.0</v>
      </c>
      <c r="I2710" s="2">
        <v>2133.0</v>
      </c>
      <c r="J2710" s="1">
        <v>2017.0</v>
      </c>
      <c r="K2710" s="1">
        <v>68.0</v>
      </c>
      <c r="L2710" s="1" t="s">
        <v>62</v>
      </c>
      <c r="M2710" s="1" t="s">
        <v>10876</v>
      </c>
      <c r="N2710" s="1" t="s">
        <v>64</v>
      </c>
      <c r="O2710" s="1" t="s">
        <v>49</v>
      </c>
      <c r="P2710" s="1" t="s">
        <v>10877</v>
      </c>
    </row>
    <row r="2711" ht="14.25" customHeight="1">
      <c r="A2711" s="1" t="s">
        <v>10878</v>
      </c>
      <c r="B2711" s="1" t="s">
        <v>10879</v>
      </c>
      <c r="C2711" s="1" t="s">
        <v>18</v>
      </c>
      <c r="D2711" s="1">
        <v>84340.0</v>
      </c>
      <c r="E2711" s="1" t="s">
        <v>77</v>
      </c>
      <c r="F2711" s="1" t="s">
        <v>94</v>
      </c>
      <c r="G2711" s="1" t="s">
        <v>21</v>
      </c>
      <c r="H2711" s="2">
        <v>2294.0</v>
      </c>
      <c r="I2711" s="2">
        <v>7350.0</v>
      </c>
      <c r="J2711" s="1">
        <v>1997.0</v>
      </c>
      <c r="K2711" s="1">
        <v>63.0</v>
      </c>
      <c r="L2711" s="1" t="s">
        <v>22</v>
      </c>
      <c r="M2711" s="1" t="s">
        <v>10880</v>
      </c>
      <c r="N2711" s="1" t="s">
        <v>64</v>
      </c>
      <c r="O2711" s="1" t="s">
        <v>49</v>
      </c>
      <c r="P2711" s="1" t="s">
        <v>10881</v>
      </c>
    </row>
    <row r="2712" ht="14.25" customHeight="1">
      <c r="A2712" s="1" t="s">
        <v>10882</v>
      </c>
      <c r="B2712" s="1" t="s">
        <v>10883</v>
      </c>
      <c r="C2712" s="1" t="s">
        <v>29</v>
      </c>
      <c r="D2712" s="1">
        <v>56087.0</v>
      </c>
      <c r="E2712" s="1" t="s">
        <v>40</v>
      </c>
      <c r="F2712" s="1" t="s">
        <v>46</v>
      </c>
      <c r="G2712" s="1" t="s">
        <v>31</v>
      </c>
      <c r="H2712" s="2">
        <v>906.0</v>
      </c>
      <c r="I2712" s="2">
        <v>5583.0</v>
      </c>
      <c r="J2712" s="1">
        <v>2009.0</v>
      </c>
      <c r="K2712" s="1">
        <v>47.0</v>
      </c>
      <c r="L2712" s="1" t="s">
        <v>141</v>
      </c>
      <c r="M2712" s="1" t="s">
        <v>10884</v>
      </c>
      <c r="N2712" s="1" t="s">
        <v>24</v>
      </c>
      <c r="O2712" s="1" t="s">
        <v>25</v>
      </c>
      <c r="P2712" s="1" t="s">
        <v>10885</v>
      </c>
    </row>
    <row r="2713" ht="14.25" customHeight="1">
      <c r="A2713" s="1" t="s">
        <v>10886</v>
      </c>
      <c r="B2713" s="1" t="s">
        <v>10887</v>
      </c>
      <c r="C2713" s="1" t="s">
        <v>18</v>
      </c>
      <c r="D2713" s="1">
        <v>24019.0</v>
      </c>
      <c r="E2713" s="1" t="s">
        <v>19</v>
      </c>
      <c r="F2713" s="1" t="s">
        <v>46</v>
      </c>
      <c r="G2713" s="1" t="s">
        <v>100</v>
      </c>
      <c r="H2713" s="2">
        <v>3492.0</v>
      </c>
      <c r="I2713" s="2">
        <v>5946.0</v>
      </c>
      <c r="J2713" s="1">
        <v>2013.0</v>
      </c>
      <c r="K2713" s="1">
        <v>95.0</v>
      </c>
      <c r="L2713" s="1" t="s">
        <v>22</v>
      </c>
      <c r="M2713" s="1" t="s">
        <v>10888</v>
      </c>
      <c r="N2713" s="1" t="s">
        <v>43</v>
      </c>
      <c r="O2713" s="1" t="s">
        <v>25</v>
      </c>
      <c r="P2713" s="1" t="s">
        <v>10889</v>
      </c>
    </row>
    <row r="2714" ht="14.25" customHeight="1">
      <c r="A2714" s="1" t="s">
        <v>10890</v>
      </c>
      <c r="B2714" s="1" t="s">
        <v>10891</v>
      </c>
      <c r="C2714" s="1" t="s">
        <v>53</v>
      </c>
      <c r="D2714" s="1">
        <v>98287.0</v>
      </c>
      <c r="E2714" s="1" t="s">
        <v>40</v>
      </c>
      <c r="F2714" s="1" t="s">
        <v>41</v>
      </c>
      <c r="G2714" s="1" t="s">
        <v>55</v>
      </c>
      <c r="H2714" s="2">
        <v>1145.0</v>
      </c>
      <c r="I2714" s="2">
        <v>3277.0</v>
      </c>
      <c r="J2714" s="1">
        <v>1965.0</v>
      </c>
      <c r="K2714" s="1">
        <v>20.0</v>
      </c>
      <c r="L2714" s="1" t="s">
        <v>22</v>
      </c>
      <c r="M2714" s="1" t="s">
        <v>10892</v>
      </c>
      <c r="N2714" s="1" t="s">
        <v>24</v>
      </c>
      <c r="O2714" s="1" t="s">
        <v>35</v>
      </c>
      <c r="P2714" s="1" t="s">
        <v>10893</v>
      </c>
    </row>
    <row r="2715" ht="14.25" customHeight="1">
      <c r="A2715" s="1" t="s">
        <v>10894</v>
      </c>
      <c r="B2715" s="1" t="s">
        <v>10895</v>
      </c>
      <c r="C2715" s="1" t="s">
        <v>18</v>
      </c>
      <c r="D2715" s="1">
        <v>95381.0</v>
      </c>
      <c r="E2715" s="1" t="s">
        <v>77</v>
      </c>
      <c r="F2715" s="1" t="s">
        <v>61</v>
      </c>
      <c r="G2715" s="1" t="s">
        <v>31</v>
      </c>
      <c r="H2715" s="2">
        <v>3522.0</v>
      </c>
      <c r="I2715" s="2">
        <v>3877.0</v>
      </c>
      <c r="J2715" s="1">
        <v>1966.0</v>
      </c>
      <c r="K2715" s="1">
        <v>80.0</v>
      </c>
      <c r="L2715" s="1" t="s">
        <v>62</v>
      </c>
      <c r="M2715" s="1" t="s">
        <v>10896</v>
      </c>
      <c r="N2715" s="1" t="s">
        <v>64</v>
      </c>
      <c r="O2715" s="1" t="s">
        <v>35</v>
      </c>
      <c r="P2715" s="1" t="s">
        <v>10897</v>
      </c>
    </row>
    <row r="2716" ht="14.25" customHeight="1">
      <c r="A2716" s="1" t="s">
        <v>10898</v>
      </c>
      <c r="B2716" s="1" t="s">
        <v>10899</v>
      </c>
      <c r="C2716" s="1" t="s">
        <v>39</v>
      </c>
      <c r="D2716" s="1">
        <v>67024.0</v>
      </c>
      <c r="E2716" s="1" t="s">
        <v>30</v>
      </c>
      <c r="F2716" s="1" t="s">
        <v>46</v>
      </c>
      <c r="G2716" s="1" t="s">
        <v>21</v>
      </c>
      <c r="H2716" s="2">
        <v>3732.0</v>
      </c>
      <c r="I2716" s="2">
        <v>2633.0</v>
      </c>
      <c r="J2716" s="1">
        <v>1995.0</v>
      </c>
      <c r="K2716" s="1">
        <v>50.0</v>
      </c>
      <c r="L2716" s="1" t="s">
        <v>95</v>
      </c>
      <c r="M2716" s="1" t="s">
        <v>10900</v>
      </c>
      <c r="N2716" s="1" t="s">
        <v>43</v>
      </c>
      <c r="O2716" s="1" t="s">
        <v>35</v>
      </c>
      <c r="P2716" s="1" t="s">
        <v>10901</v>
      </c>
    </row>
    <row r="2717" ht="14.25" customHeight="1">
      <c r="A2717" s="1" t="s">
        <v>10902</v>
      </c>
      <c r="B2717" s="1" t="s">
        <v>10903</v>
      </c>
      <c r="C2717" s="1" t="s">
        <v>29</v>
      </c>
      <c r="D2717" s="1">
        <v>78123.0</v>
      </c>
      <c r="E2717" s="1" t="s">
        <v>19</v>
      </c>
      <c r="F2717" s="1" t="s">
        <v>94</v>
      </c>
      <c r="G2717" s="1" t="s">
        <v>31</v>
      </c>
      <c r="H2717" s="2">
        <v>1211.0</v>
      </c>
      <c r="I2717" s="2">
        <v>6121.0</v>
      </c>
      <c r="J2717" s="1">
        <v>1987.0</v>
      </c>
      <c r="K2717" s="1">
        <v>44.0</v>
      </c>
      <c r="L2717" s="1" t="s">
        <v>22</v>
      </c>
      <c r="M2717" s="1" t="s">
        <v>10904</v>
      </c>
      <c r="N2717" s="1" t="s">
        <v>48</v>
      </c>
      <c r="O2717" s="1" t="s">
        <v>49</v>
      </c>
      <c r="P2717" s="1" t="s">
        <v>10905</v>
      </c>
    </row>
    <row r="2718" ht="14.25" customHeight="1">
      <c r="A2718" s="1" t="s">
        <v>10906</v>
      </c>
      <c r="B2718" s="1" t="s">
        <v>10907</v>
      </c>
      <c r="C2718" s="1" t="s">
        <v>76</v>
      </c>
      <c r="D2718" s="1">
        <v>81044.0</v>
      </c>
      <c r="E2718" s="1" t="s">
        <v>60</v>
      </c>
      <c r="F2718" s="1" t="s">
        <v>41</v>
      </c>
      <c r="G2718" s="1" t="s">
        <v>31</v>
      </c>
      <c r="H2718" s="2">
        <v>2509.0</v>
      </c>
      <c r="I2718" s="2">
        <v>8388.0</v>
      </c>
      <c r="J2718" s="1">
        <v>1978.0</v>
      </c>
      <c r="K2718" s="1">
        <v>95.0</v>
      </c>
      <c r="L2718" s="1" t="s">
        <v>141</v>
      </c>
      <c r="M2718" s="1" t="s">
        <v>10908</v>
      </c>
      <c r="N2718" s="1" t="s">
        <v>34</v>
      </c>
      <c r="O2718" s="1" t="s">
        <v>49</v>
      </c>
      <c r="P2718" s="1" t="s">
        <v>10909</v>
      </c>
    </row>
    <row r="2719" ht="14.25" customHeight="1">
      <c r="A2719" s="1" t="s">
        <v>10910</v>
      </c>
      <c r="B2719" s="1" t="s">
        <v>10911</v>
      </c>
      <c r="C2719" s="1" t="s">
        <v>53</v>
      </c>
      <c r="D2719" s="1">
        <v>19164.0</v>
      </c>
      <c r="E2719" s="1" t="s">
        <v>77</v>
      </c>
      <c r="F2719" s="1" t="s">
        <v>94</v>
      </c>
      <c r="G2719" s="1" t="s">
        <v>21</v>
      </c>
      <c r="H2719" s="2">
        <v>3886.0</v>
      </c>
      <c r="I2719" s="2">
        <v>6631.0</v>
      </c>
      <c r="J2719" s="1">
        <v>1956.0</v>
      </c>
      <c r="K2719" s="1">
        <v>82.0</v>
      </c>
      <c r="L2719" s="1" t="s">
        <v>32</v>
      </c>
      <c r="M2719" s="1" t="s">
        <v>10912</v>
      </c>
      <c r="N2719" s="1" t="s">
        <v>64</v>
      </c>
      <c r="O2719" s="1" t="s">
        <v>25</v>
      </c>
      <c r="P2719" s="1" t="s">
        <v>10913</v>
      </c>
    </row>
    <row r="2720" ht="14.25" customHeight="1">
      <c r="A2720" s="1" t="s">
        <v>10914</v>
      </c>
      <c r="B2720" s="1" t="s">
        <v>10915</v>
      </c>
      <c r="C2720" s="1" t="s">
        <v>29</v>
      </c>
      <c r="D2720" s="1">
        <v>86282.0</v>
      </c>
      <c r="E2720" s="1" t="s">
        <v>77</v>
      </c>
      <c r="F2720" s="1" t="s">
        <v>94</v>
      </c>
      <c r="G2720" s="1" t="s">
        <v>21</v>
      </c>
      <c r="H2720" s="2">
        <v>765.0</v>
      </c>
      <c r="I2720" s="2">
        <v>4564.0</v>
      </c>
      <c r="J2720" s="1">
        <v>1995.0</v>
      </c>
      <c r="K2720" s="1">
        <v>99.0</v>
      </c>
      <c r="L2720" s="1" t="s">
        <v>95</v>
      </c>
      <c r="M2720" s="1" t="s">
        <v>10916</v>
      </c>
      <c r="N2720" s="1" t="s">
        <v>48</v>
      </c>
      <c r="O2720" s="1" t="s">
        <v>49</v>
      </c>
      <c r="P2720" s="1" t="s">
        <v>10917</v>
      </c>
    </row>
    <row r="2721" ht="14.25" customHeight="1">
      <c r="A2721" s="1" t="s">
        <v>10918</v>
      </c>
      <c r="B2721" s="1" t="s">
        <v>10919</v>
      </c>
      <c r="C2721" s="1" t="s">
        <v>39</v>
      </c>
      <c r="D2721" s="1">
        <v>67076.0</v>
      </c>
      <c r="E2721" s="1" t="s">
        <v>60</v>
      </c>
      <c r="F2721" s="1" t="s">
        <v>41</v>
      </c>
      <c r="G2721" s="1" t="s">
        <v>21</v>
      </c>
      <c r="H2721" s="2">
        <v>1194.0</v>
      </c>
      <c r="I2721" s="2">
        <v>4600.0</v>
      </c>
      <c r="J2721" s="1">
        <v>2002.0</v>
      </c>
      <c r="K2721" s="1">
        <v>80.0</v>
      </c>
      <c r="L2721" s="1" t="s">
        <v>22</v>
      </c>
      <c r="M2721" s="1" t="s">
        <v>10920</v>
      </c>
      <c r="N2721" s="1" t="s">
        <v>64</v>
      </c>
      <c r="O2721" s="1" t="s">
        <v>49</v>
      </c>
      <c r="P2721" s="1" t="s">
        <v>10921</v>
      </c>
    </row>
    <row r="2722" ht="14.25" customHeight="1">
      <c r="A2722" s="1" t="s">
        <v>10922</v>
      </c>
      <c r="B2722" s="1" t="s">
        <v>10923</v>
      </c>
      <c r="C2722" s="1" t="s">
        <v>18</v>
      </c>
      <c r="D2722" s="1">
        <v>18270.0</v>
      </c>
      <c r="E2722" s="1" t="s">
        <v>40</v>
      </c>
      <c r="F2722" s="1" t="s">
        <v>54</v>
      </c>
      <c r="G2722" s="1" t="s">
        <v>21</v>
      </c>
      <c r="H2722" s="2">
        <v>3803.0</v>
      </c>
      <c r="I2722" s="2">
        <v>2400.0</v>
      </c>
      <c r="J2722" s="1">
        <v>1961.0</v>
      </c>
      <c r="K2722" s="1">
        <v>80.0</v>
      </c>
      <c r="L2722" s="1" t="s">
        <v>95</v>
      </c>
      <c r="M2722" s="1" t="s">
        <v>10924</v>
      </c>
      <c r="N2722" s="1" t="s">
        <v>64</v>
      </c>
      <c r="O2722" s="1" t="s">
        <v>49</v>
      </c>
      <c r="P2722" s="1" t="s">
        <v>10925</v>
      </c>
    </row>
    <row r="2723" ht="14.25" customHeight="1">
      <c r="A2723" s="1" t="s">
        <v>10926</v>
      </c>
      <c r="B2723" s="1" t="s">
        <v>10927</v>
      </c>
      <c r="C2723" s="1" t="s">
        <v>39</v>
      </c>
      <c r="D2723" s="1">
        <v>48621.0</v>
      </c>
      <c r="E2723" s="1" t="s">
        <v>40</v>
      </c>
      <c r="F2723" s="1" t="s">
        <v>41</v>
      </c>
      <c r="G2723" s="1" t="s">
        <v>21</v>
      </c>
      <c r="H2723" s="2">
        <v>1457.0</v>
      </c>
      <c r="I2723" s="2">
        <v>8827.0</v>
      </c>
      <c r="J2723" s="1">
        <v>2021.0</v>
      </c>
      <c r="K2723" s="1">
        <v>100.0</v>
      </c>
      <c r="L2723" s="1" t="s">
        <v>22</v>
      </c>
      <c r="M2723" s="1" t="s">
        <v>10928</v>
      </c>
      <c r="N2723" s="1" t="s">
        <v>43</v>
      </c>
      <c r="O2723" s="1" t="s">
        <v>25</v>
      </c>
      <c r="P2723" s="1" t="s">
        <v>10929</v>
      </c>
    </row>
    <row r="2724" ht="14.25" customHeight="1">
      <c r="A2724" s="1" t="s">
        <v>10930</v>
      </c>
      <c r="B2724" s="1" t="s">
        <v>10931</v>
      </c>
      <c r="C2724" s="1" t="s">
        <v>18</v>
      </c>
      <c r="D2724" s="1">
        <v>34479.0</v>
      </c>
      <c r="E2724" s="1" t="s">
        <v>40</v>
      </c>
      <c r="F2724" s="1" t="s">
        <v>46</v>
      </c>
      <c r="G2724" s="1" t="s">
        <v>100</v>
      </c>
      <c r="H2724" s="2">
        <v>3301.0</v>
      </c>
      <c r="I2724" s="2">
        <v>1765.0</v>
      </c>
      <c r="J2724" s="1">
        <v>1982.0</v>
      </c>
      <c r="K2724" s="1">
        <v>10.0</v>
      </c>
      <c r="L2724" s="1" t="s">
        <v>95</v>
      </c>
      <c r="M2724" s="1" t="s">
        <v>10932</v>
      </c>
      <c r="N2724" s="1" t="s">
        <v>24</v>
      </c>
      <c r="O2724" s="1" t="s">
        <v>25</v>
      </c>
      <c r="P2724" s="1" t="s">
        <v>10933</v>
      </c>
    </row>
    <row r="2725" ht="14.25" customHeight="1">
      <c r="A2725" s="1" t="s">
        <v>10934</v>
      </c>
      <c r="B2725" s="1" t="s">
        <v>10935</v>
      </c>
      <c r="C2725" s="1" t="s">
        <v>29</v>
      </c>
      <c r="D2725" s="1">
        <v>91456.0</v>
      </c>
      <c r="E2725" s="1" t="s">
        <v>77</v>
      </c>
      <c r="F2725" s="1" t="s">
        <v>41</v>
      </c>
      <c r="G2725" s="1" t="s">
        <v>31</v>
      </c>
      <c r="H2725" s="2">
        <v>3244.0</v>
      </c>
      <c r="I2725" s="2">
        <v>1799.0</v>
      </c>
      <c r="J2725" s="1">
        <v>2011.0</v>
      </c>
      <c r="K2725" s="1">
        <v>14.0</v>
      </c>
      <c r="L2725" s="1" t="s">
        <v>32</v>
      </c>
      <c r="M2725" s="1" t="s">
        <v>10936</v>
      </c>
      <c r="N2725" s="1" t="s">
        <v>34</v>
      </c>
      <c r="O2725" s="1" t="s">
        <v>25</v>
      </c>
      <c r="P2725" s="1" t="s">
        <v>10937</v>
      </c>
    </row>
    <row r="2726" ht="14.25" customHeight="1">
      <c r="A2726" s="1" t="s">
        <v>10938</v>
      </c>
      <c r="B2726" s="1" t="s">
        <v>10939</v>
      </c>
      <c r="C2726" s="1" t="s">
        <v>39</v>
      </c>
      <c r="D2726" s="1">
        <v>47603.0</v>
      </c>
      <c r="E2726" s="1" t="s">
        <v>40</v>
      </c>
      <c r="F2726" s="1" t="s">
        <v>61</v>
      </c>
      <c r="G2726" s="1" t="s">
        <v>55</v>
      </c>
      <c r="H2726" s="2">
        <v>2756.0</v>
      </c>
      <c r="I2726" s="2">
        <v>4120.0</v>
      </c>
      <c r="J2726" s="1">
        <v>1950.0</v>
      </c>
      <c r="K2726" s="1">
        <v>113.0</v>
      </c>
      <c r="L2726" s="1" t="s">
        <v>32</v>
      </c>
      <c r="M2726" s="1" t="s">
        <v>10940</v>
      </c>
      <c r="N2726" s="1" t="s">
        <v>64</v>
      </c>
      <c r="O2726" s="1" t="s">
        <v>35</v>
      </c>
      <c r="P2726" s="1" t="s">
        <v>10941</v>
      </c>
    </row>
    <row r="2727" ht="14.25" customHeight="1">
      <c r="A2727" s="1" t="s">
        <v>10942</v>
      </c>
      <c r="B2727" s="1" t="s">
        <v>10943</v>
      </c>
      <c r="C2727" s="1" t="s">
        <v>76</v>
      </c>
      <c r="D2727" s="1">
        <v>35848.0</v>
      </c>
      <c r="E2727" s="1" t="s">
        <v>77</v>
      </c>
      <c r="F2727" s="1" t="s">
        <v>94</v>
      </c>
      <c r="G2727" s="1" t="s">
        <v>21</v>
      </c>
      <c r="H2727" s="2">
        <v>837.0</v>
      </c>
      <c r="I2727" s="2">
        <v>7562.0</v>
      </c>
      <c r="J2727" s="1">
        <v>1981.0</v>
      </c>
      <c r="K2727" s="1">
        <v>51.0</v>
      </c>
      <c r="L2727" s="1" t="s">
        <v>95</v>
      </c>
      <c r="M2727" s="1" t="s">
        <v>10944</v>
      </c>
      <c r="N2727" s="1" t="s">
        <v>24</v>
      </c>
      <c r="O2727" s="1" t="s">
        <v>25</v>
      </c>
      <c r="P2727" s="1" t="s">
        <v>10945</v>
      </c>
    </row>
    <row r="2728" ht="14.25" customHeight="1">
      <c r="A2728" s="1" t="s">
        <v>10946</v>
      </c>
      <c r="B2728" s="1" t="s">
        <v>10947</v>
      </c>
      <c r="C2728" s="1" t="s">
        <v>76</v>
      </c>
      <c r="D2728" s="1">
        <v>90716.0</v>
      </c>
      <c r="E2728" s="1" t="s">
        <v>77</v>
      </c>
      <c r="F2728" s="1" t="s">
        <v>46</v>
      </c>
      <c r="G2728" s="1" t="s">
        <v>31</v>
      </c>
      <c r="H2728" s="2">
        <v>3922.0</v>
      </c>
      <c r="I2728" s="2">
        <v>4908.0</v>
      </c>
      <c r="J2728" s="1">
        <v>2016.0</v>
      </c>
      <c r="K2728" s="1">
        <v>82.0</v>
      </c>
      <c r="L2728" s="1" t="s">
        <v>62</v>
      </c>
      <c r="M2728" s="1" t="s">
        <v>10948</v>
      </c>
      <c r="N2728" s="1" t="s">
        <v>64</v>
      </c>
      <c r="O2728" s="1" t="s">
        <v>35</v>
      </c>
      <c r="P2728" s="1" t="s">
        <v>10949</v>
      </c>
    </row>
    <row r="2729" ht="14.25" customHeight="1">
      <c r="A2729" s="1" t="s">
        <v>10950</v>
      </c>
      <c r="B2729" s="1" t="s">
        <v>10951</v>
      </c>
      <c r="C2729" s="1" t="s">
        <v>39</v>
      </c>
      <c r="D2729" s="1">
        <v>77443.0</v>
      </c>
      <c r="E2729" s="1" t="s">
        <v>40</v>
      </c>
      <c r="F2729" s="1" t="s">
        <v>41</v>
      </c>
      <c r="G2729" s="1" t="s">
        <v>21</v>
      </c>
      <c r="H2729" s="2">
        <v>2307.0</v>
      </c>
      <c r="I2729" s="2">
        <v>7884.0</v>
      </c>
      <c r="J2729" s="1">
        <v>2009.0</v>
      </c>
      <c r="K2729" s="1">
        <v>27.0</v>
      </c>
      <c r="L2729" s="1" t="s">
        <v>95</v>
      </c>
      <c r="M2729" s="1" t="s">
        <v>10952</v>
      </c>
      <c r="N2729" s="1" t="s">
        <v>34</v>
      </c>
      <c r="O2729" s="1" t="s">
        <v>25</v>
      </c>
      <c r="P2729" s="1" t="s">
        <v>10953</v>
      </c>
    </row>
    <row r="2730" ht="14.25" customHeight="1">
      <c r="A2730" s="1" t="s">
        <v>10954</v>
      </c>
      <c r="B2730" s="1" t="s">
        <v>10955</v>
      </c>
      <c r="C2730" s="1" t="s">
        <v>39</v>
      </c>
      <c r="D2730" s="1">
        <v>36321.0</v>
      </c>
      <c r="E2730" s="1" t="s">
        <v>19</v>
      </c>
      <c r="F2730" s="1" t="s">
        <v>46</v>
      </c>
      <c r="G2730" s="1" t="s">
        <v>55</v>
      </c>
      <c r="H2730" s="2">
        <v>3898.0</v>
      </c>
      <c r="I2730" s="2">
        <v>1976.0</v>
      </c>
      <c r="J2730" s="1">
        <v>1987.0</v>
      </c>
      <c r="K2730" s="1">
        <v>88.0</v>
      </c>
      <c r="L2730" s="1" t="s">
        <v>32</v>
      </c>
      <c r="M2730" s="1" t="s">
        <v>10956</v>
      </c>
      <c r="N2730" s="1" t="s">
        <v>24</v>
      </c>
      <c r="O2730" s="1" t="s">
        <v>25</v>
      </c>
      <c r="P2730" s="1" t="s">
        <v>10957</v>
      </c>
    </row>
    <row r="2731" ht="14.25" customHeight="1">
      <c r="A2731" s="1" t="s">
        <v>10958</v>
      </c>
      <c r="B2731" s="1" t="s">
        <v>10959</v>
      </c>
      <c r="C2731" s="1" t="s">
        <v>29</v>
      </c>
      <c r="D2731" s="1">
        <v>23513.0</v>
      </c>
      <c r="E2731" s="1" t="s">
        <v>19</v>
      </c>
      <c r="F2731" s="1" t="s">
        <v>54</v>
      </c>
      <c r="G2731" s="1" t="s">
        <v>31</v>
      </c>
      <c r="H2731" s="2">
        <v>1430.0</v>
      </c>
      <c r="I2731" s="2">
        <v>4574.0</v>
      </c>
      <c r="J2731" s="1">
        <v>1988.0</v>
      </c>
      <c r="K2731" s="1">
        <v>71.0</v>
      </c>
      <c r="L2731" s="1" t="s">
        <v>32</v>
      </c>
      <c r="M2731" s="1" t="s">
        <v>10960</v>
      </c>
      <c r="N2731" s="1" t="s">
        <v>24</v>
      </c>
      <c r="O2731" s="1" t="s">
        <v>25</v>
      </c>
      <c r="P2731" s="1" t="s">
        <v>10961</v>
      </c>
    </row>
    <row r="2732" ht="14.25" customHeight="1">
      <c r="A2732" s="1" t="s">
        <v>10962</v>
      </c>
      <c r="B2732" s="1" t="s">
        <v>10963</v>
      </c>
      <c r="C2732" s="1" t="s">
        <v>39</v>
      </c>
      <c r="D2732" s="1">
        <v>48318.0</v>
      </c>
      <c r="E2732" s="1" t="s">
        <v>77</v>
      </c>
      <c r="F2732" s="1" t="s">
        <v>41</v>
      </c>
      <c r="G2732" s="1" t="s">
        <v>55</v>
      </c>
      <c r="H2732" s="2">
        <v>2700.0</v>
      </c>
      <c r="I2732" s="2">
        <v>5098.0</v>
      </c>
      <c r="J2732" s="1">
        <v>2008.0</v>
      </c>
      <c r="K2732" s="1">
        <v>68.0</v>
      </c>
      <c r="L2732" s="1" t="s">
        <v>32</v>
      </c>
      <c r="M2732" s="1" t="s">
        <v>10964</v>
      </c>
      <c r="N2732" s="1" t="s">
        <v>43</v>
      </c>
      <c r="O2732" s="1" t="s">
        <v>49</v>
      </c>
      <c r="P2732" s="1" t="s">
        <v>10965</v>
      </c>
    </row>
    <row r="2733" ht="14.25" customHeight="1">
      <c r="A2733" s="1" t="s">
        <v>10966</v>
      </c>
      <c r="B2733" s="1" t="s">
        <v>10967</v>
      </c>
      <c r="C2733" s="1" t="s">
        <v>29</v>
      </c>
      <c r="D2733" s="1">
        <v>45968.0</v>
      </c>
      <c r="E2733" s="1" t="s">
        <v>19</v>
      </c>
      <c r="F2733" s="1" t="s">
        <v>20</v>
      </c>
      <c r="G2733" s="1" t="s">
        <v>31</v>
      </c>
      <c r="H2733" s="2">
        <v>3327.0</v>
      </c>
      <c r="I2733" s="2">
        <v>1193.0</v>
      </c>
      <c r="J2733" s="1">
        <v>1953.0</v>
      </c>
      <c r="K2733" s="1">
        <v>57.0</v>
      </c>
      <c r="L2733" s="1" t="s">
        <v>22</v>
      </c>
      <c r="M2733" s="1" t="s">
        <v>10968</v>
      </c>
      <c r="N2733" s="1" t="s">
        <v>24</v>
      </c>
      <c r="O2733" s="1" t="s">
        <v>49</v>
      </c>
      <c r="P2733" s="1" t="s">
        <v>10969</v>
      </c>
    </row>
    <row r="2734" ht="14.25" customHeight="1">
      <c r="A2734" s="1" t="s">
        <v>10970</v>
      </c>
      <c r="B2734" s="1" t="s">
        <v>10971</v>
      </c>
      <c r="C2734" s="1" t="s">
        <v>39</v>
      </c>
      <c r="D2734" s="1">
        <v>60698.0</v>
      </c>
      <c r="E2734" s="1" t="s">
        <v>30</v>
      </c>
      <c r="F2734" s="1" t="s">
        <v>54</v>
      </c>
      <c r="G2734" s="1" t="s">
        <v>100</v>
      </c>
      <c r="H2734" s="2">
        <v>1662.0</v>
      </c>
      <c r="I2734" s="2">
        <v>3036.0</v>
      </c>
      <c r="J2734" s="1">
        <v>1975.0</v>
      </c>
      <c r="K2734" s="1">
        <v>79.0</v>
      </c>
      <c r="L2734" s="1" t="s">
        <v>95</v>
      </c>
      <c r="M2734" s="1" t="s">
        <v>10972</v>
      </c>
      <c r="N2734" s="1" t="s">
        <v>34</v>
      </c>
      <c r="O2734" s="1" t="s">
        <v>35</v>
      </c>
      <c r="P2734" s="1" t="s">
        <v>10973</v>
      </c>
    </row>
    <row r="2735" ht="14.25" customHeight="1">
      <c r="A2735" s="1" t="s">
        <v>10974</v>
      </c>
      <c r="B2735" s="1" t="s">
        <v>10975</v>
      </c>
      <c r="C2735" s="1" t="s">
        <v>39</v>
      </c>
      <c r="D2735" s="1">
        <v>41117.0</v>
      </c>
      <c r="E2735" s="1" t="s">
        <v>30</v>
      </c>
      <c r="F2735" s="1" t="s">
        <v>54</v>
      </c>
      <c r="G2735" s="1" t="s">
        <v>55</v>
      </c>
      <c r="H2735" s="2">
        <v>2399.0</v>
      </c>
      <c r="I2735" s="2">
        <v>1112.0</v>
      </c>
      <c r="J2735" s="1">
        <v>2023.0</v>
      </c>
      <c r="K2735" s="1">
        <v>58.0</v>
      </c>
      <c r="L2735" s="1" t="s">
        <v>22</v>
      </c>
      <c r="M2735" s="1" t="s">
        <v>10976</v>
      </c>
      <c r="N2735" s="1" t="s">
        <v>43</v>
      </c>
      <c r="O2735" s="1" t="s">
        <v>25</v>
      </c>
      <c r="P2735" s="1" t="s">
        <v>10977</v>
      </c>
    </row>
    <row r="2736" ht="14.25" customHeight="1">
      <c r="A2736" s="1" t="s">
        <v>10978</v>
      </c>
      <c r="B2736" s="1" t="s">
        <v>10979</v>
      </c>
      <c r="C2736" s="1" t="s">
        <v>39</v>
      </c>
      <c r="D2736" s="1">
        <v>51738.0</v>
      </c>
      <c r="E2736" s="1" t="s">
        <v>30</v>
      </c>
      <c r="F2736" s="1" t="s">
        <v>20</v>
      </c>
      <c r="G2736" s="1" t="s">
        <v>100</v>
      </c>
      <c r="H2736" s="2">
        <v>3535.0</v>
      </c>
      <c r="I2736" s="2">
        <v>4995.0</v>
      </c>
      <c r="J2736" s="1">
        <v>1971.0</v>
      </c>
      <c r="K2736" s="1">
        <v>108.0</v>
      </c>
      <c r="L2736" s="1" t="s">
        <v>62</v>
      </c>
      <c r="M2736" s="1" t="s">
        <v>10980</v>
      </c>
      <c r="N2736" s="1" t="s">
        <v>43</v>
      </c>
      <c r="O2736" s="1" t="s">
        <v>25</v>
      </c>
      <c r="P2736" s="1" t="s">
        <v>10981</v>
      </c>
    </row>
    <row r="2737" ht="14.25" customHeight="1">
      <c r="A2737" s="1" t="s">
        <v>10982</v>
      </c>
      <c r="B2737" s="1" t="s">
        <v>10983</v>
      </c>
      <c r="C2737" s="1" t="s">
        <v>18</v>
      </c>
      <c r="D2737" s="1">
        <v>63000.0</v>
      </c>
      <c r="E2737" s="1" t="s">
        <v>30</v>
      </c>
      <c r="F2737" s="1" t="s">
        <v>46</v>
      </c>
      <c r="G2737" s="1" t="s">
        <v>100</v>
      </c>
      <c r="H2737" s="2">
        <v>2165.0</v>
      </c>
      <c r="I2737" s="2">
        <v>8779.0</v>
      </c>
      <c r="J2737" s="1">
        <v>1991.0</v>
      </c>
      <c r="K2737" s="1">
        <v>21.0</v>
      </c>
      <c r="L2737" s="1" t="s">
        <v>62</v>
      </c>
      <c r="M2737" s="1" t="s">
        <v>10984</v>
      </c>
      <c r="N2737" s="1" t="s">
        <v>34</v>
      </c>
      <c r="O2737" s="1" t="s">
        <v>49</v>
      </c>
      <c r="P2737" s="1" t="s">
        <v>10985</v>
      </c>
    </row>
    <row r="2738" ht="14.25" customHeight="1">
      <c r="A2738" s="1" t="s">
        <v>10986</v>
      </c>
      <c r="B2738" s="1" t="s">
        <v>10987</v>
      </c>
      <c r="C2738" s="1" t="s">
        <v>76</v>
      </c>
      <c r="D2738" s="1">
        <v>53861.0</v>
      </c>
      <c r="E2738" s="1" t="s">
        <v>77</v>
      </c>
      <c r="F2738" s="1" t="s">
        <v>46</v>
      </c>
      <c r="G2738" s="1" t="s">
        <v>55</v>
      </c>
      <c r="H2738" s="2">
        <v>2794.0</v>
      </c>
      <c r="I2738" s="2">
        <v>1406.0</v>
      </c>
      <c r="J2738" s="1">
        <v>2015.0</v>
      </c>
      <c r="K2738" s="1">
        <v>101.0</v>
      </c>
      <c r="L2738" s="1" t="s">
        <v>62</v>
      </c>
      <c r="M2738" s="1" t="s">
        <v>10988</v>
      </c>
      <c r="N2738" s="1" t="s">
        <v>48</v>
      </c>
      <c r="O2738" s="1" t="s">
        <v>49</v>
      </c>
      <c r="P2738" s="1" t="s">
        <v>10989</v>
      </c>
    </row>
    <row r="2739" ht="14.25" customHeight="1">
      <c r="A2739" s="1" t="s">
        <v>10990</v>
      </c>
      <c r="B2739" s="1" t="s">
        <v>10991</v>
      </c>
      <c r="C2739" s="1" t="s">
        <v>53</v>
      </c>
      <c r="D2739" s="1">
        <v>65443.0</v>
      </c>
      <c r="E2739" s="1" t="s">
        <v>19</v>
      </c>
      <c r="F2739" s="1" t="s">
        <v>20</v>
      </c>
      <c r="G2739" s="1" t="s">
        <v>100</v>
      </c>
      <c r="H2739" s="2">
        <v>1450.0</v>
      </c>
      <c r="I2739" s="2">
        <v>8677.0</v>
      </c>
      <c r="J2739" s="1">
        <v>2018.0</v>
      </c>
      <c r="K2739" s="1">
        <v>16.0</v>
      </c>
      <c r="L2739" s="1" t="s">
        <v>62</v>
      </c>
      <c r="M2739" s="1" t="s">
        <v>10992</v>
      </c>
      <c r="N2739" s="1" t="s">
        <v>48</v>
      </c>
      <c r="O2739" s="1" t="s">
        <v>49</v>
      </c>
      <c r="P2739" s="1" t="s">
        <v>10993</v>
      </c>
    </row>
    <row r="2740" ht="14.25" customHeight="1">
      <c r="A2740" s="1" t="s">
        <v>10994</v>
      </c>
      <c r="B2740" s="1" t="s">
        <v>10995</v>
      </c>
      <c r="C2740" s="1" t="s">
        <v>29</v>
      </c>
      <c r="D2740" s="1">
        <v>56693.0</v>
      </c>
      <c r="E2740" s="1" t="s">
        <v>77</v>
      </c>
      <c r="F2740" s="1" t="s">
        <v>94</v>
      </c>
      <c r="G2740" s="1" t="s">
        <v>100</v>
      </c>
      <c r="H2740" s="2">
        <v>3730.0</v>
      </c>
      <c r="I2740" s="2">
        <v>4614.0</v>
      </c>
      <c r="J2740" s="1">
        <v>1970.0</v>
      </c>
      <c r="K2740" s="1">
        <v>35.0</v>
      </c>
      <c r="L2740" s="1" t="s">
        <v>95</v>
      </c>
      <c r="M2740" s="1" t="s">
        <v>10996</v>
      </c>
      <c r="N2740" s="1" t="s">
        <v>48</v>
      </c>
      <c r="O2740" s="1" t="s">
        <v>25</v>
      </c>
      <c r="P2740" s="1" t="s">
        <v>10997</v>
      </c>
    </row>
    <row r="2741" ht="14.25" customHeight="1">
      <c r="A2741" s="1" t="s">
        <v>10998</v>
      </c>
      <c r="B2741" s="1" t="s">
        <v>10999</v>
      </c>
      <c r="C2741" s="1" t="s">
        <v>29</v>
      </c>
      <c r="D2741" s="1">
        <v>36849.0</v>
      </c>
      <c r="E2741" s="1" t="s">
        <v>77</v>
      </c>
      <c r="F2741" s="1" t="s">
        <v>61</v>
      </c>
      <c r="G2741" s="1" t="s">
        <v>100</v>
      </c>
      <c r="H2741" s="2">
        <v>2978.0</v>
      </c>
      <c r="I2741" s="2">
        <v>3300.0</v>
      </c>
      <c r="J2741" s="1">
        <v>2012.0</v>
      </c>
      <c r="K2741" s="1">
        <v>28.0</v>
      </c>
      <c r="L2741" s="1" t="s">
        <v>95</v>
      </c>
      <c r="M2741" s="1" t="s">
        <v>11000</v>
      </c>
      <c r="N2741" s="1" t="s">
        <v>24</v>
      </c>
      <c r="O2741" s="1" t="s">
        <v>35</v>
      </c>
      <c r="P2741" s="1" t="s">
        <v>11001</v>
      </c>
    </row>
    <row r="2742" ht="14.25" customHeight="1">
      <c r="A2742" s="1" t="s">
        <v>11002</v>
      </c>
      <c r="B2742" s="1" t="s">
        <v>11003</v>
      </c>
      <c r="C2742" s="1" t="s">
        <v>39</v>
      </c>
      <c r="D2742" s="1">
        <v>91718.0</v>
      </c>
      <c r="E2742" s="1" t="s">
        <v>40</v>
      </c>
      <c r="F2742" s="1" t="s">
        <v>46</v>
      </c>
      <c r="G2742" s="1" t="s">
        <v>100</v>
      </c>
      <c r="H2742" s="2">
        <v>3132.0</v>
      </c>
      <c r="I2742" s="2">
        <v>3907.0</v>
      </c>
      <c r="J2742" s="1">
        <v>1978.0</v>
      </c>
      <c r="K2742" s="1">
        <v>40.0</v>
      </c>
      <c r="L2742" s="1" t="s">
        <v>141</v>
      </c>
      <c r="M2742" s="1" t="s">
        <v>11004</v>
      </c>
      <c r="N2742" s="1" t="s">
        <v>64</v>
      </c>
      <c r="O2742" s="1" t="s">
        <v>49</v>
      </c>
      <c r="P2742" s="1" t="s">
        <v>11005</v>
      </c>
    </row>
    <row r="2743" ht="14.25" customHeight="1">
      <c r="A2743" s="1" t="s">
        <v>11006</v>
      </c>
      <c r="B2743" s="1" t="s">
        <v>11007</v>
      </c>
      <c r="C2743" s="1" t="s">
        <v>29</v>
      </c>
      <c r="D2743" s="1">
        <v>38380.0</v>
      </c>
      <c r="E2743" s="1" t="s">
        <v>60</v>
      </c>
      <c r="F2743" s="1" t="s">
        <v>61</v>
      </c>
      <c r="G2743" s="1" t="s">
        <v>100</v>
      </c>
      <c r="H2743" s="2">
        <v>973.0</v>
      </c>
      <c r="I2743" s="2">
        <v>6116.0</v>
      </c>
      <c r="J2743" s="1">
        <v>1958.0</v>
      </c>
      <c r="K2743" s="1">
        <v>109.0</v>
      </c>
      <c r="L2743" s="1" t="s">
        <v>62</v>
      </c>
      <c r="M2743" s="1" t="s">
        <v>11008</v>
      </c>
      <c r="N2743" s="1" t="s">
        <v>24</v>
      </c>
      <c r="O2743" s="1" t="s">
        <v>49</v>
      </c>
      <c r="P2743" s="1" t="s">
        <v>11009</v>
      </c>
    </row>
    <row r="2744" ht="14.25" customHeight="1">
      <c r="A2744" s="1" t="s">
        <v>11010</v>
      </c>
      <c r="B2744" s="1" t="s">
        <v>11011</v>
      </c>
      <c r="C2744" s="1" t="s">
        <v>53</v>
      </c>
      <c r="D2744" s="1">
        <v>35510.0</v>
      </c>
      <c r="E2744" s="1" t="s">
        <v>19</v>
      </c>
      <c r="F2744" s="1" t="s">
        <v>20</v>
      </c>
      <c r="G2744" s="1" t="s">
        <v>55</v>
      </c>
      <c r="H2744" s="2">
        <v>2546.0</v>
      </c>
      <c r="I2744" s="2">
        <v>1344.0</v>
      </c>
      <c r="J2744" s="1">
        <v>2020.0</v>
      </c>
      <c r="K2744" s="1">
        <v>93.0</v>
      </c>
      <c r="L2744" s="1" t="s">
        <v>95</v>
      </c>
      <c r="M2744" s="1" t="s">
        <v>11012</v>
      </c>
      <c r="N2744" s="1" t="s">
        <v>64</v>
      </c>
      <c r="O2744" s="1" t="s">
        <v>35</v>
      </c>
      <c r="P2744" s="1" t="s">
        <v>11013</v>
      </c>
    </row>
    <row r="2745" ht="14.25" customHeight="1">
      <c r="A2745" s="1" t="s">
        <v>11014</v>
      </c>
      <c r="B2745" s="1" t="s">
        <v>11015</v>
      </c>
      <c r="C2745" s="1" t="s">
        <v>39</v>
      </c>
      <c r="D2745" s="1">
        <v>92176.0</v>
      </c>
      <c r="E2745" s="1" t="s">
        <v>77</v>
      </c>
      <c r="F2745" s="1" t="s">
        <v>41</v>
      </c>
      <c r="G2745" s="1" t="s">
        <v>100</v>
      </c>
      <c r="H2745" s="2">
        <v>1498.0</v>
      </c>
      <c r="I2745" s="2">
        <v>4967.0</v>
      </c>
      <c r="J2745" s="1">
        <v>1973.0</v>
      </c>
      <c r="K2745" s="1">
        <v>71.0</v>
      </c>
      <c r="L2745" s="1" t="s">
        <v>62</v>
      </c>
      <c r="M2745" s="1" t="s">
        <v>11016</v>
      </c>
      <c r="N2745" s="1" t="s">
        <v>24</v>
      </c>
      <c r="O2745" s="1" t="s">
        <v>35</v>
      </c>
      <c r="P2745" s="1" t="s">
        <v>11017</v>
      </c>
    </row>
    <row r="2746" ht="14.25" customHeight="1">
      <c r="A2746" s="1" t="s">
        <v>11018</v>
      </c>
      <c r="B2746" s="1" t="s">
        <v>11019</v>
      </c>
      <c r="C2746" s="1" t="s">
        <v>39</v>
      </c>
      <c r="D2746" s="1">
        <v>83045.0</v>
      </c>
      <c r="E2746" s="1" t="s">
        <v>40</v>
      </c>
      <c r="F2746" s="1" t="s">
        <v>20</v>
      </c>
      <c r="G2746" s="1" t="s">
        <v>55</v>
      </c>
      <c r="H2746" s="2">
        <v>3149.0</v>
      </c>
      <c r="I2746" s="2">
        <v>1929.0</v>
      </c>
      <c r="J2746" s="1">
        <v>1958.0</v>
      </c>
      <c r="K2746" s="1">
        <v>46.0</v>
      </c>
      <c r="L2746" s="1" t="s">
        <v>22</v>
      </c>
      <c r="M2746" s="1" t="s">
        <v>11020</v>
      </c>
      <c r="N2746" s="1" t="s">
        <v>48</v>
      </c>
      <c r="O2746" s="1" t="s">
        <v>49</v>
      </c>
      <c r="P2746" s="1" t="s">
        <v>11021</v>
      </c>
    </row>
    <row r="2747" ht="14.25" customHeight="1">
      <c r="A2747" s="1" t="s">
        <v>11022</v>
      </c>
      <c r="B2747" s="1" t="s">
        <v>11023</v>
      </c>
      <c r="C2747" s="1" t="s">
        <v>29</v>
      </c>
      <c r="D2747" s="1">
        <v>57171.0</v>
      </c>
      <c r="E2747" s="1" t="s">
        <v>60</v>
      </c>
      <c r="F2747" s="1" t="s">
        <v>46</v>
      </c>
      <c r="G2747" s="1" t="s">
        <v>55</v>
      </c>
      <c r="H2747" s="2">
        <v>1057.0</v>
      </c>
      <c r="I2747" s="2">
        <v>7504.0</v>
      </c>
      <c r="J2747" s="1">
        <v>1967.0</v>
      </c>
      <c r="K2747" s="1">
        <v>14.0</v>
      </c>
      <c r="L2747" s="1" t="s">
        <v>141</v>
      </c>
      <c r="M2747" s="1" t="s">
        <v>11024</v>
      </c>
      <c r="N2747" s="1" t="s">
        <v>48</v>
      </c>
      <c r="O2747" s="1" t="s">
        <v>25</v>
      </c>
      <c r="P2747" s="1" t="s">
        <v>11025</v>
      </c>
    </row>
    <row r="2748" ht="14.25" customHeight="1">
      <c r="A2748" s="1" t="s">
        <v>11026</v>
      </c>
      <c r="B2748" s="1" t="s">
        <v>11027</v>
      </c>
      <c r="C2748" s="1" t="s">
        <v>18</v>
      </c>
      <c r="D2748" s="1">
        <v>61047.0</v>
      </c>
      <c r="E2748" s="1" t="s">
        <v>60</v>
      </c>
      <c r="F2748" s="1" t="s">
        <v>41</v>
      </c>
      <c r="G2748" s="1" t="s">
        <v>55</v>
      </c>
      <c r="H2748" s="2">
        <v>2380.0</v>
      </c>
      <c r="I2748" s="2">
        <v>6565.0</v>
      </c>
      <c r="J2748" s="1">
        <v>1959.0</v>
      </c>
      <c r="K2748" s="1">
        <v>109.0</v>
      </c>
      <c r="L2748" s="1" t="s">
        <v>22</v>
      </c>
      <c r="M2748" s="1" t="s">
        <v>11028</v>
      </c>
      <c r="N2748" s="1" t="s">
        <v>24</v>
      </c>
      <c r="O2748" s="1" t="s">
        <v>35</v>
      </c>
      <c r="P2748" s="1" t="s">
        <v>11029</v>
      </c>
    </row>
    <row r="2749" ht="14.25" customHeight="1">
      <c r="A2749" s="1" t="s">
        <v>11030</v>
      </c>
      <c r="B2749" s="1" t="s">
        <v>11031</v>
      </c>
      <c r="C2749" s="1" t="s">
        <v>39</v>
      </c>
      <c r="D2749" s="1">
        <v>58637.0</v>
      </c>
      <c r="E2749" s="1" t="s">
        <v>19</v>
      </c>
      <c r="F2749" s="1" t="s">
        <v>46</v>
      </c>
      <c r="G2749" s="1" t="s">
        <v>55</v>
      </c>
      <c r="H2749" s="2">
        <v>912.0</v>
      </c>
      <c r="I2749" s="2">
        <v>1134.0</v>
      </c>
      <c r="J2749" s="1">
        <v>1977.0</v>
      </c>
      <c r="K2749" s="1">
        <v>103.0</v>
      </c>
      <c r="L2749" s="1" t="s">
        <v>32</v>
      </c>
      <c r="M2749" s="1" t="s">
        <v>11032</v>
      </c>
      <c r="N2749" s="1" t="s">
        <v>24</v>
      </c>
      <c r="O2749" s="1" t="s">
        <v>25</v>
      </c>
      <c r="P2749" s="1" t="s">
        <v>11033</v>
      </c>
    </row>
    <row r="2750" ht="14.25" customHeight="1">
      <c r="A2750" s="1" t="s">
        <v>11034</v>
      </c>
      <c r="B2750" s="1" t="s">
        <v>11035</v>
      </c>
      <c r="C2750" s="1" t="s">
        <v>18</v>
      </c>
      <c r="D2750" s="1">
        <v>29963.0</v>
      </c>
      <c r="E2750" s="1" t="s">
        <v>77</v>
      </c>
      <c r="F2750" s="1" t="s">
        <v>61</v>
      </c>
      <c r="G2750" s="1" t="s">
        <v>55</v>
      </c>
      <c r="H2750" s="2">
        <v>1971.0</v>
      </c>
      <c r="I2750" s="2">
        <v>4952.0</v>
      </c>
      <c r="J2750" s="1">
        <v>1977.0</v>
      </c>
      <c r="K2750" s="1">
        <v>71.0</v>
      </c>
      <c r="L2750" s="1" t="s">
        <v>32</v>
      </c>
      <c r="M2750" s="1" t="s">
        <v>11036</v>
      </c>
      <c r="N2750" s="1" t="s">
        <v>43</v>
      </c>
      <c r="O2750" s="1" t="s">
        <v>35</v>
      </c>
      <c r="P2750" s="1" t="s">
        <v>11037</v>
      </c>
    </row>
    <row r="2751" ht="14.25" customHeight="1">
      <c r="A2751" s="1" t="s">
        <v>11038</v>
      </c>
      <c r="B2751" s="1" t="s">
        <v>11039</v>
      </c>
      <c r="C2751" s="1" t="s">
        <v>76</v>
      </c>
      <c r="D2751" s="1">
        <v>79247.0</v>
      </c>
      <c r="E2751" s="1" t="s">
        <v>77</v>
      </c>
      <c r="F2751" s="1" t="s">
        <v>41</v>
      </c>
      <c r="G2751" s="1" t="s">
        <v>100</v>
      </c>
      <c r="H2751" s="2">
        <v>1278.0</v>
      </c>
      <c r="I2751" s="2">
        <v>5222.0</v>
      </c>
      <c r="J2751" s="1">
        <v>1975.0</v>
      </c>
      <c r="K2751" s="1">
        <v>92.0</v>
      </c>
      <c r="L2751" s="1" t="s">
        <v>95</v>
      </c>
      <c r="M2751" s="1" t="s">
        <v>11040</v>
      </c>
      <c r="N2751" s="1" t="s">
        <v>24</v>
      </c>
      <c r="O2751" s="1" t="s">
        <v>25</v>
      </c>
      <c r="P2751" s="1" t="s">
        <v>11041</v>
      </c>
    </row>
    <row r="2752" ht="14.25" customHeight="1">
      <c r="A2752" s="1" t="s">
        <v>11042</v>
      </c>
      <c r="B2752" s="1" t="s">
        <v>11043</v>
      </c>
      <c r="C2752" s="1" t="s">
        <v>39</v>
      </c>
      <c r="D2752" s="1">
        <v>85493.0</v>
      </c>
      <c r="E2752" s="1" t="s">
        <v>60</v>
      </c>
      <c r="F2752" s="1" t="s">
        <v>41</v>
      </c>
      <c r="G2752" s="1" t="s">
        <v>100</v>
      </c>
      <c r="H2752" s="2">
        <v>2894.0</v>
      </c>
      <c r="I2752" s="2">
        <v>5902.0</v>
      </c>
      <c r="J2752" s="1">
        <v>1962.0</v>
      </c>
      <c r="K2752" s="1">
        <v>62.0</v>
      </c>
      <c r="L2752" s="1" t="s">
        <v>32</v>
      </c>
      <c r="M2752" s="1" t="s">
        <v>11044</v>
      </c>
      <c r="N2752" s="1" t="s">
        <v>43</v>
      </c>
      <c r="O2752" s="1" t="s">
        <v>35</v>
      </c>
      <c r="P2752" s="1" t="s">
        <v>11045</v>
      </c>
    </row>
    <row r="2753" ht="14.25" customHeight="1">
      <c r="A2753" s="1" t="s">
        <v>11046</v>
      </c>
      <c r="B2753" s="1" t="s">
        <v>11047</v>
      </c>
      <c r="C2753" s="1" t="s">
        <v>29</v>
      </c>
      <c r="D2753" s="1">
        <v>23016.0</v>
      </c>
      <c r="E2753" s="1" t="s">
        <v>19</v>
      </c>
      <c r="F2753" s="1" t="s">
        <v>46</v>
      </c>
      <c r="G2753" s="1" t="s">
        <v>100</v>
      </c>
      <c r="H2753" s="2">
        <v>731.0</v>
      </c>
      <c r="I2753" s="2">
        <v>2456.0</v>
      </c>
      <c r="J2753" s="1">
        <v>1992.0</v>
      </c>
      <c r="K2753" s="1">
        <v>25.0</v>
      </c>
      <c r="L2753" s="1" t="s">
        <v>141</v>
      </c>
      <c r="M2753" s="1" t="s">
        <v>11048</v>
      </c>
      <c r="N2753" s="1" t="s">
        <v>43</v>
      </c>
      <c r="O2753" s="1" t="s">
        <v>49</v>
      </c>
      <c r="P2753" s="1" t="s">
        <v>11049</v>
      </c>
    </row>
    <row r="2754" ht="14.25" customHeight="1">
      <c r="A2754" s="1" t="s">
        <v>11050</v>
      </c>
      <c r="B2754" s="1" t="s">
        <v>11051</v>
      </c>
      <c r="C2754" s="1" t="s">
        <v>29</v>
      </c>
      <c r="D2754" s="1">
        <v>92602.0</v>
      </c>
      <c r="E2754" s="1" t="s">
        <v>77</v>
      </c>
      <c r="F2754" s="1" t="s">
        <v>41</v>
      </c>
      <c r="G2754" s="1" t="s">
        <v>100</v>
      </c>
      <c r="H2754" s="2">
        <v>2762.0</v>
      </c>
      <c r="I2754" s="2">
        <v>4177.0</v>
      </c>
      <c r="J2754" s="1">
        <v>1952.0</v>
      </c>
      <c r="K2754" s="1">
        <v>69.0</v>
      </c>
      <c r="L2754" s="1" t="s">
        <v>62</v>
      </c>
      <c r="M2754" s="1" t="s">
        <v>11052</v>
      </c>
      <c r="N2754" s="1" t="s">
        <v>24</v>
      </c>
      <c r="O2754" s="1" t="s">
        <v>35</v>
      </c>
      <c r="P2754" s="1" t="s">
        <v>11053</v>
      </c>
    </row>
    <row r="2755" ht="14.25" customHeight="1">
      <c r="A2755" s="1" t="s">
        <v>11054</v>
      </c>
      <c r="B2755" s="1" t="s">
        <v>11055</v>
      </c>
      <c r="C2755" s="1" t="s">
        <v>76</v>
      </c>
      <c r="D2755" s="1">
        <v>61938.0</v>
      </c>
      <c r="E2755" s="1" t="s">
        <v>19</v>
      </c>
      <c r="F2755" s="1" t="s">
        <v>41</v>
      </c>
      <c r="G2755" s="1" t="s">
        <v>31</v>
      </c>
      <c r="H2755" s="2">
        <v>1602.0</v>
      </c>
      <c r="I2755" s="2">
        <v>5089.0</v>
      </c>
      <c r="J2755" s="1">
        <v>2003.0</v>
      </c>
      <c r="K2755" s="1">
        <v>69.0</v>
      </c>
      <c r="L2755" s="1" t="s">
        <v>141</v>
      </c>
      <c r="M2755" s="1" t="s">
        <v>11056</v>
      </c>
      <c r="N2755" s="1" t="s">
        <v>34</v>
      </c>
      <c r="O2755" s="1" t="s">
        <v>25</v>
      </c>
      <c r="P2755" s="1" t="s">
        <v>11057</v>
      </c>
    </row>
    <row r="2756" ht="14.25" customHeight="1">
      <c r="A2756" s="1" t="s">
        <v>11058</v>
      </c>
      <c r="B2756" s="1" t="s">
        <v>11059</v>
      </c>
      <c r="C2756" s="1" t="s">
        <v>53</v>
      </c>
      <c r="D2756" s="1">
        <v>10450.0</v>
      </c>
      <c r="E2756" s="1" t="s">
        <v>40</v>
      </c>
      <c r="F2756" s="1" t="s">
        <v>61</v>
      </c>
      <c r="G2756" s="1" t="s">
        <v>55</v>
      </c>
      <c r="H2756" s="2">
        <v>1231.0</v>
      </c>
      <c r="I2756" s="2">
        <v>9555.0</v>
      </c>
      <c r="J2756" s="1">
        <v>1953.0</v>
      </c>
      <c r="K2756" s="1">
        <v>110.0</v>
      </c>
      <c r="L2756" s="1" t="s">
        <v>22</v>
      </c>
      <c r="M2756" s="1" t="s">
        <v>11060</v>
      </c>
      <c r="N2756" s="1" t="s">
        <v>24</v>
      </c>
      <c r="O2756" s="1" t="s">
        <v>25</v>
      </c>
      <c r="P2756" s="1" t="s">
        <v>11061</v>
      </c>
    </row>
    <row r="2757" ht="14.25" customHeight="1">
      <c r="A2757" s="1" t="s">
        <v>11062</v>
      </c>
      <c r="B2757" s="1" t="s">
        <v>11063</v>
      </c>
      <c r="C2757" s="1" t="s">
        <v>53</v>
      </c>
      <c r="D2757" s="1">
        <v>22716.0</v>
      </c>
      <c r="E2757" s="1" t="s">
        <v>60</v>
      </c>
      <c r="F2757" s="1" t="s">
        <v>20</v>
      </c>
      <c r="G2757" s="1" t="s">
        <v>31</v>
      </c>
      <c r="H2757" s="2">
        <v>648.0</v>
      </c>
      <c r="I2757" s="2">
        <v>8581.0</v>
      </c>
      <c r="J2757" s="1">
        <v>1968.0</v>
      </c>
      <c r="K2757" s="1">
        <v>105.0</v>
      </c>
      <c r="L2757" s="1" t="s">
        <v>22</v>
      </c>
      <c r="M2757" s="1" t="s">
        <v>11064</v>
      </c>
      <c r="N2757" s="1" t="s">
        <v>43</v>
      </c>
      <c r="O2757" s="1" t="s">
        <v>25</v>
      </c>
      <c r="P2757" s="1" t="s">
        <v>11065</v>
      </c>
    </row>
    <row r="2758" ht="14.25" customHeight="1">
      <c r="A2758" s="1" t="s">
        <v>11066</v>
      </c>
      <c r="B2758" s="1" t="s">
        <v>11067</v>
      </c>
      <c r="C2758" s="1" t="s">
        <v>53</v>
      </c>
      <c r="D2758" s="1">
        <v>29157.0</v>
      </c>
      <c r="E2758" s="1" t="s">
        <v>19</v>
      </c>
      <c r="F2758" s="1" t="s">
        <v>54</v>
      </c>
      <c r="G2758" s="1" t="s">
        <v>31</v>
      </c>
      <c r="H2758" s="2">
        <v>1966.0</v>
      </c>
      <c r="I2758" s="2">
        <v>8982.0</v>
      </c>
      <c r="J2758" s="1">
        <v>1970.0</v>
      </c>
      <c r="K2758" s="1">
        <v>15.0</v>
      </c>
      <c r="L2758" s="1" t="s">
        <v>62</v>
      </c>
      <c r="M2758" s="1" t="s">
        <v>11068</v>
      </c>
      <c r="N2758" s="1" t="s">
        <v>64</v>
      </c>
      <c r="O2758" s="1" t="s">
        <v>35</v>
      </c>
      <c r="P2758" s="1" t="s">
        <v>11069</v>
      </c>
    </row>
    <row r="2759" ht="14.25" customHeight="1">
      <c r="A2759" s="1" t="s">
        <v>11070</v>
      </c>
      <c r="B2759" s="1" t="s">
        <v>11071</v>
      </c>
      <c r="C2759" s="1" t="s">
        <v>18</v>
      </c>
      <c r="D2759" s="1">
        <v>59726.0</v>
      </c>
      <c r="E2759" s="1" t="s">
        <v>60</v>
      </c>
      <c r="F2759" s="1" t="s">
        <v>61</v>
      </c>
      <c r="G2759" s="1" t="s">
        <v>100</v>
      </c>
      <c r="H2759" s="2">
        <v>2476.0</v>
      </c>
      <c r="I2759" s="2">
        <v>8031.0</v>
      </c>
      <c r="J2759" s="1">
        <v>1975.0</v>
      </c>
      <c r="K2759" s="1">
        <v>117.0</v>
      </c>
      <c r="L2759" s="1" t="s">
        <v>22</v>
      </c>
      <c r="M2759" s="1" t="s">
        <v>11072</v>
      </c>
      <c r="N2759" s="1" t="s">
        <v>24</v>
      </c>
      <c r="O2759" s="1" t="s">
        <v>49</v>
      </c>
      <c r="P2759" s="1" t="s">
        <v>11073</v>
      </c>
    </row>
    <row r="2760" ht="14.25" customHeight="1">
      <c r="A2760" s="1" t="s">
        <v>11074</v>
      </c>
      <c r="B2760" s="1" t="s">
        <v>11075</v>
      </c>
      <c r="C2760" s="1" t="s">
        <v>18</v>
      </c>
      <c r="D2760" s="1">
        <v>91619.0</v>
      </c>
      <c r="E2760" s="1" t="s">
        <v>60</v>
      </c>
      <c r="F2760" s="1" t="s">
        <v>54</v>
      </c>
      <c r="G2760" s="1" t="s">
        <v>55</v>
      </c>
      <c r="H2760" s="2">
        <v>1415.0</v>
      </c>
      <c r="I2760" s="2">
        <v>7959.0</v>
      </c>
      <c r="J2760" s="1">
        <v>1997.0</v>
      </c>
      <c r="K2760" s="1">
        <v>1.0</v>
      </c>
      <c r="L2760" s="1" t="s">
        <v>22</v>
      </c>
      <c r="M2760" s="1" t="s">
        <v>11076</v>
      </c>
      <c r="N2760" s="1" t="s">
        <v>24</v>
      </c>
      <c r="O2760" s="1" t="s">
        <v>49</v>
      </c>
      <c r="P2760" s="1" t="s">
        <v>11077</v>
      </c>
    </row>
    <row r="2761" ht="14.25" customHeight="1">
      <c r="A2761" s="1" t="s">
        <v>11078</v>
      </c>
      <c r="B2761" s="1" t="s">
        <v>11079</v>
      </c>
      <c r="C2761" s="1" t="s">
        <v>76</v>
      </c>
      <c r="D2761" s="1">
        <v>85729.0</v>
      </c>
      <c r="E2761" s="1" t="s">
        <v>40</v>
      </c>
      <c r="F2761" s="1" t="s">
        <v>54</v>
      </c>
      <c r="G2761" s="1" t="s">
        <v>100</v>
      </c>
      <c r="H2761" s="2">
        <v>1570.0</v>
      </c>
      <c r="I2761" s="2">
        <v>6802.0</v>
      </c>
      <c r="J2761" s="1">
        <v>1978.0</v>
      </c>
      <c r="K2761" s="1">
        <v>69.0</v>
      </c>
      <c r="L2761" s="1" t="s">
        <v>22</v>
      </c>
      <c r="M2761" s="1" t="s">
        <v>11080</v>
      </c>
      <c r="N2761" s="1" t="s">
        <v>64</v>
      </c>
      <c r="O2761" s="1" t="s">
        <v>49</v>
      </c>
      <c r="P2761" s="1" t="s">
        <v>11081</v>
      </c>
    </row>
    <row r="2762" ht="14.25" customHeight="1">
      <c r="A2762" s="1" t="s">
        <v>11082</v>
      </c>
      <c r="B2762" s="1" t="s">
        <v>11083</v>
      </c>
      <c r="C2762" s="1" t="s">
        <v>76</v>
      </c>
      <c r="D2762" s="1">
        <v>22633.0</v>
      </c>
      <c r="E2762" s="1" t="s">
        <v>30</v>
      </c>
      <c r="F2762" s="1" t="s">
        <v>41</v>
      </c>
      <c r="G2762" s="1" t="s">
        <v>21</v>
      </c>
      <c r="H2762" s="2">
        <v>1324.0</v>
      </c>
      <c r="I2762" s="2">
        <v>4687.0</v>
      </c>
      <c r="J2762" s="1">
        <v>1971.0</v>
      </c>
      <c r="K2762" s="1">
        <v>37.0</v>
      </c>
      <c r="L2762" s="1" t="s">
        <v>95</v>
      </c>
      <c r="M2762" s="1" t="s">
        <v>11084</v>
      </c>
      <c r="N2762" s="1" t="s">
        <v>43</v>
      </c>
      <c r="O2762" s="1" t="s">
        <v>25</v>
      </c>
      <c r="P2762" s="1" t="s">
        <v>11085</v>
      </c>
    </row>
    <row r="2763" ht="14.25" customHeight="1">
      <c r="A2763" s="1" t="s">
        <v>11086</v>
      </c>
      <c r="B2763" s="1" t="s">
        <v>11087</v>
      </c>
      <c r="C2763" s="1" t="s">
        <v>76</v>
      </c>
      <c r="D2763" s="1">
        <v>46688.0</v>
      </c>
      <c r="E2763" s="1" t="s">
        <v>60</v>
      </c>
      <c r="F2763" s="1" t="s">
        <v>61</v>
      </c>
      <c r="G2763" s="1" t="s">
        <v>31</v>
      </c>
      <c r="H2763" s="2">
        <v>3357.0</v>
      </c>
      <c r="I2763" s="2">
        <v>4463.0</v>
      </c>
      <c r="J2763" s="1">
        <v>2006.0</v>
      </c>
      <c r="K2763" s="1">
        <v>2.0</v>
      </c>
      <c r="L2763" s="1" t="s">
        <v>22</v>
      </c>
      <c r="M2763" s="1" t="s">
        <v>11088</v>
      </c>
      <c r="N2763" s="1" t="s">
        <v>24</v>
      </c>
      <c r="O2763" s="1" t="s">
        <v>49</v>
      </c>
      <c r="P2763" s="1" t="s">
        <v>11089</v>
      </c>
    </row>
    <row r="2764" ht="14.25" customHeight="1">
      <c r="A2764" s="1" t="s">
        <v>11090</v>
      </c>
      <c r="B2764" s="1" t="s">
        <v>11091</v>
      </c>
      <c r="C2764" s="1" t="s">
        <v>18</v>
      </c>
      <c r="D2764" s="1">
        <v>33706.0</v>
      </c>
      <c r="E2764" s="1" t="s">
        <v>19</v>
      </c>
      <c r="F2764" s="1" t="s">
        <v>54</v>
      </c>
      <c r="G2764" s="1" t="s">
        <v>31</v>
      </c>
      <c r="H2764" s="2">
        <v>3745.0</v>
      </c>
      <c r="I2764" s="2">
        <v>8422.0</v>
      </c>
      <c r="J2764" s="1">
        <v>1969.0</v>
      </c>
      <c r="K2764" s="1">
        <v>114.0</v>
      </c>
      <c r="L2764" s="1" t="s">
        <v>22</v>
      </c>
      <c r="M2764" s="1" t="s">
        <v>11092</v>
      </c>
      <c r="N2764" s="1" t="s">
        <v>48</v>
      </c>
      <c r="O2764" s="1" t="s">
        <v>49</v>
      </c>
      <c r="P2764" s="1" t="s">
        <v>11093</v>
      </c>
    </row>
    <row r="2765" ht="14.25" customHeight="1">
      <c r="A2765" s="1" t="s">
        <v>11094</v>
      </c>
      <c r="B2765" s="1" t="s">
        <v>11095</v>
      </c>
      <c r="C2765" s="1" t="s">
        <v>39</v>
      </c>
      <c r="D2765" s="1">
        <v>95684.0</v>
      </c>
      <c r="E2765" s="1" t="s">
        <v>60</v>
      </c>
      <c r="F2765" s="1" t="s">
        <v>20</v>
      </c>
      <c r="G2765" s="1" t="s">
        <v>31</v>
      </c>
      <c r="H2765" s="2">
        <v>2184.0</v>
      </c>
      <c r="I2765" s="2">
        <v>4604.0</v>
      </c>
      <c r="J2765" s="1">
        <v>1964.0</v>
      </c>
      <c r="K2765" s="1">
        <v>95.0</v>
      </c>
      <c r="L2765" s="1" t="s">
        <v>32</v>
      </c>
      <c r="M2765" s="1" t="s">
        <v>11096</v>
      </c>
      <c r="N2765" s="1" t="s">
        <v>34</v>
      </c>
      <c r="O2765" s="1" t="s">
        <v>35</v>
      </c>
      <c r="P2765" s="1" t="s">
        <v>11097</v>
      </c>
    </row>
    <row r="2766" ht="14.25" customHeight="1">
      <c r="A2766" s="1" t="s">
        <v>11098</v>
      </c>
      <c r="B2766" s="1" t="s">
        <v>11099</v>
      </c>
      <c r="C2766" s="1" t="s">
        <v>53</v>
      </c>
      <c r="D2766" s="1">
        <v>72653.0</v>
      </c>
      <c r="E2766" s="1" t="s">
        <v>40</v>
      </c>
      <c r="F2766" s="1" t="s">
        <v>54</v>
      </c>
      <c r="G2766" s="1" t="s">
        <v>21</v>
      </c>
      <c r="H2766" s="2">
        <v>3214.0</v>
      </c>
      <c r="I2766" s="2">
        <v>4862.0</v>
      </c>
      <c r="J2766" s="1">
        <v>1966.0</v>
      </c>
      <c r="K2766" s="1">
        <v>30.0</v>
      </c>
      <c r="L2766" s="1" t="s">
        <v>141</v>
      </c>
      <c r="M2766" s="1" t="s">
        <v>11100</v>
      </c>
      <c r="N2766" s="1" t="s">
        <v>48</v>
      </c>
      <c r="O2766" s="1" t="s">
        <v>49</v>
      </c>
      <c r="P2766" s="1" t="s">
        <v>11101</v>
      </c>
    </row>
    <row r="2767" ht="14.25" customHeight="1">
      <c r="A2767" s="1" t="s">
        <v>11102</v>
      </c>
      <c r="B2767" s="1" t="s">
        <v>11103</v>
      </c>
      <c r="C2767" s="1" t="s">
        <v>53</v>
      </c>
      <c r="D2767" s="1">
        <v>20558.0</v>
      </c>
      <c r="E2767" s="1" t="s">
        <v>77</v>
      </c>
      <c r="F2767" s="1" t="s">
        <v>20</v>
      </c>
      <c r="G2767" s="1" t="s">
        <v>21</v>
      </c>
      <c r="H2767" s="2">
        <v>2759.0</v>
      </c>
      <c r="I2767" s="2">
        <v>8828.0</v>
      </c>
      <c r="J2767" s="1">
        <v>1981.0</v>
      </c>
      <c r="K2767" s="1">
        <v>80.0</v>
      </c>
      <c r="L2767" s="1" t="s">
        <v>32</v>
      </c>
      <c r="M2767" s="1" t="s">
        <v>11104</v>
      </c>
      <c r="N2767" s="1" t="s">
        <v>43</v>
      </c>
      <c r="O2767" s="1" t="s">
        <v>35</v>
      </c>
      <c r="P2767" s="1" t="s">
        <v>11105</v>
      </c>
    </row>
    <row r="2768" ht="14.25" customHeight="1">
      <c r="A2768" s="1" t="s">
        <v>11106</v>
      </c>
      <c r="B2768" s="1" t="s">
        <v>11107</v>
      </c>
      <c r="C2768" s="1" t="s">
        <v>18</v>
      </c>
      <c r="D2768" s="1">
        <v>63355.0</v>
      </c>
      <c r="E2768" s="1" t="s">
        <v>40</v>
      </c>
      <c r="F2768" s="1" t="s">
        <v>20</v>
      </c>
      <c r="G2768" s="1" t="s">
        <v>21</v>
      </c>
      <c r="H2768" s="2">
        <v>2563.0</v>
      </c>
      <c r="I2768" s="2">
        <v>4314.0</v>
      </c>
      <c r="J2768" s="1">
        <v>1991.0</v>
      </c>
      <c r="K2768" s="1">
        <v>66.0</v>
      </c>
      <c r="L2768" s="1" t="s">
        <v>22</v>
      </c>
      <c r="M2768" s="1" t="s">
        <v>11108</v>
      </c>
      <c r="N2768" s="1" t="s">
        <v>64</v>
      </c>
      <c r="O2768" s="1" t="s">
        <v>49</v>
      </c>
      <c r="P2768" s="1" t="s">
        <v>11109</v>
      </c>
    </row>
    <row r="2769" ht="14.25" customHeight="1">
      <c r="A2769" s="1" t="s">
        <v>11110</v>
      </c>
      <c r="B2769" s="1" t="s">
        <v>11111</v>
      </c>
      <c r="C2769" s="1" t="s">
        <v>53</v>
      </c>
      <c r="D2769" s="1">
        <v>78697.0</v>
      </c>
      <c r="E2769" s="1" t="s">
        <v>19</v>
      </c>
      <c r="F2769" s="1" t="s">
        <v>46</v>
      </c>
      <c r="G2769" s="1" t="s">
        <v>31</v>
      </c>
      <c r="H2769" s="2">
        <v>1316.0</v>
      </c>
      <c r="I2769" s="2">
        <v>7936.0</v>
      </c>
      <c r="J2769" s="1">
        <v>2015.0</v>
      </c>
      <c r="K2769" s="1">
        <v>115.0</v>
      </c>
      <c r="L2769" s="1" t="s">
        <v>32</v>
      </c>
      <c r="M2769" s="1" t="s">
        <v>11112</v>
      </c>
      <c r="N2769" s="1" t="s">
        <v>34</v>
      </c>
      <c r="O2769" s="1" t="s">
        <v>25</v>
      </c>
      <c r="P2769" s="1" t="s">
        <v>11113</v>
      </c>
    </row>
    <row r="2770" ht="14.25" customHeight="1">
      <c r="A2770" s="1" t="s">
        <v>11114</v>
      </c>
      <c r="B2770" s="1" t="s">
        <v>11115</v>
      </c>
      <c r="C2770" s="1" t="s">
        <v>53</v>
      </c>
      <c r="D2770" s="1">
        <v>12354.0</v>
      </c>
      <c r="E2770" s="1" t="s">
        <v>60</v>
      </c>
      <c r="F2770" s="1" t="s">
        <v>20</v>
      </c>
      <c r="G2770" s="1" t="s">
        <v>21</v>
      </c>
      <c r="H2770" s="2">
        <v>3915.0</v>
      </c>
      <c r="I2770" s="2">
        <v>2511.0</v>
      </c>
      <c r="J2770" s="1">
        <v>2004.0</v>
      </c>
      <c r="K2770" s="1">
        <v>75.0</v>
      </c>
      <c r="L2770" s="1" t="s">
        <v>32</v>
      </c>
      <c r="M2770" s="1" t="s">
        <v>11116</v>
      </c>
      <c r="N2770" s="1" t="s">
        <v>48</v>
      </c>
      <c r="O2770" s="1" t="s">
        <v>35</v>
      </c>
      <c r="P2770" s="1" t="s">
        <v>11117</v>
      </c>
    </row>
    <row r="2771" ht="14.25" customHeight="1">
      <c r="A2771" s="1" t="s">
        <v>11118</v>
      </c>
      <c r="B2771" s="1" t="s">
        <v>11119</v>
      </c>
      <c r="C2771" s="1" t="s">
        <v>39</v>
      </c>
      <c r="D2771" s="1">
        <v>74852.0</v>
      </c>
      <c r="E2771" s="1" t="s">
        <v>19</v>
      </c>
      <c r="F2771" s="1" t="s">
        <v>41</v>
      </c>
      <c r="G2771" s="1" t="s">
        <v>21</v>
      </c>
      <c r="H2771" s="2">
        <v>1903.0</v>
      </c>
      <c r="I2771" s="2">
        <v>8722.0</v>
      </c>
      <c r="J2771" s="1">
        <v>1954.0</v>
      </c>
      <c r="K2771" s="1">
        <v>73.0</v>
      </c>
      <c r="L2771" s="1" t="s">
        <v>22</v>
      </c>
      <c r="M2771" s="1" t="s">
        <v>11120</v>
      </c>
      <c r="N2771" s="1" t="s">
        <v>48</v>
      </c>
      <c r="O2771" s="1" t="s">
        <v>35</v>
      </c>
      <c r="P2771" s="1" t="s">
        <v>11121</v>
      </c>
    </row>
    <row r="2772" ht="14.25" customHeight="1">
      <c r="A2772" s="1" t="s">
        <v>11122</v>
      </c>
      <c r="B2772" s="1" t="s">
        <v>11123</v>
      </c>
      <c r="C2772" s="1" t="s">
        <v>18</v>
      </c>
      <c r="D2772" s="1">
        <v>95539.0</v>
      </c>
      <c r="E2772" s="1" t="s">
        <v>19</v>
      </c>
      <c r="F2772" s="1" t="s">
        <v>46</v>
      </c>
      <c r="G2772" s="1" t="s">
        <v>100</v>
      </c>
      <c r="H2772" s="2">
        <v>3778.0</v>
      </c>
      <c r="I2772" s="2">
        <v>7161.0</v>
      </c>
      <c r="J2772" s="1">
        <v>2022.0</v>
      </c>
      <c r="K2772" s="1">
        <v>113.0</v>
      </c>
      <c r="L2772" s="1" t="s">
        <v>95</v>
      </c>
      <c r="M2772" s="1" t="s">
        <v>11124</v>
      </c>
      <c r="N2772" s="1" t="s">
        <v>48</v>
      </c>
      <c r="O2772" s="1" t="s">
        <v>35</v>
      </c>
      <c r="P2772" s="1" t="s">
        <v>11125</v>
      </c>
    </row>
    <row r="2773" ht="14.25" customHeight="1">
      <c r="A2773" s="1" t="s">
        <v>11126</v>
      </c>
      <c r="B2773" s="1" t="s">
        <v>11127</v>
      </c>
      <c r="C2773" s="1" t="s">
        <v>39</v>
      </c>
      <c r="D2773" s="1">
        <v>68089.0</v>
      </c>
      <c r="E2773" s="1" t="s">
        <v>40</v>
      </c>
      <c r="F2773" s="1" t="s">
        <v>20</v>
      </c>
      <c r="G2773" s="1" t="s">
        <v>21</v>
      </c>
      <c r="H2773" s="2">
        <v>929.0</v>
      </c>
      <c r="I2773" s="2">
        <v>4554.0</v>
      </c>
      <c r="J2773" s="1">
        <v>2006.0</v>
      </c>
      <c r="K2773" s="1">
        <v>73.0</v>
      </c>
      <c r="L2773" s="1" t="s">
        <v>62</v>
      </c>
      <c r="M2773" s="1" t="s">
        <v>11128</v>
      </c>
      <c r="N2773" s="1" t="s">
        <v>34</v>
      </c>
      <c r="O2773" s="1" t="s">
        <v>35</v>
      </c>
      <c r="P2773" s="1" t="s">
        <v>11129</v>
      </c>
    </row>
    <row r="2774" ht="14.25" customHeight="1">
      <c r="A2774" s="1" t="s">
        <v>11130</v>
      </c>
      <c r="B2774" s="1" t="s">
        <v>11131</v>
      </c>
      <c r="C2774" s="1" t="s">
        <v>39</v>
      </c>
      <c r="D2774" s="1">
        <v>12493.0</v>
      </c>
      <c r="E2774" s="1" t="s">
        <v>40</v>
      </c>
      <c r="F2774" s="1" t="s">
        <v>20</v>
      </c>
      <c r="G2774" s="1" t="s">
        <v>21</v>
      </c>
      <c r="H2774" s="2">
        <v>1886.0</v>
      </c>
      <c r="I2774" s="2">
        <v>7607.0</v>
      </c>
      <c r="J2774" s="1">
        <v>2011.0</v>
      </c>
      <c r="K2774" s="1">
        <v>94.0</v>
      </c>
      <c r="L2774" s="1" t="s">
        <v>22</v>
      </c>
      <c r="M2774" s="1" t="s">
        <v>11132</v>
      </c>
      <c r="N2774" s="1" t="s">
        <v>34</v>
      </c>
      <c r="O2774" s="1" t="s">
        <v>49</v>
      </c>
      <c r="P2774" s="1" t="s">
        <v>11133</v>
      </c>
    </row>
    <row r="2775" ht="14.25" customHeight="1">
      <c r="A2775" s="1" t="s">
        <v>11134</v>
      </c>
      <c r="B2775" s="1" t="s">
        <v>11135</v>
      </c>
      <c r="C2775" s="1" t="s">
        <v>39</v>
      </c>
      <c r="D2775" s="1">
        <v>35806.0</v>
      </c>
      <c r="E2775" s="1" t="s">
        <v>77</v>
      </c>
      <c r="F2775" s="1" t="s">
        <v>41</v>
      </c>
      <c r="G2775" s="1" t="s">
        <v>55</v>
      </c>
      <c r="H2775" s="2">
        <v>3030.0</v>
      </c>
      <c r="I2775" s="2">
        <v>9270.0</v>
      </c>
      <c r="J2775" s="1">
        <v>1971.0</v>
      </c>
      <c r="K2775" s="1">
        <v>32.0</v>
      </c>
      <c r="L2775" s="1" t="s">
        <v>95</v>
      </c>
      <c r="M2775" s="1" t="s">
        <v>11136</v>
      </c>
      <c r="N2775" s="1" t="s">
        <v>43</v>
      </c>
      <c r="O2775" s="1" t="s">
        <v>49</v>
      </c>
      <c r="P2775" s="1" t="s">
        <v>11137</v>
      </c>
    </row>
    <row r="2776" ht="14.25" customHeight="1">
      <c r="A2776" s="1" t="s">
        <v>11138</v>
      </c>
      <c r="B2776" s="1" t="s">
        <v>11139</v>
      </c>
      <c r="C2776" s="1" t="s">
        <v>29</v>
      </c>
      <c r="D2776" s="1">
        <v>99876.0</v>
      </c>
      <c r="E2776" s="1" t="s">
        <v>60</v>
      </c>
      <c r="F2776" s="1" t="s">
        <v>61</v>
      </c>
      <c r="G2776" s="1" t="s">
        <v>31</v>
      </c>
      <c r="H2776" s="2">
        <v>2273.0</v>
      </c>
      <c r="I2776" s="2">
        <v>2504.0</v>
      </c>
      <c r="J2776" s="1">
        <v>1997.0</v>
      </c>
      <c r="K2776" s="1">
        <v>72.0</v>
      </c>
      <c r="L2776" s="1" t="s">
        <v>32</v>
      </c>
      <c r="M2776" s="1" t="s">
        <v>11140</v>
      </c>
      <c r="N2776" s="1" t="s">
        <v>34</v>
      </c>
      <c r="O2776" s="1" t="s">
        <v>35</v>
      </c>
      <c r="P2776" s="1" t="s">
        <v>11141</v>
      </c>
    </row>
    <row r="2777" ht="14.25" customHeight="1">
      <c r="A2777" s="1" t="s">
        <v>11142</v>
      </c>
      <c r="B2777" s="1" t="s">
        <v>11143</v>
      </c>
      <c r="C2777" s="1" t="s">
        <v>53</v>
      </c>
      <c r="D2777" s="1">
        <v>70880.0</v>
      </c>
      <c r="E2777" s="1" t="s">
        <v>40</v>
      </c>
      <c r="F2777" s="1" t="s">
        <v>54</v>
      </c>
      <c r="G2777" s="1" t="s">
        <v>31</v>
      </c>
      <c r="H2777" s="2">
        <v>2438.0</v>
      </c>
      <c r="I2777" s="2">
        <v>1003.0</v>
      </c>
      <c r="J2777" s="1">
        <v>2022.0</v>
      </c>
      <c r="K2777" s="1">
        <v>87.0</v>
      </c>
      <c r="L2777" s="1" t="s">
        <v>22</v>
      </c>
      <c r="M2777" s="1" t="s">
        <v>11144</v>
      </c>
      <c r="N2777" s="1" t="s">
        <v>24</v>
      </c>
      <c r="O2777" s="1" t="s">
        <v>35</v>
      </c>
      <c r="P2777" s="1" t="s">
        <v>11145</v>
      </c>
    </row>
    <row r="2778" ht="14.25" customHeight="1">
      <c r="A2778" s="1" t="s">
        <v>11146</v>
      </c>
      <c r="B2778" s="1" t="s">
        <v>11147</v>
      </c>
      <c r="C2778" s="1" t="s">
        <v>76</v>
      </c>
      <c r="D2778" s="1">
        <v>83451.0</v>
      </c>
      <c r="E2778" s="1" t="s">
        <v>77</v>
      </c>
      <c r="F2778" s="1" t="s">
        <v>20</v>
      </c>
      <c r="G2778" s="1" t="s">
        <v>100</v>
      </c>
      <c r="H2778" s="2">
        <v>1489.0</v>
      </c>
      <c r="I2778" s="2">
        <v>3854.0</v>
      </c>
      <c r="J2778" s="1">
        <v>2019.0</v>
      </c>
      <c r="K2778" s="1">
        <v>67.0</v>
      </c>
      <c r="L2778" s="1" t="s">
        <v>141</v>
      </c>
      <c r="M2778" s="1" t="s">
        <v>11148</v>
      </c>
      <c r="N2778" s="1" t="s">
        <v>48</v>
      </c>
      <c r="O2778" s="1" t="s">
        <v>49</v>
      </c>
      <c r="P2778" s="1" t="s">
        <v>11149</v>
      </c>
    </row>
    <row r="2779" ht="14.25" customHeight="1">
      <c r="A2779" s="1" t="s">
        <v>11150</v>
      </c>
      <c r="B2779" s="1" t="s">
        <v>11151</v>
      </c>
      <c r="C2779" s="1" t="s">
        <v>53</v>
      </c>
      <c r="D2779" s="1">
        <v>85992.0</v>
      </c>
      <c r="E2779" s="1" t="s">
        <v>77</v>
      </c>
      <c r="F2779" s="1" t="s">
        <v>41</v>
      </c>
      <c r="G2779" s="1" t="s">
        <v>21</v>
      </c>
      <c r="H2779" s="2">
        <v>2498.0</v>
      </c>
      <c r="I2779" s="2">
        <v>9715.0</v>
      </c>
      <c r="J2779" s="1">
        <v>2011.0</v>
      </c>
      <c r="K2779" s="1">
        <v>13.0</v>
      </c>
      <c r="L2779" s="1" t="s">
        <v>22</v>
      </c>
      <c r="M2779" s="1" t="s">
        <v>11152</v>
      </c>
      <c r="N2779" s="1" t="s">
        <v>64</v>
      </c>
      <c r="O2779" s="1" t="s">
        <v>35</v>
      </c>
      <c r="P2779" s="1" t="s">
        <v>11153</v>
      </c>
    </row>
    <row r="2780" ht="14.25" customHeight="1">
      <c r="A2780" s="1" t="s">
        <v>11154</v>
      </c>
      <c r="B2780" s="1" t="s">
        <v>11155</v>
      </c>
      <c r="C2780" s="1" t="s">
        <v>53</v>
      </c>
      <c r="D2780" s="1">
        <v>52078.0</v>
      </c>
      <c r="E2780" s="1" t="s">
        <v>60</v>
      </c>
      <c r="F2780" s="1" t="s">
        <v>20</v>
      </c>
      <c r="G2780" s="1" t="s">
        <v>31</v>
      </c>
      <c r="H2780" s="2">
        <v>3552.0</v>
      </c>
      <c r="I2780" s="2">
        <v>7808.0</v>
      </c>
      <c r="J2780" s="1">
        <v>1950.0</v>
      </c>
      <c r="K2780" s="1">
        <v>24.0</v>
      </c>
      <c r="L2780" s="1" t="s">
        <v>62</v>
      </c>
      <c r="M2780" s="1" t="s">
        <v>11156</v>
      </c>
      <c r="N2780" s="1" t="s">
        <v>34</v>
      </c>
      <c r="O2780" s="1" t="s">
        <v>49</v>
      </c>
      <c r="P2780" s="1" t="s">
        <v>11157</v>
      </c>
    </row>
    <row r="2781" ht="14.25" customHeight="1">
      <c r="A2781" s="1" t="s">
        <v>11158</v>
      </c>
      <c r="B2781" s="1" t="s">
        <v>11159</v>
      </c>
      <c r="C2781" s="1" t="s">
        <v>76</v>
      </c>
      <c r="D2781" s="1">
        <v>62173.0</v>
      </c>
      <c r="E2781" s="1" t="s">
        <v>77</v>
      </c>
      <c r="F2781" s="1" t="s">
        <v>94</v>
      </c>
      <c r="G2781" s="1" t="s">
        <v>21</v>
      </c>
      <c r="H2781" s="2">
        <v>653.0</v>
      </c>
      <c r="I2781" s="2">
        <v>4376.0</v>
      </c>
      <c r="J2781" s="1">
        <v>2015.0</v>
      </c>
      <c r="K2781" s="1">
        <v>86.0</v>
      </c>
      <c r="L2781" s="1" t="s">
        <v>22</v>
      </c>
      <c r="M2781" s="1" t="s">
        <v>11160</v>
      </c>
      <c r="N2781" s="1" t="s">
        <v>48</v>
      </c>
      <c r="O2781" s="1" t="s">
        <v>35</v>
      </c>
      <c r="P2781" s="1" t="s">
        <v>11161</v>
      </c>
    </row>
    <row r="2782" ht="14.25" customHeight="1">
      <c r="A2782" s="1" t="s">
        <v>11162</v>
      </c>
      <c r="B2782" s="1" t="s">
        <v>11163</v>
      </c>
      <c r="C2782" s="1" t="s">
        <v>76</v>
      </c>
      <c r="D2782" s="1">
        <v>91060.0</v>
      </c>
      <c r="E2782" s="1" t="s">
        <v>77</v>
      </c>
      <c r="F2782" s="1" t="s">
        <v>41</v>
      </c>
      <c r="G2782" s="1" t="s">
        <v>55</v>
      </c>
      <c r="H2782" s="2">
        <v>1805.0</v>
      </c>
      <c r="I2782" s="2">
        <v>5575.0</v>
      </c>
      <c r="J2782" s="1">
        <v>2023.0</v>
      </c>
      <c r="K2782" s="1">
        <v>63.0</v>
      </c>
      <c r="L2782" s="1" t="s">
        <v>62</v>
      </c>
      <c r="M2782" s="1" t="s">
        <v>11164</v>
      </c>
      <c r="N2782" s="1" t="s">
        <v>48</v>
      </c>
      <c r="O2782" s="1" t="s">
        <v>25</v>
      </c>
      <c r="P2782" s="1" t="s">
        <v>11165</v>
      </c>
    </row>
    <row r="2783" ht="14.25" customHeight="1">
      <c r="A2783" s="1" t="s">
        <v>11166</v>
      </c>
      <c r="B2783" s="1" t="s">
        <v>11167</v>
      </c>
      <c r="C2783" s="1" t="s">
        <v>53</v>
      </c>
      <c r="D2783" s="1">
        <v>94702.0</v>
      </c>
      <c r="E2783" s="1" t="s">
        <v>40</v>
      </c>
      <c r="F2783" s="1" t="s">
        <v>46</v>
      </c>
      <c r="G2783" s="1" t="s">
        <v>55</v>
      </c>
      <c r="H2783" s="2">
        <v>748.0</v>
      </c>
      <c r="I2783" s="2">
        <v>3418.0</v>
      </c>
      <c r="J2783" s="1">
        <v>1998.0</v>
      </c>
      <c r="K2783" s="1">
        <v>78.0</v>
      </c>
      <c r="L2783" s="1" t="s">
        <v>62</v>
      </c>
      <c r="M2783" s="1" t="s">
        <v>11168</v>
      </c>
      <c r="N2783" s="1" t="s">
        <v>64</v>
      </c>
      <c r="O2783" s="1" t="s">
        <v>49</v>
      </c>
      <c r="P2783" s="1" t="s">
        <v>11169</v>
      </c>
    </row>
    <row r="2784" ht="14.25" customHeight="1">
      <c r="A2784" s="1" t="s">
        <v>11170</v>
      </c>
      <c r="B2784" s="1" t="s">
        <v>11171</v>
      </c>
      <c r="C2784" s="1" t="s">
        <v>39</v>
      </c>
      <c r="D2784" s="1">
        <v>85944.0</v>
      </c>
      <c r="E2784" s="1" t="s">
        <v>19</v>
      </c>
      <c r="F2784" s="1" t="s">
        <v>54</v>
      </c>
      <c r="G2784" s="1" t="s">
        <v>55</v>
      </c>
      <c r="H2784" s="2">
        <v>1997.0</v>
      </c>
      <c r="I2784" s="2">
        <v>2291.0</v>
      </c>
      <c r="J2784" s="1">
        <v>1977.0</v>
      </c>
      <c r="K2784" s="1">
        <v>30.0</v>
      </c>
      <c r="L2784" s="1" t="s">
        <v>95</v>
      </c>
      <c r="M2784" s="1" t="s">
        <v>11172</v>
      </c>
      <c r="N2784" s="1" t="s">
        <v>24</v>
      </c>
      <c r="O2784" s="1" t="s">
        <v>35</v>
      </c>
      <c r="P2784" s="1" t="s">
        <v>11173</v>
      </c>
    </row>
    <row r="2785" ht="14.25" customHeight="1">
      <c r="A2785" s="1" t="s">
        <v>11174</v>
      </c>
      <c r="B2785" s="1" t="s">
        <v>11175</v>
      </c>
      <c r="C2785" s="1" t="s">
        <v>53</v>
      </c>
      <c r="D2785" s="1">
        <v>78842.0</v>
      </c>
      <c r="E2785" s="1" t="s">
        <v>40</v>
      </c>
      <c r="F2785" s="1" t="s">
        <v>46</v>
      </c>
      <c r="G2785" s="1" t="s">
        <v>21</v>
      </c>
      <c r="H2785" s="2">
        <v>3663.0</v>
      </c>
      <c r="I2785" s="2">
        <v>7056.0</v>
      </c>
      <c r="J2785" s="1">
        <v>1971.0</v>
      </c>
      <c r="K2785" s="1">
        <v>102.0</v>
      </c>
      <c r="L2785" s="1" t="s">
        <v>32</v>
      </c>
      <c r="M2785" s="1" t="s">
        <v>11176</v>
      </c>
      <c r="N2785" s="1" t="s">
        <v>64</v>
      </c>
      <c r="O2785" s="1" t="s">
        <v>35</v>
      </c>
      <c r="P2785" s="1" t="s">
        <v>11177</v>
      </c>
    </row>
    <row r="2786" ht="14.25" customHeight="1">
      <c r="A2786" s="1" t="s">
        <v>11178</v>
      </c>
      <c r="B2786" s="1" t="s">
        <v>11179</v>
      </c>
      <c r="C2786" s="1" t="s">
        <v>18</v>
      </c>
      <c r="D2786" s="1">
        <v>41350.0</v>
      </c>
      <c r="E2786" s="1" t="s">
        <v>77</v>
      </c>
      <c r="F2786" s="1" t="s">
        <v>61</v>
      </c>
      <c r="G2786" s="1" t="s">
        <v>21</v>
      </c>
      <c r="H2786" s="2">
        <v>3818.0</v>
      </c>
      <c r="I2786" s="2">
        <v>6788.0</v>
      </c>
      <c r="J2786" s="1">
        <v>1961.0</v>
      </c>
      <c r="K2786" s="1">
        <v>32.0</v>
      </c>
      <c r="L2786" s="1" t="s">
        <v>141</v>
      </c>
      <c r="M2786" s="1" t="s">
        <v>11180</v>
      </c>
      <c r="N2786" s="1" t="s">
        <v>43</v>
      </c>
      <c r="O2786" s="1" t="s">
        <v>25</v>
      </c>
      <c r="P2786" s="1" t="s">
        <v>11181</v>
      </c>
    </row>
    <row r="2787" ht="14.25" customHeight="1">
      <c r="A2787" s="1" t="s">
        <v>11182</v>
      </c>
      <c r="B2787" s="1" t="s">
        <v>11183</v>
      </c>
      <c r="C2787" s="1" t="s">
        <v>29</v>
      </c>
      <c r="D2787" s="1">
        <v>41173.0</v>
      </c>
      <c r="E2787" s="1" t="s">
        <v>40</v>
      </c>
      <c r="F2787" s="1" t="s">
        <v>54</v>
      </c>
      <c r="G2787" s="1" t="s">
        <v>31</v>
      </c>
      <c r="H2787" s="2">
        <v>1610.0</v>
      </c>
      <c r="I2787" s="2">
        <v>7773.0</v>
      </c>
      <c r="J2787" s="1">
        <v>1987.0</v>
      </c>
      <c r="K2787" s="1">
        <v>48.0</v>
      </c>
      <c r="L2787" s="1" t="s">
        <v>141</v>
      </c>
      <c r="M2787" s="1" t="s">
        <v>11184</v>
      </c>
      <c r="N2787" s="1" t="s">
        <v>34</v>
      </c>
      <c r="O2787" s="1" t="s">
        <v>49</v>
      </c>
      <c r="P2787" s="1" t="s">
        <v>11185</v>
      </c>
    </row>
    <row r="2788" ht="14.25" customHeight="1">
      <c r="A2788" s="1" t="s">
        <v>11186</v>
      </c>
      <c r="B2788" s="1" t="s">
        <v>11187</v>
      </c>
      <c r="C2788" s="1" t="s">
        <v>53</v>
      </c>
      <c r="D2788" s="1">
        <v>17314.0</v>
      </c>
      <c r="E2788" s="1" t="s">
        <v>19</v>
      </c>
      <c r="F2788" s="1" t="s">
        <v>46</v>
      </c>
      <c r="G2788" s="1" t="s">
        <v>55</v>
      </c>
      <c r="H2788" s="2">
        <v>2354.0</v>
      </c>
      <c r="I2788" s="2">
        <v>9645.0</v>
      </c>
      <c r="J2788" s="1">
        <v>2004.0</v>
      </c>
      <c r="K2788" s="1">
        <v>113.0</v>
      </c>
      <c r="L2788" s="1" t="s">
        <v>141</v>
      </c>
      <c r="M2788" s="1" t="s">
        <v>11188</v>
      </c>
      <c r="N2788" s="1" t="s">
        <v>64</v>
      </c>
      <c r="O2788" s="1" t="s">
        <v>35</v>
      </c>
      <c r="P2788" s="1" t="s">
        <v>11189</v>
      </c>
    </row>
    <row r="2789" ht="14.25" customHeight="1">
      <c r="A2789" s="1" t="s">
        <v>11190</v>
      </c>
      <c r="B2789" s="1" t="s">
        <v>11191</v>
      </c>
      <c r="C2789" s="1" t="s">
        <v>18</v>
      </c>
      <c r="D2789" s="1">
        <v>30843.0</v>
      </c>
      <c r="E2789" s="1" t="s">
        <v>19</v>
      </c>
      <c r="F2789" s="1" t="s">
        <v>94</v>
      </c>
      <c r="G2789" s="1" t="s">
        <v>100</v>
      </c>
      <c r="H2789" s="2">
        <v>2291.0</v>
      </c>
      <c r="I2789" s="2">
        <v>4271.0</v>
      </c>
      <c r="J2789" s="1">
        <v>1984.0</v>
      </c>
      <c r="K2789" s="1">
        <v>8.0</v>
      </c>
      <c r="L2789" s="1" t="s">
        <v>32</v>
      </c>
      <c r="M2789" s="1" t="s">
        <v>11192</v>
      </c>
      <c r="N2789" s="1" t="s">
        <v>34</v>
      </c>
      <c r="O2789" s="1" t="s">
        <v>25</v>
      </c>
      <c r="P2789" s="1" t="s">
        <v>11193</v>
      </c>
    </row>
    <row r="2790" ht="14.25" customHeight="1">
      <c r="A2790" s="1" t="s">
        <v>11194</v>
      </c>
      <c r="B2790" s="1" t="s">
        <v>11195</v>
      </c>
      <c r="C2790" s="1" t="s">
        <v>76</v>
      </c>
      <c r="D2790" s="1">
        <v>52827.0</v>
      </c>
      <c r="E2790" s="1" t="s">
        <v>30</v>
      </c>
      <c r="F2790" s="1" t="s">
        <v>20</v>
      </c>
      <c r="G2790" s="1" t="s">
        <v>100</v>
      </c>
      <c r="H2790" s="2">
        <v>2802.0</v>
      </c>
      <c r="I2790" s="2">
        <v>1380.0</v>
      </c>
      <c r="J2790" s="1">
        <v>1993.0</v>
      </c>
      <c r="K2790" s="1">
        <v>61.0</v>
      </c>
      <c r="L2790" s="1" t="s">
        <v>95</v>
      </c>
      <c r="M2790" s="1" t="s">
        <v>11196</v>
      </c>
      <c r="N2790" s="1" t="s">
        <v>48</v>
      </c>
      <c r="O2790" s="1" t="s">
        <v>25</v>
      </c>
      <c r="P2790" s="1" t="s">
        <v>11197</v>
      </c>
    </row>
    <row r="2791" ht="14.25" customHeight="1">
      <c r="A2791" s="1" t="s">
        <v>11198</v>
      </c>
      <c r="B2791" s="1" t="s">
        <v>11199</v>
      </c>
      <c r="C2791" s="1" t="s">
        <v>76</v>
      </c>
      <c r="D2791" s="1">
        <v>27987.0</v>
      </c>
      <c r="E2791" s="1" t="s">
        <v>77</v>
      </c>
      <c r="F2791" s="1" t="s">
        <v>20</v>
      </c>
      <c r="G2791" s="1" t="s">
        <v>100</v>
      </c>
      <c r="H2791" s="2">
        <v>2915.0</v>
      </c>
      <c r="I2791" s="2">
        <v>2728.0</v>
      </c>
      <c r="J2791" s="1">
        <v>1975.0</v>
      </c>
      <c r="K2791" s="1">
        <v>89.0</v>
      </c>
      <c r="L2791" s="1" t="s">
        <v>95</v>
      </c>
      <c r="M2791" s="1" t="s">
        <v>11200</v>
      </c>
      <c r="N2791" s="1" t="s">
        <v>64</v>
      </c>
      <c r="O2791" s="1" t="s">
        <v>35</v>
      </c>
      <c r="P2791" s="1" t="s">
        <v>11201</v>
      </c>
    </row>
    <row r="2792" ht="14.25" customHeight="1">
      <c r="A2792" s="1" t="s">
        <v>11202</v>
      </c>
      <c r="B2792" s="1" t="s">
        <v>11203</v>
      </c>
      <c r="C2792" s="1" t="s">
        <v>18</v>
      </c>
      <c r="D2792" s="1">
        <v>70311.0</v>
      </c>
      <c r="E2792" s="1" t="s">
        <v>30</v>
      </c>
      <c r="F2792" s="1" t="s">
        <v>46</v>
      </c>
      <c r="G2792" s="1" t="s">
        <v>21</v>
      </c>
      <c r="H2792" s="2">
        <v>2303.0</v>
      </c>
      <c r="I2792" s="2">
        <v>7264.0</v>
      </c>
      <c r="J2792" s="1">
        <v>1984.0</v>
      </c>
      <c r="K2792" s="1">
        <v>70.0</v>
      </c>
      <c r="L2792" s="1" t="s">
        <v>22</v>
      </c>
      <c r="M2792" s="1" t="s">
        <v>11204</v>
      </c>
      <c r="N2792" s="1" t="s">
        <v>43</v>
      </c>
      <c r="O2792" s="1" t="s">
        <v>49</v>
      </c>
      <c r="P2792" s="1" t="s">
        <v>11205</v>
      </c>
    </row>
    <row r="2793" ht="14.25" customHeight="1">
      <c r="A2793" s="1" t="s">
        <v>11206</v>
      </c>
      <c r="B2793" s="1" t="s">
        <v>11207</v>
      </c>
      <c r="C2793" s="1" t="s">
        <v>76</v>
      </c>
      <c r="D2793" s="1">
        <v>66386.0</v>
      </c>
      <c r="E2793" s="1" t="s">
        <v>60</v>
      </c>
      <c r="F2793" s="1" t="s">
        <v>61</v>
      </c>
      <c r="G2793" s="1" t="s">
        <v>55</v>
      </c>
      <c r="H2793" s="2">
        <v>2559.0</v>
      </c>
      <c r="I2793" s="2">
        <v>9214.0</v>
      </c>
      <c r="J2793" s="1">
        <v>2002.0</v>
      </c>
      <c r="K2793" s="1">
        <v>89.0</v>
      </c>
      <c r="L2793" s="1" t="s">
        <v>95</v>
      </c>
      <c r="M2793" s="1" t="s">
        <v>11208</v>
      </c>
      <c r="N2793" s="1" t="s">
        <v>34</v>
      </c>
      <c r="O2793" s="1" t="s">
        <v>35</v>
      </c>
      <c r="P2793" s="1" t="s">
        <v>11209</v>
      </c>
    </row>
    <row r="2794" ht="14.25" customHeight="1">
      <c r="A2794" s="1" t="s">
        <v>11210</v>
      </c>
      <c r="B2794" s="1" t="s">
        <v>11211</v>
      </c>
      <c r="C2794" s="1" t="s">
        <v>76</v>
      </c>
      <c r="D2794" s="1">
        <v>72524.0</v>
      </c>
      <c r="E2794" s="1" t="s">
        <v>30</v>
      </c>
      <c r="F2794" s="1" t="s">
        <v>41</v>
      </c>
      <c r="G2794" s="1" t="s">
        <v>21</v>
      </c>
      <c r="H2794" s="2">
        <v>2545.0</v>
      </c>
      <c r="I2794" s="2">
        <v>5465.0</v>
      </c>
      <c r="J2794" s="1">
        <v>1982.0</v>
      </c>
      <c r="K2794" s="1">
        <v>93.0</v>
      </c>
      <c r="L2794" s="1" t="s">
        <v>22</v>
      </c>
      <c r="M2794" s="1" t="s">
        <v>11212</v>
      </c>
      <c r="N2794" s="1" t="s">
        <v>64</v>
      </c>
      <c r="O2794" s="1" t="s">
        <v>25</v>
      </c>
      <c r="P2794" s="1" t="s">
        <v>11213</v>
      </c>
    </row>
    <row r="2795" ht="14.25" customHeight="1">
      <c r="A2795" s="1" t="s">
        <v>11214</v>
      </c>
      <c r="B2795" s="1" t="s">
        <v>11215</v>
      </c>
      <c r="C2795" s="1" t="s">
        <v>39</v>
      </c>
      <c r="D2795" s="1">
        <v>39890.0</v>
      </c>
      <c r="E2795" s="1" t="s">
        <v>19</v>
      </c>
      <c r="F2795" s="1" t="s">
        <v>41</v>
      </c>
      <c r="G2795" s="1" t="s">
        <v>100</v>
      </c>
      <c r="H2795" s="2">
        <v>3589.0</v>
      </c>
      <c r="I2795" s="2">
        <v>6202.0</v>
      </c>
      <c r="J2795" s="1">
        <v>1997.0</v>
      </c>
      <c r="K2795" s="1">
        <v>36.0</v>
      </c>
      <c r="L2795" s="1" t="s">
        <v>32</v>
      </c>
      <c r="M2795" s="1" t="s">
        <v>11216</v>
      </c>
      <c r="N2795" s="1" t="s">
        <v>34</v>
      </c>
      <c r="O2795" s="1" t="s">
        <v>25</v>
      </c>
      <c r="P2795" s="1" t="s">
        <v>11217</v>
      </c>
    </row>
    <row r="2796" ht="14.25" customHeight="1">
      <c r="A2796" s="1" t="s">
        <v>11218</v>
      </c>
      <c r="B2796" s="1" t="s">
        <v>11219</v>
      </c>
      <c r="C2796" s="1" t="s">
        <v>29</v>
      </c>
      <c r="D2796" s="1">
        <v>98607.0</v>
      </c>
      <c r="E2796" s="1" t="s">
        <v>77</v>
      </c>
      <c r="F2796" s="1" t="s">
        <v>94</v>
      </c>
      <c r="G2796" s="1" t="s">
        <v>21</v>
      </c>
      <c r="H2796" s="2">
        <v>2001.0</v>
      </c>
      <c r="I2796" s="2">
        <v>9314.0</v>
      </c>
      <c r="J2796" s="1">
        <v>1977.0</v>
      </c>
      <c r="K2796" s="1">
        <v>96.0</v>
      </c>
      <c r="L2796" s="1" t="s">
        <v>32</v>
      </c>
      <c r="M2796" s="1" t="s">
        <v>11220</v>
      </c>
      <c r="N2796" s="1" t="s">
        <v>64</v>
      </c>
      <c r="O2796" s="1" t="s">
        <v>35</v>
      </c>
      <c r="P2796" s="1" t="s">
        <v>11221</v>
      </c>
    </row>
    <row r="2797" ht="14.25" customHeight="1">
      <c r="A2797" s="1" t="s">
        <v>11222</v>
      </c>
      <c r="B2797" s="1" t="s">
        <v>11223</v>
      </c>
      <c r="C2797" s="1" t="s">
        <v>53</v>
      </c>
      <c r="D2797" s="1">
        <v>42154.0</v>
      </c>
      <c r="E2797" s="1" t="s">
        <v>77</v>
      </c>
      <c r="F2797" s="1" t="s">
        <v>20</v>
      </c>
      <c r="G2797" s="1" t="s">
        <v>55</v>
      </c>
      <c r="H2797" s="2">
        <v>2139.0</v>
      </c>
      <c r="I2797" s="2">
        <v>4299.0</v>
      </c>
      <c r="J2797" s="1">
        <v>1951.0</v>
      </c>
      <c r="K2797" s="1">
        <v>75.0</v>
      </c>
      <c r="L2797" s="1" t="s">
        <v>22</v>
      </c>
      <c r="M2797" s="1" t="s">
        <v>11224</v>
      </c>
      <c r="N2797" s="1" t="s">
        <v>24</v>
      </c>
      <c r="O2797" s="1" t="s">
        <v>25</v>
      </c>
      <c r="P2797" s="1" t="s">
        <v>11225</v>
      </c>
    </row>
    <row r="2798" ht="14.25" customHeight="1">
      <c r="A2798" s="1" t="s">
        <v>11226</v>
      </c>
      <c r="B2798" s="1" t="s">
        <v>11227</v>
      </c>
      <c r="C2798" s="1" t="s">
        <v>18</v>
      </c>
      <c r="D2798" s="1">
        <v>57800.0</v>
      </c>
      <c r="E2798" s="1" t="s">
        <v>30</v>
      </c>
      <c r="F2798" s="1" t="s">
        <v>41</v>
      </c>
      <c r="G2798" s="1" t="s">
        <v>100</v>
      </c>
      <c r="H2798" s="2">
        <v>1833.0</v>
      </c>
      <c r="I2798" s="2">
        <v>1996.0</v>
      </c>
      <c r="J2798" s="1">
        <v>2017.0</v>
      </c>
      <c r="K2798" s="1">
        <v>101.0</v>
      </c>
      <c r="L2798" s="1" t="s">
        <v>22</v>
      </c>
      <c r="M2798" s="1" t="s">
        <v>11228</v>
      </c>
      <c r="N2798" s="1" t="s">
        <v>64</v>
      </c>
      <c r="O2798" s="1" t="s">
        <v>35</v>
      </c>
      <c r="P2798" s="1" t="s">
        <v>11229</v>
      </c>
    </row>
    <row r="2799" ht="14.25" customHeight="1">
      <c r="A2799" s="1" t="s">
        <v>11230</v>
      </c>
      <c r="B2799" s="1" t="s">
        <v>11231</v>
      </c>
      <c r="C2799" s="1" t="s">
        <v>76</v>
      </c>
      <c r="D2799" s="1">
        <v>96346.0</v>
      </c>
      <c r="E2799" s="1" t="s">
        <v>60</v>
      </c>
      <c r="F2799" s="1" t="s">
        <v>61</v>
      </c>
      <c r="G2799" s="1" t="s">
        <v>100</v>
      </c>
      <c r="H2799" s="2">
        <v>3659.0</v>
      </c>
      <c r="I2799" s="2">
        <v>1881.0</v>
      </c>
      <c r="J2799" s="1">
        <v>1980.0</v>
      </c>
      <c r="K2799" s="1">
        <v>52.0</v>
      </c>
      <c r="L2799" s="1" t="s">
        <v>141</v>
      </c>
      <c r="M2799" s="1" t="s">
        <v>11232</v>
      </c>
      <c r="N2799" s="1" t="s">
        <v>48</v>
      </c>
      <c r="O2799" s="1" t="s">
        <v>25</v>
      </c>
      <c r="P2799" s="1" t="s">
        <v>11233</v>
      </c>
    </row>
    <row r="2800" ht="14.25" customHeight="1">
      <c r="A2800" s="1" t="s">
        <v>11234</v>
      </c>
      <c r="B2800" s="1" t="s">
        <v>11235</v>
      </c>
      <c r="C2800" s="1" t="s">
        <v>29</v>
      </c>
      <c r="D2800" s="1">
        <v>40235.0</v>
      </c>
      <c r="E2800" s="1" t="s">
        <v>19</v>
      </c>
      <c r="F2800" s="1" t="s">
        <v>54</v>
      </c>
      <c r="G2800" s="1" t="s">
        <v>31</v>
      </c>
      <c r="H2800" s="2">
        <v>1113.0</v>
      </c>
      <c r="I2800" s="2">
        <v>2754.0</v>
      </c>
      <c r="J2800" s="1">
        <v>1985.0</v>
      </c>
      <c r="K2800" s="1">
        <v>1.0</v>
      </c>
      <c r="L2800" s="1" t="s">
        <v>141</v>
      </c>
      <c r="M2800" s="1" t="s">
        <v>11236</v>
      </c>
      <c r="N2800" s="1" t="s">
        <v>24</v>
      </c>
      <c r="O2800" s="1" t="s">
        <v>49</v>
      </c>
      <c r="P2800" s="1" t="s">
        <v>11237</v>
      </c>
    </row>
    <row r="2801" ht="14.25" customHeight="1">
      <c r="A2801" s="1" t="s">
        <v>11238</v>
      </c>
      <c r="B2801" s="1" t="s">
        <v>11239</v>
      </c>
      <c r="C2801" s="1" t="s">
        <v>29</v>
      </c>
      <c r="D2801" s="1">
        <v>88709.0</v>
      </c>
      <c r="E2801" s="1" t="s">
        <v>40</v>
      </c>
      <c r="F2801" s="1" t="s">
        <v>46</v>
      </c>
      <c r="G2801" s="1" t="s">
        <v>100</v>
      </c>
      <c r="H2801" s="2">
        <v>3579.0</v>
      </c>
      <c r="I2801" s="2">
        <v>1482.0</v>
      </c>
      <c r="J2801" s="1">
        <v>1956.0</v>
      </c>
      <c r="K2801" s="1">
        <v>23.0</v>
      </c>
      <c r="L2801" s="1" t="s">
        <v>22</v>
      </c>
      <c r="M2801" s="1" t="s">
        <v>11240</v>
      </c>
      <c r="N2801" s="1" t="s">
        <v>48</v>
      </c>
      <c r="O2801" s="1" t="s">
        <v>49</v>
      </c>
      <c r="P2801" s="1" t="s">
        <v>11241</v>
      </c>
    </row>
    <row r="2802" ht="14.25" customHeight="1">
      <c r="A2802" s="1" t="s">
        <v>11242</v>
      </c>
      <c r="B2802" s="1" t="s">
        <v>11243</v>
      </c>
      <c r="C2802" s="1" t="s">
        <v>29</v>
      </c>
      <c r="D2802" s="1">
        <v>26810.0</v>
      </c>
      <c r="E2802" s="1" t="s">
        <v>40</v>
      </c>
      <c r="F2802" s="1" t="s">
        <v>61</v>
      </c>
      <c r="G2802" s="1" t="s">
        <v>100</v>
      </c>
      <c r="H2802" s="2">
        <v>1032.0</v>
      </c>
      <c r="I2802" s="2">
        <v>2944.0</v>
      </c>
      <c r="J2802" s="1">
        <v>1985.0</v>
      </c>
      <c r="K2802" s="1">
        <v>28.0</v>
      </c>
      <c r="L2802" s="1" t="s">
        <v>22</v>
      </c>
      <c r="M2802" s="1" t="s">
        <v>11244</v>
      </c>
      <c r="N2802" s="1" t="s">
        <v>43</v>
      </c>
      <c r="O2802" s="1" t="s">
        <v>35</v>
      </c>
      <c r="P2802" s="1" t="s">
        <v>11245</v>
      </c>
    </row>
    <row r="2803" ht="14.25" customHeight="1">
      <c r="A2803" s="1" t="s">
        <v>11246</v>
      </c>
      <c r="B2803" s="1" t="s">
        <v>11247</v>
      </c>
      <c r="C2803" s="1" t="s">
        <v>18</v>
      </c>
      <c r="D2803" s="1">
        <v>11839.0</v>
      </c>
      <c r="E2803" s="1" t="s">
        <v>19</v>
      </c>
      <c r="F2803" s="1" t="s">
        <v>41</v>
      </c>
      <c r="G2803" s="1" t="s">
        <v>100</v>
      </c>
      <c r="H2803" s="2">
        <v>1417.0</v>
      </c>
      <c r="I2803" s="2">
        <v>6766.0</v>
      </c>
      <c r="J2803" s="1">
        <v>1955.0</v>
      </c>
      <c r="K2803" s="1">
        <v>15.0</v>
      </c>
      <c r="L2803" s="1" t="s">
        <v>141</v>
      </c>
      <c r="M2803" s="1" t="s">
        <v>11248</v>
      </c>
      <c r="N2803" s="1" t="s">
        <v>34</v>
      </c>
      <c r="O2803" s="1" t="s">
        <v>35</v>
      </c>
      <c r="P2803" s="1" t="s">
        <v>11249</v>
      </c>
    </row>
    <row r="2804" ht="14.25" customHeight="1">
      <c r="A2804" s="1" t="s">
        <v>11250</v>
      </c>
      <c r="B2804" s="1" t="s">
        <v>11251</v>
      </c>
      <c r="C2804" s="1" t="s">
        <v>29</v>
      </c>
      <c r="D2804" s="1">
        <v>66338.0</v>
      </c>
      <c r="E2804" s="1" t="s">
        <v>60</v>
      </c>
      <c r="F2804" s="1" t="s">
        <v>54</v>
      </c>
      <c r="G2804" s="1" t="s">
        <v>31</v>
      </c>
      <c r="H2804" s="2">
        <v>1491.0</v>
      </c>
      <c r="I2804" s="2">
        <v>2788.0</v>
      </c>
      <c r="J2804" s="1">
        <v>2002.0</v>
      </c>
      <c r="K2804" s="1">
        <v>83.0</v>
      </c>
      <c r="L2804" s="1" t="s">
        <v>62</v>
      </c>
      <c r="M2804" s="1" t="s">
        <v>11252</v>
      </c>
      <c r="N2804" s="1" t="s">
        <v>48</v>
      </c>
      <c r="O2804" s="1" t="s">
        <v>25</v>
      </c>
      <c r="P2804" s="1" t="s">
        <v>11253</v>
      </c>
    </row>
    <row r="2805" ht="14.25" customHeight="1">
      <c r="A2805" s="1" t="s">
        <v>11254</v>
      </c>
      <c r="B2805" s="1" t="s">
        <v>11255</v>
      </c>
      <c r="C2805" s="1" t="s">
        <v>53</v>
      </c>
      <c r="D2805" s="1">
        <v>65697.0</v>
      </c>
      <c r="E2805" s="1" t="s">
        <v>19</v>
      </c>
      <c r="F2805" s="1" t="s">
        <v>20</v>
      </c>
      <c r="G2805" s="1" t="s">
        <v>31</v>
      </c>
      <c r="H2805" s="2">
        <v>2788.0</v>
      </c>
      <c r="I2805" s="2">
        <v>1361.0</v>
      </c>
      <c r="J2805" s="1">
        <v>2011.0</v>
      </c>
      <c r="K2805" s="1">
        <v>52.0</v>
      </c>
      <c r="L2805" s="1" t="s">
        <v>95</v>
      </c>
      <c r="M2805" s="1" t="s">
        <v>11256</v>
      </c>
      <c r="N2805" s="1" t="s">
        <v>34</v>
      </c>
      <c r="O2805" s="1" t="s">
        <v>35</v>
      </c>
      <c r="P2805" s="1" t="s">
        <v>11257</v>
      </c>
    </row>
    <row r="2806" ht="14.25" customHeight="1">
      <c r="A2806" s="1" t="s">
        <v>11258</v>
      </c>
      <c r="B2806" s="1" t="s">
        <v>11259</v>
      </c>
      <c r="C2806" s="1" t="s">
        <v>39</v>
      </c>
      <c r="D2806" s="1">
        <v>71127.0</v>
      </c>
      <c r="E2806" s="1" t="s">
        <v>40</v>
      </c>
      <c r="F2806" s="1" t="s">
        <v>94</v>
      </c>
      <c r="G2806" s="1" t="s">
        <v>100</v>
      </c>
      <c r="H2806" s="2">
        <v>1001.0</v>
      </c>
      <c r="I2806" s="2">
        <v>7225.0</v>
      </c>
      <c r="J2806" s="1">
        <v>1955.0</v>
      </c>
      <c r="K2806" s="1">
        <v>107.0</v>
      </c>
      <c r="L2806" s="1" t="s">
        <v>32</v>
      </c>
      <c r="M2806" s="1" t="s">
        <v>11260</v>
      </c>
      <c r="N2806" s="1" t="s">
        <v>48</v>
      </c>
      <c r="O2806" s="1" t="s">
        <v>25</v>
      </c>
      <c r="P2806" s="1" t="s">
        <v>11261</v>
      </c>
    </row>
    <row r="2807" ht="14.25" customHeight="1">
      <c r="A2807" s="1" t="s">
        <v>11262</v>
      </c>
      <c r="B2807" s="1" t="s">
        <v>11263</v>
      </c>
      <c r="C2807" s="1" t="s">
        <v>53</v>
      </c>
      <c r="D2807" s="1">
        <v>84106.0</v>
      </c>
      <c r="E2807" s="1" t="s">
        <v>40</v>
      </c>
      <c r="F2807" s="1" t="s">
        <v>46</v>
      </c>
      <c r="G2807" s="1" t="s">
        <v>55</v>
      </c>
      <c r="H2807" s="2">
        <v>3485.0</v>
      </c>
      <c r="I2807" s="2">
        <v>6770.0</v>
      </c>
      <c r="J2807" s="1">
        <v>2011.0</v>
      </c>
      <c r="K2807" s="1">
        <v>8.0</v>
      </c>
      <c r="L2807" s="1" t="s">
        <v>95</v>
      </c>
      <c r="M2807" s="1" t="s">
        <v>11264</v>
      </c>
      <c r="N2807" s="1" t="s">
        <v>34</v>
      </c>
      <c r="O2807" s="1" t="s">
        <v>35</v>
      </c>
      <c r="P2807" s="1" t="s">
        <v>11265</v>
      </c>
    </row>
    <row r="2808" ht="14.25" customHeight="1">
      <c r="A2808" s="1" t="s">
        <v>11266</v>
      </c>
      <c r="B2808" s="1" t="s">
        <v>11267</v>
      </c>
      <c r="C2808" s="1" t="s">
        <v>76</v>
      </c>
      <c r="D2808" s="1">
        <v>96680.0</v>
      </c>
      <c r="E2808" s="1" t="s">
        <v>60</v>
      </c>
      <c r="F2808" s="1" t="s">
        <v>61</v>
      </c>
      <c r="G2808" s="1" t="s">
        <v>21</v>
      </c>
      <c r="H2808" s="2">
        <v>1624.0</v>
      </c>
      <c r="I2808" s="2">
        <v>3643.0</v>
      </c>
      <c r="J2808" s="1">
        <v>1985.0</v>
      </c>
      <c r="K2808" s="1">
        <v>20.0</v>
      </c>
      <c r="L2808" s="1" t="s">
        <v>141</v>
      </c>
      <c r="M2808" s="1" t="s">
        <v>11268</v>
      </c>
      <c r="N2808" s="1" t="s">
        <v>24</v>
      </c>
      <c r="O2808" s="1" t="s">
        <v>49</v>
      </c>
      <c r="P2808" s="1" t="s">
        <v>11269</v>
      </c>
    </row>
    <row r="2809" ht="14.25" customHeight="1">
      <c r="A2809" s="1" t="s">
        <v>11270</v>
      </c>
      <c r="B2809" s="1" t="s">
        <v>11271</v>
      </c>
      <c r="C2809" s="1" t="s">
        <v>39</v>
      </c>
      <c r="D2809" s="1">
        <v>89343.0</v>
      </c>
      <c r="E2809" s="1" t="s">
        <v>40</v>
      </c>
      <c r="F2809" s="1" t="s">
        <v>41</v>
      </c>
      <c r="G2809" s="1" t="s">
        <v>100</v>
      </c>
      <c r="H2809" s="2">
        <v>2150.0</v>
      </c>
      <c r="I2809" s="2">
        <v>1450.0</v>
      </c>
      <c r="J2809" s="1">
        <v>1978.0</v>
      </c>
      <c r="K2809" s="1">
        <v>62.0</v>
      </c>
      <c r="L2809" s="1" t="s">
        <v>141</v>
      </c>
      <c r="M2809" s="1" t="s">
        <v>11272</v>
      </c>
      <c r="N2809" s="1" t="s">
        <v>24</v>
      </c>
      <c r="O2809" s="1" t="s">
        <v>35</v>
      </c>
      <c r="P2809" s="1" t="s">
        <v>11273</v>
      </c>
    </row>
    <row r="2810" ht="14.25" customHeight="1">
      <c r="A2810" s="1" t="s">
        <v>11274</v>
      </c>
      <c r="B2810" s="1" t="s">
        <v>11275</v>
      </c>
      <c r="C2810" s="1" t="s">
        <v>76</v>
      </c>
      <c r="D2810" s="1">
        <v>86526.0</v>
      </c>
      <c r="E2810" s="1" t="s">
        <v>30</v>
      </c>
      <c r="F2810" s="1" t="s">
        <v>46</v>
      </c>
      <c r="G2810" s="1" t="s">
        <v>100</v>
      </c>
      <c r="H2810" s="2">
        <v>955.0</v>
      </c>
      <c r="I2810" s="2">
        <v>6243.0</v>
      </c>
      <c r="J2810" s="1">
        <v>1977.0</v>
      </c>
      <c r="K2810" s="1">
        <v>29.0</v>
      </c>
      <c r="L2810" s="1" t="s">
        <v>141</v>
      </c>
      <c r="M2810" s="1" t="s">
        <v>11276</v>
      </c>
      <c r="N2810" s="1" t="s">
        <v>43</v>
      </c>
      <c r="O2810" s="1" t="s">
        <v>35</v>
      </c>
      <c r="P2810" s="1" t="s">
        <v>11277</v>
      </c>
    </row>
    <row r="2811" ht="14.25" customHeight="1">
      <c r="A2811" s="1" t="s">
        <v>11278</v>
      </c>
      <c r="B2811" s="1" t="s">
        <v>11279</v>
      </c>
      <c r="C2811" s="1" t="s">
        <v>29</v>
      </c>
      <c r="D2811" s="1">
        <v>37227.0</v>
      </c>
      <c r="E2811" s="1" t="s">
        <v>40</v>
      </c>
      <c r="F2811" s="1" t="s">
        <v>20</v>
      </c>
      <c r="G2811" s="1" t="s">
        <v>55</v>
      </c>
      <c r="H2811" s="2">
        <v>3079.0</v>
      </c>
      <c r="I2811" s="2">
        <v>8874.0</v>
      </c>
      <c r="J2811" s="1">
        <v>1955.0</v>
      </c>
      <c r="K2811" s="1">
        <v>24.0</v>
      </c>
      <c r="L2811" s="1" t="s">
        <v>32</v>
      </c>
      <c r="M2811" s="1" t="s">
        <v>11280</v>
      </c>
      <c r="N2811" s="1" t="s">
        <v>64</v>
      </c>
      <c r="O2811" s="1" t="s">
        <v>49</v>
      </c>
      <c r="P2811" s="1" t="s">
        <v>11281</v>
      </c>
    </row>
    <row r="2812" ht="14.25" customHeight="1">
      <c r="A2812" s="1" t="s">
        <v>11282</v>
      </c>
      <c r="B2812" s="1" t="s">
        <v>11283</v>
      </c>
      <c r="C2812" s="1" t="s">
        <v>76</v>
      </c>
      <c r="D2812" s="1">
        <v>12052.0</v>
      </c>
      <c r="E2812" s="1" t="s">
        <v>19</v>
      </c>
      <c r="F2812" s="1" t="s">
        <v>20</v>
      </c>
      <c r="G2812" s="1" t="s">
        <v>31</v>
      </c>
      <c r="H2812" s="2">
        <v>3172.0</v>
      </c>
      <c r="I2812" s="2">
        <v>9941.0</v>
      </c>
      <c r="J2812" s="1">
        <v>2021.0</v>
      </c>
      <c r="K2812" s="1">
        <v>14.0</v>
      </c>
      <c r="L2812" s="1" t="s">
        <v>62</v>
      </c>
      <c r="M2812" s="1" t="s">
        <v>11284</v>
      </c>
      <c r="N2812" s="1" t="s">
        <v>24</v>
      </c>
      <c r="O2812" s="1" t="s">
        <v>49</v>
      </c>
      <c r="P2812" s="1" t="s">
        <v>11285</v>
      </c>
    </row>
    <row r="2813" ht="14.25" customHeight="1">
      <c r="A2813" s="1" t="s">
        <v>11286</v>
      </c>
      <c r="B2813" s="1" t="s">
        <v>11287</v>
      </c>
      <c r="C2813" s="1" t="s">
        <v>76</v>
      </c>
      <c r="D2813" s="1">
        <v>20864.0</v>
      </c>
      <c r="E2813" s="1" t="s">
        <v>40</v>
      </c>
      <c r="F2813" s="1" t="s">
        <v>20</v>
      </c>
      <c r="G2813" s="1" t="s">
        <v>55</v>
      </c>
      <c r="H2813" s="2">
        <v>1038.0</v>
      </c>
      <c r="I2813" s="2">
        <v>9001.0</v>
      </c>
      <c r="J2813" s="1">
        <v>1999.0</v>
      </c>
      <c r="K2813" s="1">
        <v>23.0</v>
      </c>
      <c r="L2813" s="1" t="s">
        <v>95</v>
      </c>
      <c r="M2813" s="1" t="s">
        <v>11288</v>
      </c>
      <c r="N2813" s="1" t="s">
        <v>34</v>
      </c>
      <c r="O2813" s="1" t="s">
        <v>49</v>
      </c>
      <c r="P2813" s="1" t="s">
        <v>11289</v>
      </c>
    </row>
    <row r="2814" ht="14.25" customHeight="1">
      <c r="A2814" s="1" t="s">
        <v>11290</v>
      </c>
      <c r="B2814" s="1" t="s">
        <v>11291</v>
      </c>
      <c r="C2814" s="1" t="s">
        <v>18</v>
      </c>
      <c r="D2814" s="1">
        <v>53653.0</v>
      </c>
      <c r="E2814" s="1" t="s">
        <v>19</v>
      </c>
      <c r="F2814" s="1" t="s">
        <v>54</v>
      </c>
      <c r="G2814" s="1" t="s">
        <v>31</v>
      </c>
      <c r="H2814" s="2">
        <v>2136.0</v>
      </c>
      <c r="I2814" s="2">
        <v>5229.0</v>
      </c>
      <c r="J2814" s="1">
        <v>1988.0</v>
      </c>
      <c r="K2814" s="1">
        <v>67.0</v>
      </c>
      <c r="L2814" s="1" t="s">
        <v>141</v>
      </c>
      <c r="M2814" s="1" t="s">
        <v>11292</v>
      </c>
      <c r="N2814" s="1" t="s">
        <v>43</v>
      </c>
      <c r="O2814" s="1" t="s">
        <v>25</v>
      </c>
      <c r="P2814" s="1" t="s">
        <v>11293</v>
      </c>
    </row>
    <row r="2815" ht="14.25" customHeight="1">
      <c r="A2815" s="1" t="s">
        <v>11294</v>
      </c>
      <c r="B2815" s="1" t="s">
        <v>11295</v>
      </c>
      <c r="C2815" s="1" t="s">
        <v>53</v>
      </c>
      <c r="D2815" s="1">
        <v>37076.0</v>
      </c>
      <c r="E2815" s="1" t="s">
        <v>40</v>
      </c>
      <c r="F2815" s="1" t="s">
        <v>41</v>
      </c>
      <c r="G2815" s="1" t="s">
        <v>100</v>
      </c>
      <c r="H2815" s="2">
        <v>1292.0</v>
      </c>
      <c r="I2815" s="2">
        <v>1069.0</v>
      </c>
      <c r="J2815" s="1">
        <v>1959.0</v>
      </c>
      <c r="K2815" s="1">
        <v>7.0</v>
      </c>
      <c r="L2815" s="1" t="s">
        <v>22</v>
      </c>
      <c r="M2815" s="1" t="s">
        <v>11296</v>
      </c>
      <c r="N2815" s="1" t="s">
        <v>43</v>
      </c>
      <c r="O2815" s="1" t="s">
        <v>49</v>
      </c>
      <c r="P2815" s="1" t="s">
        <v>11297</v>
      </c>
    </row>
    <row r="2816" ht="14.25" customHeight="1">
      <c r="A2816" s="1" t="s">
        <v>11298</v>
      </c>
      <c r="B2816" s="1" t="s">
        <v>11299</v>
      </c>
      <c r="C2816" s="1" t="s">
        <v>53</v>
      </c>
      <c r="D2816" s="1">
        <v>16323.0</v>
      </c>
      <c r="E2816" s="1" t="s">
        <v>19</v>
      </c>
      <c r="F2816" s="1" t="s">
        <v>94</v>
      </c>
      <c r="G2816" s="1" t="s">
        <v>55</v>
      </c>
      <c r="H2816" s="2">
        <v>917.0</v>
      </c>
      <c r="I2816" s="2">
        <v>4029.0</v>
      </c>
      <c r="J2816" s="1">
        <v>1952.0</v>
      </c>
      <c r="K2816" s="1">
        <v>49.0</v>
      </c>
      <c r="L2816" s="1" t="s">
        <v>22</v>
      </c>
      <c r="M2816" s="1" t="s">
        <v>11300</v>
      </c>
      <c r="N2816" s="1" t="s">
        <v>24</v>
      </c>
      <c r="O2816" s="1" t="s">
        <v>25</v>
      </c>
      <c r="P2816" s="1" t="s">
        <v>11301</v>
      </c>
    </row>
    <row r="2817" ht="14.25" customHeight="1">
      <c r="A2817" s="1" t="s">
        <v>11302</v>
      </c>
      <c r="B2817" s="1" t="s">
        <v>11303</v>
      </c>
      <c r="C2817" s="1" t="s">
        <v>18</v>
      </c>
      <c r="D2817" s="1">
        <v>51574.0</v>
      </c>
      <c r="E2817" s="1" t="s">
        <v>60</v>
      </c>
      <c r="F2817" s="1" t="s">
        <v>20</v>
      </c>
      <c r="G2817" s="1" t="s">
        <v>31</v>
      </c>
      <c r="H2817" s="2">
        <v>3845.0</v>
      </c>
      <c r="I2817" s="2">
        <v>7564.0</v>
      </c>
      <c r="J2817" s="1">
        <v>2006.0</v>
      </c>
      <c r="K2817" s="1">
        <v>15.0</v>
      </c>
      <c r="L2817" s="1" t="s">
        <v>32</v>
      </c>
      <c r="M2817" s="1" t="s">
        <v>11304</v>
      </c>
      <c r="N2817" s="1" t="s">
        <v>43</v>
      </c>
      <c r="O2817" s="1" t="s">
        <v>49</v>
      </c>
      <c r="P2817" s="1" t="s">
        <v>11305</v>
      </c>
    </row>
    <row r="2818" ht="14.25" customHeight="1">
      <c r="A2818" s="1" t="s">
        <v>11306</v>
      </c>
      <c r="B2818" s="1" t="s">
        <v>11307</v>
      </c>
      <c r="C2818" s="1" t="s">
        <v>39</v>
      </c>
      <c r="D2818" s="1">
        <v>23654.0</v>
      </c>
      <c r="E2818" s="1" t="s">
        <v>30</v>
      </c>
      <c r="F2818" s="1" t="s">
        <v>20</v>
      </c>
      <c r="G2818" s="1" t="s">
        <v>21</v>
      </c>
      <c r="H2818" s="2">
        <v>3755.0</v>
      </c>
      <c r="I2818" s="2">
        <v>3401.0</v>
      </c>
      <c r="J2818" s="1">
        <v>1984.0</v>
      </c>
      <c r="K2818" s="1">
        <v>102.0</v>
      </c>
      <c r="L2818" s="1" t="s">
        <v>22</v>
      </c>
      <c r="M2818" s="1" t="s">
        <v>11308</v>
      </c>
      <c r="N2818" s="1" t="s">
        <v>43</v>
      </c>
      <c r="O2818" s="1" t="s">
        <v>35</v>
      </c>
      <c r="P2818" s="1" t="s">
        <v>11309</v>
      </c>
    </row>
    <row r="2819" ht="14.25" customHeight="1">
      <c r="A2819" s="1" t="s">
        <v>11310</v>
      </c>
      <c r="B2819" s="1" t="s">
        <v>11311</v>
      </c>
      <c r="C2819" s="1" t="s">
        <v>76</v>
      </c>
      <c r="D2819" s="1">
        <v>64894.0</v>
      </c>
      <c r="E2819" s="1" t="s">
        <v>77</v>
      </c>
      <c r="F2819" s="1" t="s">
        <v>46</v>
      </c>
      <c r="G2819" s="1" t="s">
        <v>31</v>
      </c>
      <c r="H2819" s="2">
        <v>3188.0</v>
      </c>
      <c r="I2819" s="2">
        <v>7430.0</v>
      </c>
      <c r="J2819" s="1">
        <v>1998.0</v>
      </c>
      <c r="K2819" s="1">
        <v>44.0</v>
      </c>
      <c r="L2819" s="1" t="s">
        <v>141</v>
      </c>
      <c r="M2819" s="1" t="s">
        <v>11312</v>
      </c>
      <c r="N2819" s="1" t="s">
        <v>64</v>
      </c>
      <c r="O2819" s="1" t="s">
        <v>25</v>
      </c>
      <c r="P2819" s="1" t="s">
        <v>11313</v>
      </c>
    </row>
    <row r="2820" ht="14.25" customHeight="1">
      <c r="A2820" s="1" t="s">
        <v>11314</v>
      </c>
      <c r="B2820" s="1" t="s">
        <v>11315</v>
      </c>
      <c r="C2820" s="1" t="s">
        <v>18</v>
      </c>
      <c r="D2820" s="1">
        <v>78547.0</v>
      </c>
      <c r="E2820" s="1" t="s">
        <v>77</v>
      </c>
      <c r="F2820" s="1" t="s">
        <v>54</v>
      </c>
      <c r="G2820" s="1" t="s">
        <v>100</v>
      </c>
      <c r="H2820" s="2">
        <v>1115.0</v>
      </c>
      <c r="I2820" s="2">
        <v>9921.0</v>
      </c>
      <c r="J2820" s="1">
        <v>1972.0</v>
      </c>
      <c r="K2820" s="1">
        <v>67.0</v>
      </c>
      <c r="L2820" s="1" t="s">
        <v>95</v>
      </c>
      <c r="M2820" s="1" t="s">
        <v>11316</v>
      </c>
      <c r="N2820" s="1" t="s">
        <v>43</v>
      </c>
      <c r="O2820" s="1" t="s">
        <v>25</v>
      </c>
      <c r="P2820" s="1" t="s">
        <v>11317</v>
      </c>
    </row>
    <row r="2821" ht="14.25" customHeight="1">
      <c r="A2821" s="1" t="s">
        <v>11318</v>
      </c>
      <c r="B2821" s="1" t="s">
        <v>11319</v>
      </c>
      <c r="C2821" s="1" t="s">
        <v>18</v>
      </c>
      <c r="D2821" s="1">
        <v>50413.0</v>
      </c>
      <c r="E2821" s="1" t="s">
        <v>19</v>
      </c>
      <c r="F2821" s="1" t="s">
        <v>46</v>
      </c>
      <c r="G2821" s="1" t="s">
        <v>21</v>
      </c>
      <c r="H2821" s="2">
        <v>1835.0</v>
      </c>
      <c r="I2821" s="2">
        <v>2233.0</v>
      </c>
      <c r="J2821" s="1">
        <v>1970.0</v>
      </c>
      <c r="K2821" s="1">
        <v>71.0</v>
      </c>
      <c r="L2821" s="1" t="s">
        <v>62</v>
      </c>
      <c r="M2821" s="1" t="s">
        <v>11320</v>
      </c>
      <c r="N2821" s="1" t="s">
        <v>34</v>
      </c>
      <c r="O2821" s="1" t="s">
        <v>25</v>
      </c>
      <c r="P2821" s="1" t="s">
        <v>11321</v>
      </c>
    </row>
    <row r="2822" ht="14.25" customHeight="1">
      <c r="A2822" s="1" t="s">
        <v>11322</v>
      </c>
      <c r="B2822" s="1" t="s">
        <v>11323</v>
      </c>
      <c r="C2822" s="1" t="s">
        <v>53</v>
      </c>
      <c r="D2822" s="1">
        <v>43488.0</v>
      </c>
      <c r="E2822" s="1" t="s">
        <v>40</v>
      </c>
      <c r="F2822" s="1" t="s">
        <v>61</v>
      </c>
      <c r="G2822" s="1" t="s">
        <v>21</v>
      </c>
      <c r="H2822" s="2">
        <v>3324.0</v>
      </c>
      <c r="I2822" s="2">
        <v>2601.0</v>
      </c>
      <c r="J2822" s="1">
        <v>1968.0</v>
      </c>
      <c r="K2822" s="1">
        <v>15.0</v>
      </c>
      <c r="L2822" s="1" t="s">
        <v>22</v>
      </c>
      <c r="M2822" s="1" t="s">
        <v>11324</v>
      </c>
      <c r="N2822" s="1" t="s">
        <v>64</v>
      </c>
      <c r="O2822" s="1" t="s">
        <v>49</v>
      </c>
      <c r="P2822" s="1" t="s">
        <v>11325</v>
      </c>
    </row>
    <row r="2823" ht="14.25" customHeight="1">
      <c r="A2823" s="1" t="s">
        <v>11326</v>
      </c>
      <c r="B2823" s="1" t="s">
        <v>11327</v>
      </c>
      <c r="C2823" s="1" t="s">
        <v>53</v>
      </c>
      <c r="D2823" s="1">
        <v>83167.0</v>
      </c>
      <c r="E2823" s="1" t="s">
        <v>60</v>
      </c>
      <c r="F2823" s="1" t="s">
        <v>54</v>
      </c>
      <c r="G2823" s="1" t="s">
        <v>31</v>
      </c>
      <c r="H2823" s="2">
        <v>3083.0</v>
      </c>
      <c r="I2823" s="2">
        <v>6575.0</v>
      </c>
      <c r="J2823" s="1">
        <v>1999.0</v>
      </c>
      <c r="K2823" s="1">
        <v>83.0</v>
      </c>
      <c r="L2823" s="1" t="s">
        <v>22</v>
      </c>
      <c r="M2823" s="1" t="s">
        <v>11328</v>
      </c>
      <c r="N2823" s="1" t="s">
        <v>64</v>
      </c>
      <c r="O2823" s="1" t="s">
        <v>49</v>
      </c>
      <c r="P2823" s="1" t="s">
        <v>11329</v>
      </c>
    </row>
    <row r="2824" ht="14.25" customHeight="1">
      <c r="A2824" s="1" t="s">
        <v>11330</v>
      </c>
      <c r="B2824" s="1" t="s">
        <v>11331</v>
      </c>
      <c r="C2824" s="1" t="s">
        <v>18</v>
      </c>
      <c r="D2824" s="1">
        <v>85233.0</v>
      </c>
      <c r="E2824" s="1" t="s">
        <v>19</v>
      </c>
      <c r="F2824" s="1" t="s">
        <v>61</v>
      </c>
      <c r="G2824" s="1" t="s">
        <v>55</v>
      </c>
      <c r="H2824" s="2">
        <v>1302.0</v>
      </c>
      <c r="I2824" s="2">
        <v>1173.0</v>
      </c>
      <c r="J2824" s="1">
        <v>1954.0</v>
      </c>
      <c r="K2824" s="1">
        <v>14.0</v>
      </c>
      <c r="L2824" s="1" t="s">
        <v>32</v>
      </c>
      <c r="M2824" s="1" t="s">
        <v>11332</v>
      </c>
      <c r="N2824" s="1" t="s">
        <v>34</v>
      </c>
      <c r="O2824" s="1" t="s">
        <v>49</v>
      </c>
      <c r="P2824" s="1" t="s">
        <v>11333</v>
      </c>
    </row>
    <row r="2825" ht="14.25" customHeight="1">
      <c r="A2825" s="1" t="s">
        <v>11334</v>
      </c>
      <c r="B2825" s="1" t="s">
        <v>11335</v>
      </c>
      <c r="C2825" s="1" t="s">
        <v>18</v>
      </c>
      <c r="D2825" s="1">
        <v>81930.0</v>
      </c>
      <c r="E2825" s="1" t="s">
        <v>60</v>
      </c>
      <c r="F2825" s="1" t="s">
        <v>20</v>
      </c>
      <c r="G2825" s="1" t="s">
        <v>100</v>
      </c>
      <c r="H2825" s="2">
        <v>2056.0</v>
      </c>
      <c r="I2825" s="2">
        <v>9979.0</v>
      </c>
      <c r="J2825" s="1">
        <v>2022.0</v>
      </c>
      <c r="K2825" s="1">
        <v>98.0</v>
      </c>
      <c r="L2825" s="1" t="s">
        <v>22</v>
      </c>
      <c r="M2825" s="1" t="s">
        <v>11336</v>
      </c>
      <c r="N2825" s="1" t="s">
        <v>24</v>
      </c>
      <c r="O2825" s="1" t="s">
        <v>35</v>
      </c>
      <c r="P2825" s="1" t="s">
        <v>11337</v>
      </c>
    </row>
    <row r="2826" ht="14.25" customHeight="1">
      <c r="A2826" s="1" t="s">
        <v>11338</v>
      </c>
      <c r="B2826" s="1" t="s">
        <v>11339</v>
      </c>
      <c r="C2826" s="1" t="s">
        <v>18</v>
      </c>
      <c r="D2826" s="1">
        <v>21470.0</v>
      </c>
      <c r="E2826" s="1" t="s">
        <v>60</v>
      </c>
      <c r="F2826" s="1" t="s">
        <v>94</v>
      </c>
      <c r="G2826" s="1" t="s">
        <v>55</v>
      </c>
      <c r="H2826" s="2">
        <v>2692.0</v>
      </c>
      <c r="I2826" s="2">
        <v>9380.0</v>
      </c>
      <c r="J2826" s="1">
        <v>1999.0</v>
      </c>
      <c r="K2826" s="1">
        <v>37.0</v>
      </c>
      <c r="L2826" s="1" t="s">
        <v>95</v>
      </c>
      <c r="M2826" s="1" t="s">
        <v>11340</v>
      </c>
      <c r="N2826" s="1" t="s">
        <v>48</v>
      </c>
      <c r="O2826" s="1" t="s">
        <v>49</v>
      </c>
      <c r="P2826" s="1" t="s">
        <v>11341</v>
      </c>
    </row>
    <row r="2827" ht="14.25" customHeight="1">
      <c r="A2827" s="1" t="s">
        <v>11342</v>
      </c>
      <c r="B2827" s="1" t="s">
        <v>11343</v>
      </c>
      <c r="C2827" s="1" t="s">
        <v>29</v>
      </c>
      <c r="D2827" s="1">
        <v>67379.0</v>
      </c>
      <c r="E2827" s="1" t="s">
        <v>19</v>
      </c>
      <c r="F2827" s="1" t="s">
        <v>61</v>
      </c>
      <c r="G2827" s="1" t="s">
        <v>55</v>
      </c>
      <c r="H2827" s="2">
        <v>2346.0</v>
      </c>
      <c r="I2827" s="2">
        <v>9430.0</v>
      </c>
      <c r="J2827" s="1">
        <v>1996.0</v>
      </c>
      <c r="K2827" s="1">
        <v>107.0</v>
      </c>
      <c r="L2827" s="1" t="s">
        <v>62</v>
      </c>
      <c r="M2827" s="1" t="s">
        <v>11344</v>
      </c>
      <c r="N2827" s="1" t="s">
        <v>43</v>
      </c>
      <c r="O2827" s="1" t="s">
        <v>25</v>
      </c>
      <c r="P2827" s="1" t="s">
        <v>11345</v>
      </c>
    </row>
    <row r="2828" ht="14.25" customHeight="1">
      <c r="A2828" s="1" t="s">
        <v>11346</v>
      </c>
      <c r="B2828" s="1" t="s">
        <v>11347</v>
      </c>
      <c r="C2828" s="1" t="s">
        <v>18</v>
      </c>
      <c r="D2828" s="1">
        <v>25609.0</v>
      </c>
      <c r="E2828" s="1" t="s">
        <v>77</v>
      </c>
      <c r="F2828" s="1" t="s">
        <v>46</v>
      </c>
      <c r="G2828" s="1" t="s">
        <v>31</v>
      </c>
      <c r="H2828" s="2">
        <v>3903.0</v>
      </c>
      <c r="I2828" s="2">
        <v>8605.0</v>
      </c>
      <c r="J2828" s="1">
        <v>1977.0</v>
      </c>
      <c r="K2828" s="1">
        <v>113.0</v>
      </c>
      <c r="L2828" s="1" t="s">
        <v>62</v>
      </c>
      <c r="M2828" s="1" t="s">
        <v>11348</v>
      </c>
      <c r="N2828" s="1" t="s">
        <v>34</v>
      </c>
      <c r="O2828" s="1" t="s">
        <v>49</v>
      </c>
      <c r="P2828" s="1" t="s">
        <v>11349</v>
      </c>
    </row>
    <row r="2829" ht="14.25" customHeight="1">
      <c r="A2829" s="1" t="s">
        <v>11350</v>
      </c>
      <c r="B2829" s="1" t="s">
        <v>11351</v>
      </c>
      <c r="C2829" s="1" t="s">
        <v>53</v>
      </c>
      <c r="D2829" s="1">
        <v>61827.0</v>
      </c>
      <c r="E2829" s="1" t="s">
        <v>60</v>
      </c>
      <c r="F2829" s="1" t="s">
        <v>46</v>
      </c>
      <c r="G2829" s="1" t="s">
        <v>31</v>
      </c>
      <c r="H2829" s="2">
        <v>1977.0</v>
      </c>
      <c r="I2829" s="2">
        <v>9297.0</v>
      </c>
      <c r="J2829" s="1">
        <v>1995.0</v>
      </c>
      <c r="K2829" s="1">
        <v>35.0</v>
      </c>
      <c r="L2829" s="1" t="s">
        <v>141</v>
      </c>
      <c r="M2829" s="1" t="s">
        <v>11352</v>
      </c>
      <c r="N2829" s="1" t="s">
        <v>43</v>
      </c>
      <c r="O2829" s="1" t="s">
        <v>25</v>
      </c>
      <c r="P2829" s="1" t="s">
        <v>11353</v>
      </c>
    </row>
    <row r="2830" ht="14.25" customHeight="1">
      <c r="A2830" s="1" t="s">
        <v>11354</v>
      </c>
      <c r="B2830" s="1" t="s">
        <v>11355</v>
      </c>
      <c r="C2830" s="1" t="s">
        <v>76</v>
      </c>
      <c r="D2830" s="1">
        <v>33365.0</v>
      </c>
      <c r="E2830" s="1" t="s">
        <v>19</v>
      </c>
      <c r="F2830" s="1" t="s">
        <v>41</v>
      </c>
      <c r="G2830" s="1" t="s">
        <v>100</v>
      </c>
      <c r="H2830" s="2">
        <v>2980.0</v>
      </c>
      <c r="I2830" s="2">
        <v>3292.0</v>
      </c>
      <c r="J2830" s="1">
        <v>2019.0</v>
      </c>
      <c r="K2830" s="1">
        <v>105.0</v>
      </c>
      <c r="L2830" s="1" t="s">
        <v>22</v>
      </c>
      <c r="M2830" s="1" t="s">
        <v>11356</v>
      </c>
      <c r="N2830" s="1" t="s">
        <v>64</v>
      </c>
      <c r="O2830" s="1" t="s">
        <v>35</v>
      </c>
      <c r="P2830" s="1" t="s">
        <v>11357</v>
      </c>
    </row>
    <row r="2831" ht="14.25" customHeight="1">
      <c r="A2831" s="1" t="s">
        <v>11358</v>
      </c>
      <c r="B2831" s="1" t="s">
        <v>11359</v>
      </c>
      <c r="C2831" s="1" t="s">
        <v>53</v>
      </c>
      <c r="D2831" s="1">
        <v>45361.0</v>
      </c>
      <c r="E2831" s="1" t="s">
        <v>60</v>
      </c>
      <c r="F2831" s="1" t="s">
        <v>46</v>
      </c>
      <c r="G2831" s="1" t="s">
        <v>100</v>
      </c>
      <c r="H2831" s="2">
        <v>3043.0</v>
      </c>
      <c r="I2831" s="2">
        <v>3616.0</v>
      </c>
      <c r="J2831" s="1">
        <v>2001.0</v>
      </c>
      <c r="K2831" s="1">
        <v>70.0</v>
      </c>
      <c r="L2831" s="1" t="s">
        <v>141</v>
      </c>
      <c r="M2831" s="1" t="s">
        <v>11360</v>
      </c>
      <c r="N2831" s="1" t="s">
        <v>24</v>
      </c>
      <c r="O2831" s="1" t="s">
        <v>49</v>
      </c>
      <c r="P2831" s="1" t="s">
        <v>11361</v>
      </c>
    </row>
    <row r="2832" ht="14.25" customHeight="1">
      <c r="A2832" s="1" t="s">
        <v>11362</v>
      </c>
      <c r="B2832" s="1" t="s">
        <v>11363</v>
      </c>
      <c r="C2832" s="1" t="s">
        <v>18</v>
      </c>
      <c r="D2832" s="1">
        <v>38507.0</v>
      </c>
      <c r="E2832" s="1" t="s">
        <v>77</v>
      </c>
      <c r="F2832" s="1" t="s">
        <v>54</v>
      </c>
      <c r="G2832" s="1" t="s">
        <v>21</v>
      </c>
      <c r="H2832" s="2">
        <v>1378.0</v>
      </c>
      <c r="I2832" s="2">
        <v>4150.0</v>
      </c>
      <c r="J2832" s="1">
        <v>1956.0</v>
      </c>
      <c r="K2832" s="1">
        <v>9.0</v>
      </c>
      <c r="L2832" s="1" t="s">
        <v>95</v>
      </c>
      <c r="M2832" s="1" t="s">
        <v>11364</v>
      </c>
      <c r="N2832" s="1" t="s">
        <v>34</v>
      </c>
      <c r="O2832" s="1" t="s">
        <v>49</v>
      </c>
      <c r="P2832" s="1" t="s">
        <v>11365</v>
      </c>
    </row>
    <row r="2833" ht="14.25" customHeight="1">
      <c r="A2833" s="1" t="s">
        <v>11366</v>
      </c>
      <c r="B2833" s="1" t="s">
        <v>11367</v>
      </c>
      <c r="C2833" s="1" t="s">
        <v>76</v>
      </c>
      <c r="D2833" s="1">
        <v>12418.0</v>
      </c>
      <c r="E2833" s="1" t="s">
        <v>77</v>
      </c>
      <c r="F2833" s="1" t="s">
        <v>41</v>
      </c>
      <c r="G2833" s="1" t="s">
        <v>21</v>
      </c>
      <c r="H2833" s="2">
        <v>1151.0</v>
      </c>
      <c r="I2833" s="2">
        <v>3606.0</v>
      </c>
      <c r="J2833" s="1">
        <v>1963.0</v>
      </c>
      <c r="K2833" s="1">
        <v>62.0</v>
      </c>
      <c r="L2833" s="1" t="s">
        <v>32</v>
      </c>
      <c r="M2833" s="1" t="s">
        <v>11368</v>
      </c>
      <c r="N2833" s="1" t="s">
        <v>64</v>
      </c>
      <c r="O2833" s="1" t="s">
        <v>25</v>
      </c>
      <c r="P2833" s="1" t="s">
        <v>11369</v>
      </c>
    </row>
    <row r="2834" ht="14.25" customHeight="1">
      <c r="A2834" s="1" t="s">
        <v>11370</v>
      </c>
      <c r="B2834" s="1" t="s">
        <v>11371</v>
      </c>
      <c r="C2834" s="1" t="s">
        <v>29</v>
      </c>
      <c r="D2834" s="1">
        <v>79620.0</v>
      </c>
      <c r="E2834" s="1" t="s">
        <v>60</v>
      </c>
      <c r="F2834" s="1" t="s">
        <v>54</v>
      </c>
      <c r="G2834" s="1" t="s">
        <v>100</v>
      </c>
      <c r="H2834" s="2">
        <v>972.0</v>
      </c>
      <c r="I2834" s="2">
        <v>8792.0</v>
      </c>
      <c r="J2834" s="1">
        <v>1966.0</v>
      </c>
      <c r="K2834" s="1">
        <v>5.0</v>
      </c>
      <c r="L2834" s="1" t="s">
        <v>32</v>
      </c>
      <c r="M2834" s="1" t="s">
        <v>11372</v>
      </c>
      <c r="N2834" s="1" t="s">
        <v>34</v>
      </c>
      <c r="O2834" s="1" t="s">
        <v>25</v>
      </c>
      <c r="P2834" s="1" t="s">
        <v>11373</v>
      </c>
    </row>
    <row r="2835" ht="14.25" customHeight="1">
      <c r="A2835" s="1" t="s">
        <v>11374</v>
      </c>
      <c r="B2835" s="1" t="s">
        <v>11375</v>
      </c>
      <c r="C2835" s="1" t="s">
        <v>18</v>
      </c>
      <c r="D2835" s="1">
        <v>62921.0</v>
      </c>
      <c r="E2835" s="1" t="s">
        <v>19</v>
      </c>
      <c r="F2835" s="1" t="s">
        <v>41</v>
      </c>
      <c r="G2835" s="1" t="s">
        <v>100</v>
      </c>
      <c r="H2835" s="2">
        <v>2426.0</v>
      </c>
      <c r="I2835" s="2">
        <v>6075.0</v>
      </c>
      <c r="J2835" s="1">
        <v>2002.0</v>
      </c>
      <c r="K2835" s="1">
        <v>107.0</v>
      </c>
      <c r="L2835" s="1" t="s">
        <v>22</v>
      </c>
      <c r="M2835" s="1" t="s">
        <v>11376</v>
      </c>
      <c r="N2835" s="1" t="s">
        <v>48</v>
      </c>
      <c r="O2835" s="1" t="s">
        <v>25</v>
      </c>
      <c r="P2835" s="1" t="s">
        <v>11377</v>
      </c>
    </row>
    <row r="2836" ht="14.25" customHeight="1">
      <c r="A2836" s="1" t="s">
        <v>11378</v>
      </c>
      <c r="B2836" s="1" t="s">
        <v>11379</v>
      </c>
      <c r="C2836" s="1" t="s">
        <v>53</v>
      </c>
      <c r="D2836" s="1">
        <v>91478.0</v>
      </c>
      <c r="E2836" s="1" t="s">
        <v>60</v>
      </c>
      <c r="F2836" s="1" t="s">
        <v>41</v>
      </c>
      <c r="G2836" s="1" t="s">
        <v>31</v>
      </c>
      <c r="H2836" s="2">
        <v>1225.0</v>
      </c>
      <c r="I2836" s="2">
        <v>4086.0</v>
      </c>
      <c r="J2836" s="1">
        <v>1973.0</v>
      </c>
      <c r="K2836" s="1">
        <v>10.0</v>
      </c>
      <c r="L2836" s="1" t="s">
        <v>22</v>
      </c>
      <c r="M2836" s="1" t="s">
        <v>11380</v>
      </c>
      <c r="N2836" s="1" t="s">
        <v>64</v>
      </c>
      <c r="O2836" s="1" t="s">
        <v>25</v>
      </c>
      <c r="P2836" s="1" t="s">
        <v>11381</v>
      </c>
    </row>
    <row r="2837" ht="14.25" customHeight="1">
      <c r="A2837" s="1" t="s">
        <v>11382</v>
      </c>
      <c r="B2837" s="1" t="s">
        <v>11383</v>
      </c>
      <c r="C2837" s="1" t="s">
        <v>39</v>
      </c>
      <c r="D2837" s="1">
        <v>18472.0</v>
      </c>
      <c r="E2837" s="1" t="s">
        <v>19</v>
      </c>
      <c r="F2837" s="1" t="s">
        <v>20</v>
      </c>
      <c r="G2837" s="1" t="s">
        <v>31</v>
      </c>
      <c r="H2837" s="2">
        <v>3310.0</v>
      </c>
      <c r="I2837" s="2">
        <v>1149.0</v>
      </c>
      <c r="J2837" s="1">
        <v>1973.0</v>
      </c>
      <c r="K2837" s="1">
        <v>116.0</v>
      </c>
      <c r="L2837" s="1" t="s">
        <v>22</v>
      </c>
      <c r="M2837" s="1" t="s">
        <v>11384</v>
      </c>
      <c r="N2837" s="1" t="s">
        <v>48</v>
      </c>
      <c r="O2837" s="1" t="s">
        <v>35</v>
      </c>
      <c r="P2837" s="1" t="s">
        <v>11385</v>
      </c>
    </row>
    <row r="2838" ht="14.25" customHeight="1">
      <c r="A2838" s="1" t="s">
        <v>11386</v>
      </c>
      <c r="B2838" s="1" t="s">
        <v>11387</v>
      </c>
      <c r="C2838" s="1" t="s">
        <v>76</v>
      </c>
      <c r="D2838" s="1">
        <v>13622.0</v>
      </c>
      <c r="E2838" s="1" t="s">
        <v>19</v>
      </c>
      <c r="F2838" s="1" t="s">
        <v>94</v>
      </c>
      <c r="G2838" s="1" t="s">
        <v>21</v>
      </c>
      <c r="H2838" s="2">
        <v>3818.0</v>
      </c>
      <c r="I2838" s="2">
        <v>7129.0</v>
      </c>
      <c r="J2838" s="1">
        <v>2006.0</v>
      </c>
      <c r="K2838" s="1">
        <v>16.0</v>
      </c>
      <c r="L2838" s="1" t="s">
        <v>62</v>
      </c>
      <c r="M2838" s="1" t="s">
        <v>11388</v>
      </c>
      <c r="N2838" s="1" t="s">
        <v>34</v>
      </c>
      <c r="O2838" s="1" t="s">
        <v>49</v>
      </c>
      <c r="P2838" s="1" t="s">
        <v>11389</v>
      </c>
    </row>
    <row r="2839" ht="14.25" customHeight="1">
      <c r="A2839" s="1" t="s">
        <v>11390</v>
      </c>
      <c r="B2839" s="1" t="s">
        <v>11391</v>
      </c>
      <c r="C2839" s="1" t="s">
        <v>39</v>
      </c>
      <c r="D2839" s="1">
        <v>86627.0</v>
      </c>
      <c r="E2839" s="1" t="s">
        <v>60</v>
      </c>
      <c r="F2839" s="1" t="s">
        <v>94</v>
      </c>
      <c r="G2839" s="1" t="s">
        <v>21</v>
      </c>
      <c r="H2839" s="2">
        <v>2182.0</v>
      </c>
      <c r="I2839" s="2">
        <v>7246.0</v>
      </c>
      <c r="J2839" s="1">
        <v>2003.0</v>
      </c>
      <c r="K2839" s="1">
        <v>80.0</v>
      </c>
      <c r="L2839" s="1" t="s">
        <v>62</v>
      </c>
      <c r="M2839" s="1" t="s">
        <v>11392</v>
      </c>
      <c r="N2839" s="1" t="s">
        <v>24</v>
      </c>
      <c r="O2839" s="1" t="s">
        <v>25</v>
      </c>
      <c r="P2839" s="1" t="s">
        <v>11393</v>
      </c>
    </row>
    <row r="2840" ht="14.25" customHeight="1">
      <c r="A2840" s="1" t="s">
        <v>11394</v>
      </c>
      <c r="B2840" s="1" t="s">
        <v>11395</v>
      </c>
      <c r="C2840" s="1" t="s">
        <v>29</v>
      </c>
      <c r="D2840" s="1">
        <v>44378.0</v>
      </c>
      <c r="E2840" s="1" t="s">
        <v>77</v>
      </c>
      <c r="F2840" s="1" t="s">
        <v>20</v>
      </c>
      <c r="G2840" s="1" t="s">
        <v>21</v>
      </c>
      <c r="H2840" s="2">
        <v>2484.0</v>
      </c>
      <c r="I2840" s="2">
        <v>1315.0</v>
      </c>
      <c r="J2840" s="1">
        <v>1994.0</v>
      </c>
      <c r="K2840" s="1">
        <v>88.0</v>
      </c>
      <c r="L2840" s="1" t="s">
        <v>62</v>
      </c>
      <c r="M2840" s="1" t="s">
        <v>11396</v>
      </c>
      <c r="N2840" s="1" t="s">
        <v>34</v>
      </c>
      <c r="O2840" s="1" t="s">
        <v>35</v>
      </c>
      <c r="P2840" s="1" t="s">
        <v>11397</v>
      </c>
    </row>
    <row r="2841" ht="14.25" customHeight="1">
      <c r="A2841" s="1" t="s">
        <v>11398</v>
      </c>
      <c r="B2841" s="1" t="s">
        <v>11399</v>
      </c>
      <c r="C2841" s="1" t="s">
        <v>18</v>
      </c>
      <c r="D2841" s="1">
        <v>22847.0</v>
      </c>
      <c r="E2841" s="1" t="s">
        <v>19</v>
      </c>
      <c r="F2841" s="1" t="s">
        <v>54</v>
      </c>
      <c r="G2841" s="1" t="s">
        <v>55</v>
      </c>
      <c r="H2841" s="2">
        <v>3797.0</v>
      </c>
      <c r="I2841" s="2">
        <v>7167.0</v>
      </c>
      <c r="J2841" s="1">
        <v>2016.0</v>
      </c>
      <c r="K2841" s="1">
        <v>96.0</v>
      </c>
      <c r="L2841" s="1" t="s">
        <v>22</v>
      </c>
      <c r="M2841" s="1" t="s">
        <v>11400</v>
      </c>
      <c r="N2841" s="1" t="s">
        <v>48</v>
      </c>
      <c r="O2841" s="1" t="s">
        <v>49</v>
      </c>
      <c r="P2841" s="1" t="s">
        <v>11401</v>
      </c>
    </row>
    <row r="2842" ht="14.25" customHeight="1">
      <c r="A2842" s="1" t="s">
        <v>11402</v>
      </c>
      <c r="B2842" s="1" t="s">
        <v>11403</v>
      </c>
      <c r="C2842" s="1" t="s">
        <v>29</v>
      </c>
      <c r="D2842" s="1">
        <v>19720.0</v>
      </c>
      <c r="E2842" s="1" t="s">
        <v>19</v>
      </c>
      <c r="F2842" s="1" t="s">
        <v>54</v>
      </c>
      <c r="G2842" s="1" t="s">
        <v>100</v>
      </c>
      <c r="H2842" s="2">
        <v>1880.0</v>
      </c>
      <c r="I2842" s="2">
        <v>2901.0</v>
      </c>
      <c r="J2842" s="1">
        <v>1954.0</v>
      </c>
      <c r="K2842" s="1">
        <v>27.0</v>
      </c>
      <c r="L2842" s="1" t="s">
        <v>62</v>
      </c>
      <c r="M2842" s="1" t="s">
        <v>11404</v>
      </c>
      <c r="N2842" s="1" t="s">
        <v>43</v>
      </c>
      <c r="O2842" s="1" t="s">
        <v>25</v>
      </c>
      <c r="P2842" s="1" t="s">
        <v>11405</v>
      </c>
    </row>
    <row r="2843" ht="14.25" customHeight="1">
      <c r="A2843" s="1" t="s">
        <v>11406</v>
      </c>
      <c r="B2843" s="1" t="s">
        <v>11407</v>
      </c>
      <c r="C2843" s="1" t="s">
        <v>18</v>
      </c>
      <c r="D2843" s="1">
        <v>79001.0</v>
      </c>
      <c r="E2843" s="1" t="s">
        <v>19</v>
      </c>
      <c r="F2843" s="1" t="s">
        <v>61</v>
      </c>
      <c r="G2843" s="1" t="s">
        <v>21</v>
      </c>
      <c r="H2843" s="2">
        <v>2835.0</v>
      </c>
      <c r="I2843" s="2">
        <v>2079.0</v>
      </c>
      <c r="J2843" s="1">
        <v>1980.0</v>
      </c>
      <c r="K2843" s="1">
        <v>113.0</v>
      </c>
      <c r="L2843" s="1" t="s">
        <v>95</v>
      </c>
      <c r="M2843" s="1" t="s">
        <v>11408</v>
      </c>
      <c r="N2843" s="1" t="s">
        <v>48</v>
      </c>
      <c r="O2843" s="1" t="s">
        <v>35</v>
      </c>
      <c r="P2843" s="1" t="s">
        <v>11409</v>
      </c>
    </row>
    <row r="2844" ht="14.25" customHeight="1">
      <c r="A2844" s="1" t="s">
        <v>11410</v>
      </c>
      <c r="B2844" s="1" t="s">
        <v>11411</v>
      </c>
      <c r="C2844" s="1" t="s">
        <v>53</v>
      </c>
      <c r="D2844" s="1">
        <v>38102.0</v>
      </c>
      <c r="E2844" s="1" t="s">
        <v>30</v>
      </c>
      <c r="F2844" s="1" t="s">
        <v>94</v>
      </c>
      <c r="G2844" s="1" t="s">
        <v>31</v>
      </c>
      <c r="H2844" s="2">
        <v>718.0</v>
      </c>
      <c r="I2844" s="2">
        <v>5677.0</v>
      </c>
      <c r="J2844" s="1">
        <v>1968.0</v>
      </c>
      <c r="K2844" s="1">
        <v>8.0</v>
      </c>
      <c r="L2844" s="1" t="s">
        <v>32</v>
      </c>
      <c r="M2844" s="1" t="s">
        <v>11412</v>
      </c>
      <c r="N2844" s="1" t="s">
        <v>48</v>
      </c>
      <c r="O2844" s="1" t="s">
        <v>25</v>
      </c>
      <c r="P2844" s="1" t="s">
        <v>11413</v>
      </c>
    </row>
    <row r="2845" ht="14.25" customHeight="1">
      <c r="A2845" s="1" t="s">
        <v>11414</v>
      </c>
      <c r="B2845" s="1" t="s">
        <v>11415</v>
      </c>
      <c r="C2845" s="1" t="s">
        <v>53</v>
      </c>
      <c r="D2845" s="1">
        <v>87189.0</v>
      </c>
      <c r="E2845" s="1" t="s">
        <v>77</v>
      </c>
      <c r="F2845" s="1" t="s">
        <v>61</v>
      </c>
      <c r="G2845" s="1" t="s">
        <v>100</v>
      </c>
      <c r="H2845" s="2">
        <v>2082.0</v>
      </c>
      <c r="I2845" s="2">
        <v>6165.0</v>
      </c>
      <c r="J2845" s="1">
        <v>1972.0</v>
      </c>
      <c r="K2845" s="1">
        <v>112.0</v>
      </c>
      <c r="L2845" s="1" t="s">
        <v>141</v>
      </c>
      <c r="M2845" s="1" t="s">
        <v>11416</v>
      </c>
      <c r="N2845" s="1" t="s">
        <v>24</v>
      </c>
      <c r="O2845" s="1" t="s">
        <v>25</v>
      </c>
      <c r="P2845" s="1" t="s">
        <v>11417</v>
      </c>
    </row>
    <row r="2846" ht="14.25" customHeight="1">
      <c r="A2846" s="1" t="s">
        <v>11418</v>
      </c>
      <c r="B2846" s="1" t="s">
        <v>11419</v>
      </c>
      <c r="C2846" s="1" t="s">
        <v>18</v>
      </c>
      <c r="D2846" s="1">
        <v>88281.0</v>
      </c>
      <c r="E2846" s="1" t="s">
        <v>60</v>
      </c>
      <c r="F2846" s="1" t="s">
        <v>20</v>
      </c>
      <c r="G2846" s="1" t="s">
        <v>21</v>
      </c>
      <c r="H2846" s="2">
        <v>1647.0</v>
      </c>
      <c r="I2846" s="2">
        <v>2024.0</v>
      </c>
      <c r="J2846" s="1">
        <v>1991.0</v>
      </c>
      <c r="K2846" s="1">
        <v>91.0</v>
      </c>
      <c r="L2846" s="1" t="s">
        <v>22</v>
      </c>
      <c r="M2846" s="1" t="s">
        <v>11420</v>
      </c>
      <c r="N2846" s="1" t="s">
        <v>48</v>
      </c>
      <c r="O2846" s="1" t="s">
        <v>35</v>
      </c>
      <c r="P2846" s="1" t="s">
        <v>11421</v>
      </c>
    </row>
    <row r="2847" ht="14.25" customHeight="1">
      <c r="A2847" s="1" t="s">
        <v>11422</v>
      </c>
      <c r="B2847" s="1" t="s">
        <v>11423</v>
      </c>
      <c r="C2847" s="1" t="s">
        <v>29</v>
      </c>
      <c r="D2847" s="1">
        <v>55323.0</v>
      </c>
      <c r="E2847" s="1" t="s">
        <v>19</v>
      </c>
      <c r="F2847" s="1" t="s">
        <v>46</v>
      </c>
      <c r="G2847" s="1" t="s">
        <v>21</v>
      </c>
      <c r="H2847" s="2">
        <v>3023.0</v>
      </c>
      <c r="I2847" s="2">
        <v>3471.0</v>
      </c>
      <c r="J2847" s="1">
        <v>1956.0</v>
      </c>
      <c r="K2847" s="1">
        <v>47.0</v>
      </c>
      <c r="L2847" s="1" t="s">
        <v>32</v>
      </c>
      <c r="M2847" s="1" t="s">
        <v>11424</v>
      </c>
      <c r="N2847" s="1" t="s">
        <v>43</v>
      </c>
      <c r="O2847" s="1" t="s">
        <v>35</v>
      </c>
      <c r="P2847" s="1" t="s">
        <v>11425</v>
      </c>
    </row>
    <row r="2848" ht="14.25" customHeight="1">
      <c r="A2848" s="1" t="s">
        <v>11426</v>
      </c>
      <c r="B2848" s="1" t="s">
        <v>11427</v>
      </c>
      <c r="C2848" s="1" t="s">
        <v>18</v>
      </c>
      <c r="D2848" s="1">
        <v>86089.0</v>
      </c>
      <c r="E2848" s="1" t="s">
        <v>19</v>
      </c>
      <c r="F2848" s="1" t="s">
        <v>46</v>
      </c>
      <c r="G2848" s="1" t="s">
        <v>21</v>
      </c>
      <c r="H2848" s="2">
        <v>2524.0</v>
      </c>
      <c r="I2848" s="2">
        <v>4086.0</v>
      </c>
      <c r="J2848" s="1">
        <v>1964.0</v>
      </c>
      <c r="K2848" s="1">
        <v>61.0</v>
      </c>
      <c r="L2848" s="1" t="s">
        <v>62</v>
      </c>
      <c r="M2848" s="1" t="s">
        <v>11428</v>
      </c>
      <c r="N2848" s="1" t="s">
        <v>48</v>
      </c>
      <c r="O2848" s="1" t="s">
        <v>35</v>
      </c>
      <c r="P2848" s="1" t="s">
        <v>11429</v>
      </c>
    </row>
    <row r="2849" ht="14.25" customHeight="1">
      <c r="A2849" s="1" t="s">
        <v>11430</v>
      </c>
      <c r="B2849" s="1" t="s">
        <v>11431</v>
      </c>
      <c r="C2849" s="1" t="s">
        <v>18</v>
      </c>
      <c r="D2849" s="1">
        <v>78715.0</v>
      </c>
      <c r="E2849" s="1" t="s">
        <v>77</v>
      </c>
      <c r="F2849" s="1" t="s">
        <v>94</v>
      </c>
      <c r="G2849" s="1" t="s">
        <v>55</v>
      </c>
      <c r="H2849" s="2">
        <v>2512.0</v>
      </c>
      <c r="I2849" s="2">
        <v>8836.0</v>
      </c>
      <c r="J2849" s="1">
        <v>1994.0</v>
      </c>
      <c r="K2849" s="1">
        <v>117.0</v>
      </c>
      <c r="L2849" s="1" t="s">
        <v>32</v>
      </c>
      <c r="M2849" s="1" t="s">
        <v>11432</v>
      </c>
      <c r="N2849" s="1" t="s">
        <v>24</v>
      </c>
      <c r="O2849" s="1" t="s">
        <v>49</v>
      </c>
      <c r="P2849" s="1" t="s">
        <v>11433</v>
      </c>
    </row>
    <row r="2850" ht="14.25" customHeight="1">
      <c r="A2850" s="1" t="s">
        <v>11434</v>
      </c>
      <c r="B2850" s="1" t="s">
        <v>11435</v>
      </c>
      <c r="C2850" s="1" t="s">
        <v>39</v>
      </c>
      <c r="D2850" s="1">
        <v>45908.0</v>
      </c>
      <c r="E2850" s="1" t="s">
        <v>77</v>
      </c>
      <c r="F2850" s="1" t="s">
        <v>46</v>
      </c>
      <c r="G2850" s="1" t="s">
        <v>21</v>
      </c>
      <c r="H2850" s="2">
        <v>959.0</v>
      </c>
      <c r="I2850" s="2">
        <v>1951.0</v>
      </c>
      <c r="J2850" s="1">
        <v>1999.0</v>
      </c>
      <c r="K2850" s="1">
        <v>24.0</v>
      </c>
      <c r="L2850" s="1" t="s">
        <v>95</v>
      </c>
      <c r="M2850" s="1" t="s">
        <v>11436</v>
      </c>
      <c r="N2850" s="1" t="s">
        <v>24</v>
      </c>
      <c r="O2850" s="1" t="s">
        <v>49</v>
      </c>
      <c r="P2850" s="1" t="s">
        <v>11437</v>
      </c>
    </row>
    <row r="2851" ht="14.25" customHeight="1">
      <c r="A2851" s="1" t="s">
        <v>11438</v>
      </c>
      <c r="B2851" s="1" t="s">
        <v>11439</v>
      </c>
      <c r="C2851" s="1" t="s">
        <v>29</v>
      </c>
      <c r="D2851" s="1">
        <v>15862.0</v>
      </c>
      <c r="E2851" s="1" t="s">
        <v>19</v>
      </c>
      <c r="F2851" s="1" t="s">
        <v>20</v>
      </c>
      <c r="G2851" s="1" t="s">
        <v>100</v>
      </c>
      <c r="H2851" s="2">
        <v>1570.0</v>
      </c>
      <c r="I2851" s="2">
        <v>5425.0</v>
      </c>
      <c r="J2851" s="1">
        <v>1974.0</v>
      </c>
      <c r="K2851" s="1">
        <v>69.0</v>
      </c>
      <c r="L2851" s="1" t="s">
        <v>22</v>
      </c>
      <c r="M2851" s="1" t="s">
        <v>11440</v>
      </c>
      <c r="N2851" s="1" t="s">
        <v>43</v>
      </c>
      <c r="O2851" s="1" t="s">
        <v>35</v>
      </c>
      <c r="P2851" s="1" t="s">
        <v>11441</v>
      </c>
    </row>
    <row r="2852" ht="14.25" customHeight="1">
      <c r="A2852" s="1" t="s">
        <v>11442</v>
      </c>
      <c r="B2852" s="1" t="s">
        <v>11443</v>
      </c>
      <c r="C2852" s="1" t="s">
        <v>29</v>
      </c>
      <c r="D2852" s="1">
        <v>88057.0</v>
      </c>
      <c r="E2852" s="1" t="s">
        <v>60</v>
      </c>
      <c r="F2852" s="1" t="s">
        <v>61</v>
      </c>
      <c r="G2852" s="1" t="s">
        <v>55</v>
      </c>
      <c r="H2852" s="2">
        <v>775.0</v>
      </c>
      <c r="I2852" s="2">
        <v>8537.0</v>
      </c>
      <c r="J2852" s="1">
        <v>1951.0</v>
      </c>
      <c r="K2852" s="1">
        <v>65.0</v>
      </c>
      <c r="L2852" s="1" t="s">
        <v>22</v>
      </c>
      <c r="M2852" s="1" t="s">
        <v>11444</v>
      </c>
      <c r="N2852" s="1" t="s">
        <v>64</v>
      </c>
      <c r="O2852" s="1" t="s">
        <v>35</v>
      </c>
      <c r="P2852" s="1" t="s">
        <v>11445</v>
      </c>
    </row>
    <row r="2853" ht="14.25" customHeight="1">
      <c r="A2853" s="1" t="s">
        <v>11446</v>
      </c>
      <c r="B2853" s="1" t="s">
        <v>11447</v>
      </c>
      <c r="C2853" s="1" t="s">
        <v>39</v>
      </c>
      <c r="D2853" s="1">
        <v>27961.0</v>
      </c>
      <c r="E2853" s="1" t="s">
        <v>30</v>
      </c>
      <c r="F2853" s="1" t="s">
        <v>20</v>
      </c>
      <c r="G2853" s="1" t="s">
        <v>100</v>
      </c>
      <c r="H2853" s="2">
        <v>2924.0</v>
      </c>
      <c r="I2853" s="2">
        <v>9257.0</v>
      </c>
      <c r="J2853" s="1">
        <v>1955.0</v>
      </c>
      <c r="K2853" s="1">
        <v>85.0</v>
      </c>
      <c r="L2853" s="1" t="s">
        <v>95</v>
      </c>
      <c r="M2853" s="1" t="s">
        <v>11448</v>
      </c>
      <c r="N2853" s="1" t="s">
        <v>24</v>
      </c>
      <c r="O2853" s="1" t="s">
        <v>25</v>
      </c>
      <c r="P2853" s="1" t="s">
        <v>11449</v>
      </c>
    </row>
    <row r="2854" ht="14.25" customHeight="1">
      <c r="A2854" s="1" t="s">
        <v>11450</v>
      </c>
      <c r="B2854" s="1" t="s">
        <v>11451</v>
      </c>
      <c r="C2854" s="1" t="s">
        <v>18</v>
      </c>
      <c r="D2854" s="1">
        <v>97516.0</v>
      </c>
      <c r="E2854" s="1" t="s">
        <v>60</v>
      </c>
      <c r="F2854" s="1" t="s">
        <v>46</v>
      </c>
      <c r="G2854" s="1" t="s">
        <v>31</v>
      </c>
      <c r="H2854" s="2">
        <v>2931.0</v>
      </c>
      <c r="I2854" s="2">
        <v>1413.0</v>
      </c>
      <c r="J2854" s="1">
        <v>1987.0</v>
      </c>
      <c r="K2854" s="1">
        <v>104.0</v>
      </c>
      <c r="L2854" s="1" t="s">
        <v>95</v>
      </c>
      <c r="M2854" s="1" t="s">
        <v>11452</v>
      </c>
      <c r="N2854" s="1" t="s">
        <v>48</v>
      </c>
      <c r="O2854" s="1" t="s">
        <v>35</v>
      </c>
      <c r="P2854" s="1" t="s">
        <v>11453</v>
      </c>
    </row>
    <row r="2855" ht="14.25" customHeight="1">
      <c r="A2855" s="1" t="s">
        <v>11454</v>
      </c>
      <c r="B2855" s="1" t="s">
        <v>11455</v>
      </c>
      <c r="C2855" s="1" t="s">
        <v>53</v>
      </c>
      <c r="D2855" s="1">
        <v>35740.0</v>
      </c>
      <c r="E2855" s="1" t="s">
        <v>60</v>
      </c>
      <c r="F2855" s="1" t="s">
        <v>20</v>
      </c>
      <c r="G2855" s="1" t="s">
        <v>21</v>
      </c>
      <c r="H2855" s="2">
        <v>2492.0</v>
      </c>
      <c r="I2855" s="2">
        <v>7676.0</v>
      </c>
      <c r="J2855" s="1">
        <v>1972.0</v>
      </c>
      <c r="K2855" s="1">
        <v>43.0</v>
      </c>
      <c r="L2855" s="1" t="s">
        <v>22</v>
      </c>
      <c r="M2855" s="1" t="s">
        <v>11456</v>
      </c>
      <c r="N2855" s="1" t="s">
        <v>24</v>
      </c>
      <c r="O2855" s="1" t="s">
        <v>35</v>
      </c>
      <c r="P2855" s="1" t="s">
        <v>11457</v>
      </c>
    </row>
    <row r="2856" ht="14.25" customHeight="1">
      <c r="A2856" s="1" t="s">
        <v>11458</v>
      </c>
      <c r="B2856" s="1" t="s">
        <v>11459</v>
      </c>
      <c r="C2856" s="1" t="s">
        <v>18</v>
      </c>
      <c r="D2856" s="1">
        <v>59765.0</v>
      </c>
      <c r="E2856" s="1" t="s">
        <v>40</v>
      </c>
      <c r="F2856" s="1" t="s">
        <v>61</v>
      </c>
      <c r="G2856" s="1" t="s">
        <v>55</v>
      </c>
      <c r="H2856" s="2">
        <v>2870.0</v>
      </c>
      <c r="I2856" s="2">
        <v>6714.0</v>
      </c>
      <c r="J2856" s="1">
        <v>2014.0</v>
      </c>
      <c r="K2856" s="1">
        <v>31.0</v>
      </c>
      <c r="L2856" s="1" t="s">
        <v>141</v>
      </c>
      <c r="M2856" s="1" t="s">
        <v>11460</v>
      </c>
      <c r="N2856" s="1" t="s">
        <v>64</v>
      </c>
      <c r="O2856" s="1" t="s">
        <v>35</v>
      </c>
      <c r="P2856" s="1" t="s">
        <v>11461</v>
      </c>
    </row>
    <row r="2857" ht="14.25" customHeight="1">
      <c r="A2857" s="1" t="s">
        <v>11462</v>
      </c>
      <c r="B2857" s="1" t="s">
        <v>11463</v>
      </c>
      <c r="C2857" s="1" t="s">
        <v>18</v>
      </c>
      <c r="D2857" s="1">
        <v>16266.0</v>
      </c>
      <c r="E2857" s="1" t="s">
        <v>19</v>
      </c>
      <c r="F2857" s="1" t="s">
        <v>46</v>
      </c>
      <c r="G2857" s="1" t="s">
        <v>100</v>
      </c>
      <c r="H2857" s="2">
        <v>2229.0</v>
      </c>
      <c r="I2857" s="2">
        <v>7397.0</v>
      </c>
      <c r="J2857" s="1">
        <v>1978.0</v>
      </c>
      <c r="K2857" s="1">
        <v>93.0</v>
      </c>
      <c r="L2857" s="1" t="s">
        <v>22</v>
      </c>
      <c r="M2857" s="1" t="s">
        <v>11464</v>
      </c>
      <c r="N2857" s="1" t="s">
        <v>64</v>
      </c>
      <c r="O2857" s="1" t="s">
        <v>49</v>
      </c>
      <c r="P2857" s="1" t="s">
        <v>11465</v>
      </c>
    </row>
    <row r="2858" ht="14.25" customHeight="1">
      <c r="A2858" s="1" t="s">
        <v>11466</v>
      </c>
      <c r="B2858" s="1" t="s">
        <v>11467</v>
      </c>
      <c r="C2858" s="1" t="s">
        <v>76</v>
      </c>
      <c r="D2858" s="1">
        <v>70948.0</v>
      </c>
      <c r="E2858" s="1" t="s">
        <v>19</v>
      </c>
      <c r="F2858" s="1" t="s">
        <v>61</v>
      </c>
      <c r="G2858" s="1" t="s">
        <v>100</v>
      </c>
      <c r="H2858" s="2">
        <v>1915.0</v>
      </c>
      <c r="I2858" s="2">
        <v>3261.0</v>
      </c>
      <c r="J2858" s="1">
        <v>2016.0</v>
      </c>
      <c r="K2858" s="1">
        <v>5.0</v>
      </c>
      <c r="L2858" s="1" t="s">
        <v>95</v>
      </c>
      <c r="M2858" s="1" t="s">
        <v>11468</v>
      </c>
      <c r="N2858" s="1" t="s">
        <v>34</v>
      </c>
      <c r="O2858" s="1" t="s">
        <v>49</v>
      </c>
      <c r="P2858" s="1" t="s">
        <v>11469</v>
      </c>
    </row>
    <row r="2859" ht="14.25" customHeight="1">
      <c r="A2859" s="1" t="s">
        <v>11470</v>
      </c>
      <c r="B2859" s="1" t="s">
        <v>11471</v>
      </c>
      <c r="C2859" s="1" t="s">
        <v>39</v>
      </c>
      <c r="D2859" s="1">
        <v>37474.0</v>
      </c>
      <c r="E2859" s="1" t="s">
        <v>19</v>
      </c>
      <c r="F2859" s="1" t="s">
        <v>61</v>
      </c>
      <c r="G2859" s="1" t="s">
        <v>31</v>
      </c>
      <c r="H2859" s="2">
        <v>2802.0</v>
      </c>
      <c r="I2859" s="2">
        <v>3713.0</v>
      </c>
      <c r="J2859" s="1">
        <v>1959.0</v>
      </c>
      <c r="K2859" s="1">
        <v>70.0</v>
      </c>
      <c r="L2859" s="1" t="s">
        <v>141</v>
      </c>
      <c r="M2859" s="1" t="s">
        <v>11472</v>
      </c>
      <c r="N2859" s="1" t="s">
        <v>34</v>
      </c>
      <c r="O2859" s="1" t="s">
        <v>35</v>
      </c>
      <c r="P2859" s="1" t="s">
        <v>11473</v>
      </c>
    </row>
    <row r="2860" ht="14.25" customHeight="1">
      <c r="A2860" s="1" t="s">
        <v>11474</v>
      </c>
      <c r="B2860" s="1" t="s">
        <v>11475</v>
      </c>
      <c r="C2860" s="1" t="s">
        <v>18</v>
      </c>
      <c r="D2860" s="1">
        <v>33017.0</v>
      </c>
      <c r="E2860" s="1" t="s">
        <v>19</v>
      </c>
      <c r="F2860" s="1" t="s">
        <v>61</v>
      </c>
      <c r="G2860" s="1" t="s">
        <v>21</v>
      </c>
      <c r="H2860" s="2">
        <v>1842.0</v>
      </c>
      <c r="I2860" s="2">
        <v>4963.0</v>
      </c>
      <c r="J2860" s="1">
        <v>1972.0</v>
      </c>
      <c r="K2860" s="1">
        <v>106.0</v>
      </c>
      <c r="L2860" s="1" t="s">
        <v>22</v>
      </c>
      <c r="M2860" s="1" t="s">
        <v>11476</v>
      </c>
      <c r="N2860" s="1" t="s">
        <v>64</v>
      </c>
      <c r="O2860" s="1" t="s">
        <v>49</v>
      </c>
      <c r="P2860" s="1" t="s">
        <v>11477</v>
      </c>
    </row>
    <row r="2861" ht="14.25" customHeight="1">
      <c r="A2861" s="1" t="s">
        <v>11478</v>
      </c>
      <c r="B2861" s="1" t="s">
        <v>11479</v>
      </c>
      <c r="C2861" s="1" t="s">
        <v>18</v>
      </c>
      <c r="D2861" s="1">
        <v>84715.0</v>
      </c>
      <c r="E2861" s="1" t="s">
        <v>60</v>
      </c>
      <c r="F2861" s="1" t="s">
        <v>41</v>
      </c>
      <c r="G2861" s="1" t="s">
        <v>31</v>
      </c>
      <c r="H2861" s="2">
        <v>1974.0</v>
      </c>
      <c r="I2861" s="2">
        <v>2012.0</v>
      </c>
      <c r="J2861" s="1">
        <v>1955.0</v>
      </c>
      <c r="K2861" s="1">
        <v>53.0</v>
      </c>
      <c r="L2861" s="1" t="s">
        <v>62</v>
      </c>
      <c r="M2861" s="1" t="s">
        <v>11480</v>
      </c>
      <c r="N2861" s="1" t="s">
        <v>34</v>
      </c>
      <c r="O2861" s="1" t="s">
        <v>25</v>
      </c>
      <c r="P2861" s="1" t="s">
        <v>11481</v>
      </c>
    </row>
    <row r="2862" ht="14.25" customHeight="1">
      <c r="A2862" s="1" t="s">
        <v>11482</v>
      </c>
      <c r="B2862" s="1" t="s">
        <v>11483</v>
      </c>
      <c r="C2862" s="1" t="s">
        <v>53</v>
      </c>
      <c r="D2862" s="1">
        <v>64025.0</v>
      </c>
      <c r="E2862" s="1" t="s">
        <v>40</v>
      </c>
      <c r="F2862" s="1" t="s">
        <v>46</v>
      </c>
      <c r="G2862" s="1" t="s">
        <v>31</v>
      </c>
      <c r="H2862" s="2">
        <v>3109.0</v>
      </c>
      <c r="I2862" s="2">
        <v>8090.0</v>
      </c>
      <c r="J2862" s="1">
        <v>1959.0</v>
      </c>
      <c r="K2862" s="1">
        <v>50.0</v>
      </c>
      <c r="L2862" s="1" t="s">
        <v>22</v>
      </c>
      <c r="M2862" s="1" t="s">
        <v>11484</v>
      </c>
      <c r="N2862" s="1" t="s">
        <v>43</v>
      </c>
      <c r="O2862" s="1" t="s">
        <v>25</v>
      </c>
      <c r="P2862" s="1" t="s">
        <v>11485</v>
      </c>
    </row>
    <row r="2863" ht="14.25" customHeight="1">
      <c r="A2863" s="1" t="s">
        <v>11486</v>
      </c>
      <c r="B2863" s="1" t="s">
        <v>11487</v>
      </c>
      <c r="C2863" s="1" t="s">
        <v>76</v>
      </c>
      <c r="D2863" s="1">
        <v>44229.0</v>
      </c>
      <c r="E2863" s="1" t="s">
        <v>30</v>
      </c>
      <c r="F2863" s="1" t="s">
        <v>41</v>
      </c>
      <c r="G2863" s="1" t="s">
        <v>31</v>
      </c>
      <c r="H2863" s="2">
        <v>3455.0</v>
      </c>
      <c r="I2863" s="2">
        <v>4838.0</v>
      </c>
      <c r="J2863" s="1">
        <v>2020.0</v>
      </c>
      <c r="K2863" s="1">
        <v>19.0</v>
      </c>
      <c r="L2863" s="1" t="s">
        <v>62</v>
      </c>
      <c r="M2863" s="1" t="s">
        <v>11488</v>
      </c>
      <c r="N2863" s="1" t="s">
        <v>43</v>
      </c>
      <c r="O2863" s="1" t="s">
        <v>25</v>
      </c>
      <c r="P2863" s="1" t="s">
        <v>11489</v>
      </c>
    </row>
    <row r="2864" ht="14.25" customHeight="1">
      <c r="A2864" s="1" t="s">
        <v>11490</v>
      </c>
      <c r="B2864" s="1" t="s">
        <v>11491</v>
      </c>
      <c r="C2864" s="1" t="s">
        <v>39</v>
      </c>
      <c r="D2864" s="1">
        <v>84786.0</v>
      </c>
      <c r="E2864" s="1" t="s">
        <v>19</v>
      </c>
      <c r="F2864" s="1" t="s">
        <v>46</v>
      </c>
      <c r="G2864" s="1" t="s">
        <v>100</v>
      </c>
      <c r="H2864" s="2">
        <v>3355.0</v>
      </c>
      <c r="I2864" s="2">
        <v>2997.0</v>
      </c>
      <c r="J2864" s="1">
        <v>2018.0</v>
      </c>
      <c r="K2864" s="1">
        <v>43.0</v>
      </c>
      <c r="L2864" s="1" t="s">
        <v>62</v>
      </c>
      <c r="M2864" s="1" t="s">
        <v>11492</v>
      </c>
      <c r="N2864" s="1" t="s">
        <v>64</v>
      </c>
      <c r="O2864" s="1" t="s">
        <v>35</v>
      </c>
      <c r="P2864" s="1" t="s">
        <v>11493</v>
      </c>
    </row>
    <row r="2865" ht="14.25" customHeight="1">
      <c r="A2865" s="1" t="s">
        <v>11494</v>
      </c>
      <c r="B2865" s="1" t="s">
        <v>11495</v>
      </c>
      <c r="C2865" s="1" t="s">
        <v>39</v>
      </c>
      <c r="D2865" s="1">
        <v>76941.0</v>
      </c>
      <c r="E2865" s="1" t="s">
        <v>60</v>
      </c>
      <c r="F2865" s="1" t="s">
        <v>41</v>
      </c>
      <c r="G2865" s="1" t="s">
        <v>21</v>
      </c>
      <c r="H2865" s="2">
        <v>3734.0</v>
      </c>
      <c r="I2865" s="2">
        <v>4083.0</v>
      </c>
      <c r="J2865" s="1">
        <v>1978.0</v>
      </c>
      <c r="K2865" s="1">
        <v>22.0</v>
      </c>
      <c r="L2865" s="1" t="s">
        <v>32</v>
      </c>
      <c r="M2865" s="1" t="s">
        <v>11496</v>
      </c>
      <c r="N2865" s="1" t="s">
        <v>24</v>
      </c>
      <c r="O2865" s="1" t="s">
        <v>35</v>
      </c>
      <c r="P2865" s="1" t="s">
        <v>11497</v>
      </c>
    </row>
    <row r="2866" ht="14.25" customHeight="1">
      <c r="A2866" s="1" t="s">
        <v>11498</v>
      </c>
      <c r="B2866" s="1" t="s">
        <v>11499</v>
      </c>
      <c r="C2866" s="1" t="s">
        <v>18</v>
      </c>
      <c r="D2866" s="1">
        <v>46459.0</v>
      </c>
      <c r="E2866" s="1" t="s">
        <v>77</v>
      </c>
      <c r="F2866" s="1" t="s">
        <v>61</v>
      </c>
      <c r="G2866" s="1" t="s">
        <v>55</v>
      </c>
      <c r="H2866" s="2">
        <v>2221.0</v>
      </c>
      <c r="I2866" s="2">
        <v>4196.0</v>
      </c>
      <c r="J2866" s="1">
        <v>1982.0</v>
      </c>
      <c r="K2866" s="1">
        <v>25.0</v>
      </c>
      <c r="L2866" s="1" t="s">
        <v>62</v>
      </c>
      <c r="M2866" s="1" t="s">
        <v>11500</v>
      </c>
      <c r="N2866" s="1" t="s">
        <v>34</v>
      </c>
      <c r="O2866" s="1" t="s">
        <v>49</v>
      </c>
      <c r="P2866" s="1" t="s">
        <v>11501</v>
      </c>
    </row>
    <row r="2867" ht="14.25" customHeight="1">
      <c r="A2867" s="1" t="s">
        <v>11502</v>
      </c>
      <c r="B2867" s="1" t="s">
        <v>11503</v>
      </c>
      <c r="C2867" s="1" t="s">
        <v>29</v>
      </c>
      <c r="D2867" s="1">
        <v>77711.0</v>
      </c>
      <c r="E2867" s="1" t="s">
        <v>77</v>
      </c>
      <c r="F2867" s="1" t="s">
        <v>61</v>
      </c>
      <c r="G2867" s="1" t="s">
        <v>31</v>
      </c>
      <c r="H2867" s="2">
        <v>2219.0</v>
      </c>
      <c r="I2867" s="2">
        <v>5893.0</v>
      </c>
      <c r="J2867" s="1">
        <v>2001.0</v>
      </c>
      <c r="K2867" s="1">
        <v>106.0</v>
      </c>
      <c r="L2867" s="1" t="s">
        <v>32</v>
      </c>
      <c r="M2867" s="1" t="s">
        <v>11504</v>
      </c>
      <c r="N2867" s="1" t="s">
        <v>43</v>
      </c>
      <c r="O2867" s="1" t="s">
        <v>25</v>
      </c>
      <c r="P2867" s="1" t="s">
        <v>11505</v>
      </c>
    </row>
    <row r="2868" ht="14.25" customHeight="1">
      <c r="A2868" s="1" t="s">
        <v>11506</v>
      </c>
      <c r="B2868" s="1" t="s">
        <v>11507</v>
      </c>
      <c r="C2868" s="1" t="s">
        <v>29</v>
      </c>
      <c r="D2868" s="1">
        <v>58762.0</v>
      </c>
      <c r="E2868" s="1" t="s">
        <v>19</v>
      </c>
      <c r="F2868" s="1" t="s">
        <v>54</v>
      </c>
      <c r="G2868" s="1" t="s">
        <v>55</v>
      </c>
      <c r="H2868" s="2">
        <v>3588.0</v>
      </c>
      <c r="I2868" s="2">
        <v>6433.0</v>
      </c>
      <c r="J2868" s="1">
        <v>2008.0</v>
      </c>
      <c r="K2868" s="1">
        <v>64.0</v>
      </c>
      <c r="L2868" s="1" t="s">
        <v>141</v>
      </c>
      <c r="M2868" s="1" t="s">
        <v>11508</v>
      </c>
      <c r="N2868" s="1" t="s">
        <v>43</v>
      </c>
      <c r="O2868" s="1" t="s">
        <v>25</v>
      </c>
      <c r="P2868" s="1" t="s">
        <v>11509</v>
      </c>
    </row>
    <row r="2869" ht="14.25" customHeight="1">
      <c r="A2869" s="1" t="s">
        <v>11510</v>
      </c>
      <c r="B2869" s="1" t="s">
        <v>11511</v>
      </c>
      <c r="C2869" s="1" t="s">
        <v>29</v>
      </c>
      <c r="D2869" s="1">
        <v>63709.0</v>
      </c>
      <c r="E2869" s="1" t="s">
        <v>40</v>
      </c>
      <c r="F2869" s="1" t="s">
        <v>54</v>
      </c>
      <c r="G2869" s="1" t="s">
        <v>21</v>
      </c>
      <c r="H2869" s="2">
        <v>2897.0</v>
      </c>
      <c r="I2869" s="2">
        <v>4271.0</v>
      </c>
      <c r="J2869" s="1">
        <v>1953.0</v>
      </c>
      <c r="K2869" s="1">
        <v>7.0</v>
      </c>
      <c r="L2869" s="1" t="s">
        <v>62</v>
      </c>
      <c r="M2869" s="1" t="s">
        <v>11512</v>
      </c>
      <c r="N2869" s="1" t="s">
        <v>43</v>
      </c>
      <c r="O2869" s="1" t="s">
        <v>49</v>
      </c>
      <c r="P2869" s="1" t="s">
        <v>11513</v>
      </c>
    </row>
    <row r="2870" ht="14.25" customHeight="1">
      <c r="A2870" s="1" t="s">
        <v>11514</v>
      </c>
      <c r="B2870" s="1" t="s">
        <v>11515</v>
      </c>
      <c r="C2870" s="1" t="s">
        <v>76</v>
      </c>
      <c r="D2870" s="1">
        <v>68029.0</v>
      </c>
      <c r="E2870" s="1" t="s">
        <v>40</v>
      </c>
      <c r="F2870" s="1" t="s">
        <v>46</v>
      </c>
      <c r="G2870" s="1" t="s">
        <v>21</v>
      </c>
      <c r="H2870" s="2">
        <v>2594.0</v>
      </c>
      <c r="I2870" s="2">
        <v>4987.0</v>
      </c>
      <c r="J2870" s="1">
        <v>1980.0</v>
      </c>
      <c r="K2870" s="1">
        <v>11.0</v>
      </c>
      <c r="L2870" s="1" t="s">
        <v>22</v>
      </c>
      <c r="M2870" s="1" t="s">
        <v>11516</v>
      </c>
      <c r="N2870" s="1" t="s">
        <v>48</v>
      </c>
      <c r="O2870" s="1" t="s">
        <v>25</v>
      </c>
      <c r="P2870" s="1" t="s">
        <v>11517</v>
      </c>
    </row>
    <row r="2871" ht="14.25" customHeight="1">
      <c r="A2871" s="1" t="s">
        <v>11518</v>
      </c>
      <c r="B2871" s="1" t="s">
        <v>11519</v>
      </c>
      <c r="C2871" s="1" t="s">
        <v>53</v>
      </c>
      <c r="D2871" s="1">
        <v>81118.0</v>
      </c>
      <c r="E2871" s="1" t="s">
        <v>60</v>
      </c>
      <c r="F2871" s="1" t="s">
        <v>61</v>
      </c>
      <c r="G2871" s="1" t="s">
        <v>31</v>
      </c>
      <c r="H2871" s="2">
        <v>3700.0</v>
      </c>
      <c r="I2871" s="2">
        <v>4457.0</v>
      </c>
      <c r="J2871" s="1">
        <v>1965.0</v>
      </c>
      <c r="K2871" s="1">
        <v>8.0</v>
      </c>
      <c r="L2871" s="1" t="s">
        <v>95</v>
      </c>
      <c r="M2871" s="1" t="s">
        <v>11520</v>
      </c>
      <c r="N2871" s="1" t="s">
        <v>43</v>
      </c>
      <c r="O2871" s="1" t="s">
        <v>25</v>
      </c>
      <c r="P2871" s="1" t="s">
        <v>11521</v>
      </c>
    </row>
    <row r="2872" ht="14.25" customHeight="1">
      <c r="A2872" s="1" t="s">
        <v>11522</v>
      </c>
      <c r="B2872" s="1" t="s">
        <v>11523</v>
      </c>
      <c r="C2872" s="1" t="s">
        <v>18</v>
      </c>
      <c r="D2872" s="1">
        <v>70204.0</v>
      </c>
      <c r="E2872" s="1" t="s">
        <v>30</v>
      </c>
      <c r="F2872" s="1" t="s">
        <v>61</v>
      </c>
      <c r="G2872" s="1" t="s">
        <v>21</v>
      </c>
      <c r="H2872" s="2">
        <v>1731.0</v>
      </c>
      <c r="I2872" s="2">
        <v>4797.0</v>
      </c>
      <c r="J2872" s="1">
        <v>1996.0</v>
      </c>
      <c r="K2872" s="1">
        <v>24.0</v>
      </c>
      <c r="L2872" s="1" t="s">
        <v>141</v>
      </c>
      <c r="M2872" s="1" t="s">
        <v>11524</v>
      </c>
      <c r="N2872" s="1" t="s">
        <v>24</v>
      </c>
      <c r="O2872" s="1" t="s">
        <v>49</v>
      </c>
      <c r="P2872" s="1" t="s">
        <v>11525</v>
      </c>
    </row>
    <row r="2873" ht="14.25" customHeight="1">
      <c r="A2873" s="1" t="s">
        <v>11526</v>
      </c>
      <c r="B2873" s="1" t="s">
        <v>11527</v>
      </c>
      <c r="C2873" s="1" t="s">
        <v>18</v>
      </c>
      <c r="D2873" s="1">
        <v>61819.0</v>
      </c>
      <c r="E2873" s="1" t="s">
        <v>60</v>
      </c>
      <c r="F2873" s="1" t="s">
        <v>20</v>
      </c>
      <c r="G2873" s="1" t="s">
        <v>21</v>
      </c>
      <c r="H2873" s="2">
        <v>2655.0</v>
      </c>
      <c r="I2873" s="2">
        <v>1827.0</v>
      </c>
      <c r="J2873" s="1">
        <v>2014.0</v>
      </c>
      <c r="K2873" s="1">
        <v>113.0</v>
      </c>
      <c r="L2873" s="1" t="s">
        <v>62</v>
      </c>
      <c r="M2873" s="1" t="s">
        <v>11528</v>
      </c>
      <c r="N2873" s="1" t="s">
        <v>64</v>
      </c>
      <c r="O2873" s="1" t="s">
        <v>35</v>
      </c>
      <c r="P2873" s="1" t="s">
        <v>11529</v>
      </c>
    </row>
    <row r="2874" ht="14.25" customHeight="1">
      <c r="A2874" s="1" t="s">
        <v>11530</v>
      </c>
      <c r="B2874" s="1" t="s">
        <v>11531</v>
      </c>
      <c r="C2874" s="1" t="s">
        <v>39</v>
      </c>
      <c r="D2874" s="1">
        <v>57772.0</v>
      </c>
      <c r="E2874" s="1" t="s">
        <v>60</v>
      </c>
      <c r="F2874" s="1" t="s">
        <v>41</v>
      </c>
      <c r="G2874" s="1" t="s">
        <v>100</v>
      </c>
      <c r="H2874" s="2">
        <v>2393.0</v>
      </c>
      <c r="I2874" s="2">
        <v>3233.0</v>
      </c>
      <c r="J2874" s="1">
        <v>2000.0</v>
      </c>
      <c r="K2874" s="1">
        <v>93.0</v>
      </c>
      <c r="L2874" s="1" t="s">
        <v>95</v>
      </c>
      <c r="M2874" s="1" t="s">
        <v>11532</v>
      </c>
      <c r="N2874" s="1" t="s">
        <v>34</v>
      </c>
      <c r="O2874" s="1" t="s">
        <v>35</v>
      </c>
      <c r="P2874" s="1" t="s">
        <v>11533</v>
      </c>
    </row>
    <row r="2875" ht="14.25" customHeight="1">
      <c r="A2875" s="1" t="s">
        <v>11534</v>
      </c>
      <c r="B2875" s="1" t="s">
        <v>11535</v>
      </c>
      <c r="C2875" s="1" t="s">
        <v>53</v>
      </c>
      <c r="D2875" s="1">
        <v>52466.0</v>
      </c>
      <c r="E2875" s="1" t="s">
        <v>77</v>
      </c>
      <c r="F2875" s="1" t="s">
        <v>20</v>
      </c>
      <c r="G2875" s="1" t="s">
        <v>21</v>
      </c>
      <c r="H2875" s="2">
        <v>3431.0</v>
      </c>
      <c r="I2875" s="2">
        <v>2225.0</v>
      </c>
      <c r="J2875" s="1">
        <v>1975.0</v>
      </c>
      <c r="K2875" s="1">
        <v>26.0</v>
      </c>
      <c r="L2875" s="1" t="s">
        <v>32</v>
      </c>
      <c r="M2875" s="1" t="s">
        <v>11536</v>
      </c>
      <c r="N2875" s="1" t="s">
        <v>48</v>
      </c>
      <c r="O2875" s="1" t="s">
        <v>49</v>
      </c>
      <c r="P2875" s="1" t="s">
        <v>11537</v>
      </c>
    </row>
    <row r="2876" ht="14.25" customHeight="1">
      <c r="A2876" s="1" t="s">
        <v>11538</v>
      </c>
      <c r="B2876" s="1" t="s">
        <v>11539</v>
      </c>
      <c r="C2876" s="1" t="s">
        <v>29</v>
      </c>
      <c r="D2876" s="1">
        <v>30783.0</v>
      </c>
      <c r="E2876" s="1" t="s">
        <v>40</v>
      </c>
      <c r="F2876" s="1" t="s">
        <v>46</v>
      </c>
      <c r="G2876" s="1" t="s">
        <v>21</v>
      </c>
      <c r="H2876" s="2">
        <v>1184.0</v>
      </c>
      <c r="I2876" s="2">
        <v>8726.0</v>
      </c>
      <c r="J2876" s="1">
        <v>2000.0</v>
      </c>
      <c r="K2876" s="1">
        <v>14.0</v>
      </c>
      <c r="L2876" s="1" t="s">
        <v>22</v>
      </c>
      <c r="M2876" s="1" t="s">
        <v>11540</v>
      </c>
      <c r="N2876" s="1" t="s">
        <v>34</v>
      </c>
      <c r="O2876" s="1" t="s">
        <v>35</v>
      </c>
      <c r="P2876" s="1" t="s">
        <v>11541</v>
      </c>
    </row>
    <row r="2877" ht="14.25" customHeight="1">
      <c r="A2877" s="1" t="s">
        <v>11542</v>
      </c>
      <c r="B2877" s="1" t="s">
        <v>11543</v>
      </c>
      <c r="C2877" s="1" t="s">
        <v>76</v>
      </c>
      <c r="D2877" s="1">
        <v>21351.0</v>
      </c>
      <c r="E2877" s="1" t="s">
        <v>40</v>
      </c>
      <c r="F2877" s="1" t="s">
        <v>61</v>
      </c>
      <c r="G2877" s="1" t="s">
        <v>55</v>
      </c>
      <c r="H2877" s="2">
        <v>3567.0</v>
      </c>
      <c r="I2877" s="2">
        <v>3625.0</v>
      </c>
      <c r="J2877" s="1">
        <v>2016.0</v>
      </c>
      <c r="K2877" s="1">
        <v>1.0</v>
      </c>
      <c r="L2877" s="1" t="s">
        <v>32</v>
      </c>
      <c r="M2877" s="1" t="s">
        <v>11544</v>
      </c>
      <c r="N2877" s="1" t="s">
        <v>34</v>
      </c>
      <c r="O2877" s="1" t="s">
        <v>49</v>
      </c>
      <c r="P2877" s="1" t="s">
        <v>11545</v>
      </c>
    </row>
    <row r="2878" ht="14.25" customHeight="1">
      <c r="A2878" s="1" t="s">
        <v>11546</v>
      </c>
      <c r="B2878" s="1" t="s">
        <v>11547</v>
      </c>
      <c r="C2878" s="1" t="s">
        <v>29</v>
      </c>
      <c r="D2878" s="1">
        <v>14777.0</v>
      </c>
      <c r="E2878" s="1" t="s">
        <v>77</v>
      </c>
      <c r="F2878" s="1" t="s">
        <v>94</v>
      </c>
      <c r="G2878" s="1" t="s">
        <v>100</v>
      </c>
      <c r="H2878" s="2">
        <v>3012.0</v>
      </c>
      <c r="I2878" s="2">
        <v>3101.0</v>
      </c>
      <c r="J2878" s="1">
        <v>1983.0</v>
      </c>
      <c r="K2878" s="1">
        <v>110.0</v>
      </c>
      <c r="L2878" s="1" t="s">
        <v>62</v>
      </c>
      <c r="M2878" s="1" t="s">
        <v>11548</v>
      </c>
      <c r="N2878" s="1" t="s">
        <v>48</v>
      </c>
      <c r="O2878" s="1" t="s">
        <v>35</v>
      </c>
      <c r="P2878" s="1" t="s">
        <v>11549</v>
      </c>
    </row>
    <row r="2879" ht="14.25" customHeight="1">
      <c r="A2879" s="1" t="s">
        <v>11550</v>
      </c>
      <c r="B2879" s="1" t="s">
        <v>11551</v>
      </c>
      <c r="C2879" s="1" t="s">
        <v>18</v>
      </c>
      <c r="D2879" s="1">
        <v>42663.0</v>
      </c>
      <c r="E2879" s="1" t="s">
        <v>19</v>
      </c>
      <c r="F2879" s="1" t="s">
        <v>20</v>
      </c>
      <c r="G2879" s="1" t="s">
        <v>21</v>
      </c>
      <c r="H2879" s="2">
        <v>2089.0</v>
      </c>
      <c r="I2879" s="2">
        <v>2049.0</v>
      </c>
      <c r="J2879" s="1">
        <v>1960.0</v>
      </c>
      <c r="K2879" s="1">
        <v>70.0</v>
      </c>
      <c r="L2879" s="1" t="s">
        <v>32</v>
      </c>
      <c r="M2879" s="1" t="s">
        <v>11552</v>
      </c>
      <c r="N2879" s="1" t="s">
        <v>64</v>
      </c>
      <c r="O2879" s="1" t="s">
        <v>49</v>
      </c>
      <c r="P2879" s="1" t="s">
        <v>11553</v>
      </c>
    </row>
    <row r="2880" ht="14.25" customHeight="1">
      <c r="A2880" s="1" t="s">
        <v>11554</v>
      </c>
      <c r="B2880" s="1" t="s">
        <v>11555</v>
      </c>
      <c r="C2880" s="1" t="s">
        <v>18</v>
      </c>
      <c r="D2880" s="1">
        <v>76522.0</v>
      </c>
      <c r="E2880" s="1" t="s">
        <v>77</v>
      </c>
      <c r="F2880" s="1" t="s">
        <v>20</v>
      </c>
      <c r="G2880" s="1" t="s">
        <v>31</v>
      </c>
      <c r="H2880" s="2">
        <v>2855.0</v>
      </c>
      <c r="I2880" s="2">
        <v>8809.0</v>
      </c>
      <c r="J2880" s="1">
        <v>1971.0</v>
      </c>
      <c r="K2880" s="1">
        <v>54.0</v>
      </c>
      <c r="L2880" s="1" t="s">
        <v>95</v>
      </c>
      <c r="M2880" s="1" t="s">
        <v>11556</v>
      </c>
      <c r="N2880" s="1" t="s">
        <v>48</v>
      </c>
      <c r="O2880" s="1" t="s">
        <v>35</v>
      </c>
      <c r="P2880" s="1" t="s">
        <v>11557</v>
      </c>
    </row>
    <row r="2881" ht="14.25" customHeight="1">
      <c r="A2881" s="1" t="s">
        <v>11558</v>
      </c>
      <c r="B2881" s="1" t="s">
        <v>11559</v>
      </c>
      <c r="C2881" s="1" t="s">
        <v>39</v>
      </c>
      <c r="D2881" s="1">
        <v>20843.0</v>
      </c>
      <c r="E2881" s="1" t="s">
        <v>19</v>
      </c>
      <c r="F2881" s="1" t="s">
        <v>41</v>
      </c>
      <c r="G2881" s="1" t="s">
        <v>100</v>
      </c>
      <c r="H2881" s="2">
        <v>2022.0</v>
      </c>
      <c r="I2881" s="2">
        <v>9339.0</v>
      </c>
      <c r="J2881" s="1">
        <v>1965.0</v>
      </c>
      <c r="K2881" s="1">
        <v>22.0</v>
      </c>
      <c r="L2881" s="1" t="s">
        <v>32</v>
      </c>
      <c r="M2881" s="1" t="s">
        <v>11560</v>
      </c>
      <c r="N2881" s="1" t="s">
        <v>64</v>
      </c>
      <c r="O2881" s="1" t="s">
        <v>49</v>
      </c>
      <c r="P2881" s="1" t="s">
        <v>11561</v>
      </c>
    </row>
    <row r="2882" ht="14.25" customHeight="1">
      <c r="A2882" s="1" t="s">
        <v>11562</v>
      </c>
      <c r="B2882" s="1" t="s">
        <v>11563</v>
      </c>
      <c r="C2882" s="1" t="s">
        <v>53</v>
      </c>
      <c r="D2882" s="1">
        <v>27616.0</v>
      </c>
      <c r="E2882" s="1" t="s">
        <v>77</v>
      </c>
      <c r="F2882" s="1" t="s">
        <v>46</v>
      </c>
      <c r="G2882" s="1" t="s">
        <v>55</v>
      </c>
      <c r="H2882" s="2">
        <v>2258.0</v>
      </c>
      <c r="I2882" s="2">
        <v>8248.0</v>
      </c>
      <c r="J2882" s="1">
        <v>1994.0</v>
      </c>
      <c r="K2882" s="1">
        <v>32.0</v>
      </c>
      <c r="L2882" s="1" t="s">
        <v>141</v>
      </c>
      <c r="M2882" s="1" t="s">
        <v>11564</v>
      </c>
      <c r="N2882" s="1" t="s">
        <v>48</v>
      </c>
      <c r="O2882" s="1" t="s">
        <v>49</v>
      </c>
      <c r="P2882" s="1" t="s">
        <v>11565</v>
      </c>
    </row>
    <row r="2883" ht="14.25" customHeight="1">
      <c r="A2883" s="1" t="s">
        <v>11566</v>
      </c>
      <c r="B2883" s="1" t="s">
        <v>11567</v>
      </c>
      <c r="C2883" s="1" t="s">
        <v>18</v>
      </c>
      <c r="D2883" s="1">
        <v>49096.0</v>
      </c>
      <c r="E2883" s="1" t="s">
        <v>30</v>
      </c>
      <c r="F2883" s="1" t="s">
        <v>20</v>
      </c>
      <c r="G2883" s="1" t="s">
        <v>100</v>
      </c>
      <c r="H2883" s="2">
        <v>3455.0</v>
      </c>
      <c r="I2883" s="2">
        <v>6805.0</v>
      </c>
      <c r="J2883" s="1">
        <v>1982.0</v>
      </c>
      <c r="K2883" s="1">
        <v>3.0</v>
      </c>
      <c r="L2883" s="1" t="s">
        <v>32</v>
      </c>
      <c r="M2883" s="1" t="s">
        <v>11568</v>
      </c>
      <c r="N2883" s="1" t="s">
        <v>64</v>
      </c>
      <c r="O2883" s="1" t="s">
        <v>35</v>
      </c>
      <c r="P2883" s="1" t="s">
        <v>11569</v>
      </c>
    </row>
    <row r="2884" ht="14.25" customHeight="1">
      <c r="A2884" s="1" t="s">
        <v>11570</v>
      </c>
      <c r="B2884" s="1" t="s">
        <v>11571</v>
      </c>
      <c r="C2884" s="1" t="s">
        <v>76</v>
      </c>
      <c r="D2884" s="1">
        <v>22618.0</v>
      </c>
      <c r="E2884" s="1" t="s">
        <v>40</v>
      </c>
      <c r="F2884" s="1" t="s">
        <v>61</v>
      </c>
      <c r="G2884" s="1" t="s">
        <v>31</v>
      </c>
      <c r="H2884" s="2">
        <v>1635.0</v>
      </c>
      <c r="I2884" s="2">
        <v>9017.0</v>
      </c>
      <c r="J2884" s="1">
        <v>1965.0</v>
      </c>
      <c r="K2884" s="1">
        <v>7.0</v>
      </c>
      <c r="L2884" s="1" t="s">
        <v>141</v>
      </c>
      <c r="M2884" s="1" t="s">
        <v>11572</v>
      </c>
      <c r="N2884" s="1" t="s">
        <v>34</v>
      </c>
      <c r="O2884" s="1" t="s">
        <v>49</v>
      </c>
      <c r="P2884" s="1" t="s">
        <v>11573</v>
      </c>
    </row>
    <row r="2885" ht="14.25" customHeight="1">
      <c r="A2885" s="1" t="s">
        <v>11574</v>
      </c>
      <c r="B2885" s="1" t="s">
        <v>11575</v>
      </c>
      <c r="C2885" s="1" t="s">
        <v>29</v>
      </c>
      <c r="D2885" s="1">
        <v>75011.0</v>
      </c>
      <c r="E2885" s="1" t="s">
        <v>40</v>
      </c>
      <c r="F2885" s="1" t="s">
        <v>61</v>
      </c>
      <c r="G2885" s="1" t="s">
        <v>55</v>
      </c>
      <c r="H2885" s="2">
        <v>1116.0</v>
      </c>
      <c r="I2885" s="2">
        <v>2424.0</v>
      </c>
      <c r="J2885" s="1">
        <v>2015.0</v>
      </c>
      <c r="K2885" s="1">
        <v>83.0</v>
      </c>
      <c r="L2885" s="1" t="s">
        <v>141</v>
      </c>
      <c r="M2885" s="1" t="s">
        <v>11576</v>
      </c>
      <c r="N2885" s="1" t="s">
        <v>43</v>
      </c>
      <c r="O2885" s="1" t="s">
        <v>25</v>
      </c>
      <c r="P2885" s="1" t="s">
        <v>11577</v>
      </c>
    </row>
    <row r="2886" ht="14.25" customHeight="1">
      <c r="A2886" s="1" t="s">
        <v>11578</v>
      </c>
      <c r="B2886" s="1" t="s">
        <v>11579</v>
      </c>
      <c r="C2886" s="1" t="s">
        <v>29</v>
      </c>
      <c r="D2886" s="1">
        <v>95305.0</v>
      </c>
      <c r="E2886" s="1" t="s">
        <v>30</v>
      </c>
      <c r="F2886" s="1" t="s">
        <v>46</v>
      </c>
      <c r="G2886" s="1" t="s">
        <v>31</v>
      </c>
      <c r="H2886" s="2">
        <v>3426.0</v>
      </c>
      <c r="I2886" s="2">
        <v>9940.0</v>
      </c>
      <c r="J2886" s="1">
        <v>1961.0</v>
      </c>
      <c r="K2886" s="1">
        <v>7.0</v>
      </c>
      <c r="L2886" s="1" t="s">
        <v>141</v>
      </c>
      <c r="M2886" s="1" t="s">
        <v>11580</v>
      </c>
      <c r="N2886" s="1" t="s">
        <v>43</v>
      </c>
      <c r="O2886" s="1" t="s">
        <v>35</v>
      </c>
      <c r="P2886" s="1" t="s">
        <v>11581</v>
      </c>
    </row>
    <row r="2887" ht="14.25" customHeight="1">
      <c r="A2887" s="1" t="s">
        <v>11582</v>
      </c>
      <c r="B2887" s="1" t="s">
        <v>11583</v>
      </c>
      <c r="C2887" s="1" t="s">
        <v>76</v>
      </c>
      <c r="D2887" s="1">
        <v>36464.0</v>
      </c>
      <c r="E2887" s="1" t="s">
        <v>60</v>
      </c>
      <c r="F2887" s="1" t="s">
        <v>94</v>
      </c>
      <c r="G2887" s="1" t="s">
        <v>31</v>
      </c>
      <c r="H2887" s="2">
        <v>2932.0</v>
      </c>
      <c r="I2887" s="2">
        <v>4861.0</v>
      </c>
      <c r="J2887" s="1">
        <v>2021.0</v>
      </c>
      <c r="K2887" s="1">
        <v>7.0</v>
      </c>
      <c r="L2887" s="1" t="s">
        <v>62</v>
      </c>
      <c r="M2887" s="1" t="s">
        <v>11584</v>
      </c>
      <c r="N2887" s="1" t="s">
        <v>43</v>
      </c>
      <c r="O2887" s="1" t="s">
        <v>49</v>
      </c>
      <c r="P2887" s="1" t="s">
        <v>11585</v>
      </c>
    </row>
    <row r="2888" ht="14.25" customHeight="1">
      <c r="A2888" s="1" t="s">
        <v>11586</v>
      </c>
      <c r="B2888" s="1" t="s">
        <v>11587</v>
      </c>
      <c r="C2888" s="1" t="s">
        <v>18</v>
      </c>
      <c r="D2888" s="1">
        <v>52128.0</v>
      </c>
      <c r="E2888" s="1" t="s">
        <v>77</v>
      </c>
      <c r="F2888" s="1" t="s">
        <v>54</v>
      </c>
      <c r="G2888" s="1" t="s">
        <v>55</v>
      </c>
      <c r="H2888" s="2">
        <v>2826.0</v>
      </c>
      <c r="I2888" s="2">
        <v>2731.0</v>
      </c>
      <c r="J2888" s="1">
        <v>1975.0</v>
      </c>
      <c r="K2888" s="1">
        <v>114.0</v>
      </c>
      <c r="L2888" s="1" t="s">
        <v>141</v>
      </c>
      <c r="M2888" s="1" t="s">
        <v>11588</v>
      </c>
      <c r="N2888" s="1" t="s">
        <v>64</v>
      </c>
      <c r="O2888" s="1" t="s">
        <v>49</v>
      </c>
      <c r="P2888" s="1" t="s">
        <v>11589</v>
      </c>
    </row>
    <row r="2889" ht="14.25" customHeight="1">
      <c r="A2889" s="1" t="s">
        <v>11590</v>
      </c>
      <c r="B2889" s="1" t="s">
        <v>11591</v>
      </c>
      <c r="C2889" s="1" t="s">
        <v>29</v>
      </c>
      <c r="D2889" s="1">
        <v>40800.0</v>
      </c>
      <c r="E2889" s="1" t="s">
        <v>30</v>
      </c>
      <c r="F2889" s="1" t="s">
        <v>94</v>
      </c>
      <c r="G2889" s="1" t="s">
        <v>31</v>
      </c>
      <c r="H2889" s="2">
        <v>2705.0</v>
      </c>
      <c r="I2889" s="2">
        <v>3351.0</v>
      </c>
      <c r="J2889" s="1">
        <v>1958.0</v>
      </c>
      <c r="K2889" s="1">
        <v>8.0</v>
      </c>
      <c r="L2889" s="1" t="s">
        <v>32</v>
      </c>
      <c r="M2889" s="1" t="s">
        <v>11592</v>
      </c>
      <c r="N2889" s="1" t="s">
        <v>34</v>
      </c>
      <c r="O2889" s="1" t="s">
        <v>49</v>
      </c>
      <c r="P2889" s="1" t="s">
        <v>11593</v>
      </c>
    </row>
    <row r="2890" ht="14.25" customHeight="1">
      <c r="A2890" s="1" t="s">
        <v>11594</v>
      </c>
      <c r="B2890" s="1" t="s">
        <v>11595</v>
      </c>
      <c r="C2890" s="1" t="s">
        <v>53</v>
      </c>
      <c r="D2890" s="1">
        <v>44474.0</v>
      </c>
      <c r="E2890" s="1" t="s">
        <v>77</v>
      </c>
      <c r="F2890" s="1" t="s">
        <v>20</v>
      </c>
      <c r="G2890" s="1" t="s">
        <v>100</v>
      </c>
      <c r="H2890" s="2">
        <v>3522.0</v>
      </c>
      <c r="I2890" s="2">
        <v>6318.0</v>
      </c>
      <c r="J2890" s="1">
        <v>1969.0</v>
      </c>
      <c r="K2890" s="1">
        <v>84.0</v>
      </c>
      <c r="L2890" s="1" t="s">
        <v>32</v>
      </c>
      <c r="M2890" s="1" t="s">
        <v>11596</v>
      </c>
      <c r="N2890" s="1" t="s">
        <v>64</v>
      </c>
      <c r="O2890" s="1" t="s">
        <v>25</v>
      </c>
      <c r="P2890" s="1" t="s">
        <v>11597</v>
      </c>
    </row>
    <row r="2891" ht="14.25" customHeight="1">
      <c r="A2891" s="1" t="s">
        <v>11598</v>
      </c>
      <c r="B2891" s="1" t="s">
        <v>11599</v>
      </c>
      <c r="C2891" s="1" t="s">
        <v>29</v>
      </c>
      <c r="D2891" s="1">
        <v>12486.0</v>
      </c>
      <c r="E2891" s="1" t="s">
        <v>40</v>
      </c>
      <c r="F2891" s="1" t="s">
        <v>46</v>
      </c>
      <c r="G2891" s="1" t="s">
        <v>100</v>
      </c>
      <c r="H2891" s="2">
        <v>3367.0</v>
      </c>
      <c r="I2891" s="2">
        <v>2926.0</v>
      </c>
      <c r="J2891" s="1">
        <v>2011.0</v>
      </c>
      <c r="K2891" s="1">
        <v>52.0</v>
      </c>
      <c r="L2891" s="1" t="s">
        <v>141</v>
      </c>
      <c r="M2891" s="1" t="s">
        <v>11600</v>
      </c>
      <c r="N2891" s="1" t="s">
        <v>43</v>
      </c>
      <c r="O2891" s="1" t="s">
        <v>25</v>
      </c>
      <c r="P2891" s="1" t="s">
        <v>11601</v>
      </c>
    </row>
    <row r="2892" ht="14.25" customHeight="1">
      <c r="A2892" s="1" t="s">
        <v>11602</v>
      </c>
      <c r="B2892" s="1" t="s">
        <v>11603</v>
      </c>
      <c r="C2892" s="1" t="s">
        <v>29</v>
      </c>
      <c r="D2892" s="1">
        <v>19079.0</v>
      </c>
      <c r="E2892" s="1" t="s">
        <v>30</v>
      </c>
      <c r="F2892" s="1" t="s">
        <v>54</v>
      </c>
      <c r="G2892" s="1" t="s">
        <v>55</v>
      </c>
      <c r="H2892" s="2">
        <v>2452.0</v>
      </c>
      <c r="I2892" s="2">
        <v>8527.0</v>
      </c>
      <c r="J2892" s="1">
        <v>1972.0</v>
      </c>
      <c r="K2892" s="1">
        <v>103.0</v>
      </c>
      <c r="L2892" s="1" t="s">
        <v>95</v>
      </c>
      <c r="M2892" s="1" t="s">
        <v>11604</v>
      </c>
      <c r="N2892" s="1" t="s">
        <v>43</v>
      </c>
      <c r="O2892" s="1" t="s">
        <v>25</v>
      </c>
      <c r="P2892" s="1" t="s">
        <v>11605</v>
      </c>
    </row>
    <row r="2893" ht="14.25" customHeight="1">
      <c r="A2893" s="1" t="s">
        <v>11606</v>
      </c>
      <c r="B2893" s="1" t="s">
        <v>11607</v>
      </c>
      <c r="C2893" s="1" t="s">
        <v>76</v>
      </c>
      <c r="D2893" s="1">
        <v>10863.0</v>
      </c>
      <c r="E2893" s="1" t="s">
        <v>19</v>
      </c>
      <c r="F2893" s="1" t="s">
        <v>46</v>
      </c>
      <c r="G2893" s="1" t="s">
        <v>55</v>
      </c>
      <c r="H2893" s="2">
        <v>1135.0</v>
      </c>
      <c r="I2893" s="2">
        <v>8012.0</v>
      </c>
      <c r="J2893" s="1">
        <v>2014.0</v>
      </c>
      <c r="K2893" s="1">
        <v>6.0</v>
      </c>
      <c r="L2893" s="1" t="s">
        <v>141</v>
      </c>
      <c r="M2893" s="1" t="s">
        <v>11608</v>
      </c>
      <c r="N2893" s="1" t="s">
        <v>34</v>
      </c>
      <c r="O2893" s="1" t="s">
        <v>35</v>
      </c>
      <c r="P2893" s="1" t="s">
        <v>11609</v>
      </c>
    </row>
    <row r="2894" ht="14.25" customHeight="1">
      <c r="A2894" s="1" t="s">
        <v>11610</v>
      </c>
      <c r="B2894" s="1" t="s">
        <v>11611</v>
      </c>
      <c r="C2894" s="1" t="s">
        <v>53</v>
      </c>
      <c r="D2894" s="1">
        <v>89715.0</v>
      </c>
      <c r="E2894" s="1" t="s">
        <v>77</v>
      </c>
      <c r="F2894" s="1" t="s">
        <v>94</v>
      </c>
      <c r="G2894" s="1" t="s">
        <v>55</v>
      </c>
      <c r="H2894" s="2">
        <v>1476.0</v>
      </c>
      <c r="I2894" s="2">
        <v>3722.0</v>
      </c>
      <c r="J2894" s="1">
        <v>1960.0</v>
      </c>
      <c r="K2894" s="1">
        <v>3.0</v>
      </c>
      <c r="L2894" s="1" t="s">
        <v>141</v>
      </c>
      <c r="M2894" s="1" t="s">
        <v>11612</v>
      </c>
      <c r="N2894" s="1" t="s">
        <v>48</v>
      </c>
      <c r="O2894" s="1" t="s">
        <v>49</v>
      </c>
      <c r="P2894" s="1" t="s">
        <v>11613</v>
      </c>
    </row>
    <row r="2895" ht="14.25" customHeight="1">
      <c r="A2895" s="1" t="s">
        <v>11614</v>
      </c>
      <c r="B2895" s="1" t="s">
        <v>11615</v>
      </c>
      <c r="C2895" s="1" t="s">
        <v>76</v>
      </c>
      <c r="D2895" s="1">
        <v>12985.0</v>
      </c>
      <c r="E2895" s="1" t="s">
        <v>60</v>
      </c>
      <c r="F2895" s="1" t="s">
        <v>54</v>
      </c>
      <c r="G2895" s="1" t="s">
        <v>55</v>
      </c>
      <c r="H2895" s="2">
        <v>1572.0</v>
      </c>
      <c r="I2895" s="2">
        <v>5857.0</v>
      </c>
      <c r="J2895" s="1">
        <v>1979.0</v>
      </c>
      <c r="K2895" s="1">
        <v>71.0</v>
      </c>
      <c r="L2895" s="1" t="s">
        <v>32</v>
      </c>
      <c r="M2895" s="1" t="s">
        <v>11616</v>
      </c>
      <c r="N2895" s="1" t="s">
        <v>48</v>
      </c>
      <c r="O2895" s="1" t="s">
        <v>25</v>
      </c>
      <c r="P2895" s="1" t="s">
        <v>11617</v>
      </c>
    </row>
    <row r="2896" ht="14.25" customHeight="1">
      <c r="A2896" s="1" t="s">
        <v>11618</v>
      </c>
      <c r="B2896" s="1" t="s">
        <v>11619</v>
      </c>
      <c r="C2896" s="1" t="s">
        <v>18</v>
      </c>
      <c r="D2896" s="1">
        <v>10072.0</v>
      </c>
      <c r="E2896" s="1" t="s">
        <v>30</v>
      </c>
      <c r="F2896" s="1" t="s">
        <v>54</v>
      </c>
      <c r="G2896" s="1" t="s">
        <v>100</v>
      </c>
      <c r="H2896" s="2">
        <v>1124.0</v>
      </c>
      <c r="I2896" s="2">
        <v>9929.0</v>
      </c>
      <c r="J2896" s="1">
        <v>1962.0</v>
      </c>
      <c r="K2896" s="1">
        <v>88.0</v>
      </c>
      <c r="L2896" s="1" t="s">
        <v>32</v>
      </c>
      <c r="M2896" s="1" t="s">
        <v>11620</v>
      </c>
      <c r="N2896" s="1" t="s">
        <v>24</v>
      </c>
      <c r="O2896" s="1" t="s">
        <v>25</v>
      </c>
      <c r="P2896" s="1" t="s">
        <v>11621</v>
      </c>
    </row>
    <row r="2897" ht="14.25" customHeight="1">
      <c r="A2897" s="1" t="s">
        <v>11622</v>
      </c>
      <c r="B2897" s="1" t="s">
        <v>11623</v>
      </c>
      <c r="C2897" s="1" t="s">
        <v>18</v>
      </c>
      <c r="D2897" s="1">
        <v>65642.0</v>
      </c>
      <c r="E2897" s="1" t="s">
        <v>77</v>
      </c>
      <c r="F2897" s="1" t="s">
        <v>41</v>
      </c>
      <c r="G2897" s="1" t="s">
        <v>100</v>
      </c>
      <c r="H2897" s="2">
        <v>1415.0</v>
      </c>
      <c r="I2897" s="2">
        <v>6959.0</v>
      </c>
      <c r="J2897" s="1">
        <v>1985.0</v>
      </c>
      <c r="K2897" s="1">
        <v>56.0</v>
      </c>
      <c r="L2897" s="1" t="s">
        <v>32</v>
      </c>
      <c r="M2897" s="1" t="s">
        <v>11624</v>
      </c>
      <c r="N2897" s="1" t="s">
        <v>48</v>
      </c>
      <c r="O2897" s="1" t="s">
        <v>25</v>
      </c>
      <c r="P2897" s="1" t="s">
        <v>11625</v>
      </c>
    </row>
    <row r="2898" ht="14.25" customHeight="1">
      <c r="A2898" s="1" t="s">
        <v>11626</v>
      </c>
      <c r="B2898" s="1" t="s">
        <v>11627</v>
      </c>
      <c r="C2898" s="1" t="s">
        <v>53</v>
      </c>
      <c r="D2898" s="1">
        <v>76215.0</v>
      </c>
      <c r="E2898" s="1" t="s">
        <v>19</v>
      </c>
      <c r="F2898" s="1" t="s">
        <v>41</v>
      </c>
      <c r="G2898" s="1" t="s">
        <v>31</v>
      </c>
      <c r="H2898" s="2">
        <v>3266.0</v>
      </c>
      <c r="I2898" s="2">
        <v>7354.0</v>
      </c>
      <c r="J2898" s="1">
        <v>1970.0</v>
      </c>
      <c r="K2898" s="1">
        <v>109.0</v>
      </c>
      <c r="L2898" s="1" t="s">
        <v>95</v>
      </c>
      <c r="M2898" s="1" t="s">
        <v>11628</v>
      </c>
      <c r="N2898" s="1" t="s">
        <v>43</v>
      </c>
      <c r="O2898" s="1" t="s">
        <v>49</v>
      </c>
      <c r="P2898" s="1" t="s">
        <v>11629</v>
      </c>
    </row>
    <row r="2899" ht="14.25" customHeight="1">
      <c r="A2899" s="1" t="s">
        <v>11630</v>
      </c>
      <c r="B2899" s="1" t="s">
        <v>11631</v>
      </c>
      <c r="C2899" s="1" t="s">
        <v>53</v>
      </c>
      <c r="D2899" s="1">
        <v>89565.0</v>
      </c>
      <c r="E2899" s="1" t="s">
        <v>19</v>
      </c>
      <c r="F2899" s="1" t="s">
        <v>61</v>
      </c>
      <c r="G2899" s="1" t="s">
        <v>21</v>
      </c>
      <c r="H2899" s="2">
        <v>1972.0</v>
      </c>
      <c r="I2899" s="2">
        <v>8443.0</v>
      </c>
      <c r="J2899" s="1">
        <v>1993.0</v>
      </c>
      <c r="K2899" s="1">
        <v>62.0</v>
      </c>
      <c r="L2899" s="1" t="s">
        <v>22</v>
      </c>
      <c r="M2899" s="1" t="s">
        <v>11632</v>
      </c>
      <c r="N2899" s="1" t="s">
        <v>43</v>
      </c>
      <c r="O2899" s="1" t="s">
        <v>25</v>
      </c>
      <c r="P2899" s="1" t="s">
        <v>11633</v>
      </c>
    </row>
    <row r="2900" ht="14.25" customHeight="1">
      <c r="A2900" s="1" t="s">
        <v>11634</v>
      </c>
      <c r="B2900" s="1" t="s">
        <v>11635</v>
      </c>
      <c r="C2900" s="1" t="s">
        <v>29</v>
      </c>
      <c r="D2900" s="1">
        <v>17469.0</v>
      </c>
      <c r="E2900" s="1" t="s">
        <v>19</v>
      </c>
      <c r="F2900" s="1" t="s">
        <v>41</v>
      </c>
      <c r="G2900" s="1" t="s">
        <v>31</v>
      </c>
      <c r="H2900" s="2">
        <v>1943.0</v>
      </c>
      <c r="I2900" s="2">
        <v>5780.0</v>
      </c>
      <c r="J2900" s="1">
        <v>2015.0</v>
      </c>
      <c r="K2900" s="1">
        <v>31.0</v>
      </c>
      <c r="L2900" s="1" t="s">
        <v>141</v>
      </c>
      <c r="M2900" s="1" t="s">
        <v>11636</v>
      </c>
      <c r="N2900" s="1" t="s">
        <v>43</v>
      </c>
      <c r="O2900" s="1" t="s">
        <v>49</v>
      </c>
      <c r="P2900" s="1" t="s">
        <v>11637</v>
      </c>
    </row>
    <row r="2901" ht="14.25" customHeight="1">
      <c r="A2901" s="1" t="s">
        <v>11638</v>
      </c>
      <c r="B2901" s="1" t="s">
        <v>11639</v>
      </c>
      <c r="C2901" s="1" t="s">
        <v>39</v>
      </c>
      <c r="D2901" s="1">
        <v>82942.0</v>
      </c>
      <c r="E2901" s="1" t="s">
        <v>60</v>
      </c>
      <c r="F2901" s="1" t="s">
        <v>54</v>
      </c>
      <c r="G2901" s="1" t="s">
        <v>21</v>
      </c>
      <c r="H2901" s="2">
        <v>1441.0</v>
      </c>
      <c r="I2901" s="2">
        <v>4729.0</v>
      </c>
      <c r="J2901" s="1">
        <v>2011.0</v>
      </c>
      <c r="K2901" s="1">
        <v>96.0</v>
      </c>
      <c r="L2901" s="1" t="s">
        <v>95</v>
      </c>
      <c r="M2901" s="1" t="s">
        <v>11640</v>
      </c>
      <c r="N2901" s="1" t="s">
        <v>43</v>
      </c>
      <c r="O2901" s="1" t="s">
        <v>25</v>
      </c>
      <c r="P2901" s="1" t="s">
        <v>11641</v>
      </c>
    </row>
    <row r="2902" ht="14.25" customHeight="1">
      <c r="A2902" s="1" t="s">
        <v>11642</v>
      </c>
      <c r="B2902" s="1" t="s">
        <v>11643</v>
      </c>
      <c r="C2902" s="1" t="s">
        <v>29</v>
      </c>
      <c r="D2902" s="1">
        <v>43605.0</v>
      </c>
      <c r="E2902" s="1" t="s">
        <v>60</v>
      </c>
      <c r="F2902" s="1" t="s">
        <v>41</v>
      </c>
      <c r="G2902" s="1" t="s">
        <v>31</v>
      </c>
      <c r="H2902" s="2">
        <v>1906.0</v>
      </c>
      <c r="I2902" s="2">
        <v>2834.0</v>
      </c>
      <c r="J2902" s="1">
        <v>2014.0</v>
      </c>
      <c r="K2902" s="1">
        <v>73.0</v>
      </c>
      <c r="L2902" s="1" t="s">
        <v>32</v>
      </c>
      <c r="M2902" s="1" t="s">
        <v>11644</v>
      </c>
      <c r="N2902" s="1" t="s">
        <v>43</v>
      </c>
      <c r="O2902" s="1" t="s">
        <v>49</v>
      </c>
      <c r="P2902" s="1" t="s">
        <v>11645</v>
      </c>
    </row>
    <row r="2903" ht="14.25" customHeight="1">
      <c r="A2903" s="1" t="s">
        <v>11646</v>
      </c>
      <c r="B2903" s="1" t="s">
        <v>11647</v>
      </c>
      <c r="C2903" s="1" t="s">
        <v>39</v>
      </c>
      <c r="D2903" s="1">
        <v>99272.0</v>
      </c>
      <c r="E2903" s="1" t="s">
        <v>30</v>
      </c>
      <c r="F2903" s="1" t="s">
        <v>61</v>
      </c>
      <c r="G2903" s="1" t="s">
        <v>21</v>
      </c>
      <c r="H2903" s="2">
        <v>1415.0</v>
      </c>
      <c r="I2903" s="2">
        <v>7349.0</v>
      </c>
      <c r="J2903" s="1">
        <v>2012.0</v>
      </c>
      <c r="K2903" s="1">
        <v>16.0</v>
      </c>
      <c r="L2903" s="1" t="s">
        <v>32</v>
      </c>
      <c r="M2903" s="1" t="s">
        <v>11648</v>
      </c>
      <c r="N2903" s="1" t="s">
        <v>48</v>
      </c>
      <c r="O2903" s="1" t="s">
        <v>25</v>
      </c>
      <c r="P2903" s="1" t="s">
        <v>11649</v>
      </c>
    </row>
    <row r="2904" ht="14.25" customHeight="1">
      <c r="A2904" s="1" t="s">
        <v>11650</v>
      </c>
      <c r="B2904" s="1" t="s">
        <v>11651</v>
      </c>
      <c r="C2904" s="1" t="s">
        <v>18</v>
      </c>
      <c r="D2904" s="1">
        <v>80202.0</v>
      </c>
      <c r="E2904" s="1" t="s">
        <v>19</v>
      </c>
      <c r="F2904" s="1" t="s">
        <v>61</v>
      </c>
      <c r="G2904" s="1" t="s">
        <v>100</v>
      </c>
      <c r="H2904" s="2">
        <v>1947.0</v>
      </c>
      <c r="I2904" s="2">
        <v>7088.0</v>
      </c>
      <c r="J2904" s="1">
        <v>2000.0</v>
      </c>
      <c r="K2904" s="1">
        <v>1.0</v>
      </c>
      <c r="L2904" s="1" t="s">
        <v>32</v>
      </c>
      <c r="M2904" s="1" t="s">
        <v>11652</v>
      </c>
      <c r="N2904" s="1" t="s">
        <v>64</v>
      </c>
      <c r="O2904" s="1" t="s">
        <v>35</v>
      </c>
      <c r="P2904" s="1" t="s">
        <v>11653</v>
      </c>
    </row>
    <row r="2905" ht="14.25" customHeight="1">
      <c r="A2905" s="1" t="s">
        <v>11654</v>
      </c>
      <c r="B2905" s="1" t="s">
        <v>11655</v>
      </c>
      <c r="C2905" s="1" t="s">
        <v>39</v>
      </c>
      <c r="D2905" s="1">
        <v>22289.0</v>
      </c>
      <c r="E2905" s="1" t="s">
        <v>30</v>
      </c>
      <c r="F2905" s="1" t="s">
        <v>46</v>
      </c>
      <c r="G2905" s="1" t="s">
        <v>100</v>
      </c>
      <c r="H2905" s="2">
        <v>3525.0</v>
      </c>
      <c r="I2905" s="2">
        <v>5416.0</v>
      </c>
      <c r="J2905" s="1">
        <v>1983.0</v>
      </c>
      <c r="K2905" s="1">
        <v>99.0</v>
      </c>
      <c r="L2905" s="1" t="s">
        <v>22</v>
      </c>
      <c r="M2905" s="1" t="s">
        <v>11656</v>
      </c>
      <c r="N2905" s="1" t="s">
        <v>43</v>
      </c>
      <c r="O2905" s="1" t="s">
        <v>35</v>
      </c>
      <c r="P2905" s="1" t="s">
        <v>11657</v>
      </c>
    </row>
    <row r="2906" ht="14.25" customHeight="1">
      <c r="A2906" s="1" t="s">
        <v>11658</v>
      </c>
      <c r="B2906" s="1" t="s">
        <v>11659</v>
      </c>
      <c r="C2906" s="1" t="s">
        <v>53</v>
      </c>
      <c r="D2906" s="1">
        <v>98154.0</v>
      </c>
      <c r="E2906" s="1" t="s">
        <v>40</v>
      </c>
      <c r="F2906" s="1" t="s">
        <v>54</v>
      </c>
      <c r="G2906" s="1" t="s">
        <v>31</v>
      </c>
      <c r="H2906" s="2">
        <v>2955.0</v>
      </c>
      <c r="I2906" s="2">
        <v>7611.0</v>
      </c>
      <c r="J2906" s="1">
        <v>1954.0</v>
      </c>
      <c r="K2906" s="1">
        <v>115.0</v>
      </c>
      <c r="L2906" s="1" t="s">
        <v>32</v>
      </c>
      <c r="M2906" s="1" t="s">
        <v>11660</v>
      </c>
      <c r="N2906" s="1" t="s">
        <v>43</v>
      </c>
      <c r="O2906" s="1" t="s">
        <v>35</v>
      </c>
      <c r="P2906" s="1" t="s">
        <v>11661</v>
      </c>
    </row>
    <row r="2907" ht="14.25" customHeight="1">
      <c r="A2907" s="1" t="s">
        <v>11662</v>
      </c>
      <c r="B2907" s="1" t="s">
        <v>11663</v>
      </c>
      <c r="C2907" s="1" t="s">
        <v>29</v>
      </c>
      <c r="D2907" s="1">
        <v>85461.0</v>
      </c>
      <c r="E2907" s="1" t="s">
        <v>30</v>
      </c>
      <c r="F2907" s="1" t="s">
        <v>54</v>
      </c>
      <c r="G2907" s="1" t="s">
        <v>21</v>
      </c>
      <c r="H2907" s="2">
        <v>2388.0</v>
      </c>
      <c r="I2907" s="2">
        <v>6640.0</v>
      </c>
      <c r="J2907" s="1">
        <v>1981.0</v>
      </c>
      <c r="K2907" s="1">
        <v>46.0</v>
      </c>
      <c r="L2907" s="1" t="s">
        <v>32</v>
      </c>
      <c r="M2907" s="1" t="s">
        <v>11664</v>
      </c>
      <c r="N2907" s="1" t="s">
        <v>64</v>
      </c>
      <c r="O2907" s="1" t="s">
        <v>25</v>
      </c>
      <c r="P2907" s="1" t="s">
        <v>11665</v>
      </c>
    </row>
    <row r="2908" ht="14.25" customHeight="1">
      <c r="A2908" s="1" t="s">
        <v>11666</v>
      </c>
      <c r="B2908" s="1" t="s">
        <v>11667</v>
      </c>
      <c r="C2908" s="1" t="s">
        <v>53</v>
      </c>
      <c r="D2908" s="1">
        <v>25852.0</v>
      </c>
      <c r="E2908" s="1" t="s">
        <v>19</v>
      </c>
      <c r="F2908" s="1" t="s">
        <v>54</v>
      </c>
      <c r="G2908" s="1" t="s">
        <v>100</v>
      </c>
      <c r="H2908" s="2">
        <v>1252.0</v>
      </c>
      <c r="I2908" s="2">
        <v>8032.0</v>
      </c>
      <c r="J2908" s="1">
        <v>1985.0</v>
      </c>
      <c r="K2908" s="1">
        <v>15.0</v>
      </c>
      <c r="L2908" s="1" t="s">
        <v>32</v>
      </c>
      <c r="M2908" s="1" t="s">
        <v>11668</v>
      </c>
      <c r="N2908" s="1" t="s">
        <v>34</v>
      </c>
      <c r="O2908" s="1" t="s">
        <v>25</v>
      </c>
      <c r="P2908" s="1" t="s">
        <v>11669</v>
      </c>
    </row>
    <row r="2909" ht="14.25" customHeight="1">
      <c r="A2909" s="1" t="s">
        <v>11670</v>
      </c>
      <c r="B2909" s="1" t="s">
        <v>11671</v>
      </c>
      <c r="C2909" s="1" t="s">
        <v>76</v>
      </c>
      <c r="D2909" s="1">
        <v>51041.0</v>
      </c>
      <c r="E2909" s="1" t="s">
        <v>30</v>
      </c>
      <c r="F2909" s="1" t="s">
        <v>46</v>
      </c>
      <c r="G2909" s="1" t="s">
        <v>100</v>
      </c>
      <c r="H2909" s="2">
        <v>3725.0</v>
      </c>
      <c r="I2909" s="2">
        <v>1153.0</v>
      </c>
      <c r="J2909" s="1">
        <v>1957.0</v>
      </c>
      <c r="K2909" s="1">
        <v>39.0</v>
      </c>
      <c r="L2909" s="1" t="s">
        <v>95</v>
      </c>
      <c r="M2909" s="1" t="s">
        <v>11672</v>
      </c>
      <c r="N2909" s="1" t="s">
        <v>43</v>
      </c>
      <c r="O2909" s="1" t="s">
        <v>25</v>
      </c>
      <c r="P2909" s="1" t="s">
        <v>11673</v>
      </c>
    </row>
    <row r="2910" ht="14.25" customHeight="1">
      <c r="A2910" s="1" t="s">
        <v>11674</v>
      </c>
      <c r="B2910" s="1" t="s">
        <v>11675</v>
      </c>
      <c r="C2910" s="1" t="s">
        <v>39</v>
      </c>
      <c r="D2910" s="1">
        <v>73820.0</v>
      </c>
      <c r="E2910" s="1" t="s">
        <v>60</v>
      </c>
      <c r="F2910" s="1" t="s">
        <v>46</v>
      </c>
      <c r="G2910" s="1" t="s">
        <v>21</v>
      </c>
      <c r="H2910" s="2">
        <v>1228.0</v>
      </c>
      <c r="I2910" s="2">
        <v>2275.0</v>
      </c>
      <c r="J2910" s="1">
        <v>2012.0</v>
      </c>
      <c r="K2910" s="1">
        <v>54.0</v>
      </c>
      <c r="L2910" s="1" t="s">
        <v>22</v>
      </c>
      <c r="M2910" s="1" t="s">
        <v>11676</v>
      </c>
      <c r="N2910" s="1" t="s">
        <v>43</v>
      </c>
      <c r="O2910" s="1" t="s">
        <v>49</v>
      </c>
      <c r="P2910" s="1" t="s">
        <v>11677</v>
      </c>
    </row>
    <row r="2911" ht="14.25" customHeight="1">
      <c r="A2911" s="1" t="s">
        <v>11678</v>
      </c>
      <c r="B2911" s="1" t="s">
        <v>11679</v>
      </c>
      <c r="C2911" s="1" t="s">
        <v>29</v>
      </c>
      <c r="D2911" s="1">
        <v>65592.0</v>
      </c>
      <c r="E2911" s="1" t="s">
        <v>60</v>
      </c>
      <c r="F2911" s="1" t="s">
        <v>54</v>
      </c>
      <c r="G2911" s="1" t="s">
        <v>100</v>
      </c>
      <c r="H2911" s="2">
        <v>2819.0</v>
      </c>
      <c r="I2911" s="2">
        <v>7024.0</v>
      </c>
      <c r="J2911" s="1">
        <v>1988.0</v>
      </c>
      <c r="K2911" s="1">
        <v>12.0</v>
      </c>
      <c r="L2911" s="1" t="s">
        <v>95</v>
      </c>
      <c r="M2911" s="1" t="s">
        <v>11680</v>
      </c>
      <c r="N2911" s="1" t="s">
        <v>24</v>
      </c>
      <c r="O2911" s="1" t="s">
        <v>35</v>
      </c>
      <c r="P2911" s="1" t="s">
        <v>11681</v>
      </c>
    </row>
    <row r="2912" ht="14.25" customHeight="1">
      <c r="A2912" s="1" t="s">
        <v>11682</v>
      </c>
      <c r="B2912" s="1" t="s">
        <v>11683</v>
      </c>
      <c r="C2912" s="1" t="s">
        <v>53</v>
      </c>
      <c r="D2912" s="1">
        <v>23601.0</v>
      </c>
      <c r="E2912" s="1" t="s">
        <v>30</v>
      </c>
      <c r="F2912" s="1" t="s">
        <v>20</v>
      </c>
      <c r="G2912" s="1" t="s">
        <v>100</v>
      </c>
      <c r="H2912" s="2">
        <v>1551.0</v>
      </c>
      <c r="I2912" s="2">
        <v>7915.0</v>
      </c>
      <c r="J2912" s="1">
        <v>2022.0</v>
      </c>
      <c r="K2912" s="1">
        <v>113.0</v>
      </c>
      <c r="L2912" s="1" t="s">
        <v>141</v>
      </c>
      <c r="M2912" s="1" t="s">
        <v>11684</v>
      </c>
      <c r="N2912" s="1" t="s">
        <v>24</v>
      </c>
      <c r="O2912" s="1" t="s">
        <v>49</v>
      </c>
      <c r="P2912" s="1" t="s">
        <v>11685</v>
      </c>
    </row>
    <row r="2913" ht="14.25" customHeight="1">
      <c r="A2913" s="1" t="s">
        <v>11686</v>
      </c>
      <c r="B2913" s="1" t="s">
        <v>11687</v>
      </c>
      <c r="C2913" s="1" t="s">
        <v>39</v>
      </c>
      <c r="D2913" s="1">
        <v>36164.0</v>
      </c>
      <c r="E2913" s="1" t="s">
        <v>77</v>
      </c>
      <c r="F2913" s="1" t="s">
        <v>61</v>
      </c>
      <c r="G2913" s="1" t="s">
        <v>31</v>
      </c>
      <c r="H2913" s="2">
        <v>1232.0</v>
      </c>
      <c r="I2913" s="2">
        <v>8084.0</v>
      </c>
      <c r="J2913" s="1">
        <v>2009.0</v>
      </c>
      <c r="K2913" s="1">
        <v>73.0</v>
      </c>
      <c r="L2913" s="1" t="s">
        <v>32</v>
      </c>
      <c r="M2913" s="1" t="s">
        <v>11688</v>
      </c>
      <c r="N2913" s="1" t="s">
        <v>24</v>
      </c>
      <c r="O2913" s="1" t="s">
        <v>35</v>
      </c>
      <c r="P2913" s="1" t="s">
        <v>11689</v>
      </c>
    </row>
    <row r="2914" ht="14.25" customHeight="1">
      <c r="A2914" s="1" t="s">
        <v>11690</v>
      </c>
      <c r="B2914" s="1" t="s">
        <v>11691</v>
      </c>
      <c r="C2914" s="1" t="s">
        <v>53</v>
      </c>
      <c r="D2914" s="1">
        <v>85231.0</v>
      </c>
      <c r="E2914" s="1" t="s">
        <v>30</v>
      </c>
      <c r="F2914" s="1" t="s">
        <v>94</v>
      </c>
      <c r="G2914" s="1" t="s">
        <v>21</v>
      </c>
      <c r="H2914" s="2">
        <v>2247.0</v>
      </c>
      <c r="I2914" s="2">
        <v>2375.0</v>
      </c>
      <c r="J2914" s="1">
        <v>2005.0</v>
      </c>
      <c r="K2914" s="1">
        <v>118.0</v>
      </c>
      <c r="L2914" s="1" t="s">
        <v>141</v>
      </c>
      <c r="M2914" s="1" t="s">
        <v>11692</v>
      </c>
      <c r="N2914" s="1" t="s">
        <v>64</v>
      </c>
      <c r="O2914" s="1" t="s">
        <v>49</v>
      </c>
      <c r="P2914" s="1" t="s">
        <v>11693</v>
      </c>
    </row>
    <row r="2915" ht="14.25" customHeight="1">
      <c r="A2915" s="1" t="s">
        <v>11694</v>
      </c>
      <c r="B2915" s="1" t="s">
        <v>11695</v>
      </c>
      <c r="C2915" s="1" t="s">
        <v>39</v>
      </c>
      <c r="D2915" s="1">
        <v>96179.0</v>
      </c>
      <c r="E2915" s="1" t="s">
        <v>40</v>
      </c>
      <c r="F2915" s="1" t="s">
        <v>61</v>
      </c>
      <c r="G2915" s="1" t="s">
        <v>55</v>
      </c>
      <c r="H2915" s="2">
        <v>1439.0</v>
      </c>
      <c r="I2915" s="2">
        <v>3680.0</v>
      </c>
      <c r="J2915" s="1">
        <v>2010.0</v>
      </c>
      <c r="K2915" s="1">
        <v>69.0</v>
      </c>
      <c r="L2915" s="1" t="s">
        <v>95</v>
      </c>
      <c r="M2915" s="1" t="s">
        <v>11696</v>
      </c>
      <c r="N2915" s="1" t="s">
        <v>43</v>
      </c>
      <c r="O2915" s="1" t="s">
        <v>25</v>
      </c>
      <c r="P2915" s="1" t="s">
        <v>11697</v>
      </c>
    </row>
    <row r="2916" ht="14.25" customHeight="1">
      <c r="A2916" s="1" t="s">
        <v>11698</v>
      </c>
      <c r="B2916" s="1" t="s">
        <v>11699</v>
      </c>
      <c r="C2916" s="1" t="s">
        <v>18</v>
      </c>
      <c r="D2916" s="1">
        <v>47565.0</v>
      </c>
      <c r="E2916" s="1" t="s">
        <v>19</v>
      </c>
      <c r="F2916" s="1" t="s">
        <v>41</v>
      </c>
      <c r="G2916" s="1" t="s">
        <v>21</v>
      </c>
      <c r="H2916" s="2">
        <v>2771.0</v>
      </c>
      <c r="I2916" s="2">
        <v>6322.0</v>
      </c>
      <c r="J2916" s="1">
        <v>1973.0</v>
      </c>
      <c r="K2916" s="1">
        <v>106.0</v>
      </c>
      <c r="L2916" s="1" t="s">
        <v>22</v>
      </c>
      <c r="M2916" s="1" t="s">
        <v>11700</v>
      </c>
      <c r="N2916" s="1" t="s">
        <v>34</v>
      </c>
      <c r="O2916" s="1" t="s">
        <v>49</v>
      </c>
      <c r="P2916" s="1" t="s">
        <v>11701</v>
      </c>
    </row>
    <row r="2917" ht="14.25" customHeight="1">
      <c r="A2917" s="1" t="s">
        <v>11702</v>
      </c>
      <c r="B2917" s="1" t="s">
        <v>11703</v>
      </c>
      <c r="C2917" s="1" t="s">
        <v>39</v>
      </c>
      <c r="D2917" s="1">
        <v>98321.0</v>
      </c>
      <c r="E2917" s="1" t="s">
        <v>19</v>
      </c>
      <c r="F2917" s="1" t="s">
        <v>46</v>
      </c>
      <c r="G2917" s="1" t="s">
        <v>100</v>
      </c>
      <c r="H2917" s="2">
        <v>2151.0</v>
      </c>
      <c r="I2917" s="2">
        <v>2613.0</v>
      </c>
      <c r="J2917" s="1">
        <v>2020.0</v>
      </c>
      <c r="K2917" s="1">
        <v>82.0</v>
      </c>
      <c r="L2917" s="1" t="s">
        <v>141</v>
      </c>
      <c r="M2917" s="1" t="s">
        <v>11704</v>
      </c>
      <c r="N2917" s="1" t="s">
        <v>43</v>
      </c>
      <c r="O2917" s="1" t="s">
        <v>49</v>
      </c>
      <c r="P2917" s="1" t="s">
        <v>11705</v>
      </c>
    </row>
    <row r="2918" ht="14.25" customHeight="1">
      <c r="A2918" s="1" t="s">
        <v>11706</v>
      </c>
      <c r="B2918" s="1" t="s">
        <v>11707</v>
      </c>
      <c r="C2918" s="1" t="s">
        <v>18</v>
      </c>
      <c r="D2918" s="1">
        <v>34347.0</v>
      </c>
      <c r="E2918" s="1" t="s">
        <v>77</v>
      </c>
      <c r="F2918" s="1" t="s">
        <v>41</v>
      </c>
      <c r="G2918" s="1" t="s">
        <v>21</v>
      </c>
      <c r="H2918" s="2">
        <v>3213.0</v>
      </c>
      <c r="I2918" s="2">
        <v>6152.0</v>
      </c>
      <c r="J2918" s="1">
        <v>1975.0</v>
      </c>
      <c r="K2918" s="1">
        <v>67.0</v>
      </c>
      <c r="L2918" s="1" t="s">
        <v>95</v>
      </c>
      <c r="M2918" s="1" t="s">
        <v>11708</v>
      </c>
      <c r="N2918" s="1" t="s">
        <v>48</v>
      </c>
      <c r="O2918" s="1" t="s">
        <v>35</v>
      </c>
      <c r="P2918" s="1" t="s">
        <v>11709</v>
      </c>
    </row>
    <row r="2919" ht="14.25" customHeight="1">
      <c r="A2919" s="1" t="s">
        <v>11710</v>
      </c>
      <c r="B2919" s="1" t="s">
        <v>11711</v>
      </c>
      <c r="C2919" s="1" t="s">
        <v>18</v>
      </c>
      <c r="D2919" s="1">
        <v>97588.0</v>
      </c>
      <c r="E2919" s="1" t="s">
        <v>60</v>
      </c>
      <c r="F2919" s="1" t="s">
        <v>41</v>
      </c>
      <c r="G2919" s="1" t="s">
        <v>55</v>
      </c>
      <c r="H2919" s="2">
        <v>1764.0</v>
      </c>
      <c r="I2919" s="2">
        <v>5757.0</v>
      </c>
      <c r="J2919" s="1">
        <v>2001.0</v>
      </c>
      <c r="K2919" s="1">
        <v>95.0</v>
      </c>
      <c r="L2919" s="1" t="s">
        <v>22</v>
      </c>
      <c r="M2919" s="1" t="s">
        <v>11712</v>
      </c>
      <c r="N2919" s="1" t="s">
        <v>43</v>
      </c>
      <c r="O2919" s="1" t="s">
        <v>49</v>
      </c>
      <c r="P2919" s="1" t="s">
        <v>11713</v>
      </c>
    </row>
    <row r="2920" ht="14.25" customHeight="1">
      <c r="A2920" s="1" t="s">
        <v>11714</v>
      </c>
      <c r="B2920" s="1" t="s">
        <v>11715</v>
      </c>
      <c r="C2920" s="1" t="s">
        <v>39</v>
      </c>
      <c r="D2920" s="1">
        <v>27878.0</v>
      </c>
      <c r="E2920" s="1" t="s">
        <v>40</v>
      </c>
      <c r="F2920" s="1" t="s">
        <v>46</v>
      </c>
      <c r="G2920" s="1" t="s">
        <v>100</v>
      </c>
      <c r="H2920" s="2">
        <v>2840.0</v>
      </c>
      <c r="I2920" s="2">
        <v>9188.0</v>
      </c>
      <c r="J2920" s="1">
        <v>1997.0</v>
      </c>
      <c r="K2920" s="1">
        <v>51.0</v>
      </c>
      <c r="L2920" s="1" t="s">
        <v>141</v>
      </c>
      <c r="M2920" s="1" t="s">
        <v>11716</v>
      </c>
      <c r="N2920" s="1" t="s">
        <v>48</v>
      </c>
      <c r="O2920" s="1" t="s">
        <v>49</v>
      </c>
      <c r="P2920" s="1" t="s">
        <v>11717</v>
      </c>
    </row>
    <row r="2921" ht="14.25" customHeight="1">
      <c r="A2921" s="1" t="s">
        <v>11718</v>
      </c>
      <c r="B2921" s="1" t="s">
        <v>11719</v>
      </c>
      <c r="C2921" s="1" t="s">
        <v>39</v>
      </c>
      <c r="D2921" s="1">
        <v>87245.0</v>
      </c>
      <c r="E2921" s="1" t="s">
        <v>60</v>
      </c>
      <c r="F2921" s="1" t="s">
        <v>41</v>
      </c>
      <c r="G2921" s="1" t="s">
        <v>31</v>
      </c>
      <c r="H2921" s="2">
        <v>2199.0</v>
      </c>
      <c r="I2921" s="2">
        <v>5067.0</v>
      </c>
      <c r="J2921" s="1">
        <v>1955.0</v>
      </c>
      <c r="K2921" s="1">
        <v>84.0</v>
      </c>
      <c r="L2921" s="1" t="s">
        <v>22</v>
      </c>
      <c r="M2921" s="1" t="s">
        <v>11720</v>
      </c>
      <c r="N2921" s="1" t="s">
        <v>43</v>
      </c>
      <c r="O2921" s="1" t="s">
        <v>35</v>
      </c>
      <c r="P2921" s="1" t="s">
        <v>11721</v>
      </c>
    </row>
    <row r="2922" ht="14.25" customHeight="1">
      <c r="A2922" s="1" t="s">
        <v>11722</v>
      </c>
      <c r="B2922" s="1" t="s">
        <v>11723</v>
      </c>
      <c r="C2922" s="1" t="s">
        <v>18</v>
      </c>
      <c r="D2922" s="1">
        <v>15561.0</v>
      </c>
      <c r="E2922" s="1" t="s">
        <v>77</v>
      </c>
      <c r="F2922" s="1" t="s">
        <v>54</v>
      </c>
      <c r="G2922" s="1" t="s">
        <v>21</v>
      </c>
      <c r="H2922" s="2">
        <v>1349.0</v>
      </c>
      <c r="I2922" s="2">
        <v>1096.0</v>
      </c>
      <c r="J2922" s="1">
        <v>1954.0</v>
      </c>
      <c r="K2922" s="1">
        <v>109.0</v>
      </c>
      <c r="L2922" s="1" t="s">
        <v>22</v>
      </c>
      <c r="M2922" s="1" t="s">
        <v>11724</v>
      </c>
      <c r="N2922" s="1" t="s">
        <v>34</v>
      </c>
      <c r="O2922" s="1" t="s">
        <v>35</v>
      </c>
      <c r="P2922" s="1" t="s">
        <v>11725</v>
      </c>
    </row>
    <row r="2923" ht="14.25" customHeight="1">
      <c r="A2923" s="1" t="s">
        <v>11726</v>
      </c>
      <c r="B2923" s="1" t="s">
        <v>11727</v>
      </c>
      <c r="C2923" s="1" t="s">
        <v>76</v>
      </c>
      <c r="D2923" s="1">
        <v>55455.0</v>
      </c>
      <c r="E2923" s="1" t="s">
        <v>60</v>
      </c>
      <c r="F2923" s="1" t="s">
        <v>94</v>
      </c>
      <c r="G2923" s="1" t="s">
        <v>21</v>
      </c>
      <c r="H2923" s="2">
        <v>2557.0</v>
      </c>
      <c r="I2923" s="2">
        <v>5121.0</v>
      </c>
      <c r="J2923" s="1">
        <v>1963.0</v>
      </c>
      <c r="K2923" s="1">
        <v>11.0</v>
      </c>
      <c r="L2923" s="1" t="s">
        <v>141</v>
      </c>
      <c r="M2923" s="1" t="s">
        <v>11728</v>
      </c>
      <c r="N2923" s="1" t="s">
        <v>64</v>
      </c>
      <c r="O2923" s="1" t="s">
        <v>25</v>
      </c>
      <c r="P2923" s="1" t="s">
        <v>11729</v>
      </c>
    </row>
    <row r="2924" ht="14.25" customHeight="1">
      <c r="A2924" s="1" t="s">
        <v>11730</v>
      </c>
      <c r="B2924" s="1" t="s">
        <v>11731</v>
      </c>
      <c r="C2924" s="1" t="s">
        <v>29</v>
      </c>
      <c r="D2924" s="1">
        <v>71572.0</v>
      </c>
      <c r="E2924" s="1" t="s">
        <v>77</v>
      </c>
      <c r="F2924" s="1" t="s">
        <v>20</v>
      </c>
      <c r="G2924" s="1" t="s">
        <v>31</v>
      </c>
      <c r="H2924" s="2">
        <v>1977.0</v>
      </c>
      <c r="I2924" s="2">
        <v>6017.0</v>
      </c>
      <c r="J2924" s="1">
        <v>2020.0</v>
      </c>
      <c r="K2924" s="1">
        <v>68.0</v>
      </c>
      <c r="L2924" s="1" t="s">
        <v>22</v>
      </c>
      <c r="M2924" s="1" t="s">
        <v>11732</v>
      </c>
      <c r="N2924" s="1" t="s">
        <v>64</v>
      </c>
      <c r="O2924" s="1" t="s">
        <v>49</v>
      </c>
      <c r="P2924" s="1" t="s">
        <v>11733</v>
      </c>
    </row>
    <row r="2925" ht="14.25" customHeight="1">
      <c r="A2925" s="1" t="s">
        <v>11734</v>
      </c>
      <c r="B2925" s="1" t="s">
        <v>11735</v>
      </c>
      <c r="C2925" s="1" t="s">
        <v>18</v>
      </c>
      <c r="D2925" s="1">
        <v>32402.0</v>
      </c>
      <c r="E2925" s="1" t="s">
        <v>77</v>
      </c>
      <c r="F2925" s="1" t="s">
        <v>41</v>
      </c>
      <c r="G2925" s="1" t="s">
        <v>21</v>
      </c>
      <c r="H2925" s="2">
        <v>2237.0</v>
      </c>
      <c r="I2925" s="2">
        <v>2793.0</v>
      </c>
      <c r="J2925" s="1">
        <v>1987.0</v>
      </c>
      <c r="K2925" s="1">
        <v>105.0</v>
      </c>
      <c r="L2925" s="1" t="s">
        <v>95</v>
      </c>
      <c r="M2925" s="1" t="s">
        <v>11736</v>
      </c>
      <c r="N2925" s="1" t="s">
        <v>64</v>
      </c>
      <c r="O2925" s="1" t="s">
        <v>25</v>
      </c>
      <c r="P2925" s="1" t="s">
        <v>11737</v>
      </c>
    </row>
    <row r="2926" ht="14.25" customHeight="1">
      <c r="A2926" s="1" t="s">
        <v>11738</v>
      </c>
      <c r="B2926" s="1" t="s">
        <v>11739</v>
      </c>
      <c r="C2926" s="1" t="s">
        <v>18</v>
      </c>
      <c r="D2926" s="1">
        <v>13109.0</v>
      </c>
      <c r="E2926" s="1" t="s">
        <v>19</v>
      </c>
      <c r="F2926" s="1" t="s">
        <v>61</v>
      </c>
      <c r="G2926" s="1" t="s">
        <v>100</v>
      </c>
      <c r="H2926" s="2">
        <v>2659.0</v>
      </c>
      <c r="I2926" s="2">
        <v>3485.0</v>
      </c>
      <c r="J2926" s="1">
        <v>2005.0</v>
      </c>
      <c r="K2926" s="1">
        <v>73.0</v>
      </c>
      <c r="L2926" s="1" t="s">
        <v>141</v>
      </c>
      <c r="M2926" s="1" t="s">
        <v>11740</v>
      </c>
      <c r="N2926" s="1" t="s">
        <v>24</v>
      </c>
      <c r="O2926" s="1" t="s">
        <v>25</v>
      </c>
      <c r="P2926" s="1" t="s">
        <v>11741</v>
      </c>
    </row>
    <row r="2927" ht="14.25" customHeight="1">
      <c r="A2927" s="1" t="s">
        <v>11742</v>
      </c>
      <c r="B2927" s="1" t="s">
        <v>11743</v>
      </c>
      <c r="C2927" s="1" t="s">
        <v>39</v>
      </c>
      <c r="D2927" s="1">
        <v>36593.0</v>
      </c>
      <c r="E2927" s="1" t="s">
        <v>40</v>
      </c>
      <c r="F2927" s="1" t="s">
        <v>20</v>
      </c>
      <c r="G2927" s="1" t="s">
        <v>100</v>
      </c>
      <c r="H2927" s="2">
        <v>732.0</v>
      </c>
      <c r="I2927" s="2">
        <v>8385.0</v>
      </c>
      <c r="J2927" s="1">
        <v>2023.0</v>
      </c>
      <c r="K2927" s="1">
        <v>38.0</v>
      </c>
      <c r="L2927" s="1" t="s">
        <v>141</v>
      </c>
      <c r="M2927" s="1" t="s">
        <v>11744</v>
      </c>
      <c r="N2927" s="1" t="s">
        <v>43</v>
      </c>
      <c r="O2927" s="1" t="s">
        <v>25</v>
      </c>
      <c r="P2927" s="1" t="s">
        <v>11745</v>
      </c>
    </row>
    <row r="2928" ht="14.25" customHeight="1">
      <c r="A2928" s="1" t="s">
        <v>11746</v>
      </c>
      <c r="B2928" s="1" t="s">
        <v>11747</v>
      </c>
      <c r="C2928" s="1" t="s">
        <v>29</v>
      </c>
      <c r="D2928" s="1">
        <v>69768.0</v>
      </c>
      <c r="E2928" s="1" t="s">
        <v>77</v>
      </c>
      <c r="F2928" s="1" t="s">
        <v>46</v>
      </c>
      <c r="G2928" s="1" t="s">
        <v>21</v>
      </c>
      <c r="H2928" s="2">
        <v>1037.0</v>
      </c>
      <c r="I2928" s="2">
        <v>6562.0</v>
      </c>
      <c r="J2928" s="1">
        <v>1994.0</v>
      </c>
      <c r="K2928" s="1">
        <v>55.0</v>
      </c>
      <c r="L2928" s="1" t="s">
        <v>141</v>
      </c>
      <c r="M2928" s="1" t="s">
        <v>11748</v>
      </c>
      <c r="N2928" s="1" t="s">
        <v>34</v>
      </c>
      <c r="O2928" s="1" t="s">
        <v>25</v>
      </c>
      <c r="P2928" s="1" t="s">
        <v>11749</v>
      </c>
    </row>
    <row r="2929" ht="14.25" customHeight="1">
      <c r="A2929" s="1" t="s">
        <v>11750</v>
      </c>
      <c r="B2929" s="1" t="s">
        <v>11751</v>
      </c>
      <c r="C2929" s="1" t="s">
        <v>53</v>
      </c>
      <c r="D2929" s="1">
        <v>47085.0</v>
      </c>
      <c r="E2929" s="1" t="s">
        <v>60</v>
      </c>
      <c r="F2929" s="1" t="s">
        <v>46</v>
      </c>
      <c r="G2929" s="1" t="s">
        <v>55</v>
      </c>
      <c r="H2929" s="2">
        <v>648.0</v>
      </c>
      <c r="I2929" s="2">
        <v>8381.0</v>
      </c>
      <c r="J2929" s="1">
        <v>2010.0</v>
      </c>
      <c r="K2929" s="1">
        <v>106.0</v>
      </c>
      <c r="L2929" s="1" t="s">
        <v>95</v>
      </c>
      <c r="M2929" s="1" t="s">
        <v>11752</v>
      </c>
      <c r="N2929" s="1" t="s">
        <v>43</v>
      </c>
      <c r="O2929" s="1" t="s">
        <v>35</v>
      </c>
      <c r="P2929" s="1" t="s">
        <v>11753</v>
      </c>
    </row>
    <row r="2930" ht="14.25" customHeight="1">
      <c r="A2930" s="1" t="s">
        <v>11754</v>
      </c>
      <c r="B2930" s="1" t="s">
        <v>11755</v>
      </c>
      <c r="C2930" s="1" t="s">
        <v>76</v>
      </c>
      <c r="D2930" s="1">
        <v>30879.0</v>
      </c>
      <c r="E2930" s="1" t="s">
        <v>19</v>
      </c>
      <c r="F2930" s="1" t="s">
        <v>94</v>
      </c>
      <c r="G2930" s="1" t="s">
        <v>21</v>
      </c>
      <c r="H2930" s="2">
        <v>2702.0</v>
      </c>
      <c r="I2930" s="2">
        <v>4615.0</v>
      </c>
      <c r="J2930" s="1">
        <v>2023.0</v>
      </c>
      <c r="K2930" s="1">
        <v>7.0</v>
      </c>
      <c r="L2930" s="1" t="s">
        <v>62</v>
      </c>
      <c r="M2930" s="1" t="s">
        <v>11756</v>
      </c>
      <c r="N2930" s="1" t="s">
        <v>48</v>
      </c>
      <c r="O2930" s="1" t="s">
        <v>35</v>
      </c>
      <c r="P2930" s="1" t="s">
        <v>11757</v>
      </c>
    </row>
    <row r="2931" ht="14.25" customHeight="1">
      <c r="A2931" s="1" t="s">
        <v>11758</v>
      </c>
      <c r="B2931" s="1" t="s">
        <v>11759</v>
      </c>
      <c r="C2931" s="1" t="s">
        <v>29</v>
      </c>
      <c r="D2931" s="1">
        <v>77172.0</v>
      </c>
      <c r="E2931" s="1" t="s">
        <v>40</v>
      </c>
      <c r="F2931" s="1" t="s">
        <v>54</v>
      </c>
      <c r="G2931" s="1" t="s">
        <v>55</v>
      </c>
      <c r="H2931" s="2">
        <v>2704.0</v>
      </c>
      <c r="I2931" s="2">
        <v>1267.0</v>
      </c>
      <c r="J2931" s="1">
        <v>1983.0</v>
      </c>
      <c r="K2931" s="1">
        <v>85.0</v>
      </c>
      <c r="L2931" s="1" t="s">
        <v>32</v>
      </c>
      <c r="M2931" s="1" t="s">
        <v>11760</v>
      </c>
      <c r="N2931" s="1" t="s">
        <v>48</v>
      </c>
      <c r="O2931" s="1" t="s">
        <v>35</v>
      </c>
      <c r="P2931" s="1" t="s">
        <v>11761</v>
      </c>
    </row>
    <row r="2932" ht="14.25" customHeight="1">
      <c r="A2932" s="1" t="s">
        <v>11762</v>
      </c>
      <c r="B2932" s="1" t="s">
        <v>11763</v>
      </c>
      <c r="C2932" s="1" t="s">
        <v>29</v>
      </c>
      <c r="D2932" s="1">
        <v>88176.0</v>
      </c>
      <c r="E2932" s="1" t="s">
        <v>40</v>
      </c>
      <c r="F2932" s="1" t="s">
        <v>46</v>
      </c>
      <c r="G2932" s="1" t="s">
        <v>100</v>
      </c>
      <c r="H2932" s="2">
        <v>1176.0</v>
      </c>
      <c r="I2932" s="2">
        <v>3948.0</v>
      </c>
      <c r="J2932" s="1">
        <v>1968.0</v>
      </c>
      <c r="K2932" s="1">
        <v>12.0</v>
      </c>
      <c r="L2932" s="1" t="s">
        <v>95</v>
      </c>
      <c r="M2932" s="1" t="s">
        <v>11764</v>
      </c>
      <c r="N2932" s="1" t="s">
        <v>24</v>
      </c>
      <c r="O2932" s="1" t="s">
        <v>49</v>
      </c>
      <c r="P2932" s="1" t="s">
        <v>11765</v>
      </c>
    </row>
    <row r="2933" ht="14.25" customHeight="1">
      <c r="A2933" s="1" t="s">
        <v>11766</v>
      </c>
      <c r="B2933" s="1" t="s">
        <v>11767</v>
      </c>
      <c r="C2933" s="1" t="s">
        <v>18</v>
      </c>
      <c r="D2933" s="1">
        <v>96424.0</v>
      </c>
      <c r="E2933" s="1" t="s">
        <v>40</v>
      </c>
      <c r="F2933" s="1" t="s">
        <v>20</v>
      </c>
      <c r="G2933" s="1" t="s">
        <v>21</v>
      </c>
      <c r="H2933" s="2">
        <v>1093.0</v>
      </c>
      <c r="I2933" s="2">
        <v>7597.0</v>
      </c>
      <c r="J2933" s="1">
        <v>1975.0</v>
      </c>
      <c r="K2933" s="1">
        <v>36.0</v>
      </c>
      <c r="L2933" s="1" t="s">
        <v>62</v>
      </c>
      <c r="M2933" s="1" t="s">
        <v>11768</v>
      </c>
      <c r="N2933" s="1" t="s">
        <v>43</v>
      </c>
      <c r="O2933" s="1" t="s">
        <v>35</v>
      </c>
      <c r="P2933" s="1" t="s">
        <v>11769</v>
      </c>
    </row>
    <row r="2934" ht="14.25" customHeight="1">
      <c r="A2934" s="1" t="s">
        <v>11770</v>
      </c>
      <c r="B2934" s="1" t="s">
        <v>11771</v>
      </c>
      <c r="C2934" s="1" t="s">
        <v>18</v>
      </c>
      <c r="D2934" s="1">
        <v>31413.0</v>
      </c>
      <c r="E2934" s="1" t="s">
        <v>77</v>
      </c>
      <c r="F2934" s="1" t="s">
        <v>54</v>
      </c>
      <c r="G2934" s="1" t="s">
        <v>31</v>
      </c>
      <c r="H2934" s="2">
        <v>1296.0</v>
      </c>
      <c r="I2934" s="2">
        <v>2978.0</v>
      </c>
      <c r="J2934" s="1">
        <v>1968.0</v>
      </c>
      <c r="K2934" s="1">
        <v>55.0</v>
      </c>
      <c r="L2934" s="1" t="s">
        <v>95</v>
      </c>
      <c r="M2934" s="1" t="s">
        <v>11772</v>
      </c>
      <c r="N2934" s="1" t="s">
        <v>34</v>
      </c>
      <c r="O2934" s="1" t="s">
        <v>49</v>
      </c>
      <c r="P2934" s="1" t="s">
        <v>11773</v>
      </c>
    </row>
    <row r="2935" ht="14.25" customHeight="1">
      <c r="A2935" s="1" t="s">
        <v>11774</v>
      </c>
      <c r="B2935" s="1" t="s">
        <v>11775</v>
      </c>
      <c r="C2935" s="1" t="s">
        <v>18</v>
      </c>
      <c r="D2935" s="1">
        <v>16818.0</v>
      </c>
      <c r="E2935" s="1" t="s">
        <v>19</v>
      </c>
      <c r="F2935" s="1" t="s">
        <v>46</v>
      </c>
      <c r="G2935" s="1" t="s">
        <v>21</v>
      </c>
      <c r="H2935" s="2">
        <v>608.0</v>
      </c>
      <c r="I2935" s="2">
        <v>8301.0</v>
      </c>
      <c r="J2935" s="1">
        <v>1991.0</v>
      </c>
      <c r="K2935" s="1">
        <v>76.0</v>
      </c>
      <c r="L2935" s="1" t="s">
        <v>62</v>
      </c>
      <c r="M2935" s="1" t="s">
        <v>11776</v>
      </c>
      <c r="N2935" s="1" t="s">
        <v>34</v>
      </c>
      <c r="O2935" s="1" t="s">
        <v>35</v>
      </c>
      <c r="P2935" s="1" t="s">
        <v>11777</v>
      </c>
    </row>
    <row r="2936" ht="14.25" customHeight="1">
      <c r="A2936" s="1" t="s">
        <v>11778</v>
      </c>
      <c r="B2936" s="1" t="s">
        <v>11779</v>
      </c>
      <c r="C2936" s="1" t="s">
        <v>39</v>
      </c>
      <c r="D2936" s="1">
        <v>35544.0</v>
      </c>
      <c r="E2936" s="1" t="s">
        <v>40</v>
      </c>
      <c r="F2936" s="1" t="s">
        <v>61</v>
      </c>
      <c r="G2936" s="1" t="s">
        <v>31</v>
      </c>
      <c r="H2936" s="2">
        <v>2015.0</v>
      </c>
      <c r="I2936" s="2">
        <v>4797.0</v>
      </c>
      <c r="J2936" s="1">
        <v>2000.0</v>
      </c>
      <c r="K2936" s="1">
        <v>116.0</v>
      </c>
      <c r="L2936" s="1" t="s">
        <v>141</v>
      </c>
      <c r="M2936" s="1" t="s">
        <v>11780</v>
      </c>
      <c r="N2936" s="1" t="s">
        <v>48</v>
      </c>
      <c r="O2936" s="1" t="s">
        <v>49</v>
      </c>
      <c r="P2936" s="1" t="s">
        <v>11781</v>
      </c>
    </row>
    <row r="2937" ht="14.25" customHeight="1">
      <c r="A2937" s="1" t="s">
        <v>11782</v>
      </c>
      <c r="B2937" s="1" t="s">
        <v>11783</v>
      </c>
      <c r="C2937" s="1" t="s">
        <v>39</v>
      </c>
      <c r="D2937" s="1">
        <v>20235.0</v>
      </c>
      <c r="E2937" s="1" t="s">
        <v>30</v>
      </c>
      <c r="F2937" s="1" t="s">
        <v>41</v>
      </c>
      <c r="G2937" s="1" t="s">
        <v>55</v>
      </c>
      <c r="H2937" s="2">
        <v>2902.0</v>
      </c>
      <c r="I2937" s="2">
        <v>2112.0</v>
      </c>
      <c r="J2937" s="1">
        <v>1955.0</v>
      </c>
      <c r="K2937" s="1">
        <v>13.0</v>
      </c>
      <c r="L2937" s="1" t="s">
        <v>22</v>
      </c>
      <c r="M2937" s="1" t="s">
        <v>11784</v>
      </c>
      <c r="N2937" s="1" t="s">
        <v>43</v>
      </c>
      <c r="O2937" s="1" t="s">
        <v>49</v>
      </c>
      <c r="P2937" s="1" t="s">
        <v>11785</v>
      </c>
    </row>
    <row r="2938" ht="14.25" customHeight="1">
      <c r="A2938" s="1" t="s">
        <v>11786</v>
      </c>
      <c r="B2938" s="1" t="s">
        <v>11787</v>
      </c>
      <c r="C2938" s="1" t="s">
        <v>39</v>
      </c>
      <c r="D2938" s="1">
        <v>36212.0</v>
      </c>
      <c r="E2938" s="1" t="s">
        <v>40</v>
      </c>
      <c r="F2938" s="1" t="s">
        <v>41</v>
      </c>
      <c r="G2938" s="1" t="s">
        <v>55</v>
      </c>
      <c r="H2938" s="2">
        <v>1827.0</v>
      </c>
      <c r="I2938" s="2">
        <v>1105.0</v>
      </c>
      <c r="J2938" s="1">
        <v>1965.0</v>
      </c>
      <c r="K2938" s="1">
        <v>66.0</v>
      </c>
      <c r="L2938" s="1" t="s">
        <v>95</v>
      </c>
      <c r="M2938" s="1" t="s">
        <v>11788</v>
      </c>
      <c r="N2938" s="1" t="s">
        <v>24</v>
      </c>
      <c r="O2938" s="1" t="s">
        <v>25</v>
      </c>
      <c r="P2938" s="1" t="s">
        <v>11789</v>
      </c>
    </row>
    <row r="2939" ht="14.25" customHeight="1">
      <c r="A2939" s="1" t="s">
        <v>11790</v>
      </c>
      <c r="B2939" s="1" t="s">
        <v>11791</v>
      </c>
      <c r="C2939" s="1" t="s">
        <v>39</v>
      </c>
      <c r="D2939" s="1">
        <v>40627.0</v>
      </c>
      <c r="E2939" s="1" t="s">
        <v>60</v>
      </c>
      <c r="F2939" s="1" t="s">
        <v>20</v>
      </c>
      <c r="G2939" s="1" t="s">
        <v>21</v>
      </c>
      <c r="H2939" s="2">
        <v>2472.0</v>
      </c>
      <c r="I2939" s="2">
        <v>3698.0</v>
      </c>
      <c r="J2939" s="1">
        <v>1999.0</v>
      </c>
      <c r="K2939" s="1">
        <v>106.0</v>
      </c>
      <c r="L2939" s="1" t="s">
        <v>95</v>
      </c>
      <c r="M2939" s="1" t="s">
        <v>11792</v>
      </c>
      <c r="N2939" s="1" t="s">
        <v>64</v>
      </c>
      <c r="O2939" s="1" t="s">
        <v>25</v>
      </c>
      <c r="P2939" s="1" t="s">
        <v>11793</v>
      </c>
    </row>
    <row r="2940" ht="14.25" customHeight="1">
      <c r="A2940" s="1" t="s">
        <v>11794</v>
      </c>
      <c r="B2940" s="1" t="s">
        <v>11795</v>
      </c>
      <c r="C2940" s="1" t="s">
        <v>76</v>
      </c>
      <c r="D2940" s="1">
        <v>67386.0</v>
      </c>
      <c r="E2940" s="1" t="s">
        <v>77</v>
      </c>
      <c r="F2940" s="1" t="s">
        <v>54</v>
      </c>
      <c r="G2940" s="1" t="s">
        <v>21</v>
      </c>
      <c r="H2940" s="2">
        <v>2815.0</v>
      </c>
      <c r="I2940" s="2">
        <v>2298.0</v>
      </c>
      <c r="J2940" s="1">
        <v>1974.0</v>
      </c>
      <c r="K2940" s="1">
        <v>6.0</v>
      </c>
      <c r="L2940" s="1" t="s">
        <v>141</v>
      </c>
      <c r="M2940" s="1" t="s">
        <v>6858</v>
      </c>
      <c r="N2940" s="1" t="s">
        <v>64</v>
      </c>
      <c r="O2940" s="1" t="s">
        <v>49</v>
      </c>
      <c r="P2940" s="1" t="s">
        <v>11796</v>
      </c>
    </row>
    <row r="2941" ht="14.25" customHeight="1">
      <c r="A2941" s="1" t="s">
        <v>11797</v>
      </c>
      <c r="B2941" s="1" t="s">
        <v>11798</v>
      </c>
      <c r="C2941" s="1" t="s">
        <v>29</v>
      </c>
      <c r="D2941" s="1">
        <v>49998.0</v>
      </c>
      <c r="E2941" s="1" t="s">
        <v>77</v>
      </c>
      <c r="F2941" s="1" t="s">
        <v>20</v>
      </c>
      <c r="G2941" s="1" t="s">
        <v>100</v>
      </c>
      <c r="H2941" s="2">
        <v>3713.0</v>
      </c>
      <c r="I2941" s="2">
        <v>4531.0</v>
      </c>
      <c r="J2941" s="1">
        <v>2017.0</v>
      </c>
      <c r="K2941" s="1">
        <v>76.0</v>
      </c>
      <c r="L2941" s="1" t="s">
        <v>32</v>
      </c>
      <c r="M2941" s="1" t="s">
        <v>11799</v>
      </c>
      <c r="N2941" s="1" t="s">
        <v>64</v>
      </c>
      <c r="O2941" s="1" t="s">
        <v>35</v>
      </c>
      <c r="P2941" s="1" t="s">
        <v>11800</v>
      </c>
    </row>
    <row r="2942" ht="14.25" customHeight="1">
      <c r="A2942" s="1" t="s">
        <v>11801</v>
      </c>
      <c r="B2942" s="1" t="s">
        <v>11802</v>
      </c>
      <c r="C2942" s="1" t="s">
        <v>53</v>
      </c>
      <c r="D2942" s="1">
        <v>10491.0</v>
      </c>
      <c r="E2942" s="1" t="s">
        <v>40</v>
      </c>
      <c r="F2942" s="1" t="s">
        <v>46</v>
      </c>
      <c r="G2942" s="1" t="s">
        <v>55</v>
      </c>
      <c r="H2942" s="2">
        <v>2000.0</v>
      </c>
      <c r="I2942" s="2">
        <v>1047.0</v>
      </c>
      <c r="J2942" s="1">
        <v>2019.0</v>
      </c>
      <c r="K2942" s="1">
        <v>88.0</v>
      </c>
      <c r="L2942" s="1" t="s">
        <v>22</v>
      </c>
      <c r="M2942" s="1" t="s">
        <v>11803</v>
      </c>
      <c r="N2942" s="1" t="s">
        <v>64</v>
      </c>
      <c r="O2942" s="1" t="s">
        <v>49</v>
      </c>
      <c r="P2942" s="1" t="s">
        <v>11804</v>
      </c>
    </row>
    <row r="2943" ht="14.25" customHeight="1">
      <c r="A2943" s="1" t="s">
        <v>11805</v>
      </c>
      <c r="B2943" s="1" t="s">
        <v>11806</v>
      </c>
      <c r="C2943" s="1" t="s">
        <v>39</v>
      </c>
      <c r="D2943" s="1">
        <v>48995.0</v>
      </c>
      <c r="E2943" s="1" t="s">
        <v>19</v>
      </c>
      <c r="F2943" s="1" t="s">
        <v>41</v>
      </c>
      <c r="G2943" s="1" t="s">
        <v>100</v>
      </c>
      <c r="H2943" s="2">
        <v>2942.0</v>
      </c>
      <c r="I2943" s="2">
        <v>9750.0</v>
      </c>
      <c r="J2943" s="1">
        <v>2019.0</v>
      </c>
      <c r="K2943" s="1">
        <v>90.0</v>
      </c>
      <c r="L2943" s="1" t="s">
        <v>32</v>
      </c>
      <c r="M2943" s="1" t="s">
        <v>11807</v>
      </c>
      <c r="N2943" s="1" t="s">
        <v>34</v>
      </c>
      <c r="O2943" s="1" t="s">
        <v>25</v>
      </c>
      <c r="P2943" s="1" t="s">
        <v>11808</v>
      </c>
    </row>
    <row r="2944" ht="14.25" customHeight="1">
      <c r="A2944" s="1" t="s">
        <v>11809</v>
      </c>
      <c r="B2944" s="1" t="s">
        <v>11810</v>
      </c>
      <c r="C2944" s="1" t="s">
        <v>29</v>
      </c>
      <c r="D2944" s="1">
        <v>40673.0</v>
      </c>
      <c r="E2944" s="1" t="s">
        <v>60</v>
      </c>
      <c r="F2944" s="1" t="s">
        <v>61</v>
      </c>
      <c r="G2944" s="1" t="s">
        <v>55</v>
      </c>
      <c r="H2944" s="2">
        <v>3935.0</v>
      </c>
      <c r="I2944" s="2">
        <v>2887.0</v>
      </c>
      <c r="J2944" s="1">
        <v>1980.0</v>
      </c>
      <c r="K2944" s="1">
        <v>119.0</v>
      </c>
      <c r="L2944" s="1" t="s">
        <v>62</v>
      </c>
      <c r="M2944" s="1" t="s">
        <v>11811</v>
      </c>
      <c r="N2944" s="1" t="s">
        <v>34</v>
      </c>
      <c r="O2944" s="1" t="s">
        <v>25</v>
      </c>
      <c r="P2944" s="1" t="s">
        <v>11812</v>
      </c>
    </row>
    <row r="2945" ht="14.25" customHeight="1">
      <c r="A2945" s="1" t="s">
        <v>11813</v>
      </c>
      <c r="B2945" s="1" t="s">
        <v>11814</v>
      </c>
      <c r="C2945" s="1" t="s">
        <v>53</v>
      </c>
      <c r="D2945" s="1">
        <v>28140.0</v>
      </c>
      <c r="E2945" s="1" t="s">
        <v>40</v>
      </c>
      <c r="F2945" s="1" t="s">
        <v>61</v>
      </c>
      <c r="G2945" s="1" t="s">
        <v>21</v>
      </c>
      <c r="H2945" s="2">
        <v>1419.0</v>
      </c>
      <c r="I2945" s="2">
        <v>3083.0</v>
      </c>
      <c r="J2945" s="1">
        <v>2008.0</v>
      </c>
      <c r="K2945" s="1">
        <v>109.0</v>
      </c>
      <c r="L2945" s="1" t="s">
        <v>32</v>
      </c>
      <c r="M2945" s="1" t="s">
        <v>11815</v>
      </c>
      <c r="N2945" s="1" t="s">
        <v>48</v>
      </c>
      <c r="O2945" s="1" t="s">
        <v>35</v>
      </c>
      <c r="P2945" s="1" t="s">
        <v>11816</v>
      </c>
    </row>
    <row r="2946" ht="14.25" customHeight="1">
      <c r="A2946" s="1" t="s">
        <v>11817</v>
      </c>
      <c r="B2946" s="1" t="s">
        <v>11818</v>
      </c>
      <c r="C2946" s="1" t="s">
        <v>39</v>
      </c>
      <c r="D2946" s="1">
        <v>96257.0</v>
      </c>
      <c r="E2946" s="1" t="s">
        <v>77</v>
      </c>
      <c r="F2946" s="1" t="s">
        <v>20</v>
      </c>
      <c r="G2946" s="1" t="s">
        <v>21</v>
      </c>
      <c r="H2946" s="2">
        <v>2696.0</v>
      </c>
      <c r="I2946" s="2">
        <v>2581.0</v>
      </c>
      <c r="J2946" s="1">
        <v>2000.0</v>
      </c>
      <c r="K2946" s="1">
        <v>53.0</v>
      </c>
      <c r="L2946" s="1" t="s">
        <v>141</v>
      </c>
      <c r="M2946" s="1" t="s">
        <v>11819</v>
      </c>
      <c r="N2946" s="1" t="s">
        <v>24</v>
      </c>
      <c r="O2946" s="1" t="s">
        <v>49</v>
      </c>
      <c r="P2946" s="1" t="s">
        <v>11820</v>
      </c>
    </row>
    <row r="2947" ht="14.25" customHeight="1">
      <c r="A2947" s="1" t="s">
        <v>11821</v>
      </c>
      <c r="B2947" s="1" t="s">
        <v>11822</v>
      </c>
      <c r="C2947" s="1" t="s">
        <v>76</v>
      </c>
      <c r="D2947" s="1">
        <v>57075.0</v>
      </c>
      <c r="E2947" s="1" t="s">
        <v>77</v>
      </c>
      <c r="F2947" s="1" t="s">
        <v>61</v>
      </c>
      <c r="G2947" s="1" t="s">
        <v>31</v>
      </c>
      <c r="H2947" s="2">
        <v>2729.0</v>
      </c>
      <c r="I2947" s="2">
        <v>7204.0</v>
      </c>
      <c r="J2947" s="1">
        <v>1977.0</v>
      </c>
      <c r="K2947" s="1">
        <v>84.0</v>
      </c>
      <c r="L2947" s="1" t="s">
        <v>62</v>
      </c>
      <c r="M2947" s="1" t="s">
        <v>11823</v>
      </c>
      <c r="N2947" s="1" t="s">
        <v>48</v>
      </c>
      <c r="O2947" s="1" t="s">
        <v>35</v>
      </c>
      <c r="P2947" s="1" t="s">
        <v>11824</v>
      </c>
    </row>
    <row r="2948" ht="14.25" customHeight="1">
      <c r="A2948" s="1" t="s">
        <v>11825</v>
      </c>
      <c r="B2948" s="1" t="s">
        <v>11826</v>
      </c>
      <c r="C2948" s="1" t="s">
        <v>76</v>
      </c>
      <c r="D2948" s="1">
        <v>20228.0</v>
      </c>
      <c r="E2948" s="1" t="s">
        <v>60</v>
      </c>
      <c r="F2948" s="1" t="s">
        <v>41</v>
      </c>
      <c r="G2948" s="1" t="s">
        <v>31</v>
      </c>
      <c r="H2948" s="2">
        <v>3455.0</v>
      </c>
      <c r="I2948" s="2">
        <v>9429.0</v>
      </c>
      <c r="J2948" s="1">
        <v>1990.0</v>
      </c>
      <c r="K2948" s="1">
        <v>110.0</v>
      </c>
      <c r="L2948" s="1" t="s">
        <v>95</v>
      </c>
      <c r="M2948" s="1" t="s">
        <v>11827</v>
      </c>
      <c r="N2948" s="1" t="s">
        <v>24</v>
      </c>
      <c r="O2948" s="1" t="s">
        <v>35</v>
      </c>
      <c r="P2948" s="1" t="s">
        <v>11828</v>
      </c>
    </row>
    <row r="2949" ht="14.25" customHeight="1">
      <c r="A2949" s="1" t="s">
        <v>11829</v>
      </c>
      <c r="B2949" s="1" t="s">
        <v>11830</v>
      </c>
      <c r="C2949" s="1" t="s">
        <v>76</v>
      </c>
      <c r="D2949" s="1">
        <v>81096.0</v>
      </c>
      <c r="E2949" s="1" t="s">
        <v>60</v>
      </c>
      <c r="F2949" s="1" t="s">
        <v>20</v>
      </c>
      <c r="G2949" s="1" t="s">
        <v>21</v>
      </c>
      <c r="H2949" s="2">
        <v>2095.0</v>
      </c>
      <c r="I2949" s="2">
        <v>5672.0</v>
      </c>
      <c r="J2949" s="1">
        <v>1982.0</v>
      </c>
      <c r="K2949" s="1">
        <v>58.0</v>
      </c>
      <c r="L2949" s="1" t="s">
        <v>95</v>
      </c>
      <c r="M2949" s="1" t="s">
        <v>11831</v>
      </c>
      <c r="N2949" s="1" t="s">
        <v>43</v>
      </c>
      <c r="O2949" s="1" t="s">
        <v>49</v>
      </c>
      <c r="P2949" s="1" t="s">
        <v>11832</v>
      </c>
    </row>
    <row r="2950" ht="14.25" customHeight="1">
      <c r="A2950" s="1" t="s">
        <v>11833</v>
      </c>
      <c r="B2950" s="1" t="s">
        <v>11834</v>
      </c>
      <c r="C2950" s="1" t="s">
        <v>29</v>
      </c>
      <c r="D2950" s="1">
        <v>51176.0</v>
      </c>
      <c r="E2950" s="1" t="s">
        <v>77</v>
      </c>
      <c r="F2950" s="1" t="s">
        <v>54</v>
      </c>
      <c r="G2950" s="1" t="s">
        <v>21</v>
      </c>
      <c r="H2950" s="2">
        <v>3000.0</v>
      </c>
      <c r="I2950" s="2">
        <v>3035.0</v>
      </c>
      <c r="J2950" s="1">
        <v>1950.0</v>
      </c>
      <c r="K2950" s="1">
        <v>84.0</v>
      </c>
      <c r="L2950" s="1" t="s">
        <v>32</v>
      </c>
      <c r="M2950" s="1" t="s">
        <v>11835</v>
      </c>
      <c r="N2950" s="1" t="s">
        <v>24</v>
      </c>
      <c r="O2950" s="1" t="s">
        <v>35</v>
      </c>
      <c r="P2950" s="1" t="s">
        <v>11836</v>
      </c>
    </row>
    <row r="2951" ht="14.25" customHeight="1">
      <c r="A2951" s="1" t="s">
        <v>11837</v>
      </c>
      <c r="B2951" s="1" t="s">
        <v>11838</v>
      </c>
      <c r="C2951" s="1" t="s">
        <v>29</v>
      </c>
      <c r="D2951" s="1">
        <v>31282.0</v>
      </c>
      <c r="E2951" s="1" t="s">
        <v>19</v>
      </c>
      <c r="F2951" s="1" t="s">
        <v>20</v>
      </c>
      <c r="G2951" s="1" t="s">
        <v>31</v>
      </c>
      <c r="H2951" s="2">
        <v>3449.0</v>
      </c>
      <c r="I2951" s="2">
        <v>8631.0</v>
      </c>
      <c r="J2951" s="1">
        <v>1979.0</v>
      </c>
      <c r="K2951" s="1">
        <v>90.0</v>
      </c>
      <c r="L2951" s="1" t="s">
        <v>62</v>
      </c>
      <c r="M2951" s="1" t="s">
        <v>11839</v>
      </c>
      <c r="N2951" s="1" t="s">
        <v>34</v>
      </c>
      <c r="O2951" s="1" t="s">
        <v>25</v>
      </c>
      <c r="P2951" s="1" t="s">
        <v>11840</v>
      </c>
    </row>
    <row r="2952" ht="14.25" customHeight="1">
      <c r="A2952" s="1" t="s">
        <v>11841</v>
      </c>
      <c r="B2952" s="1" t="s">
        <v>11842</v>
      </c>
      <c r="C2952" s="1" t="s">
        <v>18</v>
      </c>
      <c r="D2952" s="1">
        <v>78722.0</v>
      </c>
      <c r="E2952" s="1" t="s">
        <v>40</v>
      </c>
      <c r="F2952" s="1" t="s">
        <v>41</v>
      </c>
      <c r="G2952" s="1" t="s">
        <v>100</v>
      </c>
      <c r="H2952" s="2">
        <v>1223.0</v>
      </c>
      <c r="I2952" s="2">
        <v>8807.0</v>
      </c>
      <c r="J2952" s="1">
        <v>2005.0</v>
      </c>
      <c r="K2952" s="1">
        <v>66.0</v>
      </c>
      <c r="L2952" s="1" t="s">
        <v>62</v>
      </c>
      <c r="M2952" s="1" t="s">
        <v>11843</v>
      </c>
      <c r="N2952" s="1" t="s">
        <v>34</v>
      </c>
      <c r="O2952" s="1" t="s">
        <v>25</v>
      </c>
      <c r="P2952" s="1" t="s">
        <v>11844</v>
      </c>
    </row>
    <row r="2953" ht="14.25" customHeight="1">
      <c r="A2953" s="1" t="s">
        <v>11845</v>
      </c>
      <c r="B2953" s="1" t="s">
        <v>11846</v>
      </c>
      <c r="C2953" s="1" t="s">
        <v>76</v>
      </c>
      <c r="D2953" s="1">
        <v>54506.0</v>
      </c>
      <c r="E2953" s="1" t="s">
        <v>60</v>
      </c>
      <c r="F2953" s="1" t="s">
        <v>54</v>
      </c>
      <c r="G2953" s="1" t="s">
        <v>55</v>
      </c>
      <c r="H2953" s="2">
        <v>2826.0</v>
      </c>
      <c r="I2953" s="2">
        <v>8121.0</v>
      </c>
      <c r="J2953" s="1">
        <v>1962.0</v>
      </c>
      <c r="K2953" s="1">
        <v>106.0</v>
      </c>
      <c r="L2953" s="1" t="s">
        <v>32</v>
      </c>
      <c r="M2953" s="1" t="s">
        <v>11847</v>
      </c>
      <c r="N2953" s="1" t="s">
        <v>48</v>
      </c>
      <c r="O2953" s="1" t="s">
        <v>49</v>
      </c>
      <c r="P2953" s="1" t="s">
        <v>11848</v>
      </c>
    </row>
    <row r="2954" ht="14.25" customHeight="1">
      <c r="A2954" s="1" t="s">
        <v>11849</v>
      </c>
      <c r="B2954" s="1" t="s">
        <v>11850</v>
      </c>
      <c r="C2954" s="1" t="s">
        <v>39</v>
      </c>
      <c r="D2954" s="1">
        <v>91219.0</v>
      </c>
      <c r="E2954" s="1" t="s">
        <v>60</v>
      </c>
      <c r="F2954" s="1" t="s">
        <v>61</v>
      </c>
      <c r="G2954" s="1" t="s">
        <v>21</v>
      </c>
      <c r="H2954" s="2">
        <v>2677.0</v>
      </c>
      <c r="I2954" s="2">
        <v>6781.0</v>
      </c>
      <c r="J2954" s="1">
        <v>1964.0</v>
      </c>
      <c r="K2954" s="1">
        <v>19.0</v>
      </c>
      <c r="L2954" s="1" t="s">
        <v>141</v>
      </c>
      <c r="M2954" s="1" t="s">
        <v>11851</v>
      </c>
      <c r="N2954" s="1" t="s">
        <v>43</v>
      </c>
      <c r="O2954" s="1" t="s">
        <v>49</v>
      </c>
      <c r="P2954" s="1" t="s">
        <v>11852</v>
      </c>
    </row>
    <row r="2955" ht="14.25" customHeight="1">
      <c r="A2955" s="1" t="s">
        <v>11853</v>
      </c>
      <c r="B2955" s="1" t="s">
        <v>11854</v>
      </c>
      <c r="C2955" s="1" t="s">
        <v>53</v>
      </c>
      <c r="D2955" s="1">
        <v>36687.0</v>
      </c>
      <c r="E2955" s="1" t="s">
        <v>40</v>
      </c>
      <c r="F2955" s="1" t="s">
        <v>41</v>
      </c>
      <c r="G2955" s="1" t="s">
        <v>55</v>
      </c>
      <c r="H2955" s="2">
        <v>2086.0</v>
      </c>
      <c r="I2955" s="2">
        <v>2264.0</v>
      </c>
      <c r="J2955" s="1">
        <v>1997.0</v>
      </c>
      <c r="K2955" s="1">
        <v>63.0</v>
      </c>
      <c r="L2955" s="1" t="s">
        <v>22</v>
      </c>
      <c r="M2955" s="1" t="s">
        <v>11855</v>
      </c>
      <c r="N2955" s="1" t="s">
        <v>34</v>
      </c>
      <c r="O2955" s="1" t="s">
        <v>35</v>
      </c>
      <c r="P2955" s="1" t="s">
        <v>11856</v>
      </c>
    </row>
    <row r="2956" ht="14.25" customHeight="1">
      <c r="A2956" s="1" t="s">
        <v>11857</v>
      </c>
      <c r="B2956" s="1" t="s">
        <v>11858</v>
      </c>
      <c r="C2956" s="1" t="s">
        <v>29</v>
      </c>
      <c r="D2956" s="1">
        <v>97184.0</v>
      </c>
      <c r="E2956" s="1" t="s">
        <v>40</v>
      </c>
      <c r="F2956" s="1" t="s">
        <v>61</v>
      </c>
      <c r="G2956" s="1" t="s">
        <v>100</v>
      </c>
      <c r="H2956" s="2">
        <v>1879.0</v>
      </c>
      <c r="I2956" s="2">
        <v>7859.0</v>
      </c>
      <c r="J2956" s="1">
        <v>2012.0</v>
      </c>
      <c r="K2956" s="1">
        <v>12.0</v>
      </c>
      <c r="L2956" s="1" t="s">
        <v>95</v>
      </c>
      <c r="M2956" s="1" t="s">
        <v>11859</v>
      </c>
      <c r="N2956" s="1" t="s">
        <v>48</v>
      </c>
      <c r="O2956" s="1" t="s">
        <v>49</v>
      </c>
      <c r="P2956" s="1" t="s">
        <v>11860</v>
      </c>
    </row>
    <row r="2957" ht="14.25" customHeight="1">
      <c r="A2957" s="1" t="s">
        <v>11861</v>
      </c>
      <c r="B2957" s="1" t="s">
        <v>11862</v>
      </c>
      <c r="C2957" s="1" t="s">
        <v>18</v>
      </c>
      <c r="D2957" s="1">
        <v>69637.0</v>
      </c>
      <c r="E2957" s="1" t="s">
        <v>30</v>
      </c>
      <c r="F2957" s="1" t="s">
        <v>54</v>
      </c>
      <c r="G2957" s="1" t="s">
        <v>21</v>
      </c>
      <c r="H2957" s="2">
        <v>1952.0</v>
      </c>
      <c r="I2957" s="2">
        <v>7526.0</v>
      </c>
      <c r="J2957" s="1">
        <v>1974.0</v>
      </c>
      <c r="K2957" s="1">
        <v>84.0</v>
      </c>
      <c r="L2957" s="1" t="s">
        <v>62</v>
      </c>
      <c r="M2957" s="1" t="s">
        <v>11863</v>
      </c>
      <c r="N2957" s="1" t="s">
        <v>64</v>
      </c>
      <c r="O2957" s="1" t="s">
        <v>35</v>
      </c>
      <c r="P2957" s="1" t="s">
        <v>11864</v>
      </c>
    </row>
    <row r="2958" ht="14.25" customHeight="1">
      <c r="A2958" s="1" t="s">
        <v>11865</v>
      </c>
      <c r="B2958" s="1" t="s">
        <v>11866</v>
      </c>
      <c r="C2958" s="1" t="s">
        <v>76</v>
      </c>
      <c r="D2958" s="1">
        <v>64803.0</v>
      </c>
      <c r="E2958" s="1" t="s">
        <v>40</v>
      </c>
      <c r="F2958" s="1" t="s">
        <v>61</v>
      </c>
      <c r="G2958" s="1" t="s">
        <v>100</v>
      </c>
      <c r="H2958" s="2">
        <v>2471.0</v>
      </c>
      <c r="I2958" s="2">
        <v>1915.0</v>
      </c>
      <c r="J2958" s="1">
        <v>1984.0</v>
      </c>
      <c r="K2958" s="1">
        <v>66.0</v>
      </c>
      <c r="L2958" s="1" t="s">
        <v>22</v>
      </c>
      <c r="M2958" s="1" t="s">
        <v>11867</v>
      </c>
      <c r="N2958" s="1" t="s">
        <v>43</v>
      </c>
      <c r="O2958" s="1" t="s">
        <v>25</v>
      </c>
      <c r="P2958" s="1" t="s">
        <v>11868</v>
      </c>
    </row>
    <row r="2959" ht="14.25" customHeight="1">
      <c r="A2959" s="1" t="s">
        <v>11869</v>
      </c>
      <c r="B2959" s="1" t="s">
        <v>11870</v>
      </c>
      <c r="C2959" s="1" t="s">
        <v>29</v>
      </c>
      <c r="D2959" s="1">
        <v>13536.0</v>
      </c>
      <c r="E2959" s="1" t="s">
        <v>77</v>
      </c>
      <c r="F2959" s="1" t="s">
        <v>41</v>
      </c>
      <c r="G2959" s="1" t="s">
        <v>55</v>
      </c>
      <c r="H2959" s="2">
        <v>1122.0</v>
      </c>
      <c r="I2959" s="2">
        <v>1406.0</v>
      </c>
      <c r="J2959" s="1">
        <v>2011.0</v>
      </c>
      <c r="K2959" s="1">
        <v>62.0</v>
      </c>
      <c r="L2959" s="1" t="s">
        <v>141</v>
      </c>
      <c r="M2959" s="1" t="s">
        <v>11871</v>
      </c>
      <c r="N2959" s="1" t="s">
        <v>24</v>
      </c>
      <c r="O2959" s="1" t="s">
        <v>49</v>
      </c>
      <c r="P2959" s="1" t="s">
        <v>11872</v>
      </c>
    </row>
    <row r="2960" ht="14.25" customHeight="1">
      <c r="A2960" s="1" t="s">
        <v>11873</v>
      </c>
      <c r="B2960" s="1" t="s">
        <v>11874</v>
      </c>
      <c r="C2960" s="1" t="s">
        <v>29</v>
      </c>
      <c r="D2960" s="1">
        <v>22788.0</v>
      </c>
      <c r="E2960" s="1" t="s">
        <v>30</v>
      </c>
      <c r="F2960" s="1" t="s">
        <v>46</v>
      </c>
      <c r="G2960" s="1" t="s">
        <v>100</v>
      </c>
      <c r="H2960" s="2">
        <v>937.0</v>
      </c>
      <c r="I2960" s="2">
        <v>4818.0</v>
      </c>
      <c r="J2960" s="1">
        <v>1953.0</v>
      </c>
      <c r="K2960" s="1">
        <v>49.0</v>
      </c>
      <c r="L2960" s="1" t="s">
        <v>22</v>
      </c>
      <c r="M2960" s="1" t="s">
        <v>11875</v>
      </c>
      <c r="N2960" s="1" t="s">
        <v>24</v>
      </c>
      <c r="O2960" s="1" t="s">
        <v>49</v>
      </c>
      <c r="P2960" s="1" t="s">
        <v>11876</v>
      </c>
    </row>
    <row r="2961" ht="14.25" customHeight="1">
      <c r="A2961" s="1" t="s">
        <v>11877</v>
      </c>
      <c r="B2961" s="1" t="s">
        <v>11878</v>
      </c>
      <c r="C2961" s="1" t="s">
        <v>39</v>
      </c>
      <c r="D2961" s="1">
        <v>59416.0</v>
      </c>
      <c r="E2961" s="1" t="s">
        <v>40</v>
      </c>
      <c r="F2961" s="1" t="s">
        <v>94</v>
      </c>
      <c r="G2961" s="1" t="s">
        <v>21</v>
      </c>
      <c r="H2961" s="2">
        <v>2211.0</v>
      </c>
      <c r="I2961" s="2">
        <v>8363.0</v>
      </c>
      <c r="J2961" s="1">
        <v>2017.0</v>
      </c>
      <c r="K2961" s="1">
        <v>45.0</v>
      </c>
      <c r="L2961" s="1" t="s">
        <v>22</v>
      </c>
      <c r="M2961" s="1" t="s">
        <v>11879</v>
      </c>
      <c r="N2961" s="1" t="s">
        <v>24</v>
      </c>
      <c r="O2961" s="1" t="s">
        <v>35</v>
      </c>
      <c r="P2961" s="1" t="s">
        <v>11880</v>
      </c>
    </row>
    <row r="2962" ht="14.25" customHeight="1">
      <c r="A2962" s="1" t="s">
        <v>11881</v>
      </c>
      <c r="B2962" s="1" t="s">
        <v>11882</v>
      </c>
      <c r="C2962" s="1" t="s">
        <v>53</v>
      </c>
      <c r="D2962" s="1">
        <v>79542.0</v>
      </c>
      <c r="E2962" s="1" t="s">
        <v>30</v>
      </c>
      <c r="F2962" s="1" t="s">
        <v>46</v>
      </c>
      <c r="G2962" s="1" t="s">
        <v>21</v>
      </c>
      <c r="H2962" s="2">
        <v>2011.0</v>
      </c>
      <c r="I2962" s="2">
        <v>6213.0</v>
      </c>
      <c r="J2962" s="1">
        <v>1969.0</v>
      </c>
      <c r="K2962" s="1">
        <v>86.0</v>
      </c>
      <c r="L2962" s="1" t="s">
        <v>22</v>
      </c>
      <c r="M2962" s="1" t="s">
        <v>11883</v>
      </c>
      <c r="N2962" s="1" t="s">
        <v>34</v>
      </c>
      <c r="O2962" s="1" t="s">
        <v>25</v>
      </c>
      <c r="P2962" s="1" t="s">
        <v>11884</v>
      </c>
    </row>
    <row r="2963" ht="14.25" customHeight="1">
      <c r="A2963" s="1" t="s">
        <v>11885</v>
      </c>
      <c r="B2963" s="1" t="s">
        <v>11886</v>
      </c>
      <c r="C2963" s="1" t="s">
        <v>76</v>
      </c>
      <c r="D2963" s="1">
        <v>25725.0</v>
      </c>
      <c r="E2963" s="1" t="s">
        <v>19</v>
      </c>
      <c r="F2963" s="1" t="s">
        <v>46</v>
      </c>
      <c r="G2963" s="1" t="s">
        <v>100</v>
      </c>
      <c r="H2963" s="2">
        <v>3861.0</v>
      </c>
      <c r="I2963" s="2">
        <v>5073.0</v>
      </c>
      <c r="J2963" s="1">
        <v>2023.0</v>
      </c>
      <c r="K2963" s="1">
        <v>119.0</v>
      </c>
      <c r="L2963" s="1" t="s">
        <v>22</v>
      </c>
      <c r="M2963" s="1" t="s">
        <v>11887</v>
      </c>
      <c r="N2963" s="1" t="s">
        <v>64</v>
      </c>
      <c r="O2963" s="1" t="s">
        <v>25</v>
      </c>
      <c r="P2963" s="1" t="s">
        <v>11888</v>
      </c>
    </row>
    <row r="2964" ht="14.25" customHeight="1">
      <c r="A2964" s="1" t="s">
        <v>11889</v>
      </c>
      <c r="B2964" s="1" t="s">
        <v>11890</v>
      </c>
      <c r="C2964" s="1" t="s">
        <v>76</v>
      </c>
      <c r="D2964" s="1">
        <v>42585.0</v>
      </c>
      <c r="E2964" s="1" t="s">
        <v>19</v>
      </c>
      <c r="F2964" s="1" t="s">
        <v>41</v>
      </c>
      <c r="G2964" s="1" t="s">
        <v>55</v>
      </c>
      <c r="H2964" s="2">
        <v>1765.0</v>
      </c>
      <c r="I2964" s="2">
        <v>7387.0</v>
      </c>
      <c r="J2964" s="1">
        <v>1974.0</v>
      </c>
      <c r="K2964" s="1">
        <v>12.0</v>
      </c>
      <c r="L2964" s="1" t="s">
        <v>22</v>
      </c>
      <c r="M2964" s="1" t="s">
        <v>11891</v>
      </c>
      <c r="N2964" s="1" t="s">
        <v>34</v>
      </c>
      <c r="O2964" s="1" t="s">
        <v>25</v>
      </c>
      <c r="P2964" s="1" t="s">
        <v>11892</v>
      </c>
    </row>
    <row r="2965" ht="14.25" customHeight="1">
      <c r="A2965" s="1" t="s">
        <v>11893</v>
      </c>
      <c r="B2965" s="1" t="s">
        <v>11894</v>
      </c>
      <c r="C2965" s="1" t="s">
        <v>29</v>
      </c>
      <c r="D2965" s="1">
        <v>12612.0</v>
      </c>
      <c r="E2965" s="1" t="s">
        <v>30</v>
      </c>
      <c r="F2965" s="1" t="s">
        <v>61</v>
      </c>
      <c r="G2965" s="1" t="s">
        <v>21</v>
      </c>
      <c r="H2965" s="2">
        <v>2003.0</v>
      </c>
      <c r="I2965" s="2">
        <v>5049.0</v>
      </c>
      <c r="J2965" s="1">
        <v>1952.0</v>
      </c>
      <c r="K2965" s="1">
        <v>21.0</v>
      </c>
      <c r="L2965" s="1" t="s">
        <v>141</v>
      </c>
      <c r="M2965" s="1" t="s">
        <v>11895</v>
      </c>
      <c r="N2965" s="1" t="s">
        <v>48</v>
      </c>
      <c r="O2965" s="1" t="s">
        <v>25</v>
      </c>
      <c r="P2965" s="1" t="s">
        <v>11896</v>
      </c>
    </row>
    <row r="2966" ht="14.25" customHeight="1">
      <c r="A2966" s="1" t="s">
        <v>11897</v>
      </c>
      <c r="B2966" s="1" t="s">
        <v>11898</v>
      </c>
      <c r="C2966" s="1" t="s">
        <v>76</v>
      </c>
      <c r="D2966" s="1">
        <v>76081.0</v>
      </c>
      <c r="E2966" s="1" t="s">
        <v>30</v>
      </c>
      <c r="F2966" s="1" t="s">
        <v>20</v>
      </c>
      <c r="G2966" s="1" t="s">
        <v>21</v>
      </c>
      <c r="H2966" s="2">
        <v>3095.0</v>
      </c>
      <c r="I2966" s="2">
        <v>4763.0</v>
      </c>
      <c r="J2966" s="1">
        <v>2017.0</v>
      </c>
      <c r="K2966" s="1">
        <v>45.0</v>
      </c>
      <c r="L2966" s="1" t="s">
        <v>32</v>
      </c>
      <c r="M2966" s="1" t="s">
        <v>11899</v>
      </c>
      <c r="N2966" s="1" t="s">
        <v>43</v>
      </c>
      <c r="O2966" s="1" t="s">
        <v>25</v>
      </c>
      <c r="P2966" s="1" t="s">
        <v>11900</v>
      </c>
    </row>
    <row r="2967" ht="14.25" customHeight="1">
      <c r="A2967" s="1" t="s">
        <v>11901</v>
      </c>
      <c r="B2967" s="1" t="s">
        <v>11902</v>
      </c>
      <c r="C2967" s="1" t="s">
        <v>53</v>
      </c>
      <c r="D2967" s="1">
        <v>95141.0</v>
      </c>
      <c r="E2967" s="1" t="s">
        <v>40</v>
      </c>
      <c r="F2967" s="1" t="s">
        <v>61</v>
      </c>
      <c r="G2967" s="1" t="s">
        <v>100</v>
      </c>
      <c r="H2967" s="2">
        <v>944.0</v>
      </c>
      <c r="I2967" s="2">
        <v>7667.0</v>
      </c>
      <c r="J2967" s="1">
        <v>1995.0</v>
      </c>
      <c r="K2967" s="1">
        <v>64.0</v>
      </c>
      <c r="L2967" s="1" t="s">
        <v>22</v>
      </c>
      <c r="M2967" s="1" t="s">
        <v>11903</v>
      </c>
      <c r="N2967" s="1" t="s">
        <v>34</v>
      </c>
      <c r="O2967" s="1" t="s">
        <v>25</v>
      </c>
      <c r="P2967" s="1" t="s">
        <v>11904</v>
      </c>
    </row>
    <row r="2968" ht="14.25" customHeight="1">
      <c r="A2968" s="1" t="s">
        <v>11905</v>
      </c>
      <c r="B2968" s="1" t="s">
        <v>11906</v>
      </c>
      <c r="C2968" s="1" t="s">
        <v>18</v>
      </c>
      <c r="D2968" s="1">
        <v>36770.0</v>
      </c>
      <c r="E2968" s="1" t="s">
        <v>77</v>
      </c>
      <c r="F2968" s="1" t="s">
        <v>46</v>
      </c>
      <c r="G2968" s="1" t="s">
        <v>31</v>
      </c>
      <c r="H2968" s="2">
        <v>3059.0</v>
      </c>
      <c r="I2968" s="2">
        <v>1551.0</v>
      </c>
      <c r="J2968" s="1">
        <v>1969.0</v>
      </c>
      <c r="K2968" s="1">
        <v>99.0</v>
      </c>
      <c r="L2968" s="1" t="s">
        <v>141</v>
      </c>
      <c r="M2968" s="1" t="s">
        <v>11907</v>
      </c>
      <c r="N2968" s="1" t="s">
        <v>43</v>
      </c>
      <c r="O2968" s="1" t="s">
        <v>35</v>
      </c>
      <c r="P2968" s="1" t="s">
        <v>11908</v>
      </c>
    </row>
    <row r="2969" ht="14.25" customHeight="1">
      <c r="A2969" s="1" t="s">
        <v>11909</v>
      </c>
      <c r="B2969" s="1" t="s">
        <v>11910</v>
      </c>
      <c r="C2969" s="1" t="s">
        <v>18</v>
      </c>
      <c r="D2969" s="1">
        <v>74466.0</v>
      </c>
      <c r="E2969" s="1" t="s">
        <v>40</v>
      </c>
      <c r="F2969" s="1" t="s">
        <v>94</v>
      </c>
      <c r="G2969" s="1" t="s">
        <v>31</v>
      </c>
      <c r="H2969" s="2">
        <v>1321.0</v>
      </c>
      <c r="I2969" s="2">
        <v>9824.0</v>
      </c>
      <c r="J2969" s="1">
        <v>1958.0</v>
      </c>
      <c r="K2969" s="1">
        <v>4.0</v>
      </c>
      <c r="L2969" s="1" t="s">
        <v>62</v>
      </c>
      <c r="M2969" s="1" t="s">
        <v>11911</v>
      </c>
      <c r="N2969" s="1" t="s">
        <v>34</v>
      </c>
      <c r="O2969" s="1" t="s">
        <v>25</v>
      </c>
      <c r="P2969" s="1" t="s">
        <v>11912</v>
      </c>
    </row>
    <row r="2970" ht="14.25" customHeight="1">
      <c r="A2970" s="1" t="s">
        <v>11913</v>
      </c>
      <c r="B2970" s="1" t="s">
        <v>11914</v>
      </c>
      <c r="C2970" s="1" t="s">
        <v>39</v>
      </c>
      <c r="D2970" s="1">
        <v>35803.0</v>
      </c>
      <c r="E2970" s="1" t="s">
        <v>60</v>
      </c>
      <c r="F2970" s="1" t="s">
        <v>54</v>
      </c>
      <c r="G2970" s="1" t="s">
        <v>100</v>
      </c>
      <c r="H2970" s="2">
        <v>2967.0</v>
      </c>
      <c r="I2970" s="2">
        <v>6454.0</v>
      </c>
      <c r="J2970" s="1">
        <v>2009.0</v>
      </c>
      <c r="K2970" s="1">
        <v>74.0</v>
      </c>
      <c r="L2970" s="1" t="s">
        <v>141</v>
      </c>
      <c r="M2970" s="1" t="s">
        <v>11915</v>
      </c>
      <c r="N2970" s="1" t="s">
        <v>24</v>
      </c>
      <c r="O2970" s="1" t="s">
        <v>49</v>
      </c>
      <c r="P2970" s="1" t="s">
        <v>11916</v>
      </c>
    </row>
    <row r="2971" ht="14.25" customHeight="1">
      <c r="A2971" s="1" t="s">
        <v>11917</v>
      </c>
      <c r="B2971" s="1" t="s">
        <v>11918</v>
      </c>
      <c r="C2971" s="1" t="s">
        <v>18</v>
      </c>
      <c r="D2971" s="1">
        <v>94424.0</v>
      </c>
      <c r="E2971" s="1" t="s">
        <v>30</v>
      </c>
      <c r="F2971" s="1" t="s">
        <v>94</v>
      </c>
      <c r="G2971" s="1" t="s">
        <v>100</v>
      </c>
      <c r="H2971" s="2">
        <v>2050.0</v>
      </c>
      <c r="I2971" s="2">
        <v>9573.0</v>
      </c>
      <c r="J2971" s="1">
        <v>1957.0</v>
      </c>
      <c r="K2971" s="1">
        <v>73.0</v>
      </c>
      <c r="L2971" s="1" t="s">
        <v>62</v>
      </c>
      <c r="M2971" s="1" t="s">
        <v>11919</v>
      </c>
      <c r="N2971" s="1" t="s">
        <v>64</v>
      </c>
      <c r="O2971" s="1" t="s">
        <v>35</v>
      </c>
      <c r="P2971" s="1" t="s">
        <v>11920</v>
      </c>
    </row>
    <row r="2972" ht="14.25" customHeight="1">
      <c r="A2972" s="1" t="s">
        <v>11921</v>
      </c>
      <c r="B2972" s="1" t="s">
        <v>11922</v>
      </c>
      <c r="C2972" s="1" t="s">
        <v>53</v>
      </c>
      <c r="D2972" s="1">
        <v>38506.0</v>
      </c>
      <c r="E2972" s="1" t="s">
        <v>30</v>
      </c>
      <c r="F2972" s="1" t="s">
        <v>41</v>
      </c>
      <c r="G2972" s="1" t="s">
        <v>100</v>
      </c>
      <c r="H2972" s="2">
        <v>2379.0</v>
      </c>
      <c r="I2972" s="2">
        <v>5800.0</v>
      </c>
      <c r="J2972" s="1">
        <v>1994.0</v>
      </c>
      <c r="K2972" s="1">
        <v>113.0</v>
      </c>
      <c r="L2972" s="1" t="s">
        <v>95</v>
      </c>
      <c r="M2972" s="1" t="s">
        <v>11923</v>
      </c>
      <c r="N2972" s="1" t="s">
        <v>24</v>
      </c>
      <c r="O2972" s="1" t="s">
        <v>25</v>
      </c>
      <c r="P2972" s="1" t="s">
        <v>11924</v>
      </c>
    </row>
    <row r="2973" ht="14.25" customHeight="1">
      <c r="A2973" s="1" t="s">
        <v>11925</v>
      </c>
      <c r="B2973" s="1" t="s">
        <v>11926</v>
      </c>
      <c r="C2973" s="1" t="s">
        <v>53</v>
      </c>
      <c r="D2973" s="1">
        <v>64432.0</v>
      </c>
      <c r="E2973" s="1" t="s">
        <v>30</v>
      </c>
      <c r="F2973" s="1" t="s">
        <v>54</v>
      </c>
      <c r="G2973" s="1" t="s">
        <v>31</v>
      </c>
      <c r="H2973" s="2">
        <v>1846.0</v>
      </c>
      <c r="I2973" s="2">
        <v>7220.0</v>
      </c>
      <c r="J2973" s="1">
        <v>1957.0</v>
      </c>
      <c r="K2973" s="1">
        <v>117.0</v>
      </c>
      <c r="L2973" s="1" t="s">
        <v>22</v>
      </c>
      <c r="M2973" s="1" t="s">
        <v>11927</v>
      </c>
      <c r="N2973" s="1" t="s">
        <v>43</v>
      </c>
      <c r="O2973" s="1" t="s">
        <v>49</v>
      </c>
      <c r="P2973" s="1" t="s">
        <v>11928</v>
      </c>
    </row>
    <row r="2974" ht="14.25" customHeight="1">
      <c r="A2974" s="1" t="s">
        <v>11929</v>
      </c>
      <c r="B2974" s="1" t="s">
        <v>11930</v>
      </c>
      <c r="C2974" s="1" t="s">
        <v>53</v>
      </c>
      <c r="D2974" s="1">
        <v>65534.0</v>
      </c>
      <c r="E2974" s="1" t="s">
        <v>40</v>
      </c>
      <c r="F2974" s="1" t="s">
        <v>54</v>
      </c>
      <c r="G2974" s="1" t="s">
        <v>55</v>
      </c>
      <c r="H2974" s="2">
        <v>2961.0</v>
      </c>
      <c r="I2974" s="2">
        <v>3830.0</v>
      </c>
      <c r="J2974" s="1">
        <v>1970.0</v>
      </c>
      <c r="K2974" s="1">
        <v>76.0</v>
      </c>
      <c r="L2974" s="1" t="s">
        <v>95</v>
      </c>
      <c r="M2974" s="1" t="s">
        <v>11931</v>
      </c>
      <c r="N2974" s="1" t="s">
        <v>24</v>
      </c>
      <c r="O2974" s="1" t="s">
        <v>49</v>
      </c>
      <c r="P2974" s="1" t="s">
        <v>11932</v>
      </c>
    </row>
    <row r="2975" ht="14.25" customHeight="1">
      <c r="A2975" s="1" t="s">
        <v>11933</v>
      </c>
      <c r="B2975" s="1" t="s">
        <v>11934</v>
      </c>
      <c r="C2975" s="1" t="s">
        <v>53</v>
      </c>
      <c r="D2975" s="1">
        <v>84171.0</v>
      </c>
      <c r="E2975" s="1" t="s">
        <v>60</v>
      </c>
      <c r="F2975" s="1" t="s">
        <v>46</v>
      </c>
      <c r="G2975" s="1" t="s">
        <v>31</v>
      </c>
      <c r="H2975" s="2">
        <v>2610.0</v>
      </c>
      <c r="I2975" s="2">
        <v>9730.0</v>
      </c>
      <c r="J2975" s="1">
        <v>1959.0</v>
      </c>
      <c r="K2975" s="1">
        <v>18.0</v>
      </c>
      <c r="L2975" s="1" t="s">
        <v>22</v>
      </c>
      <c r="M2975" s="1" t="s">
        <v>11935</v>
      </c>
      <c r="N2975" s="1" t="s">
        <v>43</v>
      </c>
      <c r="O2975" s="1" t="s">
        <v>49</v>
      </c>
      <c r="P2975" s="1" t="s">
        <v>11936</v>
      </c>
    </row>
    <row r="2976" ht="14.25" customHeight="1">
      <c r="A2976" s="1" t="s">
        <v>11937</v>
      </c>
      <c r="B2976" s="1" t="s">
        <v>11938</v>
      </c>
      <c r="C2976" s="1" t="s">
        <v>29</v>
      </c>
      <c r="D2976" s="1">
        <v>65770.0</v>
      </c>
      <c r="E2976" s="1" t="s">
        <v>19</v>
      </c>
      <c r="F2976" s="1" t="s">
        <v>94</v>
      </c>
      <c r="G2976" s="1" t="s">
        <v>100</v>
      </c>
      <c r="H2976" s="2">
        <v>3429.0</v>
      </c>
      <c r="I2976" s="2">
        <v>7503.0</v>
      </c>
      <c r="J2976" s="1">
        <v>2023.0</v>
      </c>
      <c r="K2976" s="1">
        <v>51.0</v>
      </c>
      <c r="L2976" s="1" t="s">
        <v>62</v>
      </c>
      <c r="M2976" s="1" t="s">
        <v>11939</v>
      </c>
      <c r="N2976" s="1" t="s">
        <v>24</v>
      </c>
      <c r="O2976" s="1" t="s">
        <v>25</v>
      </c>
      <c r="P2976" s="1" t="s">
        <v>11940</v>
      </c>
    </row>
    <row r="2977" ht="14.25" customHeight="1">
      <c r="A2977" s="1" t="s">
        <v>11941</v>
      </c>
      <c r="B2977" s="1" t="s">
        <v>11942</v>
      </c>
      <c r="C2977" s="1" t="s">
        <v>76</v>
      </c>
      <c r="D2977" s="1">
        <v>67187.0</v>
      </c>
      <c r="E2977" s="1" t="s">
        <v>60</v>
      </c>
      <c r="F2977" s="1" t="s">
        <v>20</v>
      </c>
      <c r="G2977" s="1" t="s">
        <v>21</v>
      </c>
      <c r="H2977" s="2">
        <v>3452.0</v>
      </c>
      <c r="I2977" s="2">
        <v>6175.0</v>
      </c>
      <c r="J2977" s="1">
        <v>1954.0</v>
      </c>
      <c r="K2977" s="1">
        <v>2.0</v>
      </c>
      <c r="L2977" s="1" t="s">
        <v>22</v>
      </c>
      <c r="M2977" s="1" t="s">
        <v>11943</v>
      </c>
      <c r="N2977" s="1" t="s">
        <v>43</v>
      </c>
      <c r="O2977" s="1" t="s">
        <v>35</v>
      </c>
      <c r="P2977" s="1" t="s">
        <v>11944</v>
      </c>
    </row>
    <row r="2978" ht="14.25" customHeight="1">
      <c r="A2978" s="1" t="s">
        <v>11945</v>
      </c>
      <c r="B2978" s="1" t="s">
        <v>11946</v>
      </c>
      <c r="C2978" s="1" t="s">
        <v>53</v>
      </c>
      <c r="D2978" s="1">
        <v>50359.0</v>
      </c>
      <c r="E2978" s="1" t="s">
        <v>30</v>
      </c>
      <c r="F2978" s="1" t="s">
        <v>41</v>
      </c>
      <c r="G2978" s="1" t="s">
        <v>100</v>
      </c>
      <c r="H2978" s="2">
        <v>1237.0</v>
      </c>
      <c r="I2978" s="2">
        <v>7144.0</v>
      </c>
      <c r="J2978" s="1">
        <v>1986.0</v>
      </c>
      <c r="K2978" s="1">
        <v>45.0</v>
      </c>
      <c r="L2978" s="1" t="s">
        <v>95</v>
      </c>
      <c r="M2978" s="1" t="s">
        <v>11947</v>
      </c>
      <c r="N2978" s="1" t="s">
        <v>48</v>
      </c>
      <c r="O2978" s="1" t="s">
        <v>25</v>
      </c>
      <c r="P2978" s="1" t="s">
        <v>11948</v>
      </c>
    </row>
    <row r="2979" ht="14.25" customHeight="1">
      <c r="A2979" s="1" t="s">
        <v>11949</v>
      </c>
      <c r="B2979" s="1" t="s">
        <v>11950</v>
      </c>
      <c r="C2979" s="1" t="s">
        <v>18</v>
      </c>
      <c r="D2979" s="1">
        <v>52545.0</v>
      </c>
      <c r="E2979" s="1" t="s">
        <v>30</v>
      </c>
      <c r="F2979" s="1" t="s">
        <v>20</v>
      </c>
      <c r="G2979" s="1" t="s">
        <v>21</v>
      </c>
      <c r="H2979" s="2">
        <v>1861.0</v>
      </c>
      <c r="I2979" s="2">
        <v>6552.0</v>
      </c>
      <c r="J2979" s="1">
        <v>1983.0</v>
      </c>
      <c r="K2979" s="1">
        <v>71.0</v>
      </c>
      <c r="L2979" s="1" t="s">
        <v>62</v>
      </c>
      <c r="M2979" s="1" t="s">
        <v>11951</v>
      </c>
      <c r="N2979" s="1" t="s">
        <v>48</v>
      </c>
      <c r="O2979" s="1" t="s">
        <v>25</v>
      </c>
      <c r="P2979" s="1" t="s">
        <v>11952</v>
      </c>
    </row>
    <row r="2980" ht="14.25" customHeight="1">
      <c r="A2980" s="1" t="s">
        <v>11953</v>
      </c>
      <c r="B2980" s="1" t="s">
        <v>11954</v>
      </c>
      <c r="C2980" s="1" t="s">
        <v>39</v>
      </c>
      <c r="D2980" s="1">
        <v>22390.0</v>
      </c>
      <c r="E2980" s="1" t="s">
        <v>30</v>
      </c>
      <c r="F2980" s="1" t="s">
        <v>20</v>
      </c>
      <c r="G2980" s="1" t="s">
        <v>100</v>
      </c>
      <c r="H2980" s="2">
        <v>1152.0</v>
      </c>
      <c r="I2980" s="2">
        <v>9537.0</v>
      </c>
      <c r="J2980" s="1">
        <v>1998.0</v>
      </c>
      <c r="K2980" s="1">
        <v>20.0</v>
      </c>
      <c r="L2980" s="1" t="s">
        <v>22</v>
      </c>
      <c r="M2980" s="1" t="s">
        <v>11955</v>
      </c>
      <c r="N2980" s="1" t="s">
        <v>34</v>
      </c>
      <c r="O2980" s="1" t="s">
        <v>25</v>
      </c>
      <c r="P2980" s="1" t="s">
        <v>11956</v>
      </c>
    </row>
    <row r="2981" ht="14.25" customHeight="1">
      <c r="A2981" s="1" t="s">
        <v>11957</v>
      </c>
      <c r="B2981" s="1" t="s">
        <v>11958</v>
      </c>
      <c r="C2981" s="1" t="s">
        <v>39</v>
      </c>
      <c r="D2981" s="1">
        <v>13327.0</v>
      </c>
      <c r="E2981" s="1" t="s">
        <v>19</v>
      </c>
      <c r="F2981" s="1" t="s">
        <v>41</v>
      </c>
      <c r="G2981" s="1" t="s">
        <v>31</v>
      </c>
      <c r="H2981" s="2">
        <v>1047.0</v>
      </c>
      <c r="I2981" s="2">
        <v>1757.0</v>
      </c>
      <c r="J2981" s="1">
        <v>1954.0</v>
      </c>
      <c r="K2981" s="1">
        <v>60.0</v>
      </c>
      <c r="L2981" s="1" t="s">
        <v>95</v>
      </c>
      <c r="M2981" s="1" t="s">
        <v>11959</v>
      </c>
      <c r="N2981" s="1" t="s">
        <v>43</v>
      </c>
      <c r="O2981" s="1" t="s">
        <v>35</v>
      </c>
      <c r="P2981" s="1" t="s">
        <v>11960</v>
      </c>
    </row>
    <row r="2982" ht="14.25" customHeight="1">
      <c r="A2982" s="1" t="s">
        <v>11961</v>
      </c>
      <c r="B2982" s="1" t="s">
        <v>11962</v>
      </c>
      <c r="C2982" s="1" t="s">
        <v>29</v>
      </c>
      <c r="D2982" s="1">
        <v>88090.0</v>
      </c>
      <c r="E2982" s="1" t="s">
        <v>19</v>
      </c>
      <c r="F2982" s="1" t="s">
        <v>46</v>
      </c>
      <c r="G2982" s="1" t="s">
        <v>21</v>
      </c>
      <c r="H2982" s="2">
        <v>3915.0</v>
      </c>
      <c r="I2982" s="2">
        <v>1747.0</v>
      </c>
      <c r="J2982" s="1">
        <v>1982.0</v>
      </c>
      <c r="K2982" s="1">
        <v>20.0</v>
      </c>
      <c r="L2982" s="1" t="s">
        <v>141</v>
      </c>
      <c r="M2982" s="1" t="s">
        <v>11963</v>
      </c>
      <c r="N2982" s="1" t="s">
        <v>24</v>
      </c>
      <c r="O2982" s="1" t="s">
        <v>49</v>
      </c>
      <c r="P2982" s="1" t="s">
        <v>11964</v>
      </c>
    </row>
    <row r="2983" ht="14.25" customHeight="1">
      <c r="A2983" s="1" t="s">
        <v>11965</v>
      </c>
      <c r="B2983" s="1" t="s">
        <v>11966</v>
      </c>
      <c r="C2983" s="1" t="s">
        <v>76</v>
      </c>
      <c r="D2983" s="1">
        <v>83512.0</v>
      </c>
      <c r="E2983" s="1" t="s">
        <v>60</v>
      </c>
      <c r="F2983" s="1" t="s">
        <v>61</v>
      </c>
      <c r="G2983" s="1" t="s">
        <v>31</v>
      </c>
      <c r="H2983" s="2">
        <v>1743.0</v>
      </c>
      <c r="I2983" s="2">
        <v>2671.0</v>
      </c>
      <c r="J2983" s="1">
        <v>2019.0</v>
      </c>
      <c r="K2983" s="1">
        <v>21.0</v>
      </c>
      <c r="L2983" s="1" t="s">
        <v>22</v>
      </c>
      <c r="M2983" s="1" t="s">
        <v>11967</v>
      </c>
      <c r="N2983" s="1" t="s">
        <v>34</v>
      </c>
      <c r="O2983" s="1" t="s">
        <v>25</v>
      </c>
      <c r="P2983" s="1" t="s">
        <v>11968</v>
      </c>
    </row>
    <row r="2984" ht="14.25" customHeight="1">
      <c r="A2984" s="1" t="s">
        <v>11969</v>
      </c>
      <c r="B2984" s="1" t="s">
        <v>11970</v>
      </c>
      <c r="C2984" s="1" t="s">
        <v>29</v>
      </c>
      <c r="D2984" s="1">
        <v>60525.0</v>
      </c>
      <c r="E2984" s="1" t="s">
        <v>30</v>
      </c>
      <c r="F2984" s="1" t="s">
        <v>46</v>
      </c>
      <c r="G2984" s="1" t="s">
        <v>21</v>
      </c>
      <c r="H2984" s="2">
        <v>2079.0</v>
      </c>
      <c r="I2984" s="2">
        <v>5705.0</v>
      </c>
      <c r="J2984" s="1">
        <v>2020.0</v>
      </c>
      <c r="K2984" s="1">
        <v>23.0</v>
      </c>
      <c r="L2984" s="1" t="s">
        <v>141</v>
      </c>
      <c r="M2984" s="1" t="s">
        <v>11971</v>
      </c>
      <c r="N2984" s="1" t="s">
        <v>48</v>
      </c>
      <c r="O2984" s="1" t="s">
        <v>49</v>
      </c>
      <c r="P2984" s="1" t="s">
        <v>11972</v>
      </c>
    </row>
    <row r="2985" ht="14.25" customHeight="1">
      <c r="A2985" s="1" t="s">
        <v>11973</v>
      </c>
      <c r="B2985" s="1" t="s">
        <v>11974</v>
      </c>
      <c r="C2985" s="1" t="s">
        <v>29</v>
      </c>
      <c r="D2985" s="1">
        <v>35039.0</v>
      </c>
      <c r="E2985" s="1" t="s">
        <v>19</v>
      </c>
      <c r="F2985" s="1" t="s">
        <v>46</v>
      </c>
      <c r="G2985" s="1" t="s">
        <v>100</v>
      </c>
      <c r="H2985" s="2">
        <v>3303.0</v>
      </c>
      <c r="I2985" s="2">
        <v>2373.0</v>
      </c>
      <c r="J2985" s="1">
        <v>1963.0</v>
      </c>
      <c r="K2985" s="1">
        <v>97.0</v>
      </c>
      <c r="L2985" s="1" t="s">
        <v>32</v>
      </c>
      <c r="M2985" s="1" t="s">
        <v>11975</v>
      </c>
      <c r="N2985" s="1" t="s">
        <v>24</v>
      </c>
      <c r="O2985" s="1" t="s">
        <v>49</v>
      </c>
      <c r="P2985" s="1" t="s">
        <v>11976</v>
      </c>
    </row>
    <row r="2986" ht="14.25" customHeight="1">
      <c r="A2986" s="1" t="s">
        <v>11977</v>
      </c>
      <c r="B2986" s="1" t="s">
        <v>11978</v>
      </c>
      <c r="C2986" s="1" t="s">
        <v>18</v>
      </c>
      <c r="D2986" s="1">
        <v>41905.0</v>
      </c>
      <c r="E2986" s="1" t="s">
        <v>30</v>
      </c>
      <c r="F2986" s="1" t="s">
        <v>61</v>
      </c>
      <c r="G2986" s="1" t="s">
        <v>31</v>
      </c>
      <c r="H2986" s="2">
        <v>3688.0</v>
      </c>
      <c r="I2986" s="2">
        <v>6659.0</v>
      </c>
      <c r="J2986" s="1">
        <v>1993.0</v>
      </c>
      <c r="K2986" s="1">
        <v>81.0</v>
      </c>
      <c r="L2986" s="1" t="s">
        <v>62</v>
      </c>
      <c r="M2986" s="1" t="s">
        <v>11979</v>
      </c>
      <c r="N2986" s="1" t="s">
        <v>64</v>
      </c>
      <c r="O2986" s="1" t="s">
        <v>25</v>
      </c>
      <c r="P2986" s="1" t="s">
        <v>11980</v>
      </c>
    </row>
    <row r="2987" ht="14.25" customHeight="1">
      <c r="A2987" s="1" t="s">
        <v>11981</v>
      </c>
      <c r="B2987" s="1" t="s">
        <v>11982</v>
      </c>
      <c r="C2987" s="1" t="s">
        <v>18</v>
      </c>
      <c r="D2987" s="1">
        <v>31755.0</v>
      </c>
      <c r="E2987" s="1" t="s">
        <v>40</v>
      </c>
      <c r="F2987" s="1" t="s">
        <v>54</v>
      </c>
      <c r="G2987" s="1" t="s">
        <v>31</v>
      </c>
      <c r="H2987" s="2">
        <v>3608.0</v>
      </c>
      <c r="I2987" s="2">
        <v>8941.0</v>
      </c>
      <c r="J2987" s="1">
        <v>1959.0</v>
      </c>
      <c r="K2987" s="1">
        <v>56.0</v>
      </c>
      <c r="L2987" s="1" t="s">
        <v>95</v>
      </c>
      <c r="M2987" s="1" t="s">
        <v>11983</v>
      </c>
      <c r="N2987" s="1" t="s">
        <v>64</v>
      </c>
      <c r="O2987" s="1" t="s">
        <v>35</v>
      </c>
      <c r="P2987" s="1" t="s">
        <v>11984</v>
      </c>
    </row>
    <row r="2988" ht="14.25" customHeight="1">
      <c r="A2988" s="1" t="s">
        <v>11985</v>
      </c>
      <c r="B2988" s="1" t="s">
        <v>11986</v>
      </c>
      <c r="C2988" s="1" t="s">
        <v>76</v>
      </c>
      <c r="D2988" s="1">
        <v>22545.0</v>
      </c>
      <c r="E2988" s="1" t="s">
        <v>40</v>
      </c>
      <c r="F2988" s="1" t="s">
        <v>61</v>
      </c>
      <c r="G2988" s="1" t="s">
        <v>55</v>
      </c>
      <c r="H2988" s="2">
        <v>2338.0</v>
      </c>
      <c r="I2988" s="2">
        <v>7359.0</v>
      </c>
      <c r="J2988" s="1">
        <v>1980.0</v>
      </c>
      <c r="K2988" s="1">
        <v>38.0</v>
      </c>
      <c r="L2988" s="1" t="s">
        <v>141</v>
      </c>
      <c r="M2988" s="1" t="s">
        <v>11987</v>
      </c>
      <c r="N2988" s="1" t="s">
        <v>64</v>
      </c>
      <c r="O2988" s="1" t="s">
        <v>25</v>
      </c>
      <c r="P2988" s="1" t="s">
        <v>11988</v>
      </c>
    </row>
    <row r="2989" ht="14.25" customHeight="1">
      <c r="A2989" s="1" t="s">
        <v>11989</v>
      </c>
      <c r="B2989" s="1" t="s">
        <v>11990</v>
      </c>
      <c r="C2989" s="1" t="s">
        <v>39</v>
      </c>
      <c r="D2989" s="1">
        <v>27085.0</v>
      </c>
      <c r="E2989" s="1" t="s">
        <v>77</v>
      </c>
      <c r="F2989" s="1" t="s">
        <v>41</v>
      </c>
      <c r="G2989" s="1" t="s">
        <v>31</v>
      </c>
      <c r="H2989" s="2">
        <v>1226.0</v>
      </c>
      <c r="I2989" s="2">
        <v>2485.0</v>
      </c>
      <c r="J2989" s="1">
        <v>1972.0</v>
      </c>
      <c r="K2989" s="1">
        <v>62.0</v>
      </c>
      <c r="L2989" s="1" t="s">
        <v>22</v>
      </c>
      <c r="M2989" s="1" t="s">
        <v>11991</v>
      </c>
      <c r="N2989" s="1" t="s">
        <v>34</v>
      </c>
      <c r="O2989" s="1" t="s">
        <v>25</v>
      </c>
      <c r="P2989" s="1" t="s">
        <v>11992</v>
      </c>
    </row>
    <row r="2990" ht="14.25" customHeight="1">
      <c r="A2990" s="1" t="s">
        <v>11993</v>
      </c>
      <c r="B2990" s="1" t="s">
        <v>11994</v>
      </c>
      <c r="C2990" s="1" t="s">
        <v>18</v>
      </c>
      <c r="D2990" s="1">
        <v>62862.0</v>
      </c>
      <c r="E2990" s="1" t="s">
        <v>60</v>
      </c>
      <c r="F2990" s="1" t="s">
        <v>61</v>
      </c>
      <c r="G2990" s="1" t="s">
        <v>55</v>
      </c>
      <c r="H2990" s="2">
        <v>3552.0</v>
      </c>
      <c r="I2990" s="2">
        <v>4359.0</v>
      </c>
      <c r="J2990" s="1">
        <v>1970.0</v>
      </c>
      <c r="K2990" s="1">
        <v>19.0</v>
      </c>
      <c r="L2990" s="1" t="s">
        <v>95</v>
      </c>
      <c r="M2990" s="1" t="s">
        <v>11995</v>
      </c>
      <c r="N2990" s="1" t="s">
        <v>43</v>
      </c>
      <c r="O2990" s="1" t="s">
        <v>25</v>
      </c>
      <c r="P2990" s="1" t="s">
        <v>11996</v>
      </c>
    </row>
    <row r="2991" ht="14.25" customHeight="1">
      <c r="A2991" s="1" t="s">
        <v>11997</v>
      </c>
      <c r="B2991" s="1" t="s">
        <v>11998</v>
      </c>
      <c r="C2991" s="1" t="s">
        <v>29</v>
      </c>
      <c r="D2991" s="1">
        <v>12390.0</v>
      </c>
      <c r="E2991" s="1" t="s">
        <v>77</v>
      </c>
      <c r="F2991" s="1" t="s">
        <v>46</v>
      </c>
      <c r="G2991" s="1" t="s">
        <v>100</v>
      </c>
      <c r="H2991" s="2">
        <v>3062.0</v>
      </c>
      <c r="I2991" s="2">
        <v>1885.0</v>
      </c>
      <c r="J2991" s="1">
        <v>2005.0</v>
      </c>
      <c r="K2991" s="1">
        <v>109.0</v>
      </c>
      <c r="L2991" s="1" t="s">
        <v>141</v>
      </c>
      <c r="M2991" s="1" t="s">
        <v>11999</v>
      </c>
      <c r="N2991" s="1" t="s">
        <v>43</v>
      </c>
      <c r="O2991" s="1" t="s">
        <v>35</v>
      </c>
      <c r="P2991" s="1" t="s">
        <v>12000</v>
      </c>
    </row>
    <row r="2992" ht="14.25" customHeight="1">
      <c r="A2992" s="1" t="s">
        <v>12001</v>
      </c>
      <c r="B2992" s="1" t="s">
        <v>12002</v>
      </c>
      <c r="C2992" s="1" t="s">
        <v>53</v>
      </c>
      <c r="D2992" s="1">
        <v>72696.0</v>
      </c>
      <c r="E2992" s="1" t="s">
        <v>60</v>
      </c>
      <c r="F2992" s="1" t="s">
        <v>61</v>
      </c>
      <c r="G2992" s="1" t="s">
        <v>100</v>
      </c>
      <c r="H2992" s="2">
        <v>1862.0</v>
      </c>
      <c r="I2992" s="2">
        <v>9985.0</v>
      </c>
      <c r="J2992" s="1">
        <v>2021.0</v>
      </c>
      <c r="K2992" s="1">
        <v>87.0</v>
      </c>
      <c r="L2992" s="1" t="s">
        <v>32</v>
      </c>
      <c r="M2992" s="1" t="s">
        <v>12003</v>
      </c>
      <c r="N2992" s="1" t="s">
        <v>34</v>
      </c>
      <c r="O2992" s="1" t="s">
        <v>25</v>
      </c>
      <c r="P2992" s="1" t="s">
        <v>12004</v>
      </c>
    </row>
    <row r="2993" ht="14.25" customHeight="1">
      <c r="A2993" s="1" t="s">
        <v>12005</v>
      </c>
      <c r="B2993" s="1" t="s">
        <v>12006</v>
      </c>
      <c r="C2993" s="1" t="s">
        <v>39</v>
      </c>
      <c r="D2993" s="1">
        <v>96358.0</v>
      </c>
      <c r="E2993" s="1" t="s">
        <v>19</v>
      </c>
      <c r="F2993" s="1" t="s">
        <v>61</v>
      </c>
      <c r="G2993" s="1" t="s">
        <v>31</v>
      </c>
      <c r="H2993" s="2">
        <v>3270.0</v>
      </c>
      <c r="I2993" s="2">
        <v>8752.0</v>
      </c>
      <c r="J2993" s="1">
        <v>1973.0</v>
      </c>
      <c r="K2993" s="1">
        <v>63.0</v>
      </c>
      <c r="L2993" s="1" t="s">
        <v>141</v>
      </c>
      <c r="M2993" s="1" t="s">
        <v>12007</v>
      </c>
      <c r="N2993" s="1" t="s">
        <v>48</v>
      </c>
      <c r="O2993" s="1" t="s">
        <v>35</v>
      </c>
      <c r="P2993" s="1" t="s">
        <v>12008</v>
      </c>
    </row>
    <row r="2994" ht="14.25" customHeight="1">
      <c r="A2994" s="1" t="s">
        <v>12009</v>
      </c>
      <c r="B2994" s="1" t="s">
        <v>12010</v>
      </c>
      <c r="C2994" s="1" t="s">
        <v>18</v>
      </c>
      <c r="D2994" s="1">
        <v>25597.0</v>
      </c>
      <c r="E2994" s="1" t="s">
        <v>30</v>
      </c>
      <c r="F2994" s="1" t="s">
        <v>94</v>
      </c>
      <c r="G2994" s="1" t="s">
        <v>31</v>
      </c>
      <c r="H2994" s="2">
        <v>2396.0</v>
      </c>
      <c r="I2994" s="2">
        <v>4180.0</v>
      </c>
      <c r="J2994" s="1">
        <v>1972.0</v>
      </c>
      <c r="K2994" s="1">
        <v>105.0</v>
      </c>
      <c r="L2994" s="1" t="s">
        <v>141</v>
      </c>
      <c r="M2994" s="1" t="s">
        <v>12011</v>
      </c>
      <c r="N2994" s="1" t="s">
        <v>64</v>
      </c>
      <c r="O2994" s="1" t="s">
        <v>25</v>
      </c>
      <c r="P2994" s="1" t="s">
        <v>12012</v>
      </c>
    </row>
    <row r="2995" ht="14.25" customHeight="1">
      <c r="A2995" s="1" t="s">
        <v>12013</v>
      </c>
      <c r="B2995" s="1" t="s">
        <v>12014</v>
      </c>
      <c r="C2995" s="1" t="s">
        <v>18</v>
      </c>
      <c r="D2995" s="1">
        <v>35123.0</v>
      </c>
      <c r="E2995" s="1" t="s">
        <v>30</v>
      </c>
      <c r="F2995" s="1" t="s">
        <v>54</v>
      </c>
      <c r="G2995" s="1" t="s">
        <v>55</v>
      </c>
      <c r="H2995" s="2">
        <v>3884.0</v>
      </c>
      <c r="I2995" s="2">
        <v>7053.0</v>
      </c>
      <c r="J2995" s="1">
        <v>2013.0</v>
      </c>
      <c r="K2995" s="1">
        <v>39.0</v>
      </c>
      <c r="L2995" s="1" t="s">
        <v>62</v>
      </c>
      <c r="M2995" s="1" t="s">
        <v>12015</v>
      </c>
      <c r="N2995" s="1" t="s">
        <v>34</v>
      </c>
      <c r="O2995" s="1" t="s">
        <v>49</v>
      </c>
      <c r="P2995" s="1" t="s">
        <v>12016</v>
      </c>
    </row>
    <row r="2996" ht="14.25" customHeight="1">
      <c r="A2996" s="1" t="s">
        <v>12017</v>
      </c>
      <c r="B2996" s="1" t="s">
        <v>12018</v>
      </c>
      <c r="C2996" s="1" t="s">
        <v>39</v>
      </c>
      <c r="D2996" s="1">
        <v>80471.0</v>
      </c>
      <c r="E2996" s="1" t="s">
        <v>30</v>
      </c>
      <c r="F2996" s="1" t="s">
        <v>46</v>
      </c>
      <c r="G2996" s="1" t="s">
        <v>31</v>
      </c>
      <c r="H2996" s="2">
        <v>2241.0</v>
      </c>
      <c r="I2996" s="2">
        <v>5947.0</v>
      </c>
      <c r="J2996" s="1">
        <v>1950.0</v>
      </c>
      <c r="K2996" s="1">
        <v>33.0</v>
      </c>
      <c r="L2996" s="1" t="s">
        <v>32</v>
      </c>
      <c r="M2996" s="1" t="s">
        <v>12019</v>
      </c>
      <c r="N2996" s="1" t="s">
        <v>34</v>
      </c>
      <c r="O2996" s="1" t="s">
        <v>49</v>
      </c>
      <c r="P2996" s="1" t="s">
        <v>12020</v>
      </c>
    </row>
    <row r="2997" ht="14.25" customHeight="1">
      <c r="A2997" s="1" t="s">
        <v>12021</v>
      </c>
      <c r="B2997" s="1" t="s">
        <v>12022</v>
      </c>
      <c r="C2997" s="1" t="s">
        <v>18</v>
      </c>
      <c r="D2997" s="1">
        <v>78499.0</v>
      </c>
      <c r="E2997" s="1" t="s">
        <v>40</v>
      </c>
      <c r="F2997" s="1" t="s">
        <v>54</v>
      </c>
      <c r="G2997" s="1" t="s">
        <v>100</v>
      </c>
      <c r="H2997" s="2">
        <v>3318.0</v>
      </c>
      <c r="I2997" s="2">
        <v>6745.0</v>
      </c>
      <c r="J2997" s="1">
        <v>2022.0</v>
      </c>
      <c r="K2997" s="1">
        <v>61.0</v>
      </c>
      <c r="L2997" s="1" t="s">
        <v>62</v>
      </c>
      <c r="M2997" s="1" t="s">
        <v>12023</v>
      </c>
      <c r="N2997" s="1" t="s">
        <v>34</v>
      </c>
      <c r="O2997" s="1" t="s">
        <v>35</v>
      </c>
      <c r="P2997" s="1" t="s">
        <v>12024</v>
      </c>
    </row>
    <row r="2998" ht="14.25" customHeight="1">
      <c r="A2998" s="1" t="s">
        <v>12025</v>
      </c>
      <c r="B2998" s="1" t="s">
        <v>12026</v>
      </c>
      <c r="C2998" s="1" t="s">
        <v>39</v>
      </c>
      <c r="D2998" s="1">
        <v>39627.0</v>
      </c>
      <c r="E2998" s="1" t="s">
        <v>19</v>
      </c>
      <c r="F2998" s="1" t="s">
        <v>41</v>
      </c>
      <c r="G2998" s="1" t="s">
        <v>55</v>
      </c>
      <c r="H2998" s="2">
        <v>900.0</v>
      </c>
      <c r="I2998" s="2">
        <v>8046.0</v>
      </c>
      <c r="J2998" s="1">
        <v>2012.0</v>
      </c>
      <c r="K2998" s="1">
        <v>64.0</v>
      </c>
      <c r="L2998" s="1" t="s">
        <v>62</v>
      </c>
      <c r="M2998" s="1" t="s">
        <v>12027</v>
      </c>
      <c r="N2998" s="1" t="s">
        <v>34</v>
      </c>
      <c r="O2998" s="1" t="s">
        <v>35</v>
      </c>
      <c r="P2998" s="1" t="s">
        <v>12028</v>
      </c>
    </row>
    <row r="2999" ht="14.25" customHeight="1">
      <c r="A2999" s="1" t="s">
        <v>12029</v>
      </c>
      <c r="B2999" s="1" t="s">
        <v>12030</v>
      </c>
      <c r="C2999" s="1" t="s">
        <v>29</v>
      </c>
      <c r="D2999" s="1">
        <v>62804.0</v>
      </c>
      <c r="E2999" s="1" t="s">
        <v>40</v>
      </c>
      <c r="F2999" s="1" t="s">
        <v>94</v>
      </c>
      <c r="G2999" s="1" t="s">
        <v>21</v>
      </c>
      <c r="H2999" s="2">
        <v>2921.0</v>
      </c>
      <c r="I2999" s="2">
        <v>2041.0</v>
      </c>
      <c r="J2999" s="1">
        <v>2005.0</v>
      </c>
      <c r="K2999" s="1">
        <v>48.0</v>
      </c>
      <c r="L2999" s="1" t="s">
        <v>62</v>
      </c>
      <c r="M2999" s="1" t="s">
        <v>12031</v>
      </c>
      <c r="N2999" s="1" t="s">
        <v>64</v>
      </c>
      <c r="O2999" s="1" t="s">
        <v>35</v>
      </c>
      <c r="P2999" s="1" t="s">
        <v>12032</v>
      </c>
    </row>
    <row r="3000" ht="14.25" customHeight="1">
      <c r="A3000" s="1" t="s">
        <v>12033</v>
      </c>
      <c r="B3000" s="1" t="s">
        <v>12034</v>
      </c>
      <c r="C3000" s="1" t="s">
        <v>18</v>
      </c>
      <c r="D3000" s="1">
        <v>99740.0</v>
      </c>
      <c r="E3000" s="1" t="s">
        <v>40</v>
      </c>
      <c r="F3000" s="1" t="s">
        <v>46</v>
      </c>
      <c r="G3000" s="1" t="s">
        <v>100</v>
      </c>
      <c r="H3000" s="2">
        <v>701.0</v>
      </c>
      <c r="I3000" s="2">
        <v>1344.0</v>
      </c>
      <c r="J3000" s="1">
        <v>2017.0</v>
      </c>
      <c r="K3000" s="1">
        <v>117.0</v>
      </c>
      <c r="L3000" s="1" t="s">
        <v>141</v>
      </c>
      <c r="M3000" s="1" t="s">
        <v>12035</v>
      </c>
      <c r="N3000" s="1" t="s">
        <v>24</v>
      </c>
      <c r="O3000" s="1" t="s">
        <v>49</v>
      </c>
      <c r="P3000" s="1" t="s">
        <v>12036</v>
      </c>
    </row>
    <row r="3001" ht="14.25" customHeight="1">
      <c r="A3001" s="1" t="s">
        <v>12037</v>
      </c>
      <c r="B3001" s="1" t="s">
        <v>12038</v>
      </c>
      <c r="C3001" s="1" t="s">
        <v>53</v>
      </c>
      <c r="D3001" s="1">
        <v>89198.0</v>
      </c>
      <c r="E3001" s="1" t="s">
        <v>60</v>
      </c>
      <c r="F3001" s="1" t="s">
        <v>94</v>
      </c>
      <c r="G3001" s="1" t="s">
        <v>21</v>
      </c>
      <c r="H3001" s="2">
        <v>2967.0</v>
      </c>
      <c r="I3001" s="2">
        <v>8071.0</v>
      </c>
      <c r="J3001" s="1">
        <v>1985.0</v>
      </c>
      <c r="K3001" s="1">
        <v>32.0</v>
      </c>
      <c r="L3001" s="1" t="s">
        <v>95</v>
      </c>
      <c r="M3001" s="1" t="s">
        <v>12039</v>
      </c>
      <c r="N3001" s="1" t="s">
        <v>24</v>
      </c>
      <c r="O3001" s="1" t="s">
        <v>25</v>
      </c>
      <c r="P3001" s="1" t="s">
        <v>12040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14"/>
    <col customWidth="1" min="3" max="3" width="12.0"/>
    <col customWidth="1" min="4" max="4" width="13.86"/>
    <col customWidth="1" min="5" max="5" width="11.29"/>
    <col customWidth="1" min="6" max="6" width="15.86"/>
    <col customWidth="1" min="7" max="8" width="16.57"/>
    <col customWidth="1" min="9" max="9" width="19.29"/>
    <col customWidth="1" min="10" max="10" width="15.43"/>
    <col customWidth="1" min="11" max="11" width="21.0"/>
    <col customWidth="1" min="12" max="12" width="19.57"/>
    <col customWidth="1" min="13" max="13" width="13.0"/>
    <col customWidth="1" min="14" max="14" width="28.43"/>
    <col customWidth="1" min="15" max="15" width="12.43"/>
    <col customWidth="1" min="16" max="16" width="21.14"/>
    <col customWidth="1" min="17" max="17" width="21.86"/>
    <col customWidth="1" min="18" max="18" width="15.29"/>
    <col customWidth="1" min="19" max="19" width="21.14"/>
    <col customWidth="1" min="20" max="20" width="19.14"/>
    <col customWidth="1" min="21" max="21" width="8.71"/>
    <col customWidth="1" min="22" max="22" width="24.57"/>
    <col customWidth="1" min="23" max="23" width="25.14"/>
    <col customWidth="1" min="24" max="24" width="22.29"/>
    <col customWidth="1" min="25" max="25" width="8.71"/>
    <col customWidth="1" min="26" max="26" width="24.57"/>
    <col customWidth="1" min="27" max="28" width="25.14"/>
    <col customWidth="1" min="29" max="29" width="8.71"/>
    <col customWidth="1" min="30" max="31" width="24.57"/>
    <col customWidth="1" min="32" max="33" width="25.14"/>
    <col customWidth="1" min="34" max="34" width="11.86"/>
    <col customWidth="1" min="35" max="36" width="25.14"/>
    <col customWidth="1" min="37" max="37" width="8.71"/>
    <col customWidth="1" min="38" max="38" width="8.57"/>
    <col customWidth="1" min="39" max="40" width="18.57"/>
    <col customWidth="1" min="41" max="43" width="12.29"/>
    <col customWidth="1" min="44" max="44" width="16.14"/>
    <col customWidth="1" min="45" max="45" width="12.86"/>
    <col customWidth="1" min="46" max="46" width="8.71"/>
    <col customWidth="1" min="47" max="47" width="12.71"/>
    <col customWidth="1" min="48" max="48" width="12.57"/>
    <col customWidth="1" min="49" max="49" width="12.86"/>
    <col customWidth="1" min="50" max="51" width="8.71"/>
    <col customWidth="1" min="52" max="52" width="13.43"/>
    <col customWidth="1" min="53" max="53" width="12.86"/>
    <col customWidth="1" min="54" max="89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12041</v>
      </c>
      <c r="I1" s="3" t="s">
        <v>12042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12043</v>
      </c>
      <c r="Q1" s="3" t="s">
        <v>12044</v>
      </c>
      <c r="R1" s="4" t="s">
        <v>12045</v>
      </c>
      <c r="S1" s="4" t="s">
        <v>12046</v>
      </c>
      <c r="T1" s="4" t="s">
        <v>12047</v>
      </c>
    </row>
    <row r="2" ht="14.25" customHeight="1">
      <c r="A2" s="5">
        <v>554217.0</v>
      </c>
      <c r="B2" s="6" t="s">
        <v>17</v>
      </c>
      <c r="C2" s="6" t="s">
        <v>18</v>
      </c>
      <c r="D2" s="6">
        <v>65383.0</v>
      </c>
      <c r="E2" s="6" t="s">
        <v>19</v>
      </c>
      <c r="F2" s="6" t="s">
        <v>20</v>
      </c>
      <c r="G2" s="6" t="s">
        <v>21</v>
      </c>
      <c r="H2" s="7">
        <v>772.0</v>
      </c>
      <c r="I2" s="7">
        <v>4757.0</v>
      </c>
      <c r="J2" s="6">
        <v>1959.0</v>
      </c>
      <c r="K2" s="6">
        <v>101.0</v>
      </c>
      <c r="L2" s="6" t="s">
        <v>22</v>
      </c>
      <c r="M2" s="6" t="s">
        <v>23</v>
      </c>
      <c r="N2" s="6" t="s">
        <v>24</v>
      </c>
      <c r="O2" s="6" t="s">
        <v>25</v>
      </c>
      <c r="P2" s="6">
        <f>COUNTIF(Analysis!$M$1:$M$3001,Analysis!$M2)</f>
        <v>1</v>
      </c>
      <c r="Q2" s="6" t="str">
        <f>IF(COUNTIF(Analysis!$M$2:$M$3001,Analysis!$M2)&gt;1,"Duplicate","OK")</f>
        <v>OK</v>
      </c>
      <c r="R2" s="6" t="str">
        <f t="shared" ref="R2:R3534" si="1">IFS(
AND(H2&gt;=600, H2&lt;1600),"600-1600",
AND(H2&gt;=1600, H2&lt;2600),"1600-2600",
AND(H2&gt;=2600, H2&lt;3600),"2600-3600",
H2&gt;=3600,"3600+"
)</f>
        <v>600-1600</v>
      </c>
      <c r="S2" s="6">
        <f t="shared" ref="S2:S3001" si="2">year(TODAY())-J2</f>
        <v>67</v>
      </c>
      <c r="T2" s="6" t="str">
        <f t="shared" ref="T2:T3001" si="3">ifs(AND(S2&gt;=0,S2&lt;=10),"New",AND(S2&gt;10,S2&lt;=30),"Mid",AND(S2&gt;30,S2&lt;=60),"Old",S2&gt;60,"Very Old")</f>
        <v>Very Old</v>
      </c>
    </row>
    <row r="3" ht="14.25" customHeight="1">
      <c r="A3" s="5">
        <v>100866.0</v>
      </c>
      <c r="B3" s="6" t="s">
        <v>585</v>
      </c>
      <c r="C3" s="6" t="s">
        <v>29</v>
      </c>
      <c r="D3" s="6">
        <v>47843.0</v>
      </c>
      <c r="E3" s="6" t="s">
        <v>60</v>
      </c>
      <c r="F3" s="6" t="s">
        <v>20</v>
      </c>
      <c r="G3" s="6" t="s">
        <v>31</v>
      </c>
      <c r="H3" s="7">
        <v>2107.0</v>
      </c>
      <c r="I3" s="7">
        <v>6485.0</v>
      </c>
      <c r="J3" s="6">
        <v>2012.0</v>
      </c>
      <c r="K3" s="6">
        <v>10.0</v>
      </c>
      <c r="L3" s="6" t="s">
        <v>32</v>
      </c>
      <c r="M3" s="6" t="s">
        <v>586</v>
      </c>
      <c r="N3" s="6" t="s">
        <v>43</v>
      </c>
      <c r="O3" s="6" t="s">
        <v>35</v>
      </c>
      <c r="P3" s="6">
        <f>COUNTIF(Analysis!$M$1:$M$3001,Analysis!$M136)</f>
        <v>1</v>
      </c>
      <c r="Q3" s="6" t="str">
        <f>IF(COUNTIF(Analysis!$M$2:$M$3001,Analysis!$M136)&gt;1,"Duplicate","OK")</f>
        <v>OK</v>
      </c>
      <c r="R3" s="6" t="str">
        <f t="shared" si="1"/>
        <v>1600-2600</v>
      </c>
      <c r="S3" s="6">
        <f t="shared" si="2"/>
        <v>14</v>
      </c>
      <c r="T3" s="6" t="str">
        <f t="shared" si="3"/>
        <v>Mid</v>
      </c>
    </row>
    <row r="4" ht="14.25" customHeight="1">
      <c r="A4" s="5">
        <v>1249331.0</v>
      </c>
      <c r="B4" s="6" t="s">
        <v>28</v>
      </c>
      <c r="C4" s="6" t="s">
        <v>39</v>
      </c>
      <c r="D4" s="6">
        <v>87393.0</v>
      </c>
      <c r="E4" s="6" t="s">
        <v>40</v>
      </c>
      <c r="F4" s="6" t="s">
        <v>41</v>
      </c>
      <c r="G4" s="6" t="s">
        <v>31</v>
      </c>
      <c r="H4" s="7">
        <v>3630.0</v>
      </c>
      <c r="I4" s="7">
        <v>9369.0</v>
      </c>
      <c r="J4" s="6">
        <v>1990.0</v>
      </c>
      <c r="K4" s="6">
        <v>59.0</v>
      </c>
      <c r="L4" s="6" t="s">
        <v>22</v>
      </c>
      <c r="M4" s="6" t="s">
        <v>42</v>
      </c>
      <c r="N4" s="6" t="s">
        <v>43</v>
      </c>
      <c r="O4" s="6" t="s">
        <v>25</v>
      </c>
      <c r="P4" s="6">
        <f>COUNTIF(Analysis!$M$1:$M$3001,Analysis!$M4)</f>
        <v>1</v>
      </c>
      <c r="Q4" s="6" t="str">
        <f>IF(COUNTIF(Analysis!$M$2:$M$3001,Analysis!$M4)&gt;1,"Duplicate","OK")</f>
        <v>OK</v>
      </c>
      <c r="R4" s="6" t="str">
        <f t="shared" si="1"/>
        <v>3600+</v>
      </c>
      <c r="S4" s="6">
        <f t="shared" si="2"/>
        <v>36</v>
      </c>
      <c r="T4" s="6" t="str">
        <f t="shared" si="3"/>
        <v>Old</v>
      </c>
      <c r="AL4" s="8" t="s">
        <v>14</v>
      </c>
      <c r="AM4" s="8" t="s">
        <v>12048</v>
      </c>
    </row>
    <row r="5" ht="14.25" customHeight="1">
      <c r="A5" s="5">
        <v>101833.0</v>
      </c>
      <c r="B5" s="6" t="s">
        <v>9915</v>
      </c>
      <c r="C5" s="6" t="s">
        <v>29</v>
      </c>
      <c r="D5" s="6">
        <v>12937.0</v>
      </c>
      <c r="E5" s="6" t="s">
        <v>60</v>
      </c>
      <c r="F5" s="6" t="s">
        <v>54</v>
      </c>
      <c r="G5" s="6" t="s">
        <v>55</v>
      </c>
      <c r="H5" s="7">
        <v>2943.0</v>
      </c>
      <c r="I5" s="7">
        <v>5547.0</v>
      </c>
      <c r="J5" s="6">
        <v>2017.0</v>
      </c>
      <c r="K5" s="6">
        <v>55.0</v>
      </c>
      <c r="L5" s="6" t="s">
        <v>141</v>
      </c>
      <c r="M5" s="6" t="s">
        <v>9916</v>
      </c>
      <c r="N5" s="6" t="s">
        <v>43</v>
      </c>
      <c r="O5" s="6" t="s">
        <v>49</v>
      </c>
      <c r="P5" s="6">
        <f>COUNTIF(Analysis!$M$1:$M$3001,Analysis!$M2470)</f>
        <v>1</v>
      </c>
      <c r="Q5" s="6" t="str">
        <f>IF(COUNTIF(Analysis!$M$2:$M$3001,Analysis!$M2470)&gt;1,"Duplicate","OK")</f>
        <v>OK</v>
      </c>
      <c r="R5" s="6" t="str">
        <f t="shared" si="1"/>
        <v>2600-3600</v>
      </c>
      <c r="S5" s="6">
        <f t="shared" si="2"/>
        <v>9</v>
      </c>
      <c r="T5" s="6" t="str">
        <f t="shared" si="3"/>
        <v>New</v>
      </c>
      <c r="AL5" s="9" t="s">
        <v>25</v>
      </c>
      <c r="AM5" s="9">
        <f>COUNTIF(Listings[Status],AL5)</f>
        <v>957</v>
      </c>
      <c r="AN5" s="10">
        <f>AM5/AM8*100</f>
        <v>31.9</v>
      </c>
      <c r="BH5" s="3" t="s">
        <v>0</v>
      </c>
      <c r="BI5" s="3" t="s">
        <v>1</v>
      </c>
      <c r="BJ5" s="3" t="s">
        <v>2</v>
      </c>
      <c r="BK5" s="3" t="s">
        <v>3</v>
      </c>
      <c r="BL5" s="3" t="s">
        <v>4</v>
      </c>
      <c r="BM5" s="3" t="s">
        <v>5</v>
      </c>
      <c r="BN5" s="3" t="s">
        <v>6</v>
      </c>
      <c r="BO5" s="3" t="s">
        <v>12041</v>
      </c>
      <c r="BP5" s="3" t="s">
        <v>12049</v>
      </c>
      <c r="BQ5" s="3" t="s">
        <v>9</v>
      </c>
      <c r="BR5" s="3" t="s">
        <v>10</v>
      </c>
      <c r="BS5" s="3" t="s">
        <v>11</v>
      </c>
      <c r="BT5" s="3" t="s">
        <v>12</v>
      </c>
      <c r="BU5" s="3" t="s">
        <v>13</v>
      </c>
      <c r="BV5" s="3" t="s">
        <v>14</v>
      </c>
      <c r="BW5" s="3" t="s">
        <v>12043</v>
      </c>
      <c r="BX5" s="3" t="s">
        <v>12044</v>
      </c>
    </row>
    <row r="6" ht="14.25" customHeight="1">
      <c r="A6" s="5">
        <v>465778.0</v>
      </c>
      <c r="B6" s="6" t="s">
        <v>52</v>
      </c>
      <c r="C6" s="6" t="s">
        <v>53</v>
      </c>
      <c r="D6" s="6">
        <v>23989.0</v>
      </c>
      <c r="E6" s="6" t="s">
        <v>19</v>
      </c>
      <c r="F6" s="6" t="s">
        <v>54</v>
      </c>
      <c r="G6" s="6" t="s">
        <v>55</v>
      </c>
      <c r="H6" s="7">
        <v>1711.0</v>
      </c>
      <c r="I6" s="7">
        <v>9260.0</v>
      </c>
      <c r="J6" s="6">
        <v>2020.0</v>
      </c>
      <c r="K6" s="6">
        <v>26.0</v>
      </c>
      <c r="L6" s="6" t="s">
        <v>22</v>
      </c>
      <c r="M6" s="6" t="s">
        <v>56</v>
      </c>
      <c r="N6" s="6" t="s">
        <v>48</v>
      </c>
      <c r="O6" s="6" t="s">
        <v>49</v>
      </c>
      <c r="P6" s="6">
        <f>COUNTIF(Analysis!$M$1:$M$3001,Analysis!$M6)</f>
        <v>1</v>
      </c>
      <c r="Q6" s="6" t="str">
        <f>IF(COUNTIF(Analysis!$M$2:$M$3001,Analysis!$M6)&gt;1,"Duplicate","OK")</f>
        <v>OK</v>
      </c>
      <c r="R6" s="6" t="str">
        <f t="shared" si="1"/>
        <v>1600-2600</v>
      </c>
      <c r="S6" s="6">
        <f t="shared" si="2"/>
        <v>6</v>
      </c>
      <c r="T6" s="6" t="str">
        <f t="shared" si="3"/>
        <v>New</v>
      </c>
      <c r="V6" s="11" t="s">
        <v>4</v>
      </c>
      <c r="W6" s="11" t="s">
        <v>12050</v>
      </c>
      <c r="Z6" s="12" t="s">
        <v>2</v>
      </c>
      <c r="AA6" s="12" t="s">
        <v>12051</v>
      </c>
      <c r="AD6" s="13" t="s">
        <v>11</v>
      </c>
      <c r="AE6" s="13" t="s">
        <v>12051</v>
      </c>
      <c r="AL6" s="9" t="s">
        <v>49</v>
      </c>
      <c r="AM6" s="9">
        <f>COUNTIF(Analysis!$O$2:$O$3001,AL6)</f>
        <v>998</v>
      </c>
      <c r="AN6" s="10">
        <f>AM6/AM8*100</f>
        <v>33.26666667</v>
      </c>
      <c r="BH6" s="14">
        <f>IFERROR(__xludf.DUMMYFUNCTION("QUERY(Listings,""select * where N = 'Alex Johnson - Compass' and O = 'Sold'"",0)"),282593.0)</f>
        <v>282593</v>
      </c>
      <c r="BI6" s="15" t="str">
        <f>IFERROR(__xludf.DUMMYFUNCTION("""COMPUTED_VALUE"""),"8789 Oak Ave, San Francisco, TX 99388")</f>
        <v>8789 Oak Ave, San Francisco, TX 99388</v>
      </c>
      <c r="BJ6" s="15" t="str">
        <f>IFERROR(__xludf.DUMMYFUNCTION("""COMPUTED_VALUE"""),"San Francisco")</f>
        <v>San Francisco</v>
      </c>
      <c r="BK6" s="15">
        <f>IFERROR(__xludf.DUMMYFUNCTION("""COMPUTED_VALUE"""),99388.0)</f>
        <v>99388</v>
      </c>
      <c r="BL6" s="15" t="str">
        <f>IFERROR(__xludf.DUMMYFUNCTION("""COMPUTED_VALUE"""),"TX")</f>
        <v>TX</v>
      </c>
      <c r="BM6" s="15" t="str">
        <f>IFERROR(__xludf.DUMMYFUNCTION("""COMPUTED_VALUE"""),"6 bds")</f>
        <v>6 bds</v>
      </c>
      <c r="BN6" s="15" t="str">
        <f>IFERROR(__xludf.DUMMYFUNCTION("""COMPUTED_VALUE"""),"2 ba")</f>
        <v>2 ba</v>
      </c>
      <c r="BO6" s="15">
        <f>IFERROR(__xludf.DUMMYFUNCTION("""COMPUTED_VALUE"""),2153.0)</f>
        <v>2153</v>
      </c>
      <c r="BP6" s="15">
        <f>IFERROR(__xludf.DUMMYFUNCTION("""COMPUTED_VALUE"""),6999.0)</f>
        <v>6999</v>
      </c>
      <c r="BQ6" s="15">
        <f>IFERROR(__xludf.DUMMYFUNCTION("""COMPUTED_VALUE"""),1977.0)</f>
        <v>1977</v>
      </c>
      <c r="BR6" s="15">
        <f>IFERROR(__xludf.DUMMYFUNCTION("""COMPUTED_VALUE"""),31.0)</f>
        <v>31</v>
      </c>
      <c r="BS6" s="15" t="str">
        <f>IFERROR(__xludf.DUMMYFUNCTION("""COMPUTED_VALUE"""),"Single Family")</f>
        <v>Single Family</v>
      </c>
      <c r="BT6" s="15" t="str">
        <f>IFERROR(__xludf.DUMMYFUNCTION("""COMPUTED_VALUE"""),"Z620042")</f>
        <v>Z620042</v>
      </c>
      <c r="BU6" s="15" t="str">
        <f>IFERROR(__xludf.DUMMYFUNCTION("""COMPUTED_VALUE"""),"Alex Johnson - Compass")</f>
        <v>Alex Johnson - Compass</v>
      </c>
      <c r="BV6" s="15" t="str">
        <f>IFERROR(__xludf.DUMMYFUNCTION("""COMPUTED_VALUE"""),"Sold")</f>
        <v>Sold</v>
      </c>
      <c r="BW6" s="15">
        <f>IFERROR(__xludf.DUMMYFUNCTION("""COMPUTED_VALUE"""),1.0)</f>
        <v>1</v>
      </c>
      <c r="BX6" s="15" t="str">
        <f>IFERROR(__xludf.DUMMYFUNCTION("""COMPUTED_VALUE"""),"OK")</f>
        <v>OK</v>
      </c>
      <c r="BY6" s="1" t="str">
        <f>IFERROR(__xludf.DUMMYFUNCTION("""COMPUTED_VALUE"""),"1600-2600")</f>
        <v>1600-2600</v>
      </c>
      <c r="BZ6" s="1">
        <f>IFERROR(__xludf.DUMMYFUNCTION("""COMPUTED_VALUE"""),49.0)</f>
        <v>49</v>
      </c>
      <c r="CA6" s="1" t="str">
        <f>IFERROR(__xludf.DUMMYFUNCTION("""COMPUTED_VALUE"""),"Old")</f>
        <v>Old</v>
      </c>
    </row>
    <row r="7" ht="14.25" customHeight="1">
      <c r="A7" s="5">
        <v>738357.0</v>
      </c>
      <c r="B7" s="6" t="s">
        <v>59</v>
      </c>
      <c r="C7" s="6" t="s">
        <v>39</v>
      </c>
      <c r="D7" s="6">
        <v>71318.0</v>
      </c>
      <c r="E7" s="6" t="s">
        <v>60</v>
      </c>
      <c r="F7" s="6" t="s">
        <v>61</v>
      </c>
      <c r="G7" s="6" t="s">
        <v>21</v>
      </c>
      <c r="H7" s="7">
        <v>1177.0</v>
      </c>
      <c r="I7" s="7">
        <v>8317.0</v>
      </c>
      <c r="J7" s="6">
        <v>2015.0</v>
      </c>
      <c r="K7" s="6">
        <v>35.0</v>
      </c>
      <c r="L7" s="6" t="s">
        <v>62</v>
      </c>
      <c r="M7" s="6" t="s">
        <v>63</v>
      </c>
      <c r="N7" s="6" t="s">
        <v>64</v>
      </c>
      <c r="O7" s="6" t="s">
        <v>49</v>
      </c>
      <c r="P7" s="6">
        <f>COUNTIF(Analysis!$M$1:$M$3001,Analysis!$M7)</f>
        <v>1</v>
      </c>
      <c r="Q7" s="6" t="str">
        <f>IF(COUNTIF(Analysis!$M$2:$M$3001,Analysis!$M7)&gt;1,"Duplicate","OK")</f>
        <v>OK</v>
      </c>
      <c r="R7" s="6" t="str">
        <f t="shared" si="1"/>
        <v>600-1600</v>
      </c>
      <c r="S7" s="6">
        <f t="shared" si="2"/>
        <v>11</v>
      </c>
      <c r="T7" s="6" t="str">
        <f t="shared" si="3"/>
        <v>Mid</v>
      </c>
      <c r="V7" s="16" t="s">
        <v>19</v>
      </c>
      <c r="W7" s="17">
        <f>maxifs(Listings[Price],Listings[State],V7)</f>
        <v>1499218</v>
      </c>
      <c r="Z7" s="18" t="s">
        <v>18</v>
      </c>
      <c r="AA7" s="19">
        <f>AVERAGEIF(Listings[City],C2,Listings[Price])</f>
        <v>814489.2543</v>
      </c>
      <c r="AD7" s="20" t="s">
        <v>22</v>
      </c>
      <c r="AE7" s="21">
        <f>Averageif(Listings[Property Type],AD7,Listings[Price])</f>
        <v>813447.3469</v>
      </c>
      <c r="AL7" s="9" t="s">
        <v>35</v>
      </c>
      <c r="AM7" s="9">
        <f>COUNTIF(Listings[Status],AL7)</f>
        <v>1045</v>
      </c>
      <c r="AN7" s="10">
        <f>AM7/AM8*100</f>
        <v>34.83333333</v>
      </c>
      <c r="BH7" s="14">
        <f>IFERROR(__xludf.DUMMYFUNCTION("""COMPUTED_VALUE"""),1440759.0)</f>
        <v>1440759</v>
      </c>
      <c r="BI7" s="15" t="str">
        <f>IFERROR(__xludf.DUMMYFUNCTION("""COMPUTED_VALUE"""),"4328 Pine Rd, San Diego, TX 55033")</f>
        <v>4328 Pine Rd, San Diego, TX 55033</v>
      </c>
      <c r="BJ7" s="15" t="str">
        <f>IFERROR(__xludf.DUMMYFUNCTION("""COMPUTED_VALUE"""),"San Diego")</f>
        <v>San Diego</v>
      </c>
      <c r="BK7" s="15">
        <f>IFERROR(__xludf.DUMMYFUNCTION("""COMPUTED_VALUE"""),55033.0)</f>
        <v>55033</v>
      </c>
      <c r="BL7" s="15" t="str">
        <f>IFERROR(__xludf.DUMMYFUNCTION("""COMPUTED_VALUE"""),"TX")</f>
        <v>TX</v>
      </c>
      <c r="BM7" s="15" t="str">
        <f>IFERROR(__xludf.DUMMYFUNCTION("""COMPUTED_VALUE"""),"5 bds")</f>
        <v>5 bds</v>
      </c>
      <c r="BN7" s="15" t="str">
        <f>IFERROR(__xludf.DUMMYFUNCTION("""COMPUTED_VALUE"""),"3 ba")</f>
        <v>3 ba</v>
      </c>
      <c r="BO7" s="15">
        <f>IFERROR(__xludf.DUMMYFUNCTION("""COMPUTED_VALUE"""),1012.0)</f>
        <v>1012</v>
      </c>
      <c r="BP7" s="15">
        <f>IFERROR(__xludf.DUMMYFUNCTION("""COMPUTED_VALUE"""),6279.0)</f>
        <v>6279</v>
      </c>
      <c r="BQ7" s="15">
        <f>IFERROR(__xludf.DUMMYFUNCTION("""COMPUTED_VALUE"""),1954.0)</f>
        <v>1954</v>
      </c>
      <c r="BR7" s="15">
        <f>IFERROR(__xludf.DUMMYFUNCTION("""COMPUTED_VALUE"""),94.0)</f>
        <v>94</v>
      </c>
      <c r="BS7" s="15" t="str">
        <f>IFERROR(__xludf.DUMMYFUNCTION("""COMPUTED_VALUE"""),"Condo")</f>
        <v>Condo</v>
      </c>
      <c r="BT7" s="15" t="str">
        <f>IFERROR(__xludf.DUMMYFUNCTION("""COMPUTED_VALUE"""),"Z833664")</f>
        <v>Z833664</v>
      </c>
      <c r="BU7" s="15" t="str">
        <f>IFERROR(__xludf.DUMMYFUNCTION("""COMPUTED_VALUE"""),"Alex Johnson - Compass")</f>
        <v>Alex Johnson - Compass</v>
      </c>
      <c r="BV7" s="15" t="str">
        <f>IFERROR(__xludf.DUMMYFUNCTION("""COMPUTED_VALUE"""),"Sold")</f>
        <v>Sold</v>
      </c>
      <c r="BW7" s="15">
        <f>IFERROR(__xludf.DUMMYFUNCTION("""COMPUTED_VALUE"""),1.0)</f>
        <v>1</v>
      </c>
      <c r="BX7" s="15" t="str">
        <f>IFERROR(__xludf.DUMMYFUNCTION("""COMPUTED_VALUE"""),"OK")</f>
        <v>OK</v>
      </c>
      <c r="BY7" s="1" t="str">
        <f>IFERROR(__xludf.DUMMYFUNCTION("""COMPUTED_VALUE"""),"600-1600")</f>
        <v>600-1600</v>
      </c>
      <c r="BZ7" s="1">
        <f>IFERROR(__xludf.DUMMYFUNCTION("""COMPUTED_VALUE"""),72.0)</f>
        <v>72</v>
      </c>
      <c r="CA7" s="1" t="str">
        <f>IFERROR(__xludf.DUMMYFUNCTION("""COMPUTED_VALUE"""),"Very Old")</f>
        <v>Very Old</v>
      </c>
    </row>
    <row r="8" ht="14.25" customHeight="1">
      <c r="A8" s="5">
        <v>1325395.0</v>
      </c>
      <c r="B8" s="6" t="s">
        <v>67</v>
      </c>
      <c r="C8" s="6" t="s">
        <v>39</v>
      </c>
      <c r="D8" s="6">
        <v>57421.0</v>
      </c>
      <c r="E8" s="6" t="s">
        <v>60</v>
      </c>
      <c r="F8" s="6" t="s">
        <v>41</v>
      </c>
      <c r="G8" s="6" t="s">
        <v>31</v>
      </c>
      <c r="H8" s="7">
        <v>1990.0</v>
      </c>
      <c r="I8" s="7">
        <v>5592.0</v>
      </c>
      <c r="J8" s="6">
        <v>2012.0</v>
      </c>
      <c r="K8" s="6">
        <v>94.0</v>
      </c>
      <c r="L8" s="6" t="s">
        <v>22</v>
      </c>
      <c r="M8" s="6" t="s">
        <v>68</v>
      </c>
      <c r="N8" s="6" t="s">
        <v>24</v>
      </c>
      <c r="O8" s="6" t="s">
        <v>49</v>
      </c>
      <c r="P8" s="6">
        <f>COUNTIF(Analysis!$M$1:$M$3001,Analysis!$M8)</f>
        <v>1</v>
      </c>
      <c r="Q8" s="6" t="str">
        <f>IF(COUNTIF(Analysis!$M$2:$M$3001,Analysis!$M8)&gt;1,"Duplicate","OK")</f>
        <v>OK</v>
      </c>
      <c r="R8" s="6" t="str">
        <f t="shared" si="1"/>
        <v>1600-2600</v>
      </c>
      <c r="S8" s="6">
        <f t="shared" si="2"/>
        <v>14</v>
      </c>
      <c r="T8" s="6" t="str">
        <f t="shared" si="3"/>
        <v>Mid</v>
      </c>
      <c r="V8" s="16" t="s">
        <v>77</v>
      </c>
      <c r="W8" s="17">
        <f>maxifs(Listings[Price],Listings[State],V8)</f>
        <v>1496345</v>
      </c>
      <c r="Z8" s="22" t="s">
        <v>29</v>
      </c>
      <c r="AA8" s="23">
        <f>AVERAGEIF(Listings[City],C3,Listings[Price])</f>
        <v>833497.5695</v>
      </c>
      <c r="AD8" s="24" t="s">
        <v>32</v>
      </c>
      <c r="AE8" s="25">
        <f>Averageif(Listings[Property Type],AD8,Listings[Price])</f>
        <v>825628.6206</v>
      </c>
      <c r="AM8" s="26">
        <f>SUM(AM5:AM7)</f>
        <v>3000</v>
      </c>
      <c r="BH8" s="14">
        <f>IFERROR(__xludf.DUMMYFUNCTION("""COMPUTED_VALUE"""),1256611.0)</f>
        <v>1256611</v>
      </c>
      <c r="BI8" s="15" t="str">
        <f>IFERROR(__xludf.DUMMYFUNCTION("""COMPUTED_VALUE"""),"3492 Pine Rd, Sacramento, CA 23389")</f>
        <v>3492 Pine Rd, Sacramento, CA 23389</v>
      </c>
      <c r="BJ8" s="15" t="str">
        <f>IFERROR(__xludf.DUMMYFUNCTION("""COMPUTED_VALUE"""),"Sacramento")</f>
        <v>Sacramento</v>
      </c>
      <c r="BK8" s="15">
        <f>IFERROR(__xludf.DUMMYFUNCTION("""COMPUTED_VALUE"""),23389.0)</f>
        <v>23389</v>
      </c>
      <c r="BL8" s="15" t="str">
        <f>IFERROR(__xludf.DUMMYFUNCTION("""COMPUTED_VALUE"""),"CA")</f>
        <v>CA</v>
      </c>
      <c r="BM8" s="15" t="str">
        <f>IFERROR(__xludf.DUMMYFUNCTION("""COMPUTED_VALUE"""),"2 bds")</f>
        <v>2 bds</v>
      </c>
      <c r="BN8" s="15" t="str">
        <f>IFERROR(__xludf.DUMMYFUNCTION("""COMPUTED_VALUE"""),"4 ba")</f>
        <v>4 ba</v>
      </c>
      <c r="BO8" s="15">
        <f>IFERROR(__xludf.DUMMYFUNCTION("""COMPUTED_VALUE"""),3037.0)</f>
        <v>3037</v>
      </c>
      <c r="BP8" s="15">
        <f>IFERROR(__xludf.DUMMYFUNCTION("""COMPUTED_VALUE"""),9989.0)</f>
        <v>9989</v>
      </c>
      <c r="BQ8" s="15">
        <f>IFERROR(__xludf.DUMMYFUNCTION("""COMPUTED_VALUE"""),1956.0)</f>
        <v>1956</v>
      </c>
      <c r="BR8" s="15">
        <f>IFERROR(__xludf.DUMMYFUNCTION("""COMPUTED_VALUE"""),25.0)</f>
        <v>25</v>
      </c>
      <c r="BS8" s="15" t="str">
        <f>IFERROR(__xludf.DUMMYFUNCTION("""COMPUTED_VALUE"""),"Townhouse")</f>
        <v>Townhouse</v>
      </c>
      <c r="BT8" s="15" t="str">
        <f>IFERROR(__xludf.DUMMYFUNCTION("""COMPUTED_VALUE"""),"Z587830")</f>
        <v>Z587830</v>
      </c>
      <c r="BU8" s="15" t="str">
        <f>IFERROR(__xludf.DUMMYFUNCTION("""COMPUTED_VALUE"""),"Alex Johnson - Compass")</f>
        <v>Alex Johnson - Compass</v>
      </c>
      <c r="BV8" s="15" t="str">
        <f>IFERROR(__xludf.DUMMYFUNCTION("""COMPUTED_VALUE"""),"Sold")</f>
        <v>Sold</v>
      </c>
      <c r="BW8" s="15">
        <f>IFERROR(__xludf.DUMMYFUNCTION("""COMPUTED_VALUE"""),1.0)</f>
        <v>1</v>
      </c>
      <c r="BX8" s="15" t="str">
        <f>IFERROR(__xludf.DUMMYFUNCTION("""COMPUTED_VALUE"""),"OK")</f>
        <v>OK</v>
      </c>
      <c r="BY8" s="1" t="str">
        <f>IFERROR(__xludf.DUMMYFUNCTION("""COMPUTED_VALUE"""),"2600-3600")</f>
        <v>2600-3600</v>
      </c>
      <c r="BZ8" s="1">
        <f>IFERROR(__xludf.DUMMYFUNCTION("""COMPUTED_VALUE"""),70.0)</f>
        <v>70</v>
      </c>
      <c r="CA8" s="1" t="str">
        <f>IFERROR(__xludf.DUMMYFUNCTION("""COMPUTED_VALUE"""),"Very Old")</f>
        <v>Very Old</v>
      </c>
    </row>
    <row r="9" ht="14.25" customHeight="1">
      <c r="A9" s="5">
        <v>1158003.0</v>
      </c>
      <c r="B9" s="6" t="s">
        <v>71</v>
      </c>
      <c r="C9" s="6" t="s">
        <v>18</v>
      </c>
      <c r="D9" s="6">
        <v>64361.0</v>
      </c>
      <c r="E9" s="6" t="s">
        <v>30</v>
      </c>
      <c r="F9" s="6" t="s">
        <v>46</v>
      </c>
      <c r="G9" s="6" t="s">
        <v>55</v>
      </c>
      <c r="H9" s="7">
        <v>1008.0</v>
      </c>
      <c r="I9" s="7">
        <v>6010.0</v>
      </c>
      <c r="J9" s="6">
        <v>1975.0</v>
      </c>
      <c r="K9" s="6">
        <v>75.0</v>
      </c>
      <c r="L9" s="6" t="s">
        <v>22</v>
      </c>
      <c r="M9" s="6" t="s">
        <v>72</v>
      </c>
      <c r="N9" s="6" t="s">
        <v>48</v>
      </c>
      <c r="O9" s="6" t="s">
        <v>25</v>
      </c>
      <c r="P9" s="6">
        <f>COUNTIF(Analysis!$M$1:$M$3001,Analysis!$M9)</f>
        <v>1</v>
      </c>
      <c r="Q9" s="6" t="str">
        <f>IF(COUNTIF(Analysis!$M$2:$M$3001,Analysis!$M9)&gt;1,"Duplicate","OK")</f>
        <v>OK</v>
      </c>
      <c r="R9" s="6" t="str">
        <f t="shared" si="1"/>
        <v>600-1600</v>
      </c>
      <c r="S9" s="6">
        <f t="shared" si="2"/>
        <v>51</v>
      </c>
      <c r="T9" s="6" t="str">
        <f t="shared" si="3"/>
        <v>Old</v>
      </c>
      <c r="V9" s="16" t="s">
        <v>30</v>
      </c>
      <c r="W9" s="17">
        <f>maxifs(Listings[Price],Listings[State],V9)</f>
        <v>1496721</v>
      </c>
      <c r="Z9" s="27" t="s">
        <v>39</v>
      </c>
      <c r="AA9" s="19">
        <f>AVERAGEIF(Listings[City],Z9,Listings[Price])</f>
        <v>804244.1806</v>
      </c>
      <c r="AD9" s="20" t="s">
        <v>141</v>
      </c>
      <c r="AE9" s="21">
        <f>Averageif(Listings[Property Type],AD9,Listings[Price])</f>
        <v>824646.2144</v>
      </c>
      <c r="BH9" s="14">
        <f>IFERROR(__xludf.DUMMYFUNCTION("""COMPUTED_VALUE"""),439407.0)</f>
        <v>439407</v>
      </c>
      <c r="BI9" s="15" t="str">
        <f>IFERROR(__xludf.DUMMYFUNCTION("""COMPUTED_VALUE"""),"1157 Pine Rd, San Francisco, IL 97204")</f>
        <v>1157 Pine Rd, San Francisco, IL 97204</v>
      </c>
      <c r="BJ9" s="15" t="str">
        <f>IFERROR(__xludf.DUMMYFUNCTION("""COMPUTED_VALUE"""),"San Francisco")</f>
        <v>San Francisco</v>
      </c>
      <c r="BK9" s="15">
        <f>IFERROR(__xludf.DUMMYFUNCTION("""COMPUTED_VALUE"""),97204.0)</f>
        <v>97204</v>
      </c>
      <c r="BL9" s="15" t="str">
        <f>IFERROR(__xludf.DUMMYFUNCTION("""COMPUTED_VALUE"""),"IL")</f>
        <v>IL</v>
      </c>
      <c r="BM9" s="15" t="str">
        <f>IFERROR(__xludf.DUMMYFUNCTION("""COMPUTED_VALUE"""),"2 bds")</f>
        <v>2 bds</v>
      </c>
      <c r="BN9" s="15" t="str">
        <f>IFERROR(__xludf.DUMMYFUNCTION("""COMPUTED_VALUE"""),"4 ba")</f>
        <v>4 ba</v>
      </c>
      <c r="BO9" s="15">
        <f>IFERROR(__xludf.DUMMYFUNCTION("""COMPUTED_VALUE"""),2796.0)</f>
        <v>2796</v>
      </c>
      <c r="BP9" s="15">
        <f>IFERROR(__xludf.DUMMYFUNCTION("""COMPUTED_VALUE"""),7855.0)</f>
        <v>7855</v>
      </c>
      <c r="BQ9" s="15">
        <f>IFERROR(__xludf.DUMMYFUNCTION("""COMPUTED_VALUE"""),1969.0)</f>
        <v>1969</v>
      </c>
      <c r="BR9" s="15">
        <f>IFERROR(__xludf.DUMMYFUNCTION("""COMPUTED_VALUE"""),15.0)</f>
        <v>15</v>
      </c>
      <c r="BS9" s="15" t="str">
        <f>IFERROR(__xludf.DUMMYFUNCTION("""COMPUTED_VALUE"""),"Apartment")</f>
        <v>Apartment</v>
      </c>
      <c r="BT9" s="15" t="str">
        <f>IFERROR(__xludf.DUMMYFUNCTION("""COMPUTED_VALUE"""),"Z685882")</f>
        <v>Z685882</v>
      </c>
      <c r="BU9" s="15" t="str">
        <f>IFERROR(__xludf.DUMMYFUNCTION("""COMPUTED_VALUE"""),"Alex Johnson - Compass")</f>
        <v>Alex Johnson - Compass</v>
      </c>
      <c r="BV9" s="15" t="str">
        <f>IFERROR(__xludf.DUMMYFUNCTION("""COMPUTED_VALUE"""),"Sold")</f>
        <v>Sold</v>
      </c>
      <c r="BW9" s="15">
        <f>IFERROR(__xludf.DUMMYFUNCTION("""COMPUTED_VALUE"""),1.0)</f>
        <v>1</v>
      </c>
      <c r="BX9" s="15" t="str">
        <f>IFERROR(__xludf.DUMMYFUNCTION("""COMPUTED_VALUE"""),"OK")</f>
        <v>OK</v>
      </c>
      <c r="BY9" s="1" t="str">
        <f>IFERROR(__xludf.DUMMYFUNCTION("""COMPUTED_VALUE"""),"2600-3600")</f>
        <v>2600-3600</v>
      </c>
      <c r="BZ9" s="1">
        <f>IFERROR(__xludf.DUMMYFUNCTION("""COMPUTED_VALUE"""),57.0)</f>
        <v>57</v>
      </c>
      <c r="CA9" s="1" t="str">
        <f>IFERROR(__xludf.DUMMYFUNCTION("""COMPUTED_VALUE"""),"Old")</f>
        <v>Old</v>
      </c>
    </row>
    <row r="10" ht="14.25" customHeight="1">
      <c r="A10" s="5">
        <v>240095.0</v>
      </c>
      <c r="B10" s="6" t="s">
        <v>75</v>
      </c>
      <c r="C10" s="6" t="s">
        <v>76</v>
      </c>
      <c r="D10" s="6">
        <v>13227.0</v>
      </c>
      <c r="E10" s="6" t="s">
        <v>77</v>
      </c>
      <c r="F10" s="6" t="s">
        <v>41</v>
      </c>
      <c r="G10" s="6" t="s">
        <v>55</v>
      </c>
      <c r="H10" s="7">
        <v>929.0</v>
      </c>
      <c r="I10" s="7">
        <v>5449.0</v>
      </c>
      <c r="J10" s="6">
        <v>1975.0</v>
      </c>
      <c r="K10" s="6">
        <v>79.0</v>
      </c>
      <c r="L10" s="6" t="s">
        <v>22</v>
      </c>
      <c r="M10" s="6" t="s">
        <v>78</v>
      </c>
      <c r="N10" s="6" t="s">
        <v>48</v>
      </c>
      <c r="O10" s="6" t="s">
        <v>49</v>
      </c>
      <c r="P10" s="6">
        <f>COUNTIF(Analysis!$M$1:$M$3001,Analysis!$M10)</f>
        <v>1</v>
      </c>
      <c r="Q10" s="6" t="str">
        <f>IF(COUNTIF(Analysis!$M$2:$M$3001,Analysis!$M10)&gt;1,"Duplicate","OK")</f>
        <v>OK</v>
      </c>
      <c r="R10" s="6" t="str">
        <f t="shared" si="1"/>
        <v>600-1600</v>
      </c>
      <c r="S10" s="6">
        <f t="shared" si="2"/>
        <v>51</v>
      </c>
      <c r="T10" s="6" t="str">
        <f t="shared" si="3"/>
        <v>Old</v>
      </c>
      <c r="V10" s="16" t="s">
        <v>60</v>
      </c>
      <c r="W10" s="17">
        <f>maxifs(Listings[Price],Listings[State],V10)</f>
        <v>1498990</v>
      </c>
      <c r="Z10" s="27" t="s">
        <v>53</v>
      </c>
      <c r="AA10" s="19">
        <f>AVERAGEIF(Listings[City],Z10,Listings[Price])</f>
        <v>815039.3209</v>
      </c>
      <c r="AD10" s="20" t="s">
        <v>62</v>
      </c>
      <c r="AE10" s="21">
        <f>Averageif(Listings[Property Type],AD10,Listings[Price])</f>
        <v>824386.867</v>
      </c>
      <c r="BH10" s="14">
        <f>IFERROR(__xludf.DUMMYFUNCTION("""COMPUTED_VALUE"""),204351.0)</f>
        <v>204351</v>
      </c>
      <c r="BI10" s="15" t="str">
        <f>IFERROR(__xludf.DUMMYFUNCTION("""COMPUTED_VALUE"""),"7772 Maple Dr, Los Angeles, NY 94493")</f>
        <v>7772 Maple Dr, Los Angeles, NY 94493</v>
      </c>
      <c r="BJ10" s="15" t="str">
        <f>IFERROR(__xludf.DUMMYFUNCTION("""COMPUTED_VALUE"""),"Los Angeles")</f>
        <v>Los Angeles</v>
      </c>
      <c r="BK10" s="15">
        <f>IFERROR(__xludf.DUMMYFUNCTION("""COMPUTED_VALUE"""),94493.0)</f>
        <v>94493</v>
      </c>
      <c r="BL10" s="15" t="str">
        <f>IFERROR(__xludf.DUMMYFUNCTION("""COMPUTED_VALUE"""),"NY")</f>
        <v>NY</v>
      </c>
      <c r="BM10" s="15" t="str">
        <f>IFERROR(__xludf.DUMMYFUNCTION("""COMPUTED_VALUE"""),"4 bds")</f>
        <v>4 bds</v>
      </c>
      <c r="BN10" s="15" t="str">
        <f>IFERROR(__xludf.DUMMYFUNCTION("""COMPUTED_VALUE"""),"3 ba")</f>
        <v>3 ba</v>
      </c>
      <c r="BO10" s="15">
        <f>IFERROR(__xludf.DUMMYFUNCTION("""COMPUTED_VALUE"""),1540.0)</f>
        <v>1540</v>
      </c>
      <c r="BP10" s="15">
        <f>IFERROR(__xludf.DUMMYFUNCTION("""COMPUTED_VALUE"""),4699.0)</f>
        <v>4699</v>
      </c>
      <c r="BQ10" s="15">
        <f>IFERROR(__xludf.DUMMYFUNCTION("""COMPUTED_VALUE"""),1962.0)</f>
        <v>1962</v>
      </c>
      <c r="BR10" s="15">
        <f>IFERROR(__xludf.DUMMYFUNCTION("""COMPUTED_VALUE"""),34.0)</f>
        <v>34</v>
      </c>
      <c r="BS10" s="15" t="str">
        <f>IFERROR(__xludf.DUMMYFUNCTION("""COMPUTED_VALUE"""),"Multi-Family")</f>
        <v>Multi-Family</v>
      </c>
      <c r="BT10" s="15" t="str">
        <f>IFERROR(__xludf.DUMMYFUNCTION("""COMPUTED_VALUE"""),"Z599335")</f>
        <v>Z599335</v>
      </c>
      <c r="BU10" s="15" t="str">
        <f>IFERROR(__xludf.DUMMYFUNCTION("""COMPUTED_VALUE"""),"Alex Johnson - Compass")</f>
        <v>Alex Johnson - Compass</v>
      </c>
      <c r="BV10" s="15" t="str">
        <f>IFERROR(__xludf.DUMMYFUNCTION("""COMPUTED_VALUE"""),"Sold")</f>
        <v>Sold</v>
      </c>
      <c r="BW10" s="15">
        <f>IFERROR(__xludf.DUMMYFUNCTION("""COMPUTED_VALUE"""),1.0)</f>
        <v>1</v>
      </c>
      <c r="BX10" s="15" t="str">
        <f>IFERROR(__xludf.DUMMYFUNCTION("""COMPUTED_VALUE"""),"OK")</f>
        <v>OK</v>
      </c>
      <c r="BY10" s="1" t="str">
        <f>IFERROR(__xludf.DUMMYFUNCTION("""COMPUTED_VALUE"""),"600-1600")</f>
        <v>600-1600</v>
      </c>
      <c r="BZ10" s="1">
        <f>IFERROR(__xludf.DUMMYFUNCTION("""COMPUTED_VALUE"""),64.0)</f>
        <v>64</v>
      </c>
      <c r="CA10" s="1" t="str">
        <f>IFERROR(__xludf.DUMMYFUNCTION("""COMPUTED_VALUE"""),"Very Old")</f>
        <v>Very Old</v>
      </c>
    </row>
    <row r="11" ht="14.25" customHeight="1">
      <c r="A11" s="5">
        <v>1356448.0</v>
      </c>
      <c r="B11" s="6" t="s">
        <v>81</v>
      </c>
      <c r="C11" s="6" t="s">
        <v>18</v>
      </c>
      <c r="D11" s="6">
        <v>57397.0</v>
      </c>
      <c r="E11" s="6" t="s">
        <v>60</v>
      </c>
      <c r="F11" s="6" t="s">
        <v>46</v>
      </c>
      <c r="G11" s="6" t="s">
        <v>21</v>
      </c>
      <c r="H11" s="7">
        <v>2094.0</v>
      </c>
      <c r="I11" s="7">
        <v>2179.0</v>
      </c>
      <c r="J11" s="6">
        <v>1970.0</v>
      </c>
      <c r="K11" s="6">
        <v>111.0</v>
      </c>
      <c r="L11" s="6" t="s">
        <v>62</v>
      </c>
      <c r="M11" s="6" t="s">
        <v>82</v>
      </c>
      <c r="N11" s="6" t="s">
        <v>48</v>
      </c>
      <c r="O11" s="6" t="s">
        <v>49</v>
      </c>
      <c r="P11" s="6">
        <f>COUNTIF(Analysis!$M$1:$M$3001,Analysis!$M11)</f>
        <v>1</v>
      </c>
      <c r="Q11" s="6" t="str">
        <f>IF(COUNTIF(Analysis!$M$2:$M$3001,Analysis!$M11)&gt;1,"Duplicate","OK")</f>
        <v>OK</v>
      </c>
      <c r="R11" s="6" t="str">
        <f t="shared" si="1"/>
        <v>1600-2600</v>
      </c>
      <c r="S11" s="6">
        <f t="shared" si="2"/>
        <v>56</v>
      </c>
      <c r="T11" s="6" t="str">
        <f t="shared" si="3"/>
        <v>Old</v>
      </c>
      <c r="V11" s="28" t="s">
        <v>40</v>
      </c>
      <c r="W11" s="29">
        <f>maxifs(Listings[Price],Listings[State],V11)</f>
        <v>1499473</v>
      </c>
      <c r="Z11" s="27" t="s">
        <v>76</v>
      </c>
      <c r="AA11" s="19">
        <f>AVERAGEIF(Listings[City],Z11,Listings[Price])</f>
        <v>787924.5289</v>
      </c>
      <c r="AD11" s="20" t="s">
        <v>95</v>
      </c>
      <c r="AE11" s="21">
        <f>Averageif(Listings[Property Type],AD11,Listings[Price])</f>
        <v>768002.4052</v>
      </c>
      <c r="BH11" s="14">
        <f>IFERROR(__xludf.DUMMYFUNCTION("""COMPUTED_VALUE"""),970820.0)</f>
        <v>970820</v>
      </c>
      <c r="BI11" s="15" t="str">
        <f>IFERROR(__xludf.DUMMYFUNCTION("""COMPUTED_VALUE"""),"865 Maple Dr, Sacramento, CA 97567")</f>
        <v>865 Maple Dr, Sacramento, CA 97567</v>
      </c>
      <c r="BJ11" s="15" t="str">
        <f>IFERROR(__xludf.DUMMYFUNCTION("""COMPUTED_VALUE"""),"Sacramento")</f>
        <v>Sacramento</v>
      </c>
      <c r="BK11" s="15">
        <f>IFERROR(__xludf.DUMMYFUNCTION("""COMPUTED_VALUE"""),97567.0)</f>
        <v>97567</v>
      </c>
      <c r="BL11" s="15" t="str">
        <f>IFERROR(__xludf.DUMMYFUNCTION("""COMPUTED_VALUE"""),"CA")</f>
        <v>CA</v>
      </c>
      <c r="BM11" s="15" t="str">
        <f>IFERROR(__xludf.DUMMYFUNCTION("""COMPUTED_VALUE"""),"5 bds")</f>
        <v>5 bds</v>
      </c>
      <c r="BN11" s="15" t="str">
        <f>IFERROR(__xludf.DUMMYFUNCTION("""COMPUTED_VALUE"""),"3 ba")</f>
        <v>3 ba</v>
      </c>
      <c r="BO11" s="15">
        <f>IFERROR(__xludf.DUMMYFUNCTION("""COMPUTED_VALUE"""),1506.0)</f>
        <v>1506</v>
      </c>
      <c r="BP11" s="15">
        <f>IFERROR(__xludf.DUMMYFUNCTION("""COMPUTED_VALUE"""),3116.0)</f>
        <v>3116</v>
      </c>
      <c r="BQ11" s="15">
        <f>IFERROR(__xludf.DUMMYFUNCTION("""COMPUTED_VALUE"""),2004.0)</f>
        <v>2004</v>
      </c>
      <c r="BR11" s="15">
        <f>IFERROR(__xludf.DUMMYFUNCTION("""COMPUTED_VALUE"""),117.0)</f>
        <v>117</v>
      </c>
      <c r="BS11" s="15" t="str">
        <f>IFERROR(__xludf.DUMMYFUNCTION("""COMPUTED_VALUE"""),"Townhouse")</f>
        <v>Townhouse</v>
      </c>
      <c r="BT11" s="15" t="str">
        <f>IFERROR(__xludf.DUMMYFUNCTION("""COMPUTED_VALUE"""),"Z865226")</f>
        <v>Z865226</v>
      </c>
      <c r="BU11" s="15" t="str">
        <f>IFERROR(__xludf.DUMMYFUNCTION("""COMPUTED_VALUE"""),"Alex Johnson - Compass")</f>
        <v>Alex Johnson - Compass</v>
      </c>
      <c r="BV11" s="15" t="str">
        <f>IFERROR(__xludf.DUMMYFUNCTION("""COMPUTED_VALUE"""),"Sold")</f>
        <v>Sold</v>
      </c>
      <c r="BW11" s="15">
        <f>IFERROR(__xludf.DUMMYFUNCTION("""COMPUTED_VALUE"""),1.0)</f>
        <v>1</v>
      </c>
      <c r="BX11" s="15" t="str">
        <f>IFERROR(__xludf.DUMMYFUNCTION("""COMPUTED_VALUE"""),"OK")</f>
        <v>OK</v>
      </c>
      <c r="BY11" s="1" t="str">
        <f>IFERROR(__xludf.DUMMYFUNCTION("""COMPUTED_VALUE"""),"600-1600")</f>
        <v>600-1600</v>
      </c>
      <c r="BZ11" s="1">
        <f>IFERROR(__xludf.DUMMYFUNCTION("""COMPUTED_VALUE"""),22.0)</f>
        <v>22</v>
      </c>
      <c r="CA11" s="1" t="str">
        <f>IFERROR(__xludf.DUMMYFUNCTION("""COMPUTED_VALUE"""),"Mid")</f>
        <v>Mid</v>
      </c>
    </row>
    <row r="12" ht="14.25" customHeight="1">
      <c r="A12" s="5">
        <v>678604.0</v>
      </c>
      <c r="B12" s="6" t="s">
        <v>85</v>
      </c>
      <c r="C12" s="6" t="s">
        <v>18</v>
      </c>
      <c r="D12" s="6">
        <v>70072.0</v>
      </c>
      <c r="E12" s="6" t="s">
        <v>77</v>
      </c>
      <c r="F12" s="6" t="s">
        <v>54</v>
      </c>
      <c r="G12" s="6" t="s">
        <v>21</v>
      </c>
      <c r="H12" s="7">
        <v>2350.0</v>
      </c>
      <c r="I12" s="7">
        <v>3341.0</v>
      </c>
      <c r="J12" s="6">
        <v>2013.0</v>
      </c>
      <c r="K12" s="6">
        <v>25.0</v>
      </c>
      <c r="L12" s="6" t="s">
        <v>62</v>
      </c>
      <c r="M12" s="6" t="s">
        <v>86</v>
      </c>
      <c r="N12" s="6" t="s">
        <v>48</v>
      </c>
      <c r="O12" s="6" t="s">
        <v>49</v>
      </c>
      <c r="P12" s="6">
        <f>COUNTIF(Analysis!$M$1:$M$3001,Analysis!$M12)</f>
        <v>1</v>
      </c>
      <c r="Q12" s="6" t="str">
        <f>IF(COUNTIF(Analysis!$M$2:$M$3001,Analysis!$M12)&gt;1,"Duplicate","OK")</f>
        <v>OK</v>
      </c>
      <c r="R12" s="6" t="str">
        <f t="shared" si="1"/>
        <v>1600-2600</v>
      </c>
      <c r="S12" s="6">
        <f t="shared" si="2"/>
        <v>13</v>
      </c>
      <c r="T12" s="6" t="str">
        <f t="shared" si="3"/>
        <v>Mid</v>
      </c>
      <c r="V12" s="30"/>
      <c r="W12" s="31"/>
      <c r="Z12" s="30"/>
      <c r="AA12" s="31"/>
      <c r="AD12" s="30"/>
      <c r="AE12" s="31"/>
      <c r="BH12" s="14">
        <f>IFERROR(__xludf.DUMMYFUNCTION("""COMPUTED_VALUE"""),1122084.0)</f>
        <v>1122084</v>
      </c>
      <c r="BI12" s="15" t="str">
        <f>IFERROR(__xludf.DUMMYFUNCTION("""COMPUTED_VALUE"""),"6791 Oak Ave, San Diego, NY 80136")</f>
        <v>6791 Oak Ave, San Diego, NY 80136</v>
      </c>
      <c r="BJ12" s="15" t="str">
        <f>IFERROR(__xludf.DUMMYFUNCTION("""COMPUTED_VALUE"""),"San Diego")</f>
        <v>San Diego</v>
      </c>
      <c r="BK12" s="15">
        <f>IFERROR(__xludf.DUMMYFUNCTION("""COMPUTED_VALUE"""),80136.0)</f>
        <v>80136</v>
      </c>
      <c r="BL12" s="15" t="str">
        <f>IFERROR(__xludf.DUMMYFUNCTION("""COMPUTED_VALUE"""),"NY")</f>
        <v>NY</v>
      </c>
      <c r="BM12" s="15" t="str">
        <f>IFERROR(__xludf.DUMMYFUNCTION("""COMPUTED_VALUE"""),"6 bds")</f>
        <v>6 bds</v>
      </c>
      <c r="BN12" s="15" t="str">
        <f>IFERROR(__xludf.DUMMYFUNCTION("""COMPUTED_VALUE"""),"2 ba")</f>
        <v>2 ba</v>
      </c>
      <c r="BO12" s="15">
        <f>IFERROR(__xludf.DUMMYFUNCTION("""COMPUTED_VALUE"""),3061.0)</f>
        <v>3061</v>
      </c>
      <c r="BP12" s="15">
        <f>IFERROR(__xludf.DUMMYFUNCTION("""COMPUTED_VALUE"""),8290.0)</f>
        <v>8290</v>
      </c>
      <c r="BQ12" s="15">
        <f>IFERROR(__xludf.DUMMYFUNCTION("""COMPUTED_VALUE"""),2000.0)</f>
        <v>2000</v>
      </c>
      <c r="BR12" s="15">
        <f>IFERROR(__xludf.DUMMYFUNCTION("""COMPUTED_VALUE"""),78.0)</f>
        <v>78</v>
      </c>
      <c r="BS12" s="15" t="str">
        <f>IFERROR(__xludf.DUMMYFUNCTION("""COMPUTED_VALUE"""),"Townhouse")</f>
        <v>Townhouse</v>
      </c>
      <c r="BT12" s="15" t="str">
        <f>IFERROR(__xludf.DUMMYFUNCTION("""COMPUTED_VALUE"""),"Z214122")</f>
        <v>Z214122</v>
      </c>
      <c r="BU12" s="15" t="str">
        <f>IFERROR(__xludf.DUMMYFUNCTION("""COMPUTED_VALUE"""),"Alex Johnson - Compass")</f>
        <v>Alex Johnson - Compass</v>
      </c>
      <c r="BV12" s="15" t="str">
        <f>IFERROR(__xludf.DUMMYFUNCTION("""COMPUTED_VALUE"""),"Sold")</f>
        <v>Sold</v>
      </c>
      <c r="BW12" s="15">
        <f>IFERROR(__xludf.DUMMYFUNCTION("""COMPUTED_VALUE"""),1.0)</f>
        <v>1</v>
      </c>
      <c r="BX12" s="15" t="str">
        <f>IFERROR(__xludf.DUMMYFUNCTION("""COMPUTED_VALUE"""),"OK")</f>
        <v>OK</v>
      </c>
      <c r="BY12" s="1" t="str">
        <f>IFERROR(__xludf.DUMMYFUNCTION("""COMPUTED_VALUE"""),"2600-3600")</f>
        <v>2600-3600</v>
      </c>
      <c r="BZ12" s="1">
        <f>IFERROR(__xludf.DUMMYFUNCTION("""COMPUTED_VALUE"""),26.0)</f>
        <v>26</v>
      </c>
      <c r="CA12" s="1" t="str">
        <f>IFERROR(__xludf.DUMMYFUNCTION("""COMPUTED_VALUE"""),"Mid")</f>
        <v>Mid</v>
      </c>
    </row>
    <row r="13" ht="14.25" customHeight="1">
      <c r="A13" s="5">
        <v>102028.0</v>
      </c>
      <c r="B13" s="6" t="s">
        <v>6085</v>
      </c>
      <c r="C13" s="6" t="s">
        <v>29</v>
      </c>
      <c r="D13" s="6">
        <v>60495.0</v>
      </c>
      <c r="E13" s="6" t="s">
        <v>19</v>
      </c>
      <c r="F13" s="6" t="s">
        <v>20</v>
      </c>
      <c r="G13" s="6" t="s">
        <v>55</v>
      </c>
      <c r="H13" s="7">
        <v>1824.0</v>
      </c>
      <c r="I13" s="7">
        <v>8908.0</v>
      </c>
      <c r="J13" s="6">
        <v>1975.0</v>
      </c>
      <c r="K13" s="6">
        <v>42.0</v>
      </c>
      <c r="L13" s="6" t="s">
        <v>22</v>
      </c>
      <c r="M13" s="6" t="s">
        <v>6086</v>
      </c>
      <c r="N13" s="6" t="s">
        <v>64</v>
      </c>
      <c r="O13" s="6" t="s">
        <v>25</v>
      </c>
      <c r="P13" s="6">
        <f>COUNTIF(Analysis!$M$1:$M$3001,Analysis!$M1512)</f>
        <v>1</v>
      </c>
      <c r="Q13" s="6" t="str">
        <f>IF(COUNTIF(Analysis!$M$2:$M$3001,Analysis!$M1512)&gt;1,"Duplicate","OK")</f>
        <v>OK</v>
      </c>
      <c r="R13" s="6" t="str">
        <f t="shared" si="1"/>
        <v>1600-2600</v>
      </c>
      <c r="S13" s="6">
        <f t="shared" si="2"/>
        <v>51</v>
      </c>
      <c r="T13" s="6" t="str">
        <f t="shared" si="3"/>
        <v>Old</v>
      </c>
      <c r="BH13" s="14">
        <f>IFERROR(__xludf.DUMMYFUNCTION("""COMPUTED_VALUE"""),215904.0)</f>
        <v>215904</v>
      </c>
      <c r="BI13" s="15" t="str">
        <f>IFERROR(__xludf.DUMMYFUNCTION("""COMPUTED_VALUE"""),"1429 Main St, San Diego, TX 63640")</f>
        <v>1429 Main St, San Diego, TX 63640</v>
      </c>
      <c r="BJ13" s="15" t="str">
        <f>IFERROR(__xludf.DUMMYFUNCTION("""COMPUTED_VALUE"""),"San Diego")</f>
        <v>San Diego</v>
      </c>
      <c r="BK13" s="15">
        <f>IFERROR(__xludf.DUMMYFUNCTION("""COMPUTED_VALUE"""),63640.0)</f>
        <v>63640</v>
      </c>
      <c r="BL13" s="15" t="str">
        <f>IFERROR(__xludf.DUMMYFUNCTION("""COMPUTED_VALUE"""),"TX")</f>
        <v>TX</v>
      </c>
      <c r="BM13" s="15" t="str">
        <f>IFERROR(__xludf.DUMMYFUNCTION("""COMPUTED_VALUE"""),"6 bds")</f>
        <v>6 bds</v>
      </c>
      <c r="BN13" s="15" t="str">
        <f>IFERROR(__xludf.DUMMYFUNCTION("""COMPUTED_VALUE"""),"4 ba")</f>
        <v>4 ba</v>
      </c>
      <c r="BO13" s="15">
        <f>IFERROR(__xludf.DUMMYFUNCTION("""COMPUTED_VALUE"""),2701.0)</f>
        <v>2701</v>
      </c>
      <c r="BP13" s="15">
        <f>IFERROR(__xludf.DUMMYFUNCTION("""COMPUTED_VALUE"""),9476.0)</f>
        <v>9476</v>
      </c>
      <c r="BQ13" s="15">
        <f>IFERROR(__xludf.DUMMYFUNCTION("""COMPUTED_VALUE"""),1995.0)</f>
        <v>1995</v>
      </c>
      <c r="BR13" s="15">
        <f>IFERROR(__xludf.DUMMYFUNCTION("""COMPUTED_VALUE"""),47.0)</f>
        <v>47</v>
      </c>
      <c r="BS13" s="15" t="str">
        <f>IFERROR(__xludf.DUMMYFUNCTION("""COMPUTED_VALUE"""),"Multi-Family")</f>
        <v>Multi-Family</v>
      </c>
      <c r="BT13" s="15" t="str">
        <f>IFERROR(__xludf.DUMMYFUNCTION("""COMPUTED_VALUE"""),"Z501809")</f>
        <v>Z501809</v>
      </c>
      <c r="BU13" s="15" t="str">
        <f>IFERROR(__xludf.DUMMYFUNCTION("""COMPUTED_VALUE"""),"Alex Johnson - Compass")</f>
        <v>Alex Johnson - Compass</v>
      </c>
      <c r="BV13" s="15" t="str">
        <f>IFERROR(__xludf.DUMMYFUNCTION("""COMPUTED_VALUE"""),"Sold")</f>
        <v>Sold</v>
      </c>
      <c r="BW13" s="15">
        <f>IFERROR(__xludf.DUMMYFUNCTION("""COMPUTED_VALUE"""),1.0)</f>
        <v>1</v>
      </c>
      <c r="BX13" s="15" t="str">
        <f>IFERROR(__xludf.DUMMYFUNCTION("""COMPUTED_VALUE"""),"OK")</f>
        <v>OK</v>
      </c>
      <c r="BY13" s="1" t="str">
        <f>IFERROR(__xludf.DUMMYFUNCTION("""COMPUTED_VALUE"""),"2600-3600")</f>
        <v>2600-3600</v>
      </c>
      <c r="BZ13" s="1">
        <f>IFERROR(__xludf.DUMMYFUNCTION("""COMPUTED_VALUE"""),31.0)</f>
        <v>31</v>
      </c>
      <c r="CA13" s="1" t="str">
        <f>IFERROR(__xludf.DUMMYFUNCTION("""COMPUTED_VALUE"""),"Old")</f>
        <v>Old</v>
      </c>
    </row>
    <row r="14" ht="14.25" customHeight="1">
      <c r="A14" s="5">
        <v>645962.0</v>
      </c>
      <c r="B14" s="6" t="s">
        <v>93</v>
      </c>
      <c r="C14" s="6" t="s">
        <v>53</v>
      </c>
      <c r="D14" s="6">
        <v>91395.0</v>
      </c>
      <c r="E14" s="6" t="s">
        <v>19</v>
      </c>
      <c r="F14" s="6" t="s">
        <v>94</v>
      </c>
      <c r="G14" s="6" t="s">
        <v>21</v>
      </c>
      <c r="H14" s="7">
        <v>2746.0</v>
      </c>
      <c r="I14" s="7">
        <v>8256.0</v>
      </c>
      <c r="J14" s="6">
        <v>2008.0</v>
      </c>
      <c r="K14" s="6">
        <v>11.0</v>
      </c>
      <c r="L14" s="6" t="s">
        <v>95</v>
      </c>
      <c r="M14" s="6" t="s">
        <v>96</v>
      </c>
      <c r="N14" s="6" t="s">
        <v>34</v>
      </c>
      <c r="O14" s="6" t="s">
        <v>49</v>
      </c>
      <c r="P14" s="6">
        <f>COUNTIF(Analysis!$M$1:$M$3001,Analysis!$M14)</f>
        <v>1</v>
      </c>
      <c r="Q14" s="6" t="str">
        <f>IF(COUNTIF(Analysis!$M$2:$M$3001,Analysis!$M14)&gt;1,"Duplicate","OK")</f>
        <v>OK</v>
      </c>
      <c r="R14" s="6" t="str">
        <f t="shared" si="1"/>
        <v>2600-3600</v>
      </c>
      <c r="S14" s="6">
        <f t="shared" si="2"/>
        <v>18</v>
      </c>
      <c r="T14" s="6" t="str">
        <f t="shared" si="3"/>
        <v>Mid</v>
      </c>
      <c r="BH14" s="14">
        <f>IFERROR(__xludf.DUMMYFUNCTION("""COMPUTED_VALUE"""),158429.0)</f>
        <v>158429</v>
      </c>
      <c r="BI14" s="15" t="str">
        <f>IFERROR(__xludf.DUMMYFUNCTION("""COMPUTED_VALUE"""),"6067 Main St, Fresno, FL 51176")</f>
        <v>6067 Main St, Fresno, FL 51176</v>
      </c>
      <c r="BJ14" s="15" t="str">
        <f>IFERROR(__xludf.DUMMYFUNCTION("""COMPUTED_VALUE"""),"Fresno")</f>
        <v>Fresno</v>
      </c>
      <c r="BK14" s="15">
        <f>IFERROR(__xludf.DUMMYFUNCTION("""COMPUTED_VALUE"""),51176.0)</f>
        <v>51176</v>
      </c>
      <c r="BL14" s="15" t="str">
        <f>IFERROR(__xludf.DUMMYFUNCTION("""COMPUTED_VALUE"""),"FL")</f>
        <v>FL</v>
      </c>
      <c r="BM14" s="15" t="str">
        <f>IFERROR(__xludf.DUMMYFUNCTION("""COMPUTED_VALUE"""),"3 bds")</f>
        <v>3 bds</v>
      </c>
      <c r="BN14" s="15" t="str">
        <f>IFERROR(__xludf.DUMMYFUNCTION("""COMPUTED_VALUE"""),"3 ba")</f>
        <v>3 ba</v>
      </c>
      <c r="BO14" s="15">
        <f>IFERROR(__xludf.DUMMYFUNCTION("""COMPUTED_VALUE"""),3000.0)</f>
        <v>3000</v>
      </c>
      <c r="BP14" s="15">
        <f>IFERROR(__xludf.DUMMYFUNCTION("""COMPUTED_VALUE"""),3035.0)</f>
        <v>3035</v>
      </c>
      <c r="BQ14" s="15">
        <f>IFERROR(__xludf.DUMMYFUNCTION("""COMPUTED_VALUE"""),1950.0)</f>
        <v>1950</v>
      </c>
      <c r="BR14" s="15">
        <f>IFERROR(__xludf.DUMMYFUNCTION("""COMPUTED_VALUE"""),84.0)</f>
        <v>84</v>
      </c>
      <c r="BS14" s="15" t="str">
        <f>IFERROR(__xludf.DUMMYFUNCTION("""COMPUTED_VALUE"""),"Apartment")</f>
        <v>Apartment</v>
      </c>
      <c r="BT14" s="15" t="str">
        <f>IFERROR(__xludf.DUMMYFUNCTION("""COMPUTED_VALUE"""),"Z382774")</f>
        <v>Z382774</v>
      </c>
      <c r="BU14" s="15" t="str">
        <f>IFERROR(__xludf.DUMMYFUNCTION("""COMPUTED_VALUE"""),"Alex Johnson - Compass")</f>
        <v>Alex Johnson - Compass</v>
      </c>
      <c r="BV14" s="15" t="str">
        <f>IFERROR(__xludf.DUMMYFUNCTION("""COMPUTED_VALUE"""),"Sold")</f>
        <v>Sold</v>
      </c>
      <c r="BW14" s="15">
        <f>IFERROR(__xludf.DUMMYFUNCTION("""COMPUTED_VALUE"""),1.0)</f>
        <v>1</v>
      </c>
      <c r="BX14" s="15" t="str">
        <f>IFERROR(__xludf.DUMMYFUNCTION("""COMPUTED_VALUE"""),"OK")</f>
        <v>OK</v>
      </c>
      <c r="BY14" s="1" t="str">
        <f>IFERROR(__xludf.DUMMYFUNCTION("""COMPUTED_VALUE"""),"2600-3600")</f>
        <v>2600-3600</v>
      </c>
      <c r="BZ14" s="1">
        <f>IFERROR(__xludf.DUMMYFUNCTION("""COMPUTED_VALUE"""),76.0)</f>
        <v>76</v>
      </c>
      <c r="CA14" s="1" t="str">
        <f>IFERROR(__xludf.DUMMYFUNCTION("""COMPUTED_VALUE"""),"Very Old")</f>
        <v>Very Old</v>
      </c>
    </row>
    <row r="15" ht="14.25" customHeight="1">
      <c r="A15" s="5">
        <v>575637.0</v>
      </c>
      <c r="B15" s="6" t="s">
        <v>99</v>
      </c>
      <c r="C15" s="6" t="s">
        <v>39</v>
      </c>
      <c r="D15" s="6">
        <v>28568.0</v>
      </c>
      <c r="E15" s="6" t="s">
        <v>60</v>
      </c>
      <c r="F15" s="6" t="s">
        <v>20</v>
      </c>
      <c r="G15" s="6" t="s">
        <v>100</v>
      </c>
      <c r="H15" s="7">
        <v>3387.0</v>
      </c>
      <c r="I15" s="7">
        <v>1740.0</v>
      </c>
      <c r="J15" s="6">
        <v>1966.0</v>
      </c>
      <c r="K15" s="6">
        <v>97.0</v>
      </c>
      <c r="L15" s="6" t="s">
        <v>95</v>
      </c>
      <c r="M15" s="6" t="s">
        <v>101</v>
      </c>
      <c r="N15" s="6" t="s">
        <v>64</v>
      </c>
      <c r="O15" s="6" t="s">
        <v>49</v>
      </c>
      <c r="P15" s="6">
        <f>COUNTIF(Analysis!$M$1:$M$3001,Analysis!$M15)</f>
        <v>1</v>
      </c>
      <c r="Q15" s="6" t="str">
        <f>IF(COUNTIF(Analysis!$M$2:$M$3001,Analysis!$M15)&gt;1,"Duplicate","OK")</f>
        <v>OK</v>
      </c>
      <c r="R15" s="6" t="str">
        <f t="shared" si="1"/>
        <v>2600-3600</v>
      </c>
      <c r="S15" s="6">
        <f t="shared" si="2"/>
        <v>60</v>
      </c>
      <c r="T15" s="6" t="str">
        <f t="shared" si="3"/>
        <v>Old</v>
      </c>
      <c r="BH15" s="14">
        <f>IFERROR(__xludf.DUMMYFUNCTION("""COMPUTED_VALUE"""),1001011.0)</f>
        <v>1001011</v>
      </c>
      <c r="BI15" s="15" t="str">
        <f>IFERROR(__xludf.DUMMYFUNCTION("""COMPUTED_VALUE"""),"1012 Maple Dr, San Diego, IL 69693")</f>
        <v>1012 Maple Dr, San Diego, IL 69693</v>
      </c>
      <c r="BJ15" s="15" t="str">
        <f>IFERROR(__xludf.DUMMYFUNCTION("""COMPUTED_VALUE"""),"San Diego")</f>
        <v>San Diego</v>
      </c>
      <c r="BK15" s="15">
        <f>IFERROR(__xludf.DUMMYFUNCTION("""COMPUTED_VALUE"""),69693.0)</f>
        <v>69693</v>
      </c>
      <c r="BL15" s="15" t="str">
        <f>IFERROR(__xludf.DUMMYFUNCTION("""COMPUTED_VALUE"""),"IL")</f>
        <v>IL</v>
      </c>
      <c r="BM15" s="15" t="str">
        <f>IFERROR(__xludf.DUMMYFUNCTION("""COMPUTED_VALUE"""),"6 bds")</f>
        <v>6 bds</v>
      </c>
      <c r="BN15" s="15" t="str">
        <f>IFERROR(__xludf.DUMMYFUNCTION("""COMPUTED_VALUE"""),"1 ba")</f>
        <v>1 ba</v>
      </c>
      <c r="BO15" s="15">
        <f>IFERROR(__xludf.DUMMYFUNCTION("""COMPUTED_VALUE"""),1905.0)</f>
        <v>1905</v>
      </c>
      <c r="BP15" s="15">
        <f>IFERROR(__xludf.DUMMYFUNCTION("""COMPUTED_VALUE"""),4957.0)</f>
        <v>4957</v>
      </c>
      <c r="BQ15" s="15">
        <f>IFERROR(__xludf.DUMMYFUNCTION("""COMPUTED_VALUE"""),1975.0)</f>
        <v>1975</v>
      </c>
      <c r="BR15" s="15">
        <f>IFERROR(__xludf.DUMMYFUNCTION("""COMPUTED_VALUE"""),12.0)</f>
        <v>12</v>
      </c>
      <c r="BS15" s="15" t="str">
        <f>IFERROR(__xludf.DUMMYFUNCTION("""COMPUTED_VALUE"""),"Apartment")</f>
        <v>Apartment</v>
      </c>
      <c r="BT15" s="15" t="str">
        <f>IFERROR(__xludf.DUMMYFUNCTION("""COMPUTED_VALUE"""),"Z570340")</f>
        <v>Z570340</v>
      </c>
      <c r="BU15" s="15" t="str">
        <f>IFERROR(__xludf.DUMMYFUNCTION("""COMPUTED_VALUE"""),"Alex Johnson - Compass")</f>
        <v>Alex Johnson - Compass</v>
      </c>
      <c r="BV15" s="15" t="str">
        <f>IFERROR(__xludf.DUMMYFUNCTION("""COMPUTED_VALUE"""),"Sold")</f>
        <v>Sold</v>
      </c>
      <c r="BW15" s="15">
        <f>IFERROR(__xludf.DUMMYFUNCTION("""COMPUTED_VALUE"""),1.0)</f>
        <v>1</v>
      </c>
      <c r="BX15" s="15" t="str">
        <f>IFERROR(__xludf.DUMMYFUNCTION("""COMPUTED_VALUE"""),"OK")</f>
        <v>OK</v>
      </c>
      <c r="BY15" s="1" t="str">
        <f>IFERROR(__xludf.DUMMYFUNCTION("""COMPUTED_VALUE"""),"1600-2600")</f>
        <v>1600-2600</v>
      </c>
      <c r="BZ15" s="1">
        <f>IFERROR(__xludf.DUMMYFUNCTION("""COMPUTED_VALUE"""),51.0)</f>
        <v>51</v>
      </c>
      <c r="CA15" s="1" t="str">
        <f>IFERROR(__xludf.DUMMYFUNCTION("""COMPUTED_VALUE"""),"Old")</f>
        <v>Old</v>
      </c>
    </row>
    <row r="16" ht="14.25" customHeight="1">
      <c r="A16" s="5">
        <v>103682.0</v>
      </c>
      <c r="B16" s="6" t="s">
        <v>6405</v>
      </c>
      <c r="C16" s="6" t="s">
        <v>29</v>
      </c>
      <c r="D16" s="6">
        <v>79620.0</v>
      </c>
      <c r="E16" s="6" t="s">
        <v>60</v>
      </c>
      <c r="F16" s="6" t="s">
        <v>54</v>
      </c>
      <c r="G16" s="6" t="s">
        <v>100</v>
      </c>
      <c r="H16" s="7">
        <v>1451.0</v>
      </c>
      <c r="I16" s="7">
        <v>4606.0</v>
      </c>
      <c r="J16" s="6">
        <v>2001.0</v>
      </c>
      <c r="K16" s="6">
        <v>99.0</v>
      </c>
      <c r="L16" s="6" t="s">
        <v>141</v>
      </c>
      <c r="M16" s="6" t="s">
        <v>6406</v>
      </c>
      <c r="N16" s="6" t="s">
        <v>43</v>
      </c>
      <c r="O16" s="6" t="s">
        <v>25</v>
      </c>
      <c r="P16" s="6">
        <f>COUNTIF(Analysis!$M$1:$M$3001,Analysis!$M1592)</f>
        <v>1</v>
      </c>
      <c r="Q16" s="6" t="str">
        <f>IF(COUNTIF(Analysis!$M$2:$M$3001,Analysis!$M1592)&gt;1,"Duplicate","OK")</f>
        <v>OK</v>
      </c>
      <c r="R16" s="6" t="str">
        <f t="shared" si="1"/>
        <v>600-1600</v>
      </c>
      <c r="S16" s="6">
        <f t="shared" si="2"/>
        <v>25</v>
      </c>
      <c r="T16" s="6" t="str">
        <f t="shared" si="3"/>
        <v>Mid</v>
      </c>
      <c r="V16" s="32" t="s">
        <v>12052</v>
      </c>
      <c r="W16" s="32" t="s">
        <v>12051</v>
      </c>
      <c r="Z16" s="33" t="s">
        <v>12053</v>
      </c>
      <c r="AA16" s="33" t="s">
        <v>12051</v>
      </c>
      <c r="AD16" s="34" t="s">
        <v>11</v>
      </c>
      <c r="AE16" s="34" t="s">
        <v>12054</v>
      </c>
      <c r="BH16" s="14">
        <f>IFERROR(__xludf.DUMMYFUNCTION("""COMPUTED_VALUE"""),633891.0)</f>
        <v>633891</v>
      </c>
      <c r="BI16" s="15" t="str">
        <f>IFERROR(__xludf.DUMMYFUNCTION("""COMPUTED_VALUE"""),"5092 Pine Rd, San Francisco, NY 21343")</f>
        <v>5092 Pine Rd, San Francisco, NY 21343</v>
      </c>
      <c r="BJ16" s="15" t="str">
        <f>IFERROR(__xludf.DUMMYFUNCTION("""COMPUTED_VALUE"""),"San Francisco")</f>
        <v>San Francisco</v>
      </c>
      <c r="BK16" s="15">
        <f>IFERROR(__xludf.DUMMYFUNCTION("""COMPUTED_VALUE"""),21343.0)</f>
        <v>21343</v>
      </c>
      <c r="BL16" s="15" t="str">
        <f>IFERROR(__xludf.DUMMYFUNCTION("""COMPUTED_VALUE"""),"NY")</f>
        <v>NY</v>
      </c>
      <c r="BM16" s="15" t="str">
        <f>IFERROR(__xludf.DUMMYFUNCTION("""COMPUTED_VALUE"""),"4 bds")</f>
        <v>4 bds</v>
      </c>
      <c r="BN16" s="15" t="str">
        <f>IFERROR(__xludf.DUMMYFUNCTION("""COMPUTED_VALUE"""),"4 ba")</f>
        <v>4 ba</v>
      </c>
      <c r="BO16" s="15">
        <f>IFERROR(__xludf.DUMMYFUNCTION("""COMPUTED_VALUE"""),3481.0)</f>
        <v>3481</v>
      </c>
      <c r="BP16" s="15">
        <f>IFERROR(__xludf.DUMMYFUNCTION("""COMPUTED_VALUE"""),8346.0)</f>
        <v>8346</v>
      </c>
      <c r="BQ16" s="15">
        <f>IFERROR(__xludf.DUMMYFUNCTION("""COMPUTED_VALUE"""),1967.0)</f>
        <v>1967</v>
      </c>
      <c r="BR16" s="15">
        <f>IFERROR(__xludf.DUMMYFUNCTION("""COMPUTED_VALUE"""),14.0)</f>
        <v>14</v>
      </c>
      <c r="BS16" s="15" t="str">
        <f>IFERROR(__xludf.DUMMYFUNCTION("""COMPUTED_VALUE"""),"Townhouse")</f>
        <v>Townhouse</v>
      </c>
      <c r="BT16" s="15" t="str">
        <f>IFERROR(__xludf.DUMMYFUNCTION("""COMPUTED_VALUE"""),"Z177113")</f>
        <v>Z177113</v>
      </c>
      <c r="BU16" s="15" t="str">
        <f>IFERROR(__xludf.DUMMYFUNCTION("""COMPUTED_VALUE"""),"Alex Johnson - Compass")</f>
        <v>Alex Johnson - Compass</v>
      </c>
      <c r="BV16" s="15" t="str">
        <f>IFERROR(__xludf.DUMMYFUNCTION("""COMPUTED_VALUE"""),"Sold")</f>
        <v>Sold</v>
      </c>
      <c r="BW16" s="15">
        <f>IFERROR(__xludf.DUMMYFUNCTION("""COMPUTED_VALUE"""),1.0)</f>
        <v>1</v>
      </c>
      <c r="BX16" s="15" t="str">
        <f>IFERROR(__xludf.DUMMYFUNCTION("""COMPUTED_VALUE"""),"OK")</f>
        <v>OK</v>
      </c>
      <c r="BY16" s="1" t="str">
        <f>IFERROR(__xludf.DUMMYFUNCTION("""COMPUTED_VALUE"""),"2600-3600")</f>
        <v>2600-3600</v>
      </c>
      <c r="BZ16" s="1">
        <f>IFERROR(__xludf.DUMMYFUNCTION("""COMPUTED_VALUE"""),59.0)</f>
        <v>59</v>
      </c>
      <c r="CA16" s="1" t="str">
        <f>IFERROR(__xludf.DUMMYFUNCTION("""COMPUTED_VALUE"""),"Old")</f>
        <v>Old</v>
      </c>
    </row>
    <row r="17" ht="14.25" customHeight="1">
      <c r="A17" s="5">
        <v>1171629.0</v>
      </c>
      <c r="B17" s="6" t="s">
        <v>108</v>
      </c>
      <c r="C17" s="6" t="s">
        <v>39</v>
      </c>
      <c r="D17" s="6">
        <v>63853.0</v>
      </c>
      <c r="E17" s="6" t="s">
        <v>40</v>
      </c>
      <c r="F17" s="6" t="s">
        <v>46</v>
      </c>
      <c r="G17" s="6" t="s">
        <v>100</v>
      </c>
      <c r="H17" s="7">
        <v>2351.0</v>
      </c>
      <c r="I17" s="7">
        <v>2275.0</v>
      </c>
      <c r="J17" s="6">
        <v>2007.0</v>
      </c>
      <c r="K17" s="6">
        <v>46.0</v>
      </c>
      <c r="L17" s="6" t="s">
        <v>95</v>
      </c>
      <c r="M17" s="6" t="s">
        <v>109</v>
      </c>
      <c r="N17" s="6" t="s">
        <v>24</v>
      </c>
      <c r="O17" s="6" t="s">
        <v>25</v>
      </c>
      <c r="P17" s="6">
        <f>COUNTIF(Analysis!$M$1:$M$3001,Analysis!$M17)</f>
        <v>1</v>
      </c>
      <c r="Q17" s="6" t="str">
        <f>IF(COUNTIF(Analysis!$M$2:$M$3001,Analysis!$M17)&gt;1,"Duplicate","OK")</f>
        <v>OK</v>
      </c>
      <c r="R17" s="6" t="str">
        <f t="shared" si="1"/>
        <v>1600-2600</v>
      </c>
      <c r="S17" s="6">
        <f t="shared" si="2"/>
        <v>19</v>
      </c>
      <c r="T17" s="6" t="str">
        <f t="shared" si="3"/>
        <v>Mid</v>
      </c>
      <c r="V17" s="35" t="s">
        <v>20</v>
      </c>
      <c r="W17" s="36">
        <f>AVERAGEIF(Listings[Bedrooms],V17,Listings[Price])</f>
        <v>829034.1721</v>
      </c>
      <c r="Z17" s="35" t="s">
        <v>12055</v>
      </c>
      <c r="AA17" s="36">
        <f>AVERAGEIF(Listings[Area Category],Z17,Listings[Price])</f>
        <v>822055.8151</v>
      </c>
      <c r="AD17" s="37" t="s">
        <v>22</v>
      </c>
      <c r="AE17" s="37">
        <f>IFERROR(__xludf.DUMMYFUNCTION("MODE(FILTER(Listings[Days on Market],Listings[Property Type]=AD17))"),83.0)</f>
        <v>83</v>
      </c>
      <c r="BH17" s="14">
        <f>IFERROR(__xludf.DUMMYFUNCTION("""COMPUTED_VALUE"""),414153.0)</f>
        <v>414153</v>
      </c>
      <c r="BI17" s="15" t="str">
        <f>IFERROR(__xludf.DUMMYFUNCTION("""COMPUTED_VALUE"""),"2336 Oak Ave, San Diego, FL 64992")</f>
        <v>2336 Oak Ave, San Diego, FL 64992</v>
      </c>
      <c r="BJ17" s="15" t="str">
        <f>IFERROR(__xludf.DUMMYFUNCTION("""COMPUTED_VALUE"""),"San Diego")</f>
        <v>San Diego</v>
      </c>
      <c r="BK17" s="15">
        <f>IFERROR(__xludf.DUMMYFUNCTION("""COMPUTED_VALUE"""),64992.0)</f>
        <v>64992</v>
      </c>
      <c r="BL17" s="15" t="str">
        <f>IFERROR(__xludf.DUMMYFUNCTION("""COMPUTED_VALUE"""),"FL")</f>
        <v>FL</v>
      </c>
      <c r="BM17" s="15" t="str">
        <f>IFERROR(__xludf.DUMMYFUNCTION("""COMPUTED_VALUE"""),"1 bds")</f>
        <v>1 bds</v>
      </c>
      <c r="BN17" s="15" t="str">
        <f>IFERROR(__xludf.DUMMYFUNCTION("""COMPUTED_VALUE"""),"4 ba")</f>
        <v>4 ba</v>
      </c>
      <c r="BO17" s="15">
        <f>IFERROR(__xludf.DUMMYFUNCTION("""COMPUTED_VALUE"""),1065.0)</f>
        <v>1065</v>
      </c>
      <c r="BP17" s="15">
        <f>IFERROR(__xludf.DUMMYFUNCTION("""COMPUTED_VALUE"""),3682.0)</f>
        <v>3682</v>
      </c>
      <c r="BQ17" s="15">
        <f>IFERROR(__xludf.DUMMYFUNCTION("""COMPUTED_VALUE"""),1956.0)</f>
        <v>1956</v>
      </c>
      <c r="BR17" s="15">
        <f>IFERROR(__xludf.DUMMYFUNCTION("""COMPUTED_VALUE"""),113.0)</f>
        <v>113</v>
      </c>
      <c r="BS17" s="15" t="str">
        <f>IFERROR(__xludf.DUMMYFUNCTION("""COMPUTED_VALUE"""),"Condo")</f>
        <v>Condo</v>
      </c>
      <c r="BT17" s="15" t="str">
        <f>IFERROR(__xludf.DUMMYFUNCTION("""COMPUTED_VALUE"""),"Z384719")</f>
        <v>Z384719</v>
      </c>
      <c r="BU17" s="15" t="str">
        <f>IFERROR(__xludf.DUMMYFUNCTION("""COMPUTED_VALUE"""),"Alex Johnson - Compass")</f>
        <v>Alex Johnson - Compass</v>
      </c>
      <c r="BV17" s="15" t="str">
        <f>IFERROR(__xludf.DUMMYFUNCTION("""COMPUTED_VALUE"""),"Sold")</f>
        <v>Sold</v>
      </c>
      <c r="BW17" s="15">
        <f>IFERROR(__xludf.DUMMYFUNCTION("""COMPUTED_VALUE"""),1.0)</f>
        <v>1</v>
      </c>
      <c r="BX17" s="15" t="str">
        <f>IFERROR(__xludf.DUMMYFUNCTION("""COMPUTED_VALUE"""),"OK")</f>
        <v>OK</v>
      </c>
      <c r="BY17" s="1" t="str">
        <f>IFERROR(__xludf.DUMMYFUNCTION("""COMPUTED_VALUE"""),"600-1600")</f>
        <v>600-1600</v>
      </c>
      <c r="BZ17" s="1">
        <f>IFERROR(__xludf.DUMMYFUNCTION("""COMPUTED_VALUE"""),70.0)</f>
        <v>70</v>
      </c>
      <c r="CA17" s="1" t="str">
        <f>IFERROR(__xludf.DUMMYFUNCTION("""COMPUTED_VALUE"""),"Very Old")</f>
        <v>Very Old</v>
      </c>
    </row>
    <row r="18" ht="14.25" customHeight="1">
      <c r="A18" s="5">
        <v>698570.0</v>
      </c>
      <c r="B18" s="6" t="s">
        <v>112</v>
      </c>
      <c r="C18" s="6" t="s">
        <v>39</v>
      </c>
      <c r="D18" s="6">
        <v>57513.0</v>
      </c>
      <c r="E18" s="6" t="s">
        <v>19</v>
      </c>
      <c r="F18" s="6" t="s">
        <v>54</v>
      </c>
      <c r="G18" s="6" t="s">
        <v>55</v>
      </c>
      <c r="H18" s="7">
        <v>722.0</v>
      </c>
      <c r="I18" s="7">
        <v>6443.0</v>
      </c>
      <c r="J18" s="6">
        <v>1953.0</v>
      </c>
      <c r="K18" s="6">
        <v>72.0</v>
      </c>
      <c r="L18" s="6" t="s">
        <v>32</v>
      </c>
      <c r="M18" s="6" t="s">
        <v>113</v>
      </c>
      <c r="N18" s="6" t="s">
        <v>43</v>
      </c>
      <c r="O18" s="6" t="s">
        <v>35</v>
      </c>
      <c r="P18" s="6">
        <f>COUNTIF(Analysis!$M$1:$M$3001,Analysis!$M18)</f>
        <v>1</v>
      </c>
      <c r="Q18" s="6" t="str">
        <f>IF(COUNTIF(Analysis!$M$2:$M$3001,Analysis!$M18)&gt;1,"Duplicate","OK")</f>
        <v>OK</v>
      </c>
      <c r="R18" s="6" t="str">
        <f t="shared" si="1"/>
        <v>600-1600</v>
      </c>
      <c r="S18" s="6">
        <f t="shared" si="2"/>
        <v>73</v>
      </c>
      <c r="T18" s="6" t="str">
        <f t="shared" si="3"/>
        <v>Very Old</v>
      </c>
      <c r="V18" s="38" t="s">
        <v>46</v>
      </c>
      <c r="W18" s="39">
        <f>AVERAGEIF(Listings[Bedrooms],V18,Listings[Price])</f>
        <v>841859.2495</v>
      </c>
      <c r="Z18" s="35" t="s">
        <v>12056</v>
      </c>
      <c r="AA18" s="36">
        <f>AVERAGEIF(Listings[Area Category],Z18,Listings[Price])</f>
        <v>831171.1152</v>
      </c>
      <c r="AD18" s="37" t="s">
        <v>32</v>
      </c>
      <c r="AE18" s="37">
        <f>IFERROR(__xludf.DUMMYFUNCTION("MODE(FILTER(Listings[Days on Market],Listings[Property Type]=AD18))"),120.0)</f>
        <v>120</v>
      </c>
      <c r="BH18" s="14">
        <f>IFERROR(__xludf.DUMMYFUNCTION("""COMPUTED_VALUE"""),214127.0)</f>
        <v>214127</v>
      </c>
      <c r="BI18" s="15" t="str">
        <f>IFERROR(__xludf.DUMMYFUNCTION("""COMPUTED_VALUE"""),"5310 Pine Rd, Fresno, FL 92602")</f>
        <v>5310 Pine Rd, Fresno, FL 92602</v>
      </c>
      <c r="BJ18" s="15" t="str">
        <f>IFERROR(__xludf.DUMMYFUNCTION("""COMPUTED_VALUE"""),"Fresno")</f>
        <v>Fresno</v>
      </c>
      <c r="BK18" s="15">
        <f>IFERROR(__xludf.DUMMYFUNCTION("""COMPUTED_VALUE"""),92602.0)</f>
        <v>92602</v>
      </c>
      <c r="BL18" s="15" t="str">
        <f>IFERROR(__xludf.DUMMYFUNCTION("""COMPUTED_VALUE"""),"FL")</f>
        <v>FL</v>
      </c>
      <c r="BM18" s="15" t="str">
        <f>IFERROR(__xludf.DUMMYFUNCTION("""COMPUTED_VALUE"""),"6 bds")</f>
        <v>6 bds</v>
      </c>
      <c r="BN18" s="15" t="str">
        <f>IFERROR(__xludf.DUMMYFUNCTION("""COMPUTED_VALUE"""),"4 ba")</f>
        <v>4 ba</v>
      </c>
      <c r="BO18" s="15">
        <f>IFERROR(__xludf.DUMMYFUNCTION("""COMPUTED_VALUE"""),2762.0)</f>
        <v>2762</v>
      </c>
      <c r="BP18" s="15">
        <f>IFERROR(__xludf.DUMMYFUNCTION("""COMPUTED_VALUE"""),4177.0)</f>
        <v>4177</v>
      </c>
      <c r="BQ18" s="15">
        <f>IFERROR(__xludf.DUMMYFUNCTION("""COMPUTED_VALUE"""),1952.0)</f>
        <v>1952</v>
      </c>
      <c r="BR18" s="15">
        <f>IFERROR(__xludf.DUMMYFUNCTION("""COMPUTED_VALUE"""),69.0)</f>
        <v>69</v>
      </c>
      <c r="BS18" s="15" t="str">
        <f>IFERROR(__xludf.DUMMYFUNCTION("""COMPUTED_VALUE"""),"Multi-Family")</f>
        <v>Multi-Family</v>
      </c>
      <c r="BT18" s="15" t="str">
        <f>IFERROR(__xludf.DUMMYFUNCTION("""COMPUTED_VALUE"""),"Z923573")</f>
        <v>Z923573</v>
      </c>
      <c r="BU18" s="15" t="str">
        <f>IFERROR(__xludf.DUMMYFUNCTION("""COMPUTED_VALUE"""),"Alex Johnson - Compass")</f>
        <v>Alex Johnson - Compass</v>
      </c>
      <c r="BV18" s="15" t="str">
        <f>IFERROR(__xludf.DUMMYFUNCTION("""COMPUTED_VALUE"""),"Sold")</f>
        <v>Sold</v>
      </c>
      <c r="BW18" s="15">
        <f>IFERROR(__xludf.DUMMYFUNCTION("""COMPUTED_VALUE"""),1.0)</f>
        <v>1</v>
      </c>
      <c r="BX18" s="15" t="str">
        <f>IFERROR(__xludf.DUMMYFUNCTION("""COMPUTED_VALUE"""),"OK")</f>
        <v>OK</v>
      </c>
      <c r="BY18" s="1" t="str">
        <f>IFERROR(__xludf.DUMMYFUNCTION("""COMPUTED_VALUE"""),"2600-3600")</f>
        <v>2600-3600</v>
      </c>
      <c r="BZ18" s="1">
        <f>IFERROR(__xludf.DUMMYFUNCTION("""COMPUTED_VALUE"""),74.0)</f>
        <v>74</v>
      </c>
      <c r="CA18" s="1" t="str">
        <f>IFERROR(__xludf.DUMMYFUNCTION("""COMPUTED_VALUE"""),"Very Old")</f>
        <v>Very Old</v>
      </c>
    </row>
    <row r="19" ht="14.25" customHeight="1">
      <c r="A19" s="5">
        <v>534688.0</v>
      </c>
      <c r="B19" s="6" t="s">
        <v>116</v>
      </c>
      <c r="C19" s="6" t="s">
        <v>76</v>
      </c>
      <c r="D19" s="6">
        <v>17359.0</v>
      </c>
      <c r="E19" s="6" t="s">
        <v>40</v>
      </c>
      <c r="F19" s="6" t="s">
        <v>54</v>
      </c>
      <c r="G19" s="6" t="s">
        <v>31</v>
      </c>
      <c r="H19" s="7">
        <v>2356.0</v>
      </c>
      <c r="I19" s="7">
        <v>3883.0</v>
      </c>
      <c r="J19" s="6">
        <v>1958.0</v>
      </c>
      <c r="K19" s="6">
        <v>114.0</v>
      </c>
      <c r="L19" s="6" t="s">
        <v>22</v>
      </c>
      <c r="M19" s="6" t="s">
        <v>117</v>
      </c>
      <c r="N19" s="6" t="s">
        <v>48</v>
      </c>
      <c r="O19" s="6" t="s">
        <v>49</v>
      </c>
      <c r="P19" s="6">
        <f>COUNTIF(Analysis!$M$1:$M$3001,Analysis!$M19)</f>
        <v>1</v>
      </c>
      <c r="Q19" s="6" t="str">
        <f>IF(COUNTIF(Analysis!$M$2:$M$3001,Analysis!$M19)&gt;1,"Duplicate","OK")</f>
        <v>OK</v>
      </c>
      <c r="R19" s="6" t="str">
        <f t="shared" si="1"/>
        <v>1600-2600</v>
      </c>
      <c r="S19" s="6">
        <f t="shared" si="2"/>
        <v>68</v>
      </c>
      <c r="T19" s="6" t="str">
        <f t="shared" si="3"/>
        <v>Very Old</v>
      </c>
      <c r="V19" s="35" t="s">
        <v>54</v>
      </c>
      <c r="W19" s="36">
        <f>AVERAGEIF(Listings[Bedrooms],V19,Listings[Price])</f>
        <v>762070.0888</v>
      </c>
      <c r="Z19" s="35" t="s">
        <v>12057</v>
      </c>
      <c r="AA19" s="36">
        <f>AVERAGEIF(Listings[Area Category],Z19,Listings[Price])</f>
        <v>782539.7552</v>
      </c>
      <c r="AD19" s="37" t="s">
        <v>141</v>
      </c>
      <c r="AE19" s="37">
        <f>IFERROR(__xludf.DUMMYFUNCTION("MODE(FILTER(Listings[Days on Market],Listings[Property Type]=AD19))"),118.0)</f>
        <v>118</v>
      </c>
      <c r="BH19" s="14">
        <f>IFERROR(__xludf.DUMMYFUNCTION("""COMPUTED_VALUE"""),925438.0)</f>
        <v>925438</v>
      </c>
      <c r="BI19" s="15" t="str">
        <f>IFERROR(__xludf.DUMMYFUNCTION("""COMPUTED_VALUE"""),"6372 Oak Ave, Sacramento, CA 45299")</f>
        <v>6372 Oak Ave, Sacramento, CA 45299</v>
      </c>
      <c r="BJ19" s="15" t="str">
        <f>IFERROR(__xludf.DUMMYFUNCTION("""COMPUTED_VALUE"""),"Sacramento")</f>
        <v>Sacramento</v>
      </c>
      <c r="BK19" s="15">
        <f>IFERROR(__xludf.DUMMYFUNCTION("""COMPUTED_VALUE"""),45299.0)</f>
        <v>45299</v>
      </c>
      <c r="BL19" s="15" t="str">
        <f>IFERROR(__xludf.DUMMYFUNCTION("""COMPUTED_VALUE"""),"CA")</f>
        <v>CA</v>
      </c>
      <c r="BM19" s="15" t="str">
        <f>IFERROR(__xludf.DUMMYFUNCTION("""COMPUTED_VALUE"""),"2 bds")</f>
        <v>2 bds</v>
      </c>
      <c r="BN19" s="15" t="str">
        <f>IFERROR(__xludf.DUMMYFUNCTION("""COMPUTED_VALUE"""),"3 ba")</f>
        <v>3 ba</v>
      </c>
      <c r="BO19" s="15">
        <f>IFERROR(__xludf.DUMMYFUNCTION("""COMPUTED_VALUE"""),2307.0)</f>
        <v>2307</v>
      </c>
      <c r="BP19" s="15">
        <f>IFERROR(__xludf.DUMMYFUNCTION("""COMPUTED_VALUE"""),7339.0)</f>
        <v>7339</v>
      </c>
      <c r="BQ19" s="15">
        <f>IFERROR(__xludf.DUMMYFUNCTION("""COMPUTED_VALUE"""),2019.0)</f>
        <v>2019</v>
      </c>
      <c r="BR19" s="15">
        <f>IFERROR(__xludf.DUMMYFUNCTION("""COMPUTED_VALUE"""),37.0)</f>
        <v>37</v>
      </c>
      <c r="BS19" s="15" t="str">
        <f>IFERROR(__xludf.DUMMYFUNCTION("""COMPUTED_VALUE"""),"Apartment")</f>
        <v>Apartment</v>
      </c>
      <c r="BT19" s="15" t="str">
        <f>IFERROR(__xludf.DUMMYFUNCTION("""COMPUTED_VALUE"""),"Z965755")</f>
        <v>Z965755</v>
      </c>
      <c r="BU19" s="15" t="str">
        <f>IFERROR(__xludf.DUMMYFUNCTION("""COMPUTED_VALUE"""),"Alex Johnson - Compass")</f>
        <v>Alex Johnson - Compass</v>
      </c>
      <c r="BV19" s="15" t="str">
        <f>IFERROR(__xludf.DUMMYFUNCTION("""COMPUTED_VALUE"""),"Sold")</f>
        <v>Sold</v>
      </c>
      <c r="BW19" s="15">
        <f>IFERROR(__xludf.DUMMYFUNCTION("""COMPUTED_VALUE"""),1.0)</f>
        <v>1</v>
      </c>
      <c r="BX19" s="15" t="str">
        <f>IFERROR(__xludf.DUMMYFUNCTION("""COMPUTED_VALUE"""),"OK")</f>
        <v>OK</v>
      </c>
      <c r="BY19" s="1" t="str">
        <f>IFERROR(__xludf.DUMMYFUNCTION("""COMPUTED_VALUE"""),"1600-2600")</f>
        <v>1600-2600</v>
      </c>
      <c r="BZ19" s="1">
        <f>IFERROR(__xludf.DUMMYFUNCTION("""COMPUTED_VALUE"""),7.0)</f>
        <v>7</v>
      </c>
      <c r="CA19" s="1" t="str">
        <f>IFERROR(__xludf.DUMMYFUNCTION("""COMPUTED_VALUE"""),"New")</f>
        <v>New</v>
      </c>
    </row>
    <row r="20" ht="14.25" customHeight="1">
      <c r="A20" s="5">
        <v>1108288.0</v>
      </c>
      <c r="B20" s="6" t="s">
        <v>120</v>
      </c>
      <c r="C20" s="6" t="s">
        <v>53</v>
      </c>
      <c r="D20" s="6">
        <v>11690.0</v>
      </c>
      <c r="E20" s="6" t="s">
        <v>60</v>
      </c>
      <c r="F20" s="6" t="s">
        <v>41</v>
      </c>
      <c r="G20" s="6" t="s">
        <v>21</v>
      </c>
      <c r="H20" s="7">
        <v>1156.0</v>
      </c>
      <c r="I20" s="7">
        <v>1218.0</v>
      </c>
      <c r="J20" s="6">
        <v>1958.0</v>
      </c>
      <c r="K20" s="6">
        <v>28.0</v>
      </c>
      <c r="L20" s="6" t="s">
        <v>95</v>
      </c>
      <c r="M20" s="6" t="s">
        <v>121</v>
      </c>
      <c r="N20" s="6" t="s">
        <v>34</v>
      </c>
      <c r="O20" s="6" t="s">
        <v>35</v>
      </c>
      <c r="P20" s="6">
        <f>COUNTIF(Analysis!$M$1:$M$3001,Analysis!$M20)</f>
        <v>1</v>
      </c>
      <c r="Q20" s="6" t="str">
        <f>IF(COUNTIF(Analysis!$M$2:$M$3001,Analysis!$M20)&gt;1,"Duplicate","OK")</f>
        <v>OK</v>
      </c>
      <c r="R20" s="6" t="str">
        <f t="shared" si="1"/>
        <v>600-1600</v>
      </c>
      <c r="S20" s="6">
        <f t="shared" si="2"/>
        <v>68</v>
      </c>
      <c r="T20" s="6" t="str">
        <f t="shared" si="3"/>
        <v>Very Old</v>
      </c>
      <c r="V20" s="35" t="s">
        <v>94</v>
      </c>
      <c r="W20" s="36">
        <f>AVERAGEIF(Listings[Bedrooms],V20,Listings[Price])</f>
        <v>829111.8402</v>
      </c>
      <c r="Z20" s="35" t="s">
        <v>12058</v>
      </c>
      <c r="AA20" s="36">
        <f>AVERAGEIF(Listings[Area Category],Z20,Listings[Price])</f>
        <v>800382.5389</v>
      </c>
      <c r="AD20" s="37" t="s">
        <v>62</v>
      </c>
      <c r="AE20" s="37">
        <f>IFERROR(__xludf.DUMMYFUNCTION("MODE(FILTER(Listings[Days on Market],Listings[Property Type]=AD20))"),38.0)</f>
        <v>38</v>
      </c>
      <c r="BH20" s="14">
        <f>IFERROR(__xludf.DUMMYFUNCTION("""COMPUTED_VALUE"""),913878.0)</f>
        <v>913878</v>
      </c>
      <c r="BI20" s="15" t="str">
        <f>IFERROR(__xludf.DUMMYFUNCTION("""COMPUTED_VALUE"""),"1656 Oak Ave, Sacramento, FL 29610")</f>
        <v>1656 Oak Ave, Sacramento, FL 29610</v>
      </c>
      <c r="BJ20" s="15" t="str">
        <f>IFERROR(__xludf.DUMMYFUNCTION("""COMPUTED_VALUE"""),"Sacramento")</f>
        <v>Sacramento</v>
      </c>
      <c r="BK20" s="15">
        <f>IFERROR(__xludf.DUMMYFUNCTION("""COMPUTED_VALUE"""),29610.0)</f>
        <v>29610</v>
      </c>
      <c r="BL20" s="15" t="str">
        <f>IFERROR(__xludf.DUMMYFUNCTION("""COMPUTED_VALUE"""),"FL")</f>
        <v>FL</v>
      </c>
      <c r="BM20" s="15" t="str">
        <f>IFERROR(__xludf.DUMMYFUNCTION("""COMPUTED_VALUE"""),"2 bds")</f>
        <v>2 bds</v>
      </c>
      <c r="BN20" s="15" t="str">
        <f>IFERROR(__xludf.DUMMYFUNCTION("""COMPUTED_VALUE"""),"1 ba")</f>
        <v>1 ba</v>
      </c>
      <c r="BO20" s="15">
        <f>IFERROR(__xludf.DUMMYFUNCTION("""COMPUTED_VALUE"""),3288.0)</f>
        <v>3288</v>
      </c>
      <c r="BP20" s="15">
        <f>IFERROR(__xludf.DUMMYFUNCTION("""COMPUTED_VALUE"""),1472.0)</f>
        <v>1472</v>
      </c>
      <c r="BQ20" s="15">
        <f>IFERROR(__xludf.DUMMYFUNCTION("""COMPUTED_VALUE"""),1984.0)</f>
        <v>1984</v>
      </c>
      <c r="BR20" s="15">
        <f>IFERROR(__xludf.DUMMYFUNCTION("""COMPUTED_VALUE"""),38.0)</f>
        <v>38</v>
      </c>
      <c r="BS20" s="15" t="str">
        <f>IFERROR(__xludf.DUMMYFUNCTION("""COMPUTED_VALUE"""),"Multi-Family")</f>
        <v>Multi-Family</v>
      </c>
      <c r="BT20" s="15" t="str">
        <f>IFERROR(__xludf.DUMMYFUNCTION("""COMPUTED_VALUE"""),"Z856614")</f>
        <v>Z856614</v>
      </c>
      <c r="BU20" s="15" t="str">
        <f>IFERROR(__xludf.DUMMYFUNCTION("""COMPUTED_VALUE"""),"Alex Johnson - Compass")</f>
        <v>Alex Johnson - Compass</v>
      </c>
      <c r="BV20" s="15" t="str">
        <f>IFERROR(__xludf.DUMMYFUNCTION("""COMPUTED_VALUE"""),"Sold")</f>
        <v>Sold</v>
      </c>
      <c r="BW20" s="15">
        <f>IFERROR(__xludf.DUMMYFUNCTION("""COMPUTED_VALUE"""),1.0)</f>
        <v>1</v>
      </c>
      <c r="BX20" s="15" t="str">
        <f>IFERROR(__xludf.DUMMYFUNCTION("""COMPUTED_VALUE"""),"OK")</f>
        <v>OK</v>
      </c>
      <c r="BY20" s="1" t="str">
        <f>IFERROR(__xludf.DUMMYFUNCTION("""COMPUTED_VALUE"""),"2600-3600")</f>
        <v>2600-3600</v>
      </c>
      <c r="BZ20" s="1">
        <f>IFERROR(__xludf.DUMMYFUNCTION("""COMPUTED_VALUE"""),42.0)</f>
        <v>42</v>
      </c>
      <c r="CA20" s="1" t="str">
        <f>IFERROR(__xludf.DUMMYFUNCTION("""COMPUTED_VALUE"""),"Old")</f>
        <v>Old</v>
      </c>
    </row>
    <row r="21" ht="14.25" customHeight="1">
      <c r="A21" s="5">
        <v>1173697.0</v>
      </c>
      <c r="B21" s="6" t="s">
        <v>124</v>
      </c>
      <c r="C21" s="6" t="s">
        <v>53</v>
      </c>
      <c r="D21" s="6">
        <v>97442.0</v>
      </c>
      <c r="E21" s="6" t="s">
        <v>40</v>
      </c>
      <c r="F21" s="6" t="s">
        <v>46</v>
      </c>
      <c r="G21" s="6" t="s">
        <v>100</v>
      </c>
      <c r="H21" s="7">
        <v>1554.0</v>
      </c>
      <c r="I21" s="7">
        <v>9408.0</v>
      </c>
      <c r="J21" s="6">
        <v>1982.0</v>
      </c>
      <c r="K21" s="6">
        <v>1.0</v>
      </c>
      <c r="L21" s="6" t="s">
        <v>62</v>
      </c>
      <c r="M21" s="6" t="s">
        <v>125</v>
      </c>
      <c r="N21" s="6" t="s">
        <v>43</v>
      </c>
      <c r="O21" s="6" t="s">
        <v>49</v>
      </c>
      <c r="P21" s="6">
        <f>COUNTIF(Analysis!$M$1:$M$3001,Analysis!$M21)</f>
        <v>1</v>
      </c>
      <c r="Q21" s="6" t="str">
        <f>IF(COUNTIF(Analysis!$M$2:$M$3001,Analysis!$M21)&gt;1,"Duplicate","OK")</f>
        <v>OK</v>
      </c>
      <c r="R21" s="6" t="str">
        <f t="shared" si="1"/>
        <v>600-1600</v>
      </c>
      <c r="S21" s="6">
        <f t="shared" si="2"/>
        <v>44</v>
      </c>
      <c r="T21" s="6" t="str">
        <f t="shared" si="3"/>
        <v>Old</v>
      </c>
      <c r="V21" s="35" t="s">
        <v>61</v>
      </c>
      <c r="W21" s="36">
        <f>AVERAGEIF(Listings[Bedrooms],V21,Listings[Price])</f>
        <v>792353.9936</v>
      </c>
      <c r="AD21" s="40" t="s">
        <v>95</v>
      </c>
      <c r="AE21" s="40">
        <f>IFERROR(__xludf.DUMMYFUNCTION("MODE(FILTER(Listings[Days on Market],Listings[Property Type]=AD21))"),18.0)</f>
        <v>18</v>
      </c>
      <c r="BH21" s="14">
        <f>IFERROR(__xludf.DUMMYFUNCTION("""COMPUTED_VALUE"""),672952.0)</f>
        <v>672952</v>
      </c>
      <c r="BI21" s="15" t="str">
        <f>IFERROR(__xludf.DUMMYFUNCTION("""COMPUTED_VALUE"""),"7575 Elm St, San Diego, NY 48097")</f>
        <v>7575 Elm St, San Diego, NY 48097</v>
      </c>
      <c r="BJ21" s="15" t="str">
        <f>IFERROR(__xludf.DUMMYFUNCTION("""COMPUTED_VALUE"""),"San Diego")</f>
        <v>San Diego</v>
      </c>
      <c r="BK21" s="15">
        <f>IFERROR(__xludf.DUMMYFUNCTION("""COMPUTED_VALUE"""),48097.0)</f>
        <v>48097</v>
      </c>
      <c r="BL21" s="15" t="str">
        <f>IFERROR(__xludf.DUMMYFUNCTION("""COMPUTED_VALUE"""),"NY")</f>
        <v>NY</v>
      </c>
      <c r="BM21" s="15" t="str">
        <f>IFERROR(__xludf.DUMMYFUNCTION("""COMPUTED_VALUE"""),"3 bds")</f>
        <v>3 bds</v>
      </c>
      <c r="BN21" s="15" t="str">
        <f>IFERROR(__xludf.DUMMYFUNCTION("""COMPUTED_VALUE"""),"4 ba")</f>
        <v>4 ba</v>
      </c>
      <c r="BO21" s="15">
        <f>IFERROR(__xludf.DUMMYFUNCTION("""COMPUTED_VALUE"""),1166.0)</f>
        <v>1166</v>
      </c>
      <c r="BP21" s="15">
        <f>IFERROR(__xludf.DUMMYFUNCTION("""COMPUTED_VALUE"""),6068.0)</f>
        <v>6068</v>
      </c>
      <c r="BQ21" s="15">
        <f>IFERROR(__xludf.DUMMYFUNCTION("""COMPUTED_VALUE"""),2002.0)</f>
        <v>2002</v>
      </c>
      <c r="BR21" s="15">
        <f>IFERROR(__xludf.DUMMYFUNCTION("""COMPUTED_VALUE"""),34.0)</f>
        <v>34</v>
      </c>
      <c r="BS21" s="15" t="str">
        <f>IFERROR(__xludf.DUMMYFUNCTION("""COMPUTED_VALUE"""),"Single Family")</f>
        <v>Single Family</v>
      </c>
      <c r="BT21" s="15" t="str">
        <f>IFERROR(__xludf.DUMMYFUNCTION("""COMPUTED_VALUE"""),"Z119872")</f>
        <v>Z119872</v>
      </c>
      <c r="BU21" s="15" t="str">
        <f>IFERROR(__xludf.DUMMYFUNCTION("""COMPUTED_VALUE"""),"Alex Johnson - Compass")</f>
        <v>Alex Johnson - Compass</v>
      </c>
      <c r="BV21" s="15" t="str">
        <f>IFERROR(__xludf.DUMMYFUNCTION("""COMPUTED_VALUE"""),"Sold")</f>
        <v>Sold</v>
      </c>
      <c r="BW21" s="15">
        <f>IFERROR(__xludf.DUMMYFUNCTION("""COMPUTED_VALUE"""),1.0)</f>
        <v>1</v>
      </c>
      <c r="BX21" s="15" t="str">
        <f>IFERROR(__xludf.DUMMYFUNCTION("""COMPUTED_VALUE"""),"OK")</f>
        <v>OK</v>
      </c>
      <c r="BY21" s="1" t="str">
        <f>IFERROR(__xludf.DUMMYFUNCTION("""COMPUTED_VALUE"""),"600-1600")</f>
        <v>600-1600</v>
      </c>
      <c r="BZ21" s="1">
        <f>IFERROR(__xludf.DUMMYFUNCTION("""COMPUTED_VALUE"""),24.0)</f>
        <v>24</v>
      </c>
      <c r="CA21" s="1" t="str">
        <f>IFERROR(__xludf.DUMMYFUNCTION("""COMPUTED_VALUE"""),"Mid")</f>
        <v>Mid</v>
      </c>
    </row>
    <row r="22" ht="14.25" customHeight="1">
      <c r="A22" s="5">
        <v>980716.0</v>
      </c>
      <c r="B22" s="6" t="s">
        <v>128</v>
      </c>
      <c r="C22" s="6" t="s">
        <v>53</v>
      </c>
      <c r="D22" s="6">
        <v>12888.0</v>
      </c>
      <c r="E22" s="6" t="s">
        <v>30</v>
      </c>
      <c r="F22" s="6" t="s">
        <v>46</v>
      </c>
      <c r="G22" s="6" t="s">
        <v>55</v>
      </c>
      <c r="H22" s="7">
        <v>982.0</v>
      </c>
      <c r="I22" s="7">
        <v>7527.0</v>
      </c>
      <c r="J22" s="6">
        <v>1983.0</v>
      </c>
      <c r="K22" s="6">
        <v>58.0</v>
      </c>
      <c r="L22" s="6" t="s">
        <v>62</v>
      </c>
      <c r="M22" s="6" t="s">
        <v>129</v>
      </c>
      <c r="N22" s="6" t="s">
        <v>64</v>
      </c>
      <c r="O22" s="6" t="s">
        <v>35</v>
      </c>
      <c r="P22" s="6">
        <f>COUNTIF(Analysis!$M$1:$M$3001,Analysis!$M22)</f>
        <v>1</v>
      </c>
      <c r="Q22" s="6" t="str">
        <f>IF(COUNTIF(Analysis!$M$2:$M$3001,Analysis!$M22)&gt;1,"Duplicate","OK")</f>
        <v>OK</v>
      </c>
      <c r="R22" s="6" t="str">
        <f t="shared" si="1"/>
        <v>600-1600</v>
      </c>
      <c r="S22" s="6">
        <f t="shared" si="2"/>
        <v>43</v>
      </c>
      <c r="T22" s="6" t="str">
        <f t="shared" si="3"/>
        <v>Old</v>
      </c>
      <c r="V22" s="35" t="s">
        <v>41</v>
      </c>
      <c r="W22" s="36">
        <f>AVERAGEIF(Listings[Bedrooms],V22,Listings[Price])</f>
        <v>810241.6096</v>
      </c>
      <c r="BH22" s="14">
        <f>IFERROR(__xludf.DUMMYFUNCTION("""COMPUTED_VALUE"""),144964.0)</f>
        <v>144964</v>
      </c>
      <c r="BI22" s="15" t="str">
        <f>IFERROR(__xludf.DUMMYFUNCTION("""COMPUTED_VALUE"""),"6550 Main St, Sacramento, IL 81788")</f>
        <v>6550 Main St, Sacramento, IL 81788</v>
      </c>
      <c r="BJ22" s="15" t="str">
        <f>IFERROR(__xludf.DUMMYFUNCTION("""COMPUTED_VALUE"""),"Sacramento")</f>
        <v>Sacramento</v>
      </c>
      <c r="BK22" s="15">
        <f>IFERROR(__xludf.DUMMYFUNCTION("""COMPUTED_VALUE"""),81788.0)</f>
        <v>81788</v>
      </c>
      <c r="BL22" s="15" t="str">
        <f>IFERROR(__xludf.DUMMYFUNCTION("""COMPUTED_VALUE"""),"IL")</f>
        <v>IL</v>
      </c>
      <c r="BM22" s="15" t="str">
        <f>IFERROR(__xludf.DUMMYFUNCTION("""COMPUTED_VALUE"""),"5 bds")</f>
        <v>5 bds</v>
      </c>
      <c r="BN22" s="15" t="str">
        <f>IFERROR(__xludf.DUMMYFUNCTION("""COMPUTED_VALUE"""),"3 ba")</f>
        <v>3 ba</v>
      </c>
      <c r="BO22" s="15">
        <f>IFERROR(__xludf.DUMMYFUNCTION("""COMPUTED_VALUE"""),1141.0)</f>
        <v>1141</v>
      </c>
      <c r="BP22" s="15">
        <f>IFERROR(__xludf.DUMMYFUNCTION("""COMPUTED_VALUE"""),8933.0)</f>
        <v>8933</v>
      </c>
      <c r="BQ22" s="15">
        <f>IFERROR(__xludf.DUMMYFUNCTION("""COMPUTED_VALUE"""),1994.0)</f>
        <v>1994</v>
      </c>
      <c r="BR22" s="15">
        <f>IFERROR(__xludf.DUMMYFUNCTION("""COMPUTED_VALUE"""),62.0)</f>
        <v>62</v>
      </c>
      <c r="BS22" s="15" t="str">
        <f>IFERROR(__xludf.DUMMYFUNCTION("""COMPUTED_VALUE"""),"Apartment")</f>
        <v>Apartment</v>
      </c>
      <c r="BT22" s="15" t="str">
        <f>IFERROR(__xludf.DUMMYFUNCTION("""COMPUTED_VALUE"""),"Z515391")</f>
        <v>Z515391</v>
      </c>
      <c r="BU22" s="15" t="str">
        <f>IFERROR(__xludf.DUMMYFUNCTION("""COMPUTED_VALUE"""),"Alex Johnson - Compass")</f>
        <v>Alex Johnson - Compass</v>
      </c>
      <c r="BV22" s="15" t="str">
        <f>IFERROR(__xludf.DUMMYFUNCTION("""COMPUTED_VALUE"""),"Sold")</f>
        <v>Sold</v>
      </c>
      <c r="BW22" s="15">
        <f>IFERROR(__xludf.DUMMYFUNCTION("""COMPUTED_VALUE"""),1.0)</f>
        <v>1</v>
      </c>
      <c r="BX22" s="15" t="str">
        <f>IFERROR(__xludf.DUMMYFUNCTION("""COMPUTED_VALUE"""),"OK")</f>
        <v>OK</v>
      </c>
      <c r="BY22" s="1" t="str">
        <f>IFERROR(__xludf.DUMMYFUNCTION("""COMPUTED_VALUE"""),"600-1600")</f>
        <v>600-1600</v>
      </c>
      <c r="BZ22" s="1">
        <f>IFERROR(__xludf.DUMMYFUNCTION("""COMPUTED_VALUE"""),32.0)</f>
        <v>32</v>
      </c>
      <c r="CA22" s="1" t="str">
        <f>IFERROR(__xludf.DUMMYFUNCTION("""COMPUTED_VALUE"""),"Old")</f>
        <v>Old</v>
      </c>
    </row>
    <row r="23" ht="14.25" customHeight="1">
      <c r="A23" s="5">
        <v>527238.0</v>
      </c>
      <c r="B23" s="6" t="s">
        <v>132</v>
      </c>
      <c r="C23" s="6" t="s">
        <v>53</v>
      </c>
      <c r="D23" s="6">
        <v>63443.0</v>
      </c>
      <c r="E23" s="6" t="s">
        <v>60</v>
      </c>
      <c r="F23" s="6" t="s">
        <v>94</v>
      </c>
      <c r="G23" s="6" t="s">
        <v>100</v>
      </c>
      <c r="H23" s="7">
        <v>3164.0</v>
      </c>
      <c r="I23" s="7">
        <v>9694.0</v>
      </c>
      <c r="J23" s="6">
        <v>1955.0</v>
      </c>
      <c r="K23" s="6">
        <v>33.0</v>
      </c>
      <c r="L23" s="6" t="s">
        <v>95</v>
      </c>
      <c r="M23" s="6" t="s">
        <v>133</v>
      </c>
      <c r="N23" s="6" t="s">
        <v>64</v>
      </c>
      <c r="O23" s="6" t="s">
        <v>49</v>
      </c>
      <c r="P23" s="6">
        <f>COUNTIF(Analysis!$M$1:$M$3001,Analysis!$M23)</f>
        <v>1</v>
      </c>
      <c r="Q23" s="6" t="str">
        <f>IF(COUNTIF(Analysis!$M$2:$M$3001,Analysis!$M23)&gt;1,"Duplicate","OK")</f>
        <v>OK</v>
      </c>
      <c r="R23" s="6" t="str">
        <f t="shared" si="1"/>
        <v>2600-3600</v>
      </c>
      <c r="S23" s="6">
        <f t="shared" si="2"/>
        <v>71</v>
      </c>
      <c r="T23" s="6" t="str">
        <f t="shared" si="3"/>
        <v>Very Old</v>
      </c>
      <c r="V23" s="30"/>
      <c r="W23" s="31"/>
      <c r="BH23" s="14">
        <f>IFERROR(__xludf.DUMMYFUNCTION("""COMPUTED_VALUE"""),159682.0)</f>
        <v>159682</v>
      </c>
      <c r="BI23" s="15" t="str">
        <f>IFERROR(__xludf.DUMMYFUNCTION("""COMPUTED_VALUE"""),"5514 Main St, Sacramento, CA 63062")</f>
        <v>5514 Main St, Sacramento, CA 63062</v>
      </c>
      <c r="BJ23" s="15" t="str">
        <f>IFERROR(__xludf.DUMMYFUNCTION("""COMPUTED_VALUE"""),"Sacramento")</f>
        <v>Sacramento</v>
      </c>
      <c r="BK23" s="15">
        <f>IFERROR(__xludf.DUMMYFUNCTION("""COMPUTED_VALUE"""),63062.0)</f>
        <v>63062</v>
      </c>
      <c r="BL23" s="15" t="str">
        <f>IFERROR(__xludf.DUMMYFUNCTION("""COMPUTED_VALUE"""),"CA")</f>
        <v>CA</v>
      </c>
      <c r="BM23" s="15" t="str">
        <f>IFERROR(__xludf.DUMMYFUNCTION("""COMPUTED_VALUE"""),"3 bds")</f>
        <v>3 bds</v>
      </c>
      <c r="BN23" s="15" t="str">
        <f>IFERROR(__xludf.DUMMYFUNCTION("""COMPUTED_VALUE"""),"1 ba")</f>
        <v>1 ba</v>
      </c>
      <c r="BO23" s="15">
        <f>IFERROR(__xludf.DUMMYFUNCTION("""COMPUTED_VALUE"""),3421.0)</f>
        <v>3421</v>
      </c>
      <c r="BP23" s="15">
        <f>IFERROR(__xludf.DUMMYFUNCTION("""COMPUTED_VALUE"""),2996.0)</f>
        <v>2996</v>
      </c>
      <c r="BQ23" s="15">
        <f>IFERROR(__xludf.DUMMYFUNCTION("""COMPUTED_VALUE"""),1992.0)</f>
        <v>1992</v>
      </c>
      <c r="BR23" s="15">
        <f>IFERROR(__xludf.DUMMYFUNCTION("""COMPUTED_VALUE"""),39.0)</f>
        <v>39</v>
      </c>
      <c r="BS23" s="15" t="str">
        <f>IFERROR(__xludf.DUMMYFUNCTION("""COMPUTED_VALUE"""),"Multi-Family")</f>
        <v>Multi-Family</v>
      </c>
      <c r="BT23" s="15" t="str">
        <f>IFERROR(__xludf.DUMMYFUNCTION("""COMPUTED_VALUE"""),"Z762393")</f>
        <v>Z762393</v>
      </c>
      <c r="BU23" s="15" t="str">
        <f>IFERROR(__xludf.DUMMYFUNCTION("""COMPUTED_VALUE"""),"Alex Johnson - Compass")</f>
        <v>Alex Johnson - Compass</v>
      </c>
      <c r="BV23" s="15" t="str">
        <f>IFERROR(__xludf.DUMMYFUNCTION("""COMPUTED_VALUE"""),"Sold")</f>
        <v>Sold</v>
      </c>
      <c r="BW23" s="15">
        <f>IFERROR(__xludf.DUMMYFUNCTION("""COMPUTED_VALUE"""),1.0)</f>
        <v>1</v>
      </c>
      <c r="BX23" s="15" t="str">
        <f>IFERROR(__xludf.DUMMYFUNCTION("""COMPUTED_VALUE"""),"OK")</f>
        <v>OK</v>
      </c>
      <c r="BY23" s="1" t="str">
        <f>IFERROR(__xludf.DUMMYFUNCTION("""COMPUTED_VALUE"""),"2600-3600")</f>
        <v>2600-3600</v>
      </c>
      <c r="BZ23" s="1">
        <f>IFERROR(__xludf.DUMMYFUNCTION("""COMPUTED_VALUE"""),34.0)</f>
        <v>34</v>
      </c>
      <c r="CA23" s="1" t="str">
        <f>IFERROR(__xludf.DUMMYFUNCTION("""COMPUTED_VALUE"""),"Old")</f>
        <v>Old</v>
      </c>
    </row>
    <row r="24" ht="14.25" customHeight="1">
      <c r="A24" s="5">
        <v>104351.0</v>
      </c>
      <c r="B24" s="6" t="s">
        <v>10031</v>
      </c>
      <c r="C24" s="6" t="s">
        <v>29</v>
      </c>
      <c r="D24" s="6">
        <v>37362.0</v>
      </c>
      <c r="E24" s="6" t="s">
        <v>77</v>
      </c>
      <c r="F24" s="6" t="s">
        <v>61</v>
      </c>
      <c r="G24" s="6" t="s">
        <v>100</v>
      </c>
      <c r="H24" s="7">
        <v>3663.0</v>
      </c>
      <c r="I24" s="7">
        <v>8122.0</v>
      </c>
      <c r="J24" s="6">
        <v>1989.0</v>
      </c>
      <c r="K24" s="6">
        <v>68.0</v>
      </c>
      <c r="L24" s="6" t="s">
        <v>32</v>
      </c>
      <c r="M24" s="6" t="s">
        <v>10032</v>
      </c>
      <c r="N24" s="6" t="s">
        <v>48</v>
      </c>
      <c r="O24" s="6" t="s">
        <v>49</v>
      </c>
      <c r="P24" s="6">
        <f>COUNTIF(Analysis!$M$1:$M$3001,Analysis!$M2499)</f>
        <v>1</v>
      </c>
      <c r="Q24" s="6" t="str">
        <f>IF(COUNTIF(Analysis!$M$2:$M$3001,Analysis!$M2499)&gt;1,"Duplicate","OK")</f>
        <v>OK</v>
      </c>
      <c r="R24" s="6" t="str">
        <f t="shared" si="1"/>
        <v>3600+</v>
      </c>
      <c r="S24" s="6">
        <f t="shared" si="2"/>
        <v>37</v>
      </c>
      <c r="T24" s="6" t="str">
        <f t="shared" si="3"/>
        <v>Old</v>
      </c>
      <c r="BH24" s="14">
        <f>IFERROR(__xludf.DUMMYFUNCTION("""COMPUTED_VALUE"""),830918.0)</f>
        <v>830918</v>
      </c>
      <c r="BI24" s="15" t="str">
        <f>IFERROR(__xludf.DUMMYFUNCTION("""COMPUTED_VALUE"""),"3517 Main St, Los Angeles, NY 68268")</f>
        <v>3517 Main St, Los Angeles, NY 68268</v>
      </c>
      <c r="BJ24" s="15" t="str">
        <f>IFERROR(__xludf.DUMMYFUNCTION("""COMPUTED_VALUE"""),"Los Angeles")</f>
        <v>Los Angeles</v>
      </c>
      <c r="BK24" s="15">
        <f>IFERROR(__xludf.DUMMYFUNCTION("""COMPUTED_VALUE"""),68268.0)</f>
        <v>68268</v>
      </c>
      <c r="BL24" s="15" t="str">
        <f>IFERROR(__xludf.DUMMYFUNCTION("""COMPUTED_VALUE"""),"NY")</f>
        <v>NY</v>
      </c>
      <c r="BM24" s="15" t="str">
        <f>IFERROR(__xludf.DUMMYFUNCTION("""COMPUTED_VALUE"""),"3 bds")</f>
        <v>3 bds</v>
      </c>
      <c r="BN24" s="15" t="str">
        <f>IFERROR(__xludf.DUMMYFUNCTION("""COMPUTED_VALUE"""),"3 ba")</f>
        <v>3 ba</v>
      </c>
      <c r="BO24" s="15">
        <f>IFERROR(__xludf.DUMMYFUNCTION("""COMPUTED_VALUE"""),1392.0)</f>
        <v>1392</v>
      </c>
      <c r="BP24" s="15">
        <f>IFERROR(__xludf.DUMMYFUNCTION("""COMPUTED_VALUE"""),3648.0)</f>
        <v>3648</v>
      </c>
      <c r="BQ24" s="15">
        <f>IFERROR(__xludf.DUMMYFUNCTION("""COMPUTED_VALUE"""),1997.0)</f>
        <v>1997</v>
      </c>
      <c r="BR24" s="15">
        <f>IFERROR(__xludf.DUMMYFUNCTION("""COMPUTED_VALUE"""),68.0)</f>
        <v>68</v>
      </c>
      <c r="BS24" s="15" t="str">
        <f>IFERROR(__xludf.DUMMYFUNCTION("""COMPUTED_VALUE"""),"Townhouse")</f>
        <v>Townhouse</v>
      </c>
      <c r="BT24" s="15" t="str">
        <f>IFERROR(__xludf.DUMMYFUNCTION("""COMPUTED_VALUE"""),"Z684839")</f>
        <v>Z684839</v>
      </c>
      <c r="BU24" s="15" t="str">
        <f>IFERROR(__xludf.DUMMYFUNCTION("""COMPUTED_VALUE"""),"Alex Johnson - Compass")</f>
        <v>Alex Johnson - Compass</v>
      </c>
      <c r="BV24" s="15" t="str">
        <f>IFERROR(__xludf.DUMMYFUNCTION("""COMPUTED_VALUE"""),"Sold")</f>
        <v>Sold</v>
      </c>
      <c r="BW24" s="15">
        <f>IFERROR(__xludf.DUMMYFUNCTION("""COMPUTED_VALUE"""),1.0)</f>
        <v>1</v>
      </c>
      <c r="BX24" s="15" t="str">
        <f>IFERROR(__xludf.DUMMYFUNCTION("""COMPUTED_VALUE"""),"OK")</f>
        <v>OK</v>
      </c>
      <c r="BY24" s="1" t="str">
        <f>IFERROR(__xludf.DUMMYFUNCTION("""COMPUTED_VALUE"""),"600-1600")</f>
        <v>600-1600</v>
      </c>
      <c r="BZ24" s="1">
        <f>IFERROR(__xludf.DUMMYFUNCTION("""COMPUTED_VALUE"""),29.0)</f>
        <v>29</v>
      </c>
      <c r="CA24" s="1" t="str">
        <f>IFERROR(__xludf.DUMMYFUNCTION("""COMPUTED_VALUE"""),"Mid")</f>
        <v>Mid</v>
      </c>
    </row>
    <row r="25" ht="14.25" customHeight="1">
      <c r="A25" s="5">
        <v>1381949.0</v>
      </c>
      <c r="B25" s="6" t="s">
        <v>140</v>
      </c>
      <c r="C25" s="6" t="s">
        <v>76</v>
      </c>
      <c r="D25" s="6">
        <v>33081.0</v>
      </c>
      <c r="E25" s="6" t="s">
        <v>40</v>
      </c>
      <c r="F25" s="6" t="s">
        <v>94</v>
      </c>
      <c r="G25" s="6" t="s">
        <v>100</v>
      </c>
      <c r="H25" s="7">
        <v>2966.0</v>
      </c>
      <c r="I25" s="7">
        <v>2421.0</v>
      </c>
      <c r="J25" s="6">
        <v>1997.0</v>
      </c>
      <c r="K25" s="6">
        <v>38.0</v>
      </c>
      <c r="L25" s="6" t="s">
        <v>141</v>
      </c>
      <c r="M25" s="6" t="s">
        <v>142</v>
      </c>
      <c r="N25" s="6" t="s">
        <v>34</v>
      </c>
      <c r="O25" s="6" t="s">
        <v>35</v>
      </c>
      <c r="P25" s="6">
        <f>COUNTIF(Analysis!$M$1:$M$3001,Analysis!$M25)</f>
        <v>1</v>
      </c>
      <c r="Q25" s="6" t="str">
        <f>IF(COUNTIF(Analysis!$M$2:$M$3001,Analysis!$M25)&gt;1,"Duplicate","OK")</f>
        <v>OK</v>
      </c>
      <c r="R25" s="6" t="str">
        <f t="shared" si="1"/>
        <v>2600-3600</v>
      </c>
      <c r="S25" s="6">
        <f t="shared" si="2"/>
        <v>29</v>
      </c>
      <c r="T25" s="6" t="str">
        <f t="shared" si="3"/>
        <v>Mid</v>
      </c>
      <c r="BH25" s="14">
        <f>IFERROR(__xludf.DUMMYFUNCTION("""COMPUTED_VALUE"""),1413534.0)</f>
        <v>1413534</v>
      </c>
      <c r="BI25" s="15" t="str">
        <f>IFERROR(__xludf.DUMMYFUNCTION("""COMPUTED_VALUE"""),"1807 Maple Dr, San Francisco, CA 33992")</f>
        <v>1807 Maple Dr, San Francisco, CA 33992</v>
      </c>
      <c r="BJ25" s="15" t="str">
        <f>IFERROR(__xludf.DUMMYFUNCTION("""COMPUTED_VALUE"""),"San Francisco")</f>
        <v>San Francisco</v>
      </c>
      <c r="BK25" s="15">
        <f>IFERROR(__xludf.DUMMYFUNCTION("""COMPUTED_VALUE"""),33992.0)</f>
        <v>33992</v>
      </c>
      <c r="BL25" s="15" t="str">
        <f>IFERROR(__xludf.DUMMYFUNCTION("""COMPUTED_VALUE"""),"CA")</f>
        <v>CA</v>
      </c>
      <c r="BM25" s="15" t="str">
        <f>IFERROR(__xludf.DUMMYFUNCTION("""COMPUTED_VALUE"""),"6 bds")</f>
        <v>6 bds</v>
      </c>
      <c r="BN25" s="15" t="str">
        <f>IFERROR(__xludf.DUMMYFUNCTION("""COMPUTED_VALUE"""),"2 ba")</f>
        <v>2 ba</v>
      </c>
      <c r="BO25" s="15">
        <f>IFERROR(__xludf.DUMMYFUNCTION("""COMPUTED_VALUE"""),2609.0)</f>
        <v>2609</v>
      </c>
      <c r="BP25" s="15">
        <f>IFERROR(__xludf.DUMMYFUNCTION("""COMPUTED_VALUE"""),6952.0)</f>
        <v>6952</v>
      </c>
      <c r="BQ25" s="15">
        <f>IFERROR(__xludf.DUMMYFUNCTION("""COMPUTED_VALUE"""),1967.0)</f>
        <v>1967</v>
      </c>
      <c r="BR25" s="15">
        <f>IFERROR(__xludf.DUMMYFUNCTION("""COMPUTED_VALUE"""),38.0)</f>
        <v>38</v>
      </c>
      <c r="BS25" s="15" t="str">
        <f>IFERROR(__xludf.DUMMYFUNCTION("""COMPUTED_VALUE"""),"Condo")</f>
        <v>Condo</v>
      </c>
      <c r="BT25" s="15" t="str">
        <f>IFERROR(__xludf.DUMMYFUNCTION("""COMPUTED_VALUE"""),"Z689262")</f>
        <v>Z689262</v>
      </c>
      <c r="BU25" s="15" t="str">
        <f>IFERROR(__xludf.DUMMYFUNCTION("""COMPUTED_VALUE"""),"Alex Johnson - Compass")</f>
        <v>Alex Johnson - Compass</v>
      </c>
      <c r="BV25" s="15" t="str">
        <f>IFERROR(__xludf.DUMMYFUNCTION("""COMPUTED_VALUE"""),"Sold")</f>
        <v>Sold</v>
      </c>
      <c r="BW25" s="15">
        <f>IFERROR(__xludf.DUMMYFUNCTION("""COMPUTED_VALUE"""),1.0)</f>
        <v>1</v>
      </c>
      <c r="BX25" s="15" t="str">
        <f>IFERROR(__xludf.DUMMYFUNCTION("""COMPUTED_VALUE"""),"OK")</f>
        <v>OK</v>
      </c>
      <c r="BY25" s="1" t="str">
        <f>IFERROR(__xludf.DUMMYFUNCTION("""COMPUTED_VALUE"""),"2600-3600")</f>
        <v>2600-3600</v>
      </c>
      <c r="BZ25" s="1">
        <f>IFERROR(__xludf.DUMMYFUNCTION("""COMPUTED_VALUE"""),59.0)</f>
        <v>59</v>
      </c>
      <c r="CA25" s="1" t="str">
        <f>IFERROR(__xludf.DUMMYFUNCTION("""COMPUTED_VALUE"""),"Old")</f>
        <v>Old</v>
      </c>
    </row>
    <row r="26" ht="14.25" customHeight="1">
      <c r="A26" s="5">
        <v>898597.0</v>
      </c>
      <c r="B26" s="6" t="s">
        <v>145</v>
      </c>
      <c r="C26" s="6" t="s">
        <v>39</v>
      </c>
      <c r="D26" s="6">
        <v>16851.0</v>
      </c>
      <c r="E26" s="6" t="s">
        <v>77</v>
      </c>
      <c r="F26" s="6" t="s">
        <v>41</v>
      </c>
      <c r="G26" s="6" t="s">
        <v>21</v>
      </c>
      <c r="H26" s="7">
        <v>3814.0</v>
      </c>
      <c r="I26" s="7">
        <v>2093.0</v>
      </c>
      <c r="J26" s="6">
        <v>1957.0</v>
      </c>
      <c r="K26" s="6">
        <v>71.0</v>
      </c>
      <c r="L26" s="6" t="s">
        <v>95</v>
      </c>
      <c r="M26" s="6" t="s">
        <v>146</v>
      </c>
      <c r="N26" s="6" t="s">
        <v>64</v>
      </c>
      <c r="O26" s="6" t="s">
        <v>35</v>
      </c>
      <c r="P26" s="6">
        <f>COUNTIF(Analysis!$M$1:$M$3001,Analysis!$M26)</f>
        <v>1</v>
      </c>
      <c r="Q26" s="6" t="str">
        <f>IF(COUNTIF(Analysis!$M$2:$M$3001,Analysis!$M26)&gt;1,"Duplicate","OK")</f>
        <v>OK</v>
      </c>
      <c r="R26" s="6" t="str">
        <f t="shared" si="1"/>
        <v>3600+</v>
      </c>
      <c r="S26" s="6">
        <f t="shared" si="2"/>
        <v>69</v>
      </c>
      <c r="T26" s="6" t="str">
        <f t="shared" si="3"/>
        <v>Very Old</v>
      </c>
      <c r="BH26" s="14">
        <f>IFERROR(__xludf.DUMMYFUNCTION("""COMPUTED_VALUE"""),727584.0)</f>
        <v>727584</v>
      </c>
      <c r="BI26" s="15" t="str">
        <f>IFERROR(__xludf.DUMMYFUNCTION("""COMPUTED_VALUE"""),"2285 Pine Rd, Los Angeles, IL 68343")</f>
        <v>2285 Pine Rd, Los Angeles, IL 68343</v>
      </c>
      <c r="BJ26" s="15" t="str">
        <f>IFERROR(__xludf.DUMMYFUNCTION("""COMPUTED_VALUE"""),"Los Angeles")</f>
        <v>Los Angeles</v>
      </c>
      <c r="BK26" s="15">
        <f>IFERROR(__xludf.DUMMYFUNCTION("""COMPUTED_VALUE"""),68343.0)</f>
        <v>68343</v>
      </c>
      <c r="BL26" s="15" t="str">
        <f>IFERROR(__xludf.DUMMYFUNCTION("""COMPUTED_VALUE"""),"IL")</f>
        <v>IL</v>
      </c>
      <c r="BM26" s="15" t="str">
        <f>IFERROR(__xludf.DUMMYFUNCTION("""COMPUTED_VALUE"""),"5 bds")</f>
        <v>5 bds</v>
      </c>
      <c r="BN26" s="15" t="str">
        <f>IFERROR(__xludf.DUMMYFUNCTION("""COMPUTED_VALUE"""),"1 ba")</f>
        <v>1 ba</v>
      </c>
      <c r="BO26" s="15">
        <f>IFERROR(__xludf.DUMMYFUNCTION("""COMPUTED_VALUE"""),620.0)</f>
        <v>620</v>
      </c>
      <c r="BP26" s="15">
        <f>IFERROR(__xludf.DUMMYFUNCTION("""COMPUTED_VALUE"""),3573.0)</f>
        <v>3573</v>
      </c>
      <c r="BQ26" s="15">
        <f>IFERROR(__xludf.DUMMYFUNCTION("""COMPUTED_VALUE"""),2008.0)</f>
        <v>2008</v>
      </c>
      <c r="BR26" s="15">
        <f>IFERROR(__xludf.DUMMYFUNCTION("""COMPUTED_VALUE"""),23.0)</f>
        <v>23</v>
      </c>
      <c r="BS26" s="15" t="str">
        <f>IFERROR(__xludf.DUMMYFUNCTION("""COMPUTED_VALUE"""),"Townhouse")</f>
        <v>Townhouse</v>
      </c>
      <c r="BT26" s="15" t="str">
        <f>IFERROR(__xludf.DUMMYFUNCTION("""COMPUTED_VALUE"""),"Z847985")</f>
        <v>Z847985</v>
      </c>
      <c r="BU26" s="15" t="str">
        <f>IFERROR(__xludf.DUMMYFUNCTION("""COMPUTED_VALUE"""),"Alex Johnson - Compass")</f>
        <v>Alex Johnson - Compass</v>
      </c>
      <c r="BV26" s="15" t="str">
        <f>IFERROR(__xludf.DUMMYFUNCTION("""COMPUTED_VALUE"""),"Sold")</f>
        <v>Sold</v>
      </c>
      <c r="BW26" s="15">
        <f>IFERROR(__xludf.DUMMYFUNCTION("""COMPUTED_VALUE"""),1.0)</f>
        <v>1</v>
      </c>
      <c r="BX26" s="15" t="str">
        <f>IFERROR(__xludf.DUMMYFUNCTION("""COMPUTED_VALUE"""),"OK")</f>
        <v>OK</v>
      </c>
      <c r="BY26" s="1" t="str">
        <f>IFERROR(__xludf.DUMMYFUNCTION("""COMPUTED_VALUE"""),"600-1600")</f>
        <v>600-1600</v>
      </c>
      <c r="BZ26" s="1">
        <f>IFERROR(__xludf.DUMMYFUNCTION("""COMPUTED_VALUE"""),18.0)</f>
        <v>18</v>
      </c>
      <c r="CA26" s="1" t="str">
        <f>IFERROR(__xludf.DUMMYFUNCTION("""COMPUTED_VALUE"""),"Mid")</f>
        <v>Mid</v>
      </c>
    </row>
    <row r="27" ht="14.25" customHeight="1">
      <c r="A27" s="5">
        <v>1335481.0</v>
      </c>
      <c r="B27" s="6" t="s">
        <v>149</v>
      </c>
      <c r="C27" s="6" t="s">
        <v>53</v>
      </c>
      <c r="D27" s="6">
        <v>31581.0</v>
      </c>
      <c r="E27" s="6" t="s">
        <v>30</v>
      </c>
      <c r="F27" s="6" t="s">
        <v>46</v>
      </c>
      <c r="G27" s="6" t="s">
        <v>100</v>
      </c>
      <c r="H27" s="7">
        <v>1583.0</v>
      </c>
      <c r="I27" s="7">
        <v>6306.0</v>
      </c>
      <c r="J27" s="6">
        <v>1979.0</v>
      </c>
      <c r="K27" s="6">
        <v>30.0</v>
      </c>
      <c r="L27" s="6" t="s">
        <v>32</v>
      </c>
      <c r="M27" s="6" t="s">
        <v>150</v>
      </c>
      <c r="N27" s="6" t="s">
        <v>24</v>
      </c>
      <c r="O27" s="6" t="s">
        <v>25</v>
      </c>
      <c r="P27" s="6">
        <f>COUNTIF(Analysis!$M$1:$M$3001,Analysis!$M27)</f>
        <v>1</v>
      </c>
      <c r="Q27" s="6" t="str">
        <f>IF(COUNTIF(Analysis!$M$2:$M$3001,Analysis!$M27)&gt;1,"Duplicate","OK")</f>
        <v>OK</v>
      </c>
      <c r="R27" s="6" t="str">
        <f t="shared" si="1"/>
        <v>600-1600</v>
      </c>
      <c r="S27" s="6">
        <f t="shared" si="2"/>
        <v>47</v>
      </c>
      <c r="T27" s="6" t="str">
        <f t="shared" si="3"/>
        <v>Old</v>
      </c>
      <c r="V27" s="41" t="s">
        <v>2</v>
      </c>
      <c r="W27" s="41" t="s">
        <v>12054</v>
      </c>
      <c r="Z27" s="42" t="s">
        <v>13</v>
      </c>
      <c r="AA27" s="42" t="s">
        <v>12059</v>
      </c>
      <c r="BH27" s="14">
        <f>IFERROR(__xludf.DUMMYFUNCTION("""COMPUTED_VALUE"""),1386947.0)</f>
        <v>1386947</v>
      </c>
      <c r="BI27" s="15" t="str">
        <f>IFERROR(__xludf.DUMMYFUNCTION("""COMPUTED_VALUE"""),"3231 Main St, Sacramento, CA 50757")</f>
        <v>3231 Main St, Sacramento, CA 50757</v>
      </c>
      <c r="BJ27" s="15" t="str">
        <f>IFERROR(__xludf.DUMMYFUNCTION("""COMPUTED_VALUE"""),"Sacramento")</f>
        <v>Sacramento</v>
      </c>
      <c r="BK27" s="15">
        <f>IFERROR(__xludf.DUMMYFUNCTION("""COMPUTED_VALUE"""),50757.0)</f>
        <v>50757</v>
      </c>
      <c r="BL27" s="15" t="str">
        <f>IFERROR(__xludf.DUMMYFUNCTION("""COMPUTED_VALUE"""),"CA")</f>
        <v>CA</v>
      </c>
      <c r="BM27" s="15" t="str">
        <f>IFERROR(__xludf.DUMMYFUNCTION("""COMPUTED_VALUE"""),"4 bds")</f>
        <v>4 bds</v>
      </c>
      <c r="BN27" s="15" t="str">
        <f>IFERROR(__xludf.DUMMYFUNCTION("""COMPUTED_VALUE"""),"4 ba")</f>
        <v>4 ba</v>
      </c>
      <c r="BO27" s="15">
        <f>IFERROR(__xludf.DUMMYFUNCTION("""COMPUTED_VALUE"""),745.0)</f>
        <v>745</v>
      </c>
      <c r="BP27" s="15">
        <f>IFERROR(__xludf.DUMMYFUNCTION("""COMPUTED_VALUE"""),6797.0)</f>
        <v>6797</v>
      </c>
      <c r="BQ27" s="15">
        <f>IFERROR(__xludf.DUMMYFUNCTION("""COMPUTED_VALUE"""),1969.0)</f>
        <v>1969</v>
      </c>
      <c r="BR27" s="15">
        <f>IFERROR(__xludf.DUMMYFUNCTION("""COMPUTED_VALUE"""),24.0)</f>
        <v>24</v>
      </c>
      <c r="BS27" s="15" t="str">
        <f>IFERROR(__xludf.DUMMYFUNCTION("""COMPUTED_VALUE"""),"Condo")</f>
        <v>Condo</v>
      </c>
      <c r="BT27" s="15" t="str">
        <f>IFERROR(__xludf.DUMMYFUNCTION("""COMPUTED_VALUE"""),"Z873927")</f>
        <v>Z873927</v>
      </c>
      <c r="BU27" s="15" t="str">
        <f>IFERROR(__xludf.DUMMYFUNCTION("""COMPUTED_VALUE"""),"Alex Johnson - Compass")</f>
        <v>Alex Johnson - Compass</v>
      </c>
      <c r="BV27" s="15" t="str">
        <f>IFERROR(__xludf.DUMMYFUNCTION("""COMPUTED_VALUE"""),"Sold")</f>
        <v>Sold</v>
      </c>
      <c r="BW27" s="15">
        <f>IFERROR(__xludf.DUMMYFUNCTION("""COMPUTED_VALUE"""),1.0)</f>
        <v>1</v>
      </c>
      <c r="BX27" s="15" t="str">
        <f>IFERROR(__xludf.DUMMYFUNCTION("""COMPUTED_VALUE"""),"OK")</f>
        <v>OK</v>
      </c>
      <c r="BY27" s="1" t="str">
        <f>IFERROR(__xludf.DUMMYFUNCTION("""COMPUTED_VALUE"""),"600-1600")</f>
        <v>600-1600</v>
      </c>
      <c r="BZ27" s="1">
        <f>IFERROR(__xludf.DUMMYFUNCTION("""COMPUTED_VALUE"""),57.0)</f>
        <v>57</v>
      </c>
      <c r="CA27" s="1" t="str">
        <f>IFERROR(__xludf.DUMMYFUNCTION("""COMPUTED_VALUE"""),"Old")</f>
        <v>Old</v>
      </c>
    </row>
    <row r="28" ht="14.25" customHeight="1">
      <c r="A28" s="5">
        <v>1444036.0</v>
      </c>
      <c r="B28" s="6" t="s">
        <v>153</v>
      </c>
      <c r="C28" s="6" t="s">
        <v>18</v>
      </c>
      <c r="D28" s="6">
        <v>73665.0</v>
      </c>
      <c r="E28" s="6" t="s">
        <v>19</v>
      </c>
      <c r="F28" s="6" t="s">
        <v>41</v>
      </c>
      <c r="G28" s="6" t="s">
        <v>21</v>
      </c>
      <c r="H28" s="7">
        <v>743.0</v>
      </c>
      <c r="I28" s="7">
        <v>8853.0</v>
      </c>
      <c r="J28" s="6">
        <v>2018.0</v>
      </c>
      <c r="K28" s="6">
        <v>50.0</v>
      </c>
      <c r="L28" s="6" t="s">
        <v>22</v>
      </c>
      <c r="M28" s="6" t="s">
        <v>154</v>
      </c>
      <c r="N28" s="6" t="s">
        <v>48</v>
      </c>
      <c r="O28" s="6" t="s">
        <v>35</v>
      </c>
      <c r="P28" s="6">
        <f>COUNTIF(Analysis!$M$1:$M$3001,Analysis!$M28)</f>
        <v>1</v>
      </c>
      <c r="Q28" s="6" t="str">
        <f>IF(COUNTIF(Analysis!$M$2:$M$3001,Analysis!$M28)&gt;1,"Duplicate","OK")</f>
        <v>OK</v>
      </c>
      <c r="R28" s="6" t="str">
        <f t="shared" si="1"/>
        <v>600-1600</v>
      </c>
      <c r="S28" s="6">
        <f t="shared" si="2"/>
        <v>8</v>
      </c>
      <c r="T28" s="6" t="str">
        <f t="shared" si="3"/>
        <v>New</v>
      </c>
      <c r="V28" s="45" t="s">
        <v>18</v>
      </c>
      <c r="W28" s="40">
        <f>IFERROR(__xludf.DUMMYFUNCTION("MODE(FILTER(Listings[Days on Market],Listings[City]=V28))"),113.0)</f>
        <v>113</v>
      </c>
      <c r="Z28" s="40" t="str">
        <f t="array" ref="Z28:Z32">UNIQUE(Listings[Listing Agent],FALSE,False)</f>
        <v>Alex Johnson - Compass</v>
      </c>
      <c r="AA28" s="40">
        <f>COUNTIFS(Listings[Listing Agent],Z28,Listings[Status],"Sold")</f>
        <v>224</v>
      </c>
      <c r="BH28" s="14">
        <f>IFERROR(__xludf.DUMMYFUNCTION("""COMPUTED_VALUE"""),368960.0)</f>
        <v>368960</v>
      </c>
      <c r="BI28" s="15" t="str">
        <f>IFERROR(__xludf.DUMMYFUNCTION("""COMPUTED_VALUE"""),"4383 Oak Ave, Los Angeles, NY 97233")</f>
        <v>4383 Oak Ave, Los Angeles, NY 97233</v>
      </c>
      <c r="BJ28" s="15" t="str">
        <f>IFERROR(__xludf.DUMMYFUNCTION("""COMPUTED_VALUE"""),"Los Angeles")</f>
        <v>Los Angeles</v>
      </c>
      <c r="BK28" s="15">
        <f>IFERROR(__xludf.DUMMYFUNCTION("""COMPUTED_VALUE"""),97233.0)</f>
        <v>97233</v>
      </c>
      <c r="BL28" s="15" t="str">
        <f>IFERROR(__xludf.DUMMYFUNCTION("""COMPUTED_VALUE"""),"NY")</f>
        <v>NY</v>
      </c>
      <c r="BM28" s="15" t="str">
        <f>IFERROR(__xludf.DUMMYFUNCTION("""COMPUTED_VALUE"""),"3 bds")</f>
        <v>3 bds</v>
      </c>
      <c r="BN28" s="15" t="str">
        <f>IFERROR(__xludf.DUMMYFUNCTION("""COMPUTED_VALUE"""),"1 ba")</f>
        <v>1 ba</v>
      </c>
      <c r="BO28" s="15">
        <f>IFERROR(__xludf.DUMMYFUNCTION("""COMPUTED_VALUE"""),1447.0)</f>
        <v>1447</v>
      </c>
      <c r="BP28" s="15">
        <f>IFERROR(__xludf.DUMMYFUNCTION("""COMPUTED_VALUE"""),3020.0)</f>
        <v>3020</v>
      </c>
      <c r="BQ28" s="15">
        <f>IFERROR(__xludf.DUMMYFUNCTION("""COMPUTED_VALUE"""),2009.0)</f>
        <v>2009</v>
      </c>
      <c r="BR28" s="15">
        <f>IFERROR(__xludf.DUMMYFUNCTION("""COMPUTED_VALUE"""),30.0)</f>
        <v>30</v>
      </c>
      <c r="BS28" s="15" t="str">
        <f>IFERROR(__xludf.DUMMYFUNCTION("""COMPUTED_VALUE"""),"Single Family")</f>
        <v>Single Family</v>
      </c>
      <c r="BT28" s="15" t="str">
        <f>IFERROR(__xludf.DUMMYFUNCTION("""COMPUTED_VALUE"""),"Z756126")</f>
        <v>Z756126</v>
      </c>
      <c r="BU28" s="15" t="str">
        <f>IFERROR(__xludf.DUMMYFUNCTION("""COMPUTED_VALUE"""),"Alex Johnson - Compass")</f>
        <v>Alex Johnson - Compass</v>
      </c>
      <c r="BV28" s="15" t="str">
        <f>IFERROR(__xludf.DUMMYFUNCTION("""COMPUTED_VALUE"""),"Sold")</f>
        <v>Sold</v>
      </c>
      <c r="BW28" s="15">
        <f>IFERROR(__xludf.DUMMYFUNCTION("""COMPUTED_VALUE"""),1.0)</f>
        <v>1</v>
      </c>
      <c r="BX28" s="15" t="str">
        <f>IFERROR(__xludf.DUMMYFUNCTION("""COMPUTED_VALUE"""),"OK")</f>
        <v>OK</v>
      </c>
      <c r="BY28" s="1" t="str">
        <f>IFERROR(__xludf.DUMMYFUNCTION("""COMPUTED_VALUE"""),"600-1600")</f>
        <v>600-1600</v>
      </c>
      <c r="BZ28" s="1">
        <f>IFERROR(__xludf.DUMMYFUNCTION("""COMPUTED_VALUE"""),17.0)</f>
        <v>17</v>
      </c>
      <c r="CA28" s="1" t="str">
        <f>IFERROR(__xludf.DUMMYFUNCTION("""COMPUTED_VALUE"""),"Mid")</f>
        <v>Mid</v>
      </c>
    </row>
    <row r="29" ht="14.25" customHeight="1">
      <c r="A29" s="5">
        <v>831525.0</v>
      </c>
      <c r="B29" s="6" t="s">
        <v>157</v>
      </c>
      <c r="C29" s="6" t="s">
        <v>39</v>
      </c>
      <c r="D29" s="6">
        <v>45375.0</v>
      </c>
      <c r="E29" s="6" t="s">
        <v>19</v>
      </c>
      <c r="F29" s="6" t="s">
        <v>94</v>
      </c>
      <c r="G29" s="6" t="s">
        <v>21</v>
      </c>
      <c r="H29" s="7">
        <v>1165.0</v>
      </c>
      <c r="I29" s="7">
        <v>3128.0</v>
      </c>
      <c r="J29" s="6">
        <v>1954.0</v>
      </c>
      <c r="K29" s="6">
        <v>57.0</v>
      </c>
      <c r="L29" s="6" t="s">
        <v>22</v>
      </c>
      <c r="M29" s="6" t="s">
        <v>158</v>
      </c>
      <c r="N29" s="6" t="s">
        <v>24</v>
      </c>
      <c r="O29" s="6" t="s">
        <v>25</v>
      </c>
      <c r="P29" s="6">
        <f>COUNTIF(Analysis!$M$1:$M$3001,Analysis!$M29)</f>
        <v>1</v>
      </c>
      <c r="Q29" s="6" t="str">
        <f>IF(COUNTIF(Analysis!$M$2:$M$3001,Analysis!$M29)&gt;1,"Duplicate","OK")</f>
        <v>OK</v>
      </c>
      <c r="R29" s="6" t="str">
        <f t="shared" si="1"/>
        <v>600-1600</v>
      </c>
      <c r="S29" s="6">
        <f t="shared" si="2"/>
        <v>72</v>
      </c>
      <c r="T29" s="6" t="str">
        <f t="shared" si="3"/>
        <v>Very Old</v>
      </c>
      <c r="V29" s="37" t="s">
        <v>29</v>
      </c>
      <c r="W29" s="37">
        <f>IFERROR(__xludf.DUMMYFUNCTION("MODE(FILTER(Listings[Days on Market],Listings[City]=V29))"),110.0)</f>
        <v>110</v>
      </c>
      <c r="Z29" s="37" t="s">
        <v>43</v>
      </c>
      <c r="AA29" s="37">
        <f>COUNTIFS(Listings[Listing Agent],Z29,Listings[Status],"Sold")</f>
        <v>189</v>
      </c>
      <c r="BH29" s="14">
        <f>IFERROR(__xludf.DUMMYFUNCTION("""COMPUTED_VALUE"""),516722.0)</f>
        <v>516722</v>
      </c>
      <c r="BI29" s="15" t="str">
        <f>IFERROR(__xludf.DUMMYFUNCTION("""COMPUTED_VALUE"""),"6996 Pine Rd, San Diego, NY 38001")</f>
        <v>6996 Pine Rd, San Diego, NY 38001</v>
      </c>
      <c r="BJ29" s="15" t="str">
        <f>IFERROR(__xludf.DUMMYFUNCTION("""COMPUTED_VALUE"""),"San Diego")</f>
        <v>San Diego</v>
      </c>
      <c r="BK29" s="15">
        <f>IFERROR(__xludf.DUMMYFUNCTION("""COMPUTED_VALUE"""),38001.0)</f>
        <v>38001</v>
      </c>
      <c r="BL29" s="15" t="str">
        <f>IFERROR(__xludf.DUMMYFUNCTION("""COMPUTED_VALUE"""),"NY")</f>
        <v>NY</v>
      </c>
      <c r="BM29" s="15" t="str">
        <f>IFERROR(__xludf.DUMMYFUNCTION("""COMPUTED_VALUE"""),"1 bds")</f>
        <v>1 bds</v>
      </c>
      <c r="BN29" s="15" t="str">
        <f>IFERROR(__xludf.DUMMYFUNCTION("""COMPUTED_VALUE"""),"4 ba")</f>
        <v>4 ba</v>
      </c>
      <c r="BO29" s="15">
        <f>IFERROR(__xludf.DUMMYFUNCTION("""COMPUTED_VALUE"""),3242.0)</f>
        <v>3242</v>
      </c>
      <c r="BP29" s="15">
        <f>IFERROR(__xludf.DUMMYFUNCTION("""COMPUTED_VALUE"""),9096.0)</f>
        <v>9096</v>
      </c>
      <c r="BQ29" s="15">
        <f>IFERROR(__xludf.DUMMYFUNCTION("""COMPUTED_VALUE"""),1955.0)</f>
        <v>1955</v>
      </c>
      <c r="BR29" s="15">
        <f>IFERROR(__xludf.DUMMYFUNCTION("""COMPUTED_VALUE"""),40.0)</f>
        <v>40</v>
      </c>
      <c r="BS29" s="15" t="str">
        <f>IFERROR(__xludf.DUMMYFUNCTION("""COMPUTED_VALUE"""),"Single Family")</f>
        <v>Single Family</v>
      </c>
      <c r="BT29" s="15" t="str">
        <f>IFERROR(__xludf.DUMMYFUNCTION("""COMPUTED_VALUE"""),"Z119727")</f>
        <v>Z119727</v>
      </c>
      <c r="BU29" s="15" t="str">
        <f>IFERROR(__xludf.DUMMYFUNCTION("""COMPUTED_VALUE"""),"Alex Johnson - Compass")</f>
        <v>Alex Johnson - Compass</v>
      </c>
      <c r="BV29" s="15" t="str">
        <f>IFERROR(__xludf.DUMMYFUNCTION("""COMPUTED_VALUE"""),"Sold")</f>
        <v>Sold</v>
      </c>
      <c r="BW29" s="15">
        <f>IFERROR(__xludf.DUMMYFUNCTION("""COMPUTED_VALUE"""),1.0)</f>
        <v>1</v>
      </c>
      <c r="BX29" s="15" t="str">
        <f>IFERROR(__xludf.DUMMYFUNCTION("""COMPUTED_VALUE"""),"OK")</f>
        <v>OK</v>
      </c>
      <c r="BY29" s="1" t="str">
        <f>IFERROR(__xludf.DUMMYFUNCTION("""COMPUTED_VALUE"""),"2600-3600")</f>
        <v>2600-3600</v>
      </c>
      <c r="BZ29" s="1">
        <f>IFERROR(__xludf.DUMMYFUNCTION("""COMPUTED_VALUE"""),71.0)</f>
        <v>71</v>
      </c>
      <c r="CA29" s="1" t="str">
        <f>IFERROR(__xludf.DUMMYFUNCTION("""COMPUTED_VALUE"""),"Very Old")</f>
        <v>Very Old</v>
      </c>
    </row>
    <row r="30" ht="14.25" customHeight="1">
      <c r="A30" s="5">
        <v>911317.0</v>
      </c>
      <c r="B30" s="6" t="s">
        <v>161</v>
      </c>
      <c r="C30" s="6" t="s">
        <v>53</v>
      </c>
      <c r="D30" s="6">
        <v>25618.0</v>
      </c>
      <c r="E30" s="6" t="s">
        <v>60</v>
      </c>
      <c r="F30" s="6" t="s">
        <v>54</v>
      </c>
      <c r="G30" s="6" t="s">
        <v>55</v>
      </c>
      <c r="H30" s="7">
        <v>908.0</v>
      </c>
      <c r="I30" s="7">
        <v>1492.0</v>
      </c>
      <c r="J30" s="6">
        <v>1963.0</v>
      </c>
      <c r="K30" s="6">
        <v>42.0</v>
      </c>
      <c r="L30" s="6" t="s">
        <v>32</v>
      </c>
      <c r="M30" s="6" t="s">
        <v>162</v>
      </c>
      <c r="N30" s="6" t="s">
        <v>34</v>
      </c>
      <c r="O30" s="6" t="s">
        <v>35</v>
      </c>
      <c r="P30" s="6">
        <f>COUNTIF(Analysis!$M$1:$M$3001,Analysis!$M30)</f>
        <v>1</v>
      </c>
      <c r="Q30" s="6" t="str">
        <f>IF(COUNTIF(Analysis!$M$2:$M$3001,Analysis!$M30)&gt;1,"Duplicate","OK")</f>
        <v>OK</v>
      </c>
      <c r="R30" s="6" t="str">
        <f t="shared" si="1"/>
        <v>600-1600</v>
      </c>
      <c r="S30" s="6">
        <f t="shared" si="2"/>
        <v>63</v>
      </c>
      <c r="T30" s="6" t="str">
        <f t="shared" si="3"/>
        <v>Very Old</v>
      </c>
      <c r="V30" s="37" t="s">
        <v>39</v>
      </c>
      <c r="W30" s="37">
        <f>IFERROR(__xludf.DUMMYFUNCTION("MODE(FILTER(Listings[Days on Market],Listings[City]=V30))"),18.0)</f>
        <v>18</v>
      </c>
      <c r="Z30" s="37" t="s">
        <v>48</v>
      </c>
      <c r="AA30" s="37">
        <f>COUNTIFS(Listings[Listing Agent],Z30,Listings[Status],"Sold")</f>
        <v>215</v>
      </c>
      <c r="BH30" s="14">
        <f>IFERROR(__xludf.DUMMYFUNCTION("""COMPUTED_VALUE"""),1154506.0)</f>
        <v>1154506</v>
      </c>
      <c r="BI30" s="15" t="str">
        <f>IFERROR(__xludf.DUMMYFUNCTION("""COMPUTED_VALUE"""),"1668 Maple Dr, Sacramento, TX 40884")</f>
        <v>1668 Maple Dr, Sacramento, TX 40884</v>
      </c>
      <c r="BJ30" s="15" t="str">
        <f>IFERROR(__xludf.DUMMYFUNCTION("""COMPUTED_VALUE"""),"Sacramento")</f>
        <v>Sacramento</v>
      </c>
      <c r="BK30" s="15">
        <f>IFERROR(__xludf.DUMMYFUNCTION("""COMPUTED_VALUE"""),40884.0)</f>
        <v>40884</v>
      </c>
      <c r="BL30" s="15" t="str">
        <f>IFERROR(__xludf.DUMMYFUNCTION("""COMPUTED_VALUE"""),"TX")</f>
        <v>TX</v>
      </c>
      <c r="BM30" s="15" t="str">
        <f>IFERROR(__xludf.DUMMYFUNCTION("""COMPUTED_VALUE"""),"3 bds")</f>
        <v>3 bds</v>
      </c>
      <c r="BN30" s="15" t="str">
        <f>IFERROR(__xludf.DUMMYFUNCTION("""COMPUTED_VALUE"""),"2 ba")</f>
        <v>2 ba</v>
      </c>
      <c r="BO30" s="15">
        <f>IFERROR(__xludf.DUMMYFUNCTION("""COMPUTED_VALUE"""),2342.0)</f>
        <v>2342</v>
      </c>
      <c r="BP30" s="15">
        <f>IFERROR(__xludf.DUMMYFUNCTION("""COMPUTED_VALUE"""),2659.0)</f>
        <v>2659</v>
      </c>
      <c r="BQ30" s="15">
        <f>IFERROR(__xludf.DUMMYFUNCTION("""COMPUTED_VALUE"""),2009.0)</f>
        <v>2009</v>
      </c>
      <c r="BR30" s="15">
        <f>IFERROR(__xludf.DUMMYFUNCTION("""COMPUTED_VALUE"""),74.0)</f>
        <v>74</v>
      </c>
      <c r="BS30" s="15" t="str">
        <f>IFERROR(__xludf.DUMMYFUNCTION("""COMPUTED_VALUE"""),"Apartment")</f>
        <v>Apartment</v>
      </c>
      <c r="BT30" s="15" t="str">
        <f>IFERROR(__xludf.DUMMYFUNCTION("""COMPUTED_VALUE"""),"Z448704")</f>
        <v>Z448704</v>
      </c>
      <c r="BU30" s="15" t="str">
        <f>IFERROR(__xludf.DUMMYFUNCTION("""COMPUTED_VALUE"""),"Alex Johnson - Compass")</f>
        <v>Alex Johnson - Compass</v>
      </c>
      <c r="BV30" s="15" t="str">
        <f>IFERROR(__xludf.DUMMYFUNCTION("""COMPUTED_VALUE"""),"Sold")</f>
        <v>Sold</v>
      </c>
      <c r="BW30" s="15">
        <f>IFERROR(__xludf.DUMMYFUNCTION("""COMPUTED_VALUE"""),1.0)</f>
        <v>1</v>
      </c>
      <c r="BX30" s="15" t="str">
        <f>IFERROR(__xludf.DUMMYFUNCTION("""COMPUTED_VALUE"""),"OK")</f>
        <v>OK</v>
      </c>
      <c r="BY30" s="1" t="str">
        <f>IFERROR(__xludf.DUMMYFUNCTION("""COMPUTED_VALUE"""),"1600-2600")</f>
        <v>1600-2600</v>
      </c>
      <c r="BZ30" s="1">
        <f>IFERROR(__xludf.DUMMYFUNCTION("""COMPUTED_VALUE"""),17.0)</f>
        <v>17</v>
      </c>
      <c r="CA30" s="1" t="str">
        <f>IFERROR(__xludf.DUMMYFUNCTION("""COMPUTED_VALUE"""),"Mid")</f>
        <v>Mid</v>
      </c>
    </row>
    <row r="31" ht="14.25" customHeight="1">
      <c r="A31" s="5">
        <v>858386.0</v>
      </c>
      <c r="B31" s="6" t="s">
        <v>165</v>
      </c>
      <c r="C31" s="6" t="s">
        <v>76</v>
      </c>
      <c r="D31" s="6">
        <v>11309.0</v>
      </c>
      <c r="E31" s="6" t="s">
        <v>77</v>
      </c>
      <c r="F31" s="6" t="s">
        <v>46</v>
      </c>
      <c r="G31" s="6" t="s">
        <v>55</v>
      </c>
      <c r="H31" s="7">
        <v>1475.0</v>
      </c>
      <c r="I31" s="7">
        <v>1926.0</v>
      </c>
      <c r="J31" s="6">
        <v>1983.0</v>
      </c>
      <c r="K31" s="6">
        <v>102.0</v>
      </c>
      <c r="L31" s="6" t="s">
        <v>62</v>
      </c>
      <c r="M31" s="6" t="s">
        <v>166</v>
      </c>
      <c r="N31" s="6" t="s">
        <v>34</v>
      </c>
      <c r="O31" s="6" t="s">
        <v>35</v>
      </c>
      <c r="P31" s="6">
        <f>COUNTIF(Analysis!$M$1:$M$3001,Analysis!$M31)</f>
        <v>1</v>
      </c>
      <c r="Q31" s="6" t="str">
        <f>IF(COUNTIF(Analysis!$M$2:$M$3001,Analysis!$M31)&gt;1,"Duplicate","OK")</f>
        <v>OK</v>
      </c>
      <c r="R31" s="6" t="str">
        <f t="shared" si="1"/>
        <v>600-1600</v>
      </c>
      <c r="S31" s="6">
        <f t="shared" si="2"/>
        <v>43</v>
      </c>
      <c r="T31" s="6" t="str">
        <f t="shared" si="3"/>
        <v>Old</v>
      </c>
      <c r="V31" s="37" t="s">
        <v>53</v>
      </c>
      <c r="W31" s="37">
        <f>IFERROR(__xludf.DUMMYFUNCTION("MODE(FILTER(Listings[Days on Market],Listings[City]=V31))"),63.0)</f>
        <v>63</v>
      </c>
      <c r="Z31" s="37" t="s">
        <v>64</v>
      </c>
      <c r="AA31" s="37">
        <f>COUNTIFS(Listings[Listing Agent],Z31,Listings[Status],"Sold")</f>
        <v>223</v>
      </c>
      <c r="BH31" s="14">
        <f>IFERROR(__xludf.DUMMYFUNCTION("""COMPUTED_VALUE"""),572510.0)</f>
        <v>572510</v>
      </c>
      <c r="BI31" s="15" t="str">
        <f>IFERROR(__xludf.DUMMYFUNCTION("""COMPUTED_VALUE"""),"8599 Main St, San Francisco, NY 51007")</f>
        <v>8599 Main St, San Francisco, NY 51007</v>
      </c>
      <c r="BJ31" s="15" t="str">
        <f>IFERROR(__xludf.DUMMYFUNCTION("""COMPUTED_VALUE"""),"San Francisco")</f>
        <v>San Francisco</v>
      </c>
      <c r="BK31" s="15">
        <f>IFERROR(__xludf.DUMMYFUNCTION("""COMPUTED_VALUE"""),51007.0)</f>
        <v>51007</v>
      </c>
      <c r="BL31" s="15" t="str">
        <f>IFERROR(__xludf.DUMMYFUNCTION("""COMPUTED_VALUE"""),"NY")</f>
        <v>NY</v>
      </c>
      <c r="BM31" s="15" t="str">
        <f>IFERROR(__xludf.DUMMYFUNCTION("""COMPUTED_VALUE"""),"5 bds")</f>
        <v>5 bds</v>
      </c>
      <c r="BN31" s="15" t="str">
        <f>IFERROR(__xludf.DUMMYFUNCTION("""COMPUTED_VALUE"""),"4 ba")</f>
        <v>4 ba</v>
      </c>
      <c r="BO31" s="15">
        <f>IFERROR(__xludf.DUMMYFUNCTION("""COMPUTED_VALUE"""),3199.0)</f>
        <v>3199</v>
      </c>
      <c r="BP31" s="15">
        <f>IFERROR(__xludf.DUMMYFUNCTION("""COMPUTED_VALUE"""),1413.0)</f>
        <v>1413</v>
      </c>
      <c r="BQ31" s="15">
        <f>IFERROR(__xludf.DUMMYFUNCTION("""COMPUTED_VALUE"""),2006.0)</f>
        <v>2006</v>
      </c>
      <c r="BR31" s="15">
        <f>IFERROR(__xludf.DUMMYFUNCTION("""COMPUTED_VALUE"""),77.0)</f>
        <v>77</v>
      </c>
      <c r="BS31" s="15" t="str">
        <f>IFERROR(__xludf.DUMMYFUNCTION("""COMPUTED_VALUE"""),"Apartment")</f>
        <v>Apartment</v>
      </c>
      <c r="BT31" s="15" t="str">
        <f>IFERROR(__xludf.DUMMYFUNCTION("""COMPUTED_VALUE"""),"Z213229")</f>
        <v>Z213229</v>
      </c>
      <c r="BU31" s="15" t="str">
        <f>IFERROR(__xludf.DUMMYFUNCTION("""COMPUTED_VALUE"""),"Alex Johnson - Compass")</f>
        <v>Alex Johnson - Compass</v>
      </c>
      <c r="BV31" s="15" t="str">
        <f>IFERROR(__xludf.DUMMYFUNCTION("""COMPUTED_VALUE"""),"Sold")</f>
        <v>Sold</v>
      </c>
      <c r="BW31" s="15">
        <f>IFERROR(__xludf.DUMMYFUNCTION("""COMPUTED_VALUE"""),1.0)</f>
        <v>1</v>
      </c>
      <c r="BX31" s="15" t="str">
        <f>IFERROR(__xludf.DUMMYFUNCTION("""COMPUTED_VALUE"""),"OK")</f>
        <v>OK</v>
      </c>
      <c r="BY31" s="1" t="str">
        <f>IFERROR(__xludf.DUMMYFUNCTION("""COMPUTED_VALUE"""),"2600-3600")</f>
        <v>2600-3600</v>
      </c>
      <c r="BZ31" s="1">
        <f>IFERROR(__xludf.DUMMYFUNCTION("""COMPUTED_VALUE"""),20.0)</f>
        <v>20</v>
      </c>
      <c r="CA31" s="1" t="str">
        <f>IFERROR(__xludf.DUMMYFUNCTION("""COMPUTED_VALUE"""),"Mid")</f>
        <v>Mid</v>
      </c>
    </row>
    <row r="32" ht="14.25" customHeight="1">
      <c r="A32" s="5">
        <v>705506.0</v>
      </c>
      <c r="B32" s="6" t="s">
        <v>169</v>
      </c>
      <c r="C32" s="6" t="s">
        <v>39</v>
      </c>
      <c r="D32" s="6">
        <v>74703.0</v>
      </c>
      <c r="E32" s="6" t="s">
        <v>19</v>
      </c>
      <c r="F32" s="6" t="s">
        <v>41</v>
      </c>
      <c r="G32" s="6" t="s">
        <v>31</v>
      </c>
      <c r="H32" s="7">
        <v>3892.0</v>
      </c>
      <c r="I32" s="7">
        <v>4133.0</v>
      </c>
      <c r="J32" s="6">
        <v>1985.0</v>
      </c>
      <c r="K32" s="6">
        <v>113.0</v>
      </c>
      <c r="L32" s="6" t="s">
        <v>22</v>
      </c>
      <c r="M32" s="6" t="s">
        <v>170</v>
      </c>
      <c r="N32" s="6" t="s">
        <v>64</v>
      </c>
      <c r="O32" s="6" t="s">
        <v>49</v>
      </c>
      <c r="P32" s="6">
        <f>COUNTIF(Analysis!$M$1:$M$3001,Analysis!$M32)</f>
        <v>1</v>
      </c>
      <c r="Q32" s="6" t="str">
        <f>IF(COUNTIF(Analysis!$M$2:$M$3001,Analysis!$M32)&gt;1,"Duplicate","OK")</f>
        <v>OK</v>
      </c>
      <c r="R32" s="6" t="str">
        <f t="shared" si="1"/>
        <v>3600+</v>
      </c>
      <c r="S32" s="6">
        <f t="shared" si="2"/>
        <v>41</v>
      </c>
      <c r="T32" s="6" t="str">
        <f t="shared" si="3"/>
        <v>Old</v>
      </c>
      <c r="V32" s="37" t="s">
        <v>76</v>
      </c>
      <c r="W32" s="37">
        <f>IFERROR(__xludf.DUMMYFUNCTION("MODE(FILTER(Listings[Days on Market],Listings[City]=V32))"),9.0)</f>
        <v>9</v>
      </c>
      <c r="Z32" s="37" t="s">
        <v>34</v>
      </c>
      <c r="AA32" s="37">
        <f>COUNTIFS(Listings[Listing Agent],Z32,Listings[Status],"Sold")</f>
        <v>194</v>
      </c>
      <c r="BH32" s="14">
        <f>IFERROR(__xludf.DUMMYFUNCTION("""COMPUTED_VALUE"""),1265663.0)</f>
        <v>1265663</v>
      </c>
      <c r="BI32" s="15" t="str">
        <f>IFERROR(__xludf.DUMMYFUNCTION("""COMPUTED_VALUE"""),"2875 Elm St, San Diego, CA 44650")</f>
        <v>2875 Elm St, San Diego, CA 44650</v>
      </c>
      <c r="BJ32" s="15" t="str">
        <f>IFERROR(__xludf.DUMMYFUNCTION("""COMPUTED_VALUE"""),"San Diego")</f>
        <v>San Diego</v>
      </c>
      <c r="BK32" s="15">
        <f>IFERROR(__xludf.DUMMYFUNCTION("""COMPUTED_VALUE"""),44650.0)</f>
        <v>44650</v>
      </c>
      <c r="BL32" s="15" t="str">
        <f>IFERROR(__xludf.DUMMYFUNCTION("""COMPUTED_VALUE"""),"CA")</f>
        <v>CA</v>
      </c>
      <c r="BM32" s="15" t="str">
        <f>IFERROR(__xludf.DUMMYFUNCTION("""COMPUTED_VALUE"""),"6 bds")</f>
        <v>6 bds</v>
      </c>
      <c r="BN32" s="15" t="str">
        <f>IFERROR(__xludf.DUMMYFUNCTION("""COMPUTED_VALUE"""),"4 ba")</f>
        <v>4 ba</v>
      </c>
      <c r="BO32" s="15">
        <f>IFERROR(__xludf.DUMMYFUNCTION("""COMPUTED_VALUE"""),1944.0)</f>
        <v>1944</v>
      </c>
      <c r="BP32" s="15">
        <f>IFERROR(__xludf.DUMMYFUNCTION("""COMPUTED_VALUE"""),1360.0)</f>
        <v>1360</v>
      </c>
      <c r="BQ32" s="15">
        <f>IFERROR(__xludf.DUMMYFUNCTION("""COMPUTED_VALUE"""),1951.0)</f>
        <v>1951</v>
      </c>
      <c r="BR32" s="15">
        <f>IFERROR(__xludf.DUMMYFUNCTION("""COMPUTED_VALUE"""),51.0)</f>
        <v>51</v>
      </c>
      <c r="BS32" s="15" t="str">
        <f>IFERROR(__xludf.DUMMYFUNCTION("""COMPUTED_VALUE"""),"Multi-Family")</f>
        <v>Multi-Family</v>
      </c>
      <c r="BT32" s="15" t="str">
        <f>IFERROR(__xludf.DUMMYFUNCTION("""COMPUTED_VALUE"""),"Z299587")</f>
        <v>Z299587</v>
      </c>
      <c r="BU32" s="15" t="str">
        <f>IFERROR(__xludf.DUMMYFUNCTION("""COMPUTED_VALUE"""),"Alex Johnson - Compass")</f>
        <v>Alex Johnson - Compass</v>
      </c>
      <c r="BV32" s="15" t="str">
        <f>IFERROR(__xludf.DUMMYFUNCTION("""COMPUTED_VALUE"""),"Sold")</f>
        <v>Sold</v>
      </c>
      <c r="BW32" s="15">
        <f>IFERROR(__xludf.DUMMYFUNCTION("""COMPUTED_VALUE"""),1.0)</f>
        <v>1</v>
      </c>
      <c r="BX32" s="15" t="str">
        <f>IFERROR(__xludf.DUMMYFUNCTION("""COMPUTED_VALUE"""),"OK")</f>
        <v>OK</v>
      </c>
      <c r="BY32" s="1" t="str">
        <f>IFERROR(__xludf.DUMMYFUNCTION("""COMPUTED_VALUE"""),"1600-2600")</f>
        <v>1600-2600</v>
      </c>
      <c r="BZ32" s="1">
        <f>IFERROR(__xludf.DUMMYFUNCTION("""COMPUTED_VALUE"""),75.0)</f>
        <v>75</v>
      </c>
      <c r="CA32" s="1" t="str">
        <f>IFERROR(__xludf.DUMMYFUNCTION("""COMPUTED_VALUE"""),"Very Old")</f>
        <v>Very Old</v>
      </c>
    </row>
    <row r="33" ht="14.25" customHeight="1">
      <c r="A33" s="5">
        <v>1461297.0</v>
      </c>
      <c r="B33" s="6" t="s">
        <v>173</v>
      </c>
      <c r="C33" s="6" t="s">
        <v>18</v>
      </c>
      <c r="D33" s="6">
        <v>19858.0</v>
      </c>
      <c r="E33" s="6" t="s">
        <v>60</v>
      </c>
      <c r="F33" s="6" t="s">
        <v>20</v>
      </c>
      <c r="G33" s="6" t="s">
        <v>21</v>
      </c>
      <c r="H33" s="7">
        <v>3156.0</v>
      </c>
      <c r="I33" s="7">
        <v>2935.0</v>
      </c>
      <c r="J33" s="6">
        <v>1961.0</v>
      </c>
      <c r="K33" s="6">
        <v>61.0</v>
      </c>
      <c r="L33" s="6" t="s">
        <v>32</v>
      </c>
      <c r="M33" s="6" t="s">
        <v>174</v>
      </c>
      <c r="N33" s="6" t="s">
        <v>64</v>
      </c>
      <c r="O33" s="6" t="s">
        <v>35</v>
      </c>
      <c r="P33" s="6">
        <f>COUNTIF(Analysis!$M$1:$M$3001,Analysis!$M33)</f>
        <v>1</v>
      </c>
      <c r="Q33" s="6" t="str">
        <f>IF(COUNTIF(Analysis!$M$2:$M$3001,Analysis!$M33)&gt;1,"Duplicate","OK")</f>
        <v>OK</v>
      </c>
      <c r="R33" s="6" t="str">
        <f t="shared" si="1"/>
        <v>2600-3600</v>
      </c>
      <c r="S33" s="6">
        <f t="shared" si="2"/>
        <v>65</v>
      </c>
      <c r="T33" s="6" t="str">
        <f t="shared" si="3"/>
        <v>Very Old</v>
      </c>
      <c r="BH33" s="14">
        <f>IFERROR(__xludf.DUMMYFUNCTION("""COMPUTED_VALUE"""),750711.0)</f>
        <v>750711</v>
      </c>
      <c r="BI33" s="15" t="str">
        <f>IFERROR(__xludf.DUMMYFUNCTION("""COMPUTED_VALUE"""),"2228 Pine Rd, Los Angeles, NY 33826")</f>
        <v>2228 Pine Rd, Los Angeles, NY 33826</v>
      </c>
      <c r="BJ33" s="15" t="str">
        <f>IFERROR(__xludf.DUMMYFUNCTION("""COMPUTED_VALUE"""),"Los Angeles")</f>
        <v>Los Angeles</v>
      </c>
      <c r="BK33" s="15">
        <f>IFERROR(__xludf.DUMMYFUNCTION("""COMPUTED_VALUE"""),33826.0)</f>
        <v>33826</v>
      </c>
      <c r="BL33" s="15" t="str">
        <f>IFERROR(__xludf.DUMMYFUNCTION("""COMPUTED_VALUE"""),"NY")</f>
        <v>NY</v>
      </c>
      <c r="BM33" s="15" t="str">
        <f>IFERROR(__xludf.DUMMYFUNCTION("""COMPUTED_VALUE"""),"2 bds")</f>
        <v>2 bds</v>
      </c>
      <c r="BN33" s="15" t="str">
        <f>IFERROR(__xludf.DUMMYFUNCTION("""COMPUTED_VALUE"""),"4 ba")</f>
        <v>4 ba</v>
      </c>
      <c r="BO33" s="15">
        <f>IFERROR(__xludf.DUMMYFUNCTION("""COMPUTED_VALUE"""),714.0)</f>
        <v>714</v>
      </c>
      <c r="BP33" s="15">
        <f>IFERROR(__xludf.DUMMYFUNCTION("""COMPUTED_VALUE"""),9529.0)</f>
        <v>9529</v>
      </c>
      <c r="BQ33" s="15">
        <f>IFERROR(__xludf.DUMMYFUNCTION("""COMPUTED_VALUE"""),1959.0)</f>
        <v>1959</v>
      </c>
      <c r="BR33" s="15">
        <f>IFERROR(__xludf.DUMMYFUNCTION("""COMPUTED_VALUE"""),98.0)</f>
        <v>98</v>
      </c>
      <c r="BS33" s="15" t="str">
        <f>IFERROR(__xludf.DUMMYFUNCTION("""COMPUTED_VALUE"""),"Condo")</f>
        <v>Condo</v>
      </c>
      <c r="BT33" s="15" t="str">
        <f>IFERROR(__xludf.DUMMYFUNCTION("""COMPUTED_VALUE"""),"Z644770")</f>
        <v>Z644770</v>
      </c>
      <c r="BU33" s="15" t="str">
        <f>IFERROR(__xludf.DUMMYFUNCTION("""COMPUTED_VALUE"""),"Alex Johnson - Compass")</f>
        <v>Alex Johnson - Compass</v>
      </c>
      <c r="BV33" s="15" t="str">
        <f>IFERROR(__xludf.DUMMYFUNCTION("""COMPUTED_VALUE"""),"Sold")</f>
        <v>Sold</v>
      </c>
      <c r="BW33" s="15">
        <f>IFERROR(__xludf.DUMMYFUNCTION("""COMPUTED_VALUE"""),1.0)</f>
        <v>1</v>
      </c>
      <c r="BX33" s="15" t="str">
        <f>IFERROR(__xludf.DUMMYFUNCTION("""COMPUTED_VALUE"""),"OK")</f>
        <v>OK</v>
      </c>
      <c r="BY33" s="1" t="str">
        <f>IFERROR(__xludf.DUMMYFUNCTION("""COMPUTED_VALUE"""),"600-1600")</f>
        <v>600-1600</v>
      </c>
      <c r="BZ33" s="1">
        <f>IFERROR(__xludf.DUMMYFUNCTION("""COMPUTED_VALUE"""),67.0)</f>
        <v>67</v>
      </c>
      <c r="CA33" s="1" t="str">
        <f>IFERROR(__xludf.DUMMYFUNCTION("""COMPUTED_VALUE"""),"Very Old")</f>
        <v>Very Old</v>
      </c>
    </row>
    <row r="34" ht="14.25" customHeight="1">
      <c r="A34" s="5">
        <v>630339.0</v>
      </c>
      <c r="B34" s="6" t="s">
        <v>177</v>
      </c>
      <c r="C34" s="6" t="s">
        <v>18</v>
      </c>
      <c r="D34" s="6">
        <v>93752.0</v>
      </c>
      <c r="E34" s="6" t="s">
        <v>30</v>
      </c>
      <c r="F34" s="6" t="s">
        <v>20</v>
      </c>
      <c r="G34" s="6" t="s">
        <v>100</v>
      </c>
      <c r="H34" s="7">
        <v>1752.0</v>
      </c>
      <c r="I34" s="7">
        <v>3040.0</v>
      </c>
      <c r="J34" s="6">
        <v>1993.0</v>
      </c>
      <c r="K34" s="6">
        <v>61.0</v>
      </c>
      <c r="L34" s="6" t="s">
        <v>141</v>
      </c>
      <c r="M34" s="6" t="s">
        <v>178</v>
      </c>
      <c r="N34" s="6" t="s">
        <v>43</v>
      </c>
      <c r="O34" s="6" t="s">
        <v>25</v>
      </c>
      <c r="P34" s="6">
        <f>COUNTIF(Analysis!$M$1:$M$3001,Analysis!$M34)</f>
        <v>1</v>
      </c>
      <c r="Q34" s="6" t="str">
        <f>IF(COUNTIF(Analysis!$M$2:$M$3001,Analysis!$M34)&gt;1,"Duplicate","OK")</f>
        <v>OK</v>
      </c>
      <c r="R34" s="6" t="str">
        <f t="shared" si="1"/>
        <v>1600-2600</v>
      </c>
      <c r="S34" s="6">
        <f t="shared" si="2"/>
        <v>33</v>
      </c>
      <c r="T34" s="6" t="str">
        <f t="shared" si="3"/>
        <v>Old</v>
      </c>
      <c r="BH34" s="14">
        <f>IFERROR(__xludf.DUMMYFUNCTION("""COMPUTED_VALUE"""),974380.0)</f>
        <v>974380</v>
      </c>
      <c r="BI34" s="15" t="str">
        <f>IFERROR(__xludf.DUMMYFUNCTION("""COMPUTED_VALUE"""),"8685 Elm St, Sacramento, IL 27970")</f>
        <v>8685 Elm St, Sacramento, IL 27970</v>
      </c>
      <c r="BJ34" s="15" t="str">
        <f>IFERROR(__xludf.DUMMYFUNCTION("""COMPUTED_VALUE"""),"Sacramento")</f>
        <v>Sacramento</v>
      </c>
      <c r="BK34" s="15">
        <f>IFERROR(__xludf.DUMMYFUNCTION("""COMPUTED_VALUE"""),27970.0)</f>
        <v>27970</v>
      </c>
      <c r="BL34" s="15" t="str">
        <f>IFERROR(__xludf.DUMMYFUNCTION("""COMPUTED_VALUE"""),"IL")</f>
        <v>IL</v>
      </c>
      <c r="BM34" s="15" t="str">
        <f>IFERROR(__xludf.DUMMYFUNCTION("""COMPUTED_VALUE"""),"3 bds")</f>
        <v>3 bds</v>
      </c>
      <c r="BN34" s="15" t="str">
        <f>IFERROR(__xludf.DUMMYFUNCTION("""COMPUTED_VALUE"""),"3 ba")</f>
        <v>3 ba</v>
      </c>
      <c r="BO34" s="15">
        <f>IFERROR(__xludf.DUMMYFUNCTION("""COMPUTED_VALUE"""),2311.0)</f>
        <v>2311</v>
      </c>
      <c r="BP34" s="15">
        <f>IFERROR(__xludf.DUMMYFUNCTION("""COMPUTED_VALUE"""),1758.0)</f>
        <v>1758</v>
      </c>
      <c r="BQ34" s="15">
        <f>IFERROR(__xludf.DUMMYFUNCTION("""COMPUTED_VALUE"""),2002.0)</f>
        <v>2002</v>
      </c>
      <c r="BR34" s="15">
        <f>IFERROR(__xludf.DUMMYFUNCTION("""COMPUTED_VALUE"""),43.0)</f>
        <v>43</v>
      </c>
      <c r="BS34" s="15" t="str">
        <f>IFERROR(__xludf.DUMMYFUNCTION("""COMPUTED_VALUE"""),"Apartment")</f>
        <v>Apartment</v>
      </c>
      <c r="BT34" s="15" t="str">
        <f>IFERROR(__xludf.DUMMYFUNCTION("""COMPUTED_VALUE"""),"Z477296")</f>
        <v>Z477296</v>
      </c>
      <c r="BU34" s="15" t="str">
        <f>IFERROR(__xludf.DUMMYFUNCTION("""COMPUTED_VALUE"""),"Alex Johnson - Compass")</f>
        <v>Alex Johnson - Compass</v>
      </c>
      <c r="BV34" s="15" t="str">
        <f>IFERROR(__xludf.DUMMYFUNCTION("""COMPUTED_VALUE"""),"Sold")</f>
        <v>Sold</v>
      </c>
      <c r="BW34" s="15">
        <f>IFERROR(__xludf.DUMMYFUNCTION("""COMPUTED_VALUE"""),1.0)</f>
        <v>1</v>
      </c>
      <c r="BX34" s="15" t="str">
        <f>IFERROR(__xludf.DUMMYFUNCTION("""COMPUTED_VALUE"""),"OK")</f>
        <v>OK</v>
      </c>
      <c r="BY34" s="1" t="str">
        <f>IFERROR(__xludf.DUMMYFUNCTION("""COMPUTED_VALUE"""),"1600-2600")</f>
        <v>1600-2600</v>
      </c>
      <c r="BZ34" s="1">
        <f>IFERROR(__xludf.DUMMYFUNCTION("""COMPUTED_VALUE"""),24.0)</f>
        <v>24</v>
      </c>
      <c r="CA34" s="1" t="str">
        <f>IFERROR(__xludf.DUMMYFUNCTION("""COMPUTED_VALUE"""),"Mid")</f>
        <v>Mid</v>
      </c>
    </row>
    <row r="35" ht="14.25" customHeight="1">
      <c r="A35" s="5">
        <v>268142.0</v>
      </c>
      <c r="B35" s="6" t="s">
        <v>181</v>
      </c>
      <c r="C35" s="6" t="s">
        <v>53</v>
      </c>
      <c r="D35" s="6">
        <v>61325.0</v>
      </c>
      <c r="E35" s="6" t="s">
        <v>19</v>
      </c>
      <c r="F35" s="6" t="s">
        <v>41</v>
      </c>
      <c r="G35" s="6" t="s">
        <v>100</v>
      </c>
      <c r="H35" s="7">
        <v>3778.0</v>
      </c>
      <c r="I35" s="7">
        <v>3988.0</v>
      </c>
      <c r="J35" s="6">
        <v>2012.0</v>
      </c>
      <c r="K35" s="6">
        <v>8.0</v>
      </c>
      <c r="L35" s="6" t="s">
        <v>141</v>
      </c>
      <c r="M35" s="6" t="s">
        <v>182</v>
      </c>
      <c r="N35" s="6" t="s">
        <v>64</v>
      </c>
      <c r="O35" s="6" t="s">
        <v>25</v>
      </c>
      <c r="P35" s="6">
        <f>COUNTIF(Analysis!$M$1:$M$3001,Analysis!$M35)</f>
        <v>1</v>
      </c>
      <c r="Q35" s="6" t="str">
        <f>IF(COUNTIF(Analysis!$M$2:$M$3001,Analysis!$M35)&gt;1,"Duplicate","OK")</f>
        <v>OK</v>
      </c>
      <c r="R35" s="6" t="str">
        <f t="shared" si="1"/>
        <v>3600+</v>
      </c>
      <c r="S35" s="6">
        <f t="shared" si="2"/>
        <v>14</v>
      </c>
      <c r="T35" s="6" t="str">
        <f t="shared" si="3"/>
        <v>Mid</v>
      </c>
      <c r="BH35" s="14">
        <f>IFERROR(__xludf.DUMMYFUNCTION("""COMPUTED_VALUE"""),292045.0)</f>
        <v>292045</v>
      </c>
      <c r="BI35" s="15" t="str">
        <f>IFERROR(__xludf.DUMMYFUNCTION("""COMPUTED_VALUE"""),"5036 Oak Ave, Fresno, TX 59637")</f>
        <v>5036 Oak Ave, Fresno, TX 59637</v>
      </c>
      <c r="BJ35" s="15" t="str">
        <f>IFERROR(__xludf.DUMMYFUNCTION("""COMPUTED_VALUE"""),"Fresno")</f>
        <v>Fresno</v>
      </c>
      <c r="BK35" s="15">
        <f>IFERROR(__xludf.DUMMYFUNCTION("""COMPUTED_VALUE"""),59637.0)</f>
        <v>59637</v>
      </c>
      <c r="BL35" s="15" t="str">
        <f>IFERROR(__xludf.DUMMYFUNCTION("""COMPUTED_VALUE"""),"TX")</f>
        <v>TX</v>
      </c>
      <c r="BM35" s="15" t="str">
        <f>IFERROR(__xludf.DUMMYFUNCTION("""COMPUTED_VALUE"""),"2 bds")</f>
        <v>2 bds</v>
      </c>
      <c r="BN35" s="15" t="str">
        <f>IFERROR(__xludf.DUMMYFUNCTION("""COMPUTED_VALUE"""),"3 ba")</f>
        <v>3 ba</v>
      </c>
      <c r="BO35" s="15">
        <f>IFERROR(__xludf.DUMMYFUNCTION("""COMPUTED_VALUE"""),1577.0)</f>
        <v>1577</v>
      </c>
      <c r="BP35" s="15">
        <f>IFERROR(__xludf.DUMMYFUNCTION("""COMPUTED_VALUE"""),4047.0)</f>
        <v>4047</v>
      </c>
      <c r="BQ35" s="15">
        <f>IFERROR(__xludf.DUMMYFUNCTION("""COMPUTED_VALUE"""),1989.0)</f>
        <v>1989</v>
      </c>
      <c r="BR35" s="15">
        <f>IFERROR(__xludf.DUMMYFUNCTION("""COMPUTED_VALUE"""),103.0)</f>
        <v>103</v>
      </c>
      <c r="BS35" s="15" t="str">
        <f>IFERROR(__xludf.DUMMYFUNCTION("""COMPUTED_VALUE"""),"Single Family")</f>
        <v>Single Family</v>
      </c>
      <c r="BT35" s="15" t="str">
        <f>IFERROR(__xludf.DUMMYFUNCTION("""COMPUTED_VALUE"""),"Z665039")</f>
        <v>Z665039</v>
      </c>
      <c r="BU35" s="15" t="str">
        <f>IFERROR(__xludf.DUMMYFUNCTION("""COMPUTED_VALUE"""),"Alex Johnson - Compass")</f>
        <v>Alex Johnson - Compass</v>
      </c>
      <c r="BV35" s="15" t="str">
        <f>IFERROR(__xludf.DUMMYFUNCTION("""COMPUTED_VALUE"""),"Sold")</f>
        <v>Sold</v>
      </c>
      <c r="BW35" s="15">
        <f>IFERROR(__xludf.DUMMYFUNCTION("""COMPUTED_VALUE"""),1.0)</f>
        <v>1</v>
      </c>
      <c r="BX35" s="15" t="str">
        <f>IFERROR(__xludf.DUMMYFUNCTION("""COMPUTED_VALUE"""),"OK")</f>
        <v>OK</v>
      </c>
      <c r="BY35" s="1" t="str">
        <f>IFERROR(__xludf.DUMMYFUNCTION("""COMPUTED_VALUE"""),"600-1600")</f>
        <v>600-1600</v>
      </c>
      <c r="BZ35" s="1">
        <f>IFERROR(__xludf.DUMMYFUNCTION("""COMPUTED_VALUE"""),37.0)</f>
        <v>37</v>
      </c>
      <c r="CA35" s="1" t="str">
        <f>IFERROR(__xludf.DUMMYFUNCTION("""COMPUTED_VALUE"""),"Old")</f>
        <v>Old</v>
      </c>
    </row>
    <row r="36" ht="14.25" customHeight="1">
      <c r="A36" s="5">
        <v>1250016.0</v>
      </c>
      <c r="B36" s="6" t="s">
        <v>185</v>
      </c>
      <c r="C36" s="6" t="s">
        <v>76</v>
      </c>
      <c r="D36" s="6">
        <v>44242.0</v>
      </c>
      <c r="E36" s="6" t="s">
        <v>60</v>
      </c>
      <c r="F36" s="6" t="s">
        <v>54</v>
      </c>
      <c r="G36" s="6" t="s">
        <v>100</v>
      </c>
      <c r="H36" s="7">
        <v>3551.0</v>
      </c>
      <c r="I36" s="7">
        <v>1230.0</v>
      </c>
      <c r="J36" s="6">
        <v>1961.0</v>
      </c>
      <c r="K36" s="6">
        <v>58.0</v>
      </c>
      <c r="L36" s="6" t="s">
        <v>62</v>
      </c>
      <c r="M36" s="6" t="s">
        <v>186</v>
      </c>
      <c r="N36" s="6" t="s">
        <v>64</v>
      </c>
      <c r="O36" s="6" t="s">
        <v>25</v>
      </c>
      <c r="P36" s="6">
        <f>COUNTIF(Analysis!$M$1:$M$3001,Analysis!$M36)</f>
        <v>1</v>
      </c>
      <c r="Q36" s="6" t="str">
        <f>IF(COUNTIF(Analysis!$M$2:$M$3001,Analysis!$M36)&gt;1,"Duplicate","OK")</f>
        <v>OK</v>
      </c>
      <c r="R36" s="6" t="str">
        <f t="shared" si="1"/>
        <v>2600-3600</v>
      </c>
      <c r="S36" s="6">
        <f t="shared" si="2"/>
        <v>65</v>
      </c>
      <c r="T36" s="6" t="str">
        <f t="shared" si="3"/>
        <v>Very Old</v>
      </c>
      <c r="BH36" s="14">
        <f>IFERROR(__xludf.DUMMYFUNCTION("""COMPUTED_VALUE"""),321378.0)</f>
        <v>321378</v>
      </c>
      <c r="BI36" s="15" t="str">
        <f>IFERROR(__xludf.DUMMYFUNCTION("""COMPUTED_VALUE"""),"1237 Pine Rd, Fresno, CA 42332")</f>
        <v>1237 Pine Rd, Fresno, CA 42332</v>
      </c>
      <c r="BJ36" s="15" t="str">
        <f>IFERROR(__xludf.DUMMYFUNCTION("""COMPUTED_VALUE"""),"Fresno")</f>
        <v>Fresno</v>
      </c>
      <c r="BK36" s="15">
        <f>IFERROR(__xludf.DUMMYFUNCTION("""COMPUTED_VALUE"""),42332.0)</f>
        <v>42332</v>
      </c>
      <c r="BL36" s="15" t="str">
        <f>IFERROR(__xludf.DUMMYFUNCTION("""COMPUTED_VALUE"""),"CA")</f>
        <v>CA</v>
      </c>
      <c r="BM36" s="15" t="str">
        <f>IFERROR(__xludf.DUMMYFUNCTION("""COMPUTED_VALUE"""),"4 bds")</f>
        <v>4 bds</v>
      </c>
      <c r="BN36" s="15" t="str">
        <f>IFERROR(__xludf.DUMMYFUNCTION("""COMPUTED_VALUE"""),"1 ba")</f>
        <v>1 ba</v>
      </c>
      <c r="BO36" s="15">
        <f>IFERROR(__xludf.DUMMYFUNCTION("""COMPUTED_VALUE"""),1462.0)</f>
        <v>1462</v>
      </c>
      <c r="BP36" s="15">
        <f>IFERROR(__xludf.DUMMYFUNCTION("""COMPUTED_VALUE"""),3326.0)</f>
        <v>3326</v>
      </c>
      <c r="BQ36" s="15">
        <f>IFERROR(__xludf.DUMMYFUNCTION("""COMPUTED_VALUE"""),1951.0)</f>
        <v>1951</v>
      </c>
      <c r="BR36" s="15">
        <f>IFERROR(__xludf.DUMMYFUNCTION("""COMPUTED_VALUE"""),78.0)</f>
        <v>78</v>
      </c>
      <c r="BS36" s="15" t="str">
        <f>IFERROR(__xludf.DUMMYFUNCTION("""COMPUTED_VALUE"""),"Condo")</f>
        <v>Condo</v>
      </c>
      <c r="BT36" s="15" t="str">
        <f>IFERROR(__xludf.DUMMYFUNCTION("""COMPUTED_VALUE"""),"Z445256")</f>
        <v>Z445256</v>
      </c>
      <c r="BU36" s="15" t="str">
        <f>IFERROR(__xludf.DUMMYFUNCTION("""COMPUTED_VALUE"""),"Alex Johnson - Compass")</f>
        <v>Alex Johnson - Compass</v>
      </c>
      <c r="BV36" s="15" t="str">
        <f>IFERROR(__xludf.DUMMYFUNCTION("""COMPUTED_VALUE"""),"Sold")</f>
        <v>Sold</v>
      </c>
      <c r="BW36" s="15">
        <f>IFERROR(__xludf.DUMMYFUNCTION("""COMPUTED_VALUE"""),1.0)</f>
        <v>1</v>
      </c>
      <c r="BX36" s="15" t="str">
        <f>IFERROR(__xludf.DUMMYFUNCTION("""COMPUTED_VALUE"""),"OK")</f>
        <v>OK</v>
      </c>
      <c r="BY36" s="1" t="str">
        <f>IFERROR(__xludf.DUMMYFUNCTION("""COMPUTED_VALUE"""),"600-1600")</f>
        <v>600-1600</v>
      </c>
      <c r="BZ36" s="1">
        <f>IFERROR(__xludf.DUMMYFUNCTION("""COMPUTED_VALUE"""),75.0)</f>
        <v>75</v>
      </c>
      <c r="CA36" s="1" t="str">
        <f>IFERROR(__xludf.DUMMYFUNCTION("""COMPUTED_VALUE"""),"Very Old")</f>
        <v>Very Old</v>
      </c>
    </row>
    <row r="37" ht="14.25" customHeight="1">
      <c r="A37" s="5">
        <v>1231600.0</v>
      </c>
      <c r="B37" s="6" t="s">
        <v>189</v>
      </c>
      <c r="C37" s="6" t="s">
        <v>18</v>
      </c>
      <c r="D37" s="6">
        <v>65902.0</v>
      </c>
      <c r="E37" s="6" t="s">
        <v>19</v>
      </c>
      <c r="F37" s="6" t="s">
        <v>20</v>
      </c>
      <c r="G37" s="6" t="s">
        <v>21</v>
      </c>
      <c r="H37" s="7">
        <v>3640.0</v>
      </c>
      <c r="I37" s="7">
        <v>9593.0</v>
      </c>
      <c r="J37" s="6">
        <v>2008.0</v>
      </c>
      <c r="K37" s="6">
        <v>108.0</v>
      </c>
      <c r="L37" s="6" t="s">
        <v>141</v>
      </c>
      <c r="M37" s="6" t="s">
        <v>190</v>
      </c>
      <c r="N37" s="6" t="s">
        <v>43</v>
      </c>
      <c r="O37" s="6" t="s">
        <v>35</v>
      </c>
      <c r="P37" s="6">
        <f>COUNTIF(Analysis!$M$1:$M$3001,Analysis!$M37)</f>
        <v>1</v>
      </c>
      <c r="Q37" s="6" t="str">
        <f>IF(COUNTIF(Analysis!$M$2:$M$3001,Analysis!$M37)&gt;1,"Duplicate","OK")</f>
        <v>OK</v>
      </c>
      <c r="R37" s="6" t="str">
        <f t="shared" si="1"/>
        <v>3600+</v>
      </c>
      <c r="S37" s="6">
        <f t="shared" si="2"/>
        <v>18</v>
      </c>
      <c r="T37" s="6" t="str">
        <f t="shared" si="3"/>
        <v>Mid</v>
      </c>
      <c r="BH37" s="14">
        <f>IFERROR(__xludf.DUMMYFUNCTION("""COMPUTED_VALUE"""),499747.0)</f>
        <v>499747</v>
      </c>
      <c r="BI37" s="15" t="str">
        <f>IFERROR(__xludf.DUMMYFUNCTION("""COMPUTED_VALUE"""),"870 Oak Ave, San Diego, NY 54416")</f>
        <v>870 Oak Ave, San Diego, NY 54416</v>
      </c>
      <c r="BJ37" s="15" t="str">
        <f>IFERROR(__xludf.DUMMYFUNCTION("""COMPUTED_VALUE"""),"San Diego")</f>
        <v>San Diego</v>
      </c>
      <c r="BK37" s="15">
        <f>IFERROR(__xludf.DUMMYFUNCTION("""COMPUTED_VALUE"""),54416.0)</f>
        <v>54416</v>
      </c>
      <c r="BL37" s="15" t="str">
        <f>IFERROR(__xludf.DUMMYFUNCTION("""COMPUTED_VALUE"""),"NY")</f>
        <v>NY</v>
      </c>
      <c r="BM37" s="15" t="str">
        <f>IFERROR(__xludf.DUMMYFUNCTION("""COMPUTED_VALUE"""),"2 bds")</f>
        <v>2 bds</v>
      </c>
      <c r="BN37" s="15" t="str">
        <f>IFERROR(__xludf.DUMMYFUNCTION("""COMPUTED_VALUE"""),"1 ba")</f>
        <v>1 ba</v>
      </c>
      <c r="BO37" s="15">
        <f>IFERROR(__xludf.DUMMYFUNCTION("""COMPUTED_VALUE"""),1978.0)</f>
        <v>1978</v>
      </c>
      <c r="BP37" s="15">
        <f>IFERROR(__xludf.DUMMYFUNCTION("""COMPUTED_VALUE"""),4716.0)</f>
        <v>4716</v>
      </c>
      <c r="BQ37" s="15">
        <f>IFERROR(__xludf.DUMMYFUNCTION("""COMPUTED_VALUE"""),2015.0)</f>
        <v>2015</v>
      </c>
      <c r="BR37" s="15">
        <f>IFERROR(__xludf.DUMMYFUNCTION("""COMPUTED_VALUE"""),48.0)</f>
        <v>48</v>
      </c>
      <c r="BS37" s="15" t="str">
        <f>IFERROR(__xludf.DUMMYFUNCTION("""COMPUTED_VALUE"""),"Townhouse")</f>
        <v>Townhouse</v>
      </c>
      <c r="BT37" s="15" t="str">
        <f>IFERROR(__xludf.DUMMYFUNCTION("""COMPUTED_VALUE"""),"Z769880")</f>
        <v>Z769880</v>
      </c>
      <c r="BU37" s="15" t="str">
        <f>IFERROR(__xludf.DUMMYFUNCTION("""COMPUTED_VALUE"""),"Alex Johnson - Compass")</f>
        <v>Alex Johnson - Compass</v>
      </c>
      <c r="BV37" s="15" t="str">
        <f>IFERROR(__xludf.DUMMYFUNCTION("""COMPUTED_VALUE"""),"Sold")</f>
        <v>Sold</v>
      </c>
      <c r="BW37" s="15">
        <f>IFERROR(__xludf.DUMMYFUNCTION("""COMPUTED_VALUE"""),1.0)</f>
        <v>1</v>
      </c>
      <c r="BX37" s="15" t="str">
        <f>IFERROR(__xludf.DUMMYFUNCTION("""COMPUTED_VALUE"""),"OK")</f>
        <v>OK</v>
      </c>
      <c r="BY37" s="1" t="str">
        <f>IFERROR(__xludf.DUMMYFUNCTION("""COMPUTED_VALUE"""),"1600-2600")</f>
        <v>1600-2600</v>
      </c>
      <c r="BZ37" s="1">
        <f>IFERROR(__xludf.DUMMYFUNCTION("""COMPUTED_VALUE"""),11.0)</f>
        <v>11</v>
      </c>
      <c r="CA37" s="1" t="str">
        <f>IFERROR(__xludf.DUMMYFUNCTION("""COMPUTED_VALUE"""),"Mid")</f>
        <v>Mid</v>
      </c>
    </row>
    <row r="38" ht="14.25" customHeight="1">
      <c r="A38" s="5">
        <v>1073723.0</v>
      </c>
      <c r="B38" s="6" t="s">
        <v>193</v>
      </c>
      <c r="C38" s="6" t="s">
        <v>18</v>
      </c>
      <c r="D38" s="6">
        <v>70313.0</v>
      </c>
      <c r="E38" s="6" t="s">
        <v>60</v>
      </c>
      <c r="F38" s="6" t="s">
        <v>41</v>
      </c>
      <c r="G38" s="6" t="s">
        <v>31</v>
      </c>
      <c r="H38" s="7">
        <v>1396.0</v>
      </c>
      <c r="I38" s="7">
        <v>7815.0</v>
      </c>
      <c r="J38" s="6">
        <v>1989.0</v>
      </c>
      <c r="K38" s="6">
        <v>88.0</v>
      </c>
      <c r="L38" s="6" t="s">
        <v>32</v>
      </c>
      <c r="M38" s="6" t="s">
        <v>194</v>
      </c>
      <c r="N38" s="6" t="s">
        <v>48</v>
      </c>
      <c r="O38" s="6" t="s">
        <v>25</v>
      </c>
      <c r="P38" s="6">
        <f>COUNTIF(Analysis!$M$1:$M$3001,Analysis!$M38)</f>
        <v>1</v>
      </c>
      <c r="Q38" s="6" t="str">
        <f>IF(COUNTIF(Analysis!$M$2:$M$3001,Analysis!$M38)&gt;1,"Duplicate","OK")</f>
        <v>OK</v>
      </c>
      <c r="R38" s="6" t="str">
        <f t="shared" si="1"/>
        <v>600-1600</v>
      </c>
      <c r="S38" s="6">
        <f t="shared" si="2"/>
        <v>37</v>
      </c>
      <c r="T38" s="6" t="str">
        <f t="shared" si="3"/>
        <v>Old</v>
      </c>
      <c r="BH38" s="14">
        <f>IFERROR(__xludf.DUMMYFUNCTION("""COMPUTED_VALUE"""),324492.0)</f>
        <v>324492</v>
      </c>
      <c r="BI38" s="15" t="str">
        <f>IFERROR(__xludf.DUMMYFUNCTION("""COMPUTED_VALUE"""),"841 Maple Dr, Fresno, FL 78532")</f>
        <v>841 Maple Dr, Fresno, FL 78532</v>
      </c>
      <c r="BJ38" s="15" t="str">
        <f>IFERROR(__xludf.DUMMYFUNCTION("""COMPUTED_VALUE"""),"Fresno")</f>
        <v>Fresno</v>
      </c>
      <c r="BK38" s="15">
        <f>IFERROR(__xludf.DUMMYFUNCTION("""COMPUTED_VALUE"""),78532.0)</f>
        <v>78532</v>
      </c>
      <c r="BL38" s="15" t="str">
        <f>IFERROR(__xludf.DUMMYFUNCTION("""COMPUTED_VALUE"""),"FL")</f>
        <v>FL</v>
      </c>
      <c r="BM38" s="15" t="str">
        <f>IFERROR(__xludf.DUMMYFUNCTION("""COMPUTED_VALUE"""),"2 bds")</f>
        <v>2 bds</v>
      </c>
      <c r="BN38" s="15" t="str">
        <f>IFERROR(__xludf.DUMMYFUNCTION("""COMPUTED_VALUE"""),"1 ba")</f>
        <v>1 ba</v>
      </c>
      <c r="BO38" s="15">
        <f>IFERROR(__xludf.DUMMYFUNCTION("""COMPUTED_VALUE"""),3618.0)</f>
        <v>3618</v>
      </c>
      <c r="BP38" s="15">
        <f>IFERROR(__xludf.DUMMYFUNCTION("""COMPUTED_VALUE"""),4317.0)</f>
        <v>4317</v>
      </c>
      <c r="BQ38" s="15">
        <f>IFERROR(__xludf.DUMMYFUNCTION("""COMPUTED_VALUE"""),1998.0)</f>
        <v>1998</v>
      </c>
      <c r="BR38" s="15">
        <f>IFERROR(__xludf.DUMMYFUNCTION("""COMPUTED_VALUE"""),116.0)</f>
        <v>116</v>
      </c>
      <c r="BS38" s="15" t="str">
        <f>IFERROR(__xludf.DUMMYFUNCTION("""COMPUTED_VALUE"""),"Apartment")</f>
        <v>Apartment</v>
      </c>
      <c r="BT38" s="15" t="str">
        <f>IFERROR(__xludf.DUMMYFUNCTION("""COMPUTED_VALUE"""),"Z328126")</f>
        <v>Z328126</v>
      </c>
      <c r="BU38" s="15" t="str">
        <f>IFERROR(__xludf.DUMMYFUNCTION("""COMPUTED_VALUE"""),"Alex Johnson - Compass")</f>
        <v>Alex Johnson - Compass</v>
      </c>
      <c r="BV38" s="15" t="str">
        <f>IFERROR(__xludf.DUMMYFUNCTION("""COMPUTED_VALUE"""),"Sold")</f>
        <v>Sold</v>
      </c>
      <c r="BW38" s="15">
        <f>IFERROR(__xludf.DUMMYFUNCTION("""COMPUTED_VALUE"""),1.0)</f>
        <v>1</v>
      </c>
      <c r="BX38" s="15" t="str">
        <f>IFERROR(__xludf.DUMMYFUNCTION("""COMPUTED_VALUE"""),"OK")</f>
        <v>OK</v>
      </c>
      <c r="BY38" s="1" t="str">
        <f>IFERROR(__xludf.DUMMYFUNCTION("""COMPUTED_VALUE"""),"3600+")</f>
        <v>3600+</v>
      </c>
      <c r="BZ38" s="1">
        <f>IFERROR(__xludf.DUMMYFUNCTION("""COMPUTED_VALUE"""),28.0)</f>
        <v>28</v>
      </c>
      <c r="CA38" s="1" t="str">
        <f>IFERROR(__xludf.DUMMYFUNCTION("""COMPUTED_VALUE"""),"Mid")</f>
        <v>Mid</v>
      </c>
    </row>
    <row r="39" ht="14.25" customHeight="1">
      <c r="A39" s="5">
        <v>1353530.0</v>
      </c>
      <c r="B39" s="6" t="s">
        <v>197</v>
      </c>
      <c r="C39" s="6" t="s">
        <v>53</v>
      </c>
      <c r="D39" s="6">
        <v>59381.0</v>
      </c>
      <c r="E39" s="6" t="s">
        <v>77</v>
      </c>
      <c r="F39" s="6" t="s">
        <v>46</v>
      </c>
      <c r="G39" s="6" t="s">
        <v>100</v>
      </c>
      <c r="H39" s="7">
        <v>3442.0</v>
      </c>
      <c r="I39" s="7">
        <v>3651.0</v>
      </c>
      <c r="J39" s="6">
        <v>1952.0</v>
      </c>
      <c r="K39" s="6">
        <v>108.0</v>
      </c>
      <c r="L39" s="6" t="s">
        <v>62</v>
      </c>
      <c r="M39" s="6" t="s">
        <v>198</v>
      </c>
      <c r="N39" s="6" t="s">
        <v>24</v>
      </c>
      <c r="O39" s="6" t="s">
        <v>49</v>
      </c>
      <c r="P39" s="6">
        <f>COUNTIF(Analysis!$M$1:$M$3001,Analysis!$M39)</f>
        <v>1</v>
      </c>
      <c r="Q39" s="6" t="str">
        <f>IF(COUNTIF(Analysis!$M$2:$M$3001,Analysis!$M39)&gt;1,"Duplicate","OK")</f>
        <v>OK</v>
      </c>
      <c r="R39" s="6" t="str">
        <f t="shared" si="1"/>
        <v>2600-3600</v>
      </c>
      <c r="S39" s="6">
        <f t="shared" si="2"/>
        <v>74</v>
      </c>
      <c r="T39" s="6" t="str">
        <f t="shared" si="3"/>
        <v>Very Old</v>
      </c>
      <c r="BH39" s="14">
        <f>IFERROR(__xludf.DUMMYFUNCTION("""COMPUTED_VALUE"""),1477628.0)</f>
        <v>1477628</v>
      </c>
      <c r="BI39" s="15" t="str">
        <f>IFERROR(__xludf.DUMMYFUNCTION("""COMPUTED_VALUE"""),"8951 Pine Rd, Los Angeles, CA 79047")</f>
        <v>8951 Pine Rd, Los Angeles, CA 79047</v>
      </c>
      <c r="BJ39" s="15" t="str">
        <f>IFERROR(__xludf.DUMMYFUNCTION("""COMPUTED_VALUE"""),"Los Angeles")</f>
        <v>Los Angeles</v>
      </c>
      <c r="BK39" s="15">
        <f>IFERROR(__xludf.DUMMYFUNCTION("""COMPUTED_VALUE"""),79047.0)</f>
        <v>79047</v>
      </c>
      <c r="BL39" s="15" t="str">
        <f>IFERROR(__xludf.DUMMYFUNCTION("""COMPUTED_VALUE"""),"CA")</f>
        <v>CA</v>
      </c>
      <c r="BM39" s="15" t="str">
        <f>IFERROR(__xludf.DUMMYFUNCTION("""COMPUTED_VALUE"""),"1 bds")</f>
        <v>1 bds</v>
      </c>
      <c r="BN39" s="15" t="str">
        <f>IFERROR(__xludf.DUMMYFUNCTION("""COMPUTED_VALUE"""),"1 ba")</f>
        <v>1 ba</v>
      </c>
      <c r="BO39" s="15">
        <f>IFERROR(__xludf.DUMMYFUNCTION("""COMPUTED_VALUE"""),2062.0)</f>
        <v>2062</v>
      </c>
      <c r="BP39" s="15">
        <f>IFERROR(__xludf.DUMMYFUNCTION("""COMPUTED_VALUE"""),4344.0)</f>
        <v>4344</v>
      </c>
      <c r="BQ39" s="15">
        <f>IFERROR(__xludf.DUMMYFUNCTION("""COMPUTED_VALUE"""),1956.0)</f>
        <v>1956</v>
      </c>
      <c r="BR39" s="15">
        <f>IFERROR(__xludf.DUMMYFUNCTION("""COMPUTED_VALUE"""),69.0)</f>
        <v>69</v>
      </c>
      <c r="BS39" s="15" t="str">
        <f>IFERROR(__xludf.DUMMYFUNCTION("""COMPUTED_VALUE"""),"Single Family")</f>
        <v>Single Family</v>
      </c>
      <c r="BT39" s="15" t="str">
        <f>IFERROR(__xludf.DUMMYFUNCTION("""COMPUTED_VALUE"""),"Z245330")</f>
        <v>Z245330</v>
      </c>
      <c r="BU39" s="15" t="str">
        <f>IFERROR(__xludf.DUMMYFUNCTION("""COMPUTED_VALUE"""),"Alex Johnson - Compass")</f>
        <v>Alex Johnson - Compass</v>
      </c>
      <c r="BV39" s="15" t="str">
        <f>IFERROR(__xludf.DUMMYFUNCTION("""COMPUTED_VALUE"""),"Sold")</f>
        <v>Sold</v>
      </c>
      <c r="BW39" s="15">
        <f>IFERROR(__xludf.DUMMYFUNCTION("""COMPUTED_VALUE"""),1.0)</f>
        <v>1</v>
      </c>
      <c r="BX39" s="15" t="str">
        <f>IFERROR(__xludf.DUMMYFUNCTION("""COMPUTED_VALUE"""),"OK")</f>
        <v>OK</v>
      </c>
      <c r="BY39" s="1" t="str">
        <f>IFERROR(__xludf.DUMMYFUNCTION("""COMPUTED_VALUE"""),"1600-2600")</f>
        <v>1600-2600</v>
      </c>
      <c r="BZ39" s="1">
        <f>IFERROR(__xludf.DUMMYFUNCTION("""COMPUTED_VALUE"""),70.0)</f>
        <v>70</v>
      </c>
      <c r="CA39" s="1" t="str">
        <f>IFERROR(__xludf.DUMMYFUNCTION("""COMPUTED_VALUE"""),"Very Old")</f>
        <v>Very Old</v>
      </c>
    </row>
    <row r="40" ht="14.25" customHeight="1">
      <c r="A40" s="5">
        <v>272592.0</v>
      </c>
      <c r="B40" s="6" t="s">
        <v>201</v>
      </c>
      <c r="C40" s="6" t="s">
        <v>18</v>
      </c>
      <c r="D40" s="6">
        <v>22610.0</v>
      </c>
      <c r="E40" s="6" t="s">
        <v>19</v>
      </c>
      <c r="F40" s="6" t="s">
        <v>54</v>
      </c>
      <c r="G40" s="6" t="s">
        <v>21</v>
      </c>
      <c r="H40" s="7">
        <v>3641.0</v>
      </c>
      <c r="I40" s="7">
        <v>9671.0</v>
      </c>
      <c r="J40" s="6">
        <v>1988.0</v>
      </c>
      <c r="K40" s="6">
        <v>115.0</v>
      </c>
      <c r="L40" s="6" t="s">
        <v>22</v>
      </c>
      <c r="M40" s="6" t="s">
        <v>202</v>
      </c>
      <c r="N40" s="6" t="s">
        <v>43</v>
      </c>
      <c r="O40" s="6" t="s">
        <v>25</v>
      </c>
      <c r="P40" s="6">
        <f>COUNTIF(Analysis!$M$1:$M$3001,Analysis!$M40)</f>
        <v>1</v>
      </c>
      <c r="Q40" s="6" t="str">
        <f>IF(COUNTIF(Analysis!$M$2:$M$3001,Analysis!$M40)&gt;1,"Duplicate","OK")</f>
        <v>OK</v>
      </c>
      <c r="R40" s="6" t="str">
        <f t="shared" si="1"/>
        <v>3600+</v>
      </c>
      <c r="S40" s="6">
        <f t="shared" si="2"/>
        <v>38</v>
      </c>
      <c r="T40" s="6" t="str">
        <f t="shared" si="3"/>
        <v>Old</v>
      </c>
      <c r="BH40" s="14">
        <f>IFERROR(__xludf.DUMMYFUNCTION("""COMPUTED_VALUE"""),328074.0)</f>
        <v>328074</v>
      </c>
      <c r="BI40" s="15" t="str">
        <f>IFERROR(__xludf.DUMMYFUNCTION("""COMPUTED_VALUE"""),"8482 Elm St, Fresno, CA 94175")</f>
        <v>8482 Elm St, Fresno, CA 94175</v>
      </c>
      <c r="BJ40" s="15" t="str">
        <f>IFERROR(__xludf.DUMMYFUNCTION("""COMPUTED_VALUE"""),"Fresno")</f>
        <v>Fresno</v>
      </c>
      <c r="BK40" s="15">
        <f>IFERROR(__xludf.DUMMYFUNCTION("""COMPUTED_VALUE"""),94175.0)</f>
        <v>94175</v>
      </c>
      <c r="BL40" s="15" t="str">
        <f>IFERROR(__xludf.DUMMYFUNCTION("""COMPUTED_VALUE"""),"CA")</f>
        <v>CA</v>
      </c>
      <c r="BM40" s="15" t="str">
        <f>IFERROR(__xludf.DUMMYFUNCTION("""COMPUTED_VALUE"""),"6 bds")</f>
        <v>6 bds</v>
      </c>
      <c r="BN40" s="15" t="str">
        <f>IFERROR(__xludf.DUMMYFUNCTION("""COMPUTED_VALUE"""),"2 ba")</f>
        <v>2 ba</v>
      </c>
      <c r="BO40" s="15">
        <f>IFERROR(__xludf.DUMMYFUNCTION("""COMPUTED_VALUE"""),1462.0)</f>
        <v>1462</v>
      </c>
      <c r="BP40" s="15">
        <f>IFERROR(__xludf.DUMMYFUNCTION("""COMPUTED_VALUE"""),5688.0)</f>
        <v>5688</v>
      </c>
      <c r="BQ40" s="15">
        <f>IFERROR(__xludf.DUMMYFUNCTION("""COMPUTED_VALUE"""),2009.0)</f>
        <v>2009</v>
      </c>
      <c r="BR40" s="15">
        <f>IFERROR(__xludf.DUMMYFUNCTION("""COMPUTED_VALUE"""),110.0)</f>
        <v>110</v>
      </c>
      <c r="BS40" s="15" t="str">
        <f>IFERROR(__xludf.DUMMYFUNCTION("""COMPUTED_VALUE"""),"Condo")</f>
        <v>Condo</v>
      </c>
      <c r="BT40" s="15" t="str">
        <f>IFERROR(__xludf.DUMMYFUNCTION("""COMPUTED_VALUE"""),"Z193154")</f>
        <v>Z193154</v>
      </c>
      <c r="BU40" s="15" t="str">
        <f>IFERROR(__xludf.DUMMYFUNCTION("""COMPUTED_VALUE"""),"Alex Johnson - Compass")</f>
        <v>Alex Johnson - Compass</v>
      </c>
      <c r="BV40" s="15" t="str">
        <f>IFERROR(__xludf.DUMMYFUNCTION("""COMPUTED_VALUE"""),"Sold")</f>
        <v>Sold</v>
      </c>
      <c r="BW40" s="15">
        <f>IFERROR(__xludf.DUMMYFUNCTION("""COMPUTED_VALUE"""),1.0)</f>
        <v>1</v>
      </c>
      <c r="BX40" s="15" t="str">
        <f>IFERROR(__xludf.DUMMYFUNCTION("""COMPUTED_VALUE"""),"OK")</f>
        <v>OK</v>
      </c>
      <c r="BY40" s="1" t="str">
        <f>IFERROR(__xludf.DUMMYFUNCTION("""COMPUTED_VALUE"""),"600-1600")</f>
        <v>600-1600</v>
      </c>
      <c r="BZ40" s="1">
        <f>IFERROR(__xludf.DUMMYFUNCTION("""COMPUTED_VALUE"""),17.0)</f>
        <v>17</v>
      </c>
      <c r="CA40" s="1" t="str">
        <f>IFERROR(__xludf.DUMMYFUNCTION("""COMPUTED_VALUE"""),"Mid")</f>
        <v>Mid</v>
      </c>
    </row>
    <row r="41" ht="14.25" customHeight="1">
      <c r="A41" s="5">
        <v>1401287.0</v>
      </c>
      <c r="B41" s="6" t="s">
        <v>205</v>
      </c>
      <c r="C41" s="6" t="s">
        <v>53</v>
      </c>
      <c r="D41" s="6">
        <v>89328.0</v>
      </c>
      <c r="E41" s="6" t="s">
        <v>60</v>
      </c>
      <c r="F41" s="6" t="s">
        <v>61</v>
      </c>
      <c r="G41" s="6" t="s">
        <v>100</v>
      </c>
      <c r="H41" s="7">
        <v>824.0</v>
      </c>
      <c r="I41" s="7">
        <v>5426.0</v>
      </c>
      <c r="J41" s="6">
        <v>2008.0</v>
      </c>
      <c r="K41" s="6">
        <v>64.0</v>
      </c>
      <c r="L41" s="6" t="s">
        <v>32</v>
      </c>
      <c r="M41" s="6" t="s">
        <v>206</v>
      </c>
      <c r="N41" s="6" t="s">
        <v>48</v>
      </c>
      <c r="O41" s="6" t="s">
        <v>25</v>
      </c>
      <c r="P41" s="6">
        <f>COUNTIF(Analysis!$M$1:$M$3001,Analysis!$M41)</f>
        <v>1</v>
      </c>
      <c r="Q41" s="6" t="str">
        <f>IF(COUNTIF(Analysis!$M$2:$M$3001,Analysis!$M41)&gt;1,"Duplicate","OK")</f>
        <v>OK</v>
      </c>
      <c r="R41" s="6" t="str">
        <f t="shared" si="1"/>
        <v>600-1600</v>
      </c>
      <c r="S41" s="6">
        <f t="shared" si="2"/>
        <v>18</v>
      </c>
      <c r="T41" s="6" t="str">
        <f t="shared" si="3"/>
        <v>Mid</v>
      </c>
      <c r="Z41" s="54"/>
      <c r="AA41" s="54"/>
      <c r="BH41" s="14">
        <f>IFERROR(__xludf.DUMMYFUNCTION("""COMPUTED_VALUE"""),1236695.0)</f>
        <v>1236695</v>
      </c>
      <c r="BI41" s="15" t="str">
        <f>IFERROR(__xludf.DUMMYFUNCTION("""COMPUTED_VALUE"""),"5572 Pine Rd, Sacramento, IL 84551")</f>
        <v>5572 Pine Rd, Sacramento, IL 84551</v>
      </c>
      <c r="BJ41" s="15" t="str">
        <f>IFERROR(__xludf.DUMMYFUNCTION("""COMPUTED_VALUE"""),"Sacramento")</f>
        <v>Sacramento</v>
      </c>
      <c r="BK41" s="15">
        <f>IFERROR(__xludf.DUMMYFUNCTION("""COMPUTED_VALUE"""),84551.0)</f>
        <v>84551</v>
      </c>
      <c r="BL41" s="15" t="str">
        <f>IFERROR(__xludf.DUMMYFUNCTION("""COMPUTED_VALUE"""),"IL")</f>
        <v>IL</v>
      </c>
      <c r="BM41" s="15" t="str">
        <f>IFERROR(__xludf.DUMMYFUNCTION("""COMPUTED_VALUE"""),"4 bds")</f>
        <v>4 bds</v>
      </c>
      <c r="BN41" s="15" t="str">
        <f>IFERROR(__xludf.DUMMYFUNCTION("""COMPUTED_VALUE"""),"4 ba")</f>
        <v>4 ba</v>
      </c>
      <c r="BO41" s="15">
        <f>IFERROR(__xludf.DUMMYFUNCTION("""COMPUTED_VALUE"""),2879.0)</f>
        <v>2879</v>
      </c>
      <c r="BP41" s="15">
        <f>IFERROR(__xludf.DUMMYFUNCTION("""COMPUTED_VALUE"""),8525.0)</f>
        <v>8525</v>
      </c>
      <c r="BQ41" s="15">
        <f>IFERROR(__xludf.DUMMYFUNCTION("""COMPUTED_VALUE"""),1999.0)</f>
        <v>1999</v>
      </c>
      <c r="BR41" s="15">
        <f>IFERROR(__xludf.DUMMYFUNCTION("""COMPUTED_VALUE"""),30.0)</f>
        <v>30</v>
      </c>
      <c r="BS41" s="15" t="str">
        <f>IFERROR(__xludf.DUMMYFUNCTION("""COMPUTED_VALUE"""),"Apartment")</f>
        <v>Apartment</v>
      </c>
      <c r="BT41" s="15" t="str">
        <f>IFERROR(__xludf.DUMMYFUNCTION("""COMPUTED_VALUE"""),"Z959491")</f>
        <v>Z959491</v>
      </c>
      <c r="BU41" s="15" t="str">
        <f>IFERROR(__xludf.DUMMYFUNCTION("""COMPUTED_VALUE"""),"Alex Johnson - Compass")</f>
        <v>Alex Johnson - Compass</v>
      </c>
      <c r="BV41" s="15" t="str">
        <f>IFERROR(__xludf.DUMMYFUNCTION("""COMPUTED_VALUE"""),"Sold")</f>
        <v>Sold</v>
      </c>
      <c r="BW41" s="15">
        <f>IFERROR(__xludf.DUMMYFUNCTION("""COMPUTED_VALUE"""),1.0)</f>
        <v>1</v>
      </c>
      <c r="BX41" s="15" t="str">
        <f>IFERROR(__xludf.DUMMYFUNCTION("""COMPUTED_VALUE"""),"OK")</f>
        <v>OK</v>
      </c>
      <c r="BY41" s="1" t="str">
        <f>IFERROR(__xludf.DUMMYFUNCTION("""COMPUTED_VALUE"""),"2600-3600")</f>
        <v>2600-3600</v>
      </c>
      <c r="BZ41" s="1">
        <f>IFERROR(__xludf.DUMMYFUNCTION("""COMPUTED_VALUE"""),27.0)</f>
        <v>27</v>
      </c>
      <c r="CA41" s="1" t="str">
        <f>IFERROR(__xludf.DUMMYFUNCTION("""COMPUTED_VALUE"""),"Mid")</f>
        <v>Mid</v>
      </c>
    </row>
    <row r="42" ht="14.25" customHeight="1">
      <c r="A42" s="5">
        <v>255138.0</v>
      </c>
      <c r="B42" s="6" t="s">
        <v>209</v>
      </c>
      <c r="C42" s="6" t="s">
        <v>18</v>
      </c>
      <c r="D42" s="6">
        <v>57088.0</v>
      </c>
      <c r="E42" s="6" t="s">
        <v>77</v>
      </c>
      <c r="F42" s="6" t="s">
        <v>94</v>
      </c>
      <c r="G42" s="6" t="s">
        <v>100</v>
      </c>
      <c r="H42" s="7">
        <v>3704.0</v>
      </c>
      <c r="I42" s="7">
        <v>2027.0</v>
      </c>
      <c r="J42" s="6">
        <v>1960.0</v>
      </c>
      <c r="K42" s="6">
        <v>84.0</v>
      </c>
      <c r="L42" s="6" t="s">
        <v>95</v>
      </c>
      <c r="M42" s="6" t="s">
        <v>210</v>
      </c>
      <c r="N42" s="6" t="s">
        <v>64</v>
      </c>
      <c r="O42" s="6" t="s">
        <v>25</v>
      </c>
      <c r="P42" s="6">
        <f>COUNTIF(Analysis!$M$1:$M$3001,Analysis!$M42)</f>
        <v>1</v>
      </c>
      <c r="Q42" s="6" t="str">
        <f>IF(COUNTIF(Analysis!$M$2:$M$3001,Analysis!$M42)&gt;1,"Duplicate","OK")</f>
        <v>OK</v>
      </c>
      <c r="R42" s="6" t="str">
        <f t="shared" si="1"/>
        <v>3600+</v>
      </c>
      <c r="S42" s="6">
        <f t="shared" si="2"/>
        <v>66</v>
      </c>
      <c r="T42" s="6" t="str">
        <f t="shared" si="3"/>
        <v>Very Old</v>
      </c>
      <c r="V42" s="55"/>
      <c r="W42" s="55"/>
      <c r="Z42" s="54"/>
      <c r="AA42" s="54"/>
      <c r="BH42" s="14">
        <f>IFERROR(__xludf.DUMMYFUNCTION("""COMPUTED_VALUE"""),339864.0)</f>
        <v>339864</v>
      </c>
      <c r="BI42" s="15" t="str">
        <f>IFERROR(__xludf.DUMMYFUNCTION("""COMPUTED_VALUE"""),"3637 Pine Rd, Fresno, FL 63885")</f>
        <v>3637 Pine Rd, Fresno, FL 63885</v>
      </c>
      <c r="BJ42" s="15" t="str">
        <f>IFERROR(__xludf.DUMMYFUNCTION("""COMPUTED_VALUE"""),"Fresno")</f>
        <v>Fresno</v>
      </c>
      <c r="BK42" s="15">
        <f>IFERROR(__xludf.DUMMYFUNCTION("""COMPUTED_VALUE"""),63885.0)</f>
        <v>63885</v>
      </c>
      <c r="BL42" s="15" t="str">
        <f>IFERROR(__xludf.DUMMYFUNCTION("""COMPUTED_VALUE"""),"FL")</f>
        <v>FL</v>
      </c>
      <c r="BM42" s="15" t="str">
        <f>IFERROR(__xludf.DUMMYFUNCTION("""COMPUTED_VALUE"""),"3 bds")</f>
        <v>3 bds</v>
      </c>
      <c r="BN42" s="15" t="str">
        <f>IFERROR(__xludf.DUMMYFUNCTION("""COMPUTED_VALUE"""),"1 ba")</f>
        <v>1 ba</v>
      </c>
      <c r="BO42" s="15">
        <f>IFERROR(__xludf.DUMMYFUNCTION("""COMPUTED_VALUE"""),3584.0)</f>
        <v>3584</v>
      </c>
      <c r="BP42" s="15">
        <f>IFERROR(__xludf.DUMMYFUNCTION("""COMPUTED_VALUE"""),1287.0)</f>
        <v>1287</v>
      </c>
      <c r="BQ42" s="15">
        <f>IFERROR(__xludf.DUMMYFUNCTION("""COMPUTED_VALUE"""),1968.0)</f>
        <v>1968</v>
      </c>
      <c r="BR42" s="15">
        <f>IFERROR(__xludf.DUMMYFUNCTION("""COMPUTED_VALUE"""),109.0)</f>
        <v>109</v>
      </c>
      <c r="BS42" s="15" t="str">
        <f>IFERROR(__xludf.DUMMYFUNCTION("""COMPUTED_VALUE"""),"Townhouse")</f>
        <v>Townhouse</v>
      </c>
      <c r="BT42" s="15" t="str">
        <f>IFERROR(__xludf.DUMMYFUNCTION("""COMPUTED_VALUE"""),"Z187704")</f>
        <v>Z187704</v>
      </c>
      <c r="BU42" s="15" t="str">
        <f>IFERROR(__xludf.DUMMYFUNCTION("""COMPUTED_VALUE"""),"Alex Johnson - Compass")</f>
        <v>Alex Johnson - Compass</v>
      </c>
      <c r="BV42" s="15" t="str">
        <f>IFERROR(__xludf.DUMMYFUNCTION("""COMPUTED_VALUE"""),"Sold")</f>
        <v>Sold</v>
      </c>
      <c r="BW42" s="15">
        <f>IFERROR(__xludf.DUMMYFUNCTION("""COMPUTED_VALUE"""),1.0)</f>
        <v>1</v>
      </c>
      <c r="BX42" s="15" t="str">
        <f>IFERROR(__xludf.DUMMYFUNCTION("""COMPUTED_VALUE"""),"OK")</f>
        <v>OK</v>
      </c>
      <c r="BY42" s="1" t="str">
        <f>IFERROR(__xludf.DUMMYFUNCTION("""COMPUTED_VALUE"""),"2600-3600")</f>
        <v>2600-3600</v>
      </c>
      <c r="BZ42" s="1">
        <f>IFERROR(__xludf.DUMMYFUNCTION("""COMPUTED_VALUE"""),58.0)</f>
        <v>58</v>
      </c>
      <c r="CA42" s="1" t="str">
        <f>IFERROR(__xludf.DUMMYFUNCTION("""COMPUTED_VALUE"""),"Old")</f>
        <v>Old</v>
      </c>
    </row>
    <row r="43" ht="14.25" customHeight="1">
      <c r="A43" s="5">
        <v>235690.0</v>
      </c>
      <c r="B43" s="6" t="s">
        <v>213</v>
      </c>
      <c r="C43" s="6" t="s">
        <v>76</v>
      </c>
      <c r="D43" s="6">
        <v>35239.0</v>
      </c>
      <c r="E43" s="6" t="s">
        <v>77</v>
      </c>
      <c r="F43" s="6" t="s">
        <v>94</v>
      </c>
      <c r="G43" s="6" t="s">
        <v>55</v>
      </c>
      <c r="H43" s="7">
        <v>3150.0</v>
      </c>
      <c r="I43" s="7">
        <v>8121.0</v>
      </c>
      <c r="J43" s="6">
        <v>1968.0</v>
      </c>
      <c r="K43" s="6">
        <v>60.0</v>
      </c>
      <c r="L43" s="6" t="s">
        <v>22</v>
      </c>
      <c r="M43" s="6" t="s">
        <v>214</v>
      </c>
      <c r="N43" s="6" t="s">
        <v>24</v>
      </c>
      <c r="O43" s="6" t="s">
        <v>25</v>
      </c>
      <c r="P43" s="6">
        <f>COUNTIF(Analysis!$M$1:$M$3001,Analysis!$M43)</f>
        <v>1</v>
      </c>
      <c r="Q43" s="6" t="str">
        <f>IF(COUNTIF(Analysis!$M$2:$M$3001,Analysis!$M43)&gt;1,"Duplicate","OK")</f>
        <v>OK</v>
      </c>
      <c r="R43" s="6" t="str">
        <f t="shared" si="1"/>
        <v>2600-3600</v>
      </c>
      <c r="S43" s="6">
        <f t="shared" si="2"/>
        <v>58</v>
      </c>
      <c r="T43" s="6" t="str">
        <f t="shared" si="3"/>
        <v>Old</v>
      </c>
      <c r="Z43" s="54"/>
      <c r="AA43" s="54"/>
      <c r="BH43" s="14">
        <f>IFERROR(__xludf.DUMMYFUNCTION("""COMPUTED_VALUE"""),729055.0)</f>
        <v>729055</v>
      </c>
      <c r="BI43" s="15" t="str">
        <f>IFERROR(__xludf.DUMMYFUNCTION("""COMPUTED_VALUE"""),"9918 Maple Dr, San Diego, FL 52635")</f>
        <v>9918 Maple Dr, San Diego, FL 52635</v>
      </c>
      <c r="BJ43" s="15" t="str">
        <f>IFERROR(__xludf.DUMMYFUNCTION("""COMPUTED_VALUE"""),"San Diego")</f>
        <v>San Diego</v>
      </c>
      <c r="BK43" s="15">
        <f>IFERROR(__xludf.DUMMYFUNCTION("""COMPUTED_VALUE"""),52635.0)</f>
        <v>52635</v>
      </c>
      <c r="BL43" s="15" t="str">
        <f>IFERROR(__xludf.DUMMYFUNCTION("""COMPUTED_VALUE"""),"FL")</f>
        <v>FL</v>
      </c>
      <c r="BM43" s="15" t="str">
        <f>IFERROR(__xludf.DUMMYFUNCTION("""COMPUTED_VALUE"""),"1 bds")</f>
        <v>1 bds</v>
      </c>
      <c r="BN43" s="15" t="str">
        <f>IFERROR(__xludf.DUMMYFUNCTION("""COMPUTED_VALUE"""),"4 ba")</f>
        <v>4 ba</v>
      </c>
      <c r="BO43" s="15">
        <f>IFERROR(__xludf.DUMMYFUNCTION("""COMPUTED_VALUE"""),3549.0)</f>
        <v>3549</v>
      </c>
      <c r="BP43" s="15">
        <f>IFERROR(__xludf.DUMMYFUNCTION("""COMPUTED_VALUE"""),4792.0)</f>
        <v>4792</v>
      </c>
      <c r="BQ43" s="15">
        <f>IFERROR(__xludf.DUMMYFUNCTION("""COMPUTED_VALUE"""),1973.0)</f>
        <v>1973</v>
      </c>
      <c r="BR43" s="15">
        <f>IFERROR(__xludf.DUMMYFUNCTION("""COMPUTED_VALUE"""),43.0)</f>
        <v>43</v>
      </c>
      <c r="BS43" s="15" t="str">
        <f>IFERROR(__xludf.DUMMYFUNCTION("""COMPUTED_VALUE"""),"Single Family")</f>
        <v>Single Family</v>
      </c>
      <c r="BT43" s="15" t="str">
        <f>IFERROR(__xludf.DUMMYFUNCTION("""COMPUTED_VALUE"""),"Z357367")</f>
        <v>Z357367</v>
      </c>
      <c r="BU43" s="15" t="str">
        <f>IFERROR(__xludf.DUMMYFUNCTION("""COMPUTED_VALUE"""),"Alex Johnson - Compass")</f>
        <v>Alex Johnson - Compass</v>
      </c>
      <c r="BV43" s="15" t="str">
        <f>IFERROR(__xludf.DUMMYFUNCTION("""COMPUTED_VALUE"""),"Sold")</f>
        <v>Sold</v>
      </c>
      <c r="BW43" s="15">
        <f>IFERROR(__xludf.DUMMYFUNCTION("""COMPUTED_VALUE"""),1.0)</f>
        <v>1</v>
      </c>
      <c r="BX43" s="15" t="str">
        <f>IFERROR(__xludf.DUMMYFUNCTION("""COMPUTED_VALUE"""),"OK")</f>
        <v>OK</v>
      </c>
      <c r="BY43" s="1" t="str">
        <f>IFERROR(__xludf.DUMMYFUNCTION("""COMPUTED_VALUE"""),"2600-3600")</f>
        <v>2600-3600</v>
      </c>
      <c r="BZ43" s="1">
        <f>IFERROR(__xludf.DUMMYFUNCTION("""COMPUTED_VALUE"""),53.0)</f>
        <v>53</v>
      </c>
      <c r="CA43" s="1" t="str">
        <f>IFERROR(__xludf.DUMMYFUNCTION("""COMPUTED_VALUE"""),"Old")</f>
        <v>Old</v>
      </c>
    </row>
    <row r="44" ht="14.25" customHeight="1">
      <c r="A44" s="5">
        <v>1286157.0</v>
      </c>
      <c r="B44" s="6" t="s">
        <v>217</v>
      </c>
      <c r="C44" s="6" t="s">
        <v>18</v>
      </c>
      <c r="D44" s="6">
        <v>66947.0</v>
      </c>
      <c r="E44" s="6" t="s">
        <v>19</v>
      </c>
      <c r="F44" s="6" t="s">
        <v>46</v>
      </c>
      <c r="G44" s="6" t="s">
        <v>31</v>
      </c>
      <c r="H44" s="7">
        <v>1130.0</v>
      </c>
      <c r="I44" s="7">
        <v>9652.0</v>
      </c>
      <c r="J44" s="6">
        <v>2008.0</v>
      </c>
      <c r="K44" s="6">
        <v>15.0</v>
      </c>
      <c r="L44" s="6" t="s">
        <v>32</v>
      </c>
      <c r="M44" s="6" t="s">
        <v>218</v>
      </c>
      <c r="N44" s="6" t="s">
        <v>34</v>
      </c>
      <c r="O44" s="6" t="s">
        <v>49</v>
      </c>
      <c r="P44" s="6">
        <f>COUNTIF(Analysis!$M$1:$M$3001,Analysis!$M44)</f>
        <v>1</v>
      </c>
      <c r="Q44" s="6" t="str">
        <f>IF(COUNTIF(Analysis!$M$2:$M$3001,Analysis!$M44)&gt;1,"Duplicate","OK")</f>
        <v>OK</v>
      </c>
      <c r="R44" s="6" t="str">
        <f t="shared" si="1"/>
        <v>600-1600</v>
      </c>
      <c r="S44" s="6">
        <f t="shared" si="2"/>
        <v>18</v>
      </c>
      <c r="T44" s="6" t="str">
        <f t="shared" si="3"/>
        <v>Mid</v>
      </c>
      <c r="Z44" s="54"/>
      <c r="AA44" s="54"/>
      <c r="BH44" s="14">
        <f>IFERROR(__xludf.DUMMYFUNCTION("""COMPUTED_VALUE"""),361658.0)</f>
        <v>361658</v>
      </c>
      <c r="BI44" s="15" t="str">
        <f>IFERROR(__xludf.DUMMYFUNCTION("""COMPUTED_VALUE"""),"1158 Oak Ave, Fresno, IL 96198")</f>
        <v>1158 Oak Ave, Fresno, IL 96198</v>
      </c>
      <c r="BJ44" s="15" t="str">
        <f>IFERROR(__xludf.DUMMYFUNCTION("""COMPUTED_VALUE"""),"Fresno")</f>
        <v>Fresno</v>
      </c>
      <c r="BK44" s="15">
        <f>IFERROR(__xludf.DUMMYFUNCTION("""COMPUTED_VALUE"""),96198.0)</f>
        <v>96198</v>
      </c>
      <c r="BL44" s="15" t="str">
        <f>IFERROR(__xludf.DUMMYFUNCTION("""COMPUTED_VALUE"""),"IL")</f>
        <v>IL</v>
      </c>
      <c r="BM44" s="15" t="str">
        <f>IFERROR(__xludf.DUMMYFUNCTION("""COMPUTED_VALUE"""),"3 bds")</f>
        <v>3 bds</v>
      </c>
      <c r="BN44" s="15" t="str">
        <f>IFERROR(__xludf.DUMMYFUNCTION("""COMPUTED_VALUE"""),"3 ba")</f>
        <v>3 ba</v>
      </c>
      <c r="BO44" s="15">
        <f>IFERROR(__xludf.DUMMYFUNCTION("""COMPUTED_VALUE"""),2701.0)</f>
        <v>2701</v>
      </c>
      <c r="BP44" s="15">
        <f>IFERROR(__xludf.DUMMYFUNCTION("""COMPUTED_VALUE"""),7568.0)</f>
        <v>7568</v>
      </c>
      <c r="BQ44" s="15">
        <f>IFERROR(__xludf.DUMMYFUNCTION("""COMPUTED_VALUE"""),1986.0)</f>
        <v>1986</v>
      </c>
      <c r="BR44" s="15">
        <f>IFERROR(__xludf.DUMMYFUNCTION("""COMPUTED_VALUE"""),11.0)</f>
        <v>11</v>
      </c>
      <c r="BS44" s="15" t="str">
        <f>IFERROR(__xludf.DUMMYFUNCTION("""COMPUTED_VALUE"""),"Condo")</f>
        <v>Condo</v>
      </c>
      <c r="BT44" s="15" t="str">
        <f>IFERROR(__xludf.DUMMYFUNCTION("""COMPUTED_VALUE"""),"Z493298")</f>
        <v>Z493298</v>
      </c>
      <c r="BU44" s="15" t="str">
        <f>IFERROR(__xludf.DUMMYFUNCTION("""COMPUTED_VALUE"""),"Alex Johnson - Compass")</f>
        <v>Alex Johnson - Compass</v>
      </c>
      <c r="BV44" s="15" t="str">
        <f>IFERROR(__xludf.DUMMYFUNCTION("""COMPUTED_VALUE"""),"Sold")</f>
        <v>Sold</v>
      </c>
      <c r="BW44" s="15">
        <f>IFERROR(__xludf.DUMMYFUNCTION("""COMPUTED_VALUE"""),1.0)</f>
        <v>1</v>
      </c>
      <c r="BX44" s="15" t="str">
        <f>IFERROR(__xludf.DUMMYFUNCTION("""COMPUTED_VALUE"""),"OK")</f>
        <v>OK</v>
      </c>
      <c r="BY44" s="1" t="str">
        <f>IFERROR(__xludf.DUMMYFUNCTION("""COMPUTED_VALUE"""),"2600-3600")</f>
        <v>2600-3600</v>
      </c>
      <c r="BZ44" s="1">
        <f>IFERROR(__xludf.DUMMYFUNCTION("""COMPUTED_VALUE"""),40.0)</f>
        <v>40</v>
      </c>
      <c r="CA44" s="1" t="str">
        <f>IFERROR(__xludf.DUMMYFUNCTION("""COMPUTED_VALUE"""),"Old")</f>
        <v>Old</v>
      </c>
    </row>
    <row r="45" ht="14.25" customHeight="1">
      <c r="A45" s="5">
        <v>1197675.0</v>
      </c>
      <c r="B45" s="6" t="s">
        <v>221</v>
      </c>
      <c r="C45" s="6" t="s">
        <v>39</v>
      </c>
      <c r="D45" s="6">
        <v>70379.0</v>
      </c>
      <c r="E45" s="6" t="s">
        <v>19</v>
      </c>
      <c r="F45" s="6" t="s">
        <v>94</v>
      </c>
      <c r="G45" s="6" t="s">
        <v>31</v>
      </c>
      <c r="H45" s="7">
        <v>2418.0</v>
      </c>
      <c r="I45" s="7">
        <v>4843.0</v>
      </c>
      <c r="J45" s="6">
        <v>1978.0</v>
      </c>
      <c r="K45" s="6">
        <v>103.0</v>
      </c>
      <c r="L45" s="6" t="s">
        <v>32</v>
      </c>
      <c r="M45" s="6" t="s">
        <v>222</v>
      </c>
      <c r="N45" s="6" t="s">
        <v>64</v>
      </c>
      <c r="O45" s="6" t="s">
        <v>25</v>
      </c>
      <c r="P45" s="6">
        <f>COUNTIF(Analysis!$M$1:$M$3001,Analysis!$M45)</f>
        <v>1</v>
      </c>
      <c r="Q45" s="6" t="str">
        <f>IF(COUNTIF(Analysis!$M$2:$M$3001,Analysis!$M45)&gt;1,"Duplicate","OK")</f>
        <v>OK</v>
      </c>
      <c r="R45" s="6" t="str">
        <f t="shared" si="1"/>
        <v>1600-2600</v>
      </c>
      <c r="S45" s="6">
        <f t="shared" si="2"/>
        <v>48</v>
      </c>
      <c r="T45" s="6" t="str">
        <f t="shared" si="3"/>
        <v>Old</v>
      </c>
      <c r="Z45" s="54"/>
      <c r="AA45" s="54"/>
      <c r="BH45" s="14">
        <f>IFERROR(__xludf.DUMMYFUNCTION("""COMPUTED_VALUE"""),263351.0)</f>
        <v>263351</v>
      </c>
      <c r="BI45" s="15" t="str">
        <f>IFERROR(__xludf.DUMMYFUNCTION("""COMPUTED_VALUE"""),"1919 Main St, Los Angeles, FL 50766")</f>
        <v>1919 Main St, Los Angeles, FL 50766</v>
      </c>
      <c r="BJ45" s="15" t="str">
        <f>IFERROR(__xludf.DUMMYFUNCTION("""COMPUTED_VALUE"""),"Los Angeles")</f>
        <v>Los Angeles</v>
      </c>
      <c r="BK45" s="15">
        <f>IFERROR(__xludf.DUMMYFUNCTION("""COMPUTED_VALUE"""),50766.0)</f>
        <v>50766</v>
      </c>
      <c r="BL45" s="15" t="str">
        <f>IFERROR(__xludf.DUMMYFUNCTION("""COMPUTED_VALUE"""),"FL")</f>
        <v>FL</v>
      </c>
      <c r="BM45" s="15" t="str">
        <f>IFERROR(__xludf.DUMMYFUNCTION("""COMPUTED_VALUE"""),"2 bds")</f>
        <v>2 bds</v>
      </c>
      <c r="BN45" s="15" t="str">
        <f>IFERROR(__xludf.DUMMYFUNCTION("""COMPUTED_VALUE"""),"4 ba")</f>
        <v>4 ba</v>
      </c>
      <c r="BO45" s="15">
        <f>IFERROR(__xludf.DUMMYFUNCTION("""COMPUTED_VALUE"""),1746.0)</f>
        <v>1746</v>
      </c>
      <c r="BP45" s="15">
        <f>IFERROR(__xludf.DUMMYFUNCTION("""COMPUTED_VALUE"""),9811.0)</f>
        <v>9811</v>
      </c>
      <c r="BQ45" s="15">
        <f>IFERROR(__xludf.DUMMYFUNCTION("""COMPUTED_VALUE"""),2013.0)</f>
        <v>2013</v>
      </c>
      <c r="BR45" s="15">
        <f>IFERROR(__xludf.DUMMYFUNCTION("""COMPUTED_VALUE"""),97.0)</f>
        <v>97</v>
      </c>
      <c r="BS45" s="15" t="str">
        <f>IFERROR(__xludf.DUMMYFUNCTION("""COMPUTED_VALUE"""),"Multi-Family")</f>
        <v>Multi-Family</v>
      </c>
      <c r="BT45" s="15" t="str">
        <f>IFERROR(__xludf.DUMMYFUNCTION("""COMPUTED_VALUE"""),"Z815149")</f>
        <v>Z815149</v>
      </c>
      <c r="BU45" s="15" t="str">
        <f>IFERROR(__xludf.DUMMYFUNCTION("""COMPUTED_VALUE"""),"Alex Johnson - Compass")</f>
        <v>Alex Johnson - Compass</v>
      </c>
      <c r="BV45" s="15" t="str">
        <f>IFERROR(__xludf.DUMMYFUNCTION("""COMPUTED_VALUE"""),"Sold")</f>
        <v>Sold</v>
      </c>
      <c r="BW45" s="15">
        <f>IFERROR(__xludf.DUMMYFUNCTION("""COMPUTED_VALUE"""),1.0)</f>
        <v>1</v>
      </c>
      <c r="BX45" s="15" t="str">
        <f>IFERROR(__xludf.DUMMYFUNCTION("""COMPUTED_VALUE"""),"OK")</f>
        <v>OK</v>
      </c>
      <c r="BY45" s="1" t="str">
        <f>IFERROR(__xludf.DUMMYFUNCTION("""COMPUTED_VALUE"""),"1600-2600")</f>
        <v>1600-2600</v>
      </c>
      <c r="BZ45" s="1">
        <f>IFERROR(__xludf.DUMMYFUNCTION("""COMPUTED_VALUE"""),13.0)</f>
        <v>13</v>
      </c>
      <c r="CA45" s="1" t="str">
        <f>IFERROR(__xludf.DUMMYFUNCTION("""COMPUTED_VALUE"""),"Mid")</f>
        <v>Mid</v>
      </c>
    </row>
    <row r="46" ht="14.25" customHeight="1">
      <c r="A46" s="5">
        <v>130113.0</v>
      </c>
      <c r="B46" s="6" t="s">
        <v>225</v>
      </c>
      <c r="C46" s="6" t="s">
        <v>18</v>
      </c>
      <c r="D46" s="6">
        <v>37297.0</v>
      </c>
      <c r="E46" s="6" t="s">
        <v>30</v>
      </c>
      <c r="F46" s="6" t="s">
        <v>41</v>
      </c>
      <c r="G46" s="6" t="s">
        <v>31</v>
      </c>
      <c r="H46" s="7">
        <v>641.0</v>
      </c>
      <c r="I46" s="7">
        <v>6571.0</v>
      </c>
      <c r="J46" s="6">
        <v>1998.0</v>
      </c>
      <c r="K46" s="6">
        <v>23.0</v>
      </c>
      <c r="L46" s="6" t="s">
        <v>62</v>
      </c>
      <c r="M46" s="6" t="s">
        <v>226</v>
      </c>
      <c r="N46" s="6" t="s">
        <v>48</v>
      </c>
      <c r="O46" s="6" t="s">
        <v>49</v>
      </c>
      <c r="P46" s="6">
        <f>COUNTIF(Analysis!$M$1:$M$3001,Analysis!$M46)</f>
        <v>1</v>
      </c>
      <c r="Q46" s="6" t="str">
        <f>IF(COUNTIF(Analysis!$M$2:$M$3001,Analysis!$M46)&gt;1,"Duplicate","OK")</f>
        <v>OK</v>
      </c>
      <c r="R46" s="6" t="str">
        <f t="shared" si="1"/>
        <v>600-1600</v>
      </c>
      <c r="S46" s="6">
        <f t="shared" si="2"/>
        <v>28</v>
      </c>
      <c r="T46" s="6" t="str">
        <f t="shared" si="3"/>
        <v>Mid</v>
      </c>
      <c r="Z46" s="54"/>
      <c r="AA46" s="54"/>
      <c r="BH46" s="14">
        <f>IFERROR(__xludf.DUMMYFUNCTION("""COMPUTED_VALUE"""),286416.0)</f>
        <v>286416</v>
      </c>
      <c r="BI46" s="15" t="str">
        <f>IFERROR(__xludf.DUMMYFUNCTION("""COMPUTED_VALUE"""),"3899 Oak Ave, Los Angeles, NY 99183")</f>
        <v>3899 Oak Ave, Los Angeles, NY 99183</v>
      </c>
      <c r="BJ46" s="15" t="str">
        <f>IFERROR(__xludf.DUMMYFUNCTION("""COMPUTED_VALUE"""),"Los Angeles")</f>
        <v>Los Angeles</v>
      </c>
      <c r="BK46" s="15">
        <f>IFERROR(__xludf.DUMMYFUNCTION("""COMPUTED_VALUE"""),99183.0)</f>
        <v>99183</v>
      </c>
      <c r="BL46" s="15" t="str">
        <f>IFERROR(__xludf.DUMMYFUNCTION("""COMPUTED_VALUE"""),"NY")</f>
        <v>NY</v>
      </c>
      <c r="BM46" s="15" t="str">
        <f>IFERROR(__xludf.DUMMYFUNCTION("""COMPUTED_VALUE"""),"4 bds")</f>
        <v>4 bds</v>
      </c>
      <c r="BN46" s="15" t="str">
        <f>IFERROR(__xludf.DUMMYFUNCTION("""COMPUTED_VALUE"""),"4 ba")</f>
        <v>4 ba</v>
      </c>
      <c r="BO46" s="15">
        <f>IFERROR(__xludf.DUMMYFUNCTION("""COMPUTED_VALUE"""),2294.0)</f>
        <v>2294</v>
      </c>
      <c r="BP46" s="15">
        <f>IFERROR(__xludf.DUMMYFUNCTION("""COMPUTED_VALUE"""),5246.0)</f>
        <v>5246</v>
      </c>
      <c r="BQ46" s="15">
        <f>IFERROR(__xludf.DUMMYFUNCTION("""COMPUTED_VALUE"""),2015.0)</f>
        <v>2015</v>
      </c>
      <c r="BR46" s="15">
        <f>IFERROR(__xludf.DUMMYFUNCTION("""COMPUTED_VALUE"""),116.0)</f>
        <v>116</v>
      </c>
      <c r="BS46" s="15" t="str">
        <f>IFERROR(__xludf.DUMMYFUNCTION("""COMPUTED_VALUE"""),"Condo")</f>
        <v>Condo</v>
      </c>
      <c r="BT46" s="15" t="str">
        <f>IFERROR(__xludf.DUMMYFUNCTION("""COMPUTED_VALUE"""),"Z591666")</f>
        <v>Z591666</v>
      </c>
      <c r="BU46" s="15" t="str">
        <f>IFERROR(__xludf.DUMMYFUNCTION("""COMPUTED_VALUE"""),"Alex Johnson - Compass")</f>
        <v>Alex Johnson - Compass</v>
      </c>
      <c r="BV46" s="15" t="str">
        <f>IFERROR(__xludf.DUMMYFUNCTION("""COMPUTED_VALUE"""),"Sold")</f>
        <v>Sold</v>
      </c>
      <c r="BW46" s="15">
        <f>IFERROR(__xludf.DUMMYFUNCTION("""COMPUTED_VALUE"""),1.0)</f>
        <v>1</v>
      </c>
      <c r="BX46" s="15" t="str">
        <f>IFERROR(__xludf.DUMMYFUNCTION("""COMPUTED_VALUE"""),"OK")</f>
        <v>OK</v>
      </c>
      <c r="BY46" s="1" t="str">
        <f>IFERROR(__xludf.DUMMYFUNCTION("""COMPUTED_VALUE"""),"1600-2600")</f>
        <v>1600-2600</v>
      </c>
      <c r="BZ46" s="1">
        <f>IFERROR(__xludf.DUMMYFUNCTION("""COMPUTED_VALUE"""),11.0)</f>
        <v>11</v>
      </c>
      <c r="CA46" s="1" t="str">
        <f>IFERROR(__xludf.DUMMYFUNCTION("""COMPUTED_VALUE"""),"Mid")</f>
        <v>Mid</v>
      </c>
    </row>
    <row r="47" ht="14.25" customHeight="1">
      <c r="A47" s="5">
        <v>327247.0</v>
      </c>
      <c r="B47" s="6" t="s">
        <v>229</v>
      </c>
      <c r="C47" s="6" t="s">
        <v>76</v>
      </c>
      <c r="D47" s="6">
        <v>71862.0</v>
      </c>
      <c r="E47" s="6" t="s">
        <v>77</v>
      </c>
      <c r="F47" s="6" t="s">
        <v>41</v>
      </c>
      <c r="G47" s="6" t="s">
        <v>100</v>
      </c>
      <c r="H47" s="7">
        <v>692.0</v>
      </c>
      <c r="I47" s="7">
        <v>8938.0</v>
      </c>
      <c r="J47" s="6">
        <v>1996.0</v>
      </c>
      <c r="K47" s="6">
        <v>90.0</v>
      </c>
      <c r="L47" s="6" t="s">
        <v>95</v>
      </c>
      <c r="M47" s="6" t="s">
        <v>230</v>
      </c>
      <c r="N47" s="6" t="s">
        <v>24</v>
      </c>
      <c r="O47" s="6" t="s">
        <v>49</v>
      </c>
      <c r="P47" s="6">
        <f>COUNTIF(Analysis!$M$1:$M$3001,Analysis!$M47)</f>
        <v>1</v>
      </c>
      <c r="Q47" s="6" t="str">
        <f>IF(COUNTIF(Analysis!$M$2:$M$3001,Analysis!$M47)&gt;1,"Duplicate","OK")</f>
        <v>OK</v>
      </c>
      <c r="R47" s="6" t="str">
        <f t="shared" si="1"/>
        <v>600-1600</v>
      </c>
      <c r="S47" s="6">
        <f t="shared" si="2"/>
        <v>30</v>
      </c>
      <c r="T47" s="6" t="str">
        <f t="shared" si="3"/>
        <v>Mid</v>
      </c>
      <c r="Z47" s="54"/>
      <c r="AA47" s="54"/>
      <c r="BH47" s="14">
        <f>IFERROR(__xludf.DUMMYFUNCTION("""COMPUTED_VALUE"""),230146.0)</f>
        <v>230146</v>
      </c>
      <c r="BI47" s="15" t="str">
        <f>IFERROR(__xludf.DUMMYFUNCTION("""COMPUTED_VALUE"""),"3011 Oak Ave, San Francisco, TX 47810")</f>
        <v>3011 Oak Ave, San Francisco, TX 47810</v>
      </c>
      <c r="BJ47" s="15" t="str">
        <f>IFERROR(__xludf.DUMMYFUNCTION("""COMPUTED_VALUE"""),"San Francisco")</f>
        <v>San Francisco</v>
      </c>
      <c r="BK47" s="15">
        <f>IFERROR(__xludf.DUMMYFUNCTION("""COMPUTED_VALUE"""),47810.0)</f>
        <v>47810</v>
      </c>
      <c r="BL47" s="15" t="str">
        <f>IFERROR(__xludf.DUMMYFUNCTION("""COMPUTED_VALUE"""),"TX")</f>
        <v>TX</v>
      </c>
      <c r="BM47" s="15" t="str">
        <f>IFERROR(__xludf.DUMMYFUNCTION("""COMPUTED_VALUE"""),"4 bds")</f>
        <v>4 bds</v>
      </c>
      <c r="BN47" s="15" t="str">
        <f>IFERROR(__xludf.DUMMYFUNCTION("""COMPUTED_VALUE"""),"4 ba")</f>
        <v>4 ba</v>
      </c>
      <c r="BO47" s="15">
        <f>IFERROR(__xludf.DUMMYFUNCTION("""COMPUTED_VALUE"""),794.0)</f>
        <v>794</v>
      </c>
      <c r="BP47" s="15">
        <f>IFERROR(__xludf.DUMMYFUNCTION("""COMPUTED_VALUE"""),1927.0)</f>
        <v>1927</v>
      </c>
      <c r="BQ47" s="15">
        <f>IFERROR(__xludf.DUMMYFUNCTION("""COMPUTED_VALUE"""),2002.0)</f>
        <v>2002</v>
      </c>
      <c r="BR47" s="15">
        <f>IFERROR(__xludf.DUMMYFUNCTION("""COMPUTED_VALUE"""),110.0)</f>
        <v>110</v>
      </c>
      <c r="BS47" s="15" t="str">
        <f>IFERROR(__xludf.DUMMYFUNCTION("""COMPUTED_VALUE"""),"Apartment")</f>
        <v>Apartment</v>
      </c>
      <c r="BT47" s="15" t="str">
        <f>IFERROR(__xludf.DUMMYFUNCTION("""COMPUTED_VALUE"""),"Z772371")</f>
        <v>Z772371</v>
      </c>
      <c r="BU47" s="15" t="str">
        <f>IFERROR(__xludf.DUMMYFUNCTION("""COMPUTED_VALUE"""),"Alex Johnson - Compass")</f>
        <v>Alex Johnson - Compass</v>
      </c>
      <c r="BV47" s="15" t="str">
        <f>IFERROR(__xludf.DUMMYFUNCTION("""COMPUTED_VALUE"""),"Sold")</f>
        <v>Sold</v>
      </c>
      <c r="BW47" s="15">
        <f>IFERROR(__xludf.DUMMYFUNCTION("""COMPUTED_VALUE"""),1.0)</f>
        <v>1</v>
      </c>
      <c r="BX47" s="15" t="str">
        <f>IFERROR(__xludf.DUMMYFUNCTION("""COMPUTED_VALUE"""),"OK")</f>
        <v>OK</v>
      </c>
      <c r="BY47" s="1" t="str">
        <f>IFERROR(__xludf.DUMMYFUNCTION("""COMPUTED_VALUE"""),"600-1600")</f>
        <v>600-1600</v>
      </c>
      <c r="BZ47" s="1">
        <f>IFERROR(__xludf.DUMMYFUNCTION("""COMPUTED_VALUE"""),24.0)</f>
        <v>24</v>
      </c>
      <c r="CA47" s="1" t="str">
        <f>IFERROR(__xludf.DUMMYFUNCTION("""COMPUTED_VALUE"""),"Mid")</f>
        <v>Mid</v>
      </c>
    </row>
    <row r="48" ht="14.25" customHeight="1">
      <c r="A48" s="5">
        <v>1253172.0</v>
      </c>
      <c r="B48" s="6" t="s">
        <v>233</v>
      </c>
      <c r="C48" s="6" t="s">
        <v>39</v>
      </c>
      <c r="D48" s="6">
        <v>54468.0</v>
      </c>
      <c r="E48" s="6" t="s">
        <v>60</v>
      </c>
      <c r="F48" s="6" t="s">
        <v>46</v>
      </c>
      <c r="G48" s="6" t="s">
        <v>55</v>
      </c>
      <c r="H48" s="7">
        <v>1718.0</v>
      </c>
      <c r="I48" s="7">
        <v>4766.0</v>
      </c>
      <c r="J48" s="6">
        <v>1993.0</v>
      </c>
      <c r="K48" s="6">
        <v>95.0</v>
      </c>
      <c r="L48" s="6" t="s">
        <v>22</v>
      </c>
      <c r="M48" s="6" t="s">
        <v>234</v>
      </c>
      <c r="N48" s="6" t="s">
        <v>43</v>
      </c>
      <c r="O48" s="6" t="s">
        <v>25</v>
      </c>
      <c r="P48" s="6">
        <f>COUNTIF(Analysis!$M$1:$M$3001,Analysis!$M48)</f>
        <v>1</v>
      </c>
      <c r="Q48" s="6" t="str">
        <f>IF(COUNTIF(Analysis!$M$2:$M$3001,Analysis!$M48)&gt;1,"Duplicate","OK")</f>
        <v>OK</v>
      </c>
      <c r="R48" s="6" t="str">
        <f t="shared" si="1"/>
        <v>1600-2600</v>
      </c>
      <c r="S48" s="6">
        <f t="shared" si="2"/>
        <v>33</v>
      </c>
      <c r="T48" s="6" t="str">
        <f t="shared" si="3"/>
        <v>Old</v>
      </c>
      <c r="Z48" s="54"/>
      <c r="AA48" s="54"/>
      <c r="BH48" s="14">
        <f>IFERROR(__xludf.DUMMYFUNCTION("""COMPUTED_VALUE"""),930934.0)</f>
        <v>930934</v>
      </c>
      <c r="BI48" s="60" t="str">
        <f>IFERROR(__xludf.DUMMYFUNCTION("""COMPUTED_VALUE"""),"3672 Maple Dr, San Francisco, IL 88302")</f>
        <v>3672 Maple Dr, San Francisco, IL 88302</v>
      </c>
      <c r="BJ48" s="60" t="str">
        <f>IFERROR(__xludf.DUMMYFUNCTION("""COMPUTED_VALUE"""),"San Francisco")</f>
        <v>San Francisco</v>
      </c>
      <c r="BK48" s="60">
        <f>IFERROR(__xludf.DUMMYFUNCTION("""COMPUTED_VALUE"""),88302.0)</f>
        <v>88302</v>
      </c>
      <c r="BL48" s="60" t="str">
        <f>IFERROR(__xludf.DUMMYFUNCTION("""COMPUTED_VALUE"""),"IL")</f>
        <v>IL</v>
      </c>
      <c r="BM48" s="60" t="str">
        <f>IFERROR(__xludf.DUMMYFUNCTION("""COMPUTED_VALUE"""),"1 bds")</f>
        <v>1 bds</v>
      </c>
      <c r="BN48" s="60" t="str">
        <f>IFERROR(__xludf.DUMMYFUNCTION("""COMPUTED_VALUE"""),"1 ba")</f>
        <v>1 ba</v>
      </c>
      <c r="BO48" s="60">
        <f>IFERROR(__xludf.DUMMYFUNCTION("""COMPUTED_VALUE"""),3219.0)</f>
        <v>3219</v>
      </c>
      <c r="BP48" s="60">
        <f>IFERROR(__xludf.DUMMYFUNCTION("""COMPUTED_VALUE"""),8079.0)</f>
        <v>8079</v>
      </c>
      <c r="BQ48" s="60">
        <f>IFERROR(__xludf.DUMMYFUNCTION("""COMPUTED_VALUE"""),1966.0)</f>
        <v>1966</v>
      </c>
      <c r="BR48" s="60">
        <f>IFERROR(__xludf.DUMMYFUNCTION("""COMPUTED_VALUE"""),70.0)</f>
        <v>70</v>
      </c>
      <c r="BS48" s="60" t="str">
        <f>IFERROR(__xludf.DUMMYFUNCTION("""COMPUTED_VALUE"""),"Single Family")</f>
        <v>Single Family</v>
      </c>
      <c r="BT48" s="60" t="str">
        <f>IFERROR(__xludf.DUMMYFUNCTION("""COMPUTED_VALUE"""),"Z339811")</f>
        <v>Z339811</v>
      </c>
      <c r="BU48" s="60" t="str">
        <f>IFERROR(__xludf.DUMMYFUNCTION("""COMPUTED_VALUE"""),"Alex Johnson - Compass")</f>
        <v>Alex Johnson - Compass</v>
      </c>
      <c r="BV48" s="60" t="str">
        <f>IFERROR(__xludf.DUMMYFUNCTION("""COMPUTED_VALUE"""),"Sold")</f>
        <v>Sold</v>
      </c>
      <c r="BW48" s="60">
        <f>IFERROR(__xludf.DUMMYFUNCTION("""COMPUTED_VALUE"""),1.0)</f>
        <v>1</v>
      </c>
      <c r="BX48" s="60" t="str">
        <f>IFERROR(__xludf.DUMMYFUNCTION("""COMPUTED_VALUE"""),"OK")</f>
        <v>OK</v>
      </c>
      <c r="BY48" s="1" t="str">
        <f>IFERROR(__xludf.DUMMYFUNCTION("""COMPUTED_VALUE"""),"2600-3600")</f>
        <v>2600-3600</v>
      </c>
      <c r="BZ48" s="1">
        <f>IFERROR(__xludf.DUMMYFUNCTION("""COMPUTED_VALUE"""),60.0)</f>
        <v>60</v>
      </c>
      <c r="CA48" s="1" t="str">
        <f>IFERROR(__xludf.DUMMYFUNCTION("""COMPUTED_VALUE"""),"Old")</f>
        <v>Old</v>
      </c>
    </row>
    <row r="49" ht="14.25" customHeight="1">
      <c r="A49" s="5">
        <v>947261.0</v>
      </c>
      <c r="B49" s="6" t="s">
        <v>237</v>
      </c>
      <c r="C49" s="6" t="s">
        <v>18</v>
      </c>
      <c r="D49" s="6">
        <v>40064.0</v>
      </c>
      <c r="E49" s="6" t="s">
        <v>19</v>
      </c>
      <c r="F49" s="6" t="s">
        <v>54</v>
      </c>
      <c r="G49" s="6" t="s">
        <v>31</v>
      </c>
      <c r="H49" s="7">
        <v>1515.0</v>
      </c>
      <c r="I49" s="7">
        <v>1817.0</v>
      </c>
      <c r="J49" s="6">
        <v>2013.0</v>
      </c>
      <c r="K49" s="6">
        <v>3.0</v>
      </c>
      <c r="L49" s="6" t="s">
        <v>95</v>
      </c>
      <c r="M49" s="6" t="s">
        <v>238</v>
      </c>
      <c r="N49" s="6" t="s">
        <v>43</v>
      </c>
      <c r="O49" s="6" t="s">
        <v>35</v>
      </c>
      <c r="P49" s="6">
        <f>COUNTIF(Analysis!$M$1:$M$3001,Analysis!$M49)</f>
        <v>1</v>
      </c>
      <c r="Q49" s="6" t="str">
        <f>IF(COUNTIF(Analysis!$M$2:$M$3001,Analysis!$M49)&gt;1,"Duplicate","OK")</f>
        <v>OK</v>
      </c>
      <c r="R49" s="6" t="str">
        <f t="shared" si="1"/>
        <v>600-1600</v>
      </c>
      <c r="S49" s="6">
        <f t="shared" si="2"/>
        <v>13</v>
      </c>
      <c r="T49" s="6" t="str">
        <f t="shared" si="3"/>
        <v>Mid</v>
      </c>
      <c r="Z49" s="54"/>
      <c r="AA49" s="54"/>
      <c r="BH49" s="14">
        <f>IFERROR(__xludf.DUMMYFUNCTION("""COMPUTED_VALUE"""),380565.0)</f>
        <v>380565</v>
      </c>
      <c r="BI49" s="60" t="str">
        <f>IFERROR(__xludf.DUMMYFUNCTION("""COMPUTED_VALUE"""),"969 Maple Dr, San Diego, NY 80154")</f>
        <v>969 Maple Dr, San Diego, NY 80154</v>
      </c>
      <c r="BJ49" s="60" t="str">
        <f>IFERROR(__xludf.DUMMYFUNCTION("""COMPUTED_VALUE"""),"San Diego")</f>
        <v>San Diego</v>
      </c>
      <c r="BK49" s="60">
        <f>IFERROR(__xludf.DUMMYFUNCTION("""COMPUTED_VALUE"""),80154.0)</f>
        <v>80154</v>
      </c>
      <c r="BL49" s="60" t="str">
        <f>IFERROR(__xludf.DUMMYFUNCTION("""COMPUTED_VALUE"""),"NY")</f>
        <v>NY</v>
      </c>
      <c r="BM49" s="60" t="str">
        <f>IFERROR(__xludf.DUMMYFUNCTION("""COMPUTED_VALUE"""),"4 bds")</f>
        <v>4 bds</v>
      </c>
      <c r="BN49" s="60" t="str">
        <f>IFERROR(__xludf.DUMMYFUNCTION("""COMPUTED_VALUE"""),"3 ba")</f>
        <v>3 ba</v>
      </c>
      <c r="BO49" s="60">
        <f>IFERROR(__xludf.DUMMYFUNCTION("""COMPUTED_VALUE"""),3509.0)</f>
        <v>3509</v>
      </c>
      <c r="BP49" s="60">
        <f>IFERROR(__xludf.DUMMYFUNCTION("""COMPUTED_VALUE"""),5120.0)</f>
        <v>5120</v>
      </c>
      <c r="BQ49" s="60">
        <f>IFERROR(__xludf.DUMMYFUNCTION("""COMPUTED_VALUE"""),2017.0)</f>
        <v>2017</v>
      </c>
      <c r="BR49" s="60">
        <f>IFERROR(__xludf.DUMMYFUNCTION("""COMPUTED_VALUE"""),71.0)</f>
        <v>71</v>
      </c>
      <c r="BS49" s="60" t="str">
        <f>IFERROR(__xludf.DUMMYFUNCTION("""COMPUTED_VALUE"""),"Single Family")</f>
        <v>Single Family</v>
      </c>
      <c r="BT49" s="60" t="str">
        <f>IFERROR(__xludf.DUMMYFUNCTION("""COMPUTED_VALUE"""),"Z578726")</f>
        <v>Z578726</v>
      </c>
      <c r="BU49" s="60" t="str">
        <f>IFERROR(__xludf.DUMMYFUNCTION("""COMPUTED_VALUE"""),"Alex Johnson - Compass")</f>
        <v>Alex Johnson - Compass</v>
      </c>
      <c r="BV49" s="60" t="str">
        <f>IFERROR(__xludf.DUMMYFUNCTION("""COMPUTED_VALUE"""),"Sold")</f>
        <v>Sold</v>
      </c>
      <c r="BW49" s="60">
        <f>IFERROR(__xludf.DUMMYFUNCTION("""COMPUTED_VALUE"""),1.0)</f>
        <v>1</v>
      </c>
      <c r="BX49" s="60" t="str">
        <f>IFERROR(__xludf.DUMMYFUNCTION("""COMPUTED_VALUE"""),"OK")</f>
        <v>OK</v>
      </c>
      <c r="BY49" s="1" t="str">
        <f>IFERROR(__xludf.DUMMYFUNCTION("""COMPUTED_VALUE"""),"2600-3600")</f>
        <v>2600-3600</v>
      </c>
      <c r="BZ49" s="1">
        <f>IFERROR(__xludf.DUMMYFUNCTION("""COMPUTED_VALUE"""),9.0)</f>
        <v>9</v>
      </c>
      <c r="CA49" s="1" t="str">
        <f>IFERROR(__xludf.DUMMYFUNCTION("""COMPUTED_VALUE"""),"New")</f>
        <v>New</v>
      </c>
    </row>
    <row r="50" ht="14.25" customHeight="1">
      <c r="A50" s="5">
        <v>928085.0</v>
      </c>
      <c r="B50" s="6" t="s">
        <v>241</v>
      </c>
      <c r="C50" s="6" t="s">
        <v>39</v>
      </c>
      <c r="D50" s="6">
        <v>54502.0</v>
      </c>
      <c r="E50" s="6" t="s">
        <v>77</v>
      </c>
      <c r="F50" s="6" t="s">
        <v>46</v>
      </c>
      <c r="G50" s="6" t="s">
        <v>21</v>
      </c>
      <c r="H50" s="7">
        <v>3201.0</v>
      </c>
      <c r="I50" s="7">
        <v>6981.0</v>
      </c>
      <c r="J50" s="6">
        <v>2014.0</v>
      </c>
      <c r="K50" s="6">
        <v>63.0</v>
      </c>
      <c r="L50" s="6" t="s">
        <v>62</v>
      </c>
      <c r="M50" s="6" t="s">
        <v>242</v>
      </c>
      <c r="N50" s="6" t="s">
        <v>43</v>
      </c>
      <c r="O50" s="6" t="s">
        <v>49</v>
      </c>
      <c r="P50" s="6">
        <f>COUNTIF(Analysis!$M$1:$M$3001,Analysis!$M50)</f>
        <v>1</v>
      </c>
      <c r="Q50" s="6" t="str">
        <f>IF(COUNTIF(Analysis!$M$2:$M$3001,Analysis!$M50)&gt;1,"Duplicate","OK")</f>
        <v>OK</v>
      </c>
      <c r="R50" s="6" t="str">
        <f t="shared" si="1"/>
        <v>2600-3600</v>
      </c>
      <c r="S50" s="6">
        <f t="shared" si="2"/>
        <v>12</v>
      </c>
      <c r="T50" s="6" t="str">
        <f t="shared" si="3"/>
        <v>Mid</v>
      </c>
      <c r="Z50" s="54"/>
      <c r="AA50" s="54"/>
      <c r="BH50" s="14">
        <f>IFERROR(__xludf.DUMMYFUNCTION("""COMPUTED_VALUE"""),1040215.0)</f>
        <v>1040215</v>
      </c>
      <c r="BI50" s="60" t="str">
        <f>IFERROR(__xludf.DUMMYFUNCTION("""COMPUTED_VALUE"""),"3118 Maple Dr, Los Angeles, FL 55444")</f>
        <v>3118 Maple Dr, Los Angeles, FL 55444</v>
      </c>
      <c r="BJ50" s="60" t="str">
        <f>IFERROR(__xludf.DUMMYFUNCTION("""COMPUTED_VALUE"""),"Los Angeles")</f>
        <v>Los Angeles</v>
      </c>
      <c r="BK50" s="60">
        <f>IFERROR(__xludf.DUMMYFUNCTION("""COMPUTED_VALUE"""),55444.0)</f>
        <v>55444</v>
      </c>
      <c r="BL50" s="60" t="str">
        <f>IFERROR(__xludf.DUMMYFUNCTION("""COMPUTED_VALUE"""),"FL")</f>
        <v>FL</v>
      </c>
      <c r="BM50" s="60" t="str">
        <f>IFERROR(__xludf.DUMMYFUNCTION("""COMPUTED_VALUE"""),"5 bds")</f>
        <v>5 bds</v>
      </c>
      <c r="BN50" s="60" t="str">
        <f>IFERROR(__xludf.DUMMYFUNCTION("""COMPUTED_VALUE"""),"4 ba")</f>
        <v>4 ba</v>
      </c>
      <c r="BO50" s="60">
        <f>IFERROR(__xludf.DUMMYFUNCTION("""COMPUTED_VALUE"""),2130.0)</f>
        <v>2130</v>
      </c>
      <c r="BP50" s="60">
        <f>IFERROR(__xludf.DUMMYFUNCTION("""COMPUTED_VALUE"""),6097.0)</f>
        <v>6097</v>
      </c>
      <c r="BQ50" s="60">
        <f>IFERROR(__xludf.DUMMYFUNCTION("""COMPUTED_VALUE"""),2008.0)</f>
        <v>2008</v>
      </c>
      <c r="BR50" s="60">
        <f>IFERROR(__xludf.DUMMYFUNCTION("""COMPUTED_VALUE"""),43.0)</f>
        <v>43</v>
      </c>
      <c r="BS50" s="60" t="str">
        <f>IFERROR(__xludf.DUMMYFUNCTION("""COMPUTED_VALUE"""),"Apartment")</f>
        <v>Apartment</v>
      </c>
      <c r="BT50" s="60" t="str">
        <f>IFERROR(__xludf.DUMMYFUNCTION("""COMPUTED_VALUE"""),"Z688333")</f>
        <v>Z688333</v>
      </c>
      <c r="BU50" s="60" t="str">
        <f>IFERROR(__xludf.DUMMYFUNCTION("""COMPUTED_VALUE"""),"Alex Johnson - Compass")</f>
        <v>Alex Johnson - Compass</v>
      </c>
      <c r="BV50" s="60" t="str">
        <f>IFERROR(__xludf.DUMMYFUNCTION("""COMPUTED_VALUE"""),"Sold")</f>
        <v>Sold</v>
      </c>
      <c r="BW50" s="60">
        <f>IFERROR(__xludf.DUMMYFUNCTION("""COMPUTED_VALUE"""),1.0)</f>
        <v>1</v>
      </c>
      <c r="BX50" s="60" t="str">
        <f>IFERROR(__xludf.DUMMYFUNCTION("""COMPUTED_VALUE"""),"OK")</f>
        <v>OK</v>
      </c>
      <c r="BY50" s="1" t="str">
        <f>IFERROR(__xludf.DUMMYFUNCTION("""COMPUTED_VALUE"""),"1600-2600")</f>
        <v>1600-2600</v>
      </c>
      <c r="BZ50" s="1">
        <f>IFERROR(__xludf.DUMMYFUNCTION("""COMPUTED_VALUE"""),18.0)</f>
        <v>18</v>
      </c>
      <c r="CA50" s="1" t="str">
        <f>IFERROR(__xludf.DUMMYFUNCTION("""COMPUTED_VALUE"""),"Mid")</f>
        <v>Mid</v>
      </c>
    </row>
    <row r="51" ht="14.25" customHeight="1">
      <c r="A51" s="5">
        <v>108787.0</v>
      </c>
      <c r="B51" s="6" t="s">
        <v>3211</v>
      </c>
      <c r="C51" s="6" t="s">
        <v>29</v>
      </c>
      <c r="D51" s="6">
        <v>67573.0</v>
      </c>
      <c r="E51" s="6" t="s">
        <v>60</v>
      </c>
      <c r="F51" s="6" t="s">
        <v>94</v>
      </c>
      <c r="G51" s="6" t="s">
        <v>31</v>
      </c>
      <c r="H51" s="7">
        <v>3249.0</v>
      </c>
      <c r="I51" s="7">
        <v>4366.0</v>
      </c>
      <c r="J51" s="6">
        <v>1954.0</v>
      </c>
      <c r="K51" s="6">
        <v>10.0</v>
      </c>
      <c r="L51" s="6" t="s">
        <v>32</v>
      </c>
      <c r="M51" s="6" t="s">
        <v>3212</v>
      </c>
      <c r="N51" s="6" t="s">
        <v>34</v>
      </c>
      <c r="O51" s="6" t="s">
        <v>25</v>
      </c>
      <c r="P51" s="6">
        <f>COUNTIF(Analysis!$M$1:$M$3001,Analysis!$M793)</f>
        <v>1</v>
      </c>
      <c r="Q51" s="6" t="str">
        <f>IF(COUNTIF(Analysis!$M$2:$M$3001,Analysis!$M793)&gt;1,"Duplicate","OK")</f>
        <v>OK</v>
      </c>
      <c r="R51" s="6" t="str">
        <f t="shared" si="1"/>
        <v>2600-3600</v>
      </c>
      <c r="S51" s="6">
        <f t="shared" si="2"/>
        <v>72</v>
      </c>
      <c r="T51" s="6" t="str">
        <f t="shared" si="3"/>
        <v>Very Old</v>
      </c>
      <c r="Z51" s="54"/>
      <c r="AA51" s="54"/>
      <c r="BH51" s="14">
        <f>IFERROR(__xludf.DUMMYFUNCTION("""COMPUTED_VALUE"""),984633.0)</f>
        <v>984633</v>
      </c>
      <c r="BI51" s="60" t="str">
        <f>IFERROR(__xludf.DUMMYFUNCTION("""COMPUTED_VALUE"""),"3266 Maple Dr, Los Angeles, CA 27317")</f>
        <v>3266 Maple Dr, Los Angeles, CA 27317</v>
      </c>
      <c r="BJ51" s="60" t="str">
        <f>IFERROR(__xludf.DUMMYFUNCTION("""COMPUTED_VALUE"""),"Los Angeles")</f>
        <v>Los Angeles</v>
      </c>
      <c r="BK51" s="60">
        <f>IFERROR(__xludf.DUMMYFUNCTION("""COMPUTED_VALUE"""),27317.0)</f>
        <v>27317</v>
      </c>
      <c r="BL51" s="60" t="str">
        <f>IFERROR(__xludf.DUMMYFUNCTION("""COMPUTED_VALUE"""),"CA")</f>
        <v>CA</v>
      </c>
      <c r="BM51" s="60" t="str">
        <f>IFERROR(__xludf.DUMMYFUNCTION("""COMPUTED_VALUE"""),"2 bds")</f>
        <v>2 bds</v>
      </c>
      <c r="BN51" s="60" t="str">
        <f>IFERROR(__xludf.DUMMYFUNCTION("""COMPUTED_VALUE"""),"1 ba")</f>
        <v>1 ba</v>
      </c>
      <c r="BO51" s="60">
        <f>IFERROR(__xludf.DUMMYFUNCTION("""COMPUTED_VALUE"""),1014.0)</f>
        <v>1014</v>
      </c>
      <c r="BP51" s="60">
        <f>IFERROR(__xludf.DUMMYFUNCTION("""COMPUTED_VALUE"""),1919.0)</f>
        <v>1919</v>
      </c>
      <c r="BQ51" s="60">
        <f>IFERROR(__xludf.DUMMYFUNCTION("""COMPUTED_VALUE"""),1989.0)</f>
        <v>1989</v>
      </c>
      <c r="BR51" s="60">
        <f>IFERROR(__xludf.DUMMYFUNCTION("""COMPUTED_VALUE"""),105.0)</f>
        <v>105</v>
      </c>
      <c r="BS51" s="60" t="str">
        <f>IFERROR(__xludf.DUMMYFUNCTION("""COMPUTED_VALUE"""),"Single Family")</f>
        <v>Single Family</v>
      </c>
      <c r="BT51" s="60" t="str">
        <f>IFERROR(__xludf.DUMMYFUNCTION("""COMPUTED_VALUE"""),"Z720462")</f>
        <v>Z720462</v>
      </c>
      <c r="BU51" s="60" t="str">
        <f>IFERROR(__xludf.DUMMYFUNCTION("""COMPUTED_VALUE"""),"Alex Johnson - Compass")</f>
        <v>Alex Johnson - Compass</v>
      </c>
      <c r="BV51" s="60" t="str">
        <f>IFERROR(__xludf.DUMMYFUNCTION("""COMPUTED_VALUE"""),"Sold")</f>
        <v>Sold</v>
      </c>
      <c r="BW51" s="60">
        <f>IFERROR(__xludf.DUMMYFUNCTION("""COMPUTED_VALUE"""),1.0)</f>
        <v>1</v>
      </c>
      <c r="BX51" s="60" t="str">
        <f>IFERROR(__xludf.DUMMYFUNCTION("""COMPUTED_VALUE"""),"OK")</f>
        <v>OK</v>
      </c>
      <c r="BY51" s="1" t="str">
        <f>IFERROR(__xludf.DUMMYFUNCTION("""COMPUTED_VALUE"""),"600-1600")</f>
        <v>600-1600</v>
      </c>
      <c r="BZ51" s="1">
        <f>IFERROR(__xludf.DUMMYFUNCTION("""COMPUTED_VALUE"""),37.0)</f>
        <v>37</v>
      </c>
      <c r="CA51" s="1" t="str">
        <f>IFERROR(__xludf.DUMMYFUNCTION("""COMPUTED_VALUE"""),"Old")</f>
        <v>Old</v>
      </c>
    </row>
    <row r="52" ht="14.25" customHeight="1">
      <c r="A52" s="5">
        <v>704012.0</v>
      </c>
      <c r="B52" s="6" t="s">
        <v>249</v>
      </c>
      <c r="C52" s="6" t="s">
        <v>76</v>
      </c>
      <c r="D52" s="6">
        <v>39228.0</v>
      </c>
      <c r="E52" s="6" t="s">
        <v>40</v>
      </c>
      <c r="F52" s="6" t="s">
        <v>46</v>
      </c>
      <c r="G52" s="6" t="s">
        <v>55</v>
      </c>
      <c r="H52" s="7">
        <v>2192.0</v>
      </c>
      <c r="I52" s="7">
        <v>2491.0</v>
      </c>
      <c r="J52" s="6">
        <v>2022.0</v>
      </c>
      <c r="K52" s="6">
        <v>82.0</v>
      </c>
      <c r="L52" s="6" t="s">
        <v>62</v>
      </c>
      <c r="M52" s="6" t="s">
        <v>250</v>
      </c>
      <c r="N52" s="6" t="s">
        <v>24</v>
      </c>
      <c r="O52" s="6" t="s">
        <v>25</v>
      </c>
      <c r="P52" s="6">
        <f>COUNTIF(Analysis!$M$1:$M$3001,Analysis!$M52)</f>
        <v>1</v>
      </c>
      <c r="Q52" s="6" t="str">
        <f>IF(COUNTIF(Analysis!$M$2:$M$3001,Analysis!$M52)&gt;1,"Duplicate","OK")</f>
        <v>OK</v>
      </c>
      <c r="R52" s="6" t="str">
        <f t="shared" si="1"/>
        <v>1600-2600</v>
      </c>
      <c r="S52" s="6">
        <f t="shared" si="2"/>
        <v>4</v>
      </c>
      <c r="T52" s="6" t="str">
        <f t="shared" si="3"/>
        <v>New</v>
      </c>
      <c r="Z52" s="54"/>
      <c r="AA52" s="54"/>
      <c r="BH52" s="14">
        <f>IFERROR(__xludf.DUMMYFUNCTION("""COMPUTED_VALUE"""),1442863.0)</f>
        <v>1442863</v>
      </c>
      <c r="BI52" s="60" t="str">
        <f>IFERROR(__xludf.DUMMYFUNCTION("""COMPUTED_VALUE"""),"6087 Elm St, Los Angeles, CA 90177")</f>
        <v>6087 Elm St, Los Angeles, CA 90177</v>
      </c>
      <c r="BJ52" s="60" t="str">
        <f>IFERROR(__xludf.DUMMYFUNCTION("""COMPUTED_VALUE"""),"Los Angeles")</f>
        <v>Los Angeles</v>
      </c>
      <c r="BK52" s="60">
        <f>IFERROR(__xludf.DUMMYFUNCTION("""COMPUTED_VALUE"""),90177.0)</f>
        <v>90177</v>
      </c>
      <c r="BL52" s="60" t="str">
        <f>IFERROR(__xludf.DUMMYFUNCTION("""COMPUTED_VALUE"""),"CA")</f>
        <v>CA</v>
      </c>
      <c r="BM52" s="60" t="str">
        <f>IFERROR(__xludf.DUMMYFUNCTION("""COMPUTED_VALUE"""),"4 bds")</f>
        <v>4 bds</v>
      </c>
      <c r="BN52" s="60" t="str">
        <f>IFERROR(__xludf.DUMMYFUNCTION("""COMPUTED_VALUE"""),"2 ba")</f>
        <v>2 ba</v>
      </c>
      <c r="BO52" s="60">
        <f>IFERROR(__xludf.DUMMYFUNCTION("""COMPUTED_VALUE"""),2278.0)</f>
        <v>2278</v>
      </c>
      <c r="BP52" s="60">
        <f>IFERROR(__xludf.DUMMYFUNCTION("""COMPUTED_VALUE"""),8180.0)</f>
        <v>8180</v>
      </c>
      <c r="BQ52" s="60">
        <f>IFERROR(__xludf.DUMMYFUNCTION("""COMPUTED_VALUE"""),1966.0)</f>
        <v>1966</v>
      </c>
      <c r="BR52" s="60">
        <f>IFERROR(__xludf.DUMMYFUNCTION("""COMPUTED_VALUE"""),103.0)</f>
        <v>103</v>
      </c>
      <c r="BS52" s="60" t="str">
        <f>IFERROR(__xludf.DUMMYFUNCTION("""COMPUTED_VALUE"""),"Apartment")</f>
        <v>Apartment</v>
      </c>
      <c r="BT52" s="60" t="str">
        <f>IFERROR(__xludf.DUMMYFUNCTION("""COMPUTED_VALUE"""),"Z474980")</f>
        <v>Z474980</v>
      </c>
      <c r="BU52" s="60" t="str">
        <f>IFERROR(__xludf.DUMMYFUNCTION("""COMPUTED_VALUE"""),"Alex Johnson - Compass")</f>
        <v>Alex Johnson - Compass</v>
      </c>
      <c r="BV52" s="60" t="str">
        <f>IFERROR(__xludf.DUMMYFUNCTION("""COMPUTED_VALUE"""),"Sold")</f>
        <v>Sold</v>
      </c>
      <c r="BW52" s="60">
        <f>IFERROR(__xludf.DUMMYFUNCTION("""COMPUTED_VALUE"""),1.0)</f>
        <v>1</v>
      </c>
      <c r="BX52" s="60" t="str">
        <f>IFERROR(__xludf.DUMMYFUNCTION("""COMPUTED_VALUE"""),"OK")</f>
        <v>OK</v>
      </c>
      <c r="BY52" s="1" t="str">
        <f>IFERROR(__xludf.DUMMYFUNCTION("""COMPUTED_VALUE"""),"1600-2600")</f>
        <v>1600-2600</v>
      </c>
      <c r="BZ52" s="1">
        <f>IFERROR(__xludf.DUMMYFUNCTION("""COMPUTED_VALUE"""),60.0)</f>
        <v>60</v>
      </c>
      <c r="CA52" s="1" t="str">
        <f>IFERROR(__xludf.DUMMYFUNCTION("""COMPUTED_VALUE"""),"Old")</f>
        <v>Old</v>
      </c>
    </row>
    <row r="53" ht="14.25" customHeight="1">
      <c r="A53" s="5">
        <v>894851.0</v>
      </c>
      <c r="B53" s="6" t="s">
        <v>253</v>
      </c>
      <c r="C53" s="6" t="s">
        <v>53</v>
      </c>
      <c r="D53" s="6">
        <v>25964.0</v>
      </c>
      <c r="E53" s="6" t="s">
        <v>60</v>
      </c>
      <c r="F53" s="6" t="s">
        <v>20</v>
      </c>
      <c r="G53" s="6" t="s">
        <v>31</v>
      </c>
      <c r="H53" s="7">
        <v>2983.0</v>
      </c>
      <c r="I53" s="7">
        <v>6389.0</v>
      </c>
      <c r="J53" s="6">
        <v>1975.0</v>
      </c>
      <c r="K53" s="6">
        <v>89.0</v>
      </c>
      <c r="L53" s="6" t="s">
        <v>141</v>
      </c>
      <c r="M53" s="6" t="s">
        <v>254</v>
      </c>
      <c r="N53" s="6" t="s">
        <v>43</v>
      </c>
      <c r="O53" s="6" t="s">
        <v>25</v>
      </c>
      <c r="P53" s="6">
        <f>COUNTIF(Analysis!$M$1:$M$3001,Analysis!$M53)</f>
        <v>1</v>
      </c>
      <c r="Q53" s="6" t="str">
        <f>IF(COUNTIF(Analysis!$M$2:$M$3001,Analysis!$M53)&gt;1,"Duplicate","OK")</f>
        <v>OK</v>
      </c>
      <c r="R53" s="6" t="str">
        <f t="shared" si="1"/>
        <v>2600-3600</v>
      </c>
      <c r="S53" s="6">
        <f t="shared" si="2"/>
        <v>51</v>
      </c>
      <c r="T53" s="6" t="str">
        <f t="shared" si="3"/>
        <v>Old</v>
      </c>
      <c r="Z53" s="54"/>
      <c r="AA53" s="54"/>
      <c r="BH53" s="14">
        <f>IFERROR(__xludf.DUMMYFUNCTION("""COMPUTED_VALUE"""),1122337.0)</f>
        <v>1122337</v>
      </c>
      <c r="BI53" s="60" t="str">
        <f>IFERROR(__xludf.DUMMYFUNCTION("""COMPUTED_VALUE"""),"2318 Elm St, San Francisco, IL 52454")</f>
        <v>2318 Elm St, San Francisco, IL 52454</v>
      </c>
      <c r="BJ53" s="60" t="str">
        <f>IFERROR(__xludf.DUMMYFUNCTION("""COMPUTED_VALUE"""),"San Francisco")</f>
        <v>San Francisco</v>
      </c>
      <c r="BK53" s="60">
        <f>IFERROR(__xludf.DUMMYFUNCTION("""COMPUTED_VALUE"""),52454.0)</f>
        <v>52454</v>
      </c>
      <c r="BL53" s="60" t="str">
        <f>IFERROR(__xludf.DUMMYFUNCTION("""COMPUTED_VALUE"""),"IL")</f>
        <v>IL</v>
      </c>
      <c r="BM53" s="60" t="str">
        <f>IFERROR(__xludf.DUMMYFUNCTION("""COMPUTED_VALUE"""),"4 bds")</f>
        <v>4 bds</v>
      </c>
      <c r="BN53" s="60" t="str">
        <f>IFERROR(__xludf.DUMMYFUNCTION("""COMPUTED_VALUE"""),"1 ba")</f>
        <v>1 ba</v>
      </c>
      <c r="BO53" s="60">
        <f>IFERROR(__xludf.DUMMYFUNCTION("""COMPUTED_VALUE"""),1947.0)</f>
        <v>1947</v>
      </c>
      <c r="BP53" s="60">
        <f>IFERROR(__xludf.DUMMYFUNCTION("""COMPUTED_VALUE"""),3995.0)</f>
        <v>3995</v>
      </c>
      <c r="BQ53" s="60">
        <f>IFERROR(__xludf.DUMMYFUNCTION("""COMPUTED_VALUE"""),1996.0)</f>
        <v>1996</v>
      </c>
      <c r="BR53" s="60">
        <f>IFERROR(__xludf.DUMMYFUNCTION("""COMPUTED_VALUE"""),40.0)</f>
        <v>40</v>
      </c>
      <c r="BS53" s="60" t="str">
        <f>IFERROR(__xludf.DUMMYFUNCTION("""COMPUTED_VALUE"""),"Condo")</f>
        <v>Condo</v>
      </c>
      <c r="BT53" s="60" t="str">
        <f>IFERROR(__xludf.DUMMYFUNCTION("""COMPUTED_VALUE"""),"Z470916")</f>
        <v>Z470916</v>
      </c>
      <c r="BU53" s="60" t="str">
        <f>IFERROR(__xludf.DUMMYFUNCTION("""COMPUTED_VALUE"""),"Alex Johnson - Compass")</f>
        <v>Alex Johnson - Compass</v>
      </c>
      <c r="BV53" s="60" t="str">
        <f>IFERROR(__xludf.DUMMYFUNCTION("""COMPUTED_VALUE"""),"Sold")</f>
        <v>Sold</v>
      </c>
      <c r="BW53" s="60">
        <f>IFERROR(__xludf.DUMMYFUNCTION("""COMPUTED_VALUE"""),1.0)</f>
        <v>1</v>
      </c>
      <c r="BX53" s="60" t="str">
        <f>IFERROR(__xludf.DUMMYFUNCTION("""COMPUTED_VALUE"""),"OK")</f>
        <v>OK</v>
      </c>
      <c r="BY53" s="1" t="str">
        <f>IFERROR(__xludf.DUMMYFUNCTION("""COMPUTED_VALUE"""),"1600-2600")</f>
        <v>1600-2600</v>
      </c>
      <c r="BZ53" s="1">
        <f>IFERROR(__xludf.DUMMYFUNCTION("""COMPUTED_VALUE"""),30.0)</f>
        <v>30</v>
      </c>
      <c r="CA53" s="1" t="str">
        <f>IFERROR(__xludf.DUMMYFUNCTION("""COMPUTED_VALUE"""),"Mid")</f>
        <v>Mid</v>
      </c>
    </row>
    <row r="54" ht="14.25" customHeight="1">
      <c r="A54" s="5">
        <v>1062706.0</v>
      </c>
      <c r="B54" s="6" t="s">
        <v>257</v>
      </c>
      <c r="C54" s="6" t="s">
        <v>18</v>
      </c>
      <c r="D54" s="6">
        <v>61792.0</v>
      </c>
      <c r="E54" s="6" t="s">
        <v>77</v>
      </c>
      <c r="F54" s="6" t="s">
        <v>46</v>
      </c>
      <c r="G54" s="6" t="s">
        <v>100</v>
      </c>
      <c r="H54" s="7">
        <v>1143.0</v>
      </c>
      <c r="I54" s="7">
        <v>3561.0</v>
      </c>
      <c r="J54" s="6">
        <v>2006.0</v>
      </c>
      <c r="K54" s="6">
        <v>28.0</v>
      </c>
      <c r="L54" s="6" t="s">
        <v>62</v>
      </c>
      <c r="M54" s="6" t="s">
        <v>258</v>
      </c>
      <c r="N54" s="6" t="s">
        <v>64</v>
      </c>
      <c r="O54" s="6" t="s">
        <v>49</v>
      </c>
      <c r="P54" s="6">
        <f>COUNTIF(Analysis!$M$1:$M$3001,Analysis!$M54)</f>
        <v>1</v>
      </c>
      <c r="Q54" s="6" t="str">
        <f>IF(COUNTIF(Analysis!$M$2:$M$3001,Analysis!$M54)&gt;1,"Duplicate","OK")</f>
        <v>OK</v>
      </c>
      <c r="R54" s="6" t="str">
        <f t="shared" si="1"/>
        <v>600-1600</v>
      </c>
      <c r="S54" s="6">
        <f t="shared" si="2"/>
        <v>20</v>
      </c>
      <c r="T54" s="6" t="str">
        <f t="shared" si="3"/>
        <v>Mid</v>
      </c>
      <c r="Z54" s="54"/>
      <c r="AA54" s="54"/>
      <c r="BH54" s="14">
        <f>IFERROR(__xludf.DUMMYFUNCTION("""COMPUTED_VALUE"""),243343.0)</f>
        <v>243343</v>
      </c>
      <c r="BI54" s="60" t="str">
        <f>IFERROR(__xludf.DUMMYFUNCTION("""COMPUTED_VALUE"""),"2240 Maple Dr, San Diego, TX 81784")</f>
        <v>2240 Maple Dr, San Diego, TX 81784</v>
      </c>
      <c r="BJ54" s="60" t="str">
        <f>IFERROR(__xludf.DUMMYFUNCTION("""COMPUTED_VALUE"""),"San Diego")</f>
        <v>San Diego</v>
      </c>
      <c r="BK54" s="60">
        <f>IFERROR(__xludf.DUMMYFUNCTION("""COMPUTED_VALUE"""),81784.0)</f>
        <v>81784</v>
      </c>
      <c r="BL54" s="60" t="str">
        <f>IFERROR(__xludf.DUMMYFUNCTION("""COMPUTED_VALUE"""),"TX")</f>
        <v>TX</v>
      </c>
      <c r="BM54" s="60" t="str">
        <f>IFERROR(__xludf.DUMMYFUNCTION("""COMPUTED_VALUE"""),"2 bds")</f>
        <v>2 bds</v>
      </c>
      <c r="BN54" s="60" t="str">
        <f>IFERROR(__xludf.DUMMYFUNCTION("""COMPUTED_VALUE"""),"2 ba")</f>
        <v>2 ba</v>
      </c>
      <c r="BO54" s="60">
        <f>IFERROR(__xludf.DUMMYFUNCTION("""COMPUTED_VALUE"""),3958.0)</f>
        <v>3958</v>
      </c>
      <c r="BP54" s="60">
        <f>IFERROR(__xludf.DUMMYFUNCTION("""COMPUTED_VALUE"""),1936.0)</f>
        <v>1936</v>
      </c>
      <c r="BQ54" s="60">
        <f>IFERROR(__xludf.DUMMYFUNCTION("""COMPUTED_VALUE"""),2012.0)</f>
        <v>2012</v>
      </c>
      <c r="BR54" s="60">
        <f>IFERROR(__xludf.DUMMYFUNCTION("""COMPUTED_VALUE"""),116.0)</f>
        <v>116</v>
      </c>
      <c r="BS54" s="60" t="str">
        <f>IFERROR(__xludf.DUMMYFUNCTION("""COMPUTED_VALUE"""),"Condo")</f>
        <v>Condo</v>
      </c>
      <c r="BT54" s="60" t="str">
        <f>IFERROR(__xludf.DUMMYFUNCTION("""COMPUTED_VALUE"""),"Z766765")</f>
        <v>Z766765</v>
      </c>
      <c r="BU54" s="60" t="str">
        <f>IFERROR(__xludf.DUMMYFUNCTION("""COMPUTED_VALUE"""),"Alex Johnson - Compass")</f>
        <v>Alex Johnson - Compass</v>
      </c>
      <c r="BV54" s="60" t="str">
        <f>IFERROR(__xludf.DUMMYFUNCTION("""COMPUTED_VALUE"""),"Sold")</f>
        <v>Sold</v>
      </c>
      <c r="BW54" s="60">
        <f>IFERROR(__xludf.DUMMYFUNCTION("""COMPUTED_VALUE"""),1.0)</f>
        <v>1</v>
      </c>
      <c r="BX54" s="60" t="str">
        <f>IFERROR(__xludf.DUMMYFUNCTION("""COMPUTED_VALUE"""),"OK")</f>
        <v>OK</v>
      </c>
      <c r="BY54" s="1" t="str">
        <f>IFERROR(__xludf.DUMMYFUNCTION("""COMPUTED_VALUE"""),"3600+")</f>
        <v>3600+</v>
      </c>
      <c r="BZ54" s="1">
        <f>IFERROR(__xludf.DUMMYFUNCTION("""COMPUTED_VALUE"""),14.0)</f>
        <v>14</v>
      </c>
      <c r="CA54" s="1" t="str">
        <f>IFERROR(__xludf.DUMMYFUNCTION("""COMPUTED_VALUE"""),"Mid")</f>
        <v>Mid</v>
      </c>
    </row>
    <row r="55" ht="14.25" customHeight="1">
      <c r="A55" s="5">
        <v>1293272.0</v>
      </c>
      <c r="B55" s="6" t="s">
        <v>261</v>
      </c>
      <c r="C55" s="6" t="s">
        <v>18</v>
      </c>
      <c r="D55" s="6">
        <v>91305.0</v>
      </c>
      <c r="E55" s="6" t="s">
        <v>40</v>
      </c>
      <c r="F55" s="6" t="s">
        <v>20</v>
      </c>
      <c r="G55" s="6" t="s">
        <v>21</v>
      </c>
      <c r="H55" s="7">
        <v>1004.0</v>
      </c>
      <c r="I55" s="7">
        <v>4822.0</v>
      </c>
      <c r="J55" s="6">
        <v>1982.0</v>
      </c>
      <c r="K55" s="6">
        <v>28.0</v>
      </c>
      <c r="L55" s="6" t="s">
        <v>32</v>
      </c>
      <c r="M55" s="6" t="s">
        <v>262</v>
      </c>
      <c r="N55" s="6" t="s">
        <v>43</v>
      </c>
      <c r="O55" s="6" t="s">
        <v>49</v>
      </c>
      <c r="P55" s="6">
        <f>COUNTIF(Analysis!$M$1:$M$3001,Analysis!$M55)</f>
        <v>1</v>
      </c>
      <c r="Q55" s="6" t="str">
        <f>IF(COUNTIF(Analysis!$M$2:$M$3001,Analysis!$M55)&gt;1,"Duplicate","OK")</f>
        <v>OK</v>
      </c>
      <c r="R55" s="6" t="str">
        <f t="shared" si="1"/>
        <v>600-1600</v>
      </c>
      <c r="S55" s="6">
        <f t="shared" si="2"/>
        <v>44</v>
      </c>
      <c r="T55" s="6" t="str">
        <f t="shared" si="3"/>
        <v>Old</v>
      </c>
      <c r="Z55" s="54"/>
      <c r="AA55" s="54"/>
      <c r="BH55" s="14">
        <f>IFERROR(__xludf.DUMMYFUNCTION("""COMPUTED_VALUE"""),812527.0)</f>
        <v>812527</v>
      </c>
      <c r="BI55" s="60" t="str">
        <f>IFERROR(__xludf.DUMMYFUNCTION("""COMPUTED_VALUE"""),"5462 Oak Ave, Los Angeles, TX 13830")</f>
        <v>5462 Oak Ave, Los Angeles, TX 13830</v>
      </c>
      <c r="BJ55" s="60" t="str">
        <f>IFERROR(__xludf.DUMMYFUNCTION("""COMPUTED_VALUE"""),"Los Angeles")</f>
        <v>Los Angeles</v>
      </c>
      <c r="BK55" s="60">
        <f>IFERROR(__xludf.DUMMYFUNCTION("""COMPUTED_VALUE"""),13830.0)</f>
        <v>13830</v>
      </c>
      <c r="BL55" s="60" t="str">
        <f>IFERROR(__xludf.DUMMYFUNCTION("""COMPUTED_VALUE"""),"TX")</f>
        <v>TX</v>
      </c>
      <c r="BM55" s="60" t="str">
        <f>IFERROR(__xludf.DUMMYFUNCTION("""COMPUTED_VALUE"""),"6 bds")</f>
        <v>6 bds</v>
      </c>
      <c r="BN55" s="60" t="str">
        <f>IFERROR(__xludf.DUMMYFUNCTION("""COMPUTED_VALUE"""),"3 ba")</f>
        <v>3 ba</v>
      </c>
      <c r="BO55" s="60">
        <f>IFERROR(__xludf.DUMMYFUNCTION("""COMPUTED_VALUE"""),2820.0)</f>
        <v>2820</v>
      </c>
      <c r="BP55" s="60">
        <f>IFERROR(__xludf.DUMMYFUNCTION("""COMPUTED_VALUE"""),9357.0)</f>
        <v>9357</v>
      </c>
      <c r="BQ55" s="60">
        <f>IFERROR(__xludf.DUMMYFUNCTION("""COMPUTED_VALUE"""),1966.0)</f>
        <v>1966</v>
      </c>
      <c r="BR55" s="60">
        <f>IFERROR(__xludf.DUMMYFUNCTION("""COMPUTED_VALUE"""),70.0)</f>
        <v>70</v>
      </c>
      <c r="BS55" s="60" t="str">
        <f>IFERROR(__xludf.DUMMYFUNCTION("""COMPUTED_VALUE"""),"Condo")</f>
        <v>Condo</v>
      </c>
      <c r="BT55" s="60" t="str">
        <f>IFERROR(__xludf.DUMMYFUNCTION("""COMPUTED_VALUE"""),"Z185189")</f>
        <v>Z185189</v>
      </c>
      <c r="BU55" s="60" t="str">
        <f>IFERROR(__xludf.DUMMYFUNCTION("""COMPUTED_VALUE"""),"Alex Johnson - Compass")</f>
        <v>Alex Johnson - Compass</v>
      </c>
      <c r="BV55" s="60" t="str">
        <f>IFERROR(__xludf.DUMMYFUNCTION("""COMPUTED_VALUE"""),"Sold")</f>
        <v>Sold</v>
      </c>
      <c r="BW55" s="60">
        <f>IFERROR(__xludf.DUMMYFUNCTION("""COMPUTED_VALUE"""),1.0)</f>
        <v>1</v>
      </c>
      <c r="BX55" s="60" t="str">
        <f>IFERROR(__xludf.DUMMYFUNCTION("""COMPUTED_VALUE"""),"OK")</f>
        <v>OK</v>
      </c>
      <c r="BY55" s="1" t="str">
        <f>IFERROR(__xludf.DUMMYFUNCTION("""COMPUTED_VALUE"""),"2600-3600")</f>
        <v>2600-3600</v>
      </c>
      <c r="BZ55" s="1">
        <f>IFERROR(__xludf.DUMMYFUNCTION("""COMPUTED_VALUE"""),60.0)</f>
        <v>60</v>
      </c>
      <c r="CA55" s="1" t="str">
        <f>IFERROR(__xludf.DUMMYFUNCTION("""COMPUTED_VALUE"""),"Old")</f>
        <v>Old</v>
      </c>
    </row>
    <row r="56" ht="14.25" customHeight="1">
      <c r="A56" s="5">
        <v>121941.0</v>
      </c>
      <c r="B56" s="6" t="s">
        <v>265</v>
      </c>
      <c r="C56" s="6" t="s">
        <v>18</v>
      </c>
      <c r="D56" s="6">
        <v>79089.0</v>
      </c>
      <c r="E56" s="6" t="s">
        <v>30</v>
      </c>
      <c r="F56" s="6" t="s">
        <v>94</v>
      </c>
      <c r="G56" s="6" t="s">
        <v>31</v>
      </c>
      <c r="H56" s="7">
        <v>1266.0</v>
      </c>
      <c r="I56" s="7">
        <v>6554.0</v>
      </c>
      <c r="J56" s="6">
        <v>1961.0</v>
      </c>
      <c r="K56" s="6">
        <v>45.0</v>
      </c>
      <c r="L56" s="6" t="s">
        <v>22</v>
      </c>
      <c r="M56" s="6" t="s">
        <v>266</v>
      </c>
      <c r="N56" s="6" t="s">
        <v>48</v>
      </c>
      <c r="O56" s="6" t="s">
        <v>25</v>
      </c>
      <c r="P56" s="6">
        <f>COUNTIF(Analysis!$M$1:$M$3001,Analysis!$M56)</f>
        <v>1</v>
      </c>
      <c r="Q56" s="6" t="str">
        <f>IF(COUNTIF(Analysis!$M$2:$M$3001,Analysis!$M56)&gt;1,"Duplicate","OK")</f>
        <v>OK</v>
      </c>
      <c r="R56" s="6" t="str">
        <f t="shared" si="1"/>
        <v>600-1600</v>
      </c>
      <c r="S56" s="6">
        <f t="shared" si="2"/>
        <v>65</v>
      </c>
      <c r="T56" s="6" t="str">
        <f t="shared" si="3"/>
        <v>Very Old</v>
      </c>
      <c r="Z56" s="54"/>
      <c r="AA56" s="54"/>
      <c r="BH56" s="14">
        <f>IFERROR(__xludf.DUMMYFUNCTION("""COMPUTED_VALUE"""),1465615.0)</f>
        <v>1465615</v>
      </c>
      <c r="BI56" s="60" t="str">
        <f>IFERROR(__xludf.DUMMYFUNCTION("""COMPUTED_VALUE"""),"2932 Elm St, Los Angeles, FL 40426")</f>
        <v>2932 Elm St, Los Angeles, FL 40426</v>
      </c>
      <c r="BJ56" s="60" t="str">
        <f>IFERROR(__xludf.DUMMYFUNCTION("""COMPUTED_VALUE"""),"Los Angeles")</f>
        <v>Los Angeles</v>
      </c>
      <c r="BK56" s="60">
        <f>IFERROR(__xludf.DUMMYFUNCTION("""COMPUTED_VALUE"""),40426.0)</f>
        <v>40426</v>
      </c>
      <c r="BL56" s="60" t="str">
        <f>IFERROR(__xludf.DUMMYFUNCTION("""COMPUTED_VALUE"""),"FL")</f>
        <v>FL</v>
      </c>
      <c r="BM56" s="60" t="str">
        <f>IFERROR(__xludf.DUMMYFUNCTION("""COMPUTED_VALUE"""),"4 bds")</f>
        <v>4 bds</v>
      </c>
      <c r="BN56" s="60" t="str">
        <f>IFERROR(__xludf.DUMMYFUNCTION("""COMPUTED_VALUE"""),"3 ba")</f>
        <v>3 ba</v>
      </c>
      <c r="BO56" s="60">
        <f>IFERROR(__xludf.DUMMYFUNCTION("""COMPUTED_VALUE"""),3051.0)</f>
        <v>3051</v>
      </c>
      <c r="BP56" s="60">
        <f>IFERROR(__xludf.DUMMYFUNCTION("""COMPUTED_VALUE"""),6869.0)</f>
        <v>6869</v>
      </c>
      <c r="BQ56" s="60">
        <f>IFERROR(__xludf.DUMMYFUNCTION("""COMPUTED_VALUE"""),1955.0)</f>
        <v>1955</v>
      </c>
      <c r="BR56" s="60">
        <f>IFERROR(__xludf.DUMMYFUNCTION("""COMPUTED_VALUE"""),64.0)</f>
        <v>64</v>
      </c>
      <c r="BS56" s="60" t="str">
        <f>IFERROR(__xludf.DUMMYFUNCTION("""COMPUTED_VALUE"""),"Single Family")</f>
        <v>Single Family</v>
      </c>
      <c r="BT56" s="60" t="str">
        <f>IFERROR(__xludf.DUMMYFUNCTION("""COMPUTED_VALUE"""),"Z203748")</f>
        <v>Z203748</v>
      </c>
      <c r="BU56" s="60" t="str">
        <f>IFERROR(__xludf.DUMMYFUNCTION("""COMPUTED_VALUE"""),"Alex Johnson - Compass")</f>
        <v>Alex Johnson - Compass</v>
      </c>
      <c r="BV56" s="60" t="str">
        <f>IFERROR(__xludf.DUMMYFUNCTION("""COMPUTED_VALUE"""),"Sold")</f>
        <v>Sold</v>
      </c>
      <c r="BW56" s="60">
        <f>IFERROR(__xludf.DUMMYFUNCTION("""COMPUTED_VALUE"""),1.0)</f>
        <v>1</v>
      </c>
      <c r="BX56" s="60" t="str">
        <f>IFERROR(__xludf.DUMMYFUNCTION("""COMPUTED_VALUE"""),"OK")</f>
        <v>OK</v>
      </c>
      <c r="BY56" s="1" t="str">
        <f>IFERROR(__xludf.DUMMYFUNCTION("""COMPUTED_VALUE"""),"2600-3600")</f>
        <v>2600-3600</v>
      </c>
      <c r="BZ56" s="1">
        <f>IFERROR(__xludf.DUMMYFUNCTION("""COMPUTED_VALUE"""),71.0)</f>
        <v>71</v>
      </c>
      <c r="CA56" s="1" t="str">
        <f>IFERROR(__xludf.DUMMYFUNCTION("""COMPUTED_VALUE"""),"Very Old")</f>
        <v>Very Old</v>
      </c>
    </row>
    <row r="57" ht="14.25" customHeight="1">
      <c r="A57" s="5">
        <v>1054157.0</v>
      </c>
      <c r="B57" s="6" t="s">
        <v>269</v>
      </c>
      <c r="C57" s="6" t="s">
        <v>53</v>
      </c>
      <c r="D57" s="6">
        <v>69291.0</v>
      </c>
      <c r="E57" s="6" t="s">
        <v>19</v>
      </c>
      <c r="F57" s="6" t="s">
        <v>54</v>
      </c>
      <c r="G57" s="6" t="s">
        <v>55</v>
      </c>
      <c r="H57" s="7">
        <v>3080.0</v>
      </c>
      <c r="I57" s="7">
        <v>2905.0</v>
      </c>
      <c r="J57" s="6">
        <v>1981.0</v>
      </c>
      <c r="K57" s="6">
        <v>2.0</v>
      </c>
      <c r="L57" s="6" t="s">
        <v>32</v>
      </c>
      <c r="M57" s="6" t="s">
        <v>270</v>
      </c>
      <c r="N57" s="6" t="s">
        <v>48</v>
      </c>
      <c r="O57" s="6" t="s">
        <v>25</v>
      </c>
      <c r="P57" s="6">
        <f>COUNTIF(Analysis!$M$1:$M$3001,Analysis!$M57)</f>
        <v>1</v>
      </c>
      <c r="Q57" s="6" t="str">
        <f>IF(COUNTIF(Analysis!$M$2:$M$3001,Analysis!$M57)&gt;1,"Duplicate","OK")</f>
        <v>OK</v>
      </c>
      <c r="R57" s="6" t="str">
        <f t="shared" si="1"/>
        <v>2600-3600</v>
      </c>
      <c r="S57" s="6">
        <f t="shared" si="2"/>
        <v>45</v>
      </c>
      <c r="T57" s="6" t="str">
        <f t="shared" si="3"/>
        <v>Old</v>
      </c>
      <c r="Z57" s="54"/>
      <c r="AA57" s="54"/>
      <c r="BH57" s="14">
        <f>IFERROR(__xludf.DUMMYFUNCTION("""COMPUTED_VALUE"""),422789.0)</f>
        <v>422789</v>
      </c>
      <c r="BI57" s="60" t="str">
        <f>IFERROR(__xludf.DUMMYFUNCTION("""COMPUTED_VALUE"""),"2577 Elm St, Fresno, FL 71252")</f>
        <v>2577 Elm St, Fresno, FL 71252</v>
      </c>
      <c r="BJ57" s="60" t="str">
        <f>IFERROR(__xludf.DUMMYFUNCTION("""COMPUTED_VALUE"""),"Fresno")</f>
        <v>Fresno</v>
      </c>
      <c r="BK57" s="60">
        <f>IFERROR(__xludf.DUMMYFUNCTION("""COMPUTED_VALUE"""),71252.0)</f>
        <v>71252</v>
      </c>
      <c r="BL57" s="60" t="str">
        <f>IFERROR(__xludf.DUMMYFUNCTION("""COMPUTED_VALUE"""),"FL")</f>
        <v>FL</v>
      </c>
      <c r="BM57" s="60" t="str">
        <f>IFERROR(__xludf.DUMMYFUNCTION("""COMPUTED_VALUE"""),"6 bds")</f>
        <v>6 bds</v>
      </c>
      <c r="BN57" s="60" t="str">
        <f>IFERROR(__xludf.DUMMYFUNCTION("""COMPUTED_VALUE"""),"3 ba")</f>
        <v>3 ba</v>
      </c>
      <c r="BO57" s="60">
        <f>IFERROR(__xludf.DUMMYFUNCTION("""COMPUTED_VALUE"""),3026.0)</f>
        <v>3026</v>
      </c>
      <c r="BP57" s="60">
        <f>IFERROR(__xludf.DUMMYFUNCTION("""COMPUTED_VALUE"""),8560.0)</f>
        <v>8560</v>
      </c>
      <c r="BQ57" s="60">
        <f>IFERROR(__xludf.DUMMYFUNCTION("""COMPUTED_VALUE"""),1971.0)</f>
        <v>1971</v>
      </c>
      <c r="BR57" s="60">
        <f>IFERROR(__xludf.DUMMYFUNCTION("""COMPUTED_VALUE"""),107.0)</f>
        <v>107</v>
      </c>
      <c r="BS57" s="60" t="str">
        <f>IFERROR(__xludf.DUMMYFUNCTION("""COMPUTED_VALUE"""),"Condo")</f>
        <v>Condo</v>
      </c>
      <c r="BT57" s="60" t="str">
        <f>IFERROR(__xludf.DUMMYFUNCTION("""COMPUTED_VALUE"""),"Z554286")</f>
        <v>Z554286</v>
      </c>
      <c r="BU57" s="60" t="str">
        <f>IFERROR(__xludf.DUMMYFUNCTION("""COMPUTED_VALUE"""),"Alex Johnson - Compass")</f>
        <v>Alex Johnson - Compass</v>
      </c>
      <c r="BV57" s="60" t="str">
        <f>IFERROR(__xludf.DUMMYFUNCTION("""COMPUTED_VALUE"""),"Sold")</f>
        <v>Sold</v>
      </c>
      <c r="BW57" s="60">
        <f>IFERROR(__xludf.DUMMYFUNCTION("""COMPUTED_VALUE"""),1.0)</f>
        <v>1</v>
      </c>
      <c r="BX57" s="60" t="str">
        <f>IFERROR(__xludf.DUMMYFUNCTION("""COMPUTED_VALUE"""),"OK")</f>
        <v>OK</v>
      </c>
      <c r="BY57" s="1" t="str">
        <f>IFERROR(__xludf.DUMMYFUNCTION("""COMPUTED_VALUE"""),"2600-3600")</f>
        <v>2600-3600</v>
      </c>
      <c r="BZ57" s="1">
        <f>IFERROR(__xludf.DUMMYFUNCTION("""COMPUTED_VALUE"""),55.0)</f>
        <v>55</v>
      </c>
      <c r="CA57" s="1" t="str">
        <f>IFERROR(__xludf.DUMMYFUNCTION("""COMPUTED_VALUE"""),"Old")</f>
        <v>Old</v>
      </c>
    </row>
    <row r="58" ht="14.25" customHeight="1">
      <c r="A58" s="5">
        <v>1064596.0</v>
      </c>
      <c r="B58" s="6" t="s">
        <v>273</v>
      </c>
      <c r="C58" s="6" t="s">
        <v>76</v>
      </c>
      <c r="D58" s="6">
        <v>88366.0</v>
      </c>
      <c r="E58" s="6" t="s">
        <v>77</v>
      </c>
      <c r="F58" s="6" t="s">
        <v>61</v>
      </c>
      <c r="G58" s="6" t="s">
        <v>31</v>
      </c>
      <c r="H58" s="7">
        <v>2383.0</v>
      </c>
      <c r="I58" s="7">
        <v>7954.0</v>
      </c>
      <c r="J58" s="6">
        <v>1995.0</v>
      </c>
      <c r="K58" s="6">
        <v>73.0</v>
      </c>
      <c r="L58" s="6" t="s">
        <v>95</v>
      </c>
      <c r="M58" s="6" t="s">
        <v>274</v>
      </c>
      <c r="N58" s="6" t="s">
        <v>48</v>
      </c>
      <c r="O58" s="6" t="s">
        <v>35</v>
      </c>
      <c r="P58" s="6">
        <f>COUNTIF(Analysis!$M$1:$M$3001,Analysis!$M58)</f>
        <v>1</v>
      </c>
      <c r="Q58" s="6" t="str">
        <f>IF(COUNTIF(Analysis!$M$2:$M$3001,Analysis!$M58)&gt;1,"Duplicate","OK")</f>
        <v>OK</v>
      </c>
      <c r="R58" s="6" t="str">
        <f t="shared" si="1"/>
        <v>1600-2600</v>
      </c>
      <c r="S58" s="6">
        <f t="shared" si="2"/>
        <v>31</v>
      </c>
      <c r="T58" s="6" t="str">
        <f t="shared" si="3"/>
        <v>Old</v>
      </c>
      <c r="Z58" s="54"/>
      <c r="AA58" s="54"/>
      <c r="BH58" s="14">
        <f>IFERROR(__xludf.DUMMYFUNCTION("""COMPUTED_VALUE"""),1076134.0)</f>
        <v>1076134</v>
      </c>
      <c r="BI58" s="60" t="str">
        <f>IFERROR(__xludf.DUMMYFUNCTION("""COMPUTED_VALUE"""),"2374 Maple Dr, San Francisco, IL 32018")</f>
        <v>2374 Maple Dr, San Francisco, IL 32018</v>
      </c>
      <c r="BJ58" s="60" t="str">
        <f>IFERROR(__xludf.DUMMYFUNCTION("""COMPUTED_VALUE"""),"San Francisco")</f>
        <v>San Francisco</v>
      </c>
      <c r="BK58" s="60">
        <f>IFERROR(__xludf.DUMMYFUNCTION("""COMPUTED_VALUE"""),32018.0)</f>
        <v>32018</v>
      </c>
      <c r="BL58" s="60" t="str">
        <f>IFERROR(__xludf.DUMMYFUNCTION("""COMPUTED_VALUE"""),"IL")</f>
        <v>IL</v>
      </c>
      <c r="BM58" s="60" t="str">
        <f>IFERROR(__xludf.DUMMYFUNCTION("""COMPUTED_VALUE"""),"1 bds")</f>
        <v>1 bds</v>
      </c>
      <c r="BN58" s="60" t="str">
        <f>IFERROR(__xludf.DUMMYFUNCTION("""COMPUTED_VALUE"""),"4 ba")</f>
        <v>4 ba</v>
      </c>
      <c r="BO58" s="60">
        <f>IFERROR(__xludf.DUMMYFUNCTION("""COMPUTED_VALUE"""),1462.0)</f>
        <v>1462</v>
      </c>
      <c r="BP58" s="60">
        <f>IFERROR(__xludf.DUMMYFUNCTION("""COMPUTED_VALUE"""),4169.0)</f>
        <v>4169</v>
      </c>
      <c r="BQ58" s="60">
        <f>IFERROR(__xludf.DUMMYFUNCTION("""COMPUTED_VALUE"""),1998.0)</f>
        <v>1998</v>
      </c>
      <c r="BR58" s="60">
        <f>IFERROR(__xludf.DUMMYFUNCTION("""COMPUTED_VALUE"""),27.0)</f>
        <v>27</v>
      </c>
      <c r="BS58" s="60" t="str">
        <f>IFERROR(__xludf.DUMMYFUNCTION("""COMPUTED_VALUE"""),"Townhouse")</f>
        <v>Townhouse</v>
      </c>
      <c r="BT58" s="60" t="str">
        <f>IFERROR(__xludf.DUMMYFUNCTION("""COMPUTED_VALUE"""),"Z522681")</f>
        <v>Z522681</v>
      </c>
      <c r="BU58" s="60" t="str">
        <f>IFERROR(__xludf.DUMMYFUNCTION("""COMPUTED_VALUE"""),"Alex Johnson - Compass")</f>
        <v>Alex Johnson - Compass</v>
      </c>
      <c r="BV58" s="60" t="str">
        <f>IFERROR(__xludf.DUMMYFUNCTION("""COMPUTED_VALUE"""),"Sold")</f>
        <v>Sold</v>
      </c>
      <c r="BW58" s="60">
        <f>IFERROR(__xludf.DUMMYFUNCTION("""COMPUTED_VALUE"""),1.0)</f>
        <v>1</v>
      </c>
      <c r="BX58" s="60" t="str">
        <f>IFERROR(__xludf.DUMMYFUNCTION("""COMPUTED_VALUE"""),"OK")</f>
        <v>OK</v>
      </c>
      <c r="BY58" s="1" t="str">
        <f>IFERROR(__xludf.DUMMYFUNCTION("""COMPUTED_VALUE"""),"600-1600")</f>
        <v>600-1600</v>
      </c>
      <c r="BZ58" s="1">
        <f>IFERROR(__xludf.DUMMYFUNCTION("""COMPUTED_VALUE"""),28.0)</f>
        <v>28</v>
      </c>
      <c r="CA58" s="1" t="str">
        <f>IFERROR(__xludf.DUMMYFUNCTION("""COMPUTED_VALUE"""),"Mid")</f>
        <v>Mid</v>
      </c>
    </row>
    <row r="59" ht="14.25" customHeight="1">
      <c r="A59" s="5">
        <v>1301207.0</v>
      </c>
      <c r="B59" s="6" t="s">
        <v>277</v>
      </c>
      <c r="C59" s="6" t="s">
        <v>39</v>
      </c>
      <c r="D59" s="6">
        <v>97624.0</v>
      </c>
      <c r="E59" s="6" t="s">
        <v>40</v>
      </c>
      <c r="F59" s="6" t="s">
        <v>61</v>
      </c>
      <c r="G59" s="6" t="s">
        <v>100</v>
      </c>
      <c r="H59" s="7">
        <v>659.0</v>
      </c>
      <c r="I59" s="7">
        <v>9317.0</v>
      </c>
      <c r="J59" s="6">
        <v>1985.0</v>
      </c>
      <c r="K59" s="6">
        <v>46.0</v>
      </c>
      <c r="L59" s="6" t="s">
        <v>141</v>
      </c>
      <c r="M59" s="6" t="s">
        <v>278</v>
      </c>
      <c r="N59" s="6" t="s">
        <v>64</v>
      </c>
      <c r="O59" s="6" t="s">
        <v>25</v>
      </c>
      <c r="P59" s="6">
        <f>COUNTIF(Analysis!$M$1:$M$3001,Analysis!$M59)</f>
        <v>1</v>
      </c>
      <c r="Q59" s="6" t="str">
        <f>IF(COUNTIF(Analysis!$M$2:$M$3001,Analysis!$M59)&gt;1,"Duplicate","OK")</f>
        <v>OK</v>
      </c>
      <c r="R59" s="6" t="str">
        <f t="shared" si="1"/>
        <v>600-1600</v>
      </c>
      <c r="S59" s="6">
        <f t="shared" si="2"/>
        <v>41</v>
      </c>
      <c r="T59" s="6" t="str">
        <f t="shared" si="3"/>
        <v>Old</v>
      </c>
      <c r="Z59" s="54"/>
      <c r="AA59" s="54"/>
      <c r="BH59" s="14">
        <f>IFERROR(__xludf.DUMMYFUNCTION("""COMPUTED_VALUE"""),437818.0)</f>
        <v>437818</v>
      </c>
      <c r="BI59" s="60" t="str">
        <f>IFERROR(__xludf.DUMMYFUNCTION("""COMPUTED_VALUE"""),"1001 Pine Rd, Fresno, TX 65816")</f>
        <v>1001 Pine Rd, Fresno, TX 65816</v>
      </c>
      <c r="BJ59" s="60" t="str">
        <f>IFERROR(__xludf.DUMMYFUNCTION("""COMPUTED_VALUE"""),"Fresno")</f>
        <v>Fresno</v>
      </c>
      <c r="BK59" s="60">
        <f>IFERROR(__xludf.DUMMYFUNCTION("""COMPUTED_VALUE"""),65816.0)</f>
        <v>65816</v>
      </c>
      <c r="BL59" s="60" t="str">
        <f>IFERROR(__xludf.DUMMYFUNCTION("""COMPUTED_VALUE"""),"TX")</f>
        <v>TX</v>
      </c>
      <c r="BM59" s="60" t="str">
        <f>IFERROR(__xludf.DUMMYFUNCTION("""COMPUTED_VALUE"""),"2 bds")</f>
        <v>2 bds</v>
      </c>
      <c r="BN59" s="60" t="str">
        <f>IFERROR(__xludf.DUMMYFUNCTION("""COMPUTED_VALUE"""),"4 ba")</f>
        <v>4 ba</v>
      </c>
      <c r="BO59" s="60">
        <f>IFERROR(__xludf.DUMMYFUNCTION("""COMPUTED_VALUE"""),3047.0)</f>
        <v>3047</v>
      </c>
      <c r="BP59" s="60">
        <f>IFERROR(__xludf.DUMMYFUNCTION("""COMPUTED_VALUE"""),4867.0)</f>
        <v>4867</v>
      </c>
      <c r="BQ59" s="60">
        <f>IFERROR(__xludf.DUMMYFUNCTION("""COMPUTED_VALUE"""),1980.0)</f>
        <v>1980</v>
      </c>
      <c r="BR59" s="60">
        <f>IFERROR(__xludf.DUMMYFUNCTION("""COMPUTED_VALUE"""),29.0)</f>
        <v>29</v>
      </c>
      <c r="BS59" s="60" t="str">
        <f>IFERROR(__xludf.DUMMYFUNCTION("""COMPUTED_VALUE"""),"Condo")</f>
        <v>Condo</v>
      </c>
      <c r="BT59" s="60" t="str">
        <f>IFERROR(__xludf.DUMMYFUNCTION("""COMPUTED_VALUE"""),"Z163297")</f>
        <v>Z163297</v>
      </c>
      <c r="BU59" s="60" t="str">
        <f>IFERROR(__xludf.DUMMYFUNCTION("""COMPUTED_VALUE"""),"Alex Johnson - Compass")</f>
        <v>Alex Johnson - Compass</v>
      </c>
      <c r="BV59" s="60" t="str">
        <f>IFERROR(__xludf.DUMMYFUNCTION("""COMPUTED_VALUE"""),"Sold")</f>
        <v>Sold</v>
      </c>
      <c r="BW59" s="60">
        <f>IFERROR(__xludf.DUMMYFUNCTION("""COMPUTED_VALUE"""),1.0)</f>
        <v>1</v>
      </c>
      <c r="BX59" s="60" t="str">
        <f>IFERROR(__xludf.DUMMYFUNCTION("""COMPUTED_VALUE"""),"OK")</f>
        <v>OK</v>
      </c>
      <c r="BY59" s="1" t="str">
        <f>IFERROR(__xludf.DUMMYFUNCTION("""COMPUTED_VALUE"""),"2600-3600")</f>
        <v>2600-3600</v>
      </c>
      <c r="BZ59" s="1">
        <f>IFERROR(__xludf.DUMMYFUNCTION("""COMPUTED_VALUE"""),46.0)</f>
        <v>46</v>
      </c>
      <c r="CA59" s="1" t="str">
        <f>IFERROR(__xludf.DUMMYFUNCTION("""COMPUTED_VALUE"""),"Old")</f>
        <v>Old</v>
      </c>
    </row>
    <row r="60" ht="14.25" customHeight="1">
      <c r="A60" s="5">
        <v>1429718.0</v>
      </c>
      <c r="B60" s="6" t="s">
        <v>281</v>
      </c>
      <c r="C60" s="6" t="s">
        <v>76</v>
      </c>
      <c r="D60" s="6">
        <v>87038.0</v>
      </c>
      <c r="E60" s="6" t="s">
        <v>77</v>
      </c>
      <c r="F60" s="6" t="s">
        <v>20</v>
      </c>
      <c r="G60" s="6" t="s">
        <v>100</v>
      </c>
      <c r="H60" s="7">
        <v>3082.0</v>
      </c>
      <c r="I60" s="7">
        <v>4211.0</v>
      </c>
      <c r="J60" s="6">
        <v>1974.0</v>
      </c>
      <c r="K60" s="6">
        <v>55.0</v>
      </c>
      <c r="L60" s="6" t="s">
        <v>141</v>
      </c>
      <c r="M60" s="6" t="s">
        <v>282</v>
      </c>
      <c r="N60" s="6" t="s">
        <v>48</v>
      </c>
      <c r="O60" s="6" t="s">
        <v>25</v>
      </c>
      <c r="P60" s="6">
        <f>COUNTIF(Analysis!$M$1:$M$3001,Analysis!$M60)</f>
        <v>1</v>
      </c>
      <c r="Q60" s="6" t="str">
        <f>IF(COUNTIF(Analysis!$M$2:$M$3001,Analysis!$M60)&gt;1,"Duplicate","OK")</f>
        <v>OK</v>
      </c>
      <c r="R60" s="6" t="str">
        <f t="shared" si="1"/>
        <v>2600-3600</v>
      </c>
      <c r="S60" s="6">
        <f t="shared" si="2"/>
        <v>52</v>
      </c>
      <c r="T60" s="6" t="str">
        <f t="shared" si="3"/>
        <v>Old</v>
      </c>
      <c r="Z60" s="54"/>
      <c r="AA60" s="54"/>
      <c r="BH60" s="14">
        <f>IFERROR(__xludf.DUMMYFUNCTION("""COMPUTED_VALUE"""),638010.0)</f>
        <v>638010</v>
      </c>
      <c r="BI60" s="60" t="str">
        <f>IFERROR(__xludf.DUMMYFUNCTION("""COMPUTED_VALUE"""),"2209 Main St, Sacramento, NY 93308")</f>
        <v>2209 Main St, Sacramento, NY 93308</v>
      </c>
      <c r="BJ60" s="60" t="str">
        <f>IFERROR(__xludf.DUMMYFUNCTION("""COMPUTED_VALUE"""),"Sacramento")</f>
        <v>Sacramento</v>
      </c>
      <c r="BK60" s="60">
        <f>IFERROR(__xludf.DUMMYFUNCTION("""COMPUTED_VALUE"""),93308.0)</f>
        <v>93308</v>
      </c>
      <c r="BL60" s="60" t="str">
        <f>IFERROR(__xludf.DUMMYFUNCTION("""COMPUTED_VALUE"""),"NY")</f>
        <v>NY</v>
      </c>
      <c r="BM60" s="60" t="str">
        <f>IFERROR(__xludf.DUMMYFUNCTION("""COMPUTED_VALUE"""),"5 bds")</f>
        <v>5 bds</v>
      </c>
      <c r="BN60" s="60" t="str">
        <f>IFERROR(__xludf.DUMMYFUNCTION("""COMPUTED_VALUE"""),"2 ba")</f>
        <v>2 ba</v>
      </c>
      <c r="BO60" s="60">
        <f>IFERROR(__xludf.DUMMYFUNCTION("""COMPUTED_VALUE"""),1639.0)</f>
        <v>1639</v>
      </c>
      <c r="BP60" s="60">
        <f>IFERROR(__xludf.DUMMYFUNCTION("""COMPUTED_VALUE"""),7177.0)</f>
        <v>7177</v>
      </c>
      <c r="BQ60" s="60">
        <f>IFERROR(__xludf.DUMMYFUNCTION("""COMPUTED_VALUE"""),1954.0)</f>
        <v>1954</v>
      </c>
      <c r="BR60" s="60">
        <f>IFERROR(__xludf.DUMMYFUNCTION("""COMPUTED_VALUE"""),68.0)</f>
        <v>68</v>
      </c>
      <c r="BS60" s="60" t="str">
        <f>IFERROR(__xludf.DUMMYFUNCTION("""COMPUTED_VALUE"""),"Apartment")</f>
        <v>Apartment</v>
      </c>
      <c r="BT60" s="60" t="str">
        <f>IFERROR(__xludf.DUMMYFUNCTION("""COMPUTED_VALUE"""),"Z647450")</f>
        <v>Z647450</v>
      </c>
      <c r="BU60" s="60" t="str">
        <f>IFERROR(__xludf.DUMMYFUNCTION("""COMPUTED_VALUE"""),"Alex Johnson - Compass")</f>
        <v>Alex Johnson - Compass</v>
      </c>
      <c r="BV60" s="60" t="str">
        <f>IFERROR(__xludf.DUMMYFUNCTION("""COMPUTED_VALUE"""),"Sold")</f>
        <v>Sold</v>
      </c>
      <c r="BW60" s="60">
        <f>IFERROR(__xludf.DUMMYFUNCTION("""COMPUTED_VALUE"""),1.0)</f>
        <v>1</v>
      </c>
      <c r="BX60" s="60" t="str">
        <f>IFERROR(__xludf.DUMMYFUNCTION("""COMPUTED_VALUE"""),"OK")</f>
        <v>OK</v>
      </c>
      <c r="BY60" s="1" t="str">
        <f>IFERROR(__xludf.DUMMYFUNCTION("""COMPUTED_VALUE"""),"1600-2600")</f>
        <v>1600-2600</v>
      </c>
      <c r="BZ60" s="1">
        <f>IFERROR(__xludf.DUMMYFUNCTION("""COMPUTED_VALUE"""),72.0)</f>
        <v>72</v>
      </c>
      <c r="CA60" s="1" t="str">
        <f>IFERROR(__xludf.DUMMYFUNCTION("""COMPUTED_VALUE"""),"Very Old")</f>
        <v>Very Old</v>
      </c>
    </row>
    <row r="61" ht="14.25" customHeight="1">
      <c r="A61" s="5">
        <v>570284.0</v>
      </c>
      <c r="B61" s="6" t="s">
        <v>285</v>
      </c>
      <c r="C61" s="6" t="s">
        <v>39</v>
      </c>
      <c r="D61" s="6">
        <v>71760.0</v>
      </c>
      <c r="E61" s="6" t="s">
        <v>19</v>
      </c>
      <c r="F61" s="6" t="s">
        <v>20</v>
      </c>
      <c r="G61" s="6" t="s">
        <v>31</v>
      </c>
      <c r="H61" s="7">
        <v>2654.0</v>
      </c>
      <c r="I61" s="7">
        <v>1426.0</v>
      </c>
      <c r="J61" s="6">
        <v>1990.0</v>
      </c>
      <c r="K61" s="6">
        <v>57.0</v>
      </c>
      <c r="L61" s="6" t="s">
        <v>95</v>
      </c>
      <c r="M61" s="6" t="s">
        <v>286</v>
      </c>
      <c r="N61" s="6" t="s">
        <v>64</v>
      </c>
      <c r="O61" s="6" t="s">
        <v>35</v>
      </c>
      <c r="P61" s="6">
        <f>COUNTIF(Analysis!$M$1:$M$3001,Analysis!$M61)</f>
        <v>1</v>
      </c>
      <c r="Q61" s="6" t="str">
        <f>IF(COUNTIF(Analysis!$M$2:$M$3001,Analysis!$M61)&gt;1,"Duplicate","OK")</f>
        <v>OK</v>
      </c>
      <c r="R61" s="6" t="str">
        <f t="shared" si="1"/>
        <v>2600-3600</v>
      </c>
      <c r="S61" s="6">
        <f t="shared" si="2"/>
        <v>36</v>
      </c>
      <c r="T61" s="6" t="str">
        <f t="shared" si="3"/>
        <v>Old</v>
      </c>
      <c r="Z61" s="54"/>
      <c r="AA61" s="54"/>
      <c r="BH61" s="14">
        <f>IFERROR(__xludf.DUMMYFUNCTION("""COMPUTED_VALUE"""),1456198.0)</f>
        <v>1456198</v>
      </c>
      <c r="BI61" s="60" t="str">
        <f>IFERROR(__xludf.DUMMYFUNCTION("""COMPUTED_VALUE"""),"6548 Pine Rd, San Diego, IL 77634")</f>
        <v>6548 Pine Rd, San Diego, IL 77634</v>
      </c>
      <c r="BJ61" s="60" t="str">
        <f>IFERROR(__xludf.DUMMYFUNCTION("""COMPUTED_VALUE"""),"San Diego")</f>
        <v>San Diego</v>
      </c>
      <c r="BK61" s="60">
        <f>IFERROR(__xludf.DUMMYFUNCTION("""COMPUTED_VALUE"""),77634.0)</f>
        <v>77634</v>
      </c>
      <c r="BL61" s="60" t="str">
        <f>IFERROR(__xludf.DUMMYFUNCTION("""COMPUTED_VALUE"""),"IL")</f>
        <v>IL</v>
      </c>
      <c r="BM61" s="60" t="str">
        <f>IFERROR(__xludf.DUMMYFUNCTION("""COMPUTED_VALUE"""),"2 bds")</f>
        <v>2 bds</v>
      </c>
      <c r="BN61" s="60" t="str">
        <f>IFERROR(__xludf.DUMMYFUNCTION("""COMPUTED_VALUE"""),"3 ba")</f>
        <v>3 ba</v>
      </c>
      <c r="BO61" s="60">
        <f>IFERROR(__xludf.DUMMYFUNCTION("""COMPUTED_VALUE"""),3913.0)</f>
        <v>3913</v>
      </c>
      <c r="BP61" s="60">
        <f>IFERROR(__xludf.DUMMYFUNCTION("""COMPUTED_VALUE"""),8178.0)</f>
        <v>8178</v>
      </c>
      <c r="BQ61" s="60">
        <f>IFERROR(__xludf.DUMMYFUNCTION("""COMPUTED_VALUE"""),2012.0)</f>
        <v>2012</v>
      </c>
      <c r="BR61" s="60">
        <f>IFERROR(__xludf.DUMMYFUNCTION("""COMPUTED_VALUE"""),4.0)</f>
        <v>4</v>
      </c>
      <c r="BS61" s="60" t="str">
        <f>IFERROR(__xludf.DUMMYFUNCTION("""COMPUTED_VALUE"""),"Single Family")</f>
        <v>Single Family</v>
      </c>
      <c r="BT61" s="60" t="str">
        <f>IFERROR(__xludf.DUMMYFUNCTION("""COMPUTED_VALUE"""),"Z885423")</f>
        <v>Z885423</v>
      </c>
      <c r="BU61" s="60" t="str">
        <f>IFERROR(__xludf.DUMMYFUNCTION("""COMPUTED_VALUE"""),"Alex Johnson - Compass")</f>
        <v>Alex Johnson - Compass</v>
      </c>
      <c r="BV61" s="60" t="str">
        <f>IFERROR(__xludf.DUMMYFUNCTION("""COMPUTED_VALUE"""),"Sold")</f>
        <v>Sold</v>
      </c>
      <c r="BW61" s="60">
        <f>IFERROR(__xludf.DUMMYFUNCTION("""COMPUTED_VALUE"""),1.0)</f>
        <v>1</v>
      </c>
      <c r="BX61" s="60" t="str">
        <f>IFERROR(__xludf.DUMMYFUNCTION("""COMPUTED_VALUE"""),"OK")</f>
        <v>OK</v>
      </c>
      <c r="BY61" s="1" t="str">
        <f>IFERROR(__xludf.DUMMYFUNCTION("""COMPUTED_VALUE"""),"3600+")</f>
        <v>3600+</v>
      </c>
      <c r="BZ61" s="1">
        <f>IFERROR(__xludf.DUMMYFUNCTION("""COMPUTED_VALUE"""),14.0)</f>
        <v>14</v>
      </c>
      <c r="CA61" s="1" t="str">
        <f>IFERROR(__xludf.DUMMYFUNCTION("""COMPUTED_VALUE"""),"Mid")</f>
        <v>Mid</v>
      </c>
    </row>
    <row r="62" ht="14.25" customHeight="1">
      <c r="A62" s="5">
        <v>136498.0</v>
      </c>
      <c r="B62" s="6" t="s">
        <v>289</v>
      </c>
      <c r="C62" s="6" t="s">
        <v>53</v>
      </c>
      <c r="D62" s="6">
        <v>60339.0</v>
      </c>
      <c r="E62" s="6" t="s">
        <v>19</v>
      </c>
      <c r="F62" s="6" t="s">
        <v>61</v>
      </c>
      <c r="G62" s="6" t="s">
        <v>100</v>
      </c>
      <c r="H62" s="7">
        <v>3410.0</v>
      </c>
      <c r="I62" s="7">
        <v>4595.0</v>
      </c>
      <c r="J62" s="6">
        <v>1988.0</v>
      </c>
      <c r="K62" s="6">
        <v>71.0</v>
      </c>
      <c r="L62" s="6" t="s">
        <v>22</v>
      </c>
      <c r="M62" s="6" t="s">
        <v>290</v>
      </c>
      <c r="N62" s="6" t="s">
        <v>24</v>
      </c>
      <c r="O62" s="6" t="s">
        <v>49</v>
      </c>
      <c r="P62" s="6">
        <f>COUNTIF(Analysis!$M$1:$M$3001,Analysis!$M62)</f>
        <v>1</v>
      </c>
      <c r="Q62" s="6" t="str">
        <f>IF(COUNTIF(Analysis!$M$2:$M$3001,Analysis!$M62)&gt;1,"Duplicate","OK")</f>
        <v>OK</v>
      </c>
      <c r="R62" s="6" t="str">
        <f t="shared" si="1"/>
        <v>2600-3600</v>
      </c>
      <c r="S62" s="6">
        <f t="shared" si="2"/>
        <v>38</v>
      </c>
      <c r="T62" s="6" t="str">
        <f t="shared" si="3"/>
        <v>Old</v>
      </c>
      <c r="Z62" s="54"/>
      <c r="AA62" s="54"/>
      <c r="BH62" s="14">
        <f>IFERROR(__xludf.DUMMYFUNCTION("""COMPUTED_VALUE"""),441126.0)</f>
        <v>441126</v>
      </c>
      <c r="BI62" s="60" t="str">
        <f>IFERROR(__xludf.DUMMYFUNCTION("""COMPUTED_VALUE"""),"2312 Pine Rd, Fresno, IL 87777")</f>
        <v>2312 Pine Rd, Fresno, IL 87777</v>
      </c>
      <c r="BJ62" s="60" t="str">
        <f>IFERROR(__xludf.DUMMYFUNCTION("""COMPUTED_VALUE"""),"Fresno")</f>
        <v>Fresno</v>
      </c>
      <c r="BK62" s="60">
        <f>IFERROR(__xludf.DUMMYFUNCTION("""COMPUTED_VALUE"""),87777.0)</f>
        <v>87777</v>
      </c>
      <c r="BL62" s="60" t="str">
        <f>IFERROR(__xludf.DUMMYFUNCTION("""COMPUTED_VALUE"""),"IL")</f>
        <v>IL</v>
      </c>
      <c r="BM62" s="60" t="str">
        <f>IFERROR(__xludf.DUMMYFUNCTION("""COMPUTED_VALUE"""),"3 bds")</f>
        <v>3 bds</v>
      </c>
      <c r="BN62" s="60" t="str">
        <f>IFERROR(__xludf.DUMMYFUNCTION("""COMPUTED_VALUE"""),"4 ba")</f>
        <v>4 ba</v>
      </c>
      <c r="BO62" s="60">
        <f>IFERROR(__xludf.DUMMYFUNCTION("""COMPUTED_VALUE"""),3737.0)</f>
        <v>3737</v>
      </c>
      <c r="BP62" s="60">
        <f>IFERROR(__xludf.DUMMYFUNCTION("""COMPUTED_VALUE"""),9711.0)</f>
        <v>9711</v>
      </c>
      <c r="BQ62" s="60">
        <f>IFERROR(__xludf.DUMMYFUNCTION("""COMPUTED_VALUE"""),1968.0)</f>
        <v>1968</v>
      </c>
      <c r="BR62" s="60">
        <f>IFERROR(__xludf.DUMMYFUNCTION("""COMPUTED_VALUE"""),109.0)</f>
        <v>109</v>
      </c>
      <c r="BS62" s="60" t="str">
        <f>IFERROR(__xludf.DUMMYFUNCTION("""COMPUTED_VALUE"""),"Townhouse")</f>
        <v>Townhouse</v>
      </c>
      <c r="BT62" s="60" t="str">
        <f>IFERROR(__xludf.DUMMYFUNCTION("""COMPUTED_VALUE"""),"Z838955")</f>
        <v>Z838955</v>
      </c>
      <c r="BU62" s="60" t="str">
        <f>IFERROR(__xludf.DUMMYFUNCTION("""COMPUTED_VALUE"""),"Alex Johnson - Compass")</f>
        <v>Alex Johnson - Compass</v>
      </c>
      <c r="BV62" s="60" t="str">
        <f>IFERROR(__xludf.DUMMYFUNCTION("""COMPUTED_VALUE"""),"Sold")</f>
        <v>Sold</v>
      </c>
      <c r="BW62" s="60">
        <f>IFERROR(__xludf.DUMMYFUNCTION("""COMPUTED_VALUE"""),1.0)</f>
        <v>1</v>
      </c>
      <c r="BX62" s="60" t="str">
        <f>IFERROR(__xludf.DUMMYFUNCTION("""COMPUTED_VALUE"""),"OK")</f>
        <v>OK</v>
      </c>
      <c r="BY62" s="1" t="str">
        <f>IFERROR(__xludf.DUMMYFUNCTION("""COMPUTED_VALUE"""),"3600+")</f>
        <v>3600+</v>
      </c>
      <c r="BZ62" s="1">
        <f>IFERROR(__xludf.DUMMYFUNCTION("""COMPUTED_VALUE"""),58.0)</f>
        <v>58</v>
      </c>
      <c r="CA62" s="1" t="str">
        <f>IFERROR(__xludf.DUMMYFUNCTION("""COMPUTED_VALUE"""),"Old")</f>
        <v>Old</v>
      </c>
    </row>
    <row r="63" ht="14.25" customHeight="1">
      <c r="A63" s="5">
        <v>1118129.0</v>
      </c>
      <c r="B63" s="6" t="s">
        <v>293</v>
      </c>
      <c r="C63" s="6" t="s">
        <v>18</v>
      </c>
      <c r="D63" s="6">
        <v>47852.0</v>
      </c>
      <c r="E63" s="6" t="s">
        <v>19</v>
      </c>
      <c r="F63" s="6" t="s">
        <v>94</v>
      </c>
      <c r="G63" s="6" t="s">
        <v>31</v>
      </c>
      <c r="H63" s="7">
        <v>3593.0</v>
      </c>
      <c r="I63" s="7">
        <v>8559.0</v>
      </c>
      <c r="J63" s="6">
        <v>2006.0</v>
      </c>
      <c r="K63" s="6">
        <v>51.0</v>
      </c>
      <c r="L63" s="6" t="s">
        <v>141</v>
      </c>
      <c r="M63" s="6" t="s">
        <v>294</v>
      </c>
      <c r="N63" s="6" t="s">
        <v>64</v>
      </c>
      <c r="O63" s="6" t="s">
        <v>49</v>
      </c>
      <c r="P63" s="6">
        <f>COUNTIF(Analysis!$M$1:$M$3001,Analysis!$M63)</f>
        <v>1</v>
      </c>
      <c r="Q63" s="6" t="str">
        <f>IF(COUNTIF(Analysis!$M$2:$M$3001,Analysis!$M63)&gt;1,"Duplicate","OK")</f>
        <v>OK</v>
      </c>
      <c r="R63" s="6" t="str">
        <f t="shared" si="1"/>
        <v>2600-3600</v>
      </c>
      <c r="S63" s="6">
        <f t="shared" si="2"/>
        <v>20</v>
      </c>
      <c r="T63" s="6" t="str">
        <f t="shared" si="3"/>
        <v>Mid</v>
      </c>
      <c r="Z63" s="54"/>
      <c r="AA63" s="54"/>
      <c r="BH63" s="14">
        <f>IFERROR(__xludf.DUMMYFUNCTION("""COMPUTED_VALUE"""),562937.0)</f>
        <v>562937</v>
      </c>
      <c r="BI63" s="60" t="str">
        <f>IFERROR(__xludf.DUMMYFUNCTION("""COMPUTED_VALUE"""),"5038 Oak Ave, Sacramento, TX 63240")</f>
        <v>5038 Oak Ave, Sacramento, TX 63240</v>
      </c>
      <c r="BJ63" s="60" t="str">
        <f>IFERROR(__xludf.DUMMYFUNCTION("""COMPUTED_VALUE"""),"Sacramento")</f>
        <v>Sacramento</v>
      </c>
      <c r="BK63" s="60">
        <f>IFERROR(__xludf.DUMMYFUNCTION("""COMPUTED_VALUE"""),63240.0)</f>
        <v>63240</v>
      </c>
      <c r="BL63" s="60" t="str">
        <f>IFERROR(__xludf.DUMMYFUNCTION("""COMPUTED_VALUE"""),"TX")</f>
        <v>TX</v>
      </c>
      <c r="BM63" s="60" t="str">
        <f>IFERROR(__xludf.DUMMYFUNCTION("""COMPUTED_VALUE"""),"2 bds")</f>
        <v>2 bds</v>
      </c>
      <c r="BN63" s="60" t="str">
        <f>IFERROR(__xludf.DUMMYFUNCTION("""COMPUTED_VALUE"""),"4 ba")</f>
        <v>4 ba</v>
      </c>
      <c r="BO63" s="60">
        <f>IFERROR(__xludf.DUMMYFUNCTION("""COMPUTED_VALUE"""),3915.0)</f>
        <v>3915</v>
      </c>
      <c r="BP63" s="60">
        <f>IFERROR(__xludf.DUMMYFUNCTION("""COMPUTED_VALUE"""),2748.0)</f>
        <v>2748</v>
      </c>
      <c r="BQ63" s="60">
        <f>IFERROR(__xludf.DUMMYFUNCTION("""COMPUTED_VALUE"""),2010.0)</f>
        <v>2010</v>
      </c>
      <c r="BR63" s="60">
        <f>IFERROR(__xludf.DUMMYFUNCTION("""COMPUTED_VALUE"""),43.0)</f>
        <v>43</v>
      </c>
      <c r="BS63" s="60" t="str">
        <f>IFERROR(__xludf.DUMMYFUNCTION("""COMPUTED_VALUE"""),"Apartment")</f>
        <v>Apartment</v>
      </c>
      <c r="BT63" s="60" t="str">
        <f>IFERROR(__xludf.DUMMYFUNCTION("""COMPUTED_VALUE"""),"Z972811")</f>
        <v>Z972811</v>
      </c>
      <c r="BU63" s="60" t="str">
        <f>IFERROR(__xludf.DUMMYFUNCTION("""COMPUTED_VALUE"""),"Alex Johnson - Compass")</f>
        <v>Alex Johnson - Compass</v>
      </c>
      <c r="BV63" s="60" t="str">
        <f>IFERROR(__xludf.DUMMYFUNCTION("""COMPUTED_VALUE"""),"Sold")</f>
        <v>Sold</v>
      </c>
      <c r="BW63" s="60">
        <f>IFERROR(__xludf.DUMMYFUNCTION("""COMPUTED_VALUE"""),1.0)</f>
        <v>1</v>
      </c>
      <c r="BX63" s="60" t="str">
        <f>IFERROR(__xludf.DUMMYFUNCTION("""COMPUTED_VALUE"""),"OK")</f>
        <v>OK</v>
      </c>
      <c r="BY63" s="1" t="str">
        <f>IFERROR(__xludf.DUMMYFUNCTION("""COMPUTED_VALUE"""),"3600+")</f>
        <v>3600+</v>
      </c>
      <c r="BZ63" s="1">
        <f>IFERROR(__xludf.DUMMYFUNCTION("""COMPUTED_VALUE"""),16.0)</f>
        <v>16</v>
      </c>
      <c r="CA63" s="1" t="str">
        <f>IFERROR(__xludf.DUMMYFUNCTION("""COMPUTED_VALUE"""),"Mid")</f>
        <v>Mid</v>
      </c>
    </row>
    <row r="64" ht="14.25" customHeight="1">
      <c r="A64" s="5">
        <v>348881.0</v>
      </c>
      <c r="B64" s="6" t="s">
        <v>297</v>
      </c>
      <c r="C64" s="6" t="s">
        <v>53</v>
      </c>
      <c r="D64" s="6">
        <v>20582.0</v>
      </c>
      <c r="E64" s="6" t="s">
        <v>60</v>
      </c>
      <c r="F64" s="6" t="s">
        <v>61</v>
      </c>
      <c r="G64" s="6" t="s">
        <v>31</v>
      </c>
      <c r="H64" s="7">
        <v>3368.0</v>
      </c>
      <c r="I64" s="7">
        <v>1942.0</v>
      </c>
      <c r="J64" s="6">
        <v>1954.0</v>
      </c>
      <c r="K64" s="6">
        <v>81.0</v>
      </c>
      <c r="L64" s="6" t="s">
        <v>62</v>
      </c>
      <c r="M64" s="6" t="s">
        <v>298</v>
      </c>
      <c r="N64" s="6" t="s">
        <v>64</v>
      </c>
      <c r="O64" s="6" t="s">
        <v>49</v>
      </c>
      <c r="P64" s="6">
        <f>COUNTIF(Analysis!$M$1:$M$3001,Analysis!$M64)</f>
        <v>1</v>
      </c>
      <c r="Q64" s="6" t="str">
        <f>IF(COUNTIF(Analysis!$M$2:$M$3001,Analysis!$M64)&gt;1,"Duplicate","OK")</f>
        <v>OK</v>
      </c>
      <c r="R64" s="6" t="str">
        <f t="shared" si="1"/>
        <v>2600-3600</v>
      </c>
      <c r="S64" s="6">
        <f t="shared" si="2"/>
        <v>72</v>
      </c>
      <c r="T64" s="6" t="str">
        <f t="shared" si="3"/>
        <v>Very Old</v>
      </c>
      <c r="Z64" s="54"/>
      <c r="AA64" s="54"/>
      <c r="BH64" s="14">
        <f>IFERROR(__xludf.DUMMYFUNCTION("""COMPUTED_VALUE"""),961607.0)</f>
        <v>961607</v>
      </c>
      <c r="BI64" s="60" t="str">
        <f>IFERROR(__xludf.DUMMYFUNCTION("""COMPUTED_VALUE"""),"5866 Elm St, Sacramento, IL 36242")</f>
        <v>5866 Elm St, Sacramento, IL 36242</v>
      </c>
      <c r="BJ64" s="60" t="str">
        <f>IFERROR(__xludf.DUMMYFUNCTION("""COMPUTED_VALUE"""),"Sacramento")</f>
        <v>Sacramento</v>
      </c>
      <c r="BK64" s="60">
        <f>IFERROR(__xludf.DUMMYFUNCTION("""COMPUTED_VALUE"""),36242.0)</f>
        <v>36242</v>
      </c>
      <c r="BL64" s="60" t="str">
        <f>IFERROR(__xludf.DUMMYFUNCTION("""COMPUTED_VALUE"""),"IL")</f>
        <v>IL</v>
      </c>
      <c r="BM64" s="60" t="str">
        <f>IFERROR(__xludf.DUMMYFUNCTION("""COMPUTED_VALUE"""),"2 bds")</f>
        <v>2 bds</v>
      </c>
      <c r="BN64" s="60" t="str">
        <f>IFERROR(__xludf.DUMMYFUNCTION("""COMPUTED_VALUE"""),"2 ba")</f>
        <v>2 ba</v>
      </c>
      <c r="BO64" s="60">
        <f>IFERROR(__xludf.DUMMYFUNCTION("""COMPUTED_VALUE"""),3528.0)</f>
        <v>3528</v>
      </c>
      <c r="BP64" s="60">
        <f>IFERROR(__xludf.DUMMYFUNCTION("""COMPUTED_VALUE"""),9102.0)</f>
        <v>9102</v>
      </c>
      <c r="BQ64" s="60">
        <f>IFERROR(__xludf.DUMMYFUNCTION("""COMPUTED_VALUE"""),1993.0)</f>
        <v>1993</v>
      </c>
      <c r="BR64" s="60">
        <f>IFERROR(__xludf.DUMMYFUNCTION("""COMPUTED_VALUE"""),109.0)</f>
        <v>109</v>
      </c>
      <c r="BS64" s="60" t="str">
        <f>IFERROR(__xludf.DUMMYFUNCTION("""COMPUTED_VALUE"""),"Multi-Family")</f>
        <v>Multi-Family</v>
      </c>
      <c r="BT64" s="60" t="str">
        <f>IFERROR(__xludf.DUMMYFUNCTION("""COMPUTED_VALUE"""),"Z579829")</f>
        <v>Z579829</v>
      </c>
      <c r="BU64" s="60" t="str">
        <f>IFERROR(__xludf.DUMMYFUNCTION("""COMPUTED_VALUE"""),"Alex Johnson - Compass")</f>
        <v>Alex Johnson - Compass</v>
      </c>
      <c r="BV64" s="60" t="str">
        <f>IFERROR(__xludf.DUMMYFUNCTION("""COMPUTED_VALUE"""),"Sold")</f>
        <v>Sold</v>
      </c>
      <c r="BW64" s="60">
        <f>IFERROR(__xludf.DUMMYFUNCTION("""COMPUTED_VALUE"""),1.0)</f>
        <v>1</v>
      </c>
      <c r="BX64" s="60" t="str">
        <f>IFERROR(__xludf.DUMMYFUNCTION("""COMPUTED_VALUE"""),"OK")</f>
        <v>OK</v>
      </c>
      <c r="BY64" s="1" t="str">
        <f>IFERROR(__xludf.DUMMYFUNCTION("""COMPUTED_VALUE"""),"2600-3600")</f>
        <v>2600-3600</v>
      </c>
      <c r="BZ64" s="1">
        <f>IFERROR(__xludf.DUMMYFUNCTION("""COMPUTED_VALUE"""),33.0)</f>
        <v>33</v>
      </c>
      <c r="CA64" s="1" t="str">
        <f>IFERROR(__xludf.DUMMYFUNCTION("""COMPUTED_VALUE"""),"Old")</f>
        <v>Old</v>
      </c>
    </row>
    <row r="65" ht="14.25" customHeight="1">
      <c r="A65" s="5">
        <v>1224280.0</v>
      </c>
      <c r="B65" s="6" t="s">
        <v>301</v>
      </c>
      <c r="C65" s="6" t="s">
        <v>18</v>
      </c>
      <c r="D65" s="6">
        <v>87797.0</v>
      </c>
      <c r="E65" s="6" t="s">
        <v>19</v>
      </c>
      <c r="F65" s="6" t="s">
        <v>54</v>
      </c>
      <c r="G65" s="6" t="s">
        <v>21</v>
      </c>
      <c r="H65" s="7">
        <v>1071.0</v>
      </c>
      <c r="I65" s="7">
        <v>3640.0</v>
      </c>
      <c r="J65" s="6">
        <v>1965.0</v>
      </c>
      <c r="K65" s="6">
        <v>95.0</v>
      </c>
      <c r="L65" s="6" t="s">
        <v>95</v>
      </c>
      <c r="M65" s="6" t="s">
        <v>302</v>
      </c>
      <c r="N65" s="6" t="s">
        <v>48</v>
      </c>
      <c r="O65" s="6" t="s">
        <v>25</v>
      </c>
      <c r="P65" s="6">
        <f>COUNTIF(Analysis!$M$1:$M$3001,Analysis!$M65)</f>
        <v>1</v>
      </c>
      <c r="Q65" s="6" t="str">
        <f>IF(COUNTIF(Analysis!$M$2:$M$3001,Analysis!$M65)&gt;1,"Duplicate","OK")</f>
        <v>OK</v>
      </c>
      <c r="R65" s="6" t="str">
        <f t="shared" si="1"/>
        <v>600-1600</v>
      </c>
      <c r="S65" s="6">
        <f t="shared" si="2"/>
        <v>61</v>
      </c>
      <c r="T65" s="6" t="str">
        <f t="shared" si="3"/>
        <v>Very Old</v>
      </c>
      <c r="Z65" s="54"/>
      <c r="AA65" s="54"/>
      <c r="BH65" s="14">
        <f>IFERROR(__xludf.DUMMYFUNCTION("""COMPUTED_VALUE"""),857797.0)</f>
        <v>857797</v>
      </c>
      <c r="BI65" s="60" t="str">
        <f>IFERROR(__xludf.DUMMYFUNCTION("""COMPUTED_VALUE"""),"8625 Maple Dr, San Diego, TX 45263")</f>
        <v>8625 Maple Dr, San Diego, TX 45263</v>
      </c>
      <c r="BJ65" s="60" t="str">
        <f>IFERROR(__xludf.DUMMYFUNCTION("""COMPUTED_VALUE"""),"San Diego")</f>
        <v>San Diego</v>
      </c>
      <c r="BK65" s="60">
        <f>IFERROR(__xludf.DUMMYFUNCTION("""COMPUTED_VALUE"""),45263.0)</f>
        <v>45263</v>
      </c>
      <c r="BL65" s="60" t="str">
        <f>IFERROR(__xludf.DUMMYFUNCTION("""COMPUTED_VALUE"""),"TX")</f>
        <v>TX</v>
      </c>
      <c r="BM65" s="60" t="str">
        <f>IFERROR(__xludf.DUMMYFUNCTION("""COMPUTED_VALUE"""),"5 bds")</f>
        <v>5 bds</v>
      </c>
      <c r="BN65" s="60" t="str">
        <f>IFERROR(__xludf.DUMMYFUNCTION("""COMPUTED_VALUE"""),"1 ba")</f>
        <v>1 ba</v>
      </c>
      <c r="BO65" s="60">
        <f>IFERROR(__xludf.DUMMYFUNCTION("""COMPUTED_VALUE"""),3694.0)</f>
        <v>3694</v>
      </c>
      <c r="BP65" s="60">
        <f>IFERROR(__xludf.DUMMYFUNCTION("""COMPUTED_VALUE"""),8820.0)</f>
        <v>8820</v>
      </c>
      <c r="BQ65" s="60">
        <f>IFERROR(__xludf.DUMMYFUNCTION("""COMPUTED_VALUE"""),1955.0)</f>
        <v>1955</v>
      </c>
      <c r="BR65" s="60">
        <f>IFERROR(__xludf.DUMMYFUNCTION("""COMPUTED_VALUE"""),92.0)</f>
        <v>92</v>
      </c>
      <c r="BS65" s="60" t="str">
        <f>IFERROR(__xludf.DUMMYFUNCTION("""COMPUTED_VALUE"""),"Single Family")</f>
        <v>Single Family</v>
      </c>
      <c r="BT65" s="60" t="str">
        <f>IFERROR(__xludf.DUMMYFUNCTION("""COMPUTED_VALUE"""),"Z965843")</f>
        <v>Z965843</v>
      </c>
      <c r="BU65" s="60" t="str">
        <f>IFERROR(__xludf.DUMMYFUNCTION("""COMPUTED_VALUE"""),"Alex Johnson - Compass")</f>
        <v>Alex Johnson - Compass</v>
      </c>
      <c r="BV65" s="60" t="str">
        <f>IFERROR(__xludf.DUMMYFUNCTION("""COMPUTED_VALUE"""),"Sold")</f>
        <v>Sold</v>
      </c>
      <c r="BW65" s="60">
        <f>IFERROR(__xludf.DUMMYFUNCTION("""COMPUTED_VALUE"""),1.0)</f>
        <v>1</v>
      </c>
      <c r="BX65" s="60" t="str">
        <f>IFERROR(__xludf.DUMMYFUNCTION("""COMPUTED_VALUE"""),"OK")</f>
        <v>OK</v>
      </c>
      <c r="BY65" s="1" t="str">
        <f>IFERROR(__xludf.DUMMYFUNCTION("""COMPUTED_VALUE"""),"3600+")</f>
        <v>3600+</v>
      </c>
      <c r="BZ65" s="1">
        <f>IFERROR(__xludf.DUMMYFUNCTION("""COMPUTED_VALUE"""),71.0)</f>
        <v>71</v>
      </c>
      <c r="CA65" s="1" t="str">
        <f>IFERROR(__xludf.DUMMYFUNCTION("""COMPUTED_VALUE"""),"Very Old")</f>
        <v>Very Old</v>
      </c>
    </row>
    <row r="66" ht="14.25" customHeight="1">
      <c r="A66" s="5">
        <v>435555.0</v>
      </c>
      <c r="B66" s="6" t="s">
        <v>305</v>
      </c>
      <c r="C66" s="6" t="s">
        <v>53</v>
      </c>
      <c r="D66" s="6">
        <v>17654.0</v>
      </c>
      <c r="E66" s="6" t="s">
        <v>77</v>
      </c>
      <c r="F66" s="6" t="s">
        <v>46</v>
      </c>
      <c r="G66" s="6" t="s">
        <v>55</v>
      </c>
      <c r="H66" s="7">
        <v>2403.0</v>
      </c>
      <c r="I66" s="7">
        <v>8914.0</v>
      </c>
      <c r="J66" s="6">
        <v>1955.0</v>
      </c>
      <c r="K66" s="6">
        <v>18.0</v>
      </c>
      <c r="L66" s="6" t="s">
        <v>95</v>
      </c>
      <c r="M66" s="6" t="s">
        <v>306</v>
      </c>
      <c r="N66" s="6" t="s">
        <v>64</v>
      </c>
      <c r="O66" s="6" t="s">
        <v>49</v>
      </c>
      <c r="P66" s="6">
        <f>COUNTIF(Analysis!$M$1:$M$3001,Analysis!$M66)</f>
        <v>1</v>
      </c>
      <c r="Q66" s="6" t="str">
        <f>IF(COUNTIF(Analysis!$M$2:$M$3001,Analysis!$M66)&gt;1,"Duplicate","OK")</f>
        <v>OK</v>
      </c>
      <c r="R66" s="6" t="str">
        <f t="shared" si="1"/>
        <v>1600-2600</v>
      </c>
      <c r="S66" s="6">
        <f t="shared" si="2"/>
        <v>71</v>
      </c>
      <c r="T66" s="6" t="str">
        <f t="shared" si="3"/>
        <v>Very Old</v>
      </c>
      <c r="Z66" s="54"/>
      <c r="AA66" s="54"/>
      <c r="BH66" s="14">
        <f>IFERROR(__xludf.DUMMYFUNCTION("""COMPUTED_VALUE"""),308811.0)</f>
        <v>308811</v>
      </c>
      <c r="BI66" s="60" t="str">
        <f>IFERROR(__xludf.DUMMYFUNCTION("""COMPUTED_VALUE"""),"4421 Pine Rd, Los Angeles, CA 88307")</f>
        <v>4421 Pine Rd, Los Angeles, CA 88307</v>
      </c>
      <c r="BJ66" s="60" t="str">
        <f>IFERROR(__xludf.DUMMYFUNCTION("""COMPUTED_VALUE"""),"Los Angeles")</f>
        <v>Los Angeles</v>
      </c>
      <c r="BK66" s="60">
        <f>IFERROR(__xludf.DUMMYFUNCTION("""COMPUTED_VALUE"""),88307.0)</f>
        <v>88307</v>
      </c>
      <c r="BL66" s="60" t="str">
        <f>IFERROR(__xludf.DUMMYFUNCTION("""COMPUTED_VALUE"""),"CA")</f>
        <v>CA</v>
      </c>
      <c r="BM66" s="60" t="str">
        <f>IFERROR(__xludf.DUMMYFUNCTION("""COMPUTED_VALUE"""),"3 bds")</f>
        <v>3 bds</v>
      </c>
      <c r="BN66" s="60" t="str">
        <f>IFERROR(__xludf.DUMMYFUNCTION("""COMPUTED_VALUE"""),"4 ba")</f>
        <v>4 ba</v>
      </c>
      <c r="BO66" s="60">
        <f>IFERROR(__xludf.DUMMYFUNCTION("""COMPUTED_VALUE"""),3689.0)</f>
        <v>3689</v>
      </c>
      <c r="BP66" s="60">
        <f>IFERROR(__xludf.DUMMYFUNCTION("""COMPUTED_VALUE"""),9518.0)</f>
        <v>9518</v>
      </c>
      <c r="BQ66" s="60">
        <f>IFERROR(__xludf.DUMMYFUNCTION("""COMPUTED_VALUE"""),2002.0)</f>
        <v>2002</v>
      </c>
      <c r="BR66" s="60">
        <f>IFERROR(__xludf.DUMMYFUNCTION("""COMPUTED_VALUE"""),33.0)</f>
        <v>33</v>
      </c>
      <c r="BS66" s="60" t="str">
        <f>IFERROR(__xludf.DUMMYFUNCTION("""COMPUTED_VALUE"""),"Multi-Family")</f>
        <v>Multi-Family</v>
      </c>
      <c r="BT66" s="60" t="str">
        <f>IFERROR(__xludf.DUMMYFUNCTION("""COMPUTED_VALUE"""),"Z889155")</f>
        <v>Z889155</v>
      </c>
      <c r="BU66" s="60" t="str">
        <f>IFERROR(__xludf.DUMMYFUNCTION("""COMPUTED_VALUE"""),"Alex Johnson - Compass")</f>
        <v>Alex Johnson - Compass</v>
      </c>
      <c r="BV66" s="60" t="str">
        <f>IFERROR(__xludf.DUMMYFUNCTION("""COMPUTED_VALUE"""),"Sold")</f>
        <v>Sold</v>
      </c>
      <c r="BW66" s="60">
        <f>IFERROR(__xludf.DUMMYFUNCTION("""COMPUTED_VALUE"""),1.0)</f>
        <v>1</v>
      </c>
      <c r="BX66" s="60" t="str">
        <f>IFERROR(__xludf.DUMMYFUNCTION("""COMPUTED_VALUE"""),"OK")</f>
        <v>OK</v>
      </c>
      <c r="BY66" s="1" t="str">
        <f>IFERROR(__xludf.DUMMYFUNCTION("""COMPUTED_VALUE"""),"3600+")</f>
        <v>3600+</v>
      </c>
      <c r="BZ66" s="1">
        <f>IFERROR(__xludf.DUMMYFUNCTION("""COMPUTED_VALUE"""),24.0)</f>
        <v>24</v>
      </c>
      <c r="CA66" s="1" t="str">
        <f>IFERROR(__xludf.DUMMYFUNCTION("""COMPUTED_VALUE"""),"Mid")</f>
        <v>Mid</v>
      </c>
    </row>
    <row r="67" ht="14.25" customHeight="1">
      <c r="A67" s="5">
        <v>1142134.0</v>
      </c>
      <c r="B67" s="6" t="s">
        <v>309</v>
      </c>
      <c r="C67" s="6" t="s">
        <v>53</v>
      </c>
      <c r="D67" s="6">
        <v>76220.0</v>
      </c>
      <c r="E67" s="6" t="s">
        <v>60</v>
      </c>
      <c r="F67" s="6" t="s">
        <v>46</v>
      </c>
      <c r="G67" s="6" t="s">
        <v>21</v>
      </c>
      <c r="H67" s="7">
        <v>3515.0</v>
      </c>
      <c r="I67" s="7">
        <v>6385.0</v>
      </c>
      <c r="J67" s="6">
        <v>2018.0</v>
      </c>
      <c r="K67" s="6">
        <v>49.0</v>
      </c>
      <c r="L67" s="6" t="s">
        <v>62</v>
      </c>
      <c r="M67" s="6" t="s">
        <v>310</v>
      </c>
      <c r="N67" s="6" t="s">
        <v>24</v>
      </c>
      <c r="O67" s="6" t="s">
        <v>49</v>
      </c>
      <c r="P67" s="6">
        <f>COUNTIF(Analysis!$M$1:$M$3001,Analysis!$M67)</f>
        <v>1</v>
      </c>
      <c r="Q67" s="6" t="str">
        <f>IF(COUNTIF(Analysis!$M$2:$M$3001,Analysis!$M67)&gt;1,"Duplicate","OK")</f>
        <v>OK</v>
      </c>
      <c r="R67" s="6" t="str">
        <f t="shared" si="1"/>
        <v>2600-3600</v>
      </c>
      <c r="S67" s="6">
        <f t="shared" si="2"/>
        <v>8</v>
      </c>
      <c r="T67" s="6" t="str">
        <f t="shared" si="3"/>
        <v>New</v>
      </c>
      <c r="Z67" s="54"/>
      <c r="AA67" s="54"/>
      <c r="BH67" s="14">
        <f>IFERROR(__xludf.DUMMYFUNCTION("""COMPUTED_VALUE"""),975466.0)</f>
        <v>975466</v>
      </c>
      <c r="BI67" s="60" t="str">
        <f>IFERROR(__xludf.DUMMYFUNCTION("""COMPUTED_VALUE"""),"9456 Maple Dr, San Diego, TX 33841")</f>
        <v>9456 Maple Dr, San Diego, TX 33841</v>
      </c>
      <c r="BJ67" s="60" t="str">
        <f>IFERROR(__xludf.DUMMYFUNCTION("""COMPUTED_VALUE"""),"San Diego")</f>
        <v>San Diego</v>
      </c>
      <c r="BK67" s="60">
        <f>IFERROR(__xludf.DUMMYFUNCTION("""COMPUTED_VALUE"""),33841.0)</f>
        <v>33841</v>
      </c>
      <c r="BL67" s="60" t="str">
        <f>IFERROR(__xludf.DUMMYFUNCTION("""COMPUTED_VALUE"""),"TX")</f>
        <v>TX</v>
      </c>
      <c r="BM67" s="60" t="str">
        <f>IFERROR(__xludf.DUMMYFUNCTION("""COMPUTED_VALUE"""),"4 bds")</f>
        <v>4 bds</v>
      </c>
      <c r="BN67" s="60" t="str">
        <f>IFERROR(__xludf.DUMMYFUNCTION("""COMPUTED_VALUE"""),"1 ba")</f>
        <v>1 ba</v>
      </c>
      <c r="BO67" s="60">
        <f>IFERROR(__xludf.DUMMYFUNCTION("""COMPUTED_VALUE"""),2991.0)</f>
        <v>2991</v>
      </c>
      <c r="BP67" s="60">
        <f>IFERROR(__xludf.DUMMYFUNCTION("""COMPUTED_VALUE"""),1778.0)</f>
        <v>1778</v>
      </c>
      <c r="BQ67" s="60">
        <f>IFERROR(__xludf.DUMMYFUNCTION("""COMPUTED_VALUE"""),1965.0)</f>
        <v>1965</v>
      </c>
      <c r="BR67" s="60">
        <f>IFERROR(__xludf.DUMMYFUNCTION("""COMPUTED_VALUE"""),74.0)</f>
        <v>74</v>
      </c>
      <c r="BS67" s="60" t="str">
        <f>IFERROR(__xludf.DUMMYFUNCTION("""COMPUTED_VALUE"""),"Townhouse")</f>
        <v>Townhouse</v>
      </c>
      <c r="BT67" s="60" t="str">
        <f>IFERROR(__xludf.DUMMYFUNCTION("""COMPUTED_VALUE"""),"Z504458")</f>
        <v>Z504458</v>
      </c>
      <c r="BU67" s="60" t="str">
        <f>IFERROR(__xludf.DUMMYFUNCTION("""COMPUTED_VALUE"""),"Alex Johnson - Compass")</f>
        <v>Alex Johnson - Compass</v>
      </c>
      <c r="BV67" s="60" t="str">
        <f>IFERROR(__xludf.DUMMYFUNCTION("""COMPUTED_VALUE"""),"Sold")</f>
        <v>Sold</v>
      </c>
      <c r="BW67" s="60">
        <f>IFERROR(__xludf.DUMMYFUNCTION("""COMPUTED_VALUE"""),1.0)</f>
        <v>1</v>
      </c>
      <c r="BX67" s="60" t="str">
        <f>IFERROR(__xludf.DUMMYFUNCTION("""COMPUTED_VALUE"""),"OK")</f>
        <v>OK</v>
      </c>
      <c r="BY67" s="1" t="str">
        <f>IFERROR(__xludf.DUMMYFUNCTION("""COMPUTED_VALUE"""),"2600-3600")</f>
        <v>2600-3600</v>
      </c>
      <c r="BZ67" s="1">
        <f>IFERROR(__xludf.DUMMYFUNCTION("""COMPUTED_VALUE"""),61.0)</f>
        <v>61</v>
      </c>
      <c r="CA67" s="1" t="str">
        <f>IFERROR(__xludf.DUMMYFUNCTION("""COMPUTED_VALUE"""),"Very Old")</f>
        <v>Very Old</v>
      </c>
    </row>
    <row r="68" ht="14.25" customHeight="1">
      <c r="A68" s="5">
        <v>929862.0</v>
      </c>
      <c r="B68" s="6" t="s">
        <v>313</v>
      </c>
      <c r="C68" s="6" t="s">
        <v>39</v>
      </c>
      <c r="D68" s="6">
        <v>27909.0</v>
      </c>
      <c r="E68" s="6" t="s">
        <v>60</v>
      </c>
      <c r="F68" s="6" t="s">
        <v>54</v>
      </c>
      <c r="G68" s="6" t="s">
        <v>31</v>
      </c>
      <c r="H68" s="7">
        <v>1640.0</v>
      </c>
      <c r="I68" s="7">
        <v>2571.0</v>
      </c>
      <c r="J68" s="6">
        <v>1950.0</v>
      </c>
      <c r="K68" s="6">
        <v>58.0</v>
      </c>
      <c r="L68" s="6" t="s">
        <v>62</v>
      </c>
      <c r="M68" s="6" t="s">
        <v>314</v>
      </c>
      <c r="N68" s="6" t="s">
        <v>48</v>
      </c>
      <c r="O68" s="6" t="s">
        <v>35</v>
      </c>
      <c r="P68" s="6">
        <f>COUNTIF(Analysis!$M$1:$M$3001,Analysis!$M68)</f>
        <v>1</v>
      </c>
      <c r="Q68" s="6" t="str">
        <f>IF(COUNTIF(Analysis!$M$2:$M$3001,Analysis!$M68)&gt;1,"Duplicate","OK")</f>
        <v>OK</v>
      </c>
      <c r="R68" s="6" t="str">
        <f t="shared" si="1"/>
        <v>1600-2600</v>
      </c>
      <c r="S68" s="6">
        <f t="shared" si="2"/>
        <v>76</v>
      </c>
      <c r="T68" s="6" t="str">
        <f t="shared" si="3"/>
        <v>Very Old</v>
      </c>
      <c r="Z68" s="54"/>
      <c r="AA68" s="54"/>
      <c r="BH68" s="14">
        <f>IFERROR(__xludf.DUMMYFUNCTION("""COMPUTED_VALUE"""),373698.0)</f>
        <v>373698</v>
      </c>
      <c r="BI68" s="60" t="str">
        <f>IFERROR(__xludf.DUMMYFUNCTION("""COMPUTED_VALUE"""),"4432 Pine Rd, Los Angeles, IL 90010")</f>
        <v>4432 Pine Rd, Los Angeles, IL 90010</v>
      </c>
      <c r="BJ68" s="60" t="str">
        <f>IFERROR(__xludf.DUMMYFUNCTION("""COMPUTED_VALUE"""),"Los Angeles")</f>
        <v>Los Angeles</v>
      </c>
      <c r="BK68" s="60">
        <f>IFERROR(__xludf.DUMMYFUNCTION("""COMPUTED_VALUE"""),90010.0)</f>
        <v>90010</v>
      </c>
      <c r="BL68" s="60" t="str">
        <f>IFERROR(__xludf.DUMMYFUNCTION("""COMPUTED_VALUE"""),"IL")</f>
        <v>IL</v>
      </c>
      <c r="BM68" s="60" t="str">
        <f>IFERROR(__xludf.DUMMYFUNCTION("""COMPUTED_VALUE"""),"5 bds")</f>
        <v>5 bds</v>
      </c>
      <c r="BN68" s="60" t="str">
        <f>IFERROR(__xludf.DUMMYFUNCTION("""COMPUTED_VALUE"""),"3 ba")</f>
        <v>3 ba</v>
      </c>
      <c r="BO68" s="60">
        <f>IFERROR(__xludf.DUMMYFUNCTION("""COMPUTED_VALUE"""),3579.0)</f>
        <v>3579</v>
      </c>
      <c r="BP68" s="60">
        <f>IFERROR(__xludf.DUMMYFUNCTION("""COMPUTED_VALUE"""),2532.0)</f>
        <v>2532</v>
      </c>
      <c r="BQ68" s="60">
        <f>IFERROR(__xludf.DUMMYFUNCTION("""COMPUTED_VALUE"""),1955.0)</f>
        <v>1955</v>
      </c>
      <c r="BR68" s="60">
        <f>IFERROR(__xludf.DUMMYFUNCTION("""COMPUTED_VALUE"""),118.0)</f>
        <v>118</v>
      </c>
      <c r="BS68" s="60" t="str">
        <f>IFERROR(__xludf.DUMMYFUNCTION("""COMPUTED_VALUE"""),"Apartment")</f>
        <v>Apartment</v>
      </c>
      <c r="BT68" s="60" t="str">
        <f>IFERROR(__xludf.DUMMYFUNCTION("""COMPUTED_VALUE"""),"Z437341")</f>
        <v>Z437341</v>
      </c>
      <c r="BU68" s="60" t="str">
        <f>IFERROR(__xludf.DUMMYFUNCTION("""COMPUTED_VALUE"""),"Alex Johnson - Compass")</f>
        <v>Alex Johnson - Compass</v>
      </c>
      <c r="BV68" s="60" t="str">
        <f>IFERROR(__xludf.DUMMYFUNCTION("""COMPUTED_VALUE"""),"Sold")</f>
        <v>Sold</v>
      </c>
      <c r="BW68" s="60">
        <f>IFERROR(__xludf.DUMMYFUNCTION("""COMPUTED_VALUE"""),1.0)</f>
        <v>1</v>
      </c>
      <c r="BX68" s="60" t="str">
        <f>IFERROR(__xludf.DUMMYFUNCTION("""COMPUTED_VALUE"""),"OK")</f>
        <v>OK</v>
      </c>
      <c r="BY68" s="1" t="str">
        <f>IFERROR(__xludf.DUMMYFUNCTION("""COMPUTED_VALUE"""),"2600-3600")</f>
        <v>2600-3600</v>
      </c>
      <c r="BZ68" s="1">
        <f>IFERROR(__xludf.DUMMYFUNCTION("""COMPUTED_VALUE"""),71.0)</f>
        <v>71</v>
      </c>
      <c r="CA68" s="1" t="str">
        <f>IFERROR(__xludf.DUMMYFUNCTION("""COMPUTED_VALUE"""),"Very Old")</f>
        <v>Very Old</v>
      </c>
    </row>
    <row r="69" ht="14.25" customHeight="1">
      <c r="A69" s="5">
        <v>110097.0</v>
      </c>
      <c r="B69" s="6" t="s">
        <v>5299</v>
      </c>
      <c r="C69" s="6" t="s">
        <v>29</v>
      </c>
      <c r="D69" s="6">
        <v>11996.0</v>
      </c>
      <c r="E69" s="6" t="s">
        <v>30</v>
      </c>
      <c r="F69" s="6" t="s">
        <v>61</v>
      </c>
      <c r="G69" s="6" t="s">
        <v>55</v>
      </c>
      <c r="H69" s="7">
        <v>1398.0</v>
      </c>
      <c r="I69" s="7">
        <v>8381.0</v>
      </c>
      <c r="J69" s="6">
        <v>1962.0</v>
      </c>
      <c r="K69" s="6">
        <v>47.0</v>
      </c>
      <c r="L69" s="6" t="s">
        <v>95</v>
      </c>
      <c r="M69" s="6" t="s">
        <v>5300</v>
      </c>
      <c r="N69" s="6" t="s">
        <v>48</v>
      </c>
      <c r="O69" s="6" t="s">
        <v>49</v>
      </c>
      <c r="P69" s="6">
        <f>COUNTIF(Analysis!$M$1:$M$3001,Analysis!$M1315)</f>
        <v>1</v>
      </c>
      <c r="Q69" s="6" t="str">
        <f>IF(COUNTIF(Analysis!$M$2:$M$3001,Analysis!$M1315)&gt;1,"Duplicate","OK")</f>
        <v>OK</v>
      </c>
      <c r="R69" s="6" t="str">
        <f t="shared" si="1"/>
        <v>600-1600</v>
      </c>
      <c r="S69" s="6">
        <f t="shared" si="2"/>
        <v>64</v>
      </c>
      <c r="T69" s="6" t="str">
        <f t="shared" si="3"/>
        <v>Very Old</v>
      </c>
      <c r="Z69" s="54"/>
      <c r="AA69" s="54"/>
      <c r="BH69" s="14">
        <f>IFERROR(__xludf.DUMMYFUNCTION("""COMPUTED_VALUE"""),923080.0)</f>
        <v>923080</v>
      </c>
      <c r="BI69" s="60" t="str">
        <f>IFERROR(__xludf.DUMMYFUNCTION("""COMPUTED_VALUE"""),"8083 Oak Ave, Los Angeles, IL 23668")</f>
        <v>8083 Oak Ave, Los Angeles, IL 23668</v>
      </c>
      <c r="BJ69" s="60" t="str">
        <f>IFERROR(__xludf.DUMMYFUNCTION("""COMPUTED_VALUE"""),"Los Angeles")</f>
        <v>Los Angeles</v>
      </c>
      <c r="BK69" s="60">
        <f>IFERROR(__xludf.DUMMYFUNCTION("""COMPUTED_VALUE"""),23668.0)</f>
        <v>23668</v>
      </c>
      <c r="BL69" s="60" t="str">
        <f>IFERROR(__xludf.DUMMYFUNCTION("""COMPUTED_VALUE"""),"IL")</f>
        <v>IL</v>
      </c>
      <c r="BM69" s="60" t="str">
        <f>IFERROR(__xludf.DUMMYFUNCTION("""COMPUTED_VALUE"""),"3 bds")</f>
        <v>3 bds</v>
      </c>
      <c r="BN69" s="60" t="str">
        <f>IFERROR(__xludf.DUMMYFUNCTION("""COMPUTED_VALUE"""),"2 ba")</f>
        <v>2 ba</v>
      </c>
      <c r="BO69" s="60">
        <f>IFERROR(__xludf.DUMMYFUNCTION("""COMPUTED_VALUE"""),2742.0)</f>
        <v>2742</v>
      </c>
      <c r="BP69" s="60">
        <f>IFERROR(__xludf.DUMMYFUNCTION("""COMPUTED_VALUE"""),2878.0)</f>
        <v>2878</v>
      </c>
      <c r="BQ69" s="60">
        <f>IFERROR(__xludf.DUMMYFUNCTION("""COMPUTED_VALUE"""),1951.0)</f>
        <v>1951</v>
      </c>
      <c r="BR69" s="60">
        <f>IFERROR(__xludf.DUMMYFUNCTION("""COMPUTED_VALUE"""),67.0)</f>
        <v>67</v>
      </c>
      <c r="BS69" s="60" t="str">
        <f>IFERROR(__xludf.DUMMYFUNCTION("""COMPUTED_VALUE"""),"Condo")</f>
        <v>Condo</v>
      </c>
      <c r="BT69" s="60" t="str">
        <f>IFERROR(__xludf.DUMMYFUNCTION("""COMPUTED_VALUE"""),"Z542462")</f>
        <v>Z542462</v>
      </c>
      <c r="BU69" s="60" t="str">
        <f>IFERROR(__xludf.DUMMYFUNCTION("""COMPUTED_VALUE"""),"Alex Johnson - Compass")</f>
        <v>Alex Johnson - Compass</v>
      </c>
      <c r="BV69" s="60" t="str">
        <f>IFERROR(__xludf.DUMMYFUNCTION("""COMPUTED_VALUE"""),"Sold")</f>
        <v>Sold</v>
      </c>
      <c r="BW69" s="60">
        <f>IFERROR(__xludf.DUMMYFUNCTION("""COMPUTED_VALUE"""),1.0)</f>
        <v>1</v>
      </c>
      <c r="BX69" s="60" t="str">
        <f>IFERROR(__xludf.DUMMYFUNCTION("""COMPUTED_VALUE"""),"OK")</f>
        <v>OK</v>
      </c>
      <c r="BY69" s="1" t="str">
        <f>IFERROR(__xludf.DUMMYFUNCTION("""COMPUTED_VALUE"""),"2600-3600")</f>
        <v>2600-3600</v>
      </c>
      <c r="BZ69" s="1">
        <f>IFERROR(__xludf.DUMMYFUNCTION("""COMPUTED_VALUE"""),75.0)</f>
        <v>75</v>
      </c>
      <c r="CA69" s="1" t="str">
        <f>IFERROR(__xludf.DUMMYFUNCTION("""COMPUTED_VALUE"""),"Very Old")</f>
        <v>Very Old</v>
      </c>
    </row>
    <row r="70" ht="14.25" customHeight="1">
      <c r="A70" s="5">
        <v>282593.0</v>
      </c>
      <c r="B70" s="6" t="s">
        <v>321</v>
      </c>
      <c r="C70" s="6" t="s">
        <v>76</v>
      </c>
      <c r="D70" s="6">
        <v>99388.0</v>
      </c>
      <c r="E70" s="6" t="s">
        <v>40</v>
      </c>
      <c r="F70" s="6" t="s">
        <v>41</v>
      </c>
      <c r="G70" s="6" t="s">
        <v>55</v>
      </c>
      <c r="H70" s="7">
        <v>2153.0</v>
      </c>
      <c r="I70" s="7">
        <v>6999.0</v>
      </c>
      <c r="J70" s="6">
        <v>1977.0</v>
      </c>
      <c r="K70" s="6">
        <v>31.0</v>
      </c>
      <c r="L70" s="6" t="s">
        <v>141</v>
      </c>
      <c r="M70" s="6" t="s">
        <v>322</v>
      </c>
      <c r="N70" s="6" t="s">
        <v>24</v>
      </c>
      <c r="O70" s="6" t="s">
        <v>35</v>
      </c>
      <c r="P70" s="6">
        <f>COUNTIF(Analysis!$M$1:$M$3001,Analysis!$M70)</f>
        <v>1</v>
      </c>
      <c r="Q70" s="6" t="str">
        <f>IF(COUNTIF(Analysis!$M$2:$M$3001,Analysis!$M70)&gt;1,"Duplicate","OK")</f>
        <v>OK</v>
      </c>
      <c r="R70" s="6" t="str">
        <f t="shared" si="1"/>
        <v>1600-2600</v>
      </c>
      <c r="S70" s="6">
        <f t="shared" si="2"/>
        <v>49</v>
      </c>
      <c r="T70" s="6" t="str">
        <f t="shared" si="3"/>
        <v>Old</v>
      </c>
      <c r="Z70" s="54"/>
      <c r="AA70" s="54"/>
      <c r="BH70" s="14">
        <f>IFERROR(__xludf.DUMMYFUNCTION("""COMPUTED_VALUE"""),493145.0)</f>
        <v>493145</v>
      </c>
      <c r="BI70" s="60" t="str">
        <f>IFERROR(__xludf.DUMMYFUNCTION("""COMPUTED_VALUE"""),"9227 Maple Dr, Fresno, TX 95106")</f>
        <v>9227 Maple Dr, Fresno, TX 95106</v>
      </c>
      <c r="BJ70" s="60" t="str">
        <f>IFERROR(__xludf.DUMMYFUNCTION("""COMPUTED_VALUE"""),"Fresno")</f>
        <v>Fresno</v>
      </c>
      <c r="BK70" s="60">
        <f>IFERROR(__xludf.DUMMYFUNCTION("""COMPUTED_VALUE"""),95106.0)</f>
        <v>95106</v>
      </c>
      <c r="BL70" s="60" t="str">
        <f>IFERROR(__xludf.DUMMYFUNCTION("""COMPUTED_VALUE"""),"TX")</f>
        <v>TX</v>
      </c>
      <c r="BM70" s="60" t="str">
        <f>IFERROR(__xludf.DUMMYFUNCTION("""COMPUTED_VALUE"""),"5 bds")</f>
        <v>5 bds</v>
      </c>
      <c r="BN70" s="60" t="str">
        <f>IFERROR(__xludf.DUMMYFUNCTION("""COMPUTED_VALUE"""),"2 ba")</f>
        <v>2 ba</v>
      </c>
      <c r="BO70" s="60">
        <f>IFERROR(__xludf.DUMMYFUNCTION("""COMPUTED_VALUE"""),2880.0)</f>
        <v>2880</v>
      </c>
      <c r="BP70" s="60">
        <f>IFERROR(__xludf.DUMMYFUNCTION("""COMPUTED_VALUE"""),2593.0)</f>
        <v>2593</v>
      </c>
      <c r="BQ70" s="60">
        <f>IFERROR(__xludf.DUMMYFUNCTION("""COMPUTED_VALUE"""),1981.0)</f>
        <v>1981</v>
      </c>
      <c r="BR70" s="60">
        <f>IFERROR(__xludf.DUMMYFUNCTION("""COMPUTED_VALUE"""),82.0)</f>
        <v>82</v>
      </c>
      <c r="BS70" s="60" t="str">
        <f>IFERROR(__xludf.DUMMYFUNCTION("""COMPUTED_VALUE"""),"Condo")</f>
        <v>Condo</v>
      </c>
      <c r="BT70" s="60" t="str">
        <f>IFERROR(__xludf.DUMMYFUNCTION("""COMPUTED_VALUE"""),"Z864815")</f>
        <v>Z864815</v>
      </c>
      <c r="BU70" s="60" t="str">
        <f>IFERROR(__xludf.DUMMYFUNCTION("""COMPUTED_VALUE"""),"Alex Johnson - Compass")</f>
        <v>Alex Johnson - Compass</v>
      </c>
      <c r="BV70" s="60" t="str">
        <f>IFERROR(__xludf.DUMMYFUNCTION("""COMPUTED_VALUE"""),"Sold")</f>
        <v>Sold</v>
      </c>
      <c r="BW70" s="60">
        <f>IFERROR(__xludf.DUMMYFUNCTION("""COMPUTED_VALUE"""),1.0)</f>
        <v>1</v>
      </c>
      <c r="BX70" s="60" t="str">
        <f>IFERROR(__xludf.DUMMYFUNCTION("""COMPUTED_VALUE"""),"OK")</f>
        <v>OK</v>
      </c>
      <c r="BY70" s="1" t="str">
        <f>IFERROR(__xludf.DUMMYFUNCTION("""COMPUTED_VALUE"""),"2600-3600")</f>
        <v>2600-3600</v>
      </c>
      <c r="BZ70" s="1">
        <f>IFERROR(__xludf.DUMMYFUNCTION("""COMPUTED_VALUE"""),45.0)</f>
        <v>45</v>
      </c>
      <c r="CA70" s="1" t="str">
        <f>IFERROR(__xludf.DUMMYFUNCTION("""COMPUTED_VALUE"""),"Old")</f>
        <v>Old</v>
      </c>
    </row>
    <row r="71" ht="14.25" customHeight="1">
      <c r="A71" s="5">
        <v>390371.0</v>
      </c>
      <c r="B71" s="6" t="s">
        <v>325</v>
      </c>
      <c r="C71" s="6" t="s">
        <v>39</v>
      </c>
      <c r="D71" s="6">
        <v>74756.0</v>
      </c>
      <c r="E71" s="6" t="s">
        <v>60</v>
      </c>
      <c r="F71" s="6" t="s">
        <v>61</v>
      </c>
      <c r="G71" s="6" t="s">
        <v>100</v>
      </c>
      <c r="H71" s="7">
        <v>3539.0</v>
      </c>
      <c r="I71" s="7">
        <v>9313.0</v>
      </c>
      <c r="J71" s="6">
        <v>1985.0</v>
      </c>
      <c r="K71" s="6">
        <v>47.0</v>
      </c>
      <c r="L71" s="6" t="s">
        <v>62</v>
      </c>
      <c r="M71" s="6" t="s">
        <v>326</v>
      </c>
      <c r="N71" s="6" t="s">
        <v>34</v>
      </c>
      <c r="O71" s="6" t="s">
        <v>49</v>
      </c>
      <c r="P71" s="6">
        <f>COUNTIF(Analysis!$M$1:$M$3001,Analysis!$M71)</f>
        <v>1</v>
      </c>
      <c r="Q71" s="6" t="str">
        <f>IF(COUNTIF(Analysis!$M$2:$M$3001,Analysis!$M71)&gt;1,"Duplicate","OK")</f>
        <v>OK</v>
      </c>
      <c r="R71" s="6" t="str">
        <f t="shared" si="1"/>
        <v>2600-3600</v>
      </c>
      <c r="S71" s="6">
        <f t="shared" si="2"/>
        <v>41</v>
      </c>
      <c r="T71" s="6" t="str">
        <f t="shared" si="3"/>
        <v>Old</v>
      </c>
      <c r="Z71" s="54"/>
      <c r="AA71" s="54"/>
      <c r="BH71" s="14">
        <f>IFERROR(__xludf.DUMMYFUNCTION("""COMPUTED_VALUE"""),506109.0)</f>
        <v>506109</v>
      </c>
      <c r="BI71" s="60" t="str">
        <f>IFERROR(__xludf.DUMMYFUNCTION("""COMPUTED_VALUE"""),"6631 Main St, Fresno, TX 46866")</f>
        <v>6631 Main St, Fresno, TX 46866</v>
      </c>
      <c r="BJ71" s="60" t="str">
        <f>IFERROR(__xludf.DUMMYFUNCTION("""COMPUTED_VALUE"""),"Fresno")</f>
        <v>Fresno</v>
      </c>
      <c r="BK71" s="60">
        <f>IFERROR(__xludf.DUMMYFUNCTION("""COMPUTED_VALUE"""),46866.0)</f>
        <v>46866</v>
      </c>
      <c r="BL71" s="60" t="str">
        <f>IFERROR(__xludf.DUMMYFUNCTION("""COMPUTED_VALUE"""),"TX")</f>
        <v>TX</v>
      </c>
      <c r="BM71" s="60" t="str">
        <f>IFERROR(__xludf.DUMMYFUNCTION("""COMPUTED_VALUE"""),"4 bds")</f>
        <v>4 bds</v>
      </c>
      <c r="BN71" s="60" t="str">
        <f>IFERROR(__xludf.DUMMYFUNCTION("""COMPUTED_VALUE"""),"3 ba")</f>
        <v>3 ba</v>
      </c>
      <c r="BO71" s="60">
        <f>IFERROR(__xludf.DUMMYFUNCTION("""COMPUTED_VALUE"""),1410.0)</f>
        <v>1410</v>
      </c>
      <c r="BP71" s="60">
        <f>IFERROR(__xludf.DUMMYFUNCTION("""COMPUTED_VALUE"""),7928.0)</f>
        <v>7928</v>
      </c>
      <c r="BQ71" s="60">
        <f>IFERROR(__xludf.DUMMYFUNCTION("""COMPUTED_VALUE"""),1981.0)</f>
        <v>1981</v>
      </c>
      <c r="BR71" s="60">
        <f>IFERROR(__xludf.DUMMYFUNCTION("""COMPUTED_VALUE"""),88.0)</f>
        <v>88</v>
      </c>
      <c r="BS71" s="60" t="str">
        <f>IFERROR(__xludf.DUMMYFUNCTION("""COMPUTED_VALUE"""),"Townhouse")</f>
        <v>Townhouse</v>
      </c>
      <c r="BT71" s="60" t="str">
        <f>IFERROR(__xludf.DUMMYFUNCTION("""COMPUTED_VALUE"""),"Z992053")</f>
        <v>Z992053</v>
      </c>
      <c r="BU71" s="60" t="str">
        <f>IFERROR(__xludf.DUMMYFUNCTION("""COMPUTED_VALUE"""),"Alex Johnson - Compass")</f>
        <v>Alex Johnson - Compass</v>
      </c>
      <c r="BV71" s="60" t="str">
        <f>IFERROR(__xludf.DUMMYFUNCTION("""COMPUTED_VALUE"""),"Sold")</f>
        <v>Sold</v>
      </c>
      <c r="BW71" s="60">
        <f>IFERROR(__xludf.DUMMYFUNCTION("""COMPUTED_VALUE"""),1.0)</f>
        <v>1</v>
      </c>
      <c r="BX71" s="60" t="str">
        <f>IFERROR(__xludf.DUMMYFUNCTION("""COMPUTED_VALUE"""),"OK")</f>
        <v>OK</v>
      </c>
      <c r="BY71" s="1" t="str">
        <f>IFERROR(__xludf.DUMMYFUNCTION("""COMPUTED_VALUE"""),"600-1600")</f>
        <v>600-1600</v>
      </c>
      <c r="BZ71" s="1">
        <f>IFERROR(__xludf.DUMMYFUNCTION("""COMPUTED_VALUE"""),45.0)</f>
        <v>45</v>
      </c>
      <c r="CA71" s="1" t="str">
        <f>IFERROR(__xludf.DUMMYFUNCTION("""COMPUTED_VALUE"""),"Old")</f>
        <v>Old</v>
      </c>
    </row>
    <row r="72" ht="14.25" customHeight="1">
      <c r="A72" s="5">
        <v>1103898.0</v>
      </c>
      <c r="B72" s="6" t="s">
        <v>329</v>
      </c>
      <c r="C72" s="6" t="s">
        <v>39</v>
      </c>
      <c r="D72" s="6">
        <v>36251.0</v>
      </c>
      <c r="E72" s="6" t="s">
        <v>40</v>
      </c>
      <c r="F72" s="6" t="s">
        <v>46</v>
      </c>
      <c r="G72" s="6" t="s">
        <v>31</v>
      </c>
      <c r="H72" s="7">
        <v>1088.0</v>
      </c>
      <c r="I72" s="7">
        <v>4186.0</v>
      </c>
      <c r="J72" s="6">
        <v>1983.0</v>
      </c>
      <c r="K72" s="6">
        <v>58.0</v>
      </c>
      <c r="L72" s="6" t="s">
        <v>62</v>
      </c>
      <c r="M72" s="6" t="s">
        <v>330</v>
      </c>
      <c r="N72" s="6" t="s">
        <v>48</v>
      </c>
      <c r="O72" s="6" t="s">
        <v>35</v>
      </c>
      <c r="P72" s="6">
        <f>COUNTIF(Analysis!$M$1:$M$3001,Analysis!$M72)</f>
        <v>1</v>
      </c>
      <c r="Q72" s="6" t="str">
        <f>IF(COUNTIF(Analysis!$M$2:$M$3001,Analysis!$M72)&gt;1,"Duplicate","OK")</f>
        <v>OK</v>
      </c>
      <c r="R72" s="6" t="str">
        <f t="shared" si="1"/>
        <v>600-1600</v>
      </c>
      <c r="S72" s="6">
        <f t="shared" si="2"/>
        <v>43</v>
      </c>
      <c r="T72" s="6" t="str">
        <f t="shared" si="3"/>
        <v>Old</v>
      </c>
      <c r="Z72" s="54"/>
      <c r="AA72" s="54"/>
      <c r="BH72" s="14">
        <f>IFERROR(__xludf.DUMMYFUNCTION("""COMPUTED_VALUE"""),512474.0)</f>
        <v>512474</v>
      </c>
      <c r="BI72" s="60" t="str">
        <f>IFERROR(__xludf.DUMMYFUNCTION("""COMPUTED_VALUE"""),"6829 Main St, Fresno, TX 58601")</f>
        <v>6829 Main St, Fresno, TX 58601</v>
      </c>
      <c r="BJ72" s="60" t="str">
        <f>IFERROR(__xludf.DUMMYFUNCTION("""COMPUTED_VALUE"""),"Fresno")</f>
        <v>Fresno</v>
      </c>
      <c r="BK72" s="60">
        <f>IFERROR(__xludf.DUMMYFUNCTION("""COMPUTED_VALUE"""),58601.0)</f>
        <v>58601</v>
      </c>
      <c r="BL72" s="60" t="str">
        <f>IFERROR(__xludf.DUMMYFUNCTION("""COMPUTED_VALUE"""),"TX")</f>
        <v>TX</v>
      </c>
      <c r="BM72" s="60" t="str">
        <f>IFERROR(__xludf.DUMMYFUNCTION("""COMPUTED_VALUE"""),"5 bds")</f>
        <v>5 bds</v>
      </c>
      <c r="BN72" s="60" t="str">
        <f>IFERROR(__xludf.DUMMYFUNCTION("""COMPUTED_VALUE"""),"3 ba")</f>
        <v>3 ba</v>
      </c>
      <c r="BO72" s="60">
        <f>IFERROR(__xludf.DUMMYFUNCTION("""COMPUTED_VALUE"""),1228.0)</f>
        <v>1228</v>
      </c>
      <c r="BP72" s="60">
        <f>IFERROR(__xludf.DUMMYFUNCTION("""COMPUTED_VALUE"""),1347.0)</f>
        <v>1347</v>
      </c>
      <c r="BQ72" s="60">
        <f>IFERROR(__xludf.DUMMYFUNCTION("""COMPUTED_VALUE"""),2004.0)</f>
        <v>2004</v>
      </c>
      <c r="BR72" s="60">
        <f>IFERROR(__xludf.DUMMYFUNCTION("""COMPUTED_VALUE"""),69.0)</f>
        <v>69</v>
      </c>
      <c r="BS72" s="60" t="str">
        <f>IFERROR(__xludf.DUMMYFUNCTION("""COMPUTED_VALUE"""),"Single Family")</f>
        <v>Single Family</v>
      </c>
      <c r="BT72" s="60" t="str">
        <f>IFERROR(__xludf.DUMMYFUNCTION("""COMPUTED_VALUE"""),"Z823642")</f>
        <v>Z823642</v>
      </c>
      <c r="BU72" s="60" t="str">
        <f>IFERROR(__xludf.DUMMYFUNCTION("""COMPUTED_VALUE"""),"Alex Johnson - Compass")</f>
        <v>Alex Johnson - Compass</v>
      </c>
      <c r="BV72" s="60" t="str">
        <f>IFERROR(__xludf.DUMMYFUNCTION("""COMPUTED_VALUE"""),"Sold")</f>
        <v>Sold</v>
      </c>
      <c r="BW72" s="60">
        <f>IFERROR(__xludf.DUMMYFUNCTION("""COMPUTED_VALUE"""),1.0)</f>
        <v>1</v>
      </c>
      <c r="BX72" s="60" t="str">
        <f>IFERROR(__xludf.DUMMYFUNCTION("""COMPUTED_VALUE"""),"OK")</f>
        <v>OK</v>
      </c>
      <c r="BY72" s="1" t="str">
        <f>IFERROR(__xludf.DUMMYFUNCTION("""COMPUTED_VALUE"""),"600-1600")</f>
        <v>600-1600</v>
      </c>
      <c r="BZ72" s="1">
        <f>IFERROR(__xludf.DUMMYFUNCTION("""COMPUTED_VALUE"""),22.0)</f>
        <v>22</v>
      </c>
      <c r="CA72" s="1" t="str">
        <f>IFERROR(__xludf.DUMMYFUNCTION("""COMPUTED_VALUE"""),"Mid")</f>
        <v>Mid</v>
      </c>
    </row>
    <row r="73" ht="14.25" customHeight="1">
      <c r="A73" s="5">
        <v>114286.0</v>
      </c>
      <c r="B73" s="6" t="s">
        <v>3463</v>
      </c>
      <c r="C73" s="6" t="s">
        <v>29</v>
      </c>
      <c r="D73" s="6">
        <v>95641.0</v>
      </c>
      <c r="E73" s="6" t="s">
        <v>40</v>
      </c>
      <c r="F73" s="6" t="s">
        <v>54</v>
      </c>
      <c r="G73" s="6" t="s">
        <v>100</v>
      </c>
      <c r="H73" s="7">
        <v>1970.0</v>
      </c>
      <c r="I73" s="7">
        <v>7313.0</v>
      </c>
      <c r="J73" s="6">
        <v>2007.0</v>
      </c>
      <c r="K73" s="6">
        <v>18.0</v>
      </c>
      <c r="L73" s="6" t="s">
        <v>141</v>
      </c>
      <c r="M73" s="6" t="s">
        <v>3464</v>
      </c>
      <c r="N73" s="6" t="s">
        <v>48</v>
      </c>
      <c r="O73" s="6" t="s">
        <v>35</v>
      </c>
      <c r="P73" s="6">
        <f>COUNTIF(Analysis!$M$1:$M$3001,Analysis!$M856)</f>
        <v>1</v>
      </c>
      <c r="Q73" s="6" t="str">
        <f>IF(COUNTIF(Analysis!$M$2:$M$3001,Analysis!$M856)&gt;1,"Duplicate","OK")</f>
        <v>OK</v>
      </c>
      <c r="R73" s="6" t="str">
        <f t="shared" si="1"/>
        <v>1600-2600</v>
      </c>
      <c r="S73" s="6">
        <f t="shared" si="2"/>
        <v>19</v>
      </c>
      <c r="T73" s="6" t="str">
        <f t="shared" si="3"/>
        <v>Mid</v>
      </c>
      <c r="Z73" s="54"/>
      <c r="AA73" s="54"/>
      <c r="BH73" s="14">
        <f>IFERROR(__xludf.DUMMYFUNCTION("""COMPUTED_VALUE"""),779712.0)</f>
        <v>779712</v>
      </c>
      <c r="BI73" s="60" t="str">
        <f>IFERROR(__xludf.DUMMYFUNCTION("""COMPUTED_VALUE"""),"3285 Main St, San Diego, FL 42387")</f>
        <v>3285 Main St, San Diego, FL 42387</v>
      </c>
      <c r="BJ73" s="60" t="str">
        <f>IFERROR(__xludf.DUMMYFUNCTION("""COMPUTED_VALUE"""),"San Diego")</f>
        <v>San Diego</v>
      </c>
      <c r="BK73" s="60">
        <f>IFERROR(__xludf.DUMMYFUNCTION("""COMPUTED_VALUE"""),42387.0)</f>
        <v>42387</v>
      </c>
      <c r="BL73" s="60" t="str">
        <f>IFERROR(__xludf.DUMMYFUNCTION("""COMPUTED_VALUE"""),"FL")</f>
        <v>FL</v>
      </c>
      <c r="BM73" s="60" t="str">
        <f>IFERROR(__xludf.DUMMYFUNCTION("""COMPUTED_VALUE"""),"5 bds")</f>
        <v>5 bds</v>
      </c>
      <c r="BN73" s="60" t="str">
        <f>IFERROR(__xludf.DUMMYFUNCTION("""COMPUTED_VALUE"""),"4 ba")</f>
        <v>4 ba</v>
      </c>
      <c r="BO73" s="60">
        <f>IFERROR(__xludf.DUMMYFUNCTION("""COMPUTED_VALUE"""),3051.0)</f>
        <v>3051</v>
      </c>
      <c r="BP73" s="60">
        <f>IFERROR(__xludf.DUMMYFUNCTION("""COMPUTED_VALUE"""),6115.0)</f>
        <v>6115</v>
      </c>
      <c r="BQ73" s="60">
        <f>IFERROR(__xludf.DUMMYFUNCTION("""COMPUTED_VALUE"""),2017.0)</f>
        <v>2017</v>
      </c>
      <c r="BR73" s="60">
        <f>IFERROR(__xludf.DUMMYFUNCTION("""COMPUTED_VALUE"""),17.0)</f>
        <v>17</v>
      </c>
      <c r="BS73" s="60" t="str">
        <f>IFERROR(__xludf.DUMMYFUNCTION("""COMPUTED_VALUE"""),"Single Family")</f>
        <v>Single Family</v>
      </c>
      <c r="BT73" s="60" t="str">
        <f>IFERROR(__xludf.DUMMYFUNCTION("""COMPUTED_VALUE"""),"Z539871")</f>
        <v>Z539871</v>
      </c>
      <c r="BU73" s="60" t="str">
        <f>IFERROR(__xludf.DUMMYFUNCTION("""COMPUTED_VALUE"""),"Alex Johnson - Compass")</f>
        <v>Alex Johnson - Compass</v>
      </c>
      <c r="BV73" s="60" t="str">
        <f>IFERROR(__xludf.DUMMYFUNCTION("""COMPUTED_VALUE"""),"Sold")</f>
        <v>Sold</v>
      </c>
      <c r="BW73" s="60">
        <f>IFERROR(__xludf.DUMMYFUNCTION("""COMPUTED_VALUE"""),1.0)</f>
        <v>1</v>
      </c>
      <c r="BX73" s="60" t="str">
        <f>IFERROR(__xludf.DUMMYFUNCTION("""COMPUTED_VALUE"""),"OK")</f>
        <v>OK</v>
      </c>
      <c r="BY73" s="1" t="str">
        <f>IFERROR(__xludf.DUMMYFUNCTION("""COMPUTED_VALUE"""),"2600-3600")</f>
        <v>2600-3600</v>
      </c>
      <c r="BZ73" s="1">
        <f>IFERROR(__xludf.DUMMYFUNCTION("""COMPUTED_VALUE"""),9.0)</f>
        <v>9</v>
      </c>
      <c r="CA73" s="1" t="str">
        <f>IFERROR(__xludf.DUMMYFUNCTION("""COMPUTED_VALUE"""),"New")</f>
        <v>New</v>
      </c>
    </row>
    <row r="74" ht="14.25" customHeight="1">
      <c r="A74" s="5">
        <v>442170.0</v>
      </c>
      <c r="B74" s="6" t="s">
        <v>337</v>
      </c>
      <c r="C74" s="6" t="s">
        <v>76</v>
      </c>
      <c r="D74" s="6">
        <v>63085.0</v>
      </c>
      <c r="E74" s="6" t="s">
        <v>19</v>
      </c>
      <c r="F74" s="6" t="s">
        <v>41</v>
      </c>
      <c r="G74" s="6" t="s">
        <v>100</v>
      </c>
      <c r="H74" s="7">
        <v>1647.0</v>
      </c>
      <c r="I74" s="7">
        <v>6299.0</v>
      </c>
      <c r="J74" s="6">
        <v>2008.0</v>
      </c>
      <c r="K74" s="6">
        <v>52.0</v>
      </c>
      <c r="L74" s="6" t="s">
        <v>32</v>
      </c>
      <c r="M74" s="6" t="s">
        <v>338</v>
      </c>
      <c r="N74" s="6" t="s">
        <v>64</v>
      </c>
      <c r="O74" s="6" t="s">
        <v>35</v>
      </c>
      <c r="P74" s="6">
        <f>COUNTIF(Analysis!$M$1:$M$3001,Analysis!$M74)</f>
        <v>1</v>
      </c>
      <c r="Q74" s="6" t="str">
        <f>IF(COUNTIF(Analysis!$M$2:$M$3001,Analysis!$M74)&gt;1,"Duplicate","OK")</f>
        <v>OK</v>
      </c>
      <c r="R74" s="6" t="str">
        <f t="shared" si="1"/>
        <v>1600-2600</v>
      </c>
      <c r="S74" s="6">
        <f t="shared" si="2"/>
        <v>18</v>
      </c>
      <c r="T74" s="6" t="str">
        <f t="shared" si="3"/>
        <v>Mid</v>
      </c>
      <c r="Z74" s="54"/>
      <c r="AA74" s="54"/>
      <c r="BH74" s="14">
        <f>IFERROR(__xludf.DUMMYFUNCTION("""COMPUTED_VALUE"""),1246389.0)</f>
        <v>1246389</v>
      </c>
      <c r="BI74" s="60" t="str">
        <f>IFERROR(__xludf.DUMMYFUNCTION("""COMPUTED_VALUE"""),"3411 Elm St, Sacramento, IL 79757")</f>
        <v>3411 Elm St, Sacramento, IL 79757</v>
      </c>
      <c r="BJ74" s="60" t="str">
        <f>IFERROR(__xludf.DUMMYFUNCTION("""COMPUTED_VALUE"""),"Sacramento")</f>
        <v>Sacramento</v>
      </c>
      <c r="BK74" s="60">
        <f>IFERROR(__xludf.DUMMYFUNCTION("""COMPUTED_VALUE"""),79757.0)</f>
        <v>79757</v>
      </c>
      <c r="BL74" s="60" t="str">
        <f>IFERROR(__xludf.DUMMYFUNCTION("""COMPUTED_VALUE"""),"IL")</f>
        <v>IL</v>
      </c>
      <c r="BM74" s="60" t="str">
        <f>IFERROR(__xludf.DUMMYFUNCTION("""COMPUTED_VALUE"""),"3 bds")</f>
        <v>3 bds</v>
      </c>
      <c r="BN74" s="60" t="str">
        <f>IFERROR(__xludf.DUMMYFUNCTION("""COMPUTED_VALUE"""),"3 ba")</f>
        <v>3 ba</v>
      </c>
      <c r="BO74" s="60">
        <f>IFERROR(__xludf.DUMMYFUNCTION("""COMPUTED_VALUE"""),1724.0)</f>
        <v>1724</v>
      </c>
      <c r="BP74" s="60">
        <f>IFERROR(__xludf.DUMMYFUNCTION("""COMPUTED_VALUE"""),1272.0)</f>
        <v>1272</v>
      </c>
      <c r="BQ74" s="60">
        <f>IFERROR(__xludf.DUMMYFUNCTION("""COMPUTED_VALUE"""),2003.0)</f>
        <v>2003</v>
      </c>
      <c r="BR74" s="60">
        <f>IFERROR(__xludf.DUMMYFUNCTION("""COMPUTED_VALUE"""),100.0)</f>
        <v>100</v>
      </c>
      <c r="BS74" s="60" t="str">
        <f>IFERROR(__xludf.DUMMYFUNCTION("""COMPUTED_VALUE"""),"Townhouse")</f>
        <v>Townhouse</v>
      </c>
      <c r="BT74" s="60" t="str">
        <f>IFERROR(__xludf.DUMMYFUNCTION("""COMPUTED_VALUE"""),"Z297688")</f>
        <v>Z297688</v>
      </c>
      <c r="BU74" s="60" t="str">
        <f>IFERROR(__xludf.DUMMYFUNCTION("""COMPUTED_VALUE"""),"Alex Johnson - Compass")</f>
        <v>Alex Johnson - Compass</v>
      </c>
      <c r="BV74" s="60" t="str">
        <f>IFERROR(__xludf.DUMMYFUNCTION("""COMPUTED_VALUE"""),"Sold")</f>
        <v>Sold</v>
      </c>
      <c r="BW74" s="60">
        <f>IFERROR(__xludf.DUMMYFUNCTION("""COMPUTED_VALUE"""),1.0)</f>
        <v>1</v>
      </c>
      <c r="BX74" s="60" t="str">
        <f>IFERROR(__xludf.DUMMYFUNCTION("""COMPUTED_VALUE"""),"OK")</f>
        <v>OK</v>
      </c>
      <c r="BY74" s="1" t="str">
        <f>IFERROR(__xludf.DUMMYFUNCTION("""COMPUTED_VALUE"""),"1600-2600")</f>
        <v>1600-2600</v>
      </c>
      <c r="BZ74" s="1">
        <f>IFERROR(__xludf.DUMMYFUNCTION("""COMPUTED_VALUE"""),23.0)</f>
        <v>23</v>
      </c>
      <c r="CA74" s="1" t="str">
        <f>IFERROR(__xludf.DUMMYFUNCTION("""COMPUTED_VALUE"""),"Mid")</f>
        <v>Mid</v>
      </c>
    </row>
    <row r="75" ht="14.25" customHeight="1">
      <c r="A75" s="5">
        <v>1081035.0</v>
      </c>
      <c r="B75" s="6" t="s">
        <v>341</v>
      </c>
      <c r="C75" s="6" t="s">
        <v>53</v>
      </c>
      <c r="D75" s="6">
        <v>23864.0</v>
      </c>
      <c r="E75" s="6" t="s">
        <v>60</v>
      </c>
      <c r="F75" s="6" t="s">
        <v>61</v>
      </c>
      <c r="G75" s="6" t="s">
        <v>100</v>
      </c>
      <c r="H75" s="7">
        <v>2892.0</v>
      </c>
      <c r="I75" s="7">
        <v>8833.0</v>
      </c>
      <c r="J75" s="6">
        <v>2002.0</v>
      </c>
      <c r="K75" s="6">
        <v>52.0</v>
      </c>
      <c r="L75" s="6" t="s">
        <v>62</v>
      </c>
      <c r="M75" s="6" t="s">
        <v>342</v>
      </c>
      <c r="N75" s="6" t="s">
        <v>43</v>
      </c>
      <c r="O75" s="6" t="s">
        <v>25</v>
      </c>
      <c r="P75" s="6">
        <f>COUNTIF(Analysis!$M$1:$M$3001,Analysis!$M75)</f>
        <v>1</v>
      </c>
      <c r="Q75" s="6" t="str">
        <f>IF(COUNTIF(Analysis!$M$2:$M$3001,Analysis!$M75)&gt;1,"Duplicate","OK")</f>
        <v>OK</v>
      </c>
      <c r="R75" s="6" t="str">
        <f t="shared" si="1"/>
        <v>2600-3600</v>
      </c>
      <c r="S75" s="6">
        <f t="shared" si="2"/>
        <v>24</v>
      </c>
      <c r="T75" s="6" t="str">
        <f t="shared" si="3"/>
        <v>Mid</v>
      </c>
      <c r="Z75" s="54"/>
      <c r="AA75" s="54"/>
      <c r="BH75" s="14">
        <f>IFERROR(__xludf.DUMMYFUNCTION("""COMPUTED_VALUE"""),518811.0)</f>
        <v>518811</v>
      </c>
      <c r="BI75" s="60" t="str">
        <f>IFERROR(__xludf.DUMMYFUNCTION("""COMPUTED_VALUE"""),"3894 Pine Rd, Fresno, NY 65592")</f>
        <v>3894 Pine Rd, Fresno, NY 65592</v>
      </c>
      <c r="BJ75" s="60" t="str">
        <f>IFERROR(__xludf.DUMMYFUNCTION("""COMPUTED_VALUE"""),"Fresno")</f>
        <v>Fresno</v>
      </c>
      <c r="BK75" s="60">
        <f>IFERROR(__xludf.DUMMYFUNCTION("""COMPUTED_VALUE"""),65592.0)</f>
        <v>65592</v>
      </c>
      <c r="BL75" s="60" t="str">
        <f>IFERROR(__xludf.DUMMYFUNCTION("""COMPUTED_VALUE"""),"NY")</f>
        <v>NY</v>
      </c>
      <c r="BM75" s="60" t="str">
        <f>IFERROR(__xludf.DUMMYFUNCTION("""COMPUTED_VALUE"""),"3 bds")</f>
        <v>3 bds</v>
      </c>
      <c r="BN75" s="60" t="str">
        <f>IFERROR(__xludf.DUMMYFUNCTION("""COMPUTED_VALUE"""),"4 ba")</f>
        <v>4 ba</v>
      </c>
      <c r="BO75" s="60">
        <f>IFERROR(__xludf.DUMMYFUNCTION("""COMPUTED_VALUE"""),2819.0)</f>
        <v>2819</v>
      </c>
      <c r="BP75" s="60">
        <f>IFERROR(__xludf.DUMMYFUNCTION("""COMPUTED_VALUE"""),7024.0)</f>
        <v>7024</v>
      </c>
      <c r="BQ75" s="60">
        <f>IFERROR(__xludf.DUMMYFUNCTION("""COMPUTED_VALUE"""),1988.0)</f>
        <v>1988</v>
      </c>
      <c r="BR75" s="60">
        <f>IFERROR(__xludf.DUMMYFUNCTION("""COMPUTED_VALUE"""),12.0)</f>
        <v>12</v>
      </c>
      <c r="BS75" s="60" t="str">
        <f>IFERROR(__xludf.DUMMYFUNCTION("""COMPUTED_VALUE"""),"Condo")</f>
        <v>Condo</v>
      </c>
      <c r="BT75" s="60" t="str">
        <f>IFERROR(__xludf.DUMMYFUNCTION("""COMPUTED_VALUE"""),"Z575631")</f>
        <v>Z575631</v>
      </c>
      <c r="BU75" s="60" t="str">
        <f>IFERROR(__xludf.DUMMYFUNCTION("""COMPUTED_VALUE"""),"Alex Johnson - Compass")</f>
        <v>Alex Johnson - Compass</v>
      </c>
      <c r="BV75" s="60" t="str">
        <f>IFERROR(__xludf.DUMMYFUNCTION("""COMPUTED_VALUE"""),"Sold")</f>
        <v>Sold</v>
      </c>
      <c r="BW75" s="60">
        <f>IFERROR(__xludf.DUMMYFUNCTION("""COMPUTED_VALUE"""),1.0)</f>
        <v>1</v>
      </c>
      <c r="BX75" s="60" t="str">
        <f>IFERROR(__xludf.DUMMYFUNCTION("""COMPUTED_VALUE"""),"OK")</f>
        <v>OK</v>
      </c>
      <c r="BY75" s="1" t="str">
        <f>IFERROR(__xludf.DUMMYFUNCTION("""COMPUTED_VALUE"""),"2600-3600")</f>
        <v>2600-3600</v>
      </c>
      <c r="BZ75" s="1">
        <f>IFERROR(__xludf.DUMMYFUNCTION("""COMPUTED_VALUE"""),38.0)</f>
        <v>38</v>
      </c>
      <c r="CA75" s="1" t="str">
        <f>IFERROR(__xludf.DUMMYFUNCTION("""COMPUTED_VALUE"""),"Old")</f>
        <v>Old</v>
      </c>
    </row>
    <row r="76" ht="14.25" customHeight="1">
      <c r="A76" s="5">
        <v>121284.0</v>
      </c>
      <c r="B76" s="6" t="s">
        <v>809</v>
      </c>
      <c r="C76" s="6" t="s">
        <v>29</v>
      </c>
      <c r="D76" s="6">
        <v>52256.0</v>
      </c>
      <c r="E76" s="6" t="s">
        <v>77</v>
      </c>
      <c r="F76" s="6" t="s">
        <v>41</v>
      </c>
      <c r="G76" s="6" t="s">
        <v>21</v>
      </c>
      <c r="H76" s="7">
        <v>3267.0</v>
      </c>
      <c r="I76" s="7">
        <v>8097.0</v>
      </c>
      <c r="J76" s="6">
        <v>1998.0</v>
      </c>
      <c r="K76" s="6">
        <v>116.0</v>
      </c>
      <c r="L76" s="6" t="s">
        <v>141</v>
      </c>
      <c r="M76" s="6" t="s">
        <v>810</v>
      </c>
      <c r="N76" s="6" t="s">
        <v>48</v>
      </c>
      <c r="O76" s="6" t="s">
        <v>35</v>
      </c>
      <c r="P76" s="6">
        <f>COUNTIF(Analysis!$M$1:$M$3001,Analysis!$M192)</f>
        <v>1</v>
      </c>
      <c r="Q76" s="6" t="str">
        <f>IF(COUNTIF(Analysis!$M$2:$M$3001,Analysis!$M192)&gt;1,"Duplicate","OK")</f>
        <v>OK</v>
      </c>
      <c r="R76" s="6" t="str">
        <f t="shared" si="1"/>
        <v>2600-3600</v>
      </c>
      <c r="S76" s="6">
        <f t="shared" si="2"/>
        <v>28</v>
      </c>
      <c r="T76" s="6" t="str">
        <f t="shared" si="3"/>
        <v>Mid</v>
      </c>
      <c r="Z76" s="54"/>
      <c r="AA76" s="54"/>
      <c r="BH76" s="14">
        <f>IFERROR(__xludf.DUMMYFUNCTION("""COMPUTED_VALUE"""),1458463.0)</f>
        <v>1458463</v>
      </c>
      <c r="BI76" s="60" t="str">
        <f>IFERROR(__xludf.DUMMYFUNCTION("""COMPUTED_VALUE"""),"5971 Maple Dr, Los Angeles, NY 37866")</f>
        <v>5971 Maple Dr, Los Angeles, NY 37866</v>
      </c>
      <c r="BJ76" s="60" t="str">
        <f>IFERROR(__xludf.DUMMYFUNCTION("""COMPUTED_VALUE"""),"Los Angeles")</f>
        <v>Los Angeles</v>
      </c>
      <c r="BK76" s="60">
        <f>IFERROR(__xludf.DUMMYFUNCTION("""COMPUTED_VALUE"""),37866.0)</f>
        <v>37866</v>
      </c>
      <c r="BL76" s="60" t="str">
        <f>IFERROR(__xludf.DUMMYFUNCTION("""COMPUTED_VALUE"""),"NY")</f>
        <v>NY</v>
      </c>
      <c r="BM76" s="60" t="str">
        <f>IFERROR(__xludf.DUMMYFUNCTION("""COMPUTED_VALUE"""),"2 bds")</f>
        <v>2 bds</v>
      </c>
      <c r="BN76" s="60" t="str">
        <f>IFERROR(__xludf.DUMMYFUNCTION("""COMPUTED_VALUE"""),"2 ba")</f>
        <v>2 ba</v>
      </c>
      <c r="BO76" s="60">
        <f>IFERROR(__xludf.DUMMYFUNCTION("""COMPUTED_VALUE"""),2244.0)</f>
        <v>2244</v>
      </c>
      <c r="BP76" s="60">
        <f>IFERROR(__xludf.DUMMYFUNCTION("""COMPUTED_VALUE"""),6626.0)</f>
        <v>6626</v>
      </c>
      <c r="BQ76" s="60">
        <f>IFERROR(__xludf.DUMMYFUNCTION("""COMPUTED_VALUE"""),1960.0)</f>
        <v>1960</v>
      </c>
      <c r="BR76" s="60">
        <f>IFERROR(__xludf.DUMMYFUNCTION("""COMPUTED_VALUE"""),6.0)</f>
        <v>6</v>
      </c>
      <c r="BS76" s="60" t="str">
        <f>IFERROR(__xludf.DUMMYFUNCTION("""COMPUTED_VALUE"""),"Multi-Family")</f>
        <v>Multi-Family</v>
      </c>
      <c r="BT76" s="60" t="str">
        <f>IFERROR(__xludf.DUMMYFUNCTION("""COMPUTED_VALUE"""),"Z686634")</f>
        <v>Z686634</v>
      </c>
      <c r="BU76" s="60" t="str">
        <f>IFERROR(__xludf.DUMMYFUNCTION("""COMPUTED_VALUE"""),"Alex Johnson - Compass")</f>
        <v>Alex Johnson - Compass</v>
      </c>
      <c r="BV76" s="60" t="str">
        <f>IFERROR(__xludf.DUMMYFUNCTION("""COMPUTED_VALUE"""),"Sold")</f>
        <v>Sold</v>
      </c>
      <c r="BW76" s="60">
        <f>IFERROR(__xludf.DUMMYFUNCTION("""COMPUTED_VALUE"""),1.0)</f>
        <v>1</v>
      </c>
      <c r="BX76" s="60" t="str">
        <f>IFERROR(__xludf.DUMMYFUNCTION("""COMPUTED_VALUE"""),"OK")</f>
        <v>OK</v>
      </c>
      <c r="BY76" s="1" t="str">
        <f>IFERROR(__xludf.DUMMYFUNCTION("""COMPUTED_VALUE"""),"1600-2600")</f>
        <v>1600-2600</v>
      </c>
      <c r="BZ76" s="1">
        <f>IFERROR(__xludf.DUMMYFUNCTION("""COMPUTED_VALUE"""),66.0)</f>
        <v>66</v>
      </c>
      <c r="CA76" s="1" t="str">
        <f>IFERROR(__xludf.DUMMYFUNCTION("""COMPUTED_VALUE"""),"Very Old")</f>
        <v>Very Old</v>
      </c>
    </row>
    <row r="77" ht="14.25" customHeight="1">
      <c r="A77" s="5">
        <v>754480.0</v>
      </c>
      <c r="B77" s="6" t="s">
        <v>349</v>
      </c>
      <c r="C77" s="6" t="s">
        <v>18</v>
      </c>
      <c r="D77" s="6">
        <v>83545.0</v>
      </c>
      <c r="E77" s="6" t="s">
        <v>30</v>
      </c>
      <c r="F77" s="6" t="s">
        <v>20</v>
      </c>
      <c r="G77" s="6" t="s">
        <v>100</v>
      </c>
      <c r="H77" s="7">
        <v>2042.0</v>
      </c>
      <c r="I77" s="7">
        <v>4863.0</v>
      </c>
      <c r="J77" s="6">
        <v>1958.0</v>
      </c>
      <c r="K77" s="6">
        <v>120.0</v>
      </c>
      <c r="L77" s="6" t="s">
        <v>62</v>
      </c>
      <c r="M77" s="6" t="s">
        <v>350</v>
      </c>
      <c r="N77" s="6" t="s">
        <v>24</v>
      </c>
      <c r="O77" s="6" t="s">
        <v>49</v>
      </c>
      <c r="P77" s="6">
        <f>COUNTIF(Analysis!$M$1:$M$3001,Analysis!$M77)</f>
        <v>1</v>
      </c>
      <c r="Q77" s="6" t="str">
        <f>IF(COUNTIF(Analysis!$M$2:$M$3001,Analysis!$M77)&gt;1,"Duplicate","OK")</f>
        <v>OK</v>
      </c>
      <c r="R77" s="6" t="str">
        <f t="shared" si="1"/>
        <v>1600-2600</v>
      </c>
      <c r="S77" s="6">
        <f t="shared" si="2"/>
        <v>68</v>
      </c>
      <c r="T77" s="6" t="str">
        <f t="shared" si="3"/>
        <v>Very Old</v>
      </c>
      <c r="Z77" s="54"/>
      <c r="AA77" s="54"/>
      <c r="BH77" s="14">
        <f>IFERROR(__xludf.DUMMYFUNCTION("""COMPUTED_VALUE"""),431967.0)</f>
        <v>431967</v>
      </c>
      <c r="BI77" s="60" t="str">
        <f>IFERROR(__xludf.DUMMYFUNCTION("""COMPUTED_VALUE"""),"4808 Elm St, San Francisco, FL 79165")</f>
        <v>4808 Elm St, San Francisco, FL 79165</v>
      </c>
      <c r="BJ77" s="60" t="str">
        <f>IFERROR(__xludf.DUMMYFUNCTION("""COMPUTED_VALUE"""),"San Francisco")</f>
        <v>San Francisco</v>
      </c>
      <c r="BK77" s="60">
        <f>IFERROR(__xludf.DUMMYFUNCTION("""COMPUTED_VALUE"""),79165.0)</f>
        <v>79165</v>
      </c>
      <c r="BL77" s="60" t="str">
        <f>IFERROR(__xludf.DUMMYFUNCTION("""COMPUTED_VALUE"""),"FL")</f>
        <v>FL</v>
      </c>
      <c r="BM77" s="60" t="str">
        <f>IFERROR(__xludf.DUMMYFUNCTION("""COMPUTED_VALUE"""),"5 bds")</f>
        <v>5 bds</v>
      </c>
      <c r="BN77" s="60" t="str">
        <f>IFERROR(__xludf.DUMMYFUNCTION("""COMPUTED_VALUE"""),"3 ba")</f>
        <v>3 ba</v>
      </c>
      <c r="BO77" s="60">
        <f>IFERROR(__xludf.DUMMYFUNCTION("""COMPUTED_VALUE"""),2861.0)</f>
        <v>2861</v>
      </c>
      <c r="BP77" s="60">
        <f>IFERROR(__xludf.DUMMYFUNCTION("""COMPUTED_VALUE"""),2320.0)</f>
        <v>2320</v>
      </c>
      <c r="BQ77" s="60">
        <f>IFERROR(__xludf.DUMMYFUNCTION("""COMPUTED_VALUE"""),2002.0)</f>
        <v>2002</v>
      </c>
      <c r="BR77" s="60">
        <f>IFERROR(__xludf.DUMMYFUNCTION("""COMPUTED_VALUE"""),101.0)</f>
        <v>101</v>
      </c>
      <c r="BS77" s="60" t="str">
        <f>IFERROR(__xludf.DUMMYFUNCTION("""COMPUTED_VALUE"""),"Multi-Family")</f>
        <v>Multi-Family</v>
      </c>
      <c r="BT77" s="60" t="str">
        <f>IFERROR(__xludf.DUMMYFUNCTION("""COMPUTED_VALUE"""),"Z614744")</f>
        <v>Z614744</v>
      </c>
      <c r="BU77" s="60" t="str">
        <f>IFERROR(__xludf.DUMMYFUNCTION("""COMPUTED_VALUE"""),"Alex Johnson - Compass")</f>
        <v>Alex Johnson - Compass</v>
      </c>
      <c r="BV77" s="60" t="str">
        <f>IFERROR(__xludf.DUMMYFUNCTION("""COMPUTED_VALUE"""),"Sold")</f>
        <v>Sold</v>
      </c>
      <c r="BW77" s="60">
        <f>IFERROR(__xludf.DUMMYFUNCTION("""COMPUTED_VALUE"""),1.0)</f>
        <v>1</v>
      </c>
      <c r="BX77" s="60" t="str">
        <f>IFERROR(__xludf.DUMMYFUNCTION("""COMPUTED_VALUE"""),"OK")</f>
        <v>OK</v>
      </c>
      <c r="BY77" s="1" t="str">
        <f>IFERROR(__xludf.DUMMYFUNCTION("""COMPUTED_VALUE"""),"2600-3600")</f>
        <v>2600-3600</v>
      </c>
      <c r="BZ77" s="1">
        <f>IFERROR(__xludf.DUMMYFUNCTION("""COMPUTED_VALUE"""),24.0)</f>
        <v>24</v>
      </c>
      <c r="CA77" s="1" t="str">
        <f>IFERROR(__xludf.DUMMYFUNCTION("""COMPUTED_VALUE"""),"Mid")</f>
        <v>Mid</v>
      </c>
    </row>
    <row r="78" ht="14.25" customHeight="1">
      <c r="A78" s="5">
        <v>362957.0</v>
      </c>
      <c r="B78" s="6" t="s">
        <v>353</v>
      </c>
      <c r="C78" s="6" t="s">
        <v>53</v>
      </c>
      <c r="D78" s="6">
        <v>39506.0</v>
      </c>
      <c r="E78" s="6" t="s">
        <v>30</v>
      </c>
      <c r="F78" s="6" t="s">
        <v>61</v>
      </c>
      <c r="G78" s="6" t="s">
        <v>55</v>
      </c>
      <c r="H78" s="7">
        <v>3482.0</v>
      </c>
      <c r="I78" s="7">
        <v>1702.0</v>
      </c>
      <c r="J78" s="6">
        <v>2011.0</v>
      </c>
      <c r="K78" s="6">
        <v>92.0</v>
      </c>
      <c r="L78" s="6" t="s">
        <v>32</v>
      </c>
      <c r="M78" s="6" t="s">
        <v>354</v>
      </c>
      <c r="N78" s="6" t="s">
        <v>64</v>
      </c>
      <c r="O78" s="6" t="s">
        <v>35</v>
      </c>
      <c r="P78" s="6">
        <f>COUNTIF(Analysis!$M$1:$M$3001,Analysis!$M78)</f>
        <v>1</v>
      </c>
      <c r="Q78" s="6" t="str">
        <f>IF(COUNTIF(Analysis!$M$2:$M$3001,Analysis!$M78)&gt;1,"Duplicate","OK")</f>
        <v>OK</v>
      </c>
      <c r="R78" s="6" t="str">
        <f t="shared" si="1"/>
        <v>2600-3600</v>
      </c>
      <c r="S78" s="6">
        <f t="shared" si="2"/>
        <v>15</v>
      </c>
      <c r="T78" s="6" t="str">
        <f t="shared" si="3"/>
        <v>Mid</v>
      </c>
      <c r="Z78" s="54"/>
      <c r="AA78" s="54"/>
      <c r="BH78" s="14">
        <f>IFERROR(__xludf.DUMMYFUNCTION("""COMPUTED_VALUE"""),1478203.0)</f>
        <v>1478203</v>
      </c>
      <c r="BI78" s="60" t="str">
        <f>IFERROR(__xludf.DUMMYFUNCTION("""COMPUTED_VALUE"""),"1085 Oak Ave, San Diego, FL 99061")</f>
        <v>1085 Oak Ave, San Diego, FL 99061</v>
      </c>
      <c r="BJ78" s="60" t="str">
        <f>IFERROR(__xludf.DUMMYFUNCTION("""COMPUTED_VALUE"""),"San Diego")</f>
        <v>San Diego</v>
      </c>
      <c r="BK78" s="60">
        <f>IFERROR(__xludf.DUMMYFUNCTION("""COMPUTED_VALUE"""),99061.0)</f>
        <v>99061</v>
      </c>
      <c r="BL78" s="60" t="str">
        <f>IFERROR(__xludf.DUMMYFUNCTION("""COMPUTED_VALUE"""),"FL")</f>
        <v>FL</v>
      </c>
      <c r="BM78" s="60" t="str">
        <f>IFERROR(__xludf.DUMMYFUNCTION("""COMPUTED_VALUE"""),"2 bds")</f>
        <v>2 bds</v>
      </c>
      <c r="BN78" s="60" t="str">
        <f>IFERROR(__xludf.DUMMYFUNCTION("""COMPUTED_VALUE"""),"4 ba")</f>
        <v>4 ba</v>
      </c>
      <c r="BO78" s="60">
        <f>IFERROR(__xludf.DUMMYFUNCTION("""COMPUTED_VALUE"""),3581.0)</f>
        <v>3581</v>
      </c>
      <c r="BP78" s="60">
        <f>IFERROR(__xludf.DUMMYFUNCTION("""COMPUTED_VALUE"""),9668.0)</f>
        <v>9668</v>
      </c>
      <c r="BQ78" s="60">
        <f>IFERROR(__xludf.DUMMYFUNCTION("""COMPUTED_VALUE"""),1992.0)</f>
        <v>1992</v>
      </c>
      <c r="BR78" s="60">
        <f>IFERROR(__xludf.DUMMYFUNCTION("""COMPUTED_VALUE"""),2.0)</f>
        <v>2</v>
      </c>
      <c r="BS78" s="60" t="str">
        <f>IFERROR(__xludf.DUMMYFUNCTION("""COMPUTED_VALUE"""),"Multi-Family")</f>
        <v>Multi-Family</v>
      </c>
      <c r="BT78" s="60" t="str">
        <f>IFERROR(__xludf.DUMMYFUNCTION("""COMPUTED_VALUE"""),"Z828553")</f>
        <v>Z828553</v>
      </c>
      <c r="BU78" s="60" t="str">
        <f>IFERROR(__xludf.DUMMYFUNCTION("""COMPUTED_VALUE"""),"Alex Johnson - Compass")</f>
        <v>Alex Johnson - Compass</v>
      </c>
      <c r="BV78" s="60" t="str">
        <f>IFERROR(__xludf.DUMMYFUNCTION("""COMPUTED_VALUE"""),"Sold")</f>
        <v>Sold</v>
      </c>
      <c r="BW78" s="60">
        <f>IFERROR(__xludf.DUMMYFUNCTION("""COMPUTED_VALUE"""),1.0)</f>
        <v>1</v>
      </c>
      <c r="BX78" s="60" t="str">
        <f>IFERROR(__xludf.DUMMYFUNCTION("""COMPUTED_VALUE"""),"OK")</f>
        <v>OK</v>
      </c>
      <c r="BY78" s="1" t="str">
        <f>IFERROR(__xludf.DUMMYFUNCTION("""COMPUTED_VALUE"""),"2600-3600")</f>
        <v>2600-3600</v>
      </c>
      <c r="BZ78" s="1">
        <f>IFERROR(__xludf.DUMMYFUNCTION("""COMPUTED_VALUE"""),34.0)</f>
        <v>34</v>
      </c>
      <c r="CA78" s="1" t="str">
        <f>IFERROR(__xludf.DUMMYFUNCTION("""COMPUTED_VALUE"""),"Old")</f>
        <v>Old</v>
      </c>
    </row>
    <row r="79" ht="14.25" customHeight="1">
      <c r="A79" s="5">
        <v>1387573.0</v>
      </c>
      <c r="B79" s="6" t="s">
        <v>357</v>
      </c>
      <c r="C79" s="6" t="s">
        <v>18</v>
      </c>
      <c r="D79" s="6">
        <v>98587.0</v>
      </c>
      <c r="E79" s="6" t="s">
        <v>30</v>
      </c>
      <c r="F79" s="6" t="s">
        <v>54</v>
      </c>
      <c r="G79" s="6" t="s">
        <v>100</v>
      </c>
      <c r="H79" s="7">
        <v>1949.0</v>
      </c>
      <c r="I79" s="7">
        <v>5913.0</v>
      </c>
      <c r="J79" s="6">
        <v>1975.0</v>
      </c>
      <c r="K79" s="6">
        <v>84.0</v>
      </c>
      <c r="L79" s="6" t="s">
        <v>141</v>
      </c>
      <c r="M79" s="6" t="s">
        <v>358</v>
      </c>
      <c r="N79" s="6" t="s">
        <v>24</v>
      </c>
      <c r="O79" s="6" t="s">
        <v>49</v>
      </c>
      <c r="P79" s="6">
        <f>COUNTIF(Analysis!$M$1:$M$3001,Analysis!$M79)</f>
        <v>1</v>
      </c>
      <c r="Q79" s="6" t="str">
        <f>IF(COUNTIF(Analysis!$M$2:$M$3001,Analysis!$M79)&gt;1,"Duplicate","OK")</f>
        <v>OK</v>
      </c>
      <c r="R79" s="6" t="str">
        <f t="shared" si="1"/>
        <v>1600-2600</v>
      </c>
      <c r="S79" s="6">
        <f t="shared" si="2"/>
        <v>51</v>
      </c>
      <c r="T79" s="6" t="str">
        <f t="shared" si="3"/>
        <v>Old</v>
      </c>
      <c r="Z79" s="54"/>
      <c r="AA79" s="54"/>
      <c r="BH79" s="14">
        <f>IFERROR(__xludf.DUMMYFUNCTION("""COMPUTED_VALUE"""),531098.0)</f>
        <v>531098</v>
      </c>
      <c r="BI79" s="60" t="str">
        <f>IFERROR(__xludf.DUMMYFUNCTION("""COMPUTED_VALUE"""),"5999 Maple Dr, Fresno, IL 51303")</f>
        <v>5999 Maple Dr, Fresno, IL 51303</v>
      </c>
      <c r="BJ79" s="60" t="str">
        <f>IFERROR(__xludf.DUMMYFUNCTION("""COMPUTED_VALUE"""),"Fresno")</f>
        <v>Fresno</v>
      </c>
      <c r="BK79" s="60">
        <f>IFERROR(__xludf.DUMMYFUNCTION("""COMPUTED_VALUE"""),51303.0)</f>
        <v>51303</v>
      </c>
      <c r="BL79" s="60" t="str">
        <f>IFERROR(__xludf.DUMMYFUNCTION("""COMPUTED_VALUE"""),"IL")</f>
        <v>IL</v>
      </c>
      <c r="BM79" s="60" t="str">
        <f>IFERROR(__xludf.DUMMYFUNCTION("""COMPUTED_VALUE"""),"1 bds")</f>
        <v>1 bds</v>
      </c>
      <c r="BN79" s="60" t="str">
        <f>IFERROR(__xludf.DUMMYFUNCTION("""COMPUTED_VALUE"""),"3 ba")</f>
        <v>3 ba</v>
      </c>
      <c r="BO79" s="60">
        <f>IFERROR(__xludf.DUMMYFUNCTION("""COMPUTED_VALUE"""),3332.0)</f>
        <v>3332</v>
      </c>
      <c r="BP79" s="60">
        <f>IFERROR(__xludf.DUMMYFUNCTION("""COMPUTED_VALUE"""),3979.0)</f>
        <v>3979</v>
      </c>
      <c r="BQ79" s="60">
        <f>IFERROR(__xludf.DUMMYFUNCTION("""COMPUTED_VALUE"""),1958.0)</f>
        <v>1958</v>
      </c>
      <c r="BR79" s="60">
        <f>IFERROR(__xludf.DUMMYFUNCTION("""COMPUTED_VALUE"""),9.0)</f>
        <v>9</v>
      </c>
      <c r="BS79" s="60" t="str">
        <f>IFERROR(__xludf.DUMMYFUNCTION("""COMPUTED_VALUE"""),"Single Family")</f>
        <v>Single Family</v>
      </c>
      <c r="BT79" s="60" t="str">
        <f>IFERROR(__xludf.DUMMYFUNCTION("""COMPUTED_VALUE"""),"Z590213")</f>
        <v>Z590213</v>
      </c>
      <c r="BU79" s="60" t="str">
        <f>IFERROR(__xludf.DUMMYFUNCTION("""COMPUTED_VALUE"""),"Alex Johnson - Compass")</f>
        <v>Alex Johnson - Compass</v>
      </c>
      <c r="BV79" s="60" t="str">
        <f>IFERROR(__xludf.DUMMYFUNCTION("""COMPUTED_VALUE"""),"Sold")</f>
        <v>Sold</v>
      </c>
      <c r="BW79" s="60">
        <f>IFERROR(__xludf.DUMMYFUNCTION("""COMPUTED_VALUE"""),1.0)</f>
        <v>1</v>
      </c>
      <c r="BX79" s="60" t="str">
        <f>IFERROR(__xludf.DUMMYFUNCTION("""COMPUTED_VALUE"""),"OK")</f>
        <v>OK</v>
      </c>
      <c r="BY79" s="1" t="str">
        <f>IFERROR(__xludf.DUMMYFUNCTION("""COMPUTED_VALUE"""),"2600-3600")</f>
        <v>2600-3600</v>
      </c>
      <c r="BZ79" s="1">
        <f>IFERROR(__xludf.DUMMYFUNCTION("""COMPUTED_VALUE"""),68.0)</f>
        <v>68</v>
      </c>
      <c r="CA79" s="1" t="str">
        <f>IFERROR(__xludf.DUMMYFUNCTION("""COMPUTED_VALUE"""),"Very Old")</f>
        <v>Very Old</v>
      </c>
    </row>
    <row r="80" ht="14.25" customHeight="1">
      <c r="A80" s="5">
        <v>121708.0</v>
      </c>
      <c r="B80" s="6" t="s">
        <v>3783</v>
      </c>
      <c r="C80" s="6" t="s">
        <v>29</v>
      </c>
      <c r="D80" s="6">
        <v>76056.0</v>
      </c>
      <c r="E80" s="6" t="s">
        <v>60</v>
      </c>
      <c r="F80" s="6" t="s">
        <v>54</v>
      </c>
      <c r="G80" s="6" t="s">
        <v>21</v>
      </c>
      <c r="H80" s="7">
        <v>3978.0</v>
      </c>
      <c r="I80" s="7">
        <v>2483.0</v>
      </c>
      <c r="J80" s="6">
        <v>1978.0</v>
      </c>
      <c r="K80" s="6">
        <v>112.0</v>
      </c>
      <c r="L80" s="6" t="s">
        <v>62</v>
      </c>
      <c r="M80" s="6" t="s">
        <v>3784</v>
      </c>
      <c r="N80" s="6" t="s">
        <v>43</v>
      </c>
      <c r="O80" s="6" t="s">
        <v>25</v>
      </c>
      <c r="P80" s="6">
        <f>COUNTIF(Analysis!$M$1:$M$3001,Analysis!$M936)</f>
        <v>1</v>
      </c>
      <c r="Q80" s="6" t="str">
        <f>IF(COUNTIF(Analysis!$M$2:$M$3001,Analysis!$M936)&gt;1,"Duplicate","OK")</f>
        <v>OK</v>
      </c>
      <c r="R80" s="6" t="str">
        <f t="shared" si="1"/>
        <v>3600+</v>
      </c>
      <c r="S80" s="6">
        <f t="shared" si="2"/>
        <v>48</v>
      </c>
      <c r="T80" s="6" t="str">
        <f t="shared" si="3"/>
        <v>Old</v>
      </c>
      <c r="Z80" s="54"/>
      <c r="AA80" s="54"/>
      <c r="BH80" s="14">
        <f>IFERROR(__xludf.DUMMYFUNCTION("""COMPUTED_VALUE"""),1055664.0)</f>
        <v>1055664</v>
      </c>
      <c r="BI80" s="60" t="str">
        <f>IFERROR(__xludf.DUMMYFUNCTION("""COMPUTED_VALUE"""),"5613 Pine Rd, San Francisco, CA 90885")</f>
        <v>5613 Pine Rd, San Francisco, CA 90885</v>
      </c>
      <c r="BJ80" s="60" t="str">
        <f>IFERROR(__xludf.DUMMYFUNCTION("""COMPUTED_VALUE"""),"San Francisco")</f>
        <v>San Francisco</v>
      </c>
      <c r="BK80" s="60">
        <f>IFERROR(__xludf.DUMMYFUNCTION("""COMPUTED_VALUE"""),90885.0)</f>
        <v>90885</v>
      </c>
      <c r="BL80" s="60" t="str">
        <f>IFERROR(__xludf.DUMMYFUNCTION("""COMPUTED_VALUE"""),"CA")</f>
        <v>CA</v>
      </c>
      <c r="BM80" s="60" t="str">
        <f>IFERROR(__xludf.DUMMYFUNCTION("""COMPUTED_VALUE"""),"1 bds")</f>
        <v>1 bds</v>
      </c>
      <c r="BN80" s="60" t="str">
        <f>IFERROR(__xludf.DUMMYFUNCTION("""COMPUTED_VALUE"""),"2 ba")</f>
        <v>2 ba</v>
      </c>
      <c r="BO80" s="60">
        <f>IFERROR(__xludf.DUMMYFUNCTION("""COMPUTED_VALUE"""),1984.0)</f>
        <v>1984</v>
      </c>
      <c r="BP80" s="60">
        <f>IFERROR(__xludf.DUMMYFUNCTION("""COMPUTED_VALUE"""),2398.0)</f>
        <v>2398</v>
      </c>
      <c r="BQ80" s="60">
        <f>IFERROR(__xludf.DUMMYFUNCTION("""COMPUTED_VALUE"""),1983.0)</f>
        <v>1983</v>
      </c>
      <c r="BR80" s="60">
        <f>IFERROR(__xludf.DUMMYFUNCTION("""COMPUTED_VALUE"""),7.0)</f>
        <v>7</v>
      </c>
      <c r="BS80" s="60" t="str">
        <f>IFERROR(__xludf.DUMMYFUNCTION("""COMPUTED_VALUE"""),"Single Family")</f>
        <v>Single Family</v>
      </c>
      <c r="BT80" s="60" t="str">
        <f>IFERROR(__xludf.DUMMYFUNCTION("""COMPUTED_VALUE"""),"Z574768")</f>
        <v>Z574768</v>
      </c>
      <c r="BU80" s="60" t="str">
        <f>IFERROR(__xludf.DUMMYFUNCTION("""COMPUTED_VALUE"""),"Alex Johnson - Compass")</f>
        <v>Alex Johnson - Compass</v>
      </c>
      <c r="BV80" s="60" t="str">
        <f>IFERROR(__xludf.DUMMYFUNCTION("""COMPUTED_VALUE"""),"Sold")</f>
        <v>Sold</v>
      </c>
      <c r="BW80" s="60">
        <f>IFERROR(__xludf.DUMMYFUNCTION("""COMPUTED_VALUE"""),1.0)</f>
        <v>1</v>
      </c>
      <c r="BX80" s="60" t="str">
        <f>IFERROR(__xludf.DUMMYFUNCTION("""COMPUTED_VALUE"""),"OK")</f>
        <v>OK</v>
      </c>
      <c r="BY80" s="1" t="str">
        <f>IFERROR(__xludf.DUMMYFUNCTION("""COMPUTED_VALUE"""),"1600-2600")</f>
        <v>1600-2600</v>
      </c>
      <c r="BZ80" s="1">
        <f>IFERROR(__xludf.DUMMYFUNCTION("""COMPUTED_VALUE"""),43.0)</f>
        <v>43</v>
      </c>
      <c r="CA80" s="1" t="str">
        <f>IFERROR(__xludf.DUMMYFUNCTION("""COMPUTED_VALUE"""),"Old")</f>
        <v>Old</v>
      </c>
    </row>
    <row r="81" ht="14.25" customHeight="1">
      <c r="A81" s="5">
        <v>1217931.0</v>
      </c>
      <c r="B81" s="6" t="s">
        <v>365</v>
      </c>
      <c r="C81" s="6" t="s">
        <v>18</v>
      </c>
      <c r="D81" s="6">
        <v>55101.0</v>
      </c>
      <c r="E81" s="6" t="s">
        <v>30</v>
      </c>
      <c r="F81" s="6" t="s">
        <v>20</v>
      </c>
      <c r="G81" s="6" t="s">
        <v>21</v>
      </c>
      <c r="H81" s="7">
        <v>2977.0</v>
      </c>
      <c r="I81" s="7">
        <v>3400.0</v>
      </c>
      <c r="J81" s="6">
        <v>2004.0</v>
      </c>
      <c r="K81" s="6">
        <v>62.0</v>
      </c>
      <c r="L81" s="6" t="s">
        <v>62</v>
      </c>
      <c r="M81" s="6" t="s">
        <v>366</v>
      </c>
      <c r="N81" s="6" t="s">
        <v>24</v>
      </c>
      <c r="O81" s="6" t="s">
        <v>25</v>
      </c>
      <c r="P81" s="6">
        <f>COUNTIF(Analysis!$M$1:$M$3001,Analysis!$M81)</f>
        <v>1</v>
      </c>
      <c r="Q81" s="6" t="str">
        <f>IF(COUNTIF(Analysis!$M$2:$M$3001,Analysis!$M81)&gt;1,"Duplicate","OK")</f>
        <v>OK</v>
      </c>
      <c r="R81" s="6" t="str">
        <f t="shared" si="1"/>
        <v>2600-3600</v>
      </c>
      <c r="S81" s="6">
        <f t="shared" si="2"/>
        <v>22</v>
      </c>
      <c r="T81" s="6" t="str">
        <f t="shared" si="3"/>
        <v>Mid</v>
      </c>
      <c r="Z81" s="54"/>
      <c r="AA81" s="54"/>
      <c r="BH81" s="14">
        <f>IFERROR(__xludf.DUMMYFUNCTION("""COMPUTED_VALUE"""),848451.0)</f>
        <v>848451</v>
      </c>
      <c r="BI81" s="60" t="str">
        <f>IFERROR(__xludf.DUMMYFUNCTION("""COMPUTED_VALUE"""),"9667 Pine Rd, San Diego, CA 79289")</f>
        <v>9667 Pine Rd, San Diego, CA 79289</v>
      </c>
      <c r="BJ81" s="60" t="str">
        <f>IFERROR(__xludf.DUMMYFUNCTION("""COMPUTED_VALUE"""),"San Diego")</f>
        <v>San Diego</v>
      </c>
      <c r="BK81" s="60">
        <f>IFERROR(__xludf.DUMMYFUNCTION("""COMPUTED_VALUE"""),79289.0)</f>
        <v>79289</v>
      </c>
      <c r="BL81" s="60" t="str">
        <f>IFERROR(__xludf.DUMMYFUNCTION("""COMPUTED_VALUE"""),"CA")</f>
        <v>CA</v>
      </c>
      <c r="BM81" s="60" t="str">
        <f>IFERROR(__xludf.DUMMYFUNCTION("""COMPUTED_VALUE"""),"3 bds")</f>
        <v>3 bds</v>
      </c>
      <c r="BN81" s="60" t="str">
        <f>IFERROR(__xludf.DUMMYFUNCTION("""COMPUTED_VALUE"""),"2 ba")</f>
        <v>2 ba</v>
      </c>
      <c r="BO81" s="60">
        <f>IFERROR(__xludf.DUMMYFUNCTION("""COMPUTED_VALUE"""),2168.0)</f>
        <v>2168</v>
      </c>
      <c r="BP81" s="60">
        <f>IFERROR(__xludf.DUMMYFUNCTION("""COMPUTED_VALUE"""),2019.0)</f>
        <v>2019</v>
      </c>
      <c r="BQ81" s="60">
        <f>IFERROR(__xludf.DUMMYFUNCTION("""COMPUTED_VALUE"""),1958.0)</f>
        <v>1958</v>
      </c>
      <c r="BR81" s="60">
        <f>IFERROR(__xludf.DUMMYFUNCTION("""COMPUTED_VALUE"""),91.0)</f>
        <v>91</v>
      </c>
      <c r="BS81" s="60" t="str">
        <f>IFERROR(__xludf.DUMMYFUNCTION("""COMPUTED_VALUE"""),"Townhouse")</f>
        <v>Townhouse</v>
      </c>
      <c r="BT81" s="60" t="str">
        <f>IFERROR(__xludf.DUMMYFUNCTION("""COMPUTED_VALUE"""),"Z748389")</f>
        <v>Z748389</v>
      </c>
      <c r="BU81" s="60" t="str">
        <f>IFERROR(__xludf.DUMMYFUNCTION("""COMPUTED_VALUE"""),"Alex Johnson - Compass")</f>
        <v>Alex Johnson - Compass</v>
      </c>
      <c r="BV81" s="60" t="str">
        <f>IFERROR(__xludf.DUMMYFUNCTION("""COMPUTED_VALUE"""),"Sold")</f>
        <v>Sold</v>
      </c>
      <c r="BW81" s="60">
        <f>IFERROR(__xludf.DUMMYFUNCTION("""COMPUTED_VALUE"""),1.0)</f>
        <v>1</v>
      </c>
      <c r="BX81" s="60" t="str">
        <f>IFERROR(__xludf.DUMMYFUNCTION("""COMPUTED_VALUE"""),"OK")</f>
        <v>OK</v>
      </c>
      <c r="BY81" s="1" t="str">
        <f>IFERROR(__xludf.DUMMYFUNCTION("""COMPUTED_VALUE"""),"1600-2600")</f>
        <v>1600-2600</v>
      </c>
      <c r="BZ81" s="1">
        <f>IFERROR(__xludf.DUMMYFUNCTION("""COMPUTED_VALUE"""),68.0)</f>
        <v>68</v>
      </c>
      <c r="CA81" s="1" t="str">
        <f>IFERROR(__xludf.DUMMYFUNCTION("""COMPUTED_VALUE"""),"Very Old")</f>
        <v>Very Old</v>
      </c>
    </row>
    <row r="82" ht="14.25" customHeight="1">
      <c r="A82" s="5">
        <v>1369617.0</v>
      </c>
      <c r="B82" s="6" t="s">
        <v>369</v>
      </c>
      <c r="C82" s="6" t="s">
        <v>18</v>
      </c>
      <c r="D82" s="6">
        <v>35654.0</v>
      </c>
      <c r="E82" s="6" t="s">
        <v>77</v>
      </c>
      <c r="F82" s="6" t="s">
        <v>94</v>
      </c>
      <c r="G82" s="6" t="s">
        <v>21</v>
      </c>
      <c r="H82" s="7">
        <v>2199.0</v>
      </c>
      <c r="I82" s="7">
        <v>3140.0</v>
      </c>
      <c r="J82" s="6">
        <v>1974.0</v>
      </c>
      <c r="K82" s="6">
        <v>64.0</v>
      </c>
      <c r="L82" s="6" t="s">
        <v>32</v>
      </c>
      <c r="M82" s="6" t="s">
        <v>370</v>
      </c>
      <c r="N82" s="6" t="s">
        <v>24</v>
      </c>
      <c r="O82" s="6" t="s">
        <v>49</v>
      </c>
      <c r="P82" s="6">
        <f>COUNTIF(Analysis!$M$1:$M$3001,Analysis!$M82)</f>
        <v>1</v>
      </c>
      <c r="Q82" s="6" t="str">
        <f>IF(COUNTIF(Analysis!$M$2:$M$3001,Analysis!$M82)&gt;1,"Duplicate","OK")</f>
        <v>OK</v>
      </c>
      <c r="R82" s="6" t="str">
        <f t="shared" si="1"/>
        <v>1600-2600</v>
      </c>
      <c r="S82" s="6">
        <f t="shared" si="2"/>
        <v>52</v>
      </c>
      <c r="T82" s="6" t="str">
        <f t="shared" si="3"/>
        <v>Old</v>
      </c>
      <c r="Z82" s="54"/>
      <c r="AA82" s="54"/>
      <c r="BH82" s="14">
        <f>IFERROR(__xludf.DUMMYFUNCTION("""COMPUTED_VALUE"""),1116179.0)</f>
        <v>1116179</v>
      </c>
      <c r="BI82" s="60" t="str">
        <f>IFERROR(__xludf.DUMMYFUNCTION("""COMPUTED_VALUE"""),"2615 Pine Rd, Sacramento, IL 34382")</f>
        <v>2615 Pine Rd, Sacramento, IL 34382</v>
      </c>
      <c r="BJ82" s="60" t="str">
        <f>IFERROR(__xludf.DUMMYFUNCTION("""COMPUTED_VALUE"""),"Sacramento")</f>
        <v>Sacramento</v>
      </c>
      <c r="BK82" s="60">
        <f>IFERROR(__xludf.DUMMYFUNCTION("""COMPUTED_VALUE"""),34382.0)</f>
        <v>34382</v>
      </c>
      <c r="BL82" s="60" t="str">
        <f>IFERROR(__xludf.DUMMYFUNCTION("""COMPUTED_VALUE"""),"IL")</f>
        <v>IL</v>
      </c>
      <c r="BM82" s="60" t="str">
        <f>IFERROR(__xludf.DUMMYFUNCTION("""COMPUTED_VALUE"""),"1 bds")</f>
        <v>1 bds</v>
      </c>
      <c r="BN82" s="60" t="str">
        <f>IFERROR(__xludf.DUMMYFUNCTION("""COMPUTED_VALUE"""),"1 ba")</f>
        <v>1 ba</v>
      </c>
      <c r="BO82" s="60">
        <f>IFERROR(__xludf.DUMMYFUNCTION("""COMPUTED_VALUE"""),968.0)</f>
        <v>968</v>
      </c>
      <c r="BP82" s="60">
        <f>IFERROR(__xludf.DUMMYFUNCTION("""COMPUTED_VALUE"""),1465.0)</f>
        <v>1465</v>
      </c>
      <c r="BQ82" s="60">
        <f>IFERROR(__xludf.DUMMYFUNCTION("""COMPUTED_VALUE"""),1985.0)</f>
        <v>1985</v>
      </c>
      <c r="BR82" s="60">
        <f>IFERROR(__xludf.DUMMYFUNCTION("""COMPUTED_VALUE"""),42.0)</f>
        <v>42</v>
      </c>
      <c r="BS82" s="60" t="str">
        <f>IFERROR(__xludf.DUMMYFUNCTION("""COMPUTED_VALUE"""),"Townhouse")</f>
        <v>Townhouse</v>
      </c>
      <c r="BT82" s="60" t="str">
        <f>IFERROR(__xludf.DUMMYFUNCTION("""COMPUTED_VALUE"""),"Z990219")</f>
        <v>Z990219</v>
      </c>
      <c r="BU82" s="60" t="str">
        <f>IFERROR(__xludf.DUMMYFUNCTION("""COMPUTED_VALUE"""),"Alex Johnson - Compass")</f>
        <v>Alex Johnson - Compass</v>
      </c>
      <c r="BV82" s="60" t="str">
        <f>IFERROR(__xludf.DUMMYFUNCTION("""COMPUTED_VALUE"""),"Sold")</f>
        <v>Sold</v>
      </c>
      <c r="BW82" s="60">
        <f>IFERROR(__xludf.DUMMYFUNCTION("""COMPUTED_VALUE"""),1.0)</f>
        <v>1</v>
      </c>
      <c r="BX82" s="60" t="str">
        <f>IFERROR(__xludf.DUMMYFUNCTION("""COMPUTED_VALUE"""),"OK")</f>
        <v>OK</v>
      </c>
      <c r="BY82" s="1" t="str">
        <f>IFERROR(__xludf.DUMMYFUNCTION("""COMPUTED_VALUE"""),"600-1600")</f>
        <v>600-1600</v>
      </c>
      <c r="BZ82" s="1">
        <f>IFERROR(__xludf.DUMMYFUNCTION("""COMPUTED_VALUE"""),41.0)</f>
        <v>41</v>
      </c>
      <c r="CA82" s="1" t="str">
        <f>IFERROR(__xludf.DUMMYFUNCTION("""COMPUTED_VALUE"""),"Old")</f>
        <v>Old</v>
      </c>
    </row>
    <row r="83" ht="14.25" customHeight="1">
      <c r="A83" s="5">
        <v>1367380.0</v>
      </c>
      <c r="B83" s="6" t="s">
        <v>373</v>
      </c>
      <c r="C83" s="6" t="s">
        <v>53</v>
      </c>
      <c r="D83" s="6">
        <v>28260.0</v>
      </c>
      <c r="E83" s="6" t="s">
        <v>77</v>
      </c>
      <c r="F83" s="6" t="s">
        <v>41</v>
      </c>
      <c r="G83" s="6" t="s">
        <v>55</v>
      </c>
      <c r="H83" s="7">
        <v>2960.0</v>
      </c>
      <c r="I83" s="7">
        <v>8344.0</v>
      </c>
      <c r="J83" s="6">
        <v>2011.0</v>
      </c>
      <c r="K83" s="6">
        <v>33.0</v>
      </c>
      <c r="L83" s="6" t="s">
        <v>62</v>
      </c>
      <c r="M83" s="6" t="s">
        <v>374</v>
      </c>
      <c r="N83" s="6" t="s">
        <v>43</v>
      </c>
      <c r="O83" s="6" t="s">
        <v>35</v>
      </c>
      <c r="P83" s="6">
        <f>COUNTIF(Analysis!$M$1:$M$3001,Analysis!$M83)</f>
        <v>1</v>
      </c>
      <c r="Q83" s="6" t="str">
        <f>IF(COUNTIF(Analysis!$M$2:$M$3001,Analysis!$M83)&gt;1,"Duplicate","OK")</f>
        <v>OK</v>
      </c>
      <c r="R83" s="6" t="str">
        <f t="shared" si="1"/>
        <v>2600-3600</v>
      </c>
      <c r="S83" s="6">
        <f t="shared" si="2"/>
        <v>15</v>
      </c>
      <c r="T83" s="6" t="str">
        <f t="shared" si="3"/>
        <v>Mid</v>
      </c>
      <c r="Z83" s="54"/>
      <c r="AA83" s="54"/>
      <c r="BH83" s="14">
        <f>IFERROR(__xludf.DUMMYFUNCTION("""COMPUTED_VALUE"""),433189.0)</f>
        <v>433189</v>
      </c>
      <c r="BI83" s="60" t="str">
        <f>IFERROR(__xludf.DUMMYFUNCTION("""COMPUTED_VALUE"""),"275 Pine Rd, San Francisco, TX 88715")</f>
        <v>275 Pine Rd, San Francisco, TX 88715</v>
      </c>
      <c r="BJ83" s="60" t="str">
        <f>IFERROR(__xludf.DUMMYFUNCTION("""COMPUTED_VALUE"""),"San Francisco")</f>
        <v>San Francisco</v>
      </c>
      <c r="BK83" s="60">
        <f>IFERROR(__xludf.DUMMYFUNCTION("""COMPUTED_VALUE"""),88715.0)</f>
        <v>88715</v>
      </c>
      <c r="BL83" s="60" t="str">
        <f>IFERROR(__xludf.DUMMYFUNCTION("""COMPUTED_VALUE"""),"TX")</f>
        <v>TX</v>
      </c>
      <c r="BM83" s="60" t="str">
        <f>IFERROR(__xludf.DUMMYFUNCTION("""COMPUTED_VALUE"""),"6 bds")</f>
        <v>6 bds</v>
      </c>
      <c r="BN83" s="60" t="str">
        <f>IFERROR(__xludf.DUMMYFUNCTION("""COMPUTED_VALUE"""),"4 ba")</f>
        <v>4 ba</v>
      </c>
      <c r="BO83" s="60">
        <f>IFERROR(__xludf.DUMMYFUNCTION("""COMPUTED_VALUE"""),1179.0)</f>
        <v>1179</v>
      </c>
      <c r="BP83" s="60">
        <f>IFERROR(__xludf.DUMMYFUNCTION("""COMPUTED_VALUE"""),8430.0)</f>
        <v>8430</v>
      </c>
      <c r="BQ83" s="60">
        <f>IFERROR(__xludf.DUMMYFUNCTION("""COMPUTED_VALUE"""),1966.0)</f>
        <v>1966</v>
      </c>
      <c r="BR83" s="60">
        <f>IFERROR(__xludf.DUMMYFUNCTION("""COMPUTED_VALUE"""),43.0)</f>
        <v>43</v>
      </c>
      <c r="BS83" s="60" t="str">
        <f>IFERROR(__xludf.DUMMYFUNCTION("""COMPUTED_VALUE"""),"Single Family")</f>
        <v>Single Family</v>
      </c>
      <c r="BT83" s="60" t="str">
        <f>IFERROR(__xludf.DUMMYFUNCTION("""COMPUTED_VALUE"""),"Z638021")</f>
        <v>Z638021</v>
      </c>
      <c r="BU83" s="60" t="str">
        <f>IFERROR(__xludf.DUMMYFUNCTION("""COMPUTED_VALUE"""),"Alex Johnson - Compass")</f>
        <v>Alex Johnson - Compass</v>
      </c>
      <c r="BV83" s="60" t="str">
        <f>IFERROR(__xludf.DUMMYFUNCTION("""COMPUTED_VALUE"""),"Sold")</f>
        <v>Sold</v>
      </c>
      <c r="BW83" s="60">
        <f>IFERROR(__xludf.DUMMYFUNCTION("""COMPUTED_VALUE"""),1.0)</f>
        <v>1</v>
      </c>
      <c r="BX83" s="60" t="str">
        <f>IFERROR(__xludf.DUMMYFUNCTION("""COMPUTED_VALUE"""),"OK")</f>
        <v>OK</v>
      </c>
      <c r="BY83" s="1" t="str">
        <f>IFERROR(__xludf.DUMMYFUNCTION("""COMPUTED_VALUE"""),"600-1600")</f>
        <v>600-1600</v>
      </c>
      <c r="BZ83" s="1">
        <f>IFERROR(__xludf.DUMMYFUNCTION("""COMPUTED_VALUE"""),60.0)</f>
        <v>60</v>
      </c>
      <c r="CA83" s="1" t="str">
        <f>IFERROR(__xludf.DUMMYFUNCTION("""COMPUTED_VALUE"""),"Old")</f>
        <v>Old</v>
      </c>
    </row>
    <row r="84" ht="14.25" customHeight="1">
      <c r="A84" s="5">
        <v>653513.0</v>
      </c>
      <c r="B84" s="6" t="s">
        <v>377</v>
      </c>
      <c r="C84" s="6" t="s">
        <v>76</v>
      </c>
      <c r="D84" s="6">
        <v>24367.0</v>
      </c>
      <c r="E84" s="6" t="s">
        <v>19</v>
      </c>
      <c r="F84" s="6" t="s">
        <v>54</v>
      </c>
      <c r="G84" s="6" t="s">
        <v>55</v>
      </c>
      <c r="H84" s="7">
        <v>862.0</v>
      </c>
      <c r="I84" s="7">
        <v>6303.0</v>
      </c>
      <c r="J84" s="6">
        <v>1972.0</v>
      </c>
      <c r="K84" s="6">
        <v>64.0</v>
      </c>
      <c r="L84" s="6" t="s">
        <v>62</v>
      </c>
      <c r="M84" s="6" t="s">
        <v>378</v>
      </c>
      <c r="N84" s="6" t="s">
        <v>64</v>
      </c>
      <c r="O84" s="6" t="s">
        <v>49</v>
      </c>
      <c r="P84" s="6">
        <f>COUNTIF(Analysis!$M$1:$M$3001,Analysis!$M84)</f>
        <v>1</v>
      </c>
      <c r="Q84" s="6" t="str">
        <f>IF(COUNTIF(Analysis!$M$2:$M$3001,Analysis!$M84)&gt;1,"Duplicate","OK")</f>
        <v>OK</v>
      </c>
      <c r="R84" s="6" t="str">
        <f t="shared" si="1"/>
        <v>600-1600</v>
      </c>
      <c r="S84" s="6">
        <f t="shared" si="2"/>
        <v>54</v>
      </c>
      <c r="T84" s="6" t="str">
        <f t="shared" si="3"/>
        <v>Old</v>
      </c>
      <c r="Z84" s="54"/>
      <c r="AA84" s="54"/>
      <c r="BH84" s="14">
        <f>IFERROR(__xludf.DUMMYFUNCTION("""COMPUTED_VALUE"""),130430.0)</f>
        <v>130430</v>
      </c>
      <c r="BI84" s="60" t="str">
        <f>IFERROR(__xludf.DUMMYFUNCTION("""COMPUTED_VALUE"""),"9523 Main St, San Francisco, CA 98355")</f>
        <v>9523 Main St, San Francisco, CA 98355</v>
      </c>
      <c r="BJ84" s="60" t="str">
        <f>IFERROR(__xludf.DUMMYFUNCTION("""COMPUTED_VALUE"""),"San Francisco")</f>
        <v>San Francisco</v>
      </c>
      <c r="BK84" s="60">
        <f>IFERROR(__xludf.DUMMYFUNCTION("""COMPUTED_VALUE"""),98355.0)</f>
        <v>98355</v>
      </c>
      <c r="BL84" s="60" t="str">
        <f>IFERROR(__xludf.DUMMYFUNCTION("""COMPUTED_VALUE"""),"CA")</f>
        <v>CA</v>
      </c>
      <c r="BM84" s="60" t="str">
        <f>IFERROR(__xludf.DUMMYFUNCTION("""COMPUTED_VALUE"""),"5 bds")</f>
        <v>5 bds</v>
      </c>
      <c r="BN84" s="60" t="str">
        <f>IFERROR(__xludf.DUMMYFUNCTION("""COMPUTED_VALUE"""),"3 ba")</f>
        <v>3 ba</v>
      </c>
      <c r="BO84" s="60">
        <f>IFERROR(__xludf.DUMMYFUNCTION("""COMPUTED_VALUE"""),2989.0)</f>
        <v>2989</v>
      </c>
      <c r="BP84" s="60">
        <f>IFERROR(__xludf.DUMMYFUNCTION("""COMPUTED_VALUE"""),8110.0)</f>
        <v>8110</v>
      </c>
      <c r="BQ84" s="60">
        <f>IFERROR(__xludf.DUMMYFUNCTION("""COMPUTED_VALUE"""),2017.0)</f>
        <v>2017</v>
      </c>
      <c r="BR84" s="60">
        <f>IFERROR(__xludf.DUMMYFUNCTION("""COMPUTED_VALUE"""),5.0)</f>
        <v>5</v>
      </c>
      <c r="BS84" s="60" t="str">
        <f>IFERROR(__xludf.DUMMYFUNCTION("""COMPUTED_VALUE"""),"Townhouse")</f>
        <v>Townhouse</v>
      </c>
      <c r="BT84" s="60" t="str">
        <f>IFERROR(__xludf.DUMMYFUNCTION("""COMPUTED_VALUE"""),"Z995192")</f>
        <v>Z995192</v>
      </c>
      <c r="BU84" s="60" t="str">
        <f>IFERROR(__xludf.DUMMYFUNCTION("""COMPUTED_VALUE"""),"Alex Johnson - Compass")</f>
        <v>Alex Johnson - Compass</v>
      </c>
      <c r="BV84" s="60" t="str">
        <f>IFERROR(__xludf.DUMMYFUNCTION("""COMPUTED_VALUE"""),"Sold")</f>
        <v>Sold</v>
      </c>
      <c r="BW84" s="60">
        <f>IFERROR(__xludf.DUMMYFUNCTION("""COMPUTED_VALUE"""),1.0)</f>
        <v>1</v>
      </c>
      <c r="BX84" s="60" t="str">
        <f>IFERROR(__xludf.DUMMYFUNCTION("""COMPUTED_VALUE"""),"OK")</f>
        <v>OK</v>
      </c>
      <c r="BY84" s="1" t="str">
        <f>IFERROR(__xludf.DUMMYFUNCTION("""COMPUTED_VALUE"""),"2600-3600")</f>
        <v>2600-3600</v>
      </c>
      <c r="BZ84" s="1">
        <f>IFERROR(__xludf.DUMMYFUNCTION("""COMPUTED_VALUE"""),9.0)</f>
        <v>9</v>
      </c>
      <c r="CA84" s="1" t="str">
        <f>IFERROR(__xludf.DUMMYFUNCTION("""COMPUTED_VALUE"""),"New")</f>
        <v>New</v>
      </c>
    </row>
    <row r="85" ht="14.25" customHeight="1">
      <c r="A85" s="5">
        <v>1052313.0</v>
      </c>
      <c r="B85" s="6" t="s">
        <v>381</v>
      </c>
      <c r="C85" s="6" t="s">
        <v>39</v>
      </c>
      <c r="D85" s="6">
        <v>37372.0</v>
      </c>
      <c r="E85" s="6" t="s">
        <v>30</v>
      </c>
      <c r="F85" s="6" t="s">
        <v>20</v>
      </c>
      <c r="G85" s="6" t="s">
        <v>100</v>
      </c>
      <c r="H85" s="7">
        <v>2552.0</v>
      </c>
      <c r="I85" s="7">
        <v>4272.0</v>
      </c>
      <c r="J85" s="6">
        <v>1998.0</v>
      </c>
      <c r="K85" s="6">
        <v>81.0</v>
      </c>
      <c r="L85" s="6" t="s">
        <v>141</v>
      </c>
      <c r="M85" s="6" t="s">
        <v>382</v>
      </c>
      <c r="N85" s="6" t="s">
        <v>64</v>
      </c>
      <c r="O85" s="6" t="s">
        <v>35</v>
      </c>
      <c r="P85" s="6">
        <f>COUNTIF(Analysis!$M$1:$M$3001,Analysis!$M85)</f>
        <v>1</v>
      </c>
      <c r="Q85" s="6" t="str">
        <f>IF(COUNTIF(Analysis!$M$2:$M$3001,Analysis!$M85)&gt;1,"Duplicate","OK")</f>
        <v>OK</v>
      </c>
      <c r="R85" s="6" t="str">
        <f t="shared" si="1"/>
        <v>1600-2600</v>
      </c>
      <c r="S85" s="6">
        <f t="shared" si="2"/>
        <v>28</v>
      </c>
      <c r="T85" s="6" t="str">
        <f t="shared" si="3"/>
        <v>Mid</v>
      </c>
      <c r="Z85" s="54"/>
      <c r="AA85" s="54"/>
      <c r="BH85" s="14">
        <f>IFERROR(__xludf.DUMMYFUNCTION("""COMPUTED_VALUE"""),1181226.0)</f>
        <v>1181226</v>
      </c>
      <c r="BI85" s="60" t="str">
        <f>IFERROR(__xludf.DUMMYFUNCTION("""COMPUTED_VALUE"""),"1410 Elm St, San Francisco, CA 13718")</f>
        <v>1410 Elm St, San Francisco, CA 13718</v>
      </c>
      <c r="BJ85" s="60" t="str">
        <f>IFERROR(__xludf.DUMMYFUNCTION("""COMPUTED_VALUE"""),"San Francisco")</f>
        <v>San Francisco</v>
      </c>
      <c r="BK85" s="60">
        <f>IFERROR(__xludf.DUMMYFUNCTION("""COMPUTED_VALUE"""),13718.0)</f>
        <v>13718</v>
      </c>
      <c r="BL85" s="60" t="str">
        <f>IFERROR(__xludf.DUMMYFUNCTION("""COMPUTED_VALUE"""),"CA")</f>
        <v>CA</v>
      </c>
      <c r="BM85" s="60" t="str">
        <f>IFERROR(__xludf.DUMMYFUNCTION("""COMPUTED_VALUE"""),"1 bds")</f>
        <v>1 bds</v>
      </c>
      <c r="BN85" s="60" t="str">
        <f>IFERROR(__xludf.DUMMYFUNCTION("""COMPUTED_VALUE"""),"2 ba")</f>
        <v>2 ba</v>
      </c>
      <c r="BO85" s="60">
        <f>IFERROR(__xludf.DUMMYFUNCTION("""COMPUTED_VALUE"""),830.0)</f>
        <v>830</v>
      </c>
      <c r="BP85" s="60">
        <f>IFERROR(__xludf.DUMMYFUNCTION("""COMPUTED_VALUE"""),1630.0)</f>
        <v>1630</v>
      </c>
      <c r="BQ85" s="60">
        <f>IFERROR(__xludf.DUMMYFUNCTION("""COMPUTED_VALUE"""),1969.0)</f>
        <v>1969</v>
      </c>
      <c r="BR85" s="60">
        <f>IFERROR(__xludf.DUMMYFUNCTION("""COMPUTED_VALUE"""),21.0)</f>
        <v>21</v>
      </c>
      <c r="BS85" s="60" t="str">
        <f>IFERROR(__xludf.DUMMYFUNCTION("""COMPUTED_VALUE"""),"Single Family")</f>
        <v>Single Family</v>
      </c>
      <c r="BT85" s="60" t="str">
        <f>IFERROR(__xludf.DUMMYFUNCTION("""COMPUTED_VALUE"""),"Z222379")</f>
        <v>Z222379</v>
      </c>
      <c r="BU85" s="60" t="str">
        <f>IFERROR(__xludf.DUMMYFUNCTION("""COMPUTED_VALUE"""),"Alex Johnson - Compass")</f>
        <v>Alex Johnson - Compass</v>
      </c>
      <c r="BV85" s="60" t="str">
        <f>IFERROR(__xludf.DUMMYFUNCTION("""COMPUTED_VALUE"""),"Sold")</f>
        <v>Sold</v>
      </c>
      <c r="BW85" s="60">
        <f>IFERROR(__xludf.DUMMYFUNCTION("""COMPUTED_VALUE"""),1.0)</f>
        <v>1</v>
      </c>
      <c r="BX85" s="60" t="str">
        <f>IFERROR(__xludf.DUMMYFUNCTION("""COMPUTED_VALUE"""),"OK")</f>
        <v>OK</v>
      </c>
      <c r="BY85" s="1" t="str">
        <f>IFERROR(__xludf.DUMMYFUNCTION("""COMPUTED_VALUE"""),"600-1600")</f>
        <v>600-1600</v>
      </c>
      <c r="BZ85" s="1">
        <f>IFERROR(__xludf.DUMMYFUNCTION("""COMPUTED_VALUE"""),57.0)</f>
        <v>57</v>
      </c>
      <c r="CA85" s="1" t="str">
        <f>IFERROR(__xludf.DUMMYFUNCTION("""COMPUTED_VALUE"""),"Old")</f>
        <v>Old</v>
      </c>
    </row>
    <row r="86" ht="14.25" customHeight="1">
      <c r="A86" s="5">
        <v>124477.0</v>
      </c>
      <c r="B86" s="6" t="s">
        <v>8285</v>
      </c>
      <c r="C86" s="6" t="s">
        <v>29</v>
      </c>
      <c r="D86" s="6">
        <v>91628.0</v>
      </c>
      <c r="E86" s="6" t="s">
        <v>77</v>
      </c>
      <c r="F86" s="6" t="s">
        <v>54</v>
      </c>
      <c r="G86" s="6" t="s">
        <v>31</v>
      </c>
      <c r="H86" s="7">
        <v>1495.0</v>
      </c>
      <c r="I86" s="7">
        <v>2449.0</v>
      </c>
      <c r="J86" s="6">
        <v>2004.0</v>
      </c>
      <c r="K86" s="6">
        <v>111.0</v>
      </c>
      <c r="L86" s="6" t="s">
        <v>95</v>
      </c>
      <c r="M86" s="6" t="s">
        <v>8286</v>
      </c>
      <c r="N86" s="6" t="s">
        <v>43</v>
      </c>
      <c r="O86" s="6" t="s">
        <v>35</v>
      </c>
      <c r="P86" s="6">
        <f>COUNTIF(Analysis!$M$1:$M$3001,Analysis!$M2062)</f>
        <v>1</v>
      </c>
      <c r="Q86" s="6" t="str">
        <f>IF(COUNTIF(Analysis!$M$2:$M$3001,Analysis!$M2062)&gt;1,"Duplicate","OK")</f>
        <v>OK</v>
      </c>
      <c r="R86" s="6" t="str">
        <f t="shared" si="1"/>
        <v>600-1600</v>
      </c>
      <c r="S86" s="6">
        <f t="shared" si="2"/>
        <v>22</v>
      </c>
      <c r="T86" s="6" t="str">
        <f t="shared" si="3"/>
        <v>Mid</v>
      </c>
      <c r="Z86" s="54"/>
      <c r="AA86" s="54"/>
      <c r="BH86" s="14">
        <f>IFERROR(__xludf.DUMMYFUNCTION("""COMPUTED_VALUE"""),606184.0)</f>
        <v>606184</v>
      </c>
      <c r="BI86" s="60" t="str">
        <f>IFERROR(__xludf.DUMMYFUNCTION("""COMPUTED_VALUE"""),"4450 Maple Dr, Fresno, IL 12532")</f>
        <v>4450 Maple Dr, Fresno, IL 12532</v>
      </c>
      <c r="BJ86" s="60" t="str">
        <f>IFERROR(__xludf.DUMMYFUNCTION("""COMPUTED_VALUE"""),"Fresno")</f>
        <v>Fresno</v>
      </c>
      <c r="BK86" s="60">
        <f>IFERROR(__xludf.DUMMYFUNCTION("""COMPUTED_VALUE"""),12532.0)</f>
        <v>12532</v>
      </c>
      <c r="BL86" s="60" t="str">
        <f>IFERROR(__xludf.DUMMYFUNCTION("""COMPUTED_VALUE"""),"IL")</f>
        <v>IL</v>
      </c>
      <c r="BM86" s="60" t="str">
        <f>IFERROR(__xludf.DUMMYFUNCTION("""COMPUTED_VALUE"""),"6 bds")</f>
        <v>6 bds</v>
      </c>
      <c r="BN86" s="60" t="str">
        <f>IFERROR(__xludf.DUMMYFUNCTION("""COMPUTED_VALUE"""),"2 ba")</f>
        <v>2 ba</v>
      </c>
      <c r="BO86" s="60">
        <f>IFERROR(__xludf.DUMMYFUNCTION("""COMPUTED_VALUE"""),2192.0)</f>
        <v>2192</v>
      </c>
      <c r="BP86" s="60">
        <f>IFERROR(__xludf.DUMMYFUNCTION("""COMPUTED_VALUE"""),9466.0)</f>
        <v>9466</v>
      </c>
      <c r="BQ86" s="60">
        <f>IFERROR(__xludf.DUMMYFUNCTION("""COMPUTED_VALUE"""),1998.0)</f>
        <v>1998</v>
      </c>
      <c r="BR86" s="60">
        <f>IFERROR(__xludf.DUMMYFUNCTION("""COMPUTED_VALUE"""),65.0)</f>
        <v>65</v>
      </c>
      <c r="BS86" s="60" t="str">
        <f>IFERROR(__xludf.DUMMYFUNCTION("""COMPUTED_VALUE"""),"Condo")</f>
        <v>Condo</v>
      </c>
      <c r="BT86" s="60" t="str">
        <f>IFERROR(__xludf.DUMMYFUNCTION("""COMPUTED_VALUE"""),"Z581640")</f>
        <v>Z581640</v>
      </c>
      <c r="BU86" s="60" t="str">
        <f>IFERROR(__xludf.DUMMYFUNCTION("""COMPUTED_VALUE"""),"Alex Johnson - Compass")</f>
        <v>Alex Johnson - Compass</v>
      </c>
      <c r="BV86" s="60" t="str">
        <f>IFERROR(__xludf.DUMMYFUNCTION("""COMPUTED_VALUE"""),"Sold")</f>
        <v>Sold</v>
      </c>
      <c r="BW86" s="60">
        <f>IFERROR(__xludf.DUMMYFUNCTION("""COMPUTED_VALUE"""),1.0)</f>
        <v>1</v>
      </c>
      <c r="BX86" s="60" t="str">
        <f>IFERROR(__xludf.DUMMYFUNCTION("""COMPUTED_VALUE"""),"OK")</f>
        <v>OK</v>
      </c>
      <c r="BY86" s="1" t="str">
        <f>IFERROR(__xludf.DUMMYFUNCTION("""COMPUTED_VALUE"""),"1600-2600")</f>
        <v>1600-2600</v>
      </c>
      <c r="BZ86" s="1">
        <f>IFERROR(__xludf.DUMMYFUNCTION("""COMPUTED_VALUE"""),28.0)</f>
        <v>28</v>
      </c>
      <c r="CA86" s="1" t="str">
        <f>IFERROR(__xludf.DUMMYFUNCTION("""COMPUTED_VALUE"""),"Mid")</f>
        <v>Mid</v>
      </c>
    </row>
    <row r="87" ht="14.25" customHeight="1">
      <c r="A87" s="5">
        <v>258025.0</v>
      </c>
      <c r="B87" s="6" t="s">
        <v>389</v>
      </c>
      <c r="C87" s="6" t="s">
        <v>39</v>
      </c>
      <c r="D87" s="6">
        <v>11097.0</v>
      </c>
      <c r="E87" s="6" t="s">
        <v>40</v>
      </c>
      <c r="F87" s="6" t="s">
        <v>46</v>
      </c>
      <c r="G87" s="6" t="s">
        <v>55</v>
      </c>
      <c r="H87" s="7">
        <v>2930.0</v>
      </c>
      <c r="I87" s="7">
        <v>9853.0</v>
      </c>
      <c r="J87" s="6">
        <v>1993.0</v>
      </c>
      <c r="K87" s="6">
        <v>8.0</v>
      </c>
      <c r="L87" s="6" t="s">
        <v>62</v>
      </c>
      <c r="M87" s="6" t="s">
        <v>390</v>
      </c>
      <c r="N87" s="6" t="s">
        <v>43</v>
      </c>
      <c r="O87" s="6" t="s">
        <v>35</v>
      </c>
      <c r="P87" s="6">
        <f>COUNTIF(Analysis!$M$1:$M$3001,Analysis!$M87)</f>
        <v>1</v>
      </c>
      <c r="Q87" s="6" t="str">
        <f>IF(COUNTIF(Analysis!$M$2:$M$3001,Analysis!$M87)&gt;1,"Duplicate","OK")</f>
        <v>OK</v>
      </c>
      <c r="R87" s="6" t="str">
        <f t="shared" si="1"/>
        <v>2600-3600</v>
      </c>
      <c r="S87" s="6">
        <f t="shared" si="2"/>
        <v>33</v>
      </c>
      <c r="T87" s="6" t="str">
        <f t="shared" si="3"/>
        <v>Old</v>
      </c>
      <c r="Z87" s="54"/>
      <c r="AA87" s="54"/>
      <c r="BH87" s="14">
        <f>IFERROR(__xludf.DUMMYFUNCTION("""COMPUTED_VALUE"""),611694.0)</f>
        <v>611694</v>
      </c>
      <c r="BI87" s="60" t="str">
        <f>IFERROR(__xludf.DUMMYFUNCTION("""COMPUTED_VALUE"""),"4134 Maple Dr, Fresno, TX 81534")</f>
        <v>4134 Maple Dr, Fresno, TX 81534</v>
      </c>
      <c r="BJ87" s="60" t="str">
        <f>IFERROR(__xludf.DUMMYFUNCTION("""COMPUTED_VALUE"""),"Fresno")</f>
        <v>Fresno</v>
      </c>
      <c r="BK87" s="60">
        <f>IFERROR(__xludf.DUMMYFUNCTION("""COMPUTED_VALUE"""),81534.0)</f>
        <v>81534</v>
      </c>
      <c r="BL87" s="60" t="str">
        <f>IFERROR(__xludf.DUMMYFUNCTION("""COMPUTED_VALUE"""),"TX")</f>
        <v>TX</v>
      </c>
      <c r="BM87" s="60" t="str">
        <f>IFERROR(__xludf.DUMMYFUNCTION("""COMPUTED_VALUE"""),"4 bds")</f>
        <v>4 bds</v>
      </c>
      <c r="BN87" s="60" t="str">
        <f>IFERROR(__xludf.DUMMYFUNCTION("""COMPUTED_VALUE"""),"1 ba")</f>
        <v>1 ba</v>
      </c>
      <c r="BO87" s="60">
        <f>IFERROR(__xludf.DUMMYFUNCTION("""COMPUTED_VALUE"""),3813.0)</f>
        <v>3813</v>
      </c>
      <c r="BP87" s="60">
        <f>IFERROR(__xludf.DUMMYFUNCTION("""COMPUTED_VALUE"""),1470.0)</f>
        <v>1470</v>
      </c>
      <c r="BQ87" s="60">
        <f>IFERROR(__xludf.DUMMYFUNCTION("""COMPUTED_VALUE"""),1999.0)</f>
        <v>1999</v>
      </c>
      <c r="BR87" s="60">
        <f>IFERROR(__xludf.DUMMYFUNCTION("""COMPUTED_VALUE"""),27.0)</f>
        <v>27</v>
      </c>
      <c r="BS87" s="60" t="str">
        <f>IFERROR(__xludf.DUMMYFUNCTION("""COMPUTED_VALUE"""),"Multi-Family")</f>
        <v>Multi-Family</v>
      </c>
      <c r="BT87" s="60" t="str">
        <f>IFERROR(__xludf.DUMMYFUNCTION("""COMPUTED_VALUE"""),"Z869739")</f>
        <v>Z869739</v>
      </c>
      <c r="BU87" s="60" t="str">
        <f>IFERROR(__xludf.DUMMYFUNCTION("""COMPUTED_VALUE"""),"Alex Johnson - Compass")</f>
        <v>Alex Johnson - Compass</v>
      </c>
      <c r="BV87" s="60" t="str">
        <f>IFERROR(__xludf.DUMMYFUNCTION("""COMPUTED_VALUE"""),"Sold")</f>
        <v>Sold</v>
      </c>
      <c r="BW87" s="60">
        <f>IFERROR(__xludf.DUMMYFUNCTION("""COMPUTED_VALUE"""),1.0)</f>
        <v>1</v>
      </c>
      <c r="BX87" s="60" t="str">
        <f>IFERROR(__xludf.DUMMYFUNCTION("""COMPUTED_VALUE"""),"OK")</f>
        <v>OK</v>
      </c>
      <c r="BY87" s="1" t="str">
        <f>IFERROR(__xludf.DUMMYFUNCTION("""COMPUTED_VALUE"""),"3600+")</f>
        <v>3600+</v>
      </c>
      <c r="BZ87" s="1">
        <f>IFERROR(__xludf.DUMMYFUNCTION("""COMPUTED_VALUE"""),27.0)</f>
        <v>27</v>
      </c>
      <c r="CA87" s="1" t="str">
        <f>IFERROR(__xludf.DUMMYFUNCTION("""COMPUTED_VALUE"""),"Mid")</f>
        <v>Mid</v>
      </c>
    </row>
    <row r="88" ht="14.25" customHeight="1">
      <c r="A88" s="5">
        <v>1346411.0</v>
      </c>
      <c r="B88" s="6" t="s">
        <v>393</v>
      </c>
      <c r="C88" s="6" t="s">
        <v>76</v>
      </c>
      <c r="D88" s="6">
        <v>48078.0</v>
      </c>
      <c r="E88" s="6" t="s">
        <v>77</v>
      </c>
      <c r="F88" s="6" t="s">
        <v>20</v>
      </c>
      <c r="G88" s="6" t="s">
        <v>31</v>
      </c>
      <c r="H88" s="7">
        <v>2849.0</v>
      </c>
      <c r="I88" s="7">
        <v>8155.0</v>
      </c>
      <c r="J88" s="6">
        <v>1952.0</v>
      </c>
      <c r="K88" s="6">
        <v>104.0</v>
      </c>
      <c r="L88" s="6" t="s">
        <v>95</v>
      </c>
      <c r="M88" s="6" t="s">
        <v>394</v>
      </c>
      <c r="N88" s="6" t="s">
        <v>34</v>
      </c>
      <c r="O88" s="6" t="s">
        <v>35</v>
      </c>
      <c r="P88" s="6">
        <f>COUNTIF(Analysis!$M$1:$M$3001,Analysis!$M88)</f>
        <v>1</v>
      </c>
      <c r="Q88" s="6" t="str">
        <f>IF(COUNTIF(Analysis!$M$2:$M$3001,Analysis!$M88)&gt;1,"Duplicate","OK")</f>
        <v>OK</v>
      </c>
      <c r="R88" s="6" t="str">
        <f t="shared" si="1"/>
        <v>2600-3600</v>
      </c>
      <c r="S88" s="6">
        <f t="shared" si="2"/>
        <v>74</v>
      </c>
      <c r="T88" s="6" t="str">
        <f t="shared" si="3"/>
        <v>Very Old</v>
      </c>
      <c r="Z88" s="54"/>
      <c r="AA88" s="54"/>
      <c r="BH88" s="14">
        <f>IFERROR(__xludf.DUMMYFUNCTION("""COMPUTED_VALUE"""),1175358.0)</f>
        <v>1175358</v>
      </c>
      <c r="BI88" s="60" t="str">
        <f>IFERROR(__xludf.DUMMYFUNCTION("""COMPUTED_VALUE"""),"6369 Pine Rd, Sacramento, TX 72578")</f>
        <v>6369 Pine Rd, Sacramento, TX 72578</v>
      </c>
      <c r="BJ88" s="60" t="str">
        <f>IFERROR(__xludf.DUMMYFUNCTION("""COMPUTED_VALUE"""),"Sacramento")</f>
        <v>Sacramento</v>
      </c>
      <c r="BK88" s="60">
        <f>IFERROR(__xludf.DUMMYFUNCTION("""COMPUTED_VALUE"""),72578.0)</f>
        <v>72578</v>
      </c>
      <c r="BL88" s="60" t="str">
        <f>IFERROR(__xludf.DUMMYFUNCTION("""COMPUTED_VALUE"""),"TX")</f>
        <v>TX</v>
      </c>
      <c r="BM88" s="60" t="str">
        <f>IFERROR(__xludf.DUMMYFUNCTION("""COMPUTED_VALUE"""),"2 bds")</f>
        <v>2 bds</v>
      </c>
      <c r="BN88" s="60" t="str">
        <f>IFERROR(__xludf.DUMMYFUNCTION("""COMPUTED_VALUE"""),"3 ba")</f>
        <v>3 ba</v>
      </c>
      <c r="BO88" s="60">
        <f>IFERROR(__xludf.DUMMYFUNCTION("""COMPUTED_VALUE"""),2872.0)</f>
        <v>2872</v>
      </c>
      <c r="BP88" s="60">
        <f>IFERROR(__xludf.DUMMYFUNCTION("""COMPUTED_VALUE"""),7449.0)</f>
        <v>7449</v>
      </c>
      <c r="BQ88" s="60">
        <f>IFERROR(__xludf.DUMMYFUNCTION("""COMPUTED_VALUE"""),2006.0)</f>
        <v>2006</v>
      </c>
      <c r="BR88" s="60">
        <f>IFERROR(__xludf.DUMMYFUNCTION("""COMPUTED_VALUE"""),110.0)</f>
        <v>110</v>
      </c>
      <c r="BS88" s="60" t="str">
        <f>IFERROR(__xludf.DUMMYFUNCTION("""COMPUTED_VALUE"""),"Apartment")</f>
        <v>Apartment</v>
      </c>
      <c r="BT88" s="60" t="str">
        <f>IFERROR(__xludf.DUMMYFUNCTION("""COMPUTED_VALUE"""),"Z198280")</f>
        <v>Z198280</v>
      </c>
      <c r="BU88" s="60" t="str">
        <f>IFERROR(__xludf.DUMMYFUNCTION("""COMPUTED_VALUE"""),"Alex Johnson - Compass")</f>
        <v>Alex Johnson - Compass</v>
      </c>
      <c r="BV88" s="60" t="str">
        <f>IFERROR(__xludf.DUMMYFUNCTION("""COMPUTED_VALUE"""),"Sold")</f>
        <v>Sold</v>
      </c>
      <c r="BW88" s="60">
        <f>IFERROR(__xludf.DUMMYFUNCTION("""COMPUTED_VALUE"""),1.0)</f>
        <v>1</v>
      </c>
      <c r="BX88" s="60" t="str">
        <f>IFERROR(__xludf.DUMMYFUNCTION("""COMPUTED_VALUE"""),"OK")</f>
        <v>OK</v>
      </c>
      <c r="BY88" s="1" t="str">
        <f>IFERROR(__xludf.DUMMYFUNCTION("""COMPUTED_VALUE"""),"2600-3600")</f>
        <v>2600-3600</v>
      </c>
      <c r="BZ88" s="1">
        <f>IFERROR(__xludf.DUMMYFUNCTION("""COMPUTED_VALUE"""),20.0)</f>
        <v>20</v>
      </c>
      <c r="CA88" s="1" t="str">
        <f>IFERROR(__xludf.DUMMYFUNCTION("""COMPUTED_VALUE"""),"Mid")</f>
        <v>Mid</v>
      </c>
    </row>
    <row r="89" ht="14.25" customHeight="1">
      <c r="A89" s="5">
        <v>130840.0</v>
      </c>
      <c r="B89" s="6" t="s">
        <v>4751</v>
      </c>
      <c r="C89" s="6" t="s">
        <v>29</v>
      </c>
      <c r="D89" s="6">
        <v>72733.0</v>
      </c>
      <c r="E89" s="6" t="s">
        <v>60</v>
      </c>
      <c r="F89" s="6" t="s">
        <v>54</v>
      </c>
      <c r="G89" s="6" t="s">
        <v>21</v>
      </c>
      <c r="H89" s="7">
        <v>3594.0</v>
      </c>
      <c r="I89" s="7">
        <v>6692.0</v>
      </c>
      <c r="J89" s="6">
        <v>1989.0</v>
      </c>
      <c r="K89" s="6">
        <v>65.0</v>
      </c>
      <c r="L89" s="6" t="s">
        <v>141</v>
      </c>
      <c r="M89" s="6" t="s">
        <v>4752</v>
      </c>
      <c r="N89" s="6" t="s">
        <v>48</v>
      </c>
      <c r="O89" s="6" t="s">
        <v>35</v>
      </c>
      <c r="P89" s="6">
        <f>COUNTIF(Analysis!$M$1:$M$3001,Analysis!$M1178)</f>
        <v>1</v>
      </c>
      <c r="Q89" s="6" t="str">
        <f>IF(COUNTIF(Analysis!$M$2:$M$3001,Analysis!$M1178)&gt;1,"Duplicate","OK")</f>
        <v>OK</v>
      </c>
      <c r="R89" s="6" t="str">
        <f t="shared" si="1"/>
        <v>2600-3600</v>
      </c>
      <c r="S89" s="6">
        <f t="shared" si="2"/>
        <v>37</v>
      </c>
      <c r="T89" s="6" t="str">
        <f t="shared" si="3"/>
        <v>Old</v>
      </c>
      <c r="Z89" s="54"/>
      <c r="AA89" s="54"/>
      <c r="BH89" s="14">
        <f>IFERROR(__xludf.DUMMYFUNCTION("""COMPUTED_VALUE"""),1395740.0)</f>
        <v>1395740</v>
      </c>
      <c r="BI89" s="60" t="str">
        <f>IFERROR(__xludf.DUMMYFUNCTION("""COMPUTED_VALUE"""),"4878 Main St, San Diego, CA 37975")</f>
        <v>4878 Main St, San Diego, CA 37975</v>
      </c>
      <c r="BJ89" s="60" t="str">
        <f>IFERROR(__xludf.DUMMYFUNCTION("""COMPUTED_VALUE"""),"San Diego")</f>
        <v>San Diego</v>
      </c>
      <c r="BK89" s="60">
        <f>IFERROR(__xludf.DUMMYFUNCTION("""COMPUTED_VALUE"""),37975.0)</f>
        <v>37975</v>
      </c>
      <c r="BL89" s="60" t="str">
        <f>IFERROR(__xludf.DUMMYFUNCTION("""COMPUTED_VALUE"""),"CA")</f>
        <v>CA</v>
      </c>
      <c r="BM89" s="60" t="str">
        <f>IFERROR(__xludf.DUMMYFUNCTION("""COMPUTED_VALUE"""),"5 bds")</f>
        <v>5 bds</v>
      </c>
      <c r="BN89" s="60" t="str">
        <f>IFERROR(__xludf.DUMMYFUNCTION("""COMPUTED_VALUE"""),"3 ba")</f>
        <v>3 ba</v>
      </c>
      <c r="BO89" s="60">
        <f>IFERROR(__xludf.DUMMYFUNCTION("""COMPUTED_VALUE"""),3602.0)</f>
        <v>3602</v>
      </c>
      <c r="BP89" s="60">
        <f>IFERROR(__xludf.DUMMYFUNCTION("""COMPUTED_VALUE"""),7982.0)</f>
        <v>7982</v>
      </c>
      <c r="BQ89" s="60">
        <f>IFERROR(__xludf.DUMMYFUNCTION("""COMPUTED_VALUE"""),2005.0)</f>
        <v>2005</v>
      </c>
      <c r="BR89" s="60">
        <f>IFERROR(__xludf.DUMMYFUNCTION("""COMPUTED_VALUE"""),92.0)</f>
        <v>92</v>
      </c>
      <c r="BS89" s="60" t="str">
        <f>IFERROR(__xludf.DUMMYFUNCTION("""COMPUTED_VALUE"""),"Single Family")</f>
        <v>Single Family</v>
      </c>
      <c r="BT89" s="60" t="str">
        <f>IFERROR(__xludf.DUMMYFUNCTION("""COMPUTED_VALUE"""),"Z249824")</f>
        <v>Z249824</v>
      </c>
      <c r="BU89" s="60" t="str">
        <f>IFERROR(__xludf.DUMMYFUNCTION("""COMPUTED_VALUE"""),"Alex Johnson - Compass")</f>
        <v>Alex Johnson - Compass</v>
      </c>
      <c r="BV89" s="60" t="str">
        <f>IFERROR(__xludf.DUMMYFUNCTION("""COMPUTED_VALUE"""),"Sold")</f>
        <v>Sold</v>
      </c>
      <c r="BW89" s="60">
        <f>IFERROR(__xludf.DUMMYFUNCTION("""COMPUTED_VALUE"""),1.0)</f>
        <v>1</v>
      </c>
      <c r="BX89" s="60" t="str">
        <f>IFERROR(__xludf.DUMMYFUNCTION("""COMPUTED_VALUE"""),"OK")</f>
        <v>OK</v>
      </c>
      <c r="BY89" s="1" t="str">
        <f>IFERROR(__xludf.DUMMYFUNCTION("""COMPUTED_VALUE"""),"3600+")</f>
        <v>3600+</v>
      </c>
      <c r="BZ89" s="1">
        <f>IFERROR(__xludf.DUMMYFUNCTION("""COMPUTED_VALUE"""),21.0)</f>
        <v>21</v>
      </c>
      <c r="CA89" s="1" t="str">
        <f>IFERROR(__xludf.DUMMYFUNCTION("""COMPUTED_VALUE"""),"Mid")</f>
        <v>Mid</v>
      </c>
    </row>
    <row r="90" ht="14.25" customHeight="1">
      <c r="A90" s="5">
        <v>1478929.0</v>
      </c>
      <c r="B90" s="6" t="s">
        <v>401</v>
      </c>
      <c r="C90" s="6" t="s">
        <v>53</v>
      </c>
      <c r="D90" s="6">
        <v>48984.0</v>
      </c>
      <c r="E90" s="6" t="s">
        <v>60</v>
      </c>
      <c r="F90" s="6" t="s">
        <v>20</v>
      </c>
      <c r="G90" s="6" t="s">
        <v>55</v>
      </c>
      <c r="H90" s="7">
        <v>3351.0</v>
      </c>
      <c r="I90" s="7">
        <v>1858.0</v>
      </c>
      <c r="J90" s="6">
        <v>1962.0</v>
      </c>
      <c r="K90" s="6">
        <v>102.0</v>
      </c>
      <c r="L90" s="6" t="s">
        <v>95</v>
      </c>
      <c r="M90" s="6" t="s">
        <v>402</v>
      </c>
      <c r="N90" s="6" t="s">
        <v>34</v>
      </c>
      <c r="O90" s="6" t="s">
        <v>35</v>
      </c>
      <c r="P90" s="6">
        <f>COUNTIF(Analysis!$M$1:$M$3001,Analysis!$M90)</f>
        <v>1</v>
      </c>
      <c r="Q90" s="6" t="str">
        <f>IF(COUNTIF(Analysis!$M$2:$M$3001,Analysis!$M90)&gt;1,"Duplicate","OK")</f>
        <v>OK</v>
      </c>
      <c r="R90" s="6" t="str">
        <f t="shared" si="1"/>
        <v>2600-3600</v>
      </c>
      <c r="S90" s="6">
        <f t="shared" si="2"/>
        <v>64</v>
      </c>
      <c r="T90" s="6" t="str">
        <f t="shared" si="3"/>
        <v>Very Old</v>
      </c>
      <c r="Z90" s="54"/>
      <c r="AA90" s="54"/>
      <c r="BH90" s="14">
        <f>IFERROR(__xludf.DUMMYFUNCTION("""COMPUTED_VALUE"""),1333634.0)</f>
        <v>1333634</v>
      </c>
      <c r="BI90" s="60" t="str">
        <f>IFERROR(__xludf.DUMMYFUNCTION("""COMPUTED_VALUE"""),"7861 Elm St, San Francisco, NY 15184")</f>
        <v>7861 Elm St, San Francisco, NY 15184</v>
      </c>
      <c r="BJ90" s="60" t="str">
        <f>IFERROR(__xludf.DUMMYFUNCTION("""COMPUTED_VALUE"""),"San Francisco")</f>
        <v>San Francisco</v>
      </c>
      <c r="BK90" s="60">
        <f>IFERROR(__xludf.DUMMYFUNCTION("""COMPUTED_VALUE"""),15184.0)</f>
        <v>15184</v>
      </c>
      <c r="BL90" s="60" t="str">
        <f>IFERROR(__xludf.DUMMYFUNCTION("""COMPUTED_VALUE"""),"NY")</f>
        <v>NY</v>
      </c>
      <c r="BM90" s="60" t="str">
        <f>IFERROR(__xludf.DUMMYFUNCTION("""COMPUTED_VALUE"""),"4 bds")</f>
        <v>4 bds</v>
      </c>
      <c r="BN90" s="60" t="str">
        <f>IFERROR(__xludf.DUMMYFUNCTION("""COMPUTED_VALUE"""),"2 ba")</f>
        <v>2 ba</v>
      </c>
      <c r="BO90" s="60">
        <f>IFERROR(__xludf.DUMMYFUNCTION("""COMPUTED_VALUE"""),1299.0)</f>
        <v>1299</v>
      </c>
      <c r="BP90" s="60">
        <f>IFERROR(__xludf.DUMMYFUNCTION("""COMPUTED_VALUE"""),6075.0)</f>
        <v>6075</v>
      </c>
      <c r="BQ90" s="60">
        <f>IFERROR(__xludf.DUMMYFUNCTION("""COMPUTED_VALUE"""),2018.0)</f>
        <v>2018</v>
      </c>
      <c r="BR90" s="60">
        <f>IFERROR(__xludf.DUMMYFUNCTION("""COMPUTED_VALUE"""),27.0)</f>
        <v>27</v>
      </c>
      <c r="BS90" s="60" t="str">
        <f>IFERROR(__xludf.DUMMYFUNCTION("""COMPUTED_VALUE"""),"Condo")</f>
        <v>Condo</v>
      </c>
      <c r="BT90" s="60" t="str">
        <f>IFERROR(__xludf.DUMMYFUNCTION("""COMPUTED_VALUE"""),"Z744769")</f>
        <v>Z744769</v>
      </c>
      <c r="BU90" s="60" t="str">
        <f>IFERROR(__xludf.DUMMYFUNCTION("""COMPUTED_VALUE"""),"Alex Johnson - Compass")</f>
        <v>Alex Johnson - Compass</v>
      </c>
      <c r="BV90" s="60" t="str">
        <f>IFERROR(__xludf.DUMMYFUNCTION("""COMPUTED_VALUE"""),"Sold")</f>
        <v>Sold</v>
      </c>
      <c r="BW90" s="60">
        <f>IFERROR(__xludf.DUMMYFUNCTION("""COMPUTED_VALUE"""),1.0)</f>
        <v>1</v>
      </c>
      <c r="BX90" s="60" t="str">
        <f>IFERROR(__xludf.DUMMYFUNCTION("""COMPUTED_VALUE"""),"OK")</f>
        <v>OK</v>
      </c>
      <c r="BY90" s="1" t="str">
        <f>IFERROR(__xludf.DUMMYFUNCTION("""COMPUTED_VALUE"""),"600-1600")</f>
        <v>600-1600</v>
      </c>
      <c r="BZ90" s="1">
        <f>IFERROR(__xludf.DUMMYFUNCTION("""COMPUTED_VALUE"""),8.0)</f>
        <v>8</v>
      </c>
      <c r="CA90" s="1" t="str">
        <f>IFERROR(__xludf.DUMMYFUNCTION("""COMPUTED_VALUE"""),"New")</f>
        <v>New</v>
      </c>
    </row>
    <row r="91" ht="14.25" customHeight="1">
      <c r="A91" s="5">
        <v>138025.0</v>
      </c>
      <c r="B91" s="6" t="s">
        <v>1853</v>
      </c>
      <c r="C91" s="6" t="s">
        <v>29</v>
      </c>
      <c r="D91" s="6">
        <v>19420.0</v>
      </c>
      <c r="E91" s="6" t="s">
        <v>40</v>
      </c>
      <c r="F91" s="6" t="s">
        <v>20</v>
      </c>
      <c r="G91" s="6" t="s">
        <v>31</v>
      </c>
      <c r="H91" s="7">
        <v>2080.0</v>
      </c>
      <c r="I91" s="7">
        <v>9860.0</v>
      </c>
      <c r="J91" s="6">
        <v>1999.0</v>
      </c>
      <c r="K91" s="6">
        <v>44.0</v>
      </c>
      <c r="L91" s="6" t="s">
        <v>32</v>
      </c>
      <c r="M91" s="6" t="s">
        <v>1854</v>
      </c>
      <c r="N91" s="6" t="s">
        <v>34</v>
      </c>
      <c r="O91" s="6" t="s">
        <v>35</v>
      </c>
      <c r="P91" s="6">
        <f>COUNTIF(Analysis!$M$1:$M$3001,Analysis!$M453)</f>
        <v>1</v>
      </c>
      <c r="Q91" s="6" t="str">
        <f>IF(COUNTIF(Analysis!$M$2:$M$3001,Analysis!$M453)&gt;1,"Duplicate","OK")</f>
        <v>OK</v>
      </c>
      <c r="R91" s="6" t="str">
        <f t="shared" si="1"/>
        <v>1600-2600</v>
      </c>
      <c r="S91" s="6">
        <f t="shared" si="2"/>
        <v>27</v>
      </c>
      <c r="T91" s="6" t="str">
        <f t="shared" si="3"/>
        <v>Mid</v>
      </c>
      <c r="Z91" s="54"/>
      <c r="AA91" s="54"/>
      <c r="BH91" s="14">
        <f>IFERROR(__xludf.DUMMYFUNCTION("""COMPUTED_VALUE"""),1415873.0)</f>
        <v>1415873</v>
      </c>
      <c r="BI91" s="60" t="str">
        <f>IFERROR(__xludf.DUMMYFUNCTION("""COMPUTED_VALUE"""),"8090 Oak Ave, Sacramento, IL 99365")</f>
        <v>8090 Oak Ave, Sacramento, IL 99365</v>
      </c>
      <c r="BJ91" s="60" t="str">
        <f>IFERROR(__xludf.DUMMYFUNCTION("""COMPUTED_VALUE"""),"Sacramento")</f>
        <v>Sacramento</v>
      </c>
      <c r="BK91" s="60">
        <f>IFERROR(__xludf.DUMMYFUNCTION("""COMPUTED_VALUE"""),99365.0)</f>
        <v>99365</v>
      </c>
      <c r="BL91" s="60" t="str">
        <f>IFERROR(__xludf.DUMMYFUNCTION("""COMPUTED_VALUE"""),"IL")</f>
        <v>IL</v>
      </c>
      <c r="BM91" s="60" t="str">
        <f>IFERROR(__xludf.DUMMYFUNCTION("""COMPUTED_VALUE"""),"5 bds")</f>
        <v>5 bds</v>
      </c>
      <c r="BN91" s="60" t="str">
        <f>IFERROR(__xludf.DUMMYFUNCTION("""COMPUTED_VALUE"""),"4 ba")</f>
        <v>4 ba</v>
      </c>
      <c r="BO91" s="60">
        <f>IFERROR(__xludf.DUMMYFUNCTION("""COMPUTED_VALUE"""),3207.0)</f>
        <v>3207</v>
      </c>
      <c r="BP91" s="60">
        <f>IFERROR(__xludf.DUMMYFUNCTION("""COMPUTED_VALUE"""),1922.0)</f>
        <v>1922</v>
      </c>
      <c r="BQ91" s="60">
        <f>IFERROR(__xludf.DUMMYFUNCTION("""COMPUTED_VALUE"""),1975.0)</f>
        <v>1975</v>
      </c>
      <c r="BR91" s="60">
        <f>IFERROR(__xludf.DUMMYFUNCTION("""COMPUTED_VALUE"""),109.0)</f>
        <v>109</v>
      </c>
      <c r="BS91" s="60" t="str">
        <f>IFERROR(__xludf.DUMMYFUNCTION("""COMPUTED_VALUE"""),"Single Family")</f>
        <v>Single Family</v>
      </c>
      <c r="BT91" s="60" t="str">
        <f>IFERROR(__xludf.DUMMYFUNCTION("""COMPUTED_VALUE"""),"Z307261")</f>
        <v>Z307261</v>
      </c>
      <c r="BU91" s="60" t="str">
        <f>IFERROR(__xludf.DUMMYFUNCTION("""COMPUTED_VALUE"""),"Alex Johnson - Compass")</f>
        <v>Alex Johnson - Compass</v>
      </c>
      <c r="BV91" s="60" t="str">
        <f>IFERROR(__xludf.DUMMYFUNCTION("""COMPUTED_VALUE"""),"Sold")</f>
        <v>Sold</v>
      </c>
      <c r="BW91" s="60">
        <f>IFERROR(__xludf.DUMMYFUNCTION("""COMPUTED_VALUE"""),1.0)</f>
        <v>1</v>
      </c>
      <c r="BX91" s="60" t="str">
        <f>IFERROR(__xludf.DUMMYFUNCTION("""COMPUTED_VALUE"""),"OK")</f>
        <v>OK</v>
      </c>
      <c r="BY91" s="1" t="str">
        <f>IFERROR(__xludf.DUMMYFUNCTION("""COMPUTED_VALUE"""),"2600-3600")</f>
        <v>2600-3600</v>
      </c>
      <c r="BZ91" s="1">
        <f>IFERROR(__xludf.DUMMYFUNCTION("""COMPUTED_VALUE"""),51.0)</f>
        <v>51</v>
      </c>
      <c r="CA91" s="1" t="str">
        <f>IFERROR(__xludf.DUMMYFUNCTION("""COMPUTED_VALUE"""),"Old")</f>
        <v>Old</v>
      </c>
    </row>
    <row r="92" ht="14.25" customHeight="1">
      <c r="A92" s="5">
        <v>1089190.0</v>
      </c>
      <c r="B92" s="6" t="s">
        <v>409</v>
      </c>
      <c r="C92" s="6" t="s">
        <v>76</v>
      </c>
      <c r="D92" s="6">
        <v>93992.0</v>
      </c>
      <c r="E92" s="6" t="s">
        <v>19</v>
      </c>
      <c r="F92" s="6" t="s">
        <v>94</v>
      </c>
      <c r="G92" s="6" t="s">
        <v>31</v>
      </c>
      <c r="H92" s="7">
        <v>787.0</v>
      </c>
      <c r="I92" s="7">
        <v>5227.0</v>
      </c>
      <c r="J92" s="6">
        <v>1999.0</v>
      </c>
      <c r="K92" s="6">
        <v>119.0</v>
      </c>
      <c r="L92" s="6" t="s">
        <v>141</v>
      </c>
      <c r="M92" s="6" t="s">
        <v>410</v>
      </c>
      <c r="N92" s="6" t="s">
        <v>34</v>
      </c>
      <c r="O92" s="6" t="s">
        <v>25</v>
      </c>
      <c r="P92" s="6">
        <f>COUNTIF(Analysis!$M$1:$M$3001,Analysis!$M92)</f>
        <v>1</v>
      </c>
      <c r="Q92" s="6" t="str">
        <f>IF(COUNTIF(Analysis!$M$2:$M$3001,Analysis!$M92)&gt;1,"Duplicate","OK")</f>
        <v>OK</v>
      </c>
      <c r="R92" s="6" t="str">
        <f t="shared" si="1"/>
        <v>600-1600</v>
      </c>
      <c r="S92" s="6">
        <f t="shared" si="2"/>
        <v>27</v>
      </c>
      <c r="T92" s="6" t="str">
        <f t="shared" si="3"/>
        <v>Mid</v>
      </c>
      <c r="Z92" s="54"/>
      <c r="AA92" s="54"/>
      <c r="BH92" s="14">
        <f>IFERROR(__xludf.DUMMYFUNCTION("""COMPUTED_VALUE"""),361783.0)</f>
        <v>361783</v>
      </c>
      <c r="BI92" s="60" t="str">
        <f>IFERROR(__xludf.DUMMYFUNCTION("""COMPUTED_VALUE"""),"5331 Pine Rd, Los Angeles, CA 68651")</f>
        <v>5331 Pine Rd, Los Angeles, CA 68651</v>
      </c>
      <c r="BJ92" s="60" t="str">
        <f>IFERROR(__xludf.DUMMYFUNCTION("""COMPUTED_VALUE"""),"Los Angeles")</f>
        <v>Los Angeles</v>
      </c>
      <c r="BK92" s="60">
        <f>IFERROR(__xludf.DUMMYFUNCTION("""COMPUTED_VALUE"""),68651.0)</f>
        <v>68651</v>
      </c>
      <c r="BL92" s="60" t="str">
        <f>IFERROR(__xludf.DUMMYFUNCTION("""COMPUTED_VALUE"""),"CA")</f>
        <v>CA</v>
      </c>
      <c r="BM92" s="60" t="str">
        <f>IFERROR(__xludf.DUMMYFUNCTION("""COMPUTED_VALUE"""),"1 bds")</f>
        <v>1 bds</v>
      </c>
      <c r="BN92" s="60" t="str">
        <f>IFERROR(__xludf.DUMMYFUNCTION("""COMPUTED_VALUE"""),"1 ba")</f>
        <v>1 ba</v>
      </c>
      <c r="BO92" s="60">
        <f>IFERROR(__xludf.DUMMYFUNCTION("""COMPUTED_VALUE"""),1246.0)</f>
        <v>1246</v>
      </c>
      <c r="BP92" s="60">
        <f>IFERROR(__xludf.DUMMYFUNCTION("""COMPUTED_VALUE"""),7932.0)</f>
        <v>7932</v>
      </c>
      <c r="BQ92" s="60">
        <f>IFERROR(__xludf.DUMMYFUNCTION("""COMPUTED_VALUE"""),1950.0)</f>
        <v>1950</v>
      </c>
      <c r="BR92" s="60">
        <f>IFERROR(__xludf.DUMMYFUNCTION("""COMPUTED_VALUE"""),60.0)</f>
        <v>60</v>
      </c>
      <c r="BS92" s="60" t="str">
        <f>IFERROR(__xludf.DUMMYFUNCTION("""COMPUTED_VALUE"""),"Single Family")</f>
        <v>Single Family</v>
      </c>
      <c r="BT92" s="60" t="str">
        <f>IFERROR(__xludf.DUMMYFUNCTION("""COMPUTED_VALUE"""),"Z343009")</f>
        <v>Z343009</v>
      </c>
      <c r="BU92" s="60" t="str">
        <f>IFERROR(__xludf.DUMMYFUNCTION("""COMPUTED_VALUE"""),"Alex Johnson - Compass")</f>
        <v>Alex Johnson - Compass</v>
      </c>
      <c r="BV92" s="60" t="str">
        <f>IFERROR(__xludf.DUMMYFUNCTION("""COMPUTED_VALUE"""),"Sold")</f>
        <v>Sold</v>
      </c>
      <c r="BW92" s="60">
        <f>IFERROR(__xludf.DUMMYFUNCTION("""COMPUTED_VALUE"""),1.0)</f>
        <v>1</v>
      </c>
      <c r="BX92" s="60" t="str">
        <f>IFERROR(__xludf.DUMMYFUNCTION("""COMPUTED_VALUE"""),"OK")</f>
        <v>OK</v>
      </c>
      <c r="BY92" s="1" t="str">
        <f>IFERROR(__xludf.DUMMYFUNCTION("""COMPUTED_VALUE"""),"600-1600")</f>
        <v>600-1600</v>
      </c>
      <c r="BZ92" s="1">
        <f>IFERROR(__xludf.DUMMYFUNCTION("""COMPUTED_VALUE"""),76.0)</f>
        <v>76</v>
      </c>
      <c r="CA92" s="1" t="str">
        <f>IFERROR(__xludf.DUMMYFUNCTION("""COMPUTED_VALUE"""),"Very Old")</f>
        <v>Very Old</v>
      </c>
    </row>
    <row r="93" ht="14.25" customHeight="1">
      <c r="A93" s="5">
        <v>733862.0</v>
      </c>
      <c r="B93" s="6" t="s">
        <v>413</v>
      </c>
      <c r="C93" s="6" t="s">
        <v>39</v>
      </c>
      <c r="D93" s="6">
        <v>94674.0</v>
      </c>
      <c r="E93" s="6" t="s">
        <v>30</v>
      </c>
      <c r="F93" s="6" t="s">
        <v>41</v>
      </c>
      <c r="G93" s="6" t="s">
        <v>31</v>
      </c>
      <c r="H93" s="7">
        <v>2342.0</v>
      </c>
      <c r="I93" s="7">
        <v>5419.0</v>
      </c>
      <c r="J93" s="6">
        <v>1984.0</v>
      </c>
      <c r="K93" s="6">
        <v>46.0</v>
      </c>
      <c r="L93" s="6" t="s">
        <v>32</v>
      </c>
      <c r="M93" s="6" t="s">
        <v>414</v>
      </c>
      <c r="N93" s="6" t="s">
        <v>43</v>
      </c>
      <c r="O93" s="6" t="s">
        <v>25</v>
      </c>
      <c r="P93" s="6">
        <f>COUNTIF(Analysis!$M$1:$M$3001,Analysis!$M93)</f>
        <v>1</v>
      </c>
      <c r="Q93" s="6" t="str">
        <f>IF(COUNTIF(Analysis!$M$2:$M$3001,Analysis!$M93)&gt;1,"Duplicate","OK")</f>
        <v>OK</v>
      </c>
      <c r="R93" s="6" t="str">
        <f t="shared" si="1"/>
        <v>1600-2600</v>
      </c>
      <c r="S93" s="6">
        <f t="shared" si="2"/>
        <v>42</v>
      </c>
      <c r="T93" s="6" t="str">
        <f t="shared" si="3"/>
        <v>Old</v>
      </c>
      <c r="Z93" s="54"/>
      <c r="AA93" s="54"/>
      <c r="BH93" s="14">
        <f>IFERROR(__xludf.DUMMYFUNCTION("""COMPUTED_VALUE"""),325165.0)</f>
        <v>325165</v>
      </c>
      <c r="BI93" s="60" t="str">
        <f>IFERROR(__xludf.DUMMYFUNCTION("""COMPUTED_VALUE"""),"472 Elm St, San Francisco, IL 74800")</f>
        <v>472 Elm St, San Francisco, IL 74800</v>
      </c>
      <c r="BJ93" s="60" t="str">
        <f>IFERROR(__xludf.DUMMYFUNCTION("""COMPUTED_VALUE"""),"San Francisco")</f>
        <v>San Francisco</v>
      </c>
      <c r="BK93" s="60">
        <f>IFERROR(__xludf.DUMMYFUNCTION("""COMPUTED_VALUE"""),74800.0)</f>
        <v>74800</v>
      </c>
      <c r="BL93" s="60" t="str">
        <f>IFERROR(__xludf.DUMMYFUNCTION("""COMPUTED_VALUE"""),"IL")</f>
        <v>IL</v>
      </c>
      <c r="BM93" s="60" t="str">
        <f>IFERROR(__xludf.DUMMYFUNCTION("""COMPUTED_VALUE"""),"3 bds")</f>
        <v>3 bds</v>
      </c>
      <c r="BN93" s="60" t="str">
        <f>IFERROR(__xludf.DUMMYFUNCTION("""COMPUTED_VALUE"""),"3 ba")</f>
        <v>3 ba</v>
      </c>
      <c r="BO93" s="60">
        <f>IFERROR(__xludf.DUMMYFUNCTION("""COMPUTED_VALUE"""),941.0)</f>
        <v>941</v>
      </c>
      <c r="BP93" s="60">
        <f>IFERROR(__xludf.DUMMYFUNCTION("""COMPUTED_VALUE"""),7511.0)</f>
        <v>7511</v>
      </c>
      <c r="BQ93" s="60">
        <f>IFERROR(__xludf.DUMMYFUNCTION("""COMPUTED_VALUE"""),1954.0)</f>
        <v>1954</v>
      </c>
      <c r="BR93" s="60">
        <f>IFERROR(__xludf.DUMMYFUNCTION("""COMPUTED_VALUE"""),120.0)</f>
        <v>120</v>
      </c>
      <c r="BS93" s="60" t="str">
        <f>IFERROR(__xludf.DUMMYFUNCTION("""COMPUTED_VALUE"""),"Condo")</f>
        <v>Condo</v>
      </c>
      <c r="BT93" s="60" t="str">
        <f>IFERROR(__xludf.DUMMYFUNCTION("""COMPUTED_VALUE"""),"Z758880")</f>
        <v>Z758880</v>
      </c>
      <c r="BU93" s="60" t="str">
        <f>IFERROR(__xludf.DUMMYFUNCTION("""COMPUTED_VALUE"""),"Alex Johnson - Compass")</f>
        <v>Alex Johnson - Compass</v>
      </c>
      <c r="BV93" s="60" t="str">
        <f>IFERROR(__xludf.DUMMYFUNCTION("""COMPUTED_VALUE"""),"Sold")</f>
        <v>Sold</v>
      </c>
      <c r="BW93" s="60">
        <f>IFERROR(__xludf.DUMMYFUNCTION("""COMPUTED_VALUE"""),1.0)</f>
        <v>1</v>
      </c>
      <c r="BX93" s="60" t="str">
        <f>IFERROR(__xludf.DUMMYFUNCTION("""COMPUTED_VALUE"""),"OK")</f>
        <v>OK</v>
      </c>
      <c r="BY93" s="1" t="str">
        <f>IFERROR(__xludf.DUMMYFUNCTION("""COMPUTED_VALUE"""),"600-1600")</f>
        <v>600-1600</v>
      </c>
      <c r="BZ93" s="1">
        <f>IFERROR(__xludf.DUMMYFUNCTION("""COMPUTED_VALUE"""),72.0)</f>
        <v>72</v>
      </c>
      <c r="CA93" s="1" t="str">
        <f>IFERROR(__xludf.DUMMYFUNCTION("""COMPUTED_VALUE"""),"Very Old")</f>
        <v>Very Old</v>
      </c>
    </row>
    <row r="94" ht="14.25" customHeight="1">
      <c r="A94" s="5">
        <v>367764.0</v>
      </c>
      <c r="B94" s="6" t="s">
        <v>417</v>
      </c>
      <c r="C94" s="6" t="s">
        <v>18</v>
      </c>
      <c r="D94" s="6">
        <v>60724.0</v>
      </c>
      <c r="E94" s="6" t="s">
        <v>60</v>
      </c>
      <c r="F94" s="6" t="s">
        <v>54</v>
      </c>
      <c r="G94" s="6" t="s">
        <v>31</v>
      </c>
      <c r="H94" s="7">
        <v>2761.0</v>
      </c>
      <c r="I94" s="7">
        <v>9262.0</v>
      </c>
      <c r="J94" s="6">
        <v>1960.0</v>
      </c>
      <c r="K94" s="6">
        <v>99.0</v>
      </c>
      <c r="L94" s="6" t="s">
        <v>22</v>
      </c>
      <c r="M94" s="6" t="s">
        <v>418</v>
      </c>
      <c r="N94" s="6" t="s">
        <v>34</v>
      </c>
      <c r="O94" s="6" t="s">
        <v>25</v>
      </c>
      <c r="P94" s="6">
        <f>COUNTIF(Analysis!$M$1:$M$3001,Analysis!$M94)</f>
        <v>1</v>
      </c>
      <c r="Q94" s="6" t="str">
        <f>IF(COUNTIF(Analysis!$M$2:$M$3001,Analysis!$M94)&gt;1,"Duplicate","OK")</f>
        <v>OK</v>
      </c>
      <c r="R94" s="6" t="str">
        <f t="shared" si="1"/>
        <v>2600-3600</v>
      </c>
      <c r="S94" s="6">
        <f t="shared" si="2"/>
        <v>66</v>
      </c>
      <c r="T94" s="6" t="str">
        <f t="shared" si="3"/>
        <v>Very Old</v>
      </c>
      <c r="Z94" s="54"/>
      <c r="AA94" s="54"/>
      <c r="BH94" s="14">
        <f>IFERROR(__xludf.DUMMYFUNCTION("""COMPUTED_VALUE"""),649507.0)</f>
        <v>649507</v>
      </c>
      <c r="BI94" s="60" t="str">
        <f>IFERROR(__xludf.DUMMYFUNCTION("""COMPUTED_VALUE"""),"3702 Oak Ave, Fresno, NY 88446")</f>
        <v>3702 Oak Ave, Fresno, NY 88446</v>
      </c>
      <c r="BJ94" s="60" t="str">
        <f>IFERROR(__xludf.DUMMYFUNCTION("""COMPUTED_VALUE"""),"Fresno")</f>
        <v>Fresno</v>
      </c>
      <c r="BK94" s="60">
        <f>IFERROR(__xludf.DUMMYFUNCTION("""COMPUTED_VALUE"""),88446.0)</f>
        <v>88446</v>
      </c>
      <c r="BL94" s="60" t="str">
        <f>IFERROR(__xludf.DUMMYFUNCTION("""COMPUTED_VALUE"""),"NY")</f>
        <v>NY</v>
      </c>
      <c r="BM94" s="60" t="str">
        <f>IFERROR(__xludf.DUMMYFUNCTION("""COMPUTED_VALUE"""),"3 bds")</f>
        <v>3 bds</v>
      </c>
      <c r="BN94" s="60" t="str">
        <f>IFERROR(__xludf.DUMMYFUNCTION("""COMPUTED_VALUE"""),"4 ba")</f>
        <v>4 ba</v>
      </c>
      <c r="BO94" s="60">
        <f>IFERROR(__xludf.DUMMYFUNCTION("""COMPUTED_VALUE"""),717.0)</f>
        <v>717</v>
      </c>
      <c r="BP94" s="60">
        <f>IFERROR(__xludf.DUMMYFUNCTION("""COMPUTED_VALUE"""),4739.0)</f>
        <v>4739</v>
      </c>
      <c r="BQ94" s="60">
        <f>IFERROR(__xludf.DUMMYFUNCTION("""COMPUTED_VALUE"""),1964.0)</f>
        <v>1964</v>
      </c>
      <c r="BR94" s="60">
        <f>IFERROR(__xludf.DUMMYFUNCTION("""COMPUTED_VALUE"""),58.0)</f>
        <v>58</v>
      </c>
      <c r="BS94" s="60" t="str">
        <f>IFERROR(__xludf.DUMMYFUNCTION("""COMPUTED_VALUE"""),"Single Family")</f>
        <v>Single Family</v>
      </c>
      <c r="BT94" s="60" t="str">
        <f>IFERROR(__xludf.DUMMYFUNCTION("""COMPUTED_VALUE"""),"Z294465")</f>
        <v>Z294465</v>
      </c>
      <c r="BU94" s="60" t="str">
        <f>IFERROR(__xludf.DUMMYFUNCTION("""COMPUTED_VALUE"""),"Alex Johnson - Compass")</f>
        <v>Alex Johnson - Compass</v>
      </c>
      <c r="BV94" s="60" t="str">
        <f>IFERROR(__xludf.DUMMYFUNCTION("""COMPUTED_VALUE"""),"Sold")</f>
        <v>Sold</v>
      </c>
      <c r="BW94" s="60">
        <f>IFERROR(__xludf.DUMMYFUNCTION("""COMPUTED_VALUE"""),1.0)</f>
        <v>1</v>
      </c>
      <c r="BX94" s="60" t="str">
        <f>IFERROR(__xludf.DUMMYFUNCTION("""COMPUTED_VALUE"""),"OK")</f>
        <v>OK</v>
      </c>
      <c r="BY94" s="1" t="str">
        <f>IFERROR(__xludf.DUMMYFUNCTION("""COMPUTED_VALUE"""),"600-1600")</f>
        <v>600-1600</v>
      </c>
      <c r="BZ94" s="1">
        <f>IFERROR(__xludf.DUMMYFUNCTION("""COMPUTED_VALUE"""),62.0)</f>
        <v>62</v>
      </c>
      <c r="CA94" s="1" t="str">
        <f>IFERROR(__xludf.DUMMYFUNCTION("""COMPUTED_VALUE"""),"Very Old")</f>
        <v>Very Old</v>
      </c>
    </row>
    <row r="95" ht="14.25" customHeight="1">
      <c r="A95" s="5">
        <v>890978.0</v>
      </c>
      <c r="B95" s="6" t="s">
        <v>421</v>
      </c>
      <c r="C95" s="6" t="s">
        <v>39</v>
      </c>
      <c r="D95" s="6">
        <v>80299.0</v>
      </c>
      <c r="E95" s="6" t="s">
        <v>30</v>
      </c>
      <c r="F95" s="6" t="s">
        <v>20</v>
      </c>
      <c r="G95" s="6" t="s">
        <v>100</v>
      </c>
      <c r="H95" s="7">
        <v>3887.0</v>
      </c>
      <c r="I95" s="7">
        <v>3596.0</v>
      </c>
      <c r="J95" s="6">
        <v>2000.0</v>
      </c>
      <c r="K95" s="6">
        <v>119.0</v>
      </c>
      <c r="L95" s="6" t="s">
        <v>62</v>
      </c>
      <c r="M95" s="6" t="s">
        <v>422</v>
      </c>
      <c r="N95" s="6" t="s">
        <v>43</v>
      </c>
      <c r="O95" s="6" t="s">
        <v>25</v>
      </c>
      <c r="P95" s="6">
        <f>COUNTIF(Analysis!$M$1:$M$3001,Analysis!$M95)</f>
        <v>1</v>
      </c>
      <c r="Q95" s="6" t="str">
        <f>IF(COUNTIF(Analysis!$M$2:$M$3001,Analysis!$M95)&gt;1,"Duplicate","OK")</f>
        <v>OK</v>
      </c>
      <c r="R95" s="6" t="str">
        <f t="shared" si="1"/>
        <v>3600+</v>
      </c>
      <c r="S95" s="6">
        <f t="shared" si="2"/>
        <v>26</v>
      </c>
      <c r="T95" s="6" t="str">
        <f t="shared" si="3"/>
        <v>Mid</v>
      </c>
      <c r="Z95" s="54"/>
      <c r="AA95" s="54"/>
      <c r="BH95" s="14">
        <f>IFERROR(__xludf.DUMMYFUNCTION("""COMPUTED_VALUE"""),687426.0)</f>
        <v>687426</v>
      </c>
      <c r="BI95" s="60" t="str">
        <f>IFERROR(__xludf.DUMMYFUNCTION("""COMPUTED_VALUE"""),"119 Pine Rd, San Francisco, IL 25480")</f>
        <v>119 Pine Rd, San Francisco, IL 25480</v>
      </c>
      <c r="BJ95" s="60" t="str">
        <f>IFERROR(__xludf.DUMMYFUNCTION("""COMPUTED_VALUE"""),"San Francisco")</f>
        <v>San Francisco</v>
      </c>
      <c r="BK95" s="60">
        <f>IFERROR(__xludf.DUMMYFUNCTION("""COMPUTED_VALUE"""),25480.0)</f>
        <v>25480</v>
      </c>
      <c r="BL95" s="60" t="str">
        <f>IFERROR(__xludf.DUMMYFUNCTION("""COMPUTED_VALUE"""),"IL")</f>
        <v>IL</v>
      </c>
      <c r="BM95" s="60" t="str">
        <f>IFERROR(__xludf.DUMMYFUNCTION("""COMPUTED_VALUE"""),"2 bds")</f>
        <v>2 bds</v>
      </c>
      <c r="BN95" s="60" t="str">
        <f>IFERROR(__xludf.DUMMYFUNCTION("""COMPUTED_VALUE"""),"1 ba")</f>
        <v>1 ba</v>
      </c>
      <c r="BO95" s="60">
        <f>IFERROR(__xludf.DUMMYFUNCTION("""COMPUTED_VALUE"""),3789.0)</f>
        <v>3789</v>
      </c>
      <c r="BP95" s="60">
        <f>IFERROR(__xludf.DUMMYFUNCTION("""COMPUTED_VALUE"""),1605.0)</f>
        <v>1605</v>
      </c>
      <c r="BQ95" s="60">
        <f>IFERROR(__xludf.DUMMYFUNCTION("""COMPUTED_VALUE"""),1967.0)</f>
        <v>1967</v>
      </c>
      <c r="BR95" s="60">
        <f>IFERROR(__xludf.DUMMYFUNCTION("""COMPUTED_VALUE"""),98.0)</f>
        <v>98</v>
      </c>
      <c r="BS95" s="60" t="str">
        <f>IFERROR(__xludf.DUMMYFUNCTION("""COMPUTED_VALUE"""),"Condo")</f>
        <v>Condo</v>
      </c>
      <c r="BT95" s="60" t="str">
        <f>IFERROR(__xludf.DUMMYFUNCTION("""COMPUTED_VALUE"""),"Z274541")</f>
        <v>Z274541</v>
      </c>
      <c r="BU95" s="60" t="str">
        <f>IFERROR(__xludf.DUMMYFUNCTION("""COMPUTED_VALUE"""),"Alex Johnson - Compass")</f>
        <v>Alex Johnson - Compass</v>
      </c>
      <c r="BV95" s="60" t="str">
        <f>IFERROR(__xludf.DUMMYFUNCTION("""COMPUTED_VALUE"""),"Sold")</f>
        <v>Sold</v>
      </c>
      <c r="BW95" s="60">
        <f>IFERROR(__xludf.DUMMYFUNCTION("""COMPUTED_VALUE"""),1.0)</f>
        <v>1</v>
      </c>
      <c r="BX95" s="60" t="str">
        <f>IFERROR(__xludf.DUMMYFUNCTION("""COMPUTED_VALUE"""),"OK")</f>
        <v>OK</v>
      </c>
      <c r="BY95" s="1" t="str">
        <f>IFERROR(__xludf.DUMMYFUNCTION("""COMPUTED_VALUE"""),"3600+")</f>
        <v>3600+</v>
      </c>
      <c r="BZ95" s="1">
        <f>IFERROR(__xludf.DUMMYFUNCTION("""COMPUTED_VALUE"""),59.0)</f>
        <v>59</v>
      </c>
      <c r="CA95" s="1" t="str">
        <f>IFERROR(__xludf.DUMMYFUNCTION("""COMPUTED_VALUE"""),"Old")</f>
        <v>Old</v>
      </c>
    </row>
    <row r="96" ht="14.25" customHeight="1">
      <c r="A96" s="5">
        <v>139928.0</v>
      </c>
      <c r="B96" s="6" t="s">
        <v>425</v>
      </c>
      <c r="C96" s="6" t="s">
        <v>76</v>
      </c>
      <c r="D96" s="6">
        <v>63039.0</v>
      </c>
      <c r="E96" s="6" t="s">
        <v>19</v>
      </c>
      <c r="F96" s="6" t="s">
        <v>20</v>
      </c>
      <c r="G96" s="6" t="s">
        <v>21</v>
      </c>
      <c r="H96" s="7">
        <v>2093.0</v>
      </c>
      <c r="I96" s="7">
        <v>1094.0</v>
      </c>
      <c r="J96" s="6">
        <v>1977.0</v>
      </c>
      <c r="K96" s="6">
        <v>34.0</v>
      </c>
      <c r="L96" s="6" t="s">
        <v>32</v>
      </c>
      <c r="M96" s="6" t="s">
        <v>426</v>
      </c>
      <c r="N96" s="6" t="s">
        <v>34</v>
      </c>
      <c r="O96" s="6" t="s">
        <v>49</v>
      </c>
      <c r="P96" s="6">
        <f>COUNTIF(Analysis!$M$1:$M$3001,Analysis!$M96)</f>
        <v>1</v>
      </c>
      <c r="Q96" s="6" t="str">
        <f>IF(COUNTIF(Analysis!$M$2:$M$3001,Analysis!$M96)&gt;1,"Duplicate","OK")</f>
        <v>OK</v>
      </c>
      <c r="R96" s="6" t="str">
        <f t="shared" si="1"/>
        <v>1600-2600</v>
      </c>
      <c r="S96" s="6">
        <f t="shared" si="2"/>
        <v>49</v>
      </c>
      <c r="T96" s="6" t="str">
        <f t="shared" si="3"/>
        <v>Old</v>
      </c>
      <c r="Z96" s="54"/>
      <c r="AA96" s="54"/>
      <c r="BH96" s="14">
        <f>IFERROR(__xludf.DUMMYFUNCTION("""COMPUTED_VALUE"""),417293.0)</f>
        <v>417293</v>
      </c>
      <c r="BI96" s="60" t="str">
        <f>IFERROR(__xludf.DUMMYFUNCTION("""COMPUTED_VALUE"""),"9678 Pine Rd, Los Angeles, IL 30794")</f>
        <v>9678 Pine Rd, Los Angeles, IL 30794</v>
      </c>
      <c r="BJ96" s="60" t="str">
        <f>IFERROR(__xludf.DUMMYFUNCTION("""COMPUTED_VALUE"""),"Los Angeles")</f>
        <v>Los Angeles</v>
      </c>
      <c r="BK96" s="60">
        <f>IFERROR(__xludf.DUMMYFUNCTION("""COMPUTED_VALUE"""),30794.0)</f>
        <v>30794</v>
      </c>
      <c r="BL96" s="60" t="str">
        <f>IFERROR(__xludf.DUMMYFUNCTION("""COMPUTED_VALUE"""),"IL")</f>
        <v>IL</v>
      </c>
      <c r="BM96" s="60" t="str">
        <f>IFERROR(__xludf.DUMMYFUNCTION("""COMPUTED_VALUE"""),"5 bds")</f>
        <v>5 bds</v>
      </c>
      <c r="BN96" s="60" t="str">
        <f>IFERROR(__xludf.DUMMYFUNCTION("""COMPUTED_VALUE"""),"1 ba")</f>
        <v>1 ba</v>
      </c>
      <c r="BO96" s="60">
        <f>IFERROR(__xludf.DUMMYFUNCTION("""COMPUTED_VALUE"""),1842.0)</f>
        <v>1842</v>
      </c>
      <c r="BP96" s="60">
        <f>IFERROR(__xludf.DUMMYFUNCTION("""COMPUTED_VALUE"""),9866.0)</f>
        <v>9866</v>
      </c>
      <c r="BQ96" s="60">
        <f>IFERROR(__xludf.DUMMYFUNCTION("""COMPUTED_VALUE"""),1995.0)</f>
        <v>1995</v>
      </c>
      <c r="BR96" s="60">
        <f>IFERROR(__xludf.DUMMYFUNCTION("""COMPUTED_VALUE"""),117.0)</f>
        <v>117</v>
      </c>
      <c r="BS96" s="60" t="str">
        <f>IFERROR(__xludf.DUMMYFUNCTION("""COMPUTED_VALUE"""),"Condo")</f>
        <v>Condo</v>
      </c>
      <c r="BT96" s="60" t="str">
        <f>IFERROR(__xludf.DUMMYFUNCTION("""COMPUTED_VALUE"""),"Z319583")</f>
        <v>Z319583</v>
      </c>
      <c r="BU96" s="60" t="str">
        <f>IFERROR(__xludf.DUMMYFUNCTION("""COMPUTED_VALUE"""),"Alex Johnson - Compass")</f>
        <v>Alex Johnson - Compass</v>
      </c>
      <c r="BV96" s="60" t="str">
        <f>IFERROR(__xludf.DUMMYFUNCTION("""COMPUTED_VALUE"""),"Sold")</f>
        <v>Sold</v>
      </c>
      <c r="BW96" s="60">
        <f>IFERROR(__xludf.DUMMYFUNCTION("""COMPUTED_VALUE"""),1.0)</f>
        <v>1</v>
      </c>
      <c r="BX96" s="60" t="str">
        <f>IFERROR(__xludf.DUMMYFUNCTION("""COMPUTED_VALUE"""),"OK")</f>
        <v>OK</v>
      </c>
      <c r="BY96" s="1" t="str">
        <f>IFERROR(__xludf.DUMMYFUNCTION("""COMPUTED_VALUE"""),"1600-2600")</f>
        <v>1600-2600</v>
      </c>
      <c r="BZ96" s="1">
        <f>IFERROR(__xludf.DUMMYFUNCTION("""COMPUTED_VALUE"""),31.0)</f>
        <v>31</v>
      </c>
      <c r="CA96" s="1" t="str">
        <f>IFERROR(__xludf.DUMMYFUNCTION("""COMPUTED_VALUE"""),"Old")</f>
        <v>Old</v>
      </c>
    </row>
    <row r="97" ht="14.25" customHeight="1">
      <c r="A97" s="5">
        <v>574704.0</v>
      </c>
      <c r="B97" s="6" t="s">
        <v>429</v>
      </c>
      <c r="C97" s="6" t="s">
        <v>53</v>
      </c>
      <c r="D97" s="6">
        <v>88108.0</v>
      </c>
      <c r="E97" s="6" t="s">
        <v>60</v>
      </c>
      <c r="F97" s="6" t="s">
        <v>20</v>
      </c>
      <c r="G97" s="6" t="s">
        <v>31</v>
      </c>
      <c r="H97" s="7">
        <v>903.0</v>
      </c>
      <c r="I97" s="7">
        <v>6122.0</v>
      </c>
      <c r="J97" s="6">
        <v>2006.0</v>
      </c>
      <c r="K97" s="6">
        <v>43.0</v>
      </c>
      <c r="L97" s="6" t="s">
        <v>32</v>
      </c>
      <c r="M97" s="6" t="s">
        <v>430</v>
      </c>
      <c r="N97" s="6" t="s">
        <v>43</v>
      </c>
      <c r="O97" s="6" t="s">
        <v>25</v>
      </c>
      <c r="P97" s="6">
        <f>COUNTIF(Analysis!$M$1:$M$3001,Analysis!$M97)</f>
        <v>1</v>
      </c>
      <c r="Q97" s="6" t="str">
        <f>IF(COUNTIF(Analysis!$M$2:$M$3001,Analysis!$M97)&gt;1,"Duplicate","OK")</f>
        <v>OK</v>
      </c>
      <c r="R97" s="6" t="str">
        <f t="shared" si="1"/>
        <v>600-1600</v>
      </c>
      <c r="S97" s="6">
        <f t="shared" si="2"/>
        <v>20</v>
      </c>
      <c r="T97" s="6" t="str">
        <f t="shared" si="3"/>
        <v>Mid</v>
      </c>
      <c r="Z97" s="54"/>
      <c r="AA97" s="54"/>
      <c r="BH97" s="14">
        <f>IFERROR(__xludf.DUMMYFUNCTION("""COMPUTED_VALUE"""),264127.0)</f>
        <v>264127</v>
      </c>
      <c r="BI97" s="60" t="str">
        <f>IFERROR(__xludf.DUMMYFUNCTION("""COMPUTED_VALUE"""),"5152 Elm St, Sacramento, TX 92924")</f>
        <v>5152 Elm St, Sacramento, TX 92924</v>
      </c>
      <c r="BJ97" s="60" t="str">
        <f>IFERROR(__xludf.DUMMYFUNCTION("""COMPUTED_VALUE"""),"Sacramento")</f>
        <v>Sacramento</v>
      </c>
      <c r="BK97" s="60">
        <f>IFERROR(__xludf.DUMMYFUNCTION("""COMPUTED_VALUE"""),92924.0)</f>
        <v>92924</v>
      </c>
      <c r="BL97" s="60" t="str">
        <f>IFERROR(__xludf.DUMMYFUNCTION("""COMPUTED_VALUE"""),"TX")</f>
        <v>TX</v>
      </c>
      <c r="BM97" s="60" t="str">
        <f>IFERROR(__xludf.DUMMYFUNCTION("""COMPUTED_VALUE"""),"1 bds")</f>
        <v>1 bds</v>
      </c>
      <c r="BN97" s="60" t="str">
        <f>IFERROR(__xludf.DUMMYFUNCTION("""COMPUTED_VALUE"""),"1 ba")</f>
        <v>1 ba</v>
      </c>
      <c r="BO97" s="60">
        <f>IFERROR(__xludf.DUMMYFUNCTION("""COMPUTED_VALUE"""),2883.0)</f>
        <v>2883</v>
      </c>
      <c r="BP97" s="60">
        <f>IFERROR(__xludf.DUMMYFUNCTION("""COMPUTED_VALUE"""),7502.0)</f>
        <v>7502</v>
      </c>
      <c r="BQ97" s="60">
        <f>IFERROR(__xludf.DUMMYFUNCTION("""COMPUTED_VALUE"""),2004.0)</f>
        <v>2004</v>
      </c>
      <c r="BR97" s="60">
        <f>IFERROR(__xludf.DUMMYFUNCTION("""COMPUTED_VALUE"""),43.0)</f>
        <v>43</v>
      </c>
      <c r="BS97" s="60" t="str">
        <f>IFERROR(__xludf.DUMMYFUNCTION("""COMPUTED_VALUE"""),"Single Family")</f>
        <v>Single Family</v>
      </c>
      <c r="BT97" s="60" t="str">
        <f>IFERROR(__xludf.DUMMYFUNCTION("""COMPUTED_VALUE"""),"Z841768")</f>
        <v>Z841768</v>
      </c>
      <c r="BU97" s="60" t="str">
        <f>IFERROR(__xludf.DUMMYFUNCTION("""COMPUTED_VALUE"""),"Alex Johnson - Compass")</f>
        <v>Alex Johnson - Compass</v>
      </c>
      <c r="BV97" s="60" t="str">
        <f>IFERROR(__xludf.DUMMYFUNCTION("""COMPUTED_VALUE"""),"Sold")</f>
        <v>Sold</v>
      </c>
      <c r="BW97" s="60">
        <f>IFERROR(__xludf.DUMMYFUNCTION("""COMPUTED_VALUE"""),1.0)</f>
        <v>1</v>
      </c>
      <c r="BX97" s="60" t="str">
        <f>IFERROR(__xludf.DUMMYFUNCTION("""COMPUTED_VALUE"""),"OK")</f>
        <v>OK</v>
      </c>
      <c r="BY97" s="1" t="str">
        <f>IFERROR(__xludf.DUMMYFUNCTION("""COMPUTED_VALUE"""),"2600-3600")</f>
        <v>2600-3600</v>
      </c>
      <c r="BZ97" s="1">
        <f>IFERROR(__xludf.DUMMYFUNCTION("""COMPUTED_VALUE"""),22.0)</f>
        <v>22</v>
      </c>
      <c r="CA97" s="1" t="str">
        <f>IFERROR(__xludf.DUMMYFUNCTION("""COMPUTED_VALUE"""),"Mid")</f>
        <v>Mid</v>
      </c>
    </row>
    <row r="98" ht="14.25" customHeight="1">
      <c r="A98" s="5">
        <v>139505.0</v>
      </c>
      <c r="B98" s="6" t="s">
        <v>6969</v>
      </c>
      <c r="C98" s="6" t="s">
        <v>29</v>
      </c>
      <c r="D98" s="6">
        <v>73437.0</v>
      </c>
      <c r="E98" s="6" t="s">
        <v>40</v>
      </c>
      <c r="F98" s="6" t="s">
        <v>61</v>
      </c>
      <c r="G98" s="6" t="s">
        <v>100</v>
      </c>
      <c r="H98" s="7">
        <v>2310.0</v>
      </c>
      <c r="I98" s="7">
        <v>4096.0</v>
      </c>
      <c r="J98" s="6">
        <v>1974.0</v>
      </c>
      <c r="K98" s="6">
        <v>116.0</v>
      </c>
      <c r="L98" s="6" t="s">
        <v>22</v>
      </c>
      <c r="M98" s="6" t="s">
        <v>6970</v>
      </c>
      <c r="N98" s="6" t="s">
        <v>43</v>
      </c>
      <c r="O98" s="6" t="s">
        <v>25</v>
      </c>
      <c r="P98" s="6">
        <f>COUNTIF(Analysis!$M$1:$M$3001,Analysis!$M1733)</f>
        <v>1</v>
      </c>
      <c r="Q98" s="6" t="str">
        <f>IF(COUNTIF(Analysis!$M$2:$M$3001,Analysis!$M1733)&gt;1,"Duplicate","OK")</f>
        <v>OK</v>
      </c>
      <c r="R98" s="6" t="str">
        <f t="shared" si="1"/>
        <v>1600-2600</v>
      </c>
      <c r="S98" s="6">
        <f t="shared" si="2"/>
        <v>52</v>
      </c>
      <c r="T98" s="6" t="str">
        <f t="shared" si="3"/>
        <v>Old</v>
      </c>
      <c r="Z98" s="54"/>
      <c r="AA98" s="54"/>
      <c r="BH98" s="14">
        <f>IFERROR(__xludf.DUMMYFUNCTION("""COMPUTED_VALUE"""),377819.0)</f>
        <v>377819</v>
      </c>
      <c r="BI98" s="60" t="str">
        <f>IFERROR(__xludf.DUMMYFUNCTION("""COMPUTED_VALUE"""),"757 Oak Ave, Sacramento, TX 10143")</f>
        <v>757 Oak Ave, Sacramento, TX 10143</v>
      </c>
      <c r="BJ98" s="60" t="str">
        <f>IFERROR(__xludf.DUMMYFUNCTION("""COMPUTED_VALUE"""),"Sacramento")</f>
        <v>Sacramento</v>
      </c>
      <c r="BK98" s="60">
        <f>IFERROR(__xludf.DUMMYFUNCTION("""COMPUTED_VALUE"""),10143.0)</f>
        <v>10143</v>
      </c>
      <c r="BL98" s="60" t="str">
        <f>IFERROR(__xludf.DUMMYFUNCTION("""COMPUTED_VALUE"""),"TX")</f>
        <v>TX</v>
      </c>
      <c r="BM98" s="60" t="str">
        <f>IFERROR(__xludf.DUMMYFUNCTION("""COMPUTED_VALUE"""),"4 bds")</f>
        <v>4 bds</v>
      </c>
      <c r="BN98" s="60" t="str">
        <f>IFERROR(__xludf.DUMMYFUNCTION("""COMPUTED_VALUE"""),"3 ba")</f>
        <v>3 ba</v>
      </c>
      <c r="BO98" s="60">
        <f>IFERROR(__xludf.DUMMYFUNCTION("""COMPUTED_VALUE"""),1914.0)</f>
        <v>1914</v>
      </c>
      <c r="BP98" s="60">
        <f>IFERROR(__xludf.DUMMYFUNCTION("""COMPUTED_VALUE"""),8404.0)</f>
        <v>8404</v>
      </c>
      <c r="BQ98" s="60">
        <f>IFERROR(__xludf.DUMMYFUNCTION("""COMPUTED_VALUE"""),1953.0)</f>
        <v>1953</v>
      </c>
      <c r="BR98" s="60">
        <f>IFERROR(__xludf.DUMMYFUNCTION("""COMPUTED_VALUE"""),93.0)</f>
        <v>93</v>
      </c>
      <c r="BS98" s="60" t="str">
        <f>IFERROR(__xludf.DUMMYFUNCTION("""COMPUTED_VALUE"""),"Multi-Family")</f>
        <v>Multi-Family</v>
      </c>
      <c r="BT98" s="60" t="str">
        <f>IFERROR(__xludf.DUMMYFUNCTION("""COMPUTED_VALUE"""),"Z658039")</f>
        <v>Z658039</v>
      </c>
      <c r="BU98" s="60" t="str">
        <f>IFERROR(__xludf.DUMMYFUNCTION("""COMPUTED_VALUE"""),"Alex Johnson - Compass")</f>
        <v>Alex Johnson - Compass</v>
      </c>
      <c r="BV98" s="60" t="str">
        <f>IFERROR(__xludf.DUMMYFUNCTION("""COMPUTED_VALUE"""),"Sold")</f>
        <v>Sold</v>
      </c>
      <c r="BW98" s="60">
        <f>IFERROR(__xludf.DUMMYFUNCTION("""COMPUTED_VALUE"""),1.0)</f>
        <v>1</v>
      </c>
      <c r="BX98" s="60" t="str">
        <f>IFERROR(__xludf.DUMMYFUNCTION("""COMPUTED_VALUE"""),"OK")</f>
        <v>OK</v>
      </c>
      <c r="BY98" s="1" t="str">
        <f>IFERROR(__xludf.DUMMYFUNCTION("""COMPUTED_VALUE"""),"1600-2600")</f>
        <v>1600-2600</v>
      </c>
      <c r="BZ98" s="1">
        <f>IFERROR(__xludf.DUMMYFUNCTION("""COMPUTED_VALUE"""),73.0)</f>
        <v>73</v>
      </c>
      <c r="CA98" s="1" t="str">
        <f>IFERROR(__xludf.DUMMYFUNCTION("""COMPUTED_VALUE"""),"Very Old")</f>
        <v>Very Old</v>
      </c>
    </row>
    <row r="99" ht="14.25" customHeight="1">
      <c r="A99" s="5">
        <v>548614.0</v>
      </c>
      <c r="B99" s="6" t="s">
        <v>437</v>
      </c>
      <c r="C99" s="6" t="s">
        <v>39</v>
      </c>
      <c r="D99" s="6">
        <v>85891.0</v>
      </c>
      <c r="E99" s="6" t="s">
        <v>30</v>
      </c>
      <c r="F99" s="6" t="s">
        <v>54</v>
      </c>
      <c r="G99" s="6" t="s">
        <v>31</v>
      </c>
      <c r="H99" s="7">
        <v>3527.0</v>
      </c>
      <c r="I99" s="7">
        <v>3201.0</v>
      </c>
      <c r="J99" s="6">
        <v>2008.0</v>
      </c>
      <c r="K99" s="6">
        <v>108.0</v>
      </c>
      <c r="L99" s="6" t="s">
        <v>95</v>
      </c>
      <c r="M99" s="6" t="s">
        <v>438</v>
      </c>
      <c r="N99" s="6" t="s">
        <v>48</v>
      </c>
      <c r="O99" s="6" t="s">
        <v>25</v>
      </c>
      <c r="P99" s="6">
        <f>COUNTIF(Analysis!$M$1:$M$3001,Analysis!$M99)</f>
        <v>1</v>
      </c>
      <c r="Q99" s="6" t="str">
        <f>IF(COUNTIF(Analysis!$M$2:$M$3001,Analysis!$M99)&gt;1,"Duplicate","OK")</f>
        <v>OK</v>
      </c>
      <c r="R99" s="6" t="str">
        <f t="shared" si="1"/>
        <v>2600-3600</v>
      </c>
      <c r="S99" s="6">
        <f t="shared" si="2"/>
        <v>18</v>
      </c>
      <c r="T99" s="6" t="str">
        <f t="shared" si="3"/>
        <v>Mid</v>
      </c>
      <c r="Z99" s="54"/>
      <c r="AA99" s="54"/>
      <c r="BH99" s="14">
        <f>IFERROR(__xludf.DUMMYFUNCTION("""COMPUTED_VALUE"""),692345.0)</f>
        <v>692345</v>
      </c>
      <c r="BI99" s="60" t="str">
        <f>IFERROR(__xludf.DUMMYFUNCTION("""COMPUTED_VALUE"""),"959 Elm St, Fresno, CA 20838")</f>
        <v>959 Elm St, Fresno, CA 20838</v>
      </c>
      <c r="BJ99" s="60" t="str">
        <f>IFERROR(__xludf.DUMMYFUNCTION("""COMPUTED_VALUE"""),"Fresno")</f>
        <v>Fresno</v>
      </c>
      <c r="BK99" s="60">
        <f>IFERROR(__xludf.DUMMYFUNCTION("""COMPUTED_VALUE"""),20838.0)</f>
        <v>20838</v>
      </c>
      <c r="BL99" s="60" t="str">
        <f>IFERROR(__xludf.DUMMYFUNCTION("""COMPUTED_VALUE"""),"CA")</f>
        <v>CA</v>
      </c>
      <c r="BM99" s="60" t="str">
        <f>IFERROR(__xludf.DUMMYFUNCTION("""COMPUTED_VALUE"""),"2 bds")</f>
        <v>2 bds</v>
      </c>
      <c r="BN99" s="60" t="str">
        <f>IFERROR(__xludf.DUMMYFUNCTION("""COMPUTED_VALUE"""),"3 ba")</f>
        <v>3 ba</v>
      </c>
      <c r="BO99" s="60">
        <f>IFERROR(__xludf.DUMMYFUNCTION("""COMPUTED_VALUE"""),1062.0)</f>
        <v>1062</v>
      </c>
      <c r="BP99" s="60">
        <f>IFERROR(__xludf.DUMMYFUNCTION("""COMPUTED_VALUE"""),1226.0)</f>
        <v>1226</v>
      </c>
      <c r="BQ99" s="60">
        <f>IFERROR(__xludf.DUMMYFUNCTION("""COMPUTED_VALUE"""),2022.0)</f>
        <v>2022</v>
      </c>
      <c r="BR99" s="60">
        <f>IFERROR(__xludf.DUMMYFUNCTION("""COMPUTED_VALUE"""),84.0)</f>
        <v>84</v>
      </c>
      <c r="BS99" s="60" t="str">
        <f>IFERROR(__xludf.DUMMYFUNCTION("""COMPUTED_VALUE"""),"Condo")</f>
        <v>Condo</v>
      </c>
      <c r="BT99" s="60" t="str">
        <f>IFERROR(__xludf.DUMMYFUNCTION("""COMPUTED_VALUE"""),"Z778473")</f>
        <v>Z778473</v>
      </c>
      <c r="BU99" s="60" t="str">
        <f>IFERROR(__xludf.DUMMYFUNCTION("""COMPUTED_VALUE"""),"Alex Johnson - Compass")</f>
        <v>Alex Johnson - Compass</v>
      </c>
      <c r="BV99" s="60" t="str">
        <f>IFERROR(__xludf.DUMMYFUNCTION("""COMPUTED_VALUE"""),"Sold")</f>
        <v>Sold</v>
      </c>
      <c r="BW99" s="60">
        <f>IFERROR(__xludf.DUMMYFUNCTION("""COMPUTED_VALUE"""),1.0)</f>
        <v>1</v>
      </c>
      <c r="BX99" s="60" t="str">
        <f>IFERROR(__xludf.DUMMYFUNCTION("""COMPUTED_VALUE"""),"OK")</f>
        <v>OK</v>
      </c>
      <c r="BY99" s="1" t="str">
        <f>IFERROR(__xludf.DUMMYFUNCTION("""COMPUTED_VALUE"""),"600-1600")</f>
        <v>600-1600</v>
      </c>
      <c r="BZ99" s="1">
        <f>IFERROR(__xludf.DUMMYFUNCTION("""COMPUTED_VALUE"""),4.0)</f>
        <v>4</v>
      </c>
      <c r="CA99" s="1" t="str">
        <f>IFERROR(__xludf.DUMMYFUNCTION("""COMPUTED_VALUE"""),"New")</f>
        <v>New</v>
      </c>
    </row>
    <row r="100" ht="14.25" customHeight="1">
      <c r="A100" s="5">
        <v>741710.0</v>
      </c>
      <c r="B100" s="6" t="s">
        <v>441</v>
      </c>
      <c r="C100" s="6" t="s">
        <v>39</v>
      </c>
      <c r="D100" s="6">
        <v>61514.0</v>
      </c>
      <c r="E100" s="6" t="s">
        <v>19</v>
      </c>
      <c r="F100" s="6" t="s">
        <v>20</v>
      </c>
      <c r="G100" s="6" t="s">
        <v>100</v>
      </c>
      <c r="H100" s="7">
        <v>1224.0</v>
      </c>
      <c r="I100" s="7">
        <v>3876.0</v>
      </c>
      <c r="J100" s="6">
        <v>2001.0</v>
      </c>
      <c r="K100" s="6">
        <v>27.0</v>
      </c>
      <c r="L100" s="6" t="s">
        <v>22</v>
      </c>
      <c r="M100" s="6" t="s">
        <v>442</v>
      </c>
      <c r="N100" s="6" t="s">
        <v>43</v>
      </c>
      <c r="O100" s="6" t="s">
        <v>35</v>
      </c>
      <c r="P100" s="6">
        <f>COUNTIF(Analysis!$M$1:$M$3001,Analysis!$M100)</f>
        <v>1</v>
      </c>
      <c r="Q100" s="6" t="str">
        <f>IF(COUNTIF(Analysis!$M$2:$M$3001,Analysis!$M100)&gt;1,"Duplicate","OK")</f>
        <v>OK</v>
      </c>
      <c r="R100" s="6" t="str">
        <f t="shared" si="1"/>
        <v>600-1600</v>
      </c>
      <c r="S100" s="6">
        <f t="shared" si="2"/>
        <v>25</v>
      </c>
      <c r="T100" s="6" t="str">
        <f t="shared" si="3"/>
        <v>Mid</v>
      </c>
      <c r="Z100" s="54"/>
      <c r="AA100" s="54"/>
      <c r="BH100" s="14">
        <f>IFERROR(__xludf.DUMMYFUNCTION("""COMPUTED_VALUE"""),1057374.0)</f>
        <v>1057374</v>
      </c>
      <c r="BI100" s="60" t="str">
        <f>IFERROR(__xludf.DUMMYFUNCTION("""COMPUTED_VALUE"""),"1807 Main St, San Diego, IL 89598")</f>
        <v>1807 Main St, San Diego, IL 89598</v>
      </c>
      <c r="BJ100" s="60" t="str">
        <f>IFERROR(__xludf.DUMMYFUNCTION("""COMPUTED_VALUE"""),"San Diego")</f>
        <v>San Diego</v>
      </c>
      <c r="BK100" s="60">
        <f>IFERROR(__xludf.DUMMYFUNCTION("""COMPUTED_VALUE"""),89598.0)</f>
        <v>89598</v>
      </c>
      <c r="BL100" s="60" t="str">
        <f>IFERROR(__xludf.DUMMYFUNCTION("""COMPUTED_VALUE"""),"IL")</f>
        <v>IL</v>
      </c>
      <c r="BM100" s="60" t="str">
        <f>IFERROR(__xludf.DUMMYFUNCTION("""COMPUTED_VALUE"""),"3 bds")</f>
        <v>3 bds</v>
      </c>
      <c r="BN100" s="60" t="str">
        <f>IFERROR(__xludf.DUMMYFUNCTION("""COMPUTED_VALUE"""),"4 ba")</f>
        <v>4 ba</v>
      </c>
      <c r="BO100" s="60">
        <f>IFERROR(__xludf.DUMMYFUNCTION("""COMPUTED_VALUE"""),2479.0)</f>
        <v>2479</v>
      </c>
      <c r="BP100" s="60">
        <f>IFERROR(__xludf.DUMMYFUNCTION("""COMPUTED_VALUE"""),8559.0)</f>
        <v>8559</v>
      </c>
      <c r="BQ100" s="60">
        <f>IFERROR(__xludf.DUMMYFUNCTION("""COMPUTED_VALUE"""),1994.0)</f>
        <v>1994</v>
      </c>
      <c r="BR100" s="60">
        <f>IFERROR(__xludf.DUMMYFUNCTION("""COMPUTED_VALUE"""),37.0)</f>
        <v>37</v>
      </c>
      <c r="BS100" s="60" t="str">
        <f>IFERROR(__xludf.DUMMYFUNCTION("""COMPUTED_VALUE"""),"Condo")</f>
        <v>Condo</v>
      </c>
      <c r="BT100" s="60" t="str">
        <f>IFERROR(__xludf.DUMMYFUNCTION("""COMPUTED_VALUE"""),"Z517365")</f>
        <v>Z517365</v>
      </c>
      <c r="BU100" s="60" t="str">
        <f>IFERROR(__xludf.DUMMYFUNCTION("""COMPUTED_VALUE"""),"Alex Johnson - Compass")</f>
        <v>Alex Johnson - Compass</v>
      </c>
      <c r="BV100" s="60" t="str">
        <f>IFERROR(__xludf.DUMMYFUNCTION("""COMPUTED_VALUE"""),"Sold")</f>
        <v>Sold</v>
      </c>
      <c r="BW100" s="60">
        <f>IFERROR(__xludf.DUMMYFUNCTION("""COMPUTED_VALUE"""),1.0)</f>
        <v>1</v>
      </c>
      <c r="BX100" s="60" t="str">
        <f>IFERROR(__xludf.DUMMYFUNCTION("""COMPUTED_VALUE"""),"OK")</f>
        <v>OK</v>
      </c>
      <c r="BY100" s="1" t="str">
        <f>IFERROR(__xludf.DUMMYFUNCTION("""COMPUTED_VALUE"""),"1600-2600")</f>
        <v>1600-2600</v>
      </c>
      <c r="BZ100" s="1">
        <f>IFERROR(__xludf.DUMMYFUNCTION("""COMPUTED_VALUE"""),32.0)</f>
        <v>32</v>
      </c>
      <c r="CA100" s="1" t="str">
        <f>IFERROR(__xludf.DUMMYFUNCTION("""COMPUTED_VALUE"""),"Old")</f>
        <v>Old</v>
      </c>
    </row>
    <row r="101" ht="14.25" customHeight="1">
      <c r="A101" s="5">
        <v>1300809.0</v>
      </c>
      <c r="B101" s="6" t="s">
        <v>445</v>
      </c>
      <c r="C101" s="6" t="s">
        <v>76</v>
      </c>
      <c r="D101" s="6">
        <v>84532.0</v>
      </c>
      <c r="E101" s="6" t="s">
        <v>19</v>
      </c>
      <c r="F101" s="6" t="s">
        <v>61</v>
      </c>
      <c r="G101" s="6" t="s">
        <v>100</v>
      </c>
      <c r="H101" s="7">
        <v>2543.0</v>
      </c>
      <c r="I101" s="7">
        <v>7979.0</v>
      </c>
      <c r="J101" s="6">
        <v>2001.0</v>
      </c>
      <c r="K101" s="6">
        <v>108.0</v>
      </c>
      <c r="L101" s="6" t="s">
        <v>62</v>
      </c>
      <c r="M101" s="6" t="s">
        <v>446</v>
      </c>
      <c r="N101" s="6" t="s">
        <v>43</v>
      </c>
      <c r="O101" s="6" t="s">
        <v>25</v>
      </c>
      <c r="P101" s="6">
        <f>COUNTIF(Analysis!$M$1:$M$3001,Analysis!$M101)</f>
        <v>1</v>
      </c>
      <c r="Q101" s="6" t="str">
        <f>IF(COUNTIF(Analysis!$M$2:$M$3001,Analysis!$M101)&gt;1,"Duplicate","OK")</f>
        <v>OK</v>
      </c>
      <c r="R101" s="6" t="str">
        <f t="shared" si="1"/>
        <v>1600-2600</v>
      </c>
      <c r="S101" s="6">
        <f t="shared" si="2"/>
        <v>25</v>
      </c>
      <c r="T101" s="6" t="str">
        <f t="shared" si="3"/>
        <v>Mid</v>
      </c>
      <c r="Z101" s="54"/>
      <c r="AA101" s="54"/>
      <c r="BH101" s="14">
        <f>IFERROR(__xludf.DUMMYFUNCTION("""COMPUTED_VALUE"""),315634.0)</f>
        <v>315634</v>
      </c>
      <c r="BI101" s="60" t="str">
        <f>IFERROR(__xludf.DUMMYFUNCTION("""COMPUTED_VALUE"""),"9109 Maple Dr, Los Angeles, IL 64628")</f>
        <v>9109 Maple Dr, Los Angeles, IL 64628</v>
      </c>
      <c r="BJ101" s="60" t="str">
        <f>IFERROR(__xludf.DUMMYFUNCTION("""COMPUTED_VALUE"""),"Los Angeles")</f>
        <v>Los Angeles</v>
      </c>
      <c r="BK101" s="60">
        <f>IFERROR(__xludf.DUMMYFUNCTION("""COMPUTED_VALUE"""),64628.0)</f>
        <v>64628</v>
      </c>
      <c r="BL101" s="60" t="str">
        <f>IFERROR(__xludf.DUMMYFUNCTION("""COMPUTED_VALUE"""),"IL")</f>
        <v>IL</v>
      </c>
      <c r="BM101" s="60" t="str">
        <f>IFERROR(__xludf.DUMMYFUNCTION("""COMPUTED_VALUE"""),"2 bds")</f>
        <v>2 bds</v>
      </c>
      <c r="BN101" s="60" t="str">
        <f>IFERROR(__xludf.DUMMYFUNCTION("""COMPUTED_VALUE"""),"4 ba")</f>
        <v>4 ba</v>
      </c>
      <c r="BO101" s="60">
        <f>IFERROR(__xludf.DUMMYFUNCTION("""COMPUTED_VALUE"""),2580.0)</f>
        <v>2580</v>
      </c>
      <c r="BP101" s="60">
        <f>IFERROR(__xludf.DUMMYFUNCTION("""COMPUTED_VALUE"""),3464.0)</f>
        <v>3464</v>
      </c>
      <c r="BQ101" s="60">
        <f>IFERROR(__xludf.DUMMYFUNCTION("""COMPUTED_VALUE"""),1976.0)</f>
        <v>1976</v>
      </c>
      <c r="BR101" s="60">
        <f>IFERROR(__xludf.DUMMYFUNCTION("""COMPUTED_VALUE"""),101.0)</f>
        <v>101</v>
      </c>
      <c r="BS101" s="60" t="str">
        <f>IFERROR(__xludf.DUMMYFUNCTION("""COMPUTED_VALUE"""),"Single Family")</f>
        <v>Single Family</v>
      </c>
      <c r="BT101" s="60" t="str">
        <f>IFERROR(__xludf.DUMMYFUNCTION("""COMPUTED_VALUE"""),"Z809289")</f>
        <v>Z809289</v>
      </c>
      <c r="BU101" s="60" t="str">
        <f>IFERROR(__xludf.DUMMYFUNCTION("""COMPUTED_VALUE"""),"Alex Johnson - Compass")</f>
        <v>Alex Johnson - Compass</v>
      </c>
      <c r="BV101" s="60" t="str">
        <f>IFERROR(__xludf.DUMMYFUNCTION("""COMPUTED_VALUE"""),"Sold")</f>
        <v>Sold</v>
      </c>
      <c r="BW101" s="60">
        <f>IFERROR(__xludf.DUMMYFUNCTION("""COMPUTED_VALUE"""),1.0)</f>
        <v>1</v>
      </c>
      <c r="BX101" s="60" t="str">
        <f>IFERROR(__xludf.DUMMYFUNCTION("""COMPUTED_VALUE"""),"OK")</f>
        <v>OK</v>
      </c>
      <c r="BY101" s="1" t="str">
        <f>IFERROR(__xludf.DUMMYFUNCTION("""COMPUTED_VALUE"""),"1600-2600")</f>
        <v>1600-2600</v>
      </c>
      <c r="BZ101" s="1">
        <f>IFERROR(__xludf.DUMMYFUNCTION("""COMPUTED_VALUE"""),50.0)</f>
        <v>50</v>
      </c>
      <c r="CA101" s="1" t="str">
        <f>IFERROR(__xludf.DUMMYFUNCTION("""COMPUTED_VALUE"""),"Old")</f>
        <v>Old</v>
      </c>
    </row>
    <row r="102" ht="14.25" customHeight="1">
      <c r="A102" s="5">
        <v>347172.0</v>
      </c>
      <c r="B102" s="6" t="s">
        <v>449</v>
      </c>
      <c r="C102" s="6" t="s">
        <v>53</v>
      </c>
      <c r="D102" s="6">
        <v>66497.0</v>
      </c>
      <c r="E102" s="6" t="s">
        <v>19</v>
      </c>
      <c r="F102" s="6" t="s">
        <v>61</v>
      </c>
      <c r="G102" s="6" t="s">
        <v>31</v>
      </c>
      <c r="H102" s="7">
        <v>3638.0</v>
      </c>
      <c r="I102" s="7">
        <v>2063.0</v>
      </c>
      <c r="J102" s="6">
        <v>2017.0</v>
      </c>
      <c r="K102" s="6">
        <v>43.0</v>
      </c>
      <c r="L102" s="6" t="s">
        <v>95</v>
      </c>
      <c r="M102" s="6" t="s">
        <v>450</v>
      </c>
      <c r="N102" s="6" t="s">
        <v>34</v>
      </c>
      <c r="O102" s="6" t="s">
        <v>35</v>
      </c>
      <c r="P102" s="6">
        <f>COUNTIF(Analysis!$M$1:$M$3001,Analysis!$M102)</f>
        <v>1</v>
      </c>
      <c r="Q102" s="6" t="str">
        <f>IF(COUNTIF(Analysis!$M$2:$M$3001,Analysis!$M102)&gt;1,"Duplicate","OK")</f>
        <v>OK</v>
      </c>
      <c r="R102" s="6" t="str">
        <f t="shared" si="1"/>
        <v>3600+</v>
      </c>
      <c r="S102" s="6">
        <f t="shared" si="2"/>
        <v>9</v>
      </c>
      <c r="T102" s="6" t="str">
        <f t="shared" si="3"/>
        <v>New</v>
      </c>
      <c r="Z102" s="54"/>
      <c r="AA102" s="54"/>
      <c r="BH102" s="14">
        <f>IFERROR(__xludf.DUMMYFUNCTION("""COMPUTED_VALUE"""),691218.0)</f>
        <v>691218</v>
      </c>
      <c r="BI102" s="60" t="str">
        <f>IFERROR(__xludf.DUMMYFUNCTION("""COMPUTED_VALUE"""),"6889 Pine Rd, San Francisco, FL 16383")</f>
        <v>6889 Pine Rd, San Francisco, FL 16383</v>
      </c>
      <c r="BJ102" s="60" t="str">
        <f>IFERROR(__xludf.DUMMYFUNCTION("""COMPUTED_VALUE"""),"San Francisco")</f>
        <v>San Francisco</v>
      </c>
      <c r="BK102" s="60">
        <f>IFERROR(__xludf.DUMMYFUNCTION("""COMPUTED_VALUE"""),16383.0)</f>
        <v>16383</v>
      </c>
      <c r="BL102" s="60" t="str">
        <f>IFERROR(__xludf.DUMMYFUNCTION("""COMPUTED_VALUE"""),"FL")</f>
        <v>FL</v>
      </c>
      <c r="BM102" s="60" t="str">
        <f>IFERROR(__xludf.DUMMYFUNCTION("""COMPUTED_VALUE"""),"2 bds")</f>
        <v>2 bds</v>
      </c>
      <c r="BN102" s="60" t="str">
        <f>IFERROR(__xludf.DUMMYFUNCTION("""COMPUTED_VALUE"""),"1 ba")</f>
        <v>1 ba</v>
      </c>
      <c r="BO102" s="60">
        <f>IFERROR(__xludf.DUMMYFUNCTION("""COMPUTED_VALUE"""),2316.0)</f>
        <v>2316</v>
      </c>
      <c r="BP102" s="60">
        <f>IFERROR(__xludf.DUMMYFUNCTION("""COMPUTED_VALUE"""),1892.0)</f>
        <v>1892</v>
      </c>
      <c r="BQ102" s="60">
        <f>IFERROR(__xludf.DUMMYFUNCTION("""COMPUTED_VALUE"""),1959.0)</f>
        <v>1959</v>
      </c>
      <c r="BR102" s="60">
        <f>IFERROR(__xludf.DUMMYFUNCTION("""COMPUTED_VALUE"""),59.0)</f>
        <v>59</v>
      </c>
      <c r="BS102" s="60" t="str">
        <f>IFERROR(__xludf.DUMMYFUNCTION("""COMPUTED_VALUE"""),"Townhouse")</f>
        <v>Townhouse</v>
      </c>
      <c r="BT102" s="60" t="str">
        <f>IFERROR(__xludf.DUMMYFUNCTION("""COMPUTED_VALUE"""),"Z455785")</f>
        <v>Z455785</v>
      </c>
      <c r="BU102" s="60" t="str">
        <f>IFERROR(__xludf.DUMMYFUNCTION("""COMPUTED_VALUE"""),"Alex Johnson - Compass")</f>
        <v>Alex Johnson - Compass</v>
      </c>
      <c r="BV102" s="60" t="str">
        <f>IFERROR(__xludf.DUMMYFUNCTION("""COMPUTED_VALUE"""),"Sold")</f>
        <v>Sold</v>
      </c>
      <c r="BW102" s="60">
        <f>IFERROR(__xludf.DUMMYFUNCTION("""COMPUTED_VALUE"""),1.0)</f>
        <v>1</v>
      </c>
      <c r="BX102" s="60" t="str">
        <f>IFERROR(__xludf.DUMMYFUNCTION("""COMPUTED_VALUE"""),"OK")</f>
        <v>OK</v>
      </c>
      <c r="BY102" s="1" t="str">
        <f>IFERROR(__xludf.DUMMYFUNCTION("""COMPUTED_VALUE"""),"1600-2600")</f>
        <v>1600-2600</v>
      </c>
      <c r="BZ102" s="1">
        <f>IFERROR(__xludf.DUMMYFUNCTION("""COMPUTED_VALUE"""),67.0)</f>
        <v>67</v>
      </c>
      <c r="CA102" s="1" t="str">
        <f>IFERROR(__xludf.DUMMYFUNCTION("""COMPUTED_VALUE"""),"Very Old")</f>
        <v>Very Old</v>
      </c>
    </row>
    <row r="103" ht="14.25" customHeight="1">
      <c r="A103" s="5">
        <v>141534.0</v>
      </c>
      <c r="B103" s="6" t="s">
        <v>9103</v>
      </c>
      <c r="C103" s="6" t="s">
        <v>29</v>
      </c>
      <c r="D103" s="6">
        <v>79869.0</v>
      </c>
      <c r="E103" s="6" t="s">
        <v>19</v>
      </c>
      <c r="F103" s="6" t="s">
        <v>20</v>
      </c>
      <c r="G103" s="6" t="s">
        <v>21</v>
      </c>
      <c r="H103" s="7">
        <v>3185.0</v>
      </c>
      <c r="I103" s="7">
        <v>4105.0</v>
      </c>
      <c r="J103" s="6">
        <v>2014.0</v>
      </c>
      <c r="K103" s="6">
        <v>63.0</v>
      </c>
      <c r="L103" s="6" t="s">
        <v>22</v>
      </c>
      <c r="M103" s="6" t="s">
        <v>9104</v>
      </c>
      <c r="N103" s="6" t="s">
        <v>24</v>
      </c>
      <c r="O103" s="6" t="s">
        <v>49</v>
      </c>
      <c r="P103" s="6">
        <f>COUNTIF(Analysis!$M$1:$M$3001,Analysis!$M2267)</f>
        <v>1</v>
      </c>
      <c r="Q103" s="6" t="str">
        <f>IF(COUNTIF(Analysis!$M$2:$M$3001,Analysis!$M2267)&gt;1,"Duplicate","OK")</f>
        <v>OK</v>
      </c>
      <c r="R103" s="6" t="str">
        <f t="shared" si="1"/>
        <v>2600-3600</v>
      </c>
      <c r="S103" s="6">
        <f t="shared" si="2"/>
        <v>12</v>
      </c>
      <c r="T103" s="6" t="str">
        <f t="shared" si="3"/>
        <v>Mid</v>
      </c>
      <c r="Z103" s="54"/>
      <c r="AA103" s="54"/>
      <c r="BH103" s="14">
        <f>IFERROR(__xludf.DUMMYFUNCTION("""COMPUTED_VALUE"""),723940.0)</f>
        <v>723940</v>
      </c>
      <c r="BI103" s="60" t="str">
        <f>IFERROR(__xludf.DUMMYFUNCTION("""COMPUTED_VALUE"""),"5955 Elm St, Fresno, NY 34006")</f>
        <v>5955 Elm St, Fresno, NY 34006</v>
      </c>
      <c r="BJ103" s="60" t="str">
        <f>IFERROR(__xludf.DUMMYFUNCTION("""COMPUTED_VALUE"""),"Fresno")</f>
        <v>Fresno</v>
      </c>
      <c r="BK103" s="60">
        <f>IFERROR(__xludf.DUMMYFUNCTION("""COMPUTED_VALUE"""),34006.0)</f>
        <v>34006</v>
      </c>
      <c r="BL103" s="60" t="str">
        <f>IFERROR(__xludf.DUMMYFUNCTION("""COMPUTED_VALUE"""),"NY")</f>
        <v>NY</v>
      </c>
      <c r="BM103" s="60" t="str">
        <f>IFERROR(__xludf.DUMMYFUNCTION("""COMPUTED_VALUE"""),"2 bds")</f>
        <v>2 bds</v>
      </c>
      <c r="BN103" s="60" t="str">
        <f>IFERROR(__xludf.DUMMYFUNCTION("""COMPUTED_VALUE"""),"2 ba")</f>
        <v>2 ba</v>
      </c>
      <c r="BO103" s="60">
        <f>IFERROR(__xludf.DUMMYFUNCTION("""COMPUTED_VALUE"""),1417.0)</f>
        <v>1417</v>
      </c>
      <c r="BP103" s="60">
        <f>IFERROR(__xludf.DUMMYFUNCTION("""COMPUTED_VALUE"""),2272.0)</f>
        <v>2272</v>
      </c>
      <c r="BQ103" s="60">
        <f>IFERROR(__xludf.DUMMYFUNCTION("""COMPUTED_VALUE"""),1967.0)</f>
        <v>1967</v>
      </c>
      <c r="BR103" s="60">
        <f>IFERROR(__xludf.DUMMYFUNCTION("""COMPUTED_VALUE"""),16.0)</f>
        <v>16</v>
      </c>
      <c r="BS103" s="60" t="str">
        <f>IFERROR(__xludf.DUMMYFUNCTION("""COMPUTED_VALUE"""),"Townhouse")</f>
        <v>Townhouse</v>
      </c>
      <c r="BT103" s="60" t="str">
        <f>IFERROR(__xludf.DUMMYFUNCTION("""COMPUTED_VALUE"""),"Z451502")</f>
        <v>Z451502</v>
      </c>
      <c r="BU103" s="60" t="str">
        <f>IFERROR(__xludf.DUMMYFUNCTION("""COMPUTED_VALUE"""),"Alex Johnson - Compass")</f>
        <v>Alex Johnson - Compass</v>
      </c>
      <c r="BV103" s="60" t="str">
        <f>IFERROR(__xludf.DUMMYFUNCTION("""COMPUTED_VALUE"""),"Sold")</f>
        <v>Sold</v>
      </c>
      <c r="BW103" s="60">
        <f>IFERROR(__xludf.DUMMYFUNCTION("""COMPUTED_VALUE"""),1.0)</f>
        <v>1</v>
      </c>
      <c r="BX103" s="60" t="str">
        <f>IFERROR(__xludf.DUMMYFUNCTION("""COMPUTED_VALUE"""),"OK")</f>
        <v>OK</v>
      </c>
      <c r="BY103" s="1" t="str">
        <f>IFERROR(__xludf.DUMMYFUNCTION("""COMPUTED_VALUE"""),"600-1600")</f>
        <v>600-1600</v>
      </c>
      <c r="BZ103" s="1">
        <f>IFERROR(__xludf.DUMMYFUNCTION("""COMPUTED_VALUE"""),59.0)</f>
        <v>59</v>
      </c>
      <c r="CA103" s="1" t="str">
        <f>IFERROR(__xludf.DUMMYFUNCTION("""COMPUTED_VALUE"""),"Old")</f>
        <v>Old</v>
      </c>
    </row>
    <row r="104" ht="14.25" customHeight="1">
      <c r="A104" s="5">
        <v>833347.0</v>
      </c>
      <c r="B104" s="6" t="s">
        <v>457</v>
      </c>
      <c r="C104" s="6" t="s">
        <v>18</v>
      </c>
      <c r="D104" s="6">
        <v>87642.0</v>
      </c>
      <c r="E104" s="6" t="s">
        <v>40</v>
      </c>
      <c r="F104" s="6" t="s">
        <v>94</v>
      </c>
      <c r="G104" s="6" t="s">
        <v>100</v>
      </c>
      <c r="H104" s="7">
        <v>2669.0</v>
      </c>
      <c r="I104" s="7">
        <v>3606.0</v>
      </c>
      <c r="J104" s="6">
        <v>1958.0</v>
      </c>
      <c r="K104" s="6">
        <v>40.0</v>
      </c>
      <c r="L104" s="6" t="s">
        <v>62</v>
      </c>
      <c r="M104" s="6" t="s">
        <v>458</v>
      </c>
      <c r="N104" s="6" t="s">
        <v>64</v>
      </c>
      <c r="O104" s="6" t="s">
        <v>35</v>
      </c>
      <c r="P104" s="6">
        <f>COUNTIF(Analysis!$M$1:$M$3001,Analysis!$M104)</f>
        <v>1</v>
      </c>
      <c r="Q104" s="6" t="str">
        <f>IF(COUNTIF(Analysis!$M$2:$M$3001,Analysis!$M104)&gt;1,"Duplicate","OK")</f>
        <v>OK</v>
      </c>
      <c r="R104" s="6" t="str">
        <f t="shared" si="1"/>
        <v>2600-3600</v>
      </c>
      <c r="S104" s="6">
        <f t="shared" si="2"/>
        <v>68</v>
      </c>
      <c r="T104" s="6" t="str">
        <f t="shared" si="3"/>
        <v>Very Old</v>
      </c>
      <c r="Z104" s="54"/>
      <c r="AA104" s="54"/>
      <c r="BH104" s="14">
        <f>IFERROR(__xludf.DUMMYFUNCTION("""COMPUTED_VALUE"""),725022.0)</f>
        <v>725022</v>
      </c>
      <c r="BI104" s="60" t="str">
        <f>IFERROR(__xludf.DUMMYFUNCTION("""COMPUTED_VALUE"""),"5040 Maple Dr, Fresno, IL 69172")</f>
        <v>5040 Maple Dr, Fresno, IL 69172</v>
      </c>
      <c r="BJ104" s="60" t="str">
        <f>IFERROR(__xludf.DUMMYFUNCTION("""COMPUTED_VALUE"""),"Fresno")</f>
        <v>Fresno</v>
      </c>
      <c r="BK104" s="60">
        <f>IFERROR(__xludf.DUMMYFUNCTION("""COMPUTED_VALUE"""),69172.0)</f>
        <v>69172</v>
      </c>
      <c r="BL104" s="60" t="str">
        <f>IFERROR(__xludf.DUMMYFUNCTION("""COMPUTED_VALUE"""),"IL")</f>
        <v>IL</v>
      </c>
      <c r="BM104" s="60" t="str">
        <f>IFERROR(__xludf.DUMMYFUNCTION("""COMPUTED_VALUE"""),"3 bds")</f>
        <v>3 bds</v>
      </c>
      <c r="BN104" s="60" t="str">
        <f>IFERROR(__xludf.DUMMYFUNCTION("""COMPUTED_VALUE"""),"4 ba")</f>
        <v>4 ba</v>
      </c>
      <c r="BO104" s="60">
        <f>IFERROR(__xludf.DUMMYFUNCTION("""COMPUTED_VALUE"""),1751.0)</f>
        <v>1751</v>
      </c>
      <c r="BP104" s="60">
        <f>IFERROR(__xludf.DUMMYFUNCTION("""COMPUTED_VALUE"""),9808.0)</f>
        <v>9808</v>
      </c>
      <c r="BQ104" s="60">
        <f>IFERROR(__xludf.DUMMYFUNCTION("""COMPUTED_VALUE"""),2020.0)</f>
        <v>2020</v>
      </c>
      <c r="BR104" s="60">
        <f>IFERROR(__xludf.DUMMYFUNCTION("""COMPUTED_VALUE"""),39.0)</f>
        <v>39</v>
      </c>
      <c r="BS104" s="60" t="str">
        <f>IFERROR(__xludf.DUMMYFUNCTION("""COMPUTED_VALUE"""),"Townhouse")</f>
        <v>Townhouse</v>
      </c>
      <c r="BT104" s="60" t="str">
        <f>IFERROR(__xludf.DUMMYFUNCTION("""COMPUTED_VALUE"""),"Z891821")</f>
        <v>Z891821</v>
      </c>
      <c r="BU104" s="60" t="str">
        <f>IFERROR(__xludf.DUMMYFUNCTION("""COMPUTED_VALUE"""),"Alex Johnson - Compass")</f>
        <v>Alex Johnson - Compass</v>
      </c>
      <c r="BV104" s="60" t="str">
        <f>IFERROR(__xludf.DUMMYFUNCTION("""COMPUTED_VALUE"""),"Sold")</f>
        <v>Sold</v>
      </c>
      <c r="BW104" s="60">
        <f>IFERROR(__xludf.DUMMYFUNCTION("""COMPUTED_VALUE"""),1.0)</f>
        <v>1</v>
      </c>
      <c r="BX104" s="60" t="str">
        <f>IFERROR(__xludf.DUMMYFUNCTION("""COMPUTED_VALUE"""),"OK")</f>
        <v>OK</v>
      </c>
      <c r="BY104" s="1" t="str">
        <f>IFERROR(__xludf.DUMMYFUNCTION("""COMPUTED_VALUE"""),"1600-2600")</f>
        <v>1600-2600</v>
      </c>
      <c r="BZ104" s="1">
        <f>IFERROR(__xludf.DUMMYFUNCTION("""COMPUTED_VALUE"""),6.0)</f>
        <v>6</v>
      </c>
      <c r="CA104" s="1" t="str">
        <f>IFERROR(__xludf.DUMMYFUNCTION("""COMPUTED_VALUE"""),"New")</f>
        <v>New</v>
      </c>
    </row>
    <row r="105" ht="14.25" customHeight="1">
      <c r="A105" s="5">
        <v>1440759.0</v>
      </c>
      <c r="B105" s="6" t="s">
        <v>461</v>
      </c>
      <c r="C105" s="6" t="s">
        <v>18</v>
      </c>
      <c r="D105" s="6">
        <v>55033.0</v>
      </c>
      <c r="E105" s="6" t="s">
        <v>40</v>
      </c>
      <c r="F105" s="6" t="s">
        <v>61</v>
      </c>
      <c r="G105" s="6" t="s">
        <v>21</v>
      </c>
      <c r="H105" s="7">
        <v>1012.0</v>
      </c>
      <c r="I105" s="7">
        <v>6279.0</v>
      </c>
      <c r="J105" s="6">
        <v>1954.0</v>
      </c>
      <c r="K105" s="6">
        <v>94.0</v>
      </c>
      <c r="L105" s="6" t="s">
        <v>95</v>
      </c>
      <c r="M105" s="6" t="s">
        <v>462</v>
      </c>
      <c r="N105" s="6" t="s">
        <v>24</v>
      </c>
      <c r="O105" s="6" t="s">
        <v>35</v>
      </c>
      <c r="P105" s="6">
        <f>COUNTIF(Analysis!$M$1:$M$3001,Analysis!$M105)</f>
        <v>1</v>
      </c>
      <c r="Q105" s="6" t="str">
        <f>IF(COUNTIF(Analysis!$M$2:$M$3001,Analysis!$M105)&gt;1,"Duplicate","OK")</f>
        <v>OK</v>
      </c>
      <c r="R105" s="6" t="str">
        <f t="shared" si="1"/>
        <v>600-1600</v>
      </c>
      <c r="S105" s="6">
        <f t="shared" si="2"/>
        <v>72</v>
      </c>
      <c r="T105" s="6" t="str">
        <f t="shared" si="3"/>
        <v>Very Old</v>
      </c>
      <c r="Z105" s="54"/>
      <c r="AA105" s="54"/>
      <c r="BH105" s="14">
        <f>IFERROR(__xludf.DUMMYFUNCTION("""COMPUTED_VALUE"""),1126603.0)</f>
        <v>1126603</v>
      </c>
      <c r="BI105" s="60" t="str">
        <f>IFERROR(__xludf.DUMMYFUNCTION("""COMPUTED_VALUE"""),"823 Main St, Los Angeles, TX 73560")</f>
        <v>823 Main St, Los Angeles, TX 73560</v>
      </c>
      <c r="BJ105" s="60" t="str">
        <f>IFERROR(__xludf.DUMMYFUNCTION("""COMPUTED_VALUE"""),"Los Angeles")</f>
        <v>Los Angeles</v>
      </c>
      <c r="BK105" s="60">
        <f>IFERROR(__xludf.DUMMYFUNCTION("""COMPUTED_VALUE"""),73560.0)</f>
        <v>73560</v>
      </c>
      <c r="BL105" s="60" t="str">
        <f>IFERROR(__xludf.DUMMYFUNCTION("""COMPUTED_VALUE"""),"TX")</f>
        <v>TX</v>
      </c>
      <c r="BM105" s="60" t="str">
        <f>IFERROR(__xludf.DUMMYFUNCTION("""COMPUTED_VALUE"""),"5 bds")</f>
        <v>5 bds</v>
      </c>
      <c r="BN105" s="60" t="str">
        <f>IFERROR(__xludf.DUMMYFUNCTION("""COMPUTED_VALUE"""),"4 ba")</f>
        <v>4 ba</v>
      </c>
      <c r="BO105" s="60">
        <f>IFERROR(__xludf.DUMMYFUNCTION("""COMPUTED_VALUE"""),2289.0)</f>
        <v>2289</v>
      </c>
      <c r="BP105" s="60">
        <f>IFERROR(__xludf.DUMMYFUNCTION("""COMPUTED_VALUE"""),2793.0)</f>
        <v>2793</v>
      </c>
      <c r="BQ105" s="60">
        <f>IFERROR(__xludf.DUMMYFUNCTION("""COMPUTED_VALUE"""),1957.0)</f>
        <v>1957</v>
      </c>
      <c r="BR105" s="60">
        <f>IFERROR(__xludf.DUMMYFUNCTION("""COMPUTED_VALUE"""),22.0)</f>
        <v>22</v>
      </c>
      <c r="BS105" s="60" t="str">
        <f>IFERROR(__xludf.DUMMYFUNCTION("""COMPUTED_VALUE"""),"Apartment")</f>
        <v>Apartment</v>
      </c>
      <c r="BT105" s="60" t="str">
        <f>IFERROR(__xludf.DUMMYFUNCTION("""COMPUTED_VALUE"""),"Z731413")</f>
        <v>Z731413</v>
      </c>
      <c r="BU105" s="60" t="str">
        <f>IFERROR(__xludf.DUMMYFUNCTION("""COMPUTED_VALUE"""),"Alex Johnson - Compass")</f>
        <v>Alex Johnson - Compass</v>
      </c>
      <c r="BV105" s="60" t="str">
        <f>IFERROR(__xludf.DUMMYFUNCTION("""COMPUTED_VALUE"""),"Sold")</f>
        <v>Sold</v>
      </c>
      <c r="BW105" s="60">
        <f>IFERROR(__xludf.DUMMYFUNCTION("""COMPUTED_VALUE"""),1.0)</f>
        <v>1</v>
      </c>
      <c r="BX105" s="60" t="str">
        <f>IFERROR(__xludf.DUMMYFUNCTION("""COMPUTED_VALUE"""),"OK")</f>
        <v>OK</v>
      </c>
      <c r="BY105" s="1" t="str">
        <f>IFERROR(__xludf.DUMMYFUNCTION("""COMPUTED_VALUE"""),"1600-2600")</f>
        <v>1600-2600</v>
      </c>
      <c r="BZ105" s="1">
        <f>IFERROR(__xludf.DUMMYFUNCTION("""COMPUTED_VALUE"""),69.0)</f>
        <v>69</v>
      </c>
      <c r="CA105" s="1" t="str">
        <f>IFERROR(__xludf.DUMMYFUNCTION("""COMPUTED_VALUE"""),"Very Old")</f>
        <v>Very Old</v>
      </c>
    </row>
    <row r="106" ht="14.25" customHeight="1">
      <c r="A106" s="5">
        <v>1100894.0</v>
      </c>
      <c r="B106" s="6" t="s">
        <v>465</v>
      </c>
      <c r="C106" s="6" t="s">
        <v>18</v>
      </c>
      <c r="D106" s="6">
        <v>59136.0</v>
      </c>
      <c r="E106" s="6" t="s">
        <v>60</v>
      </c>
      <c r="F106" s="6" t="s">
        <v>41</v>
      </c>
      <c r="G106" s="6" t="s">
        <v>100</v>
      </c>
      <c r="H106" s="7">
        <v>1741.0</v>
      </c>
      <c r="I106" s="7">
        <v>5632.0</v>
      </c>
      <c r="J106" s="6">
        <v>1970.0</v>
      </c>
      <c r="K106" s="6">
        <v>86.0</v>
      </c>
      <c r="L106" s="6" t="s">
        <v>32</v>
      </c>
      <c r="M106" s="6" t="s">
        <v>466</v>
      </c>
      <c r="N106" s="6" t="s">
        <v>34</v>
      </c>
      <c r="O106" s="6" t="s">
        <v>49</v>
      </c>
      <c r="P106" s="6">
        <f>COUNTIF(Analysis!$M$1:$M$3001,Analysis!$M106)</f>
        <v>1</v>
      </c>
      <c r="Q106" s="6" t="str">
        <f>IF(COUNTIF(Analysis!$M$2:$M$3001,Analysis!$M106)&gt;1,"Duplicate","OK")</f>
        <v>OK</v>
      </c>
      <c r="R106" s="6" t="str">
        <f t="shared" si="1"/>
        <v>1600-2600</v>
      </c>
      <c r="S106" s="6">
        <f t="shared" si="2"/>
        <v>56</v>
      </c>
      <c r="T106" s="6" t="str">
        <f t="shared" si="3"/>
        <v>Old</v>
      </c>
      <c r="Z106" s="54"/>
      <c r="AA106" s="54"/>
      <c r="BH106" s="14">
        <f>IFERROR(__xludf.DUMMYFUNCTION("""COMPUTED_VALUE"""),1218168.0)</f>
        <v>1218168</v>
      </c>
      <c r="BI106" s="60" t="str">
        <f>IFERROR(__xludf.DUMMYFUNCTION("""COMPUTED_VALUE"""),"5615 Pine Rd, San Francisco, IL 13587")</f>
        <v>5615 Pine Rd, San Francisco, IL 13587</v>
      </c>
      <c r="BJ106" s="60" t="str">
        <f>IFERROR(__xludf.DUMMYFUNCTION("""COMPUTED_VALUE"""),"San Francisco")</f>
        <v>San Francisco</v>
      </c>
      <c r="BK106" s="60">
        <f>IFERROR(__xludf.DUMMYFUNCTION("""COMPUTED_VALUE"""),13587.0)</f>
        <v>13587</v>
      </c>
      <c r="BL106" s="60" t="str">
        <f>IFERROR(__xludf.DUMMYFUNCTION("""COMPUTED_VALUE"""),"IL")</f>
        <v>IL</v>
      </c>
      <c r="BM106" s="60" t="str">
        <f>IFERROR(__xludf.DUMMYFUNCTION("""COMPUTED_VALUE"""),"3 bds")</f>
        <v>3 bds</v>
      </c>
      <c r="BN106" s="60" t="str">
        <f>IFERROR(__xludf.DUMMYFUNCTION("""COMPUTED_VALUE"""),"2 ba")</f>
        <v>2 ba</v>
      </c>
      <c r="BO106" s="60">
        <f>IFERROR(__xludf.DUMMYFUNCTION("""COMPUTED_VALUE"""),2764.0)</f>
        <v>2764</v>
      </c>
      <c r="BP106" s="60">
        <f>IFERROR(__xludf.DUMMYFUNCTION("""COMPUTED_VALUE"""),6951.0)</f>
        <v>6951</v>
      </c>
      <c r="BQ106" s="60">
        <f>IFERROR(__xludf.DUMMYFUNCTION("""COMPUTED_VALUE"""),2013.0)</f>
        <v>2013</v>
      </c>
      <c r="BR106" s="60">
        <f>IFERROR(__xludf.DUMMYFUNCTION("""COMPUTED_VALUE"""),20.0)</f>
        <v>20</v>
      </c>
      <c r="BS106" s="60" t="str">
        <f>IFERROR(__xludf.DUMMYFUNCTION("""COMPUTED_VALUE"""),"Townhouse")</f>
        <v>Townhouse</v>
      </c>
      <c r="BT106" s="60" t="str">
        <f>IFERROR(__xludf.DUMMYFUNCTION("""COMPUTED_VALUE"""),"Z828912")</f>
        <v>Z828912</v>
      </c>
      <c r="BU106" s="60" t="str">
        <f>IFERROR(__xludf.DUMMYFUNCTION("""COMPUTED_VALUE"""),"Alex Johnson - Compass")</f>
        <v>Alex Johnson - Compass</v>
      </c>
      <c r="BV106" s="60" t="str">
        <f>IFERROR(__xludf.DUMMYFUNCTION("""COMPUTED_VALUE"""),"Sold")</f>
        <v>Sold</v>
      </c>
      <c r="BW106" s="60">
        <f>IFERROR(__xludf.DUMMYFUNCTION("""COMPUTED_VALUE"""),1.0)</f>
        <v>1</v>
      </c>
      <c r="BX106" s="60" t="str">
        <f>IFERROR(__xludf.DUMMYFUNCTION("""COMPUTED_VALUE"""),"OK")</f>
        <v>OK</v>
      </c>
      <c r="BY106" s="1" t="str">
        <f>IFERROR(__xludf.DUMMYFUNCTION("""COMPUTED_VALUE"""),"2600-3600")</f>
        <v>2600-3600</v>
      </c>
      <c r="BZ106" s="1">
        <f>IFERROR(__xludf.DUMMYFUNCTION("""COMPUTED_VALUE"""),13.0)</f>
        <v>13</v>
      </c>
      <c r="CA106" s="1" t="str">
        <f>IFERROR(__xludf.DUMMYFUNCTION("""COMPUTED_VALUE"""),"Mid")</f>
        <v>Mid</v>
      </c>
    </row>
    <row r="107" ht="14.25" customHeight="1">
      <c r="A107" s="5">
        <v>671356.0</v>
      </c>
      <c r="B107" s="6" t="s">
        <v>469</v>
      </c>
      <c r="C107" s="6" t="s">
        <v>76</v>
      </c>
      <c r="D107" s="6">
        <v>80680.0</v>
      </c>
      <c r="E107" s="6" t="s">
        <v>30</v>
      </c>
      <c r="F107" s="6" t="s">
        <v>61</v>
      </c>
      <c r="G107" s="6" t="s">
        <v>100</v>
      </c>
      <c r="H107" s="7">
        <v>734.0</v>
      </c>
      <c r="I107" s="7">
        <v>1972.0</v>
      </c>
      <c r="J107" s="6">
        <v>2006.0</v>
      </c>
      <c r="K107" s="6">
        <v>1.0</v>
      </c>
      <c r="L107" s="6" t="s">
        <v>62</v>
      </c>
      <c r="M107" s="6" t="s">
        <v>470</v>
      </c>
      <c r="N107" s="6" t="s">
        <v>24</v>
      </c>
      <c r="O107" s="6" t="s">
        <v>49</v>
      </c>
      <c r="P107" s="6">
        <f>COUNTIF(Analysis!$M$1:$M$3001,Analysis!$M107)</f>
        <v>1</v>
      </c>
      <c r="Q107" s="6" t="str">
        <f>IF(COUNTIF(Analysis!$M$2:$M$3001,Analysis!$M107)&gt;1,"Duplicate","OK")</f>
        <v>OK</v>
      </c>
      <c r="R107" s="6" t="str">
        <f t="shared" si="1"/>
        <v>600-1600</v>
      </c>
      <c r="S107" s="6">
        <f t="shared" si="2"/>
        <v>20</v>
      </c>
      <c r="T107" s="6" t="str">
        <f t="shared" si="3"/>
        <v>Mid</v>
      </c>
      <c r="Z107" s="54"/>
      <c r="AA107" s="54"/>
      <c r="BH107" s="14">
        <f>IFERROR(__xludf.DUMMYFUNCTION("""COMPUTED_VALUE"""),171171.0)</f>
        <v>171171</v>
      </c>
      <c r="BI107" s="60" t="str">
        <f>IFERROR(__xludf.DUMMYFUNCTION("""COMPUTED_VALUE"""),"8468 Oak Ave, Sacramento, TX 71653")</f>
        <v>8468 Oak Ave, Sacramento, TX 71653</v>
      </c>
      <c r="BJ107" s="60" t="str">
        <f>IFERROR(__xludf.DUMMYFUNCTION("""COMPUTED_VALUE"""),"Sacramento")</f>
        <v>Sacramento</v>
      </c>
      <c r="BK107" s="60">
        <f>IFERROR(__xludf.DUMMYFUNCTION("""COMPUTED_VALUE"""),71653.0)</f>
        <v>71653</v>
      </c>
      <c r="BL107" s="60" t="str">
        <f>IFERROR(__xludf.DUMMYFUNCTION("""COMPUTED_VALUE"""),"TX")</f>
        <v>TX</v>
      </c>
      <c r="BM107" s="60" t="str">
        <f>IFERROR(__xludf.DUMMYFUNCTION("""COMPUTED_VALUE"""),"3 bds")</f>
        <v>3 bds</v>
      </c>
      <c r="BN107" s="60" t="str">
        <f>IFERROR(__xludf.DUMMYFUNCTION("""COMPUTED_VALUE"""),"2 ba")</f>
        <v>2 ba</v>
      </c>
      <c r="BO107" s="60">
        <f>IFERROR(__xludf.DUMMYFUNCTION("""COMPUTED_VALUE"""),1859.0)</f>
        <v>1859</v>
      </c>
      <c r="BP107" s="60">
        <f>IFERROR(__xludf.DUMMYFUNCTION("""COMPUTED_VALUE"""),3075.0)</f>
        <v>3075</v>
      </c>
      <c r="BQ107" s="60">
        <f>IFERROR(__xludf.DUMMYFUNCTION("""COMPUTED_VALUE"""),1988.0)</f>
        <v>1988</v>
      </c>
      <c r="BR107" s="60">
        <f>IFERROR(__xludf.DUMMYFUNCTION("""COMPUTED_VALUE"""),104.0)</f>
        <v>104</v>
      </c>
      <c r="BS107" s="60" t="str">
        <f>IFERROR(__xludf.DUMMYFUNCTION("""COMPUTED_VALUE"""),"Apartment")</f>
        <v>Apartment</v>
      </c>
      <c r="BT107" s="60" t="str">
        <f>IFERROR(__xludf.DUMMYFUNCTION("""COMPUTED_VALUE"""),"Z751369")</f>
        <v>Z751369</v>
      </c>
      <c r="BU107" s="60" t="str">
        <f>IFERROR(__xludf.DUMMYFUNCTION("""COMPUTED_VALUE"""),"Alex Johnson - Compass")</f>
        <v>Alex Johnson - Compass</v>
      </c>
      <c r="BV107" s="60" t="str">
        <f>IFERROR(__xludf.DUMMYFUNCTION("""COMPUTED_VALUE"""),"Sold")</f>
        <v>Sold</v>
      </c>
      <c r="BW107" s="60">
        <f>IFERROR(__xludf.DUMMYFUNCTION("""COMPUTED_VALUE"""),1.0)</f>
        <v>1</v>
      </c>
      <c r="BX107" s="60" t="str">
        <f>IFERROR(__xludf.DUMMYFUNCTION("""COMPUTED_VALUE"""),"OK")</f>
        <v>OK</v>
      </c>
      <c r="BY107" s="1" t="str">
        <f>IFERROR(__xludf.DUMMYFUNCTION("""COMPUTED_VALUE"""),"1600-2600")</f>
        <v>1600-2600</v>
      </c>
      <c r="BZ107" s="1">
        <f>IFERROR(__xludf.DUMMYFUNCTION("""COMPUTED_VALUE"""),38.0)</f>
        <v>38</v>
      </c>
      <c r="CA107" s="1" t="str">
        <f>IFERROR(__xludf.DUMMYFUNCTION("""COMPUTED_VALUE"""),"Old")</f>
        <v>Old</v>
      </c>
    </row>
    <row r="108" ht="14.25" customHeight="1">
      <c r="A108" s="5">
        <v>1194026.0</v>
      </c>
      <c r="B108" s="6" t="s">
        <v>473</v>
      </c>
      <c r="C108" s="6" t="s">
        <v>53</v>
      </c>
      <c r="D108" s="6">
        <v>55266.0</v>
      </c>
      <c r="E108" s="6" t="s">
        <v>30</v>
      </c>
      <c r="F108" s="6" t="s">
        <v>94</v>
      </c>
      <c r="G108" s="6" t="s">
        <v>55</v>
      </c>
      <c r="H108" s="7">
        <v>3407.0</v>
      </c>
      <c r="I108" s="7">
        <v>3199.0</v>
      </c>
      <c r="J108" s="6">
        <v>2009.0</v>
      </c>
      <c r="K108" s="6">
        <v>96.0</v>
      </c>
      <c r="L108" s="6" t="s">
        <v>32</v>
      </c>
      <c r="M108" s="6" t="s">
        <v>474</v>
      </c>
      <c r="N108" s="6" t="s">
        <v>64</v>
      </c>
      <c r="O108" s="6" t="s">
        <v>25</v>
      </c>
      <c r="P108" s="6">
        <f>COUNTIF(Analysis!$M$1:$M$3001,Analysis!$M108)</f>
        <v>1</v>
      </c>
      <c r="Q108" s="6" t="str">
        <f>IF(COUNTIF(Analysis!$M$2:$M$3001,Analysis!$M108)&gt;1,"Duplicate","OK")</f>
        <v>OK</v>
      </c>
      <c r="R108" s="6" t="str">
        <f t="shared" si="1"/>
        <v>2600-3600</v>
      </c>
      <c r="S108" s="6">
        <f t="shared" si="2"/>
        <v>17</v>
      </c>
      <c r="T108" s="6" t="str">
        <f t="shared" si="3"/>
        <v>Mid</v>
      </c>
      <c r="Z108" s="54"/>
      <c r="AA108" s="54"/>
      <c r="BH108" s="14">
        <f>IFERROR(__xludf.DUMMYFUNCTION("""COMPUTED_VALUE"""),1103146.0)</f>
        <v>1103146</v>
      </c>
      <c r="BI108" s="60" t="str">
        <f>IFERROR(__xludf.DUMMYFUNCTION("""COMPUTED_VALUE"""),"3092 Elm St, San Diego, FL 14744")</f>
        <v>3092 Elm St, San Diego, FL 14744</v>
      </c>
      <c r="BJ108" s="60" t="str">
        <f>IFERROR(__xludf.DUMMYFUNCTION("""COMPUTED_VALUE"""),"San Diego")</f>
        <v>San Diego</v>
      </c>
      <c r="BK108" s="60">
        <f>IFERROR(__xludf.DUMMYFUNCTION("""COMPUTED_VALUE"""),14744.0)</f>
        <v>14744</v>
      </c>
      <c r="BL108" s="60" t="str">
        <f>IFERROR(__xludf.DUMMYFUNCTION("""COMPUTED_VALUE"""),"FL")</f>
        <v>FL</v>
      </c>
      <c r="BM108" s="60" t="str">
        <f>IFERROR(__xludf.DUMMYFUNCTION("""COMPUTED_VALUE"""),"5 bds")</f>
        <v>5 bds</v>
      </c>
      <c r="BN108" s="60" t="str">
        <f>IFERROR(__xludf.DUMMYFUNCTION("""COMPUTED_VALUE"""),"3 ba")</f>
        <v>3 ba</v>
      </c>
      <c r="BO108" s="60">
        <f>IFERROR(__xludf.DUMMYFUNCTION("""COMPUTED_VALUE"""),1589.0)</f>
        <v>1589</v>
      </c>
      <c r="BP108" s="60">
        <f>IFERROR(__xludf.DUMMYFUNCTION("""COMPUTED_VALUE"""),6894.0)</f>
        <v>6894</v>
      </c>
      <c r="BQ108" s="60">
        <f>IFERROR(__xludf.DUMMYFUNCTION("""COMPUTED_VALUE"""),2019.0)</f>
        <v>2019</v>
      </c>
      <c r="BR108" s="60">
        <f>IFERROR(__xludf.DUMMYFUNCTION("""COMPUTED_VALUE"""),50.0)</f>
        <v>50</v>
      </c>
      <c r="BS108" s="60" t="str">
        <f>IFERROR(__xludf.DUMMYFUNCTION("""COMPUTED_VALUE"""),"Townhouse")</f>
        <v>Townhouse</v>
      </c>
      <c r="BT108" s="60" t="str">
        <f>IFERROR(__xludf.DUMMYFUNCTION("""COMPUTED_VALUE"""),"Z322347")</f>
        <v>Z322347</v>
      </c>
      <c r="BU108" s="60" t="str">
        <f>IFERROR(__xludf.DUMMYFUNCTION("""COMPUTED_VALUE"""),"Alex Johnson - Compass")</f>
        <v>Alex Johnson - Compass</v>
      </c>
      <c r="BV108" s="60" t="str">
        <f>IFERROR(__xludf.DUMMYFUNCTION("""COMPUTED_VALUE"""),"Sold")</f>
        <v>Sold</v>
      </c>
      <c r="BW108" s="60">
        <f>IFERROR(__xludf.DUMMYFUNCTION("""COMPUTED_VALUE"""),1.0)</f>
        <v>1</v>
      </c>
      <c r="BX108" s="60" t="str">
        <f>IFERROR(__xludf.DUMMYFUNCTION("""COMPUTED_VALUE"""),"OK")</f>
        <v>OK</v>
      </c>
      <c r="BY108" s="1" t="str">
        <f>IFERROR(__xludf.DUMMYFUNCTION("""COMPUTED_VALUE"""),"600-1600")</f>
        <v>600-1600</v>
      </c>
      <c r="BZ108" s="1">
        <f>IFERROR(__xludf.DUMMYFUNCTION("""COMPUTED_VALUE"""),7.0)</f>
        <v>7</v>
      </c>
      <c r="CA108" s="1" t="str">
        <f>IFERROR(__xludf.DUMMYFUNCTION("""COMPUTED_VALUE"""),"New")</f>
        <v>New</v>
      </c>
    </row>
    <row r="109" ht="14.25" customHeight="1">
      <c r="A109" s="5">
        <v>258887.0</v>
      </c>
      <c r="B109" s="6" t="s">
        <v>477</v>
      </c>
      <c r="C109" s="6" t="s">
        <v>53</v>
      </c>
      <c r="D109" s="6">
        <v>85581.0</v>
      </c>
      <c r="E109" s="6" t="s">
        <v>30</v>
      </c>
      <c r="F109" s="6" t="s">
        <v>61</v>
      </c>
      <c r="G109" s="6" t="s">
        <v>21</v>
      </c>
      <c r="H109" s="7">
        <v>1232.0</v>
      </c>
      <c r="I109" s="7">
        <v>3758.0</v>
      </c>
      <c r="J109" s="6">
        <v>1976.0</v>
      </c>
      <c r="K109" s="6">
        <v>57.0</v>
      </c>
      <c r="L109" s="6" t="s">
        <v>95</v>
      </c>
      <c r="M109" s="6" t="s">
        <v>478</v>
      </c>
      <c r="N109" s="6" t="s">
        <v>43</v>
      </c>
      <c r="O109" s="6" t="s">
        <v>49</v>
      </c>
      <c r="P109" s="6">
        <f>COUNTIF(Analysis!$M$1:$M$3001,Analysis!$M109)</f>
        <v>1</v>
      </c>
      <c r="Q109" s="6" t="str">
        <f>IF(COUNTIF(Analysis!$M$2:$M$3001,Analysis!$M109)&gt;1,"Duplicate","OK")</f>
        <v>OK</v>
      </c>
      <c r="R109" s="6" t="str">
        <f t="shared" si="1"/>
        <v>600-1600</v>
      </c>
      <c r="S109" s="6">
        <f t="shared" si="2"/>
        <v>50</v>
      </c>
      <c r="T109" s="6" t="str">
        <f t="shared" si="3"/>
        <v>Old</v>
      </c>
      <c r="Z109" s="54"/>
      <c r="AA109" s="54"/>
      <c r="BH109" s="14">
        <f>IFERROR(__xludf.DUMMYFUNCTION("""COMPUTED_VALUE"""),1169326.0)</f>
        <v>1169326</v>
      </c>
      <c r="BI109" s="60" t="str">
        <f>IFERROR(__xludf.DUMMYFUNCTION("""COMPUTED_VALUE"""),"2042 Pine Rd, Los Angeles, NY 25727")</f>
        <v>2042 Pine Rd, Los Angeles, NY 25727</v>
      </c>
      <c r="BJ109" s="60" t="str">
        <f>IFERROR(__xludf.DUMMYFUNCTION("""COMPUTED_VALUE"""),"Los Angeles")</f>
        <v>Los Angeles</v>
      </c>
      <c r="BK109" s="60">
        <f>IFERROR(__xludf.DUMMYFUNCTION("""COMPUTED_VALUE"""),25727.0)</f>
        <v>25727</v>
      </c>
      <c r="BL109" s="60" t="str">
        <f>IFERROR(__xludf.DUMMYFUNCTION("""COMPUTED_VALUE"""),"NY")</f>
        <v>NY</v>
      </c>
      <c r="BM109" s="60" t="str">
        <f>IFERROR(__xludf.DUMMYFUNCTION("""COMPUTED_VALUE"""),"1 bds")</f>
        <v>1 bds</v>
      </c>
      <c r="BN109" s="60" t="str">
        <f>IFERROR(__xludf.DUMMYFUNCTION("""COMPUTED_VALUE"""),"4 ba")</f>
        <v>4 ba</v>
      </c>
      <c r="BO109" s="60">
        <f>IFERROR(__xludf.DUMMYFUNCTION("""COMPUTED_VALUE"""),1110.0)</f>
        <v>1110</v>
      </c>
      <c r="BP109" s="60">
        <f>IFERROR(__xludf.DUMMYFUNCTION("""COMPUTED_VALUE"""),9592.0)</f>
        <v>9592</v>
      </c>
      <c r="BQ109" s="60">
        <f>IFERROR(__xludf.DUMMYFUNCTION("""COMPUTED_VALUE"""),1982.0)</f>
        <v>1982</v>
      </c>
      <c r="BR109" s="60">
        <f>IFERROR(__xludf.DUMMYFUNCTION("""COMPUTED_VALUE"""),78.0)</f>
        <v>78</v>
      </c>
      <c r="BS109" s="60" t="str">
        <f>IFERROR(__xludf.DUMMYFUNCTION("""COMPUTED_VALUE"""),"Condo")</f>
        <v>Condo</v>
      </c>
      <c r="BT109" s="60" t="str">
        <f>IFERROR(__xludf.DUMMYFUNCTION("""COMPUTED_VALUE"""),"Z683332")</f>
        <v>Z683332</v>
      </c>
      <c r="BU109" s="60" t="str">
        <f>IFERROR(__xludf.DUMMYFUNCTION("""COMPUTED_VALUE"""),"Alex Johnson - Compass")</f>
        <v>Alex Johnson - Compass</v>
      </c>
      <c r="BV109" s="60" t="str">
        <f>IFERROR(__xludf.DUMMYFUNCTION("""COMPUTED_VALUE"""),"Sold")</f>
        <v>Sold</v>
      </c>
      <c r="BW109" s="60">
        <f>IFERROR(__xludf.DUMMYFUNCTION("""COMPUTED_VALUE"""),1.0)</f>
        <v>1</v>
      </c>
      <c r="BX109" s="60" t="str">
        <f>IFERROR(__xludf.DUMMYFUNCTION("""COMPUTED_VALUE"""),"OK")</f>
        <v>OK</v>
      </c>
      <c r="BY109" s="1" t="str">
        <f>IFERROR(__xludf.DUMMYFUNCTION("""COMPUTED_VALUE"""),"600-1600")</f>
        <v>600-1600</v>
      </c>
      <c r="BZ109" s="1">
        <f>IFERROR(__xludf.DUMMYFUNCTION("""COMPUTED_VALUE"""),44.0)</f>
        <v>44</v>
      </c>
      <c r="CA109" s="1" t="str">
        <f>IFERROR(__xludf.DUMMYFUNCTION("""COMPUTED_VALUE"""),"Old")</f>
        <v>Old</v>
      </c>
    </row>
    <row r="110" ht="14.25" customHeight="1">
      <c r="A110" s="5">
        <v>204548.0</v>
      </c>
      <c r="B110" s="6" t="s">
        <v>481</v>
      </c>
      <c r="C110" s="6" t="s">
        <v>76</v>
      </c>
      <c r="D110" s="6">
        <v>35785.0</v>
      </c>
      <c r="E110" s="6" t="s">
        <v>60</v>
      </c>
      <c r="F110" s="6" t="s">
        <v>54</v>
      </c>
      <c r="G110" s="6" t="s">
        <v>100</v>
      </c>
      <c r="H110" s="7">
        <v>2665.0</v>
      </c>
      <c r="I110" s="7">
        <v>4095.0</v>
      </c>
      <c r="J110" s="6">
        <v>2020.0</v>
      </c>
      <c r="K110" s="6">
        <v>61.0</v>
      </c>
      <c r="L110" s="6" t="s">
        <v>32</v>
      </c>
      <c r="M110" s="6" t="s">
        <v>482</v>
      </c>
      <c r="N110" s="6" t="s">
        <v>24</v>
      </c>
      <c r="O110" s="6" t="s">
        <v>25</v>
      </c>
      <c r="P110" s="6">
        <f>COUNTIF(Analysis!$M$1:$M$3001,Analysis!$M110)</f>
        <v>1</v>
      </c>
      <c r="Q110" s="6" t="str">
        <f>IF(COUNTIF(Analysis!$M$2:$M$3001,Analysis!$M110)&gt;1,"Duplicate","OK")</f>
        <v>OK</v>
      </c>
      <c r="R110" s="6" t="str">
        <f t="shared" si="1"/>
        <v>2600-3600</v>
      </c>
      <c r="S110" s="6">
        <f t="shared" si="2"/>
        <v>6</v>
      </c>
      <c r="T110" s="6" t="str">
        <f t="shared" si="3"/>
        <v>New</v>
      </c>
      <c r="Z110" s="54"/>
      <c r="AA110" s="54"/>
      <c r="BH110" s="14">
        <f>IFERROR(__xludf.DUMMYFUNCTION("""COMPUTED_VALUE"""),746966.0)</f>
        <v>746966</v>
      </c>
      <c r="BI110" s="60" t="str">
        <f>IFERROR(__xludf.DUMMYFUNCTION("""COMPUTED_VALUE"""),"4548 Elm St, Fresno, TX 33519")</f>
        <v>4548 Elm St, Fresno, TX 33519</v>
      </c>
      <c r="BJ110" s="60" t="str">
        <f>IFERROR(__xludf.DUMMYFUNCTION("""COMPUTED_VALUE"""),"Fresno")</f>
        <v>Fresno</v>
      </c>
      <c r="BK110" s="60">
        <f>IFERROR(__xludf.DUMMYFUNCTION("""COMPUTED_VALUE"""),33519.0)</f>
        <v>33519</v>
      </c>
      <c r="BL110" s="60" t="str">
        <f>IFERROR(__xludf.DUMMYFUNCTION("""COMPUTED_VALUE"""),"TX")</f>
        <v>TX</v>
      </c>
      <c r="BM110" s="60" t="str">
        <f>IFERROR(__xludf.DUMMYFUNCTION("""COMPUTED_VALUE"""),"4 bds")</f>
        <v>4 bds</v>
      </c>
      <c r="BN110" s="60" t="str">
        <f>IFERROR(__xludf.DUMMYFUNCTION("""COMPUTED_VALUE"""),"2 ba")</f>
        <v>2 ba</v>
      </c>
      <c r="BO110" s="60">
        <f>IFERROR(__xludf.DUMMYFUNCTION("""COMPUTED_VALUE"""),1714.0)</f>
        <v>1714</v>
      </c>
      <c r="BP110" s="60">
        <f>IFERROR(__xludf.DUMMYFUNCTION("""COMPUTED_VALUE"""),9446.0)</f>
        <v>9446</v>
      </c>
      <c r="BQ110" s="60">
        <f>IFERROR(__xludf.DUMMYFUNCTION("""COMPUTED_VALUE"""),2022.0)</f>
        <v>2022</v>
      </c>
      <c r="BR110" s="60">
        <f>IFERROR(__xludf.DUMMYFUNCTION("""COMPUTED_VALUE"""),102.0)</f>
        <v>102</v>
      </c>
      <c r="BS110" s="60" t="str">
        <f>IFERROR(__xludf.DUMMYFUNCTION("""COMPUTED_VALUE"""),"Condo")</f>
        <v>Condo</v>
      </c>
      <c r="BT110" s="60" t="str">
        <f>IFERROR(__xludf.DUMMYFUNCTION("""COMPUTED_VALUE"""),"Z429230")</f>
        <v>Z429230</v>
      </c>
      <c r="BU110" s="60" t="str">
        <f>IFERROR(__xludf.DUMMYFUNCTION("""COMPUTED_VALUE"""),"Alex Johnson - Compass")</f>
        <v>Alex Johnson - Compass</v>
      </c>
      <c r="BV110" s="60" t="str">
        <f>IFERROR(__xludf.DUMMYFUNCTION("""COMPUTED_VALUE"""),"Sold")</f>
        <v>Sold</v>
      </c>
      <c r="BW110" s="60">
        <f>IFERROR(__xludf.DUMMYFUNCTION("""COMPUTED_VALUE"""),1.0)</f>
        <v>1</v>
      </c>
      <c r="BX110" s="60" t="str">
        <f>IFERROR(__xludf.DUMMYFUNCTION("""COMPUTED_VALUE"""),"OK")</f>
        <v>OK</v>
      </c>
      <c r="BY110" s="1" t="str">
        <f>IFERROR(__xludf.DUMMYFUNCTION("""COMPUTED_VALUE"""),"1600-2600")</f>
        <v>1600-2600</v>
      </c>
      <c r="BZ110" s="1">
        <f>IFERROR(__xludf.DUMMYFUNCTION("""COMPUTED_VALUE"""),4.0)</f>
        <v>4</v>
      </c>
      <c r="CA110" s="1" t="str">
        <f>IFERROR(__xludf.DUMMYFUNCTION("""COMPUTED_VALUE"""),"New")</f>
        <v>New</v>
      </c>
    </row>
    <row r="111" ht="14.25" customHeight="1">
      <c r="A111" s="5">
        <v>142558.0</v>
      </c>
      <c r="B111" s="6" t="s">
        <v>1777</v>
      </c>
      <c r="C111" s="6" t="s">
        <v>29</v>
      </c>
      <c r="D111" s="6">
        <v>83599.0</v>
      </c>
      <c r="E111" s="6" t="s">
        <v>60</v>
      </c>
      <c r="F111" s="6" t="s">
        <v>61</v>
      </c>
      <c r="G111" s="6" t="s">
        <v>55</v>
      </c>
      <c r="H111" s="7">
        <v>3454.0</v>
      </c>
      <c r="I111" s="7">
        <v>1432.0</v>
      </c>
      <c r="J111" s="6">
        <v>1997.0</v>
      </c>
      <c r="K111" s="6">
        <v>35.0</v>
      </c>
      <c r="L111" s="6" t="s">
        <v>22</v>
      </c>
      <c r="M111" s="6" t="s">
        <v>1778</v>
      </c>
      <c r="N111" s="6" t="s">
        <v>48</v>
      </c>
      <c r="O111" s="6" t="s">
        <v>35</v>
      </c>
      <c r="P111" s="6">
        <f>COUNTIF(Analysis!$M$1:$M$3001,Analysis!$M434)</f>
        <v>1</v>
      </c>
      <c r="Q111" s="6" t="str">
        <f>IF(COUNTIF(Analysis!$M$2:$M$3001,Analysis!$M434)&gt;1,"Duplicate","OK")</f>
        <v>OK</v>
      </c>
      <c r="R111" s="6" t="str">
        <f t="shared" si="1"/>
        <v>2600-3600</v>
      </c>
      <c r="S111" s="6">
        <f t="shared" si="2"/>
        <v>29</v>
      </c>
      <c r="T111" s="6" t="str">
        <f t="shared" si="3"/>
        <v>Mid</v>
      </c>
      <c r="BH111" s="14">
        <f>IFERROR(__xludf.DUMMYFUNCTION("""COMPUTED_VALUE"""),662727.0)</f>
        <v>662727</v>
      </c>
      <c r="BI111" s="60" t="str">
        <f>IFERROR(__xludf.DUMMYFUNCTION("""COMPUTED_VALUE"""),"5976 Maple Dr, San Diego, FL 96555")</f>
        <v>5976 Maple Dr, San Diego, FL 96555</v>
      </c>
      <c r="BJ111" s="60" t="str">
        <f>IFERROR(__xludf.DUMMYFUNCTION("""COMPUTED_VALUE"""),"San Diego")</f>
        <v>San Diego</v>
      </c>
      <c r="BK111" s="60">
        <f>IFERROR(__xludf.DUMMYFUNCTION("""COMPUTED_VALUE"""),96555.0)</f>
        <v>96555</v>
      </c>
      <c r="BL111" s="60" t="str">
        <f>IFERROR(__xludf.DUMMYFUNCTION("""COMPUTED_VALUE"""),"FL")</f>
        <v>FL</v>
      </c>
      <c r="BM111" s="60" t="str">
        <f>IFERROR(__xludf.DUMMYFUNCTION("""COMPUTED_VALUE"""),"1 bds")</f>
        <v>1 bds</v>
      </c>
      <c r="BN111" s="60" t="str">
        <f>IFERROR(__xludf.DUMMYFUNCTION("""COMPUTED_VALUE"""),"1 ba")</f>
        <v>1 ba</v>
      </c>
      <c r="BO111" s="60">
        <f>IFERROR(__xludf.DUMMYFUNCTION("""COMPUTED_VALUE"""),3453.0)</f>
        <v>3453</v>
      </c>
      <c r="BP111" s="60">
        <f>IFERROR(__xludf.DUMMYFUNCTION("""COMPUTED_VALUE"""),2386.0)</f>
        <v>2386</v>
      </c>
      <c r="BQ111" s="60">
        <f>IFERROR(__xludf.DUMMYFUNCTION("""COMPUTED_VALUE"""),2005.0)</f>
        <v>2005</v>
      </c>
      <c r="BR111" s="60">
        <f>IFERROR(__xludf.DUMMYFUNCTION("""COMPUTED_VALUE"""),95.0)</f>
        <v>95</v>
      </c>
      <c r="BS111" s="60" t="str">
        <f>IFERROR(__xludf.DUMMYFUNCTION("""COMPUTED_VALUE"""),"Multi-Family")</f>
        <v>Multi-Family</v>
      </c>
      <c r="BT111" s="60" t="str">
        <f>IFERROR(__xludf.DUMMYFUNCTION("""COMPUTED_VALUE"""),"Z470162")</f>
        <v>Z470162</v>
      </c>
      <c r="BU111" s="60" t="str">
        <f>IFERROR(__xludf.DUMMYFUNCTION("""COMPUTED_VALUE"""),"Alex Johnson - Compass")</f>
        <v>Alex Johnson - Compass</v>
      </c>
      <c r="BV111" s="60" t="str">
        <f>IFERROR(__xludf.DUMMYFUNCTION("""COMPUTED_VALUE"""),"Sold")</f>
        <v>Sold</v>
      </c>
      <c r="BW111" s="60">
        <f>IFERROR(__xludf.DUMMYFUNCTION("""COMPUTED_VALUE"""),1.0)</f>
        <v>1</v>
      </c>
      <c r="BX111" s="60" t="str">
        <f>IFERROR(__xludf.DUMMYFUNCTION("""COMPUTED_VALUE"""),"OK")</f>
        <v>OK</v>
      </c>
      <c r="BY111" s="1" t="str">
        <f>IFERROR(__xludf.DUMMYFUNCTION("""COMPUTED_VALUE"""),"2600-3600")</f>
        <v>2600-3600</v>
      </c>
      <c r="BZ111" s="1">
        <f>IFERROR(__xludf.DUMMYFUNCTION("""COMPUTED_VALUE"""),21.0)</f>
        <v>21</v>
      </c>
      <c r="CA111" s="1" t="str">
        <f>IFERROR(__xludf.DUMMYFUNCTION("""COMPUTED_VALUE"""),"Mid")</f>
        <v>Mid</v>
      </c>
    </row>
    <row r="112" ht="14.25" customHeight="1">
      <c r="A112" s="5">
        <v>1009558.0</v>
      </c>
      <c r="B112" s="6" t="s">
        <v>489</v>
      </c>
      <c r="C112" s="6" t="s">
        <v>39</v>
      </c>
      <c r="D112" s="6">
        <v>86748.0</v>
      </c>
      <c r="E112" s="6" t="s">
        <v>60</v>
      </c>
      <c r="F112" s="6" t="s">
        <v>94</v>
      </c>
      <c r="G112" s="6" t="s">
        <v>55</v>
      </c>
      <c r="H112" s="7">
        <v>3944.0</v>
      </c>
      <c r="I112" s="7">
        <v>7637.0</v>
      </c>
      <c r="J112" s="6">
        <v>1983.0</v>
      </c>
      <c r="K112" s="6">
        <v>27.0</v>
      </c>
      <c r="L112" s="6" t="s">
        <v>22</v>
      </c>
      <c r="M112" s="6" t="s">
        <v>490</v>
      </c>
      <c r="N112" s="6" t="s">
        <v>48</v>
      </c>
      <c r="O112" s="6" t="s">
        <v>35</v>
      </c>
      <c r="P112" s="6">
        <f>COUNTIF(Analysis!$M$1:$M$3001,Analysis!$M112)</f>
        <v>1</v>
      </c>
      <c r="Q112" s="6" t="str">
        <f>IF(COUNTIF(Analysis!$M$2:$M$3001,Analysis!$M112)&gt;1,"Duplicate","OK")</f>
        <v>OK</v>
      </c>
      <c r="R112" s="6" t="str">
        <f t="shared" si="1"/>
        <v>3600+</v>
      </c>
      <c r="S112" s="6">
        <f t="shared" si="2"/>
        <v>43</v>
      </c>
      <c r="T112" s="6" t="str">
        <f t="shared" si="3"/>
        <v>Old</v>
      </c>
      <c r="BH112" s="14">
        <f>IFERROR(__xludf.DUMMYFUNCTION("""COMPUTED_VALUE"""),403326.0)</f>
        <v>403326</v>
      </c>
      <c r="BI112" s="60" t="str">
        <f>IFERROR(__xludf.DUMMYFUNCTION("""COMPUTED_VALUE"""),"9810 Oak Ave, Sacramento, CA 45299")</f>
        <v>9810 Oak Ave, Sacramento, CA 45299</v>
      </c>
      <c r="BJ112" s="60" t="str">
        <f>IFERROR(__xludf.DUMMYFUNCTION("""COMPUTED_VALUE"""),"Sacramento")</f>
        <v>Sacramento</v>
      </c>
      <c r="BK112" s="60">
        <f>IFERROR(__xludf.DUMMYFUNCTION("""COMPUTED_VALUE"""),45299.0)</f>
        <v>45299</v>
      </c>
      <c r="BL112" s="60" t="str">
        <f>IFERROR(__xludf.DUMMYFUNCTION("""COMPUTED_VALUE"""),"CA")</f>
        <v>CA</v>
      </c>
      <c r="BM112" s="60" t="str">
        <f>IFERROR(__xludf.DUMMYFUNCTION("""COMPUTED_VALUE"""),"5 bds")</f>
        <v>5 bds</v>
      </c>
      <c r="BN112" s="60" t="str">
        <f>IFERROR(__xludf.DUMMYFUNCTION("""COMPUTED_VALUE"""),"3 ba")</f>
        <v>3 ba</v>
      </c>
      <c r="BO112" s="60">
        <f>IFERROR(__xludf.DUMMYFUNCTION("""COMPUTED_VALUE"""),3987.0)</f>
        <v>3987</v>
      </c>
      <c r="BP112" s="60">
        <f>IFERROR(__xludf.DUMMYFUNCTION("""COMPUTED_VALUE"""),8329.0)</f>
        <v>8329</v>
      </c>
      <c r="BQ112" s="60">
        <f>IFERROR(__xludf.DUMMYFUNCTION("""COMPUTED_VALUE"""),2001.0)</f>
        <v>2001</v>
      </c>
      <c r="BR112" s="60">
        <f>IFERROR(__xludf.DUMMYFUNCTION("""COMPUTED_VALUE"""),112.0)</f>
        <v>112</v>
      </c>
      <c r="BS112" s="60" t="str">
        <f>IFERROR(__xludf.DUMMYFUNCTION("""COMPUTED_VALUE"""),"Townhouse")</f>
        <v>Townhouse</v>
      </c>
      <c r="BT112" s="60" t="str">
        <f>IFERROR(__xludf.DUMMYFUNCTION("""COMPUTED_VALUE"""),"Z454448")</f>
        <v>Z454448</v>
      </c>
      <c r="BU112" s="60" t="str">
        <f>IFERROR(__xludf.DUMMYFUNCTION("""COMPUTED_VALUE"""),"Alex Johnson - Compass")</f>
        <v>Alex Johnson - Compass</v>
      </c>
      <c r="BV112" s="60" t="str">
        <f>IFERROR(__xludf.DUMMYFUNCTION("""COMPUTED_VALUE"""),"Sold")</f>
        <v>Sold</v>
      </c>
      <c r="BW112" s="60">
        <f>IFERROR(__xludf.DUMMYFUNCTION("""COMPUTED_VALUE"""),1.0)</f>
        <v>1</v>
      </c>
      <c r="BX112" s="60" t="str">
        <f>IFERROR(__xludf.DUMMYFUNCTION("""COMPUTED_VALUE"""),"OK")</f>
        <v>OK</v>
      </c>
      <c r="BY112" s="1" t="str">
        <f>IFERROR(__xludf.DUMMYFUNCTION("""COMPUTED_VALUE"""),"3600+")</f>
        <v>3600+</v>
      </c>
      <c r="BZ112" s="1">
        <f>IFERROR(__xludf.DUMMYFUNCTION("""COMPUTED_VALUE"""),25.0)</f>
        <v>25</v>
      </c>
      <c r="CA112" s="1" t="str">
        <f>IFERROR(__xludf.DUMMYFUNCTION("""COMPUTED_VALUE"""),"Mid")</f>
        <v>Mid</v>
      </c>
    </row>
    <row r="113" ht="14.25" customHeight="1">
      <c r="A113" s="5">
        <v>1256611.0</v>
      </c>
      <c r="B113" s="6" t="s">
        <v>493</v>
      </c>
      <c r="C113" s="6" t="s">
        <v>39</v>
      </c>
      <c r="D113" s="6">
        <v>23389.0</v>
      </c>
      <c r="E113" s="6" t="s">
        <v>19</v>
      </c>
      <c r="F113" s="6" t="s">
        <v>46</v>
      </c>
      <c r="G113" s="6" t="s">
        <v>100</v>
      </c>
      <c r="H113" s="7">
        <v>3037.0</v>
      </c>
      <c r="I113" s="7">
        <v>9989.0</v>
      </c>
      <c r="J113" s="6">
        <v>1956.0</v>
      </c>
      <c r="K113" s="6">
        <v>25.0</v>
      </c>
      <c r="L113" s="6" t="s">
        <v>22</v>
      </c>
      <c r="M113" s="6" t="s">
        <v>494</v>
      </c>
      <c r="N113" s="6" t="s">
        <v>24</v>
      </c>
      <c r="O113" s="6" t="s">
        <v>35</v>
      </c>
      <c r="P113" s="6">
        <f>COUNTIF(Analysis!$M$1:$M$3001,Analysis!$M113)</f>
        <v>1</v>
      </c>
      <c r="Q113" s="6" t="str">
        <f>IF(COUNTIF(Analysis!$M$2:$M$3001,Analysis!$M113)&gt;1,"Duplicate","OK")</f>
        <v>OK</v>
      </c>
      <c r="R113" s="6" t="str">
        <f t="shared" si="1"/>
        <v>2600-3600</v>
      </c>
      <c r="S113" s="6">
        <f t="shared" si="2"/>
        <v>70</v>
      </c>
      <c r="T113" s="6" t="str">
        <f t="shared" si="3"/>
        <v>Very Old</v>
      </c>
      <c r="BH113" s="14">
        <f>IFERROR(__xludf.DUMMYFUNCTION("""COMPUTED_VALUE"""),577795.0)</f>
        <v>577795</v>
      </c>
      <c r="BI113" s="60" t="str">
        <f>IFERROR(__xludf.DUMMYFUNCTION("""COMPUTED_VALUE"""),"4815 Maple Dr, San Diego, CA 33178")</f>
        <v>4815 Maple Dr, San Diego, CA 33178</v>
      </c>
      <c r="BJ113" s="60" t="str">
        <f>IFERROR(__xludf.DUMMYFUNCTION("""COMPUTED_VALUE"""),"San Diego")</f>
        <v>San Diego</v>
      </c>
      <c r="BK113" s="60">
        <f>IFERROR(__xludf.DUMMYFUNCTION("""COMPUTED_VALUE"""),33178.0)</f>
        <v>33178</v>
      </c>
      <c r="BL113" s="60" t="str">
        <f>IFERROR(__xludf.DUMMYFUNCTION("""COMPUTED_VALUE"""),"CA")</f>
        <v>CA</v>
      </c>
      <c r="BM113" s="60" t="str">
        <f>IFERROR(__xludf.DUMMYFUNCTION("""COMPUTED_VALUE"""),"2 bds")</f>
        <v>2 bds</v>
      </c>
      <c r="BN113" s="60" t="str">
        <f>IFERROR(__xludf.DUMMYFUNCTION("""COMPUTED_VALUE"""),"2 ba")</f>
        <v>2 ba</v>
      </c>
      <c r="BO113" s="60">
        <f>IFERROR(__xludf.DUMMYFUNCTION("""COMPUTED_VALUE"""),1264.0)</f>
        <v>1264</v>
      </c>
      <c r="BP113" s="60">
        <f>IFERROR(__xludf.DUMMYFUNCTION("""COMPUTED_VALUE"""),2490.0)</f>
        <v>2490</v>
      </c>
      <c r="BQ113" s="60">
        <f>IFERROR(__xludf.DUMMYFUNCTION("""COMPUTED_VALUE"""),1971.0)</f>
        <v>1971</v>
      </c>
      <c r="BR113" s="60">
        <f>IFERROR(__xludf.DUMMYFUNCTION("""COMPUTED_VALUE"""),49.0)</f>
        <v>49</v>
      </c>
      <c r="BS113" s="60" t="str">
        <f>IFERROR(__xludf.DUMMYFUNCTION("""COMPUTED_VALUE"""),"Multi-Family")</f>
        <v>Multi-Family</v>
      </c>
      <c r="BT113" s="60" t="str">
        <f>IFERROR(__xludf.DUMMYFUNCTION("""COMPUTED_VALUE"""),"Z206323")</f>
        <v>Z206323</v>
      </c>
      <c r="BU113" s="60" t="str">
        <f>IFERROR(__xludf.DUMMYFUNCTION("""COMPUTED_VALUE"""),"Alex Johnson - Compass")</f>
        <v>Alex Johnson - Compass</v>
      </c>
      <c r="BV113" s="60" t="str">
        <f>IFERROR(__xludf.DUMMYFUNCTION("""COMPUTED_VALUE"""),"Sold")</f>
        <v>Sold</v>
      </c>
      <c r="BW113" s="60">
        <f>IFERROR(__xludf.DUMMYFUNCTION("""COMPUTED_VALUE"""),1.0)</f>
        <v>1</v>
      </c>
      <c r="BX113" s="60" t="str">
        <f>IFERROR(__xludf.DUMMYFUNCTION("""COMPUTED_VALUE"""),"OK")</f>
        <v>OK</v>
      </c>
      <c r="BY113" s="1" t="str">
        <f>IFERROR(__xludf.DUMMYFUNCTION("""COMPUTED_VALUE"""),"600-1600")</f>
        <v>600-1600</v>
      </c>
      <c r="BZ113" s="1">
        <f>IFERROR(__xludf.DUMMYFUNCTION("""COMPUTED_VALUE"""),55.0)</f>
        <v>55</v>
      </c>
      <c r="CA113" s="1" t="str">
        <f>IFERROR(__xludf.DUMMYFUNCTION("""COMPUTED_VALUE"""),"Old")</f>
        <v>Old</v>
      </c>
    </row>
    <row r="114" ht="14.25" customHeight="1">
      <c r="A114" s="5">
        <v>439407.0</v>
      </c>
      <c r="B114" s="6" t="s">
        <v>497</v>
      </c>
      <c r="C114" s="6" t="s">
        <v>76</v>
      </c>
      <c r="D114" s="6">
        <v>97204.0</v>
      </c>
      <c r="E114" s="6" t="s">
        <v>30</v>
      </c>
      <c r="F114" s="6" t="s">
        <v>46</v>
      </c>
      <c r="G114" s="6" t="s">
        <v>100</v>
      </c>
      <c r="H114" s="7">
        <v>2796.0</v>
      </c>
      <c r="I114" s="7">
        <v>7855.0</v>
      </c>
      <c r="J114" s="6">
        <v>1969.0</v>
      </c>
      <c r="K114" s="6">
        <v>15.0</v>
      </c>
      <c r="L114" s="6" t="s">
        <v>32</v>
      </c>
      <c r="M114" s="6" t="s">
        <v>498</v>
      </c>
      <c r="N114" s="6" t="s">
        <v>24</v>
      </c>
      <c r="O114" s="6" t="s">
        <v>35</v>
      </c>
      <c r="P114" s="6">
        <f>COUNTIF(Analysis!$M$1:$M$3001,Analysis!$M114)</f>
        <v>1</v>
      </c>
      <c r="Q114" s="6" t="str">
        <f>IF(COUNTIF(Analysis!$M$2:$M$3001,Analysis!$M114)&gt;1,"Duplicate","OK")</f>
        <v>OK</v>
      </c>
      <c r="R114" s="6" t="str">
        <f t="shared" si="1"/>
        <v>2600-3600</v>
      </c>
      <c r="S114" s="6">
        <f t="shared" si="2"/>
        <v>57</v>
      </c>
      <c r="T114" s="6" t="str">
        <f t="shared" si="3"/>
        <v>Old</v>
      </c>
      <c r="BH114" s="14">
        <f>IFERROR(__xludf.DUMMYFUNCTION("""COMPUTED_VALUE"""),1102154.0)</f>
        <v>1102154</v>
      </c>
      <c r="BI114" s="60" t="str">
        <f>IFERROR(__xludf.DUMMYFUNCTION("""COMPUTED_VALUE"""),"5869 Oak Ave, San Francisco, CA 46426")</f>
        <v>5869 Oak Ave, San Francisco, CA 46426</v>
      </c>
      <c r="BJ114" s="60" t="str">
        <f>IFERROR(__xludf.DUMMYFUNCTION("""COMPUTED_VALUE"""),"San Francisco")</f>
        <v>San Francisco</v>
      </c>
      <c r="BK114" s="60">
        <f>IFERROR(__xludf.DUMMYFUNCTION("""COMPUTED_VALUE"""),46426.0)</f>
        <v>46426</v>
      </c>
      <c r="BL114" s="60" t="str">
        <f>IFERROR(__xludf.DUMMYFUNCTION("""COMPUTED_VALUE"""),"CA")</f>
        <v>CA</v>
      </c>
      <c r="BM114" s="60" t="str">
        <f>IFERROR(__xludf.DUMMYFUNCTION("""COMPUTED_VALUE"""),"6 bds")</f>
        <v>6 bds</v>
      </c>
      <c r="BN114" s="60" t="str">
        <f>IFERROR(__xludf.DUMMYFUNCTION("""COMPUTED_VALUE"""),"3 ba")</f>
        <v>3 ba</v>
      </c>
      <c r="BO114" s="60">
        <f>IFERROR(__xludf.DUMMYFUNCTION("""COMPUTED_VALUE"""),3837.0)</f>
        <v>3837</v>
      </c>
      <c r="BP114" s="60">
        <f>IFERROR(__xludf.DUMMYFUNCTION("""COMPUTED_VALUE"""),2415.0)</f>
        <v>2415</v>
      </c>
      <c r="BQ114" s="60">
        <f>IFERROR(__xludf.DUMMYFUNCTION("""COMPUTED_VALUE"""),2002.0)</f>
        <v>2002</v>
      </c>
      <c r="BR114" s="60">
        <f>IFERROR(__xludf.DUMMYFUNCTION("""COMPUTED_VALUE"""),65.0)</f>
        <v>65</v>
      </c>
      <c r="BS114" s="60" t="str">
        <f>IFERROR(__xludf.DUMMYFUNCTION("""COMPUTED_VALUE"""),"Townhouse")</f>
        <v>Townhouse</v>
      </c>
      <c r="BT114" s="60" t="str">
        <f>IFERROR(__xludf.DUMMYFUNCTION("""COMPUTED_VALUE"""),"Z841888")</f>
        <v>Z841888</v>
      </c>
      <c r="BU114" s="60" t="str">
        <f>IFERROR(__xludf.DUMMYFUNCTION("""COMPUTED_VALUE"""),"Alex Johnson - Compass")</f>
        <v>Alex Johnson - Compass</v>
      </c>
      <c r="BV114" s="60" t="str">
        <f>IFERROR(__xludf.DUMMYFUNCTION("""COMPUTED_VALUE"""),"Sold")</f>
        <v>Sold</v>
      </c>
      <c r="BW114" s="60">
        <f>IFERROR(__xludf.DUMMYFUNCTION("""COMPUTED_VALUE"""),1.0)</f>
        <v>1</v>
      </c>
      <c r="BX114" s="60" t="str">
        <f>IFERROR(__xludf.DUMMYFUNCTION("""COMPUTED_VALUE"""),"OK")</f>
        <v>OK</v>
      </c>
      <c r="BY114" s="1" t="str">
        <f>IFERROR(__xludf.DUMMYFUNCTION("""COMPUTED_VALUE"""),"3600+")</f>
        <v>3600+</v>
      </c>
      <c r="BZ114" s="1">
        <f>IFERROR(__xludf.DUMMYFUNCTION("""COMPUTED_VALUE"""),24.0)</f>
        <v>24</v>
      </c>
      <c r="CA114" s="1" t="str">
        <f>IFERROR(__xludf.DUMMYFUNCTION("""COMPUTED_VALUE"""),"Mid")</f>
        <v>Mid</v>
      </c>
    </row>
    <row r="115" ht="14.25" customHeight="1">
      <c r="A115" s="5">
        <v>115004.0</v>
      </c>
      <c r="B115" s="6" t="s">
        <v>501</v>
      </c>
      <c r="C115" s="6" t="s">
        <v>76</v>
      </c>
      <c r="D115" s="6">
        <v>28572.0</v>
      </c>
      <c r="E115" s="6" t="s">
        <v>77</v>
      </c>
      <c r="F115" s="6" t="s">
        <v>94</v>
      </c>
      <c r="G115" s="6" t="s">
        <v>21</v>
      </c>
      <c r="H115" s="7">
        <v>2671.0</v>
      </c>
      <c r="I115" s="7">
        <v>8290.0</v>
      </c>
      <c r="J115" s="6">
        <v>1967.0</v>
      </c>
      <c r="K115" s="6">
        <v>11.0</v>
      </c>
      <c r="L115" s="6" t="s">
        <v>95</v>
      </c>
      <c r="M115" s="6" t="s">
        <v>502</v>
      </c>
      <c r="N115" s="6" t="s">
        <v>64</v>
      </c>
      <c r="O115" s="6" t="s">
        <v>25</v>
      </c>
      <c r="P115" s="6">
        <f>COUNTIF(Analysis!$M$1:$M$3001,Analysis!$M115)</f>
        <v>1</v>
      </c>
      <c r="Q115" s="6" t="str">
        <f>IF(COUNTIF(Analysis!$M$2:$M$3001,Analysis!$M115)&gt;1,"Duplicate","OK")</f>
        <v>OK</v>
      </c>
      <c r="R115" s="6" t="str">
        <f t="shared" si="1"/>
        <v>2600-3600</v>
      </c>
      <c r="S115" s="6">
        <f t="shared" si="2"/>
        <v>59</v>
      </c>
      <c r="T115" s="6" t="str">
        <f t="shared" si="3"/>
        <v>Old</v>
      </c>
      <c r="BH115" s="14">
        <f>IFERROR(__xludf.DUMMYFUNCTION("""COMPUTED_VALUE"""),1225062.0)</f>
        <v>1225062</v>
      </c>
      <c r="BI115" s="60" t="str">
        <f>IFERROR(__xludf.DUMMYFUNCTION("""COMPUTED_VALUE"""),"5235 Oak Ave, Los Angeles, CA 39917")</f>
        <v>5235 Oak Ave, Los Angeles, CA 39917</v>
      </c>
      <c r="BJ115" s="60" t="str">
        <f>IFERROR(__xludf.DUMMYFUNCTION("""COMPUTED_VALUE"""),"Los Angeles")</f>
        <v>Los Angeles</v>
      </c>
      <c r="BK115" s="60">
        <f>IFERROR(__xludf.DUMMYFUNCTION("""COMPUTED_VALUE"""),39917.0)</f>
        <v>39917</v>
      </c>
      <c r="BL115" s="60" t="str">
        <f>IFERROR(__xludf.DUMMYFUNCTION("""COMPUTED_VALUE"""),"CA")</f>
        <v>CA</v>
      </c>
      <c r="BM115" s="60" t="str">
        <f>IFERROR(__xludf.DUMMYFUNCTION("""COMPUTED_VALUE"""),"6 bds")</f>
        <v>6 bds</v>
      </c>
      <c r="BN115" s="60" t="str">
        <f>IFERROR(__xludf.DUMMYFUNCTION("""COMPUTED_VALUE"""),"2 ba")</f>
        <v>2 ba</v>
      </c>
      <c r="BO115" s="60">
        <f>IFERROR(__xludf.DUMMYFUNCTION("""COMPUTED_VALUE"""),1398.0)</f>
        <v>1398</v>
      </c>
      <c r="BP115" s="60">
        <f>IFERROR(__xludf.DUMMYFUNCTION("""COMPUTED_VALUE"""),3942.0)</f>
        <v>3942</v>
      </c>
      <c r="BQ115" s="60">
        <f>IFERROR(__xludf.DUMMYFUNCTION("""COMPUTED_VALUE"""),2019.0)</f>
        <v>2019</v>
      </c>
      <c r="BR115" s="60">
        <f>IFERROR(__xludf.DUMMYFUNCTION("""COMPUTED_VALUE"""),112.0)</f>
        <v>112</v>
      </c>
      <c r="BS115" s="60" t="str">
        <f>IFERROR(__xludf.DUMMYFUNCTION("""COMPUTED_VALUE"""),"Single Family")</f>
        <v>Single Family</v>
      </c>
      <c r="BT115" s="60" t="str">
        <f>IFERROR(__xludf.DUMMYFUNCTION("""COMPUTED_VALUE"""),"Z363604")</f>
        <v>Z363604</v>
      </c>
      <c r="BU115" s="60" t="str">
        <f>IFERROR(__xludf.DUMMYFUNCTION("""COMPUTED_VALUE"""),"Alex Johnson - Compass")</f>
        <v>Alex Johnson - Compass</v>
      </c>
      <c r="BV115" s="60" t="str">
        <f>IFERROR(__xludf.DUMMYFUNCTION("""COMPUTED_VALUE"""),"Sold")</f>
        <v>Sold</v>
      </c>
      <c r="BW115" s="60">
        <f>IFERROR(__xludf.DUMMYFUNCTION("""COMPUTED_VALUE"""),1.0)</f>
        <v>1</v>
      </c>
      <c r="BX115" s="60" t="str">
        <f>IFERROR(__xludf.DUMMYFUNCTION("""COMPUTED_VALUE"""),"OK")</f>
        <v>OK</v>
      </c>
      <c r="BY115" s="1" t="str">
        <f>IFERROR(__xludf.DUMMYFUNCTION("""COMPUTED_VALUE"""),"600-1600")</f>
        <v>600-1600</v>
      </c>
      <c r="BZ115" s="1">
        <f>IFERROR(__xludf.DUMMYFUNCTION("""COMPUTED_VALUE"""),7.0)</f>
        <v>7</v>
      </c>
      <c r="CA115" s="1" t="str">
        <f>IFERROR(__xludf.DUMMYFUNCTION("""COMPUTED_VALUE"""),"New")</f>
        <v>New</v>
      </c>
    </row>
    <row r="116" ht="14.25" customHeight="1">
      <c r="A116" s="5">
        <v>204351.0</v>
      </c>
      <c r="B116" s="6" t="s">
        <v>505</v>
      </c>
      <c r="C116" s="6" t="s">
        <v>53</v>
      </c>
      <c r="D116" s="6">
        <v>94493.0</v>
      </c>
      <c r="E116" s="6" t="s">
        <v>60</v>
      </c>
      <c r="F116" s="6" t="s">
        <v>94</v>
      </c>
      <c r="G116" s="6" t="s">
        <v>21</v>
      </c>
      <c r="H116" s="7">
        <v>1540.0</v>
      </c>
      <c r="I116" s="7">
        <v>4699.0</v>
      </c>
      <c r="J116" s="6">
        <v>1962.0</v>
      </c>
      <c r="K116" s="6">
        <v>34.0</v>
      </c>
      <c r="L116" s="6" t="s">
        <v>62</v>
      </c>
      <c r="M116" s="6" t="s">
        <v>506</v>
      </c>
      <c r="N116" s="6" t="s">
        <v>24</v>
      </c>
      <c r="O116" s="6" t="s">
        <v>35</v>
      </c>
      <c r="P116" s="6">
        <f>COUNTIF(Analysis!$M$1:$M$3001,Analysis!$M116)</f>
        <v>1</v>
      </c>
      <c r="Q116" s="6" t="str">
        <f>IF(COUNTIF(Analysis!$M$2:$M$3001,Analysis!$M116)&gt;1,"Duplicate","OK")</f>
        <v>OK</v>
      </c>
      <c r="R116" s="6" t="str">
        <f t="shared" si="1"/>
        <v>600-1600</v>
      </c>
      <c r="S116" s="6">
        <f t="shared" si="2"/>
        <v>64</v>
      </c>
      <c r="T116" s="6" t="str">
        <f t="shared" si="3"/>
        <v>Very Old</v>
      </c>
      <c r="BH116" s="14">
        <f>IFERROR(__xludf.DUMMYFUNCTION("""COMPUTED_VALUE"""),446674.0)</f>
        <v>446674</v>
      </c>
      <c r="BI116" s="60" t="str">
        <f>IFERROR(__xludf.DUMMYFUNCTION("""COMPUTED_VALUE"""),"8509 Oak Ave, Los Angeles, TX 98485")</f>
        <v>8509 Oak Ave, Los Angeles, TX 98485</v>
      </c>
      <c r="BJ116" s="60" t="str">
        <f>IFERROR(__xludf.DUMMYFUNCTION("""COMPUTED_VALUE"""),"Los Angeles")</f>
        <v>Los Angeles</v>
      </c>
      <c r="BK116" s="60">
        <f>IFERROR(__xludf.DUMMYFUNCTION("""COMPUTED_VALUE"""),98485.0)</f>
        <v>98485</v>
      </c>
      <c r="BL116" s="60" t="str">
        <f>IFERROR(__xludf.DUMMYFUNCTION("""COMPUTED_VALUE"""),"TX")</f>
        <v>TX</v>
      </c>
      <c r="BM116" s="60" t="str">
        <f>IFERROR(__xludf.DUMMYFUNCTION("""COMPUTED_VALUE"""),"3 bds")</f>
        <v>3 bds</v>
      </c>
      <c r="BN116" s="60" t="str">
        <f>IFERROR(__xludf.DUMMYFUNCTION("""COMPUTED_VALUE"""),"3 ba")</f>
        <v>3 ba</v>
      </c>
      <c r="BO116" s="60">
        <f>IFERROR(__xludf.DUMMYFUNCTION("""COMPUTED_VALUE"""),2460.0)</f>
        <v>2460</v>
      </c>
      <c r="BP116" s="60">
        <f>IFERROR(__xludf.DUMMYFUNCTION("""COMPUTED_VALUE"""),9623.0)</f>
        <v>9623</v>
      </c>
      <c r="BQ116" s="60">
        <f>IFERROR(__xludf.DUMMYFUNCTION("""COMPUTED_VALUE"""),1974.0)</f>
        <v>1974</v>
      </c>
      <c r="BR116" s="60">
        <f>IFERROR(__xludf.DUMMYFUNCTION("""COMPUTED_VALUE"""),4.0)</f>
        <v>4</v>
      </c>
      <c r="BS116" s="60" t="str">
        <f>IFERROR(__xludf.DUMMYFUNCTION("""COMPUTED_VALUE"""),"Single Family")</f>
        <v>Single Family</v>
      </c>
      <c r="BT116" s="60" t="str">
        <f>IFERROR(__xludf.DUMMYFUNCTION("""COMPUTED_VALUE"""),"Z523878")</f>
        <v>Z523878</v>
      </c>
      <c r="BU116" s="60" t="str">
        <f>IFERROR(__xludf.DUMMYFUNCTION("""COMPUTED_VALUE"""),"Alex Johnson - Compass")</f>
        <v>Alex Johnson - Compass</v>
      </c>
      <c r="BV116" s="60" t="str">
        <f>IFERROR(__xludf.DUMMYFUNCTION("""COMPUTED_VALUE"""),"Sold")</f>
        <v>Sold</v>
      </c>
      <c r="BW116" s="60">
        <f>IFERROR(__xludf.DUMMYFUNCTION("""COMPUTED_VALUE"""),1.0)</f>
        <v>1</v>
      </c>
      <c r="BX116" s="60" t="str">
        <f>IFERROR(__xludf.DUMMYFUNCTION("""COMPUTED_VALUE"""),"OK")</f>
        <v>OK</v>
      </c>
      <c r="BY116" s="1" t="str">
        <f>IFERROR(__xludf.DUMMYFUNCTION("""COMPUTED_VALUE"""),"1600-2600")</f>
        <v>1600-2600</v>
      </c>
      <c r="BZ116" s="1">
        <f>IFERROR(__xludf.DUMMYFUNCTION("""COMPUTED_VALUE"""),52.0)</f>
        <v>52</v>
      </c>
      <c r="CA116" s="1" t="str">
        <f>IFERROR(__xludf.DUMMYFUNCTION("""COMPUTED_VALUE"""),"Old")</f>
        <v>Old</v>
      </c>
    </row>
    <row r="117" ht="14.25" customHeight="1">
      <c r="A117" s="5">
        <v>231952.0</v>
      </c>
      <c r="B117" s="6" t="s">
        <v>509</v>
      </c>
      <c r="C117" s="6" t="s">
        <v>76</v>
      </c>
      <c r="D117" s="6">
        <v>99466.0</v>
      </c>
      <c r="E117" s="6" t="s">
        <v>19</v>
      </c>
      <c r="F117" s="6" t="s">
        <v>61</v>
      </c>
      <c r="G117" s="6" t="s">
        <v>21</v>
      </c>
      <c r="H117" s="7">
        <v>3428.0</v>
      </c>
      <c r="I117" s="7">
        <v>3914.0</v>
      </c>
      <c r="J117" s="6">
        <v>2015.0</v>
      </c>
      <c r="K117" s="6">
        <v>43.0</v>
      </c>
      <c r="L117" s="6" t="s">
        <v>95</v>
      </c>
      <c r="M117" s="6" t="s">
        <v>510</v>
      </c>
      <c r="N117" s="6" t="s">
        <v>43</v>
      </c>
      <c r="O117" s="6" t="s">
        <v>35</v>
      </c>
      <c r="P117" s="6">
        <f>COUNTIF(Analysis!$M$1:$M$3001,Analysis!$M117)</f>
        <v>1</v>
      </c>
      <c r="Q117" s="6" t="str">
        <f>IF(COUNTIF(Analysis!$M$2:$M$3001,Analysis!$M117)&gt;1,"Duplicate","OK")</f>
        <v>OK</v>
      </c>
      <c r="R117" s="6" t="str">
        <f t="shared" si="1"/>
        <v>2600-3600</v>
      </c>
      <c r="S117" s="6">
        <f t="shared" si="2"/>
        <v>11</v>
      </c>
      <c r="T117" s="6" t="str">
        <f t="shared" si="3"/>
        <v>Mid</v>
      </c>
      <c r="BH117" s="14">
        <f>IFERROR(__xludf.DUMMYFUNCTION("""COMPUTED_VALUE"""),993686.0)</f>
        <v>993686</v>
      </c>
      <c r="BI117" s="60" t="str">
        <f>IFERROR(__xludf.DUMMYFUNCTION("""COMPUTED_VALUE"""),"8452 Elm St, San Francisco, TX 79458")</f>
        <v>8452 Elm St, San Francisco, TX 79458</v>
      </c>
      <c r="BJ117" s="60" t="str">
        <f>IFERROR(__xludf.DUMMYFUNCTION("""COMPUTED_VALUE"""),"San Francisco")</f>
        <v>San Francisco</v>
      </c>
      <c r="BK117" s="60">
        <f>IFERROR(__xludf.DUMMYFUNCTION("""COMPUTED_VALUE"""),79458.0)</f>
        <v>79458</v>
      </c>
      <c r="BL117" s="60" t="str">
        <f>IFERROR(__xludf.DUMMYFUNCTION("""COMPUTED_VALUE"""),"TX")</f>
        <v>TX</v>
      </c>
      <c r="BM117" s="60" t="str">
        <f>IFERROR(__xludf.DUMMYFUNCTION("""COMPUTED_VALUE"""),"6 bds")</f>
        <v>6 bds</v>
      </c>
      <c r="BN117" s="60" t="str">
        <f>IFERROR(__xludf.DUMMYFUNCTION("""COMPUTED_VALUE"""),"1 ba")</f>
        <v>1 ba</v>
      </c>
      <c r="BO117" s="60">
        <f>IFERROR(__xludf.DUMMYFUNCTION("""COMPUTED_VALUE"""),2622.0)</f>
        <v>2622</v>
      </c>
      <c r="BP117" s="60">
        <f>IFERROR(__xludf.DUMMYFUNCTION("""COMPUTED_VALUE"""),6419.0)</f>
        <v>6419</v>
      </c>
      <c r="BQ117" s="60">
        <f>IFERROR(__xludf.DUMMYFUNCTION("""COMPUTED_VALUE"""),1952.0)</f>
        <v>1952</v>
      </c>
      <c r="BR117" s="60">
        <f>IFERROR(__xludf.DUMMYFUNCTION("""COMPUTED_VALUE"""),101.0)</f>
        <v>101</v>
      </c>
      <c r="BS117" s="60" t="str">
        <f>IFERROR(__xludf.DUMMYFUNCTION("""COMPUTED_VALUE"""),"Single Family")</f>
        <v>Single Family</v>
      </c>
      <c r="BT117" s="60" t="str">
        <f>IFERROR(__xludf.DUMMYFUNCTION("""COMPUTED_VALUE"""),"Z718642")</f>
        <v>Z718642</v>
      </c>
      <c r="BU117" s="60" t="str">
        <f>IFERROR(__xludf.DUMMYFUNCTION("""COMPUTED_VALUE"""),"Alex Johnson - Compass")</f>
        <v>Alex Johnson - Compass</v>
      </c>
      <c r="BV117" s="60" t="str">
        <f>IFERROR(__xludf.DUMMYFUNCTION("""COMPUTED_VALUE"""),"Sold")</f>
        <v>Sold</v>
      </c>
      <c r="BW117" s="60">
        <f>IFERROR(__xludf.DUMMYFUNCTION("""COMPUTED_VALUE"""),1.0)</f>
        <v>1</v>
      </c>
      <c r="BX117" s="60" t="str">
        <f>IFERROR(__xludf.DUMMYFUNCTION("""COMPUTED_VALUE"""),"OK")</f>
        <v>OK</v>
      </c>
      <c r="BY117" s="1" t="str">
        <f>IFERROR(__xludf.DUMMYFUNCTION("""COMPUTED_VALUE"""),"2600-3600")</f>
        <v>2600-3600</v>
      </c>
      <c r="BZ117" s="1">
        <f>IFERROR(__xludf.DUMMYFUNCTION("""COMPUTED_VALUE"""),74.0)</f>
        <v>74</v>
      </c>
      <c r="CA117" s="1" t="str">
        <f>IFERROR(__xludf.DUMMYFUNCTION("""COMPUTED_VALUE"""),"Very Old")</f>
        <v>Very Old</v>
      </c>
    </row>
    <row r="118" ht="14.25" customHeight="1">
      <c r="A118" s="5">
        <v>1451974.0</v>
      </c>
      <c r="B118" s="6" t="s">
        <v>513</v>
      </c>
      <c r="C118" s="6" t="s">
        <v>39</v>
      </c>
      <c r="D118" s="6">
        <v>79802.0</v>
      </c>
      <c r="E118" s="6" t="s">
        <v>19</v>
      </c>
      <c r="F118" s="6" t="s">
        <v>41</v>
      </c>
      <c r="G118" s="6" t="s">
        <v>21</v>
      </c>
      <c r="H118" s="7">
        <v>2284.0</v>
      </c>
      <c r="I118" s="7">
        <v>4615.0</v>
      </c>
      <c r="J118" s="6">
        <v>1964.0</v>
      </c>
      <c r="K118" s="6">
        <v>55.0</v>
      </c>
      <c r="L118" s="6" t="s">
        <v>62</v>
      </c>
      <c r="M118" s="6" t="s">
        <v>514</v>
      </c>
      <c r="N118" s="6" t="s">
        <v>24</v>
      </c>
      <c r="O118" s="6" t="s">
        <v>49</v>
      </c>
      <c r="P118" s="6">
        <f>COUNTIF(Analysis!$M$1:$M$3001,Analysis!$M118)</f>
        <v>1</v>
      </c>
      <c r="Q118" s="6" t="str">
        <f>IF(COUNTIF(Analysis!$M$2:$M$3001,Analysis!$M118)&gt;1,"Duplicate","OK")</f>
        <v>OK</v>
      </c>
      <c r="R118" s="6" t="str">
        <f t="shared" si="1"/>
        <v>1600-2600</v>
      </c>
      <c r="S118" s="6">
        <f t="shared" si="2"/>
        <v>62</v>
      </c>
      <c r="T118" s="6" t="str">
        <f t="shared" si="3"/>
        <v>Very Old</v>
      </c>
      <c r="BH118" s="14">
        <f>IFERROR(__xludf.DUMMYFUNCTION("""COMPUTED_VALUE"""),780079.0)</f>
        <v>780079</v>
      </c>
      <c r="BI118" s="60" t="str">
        <f>IFERROR(__xludf.DUMMYFUNCTION("""COMPUTED_VALUE"""),"3202 Oak Ave, Fresno, TX 83240")</f>
        <v>3202 Oak Ave, Fresno, TX 83240</v>
      </c>
      <c r="BJ118" s="60" t="str">
        <f>IFERROR(__xludf.DUMMYFUNCTION("""COMPUTED_VALUE"""),"Fresno")</f>
        <v>Fresno</v>
      </c>
      <c r="BK118" s="60">
        <f>IFERROR(__xludf.DUMMYFUNCTION("""COMPUTED_VALUE"""),83240.0)</f>
        <v>83240</v>
      </c>
      <c r="BL118" s="60" t="str">
        <f>IFERROR(__xludf.DUMMYFUNCTION("""COMPUTED_VALUE"""),"TX")</f>
        <v>TX</v>
      </c>
      <c r="BM118" s="60" t="str">
        <f>IFERROR(__xludf.DUMMYFUNCTION("""COMPUTED_VALUE"""),"3 bds")</f>
        <v>3 bds</v>
      </c>
      <c r="BN118" s="60" t="str">
        <f>IFERROR(__xludf.DUMMYFUNCTION("""COMPUTED_VALUE"""),"2 ba")</f>
        <v>2 ba</v>
      </c>
      <c r="BO118" s="60">
        <f>IFERROR(__xludf.DUMMYFUNCTION("""COMPUTED_VALUE"""),1946.0)</f>
        <v>1946</v>
      </c>
      <c r="BP118" s="60">
        <f>IFERROR(__xludf.DUMMYFUNCTION("""COMPUTED_VALUE"""),5418.0)</f>
        <v>5418</v>
      </c>
      <c r="BQ118" s="60">
        <f>IFERROR(__xludf.DUMMYFUNCTION("""COMPUTED_VALUE"""),2015.0)</f>
        <v>2015</v>
      </c>
      <c r="BR118" s="60">
        <f>IFERROR(__xludf.DUMMYFUNCTION("""COMPUTED_VALUE"""),87.0)</f>
        <v>87</v>
      </c>
      <c r="BS118" s="60" t="str">
        <f>IFERROR(__xludf.DUMMYFUNCTION("""COMPUTED_VALUE"""),"Townhouse")</f>
        <v>Townhouse</v>
      </c>
      <c r="BT118" s="60" t="str">
        <f>IFERROR(__xludf.DUMMYFUNCTION("""COMPUTED_VALUE"""),"Z205737")</f>
        <v>Z205737</v>
      </c>
      <c r="BU118" s="60" t="str">
        <f>IFERROR(__xludf.DUMMYFUNCTION("""COMPUTED_VALUE"""),"Alex Johnson - Compass")</f>
        <v>Alex Johnson - Compass</v>
      </c>
      <c r="BV118" s="60" t="str">
        <f>IFERROR(__xludf.DUMMYFUNCTION("""COMPUTED_VALUE"""),"Sold")</f>
        <v>Sold</v>
      </c>
      <c r="BW118" s="60">
        <f>IFERROR(__xludf.DUMMYFUNCTION("""COMPUTED_VALUE"""),1.0)</f>
        <v>1</v>
      </c>
      <c r="BX118" s="60" t="str">
        <f>IFERROR(__xludf.DUMMYFUNCTION("""COMPUTED_VALUE"""),"OK")</f>
        <v>OK</v>
      </c>
      <c r="BY118" s="1" t="str">
        <f>IFERROR(__xludf.DUMMYFUNCTION("""COMPUTED_VALUE"""),"1600-2600")</f>
        <v>1600-2600</v>
      </c>
      <c r="BZ118" s="1">
        <f>IFERROR(__xludf.DUMMYFUNCTION("""COMPUTED_VALUE"""),11.0)</f>
        <v>11</v>
      </c>
      <c r="CA118" s="1" t="str">
        <f>IFERROR(__xludf.DUMMYFUNCTION("""COMPUTED_VALUE"""),"Mid")</f>
        <v>Mid</v>
      </c>
    </row>
    <row r="119" ht="14.25" customHeight="1">
      <c r="A119" s="5">
        <v>970820.0</v>
      </c>
      <c r="B119" s="6" t="s">
        <v>517</v>
      </c>
      <c r="C119" s="6" t="s">
        <v>39</v>
      </c>
      <c r="D119" s="6">
        <v>97567.0</v>
      </c>
      <c r="E119" s="6" t="s">
        <v>19</v>
      </c>
      <c r="F119" s="6" t="s">
        <v>61</v>
      </c>
      <c r="G119" s="6" t="s">
        <v>21</v>
      </c>
      <c r="H119" s="7">
        <v>1506.0</v>
      </c>
      <c r="I119" s="7">
        <v>3116.0</v>
      </c>
      <c r="J119" s="6">
        <v>2004.0</v>
      </c>
      <c r="K119" s="6">
        <v>117.0</v>
      </c>
      <c r="L119" s="6" t="s">
        <v>22</v>
      </c>
      <c r="M119" s="6" t="s">
        <v>518</v>
      </c>
      <c r="N119" s="6" t="s">
        <v>24</v>
      </c>
      <c r="O119" s="6" t="s">
        <v>35</v>
      </c>
      <c r="P119" s="6">
        <f>COUNTIF(Analysis!$M$1:$M$3001,Analysis!$M119)</f>
        <v>1</v>
      </c>
      <c r="Q119" s="6" t="str">
        <f>IF(COUNTIF(Analysis!$M$2:$M$3001,Analysis!$M119)&gt;1,"Duplicate","OK")</f>
        <v>OK</v>
      </c>
      <c r="R119" s="6" t="str">
        <f t="shared" si="1"/>
        <v>600-1600</v>
      </c>
      <c r="S119" s="6">
        <f t="shared" si="2"/>
        <v>22</v>
      </c>
      <c r="T119" s="6" t="str">
        <f t="shared" si="3"/>
        <v>Mid</v>
      </c>
      <c r="BH119" s="14">
        <f>IFERROR(__xludf.DUMMYFUNCTION("""COMPUTED_VALUE"""),375868.0)</f>
        <v>375868</v>
      </c>
      <c r="BI119" s="60" t="str">
        <f>IFERROR(__xludf.DUMMYFUNCTION("""COMPUTED_VALUE"""),"7093 Oak Ave, San Diego, NY 76509")</f>
        <v>7093 Oak Ave, San Diego, NY 76509</v>
      </c>
      <c r="BJ119" s="60" t="str">
        <f>IFERROR(__xludf.DUMMYFUNCTION("""COMPUTED_VALUE"""),"San Diego")</f>
        <v>San Diego</v>
      </c>
      <c r="BK119" s="60">
        <f>IFERROR(__xludf.DUMMYFUNCTION("""COMPUTED_VALUE"""),76509.0)</f>
        <v>76509</v>
      </c>
      <c r="BL119" s="60" t="str">
        <f>IFERROR(__xludf.DUMMYFUNCTION("""COMPUTED_VALUE"""),"NY")</f>
        <v>NY</v>
      </c>
      <c r="BM119" s="60" t="str">
        <f>IFERROR(__xludf.DUMMYFUNCTION("""COMPUTED_VALUE"""),"3 bds")</f>
        <v>3 bds</v>
      </c>
      <c r="BN119" s="60" t="str">
        <f>IFERROR(__xludf.DUMMYFUNCTION("""COMPUTED_VALUE"""),"3 ba")</f>
        <v>3 ba</v>
      </c>
      <c r="BO119" s="60">
        <f>IFERROR(__xludf.DUMMYFUNCTION("""COMPUTED_VALUE"""),828.0)</f>
        <v>828</v>
      </c>
      <c r="BP119" s="60">
        <f>IFERROR(__xludf.DUMMYFUNCTION("""COMPUTED_VALUE"""),7406.0)</f>
        <v>7406</v>
      </c>
      <c r="BQ119" s="60">
        <f>IFERROR(__xludf.DUMMYFUNCTION("""COMPUTED_VALUE"""),2009.0)</f>
        <v>2009</v>
      </c>
      <c r="BR119" s="60">
        <f>IFERROR(__xludf.DUMMYFUNCTION("""COMPUTED_VALUE"""),29.0)</f>
        <v>29</v>
      </c>
      <c r="BS119" s="60" t="str">
        <f>IFERROR(__xludf.DUMMYFUNCTION("""COMPUTED_VALUE"""),"Multi-Family")</f>
        <v>Multi-Family</v>
      </c>
      <c r="BT119" s="60" t="str">
        <f>IFERROR(__xludf.DUMMYFUNCTION("""COMPUTED_VALUE"""),"Z227791")</f>
        <v>Z227791</v>
      </c>
      <c r="BU119" s="60" t="str">
        <f>IFERROR(__xludf.DUMMYFUNCTION("""COMPUTED_VALUE"""),"Alex Johnson - Compass")</f>
        <v>Alex Johnson - Compass</v>
      </c>
      <c r="BV119" s="60" t="str">
        <f>IFERROR(__xludf.DUMMYFUNCTION("""COMPUTED_VALUE"""),"Sold")</f>
        <v>Sold</v>
      </c>
      <c r="BW119" s="60">
        <f>IFERROR(__xludf.DUMMYFUNCTION("""COMPUTED_VALUE"""),1.0)</f>
        <v>1</v>
      </c>
      <c r="BX119" s="60" t="str">
        <f>IFERROR(__xludf.DUMMYFUNCTION("""COMPUTED_VALUE"""),"OK")</f>
        <v>OK</v>
      </c>
      <c r="BY119" s="1" t="str">
        <f>IFERROR(__xludf.DUMMYFUNCTION("""COMPUTED_VALUE"""),"600-1600")</f>
        <v>600-1600</v>
      </c>
      <c r="BZ119" s="1">
        <f>IFERROR(__xludf.DUMMYFUNCTION("""COMPUTED_VALUE"""),17.0)</f>
        <v>17</v>
      </c>
      <c r="CA119" s="1" t="str">
        <f>IFERROR(__xludf.DUMMYFUNCTION("""COMPUTED_VALUE"""),"Mid")</f>
        <v>Mid</v>
      </c>
    </row>
    <row r="120" ht="14.25" customHeight="1">
      <c r="A120" s="5">
        <v>327979.0</v>
      </c>
      <c r="B120" s="6" t="s">
        <v>521</v>
      </c>
      <c r="C120" s="6" t="s">
        <v>76</v>
      </c>
      <c r="D120" s="6">
        <v>93091.0</v>
      </c>
      <c r="E120" s="6" t="s">
        <v>40</v>
      </c>
      <c r="F120" s="6" t="s">
        <v>94</v>
      </c>
      <c r="G120" s="6" t="s">
        <v>55</v>
      </c>
      <c r="H120" s="7">
        <v>2154.0</v>
      </c>
      <c r="I120" s="7">
        <v>9985.0</v>
      </c>
      <c r="J120" s="6">
        <v>1971.0</v>
      </c>
      <c r="K120" s="6">
        <v>71.0</v>
      </c>
      <c r="L120" s="6" t="s">
        <v>141</v>
      </c>
      <c r="M120" s="6" t="s">
        <v>522</v>
      </c>
      <c r="N120" s="6" t="s">
        <v>34</v>
      </c>
      <c r="O120" s="6" t="s">
        <v>49</v>
      </c>
      <c r="P120" s="6">
        <f>COUNTIF(Analysis!$M$1:$M$3001,Analysis!$M120)</f>
        <v>1</v>
      </c>
      <c r="Q120" s="6" t="str">
        <f>IF(COUNTIF(Analysis!$M$2:$M$3001,Analysis!$M120)&gt;1,"Duplicate","OK")</f>
        <v>OK</v>
      </c>
      <c r="R120" s="6" t="str">
        <f t="shared" si="1"/>
        <v>1600-2600</v>
      </c>
      <c r="S120" s="6">
        <f t="shared" si="2"/>
        <v>55</v>
      </c>
      <c r="T120" s="6" t="str">
        <f t="shared" si="3"/>
        <v>Old</v>
      </c>
      <c r="BH120" s="14">
        <f>IFERROR(__xludf.DUMMYFUNCTION("""COMPUTED_VALUE"""),358855.0)</f>
        <v>358855</v>
      </c>
      <c r="BI120" s="60" t="str">
        <f>IFERROR(__xludf.DUMMYFUNCTION("""COMPUTED_VALUE"""),"2050 Elm St, San Francisco, IL 14953")</f>
        <v>2050 Elm St, San Francisco, IL 14953</v>
      </c>
      <c r="BJ120" s="60" t="str">
        <f>IFERROR(__xludf.DUMMYFUNCTION("""COMPUTED_VALUE"""),"San Francisco")</f>
        <v>San Francisco</v>
      </c>
      <c r="BK120" s="60">
        <f>IFERROR(__xludf.DUMMYFUNCTION("""COMPUTED_VALUE"""),14953.0)</f>
        <v>14953</v>
      </c>
      <c r="BL120" s="60" t="str">
        <f>IFERROR(__xludf.DUMMYFUNCTION("""COMPUTED_VALUE"""),"IL")</f>
        <v>IL</v>
      </c>
      <c r="BM120" s="60" t="str">
        <f>IFERROR(__xludf.DUMMYFUNCTION("""COMPUTED_VALUE"""),"4 bds")</f>
        <v>4 bds</v>
      </c>
      <c r="BN120" s="60" t="str">
        <f>IFERROR(__xludf.DUMMYFUNCTION("""COMPUTED_VALUE"""),"4 ba")</f>
        <v>4 ba</v>
      </c>
      <c r="BO120" s="60">
        <f>IFERROR(__xludf.DUMMYFUNCTION("""COMPUTED_VALUE"""),3973.0)</f>
        <v>3973</v>
      </c>
      <c r="BP120" s="60">
        <f>IFERROR(__xludf.DUMMYFUNCTION("""COMPUTED_VALUE"""),9351.0)</f>
        <v>9351</v>
      </c>
      <c r="BQ120" s="60">
        <f>IFERROR(__xludf.DUMMYFUNCTION("""COMPUTED_VALUE"""),2018.0)</f>
        <v>2018</v>
      </c>
      <c r="BR120" s="60">
        <f>IFERROR(__xludf.DUMMYFUNCTION("""COMPUTED_VALUE"""),22.0)</f>
        <v>22</v>
      </c>
      <c r="BS120" s="60" t="str">
        <f>IFERROR(__xludf.DUMMYFUNCTION("""COMPUTED_VALUE"""),"Condo")</f>
        <v>Condo</v>
      </c>
      <c r="BT120" s="60" t="str">
        <f>IFERROR(__xludf.DUMMYFUNCTION("""COMPUTED_VALUE"""),"Z592395")</f>
        <v>Z592395</v>
      </c>
      <c r="BU120" s="60" t="str">
        <f>IFERROR(__xludf.DUMMYFUNCTION("""COMPUTED_VALUE"""),"Alex Johnson - Compass")</f>
        <v>Alex Johnson - Compass</v>
      </c>
      <c r="BV120" s="60" t="str">
        <f>IFERROR(__xludf.DUMMYFUNCTION("""COMPUTED_VALUE"""),"Sold")</f>
        <v>Sold</v>
      </c>
      <c r="BW120" s="60">
        <f>IFERROR(__xludf.DUMMYFUNCTION("""COMPUTED_VALUE"""),1.0)</f>
        <v>1</v>
      </c>
      <c r="BX120" s="60" t="str">
        <f>IFERROR(__xludf.DUMMYFUNCTION("""COMPUTED_VALUE"""),"OK")</f>
        <v>OK</v>
      </c>
      <c r="BY120" s="1" t="str">
        <f>IFERROR(__xludf.DUMMYFUNCTION("""COMPUTED_VALUE"""),"3600+")</f>
        <v>3600+</v>
      </c>
      <c r="BZ120" s="1">
        <f>IFERROR(__xludf.DUMMYFUNCTION("""COMPUTED_VALUE"""),8.0)</f>
        <v>8</v>
      </c>
      <c r="CA120" s="1" t="str">
        <f>IFERROR(__xludf.DUMMYFUNCTION("""COMPUTED_VALUE"""),"New")</f>
        <v>New</v>
      </c>
    </row>
    <row r="121" ht="14.25" customHeight="1">
      <c r="A121" s="5">
        <v>153968.0</v>
      </c>
      <c r="B121" s="6" t="s">
        <v>9023</v>
      </c>
      <c r="C121" s="6" t="s">
        <v>29</v>
      </c>
      <c r="D121" s="6">
        <v>92018.0</v>
      </c>
      <c r="E121" s="6" t="s">
        <v>60</v>
      </c>
      <c r="F121" s="6" t="s">
        <v>94</v>
      </c>
      <c r="G121" s="6" t="s">
        <v>21</v>
      </c>
      <c r="H121" s="7">
        <v>3420.0</v>
      </c>
      <c r="I121" s="7">
        <v>7535.0</v>
      </c>
      <c r="J121" s="6">
        <v>1973.0</v>
      </c>
      <c r="K121" s="6">
        <v>50.0</v>
      </c>
      <c r="L121" s="6" t="s">
        <v>95</v>
      </c>
      <c r="M121" s="6" t="s">
        <v>9024</v>
      </c>
      <c r="N121" s="6" t="s">
        <v>34</v>
      </c>
      <c r="O121" s="6" t="s">
        <v>35</v>
      </c>
      <c r="P121" s="6">
        <f>COUNTIF(Analysis!$M$1:$M$3001,Analysis!$M2247)</f>
        <v>1</v>
      </c>
      <c r="Q121" s="6" t="str">
        <f>IF(COUNTIF(Analysis!$M$2:$M$3001,Analysis!$M2247)&gt;1,"Duplicate","OK")</f>
        <v>OK</v>
      </c>
      <c r="R121" s="6" t="str">
        <f t="shared" si="1"/>
        <v>2600-3600</v>
      </c>
      <c r="S121" s="6">
        <f t="shared" si="2"/>
        <v>53</v>
      </c>
      <c r="T121" s="6" t="str">
        <f t="shared" si="3"/>
        <v>Old</v>
      </c>
      <c r="BH121" s="14">
        <f>IFERROR(__xludf.DUMMYFUNCTION("""COMPUTED_VALUE"""),792152.0)</f>
        <v>792152</v>
      </c>
      <c r="BI121" s="60" t="str">
        <f>IFERROR(__xludf.DUMMYFUNCTION("""COMPUTED_VALUE"""),"7836 Main St, Fresno, NY 20922")</f>
        <v>7836 Main St, Fresno, NY 20922</v>
      </c>
      <c r="BJ121" s="60" t="str">
        <f>IFERROR(__xludf.DUMMYFUNCTION("""COMPUTED_VALUE"""),"Fresno")</f>
        <v>Fresno</v>
      </c>
      <c r="BK121" s="60">
        <f>IFERROR(__xludf.DUMMYFUNCTION("""COMPUTED_VALUE"""),20922.0)</f>
        <v>20922</v>
      </c>
      <c r="BL121" s="60" t="str">
        <f>IFERROR(__xludf.DUMMYFUNCTION("""COMPUTED_VALUE"""),"NY")</f>
        <v>NY</v>
      </c>
      <c r="BM121" s="60" t="str">
        <f>IFERROR(__xludf.DUMMYFUNCTION("""COMPUTED_VALUE"""),"3 bds")</f>
        <v>3 bds</v>
      </c>
      <c r="BN121" s="60" t="str">
        <f>IFERROR(__xludf.DUMMYFUNCTION("""COMPUTED_VALUE"""),"1 ba")</f>
        <v>1 ba</v>
      </c>
      <c r="BO121" s="60">
        <f>IFERROR(__xludf.DUMMYFUNCTION("""COMPUTED_VALUE"""),3023.0)</f>
        <v>3023</v>
      </c>
      <c r="BP121" s="60">
        <f>IFERROR(__xludf.DUMMYFUNCTION("""COMPUTED_VALUE"""),4813.0)</f>
        <v>4813</v>
      </c>
      <c r="BQ121" s="60">
        <f>IFERROR(__xludf.DUMMYFUNCTION("""COMPUTED_VALUE"""),2010.0)</f>
        <v>2010</v>
      </c>
      <c r="BR121" s="60">
        <f>IFERROR(__xludf.DUMMYFUNCTION("""COMPUTED_VALUE"""),116.0)</f>
        <v>116</v>
      </c>
      <c r="BS121" s="60" t="str">
        <f>IFERROR(__xludf.DUMMYFUNCTION("""COMPUTED_VALUE"""),"Apartment")</f>
        <v>Apartment</v>
      </c>
      <c r="BT121" s="60" t="str">
        <f>IFERROR(__xludf.DUMMYFUNCTION("""COMPUTED_VALUE"""),"Z441197")</f>
        <v>Z441197</v>
      </c>
      <c r="BU121" s="60" t="str">
        <f>IFERROR(__xludf.DUMMYFUNCTION("""COMPUTED_VALUE"""),"Alex Johnson - Compass")</f>
        <v>Alex Johnson - Compass</v>
      </c>
      <c r="BV121" s="60" t="str">
        <f>IFERROR(__xludf.DUMMYFUNCTION("""COMPUTED_VALUE"""),"Sold")</f>
        <v>Sold</v>
      </c>
      <c r="BW121" s="60">
        <f>IFERROR(__xludf.DUMMYFUNCTION("""COMPUTED_VALUE"""),1.0)</f>
        <v>1</v>
      </c>
      <c r="BX121" s="60" t="str">
        <f>IFERROR(__xludf.DUMMYFUNCTION("""COMPUTED_VALUE"""),"OK")</f>
        <v>OK</v>
      </c>
      <c r="BY121" s="1" t="str">
        <f>IFERROR(__xludf.DUMMYFUNCTION("""COMPUTED_VALUE"""),"2600-3600")</f>
        <v>2600-3600</v>
      </c>
      <c r="BZ121" s="1">
        <f>IFERROR(__xludf.DUMMYFUNCTION("""COMPUTED_VALUE"""),16.0)</f>
        <v>16</v>
      </c>
      <c r="CA121" s="1" t="str">
        <f>IFERROR(__xludf.DUMMYFUNCTION("""COMPUTED_VALUE"""),"Mid")</f>
        <v>Mid</v>
      </c>
    </row>
    <row r="122" ht="14.25" customHeight="1">
      <c r="A122" s="5">
        <v>1411376.0</v>
      </c>
      <c r="B122" s="6" t="s">
        <v>529</v>
      </c>
      <c r="C122" s="6" t="s">
        <v>18</v>
      </c>
      <c r="D122" s="6">
        <v>94614.0</v>
      </c>
      <c r="E122" s="6" t="s">
        <v>60</v>
      </c>
      <c r="F122" s="6" t="s">
        <v>61</v>
      </c>
      <c r="G122" s="6" t="s">
        <v>21</v>
      </c>
      <c r="H122" s="7">
        <v>2666.0</v>
      </c>
      <c r="I122" s="7">
        <v>5243.0</v>
      </c>
      <c r="J122" s="6">
        <v>1995.0</v>
      </c>
      <c r="K122" s="6">
        <v>16.0</v>
      </c>
      <c r="L122" s="6" t="s">
        <v>95</v>
      </c>
      <c r="M122" s="6" t="s">
        <v>530</v>
      </c>
      <c r="N122" s="6" t="s">
        <v>24</v>
      </c>
      <c r="O122" s="6" t="s">
        <v>25</v>
      </c>
      <c r="P122" s="6">
        <f>COUNTIF(Analysis!$M$1:$M$3001,Analysis!$M122)</f>
        <v>1</v>
      </c>
      <c r="Q122" s="6" t="str">
        <f>IF(COUNTIF(Analysis!$M$2:$M$3001,Analysis!$M122)&gt;1,"Duplicate","OK")</f>
        <v>OK</v>
      </c>
      <c r="R122" s="6" t="str">
        <f t="shared" si="1"/>
        <v>2600-3600</v>
      </c>
      <c r="S122" s="6">
        <f t="shared" si="2"/>
        <v>31</v>
      </c>
      <c r="T122" s="6" t="str">
        <f t="shared" si="3"/>
        <v>Old</v>
      </c>
      <c r="BH122" s="14">
        <f>IFERROR(__xludf.DUMMYFUNCTION("""COMPUTED_VALUE"""),1404704.0)</f>
        <v>1404704</v>
      </c>
      <c r="BI122" s="60" t="str">
        <f>IFERROR(__xludf.DUMMYFUNCTION("""COMPUTED_VALUE"""),"6758 Main St, Los Angeles, IL 54302")</f>
        <v>6758 Main St, Los Angeles, IL 54302</v>
      </c>
      <c r="BJ122" s="60" t="str">
        <f>IFERROR(__xludf.DUMMYFUNCTION("""COMPUTED_VALUE"""),"Los Angeles")</f>
        <v>Los Angeles</v>
      </c>
      <c r="BK122" s="60">
        <f>IFERROR(__xludf.DUMMYFUNCTION("""COMPUTED_VALUE"""),54302.0)</f>
        <v>54302</v>
      </c>
      <c r="BL122" s="60" t="str">
        <f>IFERROR(__xludf.DUMMYFUNCTION("""COMPUTED_VALUE"""),"IL")</f>
        <v>IL</v>
      </c>
      <c r="BM122" s="60" t="str">
        <f>IFERROR(__xludf.DUMMYFUNCTION("""COMPUTED_VALUE"""),"1 bds")</f>
        <v>1 bds</v>
      </c>
      <c r="BN122" s="60" t="str">
        <f>IFERROR(__xludf.DUMMYFUNCTION("""COMPUTED_VALUE"""),"3 ba")</f>
        <v>3 ba</v>
      </c>
      <c r="BO122" s="60">
        <f>IFERROR(__xludf.DUMMYFUNCTION("""COMPUTED_VALUE"""),814.0)</f>
        <v>814</v>
      </c>
      <c r="BP122" s="60">
        <f>IFERROR(__xludf.DUMMYFUNCTION("""COMPUTED_VALUE"""),9595.0)</f>
        <v>9595</v>
      </c>
      <c r="BQ122" s="60">
        <f>IFERROR(__xludf.DUMMYFUNCTION("""COMPUTED_VALUE"""),2015.0)</f>
        <v>2015</v>
      </c>
      <c r="BR122" s="60">
        <f>IFERROR(__xludf.DUMMYFUNCTION("""COMPUTED_VALUE"""),47.0)</f>
        <v>47</v>
      </c>
      <c r="BS122" s="60" t="str">
        <f>IFERROR(__xludf.DUMMYFUNCTION("""COMPUTED_VALUE"""),"Multi-Family")</f>
        <v>Multi-Family</v>
      </c>
      <c r="BT122" s="60" t="str">
        <f>IFERROR(__xludf.DUMMYFUNCTION("""COMPUTED_VALUE"""),"Z413306")</f>
        <v>Z413306</v>
      </c>
      <c r="BU122" s="60" t="str">
        <f>IFERROR(__xludf.DUMMYFUNCTION("""COMPUTED_VALUE"""),"Alex Johnson - Compass")</f>
        <v>Alex Johnson - Compass</v>
      </c>
      <c r="BV122" s="60" t="str">
        <f>IFERROR(__xludf.DUMMYFUNCTION("""COMPUTED_VALUE"""),"Sold")</f>
        <v>Sold</v>
      </c>
      <c r="BW122" s="60">
        <f>IFERROR(__xludf.DUMMYFUNCTION("""COMPUTED_VALUE"""),1.0)</f>
        <v>1</v>
      </c>
      <c r="BX122" s="60" t="str">
        <f>IFERROR(__xludf.DUMMYFUNCTION("""COMPUTED_VALUE"""),"OK")</f>
        <v>OK</v>
      </c>
      <c r="BY122" s="1" t="str">
        <f>IFERROR(__xludf.DUMMYFUNCTION("""COMPUTED_VALUE"""),"600-1600")</f>
        <v>600-1600</v>
      </c>
      <c r="BZ122" s="1">
        <f>IFERROR(__xludf.DUMMYFUNCTION("""COMPUTED_VALUE"""),11.0)</f>
        <v>11</v>
      </c>
      <c r="CA122" s="1" t="str">
        <f>IFERROR(__xludf.DUMMYFUNCTION("""COMPUTED_VALUE"""),"Mid")</f>
        <v>Mid</v>
      </c>
    </row>
    <row r="123" ht="14.25" customHeight="1">
      <c r="A123" s="5">
        <v>603748.0</v>
      </c>
      <c r="B123" s="6" t="s">
        <v>533</v>
      </c>
      <c r="C123" s="6" t="s">
        <v>18</v>
      </c>
      <c r="D123" s="6">
        <v>67157.0</v>
      </c>
      <c r="E123" s="6" t="s">
        <v>30</v>
      </c>
      <c r="F123" s="6" t="s">
        <v>54</v>
      </c>
      <c r="G123" s="6" t="s">
        <v>31</v>
      </c>
      <c r="H123" s="7">
        <v>3411.0</v>
      </c>
      <c r="I123" s="7">
        <v>6632.0</v>
      </c>
      <c r="J123" s="6">
        <v>1956.0</v>
      </c>
      <c r="K123" s="6">
        <v>88.0</v>
      </c>
      <c r="L123" s="6" t="s">
        <v>95</v>
      </c>
      <c r="M123" s="6" t="s">
        <v>534</v>
      </c>
      <c r="N123" s="6" t="s">
        <v>48</v>
      </c>
      <c r="O123" s="6" t="s">
        <v>25</v>
      </c>
      <c r="P123" s="6">
        <f>COUNTIF(Analysis!$M$1:$M$3001,Analysis!$M123)</f>
        <v>1</v>
      </c>
      <c r="Q123" s="6" t="str">
        <f>IF(COUNTIF(Analysis!$M$2:$M$3001,Analysis!$M123)&gt;1,"Duplicate","OK")</f>
        <v>OK</v>
      </c>
      <c r="R123" s="6" t="str">
        <f t="shared" si="1"/>
        <v>2600-3600</v>
      </c>
      <c r="S123" s="6">
        <f t="shared" si="2"/>
        <v>70</v>
      </c>
      <c r="T123" s="6" t="str">
        <f t="shared" si="3"/>
        <v>Very Old</v>
      </c>
      <c r="BH123" s="14">
        <f>IFERROR(__xludf.DUMMYFUNCTION("""COMPUTED_VALUE"""),1444268.0)</f>
        <v>1444268</v>
      </c>
      <c r="BI123" s="60" t="str">
        <f>IFERROR(__xludf.DUMMYFUNCTION("""COMPUTED_VALUE"""),"446 Pine Rd, San Francisco, NY 84752")</f>
        <v>446 Pine Rd, San Francisco, NY 84752</v>
      </c>
      <c r="BJ123" s="60" t="str">
        <f>IFERROR(__xludf.DUMMYFUNCTION("""COMPUTED_VALUE"""),"San Francisco")</f>
        <v>San Francisco</v>
      </c>
      <c r="BK123" s="60">
        <f>IFERROR(__xludf.DUMMYFUNCTION("""COMPUTED_VALUE"""),84752.0)</f>
        <v>84752</v>
      </c>
      <c r="BL123" s="60" t="str">
        <f>IFERROR(__xludf.DUMMYFUNCTION("""COMPUTED_VALUE"""),"NY")</f>
        <v>NY</v>
      </c>
      <c r="BM123" s="60" t="str">
        <f>IFERROR(__xludf.DUMMYFUNCTION("""COMPUTED_VALUE"""),"4 bds")</f>
        <v>4 bds</v>
      </c>
      <c r="BN123" s="60" t="str">
        <f>IFERROR(__xludf.DUMMYFUNCTION("""COMPUTED_VALUE"""),"4 ba")</f>
        <v>4 ba</v>
      </c>
      <c r="BO123" s="60">
        <f>IFERROR(__xludf.DUMMYFUNCTION("""COMPUTED_VALUE"""),2767.0)</f>
        <v>2767</v>
      </c>
      <c r="BP123" s="60">
        <f>IFERROR(__xludf.DUMMYFUNCTION("""COMPUTED_VALUE"""),7204.0)</f>
        <v>7204</v>
      </c>
      <c r="BQ123" s="60">
        <f>IFERROR(__xludf.DUMMYFUNCTION("""COMPUTED_VALUE"""),1958.0)</f>
        <v>1958</v>
      </c>
      <c r="BR123" s="60">
        <f>IFERROR(__xludf.DUMMYFUNCTION("""COMPUTED_VALUE"""),64.0)</f>
        <v>64</v>
      </c>
      <c r="BS123" s="60" t="str">
        <f>IFERROR(__xludf.DUMMYFUNCTION("""COMPUTED_VALUE"""),"Townhouse")</f>
        <v>Townhouse</v>
      </c>
      <c r="BT123" s="60" t="str">
        <f>IFERROR(__xludf.DUMMYFUNCTION("""COMPUTED_VALUE"""),"Z375650")</f>
        <v>Z375650</v>
      </c>
      <c r="BU123" s="60" t="str">
        <f>IFERROR(__xludf.DUMMYFUNCTION("""COMPUTED_VALUE"""),"Alex Johnson - Compass")</f>
        <v>Alex Johnson - Compass</v>
      </c>
      <c r="BV123" s="60" t="str">
        <f>IFERROR(__xludf.DUMMYFUNCTION("""COMPUTED_VALUE"""),"Sold")</f>
        <v>Sold</v>
      </c>
      <c r="BW123" s="60">
        <f>IFERROR(__xludf.DUMMYFUNCTION("""COMPUTED_VALUE"""),1.0)</f>
        <v>1</v>
      </c>
      <c r="BX123" s="60" t="str">
        <f>IFERROR(__xludf.DUMMYFUNCTION("""COMPUTED_VALUE"""),"OK")</f>
        <v>OK</v>
      </c>
      <c r="BY123" s="1" t="str">
        <f>IFERROR(__xludf.DUMMYFUNCTION("""COMPUTED_VALUE"""),"2600-3600")</f>
        <v>2600-3600</v>
      </c>
      <c r="BZ123" s="1">
        <f>IFERROR(__xludf.DUMMYFUNCTION("""COMPUTED_VALUE"""),68.0)</f>
        <v>68</v>
      </c>
      <c r="CA123" s="1" t="str">
        <f>IFERROR(__xludf.DUMMYFUNCTION("""COMPUTED_VALUE"""),"Very Old")</f>
        <v>Very Old</v>
      </c>
    </row>
    <row r="124" ht="14.25" customHeight="1">
      <c r="A124" s="5">
        <v>1388656.0</v>
      </c>
      <c r="B124" s="6" t="s">
        <v>537</v>
      </c>
      <c r="C124" s="6" t="s">
        <v>39</v>
      </c>
      <c r="D124" s="6">
        <v>23470.0</v>
      </c>
      <c r="E124" s="6" t="s">
        <v>60</v>
      </c>
      <c r="F124" s="6" t="s">
        <v>61</v>
      </c>
      <c r="G124" s="6" t="s">
        <v>21</v>
      </c>
      <c r="H124" s="7">
        <v>1628.0</v>
      </c>
      <c r="I124" s="7">
        <v>2454.0</v>
      </c>
      <c r="J124" s="6">
        <v>2002.0</v>
      </c>
      <c r="K124" s="6">
        <v>76.0</v>
      </c>
      <c r="L124" s="6" t="s">
        <v>32</v>
      </c>
      <c r="M124" s="6" t="s">
        <v>538</v>
      </c>
      <c r="N124" s="6" t="s">
        <v>43</v>
      </c>
      <c r="O124" s="6" t="s">
        <v>49</v>
      </c>
      <c r="P124" s="6">
        <f>COUNTIF(Analysis!$M$1:$M$3001,Analysis!$M124)</f>
        <v>1</v>
      </c>
      <c r="Q124" s="6" t="str">
        <f>IF(COUNTIF(Analysis!$M$2:$M$3001,Analysis!$M124)&gt;1,"Duplicate","OK")</f>
        <v>OK</v>
      </c>
      <c r="R124" s="6" t="str">
        <f t="shared" si="1"/>
        <v>1600-2600</v>
      </c>
      <c r="S124" s="6">
        <f t="shared" si="2"/>
        <v>24</v>
      </c>
      <c r="T124" s="6" t="str">
        <f t="shared" si="3"/>
        <v>Mid</v>
      </c>
      <c r="BH124" s="14">
        <f>IFERROR(__xludf.DUMMYFUNCTION("""COMPUTED_VALUE"""),810968.0)</f>
        <v>810968</v>
      </c>
      <c r="BI124" s="60" t="str">
        <f>IFERROR(__xludf.DUMMYFUNCTION("""COMPUTED_VALUE"""),"8057 Oak Ave, Fresno, NY 62758")</f>
        <v>8057 Oak Ave, Fresno, NY 62758</v>
      </c>
      <c r="BJ124" s="60" t="str">
        <f>IFERROR(__xludf.DUMMYFUNCTION("""COMPUTED_VALUE"""),"Fresno")</f>
        <v>Fresno</v>
      </c>
      <c r="BK124" s="60">
        <f>IFERROR(__xludf.DUMMYFUNCTION("""COMPUTED_VALUE"""),62758.0)</f>
        <v>62758</v>
      </c>
      <c r="BL124" s="60" t="str">
        <f>IFERROR(__xludf.DUMMYFUNCTION("""COMPUTED_VALUE"""),"NY")</f>
        <v>NY</v>
      </c>
      <c r="BM124" s="60" t="str">
        <f>IFERROR(__xludf.DUMMYFUNCTION("""COMPUTED_VALUE"""),"3 bds")</f>
        <v>3 bds</v>
      </c>
      <c r="BN124" s="60" t="str">
        <f>IFERROR(__xludf.DUMMYFUNCTION("""COMPUTED_VALUE"""),"2 ba")</f>
        <v>2 ba</v>
      </c>
      <c r="BO124" s="60">
        <f>IFERROR(__xludf.DUMMYFUNCTION("""COMPUTED_VALUE"""),3904.0)</f>
        <v>3904</v>
      </c>
      <c r="BP124" s="60">
        <f>IFERROR(__xludf.DUMMYFUNCTION("""COMPUTED_VALUE"""),4219.0)</f>
        <v>4219</v>
      </c>
      <c r="BQ124" s="60">
        <f>IFERROR(__xludf.DUMMYFUNCTION("""COMPUTED_VALUE"""),1956.0)</f>
        <v>1956</v>
      </c>
      <c r="BR124" s="60">
        <f>IFERROR(__xludf.DUMMYFUNCTION("""COMPUTED_VALUE"""),112.0)</f>
        <v>112</v>
      </c>
      <c r="BS124" s="60" t="str">
        <f>IFERROR(__xludf.DUMMYFUNCTION("""COMPUTED_VALUE"""),"Apartment")</f>
        <v>Apartment</v>
      </c>
      <c r="BT124" s="60" t="str">
        <f>IFERROR(__xludf.DUMMYFUNCTION("""COMPUTED_VALUE"""),"Z111353")</f>
        <v>Z111353</v>
      </c>
      <c r="BU124" s="60" t="str">
        <f>IFERROR(__xludf.DUMMYFUNCTION("""COMPUTED_VALUE"""),"Alex Johnson - Compass")</f>
        <v>Alex Johnson - Compass</v>
      </c>
      <c r="BV124" s="60" t="str">
        <f>IFERROR(__xludf.DUMMYFUNCTION("""COMPUTED_VALUE"""),"Sold")</f>
        <v>Sold</v>
      </c>
      <c r="BW124" s="60">
        <f>IFERROR(__xludf.DUMMYFUNCTION("""COMPUTED_VALUE"""),1.0)</f>
        <v>1</v>
      </c>
      <c r="BX124" s="60" t="str">
        <f>IFERROR(__xludf.DUMMYFUNCTION("""COMPUTED_VALUE"""),"OK")</f>
        <v>OK</v>
      </c>
      <c r="BY124" s="1" t="str">
        <f>IFERROR(__xludf.DUMMYFUNCTION("""COMPUTED_VALUE"""),"3600+")</f>
        <v>3600+</v>
      </c>
      <c r="BZ124" s="1">
        <f>IFERROR(__xludf.DUMMYFUNCTION("""COMPUTED_VALUE"""),70.0)</f>
        <v>70</v>
      </c>
      <c r="CA124" s="1" t="str">
        <f>IFERROR(__xludf.DUMMYFUNCTION("""COMPUTED_VALUE"""),"Very Old")</f>
        <v>Very Old</v>
      </c>
    </row>
    <row r="125" ht="14.25" customHeight="1">
      <c r="A125" s="5">
        <v>155283.0</v>
      </c>
      <c r="B125" s="6" t="s">
        <v>1893</v>
      </c>
      <c r="C125" s="6" t="s">
        <v>29</v>
      </c>
      <c r="D125" s="6">
        <v>18979.0</v>
      </c>
      <c r="E125" s="6" t="s">
        <v>77</v>
      </c>
      <c r="F125" s="6" t="s">
        <v>41</v>
      </c>
      <c r="G125" s="6" t="s">
        <v>31</v>
      </c>
      <c r="H125" s="7">
        <v>2452.0</v>
      </c>
      <c r="I125" s="7">
        <v>2886.0</v>
      </c>
      <c r="J125" s="6">
        <v>2016.0</v>
      </c>
      <c r="K125" s="6">
        <v>87.0</v>
      </c>
      <c r="L125" s="6" t="s">
        <v>22</v>
      </c>
      <c r="M125" s="6" t="s">
        <v>1894</v>
      </c>
      <c r="N125" s="6" t="s">
        <v>64</v>
      </c>
      <c r="O125" s="6" t="s">
        <v>25</v>
      </c>
      <c r="P125" s="6">
        <f>COUNTIF(Analysis!$M$1:$M$3001,Analysis!$M463)</f>
        <v>1</v>
      </c>
      <c r="Q125" s="6" t="str">
        <f>IF(COUNTIF(Analysis!$M$2:$M$3001,Analysis!$M463)&gt;1,"Duplicate","OK")</f>
        <v>OK</v>
      </c>
      <c r="R125" s="6" t="str">
        <f t="shared" si="1"/>
        <v>1600-2600</v>
      </c>
      <c r="S125" s="6">
        <f t="shared" si="2"/>
        <v>10</v>
      </c>
      <c r="T125" s="6" t="str">
        <f t="shared" si="3"/>
        <v>New</v>
      </c>
      <c r="BH125" s="14">
        <f>IFERROR(__xludf.DUMMYFUNCTION("""COMPUTED_VALUE"""),248621.0)</f>
        <v>248621</v>
      </c>
      <c r="BI125" s="60" t="str">
        <f>IFERROR(__xludf.DUMMYFUNCTION("""COMPUTED_VALUE"""),"2676 Main St, Sacramento, NY 48036")</f>
        <v>2676 Main St, Sacramento, NY 48036</v>
      </c>
      <c r="BJ125" s="60" t="str">
        <f>IFERROR(__xludf.DUMMYFUNCTION("""COMPUTED_VALUE"""),"Sacramento")</f>
        <v>Sacramento</v>
      </c>
      <c r="BK125" s="60">
        <f>IFERROR(__xludf.DUMMYFUNCTION("""COMPUTED_VALUE"""),48036.0)</f>
        <v>48036</v>
      </c>
      <c r="BL125" s="60" t="str">
        <f>IFERROR(__xludf.DUMMYFUNCTION("""COMPUTED_VALUE"""),"NY")</f>
        <v>NY</v>
      </c>
      <c r="BM125" s="60" t="str">
        <f>IFERROR(__xludf.DUMMYFUNCTION("""COMPUTED_VALUE"""),"1 bds")</f>
        <v>1 bds</v>
      </c>
      <c r="BN125" s="60" t="str">
        <f>IFERROR(__xludf.DUMMYFUNCTION("""COMPUTED_VALUE"""),"3 ba")</f>
        <v>3 ba</v>
      </c>
      <c r="BO125" s="60">
        <f>IFERROR(__xludf.DUMMYFUNCTION("""COMPUTED_VALUE"""),2714.0)</f>
        <v>2714</v>
      </c>
      <c r="BP125" s="60">
        <f>IFERROR(__xludf.DUMMYFUNCTION("""COMPUTED_VALUE"""),7865.0)</f>
        <v>7865</v>
      </c>
      <c r="BQ125" s="60">
        <f>IFERROR(__xludf.DUMMYFUNCTION("""COMPUTED_VALUE"""),1987.0)</f>
        <v>1987</v>
      </c>
      <c r="BR125" s="60">
        <f>IFERROR(__xludf.DUMMYFUNCTION("""COMPUTED_VALUE"""),91.0)</f>
        <v>91</v>
      </c>
      <c r="BS125" s="60" t="str">
        <f>IFERROR(__xludf.DUMMYFUNCTION("""COMPUTED_VALUE"""),"Condo")</f>
        <v>Condo</v>
      </c>
      <c r="BT125" s="60" t="str">
        <f>IFERROR(__xludf.DUMMYFUNCTION("""COMPUTED_VALUE"""),"Z450292")</f>
        <v>Z450292</v>
      </c>
      <c r="BU125" s="60" t="str">
        <f>IFERROR(__xludf.DUMMYFUNCTION("""COMPUTED_VALUE"""),"Alex Johnson - Compass")</f>
        <v>Alex Johnson - Compass</v>
      </c>
      <c r="BV125" s="60" t="str">
        <f>IFERROR(__xludf.DUMMYFUNCTION("""COMPUTED_VALUE"""),"Sold")</f>
        <v>Sold</v>
      </c>
      <c r="BW125" s="60">
        <f>IFERROR(__xludf.DUMMYFUNCTION("""COMPUTED_VALUE"""),1.0)</f>
        <v>1</v>
      </c>
      <c r="BX125" s="60" t="str">
        <f>IFERROR(__xludf.DUMMYFUNCTION("""COMPUTED_VALUE"""),"OK")</f>
        <v>OK</v>
      </c>
      <c r="BY125" s="1" t="str">
        <f>IFERROR(__xludf.DUMMYFUNCTION("""COMPUTED_VALUE"""),"2600-3600")</f>
        <v>2600-3600</v>
      </c>
      <c r="BZ125" s="1">
        <f>IFERROR(__xludf.DUMMYFUNCTION("""COMPUTED_VALUE"""),39.0)</f>
        <v>39</v>
      </c>
      <c r="CA125" s="1" t="str">
        <f>IFERROR(__xludf.DUMMYFUNCTION("""COMPUTED_VALUE"""),"Old")</f>
        <v>Old</v>
      </c>
    </row>
    <row r="126" ht="14.25" customHeight="1">
      <c r="A126" s="5">
        <v>878059.0</v>
      </c>
      <c r="B126" s="6" t="s">
        <v>545</v>
      </c>
      <c r="C126" s="6" t="s">
        <v>39</v>
      </c>
      <c r="D126" s="6">
        <v>39637.0</v>
      </c>
      <c r="E126" s="6" t="s">
        <v>60</v>
      </c>
      <c r="F126" s="6" t="s">
        <v>20</v>
      </c>
      <c r="G126" s="6" t="s">
        <v>21</v>
      </c>
      <c r="H126" s="7">
        <v>3060.0</v>
      </c>
      <c r="I126" s="7">
        <v>4666.0</v>
      </c>
      <c r="J126" s="6">
        <v>1974.0</v>
      </c>
      <c r="K126" s="6">
        <v>46.0</v>
      </c>
      <c r="L126" s="6" t="s">
        <v>62</v>
      </c>
      <c r="M126" s="6" t="s">
        <v>546</v>
      </c>
      <c r="N126" s="6" t="s">
        <v>64</v>
      </c>
      <c r="O126" s="6" t="s">
        <v>25</v>
      </c>
      <c r="P126" s="6">
        <f>COUNTIF(Analysis!$M$1:$M$3001,Analysis!$M126)</f>
        <v>1</v>
      </c>
      <c r="Q126" s="6" t="str">
        <f>IF(COUNTIF(Analysis!$M$2:$M$3001,Analysis!$M126)&gt;1,"Duplicate","OK")</f>
        <v>OK</v>
      </c>
      <c r="R126" s="6" t="str">
        <f t="shared" si="1"/>
        <v>2600-3600</v>
      </c>
      <c r="S126" s="6">
        <f t="shared" si="2"/>
        <v>52</v>
      </c>
      <c r="T126" s="6" t="str">
        <f t="shared" si="3"/>
        <v>Old</v>
      </c>
      <c r="BH126" s="14">
        <f>IFERROR(__xludf.DUMMYFUNCTION("""COMPUTED_VALUE"""),1164352.0)</f>
        <v>1164352</v>
      </c>
      <c r="BI126" s="60" t="str">
        <f>IFERROR(__xludf.DUMMYFUNCTION("""COMPUTED_VALUE"""),"5369 Main St, San Diego, NY 92760")</f>
        <v>5369 Main St, San Diego, NY 92760</v>
      </c>
      <c r="BJ126" s="60" t="str">
        <f>IFERROR(__xludf.DUMMYFUNCTION("""COMPUTED_VALUE"""),"San Diego")</f>
        <v>San Diego</v>
      </c>
      <c r="BK126" s="60">
        <f>IFERROR(__xludf.DUMMYFUNCTION("""COMPUTED_VALUE"""),92760.0)</f>
        <v>92760</v>
      </c>
      <c r="BL126" s="60" t="str">
        <f>IFERROR(__xludf.DUMMYFUNCTION("""COMPUTED_VALUE"""),"NY")</f>
        <v>NY</v>
      </c>
      <c r="BM126" s="60" t="str">
        <f>IFERROR(__xludf.DUMMYFUNCTION("""COMPUTED_VALUE"""),"6 bds")</f>
        <v>6 bds</v>
      </c>
      <c r="BN126" s="60" t="str">
        <f>IFERROR(__xludf.DUMMYFUNCTION("""COMPUTED_VALUE"""),"4 ba")</f>
        <v>4 ba</v>
      </c>
      <c r="BO126" s="60">
        <f>IFERROR(__xludf.DUMMYFUNCTION("""COMPUTED_VALUE"""),3865.0)</f>
        <v>3865</v>
      </c>
      <c r="BP126" s="60">
        <f>IFERROR(__xludf.DUMMYFUNCTION("""COMPUTED_VALUE"""),2589.0)</f>
        <v>2589</v>
      </c>
      <c r="BQ126" s="60">
        <f>IFERROR(__xludf.DUMMYFUNCTION("""COMPUTED_VALUE"""),1964.0)</f>
        <v>1964</v>
      </c>
      <c r="BR126" s="60">
        <f>IFERROR(__xludf.DUMMYFUNCTION("""COMPUTED_VALUE"""),86.0)</f>
        <v>86</v>
      </c>
      <c r="BS126" s="60" t="str">
        <f>IFERROR(__xludf.DUMMYFUNCTION("""COMPUTED_VALUE"""),"Apartment")</f>
        <v>Apartment</v>
      </c>
      <c r="BT126" s="60" t="str">
        <f>IFERROR(__xludf.DUMMYFUNCTION("""COMPUTED_VALUE"""),"Z643681")</f>
        <v>Z643681</v>
      </c>
      <c r="BU126" s="60" t="str">
        <f>IFERROR(__xludf.DUMMYFUNCTION("""COMPUTED_VALUE"""),"Alex Johnson - Compass")</f>
        <v>Alex Johnson - Compass</v>
      </c>
      <c r="BV126" s="60" t="str">
        <f>IFERROR(__xludf.DUMMYFUNCTION("""COMPUTED_VALUE"""),"Sold")</f>
        <v>Sold</v>
      </c>
      <c r="BW126" s="60">
        <f>IFERROR(__xludf.DUMMYFUNCTION("""COMPUTED_VALUE"""),1.0)</f>
        <v>1</v>
      </c>
      <c r="BX126" s="60" t="str">
        <f>IFERROR(__xludf.DUMMYFUNCTION("""COMPUTED_VALUE"""),"OK")</f>
        <v>OK</v>
      </c>
      <c r="BY126" s="1" t="str">
        <f>IFERROR(__xludf.DUMMYFUNCTION("""COMPUTED_VALUE"""),"3600+")</f>
        <v>3600+</v>
      </c>
      <c r="BZ126" s="1">
        <f>IFERROR(__xludf.DUMMYFUNCTION("""COMPUTED_VALUE"""),62.0)</f>
        <v>62</v>
      </c>
      <c r="CA126" s="1" t="str">
        <f>IFERROR(__xludf.DUMMYFUNCTION("""COMPUTED_VALUE"""),"Very Old")</f>
        <v>Very Old</v>
      </c>
    </row>
    <row r="127" ht="14.25" customHeight="1">
      <c r="A127" s="5">
        <v>581015.0</v>
      </c>
      <c r="B127" s="6" t="s">
        <v>549</v>
      </c>
      <c r="C127" s="6" t="s">
        <v>18</v>
      </c>
      <c r="D127" s="6">
        <v>76613.0</v>
      </c>
      <c r="E127" s="6" t="s">
        <v>19</v>
      </c>
      <c r="F127" s="6" t="s">
        <v>61</v>
      </c>
      <c r="G127" s="6" t="s">
        <v>55</v>
      </c>
      <c r="H127" s="7">
        <v>1800.0</v>
      </c>
      <c r="I127" s="7">
        <v>8145.0</v>
      </c>
      <c r="J127" s="6">
        <v>1987.0</v>
      </c>
      <c r="K127" s="6">
        <v>49.0</v>
      </c>
      <c r="L127" s="6" t="s">
        <v>141</v>
      </c>
      <c r="M127" s="6" t="s">
        <v>550</v>
      </c>
      <c r="N127" s="6" t="s">
        <v>34</v>
      </c>
      <c r="O127" s="6" t="s">
        <v>25</v>
      </c>
      <c r="P127" s="6">
        <f>COUNTIF(Analysis!$M$1:$M$3001,Analysis!$M127)</f>
        <v>1</v>
      </c>
      <c r="Q127" s="6" t="str">
        <f>IF(COUNTIF(Analysis!$M$2:$M$3001,Analysis!$M127)&gt;1,"Duplicate","OK")</f>
        <v>OK</v>
      </c>
      <c r="R127" s="6" t="str">
        <f t="shared" si="1"/>
        <v>1600-2600</v>
      </c>
      <c r="S127" s="6">
        <f t="shared" si="2"/>
        <v>39</v>
      </c>
      <c r="T127" s="6" t="str">
        <f t="shared" si="3"/>
        <v>Old</v>
      </c>
      <c r="BH127" s="14">
        <f>IFERROR(__xludf.DUMMYFUNCTION("""COMPUTED_VALUE"""),407981.0)</f>
        <v>407981</v>
      </c>
      <c r="BI127" s="60" t="str">
        <f>IFERROR(__xludf.DUMMYFUNCTION("""COMPUTED_VALUE"""),"1148 Maple Dr, Los Angeles, NY 31427")</f>
        <v>1148 Maple Dr, Los Angeles, NY 31427</v>
      </c>
      <c r="BJ127" s="60" t="str">
        <f>IFERROR(__xludf.DUMMYFUNCTION("""COMPUTED_VALUE"""),"Los Angeles")</f>
        <v>Los Angeles</v>
      </c>
      <c r="BK127" s="60">
        <f>IFERROR(__xludf.DUMMYFUNCTION("""COMPUTED_VALUE"""),31427.0)</f>
        <v>31427</v>
      </c>
      <c r="BL127" s="60" t="str">
        <f>IFERROR(__xludf.DUMMYFUNCTION("""COMPUTED_VALUE"""),"NY")</f>
        <v>NY</v>
      </c>
      <c r="BM127" s="60" t="str">
        <f>IFERROR(__xludf.DUMMYFUNCTION("""COMPUTED_VALUE"""),"1 bds")</f>
        <v>1 bds</v>
      </c>
      <c r="BN127" s="60" t="str">
        <f>IFERROR(__xludf.DUMMYFUNCTION("""COMPUTED_VALUE"""),"1 ba")</f>
        <v>1 ba</v>
      </c>
      <c r="BO127" s="60">
        <f>IFERROR(__xludf.DUMMYFUNCTION("""COMPUTED_VALUE"""),3261.0)</f>
        <v>3261</v>
      </c>
      <c r="BP127" s="60">
        <f>IFERROR(__xludf.DUMMYFUNCTION("""COMPUTED_VALUE"""),7785.0)</f>
        <v>7785</v>
      </c>
      <c r="BQ127" s="60">
        <f>IFERROR(__xludf.DUMMYFUNCTION("""COMPUTED_VALUE"""),2008.0)</f>
        <v>2008</v>
      </c>
      <c r="BR127" s="60">
        <f>IFERROR(__xludf.DUMMYFUNCTION("""COMPUTED_VALUE"""),100.0)</f>
        <v>100</v>
      </c>
      <c r="BS127" s="60" t="str">
        <f>IFERROR(__xludf.DUMMYFUNCTION("""COMPUTED_VALUE"""),"Townhouse")</f>
        <v>Townhouse</v>
      </c>
      <c r="BT127" s="60" t="str">
        <f>IFERROR(__xludf.DUMMYFUNCTION("""COMPUTED_VALUE"""),"Z632701")</f>
        <v>Z632701</v>
      </c>
      <c r="BU127" s="60" t="str">
        <f>IFERROR(__xludf.DUMMYFUNCTION("""COMPUTED_VALUE"""),"Alex Johnson - Compass")</f>
        <v>Alex Johnson - Compass</v>
      </c>
      <c r="BV127" s="60" t="str">
        <f>IFERROR(__xludf.DUMMYFUNCTION("""COMPUTED_VALUE"""),"Sold")</f>
        <v>Sold</v>
      </c>
      <c r="BW127" s="60">
        <f>IFERROR(__xludf.DUMMYFUNCTION("""COMPUTED_VALUE"""),1.0)</f>
        <v>1</v>
      </c>
      <c r="BX127" s="60" t="str">
        <f>IFERROR(__xludf.DUMMYFUNCTION("""COMPUTED_VALUE"""),"OK")</f>
        <v>OK</v>
      </c>
      <c r="BY127" s="1" t="str">
        <f>IFERROR(__xludf.DUMMYFUNCTION("""COMPUTED_VALUE"""),"2600-3600")</f>
        <v>2600-3600</v>
      </c>
      <c r="BZ127" s="1">
        <f>IFERROR(__xludf.DUMMYFUNCTION("""COMPUTED_VALUE"""),18.0)</f>
        <v>18</v>
      </c>
      <c r="CA127" s="1" t="str">
        <f>IFERROR(__xludf.DUMMYFUNCTION("""COMPUTED_VALUE"""),"Mid")</f>
        <v>Mid</v>
      </c>
    </row>
    <row r="128" ht="14.25" customHeight="1">
      <c r="A128" s="5">
        <v>1129910.0</v>
      </c>
      <c r="B128" s="6" t="s">
        <v>553</v>
      </c>
      <c r="C128" s="6" t="s">
        <v>76</v>
      </c>
      <c r="D128" s="6">
        <v>48137.0</v>
      </c>
      <c r="E128" s="6" t="s">
        <v>19</v>
      </c>
      <c r="F128" s="6" t="s">
        <v>46</v>
      </c>
      <c r="G128" s="6" t="s">
        <v>21</v>
      </c>
      <c r="H128" s="7">
        <v>1809.0</v>
      </c>
      <c r="I128" s="7">
        <v>2168.0</v>
      </c>
      <c r="J128" s="6">
        <v>1988.0</v>
      </c>
      <c r="K128" s="6">
        <v>26.0</v>
      </c>
      <c r="L128" s="6" t="s">
        <v>95</v>
      </c>
      <c r="M128" s="6" t="s">
        <v>554</v>
      </c>
      <c r="N128" s="6" t="s">
        <v>48</v>
      </c>
      <c r="O128" s="6" t="s">
        <v>25</v>
      </c>
      <c r="P128" s="6">
        <f>COUNTIF(Analysis!$M$1:$M$3001,Analysis!$M128)</f>
        <v>1</v>
      </c>
      <c r="Q128" s="6" t="str">
        <f>IF(COUNTIF(Analysis!$M$2:$M$3001,Analysis!$M128)&gt;1,"Duplicate","OK")</f>
        <v>OK</v>
      </c>
      <c r="R128" s="6" t="str">
        <f t="shared" si="1"/>
        <v>1600-2600</v>
      </c>
      <c r="S128" s="6">
        <f t="shared" si="2"/>
        <v>38</v>
      </c>
      <c r="T128" s="6" t="str">
        <f t="shared" si="3"/>
        <v>Old</v>
      </c>
      <c r="BH128" s="14">
        <f>IFERROR(__xludf.DUMMYFUNCTION("""COMPUTED_VALUE"""),629929.0)</f>
        <v>629929</v>
      </c>
      <c r="BI128" s="60" t="str">
        <f>IFERROR(__xludf.DUMMYFUNCTION("""COMPUTED_VALUE"""),"5701 Pine Rd, Los Angeles, TX 27691")</f>
        <v>5701 Pine Rd, Los Angeles, TX 27691</v>
      </c>
      <c r="BJ128" s="60" t="str">
        <f>IFERROR(__xludf.DUMMYFUNCTION("""COMPUTED_VALUE"""),"Los Angeles")</f>
        <v>Los Angeles</v>
      </c>
      <c r="BK128" s="60">
        <f>IFERROR(__xludf.DUMMYFUNCTION("""COMPUTED_VALUE"""),27691.0)</f>
        <v>27691</v>
      </c>
      <c r="BL128" s="60" t="str">
        <f>IFERROR(__xludf.DUMMYFUNCTION("""COMPUTED_VALUE"""),"TX")</f>
        <v>TX</v>
      </c>
      <c r="BM128" s="60" t="str">
        <f>IFERROR(__xludf.DUMMYFUNCTION("""COMPUTED_VALUE"""),"1 bds")</f>
        <v>1 bds</v>
      </c>
      <c r="BN128" s="60" t="str">
        <f>IFERROR(__xludf.DUMMYFUNCTION("""COMPUTED_VALUE"""),"2 ba")</f>
        <v>2 ba</v>
      </c>
      <c r="BO128" s="60">
        <f>IFERROR(__xludf.DUMMYFUNCTION("""COMPUTED_VALUE"""),3090.0)</f>
        <v>3090</v>
      </c>
      <c r="BP128" s="60">
        <f>IFERROR(__xludf.DUMMYFUNCTION("""COMPUTED_VALUE"""),1342.0)</f>
        <v>1342</v>
      </c>
      <c r="BQ128" s="60">
        <f>IFERROR(__xludf.DUMMYFUNCTION("""COMPUTED_VALUE"""),2011.0)</f>
        <v>2011</v>
      </c>
      <c r="BR128" s="60">
        <f>IFERROR(__xludf.DUMMYFUNCTION("""COMPUTED_VALUE"""),30.0)</f>
        <v>30</v>
      </c>
      <c r="BS128" s="60" t="str">
        <f>IFERROR(__xludf.DUMMYFUNCTION("""COMPUTED_VALUE"""),"Multi-Family")</f>
        <v>Multi-Family</v>
      </c>
      <c r="BT128" s="60" t="str">
        <f>IFERROR(__xludf.DUMMYFUNCTION("""COMPUTED_VALUE"""),"Z809126")</f>
        <v>Z809126</v>
      </c>
      <c r="BU128" s="60" t="str">
        <f>IFERROR(__xludf.DUMMYFUNCTION("""COMPUTED_VALUE"""),"Alex Johnson - Compass")</f>
        <v>Alex Johnson - Compass</v>
      </c>
      <c r="BV128" s="60" t="str">
        <f>IFERROR(__xludf.DUMMYFUNCTION("""COMPUTED_VALUE"""),"Sold")</f>
        <v>Sold</v>
      </c>
      <c r="BW128" s="60">
        <f>IFERROR(__xludf.DUMMYFUNCTION("""COMPUTED_VALUE"""),1.0)</f>
        <v>1</v>
      </c>
      <c r="BX128" s="60" t="str">
        <f>IFERROR(__xludf.DUMMYFUNCTION("""COMPUTED_VALUE"""),"OK")</f>
        <v>OK</v>
      </c>
      <c r="BY128" s="1" t="str">
        <f>IFERROR(__xludf.DUMMYFUNCTION("""COMPUTED_VALUE"""),"2600-3600")</f>
        <v>2600-3600</v>
      </c>
      <c r="BZ128" s="1">
        <f>IFERROR(__xludf.DUMMYFUNCTION("""COMPUTED_VALUE"""),15.0)</f>
        <v>15</v>
      </c>
      <c r="CA128" s="1" t="str">
        <f>IFERROR(__xludf.DUMMYFUNCTION("""COMPUTED_VALUE"""),"Mid")</f>
        <v>Mid</v>
      </c>
    </row>
    <row r="129" ht="14.25" customHeight="1">
      <c r="A129" s="5">
        <v>1122084.0</v>
      </c>
      <c r="B129" s="6" t="s">
        <v>557</v>
      </c>
      <c r="C129" s="6" t="s">
        <v>18</v>
      </c>
      <c r="D129" s="6">
        <v>80136.0</v>
      </c>
      <c r="E129" s="6" t="s">
        <v>60</v>
      </c>
      <c r="F129" s="6" t="s">
        <v>41</v>
      </c>
      <c r="G129" s="6" t="s">
        <v>55</v>
      </c>
      <c r="H129" s="7">
        <v>3061.0</v>
      </c>
      <c r="I129" s="7">
        <v>8290.0</v>
      </c>
      <c r="J129" s="6">
        <v>2000.0</v>
      </c>
      <c r="K129" s="6">
        <v>78.0</v>
      </c>
      <c r="L129" s="6" t="s">
        <v>22</v>
      </c>
      <c r="M129" s="6" t="s">
        <v>558</v>
      </c>
      <c r="N129" s="6" t="s">
        <v>24</v>
      </c>
      <c r="O129" s="6" t="s">
        <v>35</v>
      </c>
      <c r="P129" s="6">
        <f>COUNTIF(Analysis!$M$1:$M$3001,Analysis!$M129)</f>
        <v>1</v>
      </c>
      <c r="Q129" s="6" t="str">
        <f>IF(COUNTIF(Analysis!$M$2:$M$3001,Analysis!$M129)&gt;1,"Duplicate","OK")</f>
        <v>OK</v>
      </c>
      <c r="R129" s="6" t="str">
        <f t="shared" si="1"/>
        <v>2600-3600</v>
      </c>
      <c r="S129" s="6">
        <f t="shared" si="2"/>
        <v>26</v>
      </c>
      <c r="T129" s="6" t="str">
        <f t="shared" si="3"/>
        <v>Mid</v>
      </c>
      <c r="BH129" s="14">
        <f>IFERROR(__xludf.DUMMYFUNCTION("""COMPUTED_VALUE"""),1038877.0)</f>
        <v>1038877</v>
      </c>
      <c r="BI129" s="60" t="str">
        <f>IFERROR(__xludf.DUMMYFUNCTION("""COMPUTED_VALUE"""),"9787 Pine Rd, Sacramento, CA 79405")</f>
        <v>9787 Pine Rd, Sacramento, CA 79405</v>
      </c>
      <c r="BJ129" s="60" t="str">
        <f>IFERROR(__xludf.DUMMYFUNCTION("""COMPUTED_VALUE"""),"Sacramento")</f>
        <v>Sacramento</v>
      </c>
      <c r="BK129" s="60">
        <f>IFERROR(__xludf.DUMMYFUNCTION("""COMPUTED_VALUE"""),79405.0)</f>
        <v>79405</v>
      </c>
      <c r="BL129" s="60" t="str">
        <f>IFERROR(__xludf.DUMMYFUNCTION("""COMPUTED_VALUE"""),"CA")</f>
        <v>CA</v>
      </c>
      <c r="BM129" s="60" t="str">
        <f>IFERROR(__xludf.DUMMYFUNCTION("""COMPUTED_VALUE"""),"6 bds")</f>
        <v>6 bds</v>
      </c>
      <c r="BN129" s="60" t="str">
        <f>IFERROR(__xludf.DUMMYFUNCTION("""COMPUTED_VALUE"""),"3 ba")</f>
        <v>3 ba</v>
      </c>
      <c r="BO129" s="60">
        <f>IFERROR(__xludf.DUMMYFUNCTION("""COMPUTED_VALUE"""),3673.0)</f>
        <v>3673</v>
      </c>
      <c r="BP129" s="60">
        <f>IFERROR(__xludf.DUMMYFUNCTION("""COMPUTED_VALUE"""),8567.0)</f>
        <v>8567</v>
      </c>
      <c r="BQ129" s="60">
        <f>IFERROR(__xludf.DUMMYFUNCTION("""COMPUTED_VALUE"""),1968.0)</f>
        <v>1968</v>
      </c>
      <c r="BR129" s="60">
        <f>IFERROR(__xludf.DUMMYFUNCTION("""COMPUTED_VALUE"""),19.0)</f>
        <v>19</v>
      </c>
      <c r="BS129" s="60" t="str">
        <f>IFERROR(__xludf.DUMMYFUNCTION("""COMPUTED_VALUE"""),"Townhouse")</f>
        <v>Townhouse</v>
      </c>
      <c r="BT129" s="60" t="str">
        <f>IFERROR(__xludf.DUMMYFUNCTION("""COMPUTED_VALUE"""),"Z299872")</f>
        <v>Z299872</v>
      </c>
      <c r="BU129" s="60" t="str">
        <f>IFERROR(__xludf.DUMMYFUNCTION("""COMPUTED_VALUE"""),"Alex Johnson - Compass")</f>
        <v>Alex Johnson - Compass</v>
      </c>
      <c r="BV129" s="60" t="str">
        <f>IFERROR(__xludf.DUMMYFUNCTION("""COMPUTED_VALUE"""),"Sold")</f>
        <v>Sold</v>
      </c>
      <c r="BW129" s="60">
        <f>IFERROR(__xludf.DUMMYFUNCTION("""COMPUTED_VALUE"""),1.0)</f>
        <v>1</v>
      </c>
      <c r="BX129" s="60" t="str">
        <f>IFERROR(__xludf.DUMMYFUNCTION("""COMPUTED_VALUE"""),"OK")</f>
        <v>OK</v>
      </c>
      <c r="BY129" s="1" t="str">
        <f>IFERROR(__xludf.DUMMYFUNCTION("""COMPUTED_VALUE"""),"3600+")</f>
        <v>3600+</v>
      </c>
      <c r="BZ129" s="1">
        <f>IFERROR(__xludf.DUMMYFUNCTION("""COMPUTED_VALUE"""),58.0)</f>
        <v>58</v>
      </c>
      <c r="CA129" s="1" t="str">
        <f>IFERROR(__xludf.DUMMYFUNCTION("""COMPUTED_VALUE"""),"Old")</f>
        <v>Old</v>
      </c>
    </row>
    <row r="130" ht="14.25" customHeight="1">
      <c r="A130" s="5">
        <v>903726.0</v>
      </c>
      <c r="B130" s="6" t="s">
        <v>561</v>
      </c>
      <c r="C130" s="6" t="s">
        <v>53</v>
      </c>
      <c r="D130" s="6">
        <v>42568.0</v>
      </c>
      <c r="E130" s="6" t="s">
        <v>77</v>
      </c>
      <c r="F130" s="6" t="s">
        <v>54</v>
      </c>
      <c r="G130" s="6" t="s">
        <v>31</v>
      </c>
      <c r="H130" s="7">
        <v>2988.0</v>
      </c>
      <c r="I130" s="7">
        <v>7286.0</v>
      </c>
      <c r="J130" s="6">
        <v>2017.0</v>
      </c>
      <c r="K130" s="6">
        <v>36.0</v>
      </c>
      <c r="L130" s="6" t="s">
        <v>32</v>
      </c>
      <c r="M130" s="6" t="s">
        <v>562</v>
      </c>
      <c r="N130" s="6" t="s">
        <v>48</v>
      </c>
      <c r="O130" s="6" t="s">
        <v>49</v>
      </c>
      <c r="P130" s="6">
        <f>COUNTIF(Analysis!$M$1:$M$3001,Analysis!$M130)</f>
        <v>1</v>
      </c>
      <c r="Q130" s="6" t="str">
        <f>IF(COUNTIF(Analysis!$M$2:$M$3001,Analysis!$M130)&gt;1,"Duplicate","OK")</f>
        <v>OK</v>
      </c>
      <c r="R130" s="6" t="str">
        <f t="shared" si="1"/>
        <v>2600-3600</v>
      </c>
      <c r="S130" s="6">
        <f t="shared" si="2"/>
        <v>9</v>
      </c>
      <c r="T130" s="6" t="str">
        <f t="shared" si="3"/>
        <v>New</v>
      </c>
      <c r="BH130" s="14">
        <f>IFERROR(__xludf.DUMMYFUNCTION("""COMPUTED_VALUE"""),138456.0)</f>
        <v>138456</v>
      </c>
      <c r="BI130" s="60" t="str">
        <f>IFERROR(__xludf.DUMMYFUNCTION("""COMPUTED_VALUE"""),"7439 Maple Dr, Los Angeles, IL 85999")</f>
        <v>7439 Maple Dr, Los Angeles, IL 85999</v>
      </c>
      <c r="BJ130" s="60" t="str">
        <f>IFERROR(__xludf.DUMMYFUNCTION("""COMPUTED_VALUE"""),"Los Angeles")</f>
        <v>Los Angeles</v>
      </c>
      <c r="BK130" s="60">
        <f>IFERROR(__xludf.DUMMYFUNCTION("""COMPUTED_VALUE"""),85999.0)</f>
        <v>85999</v>
      </c>
      <c r="BL130" s="60" t="str">
        <f>IFERROR(__xludf.DUMMYFUNCTION("""COMPUTED_VALUE"""),"IL")</f>
        <v>IL</v>
      </c>
      <c r="BM130" s="60" t="str">
        <f>IFERROR(__xludf.DUMMYFUNCTION("""COMPUTED_VALUE"""),"6 bds")</f>
        <v>6 bds</v>
      </c>
      <c r="BN130" s="60" t="str">
        <f>IFERROR(__xludf.DUMMYFUNCTION("""COMPUTED_VALUE"""),"4 ba")</f>
        <v>4 ba</v>
      </c>
      <c r="BO130" s="60">
        <f>IFERROR(__xludf.DUMMYFUNCTION("""COMPUTED_VALUE"""),1286.0)</f>
        <v>1286</v>
      </c>
      <c r="BP130" s="60">
        <f>IFERROR(__xludf.DUMMYFUNCTION("""COMPUTED_VALUE"""),4898.0)</f>
        <v>4898</v>
      </c>
      <c r="BQ130" s="60">
        <f>IFERROR(__xludf.DUMMYFUNCTION("""COMPUTED_VALUE"""),1996.0)</f>
        <v>1996</v>
      </c>
      <c r="BR130" s="60">
        <f>IFERROR(__xludf.DUMMYFUNCTION("""COMPUTED_VALUE"""),48.0)</f>
        <v>48</v>
      </c>
      <c r="BS130" s="60" t="str">
        <f>IFERROR(__xludf.DUMMYFUNCTION("""COMPUTED_VALUE"""),"Apartment")</f>
        <v>Apartment</v>
      </c>
      <c r="BT130" s="60" t="str">
        <f>IFERROR(__xludf.DUMMYFUNCTION("""COMPUTED_VALUE"""),"Z947550")</f>
        <v>Z947550</v>
      </c>
      <c r="BU130" s="60" t="str">
        <f>IFERROR(__xludf.DUMMYFUNCTION("""COMPUTED_VALUE"""),"Alex Johnson - Compass")</f>
        <v>Alex Johnson - Compass</v>
      </c>
      <c r="BV130" s="60" t="str">
        <f>IFERROR(__xludf.DUMMYFUNCTION("""COMPUTED_VALUE"""),"Sold")</f>
        <v>Sold</v>
      </c>
      <c r="BW130" s="60">
        <f>IFERROR(__xludf.DUMMYFUNCTION("""COMPUTED_VALUE"""),1.0)</f>
        <v>1</v>
      </c>
      <c r="BX130" s="60" t="str">
        <f>IFERROR(__xludf.DUMMYFUNCTION("""COMPUTED_VALUE"""),"OK")</f>
        <v>OK</v>
      </c>
      <c r="BY130" s="1" t="str">
        <f>IFERROR(__xludf.DUMMYFUNCTION("""COMPUTED_VALUE"""),"600-1600")</f>
        <v>600-1600</v>
      </c>
      <c r="BZ130" s="1">
        <f>IFERROR(__xludf.DUMMYFUNCTION("""COMPUTED_VALUE"""),30.0)</f>
        <v>30</v>
      </c>
      <c r="CA130" s="1" t="str">
        <f>IFERROR(__xludf.DUMMYFUNCTION("""COMPUTED_VALUE"""),"Mid")</f>
        <v>Mid</v>
      </c>
    </row>
    <row r="131" ht="14.25" customHeight="1">
      <c r="A131" s="5">
        <v>242071.0</v>
      </c>
      <c r="B131" s="6" t="s">
        <v>565</v>
      </c>
      <c r="C131" s="6" t="s">
        <v>53</v>
      </c>
      <c r="D131" s="6">
        <v>32340.0</v>
      </c>
      <c r="E131" s="6" t="s">
        <v>30</v>
      </c>
      <c r="F131" s="6" t="s">
        <v>54</v>
      </c>
      <c r="G131" s="6" t="s">
        <v>31</v>
      </c>
      <c r="H131" s="7">
        <v>2897.0</v>
      </c>
      <c r="I131" s="7">
        <v>9444.0</v>
      </c>
      <c r="J131" s="6">
        <v>1997.0</v>
      </c>
      <c r="K131" s="6">
        <v>90.0</v>
      </c>
      <c r="L131" s="6" t="s">
        <v>141</v>
      </c>
      <c r="M131" s="6" t="s">
        <v>566</v>
      </c>
      <c r="N131" s="6" t="s">
        <v>34</v>
      </c>
      <c r="O131" s="6" t="s">
        <v>49</v>
      </c>
      <c r="P131" s="6">
        <f>COUNTIF(Analysis!$M$1:$M$3001,Analysis!$M131)</f>
        <v>1</v>
      </c>
      <c r="Q131" s="6" t="str">
        <f>IF(COUNTIF(Analysis!$M$2:$M$3001,Analysis!$M131)&gt;1,"Duplicate","OK")</f>
        <v>OK</v>
      </c>
      <c r="R131" s="6" t="str">
        <f t="shared" si="1"/>
        <v>2600-3600</v>
      </c>
      <c r="S131" s="6">
        <f t="shared" si="2"/>
        <v>29</v>
      </c>
      <c r="T131" s="6" t="str">
        <f t="shared" si="3"/>
        <v>Mid</v>
      </c>
      <c r="BH131" s="14">
        <f>IFERROR(__xludf.DUMMYFUNCTION("""COMPUTED_VALUE"""),1387108.0)</f>
        <v>1387108</v>
      </c>
      <c r="BI131" s="60" t="str">
        <f>IFERROR(__xludf.DUMMYFUNCTION("""COMPUTED_VALUE"""),"9941 Oak Ave, Los Angeles, FL 36541")</f>
        <v>9941 Oak Ave, Los Angeles, FL 36541</v>
      </c>
      <c r="BJ131" s="60" t="str">
        <f>IFERROR(__xludf.DUMMYFUNCTION("""COMPUTED_VALUE"""),"Los Angeles")</f>
        <v>Los Angeles</v>
      </c>
      <c r="BK131" s="60">
        <f>IFERROR(__xludf.DUMMYFUNCTION("""COMPUTED_VALUE"""),36541.0)</f>
        <v>36541</v>
      </c>
      <c r="BL131" s="60" t="str">
        <f>IFERROR(__xludf.DUMMYFUNCTION("""COMPUTED_VALUE"""),"FL")</f>
        <v>FL</v>
      </c>
      <c r="BM131" s="60" t="str">
        <f>IFERROR(__xludf.DUMMYFUNCTION("""COMPUTED_VALUE"""),"3 bds")</f>
        <v>3 bds</v>
      </c>
      <c r="BN131" s="60" t="str">
        <f>IFERROR(__xludf.DUMMYFUNCTION("""COMPUTED_VALUE"""),"4 ba")</f>
        <v>4 ba</v>
      </c>
      <c r="BO131" s="60">
        <f>IFERROR(__xludf.DUMMYFUNCTION("""COMPUTED_VALUE"""),2139.0)</f>
        <v>2139</v>
      </c>
      <c r="BP131" s="60">
        <f>IFERROR(__xludf.DUMMYFUNCTION("""COMPUTED_VALUE"""),4203.0)</f>
        <v>4203</v>
      </c>
      <c r="BQ131" s="60">
        <f>IFERROR(__xludf.DUMMYFUNCTION("""COMPUTED_VALUE"""),1976.0)</f>
        <v>1976</v>
      </c>
      <c r="BR131" s="60">
        <f>IFERROR(__xludf.DUMMYFUNCTION("""COMPUTED_VALUE"""),46.0)</f>
        <v>46</v>
      </c>
      <c r="BS131" s="60" t="str">
        <f>IFERROR(__xludf.DUMMYFUNCTION("""COMPUTED_VALUE"""),"Single Family")</f>
        <v>Single Family</v>
      </c>
      <c r="BT131" s="60" t="str">
        <f>IFERROR(__xludf.DUMMYFUNCTION("""COMPUTED_VALUE"""),"Z264480")</f>
        <v>Z264480</v>
      </c>
      <c r="BU131" s="60" t="str">
        <f>IFERROR(__xludf.DUMMYFUNCTION("""COMPUTED_VALUE"""),"Alex Johnson - Compass")</f>
        <v>Alex Johnson - Compass</v>
      </c>
      <c r="BV131" s="60" t="str">
        <f>IFERROR(__xludf.DUMMYFUNCTION("""COMPUTED_VALUE"""),"Sold")</f>
        <v>Sold</v>
      </c>
      <c r="BW131" s="60">
        <f>IFERROR(__xludf.DUMMYFUNCTION("""COMPUTED_VALUE"""),1.0)</f>
        <v>1</v>
      </c>
      <c r="BX131" s="60" t="str">
        <f>IFERROR(__xludf.DUMMYFUNCTION("""COMPUTED_VALUE"""),"OK")</f>
        <v>OK</v>
      </c>
      <c r="BY131" s="1" t="str">
        <f>IFERROR(__xludf.DUMMYFUNCTION("""COMPUTED_VALUE"""),"1600-2600")</f>
        <v>1600-2600</v>
      </c>
      <c r="BZ131" s="1">
        <f>IFERROR(__xludf.DUMMYFUNCTION("""COMPUTED_VALUE"""),50.0)</f>
        <v>50</v>
      </c>
      <c r="CA131" s="1" t="str">
        <f>IFERROR(__xludf.DUMMYFUNCTION("""COMPUTED_VALUE"""),"Old")</f>
        <v>Old</v>
      </c>
    </row>
    <row r="132" ht="14.25" customHeight="1">
      <c r="A132" s="5">
        <v>208486.0</v>
      </c>
      <c r="B132" s="6" t="s">
        <v>569</v>
      </c>
      <c r="C132" s="6" t="s">
        <v>53</v>
      </c>
      <c r="D132" s="6">
        <v>30265.0</v>
      </c>
      <c r="E132" s="6" t="s">
        <v>19</v>
      </c>
      <c r="F132" s="6" t="s">
        <v>94</v>
      </c>
      <c r="G132" s="6" t="s">
        <v>55</v>
      </c>
      <c r="H132" s="7">
        <v>3524.0</v>
      </c>
      <c r="I132" s="7">
        <v>3925.0</v>
      </c>
      <c r="J132" s="6">
        <v>1955.0</v>
      </c>
      <c r="K132" s="6">
        <v>115.0</v>
      </c>
      <c r="L132" s="6" t="s">
        <v>32</v>
      </c>
      <c r="M132" s="6" t="s">
        <v>570</v>
      </c>
      <c r="N132" s="6" t="s">
        <v>43</v>
      </c>
      <c r="O132" s="6" t="s">
        <v>35</v>
      </c>
      <c r="P132" s="6">
        <f>COUNTIF(Analysis!$M$1:$M$3001,Analysis!$M132)</f>
        <v>1</v>
      </c>
      <c r="Q132" s="6" t="str">
        <f>IF(COUNTIF(Analysis!$M$2:$M$3001,Analysis!$M132)&gt;1,"Duplicate","OK")</f>
        <v>OK</v>
      </c>
      <c r="R132" s="6" t="str">
        <f t="shared" si="1"/>
        <v>2600-3600</v>
      </c>
      <c r="S132" s="6">
        <f t="shared" si="2"/>
        <v>71</v>
      </c>
      <c r="T132" s="6" t="str">
        <f t="shared" si="3"/>
        <v>Very Old</v>
      </c>
      <c r="BH132" s="14">
        <f>IFERROR(__xludf.DUMMYFUNCTION("""COMPUTED_VALUE"""),851444.0)</f>
        <v>851444</v>
      </c>
      <c r="BI132" s="60" t="str">
        <f>IFERROR(__xludf.DUMMYFUNCTION("""COMPUTED_VALUE"""),"906 Main St, Fresno, TX 63625")</f>
        <v>906 Main St, Fresno, TX 63625</v>
      </c>
      <c r="BJ132" s="60" t="str">
        <f>IFERROR(__xludf.DUMMYFUNCTION("""COMPUTED_VALUE"""),"Fresno")</f>
        <v>Fresno</v>
      </c>
      <c r="BK132" s="60">
        <f>IFERROR(__xludf.DUMMYFUNCTION("""COMPUTED_VALUE"""),63625.0)</f>
        <v>63625</v>
      </c>
      <c r="BL132" s="60" t="str">
        <f>IFERROR(__xludf.DUMMYFUNCTION("""COMPUTED_VALUE"""),"TX")</f>
        <v>TX</v>
      </c>
      <c r="BM132" s="60" t="str">
        <f>IFERROR(__xludf.DUMMYFUNCTION("""COMPUTED_VALUE"""),"5 bds")</f>
        <v>5 bds</v>
      </c>
      <c r="BN132" s="60" t="str">
        <f>IFERROR(__xludf.DUMMYFUNCTION("""COMPUTED_VALUE"""),"3 ba")</f>
        <v>3 ba</v>
      </c>
      <c r="BO132" s="60">
        <f>IFERROR(__xludf.DUMMYFUNCTION("""COMPUTED_VALUE"""),1439.0)</f>
        <v>1439</v>
      </c>
      <c r="BP132" s="60">
        <f>IFERROR(__xludf.DUMMYFUNCTION("""COMPUTED_VALUE"""),8488.0)</f>
        <v>8488</v>
      </c>
      <c r="BQ132" s="60">
        <f>IFERROR(__xludf.DUMMYFUNCTION("""COMPUTED_VALUE"""),1952.0)</f>
        <v>1952</v>
      </c>
      <c r="BR132" s="60">
        <f>IFERROR(__xludf.DUMMYFUNCTION("""COMPUTED_VALUE"""),23.0)</f>
        <v>23</v>
      </c>
      <c r="BS132" s="60" t="str">
        <f>IFERROR(__xludf.DUMMYFUNCTION("""COMPUTED_VALUE"""),"Single Family")</f>
        <v>Single Family</v>
      </c>
      <c r="BT132" s="60" t="str">
        <f>IFERROR(__xludf.DUMMYFUNCTION("""COMPUTED_VALUE"""),"Z420035")</f>
        <v>Z420035</v>
      </c>
      <c r="BU132" s="60" t="str">
        <f>IFERROR(__xludf.DUMMYFUNCTION("""COMPUTED_VALUE"""),"Alex Johnson - Compass")</f>
        <v>Alex Johnson - Compass</v>
      </c>
      <c r="BV132" s="60" t="str">
        <f>IFERROR(__xludf.DUMMYFUNCTION("""COMPUTED_VALUE"""),"Sold")</f>
        <v>Sold</v>
      </c>
      <c r="BW132" s="60">
        <f>IFERROR(__xludf.DUMMYFUNCTION("""COMPUTED_VALUE"""),1.0)</f>
        <v>1</v>
      </c>
      <c r="BX132" s="60" t="str">
        <f>IFERROR(__xludf.DUMMYFUNCTION("""COMPUTED_VALUE"""),"OK")</f>
        <v>OK</v>
      </c>
      <c r="BY132" s="1" t="str">
        <f>IFERROR(__xludf.DUMMYFUNCTION("""COMPUTED_VALUE"""),"600-1600")</f>
        <v>600-1600</v>
      </c>
      <c r="BZ132" s="1">
        <f>IFERROR(__xludf.DUMMYFUNCTION("""COMPUTED_VALUE"""),74.0)</f>
        <v>74</v>
      </c>
      <c r="CA132" s="1" t="str">
        <f>IFERROR(__xludf.DUMMYFUNCTION("""COMPUTED_VALUE"""),"Very Old")</f>
        <v>Very Old</v>
      </c>
    </row>
    <row r="133" ht="14.25" customHeight="1">
      <c r="A133" s="5">
        <v>860219.0</v>
      </c>
      <c r="B133" s="6" t="s">
        <v>573</v>
      </c>
      <c r="C133" s="6" t="s">
        <v>76</v>
      </c>
      <c r="D133" s="6">
        <v>88019.0</v>
      </c>
      <c r="E133" s="6" t="s">
        <v>60</v>
      </c>
      <c r="F133" s="6" t="s">
        <v>41</v>
      </c>
      <c r="G133" s="6" t="s">
        <v>31</v>
      </c>
      <c r="H133" s="7">
        <v>963.0</v>
      </c>
      <c r="I133" s="7">
        <v>5769.0</v>
      </c>
      <c r="J133" s="6">
        <v>2008.0</v>
      </c>
      <c r="K133" s="6">
        <v>78.0</v>
      </c>
      <c r="L133" s="6" t="s">
        <v>95</v>
      </c>
      <c r="M133" s="6" t="s">
        <v>574</v>
      </c>
      <c r="N133" s="6" t="s">
        <v>48</v>
      </c>
      <c r="O133" s="6" t="s">
        <v>25</v>
      </c>
      <c r="P133" s="6">
        <f>COUNTIF(Analysis!$M$1:$M$3001,Analysis!$M133)</f>
        <v>1</v>
      </c>
      <c r="Q133" s="6" t="str">
        <f>IF(COUNTIF(Analysis!$M$2:$M$3001,Analysis!$M133)&gt;1,"Duplicate","OK")</f>
        <v>OK</v>
      </c>
      <c r="R133" s="6" t="str">
        <f t="shared" si="1"/>
        <v>600-1600</v>
      </c>
      <c r="S133" s="6">
        <f t="shared" si="2"/>
        <v>18</v>
      </c>
      <c r="T133" s="6" t="str">
        <f t="shared" si="3"/>
        <v>Mid</v>
      </c>
      <c r="BH133" s="14">
        <f>IFERROR(__xludf.DUMMYFUNCTION("""COMPUTED_VALUE"""),1417093.0)</f>
        <v>1417093</v>
      </c>
      <c r="BI133" s="60" t="str">
        <f>IFERROR(__xludf.DUMMYFUNCTION("""COMPUTED_VALUE"""),"8853 Main St, San Francisco, IL 89613")</f>
        <v>8853 Main St, San Francisco, IL 89613</v>
      </c>
      <c r="BJ133" s="60" t="str">
        <f>IFERROR(__xludf.DUMMYFUNCTION("""COMPUTED_VALUE"""),"San Francisco")</f>
        <v>San Francisco</v>
      </c>
      <c r="BK133" s="60">
        <f>IFERROR(__xludf.DUMMYFUNCTION("""COMPUTED_VALUE"""),89613.0)</f>
        <v>89613</v>
      </c>
      <c r="BL133" s="60" t="str">
        <f>IFERROR(__xludf.DUMMYFUNCTION("""COMPUTED_VALUE"""),"IL")</f>
        <v>IL</v>
      </c>
      <c r="BM133" s="60" t="str">
        <f>IFERROR(__xludf.DUMMYFUNCTION("""COMPUTED_VALUE"""),"4 bds")</f>
        <v>4 bds</v>
      </c>
      <c r="BN133" s="60" t="str">
        <f>IFERROR(__xludf.DUMMYFUNCTION("""COMPUTED_VALUE"""),"3 ba")</f>
        <v>3 ba</v>
      </c>
      <c r="BO133" s="60">
        <f>IFERROR(__xludf.DUMMYFUNCTION("""COMPUTED_VALUE"""),1675.0)</f>
        <v>1675</v>
      </c>
      <c r="BP133" s="60">
        <f>IFERROR(__xludf.DUMMYFUNCTION("""COMPUTED_VALUE"""),5038.0)</f>
        <v>5038</v>
      </c>
      <c r="BQ133" s="60">
        <f>IFERROR(__xludf.DUMMYFUNCTION("""COMPUTED_VALUE"""),1983.0)</f>
        <v>1983</v>
      </c>
      <c r="BR133" s="60">
        <f>IFERROR(__xludf.DUMMYFUNCTION("""COMPUTED_VALUE"""),2.0)</f>
        <v>2</v>
      </c>
      <c r="BS133" s="60" t="str">
        <f>IFERROR(__xludf.DUMMYFUNCTION("""COMPUTED_VALUE"""),"Single Family")</f>
        <v>Single Family</v>
      </c>
      <c r="BT133" s="60" t="str">
        <f>IFERROR(__xludf.DUMMYFUNCTION("""COMPUTED_VALUE"""),"Z878881")</f>
        <v>Z878881</v>
      </c>
      <c r="BU133" s="60" t="str">
        <f>IFERROR(__xludf.DUMMYFUNCTION("""COMPUTED_VALUE"""),"Alex Johnson - Compass")</f>
        <v>Alex Johnson - Compass</v>
      </c>
      <c r="BV133" s="60" t="str">
        <f>IFERROR(__xludf.DUMMYFUNCTION("""COMPUTED_VALUE"""),"Sold")</f>
        <v>Sold</v>
      </c>
      <c r="BW133" s="60">
        <f>IFERROR(__xludf.DUMMYFUNCTION("""COMPUTED_VALUE"""),1.0)</f>
        <v>1</v>
      </c>
      <c r="BX133" s="60" t="str">
        <f>IFERROR(__xludf.DUMMYFUNCTION("""COMPUTED_VALUE"""),"OK")</f>
        <v>OK</v>
      </c>
      <c r="BY133" s="1" t="str">
        <f>IFERROR(__xludf.DUMMYFUNCTION("""COMPUTED_VALUE"""),"1600-2600")</f>
        <v>1600-2600</v>
      </c>
      <c r="BZ133" s="1">
        <f>IFERROR(__xludf.DUMMYFUNCTION("""COMPUTED_VALUE"""),43.0)</f>
        <v>43</v>
      </c>
      <c r="CA133" s="1" t="str">
        <f>IFERROR(__xludf.DUMMYFUNCTION("""COMPUTED_VALUE"""),"Old")</f>
        <v>Old</v>
      </c>
    </row>
    <row r="134" ht="14.25" customHeight="1">
      <c r="A134" s="5">
        <v>215904.0</v>
      </c>
      <c r="B134" s="6" t="s">
        <v>577</v>
      </c>
      <c r="C134" s="6" t="s">
        <v>18</v>
      </c>
      <c r="D134" s="6">
        <v>63640.0</v>
      </c>
      <c r="E134" s="6" t="s">
        <v>40</v>
      </c>
      <c r="F134" s="6" t="s">
        <v>41</v>
      </c>
      <c r="G134" s="6" t="s">
        <v>100</v>
      </c>
      <c r="H134" s="7">
        <v>2701.0</v>
      </c>
      <c r="I134" s="7">
        <v>9476.0</v>
      </c>
      <c r="J134" s="6">
        <v>1995.0</v>
      </c>
      <c r="K134" s="6">
        <v>47.0</v>
      </c>
      <c r="L134" s="6" t="s">
        <v>62</v>
      </c>
      <c r="M134" s="6" t="s">
        <v>578</v>
      </c>
      <c r="N134" s="6" t="s">
        <v>24</v>
      </c>
      <c r="O134" s="6" t="s">
        <v>35</v>
      </c>
      <c r="P134" s="6">
        <f>COUNTIF(Analysis!$M$1:$M$3001,Analysis!$M134)</f>
        <v>1</v>
      </c>
      <c r="Q134" s="6" t="str">
        <f>IF(COUNTIF(Analysis!$M$2:$M$3001,Analysis!$M134)&gt;1,"Duplicate","OK")</f>
        <v>OK</v>
      </c>
      <c r="R134" s="6" t="str">
        <f t="shared" si="1"/>
        <v>2600-3600</v>
      </c>
      <c r="S134" s="6">
        <f t="shared" si="2"/>
        <v>31</v>
      </c>
      <c r="T134" s="6" t="str">
        <f t="shared" si="3"/>
        <v>Old</v>
      </c>
      <c r="BH134" s="14">
        <f>IFERROR(__xludf.DUMMYFUNCTION("""COMPUTED_VALUE"""),593887.0)</f>
        <v>593887</v>
      </c>
      <c r="BI134" s="60" t="str">
        <f>IFERROR(__xludf.DUMMYFUNCTION("""COMPUTED_VALUE"""),"2178 Pine Rd, Los Angeles, TX 18513")</f>
        <v>2178 Pine Rd, Los Angeles, TX 18513</v>
      </c>
      <c r="BJ134" s="60" t="str">
        <f>IFERROR(__xludf.DUMMYFUNCTION("""COMPUTED_VALUE"""),"Los Angeles")</f>
        <v>Los Angeles</v>
      </c>
      <c r="BK134" s="60">
        <f>IFERROR(__xludf.DUMMYFUNCTION("""COMPUTED_VALUE"""),18513.0)</f>
        <v>18513</v>
      </c>
      <c r="BL134" s="60" t="str">
        <f>IFERROR(__xludf.DUMMYFUNCTION("""COMPUTED_VALUE"""),"TX")</f>
        <v>TX</v>
      </c>
      <c r="BM134" s="60" t="str">
        <f>IFERROR(__xludf.DUMMYFUNCTION("""COMPUTED_VALUE"""),"3 bds")</f>
        <v>3 bds</v>
      </c>
      <c r="BN134" s="60" t="str">
        <f>IFERROR(__xludf.DUMMYFUNCTION("""COMPUTED_VALUE"""),"2 ba")</f>
        <v>2 ba</v>
      </c>
      <c r="BO134" s="60">
        <f>IFERROR(__xludf.DUMMYFUNCTION("""COMPUTED_VALUE"""),3468.0)</f>
        <v>3468</v>
      </c>
      <c r="BP134" s="60">
        <f>IFERROR(__xludf.DUMMYFUNCTION("""COMPUTED_VALUE"""),4987.0)</f>
        <v>4987</v>
      </c>
      <c r="BQ134" s="60">
        <f>IFERROR(__xludf.DUMMYFUNCTION("""COMPUTED_VALUE"""),1989.0)</f>
        <v>1989</v>
      </c>
      <c r="BR134" s="60">
        <f>IFERROR(__xludf.DUMMYFUNCTION("""COMPUTED_VALUE"""),118.0)</f>
        <v>118</v>
      </c>
      <c r="BS134" s="60" t="str">
        <f>IFERROR(__xludf.DUMMYFUNCTION("""COMPUTED_VALUE"""),"Apartment")</f>
        <v>Apartment</v>
      </c>
      <c r="BT134" s="60" t="str">
        <f>IFERROR(__xludf.DUMMYFUNCTION("""COMPUTED_VALUE"""),"Z404306")</f>
        <v>Z404306</v>
      </c>
      <c r="BU134" s="60" t="str">
        <f>IFERROR(__xludf.DUMMYFUNCTION("""COMPUTED_VALUE"""),"Alex Johnson - Compass")</f>
        <v>Alex Johnson - Compass</v>
      </c>
      <c r="BV134" s="60" t="str">
        <f>IFERROR(__xludf.DUMMYFUNCTION("""COMPUTED_VALUE"""),"Sold")</f>
        <v>Sold</v>
      </c>
      <c r="BW134" s="60">
        <f>IFERROR(__xludf.DUMMYFUNCTION("""COMPUTED_VALUE"""),1.0)</f>
        <v>1</v>
      </c>
      <c r="BX134" s="60" t="str">
        <f>IFERROR(__xludf.DUMMYFUNCTION("""COMPUTED_VALUE"""),"OK")</f>
        <v>OK</v>
      </c>
      <c r="BY134" s="1" t="str">
        <f>IFERROR(__xludf.DUMMYFUNCTION("""COMPUTED_VALUE"""),"2600-3600")</f>
        <v>2600-3600</v>
      </c>
      <c r="BZ134" s="1">
        <f>IFERROR(__xludf.DUMMYFUNCTION("""COMPUTED_VALUE"""),37.0)</f>
        <v>37</v>
      </c>
      <c r="CA134" s="1" t="str">
        <f>IFERROR(__xludf.DUMMYFUNCTION("""COMPUTED_VALUE"""),"Old")</f>
        <v>Old</v>
      </c>
    </row>
    <row r="135" ht="14.25" customHeight="1">
      <c r="A135" s="5">
        <v>1355937.0</v>
      </c>
      <c r="B135" s="6" t="s">
        <v>581</v>
      </c>
      <c r="C135" s="6" t="s">
        <v>39</v>
      </c>
      <c r="D135" s="6">
        <v>72385.0</v>
      </c>
      <c r="E135" s="6" t="s">
        <v>19</v>
      </c>
      <c r="F135" s="6" t="s">
        <v>61</v>
      </c>
      <c r="G135" s="6" t="s">
        <v>55</v>
      </c>
      <c r="H135" s="7">
        <v>904.0</v>
      </c>
      <c r="I135" s="7">
        <v>9151.0</v>
      </c>
      <c r="J135" s="6">
        <v>1956.0</v>
      </c>
      <c r="K135" s="6">
        <v>75.0</v>
      </c>
      <c r="L135" s="6" t="s">
        <v>32</v>
      </c>
      <c r="M135" s="6" t="s">
        <v>582</v>
      </c>
      <c r="N135" s="6" t="s">
        <v>64</v>
      </c>
      <c r="O135" s="6" t="s">
        <v>35</v>
      </c>
      <c r="P135" s="6">
        <f>COUNTIF(Analysis!$M$1:$M$3001,Analysis!$M135)</f>
        <v>1</v>
      </c>
      <c r="Q135" s="6" t="str">
        <f>IF(COUNTIF(Analysis!$M$2:$M$3001,Analysis!$M135)&gt;1,"Duplicate","OK")</f>
        <v>OK</v>
      </c>
      <c r="R135" s="6" t="str">
        <f t="shared" si="1"/>
        <v>600-1600</v>
      </c>
      <c r="S135" s="6">
        <f t="shared" si="2"/>
        <v>70</v>
      </c>
      <c r="T135" s="6" t="str">
        <f t="shared" si="3"/>
        <v>Very Old</v>
      </c>
      <c r="BH135" s="14">
        <f>IFERROR(__xludf.DUMMYFUNCTION("""COMPUTED_VALUE"""),1215321.0)</f>
        <v>1215321</v>
      </c>
      <c r="BI135" s="60" t="str">
        <f>IFERROR(__xludf.DUMMYFUNCTION("""COMPUTED_VALUE"""),"4914 Elm St, San Francisco, CA 44651")</f>
        <v>4914 Elm St, San Francisco, CA 44651</v>
      </c>
      <c r="BJ135" s="60" t="str">
        <f>IFERROR(__xludf.DUMMYFUNCTION("""COMPUTED_VALUE"""),"San Francisco")</f>
        <v>San Francisco</v>
      </c>
      <c r="BK135" s="60">
        <f>IFERROR(__xludf.DUMMYFUNCTION("""COMPUTED_VALUE"""),44651.0)</f>
        <v>44651</v>
      </c>
      <c r="BL135" s="60" t="str">
        <f>IFERROR(__xludf.DUMMYFUNCTION("""COMPUTED_VALUE"""),"CA")</f>
        <v>CA</v>
      </c>
      <c r="BM135" s="60" t="str">
        <f>IFERROR(__xludf.DUMMYFUNCTION("""COMPUTED_VALUE"""),"1 bds")</f>
        <v>1 bds</v>
      </c>
      <c r="BN135" s="60" t="str">
        <f>IFERROR(__xludf.DUMMYFUNCTION("""COMPUTED_VALUE"""),"4 ba")</f>
        <v>4 ba</v>
      </c>
      <c r="BO135" s="60">
        <f>IFERROR(__xludf.DUMMYFUNCTION("""COMPUTED_VALUE"""),1345.0)</f>
        <v>1345</v>
      </c>
      <c r="BP135" s="60">
        <f>IFERROR(__xludf.DUMMYFUNCTION("""COMPUTED_VALUE"""),5463.0)</f>
        <v>5463</v>
      </c>
      <c r="BQ135" s="60">
        <f>IFERROR(__xludf.DUMMYFUNCTION("""COMPUTED_VALUE"""),1962.0)</f>
        <v>1962</v>
      </c>
      <c r="BR135" s="60">
        <f>IFERROR(__xludf.DUMMYFUNCTION("""COMPUTED_VALUE"""),63.0)</f>
        <v>63</v>
      </c>
      <c r="BS135" s="60" t="str">
        <f>IFERROR(__xludf.DUMMYFUNCTION("""COMPUTED_VALUE"""),"Multi-Family")</f>
        <v>Multi-Family</v>
      </c>
      <c r="BT135" s="60" t="str">
        <f>IFERROR(__xludf.DUMMYFUNCTION("""COMPUTED_VALUE"""),"Z408549")</f>
        <v>Z408549</v>
      </c>
      <c r="BU135" s="60" t="str">
        <f>IFERROR(__xludf.DUMMYFUNCTION("""COMPUTED_VALUE"""),"Alex Johnson - Compass")</f>
        <v>Alex Johnson - Compass</v>
      </c>
      <c r="BV135" s="60" t="str">
        <f>IFERROR(__xludf.DUMMYFUNCTION("""COMPUTED_VALUE"""),"Sold")</f>
        <v>Sold</v>
      </c>
      <c r="BW135" s="60">
        <f>IFERROR(__xludf.DUMMYFUNCTION("""COMPUTED_VALUE"""),1.0)</f>
        <v>1</v>
      </c>
      <c r="BX135" s="60" t="str">
        <f>IFERROR(__xludf.DUMMYFUNCTION("""COMPUTED_VALUE"""),"OK")</f>
        <v>OK</v>
      </c>
      <c r="BY135" s="1" t="str">
        <f>IFERROR(__xludf.DUMMYFUNCTION("""COMPUTED_VALUE"""),"600-1600")</f>
        <v>600-1600</v>
      </c>
      <c r="BZ135" s="1">
        <f>IFERROR(__xludf.DUMMYFUNCTION("""COMPUTED_VALUE"""),64.0)</f>
        <v>64</v>
      </c>
      <c r="CA135" s="1" t="str">
        <f>IFERROR(__xludf.DUMMYFUNCTION("""COMPUTED_VALUE"""),"Very Old")</f>
        <v>Very Old</v>
      </c>
    </row>
    <row r="136" ht="14.25" customHeight="1">
      <c r="A136" s="5">
        <v>158429.0</v>
      </c>
      <c r="B136" s="6" t="s">
        <v>11834</v>
      </c>
      <c r="C136" s="6" t="s">
        <v>29</v>
      </c>
      <c r="D136" s="6">
        <v>51176.0</v>
      </c>
      <c r="E136" s="6" t="s">
        <v>77</v>
      </c>
      <c r="F136" s="6" t="s">
        <v>54</v>
      </c>
      <c r="G136" s="6" t="s">
        <v>21</v>
      </c>
      <c r="H136" s="7">
        <v>3000.0</v>
      </c>
      <c r="I136" s="7">
        <v>3035.0</v>
      </c>
      <c r="J136" s="6">
        <v>1950.0</v>
      </c>
      <c r="K136" s="6">
        <v>84.0</v>
      </c>
      <c r="L136" s="6" t="s">
        <v>32</v>
      </c>
      <c r="M136" s="6" t="s">
        <v>11835</v>
      </c>
      <c r="N136" s="6" t="s">
        <v>24</v>
      </c>
      <c r="O136" s="6" t="s">
        <v>35</v>
      </c>
      <c r="P136" s="6">
        <f>COUNTIF(Analysis!$M$1:$M$3001,Analysis!$M2950)</f>
        <v>1</v>
      </c>
      <c r="Q136" s="6" t="str">
        <f>IF(COUNTIF(Analysis!$M$2:$M$3001,Analysis!$M2950)&gt;1,"Duplicate","OK")</f>
        <v>OK</v>
      </c>
      <c r="R136" s="6" t="str">
        <f t="shared" si="1"/>
        <v>2600-3600</v>
      </c>
      <c r="S136" s="6">
        <f t="shared" si="2"/>
        <v>76</v>
      </c>
      <c r="T136" s="6" t="str">
        <f t="shared" si="3"/>
        <v>Very Old</v>
      </c>
      <c r="BH136" s="14">
        <f>IFERROR(__xludf.DUMMYFUNCTION("""COMPUTED_VALUE"""),1492700.0)</f>
        <v>1492700</v>
      </c>
      <c r="BI136" s="60" t="str">
        <f>IFERROR(__xludf.DUMMYFUNCTION("""COMPUTED_VALUE"""),"6532 Main St, Sacramento, CA 70082")</f>
        <v>6532 Main St, Sacramento, CA 70082</v>
      </c>
      <c r="BJ136" s="60" t="str">
        <f>IFERROR(__xludf.DUMMYFUNCTION("""COMPUTED_VALUE"""),"Sacramento")</f>
        <v>Sacramento</v>
      </c>
      <c r="BK136" s="60">
        <f>IFERROR(__xludf.DUMMYFUNCTION("""COMPUTED_VALUE"""),70082.0)</f>
        <v>70082</v>
      </c>
      <c r="BL136" s="60" t="str">
        <f>IFERROR(__xludf.DUMMYFUNCTION("""COMPUTED_VALUE"""),"CA")</f>
        <v>CA</v>
      </c>
      <c r="BM136" s="60" t="str">
        <f>IFERROR(__xludf.DUMMYFUNCTION("""COMPUTED_VALUE"""),"5 bds")</f>
        <v>5 bds</v>
      </c>
      <c r="BN136" s="60" t="str">
        <f>IFERROR(__xludf.DUMMYFUNCTION("""COMPUTED_VALUE"""),"3 ba")</f>
        <v>3 ba</v>
      </c>
      <c r="BO136" s="60">
        <f>IFERROR(__xludf.DUMMYFUNCTION("""COMPUTED_VALUE"""),2371.0)</f>
        <v>2371</v>
      </c>
      <c r="BP136" s="60">
        <f>IFERROR(__xludf.DUMMYFUNCTION("""COMPUTED_VALUE"""),4426.0)</f>
        <v>4426</v>
      </c>
      <c r="BQ136" s="60">
        <f>IFERROR(__xludf.DUMMYFUNCTION("""COMPUTED_VALUE"""),1963.0)</f>
        <v>1963</v>
      </c>
      <c r="BR136" s="60">
        <f>IFERROR(__xludf.DUMMYFUNCTION("""COMPUTED_VALUE"""),29.0)</f>
        <v>29</v>
      </c>
      <c r="BS136" s="60" t="str">
        <f>IFERROR(__xludf.DUMMYFUNCTION("""COMPUTED_VALUE"""),"Multi-Family")</f>
        <v>Multi-Family</v>
      </c>
      <c r="BT136" s="60" t="str">
        <f>IFERROR(__xludf.DUMMYFUNCTION("""COMPUTED_VALUE"""),"Z992313")</f>
        <v>Z992313</v>
      </c>
      <c r="BU136" s="60" t="str">
        <f>IFERROR(__xludf.DUMMYFUNCTION("""COMPUTED_VALUE"""),"Alex Johnson - Compass")</f>
        <v>Alex Johnson - Compass</v>
      </c>
      <c r="BV136" s="60" t="str">
        <f>IFERROR(__xludf.DUMMYFUNCTION("""COMPUTED_VALUE"""),"Sold")</f>
        <v>Sold</v>
      </c>
      <c r="BW136" s="60">
        <f>IFERROR(__xludf.DUMMYFUNCTION("""COMPUTED_VALUE"""),1.0)</f>
        <v>1</v>
      </c>
      <c r="BX136" s="60" t="str">
        <f>IFERROR(__xludf.DUMMYFUNCTION("""COMPUTED_VALUE"""),"OK")</f>
        <v>OK</v>
      </c>
      <c r="BY136" s="1" t="str">
        <f>IFERROR(__xludf.DUMMYFUNCTION("""COMPUTED_VALUE"""),"1600-2600")</f>
        <v>1600-2600</v>
      </c>
      <c r="BZ136" s="1">
        <f>IFERROR(__xludf.DUMMYFUNCTION("""COMPUTED_VALUE"""),63.0)</f>
        <v>63</v>
      </c>
      <c r="CA136" s="1" t="str">
        <f>IFERROR(__xludf.DUMMYFUNCTION("""COMPUTED_VALUE"""),"Very Old")</f>
        <v>Very Old</v>
      </c>
    </row>
    <row r="137" ht="14.25" customHeight="1">
      <c r="A137" s="5">
        <v>1131957.0</v>
      </c>
      <c r="B137" s="6" t="s">
        <v>589</v>
      </c>
      <c r="C137" s="6" t="s">
        <v>76</v>
      </c>
      <c r="D137" s="6">
        <v>63077.0</v>
      </c>
      <c r="E137" s="6" t="s">
        <v>30</v>
      </c>
      <c r="F137" s="6" t="s">
        <v>20</v>
      </c>
      <c r="G137" s="6" t="s">
        <v>100</v>
      </c>
      <c r="H137" s="7">
        <v>2573.0</v>
      </c>
      <c r="I137" s="7">
        <v>6461.0</v>
      </c>
      <c r="J137" s="6">
        <v>2022.0</v>
      </c>
      <c r="K137" s="6">
        <v>22.0</v>
      </c>
      <c r="L137" s="6" t="s">
        <v>32</v>
      </c>
      <c r="M137" s="6" t="s">
        <v>590</v>
      </c>
      <c r="N137" s="6" t="s">
        <v>24</v>
      </c>
      <c r="O137" s="6" t="s">
        <v>49</v>
      </c>
      <c r="P137" s="6">
        <f>COUNTIF(Analysis!$M$1:$M$3001,Analysis!$M137)</f>
        <v>1</v>
      </c>
      <c r="Q137" s="6" t="str">
        <f>IF(COUNTIF(Analysis!$M$2:$M$3001,Analysis!$M137)&gt;1,"Duplicate","OK")</f>
        <v>OK</v>
      </c>
      <c r="R137" s="6" t="str">
        <f t="shared" si="1"/>
        <v>1600-2600</v>
      </c>
      <c r="S137" s="6">
        <f t="shared" si="2"/>
        <v>4</v>
      </c>
      <c r="T137" s="6" t="str">
        <f t="shared" si="3"/>
        <v>New</v>
      </c>
      <c r="BH137" s="14">
        <f>IFERROR(__xludf.DUMMYFUNCTION("""COMPUTED_VALUE"""),1476212.0)</f>
        <v>1476212</v>
      </c>
      <c r="BI137" s="60" t="str">
        <f>IFERROR(__xludf.DUMMYFUNCTION("""COMPUTED_VALUE"""),"2170 Oak Ave, Los Angeles, CA 36915")</f>
        <v>2170 Oak Ave, Los Angeles, CA 36915</v>
      </c>
      <c r="BJ137" s="60" t="str">
        <f>IFERROR(__xludf.DUMMYFUNCTION("""COMPUTED_VALUE"""),"Los Angeles")</f>
        <v>Los Angeles</v>
      </c>
      <c r="BK137" s="60">
        <f>IFERROR(__xludf.DUMMYFUNCTION("""COMPUTED_VALUE"""),36915.0)</f>
        <v>36915</v>
      </c>
      <c r="BL137" s="60" t="str">
        <f>IFERROR(__xludf.DUMMYFUNCTION("""COMPUTED_VALUE"""),"CA")</f>
        <v>CA</v>
      </c>
      <c r="BM137" s="60" t="str">
        <f>IFERROR(__xludf.DUMMYFUNCTION("""COMPUTED_VALUE"""),"2 bds")</f>
        <v>2 bds</v>
      </c>
      <c r="BN137" s="60" t="str">
        <f>IFERROR(__xludf.DUMMYFUNCTION("""COMPUTED_VALUE"""),"3 ba")</f>
        <v>3 ba</v>
      </c>
      <c r="BO137" s="60">
        <f>IFERROR(__xludf.DUMMYFUNCTION("""COMPUTED_VALUE"""),1476.0)</f>
        <v>1476</v>
      </c>
      <c r="BP137" s="60">
        <f>IFERROR(__xludf.DUMMYFUNCTION("""COMPUTED_VALUE"""),1486.0)</f>
        <v>1486</v>
      </c>
      <c r="BQ137" s="60">
        <f>IFERROR(__xludf.DUMMYFUNCTION("""COMPUTED_VALUE"""),1979.0)</f>
        <v>1979</v>
      </c>
      <c r="BR137" s="60">
        <f>IFERROR(__xludf.DUMMYFUNCTION("""COMPUTED_VALUE"""),71.0)</f>
        <v>71</v>
      </c>
      <c r="BS137" s="60" t="str">
        <f>IFERROR(__xludf.DUMMYFUNCTION("""COMPUTED_VALUE"""),"Condo")</f>
        <v>Condo</v>
      </c>
      <c r="BT137" s="60" t="str">
        <f>IFERROR(__xludf.DUMMYFUNCTION("""COMPUTED_VALUE"""),"Z682892")</f>
        <v>Z682892</v>
      </c>
      <c r="BU137" s="60" t="str">
        <f>IFERROR(__xludf.DUMMYFUNCTION("""COMPUTED_VALUE"""),"Alex Johnson - Compass")</f>
        <v>Alex Johnson - Compass</v>
      </c>
      <c r="BV137" s="60" t="str">
        <f>IFERROR(__xludf.DUMMYFUNCTION("""COMPUTED_VALUE"""),"Sold")</f>
        <v>Sold</v>
      </c>
      <c r="BW137" s="60">
        <f>IFERROR(__xludf.DUMMYFUNCTION("""COMPUTED_VALUE"""),1.0)</f>
        <v>1</v>
      </c>
      <c r="BX137" s="60" t="str">
        <f>IFERROR(__xludf.DUMMYFUNCTION("""COMPUTED_VALUE"""),"OK")</f>
        <v>OK</v>
      </c>
      <c r="BY137" s="1" t="str">
        <f>IFERROR(__xludf.DUMMYFUNCTION("""COMPUTED_VALUE"""),"600-1600")</f>
        <v>600-1600</v>
      </c>
      <c r="BZ137" s="1">
        <f>IFERROR(__xludf.DUMMYFUNCTION("""COMPUTED_VALUE"""),47.0)</f>
        <v>47</v>
      </c>
      <c r="CA137" s="1" t="str">
        <f>IFERROR(__xludf.DUMMYFUNCTION("""COMPUTED_VALUE"""),"Old")</f>
        <v>Old</v>
      </c>
    </row>
    <row r="138" ht="14.25" customHeight="1">
      <c r="A138" s="5">
        <v>441645.0</v>
      </c>
      <c r="B138" s="6" t="s">
        <v>593</v>
      </c>
      <c r="C138" s="6" t="s">
        <v>18</v>
      </c>
      <c r="D138" s="6">
        <v>32946.0</v>
      </c>
      <c r="E138" s="6" t="s">
        <v>19</v>
      </c>
      <c r="F138" s="6" t="s">
        <v>46</v>
      </c>
      <c r="G138" s="6" t="s">
        <v>31</v>
      </c>
      <c r="H138" s="7">
        <v>3733.0</v>
      </c>
      <c r="I138" s="7">
        <v>1332.0</v>
      </c>
      <c r="J138" s="6">
        <v>1960.0</v>
      </c>
      <c r="K138" s="6">
        <v>114.0</v>
      </c>
      <c r="L138" s="6" t="s">
        <v>95</v>
      </c>
      <c r="M138" s="6" t="s">
        <v>594</v>
      </c>
      <c r="N138" s="6" t="s">
        <v>48</v>
      </c>
      <c r="O138" s="6" t="s">
        <v>35</v>
      </c>
      <c r="P138" s="6">
        <f>COUNTIF(Analysis!$M$1:$M$3001,Analysis!$M138)</f>
        <v>1</v>
      </c>
      <c r="Q138" s="6" t="str">
        <f>IF(COUNTIF(Analysis!$M$2:$M$3001,Analysis!$M138)&gt;1,"Duplicate","OK")</f>
        <v>OK</v>
      </c>
      <c r="R138" s="6" t="str">
        <f t="shared" si="1"/>
        <v>3600+</v>
      </c>
      <c r="S138" s="6">
        <f t="shared" si="2"/>
        <v>66</v>
      </c>
      <c r="T138" s="6" t="str">
        <f t="shared" si="3"/>
        <v>Very Old</v>
      </c>
      <c r="BH138" s="14">
        <f>IFERROR(__xludf.DUMMYFUNCTION("""COMPUTED_VALUE"""),668647.0)</f>
        <v>668647</v>
      </c>
      <c r="BI138" s="60" t="str">
        <f>IFERROR(__xludf.DUMMYFUNCTION("""COMPUTED_VALUE"""),"3300 Oak Ave, San Francisco, CA 20111")</f>
        <v>3300 Oak Ave, San Francisco, CA 20111</v>
      </c>
      <c r="BJ138" s="60" t="str">
        <f>IFERROR(__xludf.DUMMYFUNCTION("""COMPUTED_VALUE"""),"San Francisco")</f>
        <v>San Francisco</v>
      </c>
      <c r="BK138" s="60">
        <f>IFERROR(__xludf.DUMMYFUNCTION("""COMPUTED_VALUE"""),20111.0)</f>
        <v>20111</v>
      </c>
      <c r="BL138" s="60" t="str">
        <f>IFERROR(__xludf.DUMMYFUNCTION("""COMPUTED_VALUE"""),"CA")</f>
        <v>CA</v>
      </c>
      <c r="BM138" s="60" t="str">
        <f>IFERROR(__xludf.DUMMYFUNCTION("""COMPUTED_VALUE"""),"6 bds")</f>
        <v>6 bds</v>
      </c>
      <c r="BN138" s="60" t="str">
        <f>IFERROR(__xludf.DUMMYFUNCTION("""COMPUTED_VALUE"""),"3 ba")</f>
        <v>3 ba</v>
      </c>
      <c r="BO138" s="60">
        <f>IFERROR(__xludf.DUMMYFUNCTION("""COMPUTED_VALUE"""),2843.0)</f>
        <v>2843</v>
      </c>
      <c r="BP138" s="60">
        <f>IFERROR(__xludf.DUMMYFUNCTION("""COMPUTED_VALUE"""),6095.0)</f>
        <v>6095</v>
      </c>
      <c r="BQ138" s="60">
        <f>IFERROR(__xludf.DUMMYFUNCTION("""COMPUTED_VALUE"""),2008.0)</f>
        <v>2008</v>
      </c>
      <c r="BR138" s="60">
        <f>IFERROR(__xludf.DUMMYFUNCTION("""COMPUTED_VALUE"""),100.0)</f>
        <v>100</v>
      </c>
      <c r="BS138" s="60" t="str">
        <f>IFERROR(__xludf.DUMMYFUNCTION("""COMPUTED_VALUE"""),"Apartment")</f>
        <v>Apartment</v>
      </c>
      <c r="BT138" s="60" t="str">
        <f>IFERROR(__xludf.DUMMYFUNCTION("""COMPUTED_VALUE"""),"Z172814")</f>
        <v>Z172814</v>
      </c>
      <c r="BU138" s="60" t="str">
        <f>IFERROR(__xludf.DUMMYFUNCTION("""COMPUTED_VALUE"""),"Alex Johnson - Compass")</f>
        <v>Alex Johnson - Compass</v>
      </c>
      <c r="BV138" s="60" t="str">
        <f>IFERROR(__xludf.DUMMYFUNCTION("""COMPUTED_VALUE"""),"Sold")</f>
        <v>Sold</v>
      </c>
      <c r="BW138" s="60">
        <f>IFERROR(__xludf.DUMMYFUNCTION("""COMPUTED_VALUE"""),1.0)</f>
        <v>1</v>
      </c>
      <c r="BX138" s="60" t="str">
        <f>IFERROR(__xludf.DUMMYFUNCTION("""COMPUTED_VALUE"""),"OK")</f>
        <v>OK</v>
      </c>
      <c r="BY138" s="1" t="str">
        <f>IFERROR(__xludf.DUMMYFUNCTION("""COMPUTED_VALUE"""),"2600-3600")</f>
        <v>2600-3600</v>
      </c>
      <c r="BZ138" s="1">
        <f>IFERROR(__xludf.DUMMYFUNCTION("""COMPUTED_VALUE"""),18.0)</f>
        <v>18</v>
      </c>
      <c r="CA138" s="1" t="str">
        <f>IFERROR(__xludf.DUMMYFUNCTION("""COMPUTED_VALUE"""),"Mid")</f>
        <v>Mid</v>
      </c>
    </row>
    <row r="139" ht="14.25" customHeight="1">
      <c r="A139" s="5">
        <v>1296346.0</v>
      </c>
      <c r="B139" s="6" t="s">
        <v>597</v>
      </c>
      <c r="C139" s="6" t="s">
        <v>53</v>
      </c>
      <c r="D139" s="6">
        <v>24352.0</v>
      </c>
      <c r="E139" s="6" t="s">
        <v>77</v>
      </c>
      <c r="F139" s="6" t="s">
        <v>61</v>
      </c>
      <c r="G139" s="6" t="s">
        <v>31</v>
      </c>
      <c r="H139" s="7">
        <v>3232.0</v>
      </c>
      <c r="I139" s="7">
        <v>2119.0</v>
      </c>
      <c r="J139" s="6">
        <v>2019.0</v>
      </c>
      <c r="K139" s="6">
        <v>43.0</v>
      </c>
      <c r="L139" s="6" t="s">
        <v>62</v>
      </c>
      <c r="M139" s="6" t="s">
        <v>598</v>
      </c>
      <c r="N139" s="6" t="s">
        <v>34</v>
      </c>
      <c r="O139" s="6" t="s">
        <v>25</v>
      </c>
      <c r="P139" s="6">
        <f>COUNTIF(Analysis!$M$1:$M$3001,Analysis!$M139)</f>
        <v>1</v>
      </c>
      <c r="Q139" s="6" t="str">
        <f>IF(COUNTIF(Analysis!$M$2:$M$3001,Analysis!$M139)&gt;1,"Duplicate","OK")</f>
        <v>OK</v>
      </c>
      <c r="R139" s="6" t="str">
        <f t="shared" si="1"/>
        <v>2600-3600</v>
      </c>
      <c r="S139" s="6">
        <f t="shared" si="2"/>
        <v>7</v>
      </c>
      <c r="T139" s="6" t="str">
        <f t="shared" si="3"/>
        <v>New</v>
      </c>
      <c r="BH139" s="14">
        <f>IFERROR(__xludf.DUMMYFUNCTION("""COMPUTED_VALUE"""),1075708.0)</f>
        <v>1075708</v>
      </c>
      <c r="BI139" s="60" t="str">
        <f>IFERROR(__xludf.DUMMYFUNCTION("""COMPUTED_VALUE"""),"8923 Maple Dr, Los Angeles, FL 75254")</f>
        <v>8923 Maple Dr, Los Angeles, FL 75254</v>
      </c>
      <c r="BJ139" s="60" t="str">
        <f>IFERROR(__xludf.DUMMYFUNCTION("""COMPUTED_VALUE"""),"Los Angeles")</f>
        <v>Los Angeles</v>
      </c>
      <c r="BK139" s="60">
        <f>IFERROR(__xludf.DUMMYFUNCTION("""COMPUTED_VALUE"""),75254.0)</f>
        <v>75254</v>
      </c>
      <c r="BL139" s="60" t="str">
        <f>IFERROR(__xludf.DUMMYFUNCTION("""COMPUTED_VALUE"""),"FL")</f>
        <v>FL</v>
      </c>
      <c r="BM139" s="60" t="str">
        <f>IFERROR(__xludf.DUMMYFUNCTION("""COMPUTED_VALUE"""),"1 bds")</f>
        <v>1 bds</v>
      </c>
      <c r="BN139" s="60" t="str">
        <f>IFERROR(__xludf.DUMMYFUNCTION("""COMPUTED_VALUE"""),"4 ba")</f>
        <v>4 ba</v>
      </c>
      <c r="BO139" s="60">
        <f>IFERROR(__xludf.DUMMYFUNCTION("""COMPUTED_VALUE"""),1764.0)</f>
        <v>1764</v>
      </c>
      <c r="BP139" s="60">
        <f>IFERROR(__xludf.DUMMYFUNCTION("""COMPUTED_VALUE"""),9718.0)</f>
        <v>9718</v>
      </c>
      <c r="BQ139" s="60">
        <f>IFERROR(__xludf.DUMMYFUNCTION("""COMPUTED_VALUE"""),2019.0)</f>
        <v>2019</v>
      </c>
      <c r="BR139" s="60">
        <f>IFERROR(__xludf.DUMMYFUNCTION("""COMPUTED_VALUE"""),55.0)</f>
        <v>55</v>
      </c>
      <c r="BS139" s="60" t="str">
        <f>IFERROR(__xludf.DUMMYFUNCTION("""COMPUTED_VALUE"""),"Multi-Family")</f>
        <v>Multi-Family</v>
      </c>
      <c r="BT139" s="60" t="str">
        <f>IFERROR(__xludf.DUMMYFUNCTION("""COMPUTED_VALUE"""),"Z527398")</f>
        <v>Z527398</v>
      </c>
      <c r="BU139" s="60" t="str">
        <f>IFERROR(__xludf.DUMMYFUNCTION("""COMPUTED_VALUE"""),"Alex Johnson - Compass")</f>
        <v>Alex Johnson - Compass</v>
      </c>
      <c r="BV139" s="60" t="str">
        <f>IFERROR(__xludf.DUMMYFUNCTION("""COMPUTED_VALUE"""),"Sold")</f>
        <v>Sold</v>
      </c>
      <c r="BW139" s="60">
        <f>IFERROR(__xludf.DUMMYFUNCTION("""COMPUTED_VALUE"""),1.0)</f>
        <v>1</v>
      </c>
      <c r="BX139" s="60" t="str">
        <f>IFERROR(__xludf.DUMMYFUNCTION("""COMPUTED_VALUE"""),"OK")</f>
        <v>OK</v>
      </c>
      <c r="BY139" s="1" t="str">
        <f>IFERROR(__xludf.DUMMYFUNCTION("""COMPUTED_VALUE"""),"1600-2600")</f>
        <v>1600-2600</v>
      </c>
      <c r="BZ139" s="1">
        <f>IFERROR(__xludf.DUMMYFUNCTION("""COMPUTED_VALUE"""),7.0)</f>
        <v>7</v>
      </c>
      <c r="CA139" s="1" t="str">
        <f>IFERROR(__xludf.DUMMYFUNCTION("""COMPUTED_VALUE"""),"New")</f>
        <v>New</v>
      </c>
    </row>
    <row r="140" ht="14.25" customHeight="1">
      <c r="A140" s="5">
        <v>162697.0</v>
      </c>
      <c r="B140" s="6" t="s">
        <v>601</v>
      </c>
      <c r="C140" s="6" t="s">
        <v>39</v>
      </c>
      <c r="D140" s="6">
        <v>32785.0</v>
      </c>
      <c r="E140" s="6" t="s">
        <v>30</v>
      </c>
      <c r="F140" s="6" t="s">
        <v>41</v>
      </c>
      <c r="G140" s="6" t="s">
        <v>21</v>
      </c>
      <c r="H140" s="7">
        <v>1624.0</v>
      </c>
      <c r="I140" s="7">
        <v>1726.0</v>
      </c>
      <c r="J140" s="6">
        <v>1972.0</v>
      </c>
      <c r="K140" s="6">
        <v>18.0</v>
      </c>
      <c r="L140" s="6" t="s">
        <v>22</v>
      </c>
      <c r="M140" s="6" t="s">
        <v>602</v>
      </c>
      <c r="N140" s="6" t="s">
        <v>34</v>
      </c>
      <c r="O140" s="6" t="s">
        <v>25</v>
      </c>
      <c r="P140" s="6">
        <f>COUNTIF(Analysis!$M$1:$M$3001,Analysis!$M140)</f>
        <v>1</v>
      </c>
      <c r="Q140" s="6" t="str">
        <f>IF(COUNTIF(Analysis!$M$2:$M$3001,Analysis!$M140)&gt;1,"Duplicate","OK")</f>
        <v>OK</v>
      </c>
      <c r="R140" s="6" t="str">
        <f t="shared" si="1"/>
        <v>1600-2600</v>
      </c>
      <c r="S140" s="6">
        <f t="shared" si="2"/>
        <v>54</v>
      </c>
      <c r="T140" s="6" t="str">
        <f t="shared" si="3"/>
        <v>Old</v>
      </c>
      <c r="BH140" s="14">
        <f>IFERROR(__xludf.DUMMYFUNCTION("""COMPUTED_VALUE"""),365076.0)</f>
        <v>365076</v>
      </c>
      <c r="BI140" s="60" t="str">
        <f>IFERROR(__xludf.DUMMYFUNCTION("""COMPUTED_VALUE"""),"3444 Maple Dr, San Diego, NY 66033")</f>
        <v>3444 Maple Dr, San Diego, NY 66033</v>
      </c>
      <c r="BJ140" s="60" t="str">
        <f>IFERROR(__xludf.DUMMYFUNCTION("""COMPUTED_VALUE"""),"San Diego")</f>
        <v>San Diego</v>
      </c>
      <c r="BK140" s="60">
        <f>IFERROR(__xludf.DUMMYFUNCTION("""COMPUTED_VALUE"""),66033.0)</f>
        <v>66033</v>
      </c>
      <c r="BL140" s="60" t="str">
        <f>IFERROR(__xludf.DUMMYFUNCTION("""COMPUTED_VALUE"""),"NY")</f>
        <v>NY</v>
      </c>
      <c r="BM140" s="60" t="str">
        <f>IFERROR(__xludf.DUMMYFUNCTION("""COMPUTED_VALUE"""),"3 bds")</f>
        <v>3 bds</v>
      </c>
      <c r="BN140" s="60" t="str">
        <f>IFERROR(__xludf.DUMMYFUNCTION("""COMPUTED_VALUE"""),"4 ba")</f>
        <v>4 ba</v>
      </c>
      <c r="BO140" s="60">
        <f>IFERROR(__xludf.DUMMYFUNCTION("""COMPUTED_VALUE"""),3810.0)</f>
        <v>3810</v>
      </c>
      <c r="BP140" s="60">
        <f>IFERROR(__xludf.DUMMYFUNCTION("""COMPUTED_VALUE"""),6155.0)</f>
        <v>6155</v>
      </c>
      <c r="BQ140" s="60">
        <f>IFERROR(__xludf.DUMMYFUNCTION("""COMPUTED_VALUE"""),2012.0)</f>
        <v>2012</v>
      </c>
      <c r="BR140" s="60">
        <f>IFERROR(__xludf.DUMMYFUNCTION("""COMPUTED_VALUE"""),3.0)</f>
        <v>3</v>
      </c>
      <c r="BS140" s="60" t="str">
        <f>IFERROR(__xludf.DUMMYFUNCTION("""COMPUTED_VALUE"""),"Townhouse")</f>
        <v>Townhouse</v>
      </c>
      <c r="BT140" s="60" t="str">
        <f>IFERROR(__xludf.DUMMYFUNCTION("""COMPUTED_VALUE"""),"Z917763")</f>
        <v>Z917763</v>
      </c>
      <c r="BU140" s="60" t="str">
        <f>IFERROR(__xludf.DUMMYFUNCTION("""COMPUTED_VALUE"""),"Alex Johnson - Compass")</f>
        <v>Alex Johnson - Compass</v>
      </c>
      <c r="BV140" s="60" t="str">
        <f>IFERROR(__xludf.DUMMYFUNCTION("""COMPUTED_VALUE"""),"Sold")</f>
        <v>Sold</v>
      </c>
      <c r="BW140" s="60">
        <f>IFERROR(__xludf.DUMMYFUNCTION("""COMPUTED_VALUE"""),1.0)</f>
        <v>1</v>
      </c>
      <c r="BX140" s="60" t="str">
        <f>IFERROR(__xludf.DUMMYFUNCTION("""COMPUTED_VALUE"""),"OK")</f>
        <v>OK</v>
      </c>
      <c r="BY140" s="1" t="str">
        <f>IFERROR(__xludf.DUMMYFUNCTION("""COMPUTED_VALUE"""),"3600+")</f>
        <v>3600+</v>
      </c>
      <c r="BZ140" s="1">
        <f>IFERROR(__xludf.DUMMYFUNCTION("""COMPUTED_VALUE"""),14.0)</f>
        <v>14</v>
      </c>
      <c r="CA140" s="1" t="str">
        <f>IFERROR(__xludf.DUMMYFUNCTION("""COMPUTED_VALUE"""),"Mid")</f>
        <v>Mid</v>
      </c>
    </row>
    <row r="141" ht="14.25" customHeight="1">
      <c r="A141" s="5">
        <v>233832.0</v>
      </c>
      <c r="B141" s="6" t="s">
        <v>605</v>
      </c>
      <c r="C141" s="6" t="s">
        <v>53</v>
      </c>
      <c r="D141" s="6">
        <v>39301.0</v>
      </c>
      <c r="E141" s="6" t="s">
        <v>30</v>
      </c>
      <c r="F141" s="6" t="s">
        <v>54</v>
      </c>
      <c r="G141" s="6" t="s">
        <v>100</v>
      </c>
      <c r="H141" s="7">
        <v>2722.0</v>
      </c>
      <c r="I141" s="7">
        <v>8216.0</v>
      </c>
      <c r="J141" s="6">
        <v>1998.0</v>
      </c>
      <c r="K141" s="6">
        <v>14.0</v>
      </c>
      <c r="L141" s="6" t="s">
        <v>95</v>
      </c>
      <c r="M141" s="6" t="s">
        <v>606</v>
      </c>
      <c r="N141" s="6" t="s">
        <v>24</v>
      </c>
      <c r="O141" s="6" t="s">
        <v>49</v>
      </c>
      <c r="P141" s="6">
        <f>COUNTIF(Analysis!$M$1:$M$3001,Analysis!$M141)</f>
        <v>1</v>
      </c>
      <c r="Q141" s="6" t="str">
        <f>IF(COUNTIF(Analysis!$M$2:$M$3001,Analysis!$M141)&gt;1,"Duplicate","OK")</f>
        <v>OK</v>
      </c>
      <c r="R141" s="6" t="str">
        <f t="shared" si="1"/>
        <v>2600-3600</v>
      </c>
      <c r="S141" s="6">
        <f t="shared" si="2"/>
        <v>28</v>
      </c>
      <c r="T141" s="6" t="str">
        <f t="shared" si="3"/>
        <v>Mid</v>
      </c>
      <c r="BH141" s="14">
        <f>IFERROR(__xludf.DUMMYFUNCTION("""COMPUTED_VALUE"""),1190951.0)</f>
        <v>1190951</v>
      </c>
      <c r="BI141" s="60" t="str">
        <f>IFERROR(__xludf.DUMMYFUNCTION("""COMPUTED_VALUE"""),"3541 Maple Dr, Los Angeles, IL 55291")</f>
        <v>3541 Maple Dr, Los Angeles, IL 55291</v>
      </c>
      <c r="BJ141" s="60" t="str">
        <f>IFERROR(__xludf.DUMMYFUNCTION("""COMPUTED_VALUE"""),"Los Angeles")</f>
        <v>Los Angeles</v>
      </c>
      <c r="BK141" s="60">
        <f>IFERROR(__xludf.DUMMYFUNCTION("""COMPUTED_VALUE"""),55291.0)</f>
        <v>55291</v>
      </c>
      <c r="BL141" s="60" t="str">
        <f>IFERROR(__xludf.DUMMYFUNCTION("""COMPUTED_VALUE"""),"IL")</f>
        <v>IL</v>
      </c>
      <c r="BM141" s="60" t="str">
        <f>IFERROR(__xludf.DUMMYFUNCTION("""COMPUTED_VALUE"""),"3 bds")</f>
        <v>3 bds</v>
      </c>
      <c r="BN141" s="60" t="str">
        <f>IFERROR(__xludf.DUMMYFUNCTION("""COMPUTED_VALUE"""),"3 ba")</f>
        <v>3 ba</v>
      </c>
      <c r="BO141" s="60">
        <f>IFERROR(__xludf.DUMMYFUNCTION("""COMPUTED_VALUE"""),2768.0)</f>
        <v>2768</v>
      </c>
      <c r="BP141" s="60">
        <f>IFERROR(__xludf.DUMMYFUNCTION("""COMPUTED_VALUE"""),2127.0)</f>
        <v>2127</v>
      </c>
      <c r="BQ141" s="60">
        <f>IFERROR(__xludf.DUMMYFUNCTION("""COMPUTED_VALUE"""),2009.0)</f>
        <v>2009</v>
      </c>
      <c r="BR141" s="60">
        <f>IFERROR(__xludf.DUMMYFUNCTION("""COMPUTED_VALUE"""),93.0)</f>
        <v>93</v>
      </c>
      <c r="BS141" s="60" t="str">
        <f>IFERROR(__xludf.DUMMYFUNCTION("""COMPUTED_VALUE"""),"Apartment")</f>
        <v>Apartment</v>
      </c>
      <c r="BT141" s="60" t="str">
        <f>IFERROR(__xludf.DUMMYFUNCTION("""COMPUTED_VALUE"""),"Z476392")</f>
        <v>Z476392</v>
      </c>
      <c r="BU141" s="60" t="str">
        <f>IFERROR(__xludf.DUMMYFUNCTION("""COMPUTED_VALUE"""),"Alex Johnson - Compass")</f>
        <v>Alex Johnson - Compass</v>
      </c>
      <c r="BV141" s="60" t="str">
        <f>IFERROR(__xludf.DUMMYFUNCTION("""COMPUTED_VALUE"""),"Sold")</f>
        <v>Sold</v>
      </c>
      <c r="BW141" s="60">
        <f>IFERROR(__xludf.DUMMYFUNCTION("""COMPUTED_VALUE"""),1.0)</f>
        <v>1</v>
      </c>
      <c r="BX141" s="60" t="str">
        <f>IFERROR(__xludf.DUMMYFUNCTION("""COMPUTED_VALUE"""),"OK")</f>
        <v>OK</v>
      </c>
      <c r="BY141" s="1" t="str">
        <f>IFERROR(__xludf.DUMMYFUNCTION("""COMPUTED_VALUE"""),"2600-3600")</f>
        <v>2600-3600</v>
      </c>
      <c r="BZ141" s="1">
        <f>IFERROR(__xludf.DUMMYFUNCTION("""COMPUTED_VALUE"""),17.0)</f>
        <v>17</v>
      </c>
      <c r="CA141" s="1" t="str">
        <f>IFERROR(__xludf.DUMMYFUNCTION("""COMPUTED_VALUE"""),"Mid")</f>
        <v>Mid</v>
      </c>
    </row>
    <row r="142" ht="14.25" customHeight="1">
      <c r="A142" s="5">
        <v>160897.0</v>
      </c>
      <c r="B142" s="6" t="s">
        <v>11810</v>
      </c>
      <c r="C142" s="6" t="s">
        <v>29</v>
      </c>
      <c r="D142" s="6">
        <v>40673.0</v>
      </c>
      <c r="E142" s="6" t="s">
        <v>60</v>
      </c>
      <c r="F142" s="6" t="s">
        <v>61</v>
      </c>
      <c r="G142" s="6" t="s">
        <v>55</v>
      </c>
      <c r="H142" s="7">
        <v>3935.0</v>
      </c>
      <c r="I142" s="7">
        <v>2887.0</v>
      </c>
      <c r="J142" s="6">
        <v>1980.0</v>
      </c>
      <c r="K142" s="6">
        <v>119.0</v>
      </c>
      <c r="L142" s="6" t="s">
        <v>62</v>
      </c>
      <c r="M142" s="6" t="s">
        <v>11811</v>
      </c>
      <c r="N142" s="6" t="s">
        <v>34</v>
      </c>
      <c r="O142" s="6" t="s">
        <v>25</v>
      </c>
      <c r="P142" s="6">
        <f>COUNTIF(Analysis!$M$1:$M$3001,Analysis!$M2944)</f>
        <v>1</v>
      </c>
      <c r="Q142" s="6" t="str">
        <f>IF(COUNTIF(Analysis!$M$2:$M$3001,Analysis!$M2944)&gt;1,"Duplicate","OK")</f>
        <v>OK</v>
      </c>
      <c r="R142" s="6" t="str">
        <f t="shared" si="1"/>
        <v>3600+</v>
      </c>
      <c r="S142" s="6">
        <f t="shared" si="2"/>
        <v>46</v>
      </c>
      <c r="T142" s="6" t="str">
        <f t="shared" si="3"/>
        <v>Old</v>
      </c>
      <c r="BH142" s="14">
        <f>IFERROR(__xludf.DUMMYFUNCTION("""COMPUTED_VALUE"""),357213.0)</f>
        <v>357213</v>
      </c>
      <c r="BI142" s="60" t="str">
        <f>IFERROR(__xludf.DUMMYFUNCTION("""COMPUTED_VALUE"""),"8379 Elm St, San Francisco, CA 47969")</f>
        <v>8379 Elm St, San Francisco, CA 47969</v>
      </c>
      <c r="BJ142" s="60" t="str">
        <f>IFERROR(__xludf.DUMMYFUNCTION("""COMPUTED_VALUE"""),"San Francisco")</f>
        <v>San Francisco</v>
      </c>
      <c r="BK142" s="60">
        <f>IFERROR(__xludf.DUMMYFUNCTION("""COMPUTED_VALUE"""),47969.0)</f>
        <v>47969</v>
      </c>
      <c r="BL142" s="60" t="str">
        <f>IFERROR(__xludf.DUMMYFUNCTION("""COMPUTED_VALUE"""),"CA")</f>
        <v>CA</v>
      </c>
      <c r="BM142" s="60" t="str">
        <f>IFERROR(__xludf.DUMMYFUNCTION("""COMPUTED_VALUE"""),"6 bds")</f>
        <v>6 bds</v>
      </c>
      <c r="BN142" s="60" t="str">
        <f>IFERROR(__xludf.DUMMYFUNCTION("""COMPUTED_VALUE"""),"3 ba")</f>
        <v>3 ba</v>
      </c>
      <c r="BO142" s="60">
        <f>IFERROR(__xludf.DUMMYFUNCTION("""COMPUTED_VALUE"""),3756.0)</f>
        <v>3756</v>
      </c>
      <c r="BP142" s="60">
        <f>IFERROR(__xludf.DUMMYFUNCTION("""COMPUTED_VALUE"""),5274.0)</f>
        <v>5274</v>
      </c>
      <c r="BQ142" s="60">
        <f>IFERROR(__xludf.DUMMYFUNCTION("""COMPUTED_VALUE"""),1959.0)</f>
        <v>1959</v>
      </c>
      <c r="BR142" s="60">
        <f>IFERROR(__xludf.DUMMYFUNCTION("""COMPUTED_VALUE"""),116.0)</f>
        <v>116</v>
      </c>
      <c r="BS142" s="60" t="str">
        <f>IFERROR(__xludf.DUMMYFUNCTION("""COMPUTED_VALUE"""),"Condo")</f>
        <v>Condo</v>
      </c>
      <c r="BT142" s="60" t="str">
        <f>IFERROR(__xludf.DUMMYFUNCTION("""COMPUTED_VALUE"""),"Z715979")</f>
        <v>Z715979</v>
      </c>
      <c r="BU142" s="60" t="str">
        <f>IFERROR(__xludf.DUMMYFUNCTION("""COMPUTED_VALUE"""),"Alex Johnson - Compass")</f>
        <v>Alex Johnson - Compass</v>
      </c>
      <c r="BV142" s="60" t="str">
        <f>IFERROR(__xludf.DUMMYFUNCTION("""COMPUTED_VALUE"""),"Sold")</f>
        <v>Sold</v>
      </c>
      <c r="BW142" s="60">
        <f>IFERROR(__xludf.DUMMYFUNCTION("""COMPUTED_VALUE"""),2.0)</f>
        <v>2</v>
      </c>
      <c r="BX142" s="60" t="str">
        <f>IFERROR(__xludf.DUMMYFUNCTION("""COMPUTED_VALUE"""),"Duplicate")</f>
        <v>Duplicate</v>
      </c>
      <c r="BY142" s="1" t="str">
        <f>IFERROR(__xludf.DUMMYFUNCTION("""COMPUTED_VALUE"""),"3600+")</f>
        <v>3600+</v>
      </c>
      <c r="BZ142" s="1">
        <f>IFERROR(__xludf.DUMMYFUNCTION("""COMPUTED_VALUE"""),67.0)</f>
        <v>67</v>
      </c>
      <c r="CA142" s="1" t="str">
        <f>IFERROR(__xludf.DUMMYFUNCTION("""COMPUTED_VALUE"""),"Very Old")</f>
        <v>Very Old</v>
      </c>
    </row>
    <row r="143" ht="14.25" customHeight="1">
      <c r="A143" s="5">
        <v>164454.0</v>
      </c>
      <c r="B143" s="6" t="s">
        <v>28</v>
      </c>
      <c r="C143" s="6" t="s">
        <v>29</v>
      </c>
      <c r="D143" s="6">
        <v>79339.0</v>
      </c>
      <c r="E143" s="6" t="s">
        <v>30</v>
      </c>
      <c r="F143" s="6" t="s">
        <v>20</v>
      </c>
      <c r="G143" s="6" t="s">
        <v>31</v>
      </c>
      <c r="H143" s="7">
        <v>2348.0</v>
      </c>
      <c r="I143" s="7">
        <v>3615.0</v>
      </c>
      <c r="J143" s="6">
        <v>1969.0</v>
      </c>
      <c r="K143" s="6">
        <v>46.0</v>
      </c>
      <c r="L143" s="6" t="s">
        <v>32</v>
      </c>
      <c r="M143" s="6" t="s">
        <v>33</v>
      </c>
      <c r="N143" s="6" t="s">
        <v>34</v>
      </c>
      <c r="O143" s="6" t="s">
        <v>35</v>
      </c>
      <c r="P143" s="6">
        <f>COUNTIF(Analysis!$M$1:$M$3001,Analysis!$M3)</f>
        <v>1</v>
      </c>
      <c r="Q143" s="6" t="str">
        <f>IF(COUNTIF(Analysis!$M$2:$M$3001,Analysis!$M3)&gt;1,"Duplicate","OK")</f>
        <v>OK</v>
      </c>
      <c r="R143" s="6" t="str">
        <f t="shared" si="1"/>
        <v>1600-2600</v>
      </c>
      <c r="S143" s="6">
        <f t="shared" si="2"/>
        <v>57</v>
      </c>
      <c r="T143" s="6" t="str">
        <f t="shared" si="3"/>
        <v>Old</v>
      </c>
      <c r="BH143" s="14">
        <f>IFERROR(__xludf.DUMMYFUNCTION("""COMPUTED_VALUE"""),1153210.0)</f>
        <v>1153210</v>
      </c>
      <c r="BI143" s="60" t="str">
        <f>IFERROR(__xludf.DUMMYFUNCTION("""COMPUTED_VALUE"""),"4409 Pine Rd, Los Angeles, CA 62280")</f>
        <v>4409 Pine Rd, Los Angeles, CA 62280</v>
      </c>
      <c r="BJ143" s="60" t="str">
        <f>IFERROR(__xludf.DUMMYFUNCTION("""COMPUTED_VALUE"""),"Los Angeles")</f>
        <v>Los Angeles</v>
      </c>
      <c r="BK143" s="60">
        <f>IFERROR(__xludf.DUMMYFUNCTION("""COMPUTED_VALUE"""),62280.0)</f>
        <v>62280</v>
      </c>
      <c r="BL143" s="60" t="str">
        <f>IFERROR(__xludf.DUMMYFUNCTION("""COMPUTED_VALUE"""),"CA")</f>
        <v>CA</v>
      </c>
      <c r="BM143" s="60" t="str">
        <f>IFERROR(__xludf.DUMMYFUNCTION("""COMPUTED_VALUE"""),"5 bds")</f>
        <v>5 bds</v>
      </c>
      <c r="BN143" s="60" t="str">
        <f>IFERROR(__xludf.DUMMYFUNCTION("""COMPUTED_VALUE"""),"2 ba")</f>
        <v>2 ba</v>
      </c>
      <c r="BO143" s="60">
        <f>IFERROR(__xludf.DUMMYFUNCTION("""COMPUTED_VALUE"""),2514.0)</f>
        <v>2514</v>
      </c>
      <c r="BP143" s="60">
        <f>IFERROR(__xludf.DUMMYFUNCTION("""COMPUTED_VALUE"""),8087.0)</f>
        <v>8087</v>
      </c>
      <c r="BQ143" s="60">
        <f>IFERROR(__xludf.DUMMYFUNCTION("""COMPUTED_VALUE"""),1980.0)</f>
        <v>1980</v>
      </c>
      <c r="BR143" s="60">
        <f>IFERROR(__xludf.DUMMYFUNCTION("""COMPUTED_VALUE"""),118.0)</f>
        <v>118</v>
      </c>
      <c r="BS143" s="60" t="str">
        <f>IFERROR(__xludf.DUMMYFUNCTION("""COMPUTED_VALUE"""),"Single Family")</f>
        <v>Single Family</v>
      </c>
      <c r="BT143" s="60" t="str">
        <f>IFERROR(__xludf.DUMMYFUNCTION("""COMPUTED_VALUE"""),"Z475845")</f>
        <v>Z475845</v>
      </c>
      <c r="BU143" s="60" t="str">
        <f>IFERROR(__xludf.DUMMYFUNCTION("""COMPUTED_VALUE"""),"Alex Johnson - Compass")</f>
        <v>Alex Johnson - Compass</v>
      </c>
      <c r="BV143" s="60" t="str">
        <f>IFERROR(__xludf.DUMMYFUNCTION("""COMPUTED_VALUE"""),"Sold")</f>
        <v>Sold</v>
      </c>
      <c r="BW143" s="60">
        <f>IFERROR(__xludf.DUMMYFUNCTION("""COMPUTED_VALUE"""),1.0)</f>
        <v>1</v>
      </c>
      <c r="BX143" s="60" t="str">
        <f>IFERROR(__xludf.DUMMYFUNCTION("""COMPUTED_VALUE"""),"OK")</f>
        <v>OK</v>
      </c>
      <c r="BY143" s="1" t="str">
        <f>IFERROR(__xludf.DUMMYFUNCTION("""COMPUTED_VALUE"""),"1600-2600")</f>
        <v>1600-2600</v>
      </c>
      <c r="BZ143" s="1">
        <f>IFERROR(__xludf.DUMMYFUNCTION("""COMPUTED_VALUE"""),46.0)</f>
        <v>46</v>
      </c>
      <c r="CA143" s="1" t="str">
        <f>IFERROR(__xludf.DUMMYFUNCTION("""COMPUTED_VALUE"""),"Old")</f>
        <v>Old</v>
      </c>
    </row>
    <row r="144" ht="14.25" customHeight="1">
      <c r="A144" s="5">
        <v>996664.0</v>
      </c>
      <c r="B144" s="6" t="s">
        <v>617</v>
      </c>
      <c r="C144" s="6" t="s">
        <v>18</v>
      </c>
      <c r="D144" s="6">
        <v>79681.0</v>
      </c>
      <c r="E144" s="6" t="s">
        <v>19</v>
      </c>
      <c r="F144" s="6" t="s">
        <v>61</v>
      </c>
      <c r="G144" s="6" t="s">
        <v>21</v>
      </c>
      <c r="H144" s="7">
        <v>939.0</v>
      </c>
      <c r="I144" s="7">
        <v>9095.0</v>
      </c>
      <c r="J144" s="6">
        <v>1982.0</v>
      </c>
      <c r="K144" s="6">
        <v>66.0</v>
      </c>
      <c r="L144" s="6" t="s">
        <v>141</v>
      </c>
      <c r="M144" s="6" t="s">
        <v>618</v>
      </c>
      <c r="N144" s="6" t="s">
        <v>64</v>
      </c>
      <c r="O144" s="6" t="s">
        <v>25</v>
      </c>
      <c r="P144" s="6">
        <f>COUNTIF(Analysis!$M$1:$M$3001,Analysis!$M144)</f>
        <v>1</v>
      </c>
      <c r="Q144" s="6" t="str">
        <f>IF(COUNTIF(Analysis!$M$2:$M$3001,Analysis!$M144)&gt;1,"Duplicate","OK")</f>
        <v>OK</v>
      </c>
      <c r="R144" s="6" t="str">
        <f t="shared" si="1"/>
        <v>600-1600</v>
      </c>
      <c r="S144" s="6">
        <f t="shared" si="2"/>
        <v>44</v>
      </c>
      <c r="T144" s="6" t="str">
        <f t="shared" si="3"/>
        <v>Old</v>
      </c>
      <c r="BH144" s="14">
        <f>IFERROR(__xludf.DUMMYFUNCTION("""COMPUTED_VALUE"""),289224.0)</f>
        <v>289224</v>
      </c>
      <c r="BI144" s="60" t="str">
        <f>IFERROR(__xludf.DUMMYFUNCTION("""COMPUTED_VALUE"""),"6113 Main St, San Diego, IL 53067")</f>
        <v>6113 Main St, San Diego, IL 53067</v>
      </c>
      <c r="BJ144" s="60" t="str">
        <f>IFERROR(__xludf.DUMMYFUNCTION("""COMPUTED_VALUE"""),"San Diego")</f>
        <v>San Diego</v>
      </c>
      <c r="BK144" s="60">
        <f>IFERROR(__xludf.DUMMYFUNCTION("""COMPUTED_VALUE"""),53067.0)</f>
        <v>53067</v>
      </c>
      <c r="BL144" s="60" t="str">
        <f>IFERROR(__xludf.DUMMYFUNCTION("""COMPUTED_VALUE"""),"IL")</f>
        <v>IL</v>
      </c>
      <c r="BM144" s="60" t="str">
        <f>IFERROR(__xludf.DUMMYFUNCTION("""COMPUTED_VALUE"""),"5 bds")</f>
        <v>5 bds</v>
      </c>
      <c r="BN144" s="60" t="str">
        <f>IFERROR(__xludf.DUMMYFUNCTION("""COMPUTED_VALUE"""),"2 ba")</f>
        <v>2 ba</v>
      </c>
      <c r="BO144" s="60">
        <f>IFERROR(__xludf.DUMMYFUNCTION("""COMPUTED_VALUE"""),3508.0)</f>
        <v>3508</v>
      </c>
      <c r="BP144" s="60">
        <f>IFERROR(__xludf.DUMMYFUNCTION("""COMPUTED_VALUE"""),3751.0)</f>
        <v>3751</v>
      </c>
      <c r="BQ144" s="60">
        <f>IFERROR(__xludf.DUMMYFUNCTION("""COMPUTED_VALUE"""),1974.0)</f>
        <v>1974</v>
      </c>
      <c r="BR144" s="60">
        <f>IFERROR(__xludf.DUMMYFUNCTION("""COMPUTED_VALUE"""),113.0)</f>
        <v>113</v>
      </c>
      <c r="BS144" s="60" t="str">
        <f>IFERROR(__xludf.DUMMYFUNCTION("""COMPUTED_VALUE"""),"Condo")</f>
        <v>Condo</v>
      </c>
      <c r="BT144" s="60" t="str">
        <f>IFERROR(__xludf.DUMMYFUNCTION("""COMPUTED_VALUE"""),"Z924991")</f>
        <v>Z924991</v>
      </c>
      <c r="BU144" s="60" t="str">
        <f>IFERROR(__xludf.DUMMYFUNCTION("""COMPUTED_VALUE"""),"Alex Johnson - Compass")</f>
        <v>Alex Johnson - Compass</v>
      </c>
      <c r="BV144" s="60" t="str">
        <f>IFERROR(__xludf.DUMMYFUNCTION("""COMPUTED_VALUE"""),"Sold")</f>
        <v>Sold</v>
      </c>
      <c r="BW144" s="60">
        <f>IFERROR(__xludf.DUMMYFUNCTION("""COMPUTED_VALUE"""),1.0)</f>
        <v>1</v>
      </c>
      <c r="BX144" s="60" t="str">
        <f>IFERROR(__xludf.DUMMYFUNCTION("""COMPUTED_VALUE"""),"OK")</f>
        <v>OK</v>
      </c>
      <c r="BY144" s="1" t="str">
        <f>IFERROR(__xludf.DUMMYFUNCTION("""COMPUTED_VALUE"""),"2600-3600")</f>
        <v>2600-3600</v>
      </c>
      <c r="BZ144" s="1">
        <f>IFERROR(__xludf.DUMMYFUNCTION("""COMPUTED_VALUE"""),52.0)</f>
        <v>52</v>
      </c>
      <c r="CA144" s="1" t="str">
        <f>IFERROR(__xludf.DUMMYFUNCTION("""COMPUTED_VALUE"""),"Old")</f>
        <v>Old</v>
      </c>
    </row>
    <row r="145" ht="14.25" customHeight="1">
      <c r="A145" s="5">
        <v>891575.0</v>
      </c>
      <c r="B145" s="6" t="s">
        <v>621</v>
      </c>
      <c r="C145" s="6" t="s">
        <v>39</v>
      </c>
      <c r="D145" s="6">
        <v>96050.0</v>
      </c>
      <c r="E145" s="6" t="s">
        <v>77</v>
      </c>
      <c r="F145" s="6" t="s">
        <v>46</v>
      </c>
      <c r="G145" s="6" t="s">
        <v>100</v>
      </c>
      <c r="H145" s="7">
        <v>1845.0</v>
      </c>
      <c r="I145" s="7">
        <v>3851.0</v>
      </c>
      <c r="J145" s="6">
        <v>1998.0</v>
      </c>
      <c r="K145" s="6">
        <v>91.0</v>
      </c>
      <c r="L145" s="6" t="s">
        <v>62</v>
      </c>
      <c r="M145" s="6" t="s">
        <v>622</v>
      </c>
      <c r="N145" s="6" t="s">
        <v>34</v>
      </c>
      <c r="O145" s="6" t="s">
        <v>35</v>
      </c>
      <c r="P145" s="6">
        <f>COUNTIF(Analysis!$M$1:$M$3001,Analysis!$M145)</f>
        <v>1</v>
      </c>
      <c r="Q145" s="6" t="str">
        <f>IF(COUNTIF(Analysis!$M$2:$M$3001,Analysis!$M145)&gt;1,"Duplicate","OK")</f>
        <v>OK</v>
      </c>
      <c r="R145" s="6" t="str">
        <f t="shared" si="1"/>
        <v>1600-2600</v>
      </c>
      <c r="S145" s="6">
        <f t="shared" si="2"/>
        <v>28</v>
      </c>
      <c r="T145" s="6" t="str">
        <f t="shared" si="3"/>
        <v>Mid</v>
      </c>
      <c r="BH145" s="14">
        <f>IFERROR(__xludf.DUMMYFUNCTION("""COMPUTED_VALUE"""),1334512.0)</f>
        <v>1334512</v>
      </c>
      <c r="BI145" s="60" t="str">
        <f>IFERROR(__xludf.DUMMYFUNCTION("""COMPUTED_VALUE"""),"1946 Main St, San Diego, FL 37751")</f>
        <v>1946 Main St, San Diego, FL 37751</v>
      </c>
      <c r="BJ145" s="60" t="str">
        <f>IFERROR(__xludf.DUMMYFUNCTION("""COMPUTED_VALUE"""),"San Diego")</f>
        <v>San Diego</v>
      </c>
      <c r="BK145" s="60">
        <f>IFERROR(__xludf.DUMMYFUNCTION("""COMPUTED_VALUE"""),37751.0)</f>
        <v>37751</v>
      </c>
      <c r="BL145" s="60" t="str">
        <f>IFERROR(__xludf.DUMMYFUNCTION("""COMPUTED_VALUE"""),"FL")</f>
        <v>FL</v>
      </c>
      <c r="BM145" s="60" t="str">
        <f>IFERROR(__xludf.DUMMYFUNCTION("""COMPUTED_VALUE"""),"5 bds")</f>
        <v>5 bds</v>
      </c>
      <c r="BN145" s="60" t="str">
        <f>IFERROR(__xludf.DUMMYFUNCTION("""COMPUTED_VALUE"""),"3 ba")</f>
        <v>3 ba</v>
      </c>
      <c r="BO145" s="60">
        <f>IFERROR(__xludf.DUMMYFUNCTION("""COMPUTED_VALUE"""),2277.0)</f>
        <v>2277</v>
      </c>
      <c r="BP145" s="60">
        <f>IFERROR(__xludf.DUMMYFUNCTION("""COMPUTED_VALUE"""),7930.0)</f>
        <v>7930</v>
      </c>
      <c r="BQ145" s="60">
        <f>IFERROR(__xludf.DUMMYFUNCTION("""COMPUTED_VALUE"""),1981.0)</f>
        <v>1981</v>
      </c>
      <c r="BR145" s="60">
        <f>IFERROR(__xludf.DUMMYFUNCTION("""COMPUTED_VALUE"""),57.0)</f>
        <v>57</v>
      </c>
      <c r="BS145" s="60" t="str">
        <f>IFERROR(__xludf.DUMMYFUNCTION("""COMPUTED_VALUE"""),"Single Family")</f>
        <v>Single Family</v>
      </c>
      <c r="BT145" s="60" t="str">
        <f>IFERROR(__xludf.DUMMYFUNCTION("""COMPUTED_VALUE"""),"Z824509")</f>
        <v>Z824509</v>
      </c>
      <c r="BU145" s="60" t="str">
        <f>IFERROR(__xludf.DUMMYFUNCTION("""COMPUTED_VALUE"""),"Alex Johnson - Compass")</f>
        <v>Alex Johnson - Compass</v>
      </c>
      <c r="BV145" s="60" t="str">
        <f>IFERROR(__xludf.DUMMYFUNCTION("""COMPUTED_VALUE"""),"Sold")</f>
        <v>Sold</v>
      </c>
      <c r="BW145" s="60">
        <f>IFERROR(__xludf.DUMMYFUNCTION("""COMPUTED_VALUE"""),1.0)</f>
        <v>1</v>
      </c>
      <c r="BX145" s="60" t="str">
        <f>IFERROR(__xludf.DUMMYFUNCTION("""COMPUTED_VALUE"""),"OK")</f>
        <v>OK</v>
      </c>
      <c r="BY145" s="1" t="str">
        <f>IFERROR(__xludf.DUMMYFUNCTION("""COMPUTED_VALUE"""),"1600-2600")</f>
        <v>1600-2600</v>
      </c>
      <c r="BZ145" s="1">
        <f>IFERROR(__xludf.DUMMYFUNCTION("""COMPUTED_VALUE"""),45.0)</f>
        <v>45</v>
      </c>
      <c r="CA145" s="1" t="str">
        <f>IFERROR(__xludf.DUMMYFUNCTION("""COMPUTED_VALUE"""),"Old")</f>
        <v>Old</v>
      </c>
    </row>
    <row r="146" ht="14.25" customHeight="1">
      <c r="A146" s="5">
        <v>725711.0</v>
      </c>
      <c r="B146" s="6" t="s">
        <v>625</v>
      </c>
      <c r="C146" s="6" t="s">
        <v>76</v>
      </c>
      <c r="D146" s="6">
        <v>11339.0</v>
      </c>
      <c r="E146" s="6" t="s">
        <v>19</v>
      </c>
      <c r="F146" s="6" t="s">
        <v>41</v>
      </c>
      <c r="G146" s="6" t="s">
        <v>31</v>
      </c>
      <c r="H146" s="7">
        <v>803.0</v>
      </c>
      <c r="I146" s="7">
        <v>6903.0</v>
      </c>
      <c r="J146" s="6">
        <v>2010.0</v>
      </c>
      <c r="K146" s="6">
        <v>27.0</v>
      </c>
      <c r="L146" s="6" t="s">
        <v>32</v>
      </c>
      <c r="M146" s="6" t="s">
        <v>626</v>
      </c>
      <c r="N146" s="6" t="s">
        <v>34</v>
      </c>
      <c r="O146" s="6" t="s">
        <v>25</v>
      </c>
      <c r="P146" s="6">
        <f>COUNTIF(Analysis!$M$1:$M$3001,Analysis!$M146)</f>
        <v>1</v>
      </c>
      <c r="Q146" s="6" t="str">
        <f>IF(COUNTIF(Analysis!$M$2:$M$3001,Analysis!$M146)&gt;1,"Duplicate","OK")</f>
        <v>OK</v>
      </c>
      <c r="R146" s="6" t="str">
        <f t="shared" si="1"/>
        <v>600-1600</v>
      </c>
      <c r="S146" s="6">
        <f t="shared" si="2"/>
        <v>16</v>
      </c>
      <c r="T146" s="6" t="str">
        <f t="shared" si="3"/>
        <v>Mid</v>
      </c>
      <c r="BH146" s="14">
        <f>IFERROR(__xludf.DUMMYFUNCTION("""COMPUTED_VALUE"""),490836.0)</f>
        <v>490836</v>
      </c>
      <c r="BI146" s="60" t="str">
        <f>IFERROR(__xludf.DUMMYFUNCTION("""COMPUTED_VALUE"""),"2289 Pine Rd, San Francisco, IL 56669")</f>
        <v>2289 Pine Rd, San Francisco, IL 56669</v>
      </c>
      <c r="BJ146" s="60" t="str">
        <f>IFERROR(__xludf.DUMMYFUNCTION("""COMPUTED_VALUE"""),"San Francisco")</f>
        <v>San Francisco</v>
      </c>
      <c r="BK146" s="60">
        <f>IFERROR(__xludf.DUMMYFUNCTION("""COMPUTED_VALUE"""),56669.0)</f>
        <v>56669</v>
      </c>
      <c r="BL146" s="60" t="str">
        <f>IFERROR(__xludf.DUMMYFUNCTION("""COMPUTED_VALUE"""),"IL")</f>
        <v>IL</v>
      </c>
      <c r="BM146" s="60" t="str">
        <f>IFERROR(__xludf.DUMMYFUNCTION("""COMPUTED_VALUE"""),"6 bds")</f>
        <v>6 bds</v>
      </c>
      <c r="BN146" s="60" t="str">
        <f>IFERROR(__xludf.DUMMYFUNCTION("""COMPUTED_VALUE"""),"1 ba")</f>
        <v>1 ba</v>
      </c>
      <c r="BO146" s="60">
        <f>IFERROR(__xludf.DUMMYFUNCTION("""COMPUTED_VALUE"""),681.0)</f>
        <v>681</v>
      </c>
      <c r="BP146" s="60">
        <f>IFERROR(__xludf.DUMMYFUNCTION("""COMPUTED_VALUE"""),2821.0)</f>
        <v>2821</v>
      </c>
      <c r="BQ146" s="60">
        <f>IFERROR(__xludf.DUMMYFUNCTION("""COMPUTED_VALUE"""),2015.0)</f>
        <v>2015</v>
      </c>
      <c r="BR146" s="60">
        <f>IFERROR(__xludf.DUMMYFUNCTION("""COMPUTED_VALUE"""),49.0)</f>
        <v>49</v>
      </c>
      <c r="BS146" s="60" t="str">
        <f>IFERROR(__xludf.DUMMYFUNCTION("""COMPUTED_VALUE"""),"Single Family")</f>
        <v>Single Family</v>
      </c>
      <c r="BT146" s="60" t="str">
        <f>IFERROR(__xludf.DUMMYFUNCTION("""COMPUTED_VALUE"""),"Z948673")</f>
        <v>Z948673</v>
      </c>
      <c r="BU146" s="60" t="str">
        <f>IFERROR(__xludf.DUMMYFUNCTION("""COMPUTED_VALUE"""),"Alex Johnson - Compass")</f>
        <v>Alex Johnson - Compass</v>
      </c>
      <c r="BV146" s="60" t="str">
        <f>IFERROR(__xludf.DUMMYFUNCTION("""COMPUTED_VALUE"""),"Sold")</f>
        <v>Sold</v>
      </c>
      <c r="BW146" s="60">
        <f>IFERROR(__xludf.DUMMYFUNCTION("""COMPUTED_VALUE"""),1.0)</f>
        <v>1</v>
      </c>
      <c r="BX146" s="60" t="str">
        <f>IFERROR(__xludf.DUMMYFUNCTION("""COMPUTED_VALUE"""),"OK")</f>
        <v>OK</v>
      </c>
      <c r="BY146" s="1" t="str">
        <f>IFERROR(__xludf.DUMMYFUNCTION("""COMPUTED_VALUE"""),"600-1600")</f>
        <v>600-1600</v>
      </c>
      <c r="BZ146" s="1">
        <f>IFERROR(__xludf.DUMMYFUNCTION("""COMPUTED_VALUE"""),11.0)</f>
        <v>11</v>
      </c>
      <c r="CA146" s="1" t="str">
        <f>IFERROR(__xludf.DUMMYFUNCTION("""COMPUTED_VALUE"""),"Mid")</f>
        <v>Mid</v>
      </c>
    </row>
    <row r="147" ht="14.25" customHeight="1">
      <c r="A147" s="5">
        <v>172363.0</v>
      </c>
      <c r="B147" s="6" t="s">
        <v>9855</v>
      </c>
      <c r="C147" s="6" t="s">
        <v>29</v>
      </c>
      <c r="D147" s="6">
        <v>91382.0</v>
      </c>
      <c r="E147" s="6" t="s">
        <v>19</v>
      </c>
      <c r="F147" s="6" t="s">
        <v>46</v>
      </c>
      <c r="G147" s="6" t="s">
        <v>31</v>
      </c>
      <c r="H147" s="7">
        <v>1842.0</v>
      </c>
      <c r="I147" s="7">
        <v>9218.0</v>
      </c>
      <c r="J147" s="6">
        <v>2019.0</v>
      </c>
      <c r="K147" s="6">
        <v>57.0</v>
      </c>
      <c r="L147" s="6" t="s">
        <v>95</v>
      </c>
      <c r="M147" s="6" t="s">
        <v>9856</v>
      </c>
      <c r="N147" s="6" t="s">
        <v>64</v>
      </c>
      <c r="O147" s="6" t="s">
        <v>25</v>
      </c>
      <c r="P147" s="6">
        <f>COUNTIF(Analysis!$M$1:$M$3001,Analysis!$M2455)</f>
        <v>1</v>
      </c>
      <c r="Q147" s="6" t="str">
        <f>IF(COUNTIF(Analysis!$M$2:$M$3001,Analysis!$M2455)&gt;1,"Duplicate","OK")</f>
        <v>OK</v>
      </c>
      <c r="R147" s="6" t="str">
        <f t="shared" si="1"/>
        <v>1600-2600</v>
      </c>
      <c r="S147" s="6">
        <f t="shared" si="2"/>
        <v>7</v>
      </c>
      <c r="T147" s="6" t="str">
        <f t="shared" si="3"/>
        <v>New</v>
      </c>
      <c r="BH147" s="14">
        <f>IFERROR(__xludf.DUMMYFUNCTION("""COMPUTED_VALUE"""),933014.0)</f>
        <v>933014</v>
      </c>
      <c r="BI147" s="60" t="str">
        <f>IFERROR(__xludf.DUMMYFUNCTION("""COMPUTED_VALUE"""),"5147 Oak Ave, Fresno, TX 49179")</f>
        <v>5147 Oak Ave, Fresno, TX 49179</v>
      </c>
      <c r="BJ147" s="60" t="str">
        <f>IFERROR(__xludf.DUMMYFUNCTION("""COMPUTED_VALUE"""),"Fresno")</f>
        <v>Fresno</v>
      </c>
      <c r="BK147" s="60">
        <f>IFERROR(__xludf.DUMMYFUNCTION("""COMPUTED_VALUE"""),49179.0)</f>
        <v>49179</v>
      </c>
      <c r="BL147" s="60" t="str">
        <f>IFERROR(__xludf.DUMMYFUNCTION("""COMPUTED_VALUE"""),"TX")</f>
        <v>TX</v>
      </c>
      <c r="BM147" s="60" t="str">
        <f>IFERROR(__xludf.DUMMYFUNCTION("""COMPUTED_VALUE"""),"3 bds")</f>
        <v>3 bds</v>
      </c>
      <c r="BN147" s="60" t="str">
        <f>IFERROR(__xludf.DUMMYFUNCTION("""COMPUTED_VALUE"""),"4 ba")</f>
        <v>4 ba</v>
      </c>
      <c r="BO147" s="60">
        <f>IFERROR(__xludf.DUMMYFUNCTION("""COMPUTED_VALUE"""),2410.0)</f>
        <v>2410</v>
      </c>
      <c r="BP147" s="60">
        <f>IFERROR(__xludf.DUMMYFUNCTION("""COMPUTED_VALUE"""),3470.0)</f>
        <v>3470</v>
      </c>
      <c r="BQ147" s="60">
        <f>IFERROR(__xludf.DUMMYFUNCTION("""COMPUTED_VALUE"""),2002.0)</f>
        <v>2002</v>
      </c>
      <c r="BR147" s="60">
        <f>IFERROR(__xludf.DUMMYFUNCTION("""COMPUTED_VALUE"""),73.0)</f>
        <v>73</v>
      </c>
      <c r="BS147" s="60" t="str">
        <f>IFERROR(__xludf.DUMMYFUNCTION("""COMPUTED_VALUE"""),"Apartment")</f>
        <v>Apartment</v>
      </c>
      <c r="BT147" s="60" t="str">
        <f>IFERROR(__xludf.DUMMYFUNCTION("""COMPUTED_VALUE"""),"Z344919")</f>
        <v>Z344919</v>
      </c>
      <c r="BU147" s="60" t="str">
        <f>IFERROR(__xludf.DUMMYFUNCTION("""COMPUTED_VALUE"""),"Alex Johnson - Compass")</f>
        <v>Alex Johnson - Compass</v>
      </c>
      <c r="BV147" s="60" t="str">
        <f>IFERROR(__xludf.DUMMYFUNCTION("""COMPUTED_VALUE"""),"Sold")</f>
        <v>Sold</v>
      </c>
      <c r="BW147" s="60">
        <f>IFERROR(__xludf.DUMMYFUNCTION("""COMPUTED_VALUE"""),1.0)</f>
        <v>1</v>
      </c>
      <c r="BX147" s="60" t="str">
        <f>IFERROR(__xludf.DUMMYFUNCTION("""COMPUTED_VALUE"""),"OK")</f>
        <v>OK</v>
      </c>
      <c r="BY147" s="1" t="str">
        <f>IFERROR(__xludf.DUMMYFUNCTION("""COMPUTED_VALUE"""),"1600-2600")</f>
        <v>1600-2600</v>
      </c>
      <c r="BZ147" s="1">
        <f>IFERROR(__xludf.DUMMYFUNCTION("""COMPUTED_VALUE"""),24.0)</f>
        <v>24</v>
      </c>
      <c r="CA147" s="1" t="str">
        <f>IFERROR(__xludf.DUMMYFUNCTION("""COMPUTED_VALUE"""),"Mid")</f>
        <v>Mid</v>
      </c>
    </row>
    <row r="148" ht="14.25" customHeight="1">
      <c r="A148" s="5">
        <v>173580.0</v>
      </c>
      <c r="B148" s="6" t="s">
        <v>8584</v>
      </c>
      <c r="C148" s="6" t="s">
        <v>29</v>
      </c>
      <c r="D148" s="6">
        <v>12309.0</v>
      </c>
      <c r="E148" s="6" t="s">
        <v>30</v>
      </c>
      <c r="F148" s="6" t="s">
        <v>94</v>
      </c>
      <c r="G148" s="6" t="s">
        <v>55</v>
      </c>
      <c r="H148" s="7">
        <v>3603.0</v>
      </c>
      <c r="I148" s="7">
        <v>5090.0</v>
      </c>
      <c r="J148" s="6">
        <v>1974.0</v>
      </c>
      <c r="K148" s="6">
        <v>109.0</v>
      </c>
      <c r="L148" s="6" t="s">
        <v>32</v>
      </c>
      <c r="M148" s="6" t="s">
        <v>8585</v>
      </c>
      <c r="N148" s="6" t="s">
        <v>48</v>
      </c>
      <c r="O148" s="6" t="s">
        <v>25</v>
      </c>
      <c r="P148" s="6">
        <f>COUNTIF(Analysis!$M$1:$M$3001,Analysis!$M2137)</f>
        <v>1</v>
      </c>
      <c r="Q148" s="6" t="str">
        <f>IF(COUNTIF(Analysis!$M$2:$M$3001,Analysis!$M2137)&gt;1,"Duplicate","OK")</f>
        <v>OK</v>
      </c>
      <c r="R148" s="6" t="str">
        <f t="shared" si="1"/>
        <v>3600+</v>
      </c>
      <c r="S148" s="6">
        <f t="shared" si="2"/>
        <v>52</v>
      </c>
      <c r="T148" s="6" t="str">
        <f t="shared" si="3"/>
        <v>Old</v>
      </c>
      <c r="BH148" s="14">
        <f>IFERROR(__xludf.DUMMYFUNCTION("""COMPUTED_VALUE"""),1423184.0)</f>
        <v>1423184</v>
      </c>
      <c r="BI148" s="60" t="str">
        <f>IFERROR(__xludf.DUMMYFUNCTION("""COMPUTED_VALUE"""),"5777 Oak Ave, San Francisco, FL 83965")</f>
        <v>5777 Oak Ave, San Francisco, FL 83965</v>
      </c>
      <c r="BJ148" s="60" t="str">
        <f>IFERROR(__xludf.DUMMYFUNCTION("""COMPUTED_VALUE"""),"San Francisco")</f>
        <v>San Francisco</v>
      </c>
      <c r="BK148" s="60">
        <f>IFERROR(__xludf.DUMMYFUNCTION("""COMPUTED_VALUE"""),83965.0)</f>
        <v>83965</v>
      </c>
      <c r="BL148" s="60" t="str">
        <f>IFERROR(__xludf.DUMMYFUNCTION("""COMPUTED_VALUE"""),"FL")</f>
        <v>FL</v>
      </c>
      <c r="BM148" s="60" t="str">
        <f>IFERROR(__xludf.DUMMYFUNCTION("""COMPUTED_VALUE"""),"1 bds")</f>
        <v>1 bds</v>
      </c>
      <c r="BN148" s="60" t="str">
        <f>IFERROR(__xludf.DUMMYFUNCTION("""COMPUTED_VALUE"""),"3 ba")</f>
        <v>3 ba</v>
      </c>
      <c r="BO148" s="60">
        <f>IFERROR(__xludf.DUMMYFUNCTION("""COMPUTED_VALUE"""),3371.0)</f>
        <v>3371</v>
      </c>
      <c r="BP148" s="60">
        <f>IFERROR(__xludf.DUMMYFUNCTION("""COMPUTED_VALUE"""),2475.0)</f>
        <v>2475</v>
      </c>
      <c r="BQ148" s="60">
        <f>IFERROR(__xludf.DUMMYFUNCTION("""COMPUTED_VALUE"""),1960.0)</f>
        <v>1960</v>
      </c>
      <c r="BR148" s="60">
        <f>IFERROR(__xludf.DUMMYFUNCTION("""COMPUTED_VALUE"""),118.0)</f>
        <v>118</v>
      </c>
      <c r="BS148" s="60" t="str">
        <f>IFERROR(__xludf.DUMMYFUNCTION("""COMPUTED_VALUE"""),"Single Family")</f>
        <v>Single Family</v>
      </c>
      <c r="BT148" s="60" t="str">
        <f>IFERROR(__xludf.DUMMYFUNCTION("""COMPUTED_VALUE"""),"Z479571")</f>
        <v>Z479571</v>
      </c>
      <c r="BU148" s="60" t="str">
        <f>IFERROR(__xludf.DUMMYFUNCTION("""COMPUTED_VALUE"""),"Alex Johnson - Compass")</f>
        <v>Alex Johnson - Compass</v>
      </c>
      <c r="BV148" s="60" t="str">
        <f>IFERROR(__xludf.DUMMYFUNCTION("""COMPUTED_VALUE"""),"Sold")</f>
        <v>Sold</v>
      </c>
      <c r="BW148" s="60">
        <f>IFERROR(__xludf.DUMMYFUNCTION("""COMPUTED_VALUE"""),1.0)</f>
        <v>1</v>
      </c>
      <c r="BX148" s="60" t="str">
        <f>IFERROR(__xludf.DUMMYFUNCTION("""COMPUTED_VALUE"""),"OK")</f>
        <v>OK</v>
      </c>
      <c r="BY148" s="1" t="str">
        <f>IFERROR(__xludf.DUMMYFUNCTION("""COMPUTED_VALUE"""),"2600-3600")</f>
        <v>2600-3600</v>
      </c>
      <c r="BZ148" s="1">
        <f>IFERROR(__xludf.DUMMYFUNCTION("""COMPUTED_VALUE"""),66.0)</f>
        <v>66</v>
      </c>
      <c r="CA148" s="1" t="str">
        <f>IFERROR(__xludf.DUMMYFUNCTION("""COMPUTED_VALUE"""),"Very Old")</f>
        <v>Very Old</v>
      </c>
    </row>
    <row r="149" ht="14.25" customHeight="1">
      <c r="A149" s="5">
        <v>204309.0</v>
      </c>
      <c r="B149" s="6" t="s">
        <v>637</v>
      </c>
      <c r="C149" s="6" t="s">
        <v>76</v>
      </c>
      <c r="D149" s="6">
        <v>54311.0</v>
      </c>
      <c r="E149" s="6" t="s">
        <v>60</v>
      </c>
      <c r="F149" s="6" t="s">
        <v>94</v>
      </c>
      <c r="G149" s="6" t="s">
        <v>21</v>
      </c>
      <c r="H149" s="7">
        <v>3377.0</v>
      </c>
      <c r="I149" s="7">
        <v>6022.0</v>
      </c>
      <c r="J149" s="6">
        <v>2010.0</v>
      </c>
      <c r="K149" s="6">
        <v>38.0</v>
      </c>
      <c r="L149" s="6" t="s">
        <v>95</v>
      </c>
      <c r="M149" s="6" t="s">
        <v>638</v>
      </c>
      <c r="N149" s="6" t="s">
        <v>48</v>
      </c>
      <c r="O149" s="6" t="s">
        <v>49</v>
      </c>
      <c r="P149" s="6">
        <f>COUNTIF(Analysis!$M$1:$M$3001,Analysis!$M149)</f>
        <v>1</v>
      </c>
      <c r="Q149" s="6" t="str">
        <f>IF(COUNTIF(Analysis!$M$2:$M$3001,Analysis!$M149)&gt;1,"Duplicate","OK")</f>
        <v>OK</v>
      </c>
      <c r="R149" s="6" t="str">
        <f t="shared" si="1"/>
        <v>2600-3600</v>
      </c>
      <c r="S149" s="6">
        <f t="shared" si="2"/>
        <v>16</v>
      </c>
      <c r="T149" s="6" t="str">
        <f t="shared" si="3"/>
        <v>Mid</v>
      </c>
      <c r="BH149" s="14">
        <f>IFERROR(__xludf.DUMMYFUNCTION("""COMPUTED_VALUE"""),946285.0)</f>
        <v>946285</v>
      </c>
      <c r="BI149" s="60" t="str">
        <f>IFERROR(__xludf.DUMMYFUNCTION("""COMPUTED_VALUE"""),"9242 Oak Ave, Fresno, IL 11490")</f>
        <v>9242 Oak Ave, Fresno, IL 11490</v>
      </c>
      <c r="BJ149" s="60" t="str">
        <f>IFERROR(__xludf.DUMMYFUNCTION("""COMPUTED_VALUE"""),"Fresno")</f>
        <v>Fresno</v>
      </c>
      <c r="BK149" s="60">
        <f>IFERROR(__xludf.DUMMYFUNCTION("""COMPUTED_VALUE"""),11490.0)</f>
        <v>11490</v>
      </c>
      <c r="BL149" s="60" t="str">
        <f>IFERROR(__xludf.DUMMYFUNCTION("""COMPUTED_VALUE"""),"IL")</f>
        <v>IL</v>
      </c>
      <c r="BM149" s="60" t="str">
        <f>IFERROR(__xludf.DUMMYFUNCTION("""COMPUTED_VALUE"""),"5 bds")</f>
        <v>5 bds</v>
      </c>
      <c r="BN149" s="60" t="str">
        <f>IFERROR(__xludf.DUMMYFUNCTION("""COMPUTED_VALUE"""),"4 ba")</f>
        <v>4 ba</v>
      </c>
      <c r="BO149" s="60">
        <f>IFERROR(__xludf.DUMMYFUNCTION("""COMPUTED_VALUE"""),3392.0)</f>
        <v>3392</v>
      </c>
      <c r="BP149" s="60">
        <f>IFERROR(__xludf.DUMMYFUNCTION("""COMPUTED_VALUE"""),1371.0)</f>
        <v>1371</v>
      </c>
      <c r="BQ149" s="60">
        <f>IFERROR(__xludf.DUMMYFUNCTION("""COMPUTED_VALUE"""),2017.0)</f>
        <v>2017</v>
      </c>
      <c r="BR149" s="60">
        <f>IFERROR(__xludf.DUMMYFUNCTION("""COMPUTED_VALUE"""),77.0)</f>
        <v>77</v>
      </c>
      <c r="BS149" s="60" t="str">
        <f>IFERROR(__xludf.DUMMYFUNCTION("""COMPUTED_VALUE"""),"Apartment")</f>
        <v>Apartment</v>
      </c>
      <c r="BT149" s="60" t="str">
        <f>IFERROR(__xludf.DUMMYFUNCTION("""COMPUTED_VALUE"""),"Z560604")</f>
        <v>Z560604</v>
      </c>
      <c r="BU149" s="60" t="str">
        <f>IFERROR(__xludf.DUMMYFUNCTION("""COMPUTED_VALUE"""),"Alex Johnson - Compass")</f>
        <v>Alex Johnson - Compass</v>
      </c>
      <c r="BV149" s="60" t="str">
        <f>IFERROR(__xludf.DUMMYFUNCTION("""COMPUTED_VALUE"""),"Sold")</f>
        <v>Sold</v>
      </c>
      <c r="BW149" s="60">
        <f>IFERROR(__xludf.DUMMYFUNCTION("""COMPUTED_VALUE"""),1.0)</f>
        <v>1</v>
      </c>
      <c r="BX149" s="60" t="str">
        <f>IFERROR(__xludf.DUMMYFUNCTION("""COMPUTED_VALUE"""),"OK")</f>
        <v>OK</v>
      </c>
      <c r="BY149" s="1" t="str">
        <f>IFERROR(__xludf.DUMMYFUNCTION("""COMPUTED_VALUE"""),"2600-3600")</f>
        <v>2600-3600</v>
      </c>
      <c r="BZ149" s="1">
        <f>IFERROR(__xludf.DUMMYFUNCTION("""COMPUTED_VALUE"""),9.0)</f>
        <v>9</v>
      </c>
      <c r="CA149" s="1" t="str">
        <f>IFERROR(__xludf.DUMMYFUNCTION("""COMPUTED_VALUE"""),"New")</f>
        <v>New</v>
      </c>
    </row>
    <row r="150" ht="14.25" customHeight="1">
      <c r="A150" s="5">
        <v>517031.0</v>
      </c>
      <c r="B150" s="6" t="s">
        <v>641</v>
      </c>
      <c r="C150" s="6" t="s">
        <v>76</v>
      </c>
      <c r="D150" s="6">
        <v>16056.0</v>
      </c>
      <c r="E150" s="6" t="s">
        <v>30</v>
      </c>
      <c r="F150" s="6" t="s">
        <v>54</v>
      </c>
      <c r="G150" s="6" t="s">
        <v>31</v>
      </c>
      <c r="H150" s="7">
        <v>2633.0</v>
      </c>
      <c r="I150" s="7">
        <v>4383.0</v>
      </c>
      <c r="J150" s="6">
        <v>1972.0</v>
      </c>
      <c r="K150" s="6">
        <v>49.0</v>
      </c>
      <c r="L150" s="6" t="s">
        <v>141</v>
      </c>
      <c r="M150" s="6" t="s">
        <v>642</v>
      </c>
      <c r="N150" s="6" t="s">
        <v>43</v>
      </c>
      <c r="O150" s="6" t="s">
        <v>35</v>
      </c>
      <c r="P150" s="6">
        <f>COUNTIF(Analysis!$M$1:$M$3001,Analysis!$M150)</f>
        <v>1</v>
      </c>
      <c r="Q150" s="6" t="str">
        <f>IF(COUNTIF(Analysis!$M$2:$M$3001,Analysis!$M150)&gt;1,"Duplicate","OK")</f>
        <v>OK</v>
      </c>
      <c r="R150" s="6" t="str">
        <f t="shared" si="1"/>
        <v>2600-3600</v>
      </c>
      <c r="S150" s="6">
        <f t="shared" si="2"/>
        <v>54</v>
      </c>
      <c r="T150" s="6" t="str">
        <f t="shared" si="3"/>
        <v>Old</v>
      </c>
      <c r="BH150" s="14">
        <f>IFERROR(__xludf.DUMMYFUNCTION("""COMPUTED_VALUE"""),946472.0)</f>
        <v>946472</v>
      </c>
      <c r="BI150" s="60" t="str">
        <f>IFERROR(__xludf.DUMMYFUNCTION("""COMPUTED_VALUE"""),"4835 Maple Dr, Fresno, CA 28333")</f>
        <v>4835 Maple Dr, Fresno, CA 28333</v>
      </c>
      <c r="BJ150" s="60" t="str">
        <f>IFERROR(__xludf.DUMMYFUNCTION("""COMPUTED_VALUE"""),"Fresno")</f>
        <v>Fresno</v>
      </c>
      <c r="BK150" s="60">
        <f>IFERROR(__xludf.DUMMYFUNCTION("""COMPUTED_VALUE"""),28333.0)</f>
        <v>28333</v>
      </c>
      <c r="BL150" s="60" t="str">
        <f>IFERROR(__xludf.DUMMYFUNCTION("""COMPUTED_VALUE"""),"CA")</f>
        <v>CA</v>
      </c>
      <c r="BM150" s="60" t="str">
        <f>IFERROR(__xludf.DUMMYFUNCTION("""COMPUTED_VALUE"""),"2 bds")</f>
        <v>2 bds</v>
      </c>
      <c r="BN150" s="60" t="str">
        <f>IFERROR(__xludf.DUMMYFUNCTION("""COMPUTED_VALUE"""),"3 ba")</f>
        <v>3 ba</v>
      </c>
      <c r="BO150" s="60">
        <f>IFERROR(__xludf.DUMMYFUNCTION("""COMPUTED_VALUE"""),1009.0)</f>
        <v>1009</v>
      </c>
      <c r="BP150" s="60">
        <f>IFERROR(__xludf.DUMMYFUNCTION("""COMPUTED_VALUE"""),8969.0)</f>
        <v>8969</v>
      </c>
      <c r="BQ150" s="60">
        <f>IFERROR(__xludf.DUMMYFUNCTION("""COMPUTED_VALUE"""),2022.0)</f>
        <v>2022</v>
      </c>
      <c r="BR150" s="60">
        <f>IFERROR(__xludf.DUMMYFUNCTION("""COMPUTED_VALUE"""),58.0)</f>
        <v>58</v>
      </c>
      <c r="BS150" s="60" t="str">
        <f>IFERROR(__xludf.DUMMYFUNCTION("""COMPUTED_VALUE"""),"Condo")</f>
        <v>Condo</v>
      </c>
      <c r="BT150" s="60" t="str">
        <f>IFERROR(__xludf.DUMMYFUNCTION("""COMPUTED_VALUE"""),"Z266179")</f>
        <v>Z266179</v>
      </c>
      <c r="BU150" s="60" t="str">
        <f>IFERROR(__xludf.DUMMYFUNCTION("""COMPUTED_VALUE"""),"Alex Johnson - Compass")</f>
        <v>Alex Johnson - Compass</v>
      </c>
      <c r="BV150" s="60" t="str">
        <f>IFERROR(__xludf.DUMMYFUNCTION("""COMPUTED_VALUE"""),"Sold")</f>
        <v>Sold</v>
      </c>
      <c r="BW150" s="60">
        <f>IFERROR(__xludf.DUMMYFUNCTION("""COMPUTED_VALUE"""),1.0)</f>
        <v>1</v>
      </c>
      <c r="BX150" s="60" t="str">
        <f>IFERROR(__xludf.DUMMYFUNCTION("""COMPUTED_VALUE"""),"OK")</f>
        <v>OK</v>
      </c>
      <c r="BY150" s="1" t="str">
        <f>IFERROR(__xludf.DUMMYFUNCTION("""COMPUTED_VALUE"""),"600-1600")</f>
        <v>600-1600</v>
      </c>
      <c r="BZ150" s="1">
        <f>IFERROR(__xludf.DUMMYFUNCTION("""COMPUTED_VALUE"""),4.0)</f>
        <v>4</v>
      </c>
      <c r="CA150" s="1" t="str">
        <f>IFERROR(__xludf.DUMMYFUNCTION("""COMPUTED_VALUE"""),"New")</f>
        <v>New</v>
      </c>
    </row>
    <row r="151" ht="14.25" customHeight="1">
      <c r="A151" s="5">
        <v>1204990.0</v>
      </c>
      <c r="B151" s="6" t="s">
        <v>645</v>
      </c>
      <c r="C151" s="6" t="s">
        <v>76</v>
      </c>
      <c r="D151" s="6">
        <v>10943.0</v>
      </c>
      <c r="E151" s="6" t="s">
        <v>19</v>
      </c>
      <c r="F151" s="6" t="s">
        <v>54</v>
      </c>
      <c r="G151" s="6" t="s">
        <v>31</v>
      </c>
      <c r="H151" s="7">
        <v>2785.0</v>
      </c>
      <c r="I151" s="7">
        <v>6544.0</v>
      </c>
      <c r="J151" s="6">
        <v>2009.0</v>
      </c>
      <c r="K151" s="6">
        <v>47.0</v>
      </c>
      <c r="L151" s="6" t="s">
        <v>32</v>
      </c>
      <c r="M151" s="6" t="s">
        <v>646</v>
      </c>
      <c r="N151" s="6" t="s">
        <v>64</v>
      </c>
      <c r="O151" s="6" t="s">
        <v>35</v>
      </c>
      <c r="P151" s="6">
        <f>COUNTIF(Analysis!$M$1:$M$3001,Analysis!$M151)</f>
        <v>1</v>
      </c>
      <c r="Q151" s="6" t="str">
        <f>IF(COUNTIF(Analysis!$M$2:$M$3001,Analysis!$M151)&gt;1,"Duplicate","OK")</f>
        <v>OK</v>
      </c>
      <c r="R151" s="6" t="str">
        <f t="shared" si="1"/>
        <v>2600-3600</v>
      </c>
      <c r="S151" s="6">
        <f t="shared" si="2"/>
        <v>17</v>
      </c>
      <c r="T151" s="6" t="str">
        <f t="shared" si="3"/>
        <v>Mid</v>
      </c>
      <c r="BH151" s="14">
        <f>IFERROR(__xludf.DUMMYFUNCTION("""COMPUTED_VALUE"""),423729.0)</f>
        <v>423729</v>
      </c>
      <c r="BI151" s="60" t="str">
        <f>IFERROR(__xludf.DUMMYFUNCTION("""COMPUTED_VALUE"""),"2996 Maple Dr, San Francisco, IL 60302")</f>
        <v>2996 Maple Dr, San Francisco, IL 60302</v>
      </c>
      <c r="BJ151" s="60" t="str">
        <f>IFERROR(__xludf.DUMMYFUNCTION("""COMPUTED_VALUE"""),"San Francisco")</f>
        <v>San Francisco</v>
      </c>
      <c r="BK151" s="60">
        <f>IFERROR(__xludf.DUMMYFUNCTION("""COMPUTED_VALUE"""),60302.0)</f>
        <v>60302</v>
      </c>
      <c r="BL151" s="60" t="str">
        <f>IFERROR(__xludf.DUMMYFUNCTION("""COMPUTED_VALUE"""),"IL")</f>
        <v>IL</v>
      </c>
      <c r="BM151" s="60" t="str">
        <f>IFERROR(__xludf.DUMMYFUNCTION("""COMPUTED_VALUE"""),"2 bds")</f>
        <v>2 bds</v>
      </c>
      <c r="BN151" s="60" t="str">
        <f>IFERROR(__xludf.DUMMYFUNCTION("""COMPUTED_VALUE"""),"1 ba")</f>
        <v>1 ba</v>
      </c>
      <c r="BO151" s="60">
        <f>IFERROR(__xludf.DUMMYFUNCTION("""COMPUTED_VALUE"""),802.0)</f>
        <v>802</v>
      </c>
      <c r="BP151" s="60">
        <f>IFERROR(__xludf.DUMMYFUNCTION("""COMPUTED_VALUE"""),5047.0)</f>
        <v>5047</v>
      </c>
      <c r="BQ151" s="60">
        <f>IFERROR(__xludf.DUMMYFUNCTION("""COMPUTED_VALUE"""),1988.0)</f>
        <v>1988</v>
      </c>
      <c r="BR151" s="60">
        <f>IFERROR(__xludf.DUMMYFUNCTION("""COMPUTED_VALUE"""),48.0)</f>
        <v>48</v>
      </c>
      <c r="BS151" s="60" t="str">
        <f>IFERROR(__xludf.DUMMYFUNCTION("""COMPUTED_VALUE"""),"Condo")</f>
        <v>Condo</v>
      </c>
      <c r="BT151" s="60" t="str">
        <f>IFERROR(__xludf.DUMMYFUNCTION("""COMPUTED_VALUE"""),"Z326970")</f>
        <v>Z326970</v>
      </c>
      <c r="BU151" s="60" t="str">
        <f>IFERROR(__xludf.DUMMYFUNCTION("""COMPUTED_VALUE"""),"Alex Johnson - Compass")</f>
        <v>Alex Johnson - Compass</v>
      </c>
      <c r="BV151" s="60" t="str">
        <f>IFERROR(__xludf.DUMMYFUNCTION("""COMPUTED_VALUE"""),"Sold")</f>
        <v>Sold</v>
      </c>
      <c r="BW151" s="60">
        <f>IFERROR(__xludf.DUMMYFUNCTION("""COMPUTED_VALUE"""),1.0)</f>
        <v>1</v>
      </c>
      <c r="BX151" s="60" t="str">
        <f>IFERROR(__xludf.DUMMYFUNCTION("""COMPUTED_VALUE"""),"OK")</f>
        <v>OK</v>
      </c>
      <c r="BY151" s="1" t="str">
        <f>IFERROR(__xludf.DUMMYFUNCTION("""COMPUTED_VALUE"""),"600-1600")</f>
        <v>600-1600</v>
      </c>
      <c r="BZ151" s="1">
        <f>IFERROR(__xludf.DUMMYFUNCTION("""COMPUTED_VALUE"""),38.0)</f>
        <v>38</v>
      </c>
      <c r="CA151" s="1" t="str">
        <f>IFERROR(__xludf.DUMMYFUNCTION("""COMPUTED_VALUE"""),"Old")</f>
        <v>Old</v>
      </c>
    </row>
    <row r="152" ht="14.25" customHeight="1">
      <c r="A152" s="5">
        <v>1001011.0</v>
      </c>
      <c r="B152" s="6" t="s">
        <v>649</v>
      </c>
      <c r="C152" s="6" t="s">
        <v>18</v>
      </c>
      <c r="D152" s="6">
        <v>69693.0</v>
      </c>
      <c r="E152" s="6" t="s">
        <v>30</v>
      </c>
      <c r="F152" s="6" t="s">
        <v>41</v>
      </c>
      <c r="G152" s="6" t="s">
        <v>31</v>
      </c>
      <c r="H152" s="7">
        <v>1905.0</v>
      </c>
      <c r="I152" s="7">
        <v>4957.0</v>
      </c>
      <c r="J152" s="6">
        <v>1975.0</v>
      </c>
      <c r="K152" s="6">
        <v>12.0</v>
      </c>
      <c r="L152" s="6" t="s">
        <v>32</v>
      </c>
      <c r="M152" s="6" t="s">
        <v>650</v>
      </c>
      <c r="N152" s="6" t="s">
        <v>24</v>
      </c>
      <c r="O152" s="6" t="s">
        <v>35</v>
      </c>
      <c r="P152" s="6">
        <f>COUNTIF(Analysis!$M$1:$M$3001,Analysis!$M152)</f>
        <v>1</v>
      </c>
      <c r="Q152" s="6" t="str">
        <f>IF(COUNTIF(Analysis!$M$2:$M$3001,Analysis!$M152)&gt;1,"Duplicate","OK")</f>
        <v>OK</v>
      </c>
      <c r="R152" s="6" t="str">
        <f t="shared" si="1"/>
        <v>1600-2600</v>
      </c>
      <c r="S152" s="6">
        <f t="shared" si="2"/>
        <v>51</v>
      </c>
      <c r="T152" s="6" t="str">
        <f t="shared" si="3"/>
        <v>Old</v>
      </c>
      <c r="BH152" s="14">
        <f>IFERROR(__xludf.DUMMYFUNCTION("""COMPUTED_VALUE"""),206508.0)</f>
        <v>206508</v>
      </c>
      <c r="BI152" s="60" t="str">
        <f>IFERROR(__xludf.DUMMYFUNCTION("""COMPUTED_VALUE"""),"6097 Pine Rd, Sacramento, IL 73499")</f>
        <v>6097 Pine Rd, Sacramento, IL 73499</v>
      </c>
      <c r="BJ152" s="60" t="str">
        <f>IFERROR(__xludf.DUMMYFUNCTION("""COMPUTED_VALUE"""),"Sacramento")</f>
        <v>Sacramento</v>
      </c>
      <c r="BK152" s="60">
        <f>IFERROR(__xludf.DUMMYFUNCTION("""COMPUTED_VALUE"""),73499.0)</f>
        <v>73499</v>
      </c>
      <c r="BL152" s="60" t="str">
        <f>IFERROR(__xludf.DUMMYFUNCTION("""COMPUTED_VALUE"""),"IL")</f>
        <v>IL</v>
      </c>
      <c r="BM152" s="60" t="str">
        <f>IFERROR(__xludf.DUMMYFUNCTION("""COMPUTED_VALUE"""),"5 bds")</f>
        <v>5 bds</v>
      </c>
      <c r="BN152" s="60" t="str">
        <f>IFERROR(__xludf.DUMMYFUNCTION("""COMPUTED_VALUE"""),"3 ba")</f>
        <v>3 ba</v>
      </c>
      <c r="BO152" s="60">
        <f>IFERROR(__xludf.DUMMYFUNCTION("""COMPUTED_VALUE"""),1385.0)</f>
        <v>1385</v>
      </c>
      <c r="BP152" s="60">
        <f>IFERROR(__xludf.DUMMYFUNCTION("""COMPUTED_VALUE"""),8648.0)</f>
        <v>8648</v>
      </c>
      <c r="BQ152" s="60">
        <f>IFERROR(__xludf.DUMMYFUNCTION("""COMPUTED_VALUE"""),2017.0)</f>
        <v>2017</v>
      </c>
      <c r="BR152" s="60">
        <f>IFERROR(__xludf.DUMMYFUNCTION("""COMPUTED_VALUE"""),96.0)</f>
        <v>96</v>
      </c>
      <c r="BS152" s="60" t="str">
        <f>IFERROR(__xludf.DUMMYFUNCTION("""COMPUTED_VALUE"""),"Apartment")</f>
        <v>Apartment</v>
      </c>
      <c r="BT152" s="60" t="str">
        <f>IFERROR(__xludf.DUMMYFUNCTION("""COMPUTED_VALUE"""),"Z366418")</f>
        <v>Z366418</v>
      </c>
      <c r="BU152" s="60" t="str">
        <f>IFERROR(__xludf.DUMMYFUNCTION("""COMPUTED_VALUE"""),"Alex Johnson - Compass")</f>
        <v>Alex Johnson - Compass</v>
      </c>
      <c r="BV152" s="60" t="str">
        <f>IFERROR(__xludf.DUMMYFUNCTION("""COMPUTED_VALUE"""),"Sold")</f>
        <v>Sold</v>
      </c>
      <c r="BW152" s="60">
        <f>IFERROR(__xludf.DUMMYFUNCTION("""COMPUTED_VALUE"""),1.0)</f>
        <v>1</v>
      </c>
      <c r="BX152" s="60" t="str">
        <f>IFERROR(__xludf.DUMMYFUNCTION("""COMPUTED_VALUE"""),"OK")</f>
        <v>OK</v>
      </c>
      <c r="BY152" s="1" t="str">
        <f>IFERROR(__xludf.DUMMYFUNCTION("""COMPUTED_VALUE"""),"600-1600")</f>
        <v>600-1600</v>
      </c>
      <c r="BZ152" s="1">
        <f>IFERROR(__xludf.DUMMYFUNCTION("""COMPUTED_VALUE"""),9.0)</f>
        <v>9</v>
      </c>
      <c r="CA152" s="1" t="str">
        <f>IFERROR(__xludf.DUMMYFUNCTION("""COMPUTED_VALUE"""),"New")</f>
        <v>New</v>
      </c>
    </row>
    <row r="153" ht="14.25" customHeight="1">
      <c r="A153" s="5">
        <v>1021673.0</v>
      </c>
      <c r="B153" s="6" t="s">
        <v>653</v>
      </c>
      <c r="C153" s="6" t="s">
        <v>76</v>
      </c>
      <c r="D153" s="6">
        <v>78745.0</v>
      </c>
      <c r="E153" s="6" t="s">
        <v>77</v>
      </c>
      <c r="F153" s="6" t="s">
        <v>94</v>
      </c>
      <c r="G153" s="6" t="s">
        <v>55</v>
      </c>
      <c r="H153" s="7">
        <v>3019.0</v>
      </c>
      <c r="I153" s="7">
        <v>8469.0</v>
      </c>
      <c r="J153" s="6">
        <v>1969.0</v>
      </c>
      <c r="K153" s="6">
        <v>57.0</v>
      </c>
      <c r="L153" s="6" t="s">
        <v>95</v>
      </c>
      <c r="M153" s="6" t="s">
        <v>654</v>
      </c>
      <c r="N153" s="6" t="s">
        <v>43</v>
      </c>
      <c r="O153" s="6" t="s">
        <v>35</v>
      </c>
      <c r="P153" s="6">
        <f>COUNTIF(Analysis!$M$1:$M$3001,Analysis!$M153)</f>
        <v>1</v>
      </c>
      <c r="Q153" s="6" t="str">
        <f>IF(COUNTIF(Analysis!$M$2:$M$3001,Analysis!$M153)&gt;1,"Duplicate","OK")</f>
        <v>OK</v>
      </c>
      <c r="R153" s="6" t="str">
        <f t="shared" si="1"/>
        <v>2600-3600</v>
      </c>
      <c r="S153" s="6">
        <f t="shared" si="2"/>
        <v>57</v>
      </c>
      <c r="T153" s="6" t="str">
        <f t="shared" si="3"/>
        <v>Old</v>
      </c>
      <c r="BH153" s="14">
        <f>IFERROR(__xludf.DUMMYFUNCTION("""COMPUTED_VALUE"""),963007.0)</f>
        <v>963007</v>
      </c>
      <c r="BI153" s="60" t="str">
        <f>IFERROR(__xludf.DUMMYFUNCTION("""COMPUTED_VALUE"""),"6997 Main St, Fresno, IL 83139")</f>
        <v>6997 Main St, Fresno, IL 83139</v>
      </c>
      <c r="BJ153" s="60" t="str">
        <f>IFERROR(__xludf.DUMMYFUNCTION("""COMPUTED_VALUE"""),"Fresno")</f>
        <v>Fresno</v>
      </c>
      <c r="BK153" s="60">
        <f>IFERROR(__xludf.DUMMYFUNCTION("""COMPUTED_VALUE"""),83139.0)</f>
        <v>83139</v>
      </c>
      <c r="BL153" s="60" t="str">
        <f>IFERROR(__xludf.DUMMYFUNCTION("""COMPUTED_VALUE"""),"IL")</f>
        <v>IL</v>
      </c>
      <c r="BM153" s="60" t="str">
        <f>IFERROR(__xludf.DUMMYFUNCTION("""COMPUTED_VALUE"""),"4 bds")</f>
        <v>4 bds</v>
      </c>
      <c r="BN153" s="60" t="str">
        <f>IFERROR(__xludf.DUMMYFUNCTION("""COMPUTED_VALUE"""),"1 ba")</f>
        <v>1 ba</v>
      </c>
      <c r="BO153" s="60">
        <f>IFERROR(__xludf.DUMMYFUNCTION("""COMPUTED_VALUE"""),1174.0)</f>
        <v>1174</v>
      </c>
      <c r="BP153" s="60">
        <f>IFERROR(__xludf.DUMMYFUNCTION("""COMPUTED_VALUE"""),7019.0)</f>
        <v>7019</v>
      </c>
      <c r="BQ153" s="60">
        <f>IFERROR(__xludf.DUMMYFUNCTION("""COMPUTED_VALUE"""),1976.0)</f>
        <v>1976</v>
      </c>
      <c r="BR153" s="60">
        <f>IFERROR(__xludf.DUMMYFUNCTION("""COMPUTED_VALUE"""),114.0)</f>
        <v>114</v>
      </c>
      <c r="BS153" s="60" t="str">
        <f>IFERROR(__xludf.DUMMYFUNCTION("""COMPUTED_VALUE"""),"Multi-Family")</f>
        <v>Multi-Family</v>
      </c>
      <c r="BT153" s="60" t="str">
        <f>IFERROR(__xludf.DUMMYFUNCTION("""COMPUTED_VALUE"""),"Z276417")</f>
        <v>Z276417</v>
      </c>
      <c r="BU153" s="60" t="str">
        <f>IFERROR(__xludf.DUMMYFUNCTION("""COMPUTED_VALUE"""),"Alex Johnson - Compass")</f>
        <v>Alex Johnson - Compass</v>
      </c>
      <c r="BV153" s="60" t="str">
        <f>IFERROR(__xludf.DUMMYFUNCTION("""COMPUTED_VALUE"""),"Sold")</f>
        <v>Sold</v>
      </c>
      <c r="BW153" s="60">
        <f>IFERROR(__xludf.DUMMYFUNCTION("""COMPUTED_VALUE"""),1.0)</f>
        <v>1</v>
      </c>
      <c r="BX153" s="60" t="str">
        <f>IFERROR(__xludf.DUMMYFUNCTION("""COMPUTED_VALUE"""),"OK")</f>
        <v>OK</v>
      </c>
      <c r="BY153" s="1" t="str">
        <f>IFERROR(__xludf.DUMMYFUNCTION("""COMPUTED_VALUE"""),"600-1600")</f>
        <v>600-1600</v>
      </c>
      <c r="BZ153" s="1">
        <f>IFERROR(__xludf.DUMMYFUNCTION("""COMPUTED_VALUE"""),50.0)</f>
        <v>50</v>
      </c>
      <c r="CA153" s="1" t="str">
        <f>IFERROR(__xludf.DUMMYFUNCTION("""COMPUTED_VALUE"""),"Old")</f>
        <v>Old</v>
      </c>
    </row>
    <row r="154" ht="14.25" customHeight="1">
      <c r="A154" s="5">
        <v>1289770.0</v>
      </c>
      <c r="B154" s="6" t="s">
        <v>657</v>
      </c>
      <c r="C154" s="6" t="s">
        <v>53</v>
      </c>
      <c r="D154" s="6">
        <v>83301.0</v>
      </c>
      <c r="E154" s="6" t="s">
        <v>30</v>
      </c>
      <c r="F154" s="6" t="s">
        <v>54</v>
      </c>
      <c r="G154" s="6" t="s">
        <v>55</v>
      </c>
      <c r="H154" s="7">
        <v>3728.0</v>
      </c>
      <c r="I154" s="7">
        <v>4055.0</v>
      </c>
      <c r="J154" s="6">
        <v>1980.0</v>
      </c>
      <c r="K154" s="6">
        <v>50.0</v>
      </c>
      <c r="L154" s="6" t="s">
        <v>95</v>
      </c>
      <c r="M154" s="6" t="s">
        <v>658</v>
      </c>
      <c r="N154" s="6" t="s">
        <v>64</v>
      </c>
      <c r="O154" s="6" t="s">
        <v>25</v>
      </c>
      <c r="P154" s="6">
        <f>COUNTIF(Analysis!$M$1:$M$3001,Analysis!$M154)</f>
        <v>1</v>
      </c>
      <c r="Q154" s="6" t="str">
        <f>IF(COUNTIF(Analysis!$M$2:$M$3001,Analysis!$M154)&gt;1,"Duplicate","OK")</f>
        <v>OK</v>
      </c>
      <c r="R154" s="6" t="str">
        <f t="shared" si="1"/>
        <v>3600+</v>
      </c>
      <c r="S154" s="6">
        <f t="shared" si="2"/>
        <v>46</v>
      </c>
      <c r="T154" s="6" t="str">
        <f t="shared" si="3"/>
        <v>Old</v>
      </c>
      <c r="BH154" s="14">
        <f>IFERROR(__xludf.DUMMYFUNCTION("""COMPUTED_VALUE"""),617620.0)</f>
        <v>617620</v>
      </c>
      <c r="BI154" s="60" t="str">
        <f>IFERROR(__xludf.DUMMYFUNCTION("""COMPUTED_VALUE"""),"5162 Elm St, San Francisco, TX 79196")</f>
        <v>5162 Elm St, San Francisco, TX 79196</v>
      </c>
      <c r="BJ154" s="60" t="str">
        <f>IFERROR(__xludf.DUMMYFUNCTION("""COMPUTED_VALUE"""),"San Francisco")</f>
        <v>San Francisco</v>
      </c>
      <c r="BK154" s="60">
        <f>IFERROR(__xludf.DUMMYFUNCTION("""COMPUTED_VALUE"""),79196.0)</f>
        <v>79196</v>
      </c>
      <c r="BL154" s="60" t="str">
        <f>IFERROR(__xludf.DUMMYFUNCTION("""COMPUTED_VALUE"""),"TX")</f>
        <v>TX</v>
      </c>
      <c r="BM154" s="60" t="str">
        <f>IFERROR(__xludf.DUMMYFUNCTION("""COMPUTED_VALUE"""),"3 bds")</f>
        <v>3 bds</v>
      </c>
      <c r="BN154" s="60" t="str">
        <f>IFERROR(__xludf.DUMMYFUNCTION("""COMPUTED_VALUE"""),"4 ba")</f>
        <v>4 ba</v>
      </c>
      <c r="BO154" s="60">
        <f>IFERROR(__xludf.DUMMYFUNCTION("""COMPUTED_VALUE"""),2906.0)</f>
        <v>2906</v>
      </c>
      <c r="BP154" s="60">
        <f>IFERROR(__xludf.DUMMYFUNCTION("""COMPUTED_VALUE"""),3840.0)</f>
        <v>3840</v>
      </c>
      <c r="BQ154" s="60">
        <f>IFERROR(__xludf.DUMMYFUNCTION("""COMPUTED_VALUE"""),2021.0)</f>
        <v>2021</v>
      </c>
      <c r="BR154" s="60">
        <f>IFERROR(__xludf.DUMMYFUNCTION("""COMPUTED_VALUE"""),112.0)</f>
        <v>112</v>
      </c>
      <c r="BS154" s="60" t="str">
        <f>IFERROR(__xludf.DUMMYFUNCTION("""COMPUTED_VALUE"""),"Multi-Family")</f>
        <v>Multi-Family</v>
      </c>
      <c r="BT154" s="60" t="str">
        <f>IFERROR(__xludf.DUMMYFUNCTION("""COMPUTED_VALUE"""),"Z325195")</f>
        <v>Z325195</v>
      </c>
      <c r="BU154" s="60" t="str">
        <f>IFERROR(__xludf.DUMMYFUNCTION("""COMPUTED_VALUE"""),"Alex Johnson - Compass")</f>
        <v>Alex Johnson - Compass</v>
      </c>
      <c r="BV154" s="60" t="str">
        <f>IFERROR(__xludf.DUMMYFUNCTION("""COMPUTED_VALUE"""),"Sold")</f>
        <v>Sold</v>
      </c>
      <c r="BW154" s="60">
        <f>IFERROR(__xludf.DUMMYFUNCTION("""COMPUTED_VALUE"""),1.0)</f>
        <v>1</v>
      </c>
      <c r="BX154" s="60" t="str">
        <f>IFERROR(__xludf.DUMMYFUNCTION("""COMPUTED_VALUE"""),"OK")</f>
        <v>OK</v>
      </c>
      <c r="BY154" s="1" t="str">
        <f>IFERROR(__xludf.DUMMYFUNCTION("""COMPUTED_VALUE"""),"2600-3600")</f>
        <v>2600-3600</v>
      </c>
      <c r="BZ154" s="1">
        <f>IFERROR(__xludf.DUMMYFUNCTION("""COMPUTED_VALUE"""),5.0)</f>
        <v>5</v>
      </c>
      <c r="CA154" s="1" t="str">
        <f>IFERROR(__xludf.DUMMYFUNCTION("""COMPUTED_VALUE"""),"New")</f>
        <v>New</v>
      </c>
    </row>
    <row r="155" ht="14.25" customHeight="1">
      <c r="A155" s="5">
        <v>1107344.0</v>
      </c>
      <c r="B155" s="6" t="s">
        <v>661</v>
      </c>
      <c r="C155" s="6" t="s">
        <v>18</v>
      </c>
      <c r="D155" s="6">
        <v>82941.0</v>
      </c>
      <c r="E155" s="6" t="s">
        <v>19</v>
      </c>
      <c r="F155" s="6" t="s">
        <v>41</v>
      </c>
      <c r="G155" s="6" t="s">
        <v>55</v>
      </c>
      <c r="H155" s="7">
        <v>1448.0</v>
      </c>
      <c r="I155" s="7">
        <v>8937.0</v>
      </c>
      <c r="J155" s="6">
        <v>1990.0</v>
      </c>
      <c r="K155" s="6">
        <v>87.0</v>
      </c>
      <c r="L155" s="6" t="s">
        <v>62</v>
      </c>
      <c r="M155" s="6" t="s">
        <v>662</v>
      </c>
      <c r="N155" s="6" t="s">
        <v>48</v>
      </c>
      <c r="O155" s="6" t="s">
        <v>49</v>
      </c>
      <c r="P155" s="6">
        <f>COUNTIF(Analysis!$M$1:$M$3001,Analysis!$M155)</f>
        <v>1</v>
      </c>
      <c r="Q155" s="6" t="str">
        <f>IF(COUNTIF(Analysis!$M$2:$M$3001,Analysis!$M155)&gt;1,"Duplicate","OK")</f>
        <v>OK</v>
      </c>
      <c r="R155" s="6" t="str">
        <f t="shared" si="1"/>
        <v>600-1600</v>
      </c>
      <c r="S155" s="6">
        <f t="shared" si="2"/>
        <v>36</v>
      </c>
      <c r="T155" s="6" t="str">
        <f t="shared" si="3"/>
        <v>Old</v>
      </c>
      <c r="BH155" s="14">
        <f>IFERROR(__xludf.DUMMYFUNCTION("""COMPUTED_VALUE"""),199191.0)</f>
        <v>199191</v>
      </c>
      <c r="BI155" s="60" t="str">
        <f>IFERROR(__xludf.DUMMYFUNCTION("""COMPUTED_VALUE"""),"1308 Elm St, San Francisco, IL 68735")</f>
        <v>1308 Elm St, San Francisco, IL 68735</v>
      </c>
      <c r="BJ155" s="60" t="str">
        <f>IFERROR(__xludf.DUMMYFUNCTION("""COMPUTED_VALUE"""),"San Francisco")</f>
        <v>San Francisco</v>
      </c>
      <c r="BK155" s="60">
        <f>IFERROR(__xludf.DUMMYFUNCTION("""COMPUTED_VALUE"""),68735.0)</f>
        <v>68735</v>
      </c>
      <c r="BL155" s="60" t="str">
        <f>IFERROR(__xludf.DUMMYFUNCTION("""COMPUTED_VALUE"""),"IL")</f>
        <v>IL</v>
      </c>
      <c r="BM155" s="60" t="str">
        <f>IFERROR(__xludf.DUMMYFUNCTION("""COMPUTED_VALUE"""),"4 bds")</f>
        <v>4 bds</v>
      </c>
      <c r="BN155" s="60" t="str">
        <f>IFERROR(__xludf.DUMMYFUNCTION("""COMPUTED_VALUE"""),"2 ba")</f>
        <v>2 ba</v>
      </c>
      <c r="BO155" s="60">
        <f>IFERROR(__xludf.DUMMYFUNCTION("""COMPUTED_VALUE"""),682.0)</f>
        <v>682</v>
      </c>
      <c r="BP155" s="60">
        <f>IFERROR(__xludf.DUMMYFUNCTION("""COMPUTED_VALUE"""),9103.0)</f>
        <v>9103</v>
      </c>
      <c r="BQ155" s="60">
        <f>IFERROR(__xludf.DUMMYFUNCTION("""COMPUTED_VALUE"""),1990.0)</f>
        <v>1990</v>
      </c>
      <c r="BR155" s="60">
        <f>IFERROR(__xludf.DUMMYFUNCTION("""COMPUTED_VALUE"""),85.0)</f>
        <v>85</v>
      </c>
      <c r="BS155" s="60" t="str">
        <f>IFERROR(__xludf.DUMMYFUNCTION("""COMPUTED_VALUE"""),"Townhouse")</f>
        <v>Townhouse</v>
      </c>
      <c r="BT155" s="60" t="str">
        <f>IFERROR(__xludf.DUMMYFUNCTION("""COMPUTED_VALUE"""),"Z373544")</f>
        <v>Z373544</v>
      </c>
      <c r="BU155" s="60" t="str">
        <f>IFERROR(__xludf.DUMMYFUNCTION("""COMPUTED_VALUE"""),"Alex Johnson - Compass")</f>
        <v>Alex Johnson - Compass</v>
      </c>
      <c r="BV155" s="60" t="str">
        <f>IFERROR(__xludf.DUMMYFUNCTION("""COMPUTED_VALUE"""),"Sold")</f>
        <v>Sold</v>
      </c>
      <c r="BW155" s="60">
        <f>IFERROR(__xludf.DUMMYFUNCTION("""COMPUTED_VALUE"""),1.0)</f>
        <v>1</v>
      </c>
      <c r="BX155" s="60" t="str">
        <f>IFERROR(__xludf.DUMMYFUNCTION("""COMPUTED_VALUE"""),"OK")</f>
        <v>OK</v>
      </c>
      <c r="BY155" s="1" t="str">
        <f>IFERROR(__xludf.DUMMYFUNCTION("""COMPUTED_VALUE"""),"600-1600")</f>
        <v>600-1600</v>
      </c>
      <c r="BZ155" s="1">
        <f>IFERROR(__xludf.DUMMYFUNCTION("""COMPUTED_VALUE"""),36.0)</f>
        <v>36</v>
      </c>
      <c r="CA155" s="1" t="str">
        <f>IFERROR(__xludf.DUMMYFUNCTION("""COMPUTED_VALUE"""),"Old")</f>
        <v>Old</v>
      </c>
    </row>
    <row r="156" ht="14.25" customHeight="1">
      <c r="A156" s="5">
        <v>369317.0</v>
      </c>
      <c r="B156" s="6" t="s">
        <v>665</v>
      </c>
      <c r="C156" s="6" t="s">
        <v>76</v>
      </c>
      <c r="D156" s="6">
        <v>71481.0</v>
      </c>
      <c r="E156" s="6" t="s">
        <v>30</v>
      </c>
      <c r="F156" s="6" t="s">
        <v>61</v>
      </c>
      <c r="G156" s="6" t="s">
        <v>100</v>
      </c>
      <c r="H156" s="7">
        <v>2607.0</v>
      </c>
      <c r="I156" s="7">
        <v>3593.0</v>
      </c>
      <c r="J156" s="6">
        <v>2010.0</v>
      </c>
      <c r="K156" s="6">
        <v>91.0</v>
      </c>
      <c r="L156" s="6" t="s">
        <v>22</v>
      </c>
      <c r="M156" s="6" t="s">
        <v>666</v>
      </c>
      <c r="N156" s="6" t="s">
        <v>43</v>
      </c>
      <c r="O156" s="6" t="s">
        <v>35</v>
      </c>
      <c r="P156" s="6">
        <f>COUNTIF(Analysis!$M$1:$M$3001,Analysis!$M156)</f>
        <v>1</v>
      </c>
      <c r="Q156" s="6" t="str">
        <f>IF(COUNTIF(Analysis!$M$2:$M$3001,Analysis!$M156)&gt;1,"Duplicate","OK")</f>
        <v>OK</v>
      </c>
      <c r="R156" s="6" t="str">
        <f t="shared" si="1"/>
        <v>2600-3600</v>
      </c>
      <c r="S156" s="6">
        <f t="shared" si="2"/>
        <v>16</v>
      </c>
      <c r="T156" s="6" t="str">
        <f t="shared" si="3"/>
        <v>Mid</v>
      </c>
      <c r="BH156" s="14">
        <f>IFERROR(__xludf.DUMMYFUNCTION("""COMPUTED_VALUE"""),978002.0)</f>
        <v>978002</v>
      </c>
      <c r="BI156" s="60" t="str">
        <f>IFERROR(__xludf.DUMMYFUNCTION("""COMPUTED_VALUE"""),"8279 Elm St, Fresno, CA 15623")</f>
        <v>8279 Elm St, Fresno, CA 15623</v>
      </c>
      <c r="BJ156" s="60" t="str">
        <f>IFERROR(__xludf.DUMMYFUNCTION("""COMPUTED_VALUE"""),"Fresno")</f>
        <v>Fresno</v>
      </c>
      <c r="BK156" s="60">
        <f>IFERROR(__xludf.DUMMYFUNCTION("""COMPUTED_VALUE"""),15623.0)</f>
        <v>15623</v>
      </c>
      <c r="BL156" s="60" t="str">
        <f>IFERROR(__xludf.DUMMYFUNCTION("""COMPUTED_VALUE"""),"CA")</f>
        <v>CA</v>
      </c>
      <c r="BM156" s="60" t="str">
        <f>IFERROR(__xludf.DUMMYFUNCTION("""COMPUTED_VALUE"""),"3 bds")</f>
        <v>3 bds</v>
      </c>
      <c r="BN156" s="60" t="str">
        <f>IFERROR(__xludf.DUMMYFUNCTION("""COMPUTED_VALUE"""),"3 ba")</f>
        <v>3 ba</v>
      </c>
      <c r="BO156" s="60">
        <f>IFERROR(__xludf.DUMMYFUNCTION("""COMPUTED_VALUE"""),2310.0)</f>
        <v>2310</v>
      </c>
      <c r="BP156" s="60">
        <f>IFERROR(__xludf.DUMMYFUNCTION("""COMPUTED_VALUE"""),2680.0)</f>
        <v>2680</v>
      </c>
      <c r="BQ156" s="60">
        <f>IFERROR(__xludf.DUMMYFUNCTION("""COMPUTED_VALUE"""),1968.0)</f>
        <v>1968</v>
      </c>
      <c r="BR156" s="60">
        <f>IFERROR(__xludf.DUMMYFUNCTION("""COMPUTED_VALUE"""),108.0)</f>
        <v>108</v>
      </c>
      <c r="BS156" s="60" t="str">
        <f>IFERROR(__xludf.DUMMYFUNCTION("""COMPUTED_VALUE"""),"Apartment")</f>
        <v>Apartment</v>
      </c>
      <c r="BT156" s="60" t="str">
        <f>IFERROR(__xludf.DUMMYFUNCTION("""COMPUTED_VALUE"""),"Z570437")</f>
        <v>Z570437</v>
      </c>
      <c r="BU156" s="60" t="str">
        <f>IFERROR(__xludf.DUMMYFUNCTION("""COMPUTED_VALUE"""),"Alex Johnson - Compass")</f>
        <v>Alex Johnson - Compass</v>
      </c>
      <c r="BV156" s="60" t="str">
        <f>IFERROR(__xludf.DUMMYFUNCTION("""COMPUTED_VALUE"""),"Sold")</f>
        <v>Sold</v>
      </c>
      <c r="BW156" s="60">
        <f>IFERROR(__xludf.DUMMYFUNCTION("""COMPUTED_VALUE"""),1.0)</f>
        <v>1</v>
      </c>
      <c r="BX156" s="60" t="str">
        <f>IFERROR(__xludf.DUMMYFUNCTION("""COMPUTED_VALUE"""),"OK")</f>
        <v>OK</v>
      </c>
      <c r="BY156" s="1" t="str">
        <f>IFERROR(__xludf.DUMMYFUNCTION("""COMPUTED_VALUE"""),"1600-2600")</f>
        <v>1600-2600</v>
      </c>
      <c r="BZ156" s="1">
        <f>IFERROR(__xludf.DUMMYFUNCTION("""COMPUTED_VALUE"""),58.0)</f>
        <v>58</v>
      </c>
      <c r="CA156" s="1" t="str">
        <f>IFERROR(__xludf.DUMMYFUNCTION("""COMPUTED_VALUE"""),"Old")</f>
        <v>Old</v>
      </c>
    </row>
    <row r="157" ht="14.25" customHeight="1">
      <c r="A157" s="5">
        <v>895834.0</v>
      </c>
      <c r="B157" s="6" t="s">
        <v>669</v>
      </c>
      <c r="C157" s="6" t="s">
        <v>39</v>
      </c>
      <c r="D157" s="6">
        <v>40991.0</v>
      </c>
      <c r="E157" s="6" t="s">
        <v>60</v>
      </c>
      <c r="F157" s="6" t="s">
        <v>20</v>
      </c>
      <c r="G157" s="6" t="s">
        <v>55</v>
      </c>
      <c r="H157" s="7">
        <v>1418.0</v>
      </c>
      <c r="I157" s="7">
        <v>9398.0</v>
      </c>
      <c r="J157" s="6">
        <v>1975.0</v>
      </c>
      <c r="K157" s="6">
        <v>47.0</v>
      </c>
      <c r="L157" s="6" t="s">
        <v>62</v>
      </c>
      <c r="M157" s="6" t="s">
        <v>670</v>
      </c>
      <c r="N157" s="6" t="s">
        <v>48</v>
      </c>
      <c r="O157" s="6" t="s">
        <v>49</v>
      </c>
      <c r="P157" s="6">
        <f>COUNTIF(Analysis!$M$1:$M$3001,Analysis!$M157)</f>
        <v>1</v>
      </c>
      <c r="Q157" s="6" t="str">
        <f>IF(COUNTIF(Analysis!$M$2:$M$3001,Analysis!$M157)&gt;1,"Duplicate","OK")</f>
        <v>OK</v>
      </c>
      <c r="R157" s="6" t="str">
        <f t="shared" si="1"/>
        <v>600-1600</v>
      </c>
      <c r="S157" s="6">
        <f t="shared" si="2"/>
        <v>51</v>
      </c>
      <c r="T157" s="6" t="str">
        <f t="shared" si="3"/>
        <v>Old</v>
      </c>
      <c r="BH157" s="14">
        <f>IFERROR(__xludf.DUMMYFUNCTION("""COMPUTED_VALUE"""),1496345.0)</f>
        <v>1496345</v>
      </c>
      <c r="BI157" s="60" t="str">
        <f>IFERROR(__xludf.DUMMYFUNCTION("""COMPUTED_VALUE"""),"7880 Maple Dr, San Diego, FL 64384")</f>
        <v>7880 Maple Dr, San Diego, FL 64384</v>
      </c>
      <c r="BJ157" s="60" t="str">
        <f>IFERROR(__xludf.DUMMYFUNCTION("""COMPUTED_VALUE"""),"San Diego")</f>
        <v>San Diego</v>
      </c>
      <c r="BK157" s="60">
        <f>IFERROR(__xludf.DUMMYFUNCTION("""COMPUTED_VALUE"""),64384.0)</f>
        <v>64384</v>
      </c>
      <c r="BL157" s="60" t="str">
        <f>IFERROR(__xludf.DUMMYFUNCTION("""COMPUTED_VALUE"""),"FL")</f>
        <v>FL</v>
      </c>
      <c r="BM157" s="60" t="str">
        <f>IFERROR(__xludf.DUMMYFUNCTION("""COMPUTED_VALUE"""),"3 bds")</f>
        <v>3 bds</v>
      </c>
      <c r="BN157" s="60" t="str">
        <f>IFERROR(__xludf.DUMMYFUNCTION("""COMPUTED_VALUE"""),"2 ba")</f>
        <v>2 ba</v>
      </c>
      <c r="BO157" s="60">
        <f>IFERROR(__xludf.DUMMYFUNCTION("""COMPUTED_VALUE"""),2570.0)</f>
        <v>2570</v>
      </c>
      <c r="BP157" s="60">
        <f>IFERROR(__xludf.DUMMYFUNCTION("""COMPUTED_VALUE"""),8129.0)</f>
        <v>8129</v>
      </c>
      <c r="BQ157" s="60">
        <f>IFERROR(__xludf.DUMMYFUNCTION("""COMPUTED_VALUE"""),1978.0)</f>
        <v>1978</v>
      </c>
      <c r="BR157" s="60">
        <f>IFERROR(__xludf.DUMMYFUNCTION("""COMPUTED_VALUE"""),107.0)</f>
        <v>107</v>
      </c>
      <c r="BS157" s="60" t="str">
        <f>IFERROR(__xludf.DUMMYFUNCTION("""COMPUTED_VALUE"""),"Townhouse")</f>
        <v>Townhouse</v>
      </c>
      <c r="BT157" s="60" t="str">
        <f>IFERROR(__xludf.DUMMYFUNCTION("""COMPUTED_VALUE"""),"Z539950")</f>
        <v>Z539950</v>
      </c>
      <c r="BU157" s="60" t="str">
        <f>IFERROR(__xludf.DUMMYFUNCTION("""COMPUTED_VALUE"""),"Alex Johnson - Compass")</f>
        <v>Alex Johnson - Compass</v>
      </c>
      <c r="BV157" s="60" t="str">
        <f>IFERROR(__xludf.DUMMYFUNCTION("""COMPUTED_VALUE"""),"Sold")</f>
        <v>Sold</v>
      </c>
      <c r="BW157" s="60">
        <f>IFERROR(__xludf.DUMMYFUNCTION("""COMPUTED_VALUE"""),1.0)</f>
        <v>1</v>
      </c>
      <c r="BX157" s="60" t="str">
        <f>IFERROR(__xludf.DUMMYFUNCTION("""COMPUTED_VALUE"""),"OK")</f>
        <v>OK</v>
      </c>
      <c r="BY157" s="1" t="str">
        <f>IFERROR(__xludf.DUMMYFUNCTION("""COMPUTED_VALUE"""),"1600-2600")</f>
        <v>1600-2600</v>
      </c>
      <c r="BZ157" s="1">
        <f>IFERROR(__xludf.DUMMYFUNCTION("""COMPUTED_VALUE"""),48.0)</f>
        <v>48</v>
      </c>
      <c r="CA157" s="1" t="str">
        <f>IFERROR(__xludf.DUMMYFUNCTION("""COMPUTED_VALUE"""),"Old")</f>
        <v>Old</v>
      </c>
    </row>
    <row r="158" ht="14.25" customHeight="1">
      <c r="A158" s="5">
        <v>174251.0</v>
      </c>
      <c r="B158" s="6" t="s">
        <v>6909</v>
      </c>
      <c r="C158" s="6" t="s">
        <v>29</v>
      </c>
      <c r="D158" s="6">
        <v>70215.0</v>
      </c>
      <c r="E158" s="6" t="s">
        <v>77</v>
      </c>
      <c r="F158" s="6" t="s">
        <v>94</v>
      </c>
      <c r="G158" s="6" t="s">
        <v>21</v>
      </c>
      <c r="H158" s="7">
        <v>2037.0</v>
      </c>
      <c r="I158" s="7">
        <v>3781.0</v>
      </c>
      <c r="J158" s="6">
        <v>1982.0</v>
      </c>
      <c r="K158" s="6">
        <v>62.0</v>
      </c>
      <c r="L158" s="6" t="s">
        <v>22</v>
      </c>
      <c r="M158" s="6" t="s">
        <v>6910</v>
      </c>
      <c r="N158" s="6" t="s">
        <v>24</v>
      </c>
      <c r="O158" s="6" t="s">
        <v>25</v>
      </c>
      <c r="P158" s="6">
        <f>COUNTIF(Analysis!$M$1:$M$3001,Analysis!$M1718)</f>
        <v>1</v>
      </c>
      <c r="Q158" s="6" t="str">
        <f>IF(COUNTIF(Analysis!$M$2:$M$3001,Analysis!$M1718)&gt;1,"Duplicate","OK")</f>
        <v>OK</v>
      </c>
      <c r="R158" s="6" t="str">
        <f t="shared" si="1"/>
        <v>1600-2600</v>
      </c>
      <c r="S158" s="6">
        <f t="shared" si="2"/>
        <v>44</v>
      </c>
      <c r="T158" s="6" t="str">
        <f t="shared" si="3"/>
        <v>Old</v>
      </c>
      <c r="BH158" s="14">
        <f>IFERROR(__xludf.DUMMYFUNCTION("""COMPUTED_VALUE"""),1322012.0)</f>
        <v>1322012</v>
      </c>
      <c r="BI158" s="60" t="str">
        <f>IFERROR(__xludf.DUMMYFUNCTION("""COMPUTED_VALUE"""),"4242 Main St, San Francisco, FL 57352")</f>
        <v>4242 Main St, San Francisco, FL 57352</v>
      </c>
      <c r="BJ158" s="60" t="str">
        <f>IFERROR(__xludf.DUMMYFUNCTION("""COMPUTED_VALUE"""),"San Francisco")</f>
        <v>San Francisco</v>
      </c>
      <c r="BK158" s="60">
        <f>IFERROR(__xludf.DUMMYFUNCTION("""COMPUTED_VALUE"""),57352.0)</f>
        <v>57352</v>
      </c>
      <c r="BL158" s="60" t="str">
        <f>IFERROR(__xludf.DUMMYFUNCTION("""COMPUTED_VALUE"""),"FL")</f>
        <v>FL</v>
      </c>
      <c r="BM158" s="60" t="str">
        <f>IFERROR(__xludf.DUMMYFUNCTION("""COMPUTED_VALUE"""),"1 bds")</f>
        <v>1 bds</v>
      </c>
      <c r="BN158" s="60" t="str">
        <f>IFERROR(__xludf.DUMMYFUNCTION("""COMPUTED_VALUE"""),"4 ba")</f>
        <v>4 ba</v>
      </c>
      <c r="BO158" s="60">
        <f>IFERROR(__xludf.DUMMYFUNCTION("""COMPUTED_VALUE"""),815.0)</f>
        <v>815</v>
      </c>
      <c r="BP158" s="60">
        <f>IFERROR(__xludf.DUMMYFUNCTION("""COMPUTED_VALUE"""),1114.0)</f>
        <v>1114</v>
      </c>
      <c r="BQ158" s="60">
        <f>IFERROR(__xludf.DUMMYFUNCTION("""COMPUTED_VALUE"""),2016.0)</f>
        <v>2016</v>
      </c>
      <c r="BR158" s="60">
        <f>IFERROR(__xludf.DUMMYFUNCTION("""COMPUTED_VALUE"""),26.0)</f>
        <v>26</v>
      </c>
      <c r="BS158" s="60" t="str">
        <f>IFERROR(__xludf.DUMMYFUNCTION("""COMPUTED_VALUE"""),"Apartment")</f>
        <v>Apartment</v>
      </c>
      <c r="BT158" s="60" t="str">
        <f>IFERROR(__xludf.DUMMYFUNCTION("""COMPUTED_VALUE"""),"Z178776")</f>
        <v>Z178776</v>
      </c>
      <c r="BU158" s="60" t="str">
        <f>IFERROR(__xludf.DUMMYFUNCTION("""COMPUTED_VALUE"""),"Alex Johnson - Compass")</f>
        <v>Alex Johnson - Compass</v>
      </c>
      <c r="BV158" s="60" t="str">
        <f>IFERROR(__xludf.DUMMYFUNCTION("""COMPUTED_VALUE"""),"Sold")</f>
        <v>Sold</v>
      </c>
      <c r="BW158" s="60">
        <f>IFERROR(__xludf.DUMMYFUNCTION("""COMPUTED_VALUE"""),1.0)</f>
        <v>1</v>
      </c>
      <c r="BX158" s="60" t="str">
        <f>IFERROR(__xludf.DUMMYFUNCTION("""COMPUTED_VALUE"""),"OK")</f>
        <v>OK</v>
      </c>
      <c r="BY158" s="1" t="str">
        <f>IFERROR(__xludf.DUMMYFUNCTION("""COMPUTED_VALUE"""),"600-1600")</f>
        <v>600-1600</v>
      </c>
      <c r="BZ158" s="1">
        <f>IFERROR(__xludf.DUMMYFUNCTION("""COMPUTED_VALUE"""),10.0)</f>
        <v>10</v>
      </c>
      <c r="CA158" s="1" t="str">
        <f>IFERROR(__xludf.DUMMYFUNCTION("""COMPUTED_VALUE"""),"New")</f>
        <v>New</v>
      </c>
    </row>
    <row r="159" ht="14.25" customHeight="1">
      <c r="A159" s="5">
        <v>177022.0</v>
      </c>
      <c r="B159" s="6" t="s">
        <v>7433</v>
      </c>
      <c r="C159" s="6" t="s">
        <v>29</v>
      </c>
      <c r="D159" s="6">
        <v>98694.0</v>
      </c>
      <c r="E159" s="6" t="s">
        <v>19</v>
      </c>
      <c r="F159" s="6" t="s">
        <v>41</v>
      </c>
      <c r="G159" s="6" t="s">
        <v>21</v>
      </c>
      <c r="H159" s="7">
        <v>1385.0</v>
      </c>
      <c r="I159" s="7">
        <v>7713.0</v>
      </c>
      <c r="J159" s="6">
        <v>2005.0</v>
      </c>
      <c r="K159" s="6">
        <v>39.0</v>
      </c>
      <c r="L159" s="6" t="s">
        <v>22</v>
      </c>
      <c r="M159" s="6" t="s">
        <v>7434</v>
      </c>
      <c r="N159" s="6" t="s">
        <v>24</v>
      </c>
      <c r="O159" s="6" t="s">
        <v>49</v>
      </c>
      <c r="P159" s="6">
        <f>COUNTIF(Analysis!$M$1:$M$3001,Analysis!$M1849)</f>
        <v>1</v>
      </c>
      <c r="Q159" s="6" t="str">
        <f>IF(COUNTIF(Analysis!$M$2:$M$3001,Analysis!$M1849)&gt;1,"Duplicate","OK")</f>
        <v>OK</v>
      </c>
      <c r="R159" s="6" t="str">
        <f t="shared" si="1"/>
        <v>600-1600</v>
      </c>
      <c r="S159" s="6">
        <f t="shared" si="2"/>
        <v>21</v>
      </c>
      <c r="T159" s="6" t="str">
        <f t="shared" si="3"/>
        <v>Mid</v>
      </c>
      <c r="BH159" s="14">
        <f>IFERROR(__xludf.DUMMYFUNCTION("""COMPUTED_VALUE"""),347514.0)</f>
        <v>347514</v>
      </c>
      <c r="BI159" s="60" t="str">
        <f>IFERROR(__xludf.DUMMYFUNCTION("""COMPUTED_VALUE"""),"3899 Main St, San Francisco, IL 61889")</f>
        <v>3899 Main St, San Francisco, IL 61889</v>
      </c>
      <c r="BJ159" s="60" t="str">
        <f>IFERROR(__xludf.DUMMYFUNCTION("""COMPUTED_VALUE"""),"San Francisco")</f>
        <v>San Francisco</v>
      </c>
      <c r="BK159" s="60">
        <f>IFERROR(__xludf.DUMMYFUNCTION("""COMPUTED_VALUE"""),61889.0)</f>
        <v>61889</v>
      </c>
      <c r="BL159" s="60" t="str">
        <f>IFERROR(__xludf.DUMMYFUNCTION("""COMPUTED_VALUE"""),"IL")</f>
        <v>IL</v>
      </c>
      <c r="BM159" s="60" t="str">
        <f>IFERROR(__xludf.DUMMYFUNCTION("""COMPUTED_VALUE"""),"3 bds")</f>
        <v>3 bds</v>
      </c>
      <c r="BN159" s="60" t="str">
        <f>IFERROR(__xludf.DUMMYFUNCTION("""COMPUTED_VALUE"""),"2 ba")</f>
        <v>2 ba</v>
      </c>
      <c r="BO159" s="60">
        <f>IFERROR(__xludf.DUMMYFUNCTION("""COMPUTED_VALUE"""),1510.0)</f>
        <v>1510</v>
      </c>
      <c r="BP159" s="60">
        <f>IFERROR(__xludf.DUMMYFUNCTION("""COMPUTED_VALUE"""),6197.0)</f>
        <v>6197</v>
      </c>
      <c r="BQ159" s="60">
        <f>IFERROR(__xludf.DUMMYFUNCTION("""COMPUTED_VALUE"""),2001.0)</f>
        <v>2001</v>
      </c>
      <c r="BR159" s="60">
        <f>IFERROR(__xludf.DUMMYFUNCTION("""COMPUTED_VALUE"""),77.0)</f>
        <v>77</v>
      </c>
      <c r="BS159" s="60" t="str">
        <f>IFERROR(__xludf.DUMMYFUNCTION("""COMPUTED_VALUE"""),"Single Family")</f>
        <v>Single Family</v>
      </c>
      <c r="BT159" s="60" t="str">
        <f>IFERROR(__xludf.DUMMYFUNCTION("""COMPUTED_VALUE"""),"Z668070")</f>
        <v>Z668070</v>
      </c>
      <c r="BU159" s="60" t="str">
        <f>IFERROR(__xludf.DUMMYFUNCTION("""COMPUTED_VALUE"""),"Alex Johnson - Compass")</f>
        <v>Alex Johnson - Compass</v>
      </c>
      <c r="BV159" s="60" t="str">
        <f>IFERROR(__xludf.DUMMYFUNCTION("""COMPUTED_VALUE"""),"Sold")</f>
        <v>Sold</v>
      </c>
      <c r="BW159" s="60">
        <f>IFERROR(__xludf.DUMMYFUNCTION("""COMPUTED_VALUE"""),1.0)</f>
        <v>1</v>
      </c>
      <c r="BX159" s="60" t="str">
        <f>IFERROR(__xludf.DUMMYFUNCTION("""COMPUTED_VALUE"""),"OK")</f>
        <v>OK</v>
      </c>
      <c r="BY159" s="1" t="str">
        <f>IFERROR(__xludf.DUMMYFUNCTION("""COMPUTED_VALUE"""),"600-1600")</f>
        <v>600-1600</v>
      </c>
      <c r="BZ159" s="1">
        <f>IFERROR(__xludf.DUMMYFUNCTION("""COMPUTED_VALUE"""),25.0)</f>
        <v>25</v>
      </c>
      <c r="CA159" s="1" t="str">
        <f>IFERROR(__xludf.DUMMYFUNCTION("""COMPUTED_VALUE"""),"Mid")</f>
        <v>Mid</v>
      </c>
    </row>
    <row r="160" ht="14.25" customHeight="1">
      <c r="A160" s="5">
        <v>1425415.0</v>
      </c>
      <c r="B160" s="6" t="s">
        <v>681</v>
      </c>
      <c r="C160" s="6" t="s">
        <v>18</v>
      </c>
      <c r="D160" s="6">
        <v>46625.0</v>
      </c>
      <c r="E160" s="6" t="s">
        <v>19</v>
      </c>
      <c r="F160" s="6" t="s">
        <v>54</v>
      </c>
      <c r="G160" s="6" t="s">
        <v>100</v>
      </c>
      <c r="H160" s="7">
        <v>3225.0</v>
      </c>
      <c r="I160" s="7">
        <v>7924.0</v>
      </c>
      <c r="J160" s="6">
        <v>1972.0</v>
      </c>
      <c r="K160" s="6">
        <v>22.0</v>
      </c>
      <c r="L160" s="6" t="s">
        <v>22</v>
      </c>
      <c r="M160" s="6" t="s">
        <v>682</v>
      </c>
      <c r="N160" s="6" t="s">
        <v>34</v>
      </c>
      <c r="O160" s="6" t="s">
        <v>35</v>
      </c>
      <c r="P160" s="6">
        <f>COUNTIF(Analysis!$M$1:$M$3001,Analysis!$M160)</f>
        <v>1</v>
      </c>
      <c r="Q160" s="6" t="str">
        <f>IF(COUNTIF(Analysis!$M$2:$M$3001,Analysis!$M160)&gt;1,"Duplicate","OK")</f>
        <v>OK</v>
      </c>
      <c r="R160" s="6" t="str">
        <f t="shared" si="1"/>
        <v>2600-3600</v>
      </c>
      <c r="S160" s="6">
        <f t="shared" si="2"/>
        <v>54</v>
      </c>
      <c r="T160" s="6" t="str">
        <f t="shared" si="3"/>
        <v>Old</v>
      </c>
      <c r="BH160" s="14">
        <f>IFERROR(__xludf.DUMMYFUNCTION("""COMPUTED_VALUE"""),225327.0)</f>
        <v>225327</v>
      </c>
      <c r="BI160" s="60" t="str">
        <f>IFERROR(__xludf.DUMMYFUNCTION("""COMPUTED_VALUE"""),"617 Oak Ave, San Francisco, TX 85430")</f>
        <v>617 Oak Ave, San Francisco, TX 85430</v>
      </c>
      <c r="BJ160" s="60" t="str">
        <f>IFERROR(__xludf.DUMMYFUNCTION("""COMPUTED_VALUE"""),"San Francisco")</f>
        <v>San Francisco</v>
      </c>
      <c r="BK160" s="60">
        <f>IFERROR(__xludf.DUMMYFUNCTION("""COMPUTED_VALUE"""),85430.0)</f>
        <v>85430</v>
      </c>
      <c r="BL160" s="60" t="str">
        <f>IFERROR(__xludf.DUMMYFUNCTION("""COMPUTED_VALUE"""),"TX")</f>
        <v>TX</v>
      </c>
      <c r="BM160" s="60" t="str">
        <f>IFERROR(__xludf.DUMMYFUNCTION("""COMPUTED_VALUE"""),"6 bds")</f>
        <v>6 bds</v>
      </c>
      <c r="BN160" s="60" t="str">
        <f>IFERROR(__xludf.DUMMYFUNCTION("""COMPUTED_VALUE"""),"4 ba")</f>
        <v>4 ba</v>
      </c>
      <c r="BO160" s="60">
        <f>IFERROR(__xludf.DUMMYFUNCTION("""COMPUTED_VALUE"""),2722.0)</f>
        <v>2722</v>
      </c>
      <c r="BP160" s="60">
        <f>IFERROR(__xludf.DUMMYFUNCTION("""COMPUTED_VALUE"""),1438.0)</f>
        <v>1438</v>
      </c>
      <c r="BQ160" s="60">
        <f>IFERROR(__xludf.DUMMYFUNCTION("""COMPUTED_VALUE"""),2015.0)</f>
        <v>2015</v>
      </c>
      <c r="BR160" s="60">
        <f>IFERROR(__xludf.DUMMYFUNCTION("""COMPUTED_VALUE"""),25.0)</f>
        <v>25</v>
      </c>
      <c r="BS160" s="60" t="str">
        <f>IFERROR(__xludf.DUMMYFUNCTION("""COMPUTED_VALUE"""),"Townhouse")</f>
        <v>Townhouse</v>
      </c>
      <c r="BT160" s="60" t="str">
        <f>IFERROR(__xludf.DUMMYFUNCTION("""COMPUTED_VALUE"""),"Z422667")</f>
        <v>Z422667</v>
      </c>
      <c r="BU160" s="60" t="str">
        <f>IFERROR(__xludf.DUMMYFUNCTION("""COMPUTED_VALUE"""),"Alex Johnson - Compass")</f>
        <v>Alex Johnson - Compass</v>
      </c>
      <c r="BV160" s="60" t="str">
        <f>IFERROR(__xludf.DUMMYFUNCTION("""COMPUTED_VALUE"""),"Sold")</f>
        <v>Sold</v>
      </c>
      <c r="BW160" s="60">
        <f>IFERROR(__xludf.DUMMYFUNCTION("""COMPUTED_VALUE"""),1.0)</f>
        <v>1</v>
      </c>
      <c r="BX160" s="60" t="str">
        <f>IFERROR(__xludf.DUMMYFUNCTION("""COMPUTED_VALUE"""),"OK")</f>
        <v>OK</v>
      </c>
      <c r="BY160" s="1" t="str">
        <f>IFERROR(__xludf.DUMMYFUNCTION("""COMPUTED_VALUE"""),"2600-3600")</f>
        <v>2600-3600</v>
      </c>
      <c r="BZ160" s="1">
        <f>IFERROR(__xludf.DUMMYFUNCTION("""COMPUTED_VALUE"""),11.0)</f>
        <v>11</v>
      </c>
      <c r="CA160" s="1" t="str">
        <f>IFERROR(__xludf.DUMMYFUNCTION("""COMPUTED_VALUE"""),"Mid")</f>
        <v>Mid</v>
      </c>
    </row>
    <row r="161" ht="14.25" customHeight="1">
      <c r="A161" s="5">
        <v>998214.0</v>
      </c>
      <c r="B161" s="6" t="s">
        <v>685</v>
      </c>
      <c r="C161" s="6" t="s">
        <v>39</v>
      </c>
      <c r="D161" s="6">
        <v>61130.0</v>
      </c>
      <c r="E161" s="6" t="s">
        <v>60</v>
      </c>
      <c r="F161" s="6" t="s">
        <v>54</v>
      </c>
      <c r="G161" s="6" t="s">
        <v>55</v>
      </c>
      <c r="H161" s="7">
        <v>1102.0</v>
      </c>
      <c r="I161" s="7">
        <v>7579.0</v>
      </c>
      <c r="J161" s="6">
        <v>2010.0</v>
      </c>
      <c r="K161" s="6">
        <v>6.0</v>
      </c>
      <c r="L161" s="6" t="s">
        <v>32</v>
      </c>
      <c r="M161" s="6" t="s">
        <v>686</v>
      </c>
      <c r="N161" s="6" t="s">
        <v>34</v>
      </c>
      <c r="O161" s="6" t="s">
        <v>25</v>
      </c>
      <c r="P161" s="6">
        <f>COUNTIF(Analysis!$M$1:$M$3001,Analysis!$M161)</f>
        <v>1</v>
      </c>
      <c r="Q161" s="6" t="str">
        <f>IF(COUNTIF(Analysis!$M$2:$M$3001,Analysis!$M161)&gt;1,"Duplicate","OK")</f>
        <v>OK</v>
      </c>
      <c r="R161" s="6" t="str">
        <f t="shared" si="1"/>
        <v>600-1600</v>
      </c>
      <c r="S161" s="6">
        <f t="shared" si="2"/>
        <v>16</v>
      </c>
      <c r="T161" s="6" t="str">
        <f t="shared" si="3"/>
        <v>Mid</v>
      </c>
      <c r="BH161" s="14">
        <f>IFERROR(__xludf.DUMMYFUNCTION("""COMPUTED_VALUE"""),1413904.0)</f>
        <v>1413904</v>
      </c>
      <c r="BI161" s="60" t="str">
        <f>IFERROR(__xludf.DUMMYFUNCTION("""COMPUTED_VALUE"""),"482 Elm St, San Diego, TX 25297")</f>
        <v>482 Elm St, San Diego, TX 25297</v>
      </c>
      <c r="BJ161" s="60" t="str">
        <f>IFERROR(__xludf.DUMMYFUNCTION("""COMPUTED_VALUE"""),"San Diego")</f>
        <v>San Diego</v>
      </c>
      <c r="BK161" s="60">
        <f>IFERROR(__xludf.DUMMYFUNCTION("""COMPUTED_VALUE"""),25297.0)</f>
        <v>25297</v>
      </c>
      <c r="BL161" s="60" t="str">
        <f>IFERROR(__xludf.DUMMYFUNCTION("""COMPUTED_VALUE"""),"TX")</f>
        <v>TX</v>
      </c>
      <c r="BM161" s="60" t="str">
        <f>IFERROR(__xludf.DUMMYFUNCTION("""COMPUTED_VALUE"""),"6 bds")</f>
        <v>6 bds</v>
      </c>
      <c r="BN161" s="60" t="str">
        <f>IFERROR(__xludf.DUMMYFUNCTION("""COMPUTED_VALUE"""),"1 ba")</f>
        <v>1 ba</v>
      </c>
      <c r="BO161" s="60">
        <f>IFERROR(__xludf.DUMMYFUNCTION("""COMPUTED_VALUE"""),1532.0)</f>
        <v>1532</v>
      </c>
      <c r="BP161" s="60">
        <f>IFERROR(__xludf.DUMMYFUNCTION("""COMPUTED_VALUE"""),3781.0)</f>
        <v>3781</v>
      </c>
      <c r="BQ161" s="60">
        <f>IFERROR(__xludf.DUMMYFUNCTION("""COMPUTED_VALUE"""),1992.0)</f>
        <v>1992</v>
      </c>
      <c r="BR161" s="60">
        <f>IFERROR(__xludf.DUMMYFUNCTION("""COMPUTED_VALUE"""),4.0)</f>
        <v>4</v>
      </c>
      <c r="BS161" s="60" t="str">
        <f>IFERROR(__xludf.DUMMYFUNCTION("""COMPUTED_VALUE"""),"Multi-Family")</f>
        <v>Multi-Family</v>
      </c>
      <c r="BT161" s="60" t="str">
        <f>IFERROR(__xludf.DUMMYFUNCTION("""COMPUTED_VALUE"""),"Z441862")</f>
        <v>Z441862</v>
      </c>
      <c r="BU161" s="60" t="str">
        <f>IFERROR(__xludf.DUMMYFUNCTION("""COMPUTED_VALUE"""),"Alex Johnson - Compass")</f>
        <v>Alex Johnson - Compass</v>
      </c>
      <c r="BV161" s="60" t="str">
        <f>IFERROR(__xludf.DUMMYFUNCTION("""COMPUTED_VALUE"""),"Sold")</f>
        <v>Sold</v>
      </c>
      <c r="BW161" s="60">
        <f>IFERROR(__xludf.DUMMYFUNCTION("""COMPUTED_VALUE"""),1.0)</f>
        <v>1</v>
      </c>
      <c r="BX161" s="60" t="str">
        <f>IFERROR(__xludf.DUMMYFUNCTION("""COMPUTED_VALUE"""),"OK")</f>
        <v>OK</v>
      </c>
      <c r="BY161" s="1" t="str">
        <f>IFERROR(__xludf.DUMMYFUNCTION("""COMPUTED_VALUE"""),"600-1600")</f>
        <v>600-1600</v>
      </c>
      <c r="BZ161" s="1">
        <f>IFERROR(__xludf.DUMMYFUNCTION("""COMPUTED_VALUE"""),34.0)</f>
        <v>34</v>
      </c>
      <c r="CA161" s="1" t="str">
        <f>IFERROR(__xludf.DUMMYFUNCTION("""COMPUTED_VALUE"""),"Old")</f>
        <v>Old</v>
      </c>
    </row>
    <row r="162" ht="14.25" customHeight="1">
      <c r="A162" s="5">
        <v>183860.0</v>
      </c>
      <c r="B162" s="6" t="s">
        <v>2172</v>
      </c>
      <c r="C162" s="6" t="s">
        <v>29</v>
      </c>
      <c r="D162" s="6">
        <v>14495.0</v>
      </c>
      <c r="E162" s="6" t="s">
        <v>77</v>
      </c>
      <c r="F162" s="6" t="s">
        <v>54</v>
      </c>
      <c r="G162" s="6" t="s">
        <v>31</v>
      </c>
      <c r="H162" s="7">
        <v>2616.0</v>
      </c>
      <c r="I162" s="7">
        <v>1461.0</v>
      </c>
      <c r="J162" s="6">
        <v>1952.0</v>
      </c>
      <c r="K162" s="6">
        <v>27.0</v>
      </c>
      <c r="L162" s="6" t="s">
        <v>62</v>
      </c>
      <c r="M162" s="6" t="s">
        <v>2173</v>
      </c>
      <c r="N162" s="6" t="s">
        <v>43</v>
      </c>
      <c r="O162" s="6" t="s">
        <v>25</v>
      </c>
      <c r="P162" s="6">
        <f>COUNTIF(Analysis!$M$1:$M$3001,Analysis!$M533)</f>
        <v>1</v>
      </c>
      <c r="Q162" s="6" t="str">
        <f>IF(COUNTIF(Analysis!$M$2:$M$3001,Analysis!$M533)&gt;1,"Duplicate","OK")</f>
        <v>OK</v>
      </c>
      <c r="R162" s="6" t="str">
        <f t="shared" si="1"/>
        <v>2600-3600</v>
      </c>
      <c r="S162" s="6">
        <f t="shared" si="2"/>
        <v>74</v>
      </c>
      <c r="T162" s="6" t="str">
        <f t="shared" si="3"/>
        <v>Very Old</v>
      </c>
      <c r="BH162" s="14">
        <f>IFERROR(__xludf.DUMMYFUNCTION("""COMPUTED_VALUE"""),781259.0)</f>
        <v>781259</v>
      </c>
      <c r="BI162" s="60" t="str">
        <f>IFERROR(__xludf.DUMMYFUNCTION("""COMPUTED_VALUE"""),"1965 Oak Ave, Los Angeles, FL 34275")</f>
        <v>1965 Oak Ave, Los Angeles, FL 34275</v>
      </c>
      <c r="BJ162" s="60" t="str">
        <f>IFERROR(__xludf.DUMMYFUNCTION("""COMPUTED_VALUE"""),"Los Angeles")</f>
        <v>Los Angeles</v>
      </c>
      <c r="BK162" s="60">
        <f>IFERROR(__xludf.DUMMYFUNCTION("""COMPUTED_VALUE"""),34275.0)</f>
        <v>34275</v>
      </c>
      <c r="BL162" s="60" t="str">
        <f>IFERROR(__xludf.DUMMYFUNCTION("""COMPUTED_VALUE"""),"FL")</f>
        <v>FL</v>
      </c>
      <c r="BM162" s="60" t="str">
        <f>IFERROR(__xludf.DUMMYFUNCTION("""COMPUTED_VALUE"""),"3 bds")</f>
        <v>3 bds</v>
      </c>
      <c r="BN162" s="60" t="str">
        <f>IFERROR(__xludf.DUMMYFUNCTION("""COMPUTED_VALUE"""),"4 ba")</f>
        <v>4 ba</v>
      </c>
      <c r="BO162" s="60">
        <f>IFERROR(__xludf.DUMMYFUNCTION("""COMPUTED_VALUE"""),3946.0)</f>
        <v>3946</v>
      </c>
      <c r="BP162" s="60">
        <f>IFERROR(__xludf.DUMMYFUNCTION("""COMPUTED_VALUE"""),4938.0)</f>
        <v>4938</v>
      </c>
      <c r="BQ162" s="60">
        <f>IFERROR(__xludf.DUMMYFUNCTION("""COMPUTED_VALUE"""),2010.0)</f>
        <v>2010</v>
      </c>
      <c r="BR162" s="60">
        <f>IFERROR(__xludf.DUMMYFUNCTION("""COMPUTED_VALUE"""),88.0)</f>
        <v>88</v>
      </c>
      <c r="BS162" s="60" t="str">
        <f>IFERROR(__xludf.DUMMYFUNCTION("""COMPUTED_VALUE"""),"Condo")</f>
        <v>Condo</v>
      </c>
      <c r="BT162" s="60" t="str">
        <f>IFERROR(__xludf.DUMMYFUNCTION("""COMPUTED_VALUE"""),"Z571077")</f>
        <v>Z571077</v>
      </c>
      <c r="BU162" s="60" t="str">
        <f>IFERROR(__xludf.DUMMYFUNCTION("""COMPUTED_VALUE"""),"Alex Johnson - Compass")</f>
        <v>Alex Johnson - Compass</v>
      </c>
      <c r="BV162" s="60" t="str">
        <f>IFERROR(__xludf.DUMMYFUNCTION("""COMPUTED_VALUE"""),"Sold")</f>
        <v>Sold</v>
      </c>
      <c r="BW162" s="60">
        <f>IFERROR(__xludf.DUMMYFUNCTION("""COMPUTED_VALUE"""),1.0)</f>
        <v>1</v>
      </c>
      <c r="BX162" s="60" t="str">
        <f>IFERROR(__xludf.DUMMYFUNCTION("""COMPUTED_VALUE"""),"OK")</f>
        <v>OK</v>
      </c>
      <c r="BY162" s="1" t="str">
        <f>IFERROR(__xludf.DUMMYFUNCTION("""COMPUTED_VALUE"""),"3600+")</f>
        <v>3600+</v>
      </c>
      <c r="BZ162" s="1">
        <f>IFERROR(__xludf.DUMMYFUNCTION("""COMPUTED_VALUE"""),16.0)</f>
        <v>16</v>
      </c>
      <c r="CA162" s="1" t="str">
        <f>IFERROR(__xludf.DUMMYFUNCTION("""COMPUTED_VALUE"""),"Mid")</f>
        <v>Mid</v>
      </c>
    </row>
    <row r="163" ht="14.25" customHeight="1">
      <c r="A163" s="5">
        <v>187796.0</v>
      </c>
      <c r="B163" s="6" t="s">
        <v>10035</v>
      </c>
      <c r="C163" s="6" t="s">
        <v>29</v>
      </c>
      <c r="D163" s="6">
        <v>49637.0</v>
      </c>
      <c r="E163" s="6" t="s">
        <v>19</v>
      </c>
      <c r="F163" s="6" t="s">
        <v>94</v>
      </c>
      <c r="G163" s="6" t="s">
        <v>31</v>
      </c>
      <c r="H163" s="7">
        <v>2547.0</v>
      </c>
      <c r="I163" s="7">
        <v>9437.0</v>
      </c>
      <c r="J163" s="6">
        <v>2015.0</v>
      </c>
      <c r="K163" s="6">
        <v>119.0</v>
      </c>
      <c r="L163" s="6" t="s">
        <v>141</v>
      </c>
      <c r="M163" s="6" t="s">
        <v>10036</v>
      </c>
      <c r="N163" s="6" t="s">
        <v>64</v>
      </c>
      <c r="O163" s="6" t="s">
        <v>49</v>
      </c>
      <c r="P163" s="6">
        <f>COUNTIF(Analysis!$M$1:$M$3001,Analysis!$M2500)</f>
        <v>1</v>
      </c>
      <c r="Q163" s="6" t="str">
        <f>IF(COUNTIF(Analysis!$M$2:$M$3001,Analysis!$M2500)&gt;1,"Duplicate","OK")</f>
        <v>OK</v>
      </c>
      <c r="R163" s="6" t="str">
        <f t="shared" si="1"/>
        <v>1600-2600</v>
      </c>
      <c r="S163" s="6">
        <f t="shared" si="2"/>
        <v>11</v>
      </c>
      <c r="T163" s="6" t="str">
        <f t="shared" si="3"/>
        <v>Mid</v>
      </c>
      <c r="BH163" s="14">
        <f>IFERROR(__xludf.DUMMYFUNCTION("""COMPUTED_VALUE"""),307504.0)</f>
        <v>307504</v>
      </c>
      <c r="BI163" s="60" t="str">
        <f>IFERROR(__xludf.DUMMYFUNCTION("""COMPUTED_VALUE"""),"9840 Elm St, San Francisco, FL 27037")</f>
        <v>9840 Elm St, San Francisco, FL 27037</v>
      </c>
      <c r="BJ163" s="60" t="str">
        <f>IFERROR(__xludf.DUMMYFUNCTION("""COMPUTED_VALUE"""),"San Francisco")</f>
        <v>San Francisco</v>
      </c>
      <c r="BK163" s="60">
        <f>IFERROR(__xludf.DUMMYFUNCTION("""COMPUTED_VALUE"""),27037.0)</f>
        <v>27037</v>
      </c>
      <c r="BL163" s="60" t="str">
        <f>IFERROR(__xludf.DUMMYFUNCTION("""COMPUTED_VALUE"""),"FL")</f>
        <v>FL</v>
      </c>
      <c r="BM163" s="60" t="str">
        <f>IFERROR(__xludf.DUMMYFUNCTION("""COMPUTED_VALUE"""),"5 bds")</f>
        <v>5 bds</v>
      </c>
      <c r="BN163" s="60" t="str">
        <f>IFERROR(__xludf.DUMMYFUNCTION("""COMPUTED_VALUE"""),"2 ba")</f>
        <v>2 ba</v>
      </c>
      <c r="BO163" s="60">
        <f>IFERROR(__xludf.DUMMYFUNCTION("""COMPUTED_VALUE"""),661.0)</f>
        <v>661</v>
      </c>
      <c r="BP163" s="60">
        <f>IFERROR(__xludf.DUMMYFUNCTION("""COMPUTED_VALUE"""),3863.0)</f>
        <v>3863</v>
      </c>
      <c r="BQ163" s="60">
        <f>IFERROR(__xludf.DUMMYFUNCTION("""COMPUTED_VALUE"""),2019.0)</f>
        <v>2019</v>
      </c>
      <c r="BR163" s="60">
        <f>IFERROR(__xludf.DUMMYFUNCTION("""COMPUTED_VALUE"""),84.0)</f>
        <v>84</v>
      </c>
      <c r="BS163" s="60" t="str">
        <f>IFERROR(__xludf.DUMMYFUNCTION("""COMPUTED_VALUE"""),"Apartment")</f>
        <v>Apartment</v>
      </c>
      <c r="BT163" s="60" t="str">
        <f>IFERROR(__xludf.DUMMYFUNCTION("""COMPUTED_VALUE"""),"Z533134")</f>
        <v>Z533134</v>
      </c>
      <c r="BU163" s="60" t="str">
        <f>IFERROR(__xludf.DUMMYFUNCTION("""COMPUTED_VALUE"""),"Alex Johnson - Compass")</f>
        <v>Alex Johnson - Compass</v>
      </c>
      <c r="BV163" s="60" t="str">
        <f>IFERROR(__xludf.DUMMYFUNCTION("""COMPUTED_VALUE"""),"Sold")</f>
        <v>Sold</v>
      </c>
      <c r="BW163" s="60">
        <f>IFERROR(__xludf.DUMMYFUNCTION("""COMPUTED_VALUE"""),1.0)</f>
        <v>1</v>
      </c>
      <c r="BX163" s="60" t="str">
        <f>IFERROR(__xludf.DUMMYFUNCTION("""COMPUTED_VALUE"""),"OK")</f>
        <v>OK</v>
      </c>
      <c r="BY163" s="1" t="str">
        <f>IFERROR(__xludf.DUMMYFUNCTION("""COMPUTED_VALUE"""),"600-1600")</f>
        <v>600-1600</v>
      </c>
      <c r="BZ163" s="1">
        <f>IFERROR(__xludf.DUMMYFUNCTION("""COMPUTED_VALUE"""),7.0)</f>
        <v>7</v>
      </c>
      <c r="CA163" s="1" t="str">
        <f>IFERROR(__xludf.DUMMYFUNCTION("""COMPUTED_VALUE"""),"New")</f>
        <v>New</v>
      </c>
    </row>
    <row r="164" ht="14.25" customHeight="1">
      <c r="A164" s="5">
        <v>1400298.0</v>
      </c>
      <c r="B164" s="6" t="s">
        <v>697</v>
      </c>
      <c r="C164" s="6" t="s">
        <v>53</v>
      </c>
      <c r="D164" s="6">
        <v>67845.0</v>
      </c>
      <c r="E164" s="6" t="s">
        <v>77</v>
      </c>
      <c r="F164" s="6" t="s">
        <v>41</v>
      </c>
      <c r="G164" s="6" t="s">
        <v>55</v>
      </c>
      <c r="H164" s="7">
        <v>2943.0</v>
      </c>
      <c r="I164" s="7">
        <v>4739.0</v>
      </c>
      <c r="J164" s="6">
        <v>1975.0</v>
      </c>
      <c r="K164" s="6">
        <v>3.0</v>
      </c>
      <c r="L164" s="6" t="s">
        <v>62</v>
      </c>
      <c r="M164" s="6" t="s">
        <v>698</v>
      </c>
      <c r="N164" s="6" t="s">
        <v>64</v>
      </c>
      <c r="O164" s="6" t="s">
        <v>25</v>
      </c>
      <c r="P164" s="6">
        <f>COUNTIF(Analysis!$M$1:$M$3001,Analysis!$M164)</f>
        <v>1</v>
      </c>
      <c r="Q164" s="6" t="str">
        <f>IF(COUNTIF(Analysis!$M$2:$M$3001,Analysis!$M164)&gt;1,"Duplicate","OK")</f>
        <v>OK</v>
      </c>
      <c r="R164" s="6" t="str">
        <f t="shared" si="1"/>
        <v>2600-3600</v>
      </c>
      <c r="S164" s="6">
        <f t="shared" si="2"/>
        <v>51</v>
      </c>
      <c r="T164" s="6" t="str">
        <f t="shared" si="3"/>
        <v>Old</v>
      </c>
      <c r="BH164" s="14">
        <f>IFERROR(__xludf.DUMMYFUNCTION("""COMPUTED_VALUE"""),409046.0)</f>
        <v>409046</v>
      </c>
      <c r="BI164" s="60" t="str">
        <f>IFERROR(__xludf.DUMMYFUNCTION("""COMPUTED_VALUE"""),"5792 Maple Dr, Los Angeles, NY 10334")</f>
        <v>5792 Maple Dr, Los Angeles, NY 10334</v>
      </c>
      <c r="BJ164" s="60" t="str">
        <f>IFERROR(__xludf.DUMMYFUNCTION("""COMPUTED_VALUE"""),"Los Angeles")</f>
        <v>Los Angeles</v>
      </c>
      <c r="BK164" s="60">
        <f>IFERROR(__xludf.DUMMYFUNCTION("""COMPUTED_VALUE"""),10334.0)</f>
        <v>10334</v>
      </c>
      <c r="BL164" s="60" t="str">
        <f>IFERROR(__xludf.DUMMYFUNCTION("""COMPUTED_VALUE"""),"NY")</f>
        <v>NY</v>
      </c>
      <c r="BM164" s="60" t="str">
        <f>IFERROR(__xludf.DUMMYFUNCTION("""COMPUTED_VALUE"""),"2 bds")</f>
        <v>2 bds</v>
      </c>
      <c r="BN164" s="60" t="str">
        <f>IFERROR(__xludf.DUMMYFUNCTION("""COMPUTED_VALUE"""),"2 ba")</f>
        <v>2 ba</v>
      </c>
      <c r="BO164" s="60">
        <f>IFERROR(__xludf.DUMMYFUNCTION("""COMPUTED_VALUE"""),1655.0)</f>
        <v>1655</v>
      </c>
      <c r="BP164" s="60">
        <f>IFERROR(__xludf.DUMMYFUNCTION("""COMPUTED_VALUE"""),8013.0)</f>
        <v>8013</v>
      </c>
      <c r="BQ164" s="60">
        <f>IFERROR(__xludf.DUMMYFUNCTION("""COMPUTED_VALUE"""),1995.0)</f>
        <v>1995</v>
      </c>
      <c r="BR164" s="60">
        <f>IFERROR(__xludf.DUMMYFUNCTION("""COMPUTED_VALUE"""),92.0)</f>
        <v>92</v>
      </c>
      <c r="BS164" s="60" t="str">
        <f>IFERROR(__xludf.DUMMYFUNCTION("""COMPUTED_VALUE"""),"Condo")</f>
        <v>Condo</v>
      </c>
      <c r="BT164" s="60" t="str">
        <f>IFERROR(__xludf.DUMMYFUNCTION("""COMPUTED_VALUE"""),"Z868857")</f>
        <v>Z868857</v>
      </c>
      <c r="BU164" s="60" t="str">
        <f>IFERROR(__xludf.DUMMYFUNCTION("""COMPUTED_VALUE"""),"Alex Johnson - Compass")</f>
        <v>Alex Johnson - Compass</v>
      </c>
      <c r="BV164" s="60" t="str">
        <f>IFERROR(__xludf.DUMMYFUNCTION("""COMPUTED_VALUE"""),"Sold")</f>
        <v>Sold</v>
      </c>
      <c r="BW164" s="60">
        <f>IFERROR(__xludf.DUMMYFUNCTION("""COMPUTED_VALUE"""),1.0)</f>
        <v>1</v>
      </c>
      <c r="BX164" s="60" t="str">
        <f>IFERROR(__xludf.DUMMYFUNCTION("""COMPUTED_VALUE"""),"OK")</f>
        <v>OK</v>
      </c>
      <c r="BY164" s="1" t="str">
        <f>IFERROR(__xludf.DUMMYFUNCTION("""COMPUTED_VALUE"""),"1600-2600")</f>
        <v>1600-2600</v>
      </c>
      <c r="BZ164" s="1">
        <f>IFERROR(__xludf.DUMMYFUNCTION("""COMPUTED_VALUE"""),31.0)</f>
        <v>31</v>
      </c>
      <c r="CA164" s="1" t="str">
        <f>IFERROR(__xludf.DUMMYFUNCTION("""COMPUTED_VALUE"""),"Old")</f>
        <v>Old</v>
      </c>
    </row>
    <row r="165" ht="14.25" customHeight="1">
      <c r="A165" s="5">
        <v>633891.0</v>
      </c>
      <c r="B165" s="6" t="s">
        <v>701</v>
      </c>
      <c r="C165" s="6" t="s">
        <v>76</v>
      </c>
      <c r="D165" s="6">
        <v>21343.0</v>
      </c>
      <c r="E165" s="6" t="s">
        <v>60</v>
      </c>
      <c r="F165" s="6" t="s">
        <v>94</v>
      </c>
      <c r="G165" s="6" t="s">
        <v>100</v>
      </c>
      <c r="H165" s="7">
        <v>3481.0</v>
      </c>
      <c r="I165" s="7">
        <v>8346.0</v>
      </c>
      <c r="J165" s="6">
        <v>1967.0</v>
      </c>
      <c r="K165" s="6">
        <v>14.0</v>
      </c>
      <c r="L165" s="6" t="s">
        <v>22</v>
      </c>
      <c r="M165" s="6" t="s">
        <v>702</v>
      </c>
      <c r="N165" s="6" t="s">
        <v>24</v>
      </c>
      <c r="O165" s="6" t="s">
        <v>35</v>
      </c>
      <c r="P165" s="6">
        <f>COUNTIF(Analysis!$M$1:$M$3001,Analysis!$M165)</f>
        <v>1</v>
      </c>
      <c r="Q165" s="6" t="str">
        <f>IF(COUNTIF(Analysis!$M$2:$M$3001,Analysis!$M165)&gt;1,"Duplicate","OK")</f>
        <v>OK</v>
      </c>
      <c r="R165" s="6" t="str">
        <f t="shared" si="1"/>
        <v>2600-3600</v>
      </c>
      <c r="S165" s="6">
        <f t="shared" si="2"/>
        <v>59</v>
      </c>
      <c r="T165" s="6" t="str">
        <f t="shared" si="3"/>
        <v>Old</v>
      </c>
      <c r="BH165" s="14">
        <f>IFERROR(__xludf.DUMMYFUNCTION("""COMPUTED_VALUE"""),1031274.0)</f>
        <v>1031274</v>
      </c>
      <c r="BI165" s="60" t="str">
        <f>IFERROR(__xludf.DUMMYFUNCTION("""COMPUTED_VALUE"""),"5319 Elm St, Fresno, TX 48351")</f>
        <v>5319 Elm St, Fresno, TX 48351</v>
      </c>
      <c r="BJ165" s="60" t="str">
        <f>IFERROR(__xludf.DUMMYFUNCTION("""COMPUTED_VALUE"""),"Fresno")</f>
        <v>Fresno</v>
      </c>
      <c r="BK165" s="60">
        <f>IFERROR(__xludf.DUMMYFUNCTION("""COMPUTED_VALUE"""),48351.0)</f>
        <v>48351</v>
      </c>
      <c r="BL165" s="60" t="str">
        <f>IFERROR(__xludf.DUMMYFUNCTION("""COMPUTED_VALUE"""),"TX")</f>
        <v>TX</v>
      </c>
      <c r="BM165" s="60" t="str">
        <f>IFERROR(__xludf.DUMMYFUNCTION("""COMPUTED_VALUE"""),"3 bds")</f>
        <v>3 bds</v>
      </c>
      <c r="BN165" s="60" t="str">
        <f>IFERROR(__xludf.DUMMYFUNCTION("""COMPUTED_VALUE"""),"2 ba")</f>
        <v>2 ba</v>
      </c>
      <c r="BO165" s="60">
        <f>IFERROR(__xludf.DUMMYFUNCTION("""COMPUTED_VALUE"""),799.0)</f>
        <v>799</v>
      </c>
      <c r="BP165" s="60">
        <f>IFERROR(__xludf.DUMMYFUNCTION("""COMPUTED_VALUE"""),8672.0)</f>
        <v>8672</v>
      </c>
      <c r="BQ165" s="60">
        <f>IFERROR(__xludf.DUMMYFUNCTION("""COMPUTED_VALUE"""),1973.0)</f>
        <v>1973</v>
      </c>
      <c r="BR165" s="60">
        <f>IFERROR(__xludf.DUMMYFUNCTION("""COMPUTED_VALUE"""),79.0)</f>
        <v>79</v>
      </c>
      <c r="BS165" s="60" t="str">
        <f>IFERROR(__xludf.DUMMYFUNCTION("""COMPUTED_VALUE"""),"Condo")</f>
        <v>Condo</v>
      </c>
      <c r="BT165" s="60" t="str">
        <f>IFERROR(__xludf.DUMMYFUNCTION("""COMPUTED_VALUE"""),"Z506752")</f>
        <v>Z506752</v>
      </c>
      <c r="BU165" s="60" t="str">
        <f>IFERROR(__xludf.DUMMYFUNCTION("""COMPUTED_VALUE"""),"Alex Johnson - Compass")</f>
        <v>Alex Johnson - Compass</v>
      </c>
      <c r="BV165" s="60" t="str">
        <f>IFERROR(__xludf.DUMMYFUNCTION("""COMPUTED_VALUE"""),"Sold")</f>
        <v>Sold</v>
      </c>
      <c r="BW165" s="60">
        <f>IFERROR(__xludf.DUMMYFUNCTION("""COMPUTED_VALUE"""),1.0)</f>
        <v>1</v>
      </c>
      <c r="BX165" s="60" t="str">
        <f>IFERROR(__xludf.DUMMYFUNCTION("""COMPUTED_VALUE"""),"OK")</f>
        <v>OK</v>
      </c>
      <c r="BY165" s="1" t="str">
        <f>IFERROR(__xludf.DUMMYFUNCTION("""COMPUTED_VALUE"""),"600-1600")</f>
        <v>600-1600</v>
      </c>
      <c r="BZ165" s="1">
        <f>IFERROR(__xludf.DUMMYFUNCTION("""COMPUTED_VALUE"""),53.0)</f>
        <v>53</v>
      </c>
      <c r="CA165" s="1" t="str">
        <f>IFERROR(__xludf.DUMMYFUNCTION("""COMPUTED_VALUE"""),"Old")</f>
        <v>Old</v>
      </c>
    </row>
    <row r="166" ht="14.25" customHeight="1">
      <c r="A166" s="5">
        <v>365175.0</v>
      </c>
      <c r="B166" s="6" t="s">
        <v>705</v>
      </c>
      <c r="C166" s="6" t="s">
        <v>76</v>
      </c>
      <c r="D166" s="6">
        <v>20858.0</v>
      </c>
      <c r="E166" s="6" t="s">
        <v>19</v>
      </c>
      <c r="F166" s="6" t="s">
        <v>20</v>
      </c>
      <c r="G166" s="6" t="s">
        <v>55</v>
      </c>
      <c r="H166" s="7">
        <v>3651.0</v>
      </c>
      <c r="I166" s="7">
        <v>7482.0</v>
      </c>
      <c r="J166" s="6">
        <v>1954.0</v>
      </c>
      <c r="K166" s="6">
        <v>18.0</v>
      </c>
      <c r="L166" s="6" t="s">
        <v>62</v>
      </c>
      <c r="M166" s="6" t="s">
        <v>706</v>
      </c>
      <c r="N166" s="6" t="s">
        <v>24</v>
      </c>
      <c r="O166" s="6" t="s">
        <v>25</v>
      </c>
      <c r="P166" s="6">
        <f>COUNTIF(Analysis!$M$1:$M$3001,Analysis!$M166)</f>
        <v>1</v>
      </c>
      <c r="Q166" s="6" t="str">
        <f>IF(COUNTIF(Analysis!$M$2:$M$3001,Analysis!$M166)&gt;1,"Duplicate","OK")</f>
        <v>OK</v>
      </c>
      <c r="R166" s="6" t="str">
        <f t="shared" si="1"/>
        <v>3600+</v>
      </c>
      <c r="S166" s="6">
        <f t="shared" si="2"/>
        <v>72</v>
      </c>
      <c r="T166" s="6" t="str">
        <f t="shared" si="3"/>
        <v>Very Old</v>
      </c>
      <c r="BH166" s="14">
        <f>IFERROR(__xludf.DUMMYFUNCTION("""COMPUTED_VALUE"""),469613.0)</f>
        <v>469613</v>
      </c>
      <c r="BI166" s="60" t="str">
        <f>IFERROR(__xludf.DUMMYFUNCTION("""COMPUTED_VALUE"""),"2149 Maple Dr, San Diego, FL 35455")</f>
        <v>2149 Maple Dr, San Diego, FL 35455</v>
      </c>
      <c r="BJ166" s="60" t="str">
        <f>IFERROR(__xludf.DUMMYFUNCTION("""COMPUTED_VALUE"""),"San Diego")</f>
        <v>San Diego</v>
      </c>
      <c r="BK166" s="60">
        <f>IFERROR(__xludf.DUMMYFUNCTION("""COMPUTED_VALUE"""),35455.0)</f>
        <v>35455</v>
      </c>
      <c r="BL166" s="60" t="str">
        <f>IFERROR(__xludf.DUMMYFUNCTION("""COMPUTED_VALUE"""),"FL")</f>
        <v>FL</v>
      </c>
      <c r="BM166" s="60" t="str">
        <f>IFERROR(__xludf.DUMMYFUNCTION("""COMPUTED_VALUE"""),"6 bds")</f>
        <v>6 bds</v>
      </c>
      <c r="BN166" s="60" t="str">
        <f>IFERROR(__xludf.DUMMYFUNCTION("""COMPUTED_VALUE"""),"4 ba")</f>
        <v>4 ba</v>
      </c>
      <c r="BO166" s="60">
        <f>IFERROR(__xludf.DUMMYFUNCTION("""COMPUTED_VALUE"""),1299.0)</f>
        <v>1299</v>
      </c>
      <c r="BP166" s="60">
        <f>IFERROR(__xludf.DUMMYFUNCTION("""COMPUTED_VALUE"""),5533.0)</f>
        <v>5533</v>
      </c>
      <c r="BQ166" s="60">
        <f>IFERROR(__xludf.DUMMYFUNCTION("""COMPUTED_VALUE"""),2009.0)</f>
        <v>2009</v>
      </c>
      <c r="BR166" s="60">
        <f>IFERROR(__xludf.DUMMYFUNCTION("""COMPUTED_VALUE"""),84.0)</f>
        <v>84</v>
      </c>
      <c r="BS166" s="60" t="str">
        <f>IFERROR(__xludf.DUMMYFUNCTION("""COMPUTED_VALUE"""),"Condo")</f>
        <v>Condo</v>
      </c>
      <c r="BT166" s="60" t="str">
        <f>IFERROR(__xludf.DUMMYFUNCTION("""COMPUTED_VALUE"""),"Z855827")</f>
        <v>Z855827</v>
      </c>
      <c r="BU166" s="60" t="str">
        <f>IFERROR(__xludf.DUMMYFUNCTION("""COMPUTED_VALUE"""),"Alex Johnson - Compass")</f>
        <v>Alex Johnson - Compass</v>
      </c>
      <c r="BV166" s="60" t="str">
        <f>IFERROR(__xludf.DUMMYFUNCTION("""COMPUTED_VALUE"""),"Sold")</f>
        <v>Sold</v>
      </c>
      <c r="BW166" s="60">
        <f>IFERROR(__xludf.DUMMYFUNCTION("""COMPUTED_VALUE"""),1.0)</f>
        <v>1</v>
      </c>
      <c r="BX166" s="60" t="str">
        <f>IFERROR(__xludf.DUMMYFUNCTION("""COMPUTED_VALUE"""),"OK")</f>
        <v>OK</v>
      </c>
      <c r="BY166" s="1" t="str">
        <f>IFERROR(__xludf.DUMMYFUNCTION("""COMPUTED_VALUE"""),"600-1600")</f>
        <v>600-1600</v>
      </c>
      <c r="BZ166" s="1">
        <f>IFERROR(__xludf.DUMMYFUNCTION("""COMPUTED_VALUE"""),17.0)</f>
        <v>17</v>
      </c>
      <c r="CA166" s="1" t="str">
        <f>IFERROR(__xludf.DUMMYFUNCTION("""COMPUTED_VALUE"""),"Mid")</f>
        <v>Mid</v>
      </c>
    </row>
    <row r="167" ht="14.25" customHeight="1">
      <c r="A167" s="5">
        <v>1137506.0</v>
      </c>
      <c r="B167" s="6" t="s">
        <v>709</v>
      </c>
      <c r="C167" s="6" t="s">
        <v>39</v>
      </c>
      <c r="D167" s="6">
        <v>98816.0</v>
      </c>
      <c r="E167" s="6" t="s">
        <v>19</v>
      </c>
      <c r="F167" s="6" t="s">
        <v>46</v>
      </c>
      <c r="G167" s="6" t="s">
        <v>31</v>
      </c>
      <c r="H167" s="7">
        <v>1385.0</v>
      </c>
      <c r="I167" s="7">
        <v>3062.0</v>
      </c>
      <c r="J167" s="6">
        <v>2009.0</v>
      </c>
      <c r="K167" s="6">
        <v>42.0</v>
      </c>
      <c r="L167" s="6" t="s">
        <v>141</v>
      </c>
      <c r="M167" s="6" t="s">
        <v>710</v>
      </c>
      <c r="N167" s="6" t="s">
        <v>64</v>
      </c>
      <c r="O167" s="6" t="s">
        <v>25</v>
      </c>
      <c r="P167" s="6">
        <f>COUNTIF(Analysis!$M$1:$M$3001,Analysis!$M167)</f>
        <v>1</v>
      </c>
      <c r="Q167" s="6" t="str">
        <f>IF(COUNTIF(Analysis!$M$2:$M$3001,Analysis!$M167)&gt;1,"Duplicate","OK")</f>
        <v>OK</v>
      </c>
      <c r="R167" s="6" t="str">
        <f t="shared" si="1"/>
        <v>600-1600</v>
      </c>
      <c r="S167" s="6">
        <f t="shared" si="2"/>
        <v>17</v>
      </c>
      <c r="T167" s="6" t="str">
        <f t="shared" si="3"/>
        <v>Mid</v>
      </c>
      <c r="BH167" s="14">
        <f>IFERROR(__xludf.DUMMYFUNCTION("""COMPUTED_VALUE"""),190609.0)</f>
        <v>190609</v>
      </c>
      <c r="BI167" s="60" t="str">
        <f>IFERROR(__xludf.DUMMYFUNCTION("""COMPUTED_VALUE"""),"3173 Main St, San Francisco, NY 93066")</f>
        <v>3173 Main St, San Francisco, NY 93066</v>
      </c>
      <c r="BJ167" s="60" t="str">
        <f>IFERROR(__xludf.DUMMYFUNCTION("""COMPUTED_VALUE"""),"San Francisco")</f>
        <v>San Francisco</v>
      </c>
      <c r="BK167" s="60">
        <f>IFERROR(__xludf.DUMMYFUNCTION("""COMPUTED_VALUE"""),93066.0)</f>
        <v>93066</v>
      </c>
      <c r="BL167" s="60" t="str">
        <f>IFERROR(__xludf.DUMMYFUNCTION("""COMPUTED_VALUE"""),"NY")</f>
        <v>NY</v>
      </c>
      <c r="BM167" s="60" t="str">
        <f>IFERROR(__xludf.DUMMYFUNCTION("""COMPUTED_VALUE"""),"6 bds")</f>
        <v>6 bds</v>
      </c>
      <c r="BN167" s="60" t="str">
        <f>IFERROR(__xludf.DUMMYFUNCTION("""COMPUTED_VALUE"""),"3 ba")</f>
        <v>3 ba</v>
      </c>
      <c r="BO167" s="60">
        <f>IFERROR(__xludf.DUMMYFUNCTION("""COMPUTED_VALUE"""),3228.0)</f>
        <v>3228</v>
      </c>
      <c r="BP167" s="60">
        <f>IFERROR(__xludf.DUMMYFUNCTION("""COMPUTED_VALUE"""),9175.0)</f>
        <v>9175</v>
      </c>
      <c r="BQ167" s="60">
        <f>IFERROR(__xludf.DUMMYFUNCTION("""COMPUTED_VALUE"""),2004.0)</f>
        <v>2004</v>
      </c>
      <c r="BR167" s="60">
        <f>IFERROR(__xludf.DUMMYFUNCTION("""COMPUTED_VALUE"""),13.0)</f>
        <v>13</v>
      </c>
      <c r="BS167" s="60" t="str">
        <f>IFERROR(__xludf.DUMMYFUNCTION("""COMPUTED_VALUE"""),"Single Family")</f>
        <v>Single Family</v>
      </c>
      <c r="BT167" s="60" t="str">
        <f>IFERROR(__xludf.DUMMYFUNCTION("""COMPUTED_VALUE"""),"Z565678")</f>
        <v>Z565678</v>
      </c>
      <c r="BU167" s="60" t="str">
        <f>IFERROR(__xludf.DUMMYFUNCTION("""COMPUTED_VALUE"""),"Alex Johnson - Compass")</f>
        <v>Alex Johnson - Compass</v>
      </c>
      <c r="BV167" s="60" t="str">
        <f>IFERROR(__xludf.DUMMYFUNCTION("""COMPUTED_VALUE"""),"Sold")</f>
        <v>Sold</v>
      </c>
      <c r="BW167" s="60">
        <f>IFERROR(__xludf.DUMMYFUNCTION("""COMPUTED_VALUE"""),1.0)</f>
        <v>1</v>
      </c>
      <c r="BX167" s="60" t="str">
        <f>IFERROR(__xludf.DUMMYFUNCTION("""COMPUTED_VALUE"""),"OK")</f>
        <v>OK</v>
      </c>
      <c r="BY167" s="1" t="str">
        <f>IFERROR(__xludf.DUMMYFUNCTION("""COMPUTED_VALUE"""),"2600-3600")</f>
        <v>2600-3600</v>
      </c>
      <c r="BZ167" s="1">
        <f>IFERROR(__xludf.DUMMYFUNCTION("""COMPUTED_VALUE"""),22.0)</f>
        <v>22</v>
      </c>
      <c r="CA167" s="1" t="str">
        <f>IFERROR(__xludf.DUMMYFUNCTION("""COMPUTED_VALUE"""),"Mid")</f>
        <v>Mid</v>
      </c>
    </row>
    <row r="168" ht="14.25" customHeight="1">
      <c r="A168" s="5">
        <v>188207.0</v>
      </c>
      <c r="B168" s="6" t="s">
        <v>5023</v>
      </c>
      <c r="C168" s="6" t="s">
        <v>29</v>
      </c>
      <c r="D168" s="6">
        <v>64747.0</v>
      </c>
      <c r="E168" s="6" t="s">
        <v>30</v>
      </c>
      <c r="F168" s="6" t="s">
        <v>46</v>
      </c>
      <c r="G168" s="6" t="s">
        <v>21</v>
      </c>
      <c r="H168" s="7">
        <v>2347.0</v>
      </c>
      <c r="I168" s="7">
        <v>8668.0</v>
      </c>
      <c r="J168" s="6">
        <v>1963.0</v>
      </c>
      <c r="K168" s="6">
        <v>28.0</v>
      </c>
      <c r="L168" s="6" t="s">
        <v>32</v>
      </c>
      <c r="M168" s="6" t="s">
        <v>5024</v>
      </c>
      <c r="N168" s="6" t="s">
        <v>24</v>
      </c>
      <c r="O168" s="6" t="s">
        <v>25</v>
      </c>
      <c r="P168" s="6">
        <f>COUNTIF(Analysis!$M$1:$M$3001,Analysis!$M1246)</f>
        <v>1</v>
      </c>
      <c r="Q168" s="6" t="str">
        <f>IF(COUNTIF(Analysis!$M$2:$M$3001,Analysis!$M1246)&gt;1,"Duplicate","OK")</f>
        <v>OK</v>
      </c>
      <c r="R168" s="6" t="str">
        <f t="shared" si="1"/>
        <v>1600-2600</v>
      </c>
      <c r="S168" s="6">
        <f t="shared" si="2"/>
        <v>63</v>
      </c>
      <c r="T168" s="6" t="str">
        <f t="shared" si="3"/>
        <v>Very Old</v>
      </c>
      <c r="BH168" s="14">
        <f>IFERROR(__xludf.DUMMYFUNCTION("""COMPUTED_VALUE"""),876517.0)</f>
        <v>876517</v>
      </c>
      <c r="BI168" s="60" t="str">
        <f>IFERROR(__xludf.DUMMYFUNCTION("""COMPUTED_VALUE"""),"3992 Main St, Sacramento, NY 81929")</f>
        <v>3992 Main St, Sacramento, NY 81929</v>
      </c>
      <c r="BJ168" s="60" t="str">
        <f>IFERROR(__xludf.DUMMYFUNCTION("""COMPUTED_VALUE"""),"Sacramento")</f>
        <v>Sacramento</v>
      </c>
      <c r="BK168" s="60">
        <f>IFERROR(__xludf.DUMMYFUNCTION("""COMPUTED_VALUE"""),81929.0)</f>
        <v>81929</v>
      </c>
      <c r="BL168" s="60" t="str">
        <f>IFERROR(__xludf.DUMMYFUNCTION("""COMPUTED_VALUE"""),"NY")</f>
        <v>NY</v>
      </c>
      <c r="BM168" s="60" t="str">
        <f>IFERROR(__xludf.DUMMYFUNCTION("""COMPUTED_VALUE"""),"6 bds")</f>
        <v>6 bds</v>
      </c>
      <c r="BN168" s="60" t="str">
        <f>IFERROR(__xludf.DUMMYFUNCTION("""COMPUTED_VALUE"""),"2 ba")</f>
        <v>2 ba</v>
      </c>
      <c r="BO168" s="60">
        <f>IFERROR(__xludf.DUMMYFUNCTION("""COMPUTED_VALUE"""),3789.0)</f>
        <v>3789</v>
      </c>
      <c r="BP168" s="60">
        <f>IFERROR(__xludf.DUMMYFUNCTION("""COMPUTED_VALUE"""),3783.0)</f>
        <v>3783</v>
      </c>
      <c r="BQ168" s="60">
        <f>IFERROR(__xludf.DUMMYFUNCTION("""COMPUTED_VALUE"""),1977.0)</f>
        <v>1977</v>
      </c>
      <c r="BR168" s="60">
        <f>IFERROR(__xludf.DUMMYFUNCTION("""COMPUTED_VALUE"""),54.0)</f>
        <v>54</v>
      </c>
      <c r="BS168" s="60" t="str">
        <f>IFERROR(__xludf.DUMMYFUNCTION("""COMPUTED_VALUE"""),"Condo")</f>
        <v>Condo</v>
      </c>
      <c r="BT168" s="60" t="str">
        <f>IFERROR(__xludf.DUMMYFUNCTION("""COMPUTED_VALUE"""),"Z350146")</f>
        <v>Z350146</v>
      </c>
      <c r="BU168" s="60" t="str">
        <f>IFERROR(__xludf.DUMMYFUNCTION("""COMPUTED_VALUE"""),"Alex Johnson - Compass")</f>
        <v>Alex Johnson - Compass</v>
      </c>
      <c r="BV168" s="60" t="str">
        <f>IFERROR(__xludf.DUMMYFUNCTION("""COMPUTED_VALUE"""),"Sold")</f>
        <v>Sold</v>
      </c>
      <c r="BW168" s="60">
        <f>IFERROR(__xludf.DUMMYFUNCTION("""COMPUTED_VALUE"""),1.0)</f>
        <v>1</v>
      </c>
      <c r="BX168" s="60" t="str">
        <f>IFERROR(__xludf.DUMMYFUNCTION("""COMPUTED_VALUE"""),"OK")</f>
        <v>OK</v>
      </c>
      <c r="BY168" s="1" t="str">
        <f>IFERROR(__xludf.DUMMYFUNCTION("""COMPUTED_VALUE"""),"3600+")</f>
        <v>3600+</v>
      </c>
      <c r="BZ168" s="1">
        <f>IFERROR(__xludf.DUMMYFUNCTION("""COMPUTED_VALUE"""),49.0)</f>
        <v>49</v>
      </c>
      <c r="CA168" s="1" t="str">
        <f>IFERROR(__xludf.DUMMYFUNCTION("""COMPUTED_VALUE"""),"Old")</f>
        <v>Old</v>
      </c>
    </row>
    <row r="169" ht="14.25" customHeight="1">
      <c r="A169" s="5">
        <v>189267.0</v>
      </c>
      <c r="B169" s="6" t="s">
        <v>45</v>
      </c>
      <c r="C169" s="6" t="s">
        <v>29</v>
      </c>
      <c r="D169" s="6">
        <v>38666.0</v>
      </c>
      <c r="E169" s="6" t="s">
        <v>40</v>
      </c>
      <c r="F169" s="6" t="s">
        <v>46</v>
      </c>
      <c r="G169" s="6" t="s">
        <v>31</v>
      </c>
      <c r="H169" s="7">
        <v>605.0</v>
      </c>
      <c r="I169" s="7">
        <v>8804.0</v>
      </c>
      <c r="J169" s="6">
        <v>1958.0</v>
      </c>
      <c r="K169" s="6">
        <v>119.0</v>
      </c>
      <c r="L169" s="6" t="s">
        <v>32</v>
      </c>
      <c r="M169" s="6" t="s">
        <v>47</v>
      </c>
      <c r="N169" s="6" t="s">
        <v>48</v>
      </c>
      <c r="O169" s="6" t="s">
        <v>49</v>
      </c>
      <c r="P169" s="6">
        <f>COUNTIF(Analysis!$M$1:$M$3001,Analysis!$M5)</f>
        <v>1</v>
      </c>
      <c r="Q169" s="6" t="str">
        <f>IF(COUNTIF(Analysis!$M$2:$M$3001,Analysis!$M5)&gt;1,"Duplicate","OK")</f>
        <v>OK</v>
      </c>
      <c r="R169" s="6" t="str">
        <f t="shared" si="1"/>
        <v>600-1600</v>
      </c>
      <c r="S169" s="6">
        <f t="shared" si="2"/>
        <v>68</v>
      </c>
      <c r="T169" s="6" t="str">
        <f t="shared" si="3"/>
        <v>Very Old</v>
      </c>
      <c r="BH169" s="14">
        <f>IFERROR(__xludf.DUMMYFUNCTION("""COMPUTED_VALUE"""),1291690.0)</f>
        <v>1291690</v>
      </c>
      <c r="BI169" s="60" t="str">
        <f>IFERROR(__xludf.DUMMYFUNCTION("""COMPUTED_VALUE"""),"693 Oak Ave, San Diego, FL 19349")</f>
        <v>693 Oak Ave, San Diego, FL 19349</v>
      </c>
      <c r="BJ169" s="60" t="str">
        <f>IFERROR(__xludf.DUMMYFUNCTION("""COMPUTED_VALUE"""),"San Diego")</f>
        <v>San Diego</v>
      </c>
      <c r="BK169" s="60">
        <f>IFERROR(__xludf.DUMMYFUNCTION("""COMPUTED_VALUE"""),19349.0)</f>
        <v>19349</v>
      </c>
      <c r="BL169" s="60" t="str">
        <f>IFERROR(__xludf.DUMMYFUNCTION("""COMPUTED_VALUE"""),"FL")</f>
        <v>FL</v>
      </c>
      <c r="BM169" s="60" t="str">
        <f>IFERROR(__xludf.DUMMYFUNCTION("""COMPUTED_VALUE"""),"6 bds")</f>
        <v>6 bds</v>
      </c>
      <c r="BN169" s="60" t="str">
        <f>IFERROR(__xludf.DUMMYFUNCTION("""COMPUTED_VALUE"""),"4 ba")</f>
        <v>4 ba</v>
      </c>
      <c r="BO169" s="60">
        <f>IFERROR(__xludf.DUMMYFUNCTION("""COMPUTED_VALUE"""),1351.0)</f>
        <v>1351</v>
      </c>
      <c r="BP169" s="60">
        <f>IFERROR(__xludf.DUMMYFUNCTION("""COMPUTED_VALUE"""),5582.0)</f>
        <v>5582</v>
      </c>
      <c r="BQ169" s="60">
        <f>IFERROR(__xludf.DUMMYFUNCTION("""COMPUTED_VALUE"""),1961.0)</f>
        <v>1961</v>
      </c>
      <c r="BR169" s="60">
        <f>IFERROR(__xludf.DUMMYFUNCTION("""COMPUTED_VALUE"""),88.0)</f>
        <v>88</v>
      </c>
      <c r="BS169" s="60" t="str">
        <f>IFERROR(__xludf.DUMMYFUNCTION("""COMPUTED_VALUE"""),"Condo")</f>
        <v>Condo</v>
      </c>
      <c r="BT169" s="60" t="str">
        <f>IFERROR(__xludf.DUMMYFUNCTION("""COMPUTED_VALUE"""),"Z580024")</f>
        <v>Z580024</v>
      </c>
      <c r="BU169" s="60" t="str">
        <f>IFERROR(__xludf.DUMMYFUNCTION("""COMPUTED_VALUE"""),"Alex Johnson - Compass")</f>
        <v>Alex Johnson - Compass</v>
      </c>
      <c r="BV169" s="60" t="str">
        <f>IFERROR(__xludf.DUMMYFUNCTION("""COMPUTED_VALUE"""),"Sold")</f>
        <v>Sold</v>
      </c>
      <c r="BW169" s="60">
        <f>IFERROR(__xludf.DUMMYFUNCTION("""COMPUTED_VALUE"""),1.0)</f>
        <v>1</v>
      </c>
      <c r="BX169" s="60" t="str">
        <f>IFERROR(__xludf.DUMMYFUNCTION("""COMPUTED_VALUE"""),"OK")</f>
        <v>OK</v>
      </c>
      <c r="BY169" s="1" t="str">
        <f>IFERROR(__xludf.DUMMYFUNCTION("""COMPUTED_VALUE"""),"600-1600")</f>
        <v>600-1600</v>
      </c>
      <c r="BZ169" s="1">
        <f>IFERROR(__xludf.DUMMYFUNCTION("""COMPUTED_VALUE"""),65.0)</f>
        <v>65</v>
      </c>
      <c r="CA169" s="1" t="str">
        <f>IFERROR(__xludf.DUMMYFUNCTION("""COMPUTED_VALUE"""),"Very Old")</f>
        <v>Very Old</v>
      </c>
    </row>
    <row r="170" ht="14.25" customHeight="1">
      <c r="A170" s="5">
        <v>321323.0</v>
      </c>
      <c r="B170" s="6" t="s">
        <v>721</v>
      </c>
      <c r="C170" s="6" t="s">
        <v>76</v>
      </c>
      <c r="D170" s="6">
        <v>15409.0</v>
      </c>
      <c r="E170" s="6" t="s">
        <v>30</v>
      </c>
      <c r="F170" s="6" t="s">
        <v>41</v>
      </c>
      <c r="G170" s="6" t="s">
        <v>31</v>
      </c>
      <c r="H170" s="7">
        <v>1053.0</v>
      </c>
      <c r="I170" s="7">
        <v>7863.0</v>
      </c>
      <c r="J170" s="6">
        <v>2012.0</v>
      </c>
      <c r="K170" s="6">
        <v>30.0</v>
      </c>
      <c r="L170" s="6" t="s">
        <v>95</v>
      </c>
      <c r="M170" s="6" t="s">
        <v>722</v>
      </c>
      <c r="N170" s="6" t="s">
        <v>43</v>
      </c>
      <c r="O170" s="6" t="s">
        <v>35</v>
      </c>
      <c r="P170" s="6">
        <f>COUNTIF(Analysis!$M$1:$M$3001,Analysis!$M170)</f>
        <v>1</v>
      </c>
      <c r="Q170" s="6" t="str">
        <f>IF(COUNTIF(Analysis!$M$2:$M$3001,Analysis!$M170)&gt;1,"Duplicate","OK")</f>
        <v>OK</v>
      </c>
      <c r="R170" s="6" t="str">
        <f t="shared" si="1"/>
        <v>600-1600</v>
      </c>
      <c r="S170" s="6">
        <f t="shared" si="2"/>
        <v>14</v>
      </c>
      <c r="T170" s="6" t="str">
        <f t="shared" si="3"/>
        <v>Mid</v>
      </c>
      <c r="BH170" s="14">
        <f>IFERROR(__xludf.DUMMYFUNCTION("""COMPUTED_VALUE"""),1065109.0)</f>
        <v>1065109</v>
      </c>
      <c r="BI170" s="60" t="str">
        <f>IFERROR(__xludf.DUMMYFUNCTION("""COMPUTED_VALUE"""),"9117 Main St, Fresno, CA 90049")</f>
        <v>9117 Main St, Fresno, CA 90049</v>
      </c>
      <c r="BJ170" s="60" t="str">
        <f>IFERROR(__xludf.DUMMYFUNCTION("""COMPUTED_VALUE"""),"Fresno")</f>
        <v>Fresno</v>
      </c>
      <c r="BK170" s="60">
        <f>IFERROR(__xludf.DUMMYFUNCTION("""COMPUTED_VALUE"""),90049.0)</f>
        <v>90049</v>
      </c>
      <c r="BL170" s="60" t="str">
        <f>IFERROR(__xludf.DUMMYFUNCTION("""COMPUTED_VALUE"""),"CA")</f>
        <v>CA</v>
      </c>
      <c r="BM170" s="60" t="str">
        <f>IFERROR(__xludf.DUMMYFUNCTION("""COMPUTED_VALUE"""),"4 bds")</f>
        <v>4 bds</v>
      </c>
      <c r="BN170" s="60" t="str">
        <f>IFERROR(__xludf.DUMMYFUNCTION("""COMPUTED_VALUE"""),"1 ba")</f>
        <v>1 ba</v>
      </c>
      <c r="BO170" s="60">
        <f>IFERROR(__xludf.DUMMYFUNCTION("""COMPUTED_VALUE"""),3972.0)</f>
        <v>3972</v>
      </c>
      <c r="BP170" s="60">
        <f>IFERROR(__xludf.DUMMYFUNCTION("""COMPUTED_VALUE"""),5149.0)</f>
        <v>5149</v>
      </c>
      <c r="BQ170" s="60">
        <f>IFERROR(__xludf.DUMMYFUNCTION("""COMPUTED_VALUE"""),1977.0)</f>
        <v>1977</v>
      </c>
      <c r="BR170" s="60">
        <f>IFERROR(__xludf.DUMMYFUNCTION("""COMPUTED_VALUE"""),58.0)</f>
        <v>58</v>
      </c>
      <c r="BS170" s="60" t="str">
        <f>IFERROR(__xludf.DUMMYFUNCTION("""COMPUTED_VALUE"""),"Single Family")</f>
        <v>Single Family</v>
      </c>
      <c r="BT170" s="60" t="str">
        <f>IFERROR(__xludf.DUMMYFUNCTION("""COMPUTED_VALUE"""),"Z361235")</f>
        <v>Z361235</v>
      </c>
      <c r="BU170" s="60" t="str">
        <f>IFERROR(__xludf.DUMMYFUNCTION("""COMPUTED_VALUE"""),"Alex Johnson - Compass")</f>
        <v>Alex Johnson - Compass</v>
      </c>
      <c r="BV170" s="60" t="str">
        <f>IFERROR(__xludf.DUMMYFUNCTION("""COMPUTED_VALUE"""),"Sold")</f>
        <v>Sold</v>
      </c>
      <c r="BW170" s="60">
        <f>IFERROR(__xludf.DUMMYFUNCTION("""COMPUTED_VALUE"""),1.0)</f>
        <v>1</v>
      </c>
      <c r="BX170" s="60" t="str">
        <f>IFERROR(__xludf.DUMMYFUNCTION("""COMPUTED_VALUE"""),"OK")</f>
        <v>OK</v>
      </c>
      <c r="BY170" s="1" t="str">
        <f>IFERROR(__xludf.DUMMYFUNCTION("""COMPUTED_VALUE"""),"3600+")</f>
        <v>3600+</v>
      </c>
      <c r="BZ170" s="1">
        <f>IFERROR(__xludf.DUMMYFUNCTION("""COMPUTED_VALUE"""),49.0)</f>
        <v>49</v>
      </c>
      <c r="CA170" s="1" t="str">
        <f>IFERROR(__xludf.DUMMYFUNCTION("""COMPUTED_VALUE"""),"Old")</f>
        <v>Old</v>
      </c>
    </row>
    <row r="171" ht="14.25" customHeight="1">
      <c r="A171" s="5">
        <v>130843.0</v>
      </c>
      <c r="B171" s="6" t="s">
        <v>725</v>
      </c>
      <c r="C171" s="6" t="s">
        <v>53</v>
      </c>
      <c r="D171" s="6">
        <v>93947.0</v>
      </c>
      <c r="E171" s="6" t="s">
        <v>30</v>
      </c>
      <c r="F171" s="6" t="s">
        <v>54</v>
      </c>
      <c r="G171" s="6" t="s">
        <v>55</v>
      </c>
      <c r="H171" s="7">
        <v>1430.0</v>
      </c>
      <c r="I171" s="7">
        <v>5008.0</v>
      </c>
      <c r="J171" s="6">
        <v>2008.0</v>
      </c>
      <c r="K171" s="6">
        <v>54.0</v>
      </c>
      <c r="L171" s="6" t="s">
        <v>141</v>
      </c>
      <c r="M171" s="6" t="s">
        <v>726</v>
      </c>
      <c r="N171" s="6" t="s">
        <v>34</v>
      </c>
      <c r="O171" s="6" t="s">
        <v>25</v>
      </c>
      <c r="P171" s="6">
        <f>COUNTIF(Analysis!$M$1:$M$3001,Analysis!$M171)</f>
        <v>1</v>
      </c>
      <c r="Q171" s="6" t="str">
        <f>IF(COUNTIF(Analysis!$M$2:$M$3001,Analysis!$M171)&gt;1,"Duplicate","OK")</f>
        <v>OK</v>
      </c>
      <c r="R171" s="6" t="str">
        <f t="shared" si="1"/>
        <v>600-1600</v>
      </c>
      <c r="S171" s="6">
        <f t="shared" si="2"/>
        <v>18</v>
      </c>
      <c r="T171" s="6" t="str">
        <f t="shared" si="3"/>
        <v>Mid</v>
      </c>
      <c r="BH171" s="14">
        <f>IFERROR(__xludf.DUMMYFUNCTION("""COMPUTED_VALUE"""),1066882.0)</f>
        <v>1066882</v>
      </c>
      <c r="BI171" s="60" t="str">
        <f>IFERROR(__xludf.DUMMYFUNCTION("""COMPUTED_VALUE"""),"645 Pine Rd, Fresno, CA 98695")</f>
        <v>645 Pine Rd, Fresno, CA 98695</v>
      </c>
      <c r="BJ171" s="60" t="str">
        <f>IFERROR(__xludf.DUMMYFUNCTION("""COMPUTED_VALUE"""),"Fresno")</f>
        <v>Fresno</v>
      </c>
      <c r="BK171" s="60">
        <f>IFERROR(__xludf.DUMMYFUNCTION("""COMPUTED_VALUE"""),98695.0)</f>
        <v>98695</v>
      </c>
      <c r="BL171" s="60" t="str">
        <f>IFERROR(__xludf.DUMMYFUNCTION("""COMPUTED_VALUE"""),"CA")</f>
        <v>CA</v>
      </c>
      <c r="BM171" s="60" t="str">
        <f>IFERROR(__xludf.DUMMYFUNCTION("""COMPUTED_VALUE"""),"1 bds")</f>
        <v>1 bds</v>
      </c>
      <c r="BN171" s="60" t="str">
        <f>IFERROR(__xludf.DUMMYFUNCTION("""COMPUTED_VALUE"""),"2 ba")</f>
        <v>2 ba</v>
      </c>
      <c r="BO171" s="60">
        <f>IFERROR(__xludf.DUMMYFUNCTION("""COMPUTED_VALUE"""),2398.0)</f>
        <v>2398</v>
      </c>
      <c r="BP171" s="60">
        <f>IFERROR(__xludf.DUMMYFUNCTION("""COMPUTED_VALUE"""),9644.0)</f>
        <v>9644</v>
      </c>
      <c r="BQ171" s="60">
        <f>IFERROR(__xludf.DUMMYFUNCTION("""COMPUTED_VALUE"""),2013.0)</f>
        <v>2013</v>
      </c>
      <c r="BR171" s="60">
        <f>IFERROR(__xludf.DUMMYFUNCTION("""COMPUTED_VALUE"""),2.0)</f>
        <v>2</v>
      </c>
      <c r="BS171" s="60" t="str">
        <f>IFERROR(__xludf.DUMMYFUNCTION("""COMPUTED_VALUE"""),"Single Family")</f>
        <v>Single Family</v>
      </c>
      <c r="BT171" s="60" t="str">
        <f>IFERROR(__xludf.DUMMYFUNCTION("""COMPUTED_VALUE"""),"Z491194")</f>
        <v>Z491194</v>
      </c>
      <c r="BU171" s="60" t="str">
        <f>IFERROR(__xludf.DUMMYFUNCTION("""COMPUTED_VALUE"""),"Alex Johnson - Compass")</f>
        <v>Alex Johnson - Compass</v>
      </c>
      <c r="BV171" s="60" t="str">
        <f>IFERROR(__xludf.DUMMYFUNCTION("""COMPUTED_VALUE"""),"Sold")</f>
        <v>Sold</v>
      </c>
      <c r="BW171" s="60">
        <f>IFERROR(__xludf.DUMMYFUNCTION("""COMPUTED_VALUE"""),1.0)</f>
        <v>1</v>
      </c>
      <c r="BX171" s="60" t="str">
        <f>IFERROR(__xludf.DUMMYFUNCTION("""COMPUTED_VALUE"""),"OK")</f>
        <v>OK</v>
      </c>
      <c r="BY171" s="1" t="str">
        <f>IFERROR(__xludf.DUMMYFUNCTION("""COMPUTED_VALUE"""),"1600-2600")</f>
        <v>1600-2600</v>
      </c>
      <c r="BZ171" s="1">
        <f>IFERROR(__xludf.DUMMYFUNCTION("""COMPUTED_VALUE"""),13.0)</f>
        <v>13</v>
      </c>
      <c r="CA171" s="1" t="str">
        <f>IFERROR(__xludf.DUMMYFUNCTION("""COMPUTED_VALUE"""),"Mid")</f>
        <v>Mid</v>
      </c>
    </row>
    <row r="172" ht="14.25" customHeight="1">
      <c r="A172" s="5">
        <v>466691.0</v>
      </c>
      <c r="B172" s="6" t="s">
        <v>729</v>
      </c>
      <c r="C172" s="6" t="s">
        <v>76</v>
      </c>
      <c r="D172" s="6">
        <v>98708.0</v>
      </c>
      <c r="E172" s="6" t="s">
        <v>19</v>
      </c>
      <c r="F172" s="6" t="s">
        <v>20</v>
      </c>
      <c r="G172" s="6" t="s">
        <v>55</v>
      </c>
      <c r="H172" s="7">
        <v>1741.0</v>
      </c>
      <c r="I172" s="7">
        <v>2238.0</v>
      </c>
      <c r="J172" s="6">
        <v>2014.0</v>
      </c>
      <c r="K172" s="6">
        <v>18.0</v>
      </c>
      <c r="L172" s="6" t="s">
        <v>95</v>
      </c>
      <c r="M172" s="6" t="s">
        <v>730</v>
      </c>
      <c r="N172" s="6" t="s">
        <v>24</v>
      </c>
      <c r="O172" s="6" t="s">
        <v>25</v>
      </c>
      <c r="P172" s="6">
        <f>COUNTIF(Analysis!$M$1:$M$3001,Analysis!$M172)</f>
        <v>1</v>
      </c>
      <c r="Q172" s="6" t="str">
        <f>IF(COUNTIF(Analysis!$M$2:$M$3001,Analysis!$M172)&gt;1,"Duplicate","OK")</f>
        <v>OK</v>
      </c>
      <c r="R172" s="6" t="str">
        <f t="shared" si="1"/>
        <v>1600-2600</v>
      </c>
      <c r="S172" s="6">
        <f t="shared" si="2"/>
        <v>12</v>
      </c>
      <c r="T172" s="6" t="str">
        <f t="shared" si="3"/>
        <v>Mid</v>
      </c>
      <c r="BH172" s="14">
        <f>IFERROR(__xludf.DUMMYFUNCTION("""COMPUTED_VALUE"""),264357.0)</f>
        <v>264357</v>
      </c>
      <c r="BI172" s="60" t="str">
        <f>IFERROR(__xludf.DUMMYFUNCTION("""COMPUTED_VALUE"""),"2642 Elm St, Los Angeles, NY 75225")</f>
        <v>2642 Elm St, Los Angeles, NY 75225</v>
      </c>
      <c r="BJ172" s="60" t="str">
        <f>IFERROR(__xludf.DUMMYFUNCTION("""COMPUTED_VALUE"""),"Los Angeles")</f>
        <v>Los Angeles</v>
      </c>
      <c r="BK172" s="60">
        <f>IFERROR(__xludf.DUMMYFUNCTION("""COMPUTED_VALUE"""),75225.0)</f>
        <v>75225</v>
      </c>
      <c r="BL172" s="60" t="str">
        <f>IFERROR(__xludf.DUMMYFUNCTION("""COMPUTED_VALUE"""),"NY")</f>
        <v>NY</v>
      </c>
      <c r="BM172" s="60" t="str">
        <f>IFERROR(__xludf.DUMMYFUNCTION("""COMPUTED_VALUE"""),"2 bds")</f>
        <v>2 bds</v>
      </c>
      <c r="BN172" s="60" t="str">
        <f>IFERROR(__xludf.DUMMYFUNCTION("""COMPUTED_VALUE"""),"1 ba")</f>
        <v>1 ba</v>
      </c>
      <c r="BO172" s="60">
        <f>IFERROR(__xludf.DUMMYFUNCTION("""COMPUTED_VALUE"""),941.0)</f>
        <v>941</v>
      </c>
      <c r="BP172" s="60">
        <f>IFERROR(__xludf.DUMMYFUNCTION("""COMPUTED_VALUE"""),6207.0)</f>
        <v>6207</v>
      </c>
      <c r="BQ172" s="60">
        <f>IFERROR(__xludf.DUMMYFUNCTION("""COMPUTED_VALUE"""),1984.0)</f>
        <v>1984</v>
      </c>
      <c r="BR172" s="60">
        <f>IFERROR(__xludf.DUMMYFUNCTION("""COMPUTED_VALUE"""),60.0)</f>
        <v>60</v>
      </c>
      <c r="BS172" s="60" t="str">
        <f>IFERROR(__xludf.DUMMYFUNCTION("""COMPUTED_VALUE"""),"Condo")</f>
        <v>Condo</v>
      </c>
      <c r="BT172" s="60" t="str">
        <f>IFERROR(__xludf.DUMMYFUNCTION("""COMPUTED_VALUE"""),"Z100492")</f>
        <v>Z100492</v>
      </c>
      <c r="BU172" s="60" t="str">
        <f>IFERROR(__xludf.DUMMYFUNCTION("""COMPUTED_VALUE"""),"Alex Johnson - Compass")</f>
        <v>Alex Johnson - Compass</v>
      </c>
      <c r="BV172" s="60" t="str">
        <f>IFERROR(__xludf.DUMMYFUNCTION("""COMPUTED_VALUE"""),"Sold")</f>
        <v>Sold</v>
      </c>
      <c r="BW172" s="60">
        <f>IFERROR(__xludf.DUMMYFUNCTION("""COMPUTED_VALUE"""),1.0)</f>
        <v>1</v>
      </c>
      <c r="BX172" s="60" t="str">
        <f>IFERROR(__xludf.DUMMYFUNCTION("""COMPUTED_VALUE"""),"OK")</f>
        <v>OK</v>
      </c>
      <c r="BY172" s="1" t="str">
        <f>IFERROR(__xludf.DUMMYFUNCTION("""COMPUTED_VALUE"""),"600-1600")</f>
        <v>600-1600</v>
      </c>
      <c r="BZ172" s="1">
        <f>IFERROR(__xludf.DUMMYFUNCTION("""COMPUTED_VALUE"""),42.0)</f>
        <v>42</v>
      </c>
      <c r="CA172" s="1" t="str">
        <f>IFERROR(__xludf.DUMMYFUNCTION("""COMPUTED_VALUE"""),"Old")</f>
        <v>Old</v>
      </c>
    </row>
    <row r="173" ht="14.25" customHeight="1">
      <c r="A173" s="5">
        <v>430345.0</v>
      </c>
      <c r="B173" s="6" t="s">
        <v>733</v>
      </c>
      <c r="C173" s="6" t="s">
        <v>76</v>
      </c>
      <c r="D173" s="6">
        <v>34458.0</v>
      </c>
      <c r="E173" s="6" t="s">
        <v>19</v>
      </c>
      <c r="F173" s="6" t="s">
        <v>46</v>
      </c>
      <c r="G173" s="6" t="s">
        <v>31</v>
      </c>
      <c r="H173" s="7">
        <v>3871.0</v>
      </c>
      <c r="I173" s="7">
        <v>8875.0</v>
      </c>
      <c r="J173" s="6">
        <v>1990.0</v>
      </c>
      <c r="K173" s="6">
        <v>44.0</v>
      </c>
      <c r="L173" s="6" t="s">
        <v>32</v>
      </c>
      <c r="M173" s="6" t="s">
        <v>734</v>
      </c>
      <c r="N173" s="6" t="s">
        <v>64</v>
      </c>
      <c r="O173" s="6" t="s">
        <v>35</v>
      </c>
      <c r="P173" s="6">
        <f>COUNTIF(Analysis!$M$1:$M$3001,Analysis!$M173)</f>
        <v>1</v>
      </c>
      <c r="Q173" s="6" t="str">
        <f>IF(COUNTIF(Analysis!$M$2:$M$3001,Analysis!$M173)&gt;1,"Duplicate","OK")</f>
        <v>OK</v>
      </c>
      <c r="R173" s="6" t="str">
        <f t="shared" si="1"/>
        <v>3600+</v>
      </c>
      <c r="S173" s="6">
        <f t="shared" si="2"/>
        <v>36</v>
      </c>
      <c r="T173" s="6" t="str">
        <f t="shared" si="3"/>
        <v>Old</v>
      </c>
      <c r="BH173" s="14">
        <f>IFERROR(__xludf.DUMMYFUNCTION("""COMPUTED_VALUE"""),1084043.0)</f>
        <v>1084043</v>
      </c>
      <c r="BI173" s="60" t="str">
        <f>IFERROR(__xludf.DUMMYFUNCTION("""COMPUTED_VALUE"""),"3699 Oak Ave, Fresno, FL 36849")</f>
        <v>3699 Oak Ave, Fresno, FL 36849</v>
      </c>
      <c r="BJ173" s="60" t="str">
        <f>IFERROR(__xludf.DUMMYFUNCTION("""COMPUTED_VALUE"""),"Fresno")</f>
        <v>Fresno</v>
      </c>
      <c r="BK173" s="60">
        <f>IFERROR(__xludf.DUMMYFUNCTION("""COMPUTED_VALUE"""),36849.0)</f>
        <v>36849</v>
      </c>
      <c r="BL173" s="60" t="str">
        <f>IFERROR(__xludf.DUMMYFUNCTION("""COMPUTED_VALUE"""),"FL")</f>
        <v>FL</v>
      </c>
      <c r="BM173" s="60" t="str">
        <f>IFERROR(__xludf.DUMMYFUNCTION("""COMPUTED_VALUE"""),"5 bds")</f>
        <v>5 bds</v>
      </c>
      <c r="BN173" s="60" t="str">
        <f>IFERROR(__xludf.DUMMYFUNCTION("""COMPUTED_VALUE"""),"4 ba")</f>
        <v>4 ba</v>
      </c>
      <c r="BO173" s="60">
        <f>IFERROR(__xludf.DUMMYFUNCTION("""COMPUTED_VALUE"""),2978.0)</f>
        <v>2978</v>
      </c>
      <c r="BP173" s="60">
        <f>IFERROR(__xludf.DUMMYFUNCTION("""COMPUTED_VALUE"""),3300.0)</f>
        <v>3300</v>
      </c>
      <c r="BQ173" s="60">
        <f>IFERROR(__xludf.DUMMYFUNCTION("""COMPUTED_VALUE"""),2012.0)</f>
        <v>2012</v>
      </c>
      <c r="BR173" s="60">
        <f>IFERROR(__xludf.DUMMYFUNCTION("""COMPUTED_VALUE"""),28.0)</f>
        <v>28</v>
      </c>
      <c r="BS173" s="60" t="str">
        <f>IFERROR(__xludf.DUMMYFUNCTION("""COMPUTED_VALUE"""),"Condo")</f>
        <v>Condo</v>
      </c>
      <c r="BT173" s="60" t="str">
        <f>IFERROR(__xludf.DUMMYFUNCTION("""COMPUTED_VALUE"""),"Z344792")</f>
        <v>Z344792</v>
      </c>
      <c r="BU173" s="60" t="str">
        <f>IFERROR(__xludf.DUMMYFUNCTION("""COMPUTED_VALUE"""),"Alex Johnson - Compass")</f>
        <v>Alex Johnson - Compass</v>
      </c>
      <c r="BV173" s="60" t="str">
        <f>IFERROR(__xludf.DUMMYFUNCTION("""COMPUTED_VALUE"""),"Sold")</f>
        <v>Sold</v>
      </c>
      <c r="BW173" s="60">
        <f>IFERROR(__xludf.DUMMYFUNCTION("""COMPUTED_VALUE"""),1.0)</f>
        <v>1</v>
      </c>
      <c r="BX173" s="60" t="str">
        <f>IFERROR(__xludf.DUMMYFUNCTION("""COMPUTED_VALUE"""),"OK")</f>
        <v>OK</v>
      </c>
      <c r="BY173" s="1" t="str">
        <f>IFERROR(__xludf.DUMMYFUNCTION("""COMPUTED_VALUE"""),"2600-3600")</f>
        <v>2600-3600</v>
      </c>
      <c r="BZ173" s="1">
        <f>IFERROR(__xludf.DUMMYFUNCTION("""COMPUTED_VALUE"""),14.0)</f>
        <v>14</v>
      </c>
      <c r="CA173" s="1" t="str">
        <f>IFERROR(__xludf.DUMMYFUNCTION("""COMPUTED_VALUE"""),"Mid")</f>
        <v>Mid</v>
      </c>
    </row>
    <row r="174" ht="14.25" customHeight="1">
      <c r="A174" s="5">
        <v>179767.0</v>
      </c>
      <c r="B174" s="6" t="s">
        <v>737</v>
      </c>
      <c r="C174" s="6" t="s">
        <v>39</v>
      </c>
      <c r="D174" s="6">
        <v>97922.0</v>
      </c>
      <c r="E174" s="6" t="s">
        <v>60</v>
      </c>
      <c r="F174" s="6" t="s">
        <v>54</v>
      </c>
      <c r="G174" s="6" t="s">
        <v>55</v>
      </c>
      <c r="H174" s="7">
        <v>2531.0</v>
      </c>
      <c r="I174" s="7">
        <v>9649.0</v>
      </c>
      <c r="J174" s="6">
        <v>1987.0</v>
      </c>
      <c r="K174" s="6">
        <v>47.0</v>
      </c>
      <c r="L174" s="6" t="s">
        <v>141</v>
      </c>
      <c r="M174" s="6" t="s">
        <v>738</v>
      </c>
      <c r="N174" s="6" t="s">
        <v>34</v>
      </c>
      <c r="O174" s="6" t="s">
        <v>49</v>
      </c>
      <c r="P174" s="6">
        <f>COUNTIF(Analysis!$M$1:$M$3001,Analysis!$M174)</f>
        <v>1</v>
      </c>
      <c r="Q174" s="6" t="str">
        <f>IF(COUNTIF(Analysis!$M$2:$M$3001,Analysis!$M174)&gt;1,"Duplicate","OK")</f>
        <v>OK</v>
      </c>
      <c r="R174" s="6" t="str">
        <f t="shared" si="1"/>
        <v>1600-2600</v>
      </c>
      <c r="S174" s="6">
        <f t="shared" si="2"/>
        <v>39</v>
      </c>
      <c r="T174" s="6" t="str">
        <f t="shared" si="3"/>
        <v>Old</v>
      </c>
      <c r="BH174" s="14">
        <f>IFERROR(__xludf.DUMMYFUNCTION("""COMPUTED_VALUE"""),1093409.0)</f>
        <v>1093409</v>
      </c>
      <c r="BI174" s="60" t="str">
        <f>IFERROR(__xludf.DUMMYFUNCTION("""COMPUTED_VALUE"""),"2912 Main St, Fresno, IL 17323")</f>
        <v>2912 Main St, Fresno, IL 17323</v>
      </c>
      <c r="BJ174" s="60" t="str">
        <f>IFERROR(__xludf.DUMMYFUNCTION("""COMPUTED_VALUE"""),"Fresno")</f>
        <v>Fresno</v>
      </c>
      <c r="BK174" s="60">
        <f>IFERROR(__xludf.DUMMYFUNCTION("""COMPUTED_VALUE"""),17323.0)</f>
        <v>17323</v>
      </c>
      <c r="BL174" s="60" t="str">
        <f>IFERROR(__xludf.DUMMYFUNCTION("""COMPUTED_VALUE"""),"IL")</f>
        <v>IL</v>
      </c>
      <c r="BM174" s="60" t="str">
        <f>IFERROR(__xludf.DUMMYFUNCTION("""COMPUTED_VALUE"""),"2 bds")</f>
        <v>2 bds</v>
      </c>
      <c r="BN174" s="60" t="str">
        <f>IFERROR(__xludf.DUMMYFUNCTION("""COMPUTED_VALUE"""),"1 ba")</f>
        <v>1 ba</v>
      </c>
      <c r="BO174" s="60">
        <f>IFERROR(__xludf.DUMMYFUNCTION("""COMPUTED_VALUE"""),2144.0)</f>
        <v>2144</v>
      </c>
      <c r="BP174" s="60">
        <f>IFERROR(__xludf.DUMMYFUNCTION("""COMPUTED_VALUE"""),6434.0)</f>
        <v>6434</v>
      </c>
      <c r="BQ174" s="60">
        <f>IFERROR(__xludf.DUMMYFUNCTION("""COMPUTED_VALUE"""),1996.0)</f>
        <v>1996</v>
      </c>
      <c r="BR174" s="60">
        <f>IFERROR(__xludf.DUMMYFUNCTION("""COMPUTED_VALUE"""),102.0)</f>
        <v>102</v>
      </c>
      <c r="BS174" s="60" t="str">
        <f>IFERROR(__xludf.DUMMYFUNCTION("""COMPUTED_VALUE"""),"Multi-Family")</f>
        <v>Multi-Family</v>
      </c>
      <c r="BT174" s="60" t="str">
        <f>IFERROR(__xludf.DUMMYFUNCTION("""COMPUTED_VALUE"""),"Z285939")</f>
        <v>Z285939</v>
      </c>
      <c r="BU174" s="60" t="str">
        <f>IFERROR(__xludf.DUMMYFUNCTION("""COMPUTED_VALUE"""),"Alex Johnson - Compass")</f>
        <v>Alex Johnson - Compass</v>
      </c>
      <c r="BV174" s="60" t="str">
        <f>IFERROR(__xludf.DUMMYFUNCTION("""COMPUTED_VALUE"""),"Sold")</f>
        <v>Sold</v>
      </c>
      <c r="BW174" s="60">
        <f>IFERROR(__xludf.DUMMYFUNCTION("""COMPUTED_VALUE"""),1.0)</f>
        <v>1</v>
      </c>
      <c r="BX174" s="60" t="str">
        <f>IFERROR(__xludf.DUMMYFUNCTION("""COMPUTED_VALUE"""),"OK")</f>
        <v>OK</v>
      </c>
      <c r="BY174" s="1" t="str">
        <f>IFERROR(__xludf.DUMMYFUNCTION("""COMPUTED_VALUE"""),"1600-2600")</f>
        <v>1600-2600</v>
      </c>
      <c r="BZ174" s="1">
        <f>IFERROR(__xludf.DUMMYFUNCTION("""COMPUTED_VALUE"""),30.0)</f>
        <v>30</v>
      </c>
      <c r="CA174" s="1" t="str">
        <f>IFERROR(__xludf.DUMMYFUNCTION("""COMPUTED_VALUE"""),"Mid")</f>
        <v>Mid</v>
      </c>
    </row>
    <row r="175" ht="14.25" customHeight="1">
      <c r="A175" s="5">
        <v>190705.0</v>
      </c>
      <c r="B175" s="6" t="s">
        <v>541</v>
      </c>
      <c r="C175" s="6" t="s">
        <v>29</v>
      </c>
      <c r="D175" s="6">
        <v>98601.0</v>
      </c>
      <c r="E175" s="6" t="s">
        <v>60</v>
      </c>
      <c r="F175" s="6" t="s">
        <v>41</v>
      </c>
      <c r="G175" s="6" t="s">
        <v>55</v>
      </c>
      <c r="H175" s="7">
        <v>3167.0</v>
      </c>
      <c r="I175" s="7">
        <v>9130.0</v>
      </c>
      <c r="J175" s="6">
        <v>1957.0</v>
      </c>
      <c r="K175" s="6">
        <v>120.0</v>
      </c>
      <c r="L175" s="6" t="s">
        <v>22</v>
      </c>
      <c r="M175" s="6" t="s">
        <v>542</v>
      </c>
      <c r="N175" s="6" t="s">
        <v>64</v>
      </c>
      <c r="O175" s="6" t="s">
        <v>35</v>
      </c>
      <c r="P175" s="6">
        <f>COUNTIF(Analysis!$M$1:$M$3001,Analysis!$M125)</f>
        <v>1</v>
      </c>
      <c r="Q175" s="6" t="str">
        <f>IF(COUNTIF(Analysis!$M$2:$M$3001,Analysis!$M125)&gt;1,"Duplicate","OK")</f>
        <v>OK</v>
      </c>
      <c r="R175" s="6" t="str">
        <f t="shared" si="1"/>
        <v>2600-3600</v>
      </c>
      <c r="S175" s="6">
        <f t="shared" si="2"/>
        <v>69</v>
      </c>
      <c r="T175" s="6" t="str">
        <f t="shared" si="3"/>
        <v>Very Old</v>
      </c>
      <c r="BH175" s="14">
        <f>IFERROR(__xludf.DUMMYFUNCTION("""COMPUTED_VALUE"""),683910.0)</f>
        <v>683910</v>
      </c>
      <c r="BI175" s="60" t="str">
        <f>IFERROR(__xludf.DUMMYFUNCTION("""COMPUTED_VALUE"""),"2759 Elm St, Sacramento, IL 79056")</f>
        <v>2759 Elm St, Sacramento, IL 79056</v>
      </c>
      <c r="BJ175" s="60" t="str">
        <f>IFERROR(__xludf.DUMMYFUNCTION("""COMPUTED_VALUE"""),"Sacramento")</f>
        <v>Sacramento</v>
      </c>
      <c r="BK175" s="60">
        <f>IFERROR(__xludf.DUMMYFUNCTION("""COMPUTED_VALUE"""),79056.0)</f>
        <v>79056</v>
      </c>
      <c r="BL175" s="60" t="str">
        <f>IFERROR(__xludf.DUMMYFUNCTION("""COMPUTED_VALUE"""),"IL")</f>
        <v>IL</v>
      </c>
      <c r="BM175" s="60" t="str">
        <f>IFERROR(__xludf.DUMMYFUNCTION("""COMPUTED_VALUE"""),"2 bds")</f>
        <v>2 bds</v>
      </c>
      <c r="BN175" s="60" t="str">
        <f>IFERROR(__xludf.DUMMYFUNCTION("""COMPUTED_VALUE"""),"3 ba")</f>
        <v>3 ba</v>
      </c>
      <c r="BO175" s="60">
        <f>IFERROR(__xludf.DUMMYFUNCTION("""COMPUTED_VALUE"""),747.0)</f>
        <v>747</v>
      </c>
      <c r="BP175" s="60">
        <f>IFERROR(__xludf.DUMMYFUNCTION("""COMPUTED_VALUE"""),8973.0)</f>
        <v>8973</v>
      </c>
      <c r="BQ175" s="60">
        <f>IFERROR(__xludf.DUMMYFUNCTION("""COMPUTED_VALUE"""),1995.0)</f>
        <v>1995</v>
      </c>
      <c r="BR175" s="60">
        <f>IFERROR(__xludf.DUMMYFUNCTION("""COMPUTED_VALUE"""),107.0)</f>
        <v>107</v>
      </c>
      <c r="BS175" s="60" t="str">
        <f>IFERROR(__xludf.DUMMYFUNCTION("""COMPUTED_VALUE"""),"Apartment")</f>
        <v>Apartment</v>
      </c>
      <c r="BT175" s="60" t="str">
        <f>IFERROR(__xludf.DUMMYFUNCTION("""COMPUTED_VALUE"""),"Z990535")</f>
        <v>Z990535</v>
      </c>
      <c r="BU175" s="60" t="str">
        <f>IFERROR(__xludf.DUMMYFUNCTION("""COMPUTED_VALUE"""),"Alex Johnson - Compass")</f>
        <v>Alex Johnson - Compass</v>
      </c>
      <c r="BV175" s="60" t="str">
        <f>IFERROR(__xludf.DUMMYFUNCTION("""COMPUTED_VALUE"""),"Sold")</f>
        <v>Sold</v>
      </c>
      <c r="BW175" s="60">
        <f>IFERROR(__xludf.DUMMYFUNCTION("""COMPUTED_VALUE"""),1.0)</f>
        <v>1</v>
      </c>
      <c r="BX175" s="60" t="str">
        <f>IFERROR(__xludf.DUMMYFUNCTION("""COMPUTED_VALUE"""),"OK")</f>
        <v>OK</v>
      </c>
      <c r="BY175" s="1" t="str">
        <f>IFERROR(__xludf.DUMMYFUNCTION("""COMPUTED_VALUE"""),"600-1600")</f>
        <v>600-1600</v>
      </c>
      <c r="BZ175" s="1">
        <f>IFERROR(__xludf.DUMMYFUNCTION("""COMPUTED_VALUE"""),31.0)</f>
        <v>31</v>
      </c>
      <c r="CA175" s="1" t="str">
        <f>IFERROR(__xludf.DUMMYFUNCTION("""COMPUTED_VALUE"""),"Old")</f>
        <v>Old</v>
      </c>
    </row>
    <row r="176" ht="14.25" customHeight="1">
      <c r="A176" s="5">
        <v>814097.0</v>
      </c>
      <c r="B176" s="6" t="s">
        <v>745</v>
      </c>
      <c r="C176" s="6" t="s">
        <v>76</v>
      </c>
      <c r="D176" s="6">
        <v>58752.0</v>
      </c>
      <c r="E176" s="6" t="s">
        <v>77</v>
      </c>
      <c r="F176" s="6" t="s">
        <v>94</v>
      </c>
      <c r="G176" s="6" t="s">
        <v>21</v>
      </c>
      <c r="H176" s="7">
        <v>1874.0</v>
      </c>
      <c r="I176" s="7">
        <v>3262.0</v>
      </c>
      <c r="J176" s="6">
        <v>2006.0</v>
      </c>
      <c r="K176" s="6">
        <v>74.0</v>
      </c>
      <c r="L176" s="6" t="s">
        <v>95</v>
      </c>
      <c r="M176" s="6" t="s">
        <v>746</v>
      </c>
      <c r="N176" s="6" t="s">
        <v>43</v>
      </c>
      <c r="O176" s="6" t="s">
        <v>49</v>
      </c>
      <c r="P176" s="6">
        <f>COUNTIF(Analysis!$M$1:$M$3001,Analysis!$M176)</f>
        <v>1</v>
      </c>
      <c r="Q176" s="6" t="str">
        <f>IF(COUNTIF(Analysis!$M$2:$M$3001,Analysis!$M176)&gt;1,"Duplicate","OK")</f>
        <v>OK</v>
      </c>
      <c r="R176" s="6" t="str">
        <f t="shared" si="1"/>
        <v>1600-2600</v>
      </c>
      <c r="S176" s="6">
        <f t="shared" si="2"/>
        <v>20</v>
      </c>
      <c r="T176" s="6" t="str">
        <f t="shared" si="3"/>
        <v>Mid</v>
      </c>
      <c r="BH176" s="14">
        <f>IFERROR(__xludf.DUMMYFUNCTION("""COMPUTED_VALUE"""),1328262.0)</f>
        <v>1328262</v>
      </c>
      <c r="BI176" s="60" t="str">
        <f>IFERROR(__xludf.DUMMYFUNCTION("""COMPUTED_VALUE"""),"5077 Maple Dr, San Diego, NY 99660")</f>
        <v>5077 Maple Dr, San Diego, NY 99660</v>
      </c>
      <c r="BJ176" s="60" t="str">
        <f>IFERROR(__xludf.DUMMYFUNCTION("""COMPUTED_VALUE"""),"San Diego")</f>
        <v>San Diego</v>
      </c>
      <c r="BK176" s="60">
        <f>IFERROR(__xludf.DUMMYFUNCTION("""COMPUTED_VALUE"""),99660.0)</f>
        <v>99660</v>
      </c>
      <c r="BL176" s="60" t="str">
        <f>IFERROR(__xludf.DUMMYFUNCTION("""COMPUTED_VALUE"""),"NY")</f>
        <v>NY</v>
      </c>
      <c r="BM176" s="60" t="str">
        <f>IFERROR(__xludf.DUMMYFUNCTION("""COMPUTED_VALUE"""),"2 bds")</f>
        <v>2 bds</v>
      </c>
      <c r="BN176" s="60" t="str">
        <f>IFERROR(__xludf.DUMMYFUNCTION("""COMPUTED_VALUE"""),"4 ba")</f>
        <v>4 ba</v>
      </c>
      <c r="BO176" s="60">
        <f>IFERROR(__xludf.DUMMYFUNCTION("""COMPUTED_VALUE"""),925.0)</f>
        <v>925</v>
      </c>
      <c r="BP176" s="60">
        <f>IFERROR(__xludf.DUMMYFUNCTION("""COMPUTED_VALUE"""),1975.0)</f>
        <v>1975</v>
      </c>
      <c r="BQ176" s="60">
        <f>IFERROR(__xludf.DUMMYFUNCTION("""COMPUTED_VALUE"""),2013.0)</f>
        <v>2013</v>
      </c>
      <c r="BR176" s="60">
        <f>IFERROR(__xludf.DUMMYFUNCTION("""COMPUTED_VALUE"""),69.0)</f>
        <v>69</v>
      </c>
      <c r="BS176" s="60" t="str">
        <f>IFERROR(__xludf.DUMMYFUNCTION("""COMPUTED_VALUE"""),"Condo")</f>
        <v>Condo</v>
      </c>
      <c r="BT176" s="60" t="str">
        <f>IFERROR(__xludf.DUMMYFUNCTION("""COMPUTED_VALUE"""),"Z748351")</f>
        <v>Z748351</v>
      </c>
      <c r="BU176" s="60" t="str">
        <f>IFERROR(__xludf.DUMMYFUNCTION("""COMPUTED_VALUE"""),"Alex Johnson - Compass")</f>
        <v>Alex Johnson - Compass</v>
      </c>
      <c r="BV176" s="60" t="str">
        <f>IFERROR(__xludf.DUMMYFUNCTION("""COMPUTED_VALUE"""),"Sold")</f>
        <v>Sold</v>
      </c>
      <c r="BW176" s="60">
        <f>IFERROR(__xludf.DUMMYFUNCTION("""COMPUTED_VALUE"""),1.0)</f>
        <v>1</v>
      </c>
      <c r="BX176" s="60" t="str">
        <f>IFERROR(__xludf.DUMMYFUNCTION("""COMPUTED_VALUE"""),"OK")</f>
        <v>OK</v>
      </c>
      <c r="BY176" s="1" t="str">
        <f>IFERROR(__xludf.DUMMYFUNCTION("""COMPUTED_VALUE"""),"600-1600")</f>
        <v>600-1600</v>
      </c>
      <c r="BZ176" s="1">
        <f>IFERROR(__xludf.DUMMYFUNCTION("""COMPUTED_VALUE"""),13.0)</f>
        <v>13</v>
      </c>
      <c r="CA176" s="1" t="str">
        <f>IFERROR(__xludf.DUMMYFUNCTION("""COMPUTED_VALUE"""),"Mid")</f>
        <v>Mid</v>
      </c>
    </row>
    <row r="177" ht="14.25" customHeight="1">
      <c r="A177" s="5">
        <v>305871.0</v>
      </c>
      <c r="B177" s="6" t="s">
        <v>749</v>
      </c>
      <c r="C177" s="6" t="s">
        <v>18</v>
      </c>
      <c r="D177" s="6">
        <v>18497.0</v>
      </c>
      <c r="E177" s="6" t="s">
        <v>60</v>
      </c>
      <c r="F177" s="6" t="s">
        <v>46</v>
      </c>
      <c r="G177" s="6" t="s">
        <v>31</v>
      </c>
      <c r="H177" s="7">
        <v>1084.0</v>
      </c>
      <c r="I177" s="7">
        <v>6213.0</v>
      </c>
      <c r="J177" s="6">
        <v>1982.0</v>
      </c>
      <c r="K177" s="6">
        <v>20.0</v>
      </c>
      <c r="L177" s="6" t="s">
        <v>62</v>
      </c>
      <c r="M177" s="6" t="s">
        <v>750</v>
      </c>
      <c r="N177" s="6" t="s">
        <v>64</v>
      </c>
      <c r="O177" s="6" t="s">
        <v>35</v>
      </c>
      <c r="P177" s="6">
        <f>COUNTIF(Analysis!$M$1:$M$3001,Analysis!$M177)</f>
        <v>1</v>
      </c>
      <c r="Q177" s="6" t="str">
        <f>IF(COUNTIF(Analysis!$M$2:$M$3001,Analysis!$M177)&gt;1,"Duplicate","OK")</f>
        <v>OK</v>
      </c>
      <c r="R177" s="6" t="str">
        <f t="shared" si="1"/>
        <v>600-1600</v>
      </c>
      <c r="S177" s="6">
        <f t="shared" si="2"/>
        <v>44</v>
      </c>
      <c r="T177" s="6" t="str">
        <f t="shared" si="3"/>
        <v>Old</v>
      </c>
      <c r="BH177" s="14">
        <f>IFERROR(__xludf.DUMMYFUNCTION("""COMPUTED_VALUE"""),1102499.0)</f>
        <v>1102499</v>
      </c>
      <c r="BI177" s="60" t="str">
        <f>IFERROR(__xludf.DUMMYFUNCTION("""COMPUTED_VALUE"""),"5687 Oak Ave, San Diego, IL 13222")</f>
        <v>5687 Oak Ave, San Diego, IL 13222</v>
      </c>
      <c r="BJ177" s="60" t="str">
        <f>IFERROR(__xludf.DUMMYFUNCTION("""COMPUTED_VALUE"""),"San Diego")</f>
        <v>San Diego</v>
      </c>
      <c r="BK177" s="60">
        <f>IFERROR(__xludf.DUMMYFUNCTION("""COMPUTED_VALUE"""),13222.0)</f>
        <v>13222</v>
      </c>
      <c r="BL177" s="60" t="str">
        <f>IFERROR(__xludf.DUMMYFUNCTION("""COMPUTED_VALUE"""),"IL")</f>
        <v>IL</v>
      </c>
      <c r="BM177" s="60" t="str">
        <f>IFERROR(__xludf.DUMMYFUNCTION("""COMPUTED_VALUE"""),"6 bds")</f>
        <v>6 bds</v>
      </c>
      <c r="BN177" s="60" t="str">
        <f>IFERROR(__xludf.DUMMYFUNCTION("""COMPUTED_VALUE"""),"4 ba")</f>
        <v>4 ba</v>
      </c>
      <c r="BO177" s="60">
        <f>IFERROR(__xludf.DUMMYFUNCTION("""COMPUTED_VALUE"""),2538.0)</f>
        <v>2538</v>
      </c>
      <c r="BP177" s="60">
        <f>IFERROR(__xludf.DUMMYFUNCTION("""COMPUTED_VALUE"""),4510.0)</f>
        <v>4510</v>
      </c>
      <c r="BQ177" s="60">
        <f>IFERROR(__xludf.DUMMYFUNCTION("""COMPUTED_VALUE"""),1984.0)</f>
        <v>1984</v>
      </c>
      <c r="BR177" s="60">
        <f>IFERROR(__xludf.DUMMYFUNCTION("""COMPUTED_VALUE"""),35.0)</f>
        <v>35</v>
      </c>
      <c r="BS177" s="60" t="str">
        <f>IFERROR(__xludf.DUMMYFUNCTION("""COMPUTED_VALUE"""),"Condo")</f>
        <v>Condo</v>
      </c>
      <c r="BT177" s="60" t="str">
        <f>IFERROR(__xludf.DUMMYFUNCTION("""COMPUTED_VALUE"""),"Z692590")</f>
        <v>Z692590</v>
      </c>
      <c r="BU177" s="60" t="str">
        <f>IFERROR(__xludf.DUMMYFUNCTION("""COMPUTED_VALUE"""),"Alex Johnson - Compass")</f>
        <v>Alex Johnson - Compass</v>
      </c>
      <c r="BV177" s="60" t="str">
        <f>IFERROR(__xludf.DUMMYFUNCTION("""COMPUTED_VALUE"""),"Sold")</f>
        <v>Sold</v>
      </c>
      <c r="BW177" s="60">
        <f>IFERROR(__xludf.DUMMYFUNCTION("""COMPUTED_VALUE"""),1.0)</f>
        <v>1</v>
      </c>
      <c r="BX177" s="60" t="str">
        <f>IFERROR(__xludf.DUMMYFUNCTION("""COMPUTED_VALUE"""),"OK")</f>
        <v>OK</v>
      </c>
      <c r="BY177" s="1" t="str">
        <f>IFERROR(__xludf.DUMMYFUNCTION("""COMPUTED_VALUE"""),"1600-2600")</f>
        <v>1600-2600</v>
      </c>
      <c r="BZ177" s="1">
        <f>IFERROR(__xludf.DUMMYFUNCTION("""COMPUTED_VALUE"""),42.0)</f>
        <v>42</v>
      </c>
      <c r="CA177" s="1" t="str">
        <f>IFERROR(__xludf.DUMMYFUNCTION("""COMPUTED_VALUE"""),"Old")</f>
        <v>Old</v>
      </c>
    </row>
    <row r="178" ht="14.25" customHeight="1">
      <c r="A178" s="5">
        <v>511660.0</v>
      </c>
      <c r="B178" s="6" t="s">
        <v>753</v>
      </c>
      <c r="C178" s="6" t="s">
        <v>53</v>
      </c>
      <c r="D178" s="6">
        <v>78755.0</v>
      </c>
      <c r="E178" s="6" t="s">
        <v>77</v>
      </c>
      <c r="F178" s="6" t="s">
        <v>41</v>
      </c>
      <c r="G178" s="6" t="s">
        <v>100</v>
      </c>
      <c r="H178" s="7">
        <v>1268.0</v>
      </c>
      <c r="I178" s="7">
        <v>6416.0</v>
      </c>
      <c r="J178" s="6">
        <v>1988.0</v>
      </c>
      <c r="K178" s="6">
        <v>45.0</v>
      </c>
      <c r="L178" s="6" t="s">
        <v>32</v>
      </c>
      <c r="M178" s="6" t="s">
        <v>754</v>
      </c>
      <c r="N178" s="6" t="s">
        <v>48</v>
      </c>
      <c r="O178" s="6" t="s">
        <v>25</v>
      </c>
      <c r="P178" s="6">
        <f>COUNTIF(Analysis!$M$1:$M$3001,Analysis!$M178)</f>
        <v>1</v>
      </c>
      <c r="Q178" s="6" t="str">
        <f>IF(COUNTIF(Analysis!$M$2:$M$3001,Analysis!$M178)&gt;1,"Duplicate","OK")</f>
        <v>OK</v>
      </c>
      <c r="R178" s="6" t="str">
        <f t="shared" si="1"/>
        <v>600-1600</v>
      </c>
      <c r="S178" s="6">
        <f t="shared" si="2"/>
        <v>38</v>
      </c>
      <c r="T178" s="6" t="str">
        <f t="shared" si="3"/>
        <v>Old</v>
      </c>
      <c r="BH178" s="14">
        <f>IFERROR(__xludf.DUMMYFUNCTION("""COMPUTED_VALUE"""),1106308.0)</f>
        <v>1106308</v>
      </c>
      <c r="BI178" s="60" t="str">
        <f>IFERROR(__xludf.DUMMYFUNCTION("""COMPUTED_VALUE"""),"630 Maple Dr, Fresno, FL 72704")</f>
        <v>630 Maple Dr, Fresno, FL 72704</v>
      </c>
      <c r="BJ178" s="60" t="str">
        <f>IFERROR(__xludf.DUMMYFUNCTION("""COMPUTED_VALUE"""),"Fresno")</f>
        <v>Fresno</v>
      </c>
      <c r="BK178" s="60">
        <f>IFERROR(__xludf.DUMMYFUNCTION("""COMPUTED_VALUE"""),72704.0)</f>
        <v>72704</v>
      </c>
      <c r="BL178" s="60" t="str">
        <f>IFERROR(__xludf.DUMMYFUNCTION("""COMPUTED_VALUE"""),"FL")</f>
        <v>FL</v>
      </c>
      <c r="BM178" s="60" t="str">
        <f>IFERROR(__xludf.DUMMYFUNCTION("""COMPUTED_VALUE"""),"5 bds")</f>
        <v>5 bds</v>
      </c>
      <c r="BN178" s="60" t="str">
        <f>IFERROR(__xludf.DUMMYFUNCTION("""COMPUTED_VALUE"""),"3 ba")</f>
        <v>3 ba</v>
      </c>
      <c r="BO178" s="60">
        <f>IFERROR(__xludf.DUMMYFUNCTION("""COMPUTED_VALUE"""),2527.0)</f>
        <v>2527</v>
      </c>
      <c r="BP178" s="60">
        <f>IFERROR(__xludf.DUMMYFUNCTION("""COMPUTED_VALUE"""),8377.0)</f>
        <v>8377</v>
      </c>
      <c r="BQ178" s="60">
        <f>IFERROR(__xludf.DUMMYFUNCTION("""COMPUTED_VALUE"""),1973.0)</f>
        <v>1973</v>
      </c>
      <c r="BR178" s="60">
        <f>IFERROR(__xludf.DUMMYFUNCTION("""COMPUTED_VALUE"""),32.0)</f>
        <v>32</v>
      </c>
      <c r="BS178" s="60" t="str">
        <f>IFERROR(__xludf.DUMMYFUNCTION("""COMPUTED_VALUE"""),"Single Family")</f>
        <v>Single Family</v>
      </c>
      <c r="BT178" s="60" t="str">
        <f>IFERROR(__xludf.DUMMYFUNCTION("""COMPUTED_VALUE"""),"Z692232")</f>
        <v>Z692232</v>
      </c>
      <c r="BU178" s="60" t="str">
        <f>IFERROR(__xludf.DUMMYFUNCTION("""COMPUTED_VALUE"""),"Alex Johnson - Compass")</f>
        <v>Alex Johnson - Compass</v>
      </c>
      <c r="BV178" s="60" t="str">
        <f>IFERROR(__xludf.DUMMYFUNCTION("""COMPUTED_VALUE"""),"Sold")</f>
        <v>Sold</v>
      </c>
      <c r="BW178" s="60">
        <f>IFERROR(__xludf.DUMMYFUNCTION("""COMPUTED_VALUE"""),1.0)</f>
        <v>1</v>
      </c>
      <c r="BX178" s="60" t="str">
        <f>IFERROR(__xludf.DUMMYFUNCTION("""COMPUTED_VALUE"""),"OK")</f>
        <v>OK</v>
      </c>
      <c r="BY178" s="1" t="str">
        <f>IFERROR(__xludf.DUMMYFUNCTION("""COMPUTED_VALUE"""),"1600-2600")</f>
        <v>1600-2600</v>
      </c>
      <c r="BZ178" s="1">
        <f>IFERROR(__xludf.DUMMYFUNCTION("""COMPUTED_VALUE"""),53.0)</f>
        <v>53</v>
      </c>
      <c r="CA178" s="1" t="str">
        <f>IFERROR(__xludf.DUMMYFUNCTION("""COMPUTED_VALUE"""),"Old")</f>
        <v>Old</v>
      </c>
    </row>
    <row r="179" ht="14.25" customHeight="1">
      <c r="A179" s="5">
        <v>100366.0</v>
      </c>
      <c r="B179" s="6" t="s">
        <v>757</v>
      </c>
      <c r="C179" s="6" t="s">
        <v>53</v>
      </c>
      <c r="D179" s="6">
        <v>84616.0</v>
      </c>
      <c r="E179" s="6" t="s">
        <v>30</v>
      </c>
      <c r="F179" s="6" t="s">
        <v>61</v>
      </c>
      <c r="G179" s="6" t="s">
        <v>21</v>
      </c>
      <c r="H179" s="7">
        <v>1383.0</v>
      </c>
      <c r="I179" s="7">
        <v>1172.0</v>
      </c>
      <c r="J179" s="6">
        <v>1966.0</v>
      </c>
      <c r="K179" s="6">
        <v>102.0</v>
      </c>
      <c r="L179" s="6" t="s">
        <v>95</v>
      </c>
      <c r="M179" s="6" t="s">
        <v>758</v>
      </c>
      <c r="N179" s="6" t="s">
        <v>24</v>
      </c>
      <c r="O179" s="6" t="s">
        <v>49</v>
      </c>
      <c r="P179" s="6">
        <f>COUNTIF(Analysis!$M$1:$M$3001,Analysis!$M179)</f>
        <v>1</v>
      </c>
      <c r="Q179" s="6" t="str">
        <f>IF(COUNTIF(Analysis!$M$2:$M$3001,Analysis!$M179)&gt;1,"Duplicate","OK")</f>
        <v>OK</v>
      </c>
      <c r="R179" s="6" t="str">
        <f t="shared" si="1"/>
        <v>600-1600</v>
      </c>
      <c r="S179" s="6">
        <f t="shared" si="2"/>
        <v>60</v>
      </c>
      <c r="T179" s="6" t="str">
        <f t="shared" si="3"/>
        <v>Old</v>
      </c>
      <c r="BH179" s="14">
        <f>IFERROR(__xludf.DUMMYFUNCTION("""COMPUTED_VALUE"""),664032.0)</f>
        <v>664032</v>
      </c>
      <c r="BI179" s="60" t="str">
        <f>IFERROR(__xludf.DUMMYFUNCTION("""COMPUTED_VALUE"""),"6613 Oak Ave, Los Angeles, NY 62583")</f>
        <v>6613 Oak Ave, Los Angeles, NY 62583</v>
      </c>
      <c r="BJ179" s="60" t="str">
        <f>IFERROR(__xludf.DUMMYFUNCTION("""COMPUTED_VALUE"""),"Los Angeles")</f>
        <v>Los Angeles</v>
      </c>
      <c r="BK179" s="60">
        <f>IFERROR(__xludf.DUMMYFUNCTION("""COMPUTED_VALUE"""),62583.0)</f>
        <v>62583</v>
      </c>
      <c r="BL179" s="60" t="str">
        <f>IFERROR(__xludf.DUMMYFUNCTION("""COMPUTED_VALUE"""),"NY")</f>
        <v>NY</v>
      </c>
      <c r="BM179" s="60" t="str">
        <f>IFERROR(__xludf.DUMMYFUNCTION("""COMPUTED_VALUE"""),"1 bds")</f>
        <v>1 bds</v>
      </c>
      <c r="BN179" s="60" t="str">
        <f>IFERROR(__xludf.DUMMYFUNCTION("""COMPUTED_VALUE"""),"3 ba")</f>
        <v>3 ba</v>
      </c>
      <c r="BO179" s="60">
        <f>IFERROR(__xludf.DUMMYFUNCTION("""COMPUTED_VALUE"""),670.0)</f>
        <v>670</v>
      </c>
      <c r="BP179" s="60">
        <f>IFERROR(__xludf.DUMMYFUNCTION("""COMPUTED_VALUE"""),4921.0)</f>
        <v>4921</v>
      </c>
      <c r="BQ179" s="60">
        <f>IFERROR(__xludf.DUMMYFUNCTION("""COMPUTED_VALUE"""),1996.0)</f>
        <v>1996</v>
      </c>
      <c r="BR179" s="60">
        <f>IFERROR(__xludf.DUMMYFUNCTION("""COMPUTED_VALUE"""),17.0)</f>
        <v>17</v>
      </c>
      <c r="BS179" s="60" t="str">
        <f>IFERROR(__xludf.DUMMYFUNCTION("""COMPUTED_VALUE"""),"Townhouse")</f>
        <v>Townhouse</v>
      </c>
      <c r="BT179" s="60" t="str">
        <f>IFERROR(__xludf.DUMMYFUNCTION("""COMPUTED_VALUE"""),"Z304413")</f>
        <v>Z304413</v>
      </c>
      <c r="BU179" s="60" t="str">
        <f>IFERROR(__xludf.DUMMYFUNCTION("""COMPUTED_VALUE"""),"Alex Johnson - Compass")</f>
        <v>Alex Johnson - Compass</v>
      </c>
      <c r="BV179" s="60" t="str">
        <f>IFERROR(__xludf.DUMMYFUNCTION("""COMPUTED_VALUE"""),"Sold")</f>
        <v>Sold</v>
      </c>
      <c r="BW179" s="60">
        <f>IFERROR(__xludf.DUMMYFUNCTION("""COMPUTED_VALUE"""),1.0)</f>
        <v>1</v>
      </c>
      <c r="BX179" s="60" t="str">
        <f>IFERROR(__xludf.DUMMYFUNCTION("""COMPUTED_VALUE"""),"OK")</f>
        <v>OK</v>
      </c>
      <c r="BY179" s="1" t="str">
        <f>IFERROR(__xludf.DUMMYFUNCTION("""COMPUTED_VALUE"""),"600-1600")</f>
        <v>600-1600</v>
      </c>
      <c r="BZ179" s="1">
        <f>IFERROR(__xludf.DUMMYFUNCTION("""COMPUTED_VALUE"""),30.0)</f>
        <v>30</v>
      </c>
      <c r="CA179" s="1" t="str">
        <f>IFERROR(__xludf.DUMMYFUNCTION("""COMPUTED_VALUE"""),"Mid")</f>
        <v>Mid</v>
      </c>
    </row>
    <row r="180" ht="14.25" customHeight="1">
      <c r="A180" s="5">
        <v>482895.0</v>
      </c>
      <c r="B180" s="6" t="s">
        <v>761</v>
      </c>
      <c r="C180" s="6" t="s">
        <v>76</v>
      </c>
      <c r="D180" s="6">
        <v>25648.0</v>
      </c>
      <c r="E180" s="6" t="s">
        <v>30</v>
      </c>
      <c r="F180" s="6" t="s">
        <v>46</v>
      </c>
      <c r="G180" s="6" t="s">
        <v>21</v>
      </c>
      <c r="H180" s="7">
        <v>1942.0</v>
      </c>
      <c r="I180" s="7">
        <v>6402.0</v>
      </c>
      <c r="J180" s="6">
        <v>1967.0</v>
      </c>
      <c r="K180" s="6">
        <v>103.0</v>
      </c>
      <c r="L180" s="6" t="s">
        <v>141</v>
      </c>
      <c r="M180" s="6" t="s">
        <v>762</v>
      </c>
      <c r="N180" s="6" t="s">
        <v>24</v>
      </c>
      <c r="O180" s="6" t="s">
        <v>49</v>
      </c>
      <c r="P180" s="6">
        <f>COUNTIF(Analysis!$M$1:$M$3001,Analysis!$M180)</f>
        <v>1</v>
      </c>
      <c r="Q180" s="6" t="str">
        <f>IF(COUNTIF(Analysis!$M$2:$M$3001,Analysis!$M180)&gt;1,"Duplicate","OK")</f>
        <v>OK</v>
      </c>
      <c r="R180" s="6" t="str">
        <f t="shared" si="1"/>
        <v>1600-2600</v>
      </c>
      <c r="S180" s="6">
        <f t="shared" si="2"/>
        <v>59</v>
      </c>
      <c r="T180" s="6" t="str">
        <f t="shared" si="3"/>
        <v>Old</v>
      </c>
      <c r="BH180" s="14">
        <f>IFERROR(__xludf.DUMMYFUNCTION("""COMPUTED_VALUE"""),799196.0)</f>
        <v>799196</v>
      </c>
      <c r="BI180" s="60" t="str">
        <f>IFERROR(__xludf.DUMMYFUNCTION("""COMPUTED_VALUE"""),"9837 Oak Ave, San Diego, TX 97723")</f>
        <v>9837 Oak Ave, San Diego, TX 97723</v>
      </c>
      <c r="BJ180" s="60" t="str">
        <f>IFERROR(__xludf.DUMMYFUNCTION("""COMPUTED_VALUE"""),"San Diego")</f>
        <v>San Diego</v>
      </c>
      <c r="BK180" s="60">
        <f>IFERROR(__xludf.DUMMYFUNCTION("""COMPUTED_VALUE"""),97723.0)</f>
        <v>97723</v>
      </c>
      <c r="BL180" s="60" t="str">
        <f>IFERROR(__xludf.DUMMYFUNCTION("""COMPUTED_VALUE"""),"TX")</f>
        <v>TX</v>
      </c>
      <c r="BM180" s="60" t="str">
        <f>IFERROR(__xludf.DUMMYFUNCTION("""COMPUTED_VALUE"""),"6 bds")</f>
        <v>6 bds</v>
      </c>
      <c r="BN180" s="60" t="str">
        <f>IFERROR(__xludf.DUMMYFUNCTION("""COMPUTED_VALUE"""),"3 ba")</f>
        <v>3 ba</v>
      </c>
      <c r="BO180" s="60">
        <f>IFERROR(__xludf.DUMMYFUNCTION("""COMPUTED_VALUE"""),3769.0)</f>
        <v>3769</v>
      </c>
      <c r="BP180" s="60">
        <f>IFERROR(__xludf.DUMMYFUNCTION("""COMPUTED_VALUE"""),1397.0)</f>
        <v>1397</v>
      </c>
      <c r="BQ180" s="60">
        <f>IFERROR(__xludf.DUMMYFUNCTION("""COMPUTED_VALUE"""),2007.0)</f>
        <v>2007</v>
      </c>
      <c r="BR180" s="60">
        <f>IFERROR(__xludf.DUMMYFUNCTION("""COMPUTED_VALUE"""),73.0)</f>
        <v>73</v>
      </c>
      <c r="BS180" s="60" t="str">
        <f>IFERROR(__xludf.DUMMYFUNCTION("""COMPUTED_VALUE"""),"Condo")</f>
        <v>Condo</v>
      </c>
      <c r="BT180" s="60" t="str">
        <f>IFERROR(__xludf.DUMMYFUNCTION("""COMPUTED_VALUE"""),"Z207061")</f>
        <v>Z207061</v>
      </c>
      <c r="BU180" s="60" t="str">
        <f>IFERROR(__xludf.DUMMYFUNCTION("""COMPUTED_VALUE"""),"Alex Johnson - Compass")</f>
        <v>Alex Johnson - Compass</v>
      </c>
      <c r="BV180" s="60" t="str">
        <f>IFERROR(__xludf.DUMMYFUNCTION("""COMPUTED_VALUE"""),"Sold")</f>
        <v>Sold</v>
      </c>
      <c r="BW180" s="60">
        <f>IFERROR(__xludf.DUMMYFUNCTION("""COMPUTED_VALUE"""),1.0)</f>
        <v>1</v>
      </c>
      <c r="BX180" s="60" t="str">
        <f>IFERROR(__xludf.DUMMYFUNCTION("""COMPUTED_VALUE"""),"OK")</f>
        <v>OK</v>
      </c>
      <c r="BY180" s="1" t="str">
        <f>IFERROR(__xludf.DUMMYFUNCTION("""COMPUTED_VALUE"""),"3600+")</f>
        <v>3600+</v>
      </c>
      <c r="BZ180" s="1">
        <f>IFERROR(__xludf.DUMMYFUNCTION("""COMPUTED_VALUE"""),19.0)</f>
        <v>19</v>
      </c>
      <c r="CA180" s="1" t="str">
        <f>IFERROR(__xludf.DUMMYFUNCTION("""COMPUTED_VALUE"""),"Mid")</f>
        <v>Mid</v>
      </c>
    </row>
    <row r="181" ht="14.25" customHeight="1">
      <c r="A181" s="5">
        <v>1205338.0</v>
      </c>
      <c r="B181" s="6" t="s">
        <v>765</v>
      </c>
      <c r="C181" s="6" t="s">
        <v>39</v>
      </c>
      <c r="D181" s="6">
        <v>90006.0</v>
      </c>
      <c r="E181" s="6" t="s">
        <v>77</v>
      </c>
      <c r="F181" s="6" t="s">
        <v>41</v>
      </c>
      <c r="G181" s="6" t="s">
        <v>100</v>
      </c>
      <c r="H181" s="7">
        <v>3763.0</v>
      </c>
      <c r="I181" s="7">
        <v>5643.0</v>
      </c>
      <c r="J181" s="6">
        <v>1990.0</v>
      </c>
      <c r="K181" s="6">
        <v>68.0</v>
      </c>
      <c r="L181" s="6" t="s">
        <v>22</v>
      </c>
      <c r="M181" s="6" t="s">
        <v>766</v>
      </c>
      <c r="N181" s="6" t="s">
        <v>43</v>
      </c>
      <c r="O181" s="6" t="s">
        <v>25</v>
      </c>
      <c r="P181" s="6">
        <f>COUNTIF(Analysis!$M$1:$M$3001,Analysis!$M181)</f>
        <v>1</v>
      </c>
      <c r="Q181" s="6" t="str">
        <f>IF(COUNTIF(Analysis!$M$2:$M$3001,Analysis!$M181)&gt;1,"Duplicate","OK")</f>
        <v>OK</v>
      </c>
      <c r="R181" s="6" t="str">
        <f t="shared" si="1"/>
        <v>3600+</v>
      </c>
      <c r="S181" s="6">
        <f t="shared" si="2"/>
        <v>36</v>
      </c>
      <c r="T181" s="6" t="str">
        <f t="shared" si="3"/>
        <v>Old</v>
      </c>
      <c r="BH181" s="14">
        <f>IFERROR(__xludf.DUMMYFUNCTION("""COMPUTED_VALUE"""),1309159.0)</f>
        <v>1309159</v>
      </c>
      <c r="BI181" s="60" t="str">
        <f>IFERROR(__xludf.DUMMYFUNCTION("""COMPUTED_VALUE"""),"6080 Oak Ave, Los Angeles, FL 16982")</f>
        <v>6080 Oak Ave, Los Angeles, FL 16982</v>
      </c>
      <c r="BJ181" s="60" t="str">
        <f>IFERROR(__xludf.DUMMYFUNCTION("""COMPUTED_VALUE"""),"Los Angeles")</f>
        <v>Los Angeles</v>
      </c>
      <c r="BK181" s="60">
        <f>IFERROR(__xludf.DUMMYFUNCTION("""COMPUTED_VALUE"""),16982.0)</f>
        <v>16982</v>
      </c>
      <c r="BL181" s="60" t="str">
        <f>IFERROR(__xludf.DUMMYFUNCTION("""COMPUTED_VALUE"""),"FL")</f>
        <v>FL</v>
      </c>
      <c r="BM181" s="60" t="str">
        <f>IFERROR(__xludf.DUMMYFUNCTION("""COMPUTED_VALUE"""),"3 bds")</f>
        <v>3 bds</v>
      </c>
      <c r="BN181" s="60" t="str">
        <f>IFERROR(__xludf.DUMMYFUNCTION("""COMPUTED_VALUE"""),"3 ba")</f>
        <v>3 ba</v>
      </c>
      <c r="BO181" s="60">
        <f>IFERROR(__xludf.DUMMYFUNCTION("""COMPUTED_VALUE"""),3933.0)</f>
        <v>3933</v>
      </c>
      <c r="BP181" s="60">
        <f>IFERROR(__xludf.DUMMYFUNCTION("""COMPUTED_VALUE"""),1000.0)</f>
        <v>1000</v>
      </c>
      <c r="BQ181" s="60">
        <f>IFERROR(__xludf.DUMMYFUNCTION("""COMPUTED_VALUE"""),1981.0)</f>
        <v>1981</v>
      </c>
      <c r="BR181" s="60">
        <f>IFERROR(__xludf.DUMMYFUNCTION("""COMPUTED_VALUE"""),28.0)</f>
        <v>28</v>
      </c>
      <c r="BS181" s="60" t="str">
        <f>IFERROR(__xludf.DUMMYFUNCTION("""COMPUTED_VALUE"""),"Multi-Family")</f>
        <v>Multi-Family</v>
      </c>
      <c r="BT181" s="60" t="str">
        <f>IFERROR(__xludf.DUMMYFUNCTION("""COMPUTED_VALUE"""),"Z282542")</f>
        <v>Z282542</v>
      </c>
      <c r="BU181" s="60" t="str">
        <f>IFERROR(__xludf.DUMMYFUNCTION("""COMPUTED_VALUE"""),"Alex Johnson - Compass")</f>
        <v>Alex Johnson - Compass</v>
      </c>
      <c r="BV181" s="60" t="str">
        <f>IFERROR(__xludf.DUMMYFUNCTION("""COMPUTED_VALUE"""),"Sold")</f>
        <v>Sold</v>
      </c>
      <c r="BW181" s="60">
        <f>IFERROR(__xludf.DUMMYFUNCTION("""COMPUTED_VALUE"""),1.0)</f>
        <v>1</v>
      </c>
      <c r="BX181" s="60" t="str">
        <f>IFERROR(__xludf.DUMMYFUNCTION("""COMPUTED_VALUE"""),"OK")</f>
        <v>OK</v>
      </c>
      <c r="BY181" s="1" t="str">
        <f>IFERROR(__xludf.DUMMYFUNCTION("""COMPUTED_VALUE"""),"3600+")</f>
        <v>3600+</v>
      </c>
      <c r="BZ181" s="1">
        <f>IFERROR(__xludf.DUMMYFUNCTION("""COMPUTED_VALUE"""),45.0)</f>
        <v>45</v>
      </c>
      <c r="CA181" s="1" t="str">
        <f>IFERROR(__xludf.DUMMYFUNCTION("""COMPUTED_VALUE"""),"Old")</f>
        <v>Old</v>
      </c>
    </row>
    <row r="182" ht="14.25" customHeight="1">
      <c r="A182" s="5">
        <v>191377.0</v>
      </c>
      <c r="B182" s="6" t="s">
        <v>5718</v>
      </c>
      <c r="C182" s="6" t="s">
        <v>29</v>
      </c>
      <c r="D182" s="6">
        <v>91466.0</v>
      </c>
      <c r="E182" s="6" t="s">
        <v>60</v>
      </c>
      <c r="F182" s="6" t="s">
        <v>54</v>
      </c>
      <c r="G182" s="6" t="s">
        <v>100</v>
      </c>
      <c r="H182" s="7">
        <v>2946.0</v>
      </c>
      <c r="I182" s="7">
        <v>1428.0</v>
      </c>
      <c r="J182" s="6">
        <v>1960.0</v>
      </c>
      <c r="K182" s="6">
        <v>35.0</v>
      </c>
      <c r="L182" s="6" t="s">
        <v>62</v>
      </c>
      <c r="M182" s="6" t="s">
        <v>5719</v>
      </c>
      <c r="N182" s="6" t="s">
        <v>34</v>
      </c>
      <c r="O182" s="6" t="s">
        <v>49</v>
      </c>
      <c r="P182" s="6">
        <f>COUNTIF(Analysis!$M$1:$M$3001,Analysis!$M1420)</f>
        <v>1</v>
      </c>
      <c r="Q182" s="6" t="str">
        <f>IF(COUNTIF(Analysis!$M$2:$M$3001,Analysis!$M1420)&gt;1,"Duplicate","OK")</f>
        <v>OK</v>
      </c>
      <c r="R182" s="6" t="str">
        <f t="shared" si="1"/>
        <v>2600-3600</v>
      </c>
      <c r="S182" s="6">
        <f t="shared" si="2"/>
        <v>66</v>
      </c>
      <c r="T182" s="6" t="str">
        <f t="shared" si="3"/>
        <v>Very Old</v>
      </c>
      <c r="BH182" s="14">
        <f>IFERROR(__xludf.DUMMYFUNCTION("""COMPUTED_VALUE"""),1330718.0)</f>
        <v>1330718</v>
      </c>
      <c r="BI182" s="60" t="str">
        <f>IFERROR(__xludf.DUMMYFUNCTION("""COMPUTED_VALUE"""),"4090 Main St, San Diego, CA 42092")</f>
        <v>4090 Main St, San Diego, CA 42092</v>
      </c>
      <c r="BJ182" s="60" t="str">
        <f>IFERROR(__xludf.DUMMYFUNCTION("""COMPUTED_VALUE"""),"San Diego")</f>
        <v>San Diego</v>
      </c>
      <c r="BK182" s="60">
        <f>IFERROR(__xludf.DUMMYFUNCTION("""COMPUTED_VALUE"""),42092.0)</f>
        <v>42092</v>
      </c>
      <c r="BL182" s="60" t="str">
        <f>IFERROR(__xludf.DUMMYFUNCTION("""COMPUTED_VALUE"""),"CA")</f>
        <v>CA</v>
      </c>
      <c r="BM182" s="60" t="str">
        <f>IFERROR(__xludf.DUMMYFUNCTION("""COMPUTED_VALUE"""),"4 bds")</f>
        <v>4 bds</v>
      </c>
      <c r="BN182" s="60" t="str">
        <f>IFERROR(__xludf.DUMMYFUNCTION("""COMPUTED_VALUE"""),"1 ba")</f>
        <v>1 ba</v>
      </c>
      <c r="BO182" s="60">
        <f>IFERROR(__xludf.DUMMYFUNCTION("""COMPUTED_VALUE"""),2280.0)</f>
        <v>2280</v>
      </c>
      <c r="BP182" s="60">
        <f>IFERROR(__xludf.DUMMYFUNCTION("""COMPUTED_VALUE"""),7286.0)</f>
        <v>7286</v>
      </c>
      <c r="BQ182" s="60">
        <f>IFERROR(__xludf.DUMMYFUNCTION("""COMPUTED_VALUE"""),1956.0)</f>
        <v>1956</v>
      </c>
      <c r="BR182" s="60">
        <f>IFERROR(__xludf.DUMMYFUNCTION("""COMPUTED_VALUE"""),119.0)</f>
        <v>119</v>
      </c>
      <c r="BS182" s="60" t="str">
        <f>IFERROR(__xludf.DUMMYFUNCTION("""COMPUTED_VALUE"""),"Condo")</f>
        <v>Condo</v>
      </c>
      <c r="BT182" s="60" t="str">
        <f>IFERROR(__xludf.DUMMYFUNCTION("""COMPUTED_VALUE"""),"Z682694")</f>
        <v>Z682694</v>
      </c>
      <c r="BU182" s="60" t="str">
        <f>IFERROR(__xludf.DUMMYFUNCTION("""COMPUTED_VALUE"""),"Alex Johnson - Compass")</f>
        <v>Alex Johnson - Compass</v>
      </c>
      <c r="BV182" s="60" t="str">
        <f>IFERROR(__xludf.DUMMYFUNCTION("""COMPUTED_VALUE"""),"Sold")</f>
        <v>Sold</v>
      </c>
      <c r="BW182" s="60">
        <f>IFERROR(__xludf.DUMMYFUNCTION("""COMPUTED_VALUE"""),1.0)</f>
        <v>1</v>
      </c>
      <c r="BX182" s="60" t="str">
        <f>IFERROR(__xludf.DUMMYFUNCTION("""COMPUTED_VALUE"""),"OK")</f>
        <v>OK</v>
      </c>
      <c r="BY182" s="1" t="str">
        <f>IFERROR(__xludf.DUMMYFUNCTION("""COMPUTED_VALUE"""),"1600-2600")</f>
        <v>1600-2600</v>
      </c>
      <c r="BZ182" s="1">
        <f>IFERROR(__xludf.DUMMYFUNCTION("""COMPUTED_VALUE"""),70.0)</f>
        <v>70</v>
      </c>
      <c r="CA182" s="1" t="str">
        <f>IFERROR(__xludf.DUMMYFUNCTION("""COMPUTED_VALUE"""),"Very Old")</f>
        <v>Very Old</v>
      </c>
    </row>
    <row r="183" ht="14.25" customHeight="1">
      <c r="A183" s="5">
        <v>1399592.0</v>
      </c>
      <c r="B183" s="6" t="s">
        <v>773</v>
      </c>
      <c r="C183" s="6" t="s">
        <v>76</v>
      </c>
      <c r="D183" s="6">
        <v>86772.0</v>
      </c>
      <c r="E183" s="6" t="s">
        <v>77</v>
      </c>
      <c r="F183" s="6" t="s">
        <v>54</v>
      </c>
      <c r="G183" s="6" t="s">
        <v>21</v>
      </c>
      <c r="H183" s="7">
        <v>2107.0</v>
      </c>
      <c r="I183" s="7">
        <v>3647.0</v>
      </c>
      <c r="J183" s="6">
        <v>1974.0</v>
      </c>
      <c r="K183" s="6">
        <v>41.0</v>
      </c>
      <c r="L183" s="6" t="s">
        <v>141</v>
      </c>
      <c r="M183" s="6" t="s">
        <v>774</v>
      </c>
      <c r="N183" s="6" t="s">
        <v>34</v>
      </c>
      <c r="O183" s="6" t="s">
        <v>25</v>
      </c>
      <c r="P183" s="6">
        <f>COUNTIF(Analysis!$M$1:$M$3001,Analysis!$M183)</f>
        <v>1</v>
      </c>
      <c r="Q183" s="6" t="str">
        <f>IF(COUNTIF(Analysis!$M$2:$M$3001,Analysis!$M183)&gt;1,"Duplicate","OK")</f>
        <v>OK</v>
      </c>
      <c r="R183" s="6" t="str">
        <f t="shared" si="1"/>
        <v>1600-2600</v>
      </c>
      <c r="S183" s="6">
        <f t="shared" si="2"/>
        <v>52</v>
      </c>
      <c r="T183" s="6" t="str">
        <f t="shared" si="3"/>
        <v>Old</v>
      </c>
      <c r="BH183" s="14">
        <f>IFERROR(__xludf.DUMMYFUNCTION("""COMPUTED_VALUE"""),1363873.0)</f>
        <v>1363873</v>
      </c>
      <c r="BI183" s="60" t="str">
        <f>IFERROR(__xludf.DUMMYFUNCTION("""COMPUTED_VALUE"""),"3271 Main St, Los Angeles, NY 19011")</f>
        <v>3271 Main St, Los Angeles, NY 19011</v>
      </c>
      <c r="BJ183" s="60" t="str">
        <f>IFERROR(__xludf.DUMMYFUNCTION("""COMPUTED_VALUE"""),"Los Angeles")</f>
        <v>Los Angeles</v>
      </c>
      <c r="BK183" s="60">
        <f>IFERROR(__xludf.DUMMYFUNCTION("""COMPUTED_VALUE"""),19011.0)</f>
        <v>19011</v>
      </c>
      <c r="BL183" s="60" t="str">
        <f>IFERROR(__xludf.DUMMYFUNCTION("""COMPUTED_VALUE"""),"NY")</f>
        <v>NY</v>
      </c>
      <c r="BM183" s="60" t="str">
        <f>IFERROR(__xludf.DUMMYFUNCTION("""COMPUTED_VALUE"""),"4 bds")</f>
        <v>4 bds</v>
      </c>
      <c r="BN183" s="60" t="str">
        <f>IFERROR(__xludf.DUMMYFUNCTION("""COMPUTED_VALUE"""),"1 ba")</f>
        <v>1 ba</v>
      </c>
      <c r="BO183" s="60">
        <f>IFERROR(__xludf.DUMMYFUNCTION("""COMPUTED_VALUE"""),2006.0)</f>
        <v>2006</v>
      </c>
      <c r="BP183" s="60">
        <f>IFERROR(__xludf.DUMMYFUNCTION("""COMPUTED_VALUE"""),9486.0)</f>
        <v>9486</v>
      </c>
      <c r="BQ183" s="60">
        <f>IFERROR(__xludf.DUMMYFUNCTION("""COMPUTED_VALUE"""),1992.0)</f>
        <v>1992</v>
      </c>
      <c r="BR183" s="60">
        <f>IFERROR(__xludf.DUMMYFUNCTION("""COMPUTED_VALUE"""),112.0)</f>
        <v>112</v>
      </c>
      <c r="BS183" s="60" t="str">
        <f>IFERROR(__xludf.DUMMYFUNCTION("""COMPUTED_VALUE"""),"Condo")</f>
        <v>Condo</v>
      </c>
      <c r="BT183" s="60" t="str">
        <f>IFERROR(__xludf.DUMMYFUNCTION("""COMPUTED_VALUE"""),"Z415142")</f>
        <v>Z415142</v>
      </c>
      <c r="BU183" s="60" t="str">
        <f>IFERROR(__xludf.DUMMYFUNCTION("""COMPUTED_VALUE"""),"Alex Johnson - Compass")</f>
        <v>Alex Johnson - Compass</v>
      </c>
      <c r="BV183" s="60" t="str">
        <f>IFERROR(__xludf.DUMMYFUNCTION("""COMPUTED_VALUE"""),"Sold")</f>
        <v>Sold</v>
      </c>
      <c r="BW183" s="60">
        <f>IFERROR(__xludf.DUMMYFUNCTION("""COMPUTED_VALUE"""),1.0)</f>
        <v>1</v>
      </c>
      <c r="BX183" s="60" t="str">
        <f>IFERROR(__xludf.DUMMYFUNCTION("""COMPUTED_VALUE"""),"OK")</f>
        <v>OK</v>
      </c>
      <c r="BY183" s="1" t="str">
        <f>IFERROR(__xludf.DUMMYFUNCTION("""COMPUTED_VALUE"""),"1600-2600")</f>
        <v>1600-2600</v>
      </c>
      <c r="BZ183" s="1">
        <f>IFERROR(__xludf.DUMMYFUNCTION("""COMPUTED_VALUE"""),34.0)</f>
        <v>34</v>
      </c>
      <c r="CA183" s="1" t="str">
        <f>IFERROR(__xludf.DUMMYFUNCTION("""COMPUTED_VALUE"""),"Old")</f>
        <v>Old</v>
      </c>
    </row>
    <row r="184" ht="14.25" customHeight="1">
      <c r="A184" s="5">
        <v>257927.0</v>
      </c>
      <c r="B184" s="6" t="s">
        <v>777</v>
      </c>
      <c r="C184" s="6" t="s">
        <v>18</v>
      </c>
      <c r="D184" s="6">
        <v>29937.0</v>
      </c>
      <c r="E184" s="6" t="s">
        <v>60</v>
      </c>
      <c r="F184" s="6" t="s">
        <v>41</v>
      </c>
      <c r="G184" s="6" t="s">
        <v>55</v>
      </c>
      <c r="H184" s="7">
        <v>3845.0</v>
      </c>
      <c r="I184" s="7">
        <v>2577.0</v>
      </c>
      <c r="J184" s="6">
        <v>2019.0</v>
      </c>
      <c r="K184" s="6">
        <v>108.0</v>
      </c>
      <c r="L184" s="6" t="s">
        <v>32</v>
      </c>
      <c r="M184" s="6" t="s">
        <v>778</v>
      </c>
      <c r="N184" s="6" t="s">
        <v>43</v>
      </c>
      <c r="O184" s="6" t="s">
        <v>25</v>
      </c>
      <c r="P184" s="6">
        <f>COUNTIF(Analysis!$M$1:$M$3001,Analysis!$M184)</f>
        <v>1</v>
      </c>
      <c r="Q184" s="6" t="str">
        <f>IF(COUNTIF(Analysis!$M$2:$M$3001,Analysis!$M184)&gt;1,"Duplicate","OK")</f>
        <v>OK</v>
      </c>
      <c r="R184" s="6" t="str">
        <f t="shared" si="1"/>
        <v>3600+</v>
      </c>
      <c r="S184" s="6">
        <f t="shared" si="2"/>
        <v>7</v>
      </c>
      <c r="T184" s="6" t="str">
        <f t="shared" si="3"/>
        <v>New</v>
      </c>
      <c r="BH184" s="14">
        <f>IFERROR(__xludf.DUMMYFUNCTION("""COMPUTED_VALUE"""),502220.0)</f>
        <v>502220</v>
      </c>
      <c r="BI184" s="60" t="str">
        <f>IFERROR(__xludf.DUMMYFUNCTION("""COMPUTED_VALUE"""),"6190 Pine Rd, Sacramento, IL 52654")</f>
        <v>6190 Pine Rd, Sacramento, IL 52654</v>
      </c>
      <c r="BJ184" s="60" t="str">
        <f>IFERROR(__xludf.DUMMYFUNCTION("""COMPUTED_VALUE"""),"Sacramento")</f>
        <v>Sacramento</v>
      </c>
      <c r="BK184" s="60">
        <f>IFERROR(__xludf.DUMMYFUNCTION("""COMPUTED_VALUE"""),52654.0)</f>
        <v>52654</v>
      </c>
      <c r="BL184" s="60" t="str">
        <f>IFERROR(__xludf.DUMMYFUNCTION("""COMPUTED_VALUE"""),"IL")</f>
        <v>IL</v>
      </c>
      <c r="BM184" s="60" t="str">
        <f>IFERROR(__xludf.DUMMYFUNCTION("""COMPUTED_VALUE"""),"2 bds")</f>
        <v>2 bds</v>
      </c>
      <c r="BN184" s="60" t="str">
        <f>IFERROR(__xludf.DUMMYFUNCTION("""COMPUTED_VALUE"""),"4 ba")</f>
        <v>4 ba</v>
      </c>
      <c r="BO184" s="60">
        <f>IFERROR(__xludf.DUMMYFUNCTION("""COMPUTED_VALUE"""),3877.0)</f>
        <v>3877</v>
      </c>
      <c r="BP184" s="60">
        <f>IFERROR(__xludf.DUMMYFUNCTION("""COMPUTED_VALUE"""),2422.0)</f>
        <v>2422</v>
      </c>
      <c r="BQ184" s="60">
        <f>IFERROR(__xludf.DUMMYFUNCTION("""COMPUTED_VALUE"""),2014.0)</f>
        <v>2014</v>
      </c>
      <c r="BR184" s="60">
        <f>IFERROR(__xludf.DUMMYFUNCTION("""COMPUTED_VALUE"""),84.0)</f>
        <v>84</v>
      </c>
      <c r="BS184" s="60" t="str">
        <f>IFERROR(__xludf.DUMMYFUNCTION("""COMPUTED_VALUE"""),"Condo")</f>
        <v>Condo</v>
      </c>
      <c r="BT184" s="60" t="str">
        <f>IFERROR(__xludf.DUMMYFUNCTION("""COMPUTED_VALUE"""),"Z655346")</f>
        <v>Z655346</v>
      </c>
      <c r="BU184" s="60" t="str">
        <f>IFERROR(__xludf.DUMMYFUNCTION("""COMPUTED_VALUE"""),"Alex Johnson - Compass")</f>
        <v>Alex Johnson - Compass</v>
      </c>
      <c r="BV184" s="60" t="str">
        <f>IFERROR(__xludf.DUMMYFUNCTION("""COMPUTED_VALUE"""),"Sold")</f>
        <v>Sold</v>
      </c>
      <c r="BW184" s="60">
        <f>IFERROR(__xludf.DUMMYFUNCTION("""COMPUTED_VALUE"""),1.0)</f>
        <v>1</v>
      </c>
      <c r="BX184" s="60" t="str">
        <f>IFERROR(__xludf.DUMMYFUNCTION("""COMPUTED_VALUE"""),"OK")</f>
        <v>OK</v>
      </c>
      <c r="BY184" s="1" t="str">
        <f>IFERROR(__xludf.DUMMYFUNCTION("""COMPUTED_VALUE"""),"3600+")</f>
        <v>3600+</v>
      </c>
      <c r="BZ184" s="1">
        <f>IFERROR(__xludf.DUMMYFUNCTION("""COMPUTED_VALUE"""),12.0)</f>
        <v>12</v>
      </c>
      <c r="CA184" s="1" t="str">
        <f>IFERROR(__xludf.DUMMYFUNCTION("""COMPUTED_VALUE"""),"Mid")</f>
        <v>Mid</v>
      </c>
    </row>
    <row r="185" ht="14.25" customHeight="1">
      <c r="A185" s="5">
        <v>632033.0</v>
      </c>
      <c r="B185" s="6" t="s">
        <v>781</v>
      </c>
      <c r="C185" s="6" t="s">
        <v>53</v>
      </c>
      <c r="D185" s="6">
        <v>19052.0</v>
      </c>
      <c r="E185" s="6" t="s">
        <v>30</v>
      </c>
      <c r="F185" s="6" t="s">
        <v>94</v>
      </c>
      <c r="G185" s="6" t="s">
        <v>55</v>
      </c>
      <c r="H185" s="7">
        <v>2424.0</v>
      </c>
      <c r="I185" s="7">
        <v>9094.0</v>
      </c>
      <c r="J185" s="6">
        <v>1964.0</v>
      </c>
      <c r="K185" s="6">
        <v>97.0</v>
      </c>
      <c r="L185" s="6" t="s">
        <v>95</v>
      </c>
      <c r="M185" s="6" t="s">
        <v>782</v>
      </c>
      <c r="N185" s="6" t="s">
        <v>48</v>
      </c>
      <c r="O185" s="6" t="s">
        <v>25</v>
      </c>
      <c r="P185" s="6">
        <f>COUNTIF(Analysis!$M$1:$M$3001,Analysis!$M185)</f>
        <v>1</v>
      </c>
      <c r="Q185" s="6" t="str">
        <f>IF(COUNTIF(Analysis!$M$2:$M$3001,Analysis!$M185)&gt;1,"Duplicate","OK")</f>
        <v>OK</v>
      </c>
      <c r="R185" s="6" t="str">
        <f t="shared" si="1"/>
        <v>1600-2600</v>
      </c>
      <c r="S185" s="6">
        <f t="shared" si="2"/>
        <v>62</v>
      </c>
      <c r="T185" s="6" t="str">
        <f t="shared" si="3"/>
        <v>Very Old</v>
      </c>
      <c r="BH185" s="14">
        <f>IFERROR(__xludf.DUMMYFUNCTION("""COMPUTED_VALUE"""),399361.0)</f>
        <v>399361</v>
      </c>
      <c r="BI185" s="60" t="str">
        <f>IFERROR(__xludf.DUMMYFUNCTION("""COMPUTED_VALUE"""),"2026 Pine Rd, San Diego, CA 53119")</f>
        <v>2026 Pine Rd, San Diego, CA 53119</v>
      </c>
      <c r="BJ185" s="60" t="str">
        <f>IFERROR(__xludf.DUMMYFUNCTION("""COMPUTED_VALUE"""),"San Diego")</f>
        <v>San Diego</v>
      </c>
      <c r="BK185" s="60">
        <f>IFERROR(__xludf.DUMMYFUNCTION("""COMPUTED_VALUE"""),53119.0)</f>
        <v>53119</v>
      </c>
      <c r="BL185" s="60" t="str">
        <f>IFERROR(__xludf.DUMMYFUNCTION("""COMPUTED_VALUE"""),"CA")</f>
        <v>CA</v>
      </c>
      <c r="BM185" s="60" t="str">
        <f>IFERROR(__xludf.DUMMYFUNCTION("""COMPUTED_VALUE"""),"6 bds")</f>
        <v>6 bds</v>
      </c>
      <c r="BN185" s="60" t="str">
        <f>IFERROR(__xludf.DUMMYFUNCTION("""COMPUTED_VALUE"""),"2 ba")</f>
        <v>2 ba</v>
      </c>
      <c r="BO185" s="60">
        <f>IFERROR(__xludf.DUMMYFUNCTION("""COMPUTED_VALUE"""),1302.0)</f>
        <v>1302</v>
      </c>
      <c r="BP185" s="60">
        <f>IFERROR(__xludf.DUMMYFUNCTION("""COMPUTED_VALUE"""),5463.0)</f>
        <v>5463</v>
      </c>
      <c r="BQ185" s="60">
        <f>IFERROR(__xludf.DUMMYFUNCTION("""COMPUTED_VALUE"""),1963.0)</f>
        <v>1963</v>
      </c>
      <c r="BR185" s="60">
        <f>IFERROR(__xludf.DUMMYFUNCTION("""COMPUTED_VALUE"""),47.0)</f>
        <v>47</v>
      </c>
      <c r="BS185" s="60" t="str">
        <f>IFERROR(__xludf.DUMMYFUNCTION("""COMPUTED_VALUE"""),"Multi-Family")</f>
        <v>Multi-Family</v>
      </c>
      <c r="BT185" s="60" t="str">
        <f>IFERROR(__xludf.DUMMYFUNCTION("""COMPUTED_VALUE"""),"Z610452")</f>
        <v>Z610452</v>
      </c>
      <c r="BU185" s="60" t="str">
        <f>IFERROR(__xludf.DUMMYFUNCTION("""COMPUTED_VALUE"""),"Alex Johnson - Compass")</f>
        <v>Alex Johnson - Compass</v>
      </c>
      <c r="BV185" s="60" t="str">
        <f>IFERROR(__xludf.DUMMYFUNCTION("""COMPUTED_VALUE"""),"Sold")</f>
        <v>Sold</v>
      </c>
      <c r="BW185" s="60">
        <f>IFERROR(__xludf.DUMMYFUNCTION("""COMPUTED_VALUE"""),1.0)</f>
        <v>1</v>
      </c>
      <c r="BX185" s="60" t="str">
        <f>IFERROR(__xludf.DUMMYFUNCTION("""COMPUTED_VALUE"""),"OK")</f>
        <v>OK</v>
      </c>
      <c r="BY185" s="1" t="str">
        <f>IFERROR(__xludf.DUMMYFUNCTION("""COMPUTED_VALUE"""),"600-1600")</f>
        <v>600-1600</v>
      </c>
      <c r="BZ185" s="1">
        <f>IFERROR(__xludf.DUMMYFUNCTION("""COMPUTED_VALUE"""),63.0)</f>
        <v>63</v>
      </c>
      <c r="CA185" s="1" t="str">
        <f>IFERROR(__xludf.DUMMYFUNCTION("""COMPUTED_VALUE"""),"Very Old")</f>
        <v>Very Old</v>
      </c>
    </row>
    <row r="186" ht="14.25" customHeight="1">
      <c r="A186" s="5">
        <v>328592.0</v>
      </c>
      <c r="B186" s="6" t="s">
        <v>785</v>
      </c>
      <c r="C186" s="6" t="s">
        <v>53</v>
      </c>
      <c r="D186" s="6">
        <v>15311.0</v>
      </c>
      <c r="E186" s="6" t="s">
        <v>40</v>
      </c>
      <c r="F186" s="6" t="s">
        <v>61</v>
      </c>
      <c r="G186" s="6" t="s">
        <v>55</v>
      </c>
      <c r="H186" s="7">
        <v>782.0</v>
      </c>
      <c r="I186" s="7">
        <v>7738.0</v>
      </c>
      <c r="J186" s="6">
        <v>1981.0</v>
      </c>
      <c r="K186" s="6">
        <v>60.0</v>
      </c>
      <c r="L186" s="6" t="s">
        <v>95</v>
      </c>
      <c r="M186" s="6" t="s">
        <v>786</v>
      </c>
      <c r="N186" s="6" t="s">
        <v>24</v>
      </c>
      <c r="O186" s="6" t="s">
        <v>25</v>
      </c>
      <c r="P186" s="6">
        <f>COUNTIF(Analysis!$M$1:$M$3001,Analysis!$M186)</f>
        <v>1</v>
      </c>
      <c r="Q186" s="6" t="str">
        <f>IF(COUNTIF(Analysis!$M$2:$M$3001,Analysis!$M186)&gt;1,"Duplicate","OK")</f>
        <v>OK</v>
      </c>
      <c r="R186" s="6" t="str">
        <f t="shared" si="1"/>
        <v>600-1600</v>
      </c>
      <c r="S186" s="6">
        <f t="shared" si="2"/>
        <v>45</v>
      </c>
      <c r="T186" s="6" t="str">
        <f t="shared" si="3"/>
        <v>Old</v>
      </c>
      <c r="BH186" s="14">
        <f>IFERROR(__xludf.DUMMYFUNCTION("""COMPUTED_VALUE"""),611479.0)</f>
        <v>611479</v>
      </c>
      <c r="BI186" s="60" t="str">
        <f>IFERROR(__xludf.DUMMYFUNCTION("""COMPUTED_VALUE"""),"9474 Maple Dr, San Diego, CA 14992")</f>
        <v>9474 Maple Dr, San Diego, CA 14992</v>
      </c>
      <c r="BJ186" s="60" t="str">
        <f>IFERROR(__xludf.DUMMYFUNCTION("""COMPUTED_VALUE"""),"San Diego")</f>
        <v>San Diego</v>
      </c>
      <c r="BK186" s="60">
        <f>IFERROR(__xludf.DUMMYFUNCTION("""COMPUTED_VALUE"""),14992.0)</f>
        <v>14992</v>
      </c>
      <c r="BL186" s="60" t="str">
        <f>IFERROR(__xludf.DUMMYFUNCTION("""COMPUTED_VALUE"""),"CA")</f>
        <v>CA</v>
      </c>
      <c r="BM186" s="60" t="str">
        <f>IFERROR(__xludf.DUMMYFUNCTION("""COMPUTED_VALUE"""),"6 bds")</f>
        <v>6 bds</v>
      </c>
      <c r="BN186" s="60" t="str">
        <f>IFERROR(__xludf.DUMMYFUNCTION("""COMPUTED_VALUE"""),"3 ba")</f>
        <v>3 ba</v>
      </c>
      <c r="BO186" s="60">
        <f>IFERROR(__xludf.DUMMYFUNCTION("""COMPUTED_VALUE"""),2139.0)</f>
        <v>2139</v>
      </c>
      <c r="BP186" s="60">
        <f>IFERROR(__xludf.DUMMYFUNCTION("""COMPUTED_VALUE"""),9931.0)</f>
        <v>9931</v>
      </c>
      <c r="BQ186" s="60">
        <f>IFERROR(__xludf.DUMMYFUNCTION("""COMPUTED_VALUE"""),1998.0)</f>
        <v>1998</v>
      </c>
      <c r="BR186" s="60">
        <f>IFERROR(__xludf.DUMMYFUNCTION("""COMPUTED_VALUE"""),83.0)</f>
        <v>83</v>
      </c>
      <c r="BS186" s="60" t="str">
        <f>IFERROR(__xludf.DUMMYFUNCTION("""COMPUTED_VALUE"""),"Apartment")</f>
        <v>Apartment</v>
      </c>
      <c r="BT186" s="60" t="str">
        <f>IFERROR(__xludf.DUMMYFUNCTION("""COMPUTED_VALUE"""),"Z282017")</f>
        <v>Z282017</v>
      </c>
      <c r="BU186" s="60" t="str">
        <f>IFERROR(__xludf.DUMMYFUNCTION("""COMPUTED_VALUE"""),"Alex Johnson - Compass")</f>
        <v>Alex Johnson - Compass</v>
      </c>
      <c r="BV186" s="60" t="str">
        <f>IFERROR(__xludf.DUMMYFUNCTION("""COMPUTED_VALUE"""),"Sold")</f>
        <v>Sold</v>
      </c>
      <c r="BW186" s="60">
        <f>IFERROR(__xludf.DUMMYFUNCTION("""COMPUTED_VALUE"""),1.0)</f>
        <v>1</v>
      </c>
      <c r="BX186" s="60" t="str">
        <f>IFERROR(__xludf.DUMMYFUNCTION("""COMPUTED_VALUE"""),"OK")</f>
        <v>OK</v>
      </c>
      <c r="BY186" s="1" t="str">
        <f>IFERROR(__xludf.DUMMYFUNCTION("""COMPUTED_VALUE"""),"1600-2600")</f>
        <v>1600-2600</v>
      </c>
      <c r="BZ186" s="1">
        <f>IFERROR(__xludf.DUMMYFUNCTION("""COMPUTED_VALUE"""),28.0)</f>
        <v>28</v>
      </c>
      <c r="CA186" s="1" t="str">
        <f>IFERROR(__xludf.DUMMYFUNCTION("""COMPUTED_VALUE"""),"Mid")</f>
        <v>Mid</v>
      </c>
    </row>
    <row r="187" ht="14.25" customHeight="1">
      <c r="A187" s="5">
        <v>199906.0</v>
      </c>
      <c r="B187" s="6" t="s">
        <v>5395</v>
      </c>
      <c r="C187" s="6" t="s">
        <v>29</v>
      </c>
      <c r="D187" s="6">
        <v>37195.0</v>
      </c>
      <c r="E187" s="6" t="s">
        <v>19</v>
      </c>
      <c r="F187" s="6" t="s">
        <v>46</v>
      </c>
      <c r="G187" s="6" t="s">
        <v>55</v>
      </c>
      <c r="H187" s="7">
        <v>1066.0</v>
      </c>
      <c r="I187" s="7">
        <v>8918.0</v>
      </c>
      <c r="J187" s="6">
        <v>1993.0</v>
      </c>
      <c r="K187" s="6">
        <v>20.0</v>
      </c>
      <c r="L187" s="6" t="s">
        <v>141</v>
      </c>
      <c r="M187" s="6" t="s">
        <v>5396</v>
      </c>
      <c r="N187" s="6" t="s">
        <v>34</v>
      </c>
      <c r="O187" s="6" t="s">
        <v>35</v>
      </c>
      <c r="P187" s="6">
        <f>COUNTIF(Analysis!$M$1:$M$3001,Analysis!$M1339)</f>
        <v>1</v>
      </c>
      <c r="Q187" s="6" t="str">
        <f>IF(COUNTIF(Analysis!$M$2:$M$3001,Analysis!$M1339)&gt;1,"Duplicate","OK")</f>
        <v>OK</v>
      </c>
      <c r="R187" s="6" t="str">
        <f t="shared" si="1"/>
        <v>600-1600</v>
      </c>
      <c r="S187" s="6">
        <f t="shared" si="2"/>
        <v>33</v>
      </c>
      <c r="T187" s="6" t="str">
        <f t="shared" si="3"/>
        <v>Old</v>
      </c>
      <c r="BH187" s="14">
        <f>IFERROR(__xludf.DUMMYFUNCTION("""COMPUTED_VALUE"""),128786.0)</f>
        <v>128786</v>
      </c>
      <c r="BI187" s="60" t="str">
        <f>IFERROR(__xludf.DUMMYFUNCTION("""COMPUTED_VALUE"""),"9494 Pine Rd, San Francisco, FL 60225")</f>
        <v>9494 Pine Rd, San Francisco, FL 60225</v>
      </c>
      <c r="BJ187" s="60" t="str">
        <f>IFERROR(__xludf.DUMMYFUNCTION("""COMPUTED_VALUE"""),"San Francisco")</f>
        <v>San Francisco</v>
      </c>
      <c r="BK187" s="60">
        <f>IFERROR(__xludf.DUMMYFUNCTION("""COMPUTED_VALUE"""),60225.0)</f>
        <v>60225</v>
      </c>
      <c r="BL187" s="60" t="str">
        <f>IFERROR(__xludf.DUMMYFUNCTION("""COMPUTED_VALUE"""),"FL")</f>
        <v>FL</v>
      </c>
      <c r="BM187" s="60" t="str">
        <f>IFERROR(__xludf.DUMMYFUNCTION("""COMPUTED_VALUE"""),"3 bds")</f>
        <v>3 bds</v>
      </c>
      <c r="BN187" s="60" t="str">
        <f>IFERROR(__xludf.DUMMYFUNCTION("""COMPUTED_VALUE"""),"3 ba")</f>
        <v>3 ba</v>
      </c>
      <c r="BO187" s="60">
        <f>IFERROR(__xludf.DUMMYFUNCTION("""COMPUTED_VALUE"""),3828.0)</f>
        <v>3828</v>
      </c>
      <c r="BP187" s="60">
        <f>IFERROR(__xludf.DUMMYFUNCTION("""COMPUTED_VALUE"""),4647.0)</f>
        <v>4647</v>
      </c>
      <c r="BQ187" s="60">
        <f>IFERROR(__xludf.DUMMYFUNCTION("""COMPUTED_VALUE"""),2019.0)</f>
        <v>2019</v>
      </c>
      <c r="BR187" s="60">
        <f>IFERROR(__xludf.DUMMYFUNCTION("""COMPUTED_VALUE"""),65.0)</f>
        <v>65</v>
      </c>
      <c r="BS187" s="60" t="str">
        <f>IFERROR(__xludf.DUMMYFUNCTION("""COMPUTED_VALUE"""),"Townhouse")</f>
        <v>Townhouse</v>
      </c>
      <c r="BT187" s="60" t="str">
        <f>IFERROR(__xludf.DUMMYFUNCTION("""COMPUTED_VALUE"""),"Z724498")</f>
        <v>Z724498</v>
      </c>
      <c r="BU187" s="60" t="str">
        <f>IFERROR(__xludf.DUMMYFUNCTION("""COMPUTED_VALUE"""),"Alex Johnson - Compass")</f>
        <v>Alex Johnson - Compass</v>
      </c>
      <c r="BV187" s="60" t="str">
        <f>IFERROR(__xludf.DUMMYFUNCTION("""COMPUTED_VALUE"""),"Sold")</f>
        <v>Sold</v>
      </c>
      <c r="BW187" s="60">
        <f>IFERROR(__xludf.DUMMYFUNCTION("""COMPUTED_VALUE"""),1.0)</f>
        <v>1</v>
      </c>
      <c r="BX187" s="60" t="str">
        <f>IFERROR(__xludf.DUMMYFUNCTION("""COMPUTED_VALUE"""),"OK")</f>
        <v>OK</v>
      </c>
      <c r="BY187" s="1" t="str">
        <f>IFERROR(__xludf.DUMMYFUNCTION("""COMPUTED_VALUE"""),"3600+")</f>
        <v>3600+</v>
      </c>
      <c r="BZ187" s="1">
        <f>IFERROR(__xludf.DUMMYFUNCTION("""COMPUTED_VALUE"""),7.0)</f>
        <v>7</v>
      </c>
      <c r="CA187" s="1" t="str">
        <f>IFERROR(__xludf.DUMMYFUNCTION("""COMPUTED_VALUE"""),"New")</f>
        <v>New</v>
      </c>
    </row>
    <row r="188" ht="14.25" customHeight="1">
      <c r="A188" s="5">
        <v>241995.0</v>
      </c>
      <c r="B188" s="6" t="s">
        <v>793</v>
      </c>
      <c r="C188" s="6" t="s">
        <v>53</v>
      </c>
      <c r="D188" s="6">
        <v>38983.0</v>
      </c>
      <c r="E188" s="6" t="s">
        <v>77</v>
      </c>
      <c r="F188" s="6" t="s">
        <v>94</v>
      </c>
      <c r="G188" s="6" t="s">
        <v>100</v>
      </c>
      <c r="H188" s="7">
        <v>2842.0</v>
      </c>
      <c r="I188" s="7">
        <v>4737.0</v>
      </c>
      <c r="J188" s="6">
        <v>1987.0</v>
      </c>
      <c r="K188" s="6">
        <v>24.0</v>
      </c>
      <c r="L188" s="6" t="s">
        <v>141</v>
      </c>
      <c r="M188" s="6" t="s">
        <v>794</v>
      </c>
      <c r="N188" s="6" t="s">
        <v>24</v>
      </c>
      <c r="O188" s="6" t="s">
        <v>25</v>
      </c>
      <c r="P188" s="6">
        <f>COUNTIF(Analysis!$M$1:$M$3001,Analysis!$M188)</f>
        <v>1</v>
      </c>
      <c r="Q188" s="6" t="str">
        <f>IF(COUNTIF(Analysis!$M$2:$M$3001,Analysis!$M188)&gt;1,"Duplicate","OK")</f>
        <v>OK</v>
      </c>
      <c r="R188" s="6" t="str">
        <f t="shared" si="1"/>
        <v>2600-3600</v>
      </c>
      <c r="S188" s="6">
        <f t="shared" si="2"/>
        <v>39</v>
      </c>
      <c r="T188" s="6" t="str">
        <f t="shared" si="3"/>
        <v>Old</v>
      </c>
      <c r="BH188" s="14">
        <f>IFERROR(__xludf.DUMMYFUNCTION("""COMPUTED_VALUE"""),1228208.0)</f>
        <v>1228208</v>
      </c>
      <c r="BI188" s="60" t="str">
        <f>IFERROR(__xludf.DUMMYFUNCTION("""COMPUTED_VALUE"""),"2652 Maple Dr, Fresno, NY 30014")</f>
        <v>2652 Maple Dr, Fresno, NY 30014</v>
      </c>
      <c r="BJ188" s="60" t="str">
        <f>IFERROR(__xludf.DUMMYFUNCTION("""COMPUTED_VALUE"""),"Fresno")</f>
        <v>Fresno</v>
      </c>
      <c r="BK188" s="60">
        <f>IFERROR(__xludf.DUMMYFUNCTION("""COMPUTED_VALUE"""),30014.0)</f>
        <v>30014</v>
      </c>
      <c r="BL188" s="60" t="str">
        <f>IFERROR(__xludf.DUMMYFUNCTION("""COMPUTED_VALUE"""),"NY")</f>
        <v>NY</v>
      </c>
      <c r="BM188" s="60" t="str">
        <f>IFERROR(__xludf.DUMMYFUNCTION("""COMPUTED_VALUE"""),"6 bds")</f>
        <v>6 bds</v>
      </c>
      <c r="BN188" s="60" t="str">
        <f>IFERROR(__xludf.DUMMYFUNCTION("""COMPUTED_VALUE"""),"1 ba")</f>
        <v>1 ba</v>
      </c>
      <c r="BO188" s="60">
        <f>IFERROR(__xludf.DUMMYFUNCTION("""COMPUTED_VALUE"""),3370.0)</f>
        <v>3370</v>
      </c>
      <c r="BP188" s="60">
        <f>IFERROR(__xludf.DUMMYFUNCTION("""COMPUTED_VALUE"""),4176.0)</f>
        <v>4176</v>
      </c>
      <c r="BQ188" s="60">
        <f>IFERROR(__xludf.DUMMYFUNCTION("""COMPUTED_VALUE"""),1981.0)</f>
        <v>1981</v>
      </c>
      <c r="BR188" s="60">
        <f>IFERROR(__xludf.DUMMYFUNCTION("""COMPUTED_VALUE"""),87.0)</f>
        <v>87</v>
      </c>
      <c r="BS188" s="60" t="str">
        <f>IFERROR(__xludf.DUMMYFUNCTION("""COMPUTED_VALUE"""),"Multi-Family")</f>
        <v>Multi-Family</v>
      </c>
      <c r="BT188" s="60" t="str">
        <f>IFERROR(__xludf.DUMMYFUNCTION("""COMPUTED_VALUE"""),"Z450554")</f>
        <v>Z450554</v>
      </c>
      <c r="BU188" s="60" t="str">
        <f>IFERROR(__xludf.DUMMYFUNCTION("""COMPUTED_VALUE"""),"Alex Johnson - Compass")</f>
        <v>Alex Johnson - Compass</v>
      </c>
      <c r="BV188" s="60" t="str">
        <f>IFERROR(__xludf.DUMMYFUNCTION("""COMPUTED_VALUE"""),"Sold")</f>
        <v>Sold</v>
      </c>
      <c r="BW188" s="60">
        <f>IFERROR(__xludf.DUMMYFUNCTION("""COMPUTED_VALUE"""),1.0)</f>
        <v>1</v>
      </c>
      <c r="BX188" s="60" t="str">
        <f>IFERROR(__xludf.DUMMYFUNCTION("""COMPUTED_VALUE"""),"OK")</f>
        <v>OK</v>
      </c>
      <c r="BY188" s="1" t="str">
        <f>IFERROR(__xludf.DUMMYFUNCTION("""COMPUTED_VALUE"""),"2600-3600")</f>
        <v>2600-3600</v>
      </c>
      <c r="BZ188" s="1">
        <f>IFERROR(__xludf.DUMMYFUNCTION("""COMPUTED_VALUE"""),45.0)</f>
        <v>45</v>
      </c>
      <c r="CA188" s="1" t="str">
        <f>IFERROR(__xludf.DUMMYFUNCTION("""COMPUTED_VALUE"""),"Old")</f>
        <v>Old</v>
      </c>
    </row>
    <row r="189" ht="14.25" customHeight="1">
      <c r="A189" s="5">
        <v>183679.0</v>
      </c>
      <c r="B189" s="6" t="s">
        <v>797</v>
      </c>
      <c r="C189" s="6" t="s">
        <v>76</v>
      </c>
      <c r="D189" s="6">
        <v>95768.0</v>
      </c>
      <c r="E189" s="6" t="s">
        <v>77</v>
      </c>
      <c r="F189" s="6" t="s">
        <v>61</v>
      </c>
      <c r="G189" s="6" t="s">
        <v>31</v>
      </c>
      <c r="H189" s="7">
        <v>3566.0</v>
      </c>
      <c r="I189" s="7">
        <v>2593.0</v>
      </c>
      <c r="J189" s="6">
        <v>1968.0</v>
      </c>
      <c r="K189" s="6">
        <v>32.0</v>
      </c>
      <c r="L189" s="6" t="s">
        <v>22</v>
      </c>
      <c r="M189" s="6" t="s">
        <v>798</v>
      </c>
      <c r="N189" s="6" t="s">
        <v>48</v>
      </c>
      <c r="O189" s="6" t="s">
        <v>25</v>
      </c>
      <c r="P189" s="6">
        <f>COUNTIF(Analysis!$M$1:$M$3001,Analysis!$M189)</f>
        <v>1</v>
      </c>
      <c r="Q189" s="6" t="str">
        <f>IF(COUNTIF(Analysis!$M$2:$M$3001,Analysis!$M189)&gt;1,"Duplicate","OK")</f>
        <v>OK</v>
      </c>
      <c r="R189" s="6" t="str">
        <f t="shared" si="1"/>
        <v>2600-3600</v>
      </c>
      <c r="S189" s="6">
        <f t="shared" si="2"/>
        <v>58</v>
      </c>
      <c r="T189" s="6" t="str">
        <f t="shared" si="3"/>
        <v>Old</v>
      </c>
      <c r="BH189" s="14">
        <f>IFERROR(__xludf.DUMMYFUNCTION("""COMPUTED_VALUE"""),156731.0)</f>
        <v>156731</v>
      </c>
      <c r="BI189" s="60" t="str">
        <f>IFERROR(__xludf.DUMMYFUNCTION("""COMPUTED_VALUE"""),"8283 Maple Dr, Los Angeles, NY 44822")</f>
        <v>8283 Maple Dr, Los Angeles, NY 44822</v>
      </c>
      <c r="BJ189" s="60" t="str">
        <f>IFERROR(__xludf.DUMMYFUNCTION("""COMPUTED_VALUE"""),"Los Angeles")</f>
        <v>Los Angeles</v>
      </c>
      <c r="BK189" s="60">
        <f>IFERROR(__xludf.DUMMYFUNCTION("""COMPUTED_VALUE"""),44822.0)</f>
        <v>44822</v>
      </c>
      <c r="BL189" s="60" t="str">
        <f>IFERROR(__xludf.DUMMYFUNCTION("""COMPUTED_VALUE"""),"NY")</f>
        <v>NY</v>
      </c>
      <c r="BM189" s="60" t="str">
        <f>IFERROR(__xludf.DUMMYFUNCTION("""COMPUTED_VALUE"""),"2 bds")</f>
        <v>2 bds</v>
      </c>
      <c r="BN189" s="60" t="str">
        <f>IFERROR(__xludf.DUMMYFUNCTION("""COMPUTED_VALUE"""),"2 ba")</f>
        <v>2 ba</v>
      </c>
      <c r="BO189" s="60">
        <f>IFERROR(__xludf.DUMMYFUNCTION("""COMPUTED_VALUE"""),1872.0)</f>
        <v>1872</v>
      </c>
      <c r="BP189" s="60">
        <f>IFERROR(__xludf.DUMMYFUNCTION("""COMPUTED_VALUE"""),9203.0)</f>
        <v>9203</v>
      </c>
      <c r="BQ189" s="60">
        <f>IFERROR(__xludf.DUMMYFUNCTION("""COMPUTED_VALUE"""),1980.0)</f>
        <v>1980</v>
      </c>
      <c r="BR189" s="60">
        <f>IFERROR(__xludf.DUMMYFUNCTION("""COMPUTED_VALUE"""),32.0)</f>
        <v>32</v>
      </c>
      <c r="BS189" s="60" t="str">
        <f>IFERROR(__xludf.DUMMYFUNCTION("""COMPUTED_VALUE"""),"Apartment")</f>
        <v>Apartment</v>
      </c>
      <c r="BT189" s="60" t="str">
        <f>IFERROR(__xludf.DUMMYFUNCTION("""COMPUTED_VALUE"""),"Z802044")</f>
        <v>Z802044</v>
      </c>
      <c r="BU189" s="60" t="str">
        <f>IFERROR(__xludf.DUMMYFUNCTION("""COMPUTED_VALUE"""),"Alex Johnson - Compass")</f>
        <v>Alex Johnson - Compass</v>
      </c>
      <c r="BV189" s="60" t="str">
        <f>IFERROR(__xludf.DUMMYFUNCTION("""COMPUTED_VALUE"""),"Sold")</f>
        <v>Sold</v>
      </c>
      <c r="BW189" s="60">
        <f>IFERROR(__xludf.DUMMYFUNCTION("""COMPUTED_VALUE"""),1.0)</f>
        <v>1</v>
      </c>
      <c r="BX189" s="60" t="str">
        <f>IFERROR(__xludf.DUMMYFUNCTION("""COMPUTED_VALUE"""),"OK")</f>
        <v>OK</v>
      </c>
      <c r="BY189" s="1" t="str">
        <f>IFERROR(__xludf.DUMMYFUNCTION("""COMPUTED_VALUE"""),"1600-2600")</f>
        <v>1600-2600</v>
      </c>
      <c r="BZ189" s="1">
        <f>IFERROR(__xludf.DUMMYFUNCTION("""COMPUTED_VALUE"""),46.0)</f>
        <v>46</v>
      </c>
      <c r="CA189" s="1" t="str">
        <f>IFERROR(__xludf.DUMMYFUNCTION("""COMPUTED_VALUE"""),"Old")</f>
        <v>Old</v>
      </c>
    </row>
    <row r="190" ht="14.25" customHeight="1">
      <c r="A190" s="5">
        <v>803730.0</v>
      </c>
      <c r="B190" s="6" t="s">
        <v>801</v>
      </c>
      <c r="C190" s="6" t="s">
        <v>18</v>
      </c>
      <c r="D190" s="6">
        <v>30565.0</v>
      </c>
      <c r="E190" s="6" t="s">
        <v>30</v>
      </c>
      <c r="F190" s="6" t="s">
        <v>46</v>
      </c>
      <c r="G190" s="6" t="s">
        <v>21</v>
      </c>
      <c r="H190" s="7">
        <v>2648.0</v>
      </c>
      <c r="I190" s="7">
        <v>4097.0</v>
      </c>
      <c r="J190" s="6">
        <v>1962.0</v>
      </c>
      <c r="K190" s="6">
        <v>83.0</v>
      </c>
      <c r="L190" s="6" t="s">
        <v>22</v>
      </c>
      <c r="M190" s="6" t="s">
        <v>802</v>
      </c>
      <c r="N190" s="6" t="s">
        <v>34</v>
      </c>
      <c r="O190" s="6" t="s">
        <v>35</v>
      </c>
      <c r="P190" s="6">
        <f>COUNTIF(Analysis!$M$1:$M$3001,Analysis!$M190)</f>
        <v>1</v>
      </c>
      <c r="Q190" s="6" t="str">
        <f>IF(COUNTIF(Analysis!$M$2:$M$3001,Analysis!$M190)&gt;1,"Duplicate","OK")</f>
        <v>OK</v>
      </c>
      <c r="R190" s="6" t="str">
        <f t="shared" si="1"/>
        <v>2600-3600</v>
      </c>
      <c r="S190" s="6">
        <f t="shared" si="2"/>
        <v>64</v>
      </c>
      <c r="T190" s="6" t="str">
        <f t="shared" si="3"/>
        <v>Very Old</v>
      </c>
      <c r="BH190" s="14">
        <f>IFERROR(__xludf.DUMMYFUNCTION("""COMPUTED_VALUE"""),1309732.0)</f>
        <v>1309732</v>
      </c>
      <c r="BI190" s="60" t="str">
        <f>IFERROR(__xludf.DUMMYFUNCTION("""COMPUTED_VALUE"""),"8418 Oak Ave, San Francisco, FL 13360")</f>
        <v>8418 Oak Ave, San Francisco, FL 13360</v>
      </c>
      <c r="BJ190" s="60" t="str">
        <f>IFERROR(__xludf.DUMMYFUNCTION("""COMPUTED_VALUE"""),"San Francisco")</f>
        <v>San Francisco</v>
      </c>
      <c r="BK190" s="60">
        <f>IFERROR(__xludf.DUMMYFUNCTION("""COMPUTED_VALUE"""),13360.0)</f>
        <v>13360</v>
      </c>
      <c r="BL190" s="60" t="str">
        <f>IFERROR(__xludf.DUMMYFUNCTION("""COMPUTED_VALUE"""),"FL")</f>
        <v>FL</v>
      </c>
      <c r="BM190" s="60" t="str">
        <f>IFERROR(__xludf.DUMMYFUNCTION("""COMPUTED_VALUE"""),"6 bds")</f>
        <v>6 bds</v>
      </c>
      <c r="BN190" s="60" t="str">
        <f>IFERROR(__xludf.DUMMYFUNCTION("""COMPUTED_VALUE"""),"1 ba")</f>
        <v>1 ba</v>
      </c>
      <c r="BO190" s="60">
        <f>IFERROR(__xludf.DUMMYFUNCTION("""COMPUTED_VALUE"""),3541.0)</f>
        <v>3541</v>
      </c>
      <c r="BP190" s="60">
        <f>IFERROR(__xludf.DUMMYFUNCTION("""COMPUTED_VALUE"""),3253.0)</f>
        <v>3253</v>
      </c>
      <c r="BQ190" s="60">
        <f>IFERROR(__xludf.DUMMYFUNCTION("""COMPUTED_VALUE"""),1959.0)</f>
        <v>1959</v>
      </c>
      <c r="BR190" s="60">
        <f>IFERROR(__xludf.DUMMYFUNCTION("""COMPUTED_VALUE"""),11.0)</f>
        <v>11</v>
      </c>
      <c r="BS190" s="60" t="str">
        <f>IFERROR(__xludf.DUMMYFUNCTION("""COMPUTED_VALUE"""),"Multi-Family")</f>
        <v>Multi-Family</v>
      </c>
      <c r="BT190" s="60" t="str">
        <f>IFERROR(__xludf.DUMMYFUNCTION("""COMPUTED_VALUE"""),"Z130873")</f>
        <v>Z130873</v>
      </c>
      <c r="BU190" s="60" t="str">
        <f>IFERROR(__xludf.DUMMYFUNCTION("""COMPUTED_VALUE"""),"Alex Johnson - Compass")</f>
        <v>Alex Johnson - Compass</v>
      </c>
      <c r="BV190" s="60" t="str">
        <f>IFERROR(__xludf.DUMMYFUNCTION("""COMPUTED_VALUE"""),"Sold")</f>
        <v>Sold</v>
      </c>
      <c r="BW190" s="60">
        <f>IFERROR(__xludf.DUMMYFUNCTION("""COMPUTED_VALUE"""),1.0)</f>
        <v>1</v>
      </c>
      <c r="BX190" s="60" t="str">
        <f>IFERROR(__xludf.DUMMYFUNCTION("""COMPUTED_VALUE"""),"OK")</f>
        <v>OK</v>
      </c>
      <c r="BY190" s="1" t="str">
        <f>IFERROR(__xludf.DUMMYFUNCTION("""COMPUTED_VALUE"""),"2600-3600")</f>
        <v>2600-3600</v>
      </c>
      <c r="BZ190" s="1">
        <f>IFERROR(__xludf.DUMMYFUNCTION("""COMPUTED_VALUE"""),67.0)</f>
        <v>67</v>
      </c>
      <c r="CA190" s="1" t="str">
        <f>IFERROR(__xludf.DUMMYFUNCTION("""COMPUTED_VALUE"""),"Very Old")</f>
        <v>Very Old</v>
      </c>
    </row>
    <row r="191" ht="14.25" customHeight="1">
      <c r="A191" s="5">
        <v>707137.0</v>
      </c>
      <c r="B191" s="6" t="s">
        <v>805</v>
      </c>
      <c r="C191" s="6" t="s">
        <v>18</v>
      </c>
      <c r="D191" s="6">
        <v>50470.0</v>
      </c>
      <c r="E191" s="6" t="s">
        <v>30</v>
      </c>
      <c r="F191" s="6" t="s">
        <v>41</v>
      </c>
      <c r="G191" s="6" t="s">
        <v>100</v>
      </c>
      <c r="H191" s="7">
        <v>1102.0</v>
      </c>
      <c r="I191" s="7">
        <v>1279.0</v>
      </c>
      <c r="J191" s="6">
        <v>1954.0</v>
      </c>
      <c r="K191" s="6">
        <v>48.0</v>
      </c>
      <c r="L191" s="6" t="s">
        <v>32</v>
      </c>
      <c r="M191" s="6" t="s">
        <v>806</v>
      </c>
      <c r="N191" s="6" t="s">
        <v>34</v>
      </c>
      <c r="O191" s="6" t="s">
        <v>35</v>
      </c>
      <c r="P191" s="6">
        <f>COUNTIF(Analysis!$M$1:$M$3001,Analysis!$M191)</f>
        <v>1</v>
      </c>
      <c r="Q191" s="6" t="str">
        <f>IF(COUNTIF(Analysis!$M$2:$M$3001,Analysis!$M191)&gt;1,"Duplicate","OK")</f>
        <v>OK</v>
      </c>
      <c r="R191" s="6" t="str">
        <f t="shared" si="1"/>
        <v>600-1600</v>
      </c>
      <c r="S191" s="6">
        <f t="shared" si="2"/>
        <v>72</v>
      </c>
      <c r="T191" s="6" t="str">
        <f t="shared" si="3"/>
        <v>Very Old</v>
      </c>
      <c r="BH191" s="14">
        <f>IFERROR(__xludf.DUMMYFUNCTION("""COMPUTED_VALUE"""),1257567.0)</f>
        <v>1257567</v>
      </c>
      <c r="BI191" s="60" t="str">
        <f>IFERROR(__xludf.DUMMYFUNCTION("""COMPUTED_VALUE"""),"3106 Oak Ave, Fresno, IL 66989")</f>
        <v>3106 Oak Ave, Fresno, IL 66989</v>
      </c>
      <c r="BJ191" s="60" t="str">
        <f>IFERROR(__xludf.DUMMYFUNCTION("""COMPUTED_VALUE"""),"Fresno")</f>
        <v>Fresno</v>
      </c>
      <c r="BK191" s="60">
        <f>IFERROR(__xludf.DUMMYFUNCTION("""COMPUTED_VALUE"""),66989.0)</f>
        <v>66989</v>
      </c>
      <c r="BL191" s="60" t="str">
        <f>IFERROR(__xludf.DUMMYFUNCTION("""COMPUTED_VALUE"""),"IL")</f>
        <v>IL</v>
      </c>
      <c r="BM191" s="60" t="str">
        <f>IFERROR(__xludf.DUMMYFUNCTION("""COMPUTED_VALUE"""),"2 bds")</f>
        <v>2 bds</v>
      </c>
      <c r="BN191" s="60" t="str">
        <f>IFERROR(__xludf.DUMMYFUNCTION("""COMPUTED_VALUE"""),"1 ba")</f>
        <v>1 ba</v>
      </c>
      <c r="BO191" s="60">
        <f>IFERROR(__xludf.DUMMYFUNCTION("""COMPUTED_VALUE"""),3887.0)</f>
        <v>3887</v>
      </c>
      <c r="BP191" s="60">
        <f>IFERROR(__xludf.DUMMYFUNCTION("""COMPUTED_VALUE"""),8829.0)</f>
        <v>8829</v>
      </c>
      <c r="BQ191" s="60">
        <f>IFERROR(__xludf.DUMMYFUNCTION("""COMPUTED_VALUE"""),1957.0)</f>
        <v>1957</v>
      </c>
      <c r="BR191" s="60">
        <f>IFERROR(__xludf.DUMMYFUNCTION("""COMPUTED_VALUE"""),43.0)</f>
        <v>43</v>
      </c>
      <c r="BS191" s="60" t="str">
        <f>IFERROR(__xludf.DUMMYFUNCTION("""COMPUTED_VALUE"""),"Condo")</f>
        <v>Condo</v>
      </c>
      <c r="BT191" s="60" t="str">
        <f>IFERROR(__xludf.DUMMYFUNCTION("""COMPUTED_VALUE"""),"Z842773")</f>
        <v>Z842773</v>
      </c>
      <c r="BU191" s="60" t="str">
        <f>IFERROR(__xludf.DUMMYFUNCTION("""COMPUTED_VALUE"""),"Alex Johnson - Compass")</f>
        <v>Alex Johnson - Compass</v>
      </c>
      <c r="BV191" s="60" t="str">
        <f>IFERROR(__xludf.DUMMYFUNCTION("""COMPUTED_VALUE"""),"Sold")</f>
        <v>Sold</v>
      </c>
      <c r="BW191" s="60">
        <f>IFERROR(__xludf.DUMMYFUNCTION("""COMPUTED_VALUE"""),1.0)</f>
        <v>1</v>
      </c>
      <c r="BX191" s="60" t="str">
        <f>IFERROR(__xludf.DUMMYFUNCTION("""COMPUTED_VALUE"""),"OK")</f>
        <v>OK</v>
      </c>
      <c r="BY191" s="1" t="str">
        <f>IFERROR(__xludf.DUMMYFUNCTION("""COMPUTED_VALUE"""),"3600+")</f>
        <v>3600+</v>
      </c>
      <c r="BZ191" s="1">
        <f>IFERROR(__xludf.DUMMYFUNCTION("""COMPUTED_VALUE"""),69.0)</f>
        <v>69</v>
      </c>
      <c r="CA191" s="1" t="str">
        <f>IFERROR(__xludf.DUMMYFUNCTION("""COMPUTED_VALUE"""),"Very Old")</f>
        <v>Very Old</v>
      </c>
    </row>
    <row r="192" ht="14.25" customHeight="1">
      <c r="A192" s="5">
        <v>200218.0</v>
      </c>
      <c r="B192" s="6" t="s">
        <v>5874</v>
      </c>
      <c r="C192" s="6" t="s">
        <v>29</v>
      </c>
      <c r="D192" s="6">
        <v>92482.0</v>
      </c>
      <c r="E192" s="6" t="s">
        <v>60</v>
      </c>
      <c r="F192" s="6" t="s">
        <v>41</v>
      </c>
      <c r="G192" s="6" t="s">
        <v>21</v>
      </c>
      <c r="H192" s="7">
        <v>1860.0</v>
      </c>
      <c r="I192" s="7">
        <v>8438.0</v>
      </c>
      <c r="J192" s="6">
        <v>1982.0</v>
      </c>
      <c r="K192" s="6">
        <v>20.0</v>
      </c>
      <c r="L192" s="6" t="s">
        <v>22</v>
      </c>
      <c r="M192" s="6" t="s">
        <v>5875</v>
      </c>
      <c r="N192" s="6" t="s">
        <v>48</v>
      </c>
      <c r="O192" s="6" t="s">
        <v>35</v>
      </c>
      <c r="P192" s="6">
        <f>COUNTIF(Analysis!$M$1:$M$3001,Analysis!$M1459)</f>
        <v>1</v>
      </c>
      <c r="Q192" s="6" t="str">
        <f>IF(COUNTIF(Analysis!$M$2:$M$3001,Analysis!$M1459)&gt;1,"Duplicate","OK")</f>
        <v>OK</v>
      </c>
      <c r="R192" s="6" t="str">
        <f t="shared" si="1"/>
        <v>1600-2600</v>
      </c>
      <c r="S192" s="6">
        <f t="shared" si="2"/>
        <v>44</v>
      </c>
      <c r="T192" s="6" t="str">
        <f t="shared" si="3"/>
        <v>Old</v>
      </c>
      <c r="BH192" s="14">
        <f>IFERROR(__xludf.DUMMYFUNCTION("""COMPUTED_VALUE"""),476404.0)</f>
        <v>476404</v>
      </c>
      <c r="BI192" s="60" t="str">
        <f>IFERROR(__xludf.DUMMYFUNCTION("""COMPUTED_VALUE"""),"2683 Elm St, San Diego, IL 63703")</f>
        <v>2683 Elm St, San Diego, IL 63703</v>
      </c>
      <c r="BJ192" s="60" t="str">
        <f>IFERROR(__xludf.DUMMYFUNCTION("""COMPUTED_VALUE"""),"San Diego")</f>
        <v>San Diego</v>
      </c>
      <c r="BK192" s="60">
        <f>IFERROR(__xludf.DUMMYFUNCTION("""COMPUTED_VALUE"""),63703.0)</f>
        <v>63703</v>
      </c>
      <c r="BL192" s="60" t="str">
        <f>IFERROR(__xludf.DUMMYFUNCTION("""COMPUTED_VALUE"""),"IL")</f>
        <v>IL</v>
      </c>
      <c r="BM192" s="60" t="str">
        <f>IFERROR(__xludf.DUMMYFUNCTION("""COMPUTED_VALUE"""),"2 bds")</f>
        <v>2 bds</v>
      </c>
      <c r="BN192" s="60" t="str">
        <f>IFERROR(__xludf.DUMMYFUNCTION("""COMPUTED_VALUE"""),"3 ba")</f>
        <v>3 ba</v>
      </c>
      <c r="BO192" s="60">
        <f>IFERROR(__xludf.DUMMYFUNCTION("""COMPUTED_VALUE"""),1444.0)</f>
        <v>1444</v>
      </c>
      <c r="BP192" s="60">
        <f>IFERROR(__xludf.DUMMYFUNCTION("""COMPUTED_VALUE"""),9707.0)</f>
        <v>9707</v>
      </c>
      <c r="BQ192" s="60">
        <f>IFERROR(__xludf.DUMMYFUNCTION("""COMPUTED_VALUE"""),2009.0)</f>
        <v>2009</v>
      </c>
      <c r="BR192" s="60">
        <f>IFERROR(__xludf.DUMMYFUNCTION("""COMPUTED_VALUE"""),83.0)</f>
        <v>83</v>
      </c>
      <c r="BS192" s="60" t="str">
        <f>IFERROR(__xludf.DUMMYFUNCTION("""COMPUTED_VALUE"""),"Multi-Family")</f>
        <v>Multi-Family</v>
      </c>
      <c r="BT192" s="60" t="str">
        <f>IFERROR(__xludf.DUMMYFUNCTION("""COMPUTED_VALUE"""),"Z965869")</f>
        <v>Z965869</v>
      </c>
      <c r="BU192" s="60" t="str">
        <f>IFERROR(__xludf.DUMMYFUNCTION("""COMPUTED_VALUE"""),"Alex Johnson - Compass")</f>
        <v>Alex Johnson - Compass</v>
      </c>
      <c r="BV192" s="60" t="str">
        <f>IFERROR(__xludf.DUMMYFUNCTION("""COMPUTED_VALUE"""),"Sold")</f>
        <v>Sold</v>
      </c>
      <c r="BW192" s="60">
        <f>IFERROR(__xludf.DUMMYFUNCTION("""COMPUTED_VALUE"""),1.0)</f>
        <v>1</v>
      </c>
      <c r="BX192" s="60" t="str">
        <f>IFERROR(__xludf.DUMMYFUNCTION("""COMPUTED_VALUE"""),"OK")</f>
        <v>OK</v>
      </c>
      <c r="BY192" s="1" t="str">
        <f>IFERROR(__xludf.DUMMYFUNCTION("""COMPUTED_VALUE"""),"600-1600")</f>
        <v>600-1600</v>
      </c>
      <c r="BZ192" s="1">
        <f>IFERROR(__xludf.DUMMYFUNCTION("""COMPUTED_VALUE"""),17.0)</f>
        <v>17</v>
      </c>
      <c r="CA192" s="1" t="str">
        <f>IFERROR(__xludf.DUMMYFUNCTION("""COMPUTED_VALUE"""),"Mid")</f>
        <v>Mid</v>
      </c>
    </row>
    <row r="193" ht="14.25" customHeight="1">
      <c r="A193" s="5">
        <v>430954.0</v>
      </c>
      <c r="B193" s="6" t="s">
        <v>813</v>
      </c>
      <c r="C193" s="6" t="s">
        <v>53</v>
      </c>
      <c r="D193" s="6">
        <v>18835.0</v>
      </c>
      <c r="E193" s="6" t="s">
        <v>77</v>
      </c>
      <c r="F193" s="6" t="s">
        <v>41</v>
      </c>
      <c r="G193" s="6" t="s">
        <v>100</v>
      </c>
      <c r="H193" s="7">
        <v>764.0</v>
      </c>
      <c r="I193" s="7">
        <v>3879.0</v>
      </c>
      <c r="J193" s="6">
        <v>1975.0</v>
      </c>
      <c r="K193" s="6">
        <v>3.0</v>
      </c>
      <c r="L193" s="6" t="s">
        <v>141</v>
      </c>
      <c r="M193" s="6" t="s">
        <v>814</v>
      </c>
      <c r="N193" s="6" t="s">
        <v>24</v>
      </c>
      <c r="O193" s="6" t="s">
        <v>49</v>
      </c>
      <c r="P193" s="6">
        <f>COUNTIF(Analysis!$M$1:$M$3001,Analysis!$M193)</f>
        <v>1</v>
      </c>
      <c r="Q193" s="6" t="str">
        <f>IF(COUNTIF(Analysis!$M$2:$M$3001,Analysis!$M193)&gt;1,"Duplicate","OK")</f>
        <v>OK</v>
      </c>
      <c r="R193" s="6" t="str">
        <f t="shared" si="1"/>
        <v>600-1600</v>
      </c>
      <c r="S193" s="6">
        <f t="shared" si="2"/>
        <v>51</v>
      </c>
      <c r="T193" s="6" t="str">
        <f t="shared" si="3"/>
        <v>Old</v>
      </c>
      <c r="BH193" s="14">
        <f>IFERROR(__xludf.DUMMYFUNCTION("""COMPUTED_VALUE"""),581471.0)</f>
        <v>581471</v>
      </c>
      <c r="BI193" s="60" t="str">
        <f>IFERROR(__xludf.DUMMYFUNCTION("""COMPUTED_VALUE"""),"7554 Elm St, Los Angeles, TX 30522")</f>
        <v>7554 Elm St, Los Angeles, TX 30522</v>
      </c>
      <c r="BJ193" s="60" t="str">
        <f>IFERROR(__xludf.DUMMYFUNCTION("""COMPUTED_VALUE"""),"Los Angeles")</f>
        <v>Los Angeles</v>
      </c>
      <c r="BK193" s="60">
        <f>IFERROR(__xludf.DUMMYFUNCTION("""COMPUTED_VALUE"""),30522.0)</f>
        <v>30522</v>
      </c>
      <c r="BL193" s="60" t="str">
        <f>IFERROR(__xludf.DUMMYFUNCTION("""COMPUTED_VALUE"""),"TX")</f>
        <v>TX</v>
      </c>
      <c r="BM193" s="60" t="str">
        <f>IFERROR(__xludf.DUMMYFUNCTION("""COMPUTED_VALUE"""),"6 bds")</f>
        <v>6 bds</v>
      </c>
      <c r="BN193" s="60" t="str">
        <f>IFERROR(__xludf.DUMMYFUNCTION("""COMPUTED_VALUE"""),"3 ba")</f>
        <v>3 ba</v>
      </c>
      <c r="BO193" s="60">
        <f>IFERROR(__xludf.DUMMYFUNCTION("""COMPUTED_VALUE"""),1508.0)</f>
        <v>1508</v>
      </c>
      <c r="BP193" s="60">
        <f>IFERROR(__xludf.DUMMYFUNCTION("""COMPUTED_VALUE"""),1660.0)</f>
        <v>1660</v>
      </c>
      <c r="BQ193" s="60">
        <f>IFERROR(__xludf.DUMMYFUNCTION("""COMPUTED_VALUE"""),1963.0)</f>
        <v>1963</v>
      </c>
      <c r="BR193" s="60">
        <f>IFERROR(__xludf.DUMMYFUNCTION("""COMPUTED_VALUE"""),30.0)</f>
        <v>30</v>
      </c>
      <c r="BS193" s="60" t="str">
        <f>IFERROR(__xludf.DUMMYFUNCTION("""COMPUTED_VALUE"""),"Multi-Family")</f>
        <v>Multi-Family</v>
      </c>
      <c r="BT193" s="60" t="str">
        <f>IFERROR(__xludf.DUMMYFUNCTION("""COMPUTED_VALUE"""),"Z786713")</f>
        <v>Z786713</v>
      </c>
      <c r="BU193" s="60" t="str">
        <f>IFERROR(__xludf.DUMMYFUNCTION("""COMPUTED_VALUE"""),"Alex Johnson - Compass")</f>
        <v>Alex Johnson - Compass</v>
      </c>
      <c r="BV193" s="60" t="str">
        <f>IFERROR(__xludf.DUMMYFUNCTION("""COMPUTED_VALUE"""),"Sold")</f>
        <v>Sold</v>
      </c>
      <c r="BW193" s="60">
        <f>IFERROR(__xludf.DUMMYFUNCTION("""COMPUTED_VALUE"""),1.0)</f>
        <v>1</v>
      </c>
      <c r="BX193" s="60" t="str">
        <f>IFERROR(__xludf.DUMMYFUNCTION("""COMPUTED_VALUE"""),"OK")</f>
        <v>OK</v>
      </c>
      <c r="BY193" s="1" t="str">
        <f>IFERROR(__xludf.DUMMYFUNCTION("""COMPUTED_VALUE"""),"600-1600")</f>
        <v>600-1600</v>
      </c>
      <c r="BZ193" s="1">
        <f>IFERROR(__xludf.DUMMYFUNCTION("""COMPUTED_VALUE"""),63.0)</f>
        <v>63</v>
      </c>
      <c r="CA193" s="1" t="str">
        <f>IFERROR(__xludf.DUMMYFUNCTION("""COMPUTED_VALUE"""),"Very Old")</f>
        <v>Very Old</v>
      </c>
    </row>
    <row r="194" ht="14.25" customHeight="1">
      <c r="A194" s="5">
        <v>890970.0</v>
      </c>
      <c r="B194" s="6" t="s">
        <v>817</v>
      </c>
      <c r="C194" s="6" t="s">
        <v>39</v>
      </c>
      <c r="D194" s="6">
        <v>55131.0</v>
      </c>
      <c r="E194" s="6" t="s">
        <v>30</v>
      </c>
      <c r="F194" s="6" t="s">
        <v>46</v>
      </c>
      <c r="G194" s="6" t="s">
        <v>55</v>
      </c>
      <c r="H194" s="7">
        <v>3929.0</v>
      </c>
      <c r="I194" s="7">
        <v>6154.0</v>
      </c>
      <c r="J194" s="6">
        <v>1991.0</v>
      </c>
      <c r="K194" s="6">
        <v>108.0</v>
      </c>
      <c r="L194" s="6" t="s">
        <v>22</v>
      </c>
      <c r="M194" s="6" t="s">
        <v>818</v>
      </c>
      <c r="N194" s="6" t="s">
        <v>48</v>
      </c>
      <c r="O194" s="6" t="s">
        <v>35</v>
      </c>
      <c r="P194" s="6">
        <f>COUNTIF(Analysis!$M$1:$M$3001,Analysis!$M194)</f>
        <v>1</v>
      </c>
      <c r="Q194" s="6" t="str">
        <f>IF(COUNTIF(Analysis!$M$2:$M$3001,Analysis!$M194)&gt;1,"Duplicate","OK")</f>
        <v>OK</v>
      </c>
      <c r="R194" s="6" t="str">
        <f t="shared" si="1"/>
        <v>3600+</v>
      </c>
      <c r="S194" s="6">
        <f t="shared" si="2"/>
        <v>35</v>
      </c>
      <c r="T194" s="6" t="str">
        <f t="shared" si="3"/>
        <v>Old</v>
      </c>
      <c r="BH194" s="14">
        <f>IFERROR(__xludf.DUMMYFUNCTION("""COMPUTED_VALUE"""),982214.0)</f>
        <v>982214</v>
      </c>
      <c r="BI194" s="60" t="str">
        <f>IFERROR(__xludf.DUMMYFUNCTION("""COMPUTED_VALUE"""),"2006 Maple Dr, San Francisco, NY 45954")</f>
        <v>2006 Maple Dr, San Francisco, NY 45954</v>
      </c>
      <c r="BJ194" s="60" t="str">
        <f>IFERROR(__xludf.DUMMYFUNCTION("""COMPUTED_VALUE"""),"San Francisco")</f>
        <v>San Francisco</v>
      </c>
      <c r="BK194" s="60">
        <f>IFERROR(__xludf.DUMMYFUNCTION("""COMPUTED_VALUE"""),45954.0)</f>
        <v>45954</v>
      </c>
      <c r="BL194" s="60" t="str">
        <f>IFERROR(__xludf.DUMMYFUNCTION("""COMPUTED_VALUE"""),"NY")</f>
        <v>NY</v>
      </c>
      <c r="BM194" s="60" t="str">
        <f>IFERROR(__xludf.DUMMYFUNCTION("""COMPUTED_VALUE"""),"5 bds")</f>
        <v>5 bds</v>
      </c>
      <c r="BN194" s="60" t="str">
        <f>IFERROR(__xludf.DUMMYFUNCTION("""COMPUTED_VALUE"""),"2 ba")</f>
        <v>2 ba</v>
      </c>
      <c r="BO194" s="60">
        <f>IFERROR(__xludf.DUMMYFUNCTION("""COMPUTED_VALUE"""),2597.0)</f>
        <v>2597</v>
      </c>
      <c r="BP194" s="60">
        <f>IFERROR(__xludf.DUMMYFUNCTION("""COMPUTED_VALUE"""),7103.0)</f>
        <v>7103</v>
      </c>
      <c r="BQ194" s="60">
        <f>IFERROR(__xludf.DUMMYFUNCTION("""COMPUTED_VALUE"""),1960.0)</f>
        <v>1960</v>
      </c>
      <c r="BR194" s="60">
        <f>IFERROR(__xludf.DUMMYFUNCTION("""COMPUTED_VALUE"""),13.0)</f>
        <v>13</v>
      </c>
      <c r="BS194" s="60" t="str">
        <f>IFERROR(__xludf.DUMMYFUNCTION("""COMPUTED_VALUE"""),"Townhouse")</f>
        <v>Townhouse</v>
      </c>
      <c r="BT194" s="60" t="str">
        <f>IFERROR(__xludf.DUMMYFUNCTION("""COMPUTED_VALUE"""),"Z945287")</f>
        <v>Z945287</v>
      </c>
      <c r="BU194" s="60" t="str">
        <f>IFERROR(__xludf.DUMMYFUNCTION("""COMPUTED_VALUE"""),"Alex Johnson - Compass")</f>
        <v>Alex Johnson - Compass</v>
      </c>
      <c r="BV194" s="60" t="str">
        <f>IFERROR(__xludf.DUMMYFUNCTION("""COMPUTED_VALUE"""),"Sold")</f>
        <v>Sold</v>
      </c>
      <c r="BW194" s="60">
        <f>IFERROR(__xludf.DUMMYFUNCTION("""COMPUTED_VALUE"""),1.0)</f>
        <v>1</v>
      </c>
      <c r="BX194" s="60" t="str">
        <f>IFERROR(__xludf.DUMMYFUNCTION("""COMPUTED_VALUE"""),"OK")</f>
        <v>OK</v>
      </c>
      <c r="BY194" s="1" t="str">
        <f>IFERROR(__xludf.DUMMYFUNCTION("""COMPUTED_VALUE"""),"1600-2600")</f>
        <v>1600-2600</v>
      </c>
      <c r="BZ194" s="1">
        <f>IFERROR(__xludf.DUMMYFUNCTION("""COMPUTED_VALUE"""),66.0)</f>
        <v>66</v>
      </c>
      <c r="CA194" s="1" t="str">
        <f>IFERROR(__xludf.DUMMYFUNCTION("""COMPUTED_VALUE"""),"Very Old")</f>
        <v>Very Old</v>
      </c>
    </row>
    <row r="195" ht="14.25" customHeight="1">
      <c r="A195" s="5">
        <v>459948.0</v>
      </c>
      <c r="B195" s="6" t="s">
        <v>821</v>
      </c>
      <c r="C195" s="6" t="s">
        <v>53</v>
      </c>
      <c r="D195" s="6">
        <v>80688.0</v>
      </c>
      <c r="E195" s="6" t="s">
        <v>30</v>
      </c>
      <c r="F195" s="6" t="s">
        <v>61</v>
      </c>
      <c r="G195" s="6" t="s">
        <v>31</v>
      </c>
      <c r="H195" s="7">
        <v>1287.0</v>
      </c>
      <c r="I195" s="7">
        <v>5152.0</v>
      </c>
      <c r="J195" s="6">
        <v>2000.0</v>
      </c>
      <c r="K195" s="6">
        <v>114.0</v>
      </c>
      <c r="L195" s="6" t="s">
        <v>22</v>
      </c>
      <c r="M195" s="6" t="s">
        <v>822</v>
      </c>
      <c r="N195" s="6" t="s">
        <v>64</v>
      </c>
      <c r="O195" s="6" t="s">
        <v>35</v>
      </c>
      <c r="P195" s="6">
        <f>COUNTIF(Analysis!$M$1:$M$3001,Analysis!$M195)</f>
        <v>1</v>
      </c>
      <c r="Q195" s="6" t="str">
        <f>IF(COUNTIF(Analysis!$M$2:$M$3001,Analysis!$M195)&gt;1,"Duplicate","OK")</f>
        <v>OK</v>
      </c>
      <c r="R195" s="6" t="str">
        <f t="shared" si="1"/>
        <v>600-1600</v>
      </c>
      <c r="S195" s="6">
        <f t="shared" si="2"/>
        <v>26</v>
      </c>
      <c r="T195" s="6" t="str">
        <f t="shared" si="3"/>
        <v>Mid</v>
      </c>
      <c r="BH195" s="14">
        <f>IFERROR(__xludf.DUMMYFUNCTION("""COMPUTED_VALUE"""),632379.0)</f>
        <v>632379</v>
      </c>
      <c r="BI195" s="60" t="str">
        <f>IFERROR(__xludf.DUMMYFUNCTION("""COMPUTED_VALUE"""),"2771 Maple Dr, Los Angeles, FL 38144")</f>
        <v>2771 Maple Dr, Los Angeles, FL 38144</v>
      </c>
      <c r="BJ195" s="60" t="str">
        <f>IFERROR(__xludf.DUMMYFUNCTION("""COMPUTED_VALUE"""),"Los Angeles")</f>
        <v>Los Angeles</v>
      </c>
      <c r="BK195" s="60">
        <f>IFERROR(__xludf.DUMMYFUNCTION("""COMPUTED_VALUE"""),38144.0)</f>
        <v>38144</v>
      </c>
      <c r="BL195" s="60" t="str">
        <f>IFERROR(__xludf.DUMMYFUNCTION("""COMPUTED_VALUE"""),"FL")</f>
        <v>FL</v>
      </c>
      <c r="BM195" s="60" t="str">
        <f>IFERROR(__xludf.DUMMYFUNCTION("""COMPUTED_VALUE"""),"1 bds")</f>
        <v>1 bds</v>
      </c>
      <c r="BN195" s="60" t="str">
        <f>IFERROR(__xludf.DUMMYFUNCTION("""COMPUTED_VALUE"""),"1 ba")</f>
        <v>1 ba</v>
      </c>
      <c r="BO195" s="60">
        <f>IFERROR(__xludf.DUMMYFUNCTION("""COMPUTED_VALUE"""),1222.0)</f>
        <v>1222</v>
      </c>
      <c r="BP195" s="60">
        <f>IFERROR(__xludf.DUMMYFUNCTION("""COMPUTED_VALUE"""),9288.0)</f>
        <v>9288</v>
      </c>
      <c r="BQ195" s="60">
        <f>IFERROR(__xludf.DUMMYFUNCTION("""COMPUTED_VALUE"""),2004.0)</f>
        <v>2004</v>
      </c>
      <c r="BR195" s="60">
        <f>IFERROR(__xludf.DUMMYFUNCTION("""COMPUTED_VALUE"""),39.0)</f>
        <v>39</v>
      </c>
      <c r="BS195" s="60" t="str">
        <f>IFERROR(__xludf.DUMMYFUNCTION("""COMPUTED_VALUE"""),"Single Family")</f>
        <v>Single Family</v>
      </c>
      <c r="BT195" s="60" t="str">
        <f>IFERROR(__xludf.DUMMYFUNCTION("""COMPUTED_VALUE"""),"Z265179")</f>
        <v>Z265179</v>
      </c>
      <c r="BU195" s="60" t="str">
        <f>IFERROR(__xludf.DUMMYFUNCTION("""COMPUTED_VALUE"""),"Alex Johnson - Compass")</f>
        <v>Alex Johnson - Compass</v>
      </c>
      <c r="BV195" s="60" t="str">
        <f>IFERROR(__xludf.DUMMYFUNCTION("""COMPUTED_VALUE"""),"Sold")</f>
        <v>Sold</v>
      </c>
      <c r="BW195" s="60">
        <f>IFERROR(__xludf.DUMMYFUNCTION("""COMPUTED_VALUE"""),1.0)</f>
        <v>1</v>
      </c>
      <c r="BX195" s="60" t="str">
        <f>IFERROR(__xludf.DUMMYFUNCTION("""COMPUTED_VALUE"""),"OK")</f>
        <v>OK</v>
      </c>
      <c r="BY195" s="1" t="str">
        <f>IFERROR(__xludf.DUMMYFUNCTION("""COMPUTED_VALUE"""),"600-1600")</f>
        <v>600-1600</v>
      </c>
      <c r="BZ195" s="1">
        <f>IFERROR(__xludf.DUMMYFUNCTION("""COMPUTED_VALUE"""),22.0)</f>
        <v>22</v>
      </c>
      <c r="CA195" s="1" t="str">
        <f>IFERROR(__xludf.DUMMYFUNCTION("""COMPUTED_VALUE"""),"Mid")</f>
        <v>Mid</v>
      </c>
    </row>
    <row r="196" ht="14.25" customHeight="1">
      <c r="A196" s="5">
        <v>1060149.0</v>
      </c>
      <c r="B196" s="6" t="s">
        <v>825</v>
      </c>
      <c r="C196" s="6" t="s">
        <v>39</v>
      </c>
      <c r="D196" s="6">
        <v>22392.0</v>
      </c>
      <c r="E196" s="6" t="s">
        <v>77</v>
      </c>
      <c r="F196" s="6" t="s">
        <v>61</v>
      </c>
      <c r="G196" s="6" t="s">
        <v>21</v>
      </c>
      <c r="H196" s="7">
        <v>1000.0</v>
      </c>
      <c r="I196" s="7">
        <v>4951.0</v>
      </c>
      <c r="J196" s="6">
        <v>1982.0</v>
      </c>
      <c r="K196" s="6">
        <v>40.0</v>
      </c>
      <c r="L196" s="6" t="s">
        <v>22</v>
      </c>
      <c r="M196" s="6" t="s">
        <v>826</v>
      </c>
      <c r="N196" s="6" t="s">
        <v>43</v>
      </c>
      <c r="O196" s="6" t="s">
        <v>25</v>
      </c>
      <c r="P196" s="6">
        <f>COUNTIF(Analysis!$M$1:$M$3001,Analysis!$M196)</f>
        <v>1</v>
      </c>
      <c r="Q196" s="6" t="str">
        <f>IF(COUNTIF(Analysis!$M$2:$M$3001,Analysis!$M196)&gt;1,"Duplicate","OK")</f>
        <v>OK</v>
      </c>
      <c r="R196" s="6" t="str">
        <f t="shared" si="1"/>
        <v>600-1600</v>
      </c>
      <c r="S196" s="6">
        <f t="shared" si="2"/>
        <v>44</v>
      </c>
      <c r="T196" s="6" t="str">
        <f t="shared" si="3"/>
        <v>Old</v>
      </c>
      <c r="BH196" s="14">
        <f>IFERROR(__xludf.DUMMYFUNCTION("""COMPUTED_VALUE"""),693672.0)</f>
        <v>693672</v>
      </c>
      <c r="BI196" s="60" t="str">
        <f>IFERROR(__xludf.DUMMYFUNCTION("""COMPUTED_VALUE"""),"4057 Pine Rd, San Diego, FL 39622")</f>
        <v>4057 Pine Rd, San Diego, FL 39622</v>
      </c>
      <c r="BJ196" s="60" t="str">
        <f>IFERROR(__xludf.DUMMYFUNCTION("""COMPUTED_VALUE"""),"San Diego")</f>
        <v>San Diego</v>
      </c>
      <c r="BK196" s="60">
        <f>IFERROR(__xludf.DUMMYFUNCTION("""COMPUTED_VALUE"""),39622.0)</f>
        <v>39622</v>
      </c>
      <c r="BL196" s="60" t="str">
        <f>IFERROR(__xludf.DUMMYFUNCTION("""COMPUTED_VALUE"""),"FL")</f>
        <v>FL</v>
      </c>
      <c r="BM196" s="60" t="str">
        <f>IFERROR(__xludf.DUMMYFUNCTION("""COMPUTED_VALUE"""),"4 bds")</f>
        <v>4 bds</v>
      </c>
      <c r="BN196" s="60" t="str">
        <f>IFERROR(__xludf.DUMMYFUNCTION("""COMPUTED_VALUE"""),"2 ba")</f>
        <v>2 ba</v>
      </c>
      <c r="BO196" s="60">
        <f>IFERROR(__xludf.DUMMYFUNCTION("""COMPUTED_VALUE"""),2033.0)</f>
        <v>2033</v>
      </c>
      <c r="BP196" s="60">
        <f>IFERROR(__xludf.DUMMYFUNCTION("""COMPUTED_VALUE"""),4505.0)</f>
        <v>4505</v>
      </c>
      <c r="BQ196" s="60">
        <f>IFERROR(__xludf.DUMMYFUNCTION("""COMPUTED_VALUE"""),1963.0)</f>
        <v>1963</v>
      </c>
      <c r="BR196" s="60">
        <f>IFERROR(__xludf.DUMMYFUNCTION("""COMPUTED_VALUE"""),49.0)</f>
        <v>49</v>
      </c>
      <c r="BS196" s="60" t="str">
        <f>IFERROR(__xludf.DUMMYFUNCTION("""COMPUTED_VALUE"""),"Single Family")</f>
        <v>Single Family</v>
      </c>
      <c r="BT196" s="60" t="str">
        <f>IFERROR(__xludf.DUMMYFUNCTION("""COMPUTED_VALUE"""),"Z710233")</f>
        <v>Z710233</v>
      </c>
      <c r="BU196" s="60" t="str">
        <f>IFERROR(__xludf.DUMMYFUNCTION("""COMPUTED_VALUE"""),"Alex Johnson - Compass")</f>
        <v>Alex Johnson - Compass</v>
      </c>
      <c r="BV196" s="60" t="str">
        <f>IFERROR(__xludf.DUMMYFUNCTION("""COMPUTED_VALUE"""),"Sold")</f>
        <v>Sold</v>
      </c>
      <c r="BW196" s="60">
        <f>IFERROR(__xludf.DUMMYFUNCTION("""COMPUTED_VALUE"""),1.0)</f>
        <v>1</v>
      </c>
      <c r="BX196" s="60" t="str">
        <f>IFERROR(__xludf.DUMMYFUNCTION("""COMPUTED_VALUE"""),"OK")</f>
        <v>OK</v>
      </c>
      <c r="BY196" s="1" t="str">
        <f>IFERROR(__xludf.DUMMYFUNCTION("""COMPUTED_VALUE"""),"1600-2600")</f>
        <v>1600-2600</v>
      </c>
      <c r="BZ196" s="1">
        <f>IFERROR(__xludf.DUMMYFUNCTION("""COMPUTED_VALUE"""),63.0)</f>
        <v>63</v>
      </c>
      <c r="CA196" s="1" t="str">
        <f>IFERROR(__xludf.DUMMYFUNCTION("""COMPUTED_VALUE"""),"Very Old")</f>
        <v>Very Old</v>
      </c>
    </row>
    <row r="197" ht="14.25" customHeight="1">
      <c r="A197" s="5">
        <v>556583.0</v>
      </c>
      <c r="B197" s="6" t="s">
        <v>829</v>
      </c>
      <c r="C197" s="6" t="s">
        <v>76</v>
      </c>
      <c r="D197" s="6">
        <v>27352.0</v>
      </c>
      <c r="E197" s="6" t="s">
        <v>40</v>
      </c>
      <c r="F197" s="6" t="s">
        <v>20</v>
      </c>
      <c r="G197" s="6" t="s">
        <v>55</v>
      </c>
      <c r="H197" s="7">
        <v>2585.0</v>
      </c>
      <c r="I197" s="7">
        <v>3762.0</v>
      </c>
      <c r="J197" s="6">
        <v>1982.0</v>
      </c>
      <c r="K197" s="6">
        <v>44.0</v>
      </c>
      <c r="L197" s="6" t="s">
        <v>95</v>
      </c>
      <c r="M197" s="6" t="s">
        <v>830</v>
      </c>
      <c r="N197" s="6" t="s">
        <v>43</v>
      </c>
      <c r="O197" s="6" t="s">
        <v>49</v>
      </c>
      <c r="P197" s="6">
        <f>COUNTIF(Analysis!$M$1:$M$3001,Analysis!$M197)</f>
        <v>1</v>
      </c>
      <c r="Q197" s="6" t="str">
        <f>IF(COUNTIF(Analysis!$M$2:$M$3001,Analysis!$M197)&gt;1,"Duplicate","OK")</f>
        <v>OK</v>
      </c>
      <c r="R197" s="6" t="str">
        <f t="shared" si="1"/>
        <v>1600-2600</v>
      </c>
      <c r="S197" s="6">
        <f t="shared" si="2"/>
        <v>44</v>
      </c>
      <c r="T197" s="6" t="str">
        <f t="shared" si="3"/>
        <v>Old</v>
      </c>
      <c r="BH197" s="14">
        <f>IFERROR(__xludf.DUMMYFUNCTION("""COMPUTED_VALUE"""),1365836.0)</f>
        <v>1365836</v>
      </c>
      <c r="BI197" s="60" t="str">
        <f>IFERROR(__xludf.DUMMYFUNCTION("""COMPUTED_VALUE"""),"1070 Elm St, San Diego, NY 76487")</f>
        <v>1070 Elm St, San Diego, NY 76487</v>
      </c>
      <c r="BJ197" s="60" t="str">
        <f>IFERROR(__xludf.DUMMYFUNCTION("""COMPUTED_VALUE"""),"San Diego")</f>
        <v>San Diego</v>
      </c>
      <c r="BK197" s="60">
        <f>IFERROR(__xludf.DUMMYFUNCTION("""COMPUTED_VALUE"""),76487.0)</f>
        <v>76487</v>
      </c>
      <c r="BL197" s="60" t="str">
        <f>IFERROR(__xludf.DUMMYFUNCTION("""COMPUTED_VALUE"""),"NY")</f>
        <v>NY</v>
      </c>
      <c r="BM197" s="60" t="str">
        <f>IFERROR(__xludf.DUMMYFUNCTION("""COMPUTED_VALUE"""),"2 bds")</f>
        <v>2 bds</v>
      </c>
      <c r="BN197" s="60" t="str">
        <f>IFERROR(__xludf.DUMMYFUNCTION("""COMPUTED_VALUE"""),"3 ba")</f>
        <v>3 ba</v>
      </c>
      <c r="BO197" s="60">
        <f>IFERROR(__xludf.DUMMYFUNCTION("""COMPUTED_VALUE"""),2978.0)</f>
        <v>2978</v>
      </c>
      <c r="BP197" s="60">
        <f>IFERROR(__xludf.DUMMYFUNCTION("""COMPUTED_VALUE"""),3399.0)</f>
        <v>3399</v>
      </c>
      <c r="BQ197" s="60">
        <f>IFERROR(__xludf.DUMMYFUNCTION("""COMPUTED_VALUE"""),1961.0)</f>
        <v>1961</v>
      </c>
      <c r="BR197" s="60">
        <f>IFERROR(__xludf.DUMMYFUNCTION("""COMPUTED_VALUE"""),42.0)</f>
        <v>42</v>
      </c>
      <c r="BS197" s="60" t="str">
        <f>IFERROR(__xludf.DUMMYFUNCTION("""COMPUTED_VALUE"""),"Single Family")</f>
        <v>Single Family</v>
      </c>
      <c r="BT197" s="60" t="str">
        <f>IFERROR(__xludf.DUMMYFUNCTION("""COMPUTED_VALUE"""),"Z175378")</f>
        <v>Z175378</v>
      </c>
      <c r="BU197" s="60" t="str">
        <f>IFERROR(__xludf.DUMMYFUNCTION("""COMPUTED_VALUE"""),"Alex Johnson - Compass")</f>
        <v>Alex Johnson - Compass</v>
      </c>
      <c r="BV197" s="60" t="str">
        <f>IFERROR(__xludf.DUMMYFUNCTION("""COMPUTED_VALUE"""),"Sold")</f>
        <v>Sold</v>
      </c>
      <c r="BW197" s="60">
        <f>IFERROR(__xludf.DUMMYFUNCTION("""COMPUTED_VALUE"""),1.0)</f>
        <v>1</v>
      </c>
      <c r="BX197" s="60" t="str">
        <f>IFERROR(__xludf.DUMMYFUNCTION("""COMPUTED_VALUE"""),"OK")</f>
        <v>OK</v>
      </c>
      <c r="BY197" s="1" t="str">
        <f>IFERROR(__xludf.DUMMYFUNCTION("""COMPUTED_VALUE"""),"2600-3600")</f>
        <v>2600-3600</v>
      </c>
      <c r="BZ197" s="1">
        <f>IFERROR(__xludf.DUMMYFUNCTION("""COMPUTED_VALUE"""),65.0)</f>
        <v>65</v>
      </c>
      <c r="CA197" s="1" t="str">
        <f>IFERROR(__xludf.DUMMYFUNCTION("""COMPUTED_VALUE"""),"Very Old")</f>
        <v>Very Old</v>
      </c>
    </row>
    <row r="198" ht="14.25" customHeight="1">
      <c r="A198" s="5">
        <v>200783.0</v>
      </c>
      <c r="B198" s="6" t="s">
        <v>833</v>
      </c>
      <c r="C198" s="6" t="s">
        <v>18</v>
      </c>
      <c r="D198" s="6">
        <v>61136.0</v>
      </c>
      <c r="E198" s="6" t="s">
        <v>30</v>
      </c>
      <c r="F198" s="6" t="s">
        <v>94</v>
      </c>
      <c r="G198" s="6" t="s">
        <v>31</v>
      </c>
      <c r="H198" s="7">
        <v>2784.0</v>
      </c>
      <c r="I198" s="7">
        <v>1944.0</v>
      </c>
      <c r="J198" s="6">
        <v>1983.0</v>
      </c>
      <c r="K198" s="6">
        <v>102.0</v>
      </c>
      <c r="L198" s="6" t="s">
        <v>32</v>
      </c>
      <c r="M198" s="6" t="s">
        <v>834</v>
      </c>
      <c r="N198" s="6" t="s">
        <v>43</v>
      </c>
      <c r="O198" s="6" t="s">
        <v>49</v>
      </c>
      <c r="P198" s="6">
        <f>COUNTIF(Analysis!$M$1:$M$3001,Analysis!$M198)</f>
        <v>1</v>
      </c>
      <c r="Q198" s="6" t="str">
        <f>IF(COUNTIF(Analysis!$M$2:$M$3001,Analysis!$M198)&gt;1,"Duplicate","OK")</f>
        <v>OK</v>
      </c>
      <c r="R198" s="6" t="str">
        <f t="shared" si="1"/>
        <v>2600-3600</v>
      </c>
      <c r="S198" s="6">
        <f t="shared" si="2"/>
        <v>43</v>
      </c>
      <c r="T198" s="6" t="str">
        <f t="shared" si="3"/>
        <v>Old</v>
      </c>
      <c r="BH198" s="14">
        <f>IFERROR(__xludf.DUMMYFUNCTION("""COMPUTED_VALUE"""),1289111.0)</f>
        <v>1289111</v>
      </c>
      <c r="BI198" s="60" t="str">
        <f>IFERROR(__xludf.DUMMYFUNCTION("""COMPUTED_VALUE"""),"3398 Pine Rd, Fresno, FL 59825")</f>
        <v>3398 Pine Rd, Fresno, FL 59825</v>
      </c>
      <c r="BJ198" s="60" t="str">
        <f>IFERROR(__xludf.DUMMYFUNCTION("""COMPUTED_VALUE"""),"Fresno")</f>
        <v>Fresno</v>
      </c>
      <c r="BK198" s="60">
        <f>IFERROR(__xludf.DUMMYFUNCTION("""COMPUTED_VALUE"""),59825.0)</f>
        <v>59825</v>
      </c>
      <c r="BL198" s="60" t="str">
        <f>IFERROR(__xludf.DUMMYFUNCTION("""COMPUTED_VALUE"""),"FL")</f>
        <v>FL</v>
      </c>
      <c r="BM198" s="60" t="str">
        <f>IFERROR(__xludf.DUMMYFUNCTION("""COMPUTED_VALUE"""),"3 bds")</f>
        <v>3 bds</v>
      </c>
      <c r="BN198" s="60" t="str">
        <f>IFERROR(__xludf.DUMMYFUNCTION("""COMPUTED_VALUE"""),"3 ba")</f>
        <v>3 ba</v>
      </c>
      <c r="BO198" s="60">
        <f>IFERROR(__xludf.DUMMYFUNCTION("""COMPUTED_VALUE"""),1096.0)</f>
        <v>1096</v>
      </c>
      <c r="BP198" s="60">
        <f>IFERROR(__xludf.DUMMYFUNCTION("""COMPUTED_VALUE"""),4175.0)</f>
        <v>4175</v>
      </c>
      <c r="BQ198" s="60">
        <f>IFERROR(__xludf.DUMMYFUNCTION("""COMPUTED_VALUE"""),2006.0)</f>
        <v>2006</v>
      </c>
      <c r="BR198" s="60">
        <f>IFERROR(__xludf.DUMMYFUNCTION("""COMPUTED_VALUE"""),109.0)</f>
        <v>109</v>
      </c>
      <c r="BS198" s="60" t="str">
        <f>IFERROR(__xludf.DUMMYFUNCTION("""COMPUTED_VALUE"""),"Multi-Family")</f>
        <v>Multi-Family</v>
      </c>
      <c r="BT198" s="60" t="str">
        <f>IFERROR(__xludf.DUMMYFUNCTION("""COMPUTED_VALUE"""),"Z509283")</f>
        <v>Z509283</v>
      </c>
      <c r="BU198" s="60" t="str">
        <f>IFERROR(__xludf.DUMMYFUNCTION("""COMPUTED_VALUE"""),"Alex Johnson - Compass")</f>
        <v>Alex Johnson - Compass</v>
      </c>
      <c r="BV198" s="60" t="str">
        <f>IFERROR(__xludf.DUMMYFUNCTION("""COMPUTED_VALUE"""),"Sold")</f>
        <v>Sold</v>
      </c>
      <c r="BW198" s="60">
        <f>IFERROR(__xludf.DUMMYFUNCTION("""COMPUTED_VALUE"""),1.0)</f>
        <v>1</v>
      </c>
      <c r="BX198" s="60" t="str">
        <f>IFERROR(__xludf.DUMMYFUNCTION("""COMPUTED_VALUE"""),"OK")</f>
        <v>OK</v>
      </c>
      <c r="BY198" s="1" t="str">
        <f>IFERROR(__xludf.DUMMYFUNCTION("""COMPUTED_VALUE"""),"600-1600")</f>
        <v>600-1600</v>
      </c>
      <c r="BZ198" s="1">
        <f>IFERROR(__xludf.DUMMYFUNCTION("""COMPUTED_VALUE"""),20.0)</f>
        <v>20</v>
      </c>
      <c r="CA198" s="1" t="str">
        <f>IFERROR(__xludf.DUMMYFUNCTION("""COMPUTED_VALUE"""),"Mid")</f>
        <v>Mid</v>
      </c>
    </row>
    <row r="199" ht="14.25" customHeight="1">
      <c r="A199" s="5">
        <v>243533.0</v>
      </c>
      <c r="B199" s="6" t="s">
        <v>837</v>
      </c>
      <c r="C199" s="6" t="s">
        <v>18</v>
      </c>
      <c r="D199" s="6">
        <v>75218.0</v>
      </c>
      <c r="E199" s="6" t="s">
        <v>60</v>
      </c>
      <c r="F199" s="6" t="s">
        <v>94</v>
      </c>
      <c r="G199" s="6" t="s">
        <v>21</v>
      </c>
      <c r="H199" s="7">
        <v>2702.0</v>
      </c>
      <c r="I199" s="7">
        <v>3639.0</v>
      </c>
      <c r="J199" s="6">
        <v>1969.0</v>
      </c>
      <c r="K199" s="6">
        <v>79.0</v>
      </c>
      <c r="L199" s="6" t="s">
        <v>95</v>
      </c>
      <c r="M199" s="6" t="s">
        <v>838</v>
      </c>
      <c r="N199" s="6" t="s">
        <v>48</v>
      </c>
      <c r="O199" s="6" t="s">
        <v>35</v>
      </c>
      <c r="P199" s="6">
        <f>COUNTIF(Analysis!$M$1:$M$3001,Analysis!$M199)</f>
        <v>1</v>
      </c>
      <c r="Q199" s="6" t="str">
        <f>IF(COUNTIF(Analysis!$M$2:$M$3001,Analysis!$M199)&gt;1,"Duplicate","OK")</f>
        <v>OK</v>
      </c>
      <c r="R199" s="6" t="str">
        <f t="shared" si="1"/>
        <v>2600-3600</v>
      </c>
      <c r="S199" s="6">
        <f t="shared" si="2"/>
        <v>57</v>
      </c>
      <c r="T199" s="6" t="str">
        <f t="shared" si="3"/>
        <v>Old</v>
      </c>
      <c r="BH199" s="14">
        <f>IFERROR(__xludf.DUMMYFUNCTION("""COMPUTED_VALUE"""),1460786.0)</f>
        <v>1460786</v>
      </c>
      <c r="BI199" s="60" t="str">
        <f>IFERROR(__xludf.DUMMYFUNCTION("""COMPUTED_VALUE"""),"7772 Maple Dr, San Francisco, TX 14091")</f>
        <v>7772 Maple Dr, San Francisco, TX 14091</v>
      </c>
      <c r="BJ199" s="60" t="str">
        <f>IFERROR(__xludf.DUMMYFUNCTION("""COMPUTED_VALUE"""),"San Francisco")</f>
        <v>San Francisco</v>
      </c>
      <c r="BK199" s="60">
        <f>IFERROR(__xludf.DUMMYFUNCTION("""COMPUTED_VALUE"""),14091.0)</f>
        <v>14091</v>
      </c>
      <c r="BL199" s="60" t="str">
        <f>IFERROR(__xludf.DUMMYFUNCTION("""COMPUTED_VALUE"""),"TX")</f>
        <v>TX</v>
      </c>
      <c r="BM199" s="60" t="str">
        <f>IFERROR(__xludf.DUMMYFUNCTION("""COMPUTED_VALUE"""),"2 bds")</f>
        <v>2 bds</v>
      </c>
      <c r="BN199" s="60" t="str">
        <f>IFERROR(__xludf.DUMMYFUNCTION("""COMPUTED_VALUE"""),"3 ba")</f>
        <v>3 ba</v>
      </c>
      <c r="BO199" s="60">
        <f>IFERROR(__xludf.DUMMYFUNCTION("""COMPUTED_VALUE"""),728.0)</f>
        <v>728</v>
      </c>
      <c r="BP199" s="60">
        <f>IFERROR(__xludf.DUMMYFUNCTION("""COMPUTED_VALUE"""),9200.0)</f>
        <v>9200</v>
      </c>
      <c r="BQ199" s="60">
        <f>IFERROR(__xludf.DUMMYFUNCTION("""COMPUTED_VALUE"""),1953.0)</f>
        <v>1953</v>
      </c>
      <c r="BR199" s="60">
        <f>IFERROR(__xludf.DUMMYFUNCTION("""COMPUTED_VALUE"""),81.0)</f>
        <v>81</v>
      </c>
      <c r="BS199" s="60" t="str">
        <f>IFERROR(__xludf.DUMMYFUNCTION("""COMPUTED_VALUE"""),"Apartment")</f>
        <v>Apartment</v>
      </c>
      <c r="BT199" s="60" t="str">
        <f>IFERROR(__xludf.DUMMYFUNCTION("""COMPUTED_VALUE"""),"Z190577")</f>
        <v>Z190577</v>
      </c>
      <c r="BU199" s="60" t="str">
        <f>IFERROR(__xludf.DUMMYFUNCTION("""COMPUTED_VALUE"""),"Alex Johnson - Compass")</f>
        <v>Alex Johnson - Compass</v>
      </c>
      <c r="BV199" s="60" t="str">
        <f>IFERROR(__xludf.DUMMYFUNCTION("""COMPUTED_VALUE"""),"Sold")</f>
        <v>Sold</v>
      </c>
      <c r="BW199" s="60">
        <f>IFERROR(__xludf.DUMMYFUNCTION("""COMPUTED_VALUE"""),1.0)</f>
        <v>1</v>
      </c>
      <c r="BX199" s="60" t="str">
        <f>IFERROR(__xludf.DUMMYFUNCTION("""COMPUTED_VALUE"""),"OK")</f>
        <v>OK</v>
      </c>
      <c r="BY199" s="1" t="str">
        <f>IFERROR(__xludf.DUMMYFUNCTION("""COMPUTED_VALUE"""),"600-1600")</f>
        <v>600-1600</v>
      </c>
      <c r="BZ199" s="1">
        <f>IFERROR(__xludf.DUMMYFUNCTION("""COMPUTED_VALUE"""),73.0)</f>
        <v>73</v>
      </c>
      <c r="CA199" s="1" t="str">
        <f>IFERROR(__xludf.DUMMYFUNCTION("""COMPUTED_VALUE"""),"Very Old")</f>
        <v>Very Old</v>
      </c>
    </row>
    <row r="200" ht="14.25" customHeight="1">
      <c r="A200" s="5">
        <v>203604.0</v>
      </c>
      <c r="B200" s="6" t="s">
        <v>7077</v>
      </c>
      <c r="C200" s="6" t="s">
        <v>29</v>
      </c>
      <c r="D200" s="6">
        <v>14986.0</v>
      </c>
      <c r="E200" s="6" t="s">
        <v>77</v>
      </c>
      <c r="F200" s="6" t="s">
        <v>20</v>
      </c>
      <c r="G200" s="6" t="s">
        <v>21</v>
      </c>
      <c r="H200" s="7">
        <v>1990.0</v>
      </c>
      <c r="I200" s="7">
        <v>7829.0</v>
      </c>
      <c r="J200" s="6">
        <v>1992.0</v>
      </c>
      <c r="K200" s="6">
        <v>47.0</v>
      </c>
      <c r="L200" s="6" t="s">
        <v>32</v>
      </c>
      <c r="M200" s="6" t="s">
        <v>7078</v>
      </c>
      <c r="N200" s="6" t="s">
        <v>64</v>
      </c>
      <c r="O200" s="6" t="s">
        <v>25</v>
      </c>
      <c r="P200" s="6">
        <f>COUNTIF(Analysis!$M$1:$M$3001,Analysis!$M1760)</f>
        <v>1</v>
      </c>
      <c r="Q200" s="6" t="str">
        <f>IF(COUNTIF(Analysis!$M$2:$M$3001,Analysis!$M1760)&gt;1,"Duplicate","OK")</f>
        <v>OK</v>
      </c>
      <c r="R200" s="6" t="str">
        <f t="shared" si="1"/>
        <v>1600-2600</v>
      </c>
      <c r="S200" s="6">
        <f t="shared" si="2"/>
        <v>34</v>
      </c>
      <c r="T200" s="6" t="str">
        <f t="shared" si="3"/>
        <v>Old</v>
      </c>
      <c r="BH200" s="14">
        <f>IFERROR(__xludf.DUMMYFUNCTION("""COMPUTED_VALUE"""),1292907.0)</f>
        <v>1292907</v>
      </c>
      <c r="BI200" s="60" t="str">
        <f>IFERROR(__xludf.DUMMYFUNCTION("""COMPUTED_VALUE"""),"2265 Main St, Fresno, CA 42023")</f>
        <v>2265 Main St, Fresno, CA 42023</v>
      </c>
      <c r="BJ200" s="60" t="str">
        <f>IFERROR(__xludf.DUMMYFUNCTION("""COMPUTED_VALUE"""),"Fresno")</f>
        <v>Fresno</v>
      </c>
      <c r="BK200" s="60">
        <f>IFERROR(__xludf.DUMMYFUNCTION("""COMPUTED_VALUE"""),42023.0)</f>
        <v>42023</v>
      </c>
      <c r="BL200" s="60" t="str">
        <f>IFERROR(__xludf.DUMMYFUNCTION("""COMPUTED_VALUE"""),"CA")</f>
        <v>CA</v>
      </c>
      <c r="BM200" s="60" t="str">
        <f>IFERROR(__xludf.DUMMYFUNCTION("""COMPUTED_VALUE"""),"6 bds")</f>
        <v>6 bds</v>
      </c>
      <c r="BN200" s="60" t="str">
        <f>IFERROR(__xludf.DUMMYFUNCTION("""COMPUTED_VALUE"""),"2 ba")</f>
        <v>2 ba</v>
      </c>
      <c r="BO200" s="60">
        <f>IFERROR(__xludf.DUMMYFUNCTION("""COMPUTED_VALUE"""),2201.0)</f>
        <v>2201</v>
      </c>
      <c r="BP200" s="60">
        <f>IFERROR(__xludf.DUMMYFUNCTION("""COMPUTED_VALUE"""),1491.0)</f>
        <v>1491</v>
      </c>
      <c r="BQ200" s="60">
        <f>IFERROR(__xludf.DUMMYFUNCTION("""COMPUTED_VALUE"""),1954.0)</f>
        <v>1954</v>
      </c>
      <c r="BR200" s="60">
        <f>IFERROR(__xludf.DUMMYFUNCTION("""COMPUTED_VALUE"""),25.0)</f>
        <v>25</v>
      </c>
      <c r="BS200" s="60" t="str">
        <f>IFERROR(__xludf.DUMMYFUNCTION("""COMPUTED_VALUE"""),"Single Family")</f>
        <v>Single Family</v>
      </c>
      <c r="BT200" s="60" t="str">
        <f>IFERROR(__xludf.DUMMYFUNCTION("""COMPUTED_VALUE"""),"Z620466")</f>
        <v>Z620466</v>
      </c>
      <c r="BU200" s="60" t="str">
        <f>IFERROR(__xludf.DUMMYFUNCTION("""COMPUTED_VALUE"""),"Alex Johnson - Compass")</f>
        <v>Alex Johnson - Compass</v>
      </c>
      <c r="BV200" s="60" t="str">
        <f>IFERROR(__xludf.DUMMYFUNCTION("""COMPUTED_VALUE"""),"Sold")</f>
        <v>Sold</v>
      </c>
      <c r="BW200" s="60">
        <f>IFERROR(__xludf.DUMMYFUNCTION("""COMPUTED_VALUE"""),1.0)</f>
        <v>1</v>
      </c>
      <c r="BX200" s="60" t="str">
        <f>IFERROR(__xludf.DUMMYFUNCTION("""COMPUTED_VALUE"""),"OK")</f>
        <v>OK</v>
      </c>
      <c r="BY200" s="1" t="str">
        <f>IFERROR(__xludf.DUMMYFUNCTION("""COMPUTED_VALUE"""),"1600-2600")</f>
        <v>1600-2600</v>
      </c>
      <c r="BZ200" s="1">
        <f>IFERROR(__xludf.DUMMYFUNCTION("""COMPUTED_VALUE"""),72.0)</f>
        <v>72</v>
      </c>
      <c r="CA200" s="1" t="str">
        <f>IFERROR(__xludf.DUMMYFUNCTION("""COMPUTED_VALUE"""),"Very Old")</f>
        <v>Very Old</v>
      </c>
    </row>
    <row r="201" ht="14.25" customHeight="1">
      <c r="A201" s="5">
        <v>207246.0</v>
      </c>
      <c r="B201" s="6" t="s">
        <v>10195</v>
      </c>
      <c r="C201" s="6" t="s">
        <v>29</v>
      </c>
      <c r="D201" s="6">
        <v>42083.0</v>
      </c>
      <c r="E201" s="6" t="s">
        <v>19</v>
      </c>
      <c r="F201" s="6" t="s">
        <v>61</v>
      </c>
      <c r="G201" s="6" t="s">
        <v>55</v>
      </c>
      <c r="H201" s="7">
        <v>877.0</v>
      </c>
      <c r="I201" s="7">
        <v>5619.0</v>
      </c>
      <c r="J201" s="6">
        <v>1981.0</v>
      </c>
      <c r="K201" s="6">
        <v>42.0</v>
      </c>
      <c r="L201" s="6" t="s">
        <v>95</v>
      </c>
      <c r="M201" s="6" t="s">
        <v>10196</v>
      </c>
      <c r="N201" s="6" t="s">
        <v>43</v>
      </c>
      <c r="O201" s="6" t="s">
        <v>49</v>
      </c>
      <c r="P201" s="6">
        <f>COUNTIF(Analysis!$M$1:$M$3001,Analysis!$M2540)</f>
        <v>1</v>
      </c>
      <c r="Q201" s="6" t="str">
        <f>IF(COUNTIF(Analysis!$M$2:$M$3001,Analysis!$M2540)&gt;1,"Duplicate","OK")</f>
        <v>OK</v>
      </c>
      <c r="R201" s="6" t="str">
        <f t="shared" si="1"/>
        <v>600-1600</v>
      </c>
      <c r="S201" s="6">
        <f t="shared" si="2"/>
        <v>45</v>
      </c>
      <c r="T201" s="6" t="str">
        <f t="shared" si="3"/>
        <v>Old</v>
      </c>
      <c r="BH201" s="14">
        <f>IFERROR(__xludf.DUMMYFUNCTION("""COMPUTED_VALUE"""),207700.0)</f>
        <v>207700</v>
      </c>
      <c r="BI201" s="60" t="str">
        <f>IFERROR(__xludf.DUMMYFUNCTION("""COMPUTED_VALUE"""),"9699 Main St, Sacramento, FL 98581")</f>
        <v>9699 Main St, Sacramento, FL 98581</v>
      </c>
      <c r="BJ201" s="60" t="str">
        <f>IFERROR(__xludf.DUMMYFUNCTION("""COMPUTED_VALUE"""),"Sacramento")</f>
        <v>Sacramento</v>
      </c>
      <c r="BK201" s="60">
        <f>IFERROR(__xludf.DUMMYFUNCTION("""COMPUTED_VALUE"""),98581.0)</f>
        <v>98581</v>
      </c>
      <c r="BL201" s="60" t="str">
        <f>IFERROR(__xludf.DUMMYFUNCTION("""COMPUTED_VALUE"""),"FL")</f>
        <v>FL</v>
      </c>
      <c r="BM201" s="60" t="str">
        <f>IFERROR(__xludf.DUMMYFUNCTION("""COMPUTED_VALUE"""),"3 bds")</f>
        <v>3 bds</v>
      </c>
      <c r="BN201" s="60" t="str">
        <f>IFERROR(__xludf.DUMMYFUNCTION("""COMPUTED_VALUE"""),"2 ba")</f>
        <v>2 ba</v>
      </c>
      <c r="BO201" s="60">
        <f>IFERROR(__xludf.DUMMYFUNCTION("""COMPUTED_VALUE"""),2321.0)</f>
        <v>2321</v>
      </c>
      <c r="BP201" s="60">
        <f>IFERROR(__xludf.DUMMYFUNCTION("""COMPUTED_VALUE"""),5966.0)</f>
        <v>5966</v>
      </c>
      <c r="BQ201" s="60">
        <f>IFERROR(__xludf.DUMMYFUNCTION("""COMPUTED_VALUE"""),1957.0)</f>
        <v>1957</v>
      </c>
      <c r="BR201" s="60">
        <f>IFERROR(__xludf.DUMMYFUNCTION("""COMPUTED_VALUE"""),27.0)</f>
        <v>27</v>
      </c>
      <c r="BS201" s="60" t="str">
        <f>IFERROR(__xludf.DUMMYFUNCTION("""COMPUTED_VALUE"""),"Townhouse")</f>
        <v>Townhouse</v>
      </c>
      <c r="BT201" s="60" t="str">
        <f>IFERROR(__xludf.DUMMYFUNCTION("""COMPUTED_VALUE"""),"Z305882")</f>
        <v>Z305882</v>
      </c>
      <c r="BU201" s="60" t="str">
        <f>IFERROR(__xludf.DUMMYFUNCTION("""COMPUTED_VALUE"""),"Alex Johnson - Compass")</f>
        <v>Alex Johnson - Compass</v>
      </c>
      <c r="BV201" s="60" t="str">
        <f>IFERROR(__xludf.DUMMYFUNCTION("""COMPUTED_VALUE"""),"Sold")</f>
        <v>Sold</v>
      </c>
      <c r="BW201" s="60">
        <f>IFERROR(__xludf.DUMMYFUNCTION("""COMPUTED_VALUE"""),1.0)</f>
        <v>1</v>
      </c>
      <c r="BX201" s="60" t="str">
        <f>IFERROR(__xludf.DUMMYFUNCTION("""COMPUTED_VALUE"""),"OK")</f>
        <v>OK</v>
      </c>
      <c r="BY201" s="1" t="str">
        <f>IFERROR(__xludf.DUMMYFUNCTION("""COMPUTED_VALUE"""),"1600-2600")</f>
        <v>1600-2600</v>
      </c>
      <c r="BZ201" s="1">
        <f>IFERROR(__xludf.DUMMYFUNCTION("""COMPUTED_VALUE"""),69.0)</f>
        <v>69</v>
      </c>
      <c r="CA201" s="1" t="str">
        <f>IFERROR(__xludf.DUMMYFUNCTION("""COMPUTED_VALUE"""),"Very Old")</f>
        <v>Very Old</v>
      </c>
    </row>
    <row r="202" ht="14.25" customHeight="1">
      <c r="A202" s="5">
        <v>207544.0</v>
      </c>
      <c r="B202" s="6" t="s">
        <v>3447</v>
      </c>
      <c r="C202" s="6" t="s">
        <v>29</v>
      </c>
      <c r="D202" s="6">
        <v>97626.0</v>
      </c>
      <c r="E202" s="6" t="s">
        <v>77</v>
      </c>
      <c r="F202" s="6" t="s">
        <v>41</v>
      </c>
      <c r="G202" s="6" t="s">
        <v>55</v>
      </c>
      <c r="H202" s="7">
        <v>2428.0</v>
      </c>
      <c r="I202" s="7">
        <v>8339.0</v>
      </c>
      <c r="J202" s="6">
        <v>1987.0</v>
      </c>
      <c r="K202" s="6">
        <v>13.0</v>
      </c>
      <c r="L202" s="6" t="s">
        <v>141</v>
      </c>
      <c r="M202" s="6" t="s">
        <v>3448</v>
      </c>
      <c r="N202" s="6" t="s">
        <v>34</v>
      </c>
      <c r="O202" s="6" t="s">
        <v>25</v>
      </c>
      <c r="P202" s="6">
        <f>COUNTIF(Analysis!$M$1:$M$3001,Analysis!$M852)</f>
        <v>1</v>
      </c>
      <c r="Q202" s="6" t="str">
        <f>IF(COUNTIF(Analysis!$M$2:$M$3001,Analysis!$M852)&gt;1,"Duplicate","OK")</f>
        <v>OK</v>
      </c>
      <c r="R202" s="6" t="str">
        <f t="shared" si="1"/>
        <v>1600-2600</v>
      </c>
      <c r="S202" s="6">
        <f t="shared" si="2"/>
        <v>39</v>
      </c>
      <c r="T202" s="6" t="str">
        <f t="shared" si="3"/>
        <v>Old</v>
      </c>
      <c r="BH202" s="14">
        <f>IFERROR(__xludf.DUMMYFUNCTION("""COMPUTED_VALUE"""),472692.0)</f>
        <v>472692</v>
      </c>
      <c r="BI202" s="60" t="str">
        <f>IFERROR(__xludf.DUMMYFUNCTION("""COMPUTED_VALUE"""),"5560 Maple Dr, Sacramento, FL 41440")</f>
        <v>5560 Maple Dr, Sacramento, FL 41440</v>
      </c>
      <c r="BJ202" s="60" t="str">
        <f>IFERROR(__xludf.DUMMYFUNCTION("""COMPUTED_VALUE"""),"Sacramento")</f>
        <v>Sacramento</v>
      </c>
      <c r="BK202" s="60">
        <f>IFERROR(__xludf.DUMMYFUNCTION("""COMPUTED_VALUE"""),41440.0)</f>
        <v>41440</v>
      </c>
      <c r="BL202" s="60" t="str">
        <f>IFERROR(__xludf.DUMMYFUNCTION("""COMPUTED_VALUE"""),"FL")</f>
        <v>FL</v>
      </c>
      <c r="BM202" s="60" t="str">
        <f>IFERROR(__xludf.DUMMYFUNCTION("""COMPUTED_VALUE"""),"4 bds")</f>
        <v>4 bds</v>
      </c>
      <c r="BN202" s="60" t="str">
        <f>IFERROR(__xludf.DUMMYFUNCTION("""COMPUTED_VALUE"""),"1 ba")</f>
        <v>1 ba</v>
      </c>
      <c r="BO202" s="60">
        <f>IFERROR(__xludf.DUMMYFUNCTION("""COMPUTED_VALUE"""),1255.0)</f>
        <v>1255</v>
      </c>
      <c r="BP202" s="60">
        <f>IFERROR(__xludf.DUMMYFUNCTION("""COMPUTED_VALUE"""),5859.0)</f>
        <v>5859</v>
      </c>
      <c r="BQ202" s="60">
        <f>IFERROR(__xludf.DUMMYFUNCTION("""COMPUTED_VALUE"""),2018.0)</f>
        <v>2018</v>
      </c>
      <c r="BR202" s="60">
        <f>IFERROR(__xludf.DUMMYFUNCTION("""COMPUTED_VALUE"""),26.0)</f>
        <v>26</v>
      </c>
      <c r="BS202" s="60" t="str">
        <f>IFERROR(__xludf.DUMMYFUNCTION("""COMPUTED_VALUE"""),"Single Family")</f>
        <v>Single Family</v>
      </c>
      <c r="BT202" s="60" t="str">
        <f>IFERROR(__xludf.DUMMYFUNCTION("""COMPUTED_VALUE"""),"Z509319")</f>
        <v>Z509319</v>
      </c>
      <c r="BU202" s="60" t="str">
        <f>IFERROR(__xludf.DUMMYFUNCTION("""COMPUTED_VALUE"""),"Alex Johnson - Compass")</f>
        <v>Alex Johnson - Compass</v>
      </c>
      <c r="BV202" s="60" t="str">
        <f>IFERROR(__xludf.DUMMYFUNCTION("""COMPUTED_VALUE"""),"Sold")</f>
        <v>Sold</v>
      </c>
      <c r="BW202" s="60">
        <f>IFERROR(__xludf.DUMMYFUNCTION("""COMPUTED_VALUE"""),1.0)</f>
        <v>1</v>
      </c>
      <c r="BX202" s="60" t="str">
        <f>IFERROR(__xludf.DUMMYFUNCTION("""COMPUTED_VALUE"""),"OK")</f>
        <v>OK</v>
      </c>
      <c r="BY202" s="1" t="str">
        <f>IFERROR(__xludf.DUMMYFUNCTION("""COMPUTED_VALUE"""),"600-1600")</f>
        <v>600-1600</v>
      </c>
      <c r="BZ202" s="1">
        <f>IFERROR(__xludf.DUMMYFUNCTION("""COMPUTED_VALUE"""),8.0)</f>
        <v>8</v>
      </c>
      <c r="CA202" s="1" t="str">
        <f>IFERROR(__xludf.DUMMYFUNCTION("""COMPUTED_VALUE"""),"New")</f>
        <v>New</v>
      </c>
    </row>
    <row r="203" ht="14.25" customHeight="1">
      <c r="A203" s="5">
        <v>208579.0</v>
      </c>
      <c r="B203" s="6" t="s">
        <v>2188</v>
      </c>
      <c r="C203" s="6" t="s">
        <v>29</v>
      </c>
      <c r="D203" s="6">
        <v>31166.0</v>
      </c>
      <c r="E203" s="6" t="s">
        <v>60</v>
      </c>
      <c r="F203" s="6" t="s">
        <v>20</v>
      </c>
      <c r="G203" s="6" t="s">
        <v>55</v>
      </c>
      <c r="H203" s="7">
        <v>1832.0</v>
      </c>
      <c r="I203" s="7">
        <v>7081.0</v>
      </c>
      <c r="J203" s="6">
        <v>1952.0</v>
      </c>
      <c r="K203" s="6">
        <v>106.0</v>
      </c>
      <c r="L203" s="6" t="s">
        <v>95</v>
      </c>
      <c r="M203" s="6" t="s">
        <v>2189</v>
      </c>
      <c r="N203" s="6" t="s">
        <v>24</v>
      </c>
      <c r="O203" s="6" t="s">
        <v>49</v>
      </c>
      <c r="P203" s="6">
        <f>COUNTIF(Analysis!$M$1:$M$3001,Analysis!$M537)</f>
        <v>1</v>
      </c>
      <c r="Q203" s="6" t="str">
        <f>IF(COUNTIF(Analysis!$M$2:$M$3001,Analysis!$M537)&gt;1,"Duplicate","OK")</f>
        <v>OK</v>
      </c>
      <c r="R203" s="6" t="str">
        <f t="shared" si="1"/>
        <v>1600-2600</v>
      </c>
      <c r="S203" s="6">
        <f t="shared" si="2"/>
        <v>74</v>
      </c>
      <c r="T203" s="6" t="str">
        <f t="shared" si="3"/>
        <v>Very Old</v>
      </c>
      <c r="BH203" s="14">
        <f>IFERROR(__xludf.DUMMYFUNCTION("""COMPUTED_VALUE"""),913054.0)</f>
        <v>913054</v>
      </c>
      <c r="BI203" s="60" t="str">
        <f>IFERROR(__xludf.DUMMYFUNCTION("""COMPUTED_VALUE"""),"7138 Elm St, San Francisco, TX 99109")</f>
        <v>7138 Elm St, San Francisco, TX 99109</v>
      </c>
      <c r="BJ203" s="60" t="str">
        <f>IFERROR(__xludf.DUMMYFUNCTION("""COMPUTED_VALUE"""),"San Francisco")</f>
        <v>San Francisco</v>
      </c>
      <c r="BK203" s="60">
        <f>IFERROR(__xludf.DUMMYFUNCTION("""COMPUTED_VALUE"""),99109.0)</f>
        <v>99109</v>
      </c>
      <c r="BL203" s="60" t="str">
        <f>IFERROR(__xludf.DUMMYFUNCTION("""COMPUTED_VALUE"""),"TX")</f>
        <v>TX</v>
      </c>
      <c r="BM203" s="60" t="str">
        <f>IFERROR(__xludf.DUMMYFUNCTION("""COMPUTED_VALUE"""),"1 bds")</f>
        <v>1 bds</v>
      </c>
      <c r="BN203" s="60" t="str">
        <f>IFERROR(__xludf.DUMMYFUNCTION("""COMPUTED_VALUE"""),"1 ba")</f>
        <v>1 ba</v>
      </c>
      <c r="BO203" s="60">
        <f>IFERROR(__xludf.DUMMYFUNCTION("""COMPUTED_VALUE"""),1445.0)</f>
        <v>1445</v>
      </c>
      <c r="BP203" s="60">
        <f>IFERROR(__xludf.DUMMYFUNCTION("""COMPUTED_VALUE"""),6017.0)</f>
        <v>6017</v>
      </c>
      <c r="BQ203" s="60">
        <f>IFERROR(__xludf.DUMMYFUNCTION("""COMPUTED_VALUE"""),1972.0)</f>
        <v>1972</v>
      </c>
      <c r="BR203" s="60">
        <f>IFERROR(__xludf.DUMMYFUNCTION("""COMPUTED_VALUE"""),62.0)</f>
        <v>62</v>
      </c>
      <c r="BS203" s="60" t="str">
        <f>IFERROR(__xludf.DUMMYFUNCTION("""COMPUTED_VALUE"""),"Multi-Family")</f>
        <v>Multi-Family</v>
      </c>
      <c r="BT203" s="60" t="str">
        <f>IFERROR(__xludf.DUMMYFUNCTION("""COMPUTED_VALUE"""),"Z609570")</f>
        <v>Z609570</v>
      </c>
      <c r="BU203" s="60" t="str">
        <f>IFERROR(__xludf.DUMMYFUNCTION("""COMPUTED_VALUE"""),"Alex Johnson - Compass")</f>
        <v>Alex Johnson - Compass</v>
      </c>
      <c r="BV203" s="60" t="str">
        <f>IFERROR(__xludf.DUMMYFUNCTION("""COMPUTED_VALUE"""),"Sold")</f>
        <v>Sold</v>
      </c>
      <c r="BW203" s="60">
        <f>IFERROR(__xludf.DUMMYFUNCTION("""COMPUTED_VALUE"""),1.0)</f>
        <v>1</v>
      </c>
      <c r="BX203" s="60" t="str">
        <f>IFERROR(__xludf.DUMMYFUNCTION("""COMPUTED_VALUE"""),"OK")</f>
        <v>OK</v>
      </c>
      <c r="BY203" s="1" t="str">
        <f>IFERROR(__xludf.DUMMYFUNCTION("""COMPUTED_VALUE"""),"600-1600")</f>
        <v>600-1600</v>
      </c>
      <c r="BZ203" s="1">
        <f>IFERROR(__xludf.DUMMYFUNCTION("""COMPUTED_VALUE"""),54.0)</f>
        <v>54</v>
      </c>
      <c r="CA203" s="1" t="str">
        <f>IFERROR(__xludf.DUMMYFUNCTION("""COMPUTED_VALUE"""),"Old")</f>
        <v>Old</v>
      </c>
    </row>
    <row r="204" ht="14.25" customHeight="1">
      <c r="A204" s="5">
        <v>211740.0</v>
      </c>
      <c r="B204" s="6" t="s">
        <v>11599</v>
      </c>
      <c r="C204" s="6" t="s">
        <v>29</v>
      </c>
      <c r="D204" s="6">
        <v>12486.0</v>
      </c>
      <c r="E204" s="6" t="s">
        <v>40</v>
      </c>
      <c r="F204" s="6" t="s">
        <v>46</v>
      </c>
      <c r="G204" s="6" t="s">
        <v>100</v>
      </c>
      <c r="H204" s="7">
        <v>3367.0</v>
      </c>
      <c r="I204" s="7">
        <v>2926.0</v>
      </c>
      <c r="J204" s="6">
        <v>2011.0</v>
      </c>
      <c r="K204" s="6">
        <v>52.0</v>
      </c>
      <c r="L204" s="6" t="s">
        <v>141</v>
      </c>
      <c r="M204" s="6" t="s">
        <v>11600</v>
      </c>
      <c r="N204" s="6" t="s">
        <v>43</v>
      </c>
      <c r="O204" s="6" t="s">
        <v>25</v>
      </c>
      <c r="P204" s="6">
        <f>COUNTIF(Analysis!$M$1:$M$3001,Analysis!$M2891)</f>
        <v>1</v>
      </c>
      <c r="Q204" s="6" t="str">
        <f>IF(COUNTIF(Analysis!$M$2:$M$3001,Analysis!$M2891)&gt;1,"Duplicate","OK")</f>
        <v>OK</v>
      </c>
      <c r="R204" s="6" t="str">
        <f t="shared" si="1"/>
        <v>2600-3600</v>
      </c>
      <c r="S204" s="6">
        <f t="shared" si="2"/>
        <v>15</v>
      </c>
      <c r="T204" s="6" t="str">
        <f t="shared" si="3"/>
        <v>Mid</v>
      </c>
      <c r="BH204" s="14">
        <f>IFERROR(__xludf.DUMMYFUNCTION("""COMPUTED_VALUE"""),1159949.0)</f>
        <v>1159949</v>
      </c>
      <c r="BI204" s="60" t="str">
        <f>IFERROR(__xludf.DUMMYFUNCTION("""COMPUTED_VALUE"""),"9370 Elm St, Sacramento, FL 15971")</f>
        <v>9370 Elm St, Sacramento, FL 15971</v>
      </c>
      <c r="BJ204" s="60" t="str">
        <f>IFERROR(__xludf.DUMMYFUNCTION("""COMPUTED_VALUE"""),"Sacramento")</f>
        <v>Sacramento</v>
      </c>
      <c r="BK204" s="60">
        <f>IFERROR(__xludf.DUMMYFUNCTION("""COMPUTED_VALUE"""),15971.0)</f>
        <v>15971</v>
      </c>
      <c r="BL204" s="60" t="str">
        <f>IFERROR(__xludf.DUMMYFUNCTION("""COMPUTED_VALUE"""),"FL")</f>
        <v>FL</v>
      </c>
      <c r="BM204" s="60" t="str">
        <f>IFERROR(__xludf.DUMMYFUNCTION("""COMPUTED_VALUE"""),"3 bds")</f>
        <v>3 bds</v>
      </c>
      <c r="BN204" s="60" t="str">
        <f>IFERROR(__xludf.DUMMYFUNCTION("""COMPUTED_VALUE"""),"2 ba")</f>
        <v>2 ba</v>
      </c>
      <c r="BO204" s="60">
        <f>IFERROR(__xludf.DUMMYFUNCTION("""COMPUTED_VALUE"""),797.0)</f>
        <v>797</v>
      </c>
      <c r="BP204" s="60">
        <f>IFERROR(__xludf.DUMMYFUNCTION("""COMPUTED_VALUE"""),4774.0)</f>
        <v>4774</v>
      </c>
      <c r="BQ204" s="60">
        <f>IFERROR(__xludf.DUMMYFUNCTION("""COMPUTED_VALUE"""),1953.0)</f>
        <v>1953</v>
      </c>
      <c r="BR204" s="60">
        <f>IFERROR(__xludf.DUMMYFUNCTION("""COMPUTED_VALUE"""),49.0)</f>
        <v>49</v>
      </c>
      <c r="BS204" s="60" t="str">
        <f>IFERROR(__xludf.DUMMYFUNCTION("""COMPUTED_VALUE"""),"Townhouse")</f>
        <v>Townhouse</v>
      </c>
      <c r="BT204" s="60" t="str">
        <f>IFERROR(__xludf.DUMMYFUNCTION("""COMPUTED_VALUE"""),"Z653848")</f>
        <v>Z653848</v>
      </c>
      <c r="BU204" s="60" t="str">
        <f>IFERROR(__xludf.DUMMYFUNCTION("""COMPUTED_VALUE"""),"Alex Johnson - Compass")</f>
        <v>Alex Johnson - Compass</v>
      </c>
      <c r="BV204" s="60" t="str">
        <f>IFERROR(__xludf.DUMMYFUNCTION("""COMPUTED_VALUE"""),"Sold")</f>
        <v>Sold</v>
      </c>
      <c r="BW204" s="60">
        <f>IFERROR(__xludf.DUMMYFUNCTION("""COMPUTED_VALUE"""),1.0)</f>
        <v>1</v>
      </c>
      <c r="BX204" s="60" t="str">
        <f>IFERROR(__xludf.DUMMYFUNCTION("""COMPUTED_VALUE"""),"OK")</f>
        <v>OK</v>
      </c>
      <c r="BY204" s="1" t="str">
        <f>IFERROR(__xludf.DUMMYFUNCTION("""COMPUTED_VALUE"""),"600-1600")</f>
        <v>600-1600</v>
      </c>
      <c r="BZ204" s="1">
        <f>IFERROR(__xludf.DUMMYFUNCTION("""COMPUTED_VALUE"""),73.0)</f>
        <v>73</v>
      </c>
      <c r="CA204" s="1" t="str">
        <f>IFERROR(__xludf.DUMMYFUNCTION("""COMPUTED_VALUE"""),"Very Old")</f>
        <v>Very Old</v>
      </c>
    </row>
    <row r="205" ht="14.25" customHeight="1">
      <c r="A205" s="5">
        <v>1427494.0</v>
      </c>
      <c r="B205" s="6" t="s">
        <v>861</v>
      </c>
      <c r="C205" s="6" t="s">
        <v>53</v>
      </c>
      <c r="D205" s="6">
        <v>14674.0</v>
      </c>
      <c r="E205" s="6" t="s">
        <v>60</v>
      </c>
      <c r="F205" s="6" t="s">
        <v>94</v>
      </c>
      <c r="G205" s="6" t="s">
        <v>100</v>
      </c>
      <c r="H205" s="7">
        <v>2514.0</v>
      </c>
      <c r="I205" s="7">
        <v>7593.0</v>
      </c>
      <c r="J205" s="6">
        <v>1994.0</v>
      </c>
      <c r="K205" s="6">
        <v>100.0</v>
      </c>
      <c r="L205" s="6" t="s">
        <v>22</v>
      </c>
      <c r="M205" s="6" t="s">
        <v>862</v>
      </c>
      <c r="N205" s="6" t="s">
        <v>43</v>
      </c>
      <c r="O205" s="6" t="s">
        <v>35</v>
      </c>
      <c r="P205" s="6">
        <f>COUNTIF(Analysis!$M$1:$M$3001,Analysis!$M205)</f>
        <v>1</v>
      </c>
      <c r="Q205" s="6" t="str">
        <f>IF(COUNTIF(Analysis!$M$2:$M$3001,Analysis!$M205)&gt;1,"Duplicate","OK")</f>
        <v>OK</v>
      </c>
      <c r="R205" s="6" t="str">
        <f t="shared" si="1"/>
        <v>1600-2600</v>
      </c>
      <c r="S205" s="6">
        <f t="shared" si="2"/>
        <v>32</v>
      </c>
      <c r="T205" s="6" t="str">
        <f t="shared" si="3"/>
        <v>Old</v>
      </c>
      <c r="BH205" s="14">
        <f>IFERROR(__xludf.DUMMYFUNCTION("""COMPUTED_VALUE"""),1340655.0)</f>
        <v>1340655</v>
      </c>
      <c r="BI205" s="60" t="str">
        <f>IFERROR(__xludf.DUMMYFUNCTION("""COMPUTED_VALUE"""),"3884 Oak Ave, Fresno, FL 74333")</f>
        <v>3884 Oak Ave, Fresno, FL 74333</v>
      </c>
      <c r="BJ205" s="60" t="str">
        <f>IFERROR(__xludf.DUMMYFUNCTION("""COMPUTED_VALUE"""),"Fresno")</f>
        <v>Fresno</v>
      </c>
      <c r="BK205" s="60">
        <f>IFERROR(__xludf.DUMMYFUNCTION("""COMPUTED_VALUE"""),74333.0)</f>
        <v>74333</v>
      </c>
      <c r="BL205" s="60" t="str">
        <f>IFERROR(__xludf.DUMMYFUNCTION("""COMPUTED_VALUE"""),"FL")</f>
        <v>FL</v>
      </c>
      <c r="BM205" s="60" t="str">
        <f>IFERROR(__xludf.DUMMYFUNCTION("""COMPUTED_VALUE"""),"2 bds")</f>
        <v>2 bds</v>
      </c>
      <c r="BN205" s="60" t="str">
        <f>IFERROR(__xludf.DUMMYFUNCTION("""COMPUTED_VALUE"""),"4 ba")</f>
        <v>4 ba</v>
      </c>
      <c r="BO205" s="60">
        <f>IFERROR(__xludf.DUMMYFUNCTION("""COMPUTED_VALUE"""),3275.0)</f>
        <v>3275</v>
      </c>
      <c r="BP205" s="60">
        <f>IFERROR(__xludf.DUMMYFUNCTION("""COMPUTED_VALUE"""),8269.0)</f>
        <v>8269</v>
      </c>
      <c r="BQ205" s="60">
        <f>IFERROR(__xludf.DUMMYFUNCTION("""COMPUTED_VALUE"""),1994.0)</f>
        <v>1994</v>
      </c>
      <c r="BR205" s="60">
        <f>IFERROR(__xludf.DUMMYFUNCTION("""COMPUTED_VALUE"""),57.0)</f>
        <v>57</v>
      </c>
      <c r="BS205" s="60" t="str">
        <f>IFERROR(__xludf.DUMMYFUNCTION("""COMPUTED_VALUE"""),"Apartment")</f>
        <v>Apartment</v>
      </c>
      <c r="BT205" s="60" t="str">
        <f>IFERROR(__xludf.DUMMYFUNCTION("""COMPUTED_VALUE"""),"Z774905")</f>
        <v>Z774905</v>
      </c>
      <c r="BU205" s="60" t="str">
        <f>IFERROR(__xludf.DUMMYFUNCTION("""COMPUTED_VALUE"""),"Alex Johnson - Compass")</f>
        <v>Alex Johnson - Compass</v>
      </c>
      <c r="BV205" s="60" t="str">
        <f>IFERROR(__xludf.DUMMYFUNCTION("""COMPUTED_VALUE"""),"Sold")</f>
        <v>Sold</v>
      </c>
      <c r="BW205" s="60">
        <f>IFERROR(__xludf.DUMMYFUNCTION("""COMPUTED_VALUE"""),1.0)</f>
        <v>1</v>
      </c>
      <c r="BX205" s="60" t="str">
        <f>IFERROR(__xludf.DUMMYFUNCTION("""COMPUTED_VALUE"""),"OK")</f>
        <v>OK</v>
      </c>
      <c r="BY205" s="1" t="str">
        <f>IFERROR(__xludf.DUMMYFUNCTION("""COMPUTED_VALUE"""),"2600-3600")</f>
        <v>2600-3600</v>
      </c>
      <c r="BZ205" s="1">
        <f>IFERROR(__xludf.DUMMYFUNCTION("""COMPUTED_VALUE"""),32.0)</f>
        <v>32</v>
      </c>
      <c r="CA205" s="1" t="str">
        <f>IFERROR(__xludf.DUMMYFUNCTION("""COMPUTED_VALUE"""),"Old")</f>
        <v>Old</v>
      </c>
    </row>
    <row r="206" ht="14.25" customHeight="1">
      <c r="A206" s="5">
        <v>1230642.0</v>
      </c>
      <c r="B206" s="6" t="s">
        <v>865</v>
      </c>
      <c r="C206" s="6" t="s">
        <v>76</v>
      </c>
      <c r="D206" s="6">
        <v>82340.0</v>
      </c>
      <c r="E206" s="6" t="s">
        <v>77</v>
      </c>
      <c r="F206" s="6" t="s">
        <v>61</v>
      </c>
      <c r="G206" s="6" t="s">
        <v>100</v>
      </c>
      <c r="H206" s="7">
        <v>2342.0</v>
      </c>
      <c r="I206" s="7">
        <v>6874.0</v>
      </c>
      <c r="J206" s="6">
        <v>2021.0</v>
      </c>
      <c r="K206" s="6">
        <v>61.0</v>
      </c>
      <c r="L206" s="6" t="s">
        <v>95</v>
      </c>
      <c r="M206" s="6" t="s">
        <v>866</v>
      </c>
      <c r="N206" s="6" t="s">
        <v>43</v>
      </c>
      <c r="O206" s="6" t="s">
        <v>25</v>
      </c>
      <c r="P206" s="6">
        <f>COUNTIF(Analysis!$M$1:$M$3001,Analysis!$M206)</f>
        <v>1</v>
      </c>
      <c r="Q206" s="6" t="str">
        <f>IF(COUNTIF(Analysis!$M$2:$M$3001,Analysis!$M206)&gt;1,"Duplicate","OK")</f>
        <v>OK</v>
      </c>
      <c r="R206" s="6" t="str">
        <f t="shared" si="1"/>
        <v>1600-2600</v>
      </c>
      <c r="S206" s="6">
        <f t="shared" si="2"/>
        <v>5</v>
      </c>
      <c r="T206" s="6" t="str">
        <f t="shared" si="3"/>
        <v>New</v>
      </c>
      <c r="BH206" s="14">
        <f>IFERROR(__xludf.DUMMYFUNCTION("""COMPUTED_VALUE"""),491406.0)</f>
        <v>491406</v>
      </c>
      <c r="BI206" s="60" t="str">
        <f>IFERROR(__xludf.DUMMYFUNCTION("""COMPUTED_VALUE"""),"2353 Maple Dr, San Francisco, FL 73490")</f>
        <v>2353 Maple Dr, San Francisco, FL 73490</v>
      </c>
      <c r="BJ206" s="60" t="str">
        <f>IFERROR(__xludf.DUMMYFUNCTION("""COMPUTED_VALUE"""),"San Francisco")</f>
        <v>San Francisco</v>
      </c>
      <c r="BK206" s="60">
        <f>IFERROR(__xludf.DUMMYFUNCTION("""COMPUTED_VALUE"""),73490.0)</f>
        <v>73490</v>
      </c>
      <c r="BL206" s="60" t="str">
        <f>IFERROR(__xludf.DUMMYFUNCTION("""COMPUTED_VALUE"""),"FL")</f>
        <v>FL</v>
      </c>
      <c r="BM206" s="60" t="str">
        <f>IFERROR(__xludf.DUMMYFUNCTION("""COMPUTED_VALUE"""),"5 bds")</f>
        <v>5 bds</v>
      </c>
      <c r="BN206" s="60" t="str">
        <f>IFERROR(__xludf.DUMMYFUNCTION("""COMPUTED_VALUE"""),"2 ba")</f>
        <v>2 ba</v>
      </c>
      <c r="BO206" s="60">
        <f>IFERROR(__xludf.DUMMYFUNCTION("""COMPUTED_VALUE"""),3489.0)</f>
        <v>3489</v>
      </c>
      <c r="BP206" s="60">
        <f>IFERROR(__xludf.DUMMYFUNCTION("""COMPUTED_VALUE"""),3663.0)</f>
        <v>3663</v>
      </c>
      <c r="BQ206" s="60">
        <f>IFERROR(__xludf.DUMMYFUNCTION("""COMPUTED_VALUE"""),1973.0)</f>
        <v>1973</v>
      </c>
      <c r="BR206" s="60">
        <f>IFERROR(__xludf.DUMMYFUNCTION("""COMPUTED_VALUE"""),40.0)</f>
        <v>40</v>
      </c>
      <c r="BS206" s="60" t="str">
        <f>IFERROR(__xludf.DUMMYFUNCTION("""COMPUTED_VALUE"""),"Multi-Family")</f>
        <v>Multi-Family</v>
      </c>
      <c r="BT206" s="60" t="str">
        <f>IFERROR(__xludf.DUMMYFUNCTION("""COMPUTED_VALUE"""),"Z944120")</f>
        <v>Z944120</v>
      </c>
      <c r="BU206" s="60" t="str">
        <f>IFERROR(__xludf.DUMMYFUNCTION("""COMPUTED_VALUE"""),"Alex Johnson - Compass")</f>
        <v>Alex Johnson - Compass</v>
      </c>
      <c r="BV206" s="60" t="str">
        <f>IFERROR(__xludf.DUMMYFUNCTION("""COMPUTED_VALUE"""),"Sold")</f>
        <v>Sold</v>
      </c>
      <c r="BW206" s="60">
        <f>IFERROR(__xludf.DUMMYFUNCTION("""COMPUTED_VALUE"""),1.0)</f>
        <v>1</v>
      </c>
      <c r="BX206" s="60" t="str">
        <f>IFERROR(__xludf.DUMMYFUNCTION("""COMPUTED_VALUE"""),"OK")</f>
        <v>OK</v>
      </c>
      <c r="BY206" s="1" t="str">
        <f>IFERROR(__xludf.DUMMYFUNCTION("""COMPUTED_VALUE"""),"2600-3600")</f>
        <v>2600-3600</v>
      </c>
      <c r="BZ206" s="1">
        <f>IFERROR(__xludf.DUMMYFUNCTION("""COMPUTED_VALUE"""),53.0)</f>
        <v>53</v>
      </c>
      <c r="CA206" s="1" t="str">
        <f>IFERROR(__xludf.DUMMYFUNCTION("""COMPUTED_VALUE"""),"Old")</f>
        <v>Old</v>
      </c>
    </row>
    <row r="207" ht="14.25" customHeight="1">
      <c r="A207" s="5">
        <v>1304385.0</v>
      </c>
      <c r="B207" s="6" t="s">
        <v>869</v>
      </c>
      <c r="C207" s="6" t="s">
        <v>53</v>
      </c>
      <c r="D207" s="6">
        <v>66352.0</v>
      </c>
      <c r="E207" s="6" t="s">
        <v>60</v>
      </c>
      <c r="F207" s="6" t="s">
        <v>94</v>
      </c>
      <c r="G207" s="6" t="s">
        <v>21</v>
      </c>
      <c r="H207" s="7">
        <v>878.0</v>
      </c>
      <c r="I207" s="7">
        <v>4083.0</v>
      </c>
      <c r="J207" s="6">
        <v>2004.0</v>
      </c>
      <c r="K207" s="6">
        <v>41.0</v>
      </c>
      <c r="L207" s="6" t="s">
        <v>95</v>
      </c>
      <c r="M207" s="6" t="s">
        <v>870</v>
      </c>
      <c r="N207" s="6" t="s">
        <v>24</v>
      </c>
      <c r="O207" s="6" t="s">
        <v>25</v>
      </c>
      <c r="P207" s="6">
        <f>COUNTIF(Analysis!$M$1:$M$3001,Analysis!$M207)</f>
        <v>1</v>
      </c>
      <c r="Q207" s="6" t="str">
        <f>IF(COUNTIF(Analysis!$M$2:$M$3001,Analysis!$M207)&gt;1,"Duplicate","OK")</f>
        <v>OK</v>
      </c>
      <c r="R207" s="6" t="str">
        <f t="shared" si="1"/>
        <v>600-1600</v>
      </c>
      <c r="S207" s="6">
        <f t="shared" si="2"/>
        <v>22</v>
      </c>
      <c r="T207" s="6" t="str">
        <f t="shared" si="3"/>
        <v>Mid</v>
      </c>
      <c r="BH207" s="14">
        <f>IFERROR(__xludf.DUMMYFUNCTION("""COMPUTED_VALUE"""),176303.0)</f>
        <v>176303</v>
      </c>
      <c r="BI207" s="60" t="str">
        <f>IFERROR(__xludf.DUMMYFUNCTION("""COMPUTED_VALUE"""),"2087 Maple Dr, San Francisco, NY 55776")</f>
        <v>2087 Maple Dr, San Francisco, NY 55776</v>
      </c>
      <c r="BJ207" s="60" t="str">
        <f>IFERROR(__xludf.DUMMYFUNCTION("""COMPUTED_VALUE"""),"San Francisco")</f>
        <v>San Francisco</v>
      </c>
      <c r="BK207" s="60">
        <f>IFERROR(__xludf.DUMMYFUNCTION("""COMPUTED_VALUE"""),55776.0)</f>
        <v>55776</v>
      </c>
      <c r="BL207" s="60" t="str">
        <f>IFERROR(__xludf.DUMMYFUNCTION("""COMPUTED_VALUE"""),"NY")</f>
        <v>NY</v>
      </c>
      <c r="BM207" s="60" t="str">
        <f>IFERROR(__xludf.DUMMYFUNCTION("""COMPUTED_VALUE"""),"1 bds")</f>
        <v>1 bds</v>
      </c>
      <c r="BN207" s="60" t="str">
        <f>IFERROR(__xludf.DUMMYFUNCTION("""COMPUTED_VALUE"""),"1 ba")</f>
        <v>1 ba</v>
      </c>
      <c r="BO207" s="60">
        <f>IFERROR(__xludf.DUMMYFUNCTION("""COMPUTED_VALUE"""),3194.0)</f>
        <v>3194</v>
      </c>
      <c r="BP207" s="60">
        <f>IFERROR(__xludf.DUMMYFUNCTION("""COMPUTED_VALUE"""),3870.0)</f>
        <v>3870</v>
      </c>
      <c r="BQ207" s="60">
        <f>IFERROR(__xludf.DUMMYFUNCTION("""COMPUTED_VALUE"""),1950.0)</f>
        <v>1950</v>
      </c>
      <c r="BR207" s="60">
        <f>IFERROR(__xludf.DUMMYFUNCTION("""COMPUTED_VALUE"""),69.0)</f>
        <v>69</v>
      </c>
      <c r="BS207" s="60" t="str">
        <f>IFERROR(__xludf.DUMMYFUNCTION("""COMPUTED_VALUE"""),"Multi-Family")</f>
        <v>Multi-Family</v>
      </c>
      <c r="BT207" s="60" t="str">
        <f>IFERROR(__xludf.DUMMYFUNCTION("""COMPUTED_VALUE"""),"Z537139")</f>
        <v>Z537139</v>
      </c>
      <c r="BU207" s="60" t="str">
        <f>IFERROR(__xludf.DUMMYFUNCTION("""COMPUTED_VALUE"""),"Alex Johnson - Compass")</f>
        <v>Alex Johnson - Compass</v>
      </c>
      <c r="BV207" s="60" t="str">
        <f>IFERROR(__xludf.DUMMYFUNCTION("""COMPUTED_VALUE"""),"Sold")</f>
        <v>Sold</v>
      </c>
      <c r="BW207" s="60">
        <f>IFERROR(__xludf.DUMMYFUNCTION("""COMPUTED_VALUE"""),1.0)</f>
        <v>1</v>
      </c>
      <c r="BX207" s="60" t="str">
        <f>IFERROR(__xludf.DUMMYFUNCTION("""COMPUTED_VALUE"""),"OK")</f>
        <v>OK</v>
      </c>
      <c r="BY207" s="1" t="str">
        <f>IFERROR(__xludf.DUMMYFUNCTION("""COMPUTED_VALUE"""),"2600-3600")</f>
        <v>2600-3600</v>
      </c>
      <c r="BZ207" s="1">
        <f>IFERROR(__xludf.DUMMYFUNCTION("""COMPUTED_VALUE"""),76.0)</f>
        <v>76</v>
      </c>
      <c r="CA207" s="1" t="str">
        <f>IFERROR(__xludf.DUMMYFUNCTION("""COMPUTED_VALUE"""),"Very Old")</f>
        <v>Very Old</v>
      </c>
    </row>
    <row r="208" ht="14.25" customHeight="1">
      <c r="A208" s="5">
        <v>747218.0</v>
      </c>
      <c r="B208" s="6" t="s">
        <v>873</v>
      </c>
      <c r="C208" s="6" t="s">
        <v>18</v>
      </c>
      <c r="D208" s="6">
        <v>58001.0</v>
      </c>
      <c r="E208" s="6" t="s">
        <v>19</v>
      </c>
      <c r="F208" s="6" t="s">
        <v>54</v>
      </c>
      <c r="G208" s="6" t="s">
        <v>100</v>
      </c>
      <c r="H208" s="7">
        <v>2623.0</v>
      </c>
      <c r="I208" s="7">
        <v>1356.0</v>
      </c>
      <c r="J208" s="6">
        <v>2020.0</v>
      </c>
      <c r="K208" s="6">
        <v>44.0</v>
      </c>
      <c r="L208" s="6" t="s">
        <v>95</v>
      </c>
      <c r="M208" s="6" t="s">
        <v>874</v>
      </c>
      <c r="N208" s="6" t="s">
        <v>34</v>
      </c>
      <c r="O208" s="6" t="s">
        <v>25</v>
      </c>
      <c r="P208" s="6">
        <f>COUNTIF(Analysis!$M$1:$M$3001,Analysis!$M208)</f>
        <v>1</v>
      </c>
      <c r="Q208" s="6" t="str">
        <f>IF(COUNTIF(Analysis!$M$2:$M$3001,Analysis!$M208)&gt;1,"Duplicate","OK")</f>
        <v>OK</v>
      </c>
      <c r="R208" s="6" t="str">
        <f t="shared" si="1"/>
        <v>2600-3600</v>
      </c>
      <c r="S208" s="6">
        <f t="shared" si="2"/>
        <v>6</v>
      </c>
      <c r="T208" s="6" t="str">
        <f t="shared" si="3"/>
        <v>New</v>
      </c>
      <c r="BH208" s="14">
        <f>IFERROR(__xludf.DUMMYFUNCTION("""COMPUTED_VALUE"""),898766.0)</f>
        <v>898766</v>
      </c>
      <c r="BI208" s="60" t="str">
        <f>IFERROR(__xludf.DUMMYFUNCTION("""COMPUTED_VALUE"""),"9693 Main St, Sacramento, IL 85906")</f>
        <v>9693 Main St, Sacramento, IL 85906</v>
      </c>
      <c r="BJ208" s="60" t="str">
        <f>IFERROR(__xludf.DUMMYFUNCTION("""COMPUTED_VALUE"""),"Sacramento")</f>
        <v>Sacramento</v>
      </c>
      <c r="BK208" s="60">
        <f>IFERROR(__xludf.DUMMYFUNCTION("""COMPUTED_VALUE"""),85906.0)</f>
        <v>85906</v>
      </c>
      <c r="BL208" s="60" t="str">
        <f>IFERROR(__xludf.DUMMYFUNCTION("""COMPUTED_VALUE"""),"IL")</f>
        <v>IL</v>
      </c>
      <c r="BM208" s="60" t="str">
        <f>IFERROR(__xludf.DUMMYFUNCTION("""COMPUTED_VALUE"""),"4 bds")</f>
        <v>4 bds</v>
      </c>
      <c r="BN208" s="60" t="str">
        <f>IFERROR(__xludf.DUMMYFUNCTION("""COMPUTED_VALUE"""),"3 ba")</f>
        <v>3 ba</v>
      </c>
      <c r="BO208" s="60">
        <f>IFERROR(__xludf.DUMMYFUNCTION("""COMPUTED_VALUE"""),719.0)</f>
        <v>719</v>
      </c>
      <c r="BP208" s="60">
        <f>IFERROR(__xludf.DUMMYFUNCTION("""COMPUTED_VALUE"""),1166.0)</f>
        <v>1166</v>
      </c>
      <c r="BQ208" s="60">
        <f>IFERROR(__xludf.DUMMYFUNCTION("""COMPUTED_VALUE"""),2023.0)</f>
        <v>2023</v>
      </c>
      <c r="BR208" s="60">
        <f>IFERROR(__xludf.DUMMYFUNCTION("""COMPUTED_VALUE"""),115.0)</f>
        <v>115</v>
      </c>
      <c r="BS208" s="60" t="str">
        <f>IFERROR(__xludf.DUMMYFUNCTION("""COMPUTED_VALUE"""),"Condo")</f>
        <v>Condo</v>
      </c>
      <c r="BT208" s="60" t="str">
        <f>IFERROR(__xludf.DUMMYFUNCTION("""COMPUTED_VALUE"""),"Z817018")</f>
        <v>Z817018</v>
      </c>
      <c r="BU208" s="60" t="str">
        <f>IFERROR(__xludf.DUMMYFUNCTION("""COMPUTED_VALUE"""),"Alex Johnson - Compass")</f>
        <v>Alex Johnson - Compass</v>
      </c>
      <c r="BV208" s="60" t="str">
        <f>IFERROR(__xludf.DUMMYFUNCTION("""COMPUTED_VALUE"""),"Sold")</f>
        <v>Sold</v>
      </c>
      <c r="BW208" s="60">
        <f>IFERROR(__xludf.DUMMYFUNCTION("""COMPUTED_VALUE"""),1.0)</f>
        <v>1</v>
      </c>
      <c r="BX208" s="60" t="str">
        <f>IFERROR(__xludf.DUMMYFUNCTION("""COMPUTED_VALUE"""),"OK")</f>
        <v>OK</v>
      </c>
      <c r="BY208" s="1" t="str">
        <f>IFERROR(__xludf.DUMMYFUNCTION("""COMPUTED_VALUE"""),"600-1600")</f>
        <v>600-1600</v>
      </c>
      <c r="BZ208" s="1">
        <f>IFERROR(__xludf.DUMMYFUNCTION("""COMPUTED_VALUE"""),3.0)</f>
        <v>3</v>
      </c>
      <c r="CA208" s="1" t="str">
        <f>IFERROR(__xludf.DUMMYFUNCTION("""COMPUTED_VALUE"""),"New")</f>
        <v>New</v>
      </c>
    </row>
    <row r="209" ht="14.25" customHeight="1">
      <c r="A209" s="5">
        <v>414153.0</v>
      </c>
      <c r="B209" s="6" t="s">
        <v>877</v>
      </c>
      <c r="C209" s="6" t="s">
        <v>18</v>
      </c>
      <c r="D209" s="6">
        <v>64992.0</v>
      </c>
      <c r="E209" s="6" t="s">
        <v>77</v>
      </c>
      <c r="F209" s="6" t="s">
        <v>20</v>
      </c>
      <c r="G209" s="6" t="s">
        <v>100</v>
      </c>
      <c r="H209" s="7">
        <v>1065.0</v>
      </c>
      <c r="I209" s="7">
        <v>3682.0</v>
      </c>
      <c r="J209" s="6">
        <v>1956.0</v>
      </c>
      <c r="K209" s="6">
        <v>113.0</v>
      </c>
      <c r="L209" s="6" t="s">
        <v>95</v>
      </c>
      <c r="M209" s="6" t="s">
        <v>878</v>
      </c>
      <c r="N209" s="6" t="s">
        <v>24</v>
      </c>
      <c r="O209" s="6" t="s">
        <v>35</v>
      </c>
      <c r="P209" s="6">
        <f>COUNTIF(Analysis!$M$1:$M$3001,Analysis!$M209)</f>
        <v>1</v>
      </c>
      <c r="Q209" s="6" t="str">
        <f>IF(COUNTIF(Analysis!$M$2:$M$3001,Analysis!$M209)&gt;1,"Duplicate","OK")</f>
        <v>OK</v>
      </c>
      <c r="R209" s="6" t="str">
        <f t="shared" si="1"/>
        <v>600-1600</v>
      </c>
      <c r="S209" s="6">
        <f t="shared" si="2"/>
        <v>70</v>
      </c>
      <c r="T209" s="6" t="str">
        <f t="shared" si="3"/>
        <v>Very Old</v>
      </c>
      <c r="BH209" s="14">
        <f>IFERROR(__xludf.DUMMYFUNCTION("""COMPUTED_VALUE"""),204223.0)</f>
        <v>204223</v>
      </c>
      <c r="BI209" s="60" t="str">
        <f>IFERROR(__xludf.DUMMYFUNCTION("""COMPUTED_VALUE"""),"1374 Main St, Los Angeles, NY 86128")</f>
        <v>1374 Main St, Los Angeles, NY 86128</v>
      </c>
      <c r="BJ209" s="60" t="str">
        <f>IFERROR(__xludf.DUMMYFUNCTION("""COMPUTED_VALUE"""),"Los Angeles")</f>
        <v>Los Angeles</v>
      </c>
      <c r="BK209" s="60">
        <f>IFERROR(__xludf.DUMMYFUNCTION("""COMPUTED_VALUE"""),86128.0)</f>
        <v>86128</v>
      </c>
      <c r="BL209" s="60" t="str">
        <f>IFERROR(__xludf.DUMMYFUNCTION("""COMPUTED_VALUE"""),"NY")</f>
        <v>NY</v>
      </c>
      <c r="BM209" s="60" t="str">
        <f>IFERROR(__xludf.DUMMYFUNCTION("""COMPUTED_VALUE"""),"1 bds")</f>
        <v>1 bds</v>
      </c>
      <c r="BN209" s="60" t="str">
        <f>IFERROR(__xludf.DUMMYFUNCTION("""COMPUTED_VALUE"""),"4 ba")</f>
        <v>4 ba</v>
      </c>
      <c r="BO209" s="60">
        <f>IFERROR(__xludf.DUMMYFUNCTION("""COMPUTED_VALUE"""),3255.0)</f>
        <v>3255</v>
      </c>
      <c r="BP209" s="60">
        <f>IFERROR(__xludf.DUMMYFUNCTION("""COMPUTED_VALUE"""),7762.0)</f>
        <v>7762</v>
      </c>
      <c r="BQ209" s="60">
        <f>IFERROR(__xludf.DUMMYFUNCTION("""COMPUTED_VALUE"""),1964.0)</f>
        <v>1964</v>
      </c>
      <c r="BR209" s="60">
        <f>IFERROR(__xludf.DUMMYFUNCTION("""COMPUTED_VALUE"""),117.0)</f>
        <v>117</v>
      </c>
      <c r="BS209" s="60" t="str">
        <f>IFERROR(__xludf.DUMMYFUNCTION("""COMPUTED_VALUE"""),"Multi-Family")</f>
        <v>Multi-Family</v>
      </c>
      <c r="BT209" s="60" t="str">
        <f>IFERROR(__xludf.DUMMYFUNCTION("""COMPUTED_VALUE"""),"Z334860")</f>
        <v>Z334860</v>
      </c>
      <c r="BU209" s="60" t="str">
        <f>IFERROR(__xludf.DUMMYFUNCTION("""COMPUTED_VALUE"""),"Alex Johnson - Compass")</f>
        <v>Alex Johnson - Compass</v>
      </c>
      <c r="BV209" s="60" t="str">
        <f>IFERROR(__xludf.DUMMYFUNCTION("""COMPUTED_VALUE"""),"Sold")</f>
        <v>Sold</v>
      </c>
      <c r="BW209" s="60">
        <f>IFERROR(__xludf.DUMMYFUNCTION("""COMPUTED_VALUE"""),1.0)</f>
        <v>1</v>
      </c>
      <c r="BX209" s="60" t="str">
        <f>IFERROR(__xludf.DUMMYFUNCTION("""COMPUTED_VALUE"""),"OK")</f>
        <v>OK</v>
      </c>
      <c r="BY209" s="1" t="str">
        <f>IFERROR(__xludf.DUMMYFUNCTION("""COMPUTED_VALUE"""),"2600-3600")</f>
        <v>2600-3600</v>
      </c>
      <c r="BZ209" s="1">
        <f>IFERROR(__xludf.DUMMYFUNCTION("""COMPUTED_VALUE"""),62.0)</f>
        <v>62</v>
      </c>
      <c r="CA209" s="1" t="str">
        <f>IFERROR(__xludf.DUMMYFUNCTION("""COMPUTED_VALUE"""),"Very Old")</f>
        <v>Very Old</v>
      </c>
    </row>
    <row r="210" ht="14.25" customHeight="1">
      <c r="A210" s="5">
        <v>1471246.0</v>
      </c>
      <c r="B210" s="6" t="s">
        <v>881</v>
      </c>
      <c r="C210" s="6" t="s">
        <v>76</v>
      </c>
      <c r="D210" s="6">
        <v>71698.0</v>
      </c>
      <c r="E210" s="6" t="s">
        <v>77</v>
      </c>
      <c r="F210" s="6" t="s">
        <v>94</v>
      </c>
      <c r="G210" s="6" t="s">
        <v>100</v>
      </c>
      <c r="H210" s="7">
        <v>3930.0</v>
      </c>
      <c r="I210" s="7">
        <v>3160.0</v>
      </c>
      <c r="J210" s="6">
        <v>1992.0</v>
      </c>
      <c r="K210" s="6">
        <v>71.0</v>
      </c>
      <c r="L210" s="6" t="s">
        <v>62</v>
      </c>
      <c r="M210" s="6" t="s">
        <v>882</v>
      </c>
      <c r="N210" s="6" t="s">
        <v>34</v>
      </c>
      <c r="O210" s="6" t="s">
        <v>25</v>
      </c>
      <c r="P210" s="6">
        <f>COUNTIF(Analysis!$M$1:$M$3001,Analysis!$M210)</f>
        <v>1</v>
      </c>
      <c r="Q210" s="6" t="str">
        <f>IF(COUNTIF(Analysis!$M$2:$M$3001,Analysis!$M210)&gt;1,"Duplicate","OK")</f>
        <v>OK</v>
      </c>
      <c r="R210" s="6" t="str">
        <f t="shared" si="1"/>
        <v>3600+</v>
      </c>
      <c r="S210" s="6">
        <f t="shared" si="2"/>
        <v>34</v>
      </c>
      <c r="T210" s="6" t="str">
        <f t="shared" si="3"/>
        <v>Old</v>
      </c>
      <c r="BH210" s="14">
        <f>IFERROR(__xludf.DUMMYFUNCTION("""COMPUTED_VALUE"""),1050628.0)</f>
        <v>1050628</v>
      </c>
      <c r="BI210" s="60" t="str">
        <f>IFERROR(__xludf.DUMMYFUNCTION("""COMPUTED_VALUE"""),"6610 Elm St, Los Angeles, NY 82594")</f>
        <v>6610 Elm St, Los Angeles, NY 82594</v>
      </c>
      <c r="BJ210" s="60" t="str">
        <f>IFERROR(__xludf.DUMMYFUNCTION("""COMPUTED_VALUE"""),"Los Angeles")</f>
        <v>Los Angeles</v>
      </c>
      <c r="BK210" s="60">
        <f>IFERROR(__xludf.DUMMYFUNCTION("""COMPUTED_VALUE"""),82594.0)</f>
        <v>82594</v>
      </c>
      <c r="BL210" s="60" t="str">
        <f>IFERROR(__xludf.DUMMYFUNCTION("""COMPUTED_VALUE"""),"NY")</f>
        <v>NY</v>
      </c>
      <c r="BM210" s="60" t="str">
        <f>IFERROR(__xludf.DUMMYFUNCTION("""COMPUTED_VALUE"""),"1 bds")</f>
        <v>1 bds</v>
      </c>
      <c r="BN210" s="60" t="str">
        <f>IFERROR(__xludf.DUMMYFUNCTION("""COMPUTED_VALUE"""),"3 ba")</f>
        <v>3 ba</v>
      </c>
      <c r="BO210" s="60">
        <f>IFERROR(__xludf.DUMMYFUNCTION("""COMPUTED_VALUE"""),3150.0)</f>
        <v>3150</v>
      </c>
      <c r="BP210" s="60">
        <f>IFERROR(__xludf.DUMMYFUNCTION("""COMPUTED_VALUE"""),2541.0)</f>
        <v>2541</v>
      </c>
      <c r="BQ210" s="60">
        <f>IFERROR(__xludf.DUMMYFUNCTION("""COMPUTED_VALUE"""),1979.0)</f>
        <v>1979</v>
      </c>
      <c r="BR210" s="60">
        <f>IFERROR(__xludf.DUMMYFUNCTION("""COMPUTED_VALUE"""),96.0)</f>
        <v>96</v>
      </c>
      <c r="BS210" s="60" t="str">
        <f>IFERROR(__xludf.DUMMYFUNCTION("""COMPUTED_VALUE"""),"Apartment")</f>
        <v>Apartment</v>
      </c>
      <c r="BT210" s="60" t="str">
        <f>IFERROR(__xludf.DUMMYFUNCTION("""COMPUTED_VALUE"""),"Z951447")</f>
        <v>Z951447</v>
      </c>
      <c r="BU210" s="60" t="str">
        <f>IFERROR(__xludf.DUMMYFUNCTION("""COMPUTED_VALUE"""),"Alex Johnson - Compass")</f>
        <v>Alex Johnson - Compass</v>
      </c>
      <c r="BV210" s="60" t="str">
        <f>IFERROR(__xludf.DUMMYFUNCTION("""COMPUTED_VALUE"""),"Sold")</f>
        <v>Sold</v>
      </c>
      <c r="BW210" s="60">
        <f>IFERROR(__xludf.DUMMYFUNCTION("""COMPUTED_VALUE"""),1.0)</f>
        <v>1</v>
      </c>
      <c r="BX210" s="60" t="str">
        <f>IFERROR(__xludf.DUMMYFUNCTION("""COMPUTED_VALUE"""),"OK")</f>
        <v>OK</v>
      </c>
      <c r="BY210" s="1" t="str">
        <f>IFERROR(__xludf.DUMMYFUNCTION("""COMPUTED_VALUE"""),"2600-3600")</f>
        <v>2600-3600</v>
      </c>
      <c r="BZ210" s="1">
        <f>IFERROR(__xludf.DUMMYFUNCTION("""COMPUTED_VALUE"""),47.0)</f>
        <v>47</v>
      </c>
      <c r="CA210" s="1" t="str">
        <f>IFERROR(__xludf.DUMMYFUNCTION("""COMPUTED_VALUE"""),"Old")</f>
        <v>Old</v>
      </c>
    </row>
    <row r="211" ht="14.25" customHeight="1">
      <c r="A211" s="5">
        <v>233461.0</v>
      </c>
      <c r="B211" s="6" t="s">
        <v>885</v>
      </c>
      <c r="C211" s="6" t="s">
        <v>18</v>
      </c>
      <c r="D211" s="6">
        <v>35380.0</v>
      </c>
      <c r="E211" s="6" t="s">
        <v>40</v>
      </c>
      <c r="F211" s="6" t="s">
        <v>46</v>
      </c>
      <c r="G211" s="6" t="s">
        <v>100</v>
      </c>
      <c r="H211" s="7">
        <v>2715.0</v>
      </c>
      <c r="I211" s="7">
        <v>2504.0</v>
      </c>
      <c r="J211" s="6">
        <v>1987.0</v>
      </c>
      <c r="K211" s="6">
        <v>41.0</v>
      </c>
      <c r="L211" s="6" t="s">
        <v>95</v>
      </c>
      <c r="M211" s="6" t="s">
        <v>886</v>
      </c>
      <c r="N211" s="6" t="s">
        <v>48</v>
      </c>
      <c r="O211" s="6" t="s">
        <v>35</v>
      </c>
      <c r="P211" s="6">
        <f>COUNTIF(Analysis!$M$1:$M$3001,Analysis!$M211)</f>
        <v>1</v>
      </c>
      <c r="Q211" s="6" t="str">
        <f>IF(COUNTIF(Analysis!$M$2:$M$3001,Analysis!$M211)&gt;1,"Duplicate","OK")</f>
        <v>OK</v>
      </c>
      <c r="R211" s="6" t="str">
        <f t="shared" si="1"/>
        <v>2600-3600</v>
      </c>
      <c r="S211" s="6">
        <f t="shared" si="2"/>
        <v>39</v>
      </c>
      <c r="T211" s="6" t="str">
        <f t="shared" si="3"/>
        <v>Old</v>
      </c>
      <c r="BH211" s="14">
        <f>IFERROR(__xludf.DUMMYFUNCTION("""COMPUTED_VALUE"""),1390208.0)</f>
        <v>1390208</v>
      </c>
      <c r="BI211" s="60" t="str">
        <f>IFERROR(__xludf.DUMMYFUNCTION("""COMPUTED_VALUE"""),"4973 Maple Dr, Fresno, TX 84482")</f>
        <v>4973 Maple Dr, Fresno, TX 84482</v>
      </c>
      <c r="BJ211" s="60" t="str">
        <f>IFERROR(__xludf.DUMMYFUNCTION("""COMPUTED_VALUE"""),"Fresno")</f>
        <v>Fresno</v>
      </c>
      <c r="BK211" s="60">
        <f>IFERROR(__xludf.DUMMYFUNCTION("""COMPUTED_VALUE"""),84482.0)</f>
        <v>84482</v>
      </c>
      <c r="BL211" s="60" t="str">
        <f>IFERROR(__xludf.DUMMYFUNCTION("""COMPUTED_VALUE"""),"TX")</f>
        <v>TX</v>
      </c>
      <c r="BM211" s="60" t="str">
        <f>IFERROR(__xludf.DUMMYFUNCTION("""COMPUTED_VALUE"""),"2 bds")</f>
        <v>2 bds</v>
      </c>
      <c r="BN211" s="60" t="str">
        <f>IFERROR(__xludf.DUMMYFUNCTION("""COMPUTED_VALUE"""),"4 ba")</f>
        <v>4 ba</v>
      </c>
      <c r="BO211" s="60">
        <f>IFERROR(__xludf.DUMMYFUNCTION("""COMPUTED_VALUE"""),884.0)</f>
        <v>884</v>
      </c>
      <c r="BP211" s="60">
        <f>IFERROR(__xludf.DUMMYFUNCTION("""COMPUTED_VALUE"""),5210.0)</f>
        <v>5210</v>
      </c>
      <c r="BQ211" s="60">
        <f>IFERROR(__xludf.DUMMYFUNCTION("""COMPUTED_VALUE"""),2000.0)</f>
        <v>2000</v>
      </c>
      <c r="BR211" s="60">
        <f>IFERROR(__xludf.DUMMYFUNCTION("""COMPUTED_VALUE"""),74.0)</f>
        <v>74</v>
      </c>
      <c r="BS211" s="60" t="str">
        <f>IFERROR(__xludf.DUMMYFUNCTION("""COMPUTED_VALUE"""),"Apartment")</f>
        <v>Apartment</v>
      </c>
      <c r="BT211" s="60" t="str">
        <f>IFERROR(__xludf.DUMMYFUNCTION("""COMPUTED_VALUE"""),"Z660765")</f>
        <v>Z660765</v>
      </c>
      <c r="BU211" s="60" t="str">
        <f>IFERROR(__xludf.DUMMYFUNCTION("""COMPUTED_VALUE"""),"Alex Johnson - Compass")</f>
        <v>Alex Johnson - Compass</v>
      </c>
      <c r="BV211" s="60" t="str">
        <f>IFERROR(__xludf.DUMMYFUNCTION("""COMPUTED_VALUE"""),"Sold")</f>
        <v>Sold</v>
      </c>
      <c r="BW211" s="60">
        <f>IFERROR(__xludf.DUMMYFUNCTION("""COMPUTED_VALUE"""),1.0)</f>
        <v>1</v>
      </c>
      <c r="BX211" s="60" t="str">
        <f>IFERROR(__xludf.DUMMYFUNCTION("""COMPUTED_VALUE"""),"OK")</f>
        <v>OK</v>
      </c>
      <c r="BY211" s="1" t="str">
        <f>IFERROR(__xludf.DUMMYFUNCTION("""COMPUTED_VALUE"""),"600-1600")</f>
        <v>600-1600</v>
      </c>
      <c r="BZ211" s="1">
        <f>IFERROR(__xludf.DUMMYFUNCTION("""COMPUTED_VALUE"""),26.0)</f>
        <v>26</v>
      </c>
      <c r="CA211" s="1" t="str">
        <f>IFERROR(__xludf.DUMMYFUNCTION("""COMPUTED_VALUE"""),"Mid")</f>
        <v>Mid</v>
      </c>
    </row>
    <row r="212" ht="14.25" customHeight="1">
      <c r="A212" s="5">
        <v>415590.0</v>
      </c>
      <c r="B212" s="6" t="s">
        <v>889</v>
      </c>
      <c r="C212" s="6" t="s">
        <v>39</v>
      </c>
      <c r="D212" s="6">
        <v>61851.0</v>
      </c>
      <c r="E212" s="6" t="s">
        <v>77</v>
      </c>
      <c r="F212" s="6" t="s">
        <v>46</v>
      </c>
      <c r="G212" s="6" t="s">
        <v>100</v>
      </c>
      <c r="H212" s="7">
        <v>820.0</v>
      </c>
      <c r="I212" s="7">
        <v>8355.0</v>
      </c>
      <c r="J212" s="6">
        <v>1958.0</v>
      </c>
      <c r="K212" s="6">
        <v>43.0</v>
      </c>
      <c r="L212" s="6" t="s">
        <v>32</v>
      </c>
      <c r="M212" s="6" t="s">
        <v>890</v>
      </c>
      <c r="N212" s="6" t="s">
        <v>34</v>
      </c>
      <c r="O212" s="6" t="s">
        <v>25</v>
      </c>
      <c r="P212" s="6">
        <f>COUNTIF(Analysis!$M$1:$M$3001,Analysis!$M212)</f>
        <v>1</v>
      </c>
      <c r="Q212" s="6" t="str">
        <f>IF(COUNTIF(Analysis!$M$2:$M$3001,Analysis!$M212)&gt;1,"Duplicate","OK")</f>
        <v>OK</v>
      </c>
      <c r="R212" s="6" t="str">
        <f t="shared" si="1"/>
        <v>600-1600</v>
      </c>
      <c r="S212" s="6">
        <f t="shared" si="2"/>
        <v>68</v>
      </c>
      <c r="T212" s="6" t="str">
        <f t="shared" si="3"/>
        <v>Very Old</v>
      </c>
      <c r="BH212" s="14">
        <f>IFERROR(__xludf.DUMMYFUNCTION("""COMPUTED_VALUE"""),1252831.0)</f>
        <v>1252831</v>
      </c>
      <c r="BI212" s="60" t="str">
        <f>IFERROR(__xludf.DUMMYFUNCTION("""COMPUTED_VALUE"""),"3623 Pine Rd, Los Angeles, TX 98287")</f>
        <v>3623 Pine Rd, Los Angeles, TX 98287</v>
      </c>
      <c r="BJ212" s="60" t="str">
        <f>IFERROR(__xludf.DUMMYFUNCTION("""COMPUTED_VALUE"""),"Los Angeles")</f>
        <v>Los Angeles</v>
      </c>
      <c r="BK212" s="60">
        <f>IFERROR(__xludf.DUMMYFUNCTION("""COMPUTED_VALUE"""),98287.0)</f>
        <v>98287</v>
      </c>
      <c r="BL212" s="60" t="str">
        <f>IFERROR(__xludf.DUMMYFUNCTION("""COMPUTED_VALUE"""),"TX")</f>
        <v>TX</v>
      </c>
      <c r="BM212" s="60" t="str">
        <f>IFERROR(__xludf.DUMMYFUNCTION("""COMPUTED_VALUE"""),"6 bds")</f>
        <v>6 bds</v>
      </c>
      <c r="BN212" s="60" t="str">
        <f>IFERROR(__xludf.DUMMYFUNCTION("""COMPUTED_VALUE"""),"2 ba")</f>
        <v>2 ba</v>
      </c>
      <c r="BO212" s="60">
        <f>IFERROR(__xludf.DUMMYFUNCTION("""COMPUTED_VALUE"""),1145.0)</f>
        <v>1145</v>
      </c>
      <c r="BP212" s="60">
        <f>IFERROR(__xludf.DUMMYFUNCTION("""COMPUTED_VALUE"""),3277.0)</f>
        <v>3277</v>
      </c>
      <c r="BQ212" s="60">
        <f>IFERROR(__xludf.DUMMYFUNCTION("""COMPUTED_VALUE"""),1965.0)</f>
        <v>1965</v>
      </c>
      <c r="BR212" s="60">
        <f>IFERROR(__xludf.DUMMYFUNCTION("""COMPUTED_VALUE"""),20.0)</f>
        <v>20</v>
      </c>
      <c r="BS212" s="60" t="str">
        <f>IFERROR(__xludf.DUMMYFUNCTION("""COMPUTED_VALUE"""),"Townhouse")</f>
        <v>Townhouse</v>
      </c>
      <c r="BT212" s="60" t="str">
        <f>IFERROR(__xludf.DUMMYFUNCTION("""COMPUTED_VALUE"""),"Z805949")</f>
        <v>Z805949</v>
      </c>
      <c r="BU212" s="60" t="str">
        <f>IFERROR(__xludf.DUMMYFUNCTION("""COMPUTED_VALUE"""),"Alex Johnson - Compass")</f>
        <v>Alex Johnson - Compass</v>
      </c>
      <c r="BV212" s="60" t="str">
        <f>IFERROR(__xludf.DUMMYFUNCTION("""COMPUTED_VALUE"""),"Sold")</f>
        <v>Sold</v>
      </c>
      <c r="BW212" s="60">
        <f>IFERROR(__xludf.DUMMYFUNCTION("""COMPUTED_VALUE"""),1.0)</f>
        <v>1</v>
      </c>
      <c r="BX212" s="60" t="str">
        <f>IFERROR(__xludf.DUMMYFUNCTION("""COMPUTED_VALUE"""),"OK")</f>
        <v>OK</v>
      </c>
      <c r="BY212" s="1" t="str">
        <f>IFERROR(__xludf.DUMMYFUNCTION("""COMPUTED_VALUE"""),"600-1600")</f>
        <v>600-1600</v>
      </c>
      <c r="BZ212" s="1">
        <f>IFERROR(__xludf.DUMMYFUNCTION("""COMPUTED_VALUE"""),61.0)</f>
        <v>61</v>
      </c>
      <c r="CA212" s="1" t="str">
        <f>IFERROR(__xludf.DUMMYFUNCTION("""COMPUTED_VALUE"""),"Very Old")</f>
        <v>Very Old</v>
      </c>
    </row>
    <row r="213" ht="14.25" customHeight="1">
      <c r="A213" s="5">
        <v>628913.0</v>
      </c>
      <c r="B213" s="6" t="s">
        <v>893</v>
      </c>
      <c r="C213" s="6" t="s">
        <v>76</v>
      </c>
      <c r="D213" s="6">
        <v>65026.0</v>
      </c>
      <c r="E213" s="6" t="s">
        <v>19</v>
      </c>
      <c r="F213" s="6" t="s">
        <v>20</v>
      </c>
      <c r="G213" s="6" t="s">
        <v>55</v>
      </c>
      <c r="H213" s="7">
        <v>3131.0</v>
      </c>
      <c r="I213" s="7">
        <v>6904.0</v>
      </c>
      <c r="J213" s="6">
        <v>1980.0</v>
      </c>
      <c r="K213" s="6">
        <v>9.0</v>
      </c>
      <c r="L213" s="6" t="s">
        <v>95</v>
      </c>
      <c r="M213" s="6" t="s">
        <v>894</v>
      </c>
      <c r="N213" s="6" t="s">
        <v>43</v>
      </c>
      <c r="O213" s="6" t="s">
        <v>35</v>
      </c>
      <c r="P213" s="6">
        <f>COUNTIF(Analysis!$M$1:$M$3001,Analysis!$M213)</f>
        <v>1</v>
      </c>
      <c r="Q213" s="6" t="str">
        <f>IF(COUNTIF(Analysis!$M$2:$M$3001,Analysis!$M213)&gt;1,"Duplicate","OK")</f>
        <v>OK</v>
      </c>
      <c r="R213" s="6" t="str">
        <f t="shared" si="1"/>
        <v>2600-3600</v>
      </c>
      <c r="S213" s="6">
        <f t="shared" si="2"/>
        <v>46</v>
      </c>
      <c r="T213" s="6" t="str">
        <f t="shared" si="3"/>
        <v>Old</v>
      </c>
      <c r="BH213" s="14">
        <f>IFERROR(__xludf.DUMMYFUNCTION("""COMPUTED_VALUE"""),1402065.0)</f>
        <v>1402065</v>
      </c>
      <c r="BI213" s="60" t="str">
        <f>IFERROR(__xludf.DUMMYFUNCTION("""COMPUTED_VALUE"""),"6181 Main St, Fresno, NY 10445")</f>
        <v>6181 Main St, Fresno, NY 10445</v>
      </c>
      <c r="BJ213" s="60" t="str">
        <f>IFERROR(__xludf.DUMMYFUNCTION("""COMPUTED_VALUE"""),"Fresno")</f>
        <v>Fresno</v>
      </c>
      <c r="BK213" s="60">
        <f>IFERROR(__xludf.DUMMYFUNCTION("""COMPUTED_VALUE"""),10445.0)</f>
        <v>10445</v>
      </c>
      <c r="BL213" s="60" t="str">
        <f>IFERROR(__xludf.DUMMYFUNCTION("""COMPUTED_VALUE"""),"NY")</f>
        <v>NY</v>
      </c>
      <c r="BM213" s="60" t="str">
        <f>IFERROR(__xludf.DUMMYFUNCTION("""COMPUTED_VALUE"""),"6 bds")</f>
        <v>6 bds</v>
      </c>
      <c r="BN213" s="60" t="str">
        <f>IFERROR(__xludf.DUMMYFUNCTION("""COMPUTED_VALUE"""),"1 ba")</f>
        <v>1 ba</v>
      </c>
      <c r="BO213" s="60">
        <f>IFERROR(__xludf.DUMMYFUNCTION("""COMPUTED_VALUE"""),3504.0)</f>
        <v>3504</v>
      </c>
      <c r="BP213" s="60">
        <f>IFERROR(__xludf.DUMMYFUNCTION("""COMPUTED_VALUE"""),3470.0)</f>
        <v>3470</v>
      </c>
      <c r="BQ213" s="60">
        <f>IFERROR(__xludf.DUMMYFUNCTION("""COMPUTED_VALUE"""),1952.0)</f>
        <v>1952</v>
      </c>
      <c r="BR213" s="60">
        <f>IFERROR(__xludf.DUMMYFUNCTION("""COMPUTED_VALUE"""),45.0)</f>
        <v>45</v>
      </c>
      <c r="BS213" s="60" t="str">
        <f>IFERROR(__xludf.DUMMYFUNCTION("""COMPUTED_VALUE"""),"Townhouse")</f>
        <v>Townhouse</v>
      </c>
      <c r="BT213" s="60" t="str">
        <f>IFERROR(__xludf.DUMMYFUNCTION("""COMPUTED_VALUE"""),"Z290319")</f>
        <v>Z290319</v>
      </c>
      <c r="BU213" s="60" t="str">
        <f>IFERROR(__xludf.DUMMYFUNCTION("""COMPUTED_VALUE"""),"Alex Johnson - Compass")</f>
        <v>Alex Johnson - Compass</v>
      </c>
      <c r="BV213" s="60" t="str">
        <f>IFERROR(__xludf.DUMMYFUNCTION("""COMPUTED_VALUE"""),"Sold")</f>
        <v>Sold</v>
      </c>
      <c r="BW213" s="60">
        <f>IFERROR(__xludf.DUMMYFUNCTION("""COMPUTED_VALUE"""),1.0)</f>
        <v>1</v>
      </c>
      <c r="BX213" s="60" t="str">
        <f>IFERROR(__xludf.DUMMYFUNCTION("""COMPUTED_VALUE"""),"OK")</f>
        <v>OK</v>
      </c>
      <c r="BY213" s="1" t="str">
        <f>IFERROR(__xludf.DUMMYFUNCTION("""COMPUTED_VALUE"""),"2600-3600")</f>
        <v>2600-3600</v>
      </c>
      <c r="BZ213" s="1">
        <f>IFERROR(__xludf.DUMMYFUNCTION("""COMPUTED_VALUE"""),74.0)</f>
        <v>74</v>
      </c>
      <c r="CA213" s="1" t="str">
        <f>IFERROR(__xludf.DUMMYFUNCTION("""COMPUTED_VALUE"""),"Very Old")</f>
        <v>Very Old</v>
      </c>
    </row>
    <row r="214" ht="14.25" customHeight="1">
      <c r="A214" s="5">
        <v>212757.0</v>
      </c>
      <c r="B214" s="6" t="s">
        <v>9095</v>
      </c>
      <c r="C214" s="6" t="s">
        <v>29</v>
      </c>
      <c r="D214" s="6">
        <v>15208.0</v>
      </c>
      <c r="E214" s="6" t="s">
        <v>77</v>
      </c>
      <c r="F214" s="6" t="s">
        <v>61</v>
      </c>
      <c r="G214" s="6" t="s">
        <v>21</v>
      </c>
      <c r="H214" s="7">
        <v>830.0</v>
      </c>
      <c r="I214" s="7">
        <v>7568.0</v>
      </c>
      <c r="J214" s="6">
        <v>1983.0</v>
      </c>
      <c r="K214" s="6">
        <v>91.0</v>
      </c>
      <c r="L214" s="6" t="s">
        <v>141</v>
      </c>
      <c r="M214" s="6" t="s">
        <v>9096</v>
      </c>
      <c r="N214" s="6" t="s">
        <v>64</v>
      </c>
      <c r="O214" s="6" t="s">
        <v>25</v>
      </c>
      <c r="P214" s="6">
        <f>COUNTIF(Analysis!$M$1:$M$3001,Analysis!$M2265)</f>
        <v>1</v>
      </c>
      <c r="Q214" s="6" t="str">
        <f>IF(COUNTIF(Analysis!$M$2:$M$3001,Analysis!$M2265)&gt;1,"Duplicate","OK")</f>
        <v>OK</v>
      </c>
      <c r="R214" s="6" t="str">
        <f t="shared" si="1"/>
        <v>600-1600</v>
      </c>
      <c r="S214" s="6">
        <f t="shared" si="2"/>
        <v>43</v>
      </c>
      <c r="T214" s="6" t="str">
        <f t="shared" si="3"/>
        <v>Old</v>
      </c>
      <c r="BH214" s="14">
        <f>IFERROR(__xludf.DUMMYFUNCTION("""COMPUTED_VALUE"""),1217332.0)</f>
        <v>1217332</v>
      </c>
      <c r="BI214" s="60" t="str">
        <f>IFERROR(__xludf.DUMMYFUNCTION("""COMPUTED_VALUE"""),"3701 Pine Rd, Sacramento, FL 92176")</f>
        <v>3701 Pine Rd, Sacramento, FL 92176</v>
      </c>
      <c r="BJ214" s="60" t="str">
        <f>IFERROR(__xludf.DUMMYFUNCTION("""COMPUTED_VALUE"""),"Sacramento")</f>
        <v>Sacramento</v>
      </c>
      <c r="BK214" s="60">
        <f>IFERROR(__xludf.DUMMYFUNCTION("""COMPUTED_VALUE"""),92176.0)</f>
        <v>92176</v>
      </c>
      <c r="BL214" s="60" t="str">
        <f>IFERROR(__xludf.DUMMYFUNCTION("""COMPUTED_VALUE"""),"FL")</f>
        <v>FL</v>
      </c>
      <c r="BM214" s="60" t="str">
        <f>IFERROR(__xludf.DUMMYFUNCTION("""COMPUTED_VALUE"""),"6 bds")</f>
        <v>6 bds</v>
      </c>
      <c r="BN214" s="60" t="str">
        <f>IFERROR(__xludf.DUMMYFUNCTION("""COMPUTED_VALUE"""),"4 ba")</f>
        <v>4 ba</v>
      </c>
      <c r="BO214" s="60">
        <f>IFERROR(__xludf.DUMMYFUNCTION("""COMPUTED_VALUE"""),1498.0)</f>
        <v>1498</v>
      </c>
      <c r="BP214" s="60">
        <f>IFERROR(__xludf.DUMMYFUNCTION("""COMPUTED_VALUE"""),4967.0)</f>
        <v>4967</v>
      </c>
      <c r="BQ214" s="60">
        <f>IFERROR(__xludf.DUMMYFUNCTION("""COMPUTED_VALUE"""),1973.0)</f>
        <v>1973</v>
      </c>
      <c r="BR214" s="60">
        <f>IFERROR(__xludf.DUMMYFUNCTION("""COMPUTED_VALUE"""),71.0)</f>
        <v>71</v>
      </c>
      <c r="BS214" s="60" t="str">
        <f>IFERROR(__xludf.DUMMYFUNCTION("""COMPUTED_VALUE"""),"Multi-Family")</f>
        <v>Multi-Family</v>
      </c>
      <c r="BT214" s="60" t="str">
        <f>IFERROR(__xludf.DUMMYFUNCTION("""COMPUTED_VALUE"""),"Z220198")</f>
        <v>Z220198</v>
      </c>
      <c r="BU214" s="60" t="str">
        <f>IFERROR(__xludf.DUMMYFUNCTION("""COMPUTED_VALUE"""),"Alex Johnson - Compass")</f>
        <v>Alex Johnson - Compass</v>
      </c>
      <c r="BV214" s="60" t="str">
        <f>IFERROR(__xludf.DUMMYFUNCTION("""COMPUTED_VALUE"""),"Sold")</f>
        <v>Sold</v>
      </c>
      <c r="BW214" s="60">
        <f>IFERROR(__xludf.DUMMYFUNCTION("""COMPUTED_VALUE"""),1.0)</f>
        <v>1</v>
      </c>
      <c r="BX214" s="60" t="str">
        <f>IFERROR(__xludf.DUMMYFUNCTION("""COMPUTED_VALUE"""),"OK")</f>
        <v>OK</v>
      </c>
      <c r="BY214" s="1" t="str">
        <f>IFERROR(__xludf.DUMMYFUNCTION("""COMPUTED_VALUE"""),"600-1600")</f>
        <v>600-1600</v>
      </c>
      <c r="BZ214" s="1">
        <f>IFERROR(__xludf.DUMMYFUNCTION("""COMPUTED_VALUE"""),53.0)</f>
        <v>53</v>
      </c>
      <c r="CA214" s="1" t="str">
        <f>IFERROR(__xludf.DUMMYFUNCTION("""COMPUTED_VALUE"""),"Old")</f>
        <v>Old</v>
      </c>
    </row>
    <row r="215" ht="14.25" customHeight="1">
      <c r="A215" s="5">
        <v>1187629.0</v>
      </c>
      <c r="B215" s="6" t="s">
        <v>901</v>
      </c>
      <c r="C215" s="6" t="s">
        <v>53</v>
      </c>
      <c r="D215" s="6">
        <v>22864.0</v>
      </c>
      <c r="E215" s="6" t="s">
        <v>77</v>
      </c>
      <c r="F215" s="6" t="s">
        <v>94</v>
      </c>
      <c r="G215" s="6" t="s">
        <v>100</v>
      </c>
      <c r="H215" s="7">
        <v>1977.0</v>
      </c>
      <c r="I215" s="7">
        <v>7601.0</v>
      </c>
      <c r="J215" s="6">
        <v>1981.0</v>
      </c>
      <c r="K215" s="6">
        <v>73.0</v>
      </c>
      <c r="L215" s="6" t="s">
        <v>95</v>
      </c>
      <c r="M215" s="6" t="s">
        <v>902</v>
      </c>
      <c r="N215" s="6" t="s">
        <v>64</v>
      </c>
      <c r="O215" s="6" t="s">
        <v>35</v>
      </c>
      <c r="P215" s="6">
        <f>COUNTIF(Analysis!$M$1:$M$3001,Analysis!$M215)</f>
        <v>1</v>
      </c>
      <c r="Q215" s="6" t="str">
        <f>IF(COUNTIF(Analysis!$M$2:$M$3001,Analysis!$M215)&gt;1,"Duplicate","OK")</f>
        <v>OK</v>
      </c>
      <c r="R215" s="6" t="str">
        <f t="shared" si="1"/>
        <v>1600-2600</v>
      </c>
      <c r="S215" s="6">
        <f t="shared" si="2"/>
        <v>45</v>
      </c>
      <c r="T215" s="6" t="str">
        <f t="shared" si="3"/>
        <v>Old</v>
      </c>
      <c r="BH215" s="14">
        <f>IFERROR(__xludf.DUMMYFUNCTION("""COMPUTED_VALUE"""),1494324.0)</f>
        <v>1494324</v>
      </c>
      <c r="BI215" s="60" t="str">
        <f>IFERROR(__xludf.DUMMYFUNCTION("""COMPUTED_VALUE"""),"4086 Maple Dr, San Diego, NY 61047")</f>
        <v>4086 Maple Dr, San Diego, NY 61047</v>
      </c>
      <c r="BJ215" s="60" t="str">
        <f>IFERROR(__xludf.DUMMYFUNCTION("""COMPUTED_VALUE"""),"San Diego")</f>
        <v>San Diego</v>
      </c>
      <c r="BK215" s="60">
        <f>IFERROR(__xludf.DUMMYFUNCTION("""COMPUTED_VALUE"""),61047.0)</f>
        <v>61047</v>
      </c>
      <c r="BL215" s="60" t="str">
        <f>IFERROR(__xludf.DUMMYFUNCTION("""COMPUTED_VALUE"""),"NY")</f>
        <v>NY</v>
      </c>
      <c r="BM215" s="60" t="str">
        <f>IFERROR(__xludf.DUMMYFUNCTION("""COMPUTED_VALUE"""),"6 bds")</f>
        <v>6 bds</v>
      </c>
      <c r="BN215" s="60" t="str">
        <f>IFERROR(__xludf.DUMMYFUNCTION("""COMPUTED_VALUE"""),"2 ba")</f>
        <v>2 ba</v>
      </c>
      <c r="BO215" s="60">
        <f>IFERROR(__xludf.DUMMYFUNCTION("""COMPUTED_VALUE"""),2380.0)</f>
        <v>2380</v>
      </c>
      <c r="BP215" s="60">
        <f>IFERROR(__xludf.DUMMYFUNCTION("""COMPUTED_VALUE"""),6565.0)</f>
        <v>6565</v>
      </c>
      <c r="BQ215" s="60">
        <f>IFERROR(__xludf.DUMMYFUNCTION("""COMPUTED_VALUE"""),1959.0)</f>
        <v>1959</v>
      </c>
      <c r="BR215" s="60">
        <f>IFERROR(__xludf.DUMMYFUNCTION("""COMPUTED_VALUE"""),109.0)</f>
        <v>109</v>
      </c>
      <c r="BS215" s="60" t="str">
        <f>IFERROR(__xludf.DUMMYFUNCTION("""COMPUTED_VALUE"""),"Townhouse")</f>
        <v>Townhouse</v>
      </c>
      <c r="BT215" s="60" t="str">
        <f>IFERROR(__xludf.DUMMYFUNCTION("""COMPUTED_VALUE"""),"Z976633")</f>
        <v>Z976633</v>
      </c>
      <c r="BU215" s="60" t="str">
        <f>IFERROR(__xludf.DUMMYFUNCTION("""COMPUTED_VALUE"""),"Alex Johnson - Compass")</f>
        <v>Alex Johnson - Compass</v>
      </c>
      <c r="BV215" s="60" t="str">
        <f>IFERROR(__xludf.DUMMYFUNCTION("""COMPUTED_VALUE"""),"Sold")</f>
        <v>Sold</v>
      </c>
      <c r="BW215" s="60">
        <f>IFERROR(__xludf.DUMMYFUNCTION("""COMPUTED_VALUE"""),1.0)</f>
        <v>1</v>
      </c>
      <c r="BX215" s="60" t="str">
        <f>IFERROR(__xludf.DUMMYFUNCTION("""COMPUTED_VALUE"""),"OK")</f>
        <v>OK</v>
      </c>
      <c r="BY215" s="1" t="str">
        <f>IFERROR(__xludf.DUMMYFUNCTION("""COMPUTED_VALUE"""),"1600-2600")</f>
        <v>1600-2600</v>
      </c>
      <c r="BZ215" s="1">
        <f>IFERROR(__xludf.DUMMYFUNCTION("""COMPUTED_VALUE"""),67.0)</f>
        <v>67</v>
      </c>
      <c r="CA215" s="1" t="str">
        <f>IFERROR(__xludf.DUMMYFUNCTION("""COMPUTED_VALUE"""),"Very Old")</f>
        <v>Very Old</v>
      </c>
    </row>
    <row r="216" ht="14.25" customHeight="1">
      <c r="A216" s="5">
        <v>214127.0</v>
      </c>
      <c r="B216" s="6" t="s">
        <v>11051</v>
      </c>
      <c r="C216" s="6" t="s">
        <v>29</v>
      </c>
      <c r="D216" s="6">
        <v>92602.0</v>
      </c>
      <c r="E216" s="6" t="s">
        <v>77</v>
      </c>
      <c r="F216" s="6" t="s">
        <v>41</v>
      </c>
      <c r="G216" s="6" t="s">
        <v>100</v>
      </c>
      <c r="H216" s="7">
        <v>2762.0</v>
      </c>
      <c r="I216" s="7">
        <v>4177.0</v>
      </c>
      <c r="J216" s="6">
        <v>1952.0</v>
      </c>
      <c r="K216" s="6">
        <v>69.0</v>
      </c>
      <c r="L216" s="6" t="s">
        <v>62</v>
      </c>
      <c r="M216" s="6" t="s">
        <v>11052</v>
      </c>
      <c r="N216" s="6" t="s">
        <v>24</v>
      </c>
      <c r="O216" s="6" t="s">
        <v>35</v>
      </c>
      <c r="P216" s="6">
        <f>COUNTIF(Analysis!$M$1:$M$3001,Analysis!$M2754)</f>
        <v>1</v>
      </c>
      <c r="Q216" s="6" t="str">
        <f>IF(COUNTIF(Analysis!$M$2:$M$3001,Analysis!$M2754)&gt;1,"Duplicate","OK")</f>
        <v>OK</v>
      </c>
      <c r="R216" s="6" t="str">
        <f t="shared" si="1"/>
        <v>2600-3600</v>
      </c>
      <c r="S216" s="6">
        <f t="shared" si="2"/>
        <v>74</v>
      </c>
      <c r="T216" s="6" t="str">
        <f t="shared" si="3"/>
        <v>Very Old</v>
      </c>
      <c r="BH216" s="14">
        <f>IFERROR(__xludf.DUMMYFUNCTION("""COMPUTED_VALUE"""),356873.0)</f>
        <v>356873</v>
      </c>
      <c r="BI216" s="60" t="str">
        <f>IFERROR(__xludf.DUMMYFUNCTION("""COMPUTED_VALUE"""),"4195 Pine Rd, Los Angeles, TX 70880")</f>
        <v>4195 Pine Rd, Los Angeles, TX 70880</v>
      </c>
      <c r="BJ216" s="60" t="str">
        <f>IFERROR(__xludf.DUMMYFUNCTION("""COMPUTED_VALUE"""),"Los Angeles")</f>
        <v>Los Angeles</v>
      </c>
      <c r="BK216" s="60">
        <f>IFERROR(__xludf.DUMMYFUNCTION("""COMPUTED_VALUE"""),70880.0)</f>
        <v>70880</v>
      </c>
      <c r="BL216" s="60" t="str">
        <f>IFERROR(__xludf.DUMMYFUNCTION("""COMPUTED_VALUE"""),"TX")</f>
        <v>TX</v>
      </c>
      <c r="BM216" s="60" t="str">
        <f>IFERROR(__xludf.DUMMYFUNCTION("""COMPUTED_VALUE"""),"3 bds")</f>
        <v>3 bds</v>
      </c>
      <c r="BN216" s="60" t="str">
        <f>IFERROR(__xludf.DUMMYFUNCTION("""COMPUTED_VALUE"""),"1 ba")</f>
        <v>1 ba</v>
      </c>
      <c r="BO216" s="60">
        <f>IFERROR(__xludf.DUMMYFUNCTION("""COMPUTED_VALUE"""),2438.0)</f>
        <v>2438</v>
      </c>
      <c r="BP216" s="60">
        <f>IFERROR(__xludf.DUMMYFUNCTION("""COMPUTED_VALUE"""),1003.0)</f>
        <v>1003</v>
      </c>
      <c r="BQ216" s="60">
        <f>IFERROR(__xludf.DUMMYFUNCTION("""COMPUTED_VALUE"""),2022.0)</f>
        <v>2022</v>
      </c>
      <c r="BR216" s="60">
        <f>IFERROR(__xludf.DUMMYFUNCTION("""COMPUTED_VALUE"""),87.0)</f>
        <v>87</v>
      </c>
      <c r="BS216" s="60" t="str">
        <f>IFERROR(__xludf.DUMMYFUNCTION("""COMPUTED_VALUE"""),"Townhouse")</f>
        <v>Townhouse</v>
      </c>
      <c r="BT216" s="60" t="str">
        <f>IFERROR(__xludf.DUMMYFUNCTION("""COMPUTED_VALUE"""),"Z301151")</f>
        <v>Z301151</v>
      </c>
      <c r="BU216" s="60" t="str">
        <f>IFERROR(__xludf.DUMMYFUNCTION("""COMPUTED_VALUE"""),"Alex Johnson - Compass")</f>
        <v>Alex Johnson - Compass</v>
      </c>
      <c r="BV216" s="60" t="str">
        <f>IFERROR(__xludf.DUMMYFUNCTION("""COMPUTED_VALUE"""),"Sold")</f>
        <v>Sold</v>
      </c>
      <c r="BW216" s="60">
        <f>IFERROR(__xludf.DUMMYFUNCTION("""COMPUTED_VALUE"""),1.0)</f>
        <v>1</v>
      </c>
      <c r="BX216" s="60" t="str">
        <f>IFERROR(__xludf.DUMMYFUNCTION("""COMPUTED_VALUE"""),"OK")</f>
        <v>OK</v>
      </c>
      <c r="BY216" s="1" t="str">
        <f>IFERROR(__xludf.DUMMYFUNCTION("""COMPUTED_VALUE"""),"1600-2600")</f>
        <v>1600-2600</v>
      </c>
      <c r="BZ216" s="1">
        <f>IFERROR(__xludf.DUMMYFUNCTION("""COMPUTED_VALUE"""),4.0)</f>
        <v>4</v>
      </c>
      <c r="CA216" s="1" t="str">
        <f>IFERROR(__xludf.DUMMYFUNCTION("""COMPUTED_VALUE"""),"New")</f>
        <v>New</v>
      </c>
    </row>
    <row r="217" ht="14.25" customHeight="1">
      <c r="A217" s="5">
        <v>631172.0</v>
      </c>
      <c r="B217" s="6" t="s">
        <v>909</v>
      </c>
      <c r="C217" s="6" t="s">
        <v>76</v>
      </c>
      <c r="D217" s="6">
        <v>65583.0</v>
      </c>
      <c r="E217" s="6" t="s">
        <v>30</v>
      </c>
      <c r="F217" s="6" t="s">
        <v>41</v>
      </c>
      <c r="G217" s="6" t="s">
        <v>21</v>
      </c>
      <c r="H217" s="7">
        <v>3655.0</v>
      </c>
      <c r="I217" s="7">
        <v>8072.0</v>
      </c>
      <c r="J217" s="6">
        <v>1983.0</v>
      </c>
      <c r="K217" s="6">
        <v>18.0</v>
      </c>
      <c r="L217" s="6" t="s">
        <v>32</v>
      </c>
      <c r="M217" s="6" t="s">
        <v>910</v>
      </c>
      <c r="N217" s="6" t="s">
        <v>34</v>
      </c>
      <c r="O217" s="6" t="s">
        <v>49</v>
      </c>
      <c r="P217" s="6">
        <f>COUNTIF(Analysis!$M$1:$M$3001,Analysis!$M217)</f>
        <v>1</v>
      </c>
      <c r="Q217" s="6" t="str">
        <f>IF(COUNTIF(Analysis!$M$2:$M$3001,Analysis!$M217)&gt;1,"Duplicate","OK")</f>
        <v>OK</v>
      </c>
      <c r="R217" s="6" t="str">
        <f t="shared" si="1"/>
        <v>3600+</v>
      </c>
      <c r="S217" s="6">
        <f t="shared" si="2"/>
        <v>43</v>
      </c>
      <c r="T217" s="6" t="str">
        <f t="shared" si="3"/>
        <v>Old</v>
      </c>
      <c r="BH217" s="14">
        <f>IFERROR(__xludf.DUMMYFUNCTION("""COMPUTED_VALUE"""),1212405.0)</f>
        <v>1212405</v>
      </c>
      <c r="BI217" s="60" t="str">
        <f>IFERROR(__xludf.DUMMYFUNCTION("""COMPUTED_VALUE"""),"2802 Pine Rd, Sacramento, CA 85944")</f>
        <v>2802 Pine Rd, Sacramento, CA 85944</v>
      </c>
      <c r="BJ217" s="60" t="str">
        <f>IFERROR(__xludf.DUMMYFUNCTION("""COMPUTED_VALUE"""),"Sacramento")</f>
        <v>Sacramento</v>
      </c>
      <c r="BK217" s="60">
        <f>IFERROR(__xludf.DUMMYFUNCTION("""COMPUTED_VALUE"""),85944.0)</f>
        <v>85944</v>
      </c>
      <c r="BL217" s="60" t="str">
        <f>IFERROR(__xludf.DUMMYFUNCTION("""COMPUTED_VALUE"""),"CA")</f>
        <v>CA</v>
      </c>
      <c r="BM217" s="60" t="str">
        <f>IFERROR(__xludf.DUMMYFUNCTION("""COMPUTED_VALUE"""),"3 bds")</f>
        <v>3 bds</v>
      </c>
      <c r="BN217" s="60" t="str">
        <f>IFERROR(__xludf.DUMMYFUNCTION("""COMPUTED_VALUE"""),"2 ba")</f>
        <v>2 ba</v>
      </c>
      <c r="BO217" s="60">
        <f>IFERROR(__xludf.DUMMYFUNCTION("""COMPUTED_VALUE"""),1997.0)</f>
        <v>1997</v>
      </c>
      <c r="BP217" s="60">
        <f>IFERROR(__xludf.DUMMYFUNCTION("""COMPUTED_VALUE"""),2291.0)</f>
        <v>2291</v>
      </c>
      <c r="BQ217" s="60">
        <f>IFERROR(__xludf.DUMMYFUNCTION("""COMPUTED_VALUE"""),1977.0)</f>
        <v>1977</v>
      </c>
      <c r="BR217" s="60">
        <f>IFERROR(__xludf.DUMMYFUNCTION("""COMPUTED_VALUE"""),30.0)</f>
        <v>30</v>
      </c>
      <c r="BS217" s="60" t="str">
        <f>IFERROR(__xludf.DUMMYFUNCTION("""COMPUTED_VALUE"""),"Condo")</f>
        <v>Condo</v>
      </c>
      <c r="BT217" s="60" t="str">
        <f>IFERROR(__xludf.DUMMYFUNCTION("""COMPUTED_VALUE"""),"Z180472")</f>
        <v>Z180472</v>
      </c>
      <c r="BU217" s="60" t="str">
        <f>IFERROR(__xludf.DUMMYFUNCTION("""COMPUTED_VALUE"""),"Alex Johnson - Compass")</f>
        <v>Alex Johnson - Compass</v>
      </c>
      <c r="BV217" s="60" t="str">
        <f>IFERROR(__xludf.DUMMYFUNCTION("""COMPUTED_VALUE"""),"Sold")</f>
        <v>Sold</v>
      </c>
      <c r="BW217" s="60">
        <f>IFERROR(__xludf.DUMMYFUNCTION("""COMPUTED_VALUE"""),1.0)</f>
        <v>1</v>
      </c>
      <c r="BX217" s="60" t="str">
        <f>IFERROR(__xludf.DUMMYFUNCTION("""COMPUTED_VALUE"""),"OK")</f>
        <v>OK</v>
      </c>
      <c r="BY217" s="1" t="str">
        <f>IFERROR(__xludf.DUMMYFUNCTION("""COMPUTED_VALUE"""),"1600-2600")</f>
        <v>1600-2600</v>
      </c>
      <c r="BZ217" s="1">
        <f>IFERROR(__xludf.DUMMYFUNCTION("""COMPUTED_VALUE"""),49.0)</f>
        <v>49</v>
      </c>
      <c r="CA217" s="1" t="str">
        <f>IFERROR(__xludf.DUMMYFUNCTION("""COMPUTED_VALUE"""),"Old")</f>
        <v>Old</v>
      </c>
    </row>
    <row r="218" ht="14.25" customHeight="1">
      <c r="A218" s="5">
        <v>1453453.0</v>
      </c>
      <c r="B218" s="6" t="s">
        <v>913</v>
      </c>
      <c r="C218" s="6" t="s">
        <v>76</v>
      </c>
      <c r="D218" s="6">
        <v>45138.0</v>
      </c>
      <c r="E218" s="6" t="s">
        <v>77</v>
      </c>
      <c r="F218" s="6" t="s">
        <v>41</v>
      </c>
      <c r="G218" s="6" t="s">
        <v>31</v>
      </c>
      <c r="H218" s="7">
        <v>1300.0</v>
      </c>
      <c r="I218" s="7">
        <v>3142.0</v>
      </c>
      <c r="J218" s="6">
        <v>2004.0</v>
      </c>
      <c r="K218" s="6">
        <v>29.0</v>
      </c>
      <c r="L218" s="6" t="s">
        <v>32</v>
      </c>
      <c r="M218" s="6" t="s">
        <v>914</v>
      </c>
      <c r="N218" s="6" t="s">
        <v>34</v>
      </c>
      <c r="O218" s="6" t="s">
        <v>25</v>
      </c>
      <c r="P218" s="6">
        <f>COUNTIF(Analysis!$M$1:$M$3001,Analysis!$M218)</f>
        <v>1</v>
      </c>
      <c r="Q218" s="6" t="str">
        <f>IF(COUNTIF(Analysis!$M$2:$M$3001,Analysis!$M218)&gt;1,"Duplicate","OK")</f>
        <v>OK</v>
      </c>
      <c r="R218" s="6" t="str">
        <f t="shared" si="1"/>
        <v>600-1600</v>
      </c>
      <c r="S218" s="6">
        <f t="shared" si="2"/>
        <v>22</v>
      </c>
      <c r="T218" s="6" t="str">
        <f t="shared" si="3"/>
        <v>Mid</v>
      </c>
      <c r="BH218" s="14">
        <f>IFERROR(__xludf.DUMMYFUNCTION("""COMPUTED_VALUE"""),1415195.0)</f>
        <v>1415195</v>
      </c>
      <c r="BI218" s="60" t="str">
        <f>IFERROR(__xludf.DUMMYFUNCTION("""COMPUTED_VALUE"""),"2603 Elm St, Fresno, IL 60647")</f>
        <v>2603 Elm St, Fresno, IL 60647</v>
      </c>
      <c r="BJ218" s="60" t="str">
        <f>IFERROR(__xludf.DUMMYFUNCTION("""COMPUTED_VALUE"""),"Fresno")</f>
        <v>Fresno</v>
      </c>
      <c r="BK218" s="60">
        <f>IFERROR(__xludf.DUMMYFUNCTION("""COMPUTED_VALUE"""),60647.0)</f>
        <v>60647</v>
      </c>
      <c r="BL218" s="60" t="str">
        <f>IFERROR(__xludf.DUMMYFUNCTION("""COMPUTED_VALUE"""),"IL")</f>
        <v>IL</v>
      </c>
      <c r="BM218" s="60" t="str">
        <f>IFERROR(__xludf.DUMMYFUNCTION("""COMPUTED_VALUE"""),"5 bds")</f>
        <v>5 bds</v>
      </c>
      <c r="BN218" s="60" t="str">
        <f>IFERROR(__xludf.DUMMYFUNCTION("""COMPUTED_VALUE"""),"4 ba")</f>
        <v>4 ba</v>
      </c>
      <c r="BO218" s="60">
        <f>IFERROR(__xludf.DUMMYFUNCTION("""COMPUTED_VALUE"""),2656.0)</f>
        <v>2656</v>
      </c>
      <c r="BP218" s="60">
        <f>IFERROR(__xludf.DUMMYFUNCTION("""COMPUTED_VALUE"""),1191.0)</f>
        <v>1191</v>
      </c>
      <c r="BQ218" s="60">
        <f>IFERROR(__xludf.DUMMYFUNCTION("""COMPUTED_VALUE"""),2014.0)</f>
        <v>2014</v>
      </c>
      <c r="BR218" s="60">
        <f>IFERROR(__xludf.DUMMYFUNCTION("""COMPUTED_VALUE"""),22.0)</f>
        <v>22</v>
      </c>
      <c r="BS218" s="60" t="str">
        <f>IFERROR(__xludf.DUMMYFUNCTION("""COMPUTED_VALUE"""),"Apartment")</f>
        <v>Apartment</v>
      </c>
      <c r="BT218" s="60" t="str">
        <f>IFERROR(__xludf.DUMMYFUNCTION("""COMPUTED_VALUE"""),"Z133371")</f>
        <v>Z133371</v>
      </c>
      <c r="BU218" s="60" t="str">
        <f>IFERROR(__xludf.DUMMYFUNCTION("""COMPUTED_VALUE"""),"Alex Johnson - Compass")</f>
        <v>Alex Johnson - Compass</v>
      </c>
      <c r="BV218" s="60" t="str">
        <f>IFERROR(__xludf.DUMMYFUNCTION("""COMPUTED_VALUE"""),"Sold")</f>
        <v>Sold</v>
      </c>
      <c r="BW218" s="60">
        <f>IFERROR(__xludf.DUMMYFUNCTION("""COMPUTED_VALUE"""),1.0)</f>
        <v>1</v>
      </c>
      <c r="BX218" s="60" t="str">
        <f>IFERROR(__xludf.DUMMYFUNCTION("""COMPUTED_VALUE"""),"OK")</f>
        <v>OK</v>
      </c>
      <c r="BY218" s="1" t="str">
        <f>IFERROR(__xludf.DUMMYFUNCTION("""COMPUTED_VALUE"""),"2600-3600")</f>
        <v>2600-3600</v>
      </c>
      <c r="BZ218" s="1">
        <f>IFERROR(__xludf.DUMMYFUNCTION("""COMPUTED_VALUE"""),12.0)</f>
        <v>12</v>
      </c>
      <c r="CA218" s="1" t="str">
        <f>IFERROR(__xludf.DUMMYFUNCTION("""COMPUTED_VALUE"""),"Mid")</f>
        <v>Mid</v>
      </c>
    </row>
    <row r="219" ht="14.25" customHeight="1">
      <c r="A219" s="5">
        <v>157884.0</v>
      </c>
      <c r="B219" s="6" t="s">
        <v>917</v>
      </c>
      <c r="C219" s="6" t="s">
        <v>53</v>
      </c>
      <c r="D219" s="6">
        <v>94630.0</v>
      </c>
      <c r="E219" s="6" t="s">
        <v>40</v>
      </c>
      <c r="F219" s="6" t="s">
        <v>54</v>
      </c>
      <c r="G219" s="6" t="s">
        <v>100</v>
      </c>
      <c r="H219" s="7">
        <v>1577.0</v>
      </c>
      <c r="I219" s="7">
        <v>6868.0</v>
      </c>
      <c r="J219" s="6">
        <v>1965.0</v>
      </c>
      <c r="K219" s="6">
        <v>39.0</v>
      </c>
      <c r="L219" s="6" t="s">
        <v>62</v>
      </c>
      <c r="M219" s="6" t="s">
        <v>918</v>
      </c>
      <c r="N219" s="6" t="s">
        <v>34</v>
      </c>
      <c r="O219" s="6" t="s">
        <v>35</v>
      </c>
      <c r="P219" s="6">
        <f>COUNTIF(Analysis!$M$1:$M$3001,Analysis!$M219)</f>
        <v>1</v>
      </c>
      <c r="Q219" s="6" t="str">
        <f>IF(COUNTIF(Analysis!$M$2:$M$3001,Analysis!$M219)&gt;1,"Duplicate","OK")</f>
        <v>OK</v>
      </c>
      <c r="R219" s="6" t="str">
        <f t="shared" si="1"/>
        <v>600-1600</v>
      </c>
      <c r="S219" s="6">
        <f t="shared" si="2"/>
        <v>61</v>
      </c>
      <c r="T219" s="6" t="str">
        <f t="shared" si="3"/>
        <v>Very Old</v>
      </c>
      <c r="BH219" s="14">
        <f>IFERROR(__xludf.DUMMYFUNCTION("""COMPUTED_VALUE"""),401177.0)</f>
        <v>401177</v>
      </c>
      <c r="BI219" s="60" t="str">
        <f>IFERROR(__xludf.DUMMYFUNCTION("""COMPUTED_VALUE"""),"3015 Pine Rd, Sacramento, TX 89343")</f>
        <v>3015 Pine Rd, Sacramento, TX 89343</v>
      </c>
      <c r="BJ219" s="60" t="str">
        <f>IFERROR(__xludf.DUMMYFUNCTION("""COMPUTED_VALUE"""),"Sacramento")</f>
        <v>Sacramento</v>
      </c>
      <c r="BK219" s="60">
        <f>IFERROR(__xludf.DUMMYFUNCTION("""COMPUTED_VALUE"""),89343.0)</f>
        <v>89343</v>
      </c>
      <c r="BL219" s="60" t="str">
        <f>IFERROR(__xludf.DUMMYFUNCTION("""COMPUTED_VALUE"""),"TX")</f>
        <v>TX</v>
      </c>
      <c r="BM219" s="60" t="str">
        <f>IFERROR(__xludf.DUMMYFUNCTION("""COMPUTED_VALUE"""),"6 bds")</f>
        <v>6 bds</v>
      </c>
      <c r="BN219" s="60" t="str">
        <f>IFERROR(__xludf.DUMMYFUNCTION("""COMPUTED_VALUE"""),"4 ba")</f>
        <v>4 ba</v>
      </c>
      <c r="BO219" s="60">
        <f>IFERROR(__xludf.DUMMYFUNCTION("""COMPUTED_VALUE"""),2150.0)</f>
        <v>2150</v>
      </c>
      <c r="BP219" s="60">
        <f>IFERROR(__xludf.DUMMYFUNCTION("""COMPUTED_VALUE"""),1450.0)</f>
        <v>1450</v>
      </c>
      <c r="BQ219" s="60">
        <f>IFERROR(__xludf.DUMMYFUNCTION("""COMPUTED_VALUE"""),1978.0)</f>
        <v>1978</v>
      </c>
      <c r="BR219" s="60">
        <f>IFERROR(__xludf.DUMMYFUNCTION("""COMPUTED_VALUE"""),62.0)</f>
        <v>62</v>
      </c>
      <c r="BS219" s="60" t="str">
        <f>IFERROR(__xludf.DUMMYFUNCTION("""COMPUTED_VALUE"""),"Single Family")</f>
        <v>Single Family</v>
      </c>
      <c r="BT219" s="60" t="str">
        <f>IFERROR(__xludf.DUMMYFUNCTION("""COMPUTED_VALUE"""),"Z468894")</f>
        <v>Z468894</v>
      </c>
      <c r="BU219" s="60" t="str">
        <f>IFERROR(__xludf.DUMMYFUNCTION("""COMPUTED_VALUE"""),"Alex Johnson - Compass")</f>
        <v>Alex Johnson - Compass</v>
      </c>
      <c r="BV219" s="60" t="str">
        <f>IFERROR(__xludf.DUMMYFUNCTION("""COMPUTED_VALUE"""),"Sold")</f>
        <v>Sold</v>
      </c>
      <c r="BW219" s="60">
        <f>IFERROR(__xludf.DUMMYFUNCTION("""COMPUTED_VALUE"""),1.0)</f>
        <v>1</v>
      </c>
      <c r="BX219" s="60" t="str">
        <f>IFERROR(__xludf.DUMMYFUNCTION("""COMPUTED_VALUE"""),"OK")</f>
        <v>OK</v>
      </c>
      <c r="BY219" s="1" t="str">
        <f>IFERROR(__xludf.DUMMYFUNCTION("""COMPUTED_VALUE"""),"1600-2600")</f>
        <v>1600-2600</v>
      </c>
      <c r="BZ219" s="1">
        <f>IFERROR(__xludf.DUMMYFUNCTION("""COMPUTED_VALUE"""),48.0)</f>
        <v>48</v>
      </c>
      <c r="CA219" s="1" t="str">
        <f>IFERROR(__xludf.DUMMYFUNCTION("""COMPUTED_VALUE"""),"Old")</f>
        <v>Old</v>
      </c>
    </row>
    <row r="220" ht="14.25" customHeight="1">
      <c r="A220" s="5">
        <v>216445.0</v>
      </c>
      <c r="B220" s="6" t="s">
        <v>9519</v>
      </c>
      <c r="C220" s="6" t="s">
        <v>29</v>
      </c>
      <c r="D220" s="6">
        <v>64412.0</v>
      </c>
      <c r="E220" s="6" t="s">
        <v>77</v>
      </c>
      <c r="F220" s="6" t="s">
        <v>54</v>
      </c>
      <c r="G220" s="6" t="s">
        <v>55</v>
      </c>
      <c r="H220" s="7">
        <v>2645.0</v>
      </c>
      <c r="I220" s="7">
        <v>8445.0</v>
      </c>
      <c r="J220" s="6">
        <v>2013.0</v>
      </c>
      <c r="K220" s="6">
        <v>114.0</v>
      </c>
      <c r="L220" s="6" t="s">
        <v>95</v>
      </c>
      <c r="M220" s="6" t="s">
        <v>9520</v>
      </c>
      <c r="N220" s="6" t="s">
        <v>43</v>
      </c>
      <c r="O220" s="6" t="s">
        <v>25</v>
      </c>
      <c r="P220" s="6">
        <f>COUNTIF(Analysis!$M$1:$M$3001,Analysis!$M2371)</f>
        <v>1</v>
      </c>
      <c r="Q220" s="6" t="str">
        <f>IF(COUNTIF(Analysis!$M$2:$M$3001,Analysis!$M2371)&gt;1,"Duplicate","OK")</f>
        <v>OK</v>
      </c>
      <c r="R220" s="6" t="str">
        <f t="shared" si="1"/>
        <v>2600-3600</v>
      </c>
      <c r="S220" s="6">
        <f t="shared" si="2"/>
        <v>13</v>
      </c>
      <c r="T220" s="6" t="str">
        <f t="shared" si="3"/>
        <v>Mid</v>
      </c>
      <c r="BH220" s="14">
        <f>IFERROR(__xludf.DUMMYFUNCTION("""COMPUTED_VALUE"""),446490.0)</f>
        <v>446490</v>
      </c>
      <c r="BI220" s="60" t="str">
        <f>IFERROR(__xludf.DUMMYFUNCTION("""COMPUTED_VALUE"""),"1838 Maple Dr, San Diego, NY 81930")</f>
        <v>1838 Maple Dr, San Diego, NY 81930</v>
      </c>
      <c r="BJ220" s="60" t="str">
        <f>IFERROR(__xludf.DUMMYFUNCTION("""COMPUTED_VALUE"""),"San Diego")</f>
        <v>San Diego</v>
      </c>
      <c r="BK220" s="60">
        <f>IFERROR(__xludf.DUMMYFUNCTION("""COMPUTED_VALUE"""),81930.0)</f>
        <v>81930</v>
      </c>
      <c r="BL220" s="60" t="str">
        <f>IFERROR(__xludf.DUMMYFUNCTION("""COMPUTED_VALUE"""),"NY")</f>
        <v>NY</v>
      </c>
      <c r="BM220" s="60" t="str">
        <f>IFERROR(__xludf.DUMMYFUNCTION("""COMPUTED_VALUE"""),"1 bds")</f>
        <v>1 bds</v>
      </c>
      <c r="BN220" s="60" t="str">
        <f>IFERROR(__xludf.DUMMYFUNCTION("""COMPUTED_VALUE"""),"4 ba")</f>
        <v>4 ba</v>
      </c>
      <c r="BO220" s="60">
        <f>IFERROR(__xludf.DUMMYFUNCTION("""COMPUTED_VALUE"""),2056.0)</f>
        <v>2056</v>
      </c>
      <c r="BP220" s="60">
        <f>IFERROR(__xludf.DUMMYFUNCTION("""COMPUTED_VALUE"""),9979.0)</f>
        <v>9979</v>
      </c>
      <c r="BQ220" s="60">
        <f>IFERROR(__xludf.DUMMYFUNCTION("""COMPUTED_VALUE"""),2022.0)</f>
        <v>2022</v>
      </c>
      <c r="BR220" s="60">
        <f>IFERROR(__xludf.DUMMYFUNCTION("""COMPUTED_VALUE"""),98.0)</f>
        <v>98</v>
      </c>
      <c r="BS220" s="60" t="str">
        <f>IFERROR(__xludf.DUMMYFUNCTION("""COMPUTED_VALUE"""),"Townhouse")</f>
        <v>Townhouse</v>
      </c>
      <c r="BT220" s="60" t="str">
        <f>IFERROR(__xludf.DUMMYFUNCTION("""COMPUTED_VALUE"""),"Z955626")</f>
        <v>Z955626</v>
      </c>
      <c r="BU220" s="60" t="str">
        <f>IFERROR(__xludf.DUMMYFUNCTION("""COMPUTED_VALUE"""),"Alex Johnson - Compass")</f>
        <v>Alex Johnson - Compass</v>
      </c>
      <c r="BV220" s="60" t="str">
        <f>IFERROR(__xludf.DUMMYFUNCTION("""COMPUTED_VALUE"""),"Sold")</f>
        <v>Sold</v>
      </c>
      <c r="BW220" s="60">
        <f>IFERROR(__xludf.DUMMYFUNCTION("""COMPUTED_VALUE"""),1.0)</f>
        <v>1</v>
      </c>
      <c r="BX220" s="60" t="str">
        <f>IFERROR(__xludf.DUMMYFUNCTION("""COMPUTED_VALUE"""),"OK")</f>
        <v>OK</v>
      </c>
      <c r="BY220" s="1" t="str">
        <f>IFERROR(__xludf.DUMMYFUNCTION("""COMPUTED_VALUE"""),"1600-2600")</f>
        <v>1600-2600</v>
      </c>
      <c r="BZ220" s="1">
        <f>IFERROR(__xludf.DUMMYFUNCTION("""COMPUTED_VALUE"""),4.0)</f>
        <v>4</v>
      </c>
      <c r="CA220" s="1" t="str">
        <f>IFERROR(__xludf.DUMMYFUNCTION("""COMPUTED_VALUE"""),"New")</f>
        <v>New</v>
      </c>
    </row>
    <row r="221" ht="14.25" customHeight="1">
      <c r="A221" s="5">
        <v>566443.0</v>
      </c>
      <c r="B221" s="6" t="s">
        <v>925</v>
      </c>
      <c r="C221" s="6" t="s">
        <v>53</v>
      </c>
      <c r="D221" s="6">
        <v>77646.0</v>
      </c>
      <c r="E221" s="6" t="s">
        <v>60</v>
      </c>
      <c r="F221" s="6" t="s">
        <v>46</v>
      </c>
      <c r="G221" s="6" t="s">
        <v>55</v>
      </c>
      <c r="H221" s="7">
        <v>665.0</v>
      </c>
      <c r="I221" s="7">
        <v>2481.0</v>
      </c>
      <c r="J221" s="6">
        <v>1988.0</v>
      </c>
      <c r="K221" s="6">
        <v>53.0</v>
      </c>
      <c r="L221" s="6" t="s">
        <v>95</v>
      </c>
      <c r="M221" s="6" t="s">
        <v>926</v>
      </c>
      <c r="N221" s="6" t="s">
        <v>24</v>
      </c>
      <c r="O221" s="6" t="s">
        <v>49</v>
      </c>
      <c r="P221" s="6">
        <f>COUNTIF(Analysis!$M$1:$M$3001,Analysis!$M221)</f>
        <v>1</v>
      </c>
      <c r="Q221" s="6" t="str">
        <f>IF(COUNTIF(Analysis!$M$2:$M$3001,Analysis!$M221)&gt;1,"Duplicate","OK")</f>
        <v>OK</v>
      </c>
      <c r="R221" s="6" t="str">
        <f t="shared" si="1"/>
        <v>600-1600</v>
      </c>
      <c r="S221" s="6">
        <f t="shared" si="2"/>
        <v>38</v>
      </c>
      <c r="T221" s="6" t="str">
        <f t="shared" si="3"/>
        <v>Old</v>
      </c>
      <c r="BH221" s="14">
        <f>IFERROR(__xludf.DUMMYFUNCTION("""COMPUTED_VALUE"""),1350914.0)</f>
        <v>1350914</v>
      </c>
      <c r="BI221" s="60" t="str">
        <f>IFERROR(__xludf.DUMMYFUNCTION("""COMPUTED_VALUE"""),"9957 Pine Rd, Los Angeles, NY 35740")</f>
        <v>9957 Pine Rd, Los Angeles, NY 35740</v>
      </c>
      <c r="BJ221" s="60" t="str">
        <f>IFERROR(__xludf.DUMMYFUNCTION("""COMPUTED_VALUE"""),"Los Angeles")</f>
        <v>Los Angeles</v>
      </c>
      <c r="BK221" s="60">
        <f>IFERROR(__xludf.DUMMYFUNCTION("""COMPUTED_VALUE"""),35740.0)</f>
        <v>35740</v>
      </c>
      <c r="BL221" s="60" t="str">
        <f>IFERROR(__xludf.DUMMYFUNCTION("""COMPUTED_VALUE"""),"NY")</f>
        <v>NY</v>
      </c>
      <c r="BM221" s="60" t="str">
        <f>IFERROR(__xludf.DUMMYFUNCTION("""COMPUTED_VALUE"""),"1 bds")</f>
        <v>1 bds</v>
      </c>
      <c r="BN221" s="60" t="str">
        <f>IFERROR(__xludf.DUMMYFUNCTION("""COMPUTED_VALUE"""),"3 ba")</f>
        <v>3 ba</v>
      </c>
      <c r="BO221" s="60">
        <f>IFERROR(__xludf.DUMMYFUNCTION("""COMPUTED_VALUE"""),2492.0)</f>
        <v>2492</v>
      </c>
      <c r="BP221" s="60">
        <f>IFERROR(__xludf.DUMMYFUNCTION("""COMPUTED_VALUE"""),7676.0)</f>
        <v>7676</v>
      </c>
      <c r="BQ221" s="60">
        <f>IFERROR(__xludf.DUMMYFUNCTION("""COMPUTED_VALUE"""),1972.0)</f>
        <v>1972</v>
      </c>
      <c r="BR221" s="60">
        <f>IFERROR(__xludf.DUMMYFUNCTION("""COMPUTED_VALUE"""),43.0)</f>
        <v>43</v>
      </c>
      <c r="BS221" s="60" t="str">
        <f>IFERROR(__xludf.DUMMYFUNCTION("""COMPUTED_VALUE"""),"Townhouse")</f>
        <v>Townhouse</v>
      </c>
      <c r="BT221" s="60" t="str">
        <f>IFERROR(__xludf.DUMMYFUNCTION("""COMPUTED_VALUE"""),"Z337473")</f>
        <v>Z337473</v>
      </c>
      <c r="BU221" s="60" t="str">
        <f>IFERROR(__xludf.DUMMYFUNCTION("""COMPUTED_VALUE"""),"Alex Johnson - Compass")</f>
        <v>Alex Johnson - Compass</v>
      </c>
      <c r="BV221" s="60" t="str">
        <f>IFERROR(__xludf.DUMMYFUNCTION("""COMPUTED_VALUE"""),"Sold")</f>
        <v>Sold</v>
      </c>
      <c r="BW221" s="60">
        <f>IFERROR(__xludf.DUMMYFUNCTION("""COMPUTED_VALUE"""),1.0)</f>
        <v>1</v>
      </c>
      <c r="BX221" s="60" t="str">
        <f>IFERROR(__xludf.DUMMYFUNCTION("""COMPUTED_VALUE"""),"OK")</f>
        <v>OK</v>
      </c>
      <c r="BY221" s="1" t="str">
        <f>IFERROR(__xludf.DUMMYFUNCTION("""COMPUTED_VALUE"""),"1600-2600")</f>
        <v>1600-2600</v>
      </c>
      <c r="BZ221" s="1">
        <f>IFERROR(__xludf.DUMMYFUNCTION("""COMPUTED_VALUE"""),54.0)</f>
        <v>54</v>
      </c>
      <c r="CA221" s="1" t="str">
        <f>IFERROR(__xludf.DUMMYFUNCTION("""COMPUTED_VALUE"""),"Old")</f>
        <v>Old</v>
      </c>
    </row>
    <row r="222" ht="14.25" customHeight="1">
      <c r="A222" s="5">
        <v>540820.0</v>
      </c>
      <c r="B222" s="6" t="s">
        <v>929</v>
      </c>
      <c r="C222" s="6" t="s">
        <v>39</v>
      </c>
      <c r="D222" s="6">
        <v>38759.0</v>
      </c>
      <c r="E222" s="6" t="s">
        <v>40</v>
      </c>
      <c r="F222" s="6" t="s">
        <v>61</v>
      </c>
      <c r="G222" s="6" t="s">
        <v>21</v>
      </c>
      <c r="H222" s="7">
        <v>3824.0</v>
      </c>
      <c r="I222" s="7">
        <v>1336.0</v>
      </c>
      <c r="J222" s="6">
        <v>1973.0</v>
      </c>
      <c r="K222" s="6">
        <v>29.0</v>
      </c>
      <c r="L222" s="6" t="s">
        <v>141</v>
      </c>
      <c r="M222" s="6" t="s">
        <v>930</v>
      </c>
      <c r="N222" s="6" t="s">
        <v>48</v>
      </c>
      <c r="O222" s="6" t="s">
        <v>35</v>
      </c>
      <c r="P222" s="6">
        <f>COUNTIF(Analysis!$M$1:$M$3001,Analysis!$M222)</f>
        <v>1</v>
      </c>
      <c r="Q222" s="6" t="str">
        <f>IF(COUNTIF(Analysis!$M$2:$M$3001,Analysis!$M222)&gt;1,"Duplicate","OK")</f>
        <v>OK</v>
      </c>
      <c r="R222" s="6" t="str">
        <f t="shared" si="1"/>
        <v>3600+</v>
      </c>
      <c r="S222" s="6">
        <f t="shared" si="2"/>
        <v>53</v>
      </c>
      <c r="T222" s="6" t="str">
        <f t="shared" si="3"/>
        <v>Old</v>
      </c>
      <c r="BH222" s="14">
        <f>IFERROR(__xludf.DUMMYFUNCTION("""COMPUTED_VALUE"""),1402468.0)</f>
        <v>1402468</v>
      </c>
      <c r="BI222" s="60" t="str">
        <f>IFERROR(__xludf.DUMMYFUNCTION("""COMPUTED_VALUE"""),"2538 Oak Ave, Sacramento, NY 76941")</f>
        <v>2538 Oak Ave, Sacramento, NY 76941</v>
      </c>
      <c r="BJ222" s="60" t="str">
        <f>IFERROR(__xludf.DUMMYFUNCTION("""COMPUTED_VALUE"""),"Sacramento")</f>
        <v>Sacramento</v>
      </c>
      <c r="BK222" s="60">
        <f>IFERROR(__xludf.DUMMYFUNCTION("""COMPUTED_VALUE"""),76941.0)</f>
        <v>76941</v>
      </c>
      <c r="BL222" s="60" t="str">
        <f>IFERROR(__xludf.DUMMYFUNCTION("""COMPUTED_VALUE"""),"NY")</f>
        <v>NY</v>
      </c>
      <c r="BM222" s="60" t="str">
        <f>IFERROR(__xludf.DUMMYFUNCTION("""COMPUTED_VALUE"""),"6 bds")</f>
        <v>6 bds</v>
      </c>
      <c r="BN222" s="60" t="str">
        <f>IFERROR(__xludf.DUMMYFUNCTION("""COMPUTED_VALUE"""),"3 ba")</f>
        <v>3 ba</v>
      </c>
      <c r="BO222" s="60">
        <f>IFERROR(__xludf.DUMMYFUNCTION("""COMPUTED_VALUE"""),3734.0)</f>
        <v>3734</v>
      </c>
      <c r="BP222" s="60">
        <f>IFERROR(__xludf.DUMMYFUNCTION("""COMPUTED_VALUE"""),4083.0)</f>
        <v>4083</v>
      </c>
      <c r="BQ222" s="60">
        <f>IFERROR(__xludf.DUMMYFUNCTION("""COMPUTED_VALUE"""),1978.0)</f>
        <v>1978</v>
      </c>
      <c r="BR222" s="60">
        <f>IFERROR(__xludf.DUMMYFUNCTION("""COMPUTED_VALUE"""),22.0)</f>
        <v>22</v>
      </c>
      <c r="BS222" s="60" t="str">
        <f>IFERROR(__xludf.DUMMYFUNCTION("""COMPUTED_VALUE"""),"Apartment")</f>
        <v>Apartment</v>
      </c>
      <c r="BT222" s="60" t="str">
        <f>IFERROR(__xludf.DUMMYFUNCTION("""COMPUTED_VALUE"""),"Z386059")</f>
        <v>Z386059</v>
      </c>
      <c r="BU222" s="60" t="str">
        <f>IFERROR(__xludf.DUMMYFUNCTION("""COMPUTED_VALUE"""),"Alex Johnson - Compass")</f>
        <v>Alex Johnson - Compass</v>
      </c>
      <c r="BV222" s="60" t="str">
        <f>IFERROR(__xludf.DUMMYFUNCTION("""COMPUTED_VALUE"""),"Sold")</f>
        <v>Sold</v>
      </c>
      <c r="BW222" s="60">
        <f>IFERROR(__xludf.DUMMYFUNCTION("""COMPUTED_VALUE"""),1.0)</f>
        <v>1</v>
      </c>
      <c r="BX222" s="60" t="str">
        <f>IFERROR(__xludf.DUMMYFUNCTION("""COMPUTED_VALUE"""),"OK")</f>
        <v>OK</v>
      </c>
      <c r="BY222" s="1" t="str">
        <f>IFERROR(__xludf.DUMMYFUNCTION("""COMPUTED_VALUE"""),"3600+")</f>
        <v>3600+</v>
      </c>
      <c r="BZ222" s="1">
        <f>IFERROR(__xludf.DUMMYFUNCTION("""COMPUTED_VALUE"""),48.0)</f>
        <v>48</v>
      </c>
      <c r="CA222" s="1" t="str">
        <f>IFERROR(__xludf.DUMMYFUNCTION("""COMPUTED_VALUE"""),"Old")</f>
        <v>Old</v>
      </c>
    </row>
    <row r="223" ht="14.25" customHeight="1">
      <c r="A223" s="5">
        <v>148463.0</v>
      </c>
      <c r="B223" s="6" t="s">
        <v>933</v>
      </c>
      <c r="C223" s="6" t="s">
        <v>76</v>
      </c>
      <c r="D223" s="6">
        <v>99056.0</v>
      </c>
      <c r="E223" s="6" t="s">
        <v>40</v>
      </c>
      <c r="F223" s="6" t="s">
        <v>54</v>
      </c>
      <c r="G223" s="6" t="s">
        <v>55</v>
      </c>
      <c r="H223" s="7">
        <v>3549.0</v>
      </c>
      <c r="I223" s="7">
        <v>4940.0</v>
      </c>
      <c r="J223" s="6">
        <v>1962.0</v>
      </c>
      <c r="K223" s="6">
        <v>16.0</v>
      </c>
      <c r="L223" s="6" t="s">
        <v>32</v>
      </c>
      <c r="M223" s="6" t="s">
        <v>934</v>
      </c>
      <c r="N223" s="6" t="s">
        <v>64</v>
      </c>
      <c r="O223" s="6" t="s">
        <v>49</v>
      </c>
      <c r="P223" s="6">
        <f>COUNTIF(Analysis!$M$1:$M$3001,Analysis!$M223)</f>
        <v>1</v>
      </c>
      <c r="Q223" s="6" t="str">
        <f>IF(COUNTIF(Analysis!$M$2:$M$3001,Analysis!$M223)&gt;1,"Duplicate","OK")</f>
        <v>OK</v>
      </c>
      <c r="R223" s="6" t="str">
        <f t="shared" si="1"/>
        <v>2600-3600</v>
      </c>
      <c r="S223" s="6">
        <f t="shared" si="2"/>
        <v>64</v>
      </c>
      <c r="T223" s="6" t="str">
        <f t="shared" si="3"/>
        <v>Very Old</v>
      </c>
      <c r="BH223" s="14">
        <f>IFERROR(__xludf.DUMMYFUNCTION("""COMPUTED_VALUE"""),1447743.0)</f>
        <v>1447743</v>
      </c>
      <c r="BI223" s="60" t="str">
        <f>IFERROR(__xludf.DUMMYFUNCTION("""COMPUTED_VALUE"""),"3349 Oak Ave, Fresno, NY 48074")</f>
        <v>3349 Oak Ave, Fresno, NY 48074</v>
      </c>
      <c r="BJ223" s="60" t="str">
        <f>IFERROR(__xludf.DUMMYFUNCTION("""COMPUTED_VALUE"""),"Fresno")</f>
        <v>Fresno</v>
      </c>
      <c r="BK223" s="60">
        <f>IFERROR(__xludf.DUMMYFUNCTION("""COMPUTED_VALUE"""),48074.0)</f>
        <v>48074</v>
      </c>
      <c r="BL223" s="60" t="str">
        <f>IFERROR(__xludf.DUMMYFUNCTION("""COMPUTED_VALUE"""),"NY")</f>
        <v>NY</v>
      </c>
      <c r="BM223" s="60" t="str">
        <f>IFERROR(__xludf.DUMMYFUNCTION("""COMPUTED_VALUE"""),"1 bds")</f>
        <v>1 bds</v>
      </c>
      <c r="BN223" s="60" t="str">
        <f>IFERROR(__xludf.DUMMYFUNCTION("""COMPUTED_VALUE"""),"4 ba")</f>
        <v>4 ba</v>
      </c>
      <c r="BO223" s="60">
        <f>IFERROR(__xludf.DUMMYFUNCTION("""COMPUTED_VALUE"""),2085.0)</f>
        <v>2085</v>
      </c>
      <c r="BP223" s="60">
        <f>IFERROR(__xludf.DUMMYFUNCTION("""COMPUTED_VALUE"""),7296.0)</f>
        <v>7296</v>
      </c>
      <c r="BQ223" s="60">
        <f>IFERROR(__xludf.DUMMYFUNCTION("""COMPUTED_VALUE"""),1998.0)</f>
        <v>1998</v>
      </c>
      <c r="BR223" s="60">
        <f>IFERROR(__xludf.DUMMYFUNCTION("""COMPUTED_VALUE"""),26.0)</f>
        <v>26</v>
      </c>
      <c r="BS223" s="60" t="str">
        <f>IFERROR(__xludf.DUMMYFUNCTION("""COMPUTED_VALUE"""),"Multi-Family")</f>
        <v>Multi-Family</v>
      </c>
      <c r="BT223" s="60" t="str">
        <f>IFERROR(__xludf.DUMMYFUNCTION("""COMPUTED_VALUE"""),"Z971023")</f>
        <v>Z971023</v>
      </c>
      <c r="BU223" s="60" t="str">
        <f>IFERROR(__xludf.DUMMYFUNCTION("""COMPUTED_VALUE"""),"Alex Johnson - Compass")</f>
        <v>Alex Johnson - Compass</v>
      </c>
      <c r="BV223" s="60" t="str">
        <f>IFERROR(__xludf.DUMMYFUNCTION("""COMPUTED_VALUE"""),"Sold")</f>
        <v>Sold</v>
      </c>
      <c r="BW223" s="60">
        <f>IFERROR(__xludf.DUMMYFUNCTION("""COMPUTED_VALUE"""),1.0)</f>
        <v>1</v>
      </c>
      <c r="BX223" s="60" t="str">
        <f>IFERROR(__xludf.DUMMYFUNCTION("""COMPUTED_VALUE"""),"OK")</f>
        <v>OK</v>
      </c>
      <c r="BY223" s="1" t="str">
        <f>IFERROR(__xludf.DUMMYFUNCTION("""COMPUTED_VALUE"""),"1600-2600")</f>
        <v>1600-2600</v>
      </c>
      <c r="BZ223" s="1">
        <f>IFERROR(__xludf.DUMMYFUNCTION("""COMPUTED_VALUE"""),28.0)</f>
        <v>28</v>
      </c>
      <c r="CA223" s="1" t="str">
        <f>IFERROR(__xludf.DUMMYFUNCTION("""COMPUTED_VALUE"""),"Mid")</f>
        <v>Mid</v>
      </c>
    </row>
    <row r="224" ht="14.25" customHeight="1">
      <c r="A224" s="5">
        <v>922164.0</v>
      </c>
      <c r="B224" s="6" t="s">
        <v>937</v>
      </c>
      <c r="C224" s="6" t="s">
        <v>53</v>
      </c>
      <c r="D224" s="6">
        <v>92930.0</v>
      </c>
      <c r="E224" s="6" t="s">
        <v>30</v>
      </c>
      <c r="F224" s="6" t="s">
        <v>94</v>
      </c>
      <c r="G224" s="6" t="s">
        <v>21</v>
      </c>
      <c r="H224" s="7">
        <v>2329.0</v>
      </c>
      <c r="I224" s="7">
        <v>2940.0</v>
      </c>
      <c r="J224" s="6">
        <v>2019.0</v>
      </c>
      <c r="K224" s="6">
        <v>69.0</v>
      </c>
      <c r="L224" s="6" t="s">
        <v>32</v>
      </c>
      <c r="M224" s="6" t="s">
        <v>938</v>
      </c>
      <c r="N224" s="6" t="s">
        <v>64</v>
      </c>
      <c r="O224" s="6" t="s">
        <v>25</v>
      </c>
      <c r="P224" s="6">
        <f>COUNTIF(Analysis!$M$1:$M$3001,Analysis!$M224)</f>
        <v>1</v>
      </c>
      <c r="Q224" s="6" t="str">
        <f>IF(COUNTIF(Analysis!$M$2:$M$3001,Analysis!$M224)&gt;1,"Duplicate","OK")</f>
        <v>OK</v>
      </c>
      <c r="R224" s="6" t="str">
        <f t="shared" si="1"/>
        <v>1600-2600</v>
      </c>
      <c r="S224" s="6">
        <f t="shared" si="2"/>
        <v>7</v>
      </c>
      <c r="T224" s="6" t="str">
        <f t="shared" si="3"/>
        <v>New</v>
      </c>
      <c r="BH224" s="14">
        <f>IFERROR(__xludf.DUMMYFUNCTION("""COMPUTED_VALUE"""),1153651.0)</f>
        <v>1153651</v>
      </c>
      <c r="BI224" s="60" t="str">
        <f>IFERROR(__xludf.DUMMYFUNCTION("""COMPUTED_VALUE"""),"7760 Main St, Sacramento, FL 36164")</f>
        <v>7760 Main St, Sacramento, FL 36164</v>
      </c>
      <c r="BJ224" s="60" t="str">
        <f>IFERROR(__xludf.DUMMYFUNCTION("""COMPUTED_VALUE"""),"Sacramento")</f>
        <v>Sacramento</v>
      </c>
      <c r="BK224" s="60">
        <f>IFERROR(__xludf.DUMMYFUNCTION("""COMPUTED_VALUE"""),36164.0)</f>
        <v>36164</v>
      </c>
      <c r="BL224" s="60" t="str">
        <f>IFERROR(__xludf.DUMMYFUNCTION("""COMPUTED_VALUE"""),"FL")</f>
        <v>FL</v>
      </c>
      <c r="BM224" s="60" t="str">
        <f>IFERROR(__xludf.DUMMYFUNCTION("""COMPUTED_VALUE"""),"5 bds")</f>
        <v>5 bds</v>
      </c>
      <c r="BN224" s="60" t="str">
        <f>IFERROR(__xludf.DUMMYFUNCTION("""COMPUTED_VALUE"""),"1 ba")</f>
        <v>1 ba</v>
      </c>
      <c r="BO224" s="60">
        <f>IFERROR(__xludf.DUMMYFUNCTION("""COMPUTED_VALUE"""),1232.0)</f>
        <v>1232</v>
      </c>
      <c r="BP224" s="60">
        <f>IFERROR(__xludf.DUMMYFUNCTION("""COMPUTED_VALUE"""),8084.0)</f>
        <v>8084</v>
      </c>
      <c r="BQ224" s="60">
        <f>IFERROR(__xludf.DUMMYFUNCTION("""COMPUTED_VALUE"""),2009.0)</f>
        <v>2009</v>
      </c>
      <c r="BR224" s="60">
        <f>IFERROR(__xludf.DUMMYFUNCTION("""COMPUTED_VALUE"""),73.0)</f>
        <v>73</v>
      </c>
      <c r="BS224" s="60" t="str">
        <f>IFERROR(__xludf.DUMMYFUNCTION("""COMPUTED_VALUE"""),"Apartment")</f>
        <v>Apartment</v>
      </c>
      <c r="BT224" s="60" t="str">
        <f>IFERROR(__xludf.DUMMYFUNCTION("""COMPUTED_VALUE"""),"Z440495")</f>
        <v>Z440495</v>
      </c>
      <c r="BU224" s="60" t="str">
        <f>IFERROR(__xludf.DUMMYFUNCTION("""COMPUTED_VALUE"""),"Alex Johnson - Compass")</f>
        <v>Alex Johnson - Compass</v>
      </c>
      <c r="BV224" s="60" t="str">
        <f>IFERROR(__xludf.DUMMYFUNCTION("""COMPUTED_VALUE"""),"Sold")</f>
        <v>Sold</v>
      </c>
      <c r="BW224" s="60">
        <f>IFERROR(__xludf.DUMMYFUNCTION("""COMPUTED_VALUE"""),1.0)</f>
        <v>1</v>
      </c>
      <c r="BX224" s="60" t="str">
        <f>IFERROR(__xludf.DUMMYFUNCTION("""COMPUTED_VALUE"""),"OK")</f>
        <v>OK</v>
      </c>
      <c r="BY224" s="1" t="str">
        <f>IFERROR(__xludf.DUMMYFUNCTION("""COMPUTED_VALUE"""),"600-1600")</f>
        <v>600-1600</v>
      </c>
      <c r="BZ224" s="1">
        <f>IFERROR(__xludf.DUMMYFUNCTION("""COMPUTED_VALUE"""),17.0)</f>
        <v>17</v>
      </c>
      <c r="CA224" s="1" t="str">
        <f>IFERROR(__xludf.DUMMYFUNCTION("""COMPUTED_VALUE"""),"Mid")</f>
        <v>Mid</v>
      </c>
    </row>
    <row r="225" ht="14.25" customHeight="1">
      <c r="A225" s="5">
        <v>925438.0</v>
      </c>
      <c r="B225" s="6" t="s">
        <v>941</v>
      </c>
      <c r="C225" s="6" t="s">
        <v>39</v>
      </c>
      <c r="D225" s="6">
        <v>45299.0</v>
      </c>
      <c r="E225" s="6" t="s">
        <v>19</v>
      </c>
      <c r="F225" s="6" t="s">
        <v>46</v>
      </c>
      <c r="G225" s="6" t="s">
        <v>21</v>
      </c>
      <c r="H225" s="7">
        <v>2307.0</v>
      </c>
      <c r="I225" s="7">
        <v>7339.0</v>
      </c>
      <c r="J225" s="6">
        <v>2019.0</v>
      </c>
      <c r="K225" s="6">
        <v>37.0</v>
      </c>
      <c r="L225" s="6" t="s">
        <v>32</v>
      </c>
      <c r="M225" s="6" t="s">
        <v>942</v>
      </c>
      <c r="N225" s="6" t="s">
        <v>24</v>
      </c>
      <c r="O225" s="6" t="s">
        <v>35</v>
      </c>
      <c r="P225" s="6">
        <f>COUNTIF(Analysis!$M$1:$M$3001,Analysis!$M225)</f>
        <v>1</v>
      </c>
      <c r="Q225" s="6" t="str">
        <f>IF(COUNTIF(Analysis!$M$2:$M$3001,Analysis!$M225)&gt;1,"Duplicate","OK")</f>
        <v>OK</v>
      </c>
      <c r="R225" s="6" t="str">
        <f t="shared" si="1"/>
        <v>1600-2600</v>
      </c>
      <c r="S225" s="6">
        <f t="shared" si="2"/>
        <v>7</v>
      </c>
      <c r="T225" s="6" t="str">
        <f t="shared" si="3"/>
        <v>New</v>
      </c>
      <c r="BH225" s="14">
        <f>IFERROR(__xludf.DUMMYFUNCTION("""COMPUTED_VALUE"""),1458415.0)</f>
        <v>1458415</v>
      </c>
      <c r="BI225" s="60" t="str">
        <f>IFERROR(__xludf.DUMMYFUNCTION("""COMPUTED_VALUE"""),"8268 Oak Ave, Fresno, FL 55613")</f>
        <v>8268 Oak Ave, Fresno, FL 55613</v>
      </c>
      <c r="BJ225" s="60" t="str">
        <f>IFERROR(__xludf.DUMMYFUNCTION("""COMPUTED_VALUE"""),"Fresno")</f>
        <v>Fresno</v>
      </c>
      <c r="BK225" s="60">
        <f>IFERROR(__xludf.DUMMYFUNCTION("""COMPUTED_VALUE"""),55613.0)</f>
        <v>55613</v>
      </c>
      <c r="BL225" s="60" t="str">
        <f>IFERROR(__xludf.DUMMYFUNCTION("""COMPUTED_VALUE"""),"FL")</f>
        <v>FL</v>
      </c>
      <c r="BM225" s="60" t="str">
        <f>IFERROR(__xludf.DUMMYFUNCTION("""COMPUTED_VALUE"""),"2 bds")</f>
        <v>2 bds</v>
      </c>
      <c r="BN225" s="60" t="str">
        <f>IFERROR(__xludf.DUMMYFUNCTION("""COMPUTED_VALUE"""),"4 ba")</f>
        <v>4 ba</v>
      </c>
      <c r="BO225" s="60">
        <f>IFERROR(__xludf.DUMMYFUNCTION("""COMPUTED_VALUE"""),3754.0)</f>
        <v>3754</v>
      </c>
      <c r="BP225" s="60">
        <f>IFERROR(__xludf.DUMMYFUNCTION("""COMPUTED_VALUE"""),5717.0)</f>
        <v>5717</v>
      </c>
      <c r="BQ225" s="60">
        <f>IFERROR(__xludf.DUMMYFUNCTION("""COMPUTED_VALUE"""),1958.0)</f>
        <v>1958</v>
      </c>
      <c r="BR225" s="60">
        <f>IFERROR(__xludf.DUMMYFUNCTION("""COMPUTED_VALUE"""),107.0)</f>
        <v>107</v>
      </c>
      <c r="BS225" s="60" t="str">
        <f>IFERROR(__xludf.DUMMYFUNCTION("""COMPUTED_VALUE"""),"Condo")</f>
        <v>Condo</v>
      </c>
      <c r="BT225" s="60" t="str">
        <f>IFERROR(__xludf.DUMMYFUNCTION("""COMPUTED_VALUE"""),"Z906240")</f>
        <v>Z906240</v>
      </c>
      <c r="BU225" s="60" t="str">
        <f>IFERROR(__xludf.DUMMYFUNCTION("""COMPUTED_VALUE"""),"Alex Johnson - Compass")</f>
        <v>Alex Johnson - Compass</v>
      </c>
      <c r="BV225" s="60" t="str">
        <f>IFERROR(__xludf.DUMMYFUNCTION("""COMPUTED_VALUE"""),"Sold")</f>
        <v>Sold</v>
      </c>
      <c r="BW225" s="60">
        <f>IFERROR(__xludf.DUMMYFUNCTION("""COMPUTED_VALUE"""),1.0)</f>
        <v>1</v>
      </c>
      <c r="BX225" s="60" t="str">
        <f>IFERROR(__xludf.DUMMYFUNCTION("""COMPUTED_VALUE"""),"OK")</f>
        <v>OK</v>
      </c>
      <c r="BY225" s="1" t="str">
        <f>IFERROR(__xludf.DUMMYFUNCTION("""COMPUTED_VALUE"""),"3600+")</f>
        <v>3600+</v>
      </c>
      <c r="BZ225" s="1">
        <f>IFERROR(__xludf.DUMMYFUNCTION("""COMPUTED_VALUE"""),68.0)</f>
        <v>68</v>
      </c>
      <c r="CA225" s="1" t="str">
        <f>IFERROR(__xludf.DUMMYFUNCTION("""COMPUTED_VALUE"""),"Very Old")</f>
        <v>Very Old</v>
      </c>
    </row>
    <row r="226" ht="14.25" customHeight="1">
      <c r="A226" s="5">
        <v>421606.0</v>
      </c>
      <c r="B226" s="6" t="s">
        <v>945</v>
      </c>
      <c r="C226" s="6" t="s">
        <v>39</v>
      </c>
      <c r="D226" s="6">
        <v>20074.0</v>
      </c>
      <c r="E226" s="6" t="s">
        <v>60</v>
      </c>
      <c r="F226" s="6" t="s">
        <v>41</v>
      </c>
      <c r="G226" s="6" t="s">
        <v>31</v>
      </c>
      <c r="H226" s="7">
        <v>2345.0</v>
      </c>
      <c r="I226" s="7">
        <v>7348.0</v>
      </c>
      <c r="J226" s="6">
        <v>2009.0</v>
      </c>
      <c r="K226" s="6">
        <v>22.0</v>
      </c>
      <c r="L226" s="6" t="s">
        <v>32</v>
      </c>
      <c r="M226" s="6" t="s">
        <v>946</v>
      </c>
      <c r="N226" s="6" t="s">
        <v>34</v>
      </c>
      <c r="O226" s="6" t="s">
        <v>25</v>
      </c>
      <c r="P226" s="6">
        <f>COUNTIF(Analysis!$M$1:$M$3001,Analysis!$M226)</f>
        <v>1</v>
      </c>
      <c r="Q226" s="6" t="str">
        <f>IF(COUNTIF(Analysis!$M$2:$M$3001,Analysis!$M226)&gt;1,"Duplicate","OK")</f>
        <v>OK</v>
      </c>
      <c r="R226" s="6" t="str">
        <f t="shared" si="1"/>
        <v>1600-2600</v>
      </c>
      <c r="S226" s="6">
        <f t="shared" si="2"/>
        <v>17</v>
      </c>
      <c r="T226" s="6" t="str">
        <f t="shared" si="3"/>
        <v>Mid</v>
      </c>
      <c r="BH226" s="14">
        <f>IFERROR(__xludf.DUMMYFUNCTION("""COMPUTED_VALUE"""),461841.0)</f>
        <v>461841</v>
      </c>
      <c r="BI226" s="60" t="str">
        <f>IFERROR(__xludf.DUMMYFUNCTION("""COMPUTED_VALUE"""),"1296 Oak Ave, San Francisco, NY 20228")</f>
        <v>1296 Oak Ave, San Francisco, NY 20228</v>
      </c>
      <c r="BJ226" s="60" t="str">
        <f>IFERROR(__xludf.DUMMYFUNCTION("""COMPUTED_VALUE"""),"San Francisco")</f>
        <v>San Francisco</v>
      </c>
      <c r="BK226" s="60">
        <f>IFERROR(__xludf.DUMMYFUNCTION("""COMPUTED_VALUE"""),20228.0)</f>
        <v>20228</v>
      </c>
      <c r="BL226" s="60" t="str">
        <f>IFERROR(__xludf.DUMMYFUNCTION("""COMPUTED_VALUE"""),"NY")</f>
        <v>NY</v>
      </c>
      <c r="BM226" s="60" t="str">
        <f>IFERROR(__xludf.DUMMYFUNCTION("""COMPUTED_VALUE"""),"6 bds")</f>
        <v>6 bds</v>
      </c>
      <c r="BN226" s="60" t="str">
        <f>IFERROR(__xludf.DUMMYFUNCTION("""COMPUTED_VALUE"""),"1 ba")</f>
        <v>1 ba</v>
      </c>
      <c r="BO226" s="60">
        <f>IFERROR(__xludf.DUMMYFUNCTION("""COMPUTED_VALUE"""),3455.0)</f>
        <v>3455</v>
      </c>
      <c r="BP226" s="60">
        <f>IFERROR(__xludf.DUMMYFUNCTION("""COMPUTED_VALUE"""),9429.0)</f>
        <v>9429</v>
      </c>
      <c r="BQ226" s="60">
        <f>IFERROR(__xludf.DUMMYFUNCTION("""COMPUTED_VALUE"""),1990.0)</f>
        <v>1990</v>
      </c>
      <c r="BR226" s="60">
        <f>IFERROR(__xludf.DUMMYFUNCTION("""COMPUTED_VALUE"""),110.0)</f>
        <v>110</v>
      </c>
      <c r="BS226" s="60" t="str">
        <f>IFERROR(__xludf.DUMMYFUNCTION("""COMPUTED_VALUE"""),"Condo")</f>
        <v>Condo</v>
      </c>
      <c r="BT226" s="60" t="str">
        <f>IFERROR(__xludf.DUMMYFUNCTION("""COMPUTED_VALUE"""),"Z788226")</f>
        <v>Z788226</v>
      </c>
      <c r="BU226" s="60" t="str">
        <f>IFERROR(__xludf.DUMMYFUNCTION("""COMPUTED_VALUE"""),"Alex Johnson - Compass")</f>
        <v>Alex Johnson - Compass</v>
      </c>
      <c r="BV226" s="60" t="str">
        <f>IFERROR(__xludf.DUMMYFUNCTION("""COMPUTED_VALUE"""),"Sold")</f>
        <v>Sold</v>
      </c>
      <c r="BW226" s="60">
        <f>IFERROR(__xludf.DUMMYFUNCTION("""COMPUTED_VALUE"""),1.0)</f>
        <v>1</v>
      </c>
      <c r="BX226" s="60" t="str">
        <f>IFERROR(__xludf.DUMMYFUNCTION("""COMPUTED_VALUE"""),"OK")</f>
        <v>OK</v>
      </c>
      <c r="BY226" s="1" t="str">
        <f>IFERROR(__xludf.DUMMYFUNCTION("""COMPUTED_VALUE"""),"2600-3600")</f>
        <v>2600-3600</v>
      </c>
      <c r="BZ226" s="1">
        <f>IFERROR(__xludf.DUMMYFUNCTION("""COMPUTED_VALUE"""),36.0)</f>
        <v>36</v>
      </c>
      <c r="CA226" s="1" t="str">
        <f>IFERROR(__xludf.DUMMYFUNCTION("""COMPUTED_VALUE"""),"Old")</f>
        <v>Old</v>
      </c>
    </row>
    <row r="227" ht="14.25" customHeight="1">
      <c r="A227" s="5">
        <v>913878.0</v>
      </c>
      <c r="B227" s="6" t="s">
        <v>949</v>
      </c>
      <c r="C227" s="6" t="s">
        <v>39</v>
      </c>
      <c r="D227" s="6">
        <v>29610.0</v>
      </c>
      <c r="E227" s="6" t="s">
        <v>77</v>
      </c>
      <c r="F227" s="6" t="s">
        <v>46</v>
      </c>
      <c r="G227" s="6" t="s">
        <v>31</v>
      </c>
      <c r="H227" s="7">
        <v>3288.0</v>
      </c>
      <c r="I227" s="7">
        <v>1472.0</v>
      </c>
      <c r="J227" s="6">
        <v>1984.0</v>
      </c>
      <c r="K227" s="6">
        <v>38.0</v>
      </c>
      <c r="L227" s="6" t="s">
        <v>62</v>
      </c>
      <c r="M227" s="6" t="s">
        <v>950</v>
      </c>
      <c r="N227" s="6" t="s">
        <v>24</v>
      </c>
      <c r="O227" s="6" t="s">
        <v>35</v>
      </c>
      <c r="P227" s="6">
        <f>COUNTIF(Analysis!$M$1:$M$3001,Analysis!$M227)</f>
        <v>1</v>
      </c>
      <c r="Q227" s="6" t="str">
        <f>IF(COUNTIF(Analysis!$M$2:$M$3001,Analysis!$M227)&gt;1,"Duplicate","OK")</f>
        <v>OK</v>
      </c>
      <c r="R227" s="6" t="str">
        <f t="shared" si="1"/>
        <v>2600-3600</v>
      </c>
      <c r="S227" s="6">
        <f t="shared" si="2"/>
        <v>42</v>
      </c>
      <c r="T227" s="6" t="str">
        <f t="shared" si="3"/>
        <v>Old</v>
      </c>
      <c r="BH227" s="14">
        <f>IFERROR(__xludf.DUMMYFUNCTION("""COMPUTED_VALUE"""),1472375.0)</f>
        <v>1472375</v>
      </c>
      <c r="BI227" s="60" t="str">
        <f>IFERROR(__xludf.DUMMYFUNCTION("""COMPUTED_VALUE"""),"8100 Maple Dr, Fresno, CA 59919")</f>
        <v>8100 Maple Dr, Fresno, CA 59919</v>
      </c>
      <c r="BJ227" s="60" t="str">
        <f>IFERROR(__xludf.DUMMYFUNCTION("""COMPUTED_VALUE"""),"Fresno")</f>
        <v>Fresno</v>
      </c>
      <c r="BK227" s="60">
        <f>IFERROR(__xludf.DUMMYFUNCTION("""COMPUTED_VALUE"""),59919.0)</f>
        <v>59919</v>
      </c>
      <c r="BL227" s="60" t="str">
        <f>IFERROR(__xludf.DUMMYFUNCTION("""COMPUTED_VALUE"""),"CA")</f>
        <v>CA</v>
      </c>
      <c r="BM227" s="60" t="str">
        <f>IFERROR(__xludf.DUMMYFUNCTION("""COMPUTED_VALUE"""),"1 bds")</f>
        <v>1 bds</v>
      </c>
      <c r="BN227" s="60" t="str">
        <f>IFERROR(__xludf.DUMMYFUNCTION("""COMPUTED_VALUE"""),"1 ba")</f>
        <v>1 ba</v>
      </c>
      <c r="BO227" s="60">
        <f>IFERROR(__xludf.DUMMYFUNCTION("""COMPUTED_VALUE"""),1418.0)</f>
        <v>1418</v>
      </c>
      <c r="BP227" s="60">
        <f>IFERROR(__xludf.DUMMYFUNCTION("""COMPUTED_VALUE"""),5105.0)</f>
        <v>5105</v>
      </c>
      <c r="BQ227" s="60">
        <f>IFERROR(__xludf.DUMMYFUNCTION("""COMPUTED_VALUE"""),1962.0)</f>
        <v>1962</v>
      </c>
      <c r="BR227" s="60">
        <f>IFERROR(__xludf.DUMMYFUNCTION("""COMPUTED_VALUE"""),110.0)</f>
        <v>110</v>
      </c>
      <c r="BS227" s="60" t="str">
        <f>IFERROR(__xludf.DUMMYFUNCTION("""COMPUTED_VALUE"""),"Townhouse")</f>
        <v>Townhouse</v>
      </c>
      <c r="BT227" s="60" t="str">
        <f>IFERROR(__xludf.DUMMYFUNCTION("""COMPUTED_VALUE"""),"Z647013")</f>
        <v>Z647013</v>
      </c>
      <c r="BU227" s="60" t="str">
        <f>IFERROR(__xludf.DUMMYFUNCTION("""COMPUTED_VALUE"""),"Alex Johnson - Compass")</f>
        <v>Alex Johnson - Compass</v>
      </c>
      <c r="BV227" s="60" t="str">
        <f>IFERROR(__xludf.DUMMYFUNCTION("""COMPUTED_VALUE"""),"Sold")</f>
        <v>Sold</v>
      </c>
      <c r="BW227" s="60">
        <f>IFERROR(__xludf.DUMMYFUNCTION("""COMPUTED_VALUE"""),1.0)</f>
        <v>1</v>
      </c>
      <c r="BX227" s="60" t="str">
        <f>IFERROR(__xludf.DUMMYFUNCTION("""COMPUTED_VALUE"""),"OK")</f>
        <v>OK</v>
      </c>
      <c r="BY227" s="1" t="str">
        <f>IFERROR(__xludf.DUMMYFUNCTION("""COMPUTED_VALUE"""),"600-1600")</f>
        <v>600-1600</v>
      </c>
      <c r="BZ227" s="1">
        <f>IFERROR(__xludf.DUMMYFUNCTION("""COMPUTED_VALUE"""),64.0)</f>
        <v>64</v>
      </c>
      <c r="CA227" s="1" t="str">
        <f>IFERROR(__xludf.DUMMYFUNCTION("""COMPUTED_VALUE"""),"Very Old")</f>
        <v>Very Old</v>
      </c>
    </row>
    <row r="228" ht="14.25" customHeight="1">
      <c r="A228" s="5">
        <v>1258728.0</v>
      </c>
      <c r="B228" s="6" t="s">
        <v>953</v>
      </c>
      <c r="C228" s="6" t="s">
        <v>76</v>
      </c>
      <c r="D228" s="6">
        <v>92847.0</v>
      </c>
      <c r="E228" s="6" t="s">
        <v>30</v>
      </c>
      <c r="F228" s="6" t="s">
        <v>54</v>
      </c>
      <c r="G228" s="6" t="s">
        <v>100</v>
      </c>
      <c r="H228" s="7">
        <v>2128.0</v>
      </c>
      <c r="I228" s="7">
        <v>1335.0</v>
      </c>
      <c r="J228" s="6">
        <v>1992.0</v>
      </c>
      <c r="K228" s="6">
        <v>100.0</v>
      </c>
      <c r="L228" s="6" t="s">
        <v>141</v>
      </c>
      <c r="M228" s="6" t="s">
        <v>954</v>
      </c>
      <c r="N228" s="6" t="s">
        <v>24</v>
      </c>
      <c r="O228" s="6" t="s">
        <v>49</v>
      </c>
      <c r="P228" s="6">
        <f>COUNTIF(Analysis!$M$1:$M$3001,Analysis!$M228)</f>
        <v>1</v>
      </c>
      <c r="Q228" s="6" t="str">
        <f>IF(COUNTIF(Analysis!$M$2:$M$3001,Analysis!$M228)&gt;1,"Duplicate","OK")</f>
        <v>OK</v>
      </c>
      <c r="R228" s="6" t="str">
        <f t="shared" si="1"/>
        <v>1600-2600</v>
      </c>
      <c r="S228" s="6">
        <f t="shared" si="2"/>
        <v>34</v>
      </c>
      <c r="T228" s="6" t="str">
        <f t="shared" si="3"/>
        <v>Old</v>
      </c>
      <c r="BH228" s="14">
        <f>IFERROR(__xludf.DUMMYFUNCTION("""COMPUTED_VALUE"""),867826.0)</f>
        <v>867826</v>
      </c>
      <c r="BI228" s="60" t="str">
        <f>IFERROR(__xludf.DUMMYFUNCTION("""COMPUTED_VALUE"""),"9447 Elm St, Sacramento, TX 59416")</f>
        <v>9447 Elm St, Sacramento, TX 59416</v>
      </c>
      <c r="BJ228" s="60" t="str">
        <f>IFERROR(__xludf.DUMMYFUNCTION("""COMPUTED_VALUE"""),"Sacramento")</f>
        <v>Sacramento</v>
      </c>
      <c r="BK228" s="60">
        <f>IFERROR(__xludf.DUMMYFUNCTION("""COMPUTED_VALUE"""),59416.0)</f>
        <v>59416</v>
      </c>
      <c r="BL228" s="60" t="str">
        <f>IFERROR(__xludf.DUMMYFUNCTION("""COMPUTED_VALUE"""),"TX")</f>
        <v>TX</v>
      </c>
      <c r="BM228" s="60" t="str">
        <f>IFERROR(__xludf.DUMMYFUNCTION("""COMPUTED_VALUE"""),"4 bds")</f>
        <v>4 bds</v>
      </c>
      <c r="BN228" s="60" t="str">
        <f>IFERROR(__xludf.DUMMYFUNCTION("""COMPUTED_VALUE"""),"3 ba")</f>
        <v>3 ba</v>
      </c>
      <c r="BO228" s="60">
        <f>IFERROR(__xludf.DUMMYFUNCTION("""COMPUTED_VALUE"""),2211.0)</f>
        <v>2211</v>
      </c>
      <c r="BP228" s="60">
        <f>IFERROR(__xludf.DUMMYFUNCTION("""COMPUTED_VALUE"""),8363.0)</f>
        <v>8363</v>
      </c>
      <c r="BQ228" s="60">
        <f>IFERROR(__xludf.DUMMYFUNCTION("""COMPUTED_VALUE"""),2017.0)</f>
        <v>2017</v>
      </c>
      <c r="BR228" s="60">
        <f>IFERROR(__xludf.DUMMYFUNCTION("""COMPUTED_VALUE"""),45.0)</f>
        <v>45</v>
      </c>
      <c r="BS228" s="60" t="str">
        <f>IFERROR(__xludf.DUMMYFUNCTION("""COMPUTED_VALUE"""),"Townhouse")</f>
        <v>Townhouse</v>
      </c>
      <c r="BT228" s="60" t="str">
        <f>IFERROR(__xludf.DUMMYFUNCTION("""COMPUTED_VALUE"""),"Z334851")</f>
        <v>Z334851</v>
      </c>
      <c r="BU228" s="60" t="str">
        <f>IFERROR(__xludf.DUMMYFUNCTION("""COMPUTED_VALUE"""),"Alex Johnson - Compass")</f>
        <v>Alex Johnson - Compass</v>
      </c>
      <c r="BV228" s="60" t="str">
        <f>IFERROR(__xludf.DUMMYFUNCTION("""COMPUTED_VALUE"""),"Sold")</f>
        <v>Sold</v>
      </c>
      <c r="BW228" s="60">
        <f>IFERROR(__xludf.DUMMYFUNCTION("""COMPUTED_VALUE"""),1.0)</f>
        <v>1</v>
      </c>
      <c r="BX228" s="60" t="str">
        <f>IFERROR(__xludf.DUMMYFUNCTION("""COMPUTED_VALUE"""),"OK")</f>
        <v>OK</v>
      </c>
      <c r="BY228" s="1" t="str">
        <f>IFERROR(__xludf.DUMMYFUNCTION("""COMPUTED_VALUE"""),"1600-2600")</f>
        <v>1600-2600</v>
      </c>
      <c r="BZ228" s="1">
        <f>IFERROR(__xludf.DUMMYFUNCTION("""COMPUTED_VALUE"""),9.0)</f>
        <v>9</v>
      </c>
      <c r="CA228" s="1" t="str">
        <f>IFERROR(__xludf.DUMMYFUNCTION("""COMPUTED_VALUE"""),"New")</f>
        <v>New</v>
      </c>
    </row>
    <row r="229" ht="14.25" customHeight="1">
      <c r="A229" s="5">
        <v>672952.0</v>
      </c>
      <c r="B229" s="6" t="s">
        <v>957</v>
      </c>
      <c r="C229" s="6" t="s">
        <v>18</v>
      </c>
      <c r="D229" s="6">
        <v>48097.0</v>
      </c>
      <c r="E229" s="6" t="s">
        <v>60</v>
      </c>
      <c r="F229" s="6" t="s">
        <v>54</v>
      </c>
      <c r="G229" s="6" t="s">
        <v>100</v>
      </c>
      <c r="H229" s="7">
        <v>1166.0</v>
      </c>
      <c r="I229" s="7">
        <v>6068.0</v>
      </c>
      <c r="J229" s="6">
        <v>2002.0</v>
      </c>
      <c r="K229" s="6">
        <v>34.0</v>
      </c>
      <c r="L229" s="6" t="s">
        <v>141</v>
      </c>
      <c r="M229" s="6" t="s">
        <v>958</v>
      </c>
      <c r="N229" s="6" t="s">
        <v>24</v>
      </c>
      <c r="O229" s="6" t="s">
        <v>35</v>
      </c>
      <c r="P229" s="6">
        <f>COUNTIF(Analysis!$M$1:$M$3001,Analysis!$M229)</f>
        <v>1</v>
      </c>
      <c r="Q229" s="6" t="str">
        <f>IF(COUNTIF(Analysis!$M$2:$M$3001,Analysis!$M229)&gt;1,"Duplicate","OK")</f>
        <v>OK</v>
      </c>
      <c r="R229" s="6" t="str">
        <f t="shared" si="1"/>
        <v>600-1600</v>
      </c>
      <c r="S229" s="6">
        <f t="shared" si="2"/>
        <v>24</v>
      </c>
      <c r="T229" s="6" t="str">
        <f t="shared" si="3"/>
        <v>Mid</v>
      </c>
      <c r="BH229" s="14">
        <f>IFERROR(__xludf.DUMMYFUNCTION("""COMPUTED_VALUE"""),1486948.0)</f>
        <v>1486948</v>
      </c>
      <c r="BI229" s="60" t="str">
        <f>IFERROR(__xludf.DUMMYFUNCTION("""COMPUTED_VALUE"""),"5580 Main St, Fresno, FL 82252")</f>
        <v>5580 Main St, Fresno, FL 82252</v>
      </c>
      <c r="BJ229" s="60" t="str">
        <f>IFERROR(__xludf.DUMMYFUNCTION("""COMPUTED_VALUE"""),"Fresno")</f>
        <v>Fresno</v>
      </c>
      <c r="BK229" s="60">
        <f>IFERROR(__xludf.DUMMYFUNCTION("""COMPUTED_VALUE"""),82252.0)</f>
        <v>82252</v>
      </c>
      <c r="BL229" s="60" t="str">
        <f>IFERROR(__xludf.DUMMYFUNCTION("""COMPUTED_VALUE"""),"FL")</f>
        <v>FL</v>
      </c>
      <c r="BM229" s="60" t="str">
        <f>IFERROR(__xludf.DUMMYFUNCTION("""COMPUTED_VALUE"""),"6 bds")</f>
        <v>6 bds</v>
      </c>
      <c r="BN229" s="60" t="str">
        <f>IFERROR(__xludf.DUMMYFUNCTION("""COMPUTED_VALUE"""),"4 ba")</f>
        <v>4 ba</v>
      </c>
      <c r="BO229" s="60">
        <f>IFERROR(__xludf.DUMMYFUNCTION("""COMPUTED_VALUE"""),2171.0)</f>
        <v>2171</v>
      </c>
      <c r="BP229" s="60">
        <f>IFERROR(__xludf.DUMMYFUNCTION("""COMPUTED_VALUE"""),1619.0)</f>
        <v>1619</v>
      </c>
      <c r="BQ229" s="60">
        <f>IFERROR(__xludf.DUMMYFUNCTION("""COMPUTED_VALUE"""),2020.0)</f>
        <v>2020</v>
      </c>
      <c r="BR229" s="60">
        <f>IFERROR(__xludf.DUMMYFUNCTION("""COMPUTED_VALUE"""),82.0)</f>
        <v>82</v>
      </c>
      <c r="BS229" s="60" t="str">
        <f>IFERROR(__xludf.DUMMYFUNCTION("""COMPUTED_VALUE"""),"Townhouse")</f>
        <v>Townhouse</v>
      </c>
      <c r="BT229" s="60" t="str">
        <f>IFERROR(__xludf.DUMMYFUNCTION("""COMPUTED_VALUE"""),"Z283652")</f>
        <v>Z283652</v>
      </c>
      <c r="BU229" s="60" t="str">
        <f>IFERROR(__xludf.DUMMYFUNCTION("""COMPUTED_VALUE"""),"Alex Johnson - Compass")</f>
        <v>Alex Johnson - Compass</v>
      </c>
      <c r="BV229" s="60" t="str">
        <f>IFERROR(__xludf.DUMMYFUNCTION("""COMPUTED_VALUE"""),"Sold")</f>
        <v>Sold</v>
      </c>
      <c r="BW229" s="60">
        <f>IFERROR(__xludf.DUMMYFUNCTION("""COMPUTED_VALUE"""),1.0)</f>
        <v>1</v>
      </c>
      <c r="BX229" s="60" t="str">
        <f>IFERROR(__xludf.DUMMYFUNCTION("""COMPUTED_VALUE"""),"OK")</f>
        <v>OK</v>
      </c>
      <c r="BY229" s="1" t="str">
        <f>IFERROR(__xludf.DUMMYFUNCTION("""COMPUTED_VALUE"""),"1600-2600")</f>
        <v>1600-2600</v>
      </c>
      <c r="BZ229" s="1">
        <f>IFERROR(__xludf.DUMMYFUNCTION("""COMPUTED_VALUE"""),6.0)</f>
        <v>6</v>
      </c>
      <c r="CA229" s="1" t="str">
        <f>IFERROR(__xludf.DUMMYFUNCTION("""COMPUTED_VALUE"""),"New")</f>
        <v>New</v>
      </c>
    </row>
    <row r="230" ht="14.25" customHeight="1">
      <c r="A230" s="5">
        <v>1254323.0</v>
      </c>
      <c r="B230" s="6" t="s">
        <v>961</v>
      </c>
      <c r="C230" s="6" t="s">
        <v>53</v>
      </c>
      <c r="D230" s="6">
        <v>13752.0</v>
      </c>
      <c r="E230" s="6" t="s">
        <v>19</v>
      </c>
      <c r="F230" s="6" t="s">
        <v>94</v>
      </c>
      <c r="G230" s="6" t="s">
        <v>21</v>
      </c>
      <c r="H230" s="7">
        <v>1051.0</v>
      </c>
      <c r="I230" s="7">
        <v>6205.0</v>
      </c>
      <c r="J230" s="6">
        <v>2019.0</v>
      </c>
      <c r="K230" s="6">
        <v>72.0</v>
      </c>
      <c r="L230" s="6" t="s">
        <v>62</v>
      </c>
      <c r="M230" s="6" t="s">
        <v>962</v>
      </c>
      <c r="N230" s="6" t="s">
        <v>24</v>
      </c>
      <c r="O230" s="6" t="s">
        <v>49</v>
      </c>
      <c r="P230" s="6">
        <f>COUNTIF(Analysis!$M$1:$M$3001,Analysis!$M230)</f>
        <v>1</v>
      </c>
      <c r="Q230" s="6" t="str">
        <f>IF(COUNTIF(Analysis!$M$2:$M$3001,Analysis!$M230)&gt;1,"Duplicate","OK")</f>
        <v>OK</v>
      </c>
      <c r="R230" s="6" t="str">
        <f t="shared" si="1"/>
        <v>600-1600</v>
      </c>
      <c r="S230" s="6">
        <f t="shared" si="2"/>
        <v>7</v>
      </c>
      <c r="T230" s="6" t="str">
        <f t="shared" si="3"/>
        <v>New</v>
      </c>
    </row>
    <row r="231" ht="14.25" customHeight="1">
      <c r="A231" s="5">
        <v>157609.0</v>
      </c>
      <c r="B231" s="6" t="s">
        <v>965</v>
      </c>
      <c r="C231" s="6" t="s">
        <v>53</v>
      </c>
      <c r="D231" s="6">
        <v>89342.0</v>
      </c>
      <c r="E231" s="6" t="s">
        <v>19</v>
      </c>
      <c r="F231" s="6" t="s">
        <v>54</v>
      </c>
      <c r="G231" s="6" t="s">
        <v>55</v>
      </c>
      <c r="H231" s="7">
        <v>1100.0</v>
      </c>
      <c r="I231" s="7">
        <v>8618.0</v>
      </c>
      <c r="J231" s="6">
        <v>2019.0</v>
      </c>
      <c r="K231" s="6">
        <v>11.0</v>
      </c>
      <c r="L231" s="6" t="s">
        <v>62</v>
      </c>
      <c r="M231" s="6" t="s">
        <v>966</v>
      </c>
      <c r="N231" s="6" t="s">
        <v>43</v>
      </c>
      <c r="O231" s="6" t="s">
        <v>35</v>
      </c>
      <c r="P231" s="6">
        <f>COUNTIF(Analysis!$M$1:$M$3001,Analysis!$M231)</f>
        <v>1</v>
      </c>
      <c r="Q231" s="6" t="str">
        <f>IF(COUNTIF(Analysis!$M$2:$M$3001,Analysis!$M231)&gt;1,"Duplicate","OK")</f>
        <v>OK</v>
      </c>
      <c r="R231" s="6" t="str">
        <f t="shared" si="1"/>
        <v>600-1600</v>
      </c>
      <c r="S231" s="6">
        <f t="shared" si="2"/>
        <v>7</v>
      </c>
      <c r="T231" s="6" t="str">
        <f t="shared" si="3"/>
        <v>New</v>
      </c>
    </row>
    <row r="232" ht="14.25" customHeight="1">
      <c r="A232" s="5">
        <v>1319677.0</v>
      </c>
      <c r="B232" s="6" t="s">
        <v>969</v>
      </c>
      <c r="C232" s="6" t="s">
        <v>53</v>
      </c>
      <c r="D232" s="6">
        <v>18778.0</v>
      </c>
      <c r="E232" s="6" t="s">
        <v>40</v>
      </c>
      <c r="F232" s="6" t="s">
        <v>41</v>
      </c>
      <c r="G232" s="6" t="s">
        <v>21</v>
      </c>
      <c r="H232" s="7">
        <v>1310.0</v>
      </c>
      <c r="I232" s="7">
        <v>6670.0</v>
      </c>
      <c r="J232" s="6">
        <v>1967.0</v>
      </c>
      <c r="K232" s="6">
        <v>120.0</v>
      </c>
      <c r="L232" s="6" t="s">
        <v>22</v>
      </c>
      <c r="M232" s="6" t="s">
        <v>970</v>
      </c>
      <c r="N232" s="6" t="s">
        <v>64</v>
      </c>
      <c r="O232" s="6" t="s">
        <v>25</v>
      </c>
      <c r="P232" s="6">
        <f>COUNTIF(Analysis!$M$1:$M$3001,Analysis!$M232)</f>
        <v>1</v>
      </c>
      <c r="Q232" s="6" t="str">
        <f>IF(COUNTIF(Analysis!$M$2:$M$3001,Analysis!$M232)&gt;1,"Duplicate","OK")</f>
        <v>OK</v>
      </c>
      <c r="R232" s="6" t="str">
        <f t="shared" si="1"/>
        <v>600-1600</v>
      </c>
      <c r="S232" s="6">
        <f t="shared" si="2"/>
        <v>59</v>
      </c>
      <c r="T232" s="6" t="str">
        <f t="shared" si="3"/>
        <v>Old</v>
      </c>
    </row>
    <row r="233" ht="14.25" customHeight="1">
      <c r="A233" s="5">
        <v>144964.0</v>
      </c>
      <c r="B233" s="6" t="s">
        <v>973</v>
      </c>
      <c r="C233" s="6" t="s">
        <v>39</v>
      </c>
      <c r="D233" s="6">
        <v>81788.0</v>
      </c>
      <c r="E233" s="6" t="s">
        <v>30</v>
      </c>
      <c r="F233" s="6" t="s">
        <v>61</v>
      </c>
      <c r="G233" s="6" t="s">
        <v>21</v>
      </c>
      <c r="H233" s="7">
        <v>1141.0</v>
      </c>
      <c r="I233" s="7">
        <v>8933.0</v>
      </c>
      <c r="J233" s="6">
        <v>1994.0</v>
      </c>
      <c r="K233" s="6">
        <v>62.0</v>
      </c>
      <c r="L233" s="6" t="s">
        <v>32</v>
      </c>
      <c r="M233" s="6" t="s">
        <v>974</v>
      </c>
      <c r="N233" s="6" t="s">
        <v>24</v>
      </c>
      <c r="O233" s="6" t="s">
        <v>35</v>
      </c>
      <c r="P233" s="6">
        <f>COUNTIF(Analysis!$M$1:$M$3001,Analysis!$M233)</f>
        <v>1</v>
      </c>
      <c r="Q233" s="6" t="str">
        <f>IF(COUNTIF(Analysis!$M$2:$M$3001,Analysis!$M233)&gt;1,"Duplicate","OK")</f>
        <v>OK</v>
      </c>
      <c r="R233" s="6" t="str">
        <f t="shared" si="1"/>
        <v>600-1600</v>
      </c>
      <c r="S233" s="6">
        <f t="shared" si="2"/>
        <v>32</v>
      </c>
      <c r="T233" s="6" t="str">
        <f t="shared" si="3"/>
        <v>Old</v>
      </c>
    </row>
    <row r="234" ht="14.25" customHeight="1">
      <c r="A234" s="5">
        <v>1246074.0</v>
      </c>
      <c r="B234" s="6" t="s">
        <v>977</v>
      </c>
      <c r="C234" s="6" t="s">
        <v>76</v>
      </c>
      <c r="D234" s="6">
        <v>59809.0</v>
      </c>
      <c r="E234" s="6" t="s">
        <v>30</v>
      </c>
      <c r="F234" s="6" t="s">
        <v>94</v>
      </c>
      <c r="G234" s="6" t="s">
        <v>21</v>
      </c>
      <c r="H234" s="7">
        <v>1907.0</v>
      </c>
      <c r="I234" s="7">
        <v>6531.0</v>
      </c>
      <c r="J234" s="6">
        <v>2007.0</v>
      </c>
      <c r="K234" s="6">
        <v>52.0</v>
      </c>
      <c r="L234" s="6" t="s">
        <v>141</v>
      </c>
      <c r="M234" s="6" t="s">
        <v>978</v>
      </c>
      <c r="N234" s="6" t="s">
        <v>64</v>
      </c>
      <c r="O234" s="6" t="s">
        <v>25</v>
      </c>
      <c r="P234" s="6">
        <f>COUNTIF(Analysis!$M$1:$M$3001,Analysis!$M234)</f>
        <v>1</v>
      </c>
      <c r="Q234" s="6" t="str">
        <f>IF(COUNTIF(Analysis!$M$2:$M$3001,Analysis!$M234)&gt;1,"Duplicate","OK")</f>
        <v>OK</v>
      </c>
      <c r="R234" s="6" t="str">
        <f t="shared" si="1"/>
        <v>1600-2600</v>
      </c>
      <c r="S234" s="6">
        <f t="shared" si="2"/>
        <v>19</v>
      </c>
      <c r="T234" s="6" t="str">
        <f t="shared" si="3"/>
        <v>Mid</v>
      </c>
    </row>
    <row r="235" ht="14.25" customHeight="1">
      <c r="A235" s="5">
        <v>339783.0</v>
      </c>
      <c r="B235" s="6" t="s">
        <v>981</v>
      </c>
      <c r="C235" s="6" t="s">
        <v>39</v>
      </c>
      <c r="D235" s="6">
        <v>41014.0</v>
      </c>
      <c r="E235" s="6" t="s">
        <v>77</v>
      </c>
      <c r="F235" s="6" t="s">
        <v>20</v>
      </c>
      <c r="G235" s="6" t="s">
        <v>100</v>
      </c>
      <c r="H235" s="7">
        <v>3346.0</v>
      </c>
      <c r="I235" s="7">
        <v>6926.0</v>
      </c>
      <c r="J235" s="6">
        <v>1953.0</v>
      </c>
      <c r="K235" s="6">
        <v>100.0</v>
      </c>
      <c r="L235" s="6" t="s">
        <v>141</v>
      </c>
      <c r="M235" s="6" t="s">
        <v>982</v>
      </c>
      <c r="N235" s="6" t="s">
        <v>24</v>
      </c>
      <c r="O235" s="6" t="s">
        <v>49</v>
      </c>
      <c r="P235" s="6">
        <f>COUNTIF(Analysis!$M$1:$M$3001,Analysis!$M235)</f>
        <v>1</v>
      </c>
      <c r="Q235" s="6" t="str">
        <f>IF(COUNTIF(Analysis!$M$2:$M$3001,Analysis!$M235)&gt;1,"Duplicate","OK")</f>
        <v>OK</v>
      </c>
      <c r="R235" s="6" t="str">
        <f t="shared" si="1"/>
        <v>2600-3600</v>
      </c>
      <c r="S235" s="6">
        <f t="shared" si="2"/>
        <v>73</v>
      </c>
      <c r="T235" s="6" t="str">
        <f t="shared" si="3"/>
        <v>Very Old</v>
      </c>
    </row>
    <row r="236" ht="14.25" customHeight="1">
      <c r="A236" s="5">
        <v>1069438.0</v>
      </c>
      <c r="B236" s="6" t="s">
        <v>985</v>
      </c>
      <c r="C236" s="6" t="s">
        <v>53</v>
      </c>
      <c r="D236" s="6">
        <v>16823.0</v>
      </c>
      <c r="E236" s="6" t="s">
        <v>30</v>
      </c>
      <c r="F236" s="6" t="s">
        <v>20</v>
      </c>
      <c r="G236" s="6" t="s">
        <v>21</v>
      </c>
      <c r="H236" s="7">
        <v>1684.0</v>
      </c>
      <c r="I236" s="7">
        <v>6802.0</v>
      </c>
      <c r="J236" s="6">
        <v>1992.0</v>
      </c>
      <c r="K236" s="6">
        <v>82.0</v>
      </c>
      <c r="L236" s="6" t="s">
        <v>62</v>
      </c>
      <c r="M236" s="6" t="s">
        <v>986</v>
      </c>
      <c r="N236" s="6" t="s">
        <v>48</v>
      </c>
      <c r="O236" s="6" t="s">
        <v>49</v>
      </c>
      <c r="P236" s="6">
        <f>COUNTIF(Analysis!$M$1:$M$3001,Analysis!$M236)</f>
        <v>1</v>
      </c>
      <c r="Q236" s="6" t="str">
        <f>IF(COUNTIF(Analysis!$M$2:$M$3001,Analysis!$M236)&gt;1,"Duplicate","OK")</f>
        <v>OK</v>
      </c>
      <c r="R236" s="6" t="str">
        <f t="shared" si="1"/>
        <v>1600-2600</v>
      </c>
      <c r="S236" s="6">
        <f t="shared" si="2"/>
        <v>34</v>
      </c>
      <c r="T236" s="6" t="str">
        <f t="shared" si="3"/>
        <v>Old</v>
      </c>
    </row>
    <row r="237" ht="14.25" customHeight="1">
      <c r="A237" s="5">
        <v>391685.0</v>
      </c>
      <c r="B237" s="6" t="s">
        <v>989</v>
      </c>
      <c r="C237" s="6" t="s">
        <v>53</v>
      </c>
      <c r="D237" s="6">
        <v>99592.0</v>
      </c>
      <c r="E237" s="6" t="s">
        <v>60</v>
      </c>
      <c r="F237" s="6" t="s">
        <v>61</v>
      </c>
      <c r="G237" s="6" t="s">
        <v>55</v>
      </c>
      <c r="H237" s="7">
        <v>1816.0</v>
      </c>
      <c r="I237" s="7">
        <v>7277.0</v>
      </c>
      <c r="J237" s="6">
        <v>1983.0</v>
      </c>
      <c r="K237" s="6">
        <v>36.0</v>
      </c>
      <c r="L237" s="6" t="s">
        <v>95</v>
      </c>
      <c r="M237" s="6" t="s">
        <v>990</v>
      </c>
      <c r="N237" s="6" t="s">
        <v>64</v>
      </c>
      <c r="O237" s="6" t="s">
        <v>25</v>
      </c>
      <c r="P237" s="6">
        <f>COUNTIF(Analysis!$M$1:$M$3001,Analysis!$M237)</f>
        <v>1</v>
      </c>
      <c r="Q237" s="6" t="str">
        <f>IF(COUNTIF(Analysis!$M$2:$M$3001,Analysis!$M237)&gt;1,"Duplicate","OK")</f>
        <v>OK</v>
      </c>
      <c r="R237" s="6" t="str">
        <f t="shared" si="1"/>
        <v>1600-2600</v>
      </c>
      <c r="S237" s="6">
        <f t="shared" si="2"/>
        <v>43</v>
      </c>
      <c r="T237" s="6" t="str">
        <f t="shared" si="3"/>
        <v>Old</v>
      </c>
    </row>
    <row r="238" ht="14.25" customHeight="1">
      <c r="A238" s="5">
        <v>1273944.0</v>
      </c>
      <c r="B238" s="6" t="s">
        <v>993</v>
      </c>
      <c r="C238" s="6" t="s">
        <v>53</v>
      </c>
      <c r="D238" s="6">
        <v>54352.0</v>
      </c>
      <c r="E238" s="6" t="s">
        <v>19</v>
      </c>
      <c r="F238" s="6" t="s">
        <v>54</v>
      </c>
      <c r="G238" s="6" t="s">
        <v>21</v>
      </c>
      <c r="H238" s="7">
        <v>2465.0</v>
      </c>
      <c r="I238" s="7">
        <v>8960.0</v>
      </c>
      <c r="J238" s="6">
        <v>1993.0</v>
      </c>
      <c r="K238" s="6">
        <v>31.0</v>
      </c>
      <c r="L238" s="6" t="s">
        <v>32</v>
      </c>
      <c r="M238" s="6" t="s">
        <v>994</v>
      </c>
      <c r="N238" s="6" t="s">
        <v>64</v>
      </c>
      <c r="O238" s="6" t="s">
        <v>25</v>
      </c>
      <c r="P238" s="6">
        <f>COUNTIF(Analysis!$M$1:$M$3001,Analysis!$M238)</f>
        <v>1</v>
      </c>
      <c r="Q238" s="6" t="str">
        <f>IF(COUNTIF(Analysis!$M$2:$M$3001,Analysis!$M238)&gt;1,"Duplicate","OK")</f>
        <v>OK</v>
      </c>
      <c r="R238" s="6" t="str">
        <f t="shared" si="1"/>
        <v>1600-2600</v>
      </c>
      <c r="S238" s="6">
        <f t="shared" si="2"/>
        <v>33</v>
      </c>
      <c r="T238" s="6" t="str">
        <f t="shared" si="3"/>
        <v>Old</v>
      </c>
    </row>
    <row r="239" ht="14.25" customHeight="1">
      <c r="A239" s="5">
        <v>832115.0</v>
      </c>
      <c r="B239" s="6" t="s">
        <v>997</v>
      </c>
      <c r="C239" s="6" t="s">
        <v>39</v>
      </c>
      <c r="D239" s="6">
        <v>51205.0</v>
      </c>
      <c r="E239" s="6" t="s">
        <v>40</v>
      </c>
      <c r="F239" s="6" t="s">
        <v>54</v>
      </c>
      <c r="G239" s="6" t="s">
        <v>31</v>
      </c>
      <c r="H239" s="7">
        <v>3103.0</v>
      </c>
      <c r="I239" s="7">
        <v>7144.0</v>
      </c>
      <c r="J239" s="6">
        <v>2016.0</v>
      </c>
      <c r="K239" s="6">
        <v>75.0</v>
      </c>
      <c r="L239" s="6" t="s">
        <v>141</v>
      </c>
      <c r="M239" s="6" t="s">
        <v>998</v>
      </c>
      <c r="N239" s="6" t="s">
        <v>64</v>
      </c>
      <c r="O239" s="6" t="s">
        <v>49</v>
      </c>
      <c r="P239" s="6">
        <f>COUNTIF(Analysis!$M$1:$M$3001,Analysis!$M239)</f>
        <v>1</v>
      </c>
      <c r="Q239" s="6" t="str">
        <f>IF(COUNTIF(Analysis!$M$2:$M$3001,Analysis!$M239)&gt;1,"Duplicate","OK")</f>
        <v>OK</v>
      </c>
      <c r="R239" s="6" t="str">
        <f t="shared" si="1"/>
        <v>2600-3600</v>
      </c>
      <c r="S239" s="6">
        <f t="shared" si="2"/>
        <v>10</v>
      </c>
      <c r="T239" s="6" t="str">
        <f t="shared" si="3"/>
        <v>New</v>
      </c>
    </row>
    <row r="240" ht="14.25" customHeight="1">
      <c r="A240" s="5">
        <v>738248.0</v>
      </c>
      <c r="B240" s="6" t="s">
        <v>1001</v>
      </c>
      <c r="C240" s="6" t="s">
        <v>53</v>
      </c>
      <c r="D240" s="6">
        <v>58293.0</v>
      </c>
      <c r="E240" s="6" t="s">
        <v>19</v>
      </c>
      <c r="F240" s="6" t="s">
        <v>20</v>
      </c>
      <c r="G240" s="6" t="s">
        <v>21</v>
      </c>
      <c r="H240" s="7">
        <v>1081.0</v>
      </c>
      <c r="I240" s="7">
        <v>6201.0</v>
      </c>
      <c r="J240" s="6">
        <v>1960.0</v>
      </c>
      <c r="K240" s="6">
        <v>98.0</v>
      </c>
      <c r="L240" s="6" t="s">
        <v>95</v>
      </c>
      <c r="M240" s="6" t="s">
        <v>1002</v>
      </c>
      <c r="N240" s="6" t="s">
        <v>34</v>
      </c>
      <c r="O240" s="6" t="s">
        <v>25</v>
      </c>
      <c r="P240" s="6">
        <f>COUNTIF(Analysis!$M$1:$M$3001,Analysis!$M240)</f>
        <v>1</v>
      </c>
      <c r="Q240" s="6" t="str">
        <f>IF(COUNTIF(Analysis!$M$2:$M$3001,Analysis!$M240)&gt;1,"Duplicate","OK")</f>
        <v>OK</v>
      </c>
      <c r="R240" s="6" t="str">
        <f t="shared" si="1"/>
        <v>600-1600</v>
      </c>
      <c r="S240" s="6">
        <f t="shared" si="2"/>
        <v>66</v>
      </c>
      <c r="T240" s="6" t="str">
        <f t="shared" si="3"/>
        <v>Very Old</v>
      </c>
    </row>
    <row r="241" ht="14.25" customHeight="1">
      <c r="A241" s="5">
        <v>190155.0</v>
      </c>
      <c r="B241" s="6" t="s">
        <v>1005</v>
      </c>
      <c r="C241" s="6" t="s">
        <v>53</v>
      </c>
      <c r="D241" s="6">
        <v>83221.0</v>
      </c>
      <c r="E241" s="6" t="s">
        <v>60</v>
      </c>
      <c r="F241" s="6" t="s">
        <v>41</v>
      </c>
      <c r="G241" s="6" t="s">
        <v>21</v>
      </c>
      <c r="H241" s="7">
        <v>1668.0</v>
      </c>
      <c r="I241" s="7">
        <v>9748.0</v>
      </c>
      <c r="J241" s="6">
        <v>1970.0</v>
      </c>
      <c r="K241" s="6">
        <v>68.0</v>
      </c>
      <c r="L241" s="6" t="s">
        <v>141</v>
      </c>
      <c r="M241" s="6" t="s">
        <v>1006</v>
      </c>
      <c r="N241" s="6" t="s">
        <v>48</v>
      </c>
      <c r="O241" s="6" t="s">
        <v>25</v>
      </c>
      <c r="P241" s="6">
        <f>COUNTIF(Analysis!$M$1:$M$3001,Analysis!$M241)</f>
        <v>1</v>
      </c>
      <c r="Q241" s="6" t="str">
        <f>IF(COUNTIF(Analysis!$M$2:$M$3001,Analysis!$M241)&gt;1,"Duplicate","OK")</f>
        <v>OK</v>
      </c>
      <c r="R241" s="6" t="str">
        <f t="shared" si="1"/>
        <v>1600-2600</v>
      </c>
      <c r="S241" s="6">
        <f t="shared" si="2"/>
        <v>56</v>
      </c>
      <c r="T241" s="6" t="str">
        <f t="shared" si="3"/>
        <v>Old</v>
      </c>
    </row>
    <row r="242" ht="14.25" customHeight="1">
      <c r="A242" s="5">
        <v>603539.0</v>
      </c>
      <c r="B242" s="6" t="s">
        <v>1009</v>
      </c>
      <c r="C242" s="6" t="s">
        <v>53</v>
      </c>
      <c r="D242" s="6">
        <v>25359.0</v>
      </c>
      <c r="E242" s="6" t="s">
        <v>60</v>
      </c>
      <c r="F242" s="6" t="s">
        <v>46</v>
      </c>
      <c r="G242" s="6" t="s">
        <v>21</v>
      </c>
      <c r="H242" s="7">
        <v>1086.0</v>
      </c>
      <c r="I242" s="7">
        <v>3929.0</v>
      </c>
      <c r="J242" s="6">
        <v>1976.0</v>
      </c>
      <c r="K242" s="6">
        <v>50.0</v>
      </c>
      <c r="L242" s="6" t="s">
        <v>62</v>
      </c>
      <c r="M242" s="6" t="s">
        <v>1010</v>
      </c>
      <c r="N242" s="6" t="s">
        <v>48</v>
      </c>
      <c r="O242" s="6" t="s">
        <v>35</v>
      </c>
      <c r="P242" s="6">
        <f>COUNTIF(Analysis!$M$1:$M$3001,Analysis!$M242)</f>
        <v>1</v>
      </c>
      <c r="Q242" s="6" t="str">
        <f>IF(COUNTIF(Analysis!$M$2:$M$3001,Analysis!$M242)&gt;1,"Duplicate","OK")</f>
        <v>OK</v>
      </c>
      <c r="R242" s="6" t="str">
        <f t="shared" si="1"/>
        <v>600-1600</v>
      </c>
      <c r="S242" s="6">
        <f t="shared" si="2"/>
        <v>50</v>
      </c>
      <c r="T242" s="6" t="str">
        <f t="shared" si="3"/>
        <v>Old</v>
      </c>
    </row>
    <row r="243" ht="14.25" customHeight="1">
      <c r="A243" s="5">
        <v>578510.0</v>
      </c>
      <c r="B243" s="6" t="s">
        <v>1013</v>
      </c>
      <c r="C243" s="6" t="s">
        <v>18</v>
      </c>
      <c r="D243" s="6">
        <v>74968.0</v>
      </c>
      <c r="E243" s="6" t="s">
        <v>40</v>
      </c>
      <c r="F243" s="6" t="s">
        <v>61</v>
      </c>
      <c r="G243" s="6" t="s">
        <v>21</v>
      </c>
      <c r="H243" s="7">
        <v>2581.0</v>
      </c>
      <c r="I243" s="7">
        <v>2355.0</v>
      </c>
      <c r="J243" s="6">
        <v>1954.0</v>
      </c>
      <c r="K243" s="6">
        <v>20.0</v>
      </c>
      <c r="L243" s="6" t="s">
        <v>141</v>
      </c>
      <c r="M243" s="6" t="s">
        <v>1014</v>
      </c>
      <c r="N243" s="6" t="s">
        <v>34</v>
      </c>
      <c r="O243" s="6" t="s">
        <v>35</v>
      </c>
      <c r="P243" s="6">
        <f>COUNTIF(Analysis!$M$1:$M$3001,Analysis!$M243)</f>
        <v>1</v>
      </c>
      <c r="Q243" s="6" t="str">
        <f>IF(COUNTIF(Analysis!$M$2:$M$3001,Analysis!$M243)&gt;1,"Duplicate","OK")</f>
        <v>OK</v>
      </c>
      <c r="R243" s="6" t="str">
        <f t="shared" si="1"/>
        <v>1600-2600</v>
      </c>
      <c r="S243" s="6">
        <f t="shared" si="2"/>
        <v>72</v>
      </c>
      <c r="T243" s="6" t="str">
        <f t="shared" si="3"/>
        <v>Very Old</v>
      </c>
    </row>
    <row r="244" ht="14.25" customHeight="1">
      <c r="A244" s="5">
        <v>1103122.0</v>
      </c>
      <c r="B244" s="6" t="s">
        <v>1017</v>
      </c>
      <c r="C244" s="6" t="s">
        <v>39</v>
      </c>
      <c r="D244" s="6">
        <v>65871.0</v>
      </c>
      <c r="E244" s="6" t="s">
        <v>19</v>
      </c>
      <c r="F244" s="6" t="s">
        <v>46</v>
      </c>
      <c r="G244" s="6" t="s">
        <v>55</v>
      </c>
      <c r="H244" s="7">
        <v>2931.0</v>
      </c>
      <c r="I244" s="7">
        <v>2144.0</v>
      </c>
      <c r="J244" s="6">
        <v>1970.0</v>
      </c>
      <c r="K244" s="6">
        <v>98.0</v>
      </c>
      <c r="L244" s="6" t="s">
        <v>62</v>
      </c>
      <c r="M244" s="6" t="s">
        <v>1018</v>
      </c>
      <c r="N244" s="6" t="s">
        <v>34</v>
      </c>
      <c r="O244" s="6" t="s">
        <v>35</v>
      </c>
      <c r="P244" s="6">
        <f>COUNTIF(Analysis!$M$1:$M$3001,Analysis!$M244)</f>
        <v>1</v>
      </c>
      <c r="Q244" s="6" t="str">
        <f>IF(COUNTIF(Analysis!$M$2:$M$3001,Analysis!$M244)&gt;1,"Duplicate","OK")</f>
        <v>OK</v>
      </c>
      <c r="R244" s="6" t="str">
        <f t="shared" si="1"/>
        <v>2600-3600</v>
      </c>
      <c r="S244" s="6">
        <f t="shared" si="2"/>
        <v>56</v>
      </c>
      <c r="T244" s="6" t="str">
        <f t="shared" si="3"/>
        <v>Old</v>
      </c>
    </row>
    <row r="245" ht="14.25" customHeight="1">
      <c r="A245" s="5">
        <v>615962.0</v>
      </c>
      <c r="B245" s="6" t="s">
        <v>1021</v>
      </c>
      <c r="C245" s="6" t="s">
        <v>53</v>
      </c>
      <c r="D245" s="6">
        <v>37127.0</v>
      </c>
      <c r="E245" s="6" t="s">
        <v>19</v>
      </c>
      <c r="F245" s="6" t="s">
        <v>46</v>
      </c>
      <c r="G245" s="6" t="s">
        <v>21</v>
      </c>
      <c r="H245" s="7">
        <v>3176.0</v>
      </c>
      <c r="I245" s="7">
        <v>7268.0</v>
      </c>
      <c r="J245" s="6">
        <v>1953.0</v>
      </c>
      <c r="K245" s="6">
        <v>40.0</v>
      </c>
      <c r="L245" s="6" t="s">
        <v>62</v>
      </c>
      <c r="M245" s="6" t="s">
        <v>1022</v>
      </c>
      <c r="N245" s="6" t="s">
        <v>43</v>
      </c>
      <c r="O245" s="6" t="s">
        <v>49</v>
      </c>
      <c r="P245" s="6">
        <f>COUNTIF(Analysis!$M$1:$M$3001,Analysis!$M245)</f>
        <v>1</v>
      </c>
      <c r="Q245" s="6" t="str">
        <f>IF(COUNTIF(Analysis!$M$2:$M$3001,Analysis!$M245)&gt;1,"Duplicate","OK")</f>
        <v>OK</v>
      </c>
      <c r="R245" s="6" t="str">
        <f t="shared" si="1"/>
        <v>2600-3600</v>
      </c>
      <c r="S245" s="6">
        <f t="shared" si="2"/>
        <v>73</v>
      </c>
      <c r="T245" s="6" t="str">
        <f t="shared" si="3"/>
        <v>Very Old</v>
      </c>
    </row>
    <row r="246" ht="14.25" customHeight="1">
      <c r="A246" s="5">
        <v>222752.0</v>
      </c>
      <c r="B246" s="6" t="s">
        <v>10359</v>
      </c>
      <c r="C246" s="6" t="s">
        <v>29</v>
      </c>
      <c r="D246" s="6">
        <v>95064.0</v>
      </c>
      <c r="E246" s="6" t="s">
        <v>40</v>
      </c>
      <c r="F246" s="6" t="s">
        <v>94</v>
      </c>
      <c r="G246" s="6" t="s">
        <v>21</v>
      </c>
      <c r="H246" s="7">
        <v>1262.0</v>
      </c>
      <c r="I246" s="7">
        <v>6808.0</v>
      </c>
      <c r="J246" s="6">
        <v>1979.0</v>
      </c>
      <c r="K246" s="6">
        <v>75.0</v>
      </c>
      <c r="L246" s="6" t="s">
        <v>95</v>
      </c>
      <c r="M246" s="6" t="s">
        <v>10360</v>
      </c>
      <c r="N246" s="6" t="s">
        <v>64</v>
      </c>
      <c r="O246" s="6" t="s">
        <v>25</v>
      </c>
      <c r="P246" s="6">
        <f>COUNTIF(Analysis!$M$1:$M$3001,Analysis!$M2581)</f>
        <v>1</v>
      </c>
      <c r="Q246" s="6" t="str">
        <f>IF(COUNTIF(Analysis!$M$2:$M$3001,Analysis!$M2581)&gt;1,"Duplicate","OK")</f>
        <v>OK</v>
      </c>
      <c r="R246" s="6" t="str">
        <f t="shared" si="1"/>
        <v>600-1600</v>
      </c>
      <c r="S246" s="6">
        <f t="shared" si="2"/>
        <v>47</v>
      </c>
      <c r="T246" s="6" t="str">
        <f t="shared" si="3"/>
        <v>Old</v>
      </c>
    </row>
    <row r="247" ht="14.25" customHeight="1">
      <c r="A247" s="5">
        <v>1246322.0</v>
      </c>
      <c r="B247" s="6" t="s">
        <v>1029</v>
      </c>
      <c r="C247" s="6" t="s">
        <v>53</v>
      </c>
      <c r="D247" s="6">
        <v>37523.0</v>
      </c>
      <c r="E247" s="6" t="s">
        <v>77</v>
      </c>
      <c r="F247" s="6" t="s">
        <v>41</v>
      </c>
      <c r="G247" s="6" t="s">
        <v>100</v>
      </c>
      <c r="H247" s="7">
        <v>912.0</v>
      </c>
      <c r="I247" s="7">
        <v>1399.0</v>
      </c>
      <c r="J247" s="6">
        <v>1961.0</v>
      </c>
      <c r="K247" s="6">
        <v>41.0</v>
      </c>
      <c r="L247" s="6" t="s">
        <v>22</v>
      </c>
      <c r="M247" s="6" t="s">
        <v>1030</v>
      </c>
      <c r="N247" s="6" t="s">
        <v>48</v>
      </c>
      <c r="O247" s="6" t="s">
        <v>25</v>
      </c>
      <c r="P247" s="6">
        <f>COUNTIF(Analysis!$M$1:$M$3001,Analysis!$M247)</f>
        <v>1</v>
      </c>
      <c r="Q247" s="6" t="str">
        <f>IF(COUNTIF(Analysis!$M$2:$M$3001,Analysis!$M247)&gt;1,"Duplicate","OK")</f>
        <v>OK</v>
      </c>
      <c r="R247" s="6" t="str">
        <f t="shared" si="1"/>
        <v>600-1600</v>
      </c>
      <c r="S247" s="6">
        <f t="shared" si="2"/>
        <v>65</v>
      </c>
      <c r="T247" s="6" t="str">
        <f t="shared" si="3"/>
        <v>Very Old</v>
      </c>
    </row>
    <row r="248" ht="14.25" customHeight="1">
      <c r="A248" s="5">
        <v>128445.0</v>
      </c>
      <c r="B248" s="6" t="s">
        <v>1033</v>
      </c>
      <c r="C248" s="6" t="s">
        <v>76</v>
      </c>
      <c r="D248" s="6">
        <v>21028.0</v>
      </c>
      <c r="E248" s="6" t="s">
        <v>40</v>
      </c>
      <c r="F248" s="6" t="s">
        <v>20</v>
      </c>
      <c r="G248" s="6" t="s">
        <v>31</v>
      </c>
      <c r="H248" s="7">
        <v>2206.0</v>
      </c>
      <c r="I248" s="7">
        <v>5397.0</v>
      </c>
      <c r="J248" s="6">
        <v>1982.0</v>
      </c>
      <c r="K248" s="6">
        <v>111.0</v>
      </c>
      <c r="L248" s="6" t="s">
        <v>32</v>
      </c>
      <c r="M248" s="6" t="s">
        <v>1034</v>
      </c>
      <c r="N248" s="6" t="s">
        <v>43</v>
      </c>
      <c r="O248" s="6" t="s">
        <v>49</v>
      </c>
      <c r="P248" s="6">
        <f>COUNTIF(Analysis!$M$1:$M$3001,Analysis!$M248)</f>
        <v>1</v>
      </c>
      <c r="Q248" s="6" t="str">
        <f>IF(COUNTIF(Analysis!$M$2:$M$3001,Analysis!$M248)&gt;1,"Duplicate","OK")</f>
        <v>OK</v>
      </c>
      <c r="R248" s="6" t="str">
        <f t="shared" si="1"/>
        <v>1600-2600</v>
      </c>
      <c r="S248" s="6">
        <f t="shared" si="2"/>
        <v>44</v>
      </c>
      <c r="T248" s="6" t="str">
        <f t="shared" si="3"/>
        <v>Old</v>
      </c>
    </row>
    <row r="249" ht="14.25" customHeight="1">
      <c r="A249" s="5">
        <v>1399813.0</v>
      </c>
      <c r="B249" s="6" t="s">
        <v>1037</v>
      </c>
      <c r="C249" s="6" t="s">
        <v>53</v>
      </c>
      <c r="D249" s="6">
        <v>59912.0</v>
      </c>
      <c r="E249" s="6" t="s">
        <v>77</v>
      </c>
      <c r="F249" s="6" t="s">
        <v>20</v>
      </c>
      <c r="G249" s="6" t="s">
        <v>55</v>
      </c>
      <c r="H249" s="7">
        <v>726.0</v>
      </c>
      <c r="I249" s="7">
        <v>3438.0</v>
      </c>
      <c r="J249" s="6">
        <v>1957.0</v>
      </c>
      <c r="K249" s="6">
        <v>38.0</v>
      </c>
      <c r="L249" s="6" t="s">
        <v>62</v>
      </c>
      <c r="M249" s="6" t="s">
        <v>1038</v>
      </c>
      <c r="N249" s="6" t="s">
        <v>24</v>
      </c>
      <c r="O249" s="6" t="s">
        <v>49</v>
      </c>
      <c r="P249" s="6">
        <f>COUNTIF(Analysis!$M$1:$M$3001,Analysis!$M249)</f>
        <v>1</v>
      </c>
      <c r="Q249" s="6" t="str">
        <f>IF(COUNTIF(Analysis!$M$2:$M$3001,Analysis!$M249)&gt;1,"Duplicate","OK")</f>
        <v>OK</v>
      </c>
      <c r="R249" s="6" t="str">
        <f t="shared" si="1"/>
        <v>600-1600</v>
      </c>
      <c r="S249" s="6">
        <f t="shared" si="2"/>
        <v>69</v>
      </c>
      <c r="T249" s="6" t="str">
        <f t="shared" si="3"/>
        <v>Very Old</v>
      </c>
    </row>
    <row r="250" ht="14.25" customHeight="1">
      <c r="A250" s="5">
        <v>246724.0</v>
      </c>
      <c r="B250" s="6" t="s">
        <v>1041</v>
      </c>
      <c r="C250" s="6" t="s">
        <v>39</v>
      </c>
      <c r="D250" s="6">
        <v>14174.0</v>
      </c>
      <c r="E250" s="6" t="s">
        <v>30</v>
      </c>
      <c r="F250" s="6" t="s">
        <v>54</v>
      </c>
      <c r="G250" s="6" t="s">
        <v>55</v>
      </c>
      <c r="H250" s="7">
        <v>3255.0</v>
      </c>
      <c r="I250" s="7">
        <v>5242.0</v>
      </c>
      <c r="J250" s="6">
        <v>1970.0</v>
      </c>
      <c r="K250" s="6">
        <v>95.0</v>
      </c>
      <c r="L250" s="6" t="s">
        <v>141</v>
      </c>
      <c r="M250" s="6" t="s">
        <v>1042</v>
      </c>
      <c r="N250" s="6" t="s">
        <v>48</v>
      </c>
      <c r="O250" s="6" t="s">
        <v>25</v>
      </c>
      <c r="P250" s="6">
        <f>COUNTIF(Analysis!$M$1:$M$3001,Analysis!$M250)</f>
        <v>1</v>
      </c>
      <c r="Q250" s="6" t="str">
        <f>IF(COUNTIF(Analysis!$M$2:$M$3001,Analysis!$M250)&gt;1,"Duplicate","OK")</f>
        <v>OK</v>
      </c>
      <c r="R250" s="6" t="str">
        <f t="shared" si="1"/>
        <v>2600-3600</v>
      </c>
      <c r="S250" s="6">
        <f t="shared" si="2"/>
        <v>56</v>
      </c>
      <c r="T250" s="6" t="str">
        <f t="shared" si="3"/>
        <v>Old</v>
      </c>
    </row>
    <row r="251" ht="14.25" customHeight="1">
      <c r="A251" s="5">
        <v>223910.0</v>
      </c>
      <c r="B251" s="6" t="s">
        <v>6673</v>
      </c>
      <c r="C251" s="6" t="s">
        <v>29</v>
      </c>
      <c r="D251" s="6">
        <v>54993.0</v>
      </c>
      <c r="E251" s="6" t="s">
        <v>40</v>
      </c>
      <c r="F251" s="6" t="s">
        <v>46</v>
      </c>
      <c r="G251" s="6" t="s">
        <v>21</v>
      </c>
      <c r="H251" s="7">
        <v>1806.0</v>
      </c>
      <c r="I251" s="7">
        <v>4921.0</v>
      </c>
      <c r="J251" s="6">
        <v>1990.0</v>
      </c>
      <c r="K251" s="6">
        <v>79.0</v>
      </c>
      <c r="L251" s="6" t="s">
        <v>62</v>
      </c>
      <c r="M251" s="6" t="s">
        <v>6674</v>
      </c>
      <c r="N251" s="6" t="s">
        <v>48</v>
      </c>
      <c r="O251" s="6" t="s">
        <v>25</v>
      </c>
      <c r="P251" s="6">
        <f>COUNTIF(Analysis!$M$1:$M$3001,Analysis!$M1659)</f>
        <v>1</v>
      </c>
      <c r="Q251" s="6" t="str">
        <f>IF(COUNTIF(Analysis!$M$2:$M$3001,Analysis!$M1659)&gt;1,"Duplicate","OK")</f>
        <v>OK</v>
      </c>
      <c r="R251" s="6" t="str">
        <f t="shared" si="1"/>
        <v>1600-2600</v>
      </c>
      <c r="S251" s="6">
        <f t="shared" si="2"/>
        <v>36</v>
      </c>
      <c r="T251" s="6" t="str">
        <f t="shared" si="3"/>
        <v>Old</v>
      </c>
    </row>
    <row r="252" ht="14.25" customHeight="1">
      <c r="A252" s="5">
        <v>489643.0</v>
      </c>
      <c r="B252" s="6" t="s">
        <v>1049</v>
      </c>
      <c r="C252" s="6" t="s">
        <v>18</v>
      </c>
      <c r="D252" s="6">
        <v>14187.0</v>
      </c>
      <c r="E252" s="6" t="s">
        <v>30</v>
      </c>
      <c r="F252" s="6" t="s">
        <v>41</v>
      </c>
      <c r="G252" s="6" t="s">
        <v>31</v>
      </c>
      <c r="H252" s="7">
        <v>3166.0</v>
      </c>
      <c r="I252" s="7">
        <v>8056.0</v>
      </c>
      <c r="J252" s="6">
        <v>1960.0</v>
      </c>
      <c r="K252" s="6">
        <v>25.0</v>
      </c>
      <c r="L252" s="6" t="s">
        <v>32</v>
      </c>
      <c r="M252" s="6" t="s">
        <v>1050</v>
      </c>
      <c r="N252" s="6" t="s">
        <v>24</v>
      </c>
      <c r="O252" s="6" t="s">
        <v>25</v>
      </c>
      <c r="P252" s="6">
        <f>COUNTIF(Analysis!$M$1:$M$3001,Analysis!$M252)</f>
        <v>1</v>
      </c>
      <c r="Q252" s="6" t="str">
        <f>IF(COUNTIF(Analysis!$M$2:$M$3001,Analysis!$M252)&gt;1,"Duplicate","OK")</f>
        <v>OK</v>
      </c>
      <c r="R252" s="6" t="str">
        <f t="shared" si="1"/>
        <v>2600-3600</v>
      </c>
      <c r="S252" s="6">
        <f t="shared" si="2"/>
        <v>66</v>
      </c>
      <c r="T252" s="6" t="str">
        <f t="shared" si="3"/>
        <v>Very Old</v>
      </c>
    </row>
    <row r="253" ht="14.25" customHeight="1">
      <c r="A253" s="5">
        <v>183352.0</v>
      </c>
      <c r="B253" s="6" t="s">
        <v>1053</v>
      </c>
      <c r="C253" s="6" t="s">
        <v>18</v>
      </c>
      <c r="D253" s="6">
        <v>81397.0</v>
      </c>
      <c r="E253" s="6" t="s">
        <v>19</v>
      </c>
      <c r="F253" s="6" t="s">
        <v>41</v>
      </c>
      <c r="G253" s="6" t="s">
        <v>55</v>
      </c>
      <c r="H253" s="7">
        <v>2241.0</v>
      </c>
      <c r="I253" s="7">
        <v>1726.0</v>
      </c>
      <c r="J253" s="6">
        <v>1961.0</v>
      </c>
      <c r="K253" s="6">
        <v>70.0</v>
      </c>
      <c r="L253" s="6" t="s">
        <v>62</v>
      </c>
      <c r="M253" s="6" t="s">
        <v>1054</v>
      </c>
      <c r="N253" s="6" t="s">
        <v>34</v>
      </c>
      <c r="O253" s="6" t="s">
        <v>49</v>
      </c>
      <c r="P253" s="6">
        <f>COUNTIF(Analysis!$M$1:$M$3001,Analysis!$M253)</f>
        <v>1</v>
      </c>
      <c r="Q253" s="6" t="str">
        <f>IF(COUNTIF(Analysis!$M$2:$M$3001,Analysis!$M253)&gt;1,"Duplicate","OK")</f>
        <v>OK</v>
      </c>
      <c r="R253" s="6" t="str">
        <f t="shared" si="1"/>
        <v>1600-2600</v>
      </c>
      <c r="S253" s="6">
        <f t="shared" si="2"/>
        <v>65</v>
      </c>
      <c r="T253" s="6" t="str">
        <f t="shared" si="3"/>
        <v>Very Old</v>
      </c>
    </row>
    <row r="254" ht="14.25" customHeight="1">
      <c r="A254" s="5">
        <v>490661.0</v>
      </c>
      <c r="B254" s="6" t="s">
        <v>1057</v>
      </c>
      <c r="C254" s="6" t="s">
        <v>76</v>
      </c>
      <c r="D254" s="6">
        <v>33183.0</v>
      </c>
      <c r="E254" s="6" t="s">
        <v>30</v>
      </c>
      <c r="F254" s="6" t="s">
        <v>94</v>
      </c>
      <c r="G254" s="6" t="s">
        <v>100</v>
      </c>
      <c r="H254" s="7">
        <v>2584.0</v>
      </c>
      <c r="I254" s="7">
        <v>2927.0</v>
      </c>
      <c r="J254" s="6">
        <v>1962.0</v>
      </c>
      <c r="K254" s="6">
        <v>34.0</v>
      </c>
      <c r="L254" s="6" t="s">
        <v>141</v>
      </c>
      <c r="M254" s="6" t="s">
        <v>1058</v>
      </c>
      <c r="N254" s="6" t="s">
        <v>43</v>
      </c>
      <c r="O254" s="6" t="s">
        <v>25</v>
      </c>
      <c r="P254" s="6">
        <f>COUNTIF(Analysis!$M$1:$M$3001,Analysis!$M254)</f>
        <v>1</v>
      </c>
      <c r="Q254" s="6" t="str">
        <f>IF(COUNTIF(Analysis!$M$2:$M$3001,Analysis!$M254)&gt;1,"Duplicate","OK")</f>
        <v>OK</v>
      </c>
      <c r="R254" s="6" t="str">
        <f t="shared" si="1"/>
        <v>1600-2600</v>
      </c>
      <c r="S254" s="6">
        <f t="shared" si="2"/>
        <v>64</v>
      </c>
      <c r="T254" s="6" t="str">
        <f t="shared" si="3"/>
        <v>Very Old</v>
      </c>
    </row>
    <row r="255" ht="14.25" customHeight="1">
      <c r="A255" s="5">
        <v>730647.0</v>
      </c>
      <c r="B255" s="6" t="s">
        <v>1061</v>
      </c>
      <c r="C255" s="6" t="s">
        <v>76</v>
      </c>
      <c r="D255" s="6">
        <v>89531.0</v>
      </c>
      <c r="E255" s="6" t="s">
        <v>30</v>
      </c>
      <c r="F255" s="6" t="s">
        <v>61</v>
      </c>
      <c r="G255" s="6" t="s">
        <v>31</v>
      </c>
      <c r="H255" s="7">
        <v>2075.0</v>
      </c>
      <c r="I255" s="7">
        <v>4257.0</v>
      </c>
      <c r="J255" s="6">
        <v>2013.0</v>
      </c>
      <c r="K255" s="6">
        <v>55.0</v>
      </c>
      <c r="L255" s="6" t="s">
        <v>32</v>
      </c>
      <c r="M255" s="6" t="s">
        <v>1062</v>
      </c>
      <c r="N255" s="6" t="s">
        <v>24</v>
      </c>
      <c r="O255" s="6" t="s">
        <v>25</v>
      </c>
      <c r="P255" s="6">
        <f>COUNTIF(Analysis!$M$1:$M$3001,Analysis!$M255)</f>
        <v>1</v>
      </c>
      <c r="Q255" s="6" t="str">
        <f>IF(COUNTIF(Analysis!$M$2:$M$3001,Analysis!$M255)&gt;1,"Duplicate","OK")</f>
        <v>OK</v>
      </c>
      <c r="R255" s="6" t="str">
        <f t="shared" si="1"/>
        <v>1600-2600</v>
      </c>
      <c r="S255" s="6">
        <f t="shared" si="2"/>
        <v>13</v>
      </c>
      <c r="T255" s="6" t="str">
        <f t="shared" si="3"/>
        <v>Mid</v>
      </c>
    </row>
    <row r="256" ht="14.25" customHeight="1">
      <c r="A256" s="5">
        <v>1123836.0</v>
      </c>
      <c r="B256" s="6" t="s">
        <v>1065</v>
      </c>
      <c r="C256" s="6" t="s">
        <v>76</v>
      </c>
      <c r="D256" s="6">
        <v>76365.0</v>
      </c>
      <c r="E256" s="6" t="s">
        <v>60</v>
      </c>
      <c r="F256" s="6" t="s">
        <v>20</v>
      </c>
      <c r="G256" s="6" t="s">
        <v>55</v>
      </c>
      <c r="H256" s="7">
        <v>919.0</v>
      </c>
      <c r="I256" s="7">
        <v>6556.0</v>
      </c>
      <c r="J256" s="6">
        <v>1989.0</v>
      </c>
      <c r="K256" s="6">
        <v>78.0</v>
      </c>
      <c r="L256" s="6" t="s">
        <v>22</v>
      </c>
      <c r="M256" s="6" t="s">
        <v>1066</v>
      </c>
      <c r="N256" s="6" t="s">
        <v>24</v>
      </c>
      <c r="O256" s="6" t="s">
        <v>25</v>
      </c>
      <c r="P256" s="6">
        <f>COUNTIF(Analysis!$M$1:$M$3001,Analysis!$M256)</f>
        <v>1</v>
      </c>
      <c r="Q256" s="6" t="str">
        <f>IF(COUNTIF(Analysis!$M$2:$M$3001,Analysis!$M256)&gt;1,"Duplicate","OK")</f>
        <v>OK</v>
      </c>
      <c r="R256" s="6" t="str">
        <f t="shared" si="1"/>
        <v>600-1600</v>
      </c>
      <c r="S256" s="6">
        <f t="shared" si="2"/>
        <v>37</v>
      </c>
      <c r="T256" s="6" t="str">
        <f t="shared" si="3"/>
        <v>Old</v>
      </c>
    </row>
    <row r="257" ht="14.25" customHeight="1">
      <c r="A257" s="5">
        <v>800312.0</v>
      </c>
      <c r="B257" s="6" t="s">
        <v>1069</v>
      </c>
      <c r="C257" s="6" t="s">
        <v>18</v>
      </c>
      <c r="D257" s="6">
        <v>83246.0</v>
      </c>
      <c r="E257" s="6" t="s">
        <v>60</v>
      </c>
      <c r="F257" s="6" t="s">
        <v>46</v>
      </c>
      <c r="G257" s="6" t="s">
        <v>55</v>
      </c>
      <c r="H257" s="7">
        <v>2014.0</v>
      </c>
      <c r="I257" s="7">
        <v>2859.0</v>
      </c>
      <c r="J257" s="6">
        <v>1960.0</v>
      </c>
      <c r="K257" s="6">
        <v>111.0</v>
      </c>
      <c r="L257" s="6" t="s">
        <v>62</v>
      </c>
      <c r="M257" s="6" t="s">
        <v>1070</v>
      </c>
      <c r="N257" s="6" t="s">
        <v>43</v>
      </c>
      <c r="O257" s="6" t="s">
        <v>49</v>
      </c>
      <c r="P257" s="6">
        <f>COUNTIF(Analysis!$M$1:$M$3001,Analysis!$M257)</f>
        <v>1</v>
      </c>
      <c r="Q257" s="6" t="str">
        <f>IF(COUNTIF(Analysis!$M$2:$M$3001,Analysis!$M257)&gt;1,"Duplicate","OK")</f>
        <v>OK</v>
      </c>
      <c r="R257" s="6" t="str">
        <f t="shared" si="1"/>
        <v>1600-2600</v>
      </c>
      <c r="S257" s="6">
        <f t="shared" si="2"/>
        <v>66</v>
      </c>
      <c r="T257" s="6" t="str">
        <f t="shared" si="3"/>
        <v>Very Old</v>
      </c>
    </row>
    <row r="258" ht="14.25" customHeight="1">
      <c r="A258" s="5">
        <v>224903.0</v>
      </c>
      <c r="B258" s="6" t="s">
        <v>2619</v>
      </c>
      <c r="C258" s="6" t="s">
        <v>29</v>
      </c>
      <c r="D258" s="6">
        <v>19254.0</v>
      </c>
      <c r="E258" s="6" t="s">
        <v>30</v>
      </c>
      <c r="F258" s="6" t="s">
        <v>41</v>
      </c>
      <c r="G258" s="6" t="s">
        <v>100</v>
      </c>
      <c r="H258" s="7">
        <v>2064.0</v>
      </c>
      <c r="I258" s="7">
        <v>4491.0</v>
      </c>
      <c r="J258" s="6">
        <v>2022.0</v>
      </c>
      <c r="K258" s="6">
        <v>44.0</v>
      </c>
      <c r="L258" s="6" t="s">
        <v>22</v>
      </c>
      <c r="M258" s="6" t="s">
        <v>2620</v>
      </c>
      <c r="N258" s="6" t="s">
        <v>34</v>
      </c>
      <c r="O258" s="6" t="s">
        <v>25</v>
      </c>
      <c r="P258" s="6">
        <f>COUNTIF(Analysis!$M$1:$M$3001,Analysis!$M645)</f>
        <v>1</v>
      </c>
      <c r="Q258" s="6" t="str">
        <f>IF(COUNTIF(Analysis!$M$2:$M$3001,Analysis!$M645)&gt;1,"Duplicate","OK")</f>
        <v>OK</v>
      </c>
      <c r="R258" s="6" t="str">
        <f t="shared" si="1"/>
        <v>1600-2600</v>
      </c>
      <c r="S258" s="6">
        <f t="shared" si="2"/>
        <v>4</v>
      </c>
      <c r="T258" s="6" t="str">
        <f t="shared" si="3"/>
        <v>New</v>
      </c>
    </row>
    <row r="259" ht="14.25" customHeight="1">
      <c r="A259" s="5">
        <v>879038.0</v>
      </c>
      <c r="B259" s="6" t="s">
        <v>1077</v>
      </c>
      <c r="C259" s="6" t="s">
        <v>53</v>
      </c>
      <c r="D259" s="6">
        <v>96325.0</v>
      </c>
      <c r="E259" s="6" t="s">
        <v>77</v>
      </c>
      <c r="F259" s="6" t="s">
        <v>46</v>
      </c>
      <c r="G259" s="6" t="s">
        <v>31</v>
      </c>
      <c r="H259" s="7">
        <v>1801.0</v>
      </c>
      <c r="I259" s="7">
        <v>1484.0</v>
      </c>
      <c r="J259" s="6">
        <v>1998.0</v>
      </c>
      <c r="K259" s="6">
        <v>1.0</v>
      </c>
      <c r="L259" s="6" t="s">
        <v>22</v>
      </c>
      <c r="M259" s="6" t="s">
        <v>1078</v>
      </c>
      <c r="N259" s="6" t="s">
        <v>64</v>
      </c>
      <c r="O259" s="6" t="s">
        <v>49</v>
      </c>
      <c r="P259" s="6">
        <f>COUNTIF(Analysis!$M$1:$M$3001,Analysis!$M259)</f>
        <v>1</v>
      </c>
      <c r="Q259" s="6" t="str">
        <f>IF(COUNTIF(Analysis!$M$2:$M$3001,Analysis!$M259)&gt;1,"Duplicate","OK")</f>
        <v>OK</v>
      </c>
      <c r="R259" s="6" t="str">
        <f t="shared" si="1"/>
        <v>1600-2600</v>
      </c>
      <c r="S259" s="6">
        <f t="shared" si="2"/>
        <v>28</v>
      </c>
      <c r="T259" s="6" t="str">
        <f t="shared" si="3"/>
        <v>Mid</v>
      </c>
    </row>
    <row r="260" ht="14.25" customHeight="1">
      <c r="A260" s="5">
        <v>226311.0</v>
      </c>
      <c r="B260" s="6" t="s">
        <v>1133</v>
      </c>
      <c r="C260" s="6" t="s">
        <v>29</v>
      </c>
      <c r="D260" s="6">
        <v>27026.0</v>
      </c>
      <c r="E260" s="6" t="s">
        <v>19</v>
      </c>
      <c r="F260" s="6" t="s">
        <v>41</v>
      </c>
      <c r="G260" s="6" t="s">
        <v>55</v>
      </c>
      <c r="H260" s="7">
        <v>2021.0</v>
      </c>
      <c r="I260" s="7">
        <v>8163.0</v>
      </c>
      <c r="J260" s="6">
        <v>1951.0</v>
      </c>
      <c r="K260" s="6">
        <v>88.0</v>
      </c>
      <c r="L260" s="6" t="s">
        <v>62</v>
      </c>
      <c r="M260" s="6" t="s">
        <v>1134</v>
      </c>
      <c r="N260" s="6" t="s">
        <v>48</v>
      </c>
      <c r="O260" s="6" t="s">
        <v>25</v>
      </c>
      <c r="P260" s="6">
        <f>COUNTIF(Analysis!$M$1:$M$3001,Analysis!$M273)</f>
        <v>1</v>
      </c>
      <c r="Q260" s="6" t="str">
        <f>IF(COUNTIF(Analysis!$M$2:$M$3001,Analysis!$M273)&gt;1,"Duplicate","OK")</f>
        <v>OK</v>
      </c>
      <c r="R260" s="6" t="str">
        <f t="shared" si="1"/>
        <v>1600-2600</v>
      </c>
      <c r="S260" s="6">
        <f t="shared" si="2"/>
        <v>75</v>
      </c>
      <c r="T260" s="6" t="str">
        <f t="shared" si="3"/>
        <v>Very Old</v>
      </c>
    </row>
    <row r="261" ht="14.25" customHeight="1">
      <c r="A261" s="5">
        <v>1315315.0</v>
      </c>
      <c r="B261" s="6" t="s">
        <v>1085</v>
      </c>
      <c r="C261" s="6" t="s">
        <v>76</v>
      </c>
      <c r="D261" s="6">
        <v>29040.0</v>
      </c>
      <c r="E261" s="6" t="s">
        <v>77</v>
      </c>
      <c r="F261" s="6" t="s">
        <v>20</v>
      </c>
      <c r="G261" s="6" t="s">
        <v>31</v>
      </c>
      <c r="H261" s="7">
        <v>1895.0</v>
      </c>
      <c r="I261" s="7">
        <v>4224.0</v>
      </c>
      <c r="J261" s="6">
        <v>2002.0</v>
      </c>
      <c r="K261" s="6">
        <v>39.0</v>
      </c>
      <c r="L261" s="6" t="s">
        <v>62</v>
      </c>
      <c r="M261" s="6" t="s">
        <v>1086</v>
      </c>
      <c r="N261" s="6" t="s">
        <v>64</v>
      </c>
      <c r="O261" s="6" t="s">
        <v>49</v>
      </c>
      <c r="P261" s="6">
        <f>COUNTIF(Analysis!$M$1:$M$3001,Analysis!$M261)</f>
        <v>1</v>
      </c>
      <c r="Q261" s="6" t="str">
        <f>IF(COUNTIF(Analysis!$M$2:$M$3001,Analysis!$M261)&gt;1,"Duplicate","OK")</f>
        <v>OK</v>
      </c>
      <c r="R261" s="6" t="str">
        <f t="shared" si="1"/>
        <v>1600-2600</v>
      </c>
      <c r="S261" s="6">
        <f t="shared" si="2"/>
        <v>24</v>
      </c>
      <c r="T261" s="6" t="str">
        <f t="shared" si="3"/>
        <v>Mid</v>
      </c>
    </row>
    <row r="262" ht="14.25" customHeight="1">
      <c r="A262" s="5">
        <v>703493.0</v>
      </c>
      <c r="B262" s="6" t="s">
        <v>1089</v>
      </c>
      <c r="C262" s="6" t="s">
        <v>53</v>
      </c>
      <c r="D262" s="6">
        <v>20699.0</v>
      </c>
      <c r="E262" s="6" t="s">
        <v>60</v>
      </c>
      <c r="F262" s="6" t="s">
        <v>41</v>
      </c>
      <c r="G262" s="6" t="s">
        <v>21</v>
      </c>
      <c r="H262" s="7">
        <v>2228.0</v>
      </c>
      <c r="I262" s="7">
        <v>5244.0</v>
      </c>
      <c r="J262" s="6">
        <v>1964.0</v>
      </c>
      <c r="K262" s="6">
        <v>91.0</v>
      </c>
      <c r="L262" s="6" t="s">
        <v>32</v>
      </c>
      <c r="M262" s="6" t="s">
        <v>1090</v>
      </c>
      <c r="N262" s="6" t="s">
        <v>43</v>
      </c>
      <c r="O262" s="6" t="s">
        <v>25</v>
      </c>
      <c r="P262" s="6">
        <f>COUNTIF(Analysis!$M$1:$M$3001,Analysis!$M262)</f>
        <v>1</v>
      </c>
      <c r="Q262" s="6" t="str">
        <f>IF(COUNTIF(Analysis!$M$2:$M$3001,Analysis!$M262)&gt;1,"Duplicate","OK")</f>
        <v>OK</v>
      </c>
      <c r="R262" s="6" t="str">
        <f t="shared" si="1"/>
        <v>1600-2600</v>
      </c>
      <c r="S262" s="6">
        <f t="shared" si="2"/>
        <v>62</v>
      </c>
      <c r="T262" s="6" t="str">
        <f t="shared" si="3"/>
        <v>Very Old</v>
      </c>
    </row>
    <row r="263" ht="14.25" customHeight="1">
      <c r="A263" s="5">
        <v>1449651.0</v>
      </c>
      <c r="B263" s="6" t="s">
        <v>1093</v>
      </c>
      <c r="C263" s="6" t="s">
        <v>53</v>
      </c>
      <c r="D263" s="6">
        <v>29271.0</v>
      </c>
      <c r="E263" s="6" t="s">
        <v>40</v>
      </c>
      <c r="F263" s="6" t="s">
        <v>61</v>
      </c>
      <c r="G263" s="6" t="s">
        <v>21</v>
      </c>
      <c r="H263" s="7">
        <v>2332.0</v>
      </c>
      <c r="I263" s="7">
        <v>4235.0</v>
      </c>
      <c r="J263" s="6">
        <v>1953.0</v>
      </c>
      <c r="K263" s="6">
        <v>113.0</v>
      </c>
      <c r="L263" s="6" t="s">
        <v>62</v>
      </c>
      <c r="M263" s="6" t="s">
        <v>1094</v>
      </c>
      <c r="N263" s="6" t="s">
        <v>43</v>
      </c>
      <c r="O263" s="6" t="s">
        <v>25</v>
      </c>
      <c r="P263" s="6">
        <f>COUNTIF(Analysis!$M$1:$M$3001,Analysis!$M263)</f>
        <v>1</v>
      </c>
      <c r="Q263" s="6" t="str">
        <f>IF(COUNTIF(Analysis!$M$2:$M$3001,Analysis!$M263)&gt;1,"Duplicate","OK")</f>
        <v>OK</v>
      </c>
      <c r="R263" s="6" t="str">
        <f t="shared" si="1"/>
        <v>1600-2600</v>
      </c>
      <c r="S263" s="6">
        <f t="shared" si="2"/>
        <v>73</v>
      </c>
      <c r="T263" s="6" t="str">
        <f t="shared" si="3"/>
        <v>Very Old</v>
      </c>
    </row>
    <row r="264" ht="14.25" customHeight="1">
      <c r="A264" s="5">
        <v>429050.0</v>
      </c>
      <c r="B264" s="6" t="s">
        <v>1097</v>
      </c>
      <c r="C264" s="6" t="s">
        <v>18</v>
      </c>
      <c r="D264" s="6">
        <v>89790.0</v>
      </c>
      <c r="E264" s="6" t="s">
        <v>19</v>
      </c>
      <c r="F264" s="6" t="s">
        <v>20</v>
      </c>
      <c r="G264" s="6" t="s">
        <v>55</v>
      </c>
      <c r="H264" s="7">
        <v>2089.0</v>
      </c>
      <c r="I264" s="7">
        <v>5162.0</v>
      </c>
      <c r="J264" s="6">
        <v>2015.0</v>
      </c>
      <c r="K264" s="6">
        <v>66.0</v>
      </c>
      <c r="L264" s="6" t="s">
        <v>32</v>
      </c>
      <c r="M264" s="6" t="s">
        <v>1098</v>
      </c>
      <c r="N264" s="6" t="s">
        <v>34</v>
      </c>
      <c r="O264" s="6" t="s">
        <v>49</v>
      </c>
      <c r="P264" s="6">
        <f>COUNTIF(Analysis!$M$1:$M$3001,Analysis!$M264)</f>
        <v>1</v>
      </c>
      <c r="Q264" s="6" t="str">
        <f>IF(COUNTIF(Analysis!$M$2:$M$3001,Analysis!$M264)&gt;1,"Duplicate","OK")</f>
        <v>OK</v>
      </c>
      <c r="R264" s="6" t="str">
        <f t="shared" si="1"/>
        <v>1600-2600</v>
      </c>
      <c r="S264" s="6">
        <f t="shared" si="2"/>
        <v>11</v>
      </c>
      <c r="T264" s="6" t="str">
        <f t="shared" si="3"/>
        <v>Mid</v>
      </c>
    </row>
    <row r="265" ht="14.25" customHeight="1">
      <c r="A265" s="5">
        <v>436227.0</v>
      </c>
      <c r="B265" s="6" t="s">
        <v>1101</v>
      </c>
      <c r="C265" s="6" t="s">
        <v>53</v>
      </c>
      <c r="D265" s="6">
        <v>30987.0</v>
      </c>
      <c r="E265" s="6" t="s">
        <v>40</v>
      </c>
      <c r="F265" s="6" t="s">
        <v>61</v>
      </c>
      <c r="G265" s="6" t="s">
        <v>55</v>
      </c>
      <c r="H265" s="7">
        <v>881.0</v>
      </c>
      <c r="I265" s="7">
        <v>1670.0</v>
      </c>
      <c r="J265" s="6">
        <v>1974.0</v>
      </c>
      <c r="K265" s="6">
        <v>46.0</v>
      </c>
      <c r="L265" s="6" t="s">
        <v>22</v>
      </c>
      <c r="M265" s="6" t="s">
        <v>1102</v>
      </c>
      <c r="N265" s="6" t="s">
        <v>64</v>
      </c>
      <c r="O265" s="6" t="s">
        <v>25</v>
      </c>
      <c r="P265" s="6">
        <f>COUNTIF(Analysis!$M$1:$M$3001,Analysis!$M265)</f>
        <v>1</v>
      </c>
      <c r="Q265" s="6" t="str">
        <f>IF(COUNTIF(Analysis!$M$2:$M$3001,Analysis!$M265)&gt;1,"Duplicate","OK")</f>
        <v>OK</v>
      </c>
      <c r="R265" s="6" t="str">
        <f t="shared" si="1"/>
        <v>600-1600</v>
      </c>
      <c r="S265" s="6">
        <f t="shared" si="2"/>
        <v>52</v>
      </c>
      <c r="T265" s="6" t="str">
        <f t="shared" si="3"/>
        <v>Old</v>
      </c>
    </row>
    <row r="266" ht="14.25" customHeight="1">
      <c r="A266" s="5">
        <v>1043402.0</v>
      </c>
      <c r="B266" s="6" t="s">
        <v>1105</v>
      </c>
      <c r="C266" s="6" t="s">
        <v>76</v>
      </c>
      <c r="D266" s="6">
        <v>19426.0</v>
      </c>
      <c r="E266" s="6" t="s">
        <v>60</v>
      </c>
      <c r="F266" s="6" t="s">
        <v>41</v>
      </c>
      <c r="G266" s="6" t="s">
        <v>21</v>
      </c>
      <c r="H266" s="7">
        <v>2741.0</v>
      </c>
      <c r="I266" s="7">
        <v>6549.0</v>
      </c>
      <c r="J266" s="6">
        <v>1968.0</v>
      </c>
      <c r="K266" s="6">
        <v>47.0</v>
      </c>
      <c r="L266" s="6" t="s">
        <v>141</v>
      </c>
      <c r="M266" s="6" t="s">
        <v>1106</v>
      </c>
      <c r="N266" s="6" t="s">
        <v>34</v>
      </c>
      <c r="O266" s="6" t="s">
        <v>35</v>
      </c>
      <c r="P266" s="6">
        <f>COUNTIF(Analysis!$M$1:$M$3001,Analysis!$M266)</f>
        <v>1</v>
      </c>
      <c r="Q266" s="6" t="str">
        <f>IF(COUNTIF(Analysis!$M$2:$M$3001,Analysis!$M266)&gt;1,"Duplicate","OK")</f>
        <v>OK</v>
      </c>
      <c r="R266" s="6" t="str">
        <f t="shared" si="1"/>
        <v>2600-3600</v>
      </c>
      <c r="S266" s="6">
        <f t="shared" si="2"/>
        <v>58</v>
      </c>
      <c r="T266" s="6" t="str">
        <f t="shared" si="3"/>
        <v>Old</v>
      </c>
    </row>
    <row r="267" ht="14.25" customHeight="1">
      <c r="A267" s="5">
        <v>1472476.0</v>
      </c>
      <c r="B267" s="6" t="s">
        <v>1109</v>
      </c>
      <c r="C267" s="6" t="s">
        <v>76</v>
      </c>
      <c r="D267" s="6">
        <v>77074.0</v>
      </c>
      <c r="E267" s="6" t="s">
        <v>77</v>
      </c>
      <c r="F267" s="6" t="s">
        <v>46</v>
      </c>
      <c r="G267" s="6" t="s">
        <v>55</v>
      </c>
      <c r="H267" s="7">
        <v>2997.0</v>
      </c>
      <c r="I267" s="7">
        <v>4716.0</v>
      </c>
      <c r="J267" s="6">
        <v>1957.0</v>
      </c>
      <c r="K267" s="6">
        <v>111.0</v>
      </c>
      <c r="L267" s="6" t="s">
        <v>141</v>
      </c>
      <c r="M267" s="6" t="s">
        <v>1110</v>
      </c>
      <c r="N267" s="6" t="s">
        <v>64</v>
      </c>
      <c r="O267" s="6" t="s">
        <v>35</v>
      </c>
      <c r="P267" s="6">
        <f>COUNTIF(Analysis!$M$1:$M$3001,Analysis!$M267)</f>
        <v>1</v>
      </c>
      <c r="Q267" s="6" t="str">
        <f>IF(COUNTIF(Analysis!$M$2:$M$3001,Analysis!$M267)&gt;1,"Duplicate","OK")</f>
        <v>OK</v>
      </c>
      <c r="R267" s="6" t="str">
        <f t="shared" si="1"/>
        <v>2600-3600</v>
      </c>
      <c r="S267" s="6">
        <f t="shared" si="2"/>
        <v>69</v>
      </c>
      <c r="T267" s="6" t="str">
        <f t="shared" si="3"/>
        <v>Very Old</v>
      </c>
    </row>
    <row r="268" ht="14.25" customHeight="1">
      <c r="A268" s="5">
        <v>101342.0</v>
      </c>
      <c r="B268" s="6" t="s">
        <v>1113</v>
      </c>
      <c r="C268" s="6" t="s">
        <v>39</v>
      </c>
      <c r="D268" s="6">
        <v>26064.0</v>
      </c>
      <c r="E268" s="6" t="s">
        <v>60</v>
      </c>
      <c r="F268" s="6" t="s">
        <v>54</v>
      </c>
      <c r="G268" s="6" t="s">
        <v>31</v>
      </c>
      <c r="H268" s="7">
        <v>1658.0</v>
      </c>
      <c r="I268" s="7">
        <v>9733.0</v>
      </c>
      <c r="J268" s="6">
        <v>2021.0</v>
      </c>
      <c r="K268" s="6">
        <v>34.0</v>
      </c>
      <c r="L268" s="6" t="s">
        <v>32</v>
      </c>
      <c r="M268" s="6" t="s">
        <v>1114</v>
      </c>
      <c r="N268" s="6" t="s">
        <v>34</v>
      </c>
      <c r="O268" s="6" t="s">
        <v>49</v>
      </c>
      <c r="P268" s="6">
        <f>COUNTIF(Analysis!$M$1:$M$3001,Analysis!$M268)</f>
        <v>1</v>
      </c>
      <c r="Q268" s="6" t="str">
        <f>IF(COUNTIF(Analysis!$M$2:$M$3001,Analysis!$M268)&gt;1,"Duplicate","OK")</f>
        <v>OK</v>
      </c>
      <c r="R268" s="6" t="str">
        <f t="shared" si="1"/>
        <v>1600-2600</v>
      </c>
      <c r="S268" s="6">
        <f t="shared" si="2"/>
        <v>5</v>
      </c>
      <c r="T268" s="6" t="str">
        <f t="shared" si="3"/>
        <v>New</v>
      </c>
    </row>
    <row r="269" ht="14.25" customHeight="1">
      <c r="A269" s="5">
        <v>232686.0</v>
      </c>
      <c r="B269" s="6" t="s">
        <v>7713</v>
      </c>
      <c r="C269" s="6" t="s">
        <v>29</v>
      </c>
      <c r="D269" s="6">
        <v>14659.0</v>
      </c>
      <c r="E269" s="6" t="s">
        <v>60</v>
      </c>
      <c r="F269" s="6" t="s">
        <v>54</v>
      </c>
      <c r="G269" s="6" t="s">
        <v>21</v>
      </c>
      <c r="H269" s="7">
        <v>1144.0</v>
      </c>
      <c r="I269" s="7">
        <v>6726.0</v>
      </c>
      <c r="J269" s="6">
        <v>1964.0</v>
      </c>
      <c r="K269" s="6">
        <v>104.0</v>
      </c>
      <c r="L269" s="6" t="s">
        <v>95</v>
      </c>
      <c r="M269" s="6" t="s">
        <v>7714</v>
      </c>
      <c r="N269" s="6" t="s">
        <v>43</v>
      </c>
      <c r="O269" s="6" t="s">
        <v>25</v>
      </c>
      <c r="P269" s="6">
        <f>COUNTIF(Analysis!$M$1:$M$3001,Analysis!$M1919)</f>
        <v>1</v>
      </c>
      <c r="Q269" s="6" t="str">
        <f>IF(COUNTIF(Analysis!$M$2:$M$3001,Analysis!$M1919)&gt;1,"Duplicate","OK")</f>
        <v>OK</v>
      </c>
      <c r="R269" s="6" t="str">
        <f t="shared" si="1"/>
        <v>600-1600</v>
      </c>
      <c r="S269" s="6">
        <f t="shared" si="2"/>
        <v>62</v>
      </c>
      <c r="T269" s="6" t="str">
        <f t="shared" si="3"/>
        <v>Very Old</v>
      </c>
    </row>
    <row r="270" ht="14.25" customHeight="1">
      <c r="A270" s="5">
        <v>257758.0</v>
      </c>
      <c r="B270" s="6" t="s">
        <v>1121</v>
      </c>
      <c r="C270" s="6" t="s">
        <v>18</v>
      </c>
      <c r="D270" s="6">
        <v>26675.0</v>
      </c>
      <c r="E270" s="6" t="s">
        <v>40</v>
      </c>
      <c r="F270" s="6" t="s">
        <v>54</v>
      </c>
      <c r="G270" s="6" t="s">
        <v>31</v>
      </c>
      <c r="H270" s="7">
        <v>2700.0</v>
      </c>
      <c r="I270" s="7">
        <v>9067.0</v>
      </c>
      <c r="J270" s="6">
        <v>1989.0</v>
      </c>
      <c r="K270" s="6">
        <v>44.0</v>
      </c>
      <c r="L270" s="6" t="s">
        <v>95</v>
      </c>
      <c r="M270" s="6" t="s">
        <v>1122</v>
      </c>
      <c r="N270" s="6" t="s">
        <v>34</v>
      </c>
      <c r="O270" s="6" t="s">
        <v>35</v>
      </c>
      <c r="P270" s="6">
        <f>COUNTIF(Analysis!$M$1:$M$3001,Analysis!$M270)</f>
        <v>1</v>
      </c>
      <c r="Q270" s="6" t="str">
        <f>IF(COUNTIF(Analysis!$M$2:$M$3001,Analysis!$M270)&gt;1,"Duplicate","OK")</f>
        <v>OK</v>
      </c>
      <c r="R270" s="6" t="str">
        <f t="shared" si="1"/>
        <v>2600-3600</v>
      </c>
      <c r="S270" s="6">
        <f t="shared" si="2"/>
        <v>37</v>
      </c>
      <c r="T270" s="6" t="str">
        <f t="shared" si="3"/>
        <v>Old</v>
      </c>
    </row>
    <row r="271" ht="14.25" customHeight="1">
      <c r="A271" s="5">
        <v>159682.0</v>
      </c>
      <c r="B271" s="6" t="s">
        <v>1125</v>
      </c>
      <c r="C271" s="6" t="s">
        <v>39</v>
      </c>
      <c r="D271" s="6">
        <v>63062.0</v>
      </c>
      <c r="E271" s="6" t="s">
        <v>19</v>
      </c>
      <c r="F271" s="6" t="s">
        <v>54</v>
      </c>
      <c r="G271" s="6" t="s">
        <v>31</v>
      </c>
      <c r="H271" s="7">
        <v>3421.0</v>
      </c>
      <c r="I271" s="7">
        <v>2996.0</v>
      </c>
      <c r="J271" s="6">
        <v>1992.0</v>
      </c>
      <c r="K271" s="6">
        <v>39.0</v>
      </c>
      <c r="L271" s="6" t="s">
        <v>62</v>
      </c>
      <c r="M271" s="6" t="s">
        <v>1126</v>
      </c>
      <c r="N271" s="6" t="s">
        <v>24</v>
      </c>
      <c r="O271" s="6" t="s">
        <v>35</v>
      </c>
      <c r="P271" s="6">
        <f>COUNTIF(Analysis!$M$1:$M$3001,Analysis!$M271)</f>
        <v>1</v>
      </c>
      <c r="Q271" s="6" t="str">
        <f>IF(COUNTIF(Analysis!$M$2:$M$3001,Analysis!$M271)&gt;1,"Duplicate","OK")</f>
        <v>OK</v>
      </c>
      <c r="R271" s="6" t="str">
        <f t="shared" si="1"/>
        <v>2600-3600</v>
      </c>
      <c r="S271" s="6">
        <f t="shared" si="2"/>
        <v>34</v>
      </c>
      <c r="T271" s="6" t="str">
        <f t="shared" si="3"/>
        <v>Old</v>
      </c>
    </row>
    <row r="272" ht="14.25" customHeight="1">
      <c r="A272" s="5">
        <v>1368906.0</v>
      </c>
      <c r="B272" s="6" t="s">
        <v>1129</v>
      </c>
      <c r="C272" s="6" t="s">
        <v>18</v>
      </c>
      <c r="D272" s="6">
        <v>73100.0</v>
      </c>
      <c r="E272" s="6" t="s">
        <v>40</v>
      </c>
      <c r="F272" s="6" t="s">
        <v>46</v>
      </c>
      <c r="G272" s="6" t="s">
        <v>55</v>
      </c>
      <c r="H272" s="7">
        <v>692.0</v>
      </c>
      <c r="I272" s="7">
        <v>2137.0</v>
      </c>
      <c r="J272" s="6">
        <v>2003.0</v>
      </c>
      <c r="K272" s="6">
        <v>57.0</v>
      </c>
      <c r="L272" s="6" t="s">
        <v>22</v>
      </c>
      <c r="M272" s="6" t="s">
        <v>1130</v>
      </c>
      <c r="N272" s="6" t="s">
        <v>64</v>
      </c>
      <c r="O272" s="6" t="s">
        <v>49</v>
      </c>
      <c r="P272" s="6">
        <f>COUNTIF(Analysis!$M$1:$M$3001,Analysis!$M272)</f>
        <v>1</v>
      </c>
      <c r="Q272" s="6" t="str">
        <f>IF(COUNTIF(Analysis!$M$2:$M$3001,Analysis!$M272)&gt;1,"Duplicate","OK")</f>
        <v>OK</v>
      </c>
      <c r="R272" s="6" t="str">
        <f t="shared" si="1"/>
        <v>600-1600</v>
      </c>
      <c r="S272" s="6">
        <f t="shared" si="2"/>
        <v>23</v>
      </c>
      <c r="T272" s="6" t="str">
        <f t="shared" si="3"/>
        <v>Mid</v>
      </c>
    </row>
    <row r="273" ht="14.25" customHeight="1">
      <c r="A273" s="5">
        <v>237088.0</v>
      </c>
      <c r="B273" s="6" t="s">
        <v>6617</v>
      </c>
      <c r="C273" s="6" t="s">
        <v>29</v>
      </c>
      <c r="D273" s="6">
        <v>23130.0</v>
      </c>
      <c r="E273" s="6" t="s">
        <v>30</v>
      </c>
      <c r="F273" s="6" t="s">
        <v>41</v>
      </c>
      <c r="G273" s="6" t="s">
        <v>21</v>
      </c>
      <c r="H273" s="7">
        <v>3111.0</v>
      </c>
      <c r="I273" s="7">
        <v>7802.0</v>
      </c>
      <c r="J273" s="6">
        <v>1996.0</v>
      </c>
      <c r="K273" s="6">
        <v>105.0</v>
      </c>
      <c r="L273" s="6" t="s">
        <v>141</v>
      </c>
      <c r="M273" s="6" t="s">
        <v>6618</v>
      </c>
      <c r="N273" s="6" t="s">
        <v>64</v>
      </c>
      <c r="O273" s="6" t="s">
        <v>49</v>
      </c>
      <c r="P273" s="6">
        <f>COUNTIF(Analysis!$M$1:$M$3001,Analysis!$M1645)</f>
        <v>1</v>
      </c>
      <c r="Q273" s="6" t="str">
        <f>IF(COUNTIF(Analysis!$M$2:$M$3001,Analysis!$M1645)&gt;1,"Duplicate","OK")</f>
        <v>OK</v>
      </c>
      <c r="R273" s="6" t="str">
        <f t="shared" si="1"/>
        <v>2600-3600</v>
      </c>
      <c r="S273" s="6">
        <f t="shared" si="2"/>
        <v>30</v>
      </c>
      <c r="T273" s="6" t="str">
        <f t="shared" si="3"/>
        <v>Mid</v>
      </c>
    </row>
    <row r="274" ht="14.25" customHeight="1">
      <c r="A274" s="5">
        <v>242280.0</v>
      </c>
      <c r="B274" s="6" t="s">
        <v>1137</v>
      </c>
      <c r="C274" s="6" t="s">
        <v>18</v>
      </c>
      <c r="D274" s="6">
        <v>94923.0</v>
      </c>
      <c r="E274" s="6" t="s">
        <v>60</v>
      </c>
      <c r="F274" s="6" t="s">
        <v>46</v>
      </c>
      <c r="G274" s="6" t="s">
        <v>21</v>
      </c>
      <c r="H274" s="7">
        <v>3560.0</v>
      </c>
      <c r="I274" s="7">
        <v>5320.0</v>
      </c>
      <c r="J274" s="6">
        <v>1972.0</v>
      </c>
      <c r="K274" s="6">
        <v>71.0</v>
      </c>
      <c r="L274" s="6" t="s">
        <v>62</v>
      </c>
      <c r="M274" s="6" t="s">
        <v>1138</v>
      </c>
      <c r="N274" s="6" t="s">
        <v>43</v>
      </c>
      <c r="O274" s="6" t="s">
        <v>25</v>
      </c>
      <c r="P274" s="6">
        <f>COUNTIF(Analysis!$M$1:$M$3001,Analysis!$M274)</f>
        <v>1</v>
      </c>
      <c r="Q274" s="6" t="str">
        <f>IF(COUNTIF(Analysis!$M$2:$M$3001,Analysis!$M274)&gt;1,"Duplicate","OK")</f>
        <v>OK</v>
      </c>
      <c r="R274" s="6" t="str">
        <f t="shared" si="1"/>
        <v>2600-3600</v>
      </c>
      <c r="S274" s="6">
        <f t="shared" si="2"/>
        <v>54</v>
      </c>
      <c r="T274" s="6" t="str">
        <f t="shared" si="3"/>
        <v>Old</v>
      </c>
    </row>
    <row r="275" ht="14.25" customHeight="1">
      <c r="A275" s="5">
        <v>1371316.0</v>
      </c>
      <c r="B275" s="6" t="s">
        <v>1141</v>
      </c>
      <c r="C275" s="6" t="s">
        <v>39</v>
      </c>
      <c r="D275" s="6">
        <v>17784.0</v>
      </c>
      <c r="E275" s="6" t="s">
        <v>40</v>
      </c>
      <c r="F275" s="6" t="s">
        <v>20</v>
      </c>
      <c r="G275" s="6" t="s">
        <v>100</v>
      </c>
      <c r="H275" s="7">
        <v>1173.0</v>
      </c>
      <c r="I275" s="7">
        <v>7073.0</v>
      </c>
      <c r="J275" s="6">
        <v>2012.0</v>
      </c>
      <c r="K275" s="6">
        <v>98.0</v>
      </c>
      <c r="L275" s="6" t="s">
        <v>141</v>
      </c>
      <c r="M275" s="6" t="s">
        <v>1142</v>
      </c>
      <c r="N275" s="6" t="s">
        <v>34</v>
      </c>
      <c r="O275" s="6" t="s">
        <v>49</v>
      </c>
      <c r="P275" s="6">
        <f>COUNTIF(Analysis!$M$1:$M$3001,Analysis!$M275)</f>
        <v>1</v>
      </c>
      <c r="Q275" s="6" t="str">
        <f>IF(COUNTIF(Analysis!$M$2:$M$3001,Analysis!$M275)&gt;1,"Duplicate","OK")</f>
        <v>OK</v>
      </c>
      <c r="R275" s="6" t="str">
        <f t="shared" si="1"/>
        <v>600-1600</v>
      </c>
      <c r="S275" s="6">
        <f t="shared" si="2"/>
        <v>14</v>
      </c>
      <c r="T275" s="6" t="str">
        <f t="shared" si="3"/>
        <v>Mid</v>
      </c>
    </row>
    <row r="276" ht="14.25" customHeight="1">
      <c r="A276" s="5">
        <v>987853.0</v>
      </c>
      <c r="B276" s="6" t="s">
        <v>1145</v>
      </c>
      <c r="C276" s="6" t="s">
        <v>76</v>
      </c>
      <c r="D276" s="6">
        <v>33938.0</v>
      </c>
      <c r="E276" s="6" t="s">
        <v>77</v>
      </c>
      <c r="F276" s="6" t="s">
        <v>41</v>
      </c>
      <c r="G276" s="6" t="s">
        <v>55</v>
      </c>
      <c r="H276" s="7">
        <v>1380.0</v>
      </c>
      <c r="I276" s="7">
        <v>3778.0</v>
      </c>
      <c r="J276" s="6">
        <v>1964.0</v>
      </c>
      <c r="K276" s="6">
        <v>85.0</v>
      </c>
      <c r="L276" s="6" t="s">
        <v>22</v>
      </c>
      <c r="M276" s="6" t="s">
        <v>1146</v>
      </c>
      <c r="N276" s="6" t="s">
        <v>48</v>
      </c>
      <c r="O276" s="6" t="s">
        <v>35</v>
      </c>
      <c r="P276" s="6">
        <f>COUNTIF(Analysis!$M$1:$M$3001,Analysis!$M276)</f>
        <v>1</v>
      </c>
      <c r="Q276" s="6" t="str">
        <f>IF(COUNTIF(Analysis!$M$2:$M$3001,Analysis!$M276)&gt;1,"Duplicate","OK")</f>
        <v>OK</v>
      </c>
      <c r="R276" s="6" t="str">
        <f t="shared" si="1"/>
        <v>600-1600</v>
      </c>
      <c r="S276" s="6">
        <f t="shared" si="2"/>
        <v>62</v>
      </c>
      <c r="T276" s="6" t="str">
        <f t="shared" si="3"/>
        <v>Very Old</v>
      </c>
    </row>
    <row r="277" ht="14.25" customHeight="1">
      <c r="A277" s="5">
        <v>461357.0</v>
      </c>
      <c r="B277" s="6" t="s">
        <v>1149</v>
      </c>
      <c r="C277" s="6" t="s">
        <v>18</v>
      </c>
      <c r="D277" s="6">
        <v>45025.0</v>
      </c>
      <c r="E277" s="6" t="s">
        <v>60</v>
      </c>
      <c r="F277" s="6" t="s">
        <v>20</v>
      </c>
      <c r="G277" s="6" t="s">
        <v>21</v>
      </c>
      <c r="H277" s="7">
        <v>3427.0</v>
      </c>
      <c r="I277" s="7">
        <v>6943.0</v>
      </c>
      <c r="J277" s="6">
        <v>1980.0</v>
      </c>
      <c r="K277" s="6">
        <v>59.0</v>
      </c>
      <c r="L277" s="6" t="s">
        <v>32</v>
      </c>
      <c r="M277" s="6" t="s">
        <v>1150</v>
      </c>
      <c r="N277" s="6" t="s">
        <v>64</v>
      </c>
      <c r="O277" s="6" t="s">
        <v>35</v>
      </c>
      <c r="P277" s="6">
        <f>COUNTIF(Analysis!$M$1:$M$3001,Analysis!$M277)</f>
        <v>1</v>
      </c>
      <c r="Q277" s="6" t="str">
        <f>IF(COUNTIF(Analysis!$M$2:$M$3001,Analysis!$M277)&gt;1,"Duplicate","OK")</f>
        <v>OK</v>
      </c>
      <c r="R277" s="6" t="str">
        <f t="shared" si="1"/>
        <v>2600-3600</v>
      </c>
      <c r="S277" s="6">
        <f t="shared" si="2"/>
        <v>46</v>
      </c>
      <c r="T277" s="6" t="str">
        <f t="shared" si="3"/>
        <v>Old</v>
      </c>
    </row>
    <row r="278" ht="14.25" customHeight="1">
      <c r="A278" s="5">
        <v>349197.0</v>
      </c>
      <c r="B278" s="6" t="s">
        <v>1153</v>
      </c>
      <c r="C278" s="6" t="s">
        <v>39</v>
      </c>
      <c r="D278" s="6">
        <v>76986.0</v>
      </c>
      <c r="E278" s="6" t="s">
        <v>60</v>
      </c>
      <c r="F278" s="6" t="s">
        <v>41</v>
      </c>
      <c r="G278" s="6" t="s">
        <v>31</v>
      </c>
      <c r="H278" s="7">
        <v>3026.0</v>
      </c>
      <c r="I278" s="7">
        <v>7118.0</v>
      </c>
      <c r="J278" s="6">
        <v>2020.0</v>
      </c>
      <c r="K278" s="6">
        <v>67.0</v>
      </c>
      <c r="L278" s="6" t="s">
        <v>22</v>
      </c>
      <c r="M278" s="6" t="s">
        <v>1154</v>
      </c>
      <c r="N278" s="6" t="s">
        <v>48</v>
      </c>
      <c r="O278" s="6" t="s">
        <v>35</v>
      </c>
      <c r="P278" s="6">
        <f>COUNTIF(Analysis!$M$1:$M$3001,Analysis!$M278)</f>
        <v>1</v>
      </c>
      <c r="Q278" s="6" t="str">
        <f>IF(COUNTIF(Analysis!$M$2:$M$3001,Analysis!$M278)&gt;1,"Duplicate","OK")</f>
        <v>OK</v>
      </c>
      <c r="R278" s="6" t="str">
        <f t="shared" si="1"/>
        <v>2600-3600</v>
      </c>
      <c r="S278" s="6">
        <f t="shared" si="2"/>
        <v>6</v>
      </c>
      <c r="T278" s="6" t="str">
        <f t="shared" si="3"/>
        <v>New</v>
      </c>
    </row>
    <row r="279" ht="14.25" customHeight="1">
      <c r="A279" s="5">
        <v>244695.0</v>
      </c>
      <c r="B279" s="6" t="s">
        <v>3971</v>
      </c>
      <c r="C279" s="6" t="s">
        <v>29</v>
      </c>
      <c r="D279" s="6">
        <v>72173.0</v>
      </c>
      <c r="E279" s="6" t="s">
        <v>40</v>
      </c>
      <c r="F279" s="6" t="s">
        <v>94</v>
      </c>
      <c r="G279" s="6" t="s">
        <v>31</v>
      </c>
      <c r="H279" s="7">
        <v>3119.0</v>
      </c>
      <c r="I279" s="7">
        <v>6742.0</v>
      </c>
      <c r="J279" s="6">
        <v>1969.0</v>
      </c>
      <c r="K279" s="6">
        <v>83.0</v>
      </c>
      <c r="L279" s="6" t="s">
        <v>22</v>
      </c>
      <c r="M279" s="6" t="s">
        <v>3972</v>
      </c>
      <c r="N279" s="6" t="s">
        <v>43</v>
      </c>
      <c r="O279" s="6" t="s">
        <v>25</v>
      </c>
      <c r="P279" s="6">
        <f>COUNTIF(Analysis!$M$1:$M$3001,Analysis!$M983)</f>
        <v>1</v>
      </c>
      <c r="Q279" s="6" t="str">
        <f>IF(COUNTIF(Analysis!$M$2:$M$3001,Analysis!$M983)&gt;1,"Duplicate","OK")</f>
        <v>OK</v>
      </c>
      <c r="R279" s="6" t="str">
        <f t="shared" si="1"/>
        <v>2600-3600</v>
      </c>
      <c r="S279" s="6">
        <f t="shared" si="2"/>
        <v>57</v>
      </c>
      <c r="T279" s="6" t="str">
        <f t="shared" si="3"/>
        <v>Old</v>
      </c>
    </row>
    <row r="280" ht="14.25" customHeight="1">
      <c r="A280" s="5">
        <v>1271947.0</v>
      </c>
      <c r="B280" s="6" t="s">
        <v>1161</v>
      </c>
      <c r="C280" s="6" t="s">
        <v>18</v>
      </c>
      <c r="D280" s="6">
        <v>83265.0</v>
      </c>
      <c r="E280" s="6" t="s">
        <v>77</v>
      </c>
      <c r="F280" s="6" t="s">
        <v>41</v>
      </c>
      <c r="G280" s="6" t="s">
        <v>31</v>
      </c>
      <c r="H280" s="7">
        <v>2786.0</v>
      </c>
      <c r="I280" s="7">
        <v>1793.0</v>
      </c>
      <c r="J280" s="6">
        <v>1955.0</v>
      </c>
      <c r="K280" s="6">
        <v>25.0</v>
      </c>
      <c r="L280" s="6" t="s">
        <v>22</v>
      </c>
      <c r="M280" s="6" t="s">
        <v>1162</v>
      </c>
      <c r="N280" s="6" t="s">
        <v>43</v>
      </c>
      <c r="O280" s="6" t="s">
        <v>49</v>
      </c>
      <c r="P280" s="6">
        <f>COUNTIF(Analysis!$M$1:$M$3001,Analysis!$M280)</f>
        <v>1</v>
      </c>
      <c r="Q280" s="6" t="str">
        <f>IF(COUNTIF(Analysis!$M$2:$M$3001,Analysis!$M280)&gt;1,"Duplicate","OK")</f>
        <v>OK</v>
      </c>
      <c r="R280" s="6" t="str">
        <f t="shared" si="1"/>
        <v>2600-3600</v>
      </c>
      <c r="S280" s="6">
        <f t="shared" si="2"/>
        <v>71</v>
      </c>
      <c r="T280" s="6" t="str">
        <f t="shared" si="3"/>
        <v>Very Old</v>
      </c>
    </row>
    <row r="281" ht="14.25" customHeight="1">
      <c r="A281" s="5">
        <v>830918.0</v>
      </c>
      <c r="B281" s="6" t="s">
        <v>1165</v>
      </c>
      <c r="C281" s="6" t="s">
        <v>53</v>
      </c>
      <c r="D281" s="6">
        <v>68268.0</v>
      </c>
      <c r="E281" s="6" t="s">
        <v>60</v>
      </c>
      <c r="F281" s="6" t="s">
        <v>54</v>
      </c>
      <c r="G281" s="6" t="s">
        <v>21</v>
      </c>
      <c r="H281" s="7">
        <v>1392.0</v>
      </c>
      <c r="I281" s="7">
        <v>3648.0</v>
      </c>
      <c r="J281" s="6">
        <v>1997.0</v>
      </c>
      <c r="K281" s="6">
        <v>68.0</v>
      </c>
      <c r="L281" s="6" t="s">
        <v>22</v>
      </c>
      <c r="M281" s="6" t="s">
        <v>1166</v>
      </c>
      <c r="N281" s="6" t="s">
        <v>24</v>
      </c>
      <c r="O281" s="6" t="s">
        <v>35</v>
      </c>
      <c r="P281" s="6">
        <f>COUNTIF(Analysis!$M$1:$M$3001,Analysis!$M281)</f>
        <v>1</v>
      </c>
      <c r="Q281" s="6" t="str">
        <f>IF(COUNTIF(Analysis!$M$2:$M$3001,Analysis!$M281)&gt;1,"Duplicate","OK")</f>
        <v>OK</v>
      </c>
      <c r="R281" s="6" t="str">
        <f t="shared" si="1"/>
        <v>600-1600</v>
      </c>
      <c r="S281" s="6">
        <f t="shared" si="2"/>
        <v>29</v>
      </c>
      <c r="T281" s="6" t="str">
        <f t="shared" si="3"/>
        <v>Mid</v>
      </c>
    </row>
    <row r="282" ht="14.25" customHeight="1">
      <c r="A282" s="5">
        <v>671864.0</v>
      </c>
      <c r="B282" s="6" t="s">
        <v>1169</v>
      </c>
      <c r="C282" s="6" t="s">
        <v>53</v>
      </c>
      <c r="D282" s="6">
        <v>82504.0</v>
      </c>
      <c r="E282" s="6" t="s">
        <v>60</v>
      </c>
      <c r="F282" s="6" t="s">
        <v>20</v>
      </c>
      <c r="G282" s="6" t="s">
        <v>55</v>
      </c>
      <c r="H282" s="7">
        <v>3679.0</v>
      </c>
      <c r="I282" s="7">
        <v>2956.0</v>
      </c>
      <c r="J282" s="6">
        <v>1984.0</v>
      </c>
      <c r="K282" s="6">
        <v>5.0</v>
      </c>
      <c r="L282" s="6" t="s">
        <v>32</v>
      </c>
      <c r="M282" s="6" t="s">
        <v>1170</v>
      </c>
      <c r="N282" s="6" t="s">
        <v>64</v>
      </c>
      <c r="O282" s="6" t="s">
        <v>49</v>
      </c>
      <c r="P282" s="6">
        <f>COUNTIF(Analysis!$M$1:$M$3001,Analysis!$M282)</f>
        <v>1</v>
      </c>
      <c r="Q282" s="6" t="str">
        <f>IF(COUNTIF(Analysis!$M$2:$M$3001,Analysis!$M282)&gt;1,"Duplicate","OK")</f>
        <v>OK</v>
      </c>
      <c r="R282" s="6" t="str">
        <f t="shared" si="1"/>
        <v>3600+</v>
      </c>
      <c r="S282" s="6">
        <f t="shared" si="2"/>
        <v>42</v>
      </c>
      <c r="T282" s="6" t="str">
        <f t="shared" si="3"/>
        <v>Old</v>
      </c>
    </row>
    <row r="283" ht="14.25" customHeight="1">
      <c r="A283" s="5">
        <v>247370.0</v>
      </c>
      <c r="B283" s="6" t="s">
        <v>6549</v>
      </c>
      <c r="C283" s="6" t="s">
        <v>29</v>
      </c>
      <c r="D283" s="6">
        <v>72560.0</v>
      </c>
      <c r="E283" s="6" t="s">
        <v>40</v>
      </c>
      <c r="F283" s="6" t="s">
        <v>46</v>
      </c>
      <c r="G283" s="6" t="s">
        <v>31</v>
      </c>
      <c r="H283" s="7">
        <v>2229.0</v>
      </c>
      <c r="I283" s="7">
        <v>6047.0</v>
      </c>
      <c r="J283" s="6">
        <v>1978.0</v>
      </c>
      <c r="K283" s="6">
        <v>18.0</v>
      </c>
      <c r="L283" s="6" t="s">
        <v>32</v>
      </c>
      <c r="M283" s="6" t="s">
        <v>6550</v>
      </c>
      <c r="N283" s="6" t="s">
        <v>34</v>
      </c>
      <c r="O283" s="6" t="s">
        <v>49</v>
      </c>
      <c r="P283" s="6">
        <f>COUNTIF(Analysis!$M$1:$M$3001,Analysis!$M1628)</f>
        <v>1</v>
      </c>
      <c r="Q283" s="6" t="str">
        <f>IF(COUNTIF(Analysis!$M$2:$M$3001,Analysis!$M1628)&gt;1,"Duplicate","OK")</f>
        <v>OK</v>
      </c>
      <c r="R283" s="6" t="str">
        <f t="shared" si="1"/>
        <v>1600-2600</v>
      </c>
      <c r="S283" s="6">
        <f t="shared" si="2"/>
        <v>48</v>
      </c>
      <c r="T283" s="6" t="str">
        <f t="shared" si="3"/>
        <v>Old</v>
      </c>
    </row>
    <row r="284" ht="14.25" customHeight="1">
      <c r="A284" s="5">
        <v>247619.0</v>
      </c>
      <c r="B284" s="6" t="s">
        <v>1073</v>
      </c>
      <c r="C284" s="6" t="s">
        <v>29</v>
      </c>
      <c r="D284" s="6">
        <v>95150.0</v>
      </c>
      <c r="E284" s="6" t="s">
        <v>77</v>
      </c>
      <c r="F284" s="6" t="s">
        <v>94</v>
      </c>
      <c r="G284" s="6" t="s">
        <v>31</v>
      </c>
      <c r="H284" s="7">
        <v>1697.0</v>
      </c>
      <c r="I284" s="7">
        <v>2200.0</v>
      </c>
      <c r="J284" s="6">
        <v>1997.0</v>
      </c>
      <c r="K284" s="6">
        <v>119.0</v>
      </c>
      <c r="L284" s="6" t="s">
        <v>32</v>
      </c>
      <c r="M284" s="6" t="s">
        <v>1074</v>
      </c>
      <c r="N284" s="6" t="s">
        <v>64</v>
      </c>
      <c r="O284" s="6" t="s">
        <v>25</v>
      </c>
      <c r="P284" s="6">
        <f>COUNTIF(Analysis!$M$1:$M$3001,Analysis!$M258)</f>
        <v>1</v>
      </c>
      <c r="Q284" s="6" t="str">
        <f>IF(COUNTIF(Analysis!$M$2:$M$3001,Analysis!$M258)&gt;1,"Duplicate","OK")</f>
        <v>OK</v>
      </c>
      <c r="R284" s="6" t="str">
        <f t="shared" si="1"/>
        <v>1600-2600</v>
      </c>
      <c r="S284" s="6">
        <f t="shared" si="2"/>
        <v>29</v>
      </c>
      <c r="T284" s="6" t="str">
        <f t="shared" si="3"/>
        <v>Mid</v>
      </c>
    </row>
    <row r="285" ht="14.25" customHeight="1">
      <c r="A285" s="5">
        <v>1338663.0</v>
      </c>
      <c r="B285" s="6" t="s">
        <v>1181</v>
      </c>
      <c r="C285" s="6" t="s">
        <v>18</v>
      </c>
      <c r="D285" s="6">
        <v>69169.0</v>
      </c>
      <c r="E285" s="6" t="s">
        <v>19</v>
      </c>
      <c r="F285" s="6" t="s">
        <v>41</v>
      </c>
      <c r="G285" s="6" t="s">
        <v>55</v>
      </c>
      <c r="H285" s="7">
        <v>1334.0</v>
      </c>
      <c r="I285" s="7">
        <v>1444.0</v>
      </c>
      <c r="J285" s="6">
        <v>1967.0</v>
      </c>
      <c r="K285" s="6">
        <v>45.0</v>
      </c>
      <c r="L285" s="6" t="s">
        <v>22</v>
      </c>
      <c r="M285" s="6" t="s">
        <v>1182</v>
      </c>
      <c r="N285" s="6" t="s">
        <v>48</v>
      </c>
      <c r="O285" s="6" t="s">
        <v>25</v>
      </c>
      <c r="P285" s="6">
        <f>COUNTIF(Analysis!$M$1:$M$3001,Analysis!$M285)</f>
        <v>1</v>
      </c>
      <c r="Q285" s="6" t="str">
        <f>IF(COUNTIF(Analysis!$M$2:$M$3001,Analysis!$M285)&gt;1,"Duplicate","OK")</f>
        <v>OK</v>
      </c>
      <c r="R285" s="6" t="str">
        <f t="shared" si="1"/>
        <v>600-1600</v>
      </c>
      <c r="S285" s="6">
        <f t="shared" si="2"/>
        <v>59</v>
      </c>
      <c r="T285" s="6" t="str">
        <f t="shared" si="3"/>
        <v>Old</v>
      </c>
    </row>
    <row r="286" ht="14.25" customHeight="1">
      <c r="A286" s="5">
        <v>249975.0</v>
      </c>
      <c r="B286" s="6" t="s">
        <v>345</v>
      </c>
      <c r="C286" s="6" t="s">
        <v>29</v>
      </c>
      <c r="D286" s="6">
        <v>21440.0</v>
      </c>
      <c r="E286" s="6" t="s">
        <v>40</v>
      </c>
      <c r="F286" s="6" t="s">
        <v>61</v>
      </c>
      <c r="G286" s="6" t="s">
        <v>31</v>
      </c>
      <c r="H286" s="7">
        <v>2625.0</v>
      </c>
      <c r="I286" s="7">
        <v>5667.0</v>
      </c>
      <c r="J286" s="6">
        <v>1968.0</v>
      </c>
      <c r="K286" s="6">
        <v>96.0</v>
      </c>
      <c r="L286" s="6" t="s">
        <v>22</v>
      </c>
      <c r="M286" s="6" t="s">
        <v>346</v>
      </c>
      <c r="N286" s="6" t="s">
        <v>34</v>
      </c>
      <c r="O286" s="6" t="s">
        <v>35</v>
      </c>
      <c r="P286" s="6">
        <f>COUNTIF(Analysis!$M$1:$M$3001,Analysis!$M76)</f>
        <v>1</v>
      </c>
      <c r="Q286" s="6" t="str">
        <f>IF(COUNTIF(Analysis!$M$2:$M$3001,Analysis!$M76)&gt;1,"Duplicate","OK")</f>
        <v>OK</v>
      </c>
      <c r="R286" s="6" t="str">
        <f t="shared" si="1"/>
        <v>2600-3600</v>
      </c>
      <c r="S286" s="6">
        <f t="shared" si="2"/>
        <v>58</v>
      </c>
      <c r="T286" s="6" t="str">
        <f t="shared" si="3"/>
        <v>Old</v>
      </c>
    </row>
    <row r="287" ht="14.25" customHeight="1">
      <c r="A287" s="5">
        <v>646444.0</v>
      </c>
      <c r="B287" s="6" t="s">
        <v>1189</v>
      </c>
      <c r="C287" s="6" t="s">
        <v>76</v>
      </c>
      <c r="D287" s="6">
        <v>61212.0</v>
      </c>
      <c r="E287" s="6" t="s">
        <v>19</v>
      </c>
      <c r="F287" s="6" t="s">
        <v>46</v>
      </c>
      <c r="G287" s="6" t="s">
        <v>55</v>
      </c>
      <c r="H287" s="7">
        <v>1647.0</v>
      </c>
      <c r="I287" s="7">
        <v>6325.0</v>
      </c>
      <c r="J287" s="6">
        <v>2004.0</v>
      </c>
      <c r="K287" s="6">
        <v>73.0</v>
      </c>
      <c r="L287" s="6" t="s">
        <v>62</v>
      </c>
      <c r="M287" s="6" t="s">
        <v>1190</v>
      </c>
      <c r="N287" s="6" t="s">
        <v>34</v>
      </c>
      <c r="O287" s="6" t="s">
        <v>25</v>
      </c>
      <c r="P287" s="6">
        <f>COUNTIF(Analysis!$M$1:$M$3001,Analysis!$M287)</f>
        <v>1</v>
      </c>
      <c r="Q287" s="6" t="str">
        <f>IF(COUNTIF(Analysis!$M$2:$M$3001,Analysis!$M287)&gt;1,"Duplicate","OK")</f>
        <v>OK</v>
      </c>
      <c r="R287" s="6" t="str">
        <f t="shared" si="1"/>
        <v>1600-2600</v>
      </c>
      <c r="S287" s="6">
        <f t="shared" si="2"/>
        <v>22</v>
      </c>
      <c r="T287" s="6" t="str">
        <f t="shared" si="3"/>
        <v>Mid</v>
      </c>
    </row>
    <row r="288" ht="14.25" customHeight="1">
      <c r="A288" s="5">
        <v>1413534.0</v>
      </c>
      <c r="B288" s="6" t="s">
        <v>1193</v>
      </c>
      <c r="C288" s="6" t="s">
        <v>76</v>
      </c>
      <c r="D288" s="6">
        <v>33992.0</v>
      </c>
      <c r="E288" s="6" t="s">
        <v>19</v>
      </c>
      <c r="F288" s="6" t="s">
        <v>41</v>
      </c>
      <c r="G288" s="6" t="s">
        <v>55</v>
      </c>
      <c r="H288" s="7">
        <v>2609.0</v>
      </c>
      <c r="I288" s="7">
        <v>6952.0</v>
      </c>
      <c r="J288" s="6">
        <v>1967.0</v>
      </c>
      <c r="K288" s="6">
        <v>38.0</v>
      </c>
      <c r="L288" s="6" t="s">
        <v>95</v>
      </c>
      <c r="M288" s="6" t="s">
        <v>1194</v>
      </c>
      <c r="N288" s="6" t="s">
        <v>24</v>
      </c>
      <c r="O288" s="6" t="s">
        <v>35</v>
      </c>
      <c r="P288" s="6">
        <f>COUNTIF(Analysis!$M$1:$M$3001,Analysis!$M288)</f>
        <v>1</v>
      </c>
      <c r="Q288" s="6" t="str">
        <f>IF(COUNTIF(Analysis!$M$2:$M$3001,Analysis!$M288)&gt;1,"Duplicate","OK")</f>
        <v>OK</v>
      </c>
      <c r="R288" s="6" t="str">
        <f t="shared" si="1"/>
        <v>2600-3600</v>
      </c>
      <c r="S288" s="6">
        <f t="shared" si="2"/>
        <v>59</v>
      </c>
      <c r="T288" s="6" t="str">
        <f t="shared" si="3"/>
        <v>Old</v>
      </c>
    </row>
    <row r="289" ht="14.25" customHeight="1">
      <c r="A289" s="5">
        <v>878844.0</v>
      </c>
      <c r="B289" s="6" t="s">
        <v>1197</v>
      </c>
      <c r="C289" s="6" t="s">
        <v>39</v>
      </c>
      <c r="D289" s="6">
        <v>89948.0</v>
      </c>
      <c r="E289" s="6" t="s">
        <v>60</v>
      </c>
      <c r="F289" s="6" t="s">
        <v>46</v>
      </c>
      <c r="G289" s="6" t="s">
        <v>21</v>
      </c>
      <c r="H289" s="7">
        <v>2480.0</v>
      </c>
      <c r="I289" s="7">
        <v>4589.0</v>
      </c>
      <c r="J289" s="6">
        <v>1980.0</v>
      </c>
      <c r="K289" s="6">
        <v>51.0</v>
      </c>
      <c r="L289" s="6" t="s">
        <v>32</v>
      </c>
      <c r="M289" s="6" t="s">
        <v>1198</v>
      </c>
      <c r="N289" s="6" t="s">
        <v>48</v>
      </c>
      <c r="O289" s="6" t="s">
        <v>49</v>
      </c>
      <c r="P289" s="6">
        <f>COUNTIF(Analysis!$M$1:$M$3001,Analysis!$M289)</f>
        <v>1</v>
      </c>
      <c r="Q289" s="6" t="str">
        <f>IF(COUNTIF(Analysis!$M$2:$M$3001,Analysis!$M289)&gt;1,"Duplicate","OK")</f>
        <v>OK</v>
      </c>
      <c r="R289" s="6" t="str">
        <f t="shared" si="1"/>
        <v>1600-2600</v>
      </c>
      <c r="S289" s="6">
        <f t="shared" si="2"/>
        <v>46</v>
      </c>
      <c r="T289" s="6" t="str">
        <f t="shared" si="3"/>
        <v>Old</v>
      </c>
    </row>
    <row r="290" ht="14.25" customHeight="1">
      <c r="A290" s="5">
        <v>190823.0</v>
      </c>
      <c r="B290" s="6" t="s">
        <v>1201</v>
      </c>
      <c r="C290" s="6" t="s">
        <v>53</v>
      </c>
      <c r="D290" s="6">
        <v>39510.0</v>
      </c>
      <c r="E290" s="6" t="s">
        <v>60</v>
      </c>
      <c r="F290" s="6" t="s">
        <v>54</v>
      </c>
      <c r="G290" s="6" t="s">
        <v>21</v>
      </c>
      <c r="H290" s="7">
        <v>3946.0</v>
      </c>
      <c r="I290" s="7">
        <v>1509.0</v>
      </c>
      <c r="J290" s="6">
        <v>2003.0</v>
      </c>
      <c r="K290" s="6">
        <v>48.0</v>
      </c>
      <c r="L290" s="6" t="s">
        <v>32</v>
      </c>
      <c r="M290" s="6" t="s">
        <v>1202</v>
      </c>
      <c r="N290" s="6" t="s">
        <v>48</v>
      </c>
      <c r="O290" s="6" t="s">
        <v>35</v>
      </c>
      <c r="P290" s="6">
        <f>COUNTIF(Analysis!$M$1:$M$3001,Analysis!$M290)</f>
        <v>1</v>
      </c>
      <c r="Q290" s="6" t="str">
        <f>IF(COUNTIF(Analysis!$M$2:$M$3001,Analysis!$M290)&gt;1,"Duplicate","OK")</f>
        <v>OK</v>
      </c>
      <c r="R290" s="6" t="str">
        <f t="shared" si="1"/>
        <v>3600+</v>
      </c>
      <c r="S290" s="6">
        <f t="shared" si="2"/>
        <v>23</v>
      </c>
      <c r="T290" s="6" t="str">
        <f t="shared" si="3"/>
        <v>Mid</v>
      </c>
    </row>
    <row r="291" ht="14.25" customHeight="1">
      <c r="A291" s="5">
        <v>248712.0</v>
      </c>
      <c r="B291" s="6" t="s">
        <v>1205</v>
      </c>
      <c r="C291" s="6" t="s">
        <v>53</v>
      </c>
      <c r="D291" s="6">
        <v>43515.0</v>
      </c>
      <c r="E291" s="6" t="s">
        <v>40</v>
      </c>
      <c r="F291" s="6" t="s">
        <v>94</v>
      </c>
      <c r="G291" s="6" t="s">
        <v>31</v>
      </c>
      <c r="H291" s="7">
        <v>903.0</v>
      </c>
      <c r="I291" s="7">
        <v>6778.0</v>
      </c>
      <c r="J291" s="6">
        <v>1995.0</v>
      </c>
      <c r="K291" s="6">
        <v>16.0</v>
      </c>
      <c r="L291" s="6" t="s">
        <v>22</v>
      </c>
      <c r="M291" s="6" t="s">
        <v>1206</v>
      </c>
      <c r="N291" s="6" t="s">
        <v>48</v>
      </c>
      <c r="O291" s="6" t="s">
        <v>25</v>
      </c>
      <c r="P291" s="6">
        <f>COUNTIF(Analysis!$M$1:$M$3001,Analysis!$M291)</f>
        <v>1</v>
      </c>
      <c r="Q291" s="6" t="str">
        <f>IF(COUNTIF(Analysis!$M$2:$M$3001,Analysis!$M291)&gt;1,"Duplicate","OK")</f>
        <v>OK</v>
      </c>
      <c r="R291" s="6" t="str">
        <f t="shared" si="1"/>
        <v>600-1600</v>
      </c>
      <c r="S291" s="6">
        <f t="shared" si="2"/>
        <v>31</v>
      </c>
      <c r="T291" s="6" t="str">
        <f t="shared" si="3"/>
        <v>Old</v>
      </c>
    </row>
    <row r="292" ht="14.25" customHeight="1">
      <c r="A292" s="5">
        <v>274794.0</v>
      </c>
      <c r="B292" s="6" t="s">
        <v>1209</v>
      </c>
      <c r="C292" s="6" t="s">
        <v>18</v>
      </c>
      <c r="D292" s="6">
        <v>18058.0</v>
      </c>
      <c r="E292" s="6" t="s">
        <v>19</v>
      </c>
      <c r="F292" s="6" t="s">
        <v>20</v>
      </c>
      <c r="G292" s="6" t="s">
        <v>31</v>
      </c>
      <c r="H292" s="7">
        <v>1360.0</v>
      </c>
      <c r="I292" s="7">
        <v>6947.0</v>
      </c>
      <c r="J292" s="6">
        <v>1953.0</v>
      </c>
      <c r="K292" s="6">
        <v>36.0</v>
      </c>
      <c r="L292" s="6" t="s">
        <v>141</v>
      </c>
      <c r="M292" s="6" t="s">
        <v>1210</v>
      </c>
      <c r="N292" s="6" t="s">
        <v>64</v>
      </c>
      <c r="O292" s="6" t="s">
        <v>35</v>
      </c>
      <c r="P292" s="6">
        <f>COUNTIF(Analysis!$M$1:$M$3001,Analysis!$M292)</f>
        <v>1</v>
      </c>
      <c r="Q292" s="6" t="str">
        <f>IF(COUNTIF(Analysis!$M$2:$M$3001,Analysis!$M292)&gt;1,"Duplicate","OK")</f>
        <v>OK</v>
      </c>
      <c r="R292" s="6" t="str">
        <f t="shared" si="1"/>
        <v>600-1600</v>
      </c>
      <c r="S292" s="6">
        <f t="shared" si="2"/>
        <v>73</v>
      </c>
      <c r="T292" s="6" t="str">
        <f t="shared" si="3"/>
        <v>Very Old</v>
      </c>
    </row>
    <row r="293" ht="14.25" customHeight="1">
      <c r="A293" s="5">
        <v>249833.0</v>
      </c>
      <c r="B293" s="6" t="s">
        <v>1213</v>
      </c>
      <c r="C293" s="6" t="s">
        <v>18</v>
      </c>
      <c r="D293" s="6">
        <v>77353.0</v>
      </c>
      <c r="E293" s="6" t="s">
        <v>19</v>
      </c>
      <c r="F293" s="6" t="s">
        <v>61</v>
      </c>
      <c r="G293" s="6" t="s">
        <v>55</v>
      </c>
      <c r="H293" s="7">
        <v>975.0</v>
      </c>
      <c r="I293" s="7">
        <v>3978.0</v>
      </c>
      <c r="J293" s="6">
        <v>1977.0</v>
      </c>
      <c r="K293" s="6">
        <v>43.0</v>
      </c>
      <c r="L293" s="6" t="s">
        <v>32</v>
      </c>
      <c r="M293" s="6" t="s">
        <v>1214</v>
      </c>
      <c r="N293" s="6" t="s">
        <v>43</v>
      </c>
      <c r="O293" s="6" t="s">
        <v>25</v>
      </c>
      <c r="P293" s="6">
        <f>COUNTIF(Analysis!$M$1:$M$3001,Analysis!$M293)</f>
        <v>1</v>
      </c>
      <c r="Q293" s="6" t="str">
        <f>IF(COUNTIF(Analysis!$M$2:$M$3001,Analysis!$M293)&gt;1,"Duplicate","OK")</f>
        <v>OK</v>
      </c>
      <c r="R293" s="6" t="str">
        <f t="shared" si="1"/>
        <v>600-1600</v>
      </c>
      <c r="S293" s="6">
        <f t="shared" si="2"/>
        <v>49</v>
      </c>
      <c r="T293" s="6" t="str">
        <f t="shared" si="3"/>
        <v>Old</v>
      </c>
    </row>
    <row r="294" ht="14.25" customHeight="1">
      <c r="A294" s="5">
        <v>1025908.0</v>
      </c>
      <c r="B294" s="6" t="s">
        <v>1217</v>
      </c>
      <c r="C294" s="6" t="s">
        <v>39</v>
      </c>
      <c r="D294" s="6">
        <v>42636.0</v>
      </c>
      <c r="E294" s="6" t="s">
        <v>60</v>
      </c>
      <c r="F294" s="6" t="s">
        <v>41</v>
      </c>
      <c r="G294" s="6" t="s">
        <v>55</v>
      </c>
      <c r="H294" s="7">
        <v>3658.0</v>
      </c>
      <c r="I294" s="7">
        <v>7281.0</v>
      </c>
      <c r="J294" s="6">
        <v>1985.0</v>
      </c>
      <c r="K294" s="6">
        <v>43.0</v>
      </c>
      <c r="L294" s="6" t="s">
        <v>62</v>
      </c>
      <c r="M294" s="6" t="s">
        <v>1218</v>
      </c>
      <c r="N294" s="6" t="s">
        <v>64</v>
      </c>
      <c r="O294" s="6" t="s">
        <v>49</v>
      </c>
      <c r="P294" s="6">
        <f>COUNTIF(Analysis!$M$1:$M$3001,Analysis!$M294)</f>
        <v>1</v>
      </c>
      <c r="Q294" s="6" t="str">
        <f>IF(COUNTIF(Analysis!$M$2:$M$3001,Analysis!$M294)&gt;1,"Duplicate","OK")</f>
        <v>OK</v>
      </c>
      <c r="R294" s="6" t="str">
        <f t="shared" si="1"/>
        <v>3600+</v>
      </c>
      <c r="S294" s="6">
        <f t="shared" si="2"/>
        <v>41</v>
      </c>
      <c r="T294" s="6" t="str">
        <f t="shared" si="3"/>
        <v>Old</v>
      </c>
    </row>
    <row r="295" ht="14.25" customHeight="1">
      <c r="A295" s="5">
        <v>274061.0</v>
      </c>
      <c r="B295" s="6" t="s">
        <v>1221</v>
      </c>
      <c r="C295" s="6" t="s">
        <v>76</v>
      </c>
      <c r="D295" s="6">
        <v>68531.0</v>
      </c>
      <c r="E295" s="6" t="s">
        <v>40</v>
      </c>
      <c r="F295" s="6" t="s">
        <v>20</v>
      </c>
      <c r="G295" s="6" t="s">
        <v>21</v>
      </c>
      <c r="H295" s="7">
        <v>899.0</v>
      </c>
      <c r="I295" s="7">
        <v>8551.0</v>
      </c>
      <c r="J295" s="6">
        <v>1978.0</v>
      </c>
      <c r="K295" s="6">
        <v>34.0</v>
      </c>
      <c r="L295" s="6" t="s">
        <v>95</v>
      </c>
      <c r="M295" s="6" t="s">
        <v>1222</v>
      </c>
      <c r="N295" s="6" t="s">
        <v>43</v>
      </c>
      <c r="O295" s="6" t="s">
        <v>49</v>
      </c>
      <c r="P295" s="6">
        <f>COUNTIF(Analysis!$M$1:$M$3001,Analysis!$M295)</f>
        <v>1</v>
      </c>
      <c r="Q295" s="6" t="str">
        <f>IF(COUNTIF(Analysis!$M$2:$M$3001,Analysis!$M295)&gt;1,"Duplicate","OK")</f>
        <v>OK</v>
      </c>
      <c r="R295" s="6" t="str">
        <f t="shared" si="1"/>
        <v>600-1600</v>
      </c>
      <c r="S295" s="6">
        <f t="shared" si="2"/>
        <v>48</v>
      </c>
      <c r="T295" s="6" t="str">
        <f t="shared" si="3"/>
        <v>Old</v>
      </c>
    </row>
    <row r="296" ht="14.25" customHeight="1">
      <c r="A296" s="5">
        <v>1092223.0</v>
      </c>
      <c r="B296" s="6" t="s">
        <v>1225</v>
      </c>
      <c r="C296" s="6" t="s">
        <v>76</v>
      </c>
      <c r="D296" s="6">
        <v>81859.0</v>
      </c>
      <c r="E296" s="6" t="s">
        <v>60</v>
      </c>
      <c r="F296" s="6" t="s">
        <v>20</v>
      </c>
      <c r="G296" s="6" t="s">
        <v>100</v>
      </c>
      <c r="H296" s="7">
        <v>705.0</v>
      </c>
      <c r="I296" s="7">
        <v>6698.0</v>
      </c>
      <c r="J296" s="6">
        <v>2012.0</v>
      </c>
      <c r="K296" s="6">
        <v>99.0</v>
      </c>
      <c r="L296" s="6" t="s">
        <v>62</v>
      </c>
      <c r="M296" s="6" t="s">
        <v>1226</v>
      </c>
      <c r="N296" s="6" t="s">
        <v>43</v>
      </c>
      <c r="O296" s="6" t="s">
        <v>25</v>
      </c>
      <c r="P296" s="6">
        <f>COUNTIF(Analysis!$M$1:$M$3001,Analysis!$M296)</f>
        <v>1</v>
      </c>
      <c r="Q296" s="6" t="str">
        <f>IF(COUNTIF(Analysis!$M$2:$M$3001,Analysis!$M296)&gt;1,"Duplicate","OK")</f>
        <v>OK</v>
      </c>
      <c r="R296" s="6" t="str">
        <f t="shared" si="1"/>
        <v>600-1600</v>
      </c>
      <c r="S296" s="6">
        <f t="shared" si="2"/>
        <v>14</v>
      </c>
      <c r="T296" s="6" t="str">
        <f t="shared" si="3"/>
        <v>Mid</v>
      </c>
    </row>
    <row r="297" ht="14.25" customHeight="1">
      <c r="A297" s="5">
        <v>1249985.0</v>
      </c>
      <c r="B297" s="6" t="s">
        <v>1229</v>
      </c>
      <c r="C297" s="6" t="s">
        <v>39</v>
      </c>
      <c r="D297" s="6">
        <v>72975.0</v>
      </c>
      <c r="E297" s="6" t="s">
        <v>77</v>
      </c>
      <c r="F297" s="6" t="s">
        <v>54</v>
      </c>
      <c r="G297" s="6" t="s">
        <v>55</v>
      </c>
      <c r="H297" s="7">
        <v>1298.0</v>
      </c>
      <c r="I297" s="7">
        <v>9755.0</v>
      </c>
      <c r="J297" s="6">
        <v>1997.0</v>
      </c>
      <c r="K297" s="6">
        <v>44.0</v>
      </c>
      <c r="L297" s="6" t="s">
        <v>95</v>
      </c>
      <c r="M297" s="6" t="s">
        <v>1230</v>
      </c>
      <c r="N297" s="6" t="s">
        <v>64</v>
      </c>
      <c r="O297" s="6" t="s">
        <v>35</v>
      </c>
      <c r="P297" s="6">
        <f>COUNTIF(Analysis!$M$1:$M$3001,Analysis!$M297)</f>
        <v>1</v>
      </c>
      <c r="Q297" s="6" t="str">
        <f>IF(COUNTIF(Analysis!$M$2:$M$3001,Analysis!$M297)&gt;1,"Duplicate","OK")</f>
        <v>OK</v>
      </c>
      <c r="R297" s="6" t="str">
        <f t="shared" si="1"/>
        <v>600-1600</v>
      </c>
      <c r="S297" s="6">
        <f t="shared" si="2"/>
        <v>29</v>
      </c>
      <c r="T297" s="6" t="str">
        <f t="shared" si="3"/>
        <v>Mid</v>
      </c>
    </row>
    <row r="298" ht="14.25" customHeight="1">
      <c r="A298" s="5">
        <v>256879.0</v>
      </c>
      <c r="B298" s="6" t="s">
        <v>4599</v>
      </c>
      <c r="C298" s="6" t="s">
        <v>29</v>
      </c>
      <c r="D298" s="6">
        <v>25830.0</v>
      </c>
      <c r="E298" s="6" t="s">
        <v>77</v>
      </c>
      <c r="F298" s="6" t="s">
        <v>61</v>
      </c>
      <c r="G298" s="6" t="s">
        <v>100</v>
      </c>
      <c r="H298" s="7">
        <v>3779.0</v>
      </c>
      <c r="I298" s="7">
        <v>8805.0</v>
      </c>
      <c r="J298" s="6">
        <v>1977.0</v>
      </c>
      <c r="K298" s="6">
        <v>22.0</v>
      </c>
      <c r="L298" s="6" t="s">
        <v>62</v>
      </c>
      <c r="M298" s="6" t="s">
        <v>4600</v>
      </c>
      <c r="N298" s="6" t="s">
        <v>48</v>
      </c>
      <c r="O298" s="6" t="s">
        <v>25</v>
      </c>
      <c r="P298" s="6">
        <f>COUNTIF(Analysis!$M$1:$M$3001,Analysis!$M1140)</f>
        <v>1</v>
      </c>
      <c r="Q298" s="6" t="str">
        <f>IF(COUNTIF(Analysis!$M$2:$M$3001,Analysis!$M1140)&gt;1,"Duplicate","OK")</f>
        <v>OK</v>
      </c>
      <c r="R298" s="6" t="str">
        <f t="shared" si="1"/>
        <v>3600+</v>
      </c>
      <c r="S298" s="6">
        <f t="shared" si="2"/>
        <v>49</v>
      </c>
      <c r="T298" s="6" t="str">
        <f t="shared" si="3"/>
        <v>Old</v>
      </c>
    </row>
    <row r="299" ht="14.25" customHeight="1">
      <c r="A299" s="5">
        <v>825149.0</v>
      </c>
      <c r="B299" s="6" t="s">
        <v>1237</v>
      </c>
      <c r="C299" s="6" t="s">
        <v>39</v>
      </c>
      <c r="D299" s="6">
        <v>79684.0</v>
      </c>
      <c r="E299" s="6" t="s">
        <v>60</v>
      </c>
      <c r="F299" s="6" t="s">
        <v>41</v>
      </c>
      <c r="G299" s="6" t="s">
        <v>21</v>
      </c>
      <c r="H299" s="7">
        <v>1482.0</v>
      </c>
      <c r="I299" s="7">
        <v>1355.0</v>
      </c>
      <c r="J299" s="6">
        <v>1952.0</v>
      </c>
      <c r="K299" s="6">
        <v>63.0</v>
      </c>
      <c r="L299" s="6" t="s">
        <v>22</v>
      </c>
      <c r="M299" s="6" t="s">
        <v>1238</v>
      </c>
      <c r="N299" s="6" t="s">
        <v>43</v>
      </c>
      <c r="O299" s="6" t="s">
        <v>25</v>
      </c>
      <c r="P299" s="6">
        <f>COUNTIF(Analysis!$M$1:$M$3001,Analysis!$M299)</f>
        <v>1</v>
      </c>
      <c r="Q299" s="6" t="str">
        <f>IF(COUNTIF(Analysis!$M$2:$M$3001,Analysis!$M299)&gt;1,"Duplicate","OK")</f>
        <v>OK</v>
      </c>
      <c r="R299" s="6" t="str">
        <f t="shared" si="1"/>
        <v>600-1600</v>
      </c>
      <c r="S299" s="6">
        <f t="shared" si="2"/>
        <v>74</v>
      </c>
      <c r="T299" s="6" t="str">
        <f t="shared" si="3"/>
        <v>Very Old</v>
      </c>
    </row>
    <row r="300" ht="14.25" customHeight="1">
      <c r="A300" s="5">
        <v>1411144.0</v>
      </c>
      <c r="B300" s="6" t="s">
        <v>1241</v>
      </c>
      <c r="C300" s="6" t="s">
        <v>18</v>
      </c>
      <c r="D300" s="6">
        <v>72177.0</v>
      </c>
      <c r="E300" s="6" t="s">
        <v>30</v>
      </c>
      <c r="F300" s="6" t="s">
        <v>54</v>
      </c>
      <c r="G300" s="6" t="s">
        <v>31</v>
      </c>
      <c r="H300" s="7">
        <v>838.0</v>
      </c>
      <c r="I300" s="7">
        <v>7283.0</v>
      </c>
      <c r="J300" s="6">
        <v>1963.0</v>
      </c>
      <c r="K300" s="6">
        <v>103.0</v>
      </c>
      <c r="L300" s="6" t="s">
        <v>95</v>
      </c>
      <c r="M300" s="6" t="s">
        <v>1242</v>
      </c>
      <c r="N300" s="6" t="s">
        <v>43</v>
      </c>
      <c r="O300" s="6" t="s">
        <v>25</v>
      </c>
      <c r="P300" s="6">
        <f>COUNTIF(Analysis!$M$1:$M$3001,Analysis!$M300)</f>
        <v>1</v>
      </c>
      <c r="Q300" s="6" t="str">
        <f>IF(COUNTIF(Analysis!$M$2:$M$3001,Analysis!$M300)&gt;1,"Duplicate","OK")</f>
        <v>OK</v>
      </c>
      <c r="R300" s="6" t="str">
        <f t="shared" si="1"/>
        <v>600-1600</v>
      </c>
      <c r="S300" s="6">
        <f t="shared" si="2"/>
        <v>63</v>
      </c>
      <c r="T300" s="6" t="str">
        <f t="shared" si="3"/>
        <v>Very Old</v>
      </c>
    </row>
    <row r="301" ht="14.25" customHeight="1">
      <c r="A301" s="5">
        <v>860572.0</v>
      </c>
      <c r="B301" s="6" t="s">
        <v>1245</v>
      </c>
      <c r="C301" s="6" t="s">
        <v>39</v>
      </c>
      <c r="D301" s="6">
        <v>81038.0</v>
      </c>
      <c r="E301" s="6" t="s">
        <v>60</v>
      </c>
      <c r="F301" s="6" t="s">
        <v>46</v>
      </c>
      <c r="G301" s="6" t="s">
        <v>21</v>
      </c>
      <c r="H301" s="7">
        <v>3059.0</v>
      </c>
      <c r="I301" s="7">
        <v>4115.0</v>
      </c>
      <c r="J301" s="6">
        <v>1974.0</v>
      </c>
      <c r="K301" s="6">
        <v>12.0</v>
      </c>
      <c r="L301" s="6" t="s">
        <v>141</v>
      </c>
      <c r="M301" s="6" t="s">
        <v>1246</v>
      </c>
      <c r="N301" s="6" t="s">
        <v>43</v>
      </c>
      <c r="O301" s="6" t="s">
        <v>35</v>
      </c>
      <c r="P301" s="6">
        <f>COUNTIF(Analysis!$M$1:$M$3001,Analysis!$M301)</f>
        <v>1</v>
      </c>
      <c r="Q301" s="6" t="str">
        <f>IF(COUNTIF(Analysis!$M$2:$M$3001,Analysis!$M301)&gt;1,"Duplicate","OK")</f>
        <v>OK</v>
      </c>
      <c r="R301" s="6" t="str">
        <f t="shared" si="1"/>
        <v>2600-3600</v>
      </c>
      <c r="S301" s="6">
        <f t="shared" si="2"/>
        <v>52</v>
      </c>
      <c r="T301" s="6" t="str">
        <f t="shared" si="3"/>
        <v>Old</v>
      </c>
    </row>
    <row r="302" ht="14.25" customHeight="1">
      <c r="A302" s="5">
        <v>727584.0</v>
      </c>
      <c r="B302" s="6" t="s">
        <v>1249</v>
      </c>
      <c r="C302" s="6" t="s">
        <v>53</v>
      </c>
      <c r="D302" s="6">
        <v>68343.0</v>
      </c>
      <c r="E302" s="6" t="s">
        <v>30</v>
      </c>
      <c r="F302" s="6" t="s">
        <v>61</v>
      </c>
      <c r="G302" s="6" t="s">
        <v>31</v>
      </c>
      <c r="H302" s="7">
        <v>620.0</v>
      </c>
      <c r="I302" s="7">
        <v>3573.0</v>
      </c>
      <c r="J302" s="6">
        <v>2008.0</v>
      </c>
      <c r="K302" s="6">
        <v>23.0</v>
      </c>
      <c r="L302" s="6" t="s">
        <v>22</v>
      </c>
      <c r="M302" s="6" t="s">
        <v>1250</v>
      </c>
      <c r="N302" s="6" t="s">
        <v>24</v>
      </c>
      <c r="O302" s="6" t="s">
        <v>35</v>
      </c>
      <c r="P302" s="6">
        <f>COUNTIF(Analysis!$M$1:$M$3001,Analysis!$M302)</f>
        <v>1</v>
      </c>
      <c r="Q302" s="6" t="str">
        <f>IF(COUNTIF(Analysis!$M$2:$M$3001,Analysis!$M302)&gt;1,"Duplicate","OK")</f>
        <v>OK</v>
      </c>
      <c r="R302" s="6" t="str">
        <f t="shared" si="1"/>
        <v>600-1600</v>
      </c>
      <c r="S302" s="6">
        <f t="shared" si="2"/>
        <v>18</v>
      </c>
      <c r="T302" s="6" t="str">
        <f t="shared" si="3"/>
        <v>Mid</v>
      </c>
    </row>
    <row r="303" ht="14.25" customHeight="1">
      <c r="A303" s="5">
        <v>259450.0</v>
      </c>
      <c r="B303" s="6" t="s">
        <v>11539</v>
      </c>
      <c r="C303" s="6" t="s">
        <v>29</v>
      </c>
      <c r="D303" s="6">
        <v>30783.0</v>
      </c>
      <c r="E303" s="6" t="s">
        <v>40</v>
      </c>
      <c r="F303" s="6" t="s">
        <v>46</v>
      </c>
      <c r="G303" s="6" t="s">
        <v>21</v>
      </c>
      <c r="H303" s="7">
        <v>1184.0</v>
      </c>
      <c r="I303" s="7">
        <v>8726.0</v>
      </c>
      <c r="J303" s="6">
        <v>2000.0</v>
      </c>
      <c r="K303" s="6">
        <v>14.0</v>
      </c>
      <c r="L303" s="6" t="s">
        <v>22</v>
      </c>
      <c r="M303" s="6" t="s">
        <v>11540</v>
      </c>
      <c r="N303" s="6" t="s">
        <v>34</v>
      </c>
      <c r="O303" s="6" t="s">
        <v>35</v>
      </c>
      <c r="P303" s="6">
        <f>COUNTIF(Analysis!$M$1:$M$3001,Analysis!$M2876)</f>
        <v>1</v>
      </c>
      <c r="Q303" s="6" t="str">
        <f>IF(COUNTIF(Analysis!$M$2:$M$3001,Analysis!$M2876)&gt;1,"Duplicate","OK")</f>
        <v>OK</v>
      </c>
      <c r="R303" s="6" t="str">
        <f t="shared" si="1"/>
        <v>600-1600</v>
      </c>
      <c r="S303" s="6">
        <f t="shared" si="2"/>
        <v>26</v>
      </c>
      <c r="T303" s="6" t="str">
        <f t="shared" si="3"/>
        <v>Mid</v>
      </c>
    </row>
    <row r="304" ht="14.25" customHeight="1">
      <c r="A304" s="5">
        <v>849860.0</v>
      </c>
      <c r="B304" s="6" t="s">
        <v>1257</v>
      </c>
      <c r="C304" s="6" t="s">
        <v>18</v>
      </c>
      <c r="D304" s="6">
        <v>68426.0</v>
      </c>
      <c r="E304" s="6" t="s">
        <v>30</v>
      </c>
      <c r="F304" s="6" t="s">
        <v>54</v>
      </c>
      <c r="G304" s="6" t="s">
        <v>31</v>
      </c>
      <c r="H304" s="7">
        <v>3777.0</v>
      </c>
      <c r="I304" s="7">
        <v>3451.0</v>
      </c>
      <c r="J304" s="6">
        <v>2008.0</v>
      </c>
      <c r="K304" s="6">
        <v>63.0</v>
      </c>
      <c r="L304" s="6" t="s">
        <v>95</v>
      </c>
      <c r="M304" s="6" t="s">
        <v>1258</v>
      </c>
      <c r="N304" s="6" t="s">
        <v>34</v>
      </c>
      <c r="O304" s="6" t="s">
        <v>35</v>
      </c>
      <c r="P304" s="6">
        <f>COUNTIF(Analysis!$M$1:$M$3001,Analysis!$M304)</f>
        <v>1</v>
      </c>
      <c r="Q304" s="6" t="str">
        <f>IF(COUNTIF(Analysis!$M$2:$M$3001,Analysis!$M304)&gt;1,"Duplicate","OK")</f>
        <v>OK</v>
      </c>
      <c r="R304" s="6" t="str">
        <f t="shared" si="1"/>
        <v>3600+</v>
      </c>
      <c r="S304" s="6">
        <f t="shared" si="2"/>
        <v>18</v>
      </c>
      <c r="T304" s="6" t="str">
        <f t="shared" si="3"/>
        <v>Mid</v>
      </c>
    </row>
    <row r="305" ht="14.25" customHeight="1">
      <c r="A305" s="5">
        <v>798115.0</v>
      </c>
      <c r="B305" s="6" t="s">
        <v>1261</v>
      </c>
      <c r="C305" s="6" t="s">
        <v>39</v>
      </c>
      <c r="D305" s="6">
        <v>93892.0</v>
      </c>
      <c r="E305" s="6" t="s">
        <v>40</v>
      </c>
      <c r="F305" s="6" t="s">
        <v>20</v>
      </c>
      <c r="G305" s="6" t="s">
        <v>21</v>
      </c>
      <c r="H305" s="7">
        <v>644.0</v>
      </c>
      <c r="I305" s="7">
        <v>6797.0</v>
      </c>
      <c r="J305" s="6">
        <v>1979.0</v>
      </c>
      <c r="K305" s="6">
        <v>17.0</v>
      </c>
      <c r="L305" s="6" t="s">
        <v>22</v>
      </c>
      <c r="M305" s="6" t="s">
        <v>1262</v>
      </c>
      <c r="N305" s="6" t="s">
        <v>48</v>
      </c>
      <c r="O305" s="6" t="s">
        <v>49</v>
      </c>
      <c r="P305" s="6">
        <f>COUNTIF(Analysis!$M$1:$M$3001,Analysis!$M305)</f>
        <v>1</v>
      </c>
      <c r="Q305" s="6" t="str">
        <f>IF(COUNTIF(Analysis!$M$2:$M$3001,Analysis!$M305)&gt;1,"Duplicate","OK")</f>
        <v>OK</v>
      </c>
      <c r="R305" s="6" t="str">
        <f t="shared" si="1"/>
        <v>600-1600</v>
      </c>
      <c r="S305" s="6">
        <f t="shared" si="2"/>
        <v>47</v>
      </c>
      <c r="T305" s="6" t="str">
        <f t="shared" si="3"/>
        <v>Old</v>
      </c>
    </row>
    <row r="306" ht="14.25" customHeight="1">
      <c r="A306" s="5">
        <v>773067.0</v>
      </c>
      <c r="B306" s="6" t="s">
        <v>1265</v>
      </c>
      <c r="C306" s="6" t="s">
        <v>76</v>
      </c>
      <c r="D306" s="6">
        <v>19908.0</v>
      </c>
      <c r="E306" s="6" t="s">
        <v>30</v>
      </c>
      <c r="F306" s="6" t="s">
        <v>94</v>
      </c>
      <c r="G306" s="6" t="s">
        <v>21</v>
      </c>
      <c r="H306" s="7">
        <v>2789.0</v>
      </c>
      <c r="I306" s="7">
        <v>7794.0</v>
      </c>
      <c r="J306" s="6">
        <v>2001.0</v>
      </c>
      <c r="K306" s="6">
        <v>48.0</v>
      </c>
      <c r="L306" s="6" t="s">
        <v>62</v>
      </c>
      <c r="M306" s="6" t="s">
        <v>1266</v>
      </c>
      <c r="N306" s="6" t="s">
        <v>64</v>
      </c>
      <c r="O306" s="6" t="s">
        <v>35</v>
      </c>
      <c r="P306" s="6">
        <f>COUNTIF(Analysis!$M$1:$M$3001,Analysis!$M306)</f>
        <v>1</v>
      </c>
      <c r="Q306" s="6" t="str">
        <f>IF(COUNTIF(Analysis!$M$2:$M$3001,Analysis!$M306)&gt;1,"Duplicate","OK")</f>
        <v>OK</v>
      </c>
      <c r="R306" s="6" t="str">
        <f t="shared" si="1"/>
        <v>2600-3600</v>
      </c>
      <c r="S306" s="6">
        <f t="shared" si="2"/>
        <v>25</v>
      </c>
      <c r="T306" s="6" t="str">
        <f t="shared" si="3"/>
        <v>Mid</v>
      </c>
    </row>
    <row r="307" ht="14.25" customHeight="1">
      <c r="A307" s="5">
        <v>260417.0</v>
      </c>
      <c r="B307" s="6" t="s">
        <v>1269</v>
      </c>
      <c r="C307" s="6" t="s">
        <v>76</v>
      </c>
      <c r="D307" s="6">
        <v>54146.0</v>
      </c>
      <c r="E307" s="6" t="s">
        <v>19</v>
      </c>
      <c r="F307" s="6" t="s">
        <v>54</v>
      </c>
      <c r="G307" s="6" t="s">
        <v>31</v>
      </c>
      <c r="H307" s="7">
        <v>3003.0</v>
      </c>
      <c r="I307" s="7">
        <v>3326.0</v>
      </c>
      <c r="J307" s="6">
        <v>2015.0</v>
      </c>
      <c r="K307" s="6">
        <v>95.0</v>
      </c>
      <c r="L307" s="6" t="s">
        <v>95</v>
      </c>
      <c r="M307" s="6" t="s">
        <v>1270</v>
      </c>
      <c r="N307" s="6" t="s">
        <v>64</v>
      </c>
      <c r="O307" s="6" t="s">
        <v>49</v>
      </c>
      <c r="P307" s="6">
        <f>COUNTIF(Analysis!$M$1:$M$3001,Analysis!$M307)</f>
        <v>1</v>
      </c>
      <c r="Q307" s="6" t="str">
        <f>IF(COUNTIF(Analysis!$M$2:$M$3001,Analysis!$M307)&gt;1,"Duplicate","OK")</f>
        <v>OK</v>
      </c>
      <c r="R307" s="6" t="str">
        <f t="shared" si="1"/>
        <v>2600-3600</v>
      </c>
      <c r="S307" s="6">
        <f t="shared" si="2"/>
        <v>11</v>
      </c>
      <c r="T307" s="6" t="str">
        <f t="shared" si="3"/>
        <v>Mid</v>
      </c>
    </row>
    <row r="308" ht="14.25" customHeight="1">
      <c r="A308" s="5">
        <v>1047769.0</v>
      </c>
      <c r="B308" s="6" t="s">
        <v>1273</v>
      </c>
      <c r="C308" s="6" t="s">
        <v>18</v>
      </c>
      <c r="D308" s="6">
        <v>11489.0</v>
      </c>
      <c r="E308" s="6" t="s">
        <v>19</v>
      </c>
      <c r="F308" s="6" t="s">
        <v>94</v>
      </c>
      <c r="G308" s="6" t="s">
        <v>55</v>
      </c>
      <c r="H308" s="7">
        <v>3207.0</v>
      </c>
      <c r="I308" s="7">
        <v>3074.0</v>
      </c>
      <c r="J308" s="6">
        <v>1965.0</v>
      </c>
      <c r="K308" s="6">
        <v>118.0</v>
      </c>
      <c r="L308" s="6" t="s">
        <v>141</v>
      </c>
      <c r="M308" s="6" t="s">
        <v>1274</v>
      </c>
      <c r="N308" s="6" t="s">
        <v>24</v>
      </c>
      <c r="O308" s="6" t="s">
        <v>25</v>
      </c>
      <c r="P308" s="6">
        <f>COUNTIF(Analysis!$M$1:$M$3001,Analysis!$M308)</f>
        <v>1</v>
      </c>
      <c r="Q308" s="6" t="str">
        <f>IF(COUNTIF(Analysis!$M$2:$M$3001,Analysis!$M308)&gt;1,"Duplicate","OK")</f>
        <v>OK</v>
      </c>
      <c r="R308" s="6" t="str">
        <f t="shared" si="1"/>
        <v>2600-3600</v>
      </c>
      <c r="S308" s="6">
        <f t="shared" si="2"/>
        <v>61</v>
      </c>
      <c r="T308" s="6" t="str">
        <f t="shared" si="3"/>
        <v>Very Old</v>
      </c>
    </row>
    <row r="309" ht="14.25" customHeight="1">
      <c r="A309" s="5">
        <v>259927.0</v>
      </c>
      <c r="B309" s="6" t="s">
        <v>4491</v>
      </c>
      <c r="C309" s="6" t="s">
        <v>29</v>
      </c>
      <c r="D309" s="6">
        <v>97417.0</v>
      </c>
      <c r="E309" s="6" t="s">
        <v>30</v>
      </c>
      <c r="F309" s="6" t="s">
        <v>94</v>
      </c>
      <c r="G309" s="6" t="s">
        <v>100</v>
      </c>
      <c r="H309" s="7">
        <v>3189.0</v>
      </c>
      <c r="I309" s="7">
        <v>4457.0</v>
      </c>
      <c r="J309" s="6">
        <v>2013.0</v>
      </c>
      <c r="K309" s="6">
        <v>38.0</v>
      </c>
      <c r="L309" s="6" t="s">
        <v>62</v>
      </c>
      <c r="M309" s="6" t="s">
        <v>4492</v>
      </c>
      <c r="N309" s="6" t="s">
        <v>34</v>
      </c>
      <c r="O309" s="6" t="s">
        <v>25</v>
      </c>
      <c r="P309" s="6">
        <f>COUNTIF(Analysis!$M$1:$M$3001,Analysis!$M1113)</f>
        <v>1</v>
      </c>
      <c r="Q309" s="6" t="str">
        <f>IF(COUNTIF(Analysis!$M$2:$M$3001,Analysis!$M1113)&gt;1,"Duplicate","OK")</f>
        <v>OK</v>
      </c>
      <c r="R309" s="6" t="str">
        <f t="shared" si="1"/>
        <v>2600-3600</v>
      </c>
      <c r="S309" s="6">
        <f t="shared" si="2"/>
        <v>13</v>
      </c>
      <c r="T309" s="6" t="str">
        <f t="shared" si="3"/>
        <v>Mid</v>
      </c>
    </row>
    <row r="310" ht="14.25" customHeight="1">
      <c r="A310" s="5">
        <v>493415.0</v>
      </c>
      <c r="B310" s="6" t="s">
        <v>1281</v>
      </c>
      <c r="C310" s="6" t="s">
        <v>76</v>
      </c>
      <c r="D310" s="6">
        <v>51963.0</v>
      </c>
      <c r="E310" s="6" t="s">
        <v>60</v>
      </c>
      <c r="F310" s="6" t="s">
        <v>54</v>
      </c>
      <c r="G310" s="6" t="s">
        <v>21</v>
      </c>
      <c r="H310" s="7">
        <v>3905.0</v>
      </c>
      <c r="I310" s="7">
        <v>6897.0</v>
      </c>
      <c r="J310" s="6">
        <v>1994.0</v>
      </c>
      <c r="K310" s="6">
        <v>40.0</v>
      </c>
      <c r="L310" s="6" t="s">
        <v>141</v>
      </c>
      <c r="M310" s="6" t="s">
        <v>1282</v>
      </c>
      <c r="N310" s="6" t="s">
        <v>48</v>
      </c>
      <c r="O310" s="6" t="s">
        <v>35</v>
      </c>
      <c r="P310" s="6">
        <f>COUNTIF(Analysis!$M$1:$M$3001,Analysis!$M310)</f>
        <v>1</v>
      </c>
      <c r="Q310" s="6" t="str">
        <f>IF(COUNTIF(Analysis!$M$2:$M$3001,Analysis!$M310)&gt;1,"Duplicate","OK")</f>
        <v>OK</v>
      </c>
      <c r="R310" s="6" t="str">
        <f t="shared" si="1"/>
        <v>3600+</v>
      </c>
      <c r="S310" s="6">
        <f t="shared" si="2"/>
        <v>32</v>
      </c>
      <c r="T310" s="6" t="str">
        <f t="shared" si="3"/>
        <v>Old</v>
      </c>
    </row>
    <row r="311" ht="14.25" customHeight="1">
      <c r="A311" s="5">
        <v>263337.0</v>
      </c>
      <c r="B311" s="6" t="s">
        <v>9199</v>
      </c>
      <c r="C311" s="6" t="s">
        <v>29</v>
      </c>
      <c r="D311" s="6">
        <v>12498.0</v>
      </c>
      <c r="E311" s="6" t="s">
        <v>19</v>
      </c>
      <c r="F311" s="6" t="s">
        <v>41</v>
      </c>
      <c r="G311" s="6" t="s">
        <v>31</v>
      </c>
      <c r="H311" s="7">
        <v>2240.0</v>
      </c>
      <c r="I311" s="7">
        <v>9123.0</v>
      </c>
      <c r="J311" s="6">
        <v>1956.0</v>
      </c>
      <c r="K311" s="6">
        <v>82.0</v>
      </c>
      <c r="L311" s="6" t="s">
        <v>141</v>
      </c>
      <c r="M311" s="6" t="s">
        <v>9200</v>
      </c>
      <c r="N311" s="6" t="s">
        <v>43</v>
      </c>
      <c r="O311" s="6" t="s">
        <v>49</v>
      </c>
      <c r="P311" s="6">
        <f>COUNTIF(Analysis!$M$1:$M$3001,Analysis!$M2291)</f>
        <v>1</v>
      </c>
      <c r="Q311" s="6" t="str">
        <f>IF(COUNTIF(Analysis!$M$2:$M$3001,Analysis!$M2291)&gt;1,"Duplicate","OK")</f>
        <v>OK</v>
      </c>
      <c r="R311" s="6" t="str">
        <f t="shared" si="1"/>
        <v>1600-2600</v>
      </c>
      <c r="S311" s="6">
        <f t="shared" si="2"/>
        <v>70</v>
      </c>
      <c r="T311" s="6" t="str">
        <f t="shared" si="3"/>
        <v>Very Old</v>
      </c>
    </row>
    <row r="312" ht="14.25" customHeight="1">
      <c r="A312" s="5">
        <v>1085094.0</v>
      </c>
      <c r="B312" s="6" t="s">
        <v>1289</v>
      </c>
      <c r="C312" s="6" t="s">
        <v>76</v>
      </c>
      <c r="D312" s="6">
        <v>94121.0</v>
      </c>
      <c r="E312" s="6" t="s">
        <v>40</v>
      </c>
      <c r="F312" s="6" t="s">
        <v>61</v>
      </c>
      <c r="G312" s="6" t="s">
        <v>21</v>
      </c>
      <c r="H312" s="7">
        <v>2199.0</v>
      </c>
      <c r="I312" s="7">
        <v>3138.0</v>
      </c>
      <c r="J312" s="6">
        <v>2017.0</v>
      </c>
      <c r="K312" s="6">
        <v>62.0</v>
      </c>
      <c r="L312" s="6" t="s">
        <v>95</v>
      </c>
      <c r="M312" s="6" t="s">
        <v>1290</v>
      </c>
      <c r="N312" s="6" t="s">
        <v>64</v>
      </c>
      <c r="O312" s="6" t="s">
        <v>49</v>
      </c>
      <c r="P312" s="6">
        <f>COUNTIF(Analysis!$M$1:$M$3001,Analysis!$M312)</f>
        <v>1</v>
      </c>
      <c r="Q312" s="6" t="str">
        <f>IF(COUNTIF(Analysis!$M$2:$M$3001,Analysis!$M312)&gt;1,"Duplicate","OK")</f>
        <v>OK</v>
      </c>
      <c r="R312" s="6" t="str">
        <f t="shared" si="1"/>
        <v>1600-2600</v>
      </c>
      <c r="S312" s="6">
        <f t="shared" si="2"/>
        <v>9</v>
      </c>
      <c r="T312" s="6" t="str">
        <f t="shared" si="3"/>
        <v>New</v>
      </c>
    </row>
    <row r="313" ht="14.25" customHeight="1">
      <c r="A313" s="5">
        <v>892569.0</v>
      </c>
      <c r="B313" s="6" t="s">
        <v>1293</v>
      </c>
      <c r="C313" s="6" t="s">
        <v>18</v>
      </c>
      <c r="D313" s="6">
        <v>24264.0</v>
      </c>
      <c r="E313" s="6" t="s">
        <v>40</v>
      </c>
      <c r="F313" s="6" t="s">
        <v>20</v>
      </c>
      <c r="G313" s="6" t="s">
        <v>100</v>
      </c>
      <c r="H313" s="7">
        <v>2258.0</v>
      </c>
      <c r="I313" s="7">
        <v>4950.0</v>
      </c>
      <c r="J313" s="6">
        <v>1963.0</v>
      </c>
      <c r="K313" s="6">
        <v>82.0</v>
      </c>
      <c r="L313" s="6" t="s">
        <v>141</v>
      </c>
      <c r="M313" s="6" t="s">
        <v>1294</v>
      </c>
      <c r="N313" s="6" t="s">
        <v>24</v>
      </c>
      <c r="O313" s="6" t="s">
        <v>25</v>
      </c>
      <c r="P313" s="6">
        <f>COUNTIF(Analysis!$M$1:$M$3001,Analysis!$M313)</f>
        <v>1</v>
      </c>
      <c r="Q313" s="6" t="str">
        <f>IF(COUNTIF(Analysis!$M$2:$M$3001,Analysis!$M313)&gt;1,"Duplicate","OK")</f>
        <v>OK</v>
      </c>
      <c r="R313" s="6" t="str">
        <f t="shared" si="1"/>
        <v>1600-2600</v>
      </c>
      <c r="S313" s="6">
        <f t="shared" si="2"/>
        <v>63</v>
      </c>
      <c r="T313" s="6" t="str">
        <f t="shared" si="3"/>
        <v>Very Old</v>
      </c>
    </row>
    <row r="314" ht="14.25" customHeight="1">
      <c r="A314" s="5">
        <v>1238734.0</v>
      </c>
      <c r="B314" s="6" t="s">
        <v>1297</v>
      </c>
      <c r="C314" s="6" t="s">
        <v>18</v>
      </c>
      <c r="D314" s="6">
        <v>89635.0</v>
      </c>
      <c r="E314" s="6" t="s">
        <v>77</v>
      </c>
      <c r="F314" s="6" t="s">
        <v>46</v>
      </c>
      <c r="G314" s="6" t="s">
        <v>100</v>
      </c>
      <c r="H314" s="7">
        <v>2594.0</v>
      </c>
      <c r="I314" s="7">
        <v>3799.0</v>
      </c>
      <c r="J314" s="6">
        <v>1960.0</v>
      </c>
      <c r="K314" s="6">
        <v>46.0</v>
      </c>
      <c r="L314" s="6" t="s">
        <v>141</v>
      </c>
      <c r="M314" s="6" t="s">
        <v>1298</v>
      </c>
      <c r="N314" s="6" t="s">
        <v>64</v>
      </c>
      <c r="O314" s="6" t="s">
        <v>49</v>
      </c>
      <c r="P314" s="6">
        <f>COUNTIF(Analysis!$M$1:$M$3001,Analysis!$M314)</f>
        <v>1</v>
      </c>
      <c r="Q314" s="6" t="str">
        <f>IF(COUNTIF(Analysis!$M$2:$M$3001,Analysis!$M314)&gt;1,"Duplicate","OK")</f>
        <v>OK</v>
      </c>
      <c r="R314" s="6" t="str">
        <f t="shared" si="1"/>
        <v>1600-2600</v>
      </c>
      <c r="S314" s="6">
        <f t="shared" si="2"/>
        <v>66</v>
      </c>
      <c r="T314" s="6" t="str">
        <f t="shared" si="3"/>
        <v>Very Old</v>
      </c>
    </row>
    <row r="315" ht="14.25" customHeight="1">
      <c r="A315" s="5">
        <v>1386947.0</v>
      </c>
      <c r="B315" s="6" t="s">
        <v>1301</v>
      </c>
      <c r="C315" s="6" t="s">
        <v>39</v>
      </c>
      <c r="D315" s="6">
        <v>50757.0</v>
      </c>
      <c r="E315" s="6" t="s">
        <v>19</v>
      </c>
      <c r="F315" s="6" t="s">
        <v>94</v>
      </c>
      <c r="G315" s="6" t="s">
        <v>100</v>
      </c>
      <c r="H315" s="7">
        <v>745.0</v>
      </c>
      <c r="I315" s="7">
        <v>6797.0</v>
      </c>
      <c r="J315" s="6">
        <v>1969.0</v>
      </c>
      <c r="K315" s="6">
        <v>24.0</v>
      </c>
      <c r="L315" s="6" t="s">
        <v>95</v>
      </c>
      <c r="M315" s="6" t="s">
        <v>1302</v>
      </c>
      <c r="N315" s="6" t="s">
        <v>24</v>
      </c>
      <c r="O315" s="6" t="s">
        <v>35</v>
      </c>
      <c r="P315" s="6">
        <f>COUNTIF(Analysis!$M$1:$M$3001,Analysis!$M315)</f>
        <v>1</v>
      </c>
      <c r="Q315" s="6" t="str">
        <f>IF(COUNTIF(Analysis!$M$2:$M$3001,Analysis!$M315)&gt;1,"Duplicate","OK")</f>
        <v>OK</v>
      </c>
      <c r="R315" s="6" t="str">
        <f t="shared" si="1"/>
        <v>600-1600</v>
      </c>
      <c r="S315" s="6">
        <f t="shared" si="2"/>
        <v>57</v>
      </c>
      <c r="T315" s="6" t="str">
        <f t="shared" si="3"/>
        <v>Old</v>
      </c>
    </row>
    <row r="316" ht="14.25" customHeight="1">
      <c r="A316" s="5">
        <v>236746.0</v>
      </c>
      <c r="B316" s="6" t="s">
        <v>1305</v>
      </c>
      <c r="C316" s="6" t="s">
        <v>39</v>
      </c>
      <c r="D316" s="6">
        <v>17681.0</v>
      </c>
      <c r="E316" s="6" t="s">
        <v>19</v>
      </c>
      <c r="F316" s="6" t="s">
        <v>41</v>
      </c>
      <c r="G316" s="6" t="s">
        <v>100</v>
      </c>
      <c r="H316" s="7">
        <v>656.0</v>
      </c>
      <c r="I316" s="7">
        <v>3070.0</v>
      </c>
      <c r="J316" s="6">
        <v>1985.0</v>
      </c>
      <c r="K316" s="6">
        <v>21.0</v>
      </c>
      <c r="L316" s="6" t="s">
        <v>62</v>
      </c>
      <c r="M316" s="6" t="s">
        <v>1306</v>
      </c>
      <c r="N316" s="6" t="s">
        <v>64</v>
      </c>
      <c r="O316" s="6" t="s">
        <v>35</v>
      </c>
      <c r="P316" s="6">
        <f>COUNTIF(Analysis!$M$1:$M$3001,Analysis!$M316)</f>
        <v>1</v>
      </c>
      <c r="Q316" s="6" t="str">
        <f>IF(COUNTIF(Analysis!$M$2:$M$3001,Analysis!$M316)&gt;1,"Duplicate","OK")</f>
        <v>OK</v>
      </c>
      <c r="R316" s="6" t="str">
        <f t="shared" si="1"/>
        <v>600-1600</v>
      </c>
      <c r="S316" s="6">
        <f t="shared" si="2"/>
        <v>41</v>
      </c>
      <c r="T316" s="6" t="str">
        <f t="shared" si="3"/>
        <v>Old</v>
      </c>
    </row>
    <row r="317" ht="14.25" customHeight="1">
      <c r="A317" s="5">
        <v>263469.0</v>
      </c>
      <c r="B317" s="6" t="s">
        <v>8891</v>
      </c>
      <c r="C317" s="6" t="s">
        <v>29</v>
      </c>
      <c r="D317" s="6">
        <v>50468.0</v>
      </c>
      <c r="E317" s="6" t="s">
        <v>30</v>
      </c>
      <c r="F317" s="6" t="s">
        <v>94</v>
      </c>
      <c r="G317" s="6" t="s">
        <v>31</v>
      </c>
      <c r="H317" s="7">
        <v>3003.0</v>
      </c>
      <c r="I317" s="7">
        <v>1908.0</v>
      </c>
      <c r="J317" s="6">
        <v>2014.0</v>
      </c>
      <c r="K317" s="6">
        <v>118.0</v>
      </c>
      <c r="L317" s="6" t="s">
        <v>141</v>
      </c>
      <c r="M317" s="6" t="s">
        <v>8892</v>
      </c>
      <c r="N317" s="6" t="s">
        <v>34</v>
      </c>
      <c r="O317" s="6" t="s">
        <v>25</v>
      </c>
      <c r="P317" s="6">
        <f>COUNTIF(Analysis!$M$1:$M$3001,Analysis!$M2214)</f>
        <v>1</v>
      </c>
      <c r="Q317" s="6" t="str">
        <f>IF(COUNTIF(Analysis!$M$2:$M$3001,Analysis!$M2214)&gt;1,"Duplicate","OK")</f>
        <v>OK</v>
      </c>
      <c r="R317" s="6" t="str">
        <f t="shared" si="1"/>
        <v>2600-3600</v>
      </c>
      <c r="S317" s="6">
        <f t="shared" si="2"/>
        <v>12</v>
      </c>
      <c r="T317" s="6" t="str">
        <f t="shared" si="3"/>
        <v>Mid</v>
      </c>
    </row>
    <row r="318" ht="14.25" customHeight="1">
      <c r="A318" s="5">
        <v>482165.0</v>
      </c>
      <c r="B318" s="6" t="s">
        <v>1313</v>
      </c>
      <c r="C318" s="6" t="s">
        <v>18</v>
      </c>
      <c r="D318" s="6">
        <v>69573.0</v>
      </c>
      <c r="E318" s="6" t="s">
        <v>19</v>
      </c>
      <c r="F318" s="6" t="s">
        <v>61</v>
      </c>
      <c r="G318" s="6" t="s">
        <v>100</v>
      </c>
      <c r="H318" s="7">
        <v>2110.0</v>
      </c>
      <c r="I318" s="7">
        <v>5859.0</v>
      </c>
      <c r="J318" s="6">
        <v>1980.0</v>
      </c>
      <c r="K318" s="6">
        <v>109.0</v>
      </c>
      <c r="L318" s="6" t="s">
        <v>141</v>
      </c>
      <c r="M318" s="6" t="s">
        <v>1314</v>
      </c>
      <c r="N318" s="6" t="s">
        <v>24</v>
      </c>
      <c r="O318" s="6" t="s">
        <v>49</v>
      </c>
      <c r="P318" s="6">
        <f>COUNTIF(Analysis!$M$1:$M$3001,Analysis!$M318)</f>
        <v>1</v>
      </c>
      <c r="Q318" s="6" t="str">
        <f>IF(COUNTIF(Analysis!$M$2:$M$3001,Analysis!$M318)&gt;1,"Duplicate","OK")</f>
        <v>OK</v>
      </c>
      <c r="R318" s="6" t="str">
        <f t="shared" si="1"/>
        <v>1600-2600</v>
      </c>
      <c r="S318" s="6">
        <f t="shared" si="2"/>
        <v>46</v>
      </c>
      <c r="T318" s="6" t="str">
        <f t="shared" si="3"/>
        <v>Old</v>
      </c>
    </row>
    <row r="319" ht="14.25" customHeight="1">
      <c r="A319" s="5">
        <v>266057.0</v>
      </c>
      <c r="B319" s="6" t="s">
        <v>3835</v>
      </c>
      <c r="C319" s="6" t="s">
        <v>29</v>
      </c>
      <c r="D319" s="6">
        <v>48991.0</v>
      </c>
      <c r="E319" s="6" t="s">
        <v>40</v>
      </c>
      <c r="F319" s="6" t="s">
        <v>61</v>
      </c>
      <c r="G319" s="6" t="s">
        <v>21</v>
      </c>
      <c r="H319" s="7">
        <v>1213.0</v>
      </c>
      <c r="I319" s="7">
        <v>9786.0</v>
      </c>
      <c r="J319" s="6">
        <v>1951.0</v>
      </c>
      <c r="K319" s="6">
        <v>48.0</v>
      </c>
      <c r="L319" s="6" t="s">
        <v>141</v>
      </c>
      <c r="M319" s="6" t="s">
        <v>3836</v>
      </c>
      <c r="N319" s="6" t="s">
        <v>34</v>
      </c>
      <c r="O319" s="6" t="s">
        <v>49</v>
      </c>
      <c r="P319" s="6">
        <f>COUNTIF(Analysis!$M$1:$M$3001,Analysis!$M949)</f>
        <v>1</v>
      </c>
      <c r="Q319" s="6" t="str">
        <f>IF(COUNTIF(Analysis!$M$2:$M$3001,Analysis!$M949)&gt;1,"Duplicate","OK")</f>
        <v>OK</v>
      </c>
      <c r="R319" s="6" t="str">
        <f t="shared" si="1"/>
        <v>600-1600</v>
      </c>
      <c r="S319" s="6">
        <f t="shared" si="2"/>
        <v>75</v>
      </c>
      <c r="T319" s="6" t="str">
        <f t="shared" si="3"/>
        <v>Very Old</v>
      </c>
    </row>
    <row r="320" ht="14.25" customHeight="1">
      <c r="A320" s="5">
        <v>950150.0</v>
      </c>
      <c r="B320" s="6" t="s">
        <v>1321</v>
      </c>
      <c r="C320" s="6" t="s">
        <v>53</v>
      </c>
      <c r="D320" s="6">
        <v>54871.0</v>
      </c>
      <c r="E320" s="6" t="s">
        <v>40</v>
      </c>
      <c r="F320" s="6" t="s">
        <v>61</v>
      </c>
      <c r="G320" s="6" t="s">
        <v>21</v>
      </c>
      <c r="H320" s="7">
        <v>3116.0</v>
      </c>
      <c r="I320" s="7">
        <v>6462.0</v>
      </c>
      <c r="J320" s="6">
        <v>1997.0</v>
      </c>
      <c r="K320" s="6">
        <v>98.0</v>
      </c>
      <c r="L320" s="6" t="s">
        <v>32</v>
      </c>
      <c r="M320" s="6" t="s">
        <v>1322</v>
      </c>
      <c r="N320" s="6" t="s">
        <v>34</v>
      </c>
      <c r="O320" s="6" t="s">
        <v>35</v>
      </c>
      <c r="P320" s="6">
        <f>COUNTIF(Analysis!$M$1:$M$3001,Analysis!$M320)</f>
        <v>1</v>
      </c>
      <c r="Q320" s="6" t="str">
        <f>IF(COUNTIF(Analysis!$M$2:$M$3001,Analysis!$M320)&gt;1,"Duplicate","OK")</f>
        <v>OK</v>
      </c>
      <c r="R320" s="6" t="str">
        <f t="shared" si="1"/>
        <v>2600-3600</v>
      </c>
      <c r="S320" s="6">
        <f t="shared" si="2"/>
        <v>29</v>
      </c>
      <c r="T320" s="6" t="str">
        <f t="shared" si="3"/>
        <v>Mid</v>
      </c>
    </row>
    <row r="321" ht="14.25" customHeight="1">
      <c r="A321" s="5">
        <v>465036.0</v>
      </c>
      <c r="B321" s="6" t="s">
        <v>1325</v>
      </c>
      <c r="C321" s="6" t="s">
        <v>76</v>
      </c>
      <c r="D321" s="6">
        <v>17869.0</v>
      </c>
      <c r="E321" s="6" t="s">
        <v>40</v>
      </c>
      <c r="F321" s="6" t="s">
        <v>46</v>
      </c>
      <c r="G321" s="6" t="s">
        <v>21</v>
      </c>
      <c r="H321" s="7">
        <v>1727.0</v>
      </c>
      <c r="I321" s="7">
        <v>5285.0</v>
      </c>
      <c r="J321" s="6">
        <v>1986.0</v>
      </c>
      <c r="K321" s="6">
        <v>119.0</v>
      </c>
      <c r="L321" s="6" t="s">
        <v>95</v>
      </c>
      <c r="M321" s="6" t="s">
        <v>1326</v>
      </c>
      <c r="N321" s="6" t="s">
        <v>48</v>
      </c>
      <c r="O321" s="6" t="s">
        <v>49</v>
      </c>
      <c r="P321" s="6">
        <f>COUNTIF(Analysis!$M$1:$M$3001,Analysis!$M321)</f>
        <v>1</v>
      </c>
      <c r="Q321" s="6" t="str">
        <f>IF(COUNTIF(Analysis!$M$2:$M$3001,Analysis!$M321)&gt;1,"Duplicate","OK")</f>
        <v>OK</v>
      </c>
      <c r="R321" s="6" t="str">
        <f t="shared" si="1"/>
        <v>1600-2600</v>
      </c>
      <c r="S321" s="6">
        <f t="shared" si="2"/>
        <v>40</v>
      </c>
      <c r="T321" s="6" t="str">
        <f t="shared" si="3"/>
        <v>Old</v>
      </c>
    </row>
    <row r="322" ht="14.25" customHeight="1">
      <c r="A322" s="5">
        <v>269487.0</v>
      </c>
      <c r="B322" s="6" t="s">
        <v>3863</v>
      </c>
      <c r="C322" s="6" t="s">
        <v>29</v>
      </c>
      <c r="D322" s="6">
        <v>50573.0</v>
      </c>
      <c r="E322" s="6" t="s">
        <v>77</v>
      </c>
      <c r="F322" s="6" t="s">
        <v>41</v>
      </c>
      <c r="G322" s="6" t="s">
        <v>21</v>
      </c>
      <c r="H322" s="7">
        <v>3040.0</v>
      </c>
      <c r="I322" s="7">
        <v>4778.0</v>
      </c>
      <c r="J322" s="6">
        <v>1987.0</v>
      </c>
      <c r="K322" s="6">
        <v>2.0</v>
      </c>
      <c r="L322" s="6" t="s">
        <v>141</v>
      </c>
      <c r="M322" s="6" t="s">
        <v>3864</v>
      </c>
      <c r="N322" s="6" t="s">
        <v>48</v>
      </c>
      <c r="O322" s="6" t="s">
        <v>35</v>
      </c>
      <c r="P322" s="6">
        <f>COUNTIF(Analysis!$M$1:$M$3001,Analysis!$M956)</f>
        <v>1</v>
      </c>
      <c r="Q322" s="6" t="str">
        <f>IF(COUNTIF(Analysis!$M$2:$M$3001,Analysis!$M956)&gt;1,"Duplicate","OK")</f>
        <v>OK</v>
      </c>
      <c r="R322" s="6" t="str">
        <f t="shared" si="1"/>
        <v>2600-3600</v>
      </c>
      <c r="S322" s="6">
        <f t="shared" si="2"/>
        <v>39</v>
      </c>
      <c r="T322" s="6" t="str">
        <f t="shared" si="3"/>
        <v>Old</v>
      </c>
    </row>
    <row r="323" ht="14.25" customHeight="1">
      <c r="A323" s="5">
        <v>368960.0</v>
      </c>
      <c r="B323" s="6" t="s">
        <v>1333</v>
      </c>
      <c r="C323" s="6" t="s">
        <v>53</v>
      </c>
      <c r="D323" s="6">
        <v>97233.0</v>
      </c>
      <c r="E323" s="6" t="s">
        <v>60</v>
      </c>
      <c r="F323" s="6" t="s">
        <v>54</v>
      </c>
      <c r="G323" s="6" t="s">
        <v>31</v>
      </c>
      <c r="H323" s="7">
        <v>1447.0</v>
      </c>
      <c r="I323" s="7">
        <v>3020.0</v>
      </c>
      <c r="J323" s="6">
        <v>2009.0</v>
      </c>
      <c r="K323" s="6">
        <v>30.0</v>
      </c>
      <c r="L323" s="6" t="s">
        <v>141</v>
      </c>
      <c r="M323" s="6" t="s">
        <v>1334</v>
      </c>
      <c r="N323" s="6" t="s">
        <v>24</v>
      </c>
      <c r="O323" s="6" t="s">
        <v>35</v>
      </c>
      <c r="P323" s="6">
        <f>COUNTIF(Analysis!$M$1:$M$3001,Analysis!$M323)</f>
        <v>1</v>
      </c>
      <c r="Q323" s="6" t="str">
        <f>IF(COUNTIF(Analysis!$M$2:$M$3001,Analysis!$M323)&gt;1,"Duplicate","OK")</f>
        <v>OK</v>
      </c>
      <c r="R323" s="6" t="str">
        <f t="shared" si="1"/>
        <v>600-1600</v>
      </c>
      <c r="S323" s="6">
        <f t="shared" si="2"/>
        <v>17</v>
      </c>
      <c r="T323" s="6" t="str">
        <f t="shared" si="3"/>
        <v>Mid</v>
      </c>
    </row>
    <row r="324" ht="14.25" customHeight="1">
      <c r="A324" s="5">
        <v>1182854.0</v>
      </c>
      <c r="B324" s="6" t="s">
        <v>1337</v>
      </c>
      <c r="C324" s="6" t="s">
        <v>76</v>
      </c>
      <c r="D324" s="6">
        <v>29647.0</v>
      </c>
      <c r="E324" s="6" t="s">
        <v>19</v>
      </c>
      <c r="F324" s="6" t="s">
        <v>46</v>
      </c>
      <c r="G324" s="6" t="s">
        <v>31</v>
      </c>
      <c r="H324" s="7">
        <v>887.0</v>
      </c>
      <c r="I324" s="7">
        <v>3584.0</v>
      </c>
      <c r="J324" s="6">
        <v>1970.0</v>
      </c>
      <c r="K324" s="6">
        <v>17.0</v>
      </c>
      <c r="L324" s="6" t="s">
        <v>141</v>
      </c>
      <c r="M324" s="6" t="s">
        <v>1338</v>
      </c>
      <c r="N324" s="6" t="s">
        <v>34</v>
      </c>
      <c r="O324" s="6" t="s">
        <v>49</v>
      </c>
      <c r="P324" s="6">
        <f>COUNTIF(Analysis!$M$1:$M$3001,Analysis!$M324)</f>
        <v>1</v>
      </c>
      <c r="Q324" s="6" t="str">
        <f>IF(COUNTIF(Analysis!$M$2:$M$3001,Analysis!$M324)&gt;1,"Duplicate","OK")</f>
        <v>OK</v>
      </c>
      <c r="R324" s="6" t="str">
        <f t="shared" si="1"/>
        <v>600-1600</v>
      </c>
      <c r="S324" s="6">
        <f t="shared" si="2"/>
        <v>56</v>
      </c>
      <c r="T324" s="6" t="str">
        <f t="shared" si="3"/>
        <v>Old</v>
      </c>
    </row>
    <row r="325" ht="14.25" customHeight="1">
      <c r="A325" s="5">
        <v>516722.0</v>
      </c>
      <c r="B325" s="6" t="s">
        <v>1341</v>
      </c>
      <c r="C325" s="6" t="s">
        <v>18</v>
      </c>
      <c r="D325" s="6">
        <v>38001.0</v>
      </c>
      <c r="E325" s="6" t="s">
        <v>60</v>
      </c>
      <c r="F325" s="6" t="s">
        <v>20</v>
      </c>
      <c r="G325" s="6" t="s">
        <v>100</v>
      </c>
      <c r="H325" s="7">
        <v>3242.0</v>
      </c>
      <c r="I325" s="7">
        <v>9096.0</v>
      </c>
      <c r="J325" s="6">
        <v>1955.0</v>
      </c>
      <c r="K325" s="6">
        <v>40.0</v>
      </c>
      <c r="L325" s="6" t="s">
        <v>141</v>
      </c>
      <c r="M325" s="6" t="s">
        <v>1342</v>
      </c>
      <c r="N325" s="6" t="s">
        <v>24</v>
      </c>
      <c r="O325" s="6" t="s">
        <v>35</v>
      </c>
      <c r="P325" s="6">
        <f>COUNTIF(Analysis!$M$1:$M$3001,Analysis!$M325)</f>
        <v>1</v>
      </c>
      <c r="Q325" s="6" t="str">
        <f>IF(COUNTIF(Analysis!$M$2:$M$3001,Analysis!$M325)&gt;1,"Duplicate","OK")</f>
        <v>OK</v>
      </c>
      <c r="R325" s="6" t="str">
        <f t="shared" si="1"/>
        <v>2600-3600</v>
      </c>
      <c r="S325" s="6">
        <f t="shared" si="2"/>
        <v>71</v>
      </c>
      <c r="T325" s="6" t="str">
        <f t="shared" si="3"/>
        <v>Very Old</v>
      </c>
    </row>
    <row r="326" ht="14.25" customHeight="1">
      <c r="A326" s="5">
        <v>410680.0</v>
      </c>
      <c r="B326" s="6" t="s">
        <v>1345</v>
      </c>
      <c r="C326" s="6" t="s">
        <v>39</v>
      </c>
      <c r="D326" s="6">
        <v>87840.0</v>
      </c>
      <c r="E326" s="6" t="s">
        <v>19</v>
      </c>
      <c r="F326" s="6" t="s">
        <v>20</v>
      </c>
      <c r="G326" s="6" t="s">
        <v>31</v>
      </c>
      <c r="H326" s="7">
        <v>1597.0</v>
      </c>
      <c r="I326" s="7">
        <v>3907.0</v>
      </c>
      <c r="J326" s="6">
        <v>2021.0</v>
      </c>
      <c r="K326" s="6">
        <v>111.0</v>
      </c>
      <c r="L326" s="6" t="s">
        <v>95</v>
      </c>
      <c r="M326" s="6" t="s">
        <v>1346</v>
      </c>
      <c r="N326" s="6" t="s">
        <v>43</v>
      </c>
      <c r="O326" s="6" t="s">
        <v>35</v>
      </c>
      <c r="P326" s="6">
        <f>COUNTIF(Analysis!$M$1:$M$3001,Analysis!$M326)</f>
        <v>1</v>
      </c>
      <c r="Q326" s="6" t="str">
        <f>IF(COUNTIF(Analysis!$M$2:$M$3001,Analysis!$M326)&gt;1,"Duplicate","OK")</f>
        <v>OK</v>
      </c>
      <c r="R326" s="6" t="str">
        <f t="shared" si="1"/>
        <v>600-1600</v>
      </c>
      <c r="S326" s="6">
        <f t="shared" si="2"/>
        <v>5</v>
      </c>
      <c r="T326" s="6" t="str">
        <f t="shared" si="3"/>
        <v>New</v>
      </c>
    </row>
    <row r="327" ht="14.25" customHeight="1">
      <c r="A327" s="5">
        <v>579380.0</v>
      </c>
      <c r="B327" s="6" t="s">
        <v>1349</v>
      </c>
      <c r="C327" s="6" t="s">
        <v>18</v>
      </c>
      <c r="D327" s="6">
        <v>58273.0</v>
      </c>
      <c r="E327" s="6" t="s">
        <v>40</v>
      </c>
      <c r="F327" s="6" t="s">
        <v>20</v>
      </c>
      <c r="G327" s="6" t="s">
        <v>55</v>
      </c>
      <c r="H327" s="7">
        <v>3165.0</v>
      </c>
      <c r="I327" s="7">
        <v>7690.0</v>
      </c>
      <c r="J327" s="6">
        <v>1995.0</v>
      </c>
      <c r="K327" s="6">
        <v>2.0</v>
      </c>
      <c r="L327" s="6" t="s">
        <v>62</v>
      </c>
      <c r="M327" s="6" t="s">
        <v>1350</v>
      </c>
      <c r="N327" s="6" t="s">
        <v>48</v>
      </c>
      <c r="O327" s="6" t="s">
        <v>49</v>
      </c>
      <c r="P327" s="6">
        <f>COUNTIF(Analysis!$M$1:$M$3001,Analysis!$M327)</f>
        <v>1</v>
      </c>
      <c r="Q327" s="6" t="str">
        <f>IF(COUNTIF(Analysis!$M$2:$M$3001,Analysis!$M327)&gt;1,"Duplicate","OK")</f>
        <v>OK</v>
      </c>
      <c r="R327" s="6" t="str">
        <f t="shared" si="1"/>
        <v>2600-3600</v>
      </c>
      <c r="S327" s="6">
        <f t="shared" si="2"/>
        <v>31</v>
      </c>
      <c r="T327" s="6" t="str">
        <f t="shared" si="3"/>
        <v>Old</v>
      </c>
    </row>
    <row r="328" ht="14.25" customHeight="1">
      <c r="A328" s="5">
        <v>1474045.0</v>
      </c>
      <c r="B328" s="6" t="s">
        <v>1353</v>
      </c>
      <c r="C328" s="6" t="s">
        <v>53</v>
      </c>
      <c r="D328" s="6">
        <v>15134.0</v>
      </c>
      <c r="E328" s="6" t="s">
        <v>77</v>
      </c>
      <c r="F328" s="6" t="s">
        <v>46</v>
      </c>
      <c r="G328" s="6" t="s">
        <v>100</v>
      </c>
      <c r="H328" s="7">
        <v>3031.0</v>
      </c>
      <c r="I328" s="7">
        <v>7696.0</v>
      </c>
      <c r="J328" s="6">
        <v>1982.0</v>
      </c>
      <c r="K328" s="6">
        <v>89.0</v>
      </c>
      <c r="L328" s="6" t="s">
        <v>141</v>
      </c>
      <c r="M328" s="6" t="s">
        <v>1354</v>
      </c>
      <c r="N328" s="6" t="s">
        <v>43</v>
      </c>
      <c r="O328" s="6" t="s">
        <v>35</v>
      </c>
      <c r="P328" s="6">
        <f>COUNTIF(Analysis!$M$1:$M$3001,Analysis!$M328)</f>
        <v>1</v>
      </c>
      <c r="Q328" s="6" t="str">
        <f>IF(COUNTIF(Analysis!$M$2:$M$3001,Analysis!$M328)&gt;1,"Duplicate","OK")</f>
        <v>OK</v>
      </c>
      <c r="R328" s="6" t="str">
        <f t="shared" si="1"/>
        <v>2600-3600</v>
      </c>
      <c r="S328" s="6">
        <f t="shared" si="2"/>
        <v>44</v>
      </c>
      <c r="T328" s="6" t="str">
        <f t="shared" si="3"/>
        <v>Old</v>
      </c>
    </row>
    <row r="329" ht="14.25" customHeight="1">
      <c r="A329" s="5">
        <v>1441227.0</v>
      </c>
      <c r="B329" s="6" t="s">
        <v>1357</v>
      </c>
      <c r="C329" s="6" t="s">
        <v>18</v>
      </c>
      <c r="D329" s="6">
        <v>11522.0</v>
      </c>
      <c r="E329" s="6" t="s">
        <v>19</v>
      </c>
      <c r="F329" s="6" t="s">
        <v>20</v>
      </c>
      <c r="G329" s="6" t="s">
        <v>31</v>
      </c>
      <c r="H329" s="7">
        <v>1445.0</v>
      </c>
      <c r="I329" s="7">
        <v>8418.0</v>
      </c>
      <c r="J329" s="6">
        <v>1971.0</v>
      </c>
      <c r="K329" s="6">
        <v>15.0</v>
      </c>
      <c r="L329" s="6" t="s">
        <v>141</v>
      </c>
      <c r="M329" s="6" t="s">
        <v>1358</v>
      </c>
      <c r="N329" s="6" t="s">
        <v>34</v>
      </c>
      <c r="O329" s="6" t="s">
        <v>49</v>
      </c>
      <c r="P329" s="6">
        <f>COUNTIF(Analysis!$M$1:$M$3001,Analysis!$M329)</f>
        <v>1</v>
      </c>
      <c r="Q329" s="6" t="str">
        <f>IF(COUNTIF(Analysis!$M$2:$M$3001,Analysis!$M329)&gt;1,"Duplicate","OK")</f>
        <v>OK</v>
      </c>
      <c r="R329" s="6" t="str">
        <f t="shared" si="1"/>
        <v>600-1600</v>
      </c>
      <c r="S329" s="6">
        <f t="shared" si="2"/>
        <v>55</v>
      </c>
      <c r="T329" s="6" t="str">
        <f t="shared" si="3"/>
        <v>Old</v>
      </c>
    </row>
    <row r="330" ht="14.25" customHeight="1">
      <c r="A330" s="5">
        <v>1110787.0</v>
      </c>
      <c r="B330" s="6" t="s">
        <v>1361</v>
      </c>
      <c r="C330" s="6" t="s">
        <v>18</v>
      </c>
      <c r="D330" s="6">
        <v>58457.0</v>
      </c>
      <c r="E330" s="6" t="s">
        <v>77</v>
      </c>
      <c r="F330" s="6" t="s">
        <v>20</v>
      </c>
      <c r="G330" s="6" t="s">
        <v>31</v>
      </c>
      <c r="H330" s="7">
        <v>3736.0</v>
      </c>
      <c r="I330" s="7">
        <v>4361.0</v>
      </c>
      <c r="J330" s="6">
        <v>2017.0</v>
      </c>
      <c r="K330" s="6">
        <v>27.0</v>
      </c>
      <c r="L330" s="6" t="s">
        <v>22</v>
      </c>
      <c r="M330" s="6" t="s">
        <v>1362</v>
      </c>
      <c r="N330" s="6" t="s">
        <v>64</v>
      </c>
      <c r="O330" s="6" t="s">
        <v>49</v>
      </c>
      <c r="P330" s="6">
        <f>COUNTIF(Analysis!$M$1:$M$3001,Analysis!$M330)</f>
        <v>1</v>
      </c>
      <c r="Q330" s="6" t="str">
        <f>IF(COUNTIF(Analysis!$M$2:$M$3001,Analysis!$M330)&gt;1,"Duplicate","OK")</f>
        <v>OK</v>
      </c>
      <c r="R330" s="6" t="str">
        <f t="shared" si="1"/>
        <v>3600+</v>
      </c>
      <c r="S330" s="6">
        <f t="shared" si="2"/>
        <v>9</v>
      </c>
      <c r="T330" s="6" t="str">
        <f t="shared" si="3"/>
        <v>New</v>
      </c>
    </row>
    <row r="331" ht="14.25" customHeight="1">
      <c r="A331" s="5">
        <v>894755.0</v>
      </c>
      <c r="B331" s="6" t="s">
        <v>1365</v>
      </c>
      <c r="C331" s="6" t="s">
        <v>39</v>
      </c>
      <c r="D331" s="6">
        <v>57822.0</v>
      </c>
      <c r="E331" s="6" t="s">
        <v>40</v>
      </c>
      <c r="F331" s="6" t="s">
        <v>61</v>
      </c>
      <c r="G331" s="6" t="s">
        <v>31</v>
      </c>
      <c r="H331" s="7">
        <v>3242.0</v>
      </c>
      <c r="I331" s="7">
        <v>4500.0</v>
      </c>
      <c r="J331" s="6">
        <v>2021.0</v>
      </c>
      <c r="K331" s="6">
        <v>3.0</v>
      </c>
      <c r="L331" s="6" t="s">
        <v>22</v>
      </c>
      <c r="M331" s="6" t="s">
        <v>1366</v>
      </c>
      <c r="N331" s="6" t="s">
        <v>43</v>
      </c>
      <c r="O331" s="6" t="s">
        <v>25</v>
      </c>
      <c r="P331" s="6">
        <f>COUNTIF(Analysis!$M$1:$M$3001,Analysis!$M331)</f>
        <v>1</v>
      </c>
      <c r="Q331" s="6" t="str">
        <f>IF(COUNTIF(Analysis!$M$2:$M$3001,Analysis!$M331)&gt;1,"Duplicate","OK")</f>
        <v>OK</v>
      </c>
      <c r="R331" s="6" t="str">
        <f t="shared" si="1"/>
        <v>2600-3600</v>
      </c>
      <c r="S331" s="6">
        <f t="shared" si="2"/>
        <v>5</v>
      </c>
      <c r="T331" s="6" t="str">
        <f t="shared" si="3"/>
        <v>New</v>
      </c>
    </row>
    <row r="332" ht="14.25" customHeight="1">
      <c r="A332" s="5">
        <v>1340985.0</v>
      </c>
      <c r="B332" s="6" t="s">
        <v>1369</v>
      </c>
      <c r="C332" s="6" t="s">
        <v>53</v>
      </c>
      <c r="D332" s="6">
        <v>18590.0</v>
      </c>
      <c r="E332" s="6" t="s">
        <v>77</v>
      </c>
      <c r="F332" s="6" t="s">
        <v>94</v>
      </c>
      <c r="G332" s="6" t="s">
        <v>21</v>
      </c>
      <c r="H332" s="7">
        <v>1618.0</v>
      </c>
      <c r="I332" s="7">
        <v>9277.0</v>
      </c>
      <c r="J332" s="6">
        <v>1970.0</v>
      </c>
      <c r="K332" s="6">
        <v>42.0</v>
      </c>
      <c r="L332" s="6" t="s">
        <v>141</v>
      </c>
      <c r="M332" s="6" t="s">
        <v>1370</v>
      </c>
      <c r="N332" s="6" t="s">
        <v>43</v>
      </c>
      <c r="O332" s="6" t="s">
        <v>25</v>
      </c>
      <c r="P332" s="6">
        <f>COUNTIF(Analysis!$M$1:$M$3001,Analysis!$M332)</f>
        <v>1</v>
      </c>
      <c r="Q332" s="6" t="str">
        <f>IF(COUNTIF(Analysis!$M$2:$M$3001,Analysis!$M332)&gt;1,"Duplicate","OK")</f>
        <v>OK</v>
      </c>
      <c r="R332" s="6" t="str">
        <f t="shared" si="1"/>
        <v>1600-2600</v>
      </c>
      <c r="S332" s="6">
        <f t="shared" si="2"/>
        <v>56</v>
      </c>
      <c r="T332" s="6" t="str">
        <f t="shared" si="3"/>
        <v>Old</v>
      </c>
    </row>
    <row r="333" ht="14.25" customHeight="1">
      <c r="A333" s="5">
        <v>1118325.0</v>
      </c>
      <c r="B333" s="6" t="s">
        <v>1373</v>
      </c>
      <c r="C333" s="6" t="s">
        <v>53</v>
      </c>
      <c r="D333" s="6">
        <v>32540.0</v>
      </c>
      <c r="E333" s="6" t="s">
        <v>40</v>
      </c>
      <c r="F333" s="6" t="s">
        <v>61</v>
      </c>
      <c r="G333" s="6" t="s">
        <v>21</v>
      </c>
      <c r="H333" s="7">
        <v>2004.0</v>
      </c>
      <c r="I333" s="7">
        <v>5824.0</v>
      </c>
      <c r="J333" s="6">
        <v>1995.0</v>
      </c>
      <c r="K333" s="6">
        <v>42.0</v>
      </c>
      <c r="L333" s="6" t="s">
        <v>141</v>
      </c>
      <c r="M333" s="6" t="s">
        <v>1374</v>
      </c>
      <c r="N333" s="6" t="s">
        <v>64</v>
      </c>
      <c r="O333" s="6" t="s">
        <v>49</v>
      </c>
      <c r="P333" s="6">
        <f>COUNTIF(Analysis!$M$1:$M$3001,Analysis!$M333)</f>
        <v>1</v>
      </c>
      <c r="Q333" s="6" t="str">
        <f>IF(COUNTIF(Analysis!$M$2:$M$3001,Analysis!$M333)&gt;1,"Duplicate","OK")</f>
        <v>OK</v>
      </c>
      <c r="R333" s="6" t="str">
        <f t="shared" si="1"/>
        <v>1600-2600</v>
      </c>
      <c r="S333" s="6">
        <f t="shared" si="2"/>
        <v>31</v>
      </c>
      <c r="T333" s="6" t="str">
        <f t="shared" si="3"/>
        <v>Old</v>
      </c>
    </row>
    <row r="334" ht="14.25" customHeight="1">
      <c r="A334" s="5">
        <v>1148708.0</v>
      </c>
      <c r="B334" s="6" t="s">
        <v>1377</v>
      </c>
      <c r="C334" s="6" t="s">
        <v>39</v>
      </c>
      <c r="D334" s="6">
        <v>95061.0</v>
      </c>
      <c r="E334" s="6" t="s">
        <v>60</v>
      </c>
      <c r="F334" s="6" t="s">
        <v>20</v>
      </c>
      <c r="G334" s="6" t="s">
        <v>55</v>
      </c>
      <c r="H334" s="7">
        <v>2255.0</v>
      </c>
      <c r="I334" s="7">
        <v>8405.0</v>
      </c>
      <c r="J334" s="6">
        <v>2006.0</v>
      </c>
      <c r="K334" s="6">
        <v>80.0</v>
      </c>
      <c r="L334" s="6" t="s">
        <v>62</v>
      </c>
      <c r="M334" s="6" t="s">
        <v>1378</v>
      </c>
      <c r="N334" s="6" t="s">
        <v>48</v>
      </c>
      <c r="O334" s="6" t="s">
        <v>35</v>
      </c>
      <c r="P334" s="6">
        <f>COUNTIF(Analysis!$M$1:$M$3001,Analysis!$M334)</f>
        <v>1</v>
      </c>
      <c r="Q334" s="6" t="str">
        <f>IF(COUNTIF(Analysis!$M$2:$M$3001,Analysis!$M334)&gt;1,"Duplicate","OK")</f>
        <v>OK</v>
      </c>
      <c r="R334" s="6" t="str">
        <f t="shared" si="1"/>
        <v>1600-2600</v>
      </c>
      <c r="S334" s="6">
        <f t="shared" si="2"/>
        <v>20</v>
      </c>
      <c r="T334" s="6" t="str">
        <f t="shared" si="3"/>
        <v>Mid</v>
      </c>
    </row>
    <row r="335" ht="14.25" customHeight="1">
      <c r="A335" s="5">
        <v>286476.0</v>
      </c>
      <c r="B335" s="6" t="s">
        <v>1381</v>
      </c>
      <c r="C335" s="6" t="s">
        <v>53</v>
      </c>
      <c r="D335" s="6">
        <v>56870.0</v>
      </c>
      <c r="E335" s="6" t="s">
        <v>30</v>
      </c>
      <c r="F335" s="6" t="s">
        <v>46</v>
      </c>
      <c r="G335" s="6" t="s">
        <v>31</v>
      </c>
      <c r="H335" s="7">
        <v>3663.0</v>
      </c>
      <c r="I335" s="7">
        <v>8176.0</v>
      </c>
      <c r="J335" s="6">
        <v>2017.0</v>
      </c>
      <c r="K335" s="6">
        <v>47.0</v>
      </c>
      <c r="L335" s="6" t="s">
        <v>95</v>
      </c>
      <c r="M335" s="6" t="s">
        <v>1382</v>
      </c>
      <c r="N335" s="6" t="s">
        <v>24</v>
      </c>
      <c r="O335" s="6" t="s">
        <v>49</v>
      </c>
      <c r="P335" s="6">
        <f>COUNTIF(Analysis!$M$1:$M$3001,Analysis!$M335)</f>
        <v>1</v>
      </c>
      <c r="Q335" s="6" t="str">
        <f>IF(COUNTIF(Analysis!$M$2:$M$3001,Analysis!$M335)&gt;1,"Duplicate","OK")</f>
        <v>OK</v>
      </c>
      <c r="R335" s="6" t="str">
        <f t="shared" si="1"/>
        <v>3600+</v>
      </c>
      <c r="S335" s="6">
        <f t="shared" si="2"/>
        <v>9</v>
      </c>
      <c r="T335" s="6" t="str">
        <f t="shared" si="3"/>
        <v>New</v>
      </c>
    </row>
    <row r="336" ht="14.25" customHeight="1">
      <c r="A336" s="5">
        <v>948322.0</v>
      </c>
      <c r="B336" s="6" t="s">
        <v>1385</v>
      </c>
      <c r="C336" s="6" t="s">
        <v>53</v>
      </c>
      <c r="D336" s="6">
        <v>70276.0</v>
      </c>
      <c r="E336" s="6" t="s">
        <v>40</v>
      </c>
      <c r="F336" s="6" t="s">
        <v>46</v>
      </c>
      <c r="G336" s="6" t="s">
        <v>31</v>
      </c>
      <c r="H336" s="7">
        <v>769.0</v>
      </c>
      <c r="I336" s="7">
        <v>7909.0</v>
      </c>
      <c r="J336" s="6">
        <v>1974.0</v>
      </c>
      <c r="K336" s="6">
        <v>110.0</v>
      </c>
      <c r="L336" s="6" t="s">
        <v>141</v>
      </c>
      <c r="M336" s="6" t="s">
        <v>1386</v>
      </c>
      <c r="N336" s="6" t="s">
        <v>43</v>
      </c>
      <c r="O336" s="6" t="s">
        <v>25</v>
      </c>
      <c r="P336" s="6">
        <f>COUNTIF(Analysis!$M$1:$M$3001,Analysis!$M336)</f>
        <v>1</v>
      </c>
      <c r="Q336" s="6" t="str">
        <f>IF(COUNTIF(Analysis!$M$2:$M$3001,Analysis!$M336)&gt;1,"Duplicate","OK")</f>
        <v>OK</v>
      </c>
      <c r="R336" s="6" t="str">
        <f t="shared" si="1"/>
        <v>600-1600</v>
      </c>
      <c r="S336" s="6">
        <f t="shared" si="2"/>
        <v>52</v>
      </c>
      <c r="T336" s="6" t="str">
        <f t="shared" si="3"/>
        <v>Old</v>
      </c>
    </row>
    <row r="337" ht="14.25" customHeight="1">
      <c r="A337" s="5">
        <v>274902.0</v>
      </c>
      <c r="B337" s="6" t="s">
        <v>4827</v>
      </c>
      <c r="C337" s="6" t="s">
        <v>29</v>
      </c>
      <c r="D337" s="6">
        <v>29272.0</v>
      </c>
      <c r="E337" s="6" t="s">
        <v>19</v>
      </c>
      <c r="F337" s="6" t="s">
        <v>54</v>
      </c>
      <c r="G337" s="6" t="s">
        <v>100</v>
      </c>
      <c r="H337" s="7">
        <v>2115.0</v>
      </c>
      <c r="I337" s="7">
        <v>7911.0</v>
      </c>
      <c r="J337" s="6">
        <v>1970.0</v>
      </c>
      <c r="K337" s="6">
        <v>59.0</v>
      </c>
      <c r="L337" s="6" t="s">
        <v>32</v>
      </c>
      <c r="M337" s="6" t="s">
        <v>4828</v>
      </c>
      <c r="N337" s="6" t="s">
        <v>34</v>
      </c>
      <c r="O337" s="6" t="s">
        <v>35</v>
      </c>
      <c r="P337" s="6">
        <f>COUNTIF(Analysis!$M$1:$M$3001,Analysis!$M1197)</f>
        <v>1</v>
      </c>
      <c r="Q337" s="6" t="str">
        <f>IF(COUNTIF(Analysis!$M$2:$M$3001,Analysis!$M1197)&gt;1,"Duplicate","OK")</f>
        <v>OK</v>
      </c>
      <c r="R337" s="6" t="str">
        <f t="shared" si="1"/>
        <v>1600-2600</v>
      </c>
      <c r="S337" s="6">
        <f t="shared" si="2"/>
        <v>56</v>
      </c>
      <c r="T337" s="6" t="str">
        <f t="shared" si="3"/>
        <v>Old</v>
      </c>
    </row>
    <row r="338" ht="14.25" customHeight="1">
      <c r="A338" s="5">
        <v>1154506.0</v>
      </c>
      <c r="B338" s="6" t="s">
        <v>1393</v>
      </c>
      <c r="C338" s="6" t="s">
        <v>39</v>
      </c>
      <c r="D338" s="6">
        <v>40884.0</v>
      </c>
      <c r="E338" s="6" t="s">
        <v>40</v>
      </c>
      <c r="F338" s="6" t="s">
        <v>54</v>
      </c>
      <c r="G338" s="6" t="s">
        <v>55</v>
      </c>
      <c r="H338" s="7">
        <v>2342.0</v>
      </c>
      <c r="I338" s="7">
        <v>2659.0</v>
      </c>
      <c r="J338" s="6">
        <v>2009.0</v>
      </c>
      <c r="K338" s="6">
        <v>74.0</v>
      </c>
      <c r="L338" s="6" t="s">
        <v>32</v>
      </c>
      <c r="M338" s="6" t="s">
        <v>1394</v>
      </c>
      <c r="N338" s="6" t="s">
        <v>24</v>
      </c>
      <c r="O338" s="6" t="s">
        <v>35</v>
      </c>
      <c r="P338" s="6">
        <f>COUNTIF(Analysis!$M$1:$M$3001,Analysis!$M338)</f>
        <v>1</v>
      </c>
      <c r="Q338" s="6" t="str">
        <f>IF(COUNTIF(Analysis!$M$2:$M$3001,Analysis!$M338)&gt;1,"Duplicate","OK")</f>
        <v>OK</v>
      </c>
      <c r="R338" s="6" t="str">
        <f t="shared" si="1"/>
        <v>1600-2600</v>
      </c>
      <c r="S338" s="6">
        <f t="shared" si="2"/>
        <v>17</v>
      </c>
      <c r="T338" s="6" t="str">
        <f t="shared" si="3"/>
        <v>Mid</v>
      </c>
    </row>
    <row r="339" ht="14.25" customHeight="1">
      <c r="A339" s="5">
        <v>323674.0</v>
      </c>
      <c r="B339" s="6" t="s">
        <v>1397</v>
      </c>
      <c r="C339" s="6" t="s">
        <v>18</v>
      </c>
      <c r="D339" s="6">
        <v>97622.0</v>
      </c>
      <c r="E339" s="6" t="s">
        <v>60</v>
      </c>
      <c r="F339" s="6" t="s">
        <v>54</v>
      </c>
      <c r="G339" s="6" t="s">
        <v>21</v>
      </c>
      <c r="H339" s="7">
        <v>3826.0</v>
      </c>
      <c r="I339" s="7">
        <v>2310.0</v>
      </c>
      <c r="J339" s="6">
        <v>2016.0</v>
      </c>
      <c r="K339" s="6">
        <v>50.0</v>
      </c>
      <c r="L339" s="6" t="s">
        <v>95</v>
      </c>
      <c r="M339" s="6" t="s">
        <v>1398</v>
      </c>
      <c r="N339" s="6" t="s">
        <v>34</v>
      </c>
      <c r="O339" s="6" t="s">
        <v>25</v>
      </c>
      <c r="P339" s="6">
        <f>COUNTIF(Analysis!$M$1:$M$3001,Analysis!$M339)</f>
        <v>1</v>
      </c>
      <c r="Q339" s="6" t="str">
        <f>IF(COUNTIF(Analysis!$M$2:$M$3001,Analysis!$M339)&gt;1,"Duplicate","OK")</f>
        <v>OK</v>
      </c>
      <c r="R339" s="6" t="str">
        <f t="shared" si="1"/>
        <v>3600+</v>
      </c>
      <c r="S339" s="6">
        <f t="shared" si="2"/>
        <v>10</v>
      </c>
      <c r="T339" s="6" t="str">
        <f t="shared" si="3"/>
        <v>New</v>
      </c>
    </row>
    <row r="340" ht="14.25" customHeight="1">
      <c r="A340" s="5">
        <v>512841.0</v>
      </c>
      <c r="B340" s="6" t="s">
        <v>1401</v>
      </c>
      <c r="C340" s="6" t="s">
        <v>76</v>
      </c>
      <c r="D340" s="6">
        <v>45725.0</v>
      </c>
      <c r="E340" s="6" t="s">
        <v>60</v>
      </c>
      <c r="F340" s="6" t="s">
        <v>41</v>
      </c>
      <c r="G340" s="6" t="s">
        <v>31</v>
      </c>
      <c r="H340" s="7">
        <v>2735.0</v>
      </c>
      <c r="I340" s="7">
        <v>9513.0</v>
      </c>
      <c r="J340" s="6">
        <v>2012.0</v>
      </c>
      <c r="K340" s="6">
        <v>76.0</v>
      </c>
      <c r="L340" s="6" t="s">
        <v>95</v>
      </c>
      <c r="M340" s="6" t="s">
        <v>1402</v>
      </c>
      <c r="N340" s="6" t="s">
        <v>43</v>
      </c>
      <c r="O340" s="6" t="s">
        <v>49</v>
      </c>
      <c r="P340" s="6">
        <f>COUNTIF(Analysis!$M$1:$M$3001,Analysis!$M340)</f>
        <v>1</v>
      </c>
      <c r="Q340" s="6" t="str">
        <f>IF(COUNTIF(Analysis!$M$2:$M$3001,Analysis!$M340)&gt;1,"Duplicate","OK")</f>
        <v>OK</v>
      </c>
      <c r="R340" s="6" t="str">
        <f t="shared" si="1"/>
        <v>2600-3600</v>
      </c>
      <c r="S340" s="6">
        <f t="shared" si="2"/>
        <v>14</v>
      </c>
      <c r="T340" s="6" t="str">
        <f t="shared" si="3"/>
        <v>Mid</v>
      </c>
    </row>
    <row r="341" ht="14.25" customHeight="1">
      <c r="A341" s="5">
        <v>1280680.0</v>
      </c>
      <c r="B341" s="6" t="s">
        <v>1405</v>
      </c>
      <c r="C341" s="6" t="s">
        <v>18</v>
      </c>
      <c r="D341" s="6">
        <v>18928.0</v>
      </c>
      <c r="E341" s="6" t="s">
        <v>19</v>
      </c>
      <c r="F341" s="6" t="s">
        <v>20</v>
      </c>
      <c r="G341" s="6" t="s">
        <v>100</v>
      </c>
      <c r="H341" s="7">
        <v>1800.0</v>
      </c>
      <c r="I341" s="7">
        <v>2769.0</v>
      </c>
      <c r="J341" s="6">
        <v>1969.0</v>
      </c>
      <c r="K341" s="6">
        <v>117.0</v>
      </c>
      <c r="L341" s="6" t="s">
        <v>141</v>
      </c>
      <c r="M341" s="6" t="s">
        <v>1406</v>
      </c>
      <c r="N341" s="6" t="s">
        <v>34</v>
      </c>
      <c r="O341" s="6" t="s">
        <v>35</v>
      </c>
      <c r="P341" s="6">
        <f>COUNTIF(Analysis!$M$1:$M$3001,Analysis!$M341)</f>
        <v>1</v>
      </c>
      <c r="Q341" s="6" t="str">
        <f>IF(COUNTIF(Analysis!$M$2:$M$3001,Analysis!$M341)&gt;1,"Duplicate","OK")</f>
        <v>OK</v>
      </c>
      <c r="R341" s="6" t="str">
        <f t="shared" si="1"/>
        <v>1600-2600</v>
      </c>
      <c r="S341" s="6">
        <f t="shared" si="2"/>
        <v>57</v>
      </c>
      <c r="T341" s="6" t="str">
        <f t="shared" si="3"/>
        <v>Old</v>
      </c>
    </row>
    <row r="342" ht="14.25" customHeight="1">
      <c r="A342" s="5">
        <v>888840.0</v>
      </c>
      <c r="B342" s="6" t="s">
        <v>1409</v>
      </c>
      <c r="C342" s="6" t="s">
        <v>76</v>
      </c>
      <c r="D342" s="6">
        <v>19441.0</v>
      </c>
      <c r="E342" s="6" t="s">
        <v>77</v>
      </c>
      <c r="F342" s="6" t="s">
        <v>61</v>
      </c>
      <c r="G342" s="6" t="s">
        <v>55</v>
      </c>
      <c r="H342" s="7">
        <v>796.0</v>
      </c>
      <c r="I342" s="7">
        <v>3561.0</v>
      </c>
      <c r="J342" s="6">
        <v>2000.0</v>
      </c>
      <c r="K342" s="6">
        <v>85.0</v>
      </c>
      <c r="L342" s="6" t="s">
        <v>32</v>
      </c>
      <c r="M342" s="6" t="s">
        <v>1410</v>
      </c>
      <c r="N342" s="6" t="s">
        <v>48</v>
      </c>
      <c r="O342" s="6" t="s">
        <v>35</v>
      </c>
      <c r="P342" s="6">
        <f>COUNTIF(Analysis!$M$1:$M$3001,Analysis!$M342)</f>
        <v>1</v>
      </c>
      <c r="Q342" s="6" t="str">
        <f>IF(COUNTIF(Analysis!$M$2:$M$3001,Analysis!$M342)&gt;1,"Duplicate","OK")</f>
        <v>OK</v>
      </c>
      <c r="R342" s="6" t="str">
        <f t="shared" si="1"/>
        <v>600-1600</v>
      </c>
      <c r="S342" s="6">
        <f t="shared" si="2"/>
        <v>26</v>
      </c>
      <c r="T342" s="6" t="str">
        <f t="shared" si="3"/>
        <v>Mid</v>
      </c>
    </row>
    <row r="343" ht="14.25" customHeight="1">
      <c r="A343" s="5">
        <v>930535.0</v>
      </c>
      <c r="B343" s="6" t="s">
        <v>1413</v>
      </c>
      <c r="C343" s="6" t="s">
        <v>18</v>
      </c>
      <c r="D343" s="6">
        <v>93570.0</v>
      </c>
      <c r="E343" s="6" t="s">
        <v>30</v>
      </c>
      <c r="F343" s="6" t="s">
        <v>41</v>
      </c>
      <c r="G343" s="6" t="s">
        <v>31</v>
      </c>
      <c r="H343" s="7">
        <v>2476.0</v>
      </c>
      <c r="I343" s="7">
        <v>7792.0</v>
      </c>
      <c r="J343" s="6">
        <v>1962.0</v>
      </c>
      <c r="K343" s="6">
        <v>116.0</v>
      </c>
      <c r="L343" s="6" t="s">
        <v>22</v>
      </c>
      <c r="M343" s="6" t="s">
        <v>1414</v>
      </c>
      <c r="N343" s="6" t="s">
        <v>64</v>
      </c>
      <c r="O343" s="6" t="s">
        <v>35</v>
      </c>
      <c r="P343" s="6">
        <f>COUNTIF(Analysis!$M$1:$M$3001,Analysis!$M343)</f>
        <v>1</v>
      </c>
      <c r="Q343" s="6" t="str">
        <f>IF(COUNTIF(Analysis!$M$2:$M$3001,Analysis!$M343)&gt;1,"Duplicate","OK")</f>
        <v>OK</v>
      </c>
      <c r="R343" s="6" t="str">
        <f t="shared" si="1"/>
        <v>1600-2600</v>
      </c>
      <c r="S343" s="6">
        <f t="shared" si="2"/>
        <v>64</v>
      </c>
      <c r="T343" s="6" t="str">
        <f t="shared" si="3"/>
        <v>Very Old</v>
      </c>
    </row>
    <row r="344" ht="14.25" customHeight="1">
      <c r="A344" s="5">
        <v>571179.0</v>
      </c>
      <c r="B344" s="6" t="s">
        <v>1417</v>
      </c>
      <c r="C344" s="6" t="s">
        <v>53</v>
      </c>
      <c r="D344" s="6">
        <v>69765.0</v>
      </c>
      <c r="E344" s="6" t="s">
        <v>19</v>
      </c>
      <c r="F344" s="6" t="s">
        <v>54</v>
      </c>
      <c r="G344" s="6" t="s">
        <v>21</v>
      </c>
      <c r="H344" s="7">
        <v>3745.0</v>
      </c>
      <c r="I344" s="7">
        <v>8006.0</v>
      </c>
      <c r="J344" s="6">
        <v>1959.0</v>
      </c>
      <c r="K344" s="6">
        <v>96.0</v>
      </c>
      <c r="L344" s="6" t="s">
        <v>22</v>
      </c>
      <c r="M344" s="6" t="s">
        <v>1418</v>
      </c>
      <c r="N344" s="6" t="s">
        <v>48</v>
      </c>
      <c r="O344" s="6" t="s">
        <v>25</v>
      </c>
      <c r="P344" s="6">
        <f>COUNTIF(Analysis!$M$1:$M$3001,Analysis!$M344)</f>
        <v>1</v>
      </c>
      <c r="Q344" s="6" t="str">
        <f>IF(COUNTIF(Analysis!$M$2:$M$3001,Analysis!$M344)&gt;1,"Duplicate","OK")</f>
        <v>OK</v>
      </c>
      <c r="R344" s="6" t="str">
        <f t="shared" si="1"/>
        <v>3600+</v>
      </c>
      <c r="S344" s="6">
        <f t="shared" si="2"/>
        <v>67</v>
      </c>
      <c r="T344" s="6" t="str">
        <f t="shared" si="3"/>
        <v>Very Old</v>
      </c>
    </row>
    <row r="345" ht="14.25" customHeight="1">
      <c r="A345" s="5">
        <v>1026442.0</v>
      </c>
      <c r="B345" s="6" t="s">
        <v>1421</v>
      </c>
      <c r="C345" s="6" t="s">
        <v>39</v>
      </c>
      <c r="D345" s="6">
        <v>78801.0</v>
      </c>
      <c r="E345" s="6" t="s">
        <v>40</v>
      </c>
      <c r="F345" s="6" t="s">
        <v>46</v>
      </c>
      <c r="G345" s="6" t="s">
        <v>55</v>
      </c>
      <c r="H345" s="7">
        <v>2333.0</v>
      </c>
      <c r="I345" s="7">
        <v>3991.0</v>
      </c>
      <c r="J345" s="6">
        <v>1999.0</v>
      </c>
      <c r="K345" s="6">
        <v>74.0</v>
      </c>
      <c r="L345" s="6" t="s">
        <v>141</v>
      </c>
      <c r="M345" s="6" t="s">
        <v>1422</v>
      </c>
      <c r="N345" s="6" t="s">
        <v>48</v>
      </c>
      <c r="O345" s="6" t="s">
        <v>25</v>
      </c>
      <c r="P345" s="6">
        <f>COUNTIF(Analysis!$M$1:$M$3001,Analysis!$M345)</f>
        <v>1</v>
      </c>
      <c r="Q345" s="6" t="str">
        <f>IF(COUNTIF(Analysis!$M$2:$M$3001,Analysis!$M345)&gt;1,"Duplicate","OK")</f>
        <v>OK</v>
      </c>
      <c r="R345" s="6" t="str">
        <f t="shared" si="1"/>
        <v>1600-2600</v>
      </c>
      <c r="S345" s="6">
        <f t="shared" si="2"/>
        <v>27</v>
      </c>
      <c r="T345" s="6" t="str">
        <f t="shared" si="3"/>
        <v>Mid</v>
      </c>
    </row>
    <row r="346" ht="14.25" customHeight="1">
      <c r="A346" s="5">
        <v>572510.0</v>
      </c>
      <c r="B346" s="6" t="s">
        <v>1425</v>
      </c>
      <c r="C346" s="6" t="s">
        <v>76</v>
      </c>
      <c r="D346" s="6">
        <v>51007.0</v>
      </c>
      <c r="E346" s="6" t="s">
        <v>60</v>
      </c>
      <c r="F346" s="6" t="s">
        <v>61</v>
      </c>
      <c r="G346" s="6" t="s">
        <v>100</v>
      </c>
      <c r="H346" s="7">
        <v>3199.0</v>
      </c>
      <c r="I346" s="7">
        <v>1413.0</v>
      </c>
      <c r="J346" s="6">
        <v>2006.0</v>
      </c>
      <c r="K346" s="6">
        <v>77.0</v>
      </c>
      <c r="L346" s="6" t="s">
        <v>32</v>
      </c>
      <c r="M346" s="6" t="s">
        <v>1426</v>
      </c>
      <c r="N346" s="6" t="s">
        <v>24</v>
      </c>
      <c r="O346" s="6" t="s">
        <v>35</v>
      </c>
      <c r="P346" s="6">
        <f>COUNTIF(Analysis!$M$1:$M$3001,Analysis!$M346)</f>
        <v>1</v>
      </c>
      <c r="Q346" s="6" t="str">
        <f>IF(COUNTIF(Analysis!$M$2:$M$3001,Analysis!$M346)&gt;1,"Duplicate","OK")</f>
        <v>OK</v>
      </c>
      <c r="R346" s="6" t="str">
        <f t="shared" si="1"/>
        <v>2600-3600</v>
      </c>
      <c r="S346" s="6">
        <f t="shared" si="2"/>
        <v>20</v>
      </c>
      <c r="T346" s="6" t="str">
        <f t="shared" si="3"/>
        <v>Mid</v>
      </c>
    </row>
    <row r="347" ht="14.25" customHeight="1">
      <c r="A347" s="5">
        <v>1472070.0</v>
      </c>
      <c r="B347" s="6" t="s">
        <v>1429</v>
      </c>
      <c r="C347" s="6" t="s">
        <v>18</v>
      </c>
      <c r="D347" s="6">
        <v>10238.0</v>
      </c>
      <c r="E347" s="6" t="s">
        <v>19</v>
      </c>
      <c r="F347" s="6" t="s">
        <v>46</v>
      </c>
      <c r="G347" s="6" t="s">
        <v>100</v>
      </c>
      <c r="H347" s="7">
        <v>1548.0</v>
      </c>
      <c r="I347" s="7">
        <v>3141.0</v>
      </c>
      <c r="J347" s="6">
        <v>1984.0</v>
      </c>
      <c r="K347" s="6">
        <v>71.0</v>
      </c>
      <c r="L347" s="6" t="s">
        <v>95</v>
      </c>
      <c r="M347" s="6" t="s">
        <v>1430</v>
      </c>
      <c r="N347" s="6" t="s">
        <v>24</v>
      </c>
      <c r="O347" s="6" t="s">
        <v>25</v>
      </c>
      <c r="P347" s="6">
        <f>COUNTIF(Analysis!$M$1:$M$3001,Analysis!$M347)</f>
        <v>1</v>
      </c>
      <c r="Q347" s="6" t="str">
        <f>IF(COUNTIF(Analysis!$M$2:$M$3001,Analysis!$M347)&gt;1,"Duplicate","OK")</f>
        <v>OK</v>
      </c>
      <c r="R347" s="6" t="str">
        <f t="shared" si="1"/>
        <v>600-1600</v>
      </c>
      <c r="S347" s="6">
        <f t="shared" si="2"/>
        <v>42</v>
      </c>
      <c r="T347" s="6" t="str">
        <f t="shared" si="3"/>
        <v>Old</v>
      </c>
    </row>
    <row r="348" ht="14.25" customHeight="1">
      <c r="A348" s="5">
        <v>772817.0</v>
      </c>
      <c r="B348" s="6" t="s">
        <v>1433</v>
      </c>
      <c r="C348" s="6" t="s">
        <v>53</v>
      </c>
      <c r="D348" s="6">
        <v>60485.0</v>
      </c>
      <c r="E348" s="6" t="s">
        <v>30</v>
      </c>
      <c r="F348" s="6" t="s">
        <v>20</v>
      </c>
      <c r="G348" s="6" t="s">
        <v>55</v>
      </c>
      <c r="H348" s="7">
        <v>2603.0</v>
      </c>
      <c r="I348" s="7">
        <v>4509.0</v>
      </c>
      <c r="J348" s="6">
        <v>1960.0</v>
      </c>
      <c r="K348" s="6">
        <v>45.0</v>
      </c>
      <c r="L348" s="6" t="s">
        <v>141</v>
      </c>
      <c r="M348" s="6" t="s">
        <v>1434</v>
      </c>
      <c r="N348" s="6" t="s">
        <v>43</v>
      </c>
      <c r="O348" s="6" t="s">
        <v>49</v>
      </c>
      <c r="P348" s="6">
        <f>COUNTIF(Analysis!$M$1:$M$3001,Analysis!$M348)</f>
        <v>1</v>
      </c>
      <c r="Q348" s="6" t="str">
        <f>IF(COUNTIF(Analysis!$M$2:$M$3001,Analysis!$M348)&gt;1,"Duplicate","OK")</f>
        <v>OK</v>
      </c>
      <c r="R348" s="6" t="str">
        <f t="shared" si="1"/>
        <v>2600-3600</v>
      </c>
      <c r="S348" s="6">
        <f t="shared" si="2"/>
        <v>66</v>
      </c>
      <c r="T348" s="6" t="str">
        <f t="shared" si="3"/>
        <v>Very Old</v>
      </c>
    </row>
    <row r="349" ht="14.25" customHeight="1">
      <c r="A349" s="5">
        <v>1387582.0</v>
      </c>
      <c r="B349" s="6" t="s">
        <v>1437</v>
      </c>
      <c r="C349" s="6" t="s">
        <v>18</v>
      </c>
      <c r="D349" s="6">
        <v>76921.0</v>
      </c>
      <c r="E349" s="6" t="s">
        <v>60</v>
      </c>
      <c r="F349" s="6" t="s">
        <v>46</v>
      </c>
      <c r="G349" s="6" t="s">
        <v>31</v>
      </c>
      <c r="H349" s="7">
        <v>602.0</v>
      </c>
      <c r="I349" s="7">
        <v>6137.0</v>
      </c>
      <c r="J349" s="6">
        <v>1994.0</v>
      </c>
      <c r="K349" s="6">
        <v>51.0</v>
      </c>
      <c r="L349" s="6" t="s">
        <v>22</v>
      </c>
      <c r="M349" s="6" t="s">
        <v>1438</v>
      </c>
      <c r="N349" s="6" t="s">
        <v>34</v>
      </c>
      <c r="O349" s="6" t="s">
        <v>35</v>
      </c>
      <c r="P349" s="6">
        <f>COUNTIF(Analysis!$M$1:$M$3001,Analysis!$M349)</f>
        <v>1</v>
      </c>
      <c r="Q349" s="6" t="str">
        <f>IF(COUNTIF(Analysis!$M$2:$M$3001,Analysis!$M349)&gt;1,"Duplicate","OK")</f>
        <v>OK</v>
      </c>
      <c r="R349" s="6" t="str">
        <f t="shared" si="1"/>
        <v>600-1600</v>
      </c>
      <c r="S349" s="6">
        <f t="shared" si="2"/>
        <v>32</v>
      </c>
      <c r="T349" s="6" t="str">
        <f t="shared" si="3"/>
        <v>Old</v>
      </c>
    </row>
    <row r="350" ht="14.25" customHeight="1">
      <c r="A350" s="5">
        <v>1046192.0</v>
      </c>
      <c r="B350" s="6" t="s">
        <v>1441</v>
      </c>
      <c r="C350" s="6" t="s">
        <v>39</v>
      </c>
      <c r="D350" s="6">
        <v>20830.0</v>
      </c>
      <c r="E350" s="6" t="s">
        <v>60</v>
      </c>
      <c r="F350" s="6" t="s">
        <v>46</v>
      </c>
      <c r="G350" s="6" t="s">
        <v>100</v>
      </c>
      <c r="H350" s="7">
        <v>1636.0</v>
      </c>
      <c r="I350" s="7">
        <v>3931.0</v>
      </c>
      <c r="J350" s="6">
        <v>2005.0</v>
      </c>
      <c r="K350" s="6">
        <v>97.0</v>
      </c>
      <c r="L350" s="6" t="s">
        <v>22</v>
      </c>
      <c r="M350" s="6" t="s">
        <v>1442</v>
      </c>
      <c r="N350" s="6" t="s">
        <v>24</v>
      </c>
      <c r="O350" s="6" t="s">
        <v>49</v>
      </c>
      <c r="P350" s="6">
        <f>COUNTIF(Analysis!$M$1:$M$3001,Analysis!$M350)</f>
        <v>1</v>
      </c>
      <c r="Q350" s="6" t="str">
        <f>IF(COUNTIF(Analysis!$M$2:$M$3001,Analysis!$M350)&gt;1,"Duplicate","OK")</f>
        <v>OK</v>
      </c>
      <c r="R350" s="6" t="str">
        <f t="shared" si="1"/>
        <v>1600-2600</v>
      </c>
      <c r="S350" s="6">
        <f t="shared" si="2"/>
        <v>21</v>
      </c>
      <c r="T350" s="6" t="str">
        <f t="shared" si="3"/>
        <v>Mid</v>
      </c>
    </row>
    <row r="351" ht="14.25" customHeight="1">
      <c r="A351" s="5">
        <v>1300827.0</v>
      </c>
      <c r="B351" s="6" t="s">
        <v>1445</v>
      </c>
      <c r="C351" s="6" t="s">
        <v>39</v>
      </c>
      <c r="D351" s="6">
        <v>75928.0</v>
      </c>
      <c r="E351" s="6" t="s">
        <v>77</v>
      </c>
      <c r="F351" s="6" t="s">
        <v>20</v>
      </c>
      <c r="G351" s="6" t="s">
        <v>21</v>
      </c>
      <c r="H351" s="7">
        <v>2500.0</v>
      </c>
      <c r="I351" s="7">
        <v>4567.0</v>
      </c>
      <c r="J351" s="6">
        <v>1950.0</v>
      </c>
      <c r="K351" s="6">
        <v>94.0</v>
      </c>
      <c r="L351" s="6" t="s">
        <v>32</v>
      </c>
      <c r="M351" s="6" t="s">
        <v>1446</v>
      </c>
      <c r="N351" s="6" t="s">
        <v>34</v>
      </c>
      <c r="O351" s="6" t="s">
        <v>49</v>
      </c>
      <c r="P351" s="6">
        <f>COUNTIF(Analysis!$M$1:$M$3001,Analysis!$M351)</f>
        <v>1</v>
      </c>
      <c r="Q351" s="6" t="str">
        <f>IF(COUNTIF(Analysis!$M$2:$M$3001,Analysis!$M351)&gt;1,"Duplicate","OK")</f>
        <v>OK</v>
      </c>
      <c r="R351" s="6" t="str">
        <f t="shared" si="1"/>
        <v>1600-2600</v>
      </c>
      <c r="S351" s="6">
        <f t="shared" si="2"/>
        <v>76</v>
      </c>
      <c r="T351" s="6" t="str">
        <f t="shared" si="3"/>
        <v>Very Old</v>
      </c>
    </row>
    <row r="352" ht="14.25" customHeight="1">
      <c r="A352" s="5">
        <v>275759.0</v>
      </c>
      <c r="B352" s="6" t="s">
        <v>2503</v>
      </c>
      <c r="C352" s="6" t="s">
        <v>29</v>
      </c>
      <c r="D352" s="6">
        <v>94352.0</v>
      </c>
      <c r="E352" s="6" t="s">
        <v>60</v>
      </c>
      <c r="F352" s="6" t="s">
        <v>20</v>
      </c>
      <c r="G352" s="6" t="s">
        <v>31</v>
      </c>
      <c r="H352" s="7">
        <v>1338.0</v>
      </c>
      <c r="I352" s="7">
        <v>8697.0</v>
      </c>
      <c r="J352" s="6">
        <v>2011.0</v>
      </c>
      <c r="K352" s="6">
        <v>5.0</v>
      </c>
      <c r="L352" s="6" t="s">
        <v>32</v>
      </c>
      <c r="M352" s="6" t="s">
        <v>2504</v>
      </c>
      <c r="N352" s="6" t="s">
        <v>43</v>
      </c>
      <c r="O352" s="6" t="s">
        <v>25</v>
      </c>
      <c r="P352" s="6">
        <f>COUNTIF(Analysis!$M$1:$M$3001,Analysis!$M616)</f>
        <v>1</v>
      </c>
      <c r="Q352" s="6" t="str">
        <f>IF(COUNTIF(Analysis!$M$2:$M$3001,Analysis!$M616)&gt;1,"Duplicate","OK")</f>
        <v>OK</v>
      </c>
      <c r="R352" s="6" t="str">
        <f t="shared" si="1"/>
        <v>600-1600</v>
      </c>
      <c r="S352" s="6">
        <f t="shared" si="2"/>
        <v>15</v>
      </c>
      <c r="T352" s="6" t="str">
        <f t="shared" si="3"/>
        <v>Mid</v>
      </c>
    </row>
    <row r="353" ht="14.25" customHeight="1">
      <c r="A353" s="5">
        <v>388769.0</v>
      </c>
      <c r="B353" s="6" t="s">
        <v>1453</v>
      </c>
      <c r="C353" s="6" t="s">
        <v>76</v>
      </c>
      <c r="D353" s="6">
        <v>15945.0</v>
      </c>
      <c r="E353" s="6" t="s">
        <v>30</v>
      </c>
      <c r="F353" s="6" t="s">
        <v>61</v>
      </c>
      <c r="G353" s="6" t="s">
        <v>55</v>
      </c>
      <c r="H353" s="7">
        <v>993.0</v>
      </c>
      <c r="I353" s="7">
        <v>6247.0</v>
      </c>
      <c r="J353" s="6">
        <v>2011.0</v>
      </c>
      <c r="K353" s="6">
        <v>8.0</v>
      </c>
      <c r="L353" s="6" t="s">
        <v>32</v>
      </c>
      <c r="M353" s="6" t="s">
        <v>1454</v>
      </c>
      <c r="N353" s="6" t="s">
        <v>34</v>
      </c>
      <c r="O353" s="6" t="s">
        <v>35</v>
      </c>
      <c r="P353" s="6">
        <f>COUNTIF(Analysis!$M$1:$M$3001,Analysis!$M353)</f>
        <v>1</v>
      </c>
      <c r="Q353" s="6" t="str">
        <f>IF(COUNTIF(Analysis!$M$2:$M$3001,Analysis!$M353)&gt;1,"Duplicate","OK")</f>
        <v>OK</v>
      </c>
      <c r="R353" s="6" t="str">
        <f t="shared" si="1"/>
        <v>600-1600</v>
      </c>
      <c r="S353" s="6">
        <f t="shared" si="2"/>
        <v>15</v>
      </c>
      <c r="T353" s="6" t="str">
        <f t="shared" si="3"/>
        <v>Mid</v>
      </c>
    </row>
    <row r="354" ht="14.25" customHeight="1">
      <c r="A354" s="5">
        <v>1261138.0</v>
      </c>
      <c r="B354" s="6" t="s">
        <v>1457</v>
      </c>
      <c r="C354" s="6" t="s">
        <v>53</v>
      </c>
      <c r="D354" s="6">
        <v>23082.0</v>
      </c>
      <c r="E354" s="6" t="s">
        <v>60</v>
      </c>
      <c r="F354" s="6" t="s">
        <v>20</v>
      </c>
      <c r="G354" s="6" t="s">
        <v>100</v>
      </c>
      <c r="H354" s="7">
        <v>1999.0</v>
      </c>
      <c r="I354" s="7">
        <v>1148.0</v>
      </c>
      <c r="J354" s="6">
        <v>2006.0</v>
      </c>
      <c r="K354" s="6">
        <v>87.0</v>
      </c>
      <c r="L354" s="6" t="s">
        <v>141</v>
      </c>
      <c r="M354" s="6" t="s">
        <v>1458</v>
      </c>
      <c r="N354" s="6" t="s">
        <v>24</v>
      </c>
      <c r="O354" s="6" t="s">
        <v>25</v>
      </c>
      <c r="P354" s="6">
        <f>COUNTIF(Analysis!$M$1:$M$3001,Analysis!$M354)</f>
        <v>1</v>
      </c>
      <c r="Q354" s="6" t="str">
        <f>IF(COUNTIF(Analysis!$M$2:$M$3001,Analysis!$M354)&gt;1,"Duplicate","OK")</f>
        <v>OK</v>
      </c>
      <c r="R354" s="6" t="str">
        <f t="shared" si="1"/>
        <v>1600-2600</v>
      </c>
      <c r="S354" s="6">
        <f t="shared" si="2"/>
        <v>20</v>
      </c>
      <c r="T354" s="6" t="str">
        <f t="shared" si="3"/>
        <v>Mid</v>
      </c>
    </row>
    <row r="355" ht="14.25" customHeight="1">
      <c r="A355" s="5">
        <v>1101329.0</v>
      </c>
      <c r="B355" s="6" t="s">
        <v>1461</v>
      </c>
      <c r="C355" s="6" t="s">
        <v>39</v>
      </c>
      <c r="D355" s="6">
        <v>42548.0</v>
      </c>
      <c r="E355" s="6" t="s">
        <v>19</v>
      </c>
      <c r="F355" s="6" t="s">
        <v>46</v>
      </c>
      <c r="G355" s="6" t="s">
        <v>31</v>
      </c>
      <c r="H355" s="7">
        <v>1269.0</v>
      </c>
      <c r="I355" s="7">
        <v>4597.0</v>
      </c>
      <c r="J355" s="6">
        <v>2006.0</v>
      </c>
      <c r="K355" s="6">
        <v>41.0</v>
      </c>
      <c r="L355" s="6" t="s">
        <v>62</v>
      </c>
      <c r="M355" s="6" t="s">
        <v>1462</v>
      </c>
      <c r="N355" s="6" t="s">
        <v>24</v>
      </c>
      <c r="O355" s="6" t="s">
        <v>25</v>
      </c>
      <c r="P355" s="6">
        <f>COUNTIF(Analysis!$M$1:$M$3001,Analysis!$M355)</f>
        <v>1</v>
      </c>
      <c r="Q355" s="6" t="str">
        <f>IF(COUNTIF(Analysis!$M$2:$M$3001,Analysis!$M355)&gt;1,"Duplicate","OK")</f>
        <v>OK</v>
      </c>
      <c r="R355" s="6" t="str">
        <f t="shared" si="1"/>
        <v>600-1600</v>
      </c>
      <c r="S355" s="6">
        <f t="shared" si="2"/>
        <v>20</v>
      </c>
      <c r="T355" s="6" t="str">
        <f t="shared" si="3"/>
        <v>Mid</v>
      </c>
    </row>
    <row r="356" ht="14.25" customHeight="1">
      <c r="A356" s="5">
        <v>1265663.0</v>
      </c>
      <c r="B356" s="6" t="s">
        <v>1465</v>
      </c>
      <c r="C356" s="6" t="s">
        <v>18</v>
      </c>
      <c r="D356" s="6">
        <v>44650.0</v>
      </c>
      <c r="E356" s="6" t="s">
        <v>19</v>
      </c>
      <c r="F356" s="6" t="s">
        <v>41</v>
      </c>
      <c r="G356" s="6" t="s">
        <v>100</v>
      </c>
      <c r="H356" s="7">
        <v>1944.0</v>
      </c>
      <c r="I356" s="7">
        <v>1360.0</v>
      </c>
      <c r="J356" s="6">
        <v>1951.0</v>
      </c>
      <c r="K356" s="6">
        <v>51.0</v>
      </c>
      <c r="L356" s="6" t="s">
        <v>62</v>
      </c>
      <c r="M356" s="6" t="s">
        <v>1466</v>
      </c>
      <c r="N356" s="6" t="s">
        <v>24</v>
      </c>
      <c r="O356" s="6" t="s">
        <v>35</v>
      </c>
      <c r="P356" s="6">
        <f>COUNTIF(Analysis!$M$1:$M$3001,Analysis!$M356)</f>
        <v>1</v>
      </c>
      <c r="Q356" s="6" t="str">
        <f>IF(COUNTIF(Analysis!$M$2:$M$3001,Analysis!$M356)&gt;1,"Duplicate","OK")</f>
        <v>OK</v>
      </c>
      <c r="R356" s="6" t="str">
        <f t="shared" si="1"/>
        <v>1600-2600</v>
      </c>
      <c r="S356" s="6">
        <f t="shared" si="2"/>
        <v>75</v>
      </c>
      <c r="T356" s="6" t="str">
        <f t="shared" si="3"/>
        <v>Very Old</v>
      </c>
    </row>
    <row r="357" ht="14.25" customHeight="1">
      <c r="A357" s="5">
        <v>750711.0</v>
      </c>
      <c r="B357" s="6" t="s">
        <v>1469</v>
      </c>
      <c r="C357" s="6" t="s">
        <v>53</v>
      </c>
      <c r="D357" s="6">
        <v>33826.0</v>
      </c>
      <c r="E357" s="6" t="s">
        <v>60</v>
      </c>
      <c r="F357" s="6" t="s">
        <v>46</v>
      </c>
      <c r="G357" s="6" t="s">
        <v>100</v>
      </c>
      <c r="H357" s="7">
        <v>714.0</v>
      </c>
      <c r="I357" s="7">
        <v>9529.0</v>
      </c>
      <c r="J357" s="6">
        <v>1959.0</v>
      </c>
      <c r="K357" s="6">
        <v>98.0</v>
      </c>
      <c r="L357" s="6" t="s">
        <v>95</v>
      </c>
      <c r="M357" s="6" t="s">
        <v>1470</v>
      </c>
      <c r="N357" s="6" t="s">
        <v>24</v>
      </c>
      <c r="O357" s="6" t="s">
        <v>35</v>
      </c>
      <c r="P357" s="6">
        <f>COUNTIF(Analysis!$M$1:$M$3001,Analysis!$M357)</f>
        <v>1</v>
      </c>
      <c r="Q357" s="6" t="str">
        <f>IF(COUNTIF(Analysis!$M$2:$M$3001,Analysis!$M357)&gt;1,"Duplicate","OK")</f>
        <v>OK</v>
      </c>
      <c r="R357" s="6" t="str">
        <f t="shared" si="1"/>
        <v>600-1600</v>
      </c>
      <c r="S357" s="6">
        <f t="shared" si="2"/>
        <v>67</v>
      </c>
      <c r="T357" s="6" t="str">
        <f t="shared" si="3"/>
        <v>Very Old</v>
      </c>
    </row>
    <row r="358" ht="14.25" customHeight="1">
      <c r="A358" s="5">
        <v>565021.0</v>
      </c>
      <c r="B358" s="6" t="s">
        <v>1473</v>
      </c>
      <c r="C358" s="6" t="s">
        <v>39</v>
      </c>
      <c r="D358" s="6">
        <v>14887.0</v>
      </c>
      <c r="E358" s="6" t="s">
        <v>77</v>
      </c>
      <c r="F358" s="6" t="s">
        <v>46</v>
      </c>
      <c r="G358" s="6" t="s">
        <v>31</v>
      </c>
      <c r="H358" s="7">
        <v>1862.0</v>
      </c>
      <c r="I358" s="7">
        <v>7714.0</v>
      </c>
      <c r="J358" s="6">
        <v>2010.0</v>
      </c>
      <c r="K358" s="6">
        <v>65.0</v>
      </c>
      <c r="L358" s="6" t="s">
        <v>95</v>
      </c>
      <c r="M358" s="6" t="s">
        <v>1474</v>
      </c>
      <c r="N358" s="6" t="s">
        <v>43</v>
      </c>
      <c r="O358" s="6" t="s">
        <v>25</v>
      </c>
      <c r="P358" s="6">
        <f>COUNTIF(Analysis!$M$1:$M$3001,Analysis!$M358)</f>
        <v>1</v>
      </c>
      <c r="Q358" s="6" t="str">
        <f>IF(COUNTIF(Analysis!$M$2:$M$3001,Analysis!$M358)&gt;1,"Duplicate","OK")</f>
        <v>OK</v>
      </c>
      <c r="R358" s="6" t="str">
        <f t="shared" si="1"/>
        <v>1600-2600</v>
      </c>
      <c r="S358" s="6">
        <f t="shared" si="2"/>
        <v>16</v>
      </c>
      <c r="T358" s="6" t="str">
        <f t="shared" si="3"/>
        <v>Mid</v>
      </c>
    </row>
    <row r="359" ht="14.25" customHeight="1">
      <c r="A359" s="5">
        <v>849581.0</v>
      </c>
      <c r="B359" s="6" t="s">
        <v>1477</v>
      </c>
      <c r="C359" s="6" t="s">
        <v>53</v>
      </c>
      <c r="D359" s="6">
        <v>39118.0</v>
      </c>
      <c r="E359" s="6" t="s">
        <v>30</v>
      </c>
      <c r="F359" s="6" t="s">
        <v>46</v>
      </c>
      <c r="G359" s="6" t="s">
        <v>31</v>
      </c>
      <c r="H359" s="7">
        <v>2560.0</v>
      </c>
      <c r="I359" s="7">
        <v>6991.0</v>
      </c>
      <c r="J359" s="6">
        <v>1963.0</v>
      </c>
      <c r="K359" s="6">
        <v>50.0</v>
      </c>
      <c r="L359" s="6" t="s">
        <v>95</v>
      </c>
      <c r="M359" s="6" t="s">
        <v>1478</v>
      </c>
      <c r="N359" s="6" t="s">
        <v>48</v>
      </c>
      <c r="O359" s="6" t="s">
        <v>35</v>
      </c>
      <c r="P359" s="6">
        <f>COUNTIF(Analysis!$M$1:$M$3001,Analysis!$M359)</f>
        <v>1</v>
      </c>
      <c r="Q359" s="6" t="str">
        <f>IF(COUNTIF(Analysis!$M$2:$M$3001,Analysis!$M359)&gt;1,"Duplicate","OK")</f>
        <v>OK</v>
      </c>
      <c r="R359" s="6" t="str">
        <f t="shared" si="1"/>
        <v>1600-2600</v>
      </c>
      <c r="S359" s="6">
        <f t="shared" si="2"/>
        <v>63</v>
      </c>
      <c r="T359" s="6" t="str">
        <f t="shared" si="3"/>
        <v>Very Old</v>
      </c>
    </row>
    <row r="360" ht="14.25" customHeight="1">
      <c r="A360" s="5">
        <v>1242207.0</v>
      </c>
      <c r="B360" s="6" t="s">
        <v>1481</v>
      </c>
      <c r="C360" s="6" t="s">
        <v>53</v>
      </c>
      <c r="D360" s="6">
        <v>22656.0</v>
      </c>
      <c r="E360" s="6" t="s">
        <v>19</v>
      </c>
      <c r="F360" s="6" t="s">
        <v>61</v>
      </c>
      <c r="G360" s="6" t="s">
        <v>55</v>
      </c>
      <c r="H360" s="7">
        <v>2623.0</v>
      </c>
      <c r="I360" s="7">
        <v>2847.0</v>
      </c>
      <c r="J360" s="6">
        <v>1954.0</v>
      </c>
      <c r="K360" s="6">
        <v>120.0</v>
      </c>
      <c r="L360" s="6" t="s">
        <v>32</v>
      </c>
      <c r="M360" s="6" t="s">
        <v>1482</v>
      </c>
      <c r="N360" s="6" t="s">
        <v>43</v>
      </c>
      <c r="O360" s="6" t="s">
        <v>25</v>
      </c>
      <c r="P360" s="6">
        <f>COUNTIF(Analysis!$M$1:$M$3001,Analysis!$M360)</f>
        <v>1</v>
      </c>
      <c r="Q360" s="6" t="str">
        <f>IF(COUNTIF(Analysis!$M$2:$M$3001,Analysis!$M360)&gt;1,"Duplicate","OK")</f>
        <v>OK</v>
      </c>
      <c r="R360" s="6" t="str">
        <f t="shared" si="1"/>
        <v>2600-3600</v>
      </c>
      <c r="S360" s="6">
        <f t="shared" si="2"/>
        <v>72</v>
      </c>
      <c r="T360" s="6" t="str">
        <f t="shared" si="3"/>
        <v>Very Old</v>
      </c>
    </row>
    <row r="361" ht="14.25" customHeight="1">
      <c r="A361" s="5">
        <v>201977.0</v>
      </c>
      <c r="B361" s="6" t="s">
        <v>1485</v>
      </c>
      <c r="C361" s="6" t="s">
        <v>39</v>
      </c>
      <c r="D361" s="6">
        <v>93371.0</v>
      </c>
      <c r="E361" s="6" t="s">
        <v>77</v>
      </c>
      <c r="F361" s="6" t="s">
        <v>94</v>
      </c>
      <c r="G361" s="6" t="s">
        <v>100</v>
      </c>
      <c r="H361" s="7">
        <v>3967.0</v>
      </c>
      <c r="I361" s="7">
        <v>1610.0</v>
      </c>
      <c r="J361" s="6">
        <v>1989.0</v>
      </c>
      <c r="K361" s="6">
        <v>38.0</v>
      </c>
      <c r="L361" s="6" t="s">
        <v>32</v>
      </c>
      <c r="M361" s="6" t="s">
        <v>1486</v>
      </c>
      <c r="N361" s="6" t="s">
        <v>24</v>
      </c>
      <c r="O361" s="6" t="s">
        <v>49</v>
      </c>
      <c r="P361" s="6">
        <f>COUNTIF(Analysis!$M$1:$M$3001,Analysis!$M361)</f>
        <v>1</v>
      </c>
      <c r="Q361" s="6" t="str">
        <f>IF(COUNTIF(Analysis!$M$2:$M$3001,Analysis!$M361)&gt;1,"Duplicate","OK")</f>
        <v>OK</v>
      </c>
      <c r="R361" s="6" t="str">
        <f t="shared" si="1"/>
        <v>3600+</v>
      </c>
      <c r="S361" s="6">
        <f t="shared" si="2"/>
        <v>37</v>
      </c>
      <c r="T361" s="6" t="str">
        <f t="shared" si="3"/>
        <v>Old</v>
      </c>
    </row>
    <row r="362" ht="14.25" customHeight="1">
      <c r="A362" s="5">
        <v>370684.0</v>
      </c>
      <c r="B362" s="6" t="s">
        <v>1489</v>
      </c>
      <c r="C362" s="6" t="s">
        <v>39</v>
      </c>
      <c r="D362" s="6">
        <v>95473.0</v>
      </c>
      <c r="E362" s="6" t="s">
        <v>60</v>
      </c>
      <c r="F362" s="6" t="s">
        <v>46</v>
      </c>
      <c r="G362" s="6" t="s">
        <v>55</v>
      </c>
      <c r="H362" s="7">
        <v>3601.0</v>
      </c>
      <c r="I362" s="7">
        <v>4874.0</v>
      </c>
      <c r="J362" s="6">
        <v>2022.0</v>
      </c>
      <c r="K362" s="6">
        <v>116.0</v>
      </c>
      <c r="L362" s="6" t="s">
        <v>95</v>
      </c>
      <c r="M362" s="6" t="s">
        <v>1490</v>
      </c>
      <c r="N362" s="6" t="s">
        <v>64</v>
      </c>
      <c r="O362" s="6" t="s">
        <v>35</v>
      </c>
      <c r="P362" s="6">
        <f>COUNTIF(Analysis!$M$1:$M$3001,Analysis!$M362)</f>
        <v>1</v>
      </c>
      <c r="Q362" s="6" t="str">
        <f>IF(COUNTIF(Analysis!$M$2:$M$3001,Analysis!$M362)&gt;1,"Duplicate","OK")</f>
        <v>OK</v>
      </c>
      <c r="R362" s="6" t="str">
        <f t="shared" si="1"/>
        <v>3600+</v>
      </c>
      <c r="S362" s="6">
        <f t="shared" si="2"/>
        <v>4</v>
      </c>
      <c r="T362" s="6" t="str">
        <f t="shared" si="3"/>
        <v>New</v>
      </c>
    </row>
    <row r="363" ht="14.25" customHeight="1">
      <c r="A363" s="5">
        <v>278862.0</v>
      </c>
      <c r="B363" s="6" t="s">
        <v>7157</v>
      </c>
      <c r="C363" s="6" t="s">
        <v>29</v>
      </c>
      <c r="D363" s="6">
        <v>27368.0</v>
      </c>
      <c r="E363" s="6" t="s">
        <v>40</v>
      </c>
      <c r="F363" s="6" t="s">
        <v>46</v>
      </c>
      <c r="G363" s="6" t="s">
        <v>100</v>
      </c>
      <c r="H363" s="7">
        <v>3250.0</v>
      </c>
      <c r="I363" s="7">
        <v>6051.0</v>
      </c>
      <c r="J363" s="6">
        <v>1969.0</v>
      </c>
      <c r="K363" s="6">
        <v>62.0</v>
      </c>
      <c r="L363" s="6" t="s">
        <v>22</v>
      </c>
      <c r="M363" s="6" t="s">
        <v>7158</v>
      </c>
      <c r="N363" s="6" t="s">
        <v>34</v>
      </c>
      <c r="O363" s="6" t="s">
        <v>49</v>
      </c>
      <c r="P363" s="6">
        <f>COUNTIF(Analysis!$M$1:$M$3001,Analysis!$M1780)</f>
        <v>1</v>
      </c>
      <c r="Q363" s="6" t="str">
        <f>IF(COUNTIF(Analysis!$M$2:$M$3001,Analysis!$M1780)&gt;1,"Duplicate","OK")</f>
        <v>OK</v>
      </c>
      <c r="R363" s="6" t="str">
        <f t="shared" si="1"/>
        <v>2600-3600</v>
      </c>
      <c r="S363" s="6">
        <f t="shared" si="2"/>
        <v>57</v>
      </c>
      <c r="T363" s="6" t="str">
        <f t="shared" si="3"/>
        <v>Old</v>
      </c>
    </row>
    <row r="364" ht="14.25" customHeight="1">
      <c r="A364" s="5">
        <v>588503.0</v>
      </c>
      <c r="B364" s="6" t="s">
        <v>1497</v>
      </c>
      <c r="C364" s="6" t="s">
        <v>39</v>
      </c>
      <c r="D364" s="6">
        <v>11489.0</v>
      </c>
      <c r="E364" s="6" t="s">
        <v>30</v>
      </c>
      <c r="F364" s="6" t="s">
        <v>46</v>
      </c>
      <c r="G364" s="6" t="s">
        <v>55</v>
      </c>
      <c r="H364" s="7">
        <v>1164.0</v>
      </c>
      <c r="I364" s="7">
        <v>7843.0</v>
      </c>
      <c r="J364" s="6">
        <v>1985.0</v>
      </c>
      <c r="K364" s="6">
        <v>14.0</v>
      </c>
      <c r="L364" s="6" t="s">
        <v>95</v>
      </c>
      <c r="M364" s="6" t="s">
        <v>1498</v>
      </c>
      <c r="N364" s="6" t="s">
        <v>43</v>
      </c>
      <c r="O364" s="6" t="s">
        <v>25</v>
      </c>
      <c r="P364" s="6">
        <f>COUNTIF(Analysis!$M$1:$M$3001,Analysis!$M364)</f>
        <v>1</v>
      </c>
      <c r="Q364" s="6" t="str">
        <f>IF(COUNTIF(Analysis!$M$2:$M$3001,Analysis!$M364)&gt;1,"Duplicate","OK")</f>
        <v>OK</v>
      </c>
      <c r="R364" s="6" t="str">
        <f t="shared" si="1"/>
        <v>600-1600</v>
      </c>
      <c r="S364" s="6">
        <f t="shared" si="2"/>
        <v>41</v>
      </c>
      <c r="T364" s="6" t="str">
        <f t="shared" si="3"/>
        <v>Old</v>
      </c>
    </row>
    <row r="365" ht="14.25" customHeight="1">
      <c r="A365" s="5">
        <v>974380.0</v>
      </c>
      <c r="B365" s="6" t="s">
        <v>1501</v>
      </c>
      <c r="C365" s="6" t="s">
        <v>39</v>
      </c>
      <c r="D365" s="6">
        <v>27970.0</v>
      </c>
      <c r="E365" s="6" t="s">
        <v>30</v>
      </c>
      <c r="F365" s="6" t="s">
        <v>54</v>
      </c>
      <c r="G365" s="6" t="s">
        <v>21</v>
      </c>
      <c r="H365" s="7">
        <v>2311.0</v>
      </c>
      <c r="I365" s="7">
        <v>1758.0</v>
      </c>
      <c r="J365" s="6">
        <v>2002.0</v>
      </c>
      <c r="K365" s="6">
        <v>43.0</v>
      </c>
      <c r="L365" s="6" t="s">
        <v>32</v>
      </c>
      <c r="M365" s="6" t="s">
        <v>1502</v>
      </c>
      <c r="N365" s="6" t="s">
        <v>24</v>
      </c>
      <c r="O365" s="6" t="s">
        <v>35</v>
      </c>
      <c r="P365" s="6">
        <f>COUNTIF(Analysis!$M$1:$M$3001,Analysis!$M365)</f>
        <v>1</v>
      </c>
      <c r="Q365" s="6" t="str">
        <f>IF(COUNTIF(Analysis!$M$2:$M$3001,Analysis!$M365)&gt;1,"Duplicate","OK")</f>
        <v>OK</v>
      </c>
      <c r="R365" s="6" t="str">
        <f t="shared" si="1"/>
        <v>1600-2600</v>
      </c>
      <c r="S365" s="6">
        <f t="shared" si="2"/>
        <v>24</v>
      </c>
      <c r="T365" s="6" t="str">
        <f t="shared" si="3"/>
        <v>Mid</v>
      </c>
    </row>
    <row r="366" ht="14.25" customHeight="1">
      <c r="A366" s="5">
        <v>917965.0</v>
      </c>
      <c r="B366" s="6" t="s">
        <v>1505</v>
      </c>
      <c r="C366" s="6" t="s">
        <v>18</v>
      </c>
      <c r="D366" s="6">
        <v>97217.0</v>
      </c>
      <c r="E366" s="6" t="s">
        <v>60</v>
      </c>
      <c r="F366" s="6" t="s">
        <v>54</v>
      </c>
      <c r="G366" s="6" t="s">
        <v>31</v>
      </c>
      <c r="H366" s="7">
        <v>2683.0</v>
      </c>
      <c r="I366" s="7">
        <v>7074.0</v>
      </c>
      <c r="J366" s="6">
        <v>1983.0</v>
      </c>
      <c r="K366" s="6">
        <v>59.0</v>
      </c>
      <c r="L366" s="6" t="s">
        <v>22</v>
      </c>
      <c r="M366" s="6" t="s">
        <v>1506</v>
      </c>
      <c r="N366" s="6" t="s">
        <v>48</v>
      </c>
      <c r="O366" s="6" t="s">
        <v>35</v>
      </c>
      <c r="P366" s="6">
        <f>COUNTIF(Analysis!$M$1:$M$3001,Analysis!$M366)</f>
        <v>1</v>
      </c>
      <c r="Q366" s="6" t="str">
        <f>IF(COUNTIF(Analysis!$M$2:$M$3001,Analysis!$M366)&gt;1,"Duplicate","OK")</f>
        <v>OK</v>
      </c>
      <c r="R366" s="6" t="str">
        <f t="shared" si="1"/>
        <v>2600-3600</v>
      </c>
      <c r="S366" s="6">
        <f t="shared" si="2"/>
        <v>43</v>
      </c>
      <c r="T366" s="6" t="str">
        <f t="shared" si="3"/>
        <v>Old</v>
      </c>
    </row>
    <row r="367" ht="14.25" customHeight="1">
      <c r="A367" s="5">
        <v>1148502.0</v>
      </c>
      <c r="B367" s="6" t="s">
        <v>1509</v>
      </c>
      <c r="C367" s="6" t="s">
        <v>39</v>
      </c>
      <c r="D367" s="6">
        <v>89624.0</v>
      </c>
      <c r="E367" s="6" t="s">
        <v>77</v>
      </c>
      <c r="F367" s="6" t="s">
        <v>46</v>
      </c>
      <c r="G367" s="6" t="s">
        <v>31</v>
      </c>
      <c r="H367" s="7">
        <v>1439.0</v>
      </c>
      <c r="I367" s="7">
        <v>4876.0</v>
      </c>
      <c r="J367" s="6">
        <v>1964.0</v>
      </c>
      <c r="K367" s="6">
        <v>119.0</v>
      </c>
      <c r="L367" s="6" t="s">
        <v>32</v>
      </c>
      <c r="M367" s="6" t="s">
        <v>1510</v>
      </c>
      <c r="N367" s="6" t="s">
        <v>48</v>
      </c>
      <c r="O367" s="6" t="s">
        <v>49</v>
      </c>
      <c r="P367" s="6">
        <f>COUNTIF(Analysis!$M$1:$M$3001,Analysis!$M367)</f>
        <v>1</v>
      </c>
      <c r="Q367" s="6" t="str">
        <f>IF(COUNTIF(Analysis!$M$2:$M$3001,Analysis!$M367)&gt;1,"Duplicate","OK")</f>
        <v>OK</v>
      </c>
      <c r="R367" s="6" t="str">
        <f t="shared" si="1"/>
        <v>600-1600</v>
      </c>
      <c r="S367" s="6">
        <f t="shared" si="2"/>
        <v>62</v>
      </c>
      <c r="T367" s="6" t="str">
        <f t="shared" si="3"/>
        <v>Very Old</v>
      </c>
    </row>
    <row r="368" ht="14.25" customHeight="1">
      <c r="A368" s="5">
        <v>788528.0</v>
      </c>
      <c r="B368" s="6" t="s">
        <v>1513</v>
      </c>
      <c r="C368" s="6" t="s">
        <v>76</v>
      </c>
      <c r="D368" s="6">
        <v>37518.0</v>
      </c>
      <c r="E368" s="6" t="s">
        <v>19</v>
      </c>
      <c r="F368" s="6" t="s">
        <v>41</v>
      </c>
      <c r="G368" s="6" t="s">
        <v>21</v>
      </c>
      <c r="H368" s="7">
        <v>3041.0</v>
      </c>
      <c r="I368" s="7">
        <v>4101.0</v>
      </c>
      <c r="J368" s="6">
        <v>1998.0</v>
      </c>
      <c r="K368" s="6">
        <v>57.0</v>
      </c>
      <c r="L368" s="6" t="s">
        <v>141</v>
      </c>
      <c r="M368" s="6" t="s">
        <v>1514</v>
      </c>
      <c r="N368" s="6" t="s">
        <v>34</v>
      </c>
      <c r="O368" s="6" t="s">
        <v>35</v>
      </c>
      <c r="P368" s="6">
        <f>COUNTIF(Analysis!$M$1:$M$3001,Analysis!$M368)</f>
        <v>1</v>
      </c>
      <c r="Q368" s="6" t="str">
        <f>IF(COUNTIF(Analysis!$M$2:$M$3001,Analysis!$M368)&gt;1,"Duplicate","OK")</f>
        <v>OK</v>
      </c>
      <c r="R368" s="6" t="str">
        <f t="shared" si="1"/>
        <v>2600-3600</v>
      </c>
      <c r="S368" s="6">
        <f t="shared" si="2"/>
        <v>28</v>
      </c>
      <c r="T368" s="6" t="str">
        <f t="shared" si="3"/>
        <v>Mid</v>
      </c>
    </row>
    <row r="369" ht="14.25" customHeight="1">
      <c r="A369" s="5">
        <v>818315.0</v>
      </c>
      <c r="B369" s="6" t="s">
        <v>1517</v>
      </c>
      <c r="C369" s="6" t="s">
        <v>76</v>
      </c>
      <c r="D369" s="6">
        <v>22482.0</v>
      </c>
      <c r="E369" s="6" t="s">
        <v>19</v>
      </c>
      <c r="F369" s="6" t="s">
        <v>41</v>
      </c>
      <c r="G369" s="6" t="s">
        <v>31</v>
      </c>
      <c r="H369" s="7">
        <v>2055.0</v>
      </c>
      <c r="I369" s="7">
        <v>1305.0</v>
      </c>
      <c r="J369" s="6">
        <v>2005.0</v>
      </c>
      <c r="K369" s="6">
        <v>83.0</v>
      </c>
      <c r="L369" s="6" t="s">
        <v>95</v>
      </c>
      <c r="M369" s="6" t="s">
        <v>1518</v>
      </c>
      <c r="N369" s="6" t="s">
        <v>34</v>
      </c>
      <c r="O369" s="6" t="s">
        <v>25</v>
      </c>
      <c r="P369" s="6">
        <f>COUNTIF(Analysis!$M$1:$M$3001,Analysis!$M369)</f>
        <v>1</v>
      </c>
      <c r="Q369" s="6" t="str">
        <f>IF(COUNTIF(Analysis!$M$2:$M$3001,Analysis!$M369)&gt;1,"Duplicate","OK")</f>
        <v>OK</v>
      </c>
      <c r="R369" s="6" t="str">
        <f t="shared" si="1"/>
        <v>1600-2600</v>
      </c>
      <c r="S369" s="6">
        <f t="shared" si="2"/>
        <v>21</v>
      </c>
      <c r="T369" s="6" t="str">
        <f t="shared" si="3"/>
        <v>Mid</v>
      </c>
    </row>
    <row r="370" ht="14.25" customHeight="1">
      <c r="A370" s="5">
        <v>1092879.0</v>
      </c>
      <c r="B370" s="6" t="s">
        <v>1521</v>
      </c>
      <c r="C370" s="6" t="s">
        <v>53</v>
      </c>
      <c r="D370" s="6">
        <v>96529.0</v>
      </c>
      <c r="E370" s="6" t="s">
        <v>60</v>
      </c>
      <c r="F370" s="6" t="s">
        <v>20</v>
      </c>
      <c r="G370" s="6" t="s">
        <v>100</v>
      </c>
      <c r="H370" s="7">
        <v>2506.0</v>
      </c>
      <c r="I370" s="7">
        <v>9567.0</v>
      </c>
      <c r="J370" s="6">
        <v>1973.0</v>
      </c>
      <c r="K370" s="6">
        <v>104.0</v>
      </c>
      <c r="L370" s="6" t="s">
        <v>95</v>
      </c>
      <c r="M370" s="6" t="s">
        <v>1522</v>
      </c>
      <c r="N370" s="6" t="s">
        <v>43</v>
      </c>
      <c r="O370" s="6" t="s">
        <v>49</v>
      </c>
      <c r="P370" s="6">
        <f>COUNTIF(Analysis!$M$1:$M$3001,Analysis!$M370)</f>
        <v>1</v>
      </c>
      <c r="Q370" s="6" t="str">
        <f>IF(COUNTIF(Analysis!$M$2:$M$3001,Analysis!$M370)&gt;1,"Duplicate","OK")</f>
        <v>OK</v>
      </c>
      <c r="R370" s="6" t="str">
        <f t="shared" si="1"/>
        <v>1600-2600</v>
      </c>
      <c r="S370" s="6">
        <f t="shared" si="2"/>
        <v>53</v>
      </c>
      <c r="T370" s="6" t="str">
        <f t="shared" si="3"/>
        <v>Old</v>
      </c>
    </row>
    <row r="371" ht="14.25" customHeight="1">
      <c r="A371" s="5">
        <v>1320556.0</v>
      </c>
      <c r="B371" s="6" t="s">
        <v>1525</v>
      </c>
      <c r="C371" s="6" t="s">
        <v>53</v>
      </c>
      <c r="D371" s="6">
        <v>19798.0</v>
      </c>
      <c r="E371" s="6" t="s">
        <v>40</v>
      </c>
      <c r="F371" s="6" t="s">
        <v>41</v>
      </c>
      <c r="G371" s="6" t="s">
        <v>31</v>
      </c>
      <c r="H371" s="7">
        <v>1743.0</v>
      </c>
      <c r="I371" s="7">
        <v>3182.0</v>
      </c>
      <c r="J371" s="6">
        <v>2008.0</v>
      </c>
      <c r="K371" s="6">
        <v>82.0</v>
      </c>
      <c r="L371" s="6" t="s">
        <v>95</v>
      </c>
      <c r="M371" s="6" t="s">
        <v>1526</v>
      </c>
      <c r="N371" s="6" t="s">
        <v>48</v>
      </c>
      <c r="O371" s="6" t="s">
        <v>25</v>
      </c>
      <c r="P371" s="6">
        <f>COUNTIF(Analysis!$M$1:$M$3001,Analysis!$M371)</f>
        <v>1</v>
      </c>
      <c r="Q371" s="6" t="str">
        <f>IF(COUNTIF(Analysis!$M$2:$M$3001,Analysis!$M371)&gt;1,"Duplicate","OK")</f>
        <v>OK</v>
      </c>
      <c r="R371" s="6" t="str">
        <f t="shared" si="1"/>
        <v>1600-2600</v>
      </c>
      <c r="S371" s="6">
        <f t="shared" si="2"/>
        <v>18</v>
      </c>
      <c r="T371" s="6" t="str">
        <f t="shared" si="3"/>
        <v>Mid</v>
      </c>
    </row>
    <row r="372" ht="14.25" customHeight="1">
      <c r="A372" s="5">
        <v>516119.0</v>
      </c>
      <c r="B372" s="6" t="s">
        <v>1529</v>
      </c>
      <c r="C372" s="6" t="s">
        <v>76</v>
      </c>
      <c r="D372" s="6">
        <v>74420.0</v>
      </c>
      <c r="E372" s="6" t="s">
        <v>60</v>
      </c>
      <c r="F372" s="6" t="s">
        <v>46</v>
      </c>
      <c r="G372" s="6" t="s">
        <v>55</v>
      </c>
      <c r="H372" s="7">
        <v>2902.0</v>
      </c>
      <c r="I372" s="7">
        <v>1395.0</v>
      </c>
      <c r="J372" s="6">
        <v>2013.0</v>
      </c>
      <c r="K372" s="6">
        <v>58.0</v>
      </c>
      <c r="L372" s="6" t="s">
        <v>22</v>
      </c>
      <c r="M372" s="6" t="s">
        <v>1530</v>
      </c>
      <c r="N372" s="6" t="s">
        <v>48</v>
      </c>
      <c r="O372" s="6" t="s">
        <v>35</v>
      </c>
      <c r="P372" s="6">
        <f>COUNTIF(Analysis!$M$1:$M$3001,Analysis!$M372)</f>
        <v>1</v>
      </c>
      <c r="Q372" s="6" t="str">
        <f>IF(COUNTIF(Analysis!$M$2:$M$3001,Analysis!$M372)&gt;1,"Duplicate","OK")</f>
        <v>OK</v>
      </c>
      <c r="R372" s="6" t="str">
        <f t="shared" si="1"/>
        <v>2600-3600</v>
      </c>
      <c r="S372" s="6">
        <f t="shared" si="2"/>
        <v>13</v>
      </c>
      <c r="T372" s="6" t="str">
        <f t="shared" si="3"/>
        <v>Mid</v>
      </c>
    </row>
    <row r="373" ht="14.25" customHeight="1">
      <c r="A373" s="5">
        <v>480363.0</v>
      </c>
      <c r="B373" s="6" t="s">
        <v>1533</v>
      </c>
      <c r="C373" s="6" t="s">
        <v>53</v>
      </c>
      <c r="D373" s="6">
        <v>40585.0</v>
      </c>
      <c r="E373" s="6" t="s">
        <v>30</v>
      </c>
      <c r="F373" s="6" t="s">
        <v>54</v>
      </c>
      <c r="G373" s="6" t="s">
        <v>21</v>
      </c>
      <c r="H373" s="7">
        <v>953.0</v>
      </c>
      <c r="I373" s="7">
        <v>6404.0</v>
      </c>
      <c r="J373" s="6">
        <v>2000.0</v>
      </c>
      <c r="K373" s="6">
        <v>40.0</v>
      </c>
      <c r="L373" s="6" t="s">
        <v>95</v>
      </c>
      <c r="M373" s="6" t="s">
        <v>1534</v>
      </c>
      <c r="N373" s="6" t="s">
        <v>43</v>
      </c>
      <c r="O373" s="6" t="s">
        <v>25</v>
      </c>
      <c r="P373" s="6">
        <f>COUNTIF(Analysis!$M$1:$M$3001,Analysis!$M373)</f>
        <v>1</v>
      </c>
      <c r="Q373" s="6" t="str">
        <f>IF(COUNTIF(Analysis!$M$2:$M$3001,Analysis!$M373)&gt;1,"Duplicate","OK")</f>
        <v>OK</v>
      </c>
      <c r="R373" s="6" t="str">
        <f t="shared" si="1"/>
        <v>600-1600</v>
      </c>
      <c r="S373" s="6">
        <f t="shared" si="2"/>
        <v>26</v>
      </c>
      <c r="T373" s="6" t="str">
        <f t="shared" si="3"/>
        <v>Mid</v>
      </c>
    </row>
    <row r="374" ht="14.25" customHeight="1">
      <c r="A374" s="5">
        <v>496535.0</v>
      </c>
      <c r="B374" s="6" t="s">
        <v>1537</v>
      </c>
      <c r="C374" s="6" t="s">
        <v>76</v>
      </c>
      <c r="D374" s="6">
        <v>66688.0</v>
      </c>
      <c r="E374" s="6" t="s">
        <v>30</v>
      </c>
      <c r="F374" s="6" t="s">
        <v>54</v>
      </c>
      <c r="G374" s="6" t="s">
        <v>21</v>
      </c>
      <c r="H374" s="7">
        <v>3590.0</v>
      </c>
      <c r="I374" s="7">
        <v>2197.0</v>
      </c>
      <c r="J374" s="6">
        <v>2013.0</v>
      </c>
      <c r="K374" s="6">
        <v>30.0</v>
      </c>
      <c r="L374" s="6" t="s">
        <v>62</v>
      </c>
      <c r="M374" s="6" t="s">
        <v>1538</v>
      </c>
      <c r="N374" s="6" t="s">
        <v>64</v>
      </c>
      <c r="O374" s="6" t="s">
        <v>25</v>
      </c>
      <c r="P374" s="6">
        <f>COUNTIF(Analysis!$M$1:$M$3001,Analysis!$M374)</f>
        <v>1</v>
      </c>
      <c r="Q374" s="6" t="str">
        <f>IF(COUNTIF(Analysis!$M$2:$M$3001,Analysis!$M374)&gt;1,"Duplicate","OK")</f>
        <v>OK</v>
      </c>
      <c r="R374" s="6" t="str">
        <f t="shared" si="1"/>
        <v>2600-3600</v>
      </c>
      <c r="S374" s="6">
        <f t="shared" si="2"/>
        <v>13</v>
      </c>
      <c r="T374" s="6" t="str">
        <f t="shared" si="3"/>
        <v>Mid</v>
      </c>
    </row>
    <row r="375" ht="14.25" customHeight="1">
      <c r="A375" s="5">
        <v>1251066.0</v>
      </c>
      <c r="B375" s="6" t="s">
        <v>1541</v>
      </c>
      <c r="C375" s="6" t="s">
        <v>18</v>
      </c>
      <c r="D375" s="6">
        <v>82734.0</v>
      </c>
      <c r="E375" s="6" t="s">
        <v>40</v>
      </c>
      <c r="F375" s="6" t="s">
        <v>46</v>
      </c>
      <c r="G375" s="6" t="s">
        <v>100</v>
      </c>
      <c r="H375" s="7">
        <v>3990.0</v>
      </c>
      <c r="I375" s="7">
        <v>3339.0</v>
      </c>
      <c r="J375" s="6">
        <v>2020.0</v>
      </c>
      <c r="K375" s="6">
        <v>14.0</v>
      </c>
      <c r="L375" s="6" t="s">
        <v>32</v>
      </c>
      <c r="M375" s="6" t="s">
        <v>1542</v>
      </c>
      <c r="N375" s="6" t="s">
        <v>64</v>
      </c>
      <c r="O375" s="6" t="s">
        <v>49</v>
      </c>
      <c r="P375" s="6">
        <f>COUNTIF(Analysis!$M$1:$M$3001,Analysis!$M375)</f>
        <v>1</v>
      </c>
      <c r="Q375" s="6" t="str">
        <f>IF(COUNTIF(Analysis!$M$2:$M$3001,Analysis!$M375)&gt;1,"Duplicate","OK")</f>
        <v>OK</v>
      </c>
      <c r="R375" s="6" t="str">
        <f t="shared" si="1"/>
        <v>3600+</v>
      </c>
      <c r="S375" s="6">
        <f t="shared" si="2"/>
        <v>6</v>
      </c>
      <c r="T375" s="6" t="str">
        <f t="shared" si="3"/>
        <v>New</v>
      </c>
    </row>
    <row r="376" ht="14.25" customHeight="1">
      <c r="A376" s="5">
        <v>284784.0</v>
      </c>
      <c r="B376" s="6" t="s">
        <v>3179</v>
      </c>
      <c r="C376" s="6" t="s">
        <v>29</v>
      </c>
      <c r="D376" s="6">
        <v>72494.0</v>
      </c>
      <c r="E376" s="6" t="s">
        <v>40</v>
      </c>
      <c r="F376" s="6" t="s">
        <v>54</v>
      </c>
      <c r="G376" s="6" t="s">
        <v>100</v>
      </c>
      <c r="H376" s="7">
        <v>1588.0</v>
      </c>
      <c r="I376" s="7">
        <v>4126.0</v>
      </c>
      <c r="J376" s="6">
        <v>2008.0</v>
      </c>
      <c r="K376" s="6">
        <v>55.0</v>
      </c>
      <c r="L376" s="6" t="s">
        <v>22</v>
      </c>
      <c r="M376" s="6" t="s">
        <v>3180</v>
      </c>
      <c r="N376" s="6" t="s">
        <v>34</v>
      </c>
      <c r="O376" s="6" t="s">
        <v>49</v>
      </c>
      <c r="P376" s="6">
        <f>COUNTIF(Analysis!$M$1:$M$3001,Analysis!$M785)</f>
        <v>1</v>
      </c>
      <c r="Q376" s="6" t="str">
        <f>IF(COUNTIF(Analysis!$M$2:$M$3001,Analysis!$M785)&gt;1,"Duplicate","OK")</f>
        <v>OK</v>
      </c>
      <c r="R376" s="6" t="str">
        <f t="shared" si="1"/>
        <v>600-1600</v>
      </c>
      <c r="S376" s="6">
        <f t="shared" si="2"/>
        <v>18</v>
      </c>
      <c r="T376" s="6" t="str">
        <f t="shared" si="3"/>
        <v>Mid</v>
      </c>
    </row>
    <row r="377" ht="14.25" customHeight="1">
      <c r="A377" s="5">
        <v>1121373.0</v>
      </c>
      <c r="B377" s="6" t="s">
        <v>1549</v>
      </c>
      <c r="C377" s="6" t="s">
        <v>39</v>
      </c>
      <c r="D377" s="6">
        <v>94325.0</v>
      </c>
      <c r="E377" s="6" t="s">
        <v>19</v>
      </c>
      <c r="F377" s="6" t="s">
        <v>46</v>
      </c>
      <c r="G377" s="6" t="s">
        <v>31</v>
      </c>
      <c r="H377" s="7">
        <v>922.0</v>
      </c>
      <c r="I377" s="7">
        <v>8638.0</v>
      </c>
      <c r="J377" s="6">
        <v>2002.0</v>
      </c>
      <c r="K377" s="6">
        <v>115.0</v>
      </c>
      <c r="L377" s="6" t="s">
        <v>141</v>
      </c>
      <c r="M377" s="6" t="s">
        <v>1550</v>
      </c>
      <c r="N377" s="6" t="s">
        <v>24</v>
      </c>
      <c r="O377" s="6" t="s">
        <v>25</v>
      </c>
      <c r="P377" s="6">
        <f>COUNTIF(Analysis!$M$1:$M$3001,Analysis!$M377)</f>
        <v>1</v>
      </c>
      <c r="Q377" s="6" t="str">
        <f>IF(COUNTIF(Analysis!$M$2:$M$3001,Analysis!$M377)&gt;1,"Duplicate","OK")</f>
        <v>OK</v>
      </c>
      <c r="R377" s="6" t="str">
        <f t="shared" si="1"/>
        <v>600-1600</v>
      </c>
      <c r="S377" s="6">
        <f t="shared" si="2"/>
        <v>24</v>
      </c>
      <c r="T377" s="6" t="str">
        <f t="shared" si="3"/>
        <v>Mid</v>
      </c>
    </row>
    <row r="378" ht="14.25" customHeight="1">
      <c r="A378" s="5">
        <v>285725.0</v>
      </c>
      <c r="B378" s="6" t="s">
        <v>6022</v>
      </c>
      <c r="C378" s="6" t="s">
        <v>29</v>
      </c>
      <c r="D378" s="6">
        <v>75571.0</v>
      </c>
      <c r="E378" s="6" t="s">
        <v>30</v>
      </c>
      <c r="F378" s="6" t="s">
        <v>94</v>
      </c>
      <c r="G378" s="6" t="s">
        <v>31</v>
      </c>
      <c r="H378" s="7">
        <v>1148.0</v>
      </c>
      <c r="I378" s="7">
        <v>6767.0</v>
      </c>
      <c r="J378" s="6">
        <v>2004.0</v>
      </c>
      <c r="K378" s="6">
        <v>2.0</v>
      </c>
      <c r="L378" s="6" t="s">
        <v>62</v>
      </c>
      <c r="M378" s="6" t="s">
        <v>6023</v>
      </c>
      <c r="N378" s="6" t="s">
        <v>48</v>
      </c>
      <c r="O378" s="6" t="s">
        <v>25</v>
      </c>
      <c r="P378" s="6">
        <f>COUNTIF(Analysis!$M$1:$M$3001,Analysis!$M1496)</f>
        <v>1</v>
      </c>
      <c r="Q378" s="6" t="str">
        <f>IF(COUNTIF(Analysis!$M$2:$M$3001,Analysis!$M1496)&gt;1,"Duplicate","OK")</f>
        <v>OK</v>
      </c>
      <c r="R378" s="6" t="str">
        <f t="shared" si="1"/>
        <v>600-1600</v>
      </c>
      <c r="S378" s="6">
        <f t="shared" si="2"/>
        <v>22</v>
      </c>
      <c r="T378" s="6" t="str">
        <f t="shared" si="3"/>
        <v>Mid</v>
      </c>
    </row>
    <row r="379" ht="14.25" customHeight="1">
      <c r="A379" s="5">
        <v>374385.0</v>
      </c>
      <c r="B379" s="6" t="s">
        <v>1557</v>
      </c>
      <c r="C379" s="6" t="s">
        <v>39</v>
      </c>
      <c r="D379" s="6">
        <v>50594.0</v>
      </c>
      <c r="E379" s="6" t="s">
        <v>19</v>
      </c>
      <c r="F379" s="6" t="s">
        <v>20</v>
      </c>
      <c r="G379" s="6" t="s">
        <v>21</v>
      </c>
      <c r="H379" s="7">
        <v>1237.0</v>
      </c>
      <c r="I379" s="7">
        <v>2493.0</v>
      </c>
      <c r="J379" s="6">
        <v>1995.0</v>
      </c>
      <c r="K379" s="6">
        <v>17.0</v>
      </c>
      <c r="L379" s="6" t="s">
        <v>141</v>
      </c>
      <c r="M379" s="6" t="s">
        <v>1558</v>
      </c>
      <c r="N379" s="6" t="s">
        <v>43</v>
      </c>
      <c r="O379" s="6" t="s">
        <v>25</v>
      </c>
      <c r="P379" s="6">
        <f>COUNTIF(Analysis!$M$1:$M$3001,Analysis!$M379)</f>
        <v>1</v>
      </c>
      <c r="Q379" s="6" t="str">
        <f>IF(COUNTIF(Analysis!$M$2:$M$3001,Analysis!$M379)&gt;1,"Duplicate","OK")</f>
        <v>OK</v>
      </c>
      <c r="R379" s="6" t="str">
        <f t="shared" si="1"/>
        <v>600-1600</v>
      </c>
      <c r="S379" s="6">
        <f t="shared" si="2"/>
        <v>31</v>
      </c>
      <c r="T379" s="6" t="str">
        <f t="shared" si="3"/>
        <v>Old</v>
      </c>
    </row>
    <row r="380" ht="14.25" customHeight="1">
      <c r="A380" s="5">
        <v>288565.0</v>
      </c>
      <c r="B380" s="6" t="s">
        <v>5239</v>
      </c>
      <c r="C380" s="6" t="s">
        <v>29</v>
      </c>
      <c r="D380" s="6">
        <v>72813.0</v>
      </c>
      <c r="E380" s="6" t="s">
        <v>77</v>
      </c>
      <c r="F380" s="6" t="s">
        <v>46</v>
      </c>
      <c r="G380" s="6" t="s">
        <v>55</v>
      </c>
      <c r="H380" s="7">
        <v>752.0</v>
      </c>
      <c r="I380" s="7">
        <v>6856.0</v>
      </c>
      <c r="J380" s="6">
        <v>1963.0</v>
      </c>
      <c r="K380" s="6">
        <v>83.0</v>
      </c>
      <c r="L380" s="6" t="s">
        <v>95</v>
      </c>
      <c r="M380" s="6" t="s">
        <v>5240</v>
      </c>
      <c r="N380" s="6" t="s">
        <v>64</v>
      </c>
      <c r="O380" s="6" t="s">
        <v>25</v>
      </c>
      <c r="P380" s="6">
        <f>COUNTIF(Analysis!$M$1:$M$3001,Analysis!$M1300)</f>
        <v>1</v>
      </c>
      <c r="Q380" s="6" t="str">
        <f>IF(COUNTIF(Analysis!$M$2:$M$3001,Analysis!$M1300)&gt;1,"Duplicate","OK")</f>
        <v>OK</v>
      </c>
      <c r="R380" s="6" t="str">
        <f t="shared" si="1"/>
        <v>600-1600</v>
      </c>
      <c r="S380" s="6">
        <f t="shared" si="2"/>
        <v>63</v>
      </c>
      <c r="T380" s="6" t="str">
        <f t="shared" si="3"/>
        <v>Very Old</v>
      </c>
    </row>
    <row r="381" ht="14.25" customHeight="1">
      <c r="A381" s="5">
        <v>788640.0</v>
      </c>
      <c r="B381" s="6" t="s">
        <v>1565</v>
      </c>
      <c r="C381" s="6" t="s">
        <v>53</v>
      </c>
      <c r="D381" s="6">
        <v>87661.0</v>
      </c>
      <c r="E381" s="6" t="s">
        <v>30</v>
      </c>
      <c r="F381" s="6" t="s">
        <v>41</v>
      </c>
      <c r="G381" s="6" t="s">
        <v>21</v>
      </c>
      <c r="H381" s="7">
        <v>2895.0</v>
      </c>
      <c r="I381" s="7">
        <v>6814.0</v>
      </c>
      <c r="J381" s="6">
        <v>1975.0</v>
      </c>
      <c r="K381" s="6">
        <v>111.0</v>
      </c>
      <c r="L381" s="6" t="s">
        <v>32</v>
      </c>
      <c r="M381" s="6" t="s">
        <v>1566</v>
      </c>
      <c r="N381" s="6" t="s">
        <v>43</v>
      </c>
      <c r="O381" s="6" t="s">
        <v>35</v>
      </c>
      <c r="P381" s="6">
        <f>COUNTIF(Analysis!$M$1:$M$3001,Analysis!$M381)</f>
        <v>1</v>
      </c>
      <c r="Q381" s="6" t="str">
        <f>IF(COUNTIF(Analysis!$M$2:$M$3001,Analysis!$M381)&gt;1,"Duplicate","OK")</f>
        <v>OK</v>
      </c>
      <c r="R381" s="6" t="str">
        <f t="shared" si="1"/>
        <v>2600-3600</v>
      </c>
      <c r="S381" s="6">
        <f t="shared" si="2"/>
        <v>51</v>
      </c>
      <c r="T381" s="6" t="str">
        <f t="shared" si="3"/>
        <v>Old</v>
      </c>
    </row>
    <row r="382" ht="14.25" customHeight="1">
      <c r="A382" s="5">
        <v>848296.0</v>
      </c>
      <c r="B382" s="6" t="s">
        <v>1569</v>
      </c>
      <c r="C382" s="6" t="s">
        <v>39</v>
      </c>
      <c r="D382" s="6">
        <v>34902.0</v>
      </c>
      <c r="E382" s="6" t="s">
        <v>19</v>
      </c>
      <c r="F382" s="6" t="s">
        <v>94</v>
      </c>
      <c r="G382" s="6" t="s">
        <v>55</v>
      </c>
      <c r="H382" s="7">
        <v>2050.0</v>
      </c>
      <c r="I382" s="7">
        <v>2341.0</v>
      </c>
      <c r="J382" s="6">
        <v>2004.0</v>
      </c>
      <c r="K382" s="6">
        <v>104.0</v>
      </c>
      <c r="L382" s="6" t="s">
        <v>22</v>
      </c>
      <c r="M382" s="6" t="s">
        <v>1570</v>
      </c>
      <c r="N382" s="6" t="s">
        <v>48</v>
      </c>
      <c r="O382" s="6" t="s">
        <v>35</v>
      </c>
      <c r="P382" s="6">
        <f>COUNTIF(Analysis!$M$1:$M$3001,Analysis!$M382)</f>
        <v>1</v>
      </c>
      <c r="Q382" s="6" t="str">
        <f>IF(COUNTIF(Analysis!$M$2:$M$3001,Analysis!$M382)&gt;1,"Duplicate","OK")</f>
        <v>OK</v>
      </c>
      <c r="R382" s="6" t="str">
        <f t="shared" si="1"/>
        <v>1600-2600</v>
      </c>
      <c r="S382" s="6">
        <f t="shared" si="2"/>
        <v>22</v>
      </c>
      <c r="T382" s="6" t="str">
        <f t="shared" si="3"/>
        <v>Mid</v>
      </c>
    </row>
    <row r="383" ht="14.25" customHeight="1">
      <c r="A383" s="5">
        <v>864975.0</v>
      </c>
      <c r="B383" s="6" t="s">
        <v>1573</v>
      </c>
      <c r="C383" s="6" t="s">
        <v>39</v>
      </c>
      <c r="D383" s="6">
        <v>80939.0</v>
      </c>
      <c r="E383" s="6" t="s">
        <v>19</v>
      </c>
      <c r="F383" s="6" t="s">
        <v>61</v>
      </c>
      <c r="G383" s="6" t="s">
        <v>100</v>
      </c>
      <c r="H383" s="7">
        <v>1548.0</v>
      </c>
      <c r="I383" s="7">
        <v>2494.0</v>
      </c>
      <c r="J383" s="6">
        <v>2010.0</v>
      </c>
      <c r="K383" s="6">
        <v>63.0</v>
      </c>
      <c r="L383" s="6" t="s">
        <v>95</v>
      </c>
      <c r="M383" s="6" t="s">
        <v>1574</v>
      </c>
      <c r="N383" s="6" t="s">
        <v>48</v>
      </c>
      <c r="O383" s="6" t="s">
        <v>25</v>
      </c>
      <c r="P383" s="6">
        <f>COUNTIF(Analysis!$M$1:$M$3001,Analysis!$M383)</f>
        <v>1</v>
      </c>
      <c r="Q383" s="6" t="str">
        <f>IF(COUNTIF(Analysis!$M$2:$M$3001,Analysis!$M383)&gt;1,"Duplicate","OK")</f>
        <v>OK</v>
      </c>
      <c r="R383" s="6" t="str">
        <f t="shared" si="1"/>
        <v>600-1600</v>
      </c>
      <c r="S383" s="6">
        <f t="shared" si="2"/>
        <v>16</v>
      </c>
      <c r="T383" s="6" t="str">
        <f t="shared" si="3"/>
        <v>Mid</v>
      </c>
    </row>
    <row r="384" ht="14.25" customHeight="1">
      <c r="A384" s="5">
        <v>914722.0</v>
      </c>
      <c r="B384" s="6" t="s">
        <v>1577</v>
      </c>
      <c r="C384" s="6" t="s">
        <v>53</v>
      </c>
      <c r="D384" s="6">
        <v>76331.0</v>
      </c>
      <c r="E384" s="6" t="s">
        <v>19</v>
      </c>
      <c r="F384" s="6" t="s">
        <v>61</v>
      </c>
      <c r="G384" s="6" t="s">
        <v>100</v>
      </c>
      <c r="H384" s="7">
        <v>2707.0</v>
      </c>
      <c r="I384" s="7">
        <v>9964.0</v>
      </c>
      <c r="J384" s="6">
        <v>1953.0</v>
      </c>
      <c r="K384" s="6">
        <v>85.0</v>
      </c>
      <c r="L384" s="6" t="s">
        <v>141</v>
      </c>
      <c r="M384" s="6" t="s">
        <v>1578</v>
      </c>
      <c r="N384" s="6" t="s">
        <v>34</v>
      </c>
      <c r="O384" s="6" t="s">
        <v>49</v>
      </c>
      <c r="P384" s="6">
        <f>COUNTIF(Analysis!$M$1:$M$3001,Analysis!$M384)</f>
        <v>1</v>
      </c>
      <c r="Q384" s="6" t="str">
        <f>IF(COUNTIF(Analysis!$M$2:$M$3001,Analysis!$M384)&gt;1,"Duplicate","OK")</f>
        <v>OK</v>
      </c>
      <c r="R384" s="6" t="str">
        <f t="shared" si="1"/>
        <v>2600-3600</v>
      </c>
      <c r="S384" s="6">
        <f t="shared" si="2"/>
        <v>73</v>
      </c>
      <c r="T384" s="6" t="str">
        <f t="shared" si="3"/>
        <v>Very Old</v>
      </c>
    </row>
    <row r="385" ht="14.25" customHeight="1">
      <c r="A385" s="5">
        <v>571756.0</v>
      </c>
      <c r="B385" s="6" t="s">
        <v>1581</v>
      </c>
      <c r="C385" s="6" t="s">
        <v>18</v>
      </c>
      <c r="D385" s="6">
        <v>85196.0</v>
      </c>
      <c r="E385" s="6" t="s">
        <v>30</v>
      </c>
      <c r="F385" s="6" t="s">
        <v>46</v>
      </c>
      <c r="G385" s="6" t="s">
        <v>55</v>
      </c>
      <c r="H385" s="7">
        <v>3053.0</v>
      </c>
      <c r="I385" s="7">
        <v>3780.0</v>
      </c>
      <c r="J385" s="6">
        <v>1989.0</v>
      </c>
      <c r="K385" s="6">
        <v>40.0</v>
      </c>
      <c r="L385" s="6" t="s">
        <v>62</v>
      </c>
      <c r="M385" s="6" t="s">
        <v>1582</v>
      </c>
      <c r="N385" s="6" t="s">
        <v>64</v>
      </c>
      <c r="O385" s="6" t="s">
        <v>49</v>
      </c>
      <c r="P385" s="6">
        <f>COUNTIF(Analysis!$M$1:$M$3001,Analysis!$M385)</f>
        <v>1</v>
      </c>
      <c r="Q385" s="6" t="str">
        <f>IF(COUNTIF(Analysis!$M$2:$M$3001,Analysis!$M385)&gt;1,"Duplicate","OK")</f>
        <v>OK</v>
      </c>
      <c r="R385" s="6" t="str">
        <f t="shared" si="1"/>
        <v>2600-3600</v>
      </c>
      <c r="S385" s="6">
        <f t="shared" si="2"/>
        <v>37</v>
      </c>
      <c r="T385" s="6" t="str">
        <f t="shared" si="3"/>
        <v>Old</v>
      </c>
    </row>
    <row r="386" ht="14.25" customHeight="1">
      <c r="A386" s="5">
        <v>292045.0</v>
      </c>
      <c r="B386" s="6" t="s">
        <v>6709</v>
      </c>
      <c r="C386" s="6" t="s">
        <v>29</v>
      </c>
      <c r="D386" s="6">
        <v>59637.0</v>
      </c>
      <c r="E386" s="6" t="s">
        <v>40</v>
      </c>
      <c r="F386" s="6" t="s">
        <v>46</v>
      </c>
      <c r="G386" s="6" t="s">
        <v>21</v>
      </c>
      <c r="H386" s="7">
        <v>1577.0</v>
      </c>
      <c r="I386" s="7">
        <v>4047.0</v>
      </c>
      <c r="J386" s="6">
        <v>1989.0</v>
      </c>
      <c r="K386" s="6">
        <v>103.0</v>
      </c>
      <c r="L386" s="6" t="s">
        <v>141</v>
      </c>
      <c r="M386" s="6" t="s">
        <v>6710</v>
      </c>
      <c r="N386" s="6" t="s">
        <v>24</v>
      </c>
      <c r="O386" s="6" t="s">
        <v>35</v>
      </c>
      <c r="P386" s="6">
        <f>COUNTIF(Analysis!$M$1:$M$3001,Analysis!$M1668)</f>
        <v>1</v>
      </c>
      <c r="Q386" s="6" t="str">
        <f>IF(COUNTIF(Analysis!$M$2:$M$3001,Analysis!$M1668)&gt;1,"Duplicate","OK")</f>
        <v>OK</v>
      </c>
      <c r="R386" s="6" t="str">
        <f t="shared" si="1"/>
        <v>600-1600</v>
      </c>
      <c r="S386" s="6">
        <f t="shared" si="2"/>
        <v>37</v>
      </c>
      <c r="T386" s="6" t="str">
        <f t="shared" si="3"/>
        <v>Old</v>
      </c>
    </row>
    <row r="387" ht="14.25" customHeight="1">
      <c r="A387" s="5">
        <v>1239119.0</v>
      </c>
      <c r="B387" s="6" t="s">
        <v>1589</v>
      </c>
      <c r="C387" s="6" t="s">
        <v>18</v>
      </c>
      <c r="D387" s="6">
        <v>55545.0</v>
      </c>
      <c r="E387" s="6" t="s">
        <v>19</v>
      </c>
      <c r="F387" s="6" t="s">
        <v>94</v>
      </c>
      <c r="G387" s="6" t="s">
        <v>100</v>
      </c>
      <c r="H387" s="7">
        <v>758.0</v>
      </c>
      <c r="I387" s="7">
        <v>1634.0</v>
      </c>
      <c r="J387" s="6">
        <v>1997.0</v>
      </c>
      <c r="K387" s="6">
        <v>43.0</v>
      </c>
      <c r="L387" s="6" t="s">
        <v>32</v>
      </c>
      <c r="M387" s="6" t="s">
        <v>1590</v>
      </c>
      <c r="N387" s="6" t="s">
        <v>48</v>
      </c>
      <c r="O387" s="6" t="s">
        <v>35</v>
      </c>
      <c r="P387" s="6">
        <f>COUNTIF(Analysis!$M$1:$M$3001,Analysis!$M387)</f>
        <v>1</v>
      </c>
      <c r="Q387" s="6" t="str">
        <f>IF(COUNTIF(Analysis!$M$2:$M$3001,Analysis!$M387)&gt;1,"Duplicate","OK")</f>
        <v>OK</v>
      </c>
      <c r="R387" s="6" t="str">
        <f t="shared" si="1"/>
        <v>600-1600</v>
      </c>
      <c r="S387" s="6">
        <f t="shared" si="2"/>
        <v>29</v>
      </c>
      <c r="T387" s="6" t="str">
        <f t="shared" si="3"/>
        <v>Mid</v>
      </c>
    </row>
    <row r="388" ht="14.25" customHeight="1">
      <c r="A388" s="5">
        <v>204505.0</v>
      </c>
      <c r="B388" s="6" t="s">
        <v>1593</v>
      </c>
      <c r="C388" s="6" t="s">
        <v>53</v>
      </c>
      <c r="D388" s="6">
        <v>35979.0</v>
      </c>
      <c r="E388" s="6" t="s">
        <v>40</v>
      </c>
      <c r="F388" s="6" t="s">
        <v>41</v>
      </c>
      <c r="G388" s="6" t="s">
        <v>100</v>
      </c>
      <c r="H388" s="7">
        <v>2770.0</v>
      </c>
      <c r="I388" s="7">
        <v>5520.0</v>
      </c>
      <c r="J388" s="6">
        <v>1966.0</v>
      </c>
      <c r="K388" s="6">
        <v>27.0</v>
      </c>
      <c r="L388" s="6" t="s">
        <v>32</v>
      </c>
      <c r="M388" s="6" t="s">
        <v>1594</v>
      </c>
      <c r="N388" s="6" t="s">
        <v>48</v>
      </c>
      <c r="O388" s="6" t="s">
        <v>25</v>
      </c>
      <c r="P388" s="6">
        <f>COUNTIF(Analysis!$M$1:$M$3001,Analysis!$M388)</f>
        <v>1</v>
      </c>
      <c r="Q388" s="6" t="str">
        <f>IF(COUNTIF(Analysis!$M$2:$M$3001,Analysis!$M388)&gt;1,"Duplicate","OK")</f>
        <v>OK</v>
      </c>
      <c r="R388" s="6" t="str">
        <f t="shared" si="1"/>
        <v>2600-3600</v>
      </c>
      <c r="S388" s="6">
        <f t="shared" si="2"/>
        <v>60</v>
      </c>
      <c r="T388" s="6" t="str">
        <f t="shared" si="3"/>
        <v>Old</v>
      </c>
    </row>
    <row r="389" ht="14.25" customHeight="1">
      <c r="A389" s="5">
        <v>294826.0</v>
      </c>
      <c r="B389" s="6" t="s">
        <v>1157</v>
      </c>
      <c r="C389" s="6" t="s">
        <v>29</v>
      </c>
      <c r="D389" s="6">
        <v>87737.0</v>
      </c>
      <c r="E389" s="6" t="s">
        <v>60</v>
      </c>
      <c r="F389" s="6" t="s">
        <v>20</v>
      </c>
      <c r="G389" s="6" t="s">
        <v>100</v>
      </c>
      <c r="H389" s="7">
        <v>1690.0</v>
      </c>
      <c r="I389" s="7">
        <v>9112.0</v>
      </c>
      <c r="J389" s="6">
        <v>1963.0</v>
      </c>
      <c r="K389" s="6">
        <v>40.0</v>
      </c>
      <c r="L389" s="6" t="s">
        <v>62</v>
      </c>
      <c r="M389" s="6" t="s">
        <v>1158</v>
      </c>
      <c r="N389" s="6" t="s">
        <v>48</v>
      </c>
      <c r="O389" s="6" t="s">
        <v>25</v>
      </c>
      <c r="P389" s="6">
        <f>COUNTIF(Analysis!$M$1:$M$3001,Analysis!$M279)</f>
        <v>1</v>
      </c>
      <c r="Q389" s="6" t="str">
        <f>IF(COUNTIF(Analysis!$M$2:$M$3001,Analysis!$M279)&gt;1,"Duplicate","OK")</f>
        <v>OK</v>
      </c>
      <c r="R389" s="6" t="str">
        <f t="shared" si="1"/>
        <v>1600-2600</v>
      </c>
      <c r="S389" s="6">
        <f t="shared" si="2"/>
        <v>63</v>
      </c>
      <c r="T389" s="6" t="str">
        <f t="shared" si="3"/>
        <v>Very Old</v>
      </c>
    </row>
    <row r="390" ht="14.25" customHeight="1">
      <c r="A390" s="5">
        <v>992364.0</v>
      </c>
      <c r="B390" s="6" t="s">
        <v>1601</v>
      </c>
      <c r="C390" s="6" t="s">
        <v>39</v>
      </c>
      <c r="D390" s="6">
        <v>39898.0</v>
      </c>
      <c r="E390" s="6" t="s">
        <v>40</v>
      </c>
      <c r="F390" s="6" t="s">
        <v>54</v>
      </c>
      <c r="G390" s="6" t="s">
        <v>21</v>
      </c>
      <c r="H390" s="7">
        <v>815.0</v>
      </c>
      <c r="I390" s="7">
        <v>7485.0</v>
      </c>
      <c r="J390" s="6">
        <v>1988.0</v>
      </c>
      <c r="K390" s="6">
        <v>93.0</v>
      </c>
      <c r="L390" s="6" t="s">
        <v>22</v>
      </c>
      <c r="M390" s="6" t="s">
        <v>1602</v>
      </c>
      <c r="N390" s="6" t="s">
        <v>24</v>
      </c>
      <c r="O390" s="6" t="s">
        <v>49</v>
      </c>
      <c r="P390" s="6">
        <f>COUNTIF(Analysis!$M$1:$M$3001,Analysis!$M390)</f>
        <v>1</v>
      </c>
      <c r="Q390" s="6" t="str">
        <f>IF(COUNTIF(Analysis!$M$2:$M$3001,Analysis!$M390)&gt;1,"Duplicate","OK")</f>
        <v>OK</v>
      </c>
      <c r="R390" s="6" t="str">
        <f t="shared" si="1"/>
        <v>600-1600</v>
      </c>
      <c r="S390" s="6">
        <f t="shared" si="2"/>
        <v>38</v>
      </c>
      <c r="T390" s="6" t="str">
        <f t="shared" si="3"/>
        <v>Old</v>
      </c>
    </row>
    <row r="391" ht="14.25" customHeight="1">
      <c r="A391" s="5">
        <v>296387.0</v>
      </c>
      <c r="B391" s="6" t="s">
        <v>11007</v>
      </c>
      <c r="C391" s="6" t="s">
        <v>29</v>
      </c>
      <c r="D391" s="6">
        <v>38380.0</v>
      </c>
      <c r="E391" s="6" t="s">
        <v>60</v>
      </c>
      <c r="F391" s="6" t="s">
        <v>61</v>
      </c>
      <c r="G391" s="6" t="s">
        <v>100</v>
      </c>
      <c r="H391" s="7">
        <v>973.0</v>
      </c>
      <c r="I391" s="7">
        <v>6116.0</v>
      </c>
      <c r="J391" s="6">
        <v>1958.0</v>
      </c>
      <c r="K391" s="6">
        <v>109.0</v>
      </c>
      <c r="L391" s="6" t="s">
        <v>62</v>
      </c>
      <c r="M391" s="6" t="s">
        <v>11008</v>
      </c>
      <c r="N391" s="6" t="s">
        <v>24</v>
      </c>
      <c r="O391" s="6" t="s">
        <v>49</v>
      </c>
      <c r="P391" s="6">
        <f>COUNTIF(Analysis!$M$1:$M$3001,Analysis!$M2743)</f>
        <v>1</v>
      </c>
      <c r="Q391" s="6" t="str">
        <f>IF(COUNTIF(Analysis!$M$2:$M$3001,Analysis!$M2743)&gt;1,"Duplicate","OK")</f>
        <v>OK</v>
      </c>
      <c r="R391" s="6" t="str">
        <f t="shared" si="1"/>
        <v>600-1600</v>
      </c>
      <c r="S391" s="6">
        <f t="shared" si="2"/>
        <v>68</v>
      </c>
      <c r="T391" s="6" t="str">
        <f t="shared" si="3"/>
        <v>Very Old</v>
      </c>
    </row>
    <row r="392" ht="14.25" customHeight="1">
      <c r="A392" s="5">
        <v>605861.0</v>
      </c>
      <c r="B392" s="6" t="s">
        <v>1609</v>
      </c>
      <c r="C392" s="6" t="s">
        <v>53</v>
      </c>
      <c r="D392" s="6">
        <v>55207.0</v>
      </c>
      <c r="E392" s="6" t="s">
        <v>19</v>
      </c>
      <c r="F392" s="6" t="s">
        <v>61</v>
      </c>
      <c r="G392" s="6" t="s">
        <v>100</v>
      </c>
      <c r="H392" s="7">
        <v>1534.0</v>
      </c>
      <c r="I392" s="7">
        <v>6020.0</v>
      </c>
      <c r="J392" s="6">
        <v>1971.0</v>
      </c>
      <c r="K392" s="6">
        <v>63.0</v>
      </c>
      <c r="L392" s="6" t="s">
        <v>95</v>
      </c>
      <c r="M392" s="6" t="s">
        <v>1610</v>
      </c>
      <c r="N392" s="6" t="s">
        <v>34</v>
      </c>
      <c r="O392" s="6" t="s">
        <v>49</v>
      </c>
      <c r="P392" s="6">
        <f>COUNTIF(Analysis!$M$1:$M$3001,Analysis!$M392)</f>
        <v>1</v>
      </c>
      <c r="Q392" s="6" t="str">
        <f>IF(COUNTIF(Analysis!$M$2:$M$3001,Analysis!$M392)&gt;1,"Duplicate","OK")</f>
        <v>OK</v>
      </c>
      <c r="R392" s="6" t="str">
        <f t="shared" si="1"/>
        <v>600-1600</v>
      </c>
      <c r="S392" s="6">
        <f t="shared" si="2"/>
        <v>55</v>
      </c>
      <c r="T392" s="6" t="str">
        <f t="shared" si="3"/>
        <v>Old</v>
      </c>
    </row>
    <row r="393" ht="14.25" customHeight="1">
      <c r="A393" s="5">
        <v>302419.0</v>
      </c>
      <c r="B393" s="6" t="s">
        <v>1173</v>
      </c>
      <c r="C393" s="6" t="s">
        <v>29</v>
      </c>
      <c r="D393" s="6">
        <v>85098.0</v>
      </c>
      <c r="E393" s="6" t="s">
        <v>19</v>
      </c>
      <c r="F393" s="6" t="s">
        <v>94</v>
      </c>
      <c r="G393" s="6" t="s">
        <v>100</v>
      </c>
      <c r="H393" s="7">
        <v>1265.0</v>
      </c>
      <c r="I393" s="7">
        <v>9461.0</v>
      </c>
      <c r="J393" s="6">
        <v>1989.0</v>
      </c>
      <c r="K393" s="6">
        <v>25.0</v>
      </c>
      <c r="L393" s="6" t="s">
        <v>141</v>
      </c>
      <c r="M393" s="6" t="s">
        <v>1174</v>
      </c>
      <c r="N393" s="6" t="s">
        <v>48</v>
      </c>
      <c r="O393" s="6" t="s">
        <v>49</v>
      </c>
      <c r="P393" s="6">
        <f>COUNTIF(Analysis!$M$1:$M$3001,Analysis!$M283)</f>
        <v>1</v>
      </c>
      <c r="Q393" s="6" t="str">
        <f>IF(COUNTIF(Analysis!$M$2:$M$3001,Analysis!$M283)&gt;1,"Duplicate","OK")</f>
        <v>OK</v>
      </c>
      <c r="R393" s="6" t="str">
        <f t="shared" si="1"/>
        <v>600-1600</v>
      </c>
      <c r="S393" s="6">
        <f t="shared" si="2"/>
        <v>37</v>
      </c>
      <c r="T393" s="6" t="str">
        <f t="shared" si="3"/>
        <v>Old</v>
      </c>
    </row>
    <row r="394" ht="14.25" customHeight="1">
      <c r="A394" s="5">
        <v>427572.0</v>
      </c>
      <c r="B394" s="6" t="s">
        <v>1617</v>
      </c>
      <c r="C394" s="6" t="s">
        <v>76</v>
      </c>
      <c r="D394" s="6">
        <v>47035.0</v>
      </c>
      <c r="E394" s="6" t="s">
        <v>40</v>
      </c>
      <c r="F394" s="6" t="s">
        <v>54</v>
      </c>
      <c r="G394" s="6" t="s">
        <v>31</v>
      </c>
      <c r="H394" s="7">
        <v>3940.0</v>
      </c>
      <c r="I394" s="7">
        <v>9098.0</v>
      </c>
      <c r="J394" s="6">
        <v>1986.0</v>
      </c>
      <c r="K394" s="6">
        <v>9.0</v>
      </c>
      <c r="L394" s="6" t="s">
        <v>22</v>
      </c>
      <c r="M394" s="6" t="s">
        <v>1618</v>
      </c>
      <c r="N394" s="6" t="s">
        <v>64</v>
      </c>
      <c r="O394" s="6" t="s">
        <v>25</v>
      </c>
      <c r="P394" s="6">
        <f>COUNTIF(Analysis!$M$1:$M$3001,Analysis!$M394)</f>
        <v>1</v>
      </c>
      <c r="Q394" s="6" t="str">
        <f>IF(COUNTIF(Analysis!$M$2:$M$3001,Analysis!$M394)&gt;1,"Duplicate","OK")</f>
        <v>OK</v>
      </c>
      <c r="R394" s="6" t="str">
        <f t="shared" si="1"/>
        <v>3600+</v>
      </c>
      <c r="S394" s="6">
        <f t="shared" si="2"/>
        <v>40</v>
      </c>
      <c r="T394" s="6" t="str">
        <f t="shared" si="3"/>
        <v>Old</v>
      </c>
    </row>
    <row r="395" ht="14.25" customHeight="1">
      <c r="A395" s="5">
        <v>1161421.0</v>
      </c>
      <c r="B395" s="6" t="s">
        <v>1621</v>
      </c>
      <c r="C395" s="6" t="s">
        <v>39</v>
      </c>
      <c r="D395" s="6">
        <v>80455.0</v>
      </c>
      <c r="E395" s="6" t="s">
        <v>19</v>
      </c>
      <c r="F395" s="6" t="s">
        <v>46</v>
      </c>
      <c r="G395" s="6" t="s">
        <v>21</v>
      </c>
      <c r="H395" s="7">
        <v>3313.0</v>
      </c>
      <c r="I395" s="7">
        <v>9610.0</v>
      </c>
      <c r="J395" s="6">
        <v>2005.0</v>
      </c>
      <c r="K395" s="6">
        <v>49.0</v>
      </c>
      <c r="L395" s="6" t="s">
        <v>95</v>
      </c>
      <c r="M395" s="6" t="s">
        <v>1622</v>
      </c>
      <c r="N395" s="6" t="s">
        <v>43</v>
      </c>
      <c r="O395" s="6" t="s">
        <v>35</v>
      </c>
      <c r="P395" s="6">
        <f>COUNTIF(Analysis!$M$1:$M$3001,Analysis!$M395)</f>
        <v>1</v>
      </c>
      <c r="Q395" s="6" t="str">
        <f>IF(COUNTIF(Analysis!$M$2:$M$3001,Analysis!$M395)&gt;1,"Duplicate","OK")</f>
        <v>OK</v>
      </c>
      <c r="R395" s="6" t="str">
        <f t="shared" si="1"/>
        <v>2600-3600</v>
      </c>
      <c r="S395" s="6">
        <f t="shared" si="2"/>
        <v>21</v>
      </c>
      <c r="T395" s="6" t="str">
        <f t="shared" si="3"/>
        <v>Mid</v>
      </c>
    </row>
    <row r="396" ht="14.25" customHeight="1">
      <c r="A396" s="5">
        <v>314414.0</v>
      </c>
      <c r="B396" s="6" t="s">
        <v>1625</v>
      </c>
      <c r="C396" s="6" t="s">
        <v>53</v>
      </c>
      <c r="D396" s="6">
        <v>66368.0</v>
      </c>
      <c r="E396" s="6" t="s">
        <v>77</v>
      </c>
      <c r="F396" s="6" t="s">
        <v>61</v>
      </c>
      <c r="G396" s="6" t="s">
        <v>55</v>
      </c>
      <c r="H396" s="7">
        <v>2128.0</v>
      </c>
      <c r="I396" s="7">
        <v>3292.0</v>
      </c>
      <c r="J396" s="6">
        <v>1994.0</v>
      </c>
      <c r="K396" s="6">
        <v>79.0</v>
      </c>
      <c r="L396" s="6" t="s">
        <v>22</v>
      </c>
      <c r="M396" s="6" t="s">
        <v>1626</v>
      </c>
      <c r="N396" s="6" t="s">
        <v>34</v>
      </c>
      <c r="O396" s="6" t="s">
        <v>49</v>
      </c>
      <c r="P396" s="6">
        <f>COUNTIF(Analysis!$M$1:$M$3001,Analysis!$M396)</f>
        <v>1</v>
      </c>
      <c r="Q396" s="6" t="str">
        <f>IF(COUNTIF(Analysis!$M$2:$M$3001,Analysis!$M396)&gt;1,"Duplicate","OK")</f>
        <v>OK</v>
      </c>
      <c r="R396" s="6" t="str">
        <f t="shared" si="1"/>
        <v>1600-2600</v>
      </c>
      <c r="S396" s="6">
        <f t="shared" si="2"/>
        <v>32</v>
      </c>
      <c r="T396" s="6" t="str">
        <f t="shared" si="3"/>
        <v>Old</v>
      </c>
    </row>
    <row r="397" ht="14.25" customHeight="1">
      <c r="A397" s="5">
        <v>1265777.0</v>
      </c>
      <c r="B397" s="6" t="s">
        <v>1629</v>
      </c>
      <c r="C397" s="6" t="s">
        <v>76</v>
      </c>
      <c r="D397" s="6">
        <v>36428.0</v>
      </c>
      <c r="E397" s="6" t="s">
        <v>60</v>
      </c>
      <c r="F397" s="6" t="s">
        <v>20</v>
      </c>
      <c r="G397" s="6" t="s">
        <v>100</v>
      </c>
      <c r="H397" s="7">
        <v>1659.0</v>
      </c>
      <c r="I397" s="7">
        <v>9996.0</v>
      </c>
      <c r="J397" s="6">
        <v>1988.0</v>
      </c>
      <c r="K397" s="6">
        <v>25.0</v>
      </c>
      <c r="L397" s="6" t="s">
        <v>62</v>
      </c>
      <c r="M397" s="6" t="s">
        <v>1630</v>
      </c>
      <c r="N397" s="6" t="s">
        <v>24</v>
      </c>
      <c r="O397" s="6" t="s">
        <v>25</v>
      </c>
      <c r="P397" s="6">
        <f>COUNTIF(Analysis!$M$1:$M$3001,Analysis!$M397)</f>
        <v>1</v>
      </c>
      <c r="Q397" s="6" t="str">
        <f>IF(COUNTIF(Analysis!$M$2:$M$3001,Analysis!$M397)&gt;1,"Duplicate","OK")</f>
        <v>OK</v>
      </c>
      <c r="R397" s="6" t="str">
        <f t="shared" si="1"/>
        <v>1600-2600</v>
      </c>
      <c r="S397" s="6">
        <f t="shared" si="2"/>
        <v>38</v>
      </c>
      <c r="T397" s="6" t="str">
        <f t="shared" si="3"/>
        <v>Old</v>
      </c>
    </row>
    <row r="398" ht="14.25" customHeight="1">
      <c r="A398" s="5">
        <v>789955.0</v>
      </c>
      <c r="B398" s="6" t="s">
        <v>1633</v>
      </c>
      <c r="C398" s="6" t="s">
        <v>18</v>
      </c>
      <c r="D398" s="6">
        <v>40382.0</v>
      </c>
      <c r="E398" s="6" t="s">
        <v>60</v>
      </c>
      <c r="F398" s="6" t="s">
        <v>61</v>
      </c>
      <c r="G398" s="6" t="s">
        <v>21</v>
      </c>
      <c r="H398" s="7">
        <v>2036.0</v>
      </c>
      <c r="I398" s="7">
        <v>8558.0</v>
      </c>
      <c r="J398" s="6">
        <v>2022.0</v>
      </c>
      <c r="K398" s="6">
        <v>114.0</v>
      </c>
      <c r="L398" s="6" t="s">
        <v>62</v>
      </c>
      <c r="M398" s="6" t="s">
        <v>1634</v>
      </c>
      <c r="N398" s="6" t="s">
        <v>64</v>
      </c>
      <c r="O398" s="6" t="s">
        <v>35</v>
      </c>
      <c r="P398" s="6">
        <f>COUNTIF(Analysis!$M$1:$M$3001,Analysis!$M398)</f>
        <v>1</v>
      </c>
      <c r="Q398" s="6" t="str">
        <f>IF(COUNTIF(Analysis!$M$2:$M$3001,Analysis!$M398)&gt;1,"Duplicate","OK")</f>
        <v>OK</v>
      </c>
      <c r="R398" s="6" t="str">
        <f t="shared" si="1"/>
        <v>1600-2600</v>
      </c>
      <c r="S398" s="6">
        <f t="shared" si="2"/>
        <v>4</v>
      </c>
      <c r="T398" s="6" t="str">
        <f t="shared" si="3"/>
        <v>New</v>
      </c>
    </row>
    <row r="399" ht="14.25" customHeight="1">
      <c r="A399" s="5">
        <v>304055.0</v>
      </c>
      <c r="B399" s="6" t="s">
        <v>7637</v>
      </c>
      <c r="C399" s="6" t="s">
        <v>29</v>
      </c>
      <c r="D399" s="6">
        <v>53066.0</v>
      </c>
      <c r="E399" s="6" t="s">
        <v>19</v>
      </c>
      <c r="F399" s="6" t="s">
        <v>94</v>
      </c>
      <c r="G399" s="6" t="s">
        <v>21</v>
      </c>
      <c r="H399" s="7">
        <v>1244.0</v>
      </c>
      <c r="I399" s="7">
        <v>3586.0</v>
      </c>
      <c r="J399" s="6">
        <v>2022.0</v>
      </c>
      <c r="K399" s="6">
        <v>72.0</v>
      </c>
      <c r="L399" s="6" t="s">
        <v>32</v>
      </c>
      <c r="M399" s="6" t="s">
        <v>7638</v>
      </c>
      <c r="N399" s="6" t="s">
        <v>48</v>
      </c>
      <c r="O399" s="6" t="s">
        <v>35</v>
      </c>
      <c r="P399" s="6">
        <f>COUNTIF(Analysis!$M$1:$M$3001,Analysis!$M1900)</f>
        <v>1</v>
      </c>
      <c r="Q399" s="6" t="str">
        <f>IF(COUNTIF(Analysis!$M$2:$M$3001,Analysis!$M1900)&gt;1,"Duplicate","OK")</f>
        <v>OK</v>
      </c>
      <c r="R399" s="6" t="str">
        <f t="shared" si="1"/>
        <v>600-1600</v>
      </c>
      <c r="S399" s="6">
        <f t="shared" si="2"/>
        <v>4</v>
      </c>
      <c r="T399" s="6" t="str">
        <f t="shared" si="3"/>
        <v>New</v>
      </c>
    </row>
    <row r="400" ht="14.25" customHeight="1">
      <c r="A400" s="5">
        <v>315073.0</v>
      </c>
      <c r="B400" s="6" t="s">
        <v>5111</v>
      </c>
      <c r="C400" s="6" t="s">
        <v>29</v>
      </c>
      <c r="D400" s="6">
        <v>13171.0</v>
      </c>
      <c r="E400" s="6" t="s">
        <v>19</v>
      </c>
      <c r="F400" s="6" t="s">
        <v>54</v>
      </c>
      <c r="G400" s="6" t="s">
        <v>31</v>
      </c>
      <c r="H400" s="7">
        <v>2616.0</v>
      </c>
      <c r="I400" s="7">
        <v>7426.0</v>
      </c>
      <c r="J400" s="6">
        <v>1951.0</v>
      </c>
      <c r="K400" s="6">
        <v>60.0</v>
      </c>
      <c r="L400" s="6" t="s">
        <v>141</v>
      </c>
      <c r="M400" s="6" t="s">
        <v>5112</v>
      </c>
      <c r="N400" s="6" t="s">
        <v>34</v>
      </c>
      <c r="O400" s="6" t="s">
        <v>35</v>
      </c>
      <c r="P400" s="6">
        <f>COUNTIF(Analysis!$M$1:$M$3001,Analysis!$M1268)</f>
        <v>1</v>
      </c>
      <c r="Q400" s="6" t="str">
        <f>IF(COUNTIF(Analysis!$M$2:$M$3001,Analysis!$M1268)&gt;1,"Duplicate","OK")</f>
        <v>OK</v>
      </c>
      <c r="R400" s="6" t="str">
        <f t="shared" si="1"/>
        <v>2600-3600</v>
      </c>
      <c r="S400" s="6">
        <f t="shared" si="2"/>
        <v>75</v>
      </c>
      <c r="T400" s="6" t="str">
        <f t="shared" si="3"/>
        <v>Very Old</v>
      </c>
    </row>
    <row r="401" ht="14.25" customHeight="1">
      <c r="A401" s="5">
        <v>321307.0</v>
      </c>
      <c r="B401" s="6" t="s">
        <v>3055</v>
      </c>
      <c r="C401" s="6" t="s">
        <v>29</v>
      </c>
      <c r="D401" s="6">
        <v>88151.0</v>
      </c>
      <c r="E401" s="6" t="s">
        <v>30</v>
      </c>
      <c r="F401" s="6" t="s">
        <v>94</v>
      </c>
      <c r="G401" s="6" t="s">
        <v>55</v>
      </c>
      <c r="H401" s="7">
        <v>688.0</v>
      </c>
      <c r="I401" s="7">
        <v>5098.0</v>
      </c>
      <c r="J401" s="6">
        <v>2018.0</v>
      </c>
      <c r="K401" s="6">
        <v>48.0</v>
      </c>
      <c r="L401" s="6" t="s">
        <v>62</v>
      </c>
      <c r="M401" s="6" t="s">
        <v>3056</v>
      </c>
      <c r="N401" s="6" t="s">
        <v>64</v>
      </c>
      <c r="O401" s="6" t="s">
        <v>25</v>
      </c>
      <c r="P401" s="6">
        <f>COUNTIF(Analysis!$M$1:$M$3001,Analysis!$M754)</f>
        <v>1</v>
      </c>
      <c r="Q401" s="6" t="str">
        <f>IF(COUNTIF(Analysis!$M$2:$M$3001,Analysis!$M754)&gt;1,"Duplicate","OK")</f>
        <v>OK</v>
      </c>
      <c r="R401" s="6" t="str">
        <f t="shared" si="1"/>
        <v>600-1600</v>
      </c>
      <c r="S401" s="6">
        <f t="shared" si="2"/>
        <v>8</v>
      </c>
      <c r="T401" s="6" t="str">
        <f t="shared" si="3"/>
        <v>New</v>
      </c>
    </row>
    <row r="402" ht="14.25" customHeight="1">
      <c r="A402" s="5">
        <v>1325154.0</v>
      </c>
      <c r="B402" s="6" t="s">
        <v>1649</v>
      </c>
      <c r="C402" s="6" t="s">
        <v>76</v>
      </c>
      <c r="D402" s="6">
        <v>74845.0</v>
      </c>
      <c r="E402" s="6" t="s">
        <v>19</v>
      </c>
      <c r="F402" s="6" t="s">
        <v>41</v>
      </c>
      <c r="G402" s="6" t="s">
        <v>55</v>
      </c>
      <c r="H402" s="7">
        <v>1086.0</v>
      </c>
      <c r="I402" s="7">
        <v>5861.0</v>
      </c>
      <c r="J402" s="6">
        <v>1981.0</v>
      </c>
      <c r="K402" s="6">
        <v>99.0</v>
      </c>
      <c r="L402" s="6" t="s">
        <v>95</v>
      </c>
      <c r="M402" s="6" t="s">
        <v>1650</v>
      </c>
      <c r="N402" s="6" t="s">
        <v>43</v>
      </c>
      <c r="O402" s="6" t="s">
        <v>49</v>
      </c>
      <c r="P402" s="6">
        <f>COUNTIF(Analysis!$M$1:$M$3001,Analysis!$M402)</f>
        <v>1</v>
      </c>
      <c r="Q402" s="6" t="str">
        <f>IF(COUNTIF(Analysis!$M$2:$M$3001,Analysis!$M402)&gt;1,"Duplicate","OK")</f>
        <v>OK</v>
      </c>
      <c r="R402" s="6" t="str">
        <f t="shared" si="1"/>
        <v>600-1600</v>
      </c>
      <c r="S402" s="6">
        <f t="shared" si="2"/>
        <v>45</v>
      </c>
      <c r="T402" s="6" t="str">
        <f t="shared" si="3"/>
        <v>Old</v>
      </c>
    </row>
    <row r="403" ht="14.25" customHeight="1">
      <c r="A403" s="5">
        <v>1136243.0</v>
      </c>
      <c r="B403" s="6" t="s">
        <v>1653</v>
      </c>
      <c r="C403" s="6" t="s">
        <v>76</v>
      </c>
      <c r="D403" s="6">
        <v>77717.0</v>
      </c>
      <c r="E403" s="6" t="s">
        <v>60</v>
      </c>
      <c r="F403" s="6" t="s">
        <v>54</v>
      </c>
      <c r="G403" s="6" t="s">
        <v>100</v>
      </c>
      <c r="H403" s="7">
        <v>2010.0</v>
      </c>
      <c r="I403" s="7">
        <v>2931.0</v>
      </c>
      <c r="J403" s="6">
        <v>1959.0</v>
      </c>
      <c r="K403" s="6">
        <v>15.0</v>
      </c>
      <c r="L403" s="6" t="s">
        <v>62</v>
      </c>
      <c r="M403" s="6" t="s">
        <v>1654</v>
      </c>
      <c r="N403" s="6" t="s">
        <v>24</v>
      </c>
      <c r="O403" s="6" t="s">
        <v>25</v>
      </c>
      <c r="P403" s="6">
        <f>COUNTIF(Analysis!$M$1:$M$3001,Analysis!$M403)</f>
        <v>1</v>
      </c>
      <c r="Q403" s="6" t="str">
        <f>IF(COUNTIF(Analysis!$M$2:$M$3001,Analysis!$M403)&gt;1,"Duplicate","OK")</f>
        <v>OK</v>
      </c>
      <c r="R403" s="6" t="str">
        <f t="shared" si="1"/>
        <v>1600-2600</v>
      </c>
      <c r="S403" s="6">
        <f t="shared" si="2"/>
        <v>67</v>
      </c>
      <c r="T403" s="6" t="str">
        <f t="shared" si="3"/>
        <v>Very Old</v>
      </c>
    </row>
    <row r="404" ht="14.25" customHeight="1">
      <c r="A404" s="5">
        <v>624612.0</v>
      </c>
      <c r="B404" s="6" t="s">
        <v>1657</v>
      </c>
      <c r="C404" s="6" t="s">
        <v>76</v>
      </c>
      <c r="D404" s="6">
        <v>45435.0</v>
      </c>
      <c r="E404" s="6" t="s">
        <v>19</v>
      </c>
      <c r="F404" s="6" t="s">
        <v>54</v>
      </c>
      <c r="G404" s="6" t="s">
        <v>21</v>
      </c>
      <c r="H404" s="7">
        <v>2367.0</v>
      </c>
      <c r="I404" s="7">
        <v>6792.0</v>
      </c>
      <c r="J404" s="6">
        <v>1995.0</v>
      </c>
      <c r="K404" s="6">
        <v>13.0</v>
      </c>
      <c r="L404" s="6" t="s">
        <v>22</v>
      </c>
      <c r="M404" s="6" t="s">
        <v>1658</v>
      </c>
      <c r="N404" s="6" t="s">
        <v>43</v>
      </c>
      <c r="O404" s="6" t="s">
        <v>25</v>
      </c>
      <c r="P404" s="6">
        <f>COUNTIF(Analysis!$M$1:$M$3001,Analysis!$M404)</f>
        <v>1</v>
      </c>
      <c r="Q404" s="6" t="str">
        <f>IF(COUNTIF(Analysis!$M$2:$M$3001,Analysis!$M404)&gt;1,"Duplicate","OK")</f>
        <v>OK</v>
      </c>
      <c r="R404" s="6" t="str">
        <f t="shared" si="1"/>
        <v>1600-2600</v>
      </c>
      <c r="S404" s="6">
        <f t="shared" si="2"/>
        <v>31</v>
      </c>
      <c r="T404" s="6" t="str">
        <f t="shared" si="3"/>
        <v>Old</v>
      </c>
    </row>
    <row r="405" ht="14.25" customHeight="1">
      <c r="A405" s="5">
        <v>321378.0</v>
      </c>
      <c r="B405" s="6" t="s">
        <v>9399</v>
      </c>
      <c r="C405" s="6" t="s">
        <v>29</v>
      </c>
      <c r="D405" s="6">
        <v>42332.0</v>
      </c>
      <c r="E405" s="6" t="s">
        <v>19</v>
      </c>
      <c r="F405" s="6" t="s">
        <v>94</v>
      </c>
      <c r="G405" s="6" t="s">
        <v>31</v>
      </c>
      <c r="H405" s="7">
        <v>1462.0</v>
      </c>
      <c r="I405" s="7">
        <v>3326.0</v>
      </c>
      <c r="J405" s="6">
        <v>1951.0</v>
      </c>
      <c r="K405" s="6">
        <v>78.0</v>
      </c>
      <c r="L405" s="6" t="s">
        <v>95</v>
      </c>
      <c r="M405" s="6" t="s">
        <v>9400</v>
      </c>
      <c r="N405" s="6" t="s">
        <v>24</v>
      </c>
      <c r="O405" s="6" t="s">
        <v>35</v>
      </c>
      <c r="P405" s="6">
        <f>COUNTIF(Analysis!$M$1:$M$3001,Analysis!$M2341)</f>
        <v>1</v>
      </c>
      <c r="Q405" s="6" t="str">
        <f>IF(COUNTIF(Analysis!$M$2:$M$3001,Analysis!$M2341)&gt;1,"Duplicate","OK")</f>
        <v>OK</v>
      </c>
      <c r="R405" s="6" t="str">
        <f t="shared" si="1"/>
        <v>600-1600</v>
      </c>
      <c r="S405" s="6">
        <f t="shared" si="2"/>
        <v>75</v>
      </c>
      <c r="T405" s="6" t="str">
        <f t="shared" si="3"/>
        <v>Very Old</v>
      </c>
    </row>
    <row r="406" ht="14.25" customHeight="1">
      <c r="A406" s="5">
        <v>1410781.0</v>
      </c>
      <c r="B406" s="6" t="s">
        <v>1665</v>
      </c>
      <c r="C406" s="6" t="s">
        <v>76</v>
      </c>
      <c r="D406" s="6">
        <v>21095.0</v>
      </c>
      <c r="E406" s="6" t="s">
        <v>60</v>
      </c>
      <c r="F406" s="6" t="s">
        <v>94</v>
      </c>
      <c r="G406" s="6" t="s">
        <v>100</v>
      </c>
      <c r="H406" s="7">
        <v>2662.0</v>
      </c>
      <c r="I406" s="7">
        <v>3141.0</v>
      </c>
      <c r="J406" s="6">
        <v>1968.0</v>
      </c>
      <c r="K406" s="6">
        <v>19.0</v>
      </c>
      <c r="L406" s="6" t="s">
        <v>62</v>
      </c>
      <c r="M406" s="6" t="s">
        <v>1666</v>
      </c>
      <c r="N406" s="6" t="s">
        <v>43</v>
      </c>
      <c r="O406" s="6" t="s">
        <v>35</v>
      </c>
      <c r="P406" s="6">
        <f>COUNTIF(Analysis!$M$1:$M$3001,Analysis!$M406)</f>
        <v>1</v>
      </c>
      <c r="Q406" s="6" t="str">
        <f>IF(COUNTIF(Analysis!$M$2:$M$3001,Analysis!$M406)&gt;1,"Duplicate","OK")</f>
        <v>OK</v>
      </c>
      <c r="R406" s="6" t="str">
        <f t="shared" si="1"/>
        <v>2600-3600</v>
      </c>
      <c r="S406" s="6">
        <f t="shared" si="2"/>
        <v>58</v>
      </c>
      <c r="T406" s="6" t="str">
        <f t="shared" si="3"/>
        <v>Old</v>
      </c>
    </row>
    <row r="407" ht="14.25" customHeight="1">
      <c r="A407" s="5">
        <v>900400.0</v>
      </c>
      <c r="B407" s="6" t="s">
        <v>1669</v>
      </c>
      <c r="C407" s="6" t="s">
        <v>53</v>
      </c>
      <c r="D407" s="6">
        <v>37962.0</v>
      </c>
      <c r="E407" s="6" t="s">
        <v>60</v>
      </c>
      <c r="F407" s="6" t="s">
        <v>94</v>
      </c>
      <c r="G407" s="6" t="s">
        <v>55</v>
      </c>
      <c r="H407" s="7">
        <v>689.0</v>
      </c>
      <c r="I407" s="7">
        <v>1215.0</v>
      </c>
      <c r="J407" s="6">
        <v>2015.0</v>
      </c>
      <c r="K407" s="6">
        <v>110.0</v>
      </c>
      <c r="L407" s="6" t="s">
        <v>62</v>
      </c>
      <c r="M407" s="6" t="s">
        <v>1670</v>
      </c>
      <c r="N407" s="6" t="s">
        <v>43</v>
      </c>
      <c r="O407" s="6" t="s">
        <v>49</v>
      </c>
      <c r="P407" s="6">
        <f>COUNTIF(Analysis!$M$1:$M$3001,Analysis!$M407)</f>
        <v>1</v>
      </c>
      <c r="Q407" s="6" t="str">
        <f>IF(COUNTIF(Analysis!$M$2:$M$3001,Analysis!$M407)&gt;1,"Duplicate","OK")</f>
        <v>OK</v>
      </c>
      <c r="R407" s="6" t="str">
        <f t="shared" si="1"/>
        <v>600-1600</v>
      </c>
      <c r="S407" s="6">
        <f t="shared" si="2"/>
        <v>11</v>
      </c>
      <c r="T407" s="6" t="str">
        <f t="shared" si="3"/>
        <v>Mid</v>
      </c>
    </row>
    <row r="408" ht="14.25" customHeight="1">
      <c r="A408" s="5">
        <v>770905.0</v>
      </c>
      <c r="B408" s="6" t="s">
        <v>1673</v>
      </c>
      <c r="C408" s="6" t="s">
        <v>53</v>
      </c>
      <c r="D408" s="6">
        <v>24534.0</v>
      </c>
      <c r="E408" s="6" t="s">
        <v>30</v>
      </c>
      <c r="F408" s="6" t="s">
        <v>46</v>
      </c>
      <c r="G408" s="6" t="s">
        <v>100</v>
      </c>
      <c r="H408" s="7">
        <v>2898.0</v>
      </c>
      <c r="I408" s="7">
        <v>6768.0</v>
      </c>
      <c r="J408" s="6">
        <v>2017.0</v>
      </c>
      <c r="K408" s="6">
        <v>82.0</v>
      </c>
      <c r="L408" s="6" t="s">
        <v>32</v>
      </c>
      <c r="M408" s="6" t="s">
        <v>1674</v>
      </c>
      <c r="N408" s="6" t="s">
        <v>24</v>
      </c>
      <c r="O408" s="6" t="s">
        <v>49</v>
      </c>
      <c r="P408" s="6">
        <f>COUNTIF(Analysis!$M$1:$M$3001,Analysis!$M408)</f>
        <v>1</v>
      </c>
      <c r="Q408" s="6" t="str">
        <f>IF(COUNTIF(Analysis!$M$2:$M$3001,Analysis!$M408)&gt;1,"Duplicate","OK")</f>
        <v>OK</v>
      </c>
      <c r="R408" s="6" t="str">
        <f t="shared" si="1"/>
        <v>2600-3600</v>
      </c>
      <c r="S408" s="6">
        <f t="shared" si="2"/>
        <v>9</v>
      </c>
      <c r="T408" s="6" t="str">
        <f t="shared" si="3"/>
        <v>New</v>
      </c>
    </row>
    <row r="409" ht="14.25" customHeight="1">
      <c r="A409" s="5">
        <v>322944.0</v>
      </c>
      <c r="B409" s="6" t="s">
        <v>11511</v>
      </c>
      <c r="C409" s="6" t="s">
        <v>29</v>
      </c>
      <c r="D409" s="6">
        <v>63709.0</v>
      </c>
      <c r="E409" s="6" t="s">
        <v>40</v>
      </c>
      <c r="F409" s="6" t="s">
        <v>54</v>
      </c>
      <c r="G409" s="6" t="s">
        <v>21</v>
      </c>
      <c r="H409" s="7">
        <v>2897.0</v>
      </c>
      <c r="I409" s="7">
        <v>4271.0</v>
      </c>
      <c r="J409" s="6">
        <v>1953.0</v>
      </c>
      <c r="K409" s="6">
        <v>7.0</v>
      </c>
      <c r="L409" s="6" t="s">
        <v>62</v>
      </c>
      <c r="M409" s="6" t="s">
        <v>11512</v>
      </c>
      <c r="N409" s="6" t="s">
        <v>43</v>
      </c>
      <c r="O409" s="6" t="s">
        <v>49</v>
      </c>
      <c r="P409" s="6">
        <f>COUNTIF(Analysis!$M$1:$M$3001,Analysis!$M2869)</f>
        <v>1</v>
      </c>
      <c r="Q409" s="6" t="str">
        <f>IF(COUNTIF(Analysis!$M$2:$M$3001,Analysis!$M2869)&gt;1,"Duplicate","OK")</f>
        <v>OK</v>
      </c>
      <c r="R409" s="6" t="str">
        <f t="shared" si="1"/>
        <v>2600-3600</v>
      </c>
      <c r="S409" s="6">
        <f t="shared" si="2"/>
        <v>73</v>
      </c>
      <c r="T409" s="6" t="str">
        <f t="shared" si="3"/>
        <v>Very Old</v>
      </c>
    </row>
    <row r="410" ht="14.25" customHeight="1">
      <c r="A410" s="5">
        <v>499747.0</v>
      </c>
      <c r="B410" s="6" t="s">
        <v>1681</v>
      </c>
      <c r="C410" s="6" t="s">
        <v>18</v>
      </c>
      <c r="D410" s="6">
        <v>54416.0</v>
      </c>
      <c r="E410" s="6" t="s">
        <v>60</v>
      </c>
      <c r="F410" s="6" t="s">
        <v>46</v>
      </c>
      <c r="G410" s="6" t="s">
        <v>31</v>
      </c>
      <c r="H410" s="7">
        <v>1978.0</v>
      </c>
      <c r="I410" s="7">
        <v>4716.0</v>
      </c>
      <c r="J410" s="6">
        <v>2015.0</v>
      </c>
      <c r="K410" s="6">
        <v>48.0</v>
      </c>
      <c r="L410" s="6" t="s">
        <v>22</v>
      </c>
      <c r="M410" s="6" t="s">
        <v>1682</v>
      </c>
      <c r="N410" s="6" t="s">
        <v>24</v>
      </c>
      <c r="O410" s="6" t="s">
        <v>35</v>
      </c>
      <c r="P410" s="6">
        <f>COUNTIF(Analysis!$M$1:$M$3001,Analysis!$M410)</f>
        <v>1</v>
      </c>
      <c r="Q410" s="6" t="str">
        <f>IF(COUNTIF(Analysis!$M$2:$M$3001,Analysis!$M410)&gt;1,"Duplicate","OK")</f>
        <v>OK</v>
      </c>
      <c r="R410" s="6" t="str">
        <f t="shared" si="1"/>
        <v>1600-2600</v>
      </c>
      <c r="S410" s="6">
        <f t="shared" si="2"/>
        <v>11</v>
      </c>
      <c r="T410" s="6" t="str">
        <f t="shared" si="3"/>
        <v>Mid</v>
      </c>
    </row>
    <row r="411" ht="14.25" customHeight="1">
      <c r="A411" s="5">
        <v>712555.0</v>
      </c>
      <c r="B411" s="6" t="s">
        <v>1685</v>
      </c>
      <c r="C411" s="6" t="s">
        <v>39</v>
      </c>
      <c r="D411" s="6">
        <v>76996.0</v>
      </c>
      <c r="E411" s="6" t="s">
        <v>30</v>
      </c>
      <c r="F411" s="6" t="s">
        <v>20</v>
      </c>
      <c r="G411" s="6" t="s">
        <v>21</v>
      </c>
      <c r="H411" s="7">
        <v>1268.0</v>
      </c>
      <c r="I411" s="7">
        <v>9258.0</v>
      </c>
      <c r="J411" s="6">
        <v>1984.0</v>
      </c>
      <c r="K411" s="6">
        <v>68.0</v>
      </c>
      <c r="L411" s="6" t="s">
        <v>95</v>
      </c>
      <c r="M411" s="6" t="s">
        <v>1686</v>
      </c>
      <c r="N411" s="6" t="s">
        <v>43</v>
      </c>
      <c r="O411" s="6" t="s">
        <v>49</v>
      </c>
      <c r="P411" s="6">
        <f>COUNTIF(Analysis!$M$1:$M$3001,Analysis!$M411)</f>
        <v>1</v>
      </c>
      <c r="Q411" s="6" t="str">
        <f>IF(COUNTIF(Analysis!$M$2:$M$3001,Analysis!$M411)&gt;1,"Duplicate","OK")</f>
        <v>OK</v>
      </c>
      <c r="R411" s="6" t="str">
        <f t="shared" si="1"/>
        <v>600-1600</v>
      </c>
      <c r="S411" s="6">
        <f t="shared" si="2"/>
        <v>42</v>
      </c>
      <c r="T411" s="6" t="str">
        <f t="shared" si="3"/>
        <v>Old</v>
      </c>
    </row>
    <row r="412" ht="14.25" customHeight="1">
      <c r="A412" s="5">
        <v>619571.0</v>
      </c>
      <c r="B412" s="6" t="s">
        <v>1689</v>
      </c>
      <c r="C412" s="6" t="s">
        <v>39</v>
      </c>
      <c r="D412" s="6">
        <v>86858.0</v>
      </c>
      <c r="E412" s="6" t="s">
        <v>19</v>
      </c>
      <c r="F412" s="6" t="s">
        <v>46</v>
      </c>
      <c r="G412" s="6" t="s">
        <v>100</v>
      </c>
      <c r="H412" s="7">
        <v>3527.0</v>
      </c>
      <c r="I412" s="7">
        <v>3709.0</v>
      </c>
      <c r="J412" s="6">
        <v>1976.0</v>
      </c>
      <c r="K412" s="6">
        <v>77.0</v>
      </c>
      <c r="L412" s="6" t="s">
        <v>32</v>
      </c>
      <c r="M412" s="6" t="s">
        <v>1690</v>
      </c>
      <c r="N412" s="6" t="s">
        <v>64</v>
      </c>
      <c r="O412" s="6" t="s">
        <v>25</v>
      </c>
      <c r="P412" s="6">
        <f>COUNTIF(Analysis!$M$1:$M$3001,Analysis!$M412)</f>
        <v>1</v>
      </c>
      <c r="Q412" s="6" t="str">
        <f>IF(COUNTIF(Analysis!$M$2:$M$3001,Analysis!$M412)&gt;1,"Duplicate","OK")</f>
        <v>OK</v>
      </c>
      <c r="R412" s="6" t="str">
        <f t="shared" si="1"/>
        <v>2600-3600</v>
      </c>
      <c r="S412" s="6">
        <f t="shared" si="2"/>
        <v>50</v>
      </c>
      <c r="T412" s="6" t="str">
        <f t="shared" si="3"/>
        <v>Old</v>
      </c>
    </row>
    <row r="413" ht="14.25" customHeight="1">
      <c r="A413" s="5">
        <v>324492.0</v>
      </c>
      <c r="B413" s="6" t="s">
        <v>333</v>
      </c>
      <c r="C413" s="6" t="s">
        <v>29</v>
      </c>
      <c r="D413" s="6">
        <v>78532.0</v>
      </c>
      <c r="E413" s="6" t="s">
        <v>77</v>
      </c>
      <c r="F413" s="6" t="s">
        <v>46</v>
      </c>
      <c r="G413" s="6" t="s">
        <v>31</v>
      </c>
      <c r="H413" s="7">
        <v>3618.0</v>
      </c>
      <c r="I413" s="7">
        <v>4317.0</v>
      </c>
      <c r="J413" s="6">
        <v>1998.0</v>
      </c>
      <c r="K413" s="6">
        <v>116.0</v>
      </c>
      <c r="L413" s="6" t="s">
        <v>32</v>
      </c>
      <c r="M413" s="6" t="s">
        <v>334</v>
      </c>
      <c r="N413" s="6" t="s">
        <v>24</v>
      </c>
      <c r="O413" s="6" t="s">
        <v>35</v>
      </c>
      <c r="P413" s="6">
        <f>COUNTIF(Analysis!$M$1:$M$3001,Analysis!$M73)</f>
        <v>1</v>
      </c>
      <c r="Q413" s="6" t="str">
        <f>IF(COUNTIF(Analysis!$M$2:$M$3001,Analysis!$M73)&gt;1,"Duplicate","OK")</f>
        <v>OK</v>
      </c>
      <c r="R413" s="6" t="str">
        <f t="shared" si="1"/>
        <v>3600+</v>
      </c>
      <c r="S413" s="6">
        <f t="shared" si="2"/>
        <v>28</v>
      </c>
      <c r="T413" s="6" t="str">
        <f t="shared" si="3"/>
        <v>Mid</v>
      </c>
    </row>
    <row r="414" ht="14.25" customHeight="1">
      <c r="A414" s="5">
        <v>389699.0</v>
      </c>
      <c r="B414" s="6" t="s">
        <v>1697</v>
      </c>
      <c r="C414" s="6" t="s">
        <v>53</v>
      </c>
      <c r="D414" s="6">
        <v>79617.0</v>
      </c>
      <c r="E414" s="6" t="s">
        <v>60</v>
      </c>
      <c r="F414" s="6" t="s">
        <v>41</v>
      </c>
      <c r="G414" s="6" t="s">
        <v>21</v>
      </c>
      <c r="H414" s="7">
        <v>1769.0</v>
      </c>
      <c r="I414" s="7">
        <v>8386.0</v>
      </c>
      <c r="J414" s="6">
        <v>1991.0</v>
      </c>
      <c r="K414" s="6">
        <v>115.0</v>
      </c>
      <c r="L414" s="6" t="s">
        <v>22</v>
      </c>
      <c r="M414" s="6" t="s">
        <v>1698</v>
      </c>
      <c r="N414" s="6" t="s">
        <v>64</v>
      </c>
      <c r="O414" s="6" t="s">
        <v>35</v>
      </c>
      <c r="P414" s="6">
        <f>COUNTIF(Analysis!$M$1:$M$3001,Analysis!$M414)</f>
        <v>1</v>
      </c>
      <c r="Q414" s="6" t="str">
        <f>IF(COUNTIF(Analysis!$M$2:$M$3001,Analysis!$M414)&gt;1,"Duplicate","OK")</f>
        <v>OK</v>
      </c>
      <c r="R414" s="6" t="str">
        <f t="shared" si="1"/>
        <v>1600-2600</v>
      </c>
      <c r="S414" s="6">
        <f t="shared" si="2"/>
        <v>35</v>
      </c>
      <c r="T414" s="6" t="str">
        <f t="shared" si="3"/>
        <v>Old</v>
      </c>
    </row>
    <row r="415" ht="14.25" customHeight="1">
      <c r="A415" s="5">
        <v>1045885.0</v>
      </c>
      <c r="B415" s="6" t="s">
        <v>1701</v>
      </c>
      <c r="C415" s="6" t="s">
        <v>39</v>
      </c>
      <c r="D415" s="6">
        <v>63418.0</v>
      </c>
      <c r="E415" s="6" t="s">
        <v>19</v>
      </c>
      <c r="F415" s="6" t="s">
        <v>54</v>
      </c>
      <c r="G415" s="6" t="s">
        <v>21</v>
      </c>
      <c r="H415" s="7">
        <v>3923.0</v>
      </c>
      <c r="I415" s="7">
        <v>7449.0</v>
      </c>
      <c r="J415" s="6">
        <v>1978.0</v>
      </c>
      <c r="K415" s="6">
        <v>95.0</v>
      </c>
      <c r="L415" s="6" t="s">
        <v>95</v>
      </c>
      <c r="M415" s="6" t="s">
        <v>1702</v>
      </c>
      <c r="N415" s="6" t="s">
        <v>43</v>
      </c>
      <c r="O415" s="6" t="s">
        <v>49</v>
      </c>
      <c r="P415" s="6">
        <f>COUNTIF(Analysis!$M$1:$M$3001,Analysis!$M415)</f>
        <v>1</v>
      </c>
      <c r="Q415" s="6" t="str">
        <f>IF(COUNTIF(Analysis!$M$2:$M$3001,Analysis!$M415)&gt;1,"Duplicate","OK")</f>
        <v>OK</v>
      </c>
      <c r="R415" s="6" t="str">
        <f t="shared" si="1"/>
        <v>3600+</v>
      </c>
      <c r="S415" s="6">
        <f t="shared" si="2"/>
        <v>48</v>
      </c>
      <c r="T415" s="6" t="str">
        <f t="shared" si="3"/>
        <v>Old</v>
      </c>
    </row>
    <row r="416" ht="14.25" customHeight="1">
      <c r="A416" s="5">
        <v>326480.0</v>
      </c>
      <c r="B416" s="6" t="s">
        <v>10299</v>
      </c>
      <c r="C416" s="6" t="s">
        <v>29</v>
      </c>
      <c r="D416" s="6">
        <v>85872.0</v>
      </c>
      <c r="E416" s="6" t="s">
        <v>40</v>
      </c>
      <c r="F416" s="6" t="s">
        <v>20</v>
      </c>
      <c r="G416" s="6" t="s">
        <v>21</v>
      </c>
      <c r="H416" s="7">
        <v>1885.0</v>
      </c>
      <c r="I416" s="7">
        <v>4141.0</v>
      </c>
      <c r="J416" s="6">
        <v>2021.0</v>
      </c>
      <c r="K416" s="6">
        <v>19.0</v>
      </c>
      <c r="L416" s="6" t="s">
        <v>32</v>
      </c>
      <c r="M416" s="6" t="s">
        <v>10300</v>
      </c>
      <c r="N416" s="6" t="s">
        <v>64</v>
      </c>
      <c r="O416" s="6" t="s">
        <v>25</v>
      </c>
      <c r="P416" s="6">
        <f>COUNTIF(Analysis!$M$1:$M$3001,Analysis!$M2566)</f>
        <v>1</v>
      </c>
      <c r="Q416" s="6" t="str">
        <f>IF(COUNTIF(Analysis!$M$2:$M$3001,Analysis!$M2566)&gt;1,"Duplicate","OK")</f>
        <v>OK</v>
      </c>
      <c r="R416" s="6" t="str">
        <f t="shared" si="1"/>
        <v>1600-2600</v>
      </c>
      <c r="S416" s="6">
        <f t="shared" si="2"/>
        <v>5</v>
      </c>
      <c r="T416" s="6" t="str">
        <f t="shared" si="3"/>
        <v>New</v>
      </c>
    </row>
    <row r="417" ht="14.25" customHeight="1">
      <c r="A417" s="5">
        <v>1112286.0</v>
      </c>
      <c r="B417" s="6" t="s">
        <v>1709</v>
      </c>
      <c r="C417" s="6" t="s">
        <v>18</v>
      </c>
      <c r="D417" s="6">
        <v>16283.0</v>
      </c>
      <c r="E417" s="6" t="s">
        <v>19</v>
      </c>
      <c r="F417" s="6" t="s">
        <v>20</v>
      </c>
      <c r="G417" s="6" t="s">
        <v>100</v>
      </c>
      <c r="H417" s="7">
        <v>3232.0</v>
      </c>
      <c r="I417" s="7">
        <v>6832.0</v>
      </c>
      <c r="J417" s="6">
        <v>2000.0</v>
      </c>
      <c r="K417" s="6">
        <v>48.0</v>
      </c>
      <c r="L417" s="6" t="s">
        <v>22</v>
      </c>
      <c r="M417" s="6" t="s">
        <v>1710</v>
      </c>
      <c r="N417" s="6" t="s">
        <v>48</v>
      </c>
      <c r="O417" s="6" t="s">
        <v>25</v>
      </c>
      <c r="P417" s="6">
        <f>COUNTIF(Analysis!$M$1:$M$3001,Analysis!$M417)</f>
        <v>1</v>
      </c>
      <c r="Q417" s="6" t="str">
        <f>IF(COUNTIF(Analysis!$M$2:$M$3001,Analysis!$M417)&gt;1,"Duplicate","OK")</f>
        <v>OK</v>
      </c>
      <c r="R417" s="6" t="str">
        <f t="shared" si="1"/>
        <v>2600-3600</v>
      </c>
      <c r="S417" s="6">
        <f t="shared" si="2"/>
        <v>26</v>
      </c>
      <c r="T417" s="6" t="str">
        <f t="shared" si="3"/>
        <v>Mid</v>
      </c>
    </row>
    <row r="418" ht="14.25" customHeight="1">
      <c r="A418" s="5">
        <v>1477628.0</v>
      </c>
      <c r="B418" s="6" t="s">
        <v>1713</v>
      </c>
      <c r="C418" s="6" t="s">
        <v>53</v>
      </c>
      <c r="D418" s="6">
        <v>79047.0</v>
      </c>
      <c r="E418" s="6" t="s">
        <v>19</v>
      </c>
      <c r="F418" s="6" t="s">
        <v>20</v>
      </c>
      <c r="G418" s="6" t="s">
        <v>31</v>
      </c>
      <c r="H418" s="7">
        <v>2062.0</v>
      </c>
      <c r="I418" s="7">
        <v>4344.0</v>
      </c>
      <c r="J418" s="6">
        <v>1956.0</v>
      </c>
      <c r="K418" s="6">
        <v>69.0</v>
      </c>
      <c r="L418" s="6" t="s">
        <v>141</v>
      </c>
      <c r="M418" s="6" t="s">
        <v>1714</v>
      </c>
      <c r="N418" s="6" t="s">
        <v>24</v>
      </c>
      <c r="O418" s="6" t="s">
        <v>35</v>
      </c>
      <c r="P418" s="6">
        <f>COUNTIF(Analysis!$M$1:$M$3001,Analysis!$M418)</f>
        <v>1</v>
      </c>
      <c r="Q418" s="6" t="str">
        <f>IF(COUNTIF(Analysis!$M$2:$M$3001,Analysis!$M418)&gt;1,"Duplicate","OK")</f>
        <v>OK</v>
      </c>
      <c r="R418" s="6" t="str">
        <f t="shared" si="1"/>
        <v>1600-2600</v>
      </c>
      <c r="S418" s="6">
        <f t="shared" si="2"/>
        <v>70</v>
      </c>
      <c r="T418" s="6" t="str">
        <f t="shared" si="3"/>
        <v>Very Old</v>
      </c>
    </row>
    <row r="419" ht="14.25" customHeight="1">
      <c r="A419" s="5">
        <v>353344.0</v>
      </c>
      <c r="B419" s="6" t="s">
        <v>1717</v>
      </c>
      <c r="C419" s="6" t="s">
        <v>39</v>
      </c>
      <c r="D419" s="6">
        <v>75930.0</v>
      </c>
      <c r="E419" s="6" t="s">
        <v>77</v>
      </c>
      <c r="F419" s="6" t="s">
        <v>61</v>
      </c>
      <c r="G419" s="6" t="s">
        <v>31</v>
      </c>
      <c r="H419" s="7">
        <v>1447.0</v>
      </c>
      <c r="I419" s="7">
        <v>1695.0</v>
      </c>
      <c r="J419" s="6">
        <v>1991.0</v>
      </c>
      <c r="K419" s="6">
        <v>72.0</v>
      </c>
      <c r="L419" s="6" t="s">
        <v>141</v>
      </c>
      <c r="M419" s="6" t="s">
        <v>1718</v>
      </c>
      <c r="N419" s="6" t="s">
        <v>48</v>
      </c>
      <c r="O419" s="6" t="s">
        <v>49</v>
      </c>
      <c r="P419" s="6">
        <f>COUNTIF(Analysis!$M$1:$M$3001,Analysis!$M419)</f>
        <v>1</v>
      </c>
      <c r="Q419" s="6" t="str">
        <f>IF(COUNTIF(Analysis!$M$2:$M$3001,Analysis!$M419)&gt;1,"Duplicate","OK")</f>
        <v>OK</v>
      </c>
      <c r="R419" s="6" t="str">
        <f t="shared" si="1"/>
        <v>600-1600</v>
      </c>
      <c r="S419" s="6">
        <f t="shared" si="2"/>
        <v>35</v>
      </c>
      <c r="T419" s="6" t="str">
        <f t="shared" si="3"/>
        <v>Old</v>
      </c>
    </row>
    <row r="420" ht="14.25" customHeight="1">
      <c r="A420" s="5">
        <v>299777.0</v>
      </c>
      <c r="B420" s="6" t="s">
        <v>1721</v>
      </c>
      <c r="C420" s="6" t="s">
        <v>76</v>
      </c>
      <c r="D420" s="6">
        <v>36162.0</v>
      </c>
      <c r="E420" s="6" t="s">
        <v>30</v>
      </c>
      <c r="F420" s="6" t="s">
        <v>46</v>
      </c>
      <c r="G420" s="6" t="s">
        <v>21</v>
      </c>
      <c r="H420" s="7">
        <v>2909.0</v>
      </c>
      <c r="I420" s="7">
        <v>5883.0</v>
      </c>
      <c r="J420" s="6">
        <v>1985.0</v>
      </c>
      <c r="K420" s="6">
        <v>103.0</v>
      </c>
      <c r="L420" s="6" t="s">
        <v>32</v>
      </c>
      <c r="M420" s="6" t="s">
        <v>1722</v>
      </c>
      <c r="N420" s="6" t="s">
        <v>64</v>
      </c>
      <c r="O420" s="6" t="s">
        <v>25</v>
      </c>
      <c r="P420" s="6">
        <f>COUNTIF(Analysis!$M$1:$M$3001,Analysis!$M420)</f>
        <v>1</v>
      </c>
      <c r="Q420" s="6" t="str">
        <f>IF(COUNTIF(Analysis!$M$2:$M$3001,Analysis!$M420)&gt;1,"Duplicate","OK")</f>
        <v>OK</v>
      </c>
      <c r="R420" s="6" t="str">
        <f t="shared" si="1"/>
        <v>2600-3600</v>
      </c>
      <c r="S420" s="6">
        <f t="shared" si="2"/>
        <v>41</v>
      </c>
      <c r="T420" s="6" t="str">
        <f t="shared" si="3"/>
        <v>Old</v>
      </c>
    </row>
    <row r="421" ht="14.25" customHeight="1">
      <c r="A421" s="5">
        <v>1200545.0</v>
      </c>
      <c r="B421" s="6" t="s">
        <v>1725</v>
      </c>
      <c r="C421" s="6" t="s">
        <v>18</v>
      </c>
      <c r="D421" s="6">
        <v>99323.0</v>
      </c>
      <c r="E421" s="6" t="s">
        <v>19</v>
      </c>
      <c r="F421" s="6" t="s">
        <v>41</v>
      </c>
      <c r="G421" s="6" t="s">
        <v>55</v>
      </c>
      <c r="H421" s="7">
        <v>609.0</v>
      </c>
      <c r="I421" s="7">
        <v>6010.0</v>
      </c>
      <c r="J421" s="6">
        <v>1976.0</v>
      </c>
      <c r="K421" s="6">
        <v>107.0</v>
      </c>
      <c r="L421" s="6" t="s">
        <v>141</v>
      </c>
      <c r="M421" s="6" t="s">
        <v>1726</v>
      </c>
      <c r="N421" s="6" t="s">
        <v>48</v>
      </c>
      <c r="O421" s="6" t="s">
        <v>25</v>
      </c>
      <c r="P421" s="6">
        <f>COUNTIF(Analysis!$M$1:$M$3001,Analysis!$M421)</f>
        <v>1</v>
      </c>
      <c r="Q421" s="6" t="str">
        <f>IF(COUNTIF(Analysis!$M$2:$M$3001,Analysis!$M421)&gt;1,"Duplicate","OK")</f>
        <v>OK</v>
      </c>
      <c r="R421" s="6" t="str">
        <f t="shared" si="1"/>
        <v>600-1600</v>
      </c>
      <c r="S421" s="6">
        <f t="shared" si="2"/>
        <v>50</v>
      </c>
      <c r="T421" s="6" t="str">
        <f t="shared" si="3"/>
        <v>Old</v>
      </c>
    </row>
    <row r="422" ht="14.25" customHeight="1">
      <c r="A422" s="5">
        <v>453846.0</v>
      </c>
      <c r="B422" s="6" t="s">
        <v>1729</v>
      </c>
      <c r="C422" s="6" t="s">
        <v>76</v>
      </c>
      <c r="D422" s="6">
        <v>82910.0</v>
      </c>
      <c r="E422" s="6" t="s">
        <v>19</v>
      </c>
      <c r="F422" s="6" t="s">
        <v>94</v>
      </c>
      <c r="G422" s="6" t="s">
        <v>31</v>
      </c>
      <c r="H422" s="7">
        <v>3562.0</v>
      </c>
      <c r="I422" s="7">
        <v>1356.0</v>
      </c>
      <c r="J422" s="6">
        <v>1998.0</v>
      </c>
      <c r="K422" s="6">
        <v>106.0</v>
      </c>
      <c r="L422" s="6" t="s">
        <v>62</v>
      </c>
      <c r="M422" s="6" t="s">
        <v>1730</v>
      </c>
      <c r="N422" s="6" t="s">
        <v>34</v>
      </c>
      <c r="O422" s="6" t="s">
        <v>49</v>
      </c>
      <c r="P422" s="6">
        <f>COUNTIF(Analysis!$M$1:$M$3001,Analysis!$M422)</f>
        <v>1</v>
      </c>
      <c r="Q422" s="6" t="str">
        <f>IF(COUNTIF(Analysis!$M$2:$M$3001,Analysis!$M422)&gt;1,"Duplicate","OK")</f>
        <v>OK</v>
      </c>
      <c r="R422" s="6" t="str">
        <f t="shared" si="1"/>
        <v>2600-3600</v>
      </c>
      <c r="S422" s="6">
        <f t="shared" si="2"/>
        <v>28</v>
      </c>
      <c r="T422" s="6" t="str">
        <f t="shared" si="3"/>
        <v>Mid</v>
      </c>
    </row>
    <row r="423" ht="14.25" customHeight="1">
      <c r="A423" s="5">
        <v>1309279.0</v>
      </c>
      <c r="B423" s="6" t="s">
        <v>1733</v>
      </c>
      <c r="C423" s="6" t="s">
        <v>18</v>
      </c>
      <c r="D423" s="6">
        <v>65593.0</v>
      </c>
      <c r="E423" s="6" t="s">
        <v>77</v>
      </c>
      <c r="F423" s="6" t="s">
        <v>61</v>
      </c>
      <c r="G423" s="6" t="s">
        <v>55</v>
      </c>
      <c r="H423" s="7">
        <v>2744.0</v>
      </c>
      <c r="I423" s="7">
        <v>9418.0</v>
      </c>
      <c r="J423" s="6">
        <v>1962.0</v>
      </c>
      <c r="K423" s="6">
        <v>54.0</v>
      </c>
      <c r="L423" s="6" t="s">
        <v>141</v>
      </c>
      <c r="M423" s="6" t="s">
        <v>1734</v>
      </c>
      <c r="N423" s="6" t="s">
        <v>64</v>
      </c>
      <c r="O423" s="6" t="s">
        <v>49</v>
      </c>
      <c r="P423" s="6">
        <f>COUNTIF(Analysis!$M$1:$M$3001,Analysis!$M423)</f>
        <v>1</v>
      </c>
      <c r="Q423" s="6" t="str">
        <f>IF(COUNTIF(Analysis!$M$2:$M$3001,Analysis!$M423)&gt;1,"Duplicate","OK")</f>
        <v>OK</v>
      </c>
      <c r="R423" s="6" t="str">
        <f t="shared" si="1"/>
        <v>2600-3600</v>
      </c>
      <c r="S423" s="6">
        <f t="shared" si="2"/>
        <v>64</v>
      </c>
      <c r="T423" s="6" t="str">
        <f t="shared" si="3"/>
        <v>Very Old</v>
      </c>
    </row>
    <row r="424" ht="14.25" customHeight="1">
      <c r="A424" s="5">
        <v>294270.0</v>
      </c>
      <c r="B424" s="6" t="s">
        <v>1737</v>
      </c>
      <c r="C424" s="6" t="s">
        <v>39</v>
      </c>
      <c r="D424" s="6">
        <v>18285.0</v>
      </c>
      <c r="E424" s="6" t="s">
        <v>77</v>
      </c>
      <c r="F424" s="6" t="s">
        <v>41</v>
      </c>
      <c r="G424" s="6" t="s">
        <v>31</v>
      </c>
      <c r="H424" s="7">
        <v>3177.0</v>
      </c>
      <c r="I424" s="7">
        <v>2119.0</v>
      </c>
      <c r="J424" s="6">
        <v>1966.0</v>
      </c>
      <c r="K424" s="6">
        <v>92.0</v>
      </c>
      <c r="L424" s="6" t="s">
        <v>22</v>
      </c>
      <c r="M424" s="6" t="s">
        <v>1738</v>
      </c>
      <c r="N424" s="6" t="s">
        <v>43</v>
      </c>
      <c r="O424" s="6" t="s">
        <v>35</v>
      </c>
      <c r="P424" s="6">
        <f>COUNTIF(Analysis!$M$1:$M$3001,Analysis!$M424)</f>
        <v>1</v>
      </c>
      <c r="Q424" s="6" t="str">
        <f>IF(COUNTIF(Analysis!$M$2:$M$3001,Analysis!$M424)&gt;1,"Duplicate","OK")</f>
        <v>OK</v>
      </c>
      <c r="R424" s="6" t="str">
        <f t="shared" si="1"/>
        <v>2600-3600</v>
      </c>
      <c r="S424" s="6">
        <f t="shared" si="2"/>
        <v>60</v>
      </c>
      <c r="T424" s="6" t="str">
        <f t="shared" si="3"/>
        <v>Old</v>
      </c>
    </row>
    <row r="425" ht="14.25" customHeight="1">
      <c r="A425" s="5">
        <v>227369.0</v>
      </c>
      <c r="B425" s="6" t="s">
        <v>1741</v>
      </c>
      <c r="C425" s="6" t="s">
        <v>76</v>
      </c>
      <c r="D425" s="6">
        <v>67839.0</v>
      </c>
      <c r="E425" s="6" t="s">
        <v>60</v>
      </c>
      <c r="F425" s="6" t="s">
        <v>54</v>
      </c>
      <c r="G425" s="6" t="s">
        <v>55</v>
      </c>
      <c r="H425" s="7">
        <v>1445.0</v>
      </c>
      <c r="I425" s="7">
        <v>9511.0</v>
      </c>
      <c r="J425" s="6">
        <v>1955.0</v>
      </c>
      <c r="K425" s="6">
        <v>50.0</v>
      </c>
      <c r="L425" s="6" t="s">
        <v>95</v>
      </c>
      <c r="M425" s="6" t="s">
        <v>1742</v>
      </c>
      <c r="N425" s="6" t="s">
        <v>64</v>
      </c>
      <c r="O425" s="6" t="s">
        <v>35</v>
      </c>
      <c r="P425" s="6">
        <f>COUNTIF(Analysis!$M$1:$M$3001,Analysis!$M425)</f>
        <v>1</v>
      </c>
      <c r="Q425" s="6" t="str">
        <f>IF(COUNTIF(Analysis!$M$2:$M$3001,Analysis!$M425)&gt;1,"Duplicate","OK")</f>
        <v>OK</v>
      </c>
      <c r="R425" s="6" t="str">
        <f t="shared" si="1"/>
        <v>600-1600</v>
      </c>
      <c r="S425" s="6">
        <f t="shared" si="2"/>
        <v>71</v>
      </c>
      <c r="T425" s="6" t="str">
        <f t="shared" si="3"/>
        <v>Very Old</v>
      </c>
    </row>
    <row r="426" ht="14.25" customHeight="1">
      <c r="A426" s="5">
        <v>1079451.0</v>
      </c>
      <c r="B426" s="6" t="s">
        <v>1745</v>
      </c>
      <c r="C426" s="6" t="s">
        <v>76</v>
      </c>
      <c r="D426" s="6">
        <v>59594.0</v>
      </c>
      <c r="E426" s="6" t="s">
        <v>40</v>
      </c>
      <c r="F426" s="6" t="s">
        <v>20</v>
      </c>
      <c r="G426" s="6" t="s">
        <v>55</v>
      </c>
      <c r="H426" s="7">
        <v>2935.0</v>
      </c>
      <c r="I426" s="7">
        <v>8912.0</v>
      </c>
      <c r="J426" s="6">
        <v>1971.0</v>
      </c>
      <c r="K426" s="6">
        <v>64.0</v>
      </c>
      <c r="L426" s="6" t="s">
        <v>95</v>
      </c>
      <c r="M426" s="6" t="s">
        <v>1746</v>
      </c>
      <c r="N426" s="6" t="s">
        <v>48</v>
      </c>
      <c r="O426" s="6" t="s">
        <v>49</v>
      </c>
      <c r="P426" s="6">
        <f>COUNTIF(Analysis!$M$1:$M$3001,Analysis!$M426)</f>
        <v>1</v>
      </c>
      <c r="Q426" s="6" t="str">
        <f>IF(COUNTIF(Analysis!$M$2:$M$3001,Analysis!$M426)&gt;1,"Duplicate","OK")</f>
        <v>OK</v>
      </c>
      <c r="R426" s="6" t="str">
        <f t="shared" si="1"/>
        <v>2600-3600</v>
      </c>
      <c r="S426" s="6">
        <f t="shared" si="2"/>
        <v>55</v>
      </c>
      <c r="T426" s="6" t="str">
        <f t="shared" si="3"/>
        <v>Old</v>
      </c>
    </row>
    <row r="427" ht="14.25" customHeight="1">
      <c r="A427" s="5">
        <v>811641.0</v>
      </c>
      <c r="B427" s="6" t="s">
        <v>1749</v>
      </c>
      <c r="C427" s="6" t="s">
        <v>39</v>
      </c>
      <c r="D427" s="6">
        <v>23393.0</v>
      </c>
      <c r="E427" s="6" t="s">
        <v>19</v>
      </c>
      <c r="F427" s="6" t="s">
        <v>41</v>
      </c>
      <c r="G427" s="6" t="s">
        <v>21</v>
      </c>
      <c r="H427" s="7">
        <v>3136.0</v>
      </c>
      <c r="I427" s="7">
        <v>6378.0</v>
      </c>
      <c r="J427" s="6">
        <v>1959.0</v>
      </c>
      <c r="K427" s="6">
        <v>105.0</v>
      </c>
      <c r="L427" s="6" t="s">
        <v>32</v>
      </c>
      <c r="M427" s="6" t="s">
        <v>1750</v>
      </c>
      <c r="N427" s="6" t="s">
        <v>34</v>
      </c>
      <c r="O427" s="6" t="s">
        <v>49</v>
      </c>
      <c r="P427" s="6">
        <f>COUNTIF(Analysis!$M$1:$M$3001,Analysis!$M427)</f>
        <v>1</v>
      </c>
      <c r="Q427" s="6" t="str">
        <f>IF(COUNTIF(Analysis!$M$2:$M$3001,Analysis!$M427)&gt;1,"Duplicate","OK")</f>
        <v>OK</v>
      </c>
      <c r="R427" s="6" t="str">
        <f t="shared" si="1"/>
        <v>2600-3600</v>
      </c>
      <c r="S427" s="6">
        <f t="shared" si="2"/>
        <v>67</v>
      </c>
      <c r="T427" s="6" t="str">
        <f t="shared" si="3"/>
        <v>Very Old</v>
      </c>
    </row>
    <row r="428" ht="14.25" customHeight="1">
      <c r="A428" s="5">
        <v>1206970.0</v>
      </c>
      <c r="B428" s="6" t="s">
        <v>1753</v>
      </c>
      <c r="C428" s="6" t="s">
        <v>39</v>
      </c>
      <c r="D428" s="6">
        <v>76728.0</v>
      </c>
      <c r="E428" s="6" t="s">
        <v>30</v>
      </c>
      <c r="F428" s="6" t="s">
        <v>94</v>
      </c>
      <c r="G428" s="6" t="s">
        <v>55</v>
      </c>
      <c r="H428" s="7">
        <v>3322.0</v>
      </c>
      <c r="I428" s="7">
        <v>4428.0</v>
      </c>
      <c r="J428" s="6">
        <v>2011.0</v>
      </c>
      <c r="K428" s="6">
        <v>26.0</v>
      </c>
      <c r="L428" s="6" t="s">
        <v>62</v>
      </c>
      <c r="M428" s="6" t="s">
        <v>1754</v>
      </c>
      <c r="N428" s="6" t="s">
        <v>48</v>
      </c>
      <c r="O428" s="6" t="s">
        <v>25</v>
      </c>
      <c r="P428" s="6">
        <f>COUNTIF(Analysis!$M$1:$M$3001,Analysis!$M428)</f>
        <v>1</v>
      </c>
      <c r="Q428" s="6" t="str">
        <f>IF(COUNTIF(Analysis!$M$2:$M$3001,Analysis!$M428)&gt;1,"Duplicate","OK")</f>
        <v>OK</v>
      </c>
      <c r="R428" s="6" t="str">
        <f t="shared" si="1"/>
        <v>2600-3600</v>
      </c>
      <c r="S428" s="6">
        <f t="shared" si="2"/>
        <v>15</v>
      </c>
      <c r="T428" s="6" t="str">
        <f t="shared" si="3"/>
        <v>Mid</v>
      </c>
    </row>
    <row r="429" ht="14.25" customHeight="1">
      <c r="A429" s="5">
        <v>359738.0</v>
      </c>
      <c r="B429" s="6" t="s">
        <v>1757</v>
      </c>
      <c r="C429" s="6" t="s">
        <v>76</v>
      </c>
      <c r="D429" s="6">
        <v>20376.0</v>
      </c>
      <c r="E429" s="6" t="s">
        <v>40</v>
      </c>
      <c r="F429" s="6" t="s">
        <v>54</v>
      </c>
      <c r="G429" s="6" t="s">
        <v>31</v>
      </c>
      <c r="H429" s="7">
        <v>874.0</v>
      </c>
      <c r="I429" s="7">
        <v>5835.0</v>
      </c>
      <c r="J429" s="6">
        <v>1975.0</v>
      </c>
      <c r="K429" s="6">
        <v>49.0</v>
      </c>
      <c r="L429" s="6" t="s">
        <v>22</v>
      </c>
      <c r="M429" s="6" t="s">
        <v>1758</v>
      </c>
      <c r="N429" s="6" t="s">
        <v>48</v>
      </c>
      <c r="O429" s="6" t="s">
        <v>35</v>
      </c>
      <c r="P429" s="6">
        <f>COUNTIF(Analysis!$M$1:$M$3001,Analysis!$M429)</f>
        <v>1</v>
      </c>
      <c r="Q429" s="6" t="str">
        <f>IF(COUNTIF(Analysis!$M$2:$M$3001,Analysis!$M429)&gt;1,"Duplicate","OK")</f>
        <v>OK</v>
      </c>
      <c r="R429" s="6" t="str">
        <f t="shared" si="1"/>
        <v>600-1600</v>
      </c>
      <c r="S429" s="6">
        <f t="shared" si="2"/>
        <v>51</v>
      </c>
      <c r="T429" s="6" t="str">
        <f t="shared" si="3"/>
        <v>Old</v>
      </c>
    </row>
    <row r="430" ht="14.25" customHeight="1">
      <c r="A430" s="5">
        <v>328074.0</v>
      </c>
      <c r="B430" s="6" t="s">
        <v>3291</v>
      </c>
      <c r="C430" s="6" t="s">
        <v>29</v>
      </c>
      <c r="D430" s="6">
        <v>94175.0</v>
      </c>
      <c r="E430" s="6" t="s">
        <v>19</v>
      </c>
      <c r="F430" s="6" t="s">
        <v>41</v>
      </c>
      <c r="G430" s="6" t="s">
        <v>55</v>
      </c>
      <c r="H430" s="7">
        <v>1462.0</v>
      </c>
      <c r="I430" s="7">
        <v>5688.0</v>
      </c>
      <c r="J430" s="6">
        <v>2009.0</v>
      </c>
      <c r="K430" s="6">
        <v>110.0</v>
      </c>
      <c r="L430" s="6" t="s">
        <v>95</v>
      </c>
      <c r="M430" s="6" t="s">
        <v>3292</v>
      </c>
      <c r="N430" s="6" t="s">
        <v>24</v>
      </c>
      <c r="O430" s="6" t="s">
        <v>35</v>
      </c>
      <c r="P430" s="6">
        <f>COUNTIF(Analysis!$M$1:$M$3001,Analysis!$M813)</f>
        <v>1</v>
      </c>
      <c r="Q430" s="6" t="str">
        <f>IF(COUNTIF(Analysis!$M$2:$M$3001,Analysis!$M813)&gt;1,"Duplicate","OK")</f>
        <v>OK</v>
      </c>
      <c r="R430" s="6" t="str">
        <f t="shared" si="1"/>
        <v>600-1600</v>
      </c>
      <c r="S430" s="6">
        <f t="shared" si="2"/>
        <v>17</v>
      </c>
      <c r="T430" s="6" t="str">
        <f t="shared" si="3"/>
        <v>Mid</v>
      </c>
    </row>
    <row r="431" ht="14.25" customHeight="1">
      <c r="A431" s="5">
        <v>1496467.0</v>
      </c>
      <c r="B431" s="6" t="s">
        <v>1765</v>
      </c>
      <c r="C431" s="6" t="s">
        <v>53</v>
      </c>
      <c r="D431" s="6">
        <v>21826.0</v>
      </c>
      <c r="E431" s="6" t="s">
        <v>60</v>
      </c>
      <c r="F431" s="6" t="s">
        <v>46</v>
      </c>
      <c r="G431" s="6" t="s">
        <v>100</v>
      </c>
      <c r="H431" s="7">
        <v>1160.0</v>
      </c>
      <c r="I431" s="7">
        <v>5936.0</v>
      </c>
      <c r="J431" s="6">
        <v>1987.0</v>
      </c>
      <c r="K431" s="6">
        <v>27.0</v>
      </c>
      <c r="L431" s="6" t="s">
        <v>32</v>
      </c>
      <c r="M431" s="6" t="s">
        <v>1766</v>
      </c>
      <c r="N431" s="6" t="s">
        <v>24</v>
      </c>
      <c r="O431" s="6" t="s">
        <v>25</v>
      </c>
      <c r="P431" s="6">
        <f>COUNTIF(Analysis!$M$1:$M$3001,Analysis!$M431)</f>
        <v>1</v>
      </c>
      <c r="Q431" s="6" t="str">
        <f>IF(COUNTIF(Analysis!$M$2:$M$3001,Analysis!$M431)&gt;1,"Duplicate","OK")</f>
        <v>OK</v>
      </c>
      <c r="R431" s="6" t="str">
        <f t="shared" si="1"/>
        <v>600-1600</v>
      </c>
      <c r="S431" s="6">
        <f t="shared" si="2"/>
        <v>39</v>
      </c>
      <c r="T431" s="6" t="str">
        <f t="shared" si="3"/>
        <v>Old</v>
      </c>
    </row>
    <row r="432" ht="14.25" customHeight="1">
      <c r="A432" s="5">
        <v>1243614.0</v>
      </c>
      <c r="B432" s="6" t="s">
        <v>1769</v>
      </c>
      <c r="C432" s="6" t="s">
        <v>39</v>
      </c>
      <c r="D432" s="6">
        <v>52402.0</v>
      </c>
      <c r="E432" s="6" t="s">
        <v>19</v>
      </c>
      <c r="F432" s="6" t="s">
        <v>41</v>
      </c>
      <c r="G432" s="6" t="s">
        <v>21</v>
      </c>
      <c r="H432" s="7">
        <v>2438.0</v>
      </c>
      <c r="I432" s="7">
        <v>9159.0</v>
      </c>
      <c r="J432" s="6">
        <v>1980.0</v>
      </c>
      <c r="K432" s="6">
        <v>10.0</v>
      </c>
      <c r="L432" s="6" t="s">
        <v>95</v>
      </c>
      <c r="M432" s="6" t="s">
        <v>1770</v>
      </c>
      <c r="N432" s="6" t="s">
        <v>24</v>
      </c>
      <c r="O432" s="6" t="s">
        <v>25</v>
      </c>
      <c r="P432" s="6">
        <f>COUNTIF(Analysis!$M$1:$M$3001,Analysis!$M432)</f>
        <v>1</v>
      </c>
      <c r="Q432" s="6" t="str">
        <f>IF(COUNTIF(Analysis!$M$2:$M$3001,Analysis!$M432)&gt;1,"Duplicate","OK")</f>
        <v>OK</v>
      </c>
      <c r="R432" s="6" t="str">
        <f t="shared" si="1"/>
        <v>1600-2600</v>
      </c>
      <c r="S432" s="6">
        <f t="shared" si="2"/>
        <v>46</v>
      </c>
      <c r="T432" s="6" t="str">
        <f t="shared" si="3"/>
        <v>Old</v>
      </c>
    </row>
    <row r="433" ht="14.25" customHeight="1">
      <c r="A433" s="5">
        <v>328266.0</v>
      </c>
      <c r="B433" s="6" t="s">
        <v>7017</v>
      </c>
      <c r="C433" s="6" t="s">
        <v>29</v>
      </c>
      <c r="D433" s="6">
        <v>39489.0</v>
      </c>
      <c r="E433" s="6" t="s">
        <v>77</v>
      </c>
      <c r="F433" s="6" t="s">
        <v>54</v>
      </c>
      <c r="G433" s="6" t="s">
        <v>31</v>
      </c>
      <c r="H433" s="7">
        <v>849.0</v>
      </c>
      <c r="I433" s="7">
        <v>9306.0</v>
      </c>
      <c r="J433" s="6">
        <v>1963.0</v>
      </c>
      <c r="K433" s="6">
        <v>50.0</v>
      </c>
      <c r="L433" s="6" t="s">
        <v>32</v>
      </c>
      <c r="M433" s="6" t="s">
        <v>7018</v>
      </c>
      <c r="N433" s="6" t="s">
        <v>43</v>
      </c>
      <c r="O433" s="6" t="s">
        <v>49</v>
      </c>
      <c r="P433" s="6">
        <f>COUNTIF(Analysis!$M$1:$M$3001,Analysis!$M1745)</f>
        <v>1</v>
      </c>
      <c r="Q433" s="6" t="str">
        <f>IF(COUNTIF(Analysis!$M$2:$M$3001,Analysis!$M1745)&gt;1,"Duplicate","OK")</f>
        <v>OK</v>
      </c>
      <c r="R433" s="6" t="str">
        <f t="shared" si="1"/>
        <v>600-1600</v>
      </c>
      <c r="S433" s="6">
        <f t="shared" si="2"/>
        <v>63</v>
      </c>
      <c r="T433" s="6" t="str">
        <f t="shared" si="3"/>
        <v>Very Old</v>
      </c>
    </row>
    <row r="434" ht="14.25" customHeight="1">
      <c r="A434" s="5">
        <v>329187.0</v>
      </c>
      <c r="B434" s="6" t="s">
        <v>2903</v>
      </c>
      <c r="C434" s="6" t="s">
        <v>29</v>
      </c>
      <c r="D434" s="6">
        <v>39961.0</v>
      </c>
      <c r="E434" s="6" t="s">
        <v>60</v>
      </c>
      <c r="F434" s="6" t="s">
        <v>94</v>
      </c>
      <c r="G434" s="6" t="s">
        <v>31</v>
      </c>
      <c r="H434" s="7">
        <v>3778.0</v>
      </c>
      <c r="I434" s="7">
        <v>4516.0</v>
      </c>
      <c r="J434" s="6">
        <v>2000.0</v>
      </c>
      <c r="K434" s="6">
        <v>13.0</v>
      </c>
      <c r="L434" s="6" t="s">
        <v>22</v>
      </c>
      <c r="M434" s="6" t="s">
        <v>2904</v>
      </c>
      <c r="N434" s="6" t="s">
        <v>24</v>
      </c>
      <c r="O434" s="6" t="s">
        <v>25</v>
      </c>
      <c r="P434" s="6">
        <f>COUNTIF(Analysis!$M$1:$M$3001,Analysis!$M716)</f>
        <v>1</v>
      </c>
      <c r="Q434" s="6" t="str">
        <f>IF(COUNTIF(Analysis!$M$2:$M$3001,Analysis!$M716)&gt;1,"Duplicate","OK")</f>
        <v>OK</v>
      </c>
      <c r="R434" s="6" t="str">
        <f t="shared" si="1"/>
        <v>3600+</v>
      </c>
      <c r="S434" s="6">
        <f t="shared" si="2"/>
        <v>26</v>
      </c>
      <c r="T434" s="6" t="str">
        <f t="shared" si="3"/>
        <v>Mid</v>
      </c>
    </row>
    <row r="435" ht="14.25" customHeight="1">
      <c r="A435" s="5">
        <v>842454.0</v>
      </c>
      <c r="B435" s="6" t="s">
        <v>1781</v>
      </c>
      <c r="C435" s="6" t="s">
        <v>18</v>
      </c>
      <c r="D435" s="6">
        <v>15718.0</v>
      </c>
      <c r="E435" s="6" t="s">
        <v>60</v>
      </c>
      <c r="F435" s="6" t="s">
        <v>41</v>
      </c>
      <c r="G435" s="6" t="s">
        <v>31</v>
      </c>
      <c r="H435" s="7">
        <v>2295.0</v>
      </c>
      <c r="I435" s="7">
        <v>1487.0</v>
      </c>
      <c r="J435" s="6">
        <v>1995.0</v>
      </c>
      <c r="K435" s="6">
        <v>60.0</v>
      </c>
      <c r="L435" s="6" t="s">
        <v>32</v>
      </c>
      <c r="M435" s="6" t="s">
        <v>1782</v>
      </c>
      <c r="N435" s="6" t="s">
        <v>48</v>
      </c>
      <c r="O435" s="6" t="s">
        <v>49</v>
      </c>
      <c r="P435" s="6">
        <f>COUNTIF(Analysis!$M$1:$M$3001,Analysis!$M435)</f>
        <v>1</v>
      </c>
      <c r="Q435" s="6" t="str">
        <f>IF(COUNTIF(Analysis!$M$2:$M$3001,Analysis!$M435)&gt;1,"Duplicate","OK")</f>
        <v>OK</v>
      </c>
      <c r="R435" s="6" t="str">
        <f t="shared" si="1"/>
        <v>1600-2600</v>
      </c>
      <c r="S435" s="6">
        <f t="shared" si="2"/>
        <v>31</v>
      </c>
      <c r="T435" s="6" t="str">
        <f t="shared" si="3"/>
        <v>Old</v>
      </c>
    </row>
    <row r="436" ht="14.25" customHeight="1">
      <c r="A436" s="5">
        <v>329837.0</v>
      </c>
      <c r="B436" s="6" t="s">
        <v>2344</v>
      </c>
      <c r="C436" s="6" t="s">
        <v>29</v>
      </c>
      <c r="D436" s="6">
        <v>48994.0</v>
      </c>
      <c r="E436" s="6" t="s">
        <v>19</v>
      </c>
      <c r="F436" s="6" t="s">
        <v>20</v>
      </c>
      <c r="G436" s="6" t="s">
        <v>31</v>
      </c>
      <c r="H436" s="7">
        <v>2939.0</v>
      </c>
      <c r="I436" s="7">
        <v>1346.0</v>
      </c>
      <c r="J436" s="6">
        <v>2013.0</v>
      </c>
      <c r="K436" s="6">
        <v>101.0</v>
      </c>
      <c r="L436" s="6" t="s">
        <v>32</v>
      </c>
      <c r="M436" s="6" t="s">
        <v>2345</v>
      </c>
      <c r="N436" s="6" t="s">
        <v>43</v>
      </c>
      <c r="O436" s="6" t="s">
        <v>35</v>
      </c>
      <c r="P436" s="6">
        <f>COUNTIF(Analysis!$M$1:$M$3001,Analysis!$M576)</f>
        <v>1</v>
      </c>
      <c r="Q436" s="6" t="str">
        <f>IF(COUNTIF(Analysis!$M$2:$M$3001,Analysis!$M576)&gt;1,"Duplicate","OK")</f>
        <v>OK</v>
      </c>
      <c r="R436" s="6" t="str">
        <f t="shared" si="1"/>
        <v>2600-3600</v>
      </c>
      <c r="S436" s="6">
        <f t="shared" si="2"/>
        <v>13</v>
      </c>
      <c r="T436" s="6" t="str">
        <f t="shared" si="3"/>
        <v>Mid</v>
      </c>
    </row>
    <row r="437" ht="14.25" customHeight="1">
      <c r="A437" s="5">
        <v>510123.0</v>
      </c>
      <c r="B437" s="6" t="s">
        <v>1789</v>
      </c>
      <c r="C437" s="6" t="s">
        <v>39</v>
      </c>
      <c r="D437" s="6">
        <v>85118.0</v>
      </c>
      <c r="E437" s="6" t="s">
        <v>77</v>
      </c>
      <c r="F437" s="6" t="s">
        <v>46</v>
      </c>
      <c r="G437" s="6" t="s">
        <v>21</v>
      </c>
      <c r="H437" s="7">
        <v>2033.0</v>
      </c>
      <c r="I437" s="7">
        <v>3029.0</v>
      </c>
      <c r="J437" s="6">
        <v>1987.0</v>
      </c>
      <c r="K437" s="6">
        <v>53.0</v>
      </c>
      <c r="L437" s="6" t="s">
        <v>62</v>
      </c>
      <c r="M437" s="6" t="s">
        <v>1790</v>
      </c>
      <c r="N437" s="6" t="s">
        <v>64</v>
      </c>
      <c r="O437" s="6" t="s">
        <v>49</v>
      </c>
      <c r="P437" s="6">
        <f>COUNTIF(Analysis!$M$1:$M$3001,Analysis!$M437)</f>
        <v>1</v>
      </c>
      <c r="Q437" s="6" t="str">
        <f>IF(COUNTIF(Analysis!$M$2:$M$3001,Analysis!$M437)&gt;1,"Duplicate","OK")</f>
        <v>OK</v>
      </c>
      <c r="R437" s="6" t="str">
        <f t="shared" si="1"/>
        <v>1600-2600</v>
      </c>
      <c r="S437" s="6">
        <f t="shared" si="2"/>
        <v>39</v>
      </c>
      <c r="T437" s="6" t="str">
        <f t="shared" si="3"/>
        <v>Old</v>
      </c>
    </row>
    <row r="438" ht="14.25" customHeight="1">
      <c r="A438" s="5">
        <v>1336927.0</v>
      </c>
      <c r="B438" s="6" t="s">
        <v>1793</v>
      </c>
      <c r="C438" s="6" t="s">
        <v>39</v>
      </c>
      <c r="D438" s="6">
        <v>45772.0</v>
      </c>
      <c r="E438" s="6" t="s">
        <v>60</v>
      </c>
      <c r="F438" s="6" t="s">
        <v>41</v>
      </c>
      <c r="G438" s="6" t="s">
        <v>55</v>
      </c>
      <c r="H438" s="7">
        <v>1534.0</v>
      </c>
      <c r="I438" s="7">
        <v>8903.0</v>
      </c>
      <c r="J438" s="6">
        <v>2011.0</v>
      </c>
      <c r="K438" s="6">
        <v>84.0</v>
      </c>
      <c r="L438" s="6" t="s">
        <v>22</v>
      </c>
      <c r="M438" s="6" t="s">
        <v>1794</v>
      </c>
      <c r="N438" s="6" t="s">
        <v>64</v>
      </c>
      <c r="O438" s="6" t="s">
        <v>25</v>
      </c>
      <c r="P438" s="6">
        <f>COUNTIF(Analysis!$M$1:$M$3001,Analysis!$M438)</f>
        <v>1</v>
      </c>
      <c r="Q438" s="6" t="str">
        <f>IF(COUNTIF(Analysis!$M$2:$M$3001,Analysis!$M438)&gt;1,"Duplicate","OK")</f>
        <v>OK</v>
      </c>
      <c r="R438" s="6" t="str">
        <f t="shared" si="1"/>
        <v>600-1600</v>
      </c>
      <c r="S438" s="6">
        <f t="shared" si="2"/>
        <v>15</v>
      </c>
      <c r="T438" s="6" t="str">
        <f t="shared" si="3"/>
        <v>Mid</v>
      </c>
    </row>
    <row r="439" ht="14.25" customHeight="1">
      <c r="A439" s="5">
        <v>1377802.0</v>
      </c>
      <c r="B439" s="6" t="s">
        <v>1797</v>
      </c>
      <c r="C439" s="6" t="s">
        <v>76</v>
      </c>
      <c r="D439" s="6">
        <v>75282.0</v>
      </c>
      <c r="E439" s="6" t="s">
        <v>19</v>
      </c>
      <c r="F439" s="6" t="s">
        <v>94</v>
      </c>
      <c r="G439" s="6" t="s">
        <v>100</v>
      </c>
      <c r="H439" s="7">
        <v>1883.0</v>
      </c>
      <c r="I439" s="7">
        <v>6966.0</v>
      </c>
      <c r="J439" s="6">
        <v>1986.0</v>
      </c>
      <c r="K439" s="6">
        <v>10.0</v>
      </c>
      <c r="L439" s="6" t="s">
        <v>22</v>
      </c>
      <c r="M439" s="6" t="s">
        <v>1798</v>
      </c>
      <c r="N439" s="6" t="s">
        <v>48</v>
      </c>
      <c r="O439" s="6" t="s">
        <v>49</v>
      </c>
      <c r="P439" s="6">
        <f>COUNTIF(Analysis!$M$1:$M$3001,Analysis!$M439)</f>
        <v>1</v>
      </c>
      <c r="Q439" s="6" t="str">
        <f>IF(COUNTIF(Analysis!$M$2:$M$3001,Analysis!$M439)&gt;1,"Duplicate","OK")</f>
        <v>OK</v>
      </c>
      <c r="R439" s="6" t="str">
        <f t="shared" si="1"/>
        <v>1600-2600</v>
      </c>
      <c r="S439" s="6">
        <f t="shared" si="2"/>
        <v>40</v>
      </c>
      <c r="T439" s="6" t="str">
        <f t="shared" si="3"/>
        <v>Old</v>
      </c>
    </row>
    <row r="440" ht="14.25" customHeight="1">
      <c r="A440" s="5">
        <v>287677.0</v>
      </c>
      <c r="B440" s="6" t="s">
        <v>1801</v>
      </c>
      <c r="C440" s="6" t="s">
        <v>18</v>
      </c>
      <c r="D440" s="6">
        <v>31572.0</v>
      </c>
      <c r="E440" s="6" t="s">
        <v>30</v>
      </c>
      <c r="F440" s="6" t="s">
        <v>41</v>
      </c>
      <c r="G440" s="6" t="s">
        <v>31</v>
      </c>
      <c r="H440" s="7">
        <v>3361.0</v>
      </c>
      <c r="I440" s="7">
        <v>8603.0</v>
      </c>
      <c r="J440" s="6">
        <v>1992.0</v>
      </c>
      <c r="K440" s="6">
        <v>27.0</v>
      </c>
      <c r="L440" s="6" t="s">
        <v>141</v>
      </c>
      <c r="M440" s="6" t="s">
        <v>1802</v>
      </c>
      <c r="N440" s="6" t="s">
        <v>48</v>
      </c>
      <c r="O440" s="6" t="s">
        <v>35</v>
      </c>
      <c r="P440" s="6">
        <f>COUNTIF(Analysis!$M$1:$M$3001,Analysis!$M440)</f>
        <v>1</v>
      </c>
      <c r="Q440" s="6" t="str">
        <f>IF(COUNTIF(Analysis!$M$2:$M$3001,Analysis!$M440)&gt;1,"Duplicate","OK")</f>
        <v>OK</v>
      </c>
      <c r="R440" s="6" t="str">
        <f t="shared" si="1"/>
        <v>2600-3600</v>
      </c>
      <c r="S440" s="6">
        <f t="shared" si="2"/>
        <v>34</v>
      </c>
      <c r="T440" s="6" t="str">
        <f t="shared" si="3"/>
        <v>Old</v>
      </c>
    </row>
    <row r="441" ht="14.25" customHeight="1">
      <c r="A441" s="5">
        <v>1409098.0</v>
      </c>
      <c r="B441" s="6" t="s">
        <v>1805</v>
      </c>
      <c r="C441" s="6" t="s">
        <v>53</v>
      </c>
      <c r="D441" s="6">
        <v>26523.0</v>
      </c>
      <c r="E441" s="6" t="s">
        <v>30</v>
      </c>
      <c r="F441" s="6" t="s">
        <v>41</v>
      </c>
      <c r="G441" s="6" t="s">
        <v>100</v>
      </c>
      <c r="H441" s="7">
        <v>3041.0</v>
      </c>
      <c r="I441" s="7">
        <v>9468.0</v>
      </c>
      <c r="J441" s="6">
        <v>2000.0</v>
      </c>
      <c r="K441" s="6">
        <v>90.0</v>
      </c>
      <c r="L441" s="6" t="s">
        <v>95</v>
      </c>
      <c r="M441" s="6" t="s">
        <v>1806</v>
      </c>
      <c r="N441" s="6" t="s">
        <v>48</v>
      </c>
      <c r="O441" s="6" t="s">
        <v>35</v>
      </c>
      <c r="P441" s="6">
        <f>COUNTIF(Analysis!$M$1:$M$3001,Analysis!$M441)</f>
        <v>1</v>
      </c>
      <c r="Q441" s="6" t="str">
        <f>IF(COUNTIF(Analysis!$M$2:$M$3001,Analysis!$M441)&gt;1,"Duplicate","OK")</f>
        <v>OK</v>
      </c>
      <c r="R441" s="6" t="str">
        <f t="shared" si="1"/>
        <v>2600-3600</v>
      </c>
      <c r="S441" s="6">
        <f t="shared" si="2"/>
        <v>26</v>
      </c>
      <c r="T441" s="6" t="str">
        <f t="shared" si="3"/>
        <v>Mid</v>
      </c>
    </row>
    <row r="442" ht="14.25" customHeight="1">
      <c r="A442" s="5">
        <v>1236695.0</v>
      </c>
      <c r="B442" s="6" t="s">
        <v>1809</v>
      </c>
      <c r="C442" s="6" t="s">
        <v>39</v>
      </c>
      <c r="D442" s="6">
        <v>84551.0</v>
      </c>
      <c r="E442" s="6" t="s">
        <v>30</v>
      </c>
      <c r="F442" s="6" t="s">
        <v>94</v>
      </c>
      <c r="G442" s="6" t="s">
        <v>100</v>
      </c>
      <c r="H442" s="7">
        <v>2879.0</v>
      </c>
      <c r="I442" s="7">
        <v>8525.0</v>
      </c>
      <c r="J442" s="6">
        <v>1999.0</v>
      </c>
      <c r="K442" s="6">
        <v>30.0</v>
      </c>
      <c r="L442" s="6" t="s">
        <v>32</v>
      </c>
      <c r="M442" s="6" t="s">
        <v>1810</v>
      </c>
      <c r="N442" s="6" t="s">
        <v>24</v>
      </c>
      <c r="O442" s="6" t="s">
        <v>35</v>
      </c>
      <c r="P442" s="6">
        <f>COUNTIF(Analysis!$M$1:$M$3001,Analysis!$M442)</f>
        <v>1</v>
      </c>
      <c r="Q442" s="6" t="str">
        <f>IF(COUNTIF(Analysis!$M$2:$M$3001,Analysis!$M442)&gt;1,"Duplicate","OK")</f>
        <v>OK</v>
      </c>
      <c r="R442" s="6" t="str">
        <f t="shared" si="1"/>
        <v>2600-3600</v>
      </c>
      <c r="S442" s="6">
        <f t="shared" si="2"/>
        <v>27</v>
      </c>
      <c r="T442" s="6" t="str">
        <f t="shared" si="3"/>
        <v>Mid</v>
      </c>
    </row>
    <row r="443" ht="14.25" customHeight="1">
      <c r="A443" s="5">
        <v>850519.0</v>
      </c>
      <c r="B443" s="6" t="s">
        <v>1813</v>
      </c>
      <c r="C443" s="6" t="s">
        <v>39</v>
      </c>
      <c r="D443" s="6">
        <v>51763.0</v>
      </c>
      <c r="E443" s="6" t="s">
        <v>30</v>
      </c>
      <c r="F443" s="6" t="s">
        <v>41</v>
      </c>
      <c r="G443" s="6" t="s">
        <v>31</v>
      </c>
      <c r="H443" s="7">
        <v>2431.0</v>
      </c>
      <c r="I443" s="7">
        <v>1752.0</v>
      </c>
      <c r="J443" s="6">
        <v>2001.0</v>
      </c>
      <c r="K443" s="6">
        <v>15.0</v>
      </c>
      <c r="L443" s="6" t="s">
        <v>62</v>
      </c>
      <c r="M443" s="6" t="s">
        <v>1814</v>
      </c>
      <c r="N443" s="6" t="s">
        <v>34</v>
      </c>
      <c r="O443" s="6" t="s">
        <v>25</v>
      </c>
      <c r="P443" s="6">
        <f>COUNTIF(Analysis!$M$1:$M$3001,Analysis!$M443)</f>
        <v>1</v>
      </c>
      <c r="Q443" s="6" t="str">
        <f>IF(COUNTIF(Analysis!$M$2:$M$3001,Analysis!$M443)&gt;1,"Duplicate","OK")</f>
        <v>OK</v>
      </c>
      <c r="R443" s="6" t="str">
        <f t="shared" si="1"/>
        <v>1600-2600</v>
      </c>
      <c r="S443" s="6">
        <f t="shared" si="2"/>
        <v>25</v>
      </c>
      <c r="T443" s="6" t="str">
        <f t="shared" si="3"/>
        <v>Mid</v>
      </c>
    </row>
    <row r="444" ht="14.25" customHeight="1">
      <c r="A444" s="5">
        <v>330245.0</v>
      </c>
      <c r="B444" s="6" t="s">
        <v>2037</v>
      </c>
      <c r="C444" s="6" t="s">
        <v>29</v>
      </c>
      <c r="D444" s="6">
        <v>79211.0</v>
      </c>
      <c r="E444" s="6" t="s">
        <v>19</v>
      </c>
      <c r="F444" s="6" t="s">
        <v>61</v>
      </c>
      <c r="G444" s="6" t="s">
        <v>21</v>
      </c>
      <c r="H444" s="7">
        <v>960.0</v>
      </c>
      <c r="I444" s="7">
        <v>7153.0</v>
      </c>
      <c r="J444" s="6">
        <v>1993.0</v>
      </c>
      <c r="K444" s="6">
        <v>113.0</v>
      </c>
      <c r="L444" s="6" t="s">
        <v>95</v>
      </c>
      <c r="M444" s="6" t="s">
        <v>2038</v>
      </c>
      <c r="N444" s="6" t="s">
        <v>24</v>
      </c>
      <c r="O444" s="6" t="s">
        <v>25</v>
      </c>
      <c r="P444" s="6">
        <f>COUNTIF(Analysis!$M$1:$M$3001,Analysis!$M499)</f>
        <v>1</v>
      </c>
      <c r="Q444" s="6" t="str">
        <f>IF(COUNTIF(Analysis!$M$2:$M$3001,Analysis!$M499)&gt;1,"Duplicate","OK")</f>
        <v>OK</v>
      </c>
      <c r="R444" s="6" t="str">
        <f t="shared" si="1"/>
        <v>600-1600</v>
      </c>
      <c r="S444" s="6">
        <f t="shared" si="2"/>
        <v>33</v>
      </c>
      <c r="T444" s="6" t="str">
        <f t="shared" si="3"/>
        <v>Old</v>
      </c>
    </row>
    <row r="445" ht="14.25" customHeight="1">
      <c r="A445" s="5">
        <v>393811.0</v>
      </c>
      <c r="B445" s="6" t="s">
        <v>1821</v>
      </c>
      <c r="C445" s="6" t="s">
        <v>39</v>
      </c>
      <c r="D445" s="6">
        <v>36438.0</v>
      </c>
      <c r="E445" s="6" t="s">
        <v>40</v>
      </c>
      <c r="F445" s="6" t="s">
        <v>41</v>
      </c>
      <c r="G445" s="6" t="s">
        <v>21</v>
      </c>
      <c r="H445" s="7">
        <v>1252.0</v>
      </c>
      <c r="I445" s="7">
        <v>3959.0</v>
      </c>
      <c r="J445" s="6">
        <v>2008.0</v>
      </c>
      <c r="K445" s="6">
        <v>100.0</v>
      </c>
      <c r="L445" s="6" t="s">
        <v>141</v>
      </c>
      <c r="M445" s="6" t="s">
        <v>1822</v>
      </c>
      <c r="N445" s="6" t="s">
        <v>24</v>
      </c>
      <c r="O445" s="6" t="s">
        <v>25</v>
      </c>
      <c r="P445" s="6">
        <f>COUNTIF(Analysis!$M$1:$M$3001,Analysis!$M445)</f>
        <v>1</v>
      </c>
      <c r="Q445" s="6" t="str">
        <f>IF(COUNTIF(Analysis!$M$2:$M$3001,Analysis!$M445)&gt;1,"Duplicate","OK")</f>
        <v>OK</v>
      </c>
      <c r="R445" s="6" t="str">
        <f t="shared" si="1"/>
        <v>600-1600</v>
      </c>
      <c r="S445" s="6">
        <f t="shared" si="2"/>
        <v>18</v>
      </c>
      <c r="T445" s="6" t="str">
        <f t="shared" si="3"/>
        <v>Mid</v>
      </c>
    </row>
    <row r="446" ht="14.25" customHeight="1">
      <c r="A446" s="5">
        <v>1211963.0</v>
      </c>
      <c r="B446" s="6" t="s">
        <v>1825</v>
      </c>
      <c r="C446" s="6" t="s">
        <v>76</v>
      </c>
      <c r="D446" s="6">
        <v>97647.0</v>
      </c>
      <c r="E446" s="6" t="s">
        <v>77</v>
      </c>
      <c r="F446" s="6" t="s">
        <v>94</v>
      </c>
      <c r="G446" s="6" t="s">
        <v>21</v>
      </c>
      <c r="H446" s="7">
        <v>2456.0</v>
      </c>
      <c r="I446" s="7">
        <v>6870.0</v>
      </c>
      <c r="J446" s="6">
        <v>1997.0</v>
      </c>
      <c r="K446" s="6">
        <v>69.0</v>
      </c>
      <c r="L446" s="6" t="s">
        <v>62</v>
      </c>
      <c r="M446" s="6" t="s">
        <v>1826</v>
      </c>
      <c r="N446" s="6" t="s">
        <v>34</v>
      </c>
      <c r="O446" s="6" t="s">
        <v>35</v>
      </c>
      <c r="P446" s="6">
        <f>COUNTIF(Analysis!$M$1:$M$3001,Analysis!$M446)</f>
        <v>1</v>
      </c>
      <c r="Q446" s="6" t="str">
        <f>IF(COUNTIF(Analysis!$M$2:$M$3001,Analysis!$M446)&gt;1,"Duplicate","OK")</f>
        <v>OK</v>
      </c>
      <c r="R446" s="6" t="str">
        <f t="shared" si="1"/>
        <v>1600-2600</v>
      </c>
      <c r="S446" s="6">
        <f t="shared" si="2"/>
        <v>29</v>
      </c>
      <c r="T446" s="6" t="str">
        <f t="shared" si="3"/>
        <v>Mid</v>
      </c>
    </row>
    <row r="447" ht="14.25" customHeight="1">
      <c r="A447" s="5">
        <v>467298.0</v>
      </c>
      <c r="B447" s="6" t="s">
        <v>1829</v>
      </c>
      <c r="C447" s="6" t="s">
        <v>53</v>
      </c>
      <c r="D447" s="6">
        <v>85311.0</v>
      </c>
      <c r="E447" s="6" t="s">
        <v>40</v>
      </c>
      <c r="F447" s="6" t="s">
        <v>41</v>
      </c>
      <c r="G447" s="6" t="s">
        <v>100</v>
      </c>
      <c r="H447" s="7">
        <v>1209.0</v>
      </c>
      <c r="I447" s="7">
        <v>8910.0</v>
      </c>
      <c r="J447" s="6">
        <v>1963.0</v>
      </c>
      <c r="K447" s="6">
        <v>58.0</v>
      </c>
      <c r="L447" s="6" t="s">
        <v>95</v>
      </c>
      <c r="M447" s="6" t="s">
        <v>1830</v>
      </c>
      <c r="N447" s="6" t="s">
        <v>48</v>
      </c>
      <c r="O447" s="6" t="s">
        <v>49</v>
      </c>
      <c r="P447" s="6">
        <f>COUNTIF(Analysis!$M$1:$M$3001,Analysis!$M447)</f>
        <v>1</v>
      </c>
      <c r="Q447" s="6" t="str">
        <f>IF(COUNTIF(Analysis!$M$2:$M$3001,Analysis!$M447)&gt;1,"Duplicate","OK")</f>
        <v>OK</v>
      </c>
      <c r="R447" s="6" t="str">
        <f t="shared" si="1"/>
        <v>600-1600</v>
      </c>
      <c r="S447" s="6">
        <f t="shared" si="2"/>
        <v>63</v>
      </c>
      <c r="T447" s="6" t="str">
        <f t="shared" si="3"/>
        <v>Very Old</v>
      </c>
    </row>
    <row r="448" ht="14.25" customHeight="1">
      <c r="A448" s="5">
        <v>546329.0</v>
      </c>
      <c r="B448" s="6" t="s">
        <v>1833</v>
      </c>
      <c r="C448" s="6" t="s">
        <v>18</v>
      </c>
      <c r="D448" s="6">
        <v>21852.0</v>
      </c>
      <c r="E448" s="6" t="s">
        <v>30</v>
      </c>
      <c r="F448" s="6" t="s">
        <v>94</v>
      </c>
      <c r="G448" s="6" t="s">
        <v>100</v>
      </c>
      <c r="H448" s="7">
        <v>2377.0</v>
      </c>
      <c r="I448" s="7">
        <v>3899.0</v>
      </c>
      <c r="J448" s="6">
        <v>1994.0</v>
      </c>
      <c r="K448" s="6">
        <v>80.0</v>
      </c>
      <c r="L448" s="6" t="s">
        <v>22</v>
      </c>
      <c r="M448" s="6" t="s">
        <v>1834</v>
      </c>
      <c r="N448" s="6" t="s">
        <v>24</v>
      </c>
      <c r="O448" s="6" t="s">
        <v>49</v>
      </c>
      <c r="P448" s="6">
        <f>COUNTIF(Analysis!$M$1:$M$3001,Analysis!$M448)</f>
        <v>1</v>
      </c>
      <c r="Q448" s="6" t="str">
        <f>IF(COUNTIF(Analysis!$M$2:$M$3001,Analysis!$M448)&gt;1,"Duplicate","OK")</f>
        <v>OK</v>
      </c>
      <c r="R448" s="6" t="str">
        <f t="shared" si="1"/>
        <v>1600-2600</v>
      </c>
      <c r="S448" s="6">
        <f t="shared" si="2"/>
        <v>32</v>
      </c>
      <c r="T448" s="6" t="str">
        <f t="shared" si="3"/>
        <v>Old</v>
      </c>
    </row>
    <row r="449" ht="14.25" customHeight="1">
      <c r="A449" s="5">
        <v>330377.0</v>
      </c>
      <c r="B449" s="6" t="s">
        <v>11603</v>
      </c>
      <c r="C449" s="6" t="s">
        <v>29</v>
      </c>
      <c r="D449" s="6">
        <v>19079.0</v>
      </c>
      <c r="E449" s="6" t="s">
        <v>30</v>
      </c>
      <c r="F449" s="6" t="s">
        <v>54</v>
      </c>
      <c r="G449" s="6" t="s">
        <v>55</v>
      </c>
      <c r="H449" s="7">
        <v>2452.0</v>
      </c>
      <c r="I449" s="7">
        <v>8527.0</v>
      </c>
      <c r="J449" s="6">
        <v>1972.0</v>
      </c>
      <c r="K449" s="6">
        <v>103.0</v>
      </c>
      <c r="L449" s="6" t="s">
        <v>95</v>
      </c>
      <c r="M449" s="6" t="s">
        <v>11604</v>
      </c>
      <c r="N449" s="6" t="s">
        <v>43</v>
      </c>
      <c r="O449" s="6" t="s">
        <v>25</v>
      </c>
      <c r="P449" s="6">
        <f>COUNTIF(Analysis!$M$1:$M$3001,Analysis!$M2892)</f>
        <v>1</v>
      </c>
      <c r="Q449" s="6" t="str">
        <f>IF(COUNTIF(Analysis!$M$2:$M$3001,Analysis!$M2892)&gt;1,"Duplicate","OK")</f>
        <v>OK</v>
      </c>
      <c r="R449" s="6" t="str">
        <f t="shared" si="1"/>
        <v>1600-2600</v>
      </c>
      <c r="S449" s="6">
        <f t="shared" si="2"/>
        <v>54</v>
      </c>
      <c r="T449" s="6" t="str">
        <f t="shared" si="3"/>
        <v>Old</v>
      </c>
    </row>
    <row r="450" ht="14.25" customHeight="1">
      <c r="A450" s="5">
        <v>854770.0</v>
      </c>
      <c r="B450" s="6" t="s">
        <v>1841</v>
      </c>
      <c r="C450" s="6" t="s">
        <v>39</v>
      </c>
      <c r="D450" s="6">
        <v>20349.0</v>
      </c>
      <c r="E450" s="6" t="s">
        <v>19</v>
      </c>
      <c r="F450" s="6" t="s">
        <v>54</v>
      </c>
      <c r="G450" s="6" t="s">
        <v>100</v>
      </c>
      <c r="H450" s="7">
        <v>885.0</v>
      </c>
      <c r="I450" s="7">
        <v>1898.0</v>
      </c>
      <c r="J450" s="6">
        <v>2001.0</v>
      </c>
      <c r="K450" s="6">
        <v>83.0</v>
      </c>
      <c r="L450" s="6" t="s">
        <v>141</v>
      </c>
      <c r="M450" s="6" t="s">
        <v>1842</v>
      </c>
      <c r="N450" s="6" t="s">
        <v>43</v>
      </c>
      <c r="O450" s="6" t="s">
        <v>35</v>
      </c>
      <c r="P450" s="6">
        <f>COUNTIF(Analysis!$M$1:$M$3001,Analysis!$M450)</f>
        <v>1</v>
      </c>
      <c r="Q450" s="6" t="str">
        <f>IF(COUNTIF(Analysis!$M$2:$M$3001,Analysis!$M450)&gt;1,"Duplicate","OK")</f>
        <v>OK</v>
      </c>
      <c r="R450" s="6" t="str">
        <f t="shared" si="1"/>
        <v>600-1600</v>
      </c>
      <c r="S450" s="6">
        <f t="shared" si="2"/>
        <v>25</v>
      </c>
      <c r="T450" s="6" t="str">
        <f t="shared" si="3"/>
        <v>Mid</v>
      </c>
    </row>
    <row r="451" ht="14.25" customHeight="1">
      <c r="A451" s="5">
        <v>1159956.0</v>
      </c>
      <c r="B451" s="6" t="s">
        <v>1845</v>
      </c>
      <c r="C451" s="6" t="s">
        <v>53</v>
      </c>
      <c r="D451" s="6">
        <v>97824.0</v>
      </c>
      <c r="E451" s="6" t="s">
        <v>60</v>
      </c>
      <c r="F451" s="6" t="s">
        <v>46</v>
      </c>
      <c r="G451" s="6" t="s">
        <v>100</v>
      </c>
      <c r="H451" s="7">
        <v>1265.0</v>
      </c>
      <c r="I451" s="7">
        <v>5891.0</v>
      </c>
      <c r="J451" s="6">
        <v>1982.0</v>
      </c>
      <c r="K451" s="6">
        <v>16.0</v>
      </c>
      <c r="L451" s="6" t="s">
        <v>95</v>
      </c>
      <c r="M451" s="6" t="s">
        <v>1846</v>
      </c>
      <c r="N451" s="6" t="s">
        <v>34</v>
      </c>
      <c r="O451" s="6" t="s">
        <v>35</v>
      </c>
      <c r="P451" s="6">
        <f>COUNTIF(Analysis!$M$1:$M$3001,Analysis!$M451)</f>
        <v>1</v>
      </c>
      <c r="Q451" s="6" t="str">
        <f>IF(COUNTIF(Analysis!$M$2:$M$3001,Analysis!$M451)&gt;1,"Duplicate","OK")</f>
        <v>OK</v>
      </c>
      <c r="R451" s="6" t="str">
        <f t="shared" si="1"/>
        <v>600-1600</v>
      </c>
      <c r="S451" s="6">
        <f t="shared" si="2"/>
        <v>44</v>
      </c>
      <c r="T451" s="6" t="str">
        <f t="shared" si="3"/>
        <v>Old</v>
      </c>
    </row>
    <row r="452" ht="14.25" customHeight="1">
      <c r="A452" s="5">
        <v>337139.0</v>
      </c>
      <c r="B452" s="6" t="s">
        <v>8832</v>
      </c>
      <c r="C452" s="6" t="s">
        <v>29</v>
      </c>
      <c r="D452" s="6">
        <v>14695.0</v>
      </c>
      <c r="E452" s="6" t="s">
        <v>77</v>
      </c>
      <c r="F452" s="6" t="s">
        <v>41</v>
      </c>
      <c r="G452" s="6" t="s">
        <v>21</v>
      </c>
      <c r="H452" s="7">
        <v>1202.0</v>
      </c>
      <c r="I452" s="7">
        <v>6481.0</v>
      </c>
      <c r="J452" s="6">
        <v>1975.0</v>
      </c>
      <c r="K452" s="6">
        <v>28.0</v>
      </c>
      <c r="L452" s="6" t="s">
        <v>95</v>
      </c>
      <c r="M452" s="6" t="s">
        <v>8833</v>
      </c>
      <c r="N452" s="6" t="s">
        <v>48</v>
      </c>
      <c r="O452" s="6" t="s">
        <v>25</v>
      </c>
      <c r="P452" s="6">
        <f>COUNTIF(Analysis!$M$1:$M$3001,Analysis!$M2199)</f>
        <v>1</v>
      </c>
      <c r="Q452" s="6" t="str">
        <f>IF(COUNTIF(Analysis!$M$2:$M$3001,Analysis!$M2199)&gt;1,"Duplicate","OK")</f>
        <v>OK</v>
      </c>
      <c r="R452" s="6" t="str">
        <f t="shared" si="1"/>
        <v>600-1600</v>
      </c>
      <c r="S452" s="6">
        <f t="shared" si="2"/>
        <v>51</v>
      </c>
      <c r="T452" s="6" t="str">
        <f t="shared" si="3"/>
        <v>Old</v>
      </c>
    </row>
    <row r="453" ht="14.25" customHeight="1">
      <c r="A453" s="5">
        <v>338004.0</v>
      </c>
      <c r="B453" s="6" t="s">
        <v>7445</v>
      </c>
      <c r="C453" s="6" t="s">
        <v>29</v>
      </c>
      <c r="D453" s="6">
        <v>58030.0</v>
      </c>
      <c r="E453" s="6" t="s">
        <v>77</v>
      </c>
      <c r="F453" s="6" t="s">
        <v>94</v>
      </c>
      <c r="G453" s="6" t="s">
        <v>100</v>
      </c>
      <c r="H453" s="7">
        <v>3871.0</v>
      </c>
      <c r="I453" s="7">
        <v>7018.0</v>
      </c>
      <c r="J453" s="6">
        <v>1981.0</v>
      </c>
      <c r="K453" s="6">
        <v>81.0</v>
      </c>
      <c r="L453" s="6" t="s">
        <v>62</v>
      </c>
      <c r="M453" s="6" t="s">
        <v>7446</v>
      </c>
      <c r="N453" s="6" t="s">
        <v>64</v>
      </c>
      <c r="O453" s="6" t="s">
        <v>49</v>
      </c>
      <c r="P453" s="6">
        <f>COUNTIF(Analysis!$M$1:$M$3001,Analysis!$M1852)</f>
        <v>1</v>
      </c>
      <c r="Q453" s="6" t="str">
        <f>IF(COUNTIF(Analysis!$M$2:$M$3001,Analysis!$M1852)&gt;1,"Duplicate","OK")</f>
        <v>OK</v>
      </c>
      <c r="R453" s="6" t="str">
        <f t="shared" si="1"/>
        <v>3600+</v>
      </c>
      <c r="S453" s="6">
        <f t="shared" si="2"/>
        <v>45</v>
      </c>
      <c r="T453" s="6" t="str">
        <f t="shared" si="3"/>
        <v>Old</v>
      </c>
    </row>
    <row r="454" ht="14.25" customHeight="1">
      <c r="A454" s="5">
        <v>543804.0</v>
      </c>
      <c r="B454" s="6" t="s">
        <v>1857</v>
      </c>
      <c r="C454" s="6" t="s">
        <v>18</v>
      </c>
      <c r="D454" s="6">
        <v>19935.0</v>
      </c>
      <c r="E454" s="6" t="s">
        <v>19</v>
      </c>
      <c r="F454" s="6" t="s">
        <v>46</v>
      </c>
      <c r="G454" s="6" t="s">
        <v>55</v>
      </c>
      <c r="H454" s="7">
        <v>3732.0</v>
      </c>
      <c r="I454" s="7">
        <v>8156.0</v>
      </c>
      <c r="J454" s="6">
        <v>2019.0</v>
      </c>
      <c r="K454" s="6">
        <v>30.0</v>
      </c>
      <c r="L454" s="6" t="s">
        <v>62</v>
      </c>
      <c r="M454" s="6" t="s">
        <v>1858</v>
      </c>
      <c r="N454" s="6" t="s">
        <v>34</v>
      </c>
      <c r="O454" s="6" t="s">
        <v>49</v>
      </c>
      <c r="P454" s="6">
        <f>COUNTIF(Analysis!$M$1:$M$3001,Analysis!$M454)</f>
        <v>1</v>
      </c>
      <c r="Q454" s="6" t="str">
        <f>IF(COUNTIF(Analysis!$M$2:$M$3001,Analysis!$M454)&gt;1,"Duplicate","OK")</f>
        <v>OK</v>
      </c>
      <c r="R454" s="6" t="str">
        <f t="shared" si="1"/>
        <v>3600+</v>
      </c>
      <c r="S454" s="6">
        <f t="shared" si="2"/>
        <v>7</v>
      </c>
      <c r="T454" s="6" t="str">
        <f t="shared" si="3"/>
        <v>New</v>
      </c>
    </row>
    <row r="455" ht="14.25" customHeight="1">
      <c r="A455" s="5">
        <v>338237.0</v>
      </c>
      <c r="B455" s="6" t="s">
        <v>11443</v>
      </c>
      <c r="C455" s="6" t="s">
        <v>29</v>
      </c>
      <c r="D455" s="6">
        <v>88057.0</v>
      </c>
      <c r="E455" s="6" t="s">
        <v>60</v>
      </c>
      <c r="F455" s="6" t="s">
        <v>61</v>
      </c>
      <c r="G455" s="6" t="s">
        <v>55</v>
      </c>
      <c r="H455" s="7">
        <v>775.0</v>
      </c>
      <c r="I455" s="7">
        <v>8537.0</v>
      </c>
      <c r="J455" s="6">
        <v>1951.0</v>
      </c>
      <c r="K455" s="6">
        <v>65.0</v>
      </c>
      <c r="L455" s="6" t="s">
        <v>22</v>
      </c>
      <c r="M455" s="6" t="s">
        <v>11444</v>
      </c>
      <c r="N455" s="6" t="s">
        <v>64</v>
      </c>
      <c r="O455" s="6" t="s">
        <v>35</v>
      </c>
      <c r="P455" s="6">
        <f>COUNTIF(Analysis!$M$1:$M$3001,Analysis!$M2852)</f>
        <v>1</v>
      </c>
      <c r="Q455" s="6" t="str">
        <f>IF(COUNTIF(Analysis!$M$2:$M$3001,Analysis!$M2852)&gt;1,"Duplicate","OK")</f>
        <v>OK</v>
      </c>
      <c r="R455" s="6" t="str">
        <f t="shared" si="1"/>
        <v>600-1600</v>
      </c>
      <c r="S455" s="6">
        <f t="shared" si="2"/>
        <v>75</v>
      </c>
      <c r="T455" s="6" t="str">
        <f t="shared" si="3"/>
        <v>Very Old</v>
      </c>
    </row>
    <row r="456" ht="14.25" customHeight="1">
      <c r="A456" s="5">
        <v>146864.0</v>
      </c>
      <c r="B456" s="6" t="s">
        <v>1865</v>
      </c>
      <c r="C456" s="6" t="s">
        <v>39</v>
      </c>
      <c r="D456" s="6">
        <v>34517.0</v>
      </c>
      <c r="E456" s="6" t="s">
        <v>60</v>
      </c>
      <c r="F456" s="6" t="s">
        <v>20</v>
      </c>
      <c r="G456" s="6" t="s">
        <v>100</v>
      </c>
      <c r="H456" s="7">
        <v>1351.0</v>
      </c>
      <c r="I456" s="7">
        <v>1117.0</v>
      </c>
      <c r="J456" s="6">
        <v>1976.0</v>
      </c>
      <c r="K456" s="6">
        <v>42.0</v>
      </c>
      <c r="L456" s="6" t="s">
        <v>141</v>
      </c>
      <c r="M456" s="6" t="s">
        <v>1866</v>
      </c>
      <c r="N456" s="6" t="s">
        <v>64</v>
      </c>
      <c r="O456" s="6" t="s">
        <v>25</v>
      </c>
      <c r="P456" s="6">
        <f>COUNTIF(Analysis!$M$1:$M$3001,Analysis!$M456)</f>
        <v>1</v>
      </c>
      <c r="Q456" s="6" t="str">
        <f>IF(COUNTIF(Analysis!$M$2:$M$3001,Analysis!$M456)&gt;1,"Duplicate","OK")</f>
        <v>OK</v>
      </c>
      <c r="R456" s="6" t="str">
        <f t="shared" si="1"/>
        <v>600-1600</v>
      </c>
      <c r="S456" s="6">
        <f t="shared" si="2"/>
        <v>50</v>
      </c>
      <c r="T456" s="6" t="str">
        <f t="shared" si="3"/>
        <v>Old</v>
      </c>
    </row>
    <row r="457" ht="14.25" customHeight="1">
      <c r="A457" s="5">
        <v>339864.0</v>
      </c>
      <c r="B457" s="6" t="s">
        <v>613</v>
      </c>
      <c r="C457" s="6" t="s">
        <v>29</v>
      </c>
      <c r="D457" s="6">
        <v>63885.0</v>
      </c>
      <c r="E457" s="6" t="s">
        <v>77</v>
      </c>
      <c r="F457" s="6" t="s">
        <v>54</v>
      </c>
      <c r="G457" s="6" t="s">
        <v>31</v>
      </c>
      <c r="H457" s="7">
        <v>3584.0</v>
      </c>
      <c r="I457" s="7">
        <v>1287.0</v>
      </c>
      <c r="J457" s="6">
        <v>1968.0</v>
      </c>
      <c r="K457" s="6">
        <v>109.0</v>
      </c>
      <c r="L457" s="6" t="s">
        <v>22</v>
      </c>
      <c r="M457" s="6" t="s">
        <v>614</v>
      </c>
      <c r="N457" s="6" t="s">
        <v>24</v>
      </c>
      <c r="O457" s="6" t="s">
        <v>35</v>
      </c>
      <c r="P457" s="6">
        <f>COUNTIF(Analysis!$M$1:$M$3001,Analysis!$M143)</f>
        <v>1</v>
      </c>
      <c r="Q457" s="6" t="str">
        <f>IF(COUNTIF(Analysis!$M$2:$M$3001,Analysis!$M143)&gt;1,"Duplicate","OK")</f>
        <v>OK</v>
      </c>
      <c r="R457" s="6" t="str">
        <f t="shared" si="1"/>
        <v>2600-3600</v>
      </c>
      <c r="S457" s="6">
        <f t="shared" si="2"/>
        <v>58</v>
      </c>
      <c r="T457" s="6" t="str">
        <f t="shared" si="3"/>
        <v>Old</v>
      </c>
    </row>
    <row r="458" ht="14.25" customHeight="1">
      <c r="A458" s="5">
        <v>273704.0</v>
      </c>
      <c r="B458" s="6" t="s">
        <v>1873</v>
      </c>
      <c r="C458" s="6" t="s">
        <v>39</v>
      </c>
      <c r="D458" s="6">
        <v>80702.0</v>
      </c>
      <c r="E458" s="6" t="s">
        <v>77</v>
      </c>
      <c r="F458" s="6" t="s">
        <v>41</v>
      </c>
      <c r="G458" s="6" t="s">
        <v>100</v>
      </c>
      <c r="H458" s="7">
        <v>3431.0</v>
      </c>
      <c r="I458" s="7">
        <v>1449.0</v>
      </c>
      <c r="J458" s="6">
        <v>1958.0</v>
      </c>
      <c r="K458" s="6">
        <v>87.0</v>
      </c>
      <c r="L458" s="6" t="s">
        <v>95</v>
      </c>
      <c r="M458" s="6" t="s">
        <v>1874</v>
      </c>
      <c r="N458" s="6" t="s">
        <v>34</v>
      </c>
      <c r="O458" s="6" t="s">
        <v>25</v>
      </c>
      <c r="P458" s="6">
        <f>COUNTIF(Analysis!$M$1:$M$3001,Analysis!$M458)</f>
        <v>1</v>
      </c>
      <c r="Q458" s="6" t="str">
        <f>IF(COUNTIF(Analysis!$M$2:$M$3001,Analysis!$M458)&gt;1,"Duplicate","OK")</f>
        <v>OK</v>
      </c>
      <c r="R458" s="6" t="str">
        <f t="shared" si="1"/>
        <v>2600-3600</v>
      </c>
      <c r="S458" s="6">
        <f t="shared" si="2"/>
        <v>68</v>
      </c>
      <c r="T458" s="6" t="str">
        <f t="shared" si="3"/>
        <v>Very Old</v>
      </c>
    </row>
    <row r="459" ht="14.25" customHeight="1">
      <c r="A459" s="5">
        <v>732277.0</v>
      </c>
      <c r="B459" s="6" t="s">
        <v>1877</v>
      </c>
      <c r="C459" s="6" t="s">
        <v>18</v>
      </c>
      <c r="D459" s="6">
        <v>26771.0</v>
      </c>
      <c r="E459" s="6" t="s">
        <v>60</v>
      </c>
      <c r="F459" s="6" t="s">
        <v>46</v>
      </c>
      <c r="G459" s="6" t="s">
        <v>21</v>
      </c>
      <c r="H459" s="7">
        <v>3759.0</v>
      </c>
      <c r="I459" s="7">
        <v>3625.0</v>
      </c>
      <c r="J459" s="6">
        <v>1991.0</v>
      </c>
      <c r="K459" s="6">
        <v>115.0</v>
      </c>
      <c r="L459" s="6" t="s">
        <v>22</v>
      </c>
      <c r="M459" s="6" t="s">
        <v>1878</v>
      </c>
      <c r="N459" s="6" t="s">
        <v>43</v>
      </c>
      <c r="O459" s="6" t="s">
        <v>25</v>
      </c>
      <c r="P459" s="6">
        <f>COUNTIF(Analysis!$M$1:$M$3001,Analysis!$M459)</f>
        <v>1</v>
      </c>
      <c r="Q459" s="6" t="str">
        <f>IF(COUNTIF(Analysis!$M$2:$M$3001,Analysis!$M459)&gt;1,"Duplicate","OK")</f>
        <v>OK</v>
      </c>
      <c r="R459" s="6" t="str">
        <f t="shared" si="1"/>
        <v>3600+</v>
      </c>
      <c r="S459" s="6">
        <f t="shared" si="2"/>
        <v>35</v>
      </c>
      <c r="T459" s="6" t="str">
        <f t="shared" si="3"/>
        <v>Old</v>
      </c>
    </row>
    <row r="460" ht="14.25" customHeight="1">
      <c r="A460" s="5">
        <v>1139836.0</v>
      </c>
      <c r="B460" s="6" t="s">
        <v>1881</v>
      </c>
      <c r="C460" s="6" t="s">
        <v>53</v>
      </c>
      <c r="D460" s="6">
        <v>23438.0</v>
      </c>
      <c r="E460" s="6" t="s">
        <v>40</v>
      </c>
      <c r="F460" s="6" t="s">
        <v>41</v>
      </c>
      <c r="G460" s="6" t="s">
        <v>21</v>
      </c>
      <c r="H460" s="7">
        <v>2794.0</v>
      </c>
      <c r="I460" s="7">
        <v>9423.0</v>
      </c>
      <c r="J460" s="6">
        <v>1993.0</v>
      </c>
      <c r="K460" s="6">
        <v>34.0</v>
      </c>
      <c r="L460" s="6" t="s">
        <v>141</v>
      </c>
      <c r="M460" s="6" t="s">
        <v>1882</v>
      </c>
      <c r="N460" s="6" t="s">
        <v>48</v>
      </c>
      <c r="O460" s="6" t="s">
        <v>49</v>
      </c>
      <c r="P460" s="6">
        <f>COUNTIF(Analysis!$M$1:$M$3001,Analysis!$M460)</f>
        <v>1</v>
      </c>
      <c r="Q460" s="6" t="str">
        <f>IF(COUNTIF(Analysis!$M$2:$M$3001,Analysis!$M460)&gt;1,"Duplicate","OK")</f>
        <v>OK</v>
      </c>
      <c r="R460" s="6" t="str">
        <f t="shared" si="1"/>
        <v>2600-3600</v>
      </c>
      <c r="S460" s="6">
        <f t="shared" si="2"/>
        <v>33</v>
      </c>
      <c r="T460" s="6" t="str">
        <f t="shared" si="3"/>
        <v>Old</v>
      </c>
    </row>
    <row r="461" ht="14.25" customHeight="1">
      <c r="A461" s="5">
        <v>840528.0</v>
      </c>
      <c r="B461" s="6" t="s">
        <v>1885</v>
      </c>
      <c r="C461" s="6" t="s">
        <v>53</v>
      </c>
      <c r="D461" s="6">
        <v>29161.0</v>
      </c>
      <c r="E461" s="6" t="s">
        <v>77</v>
      </c>
      <c r="F461" s="6" t="s">
        <v>46</v>
      </c>
      <c r="G461" s="6" t="s">
        <v>21</v>
      </c>
      <c r="H461" s="7">
        <v>2346.0</v>
      </c>
      <c r="I461" s="7">
        <v>6734.0</v>
      </c>
      <c r="J461" s="6">
        <v>1966.0</v>
      </c>
      <c r="K461" s="6">
        <v>102.0</v>
      </c>
      <c r="L461" s="6" t="s">
        <v>22</v>
      </c>
      <c r="M461" s="6" t="s">
        <v>1886</v>
      </c>
      <c r="N461" s="6" t="s">
        <v>48</v>
      </c>
      <c r="O461" s="6" t="s">
        <v>49</v>
      </c>
      <c r="P461" s="6">
        <f>COUNTIF(Analysis!$M$1:$M$3001,Analysis!$M461)</f>
        <v>1</v>
      </c>
      <c r="Q461" s="6" t="str">
        <f>IF(COUNTIF(Analysis!$M$2:$M$3001,Analysis!$M461)&gt;1,"Duplicate","OK")</f>
        <v>OK</v>
      </c>
      <c r="R461" s="6" t="str">
        <f t="shared" si="1"/>
        <v>1600-2600</v>
      </c>
      <c r="S461" s="6">
        <f t="shared" si="2"/>
        <v>60</v>
      </c>
      <c r="T461" s="6" t="str">
        <f t="shared" si="3"/>
        <v>Old</v>
      </c>
    </row>
    <row r="462" ht="14.25" customHeight="1">
      <c r="A462" s="5">
        <v>353101.0</v>
      </c>
      <c r="B462" s="6" t="s">
        <v>2647</v>
      </c>
      <c r="C462" s="6" t="s">
        <v>29</v>
      </c>
      <c r="D462" s="6">
        <v>13983.0</v>
      </c>
      <c r="E462" s="6" t="s">
        <v>77</v>
      </c>
      <c r="F462" s="6" t="s">
        <v>20</v>
      </c>
      <c r="G462" s="6" t="s">
        <v>100</v>
      </c>
      <c r="H462" s="7">
        <v>2451.0</v>
      </c>
      <c r="I462" s="7">
        <v>9741.0</v>
      </c>
      <c r="J462" s="6">
        <v>1961.0</v>
      </c>
      <c r="K462" s="6">
        <v>49.0</v>
      </c>
      <c r="L462" s="6" t="s">
        <v>22</v>
      </c>
      <c r="M462" s="6" t="s">
        <v>2648</v>
      </c>
      <c r="N462" s="6" t="s">
        <v>64</v>
      </c>
      <c r="O462" s="6" t="s">
        <v>25</v>
      </c>
      <c r="P462" s="6">
        <f>COUNTIF(Analysis!$M$1:$M$3001,Analysis!$M652)</f>
        <v>1</v>
      </c>
      <c r="Q462" s="6" t="str">
        <f>IF(COUNTIF(Analysis!$M$2:$M$3001,Analysis!$M652)&gt;1,"Duplicate","OK")</f>
        <v>OK</v>
      </c>
      <c r="R462" s="6" t="str">
        <f t="shared" si="1"/>
        <v>1600-2600</v>
      </c>
      <c r="S462" s="6">
        <f t="shared" si="2"/>
        <v>65</v>
      </c>
      <c r="T462" s="6" t="str">
        <f t="shared" si="3"/>
        <v>Very Old</v>
      </c>
    </row>
    <row r="463" ht="14.25" customHeight="1">
      <c r="A463" s="5">
        <v>355812.0</v>
      </c>
      <c r="B463" s="6" t="s">
        <v>10795</v>
      </c>
      <c r="C463" s="6" t="s">
        <v>29</v>
      </c>
      <c r="D463" s="6">
        <v>41611.0</v>
      </c>
      <c r="E463" s="6" t="s">
        <v>60</v>
      </c>
      <c r="F463" s="6" t="s">
        <v>46</v>
      </c>
      <c r="G463" s="6" t="s">
        <v>100</v>
      </c>
      <c r="H463" s="7">
        <v>1119.0</v>
      </c>
      <c r="I463" s="7">
        <v>6335.0</v>
      </c>
      <c r="J463" s="6">
        <v>2015.0</v>
      </c>
      <c r="K463" s="6">
        <v>32.0</v>
      </c>
      <c r="L463" s="6" t="s">
        <v>141</v>
      </c>
      <c r="M463" s="6" t="s">
        <v>10796</v>
      </c>
      <c r="N463" s="6" t="s">
        <v>34</v>
      </c>
      <c r="O463" s="6" t="s">
        <v>49</v>
      </c>
      <c r="P463" s="6">
        <f>COUNTIF(Analysis!$M$1:$M$3001,Analysis!$M2690)</f>
        <v>1</v>
      </c>
      <c r="Q463" s="6" t="str">
        <f>IF(COUNTIF(Analysis!$M$2:$M$3001,Analysis!$M2690)&gt;1,"Duplicate","OK")</f>
        <v>OK</v>
      </c>
      <c r="R463" s="6" t="str">
        <f t="shared" si="1"/>
        <v>600-1600</v>
      </c>
      <c r="S463" s="6">
        <f t="shared" si="2"/>
        <v>11</v>
      </c>
      <c r="T463" s="6" t="str">
        <f t="shared" si="3"/>
        <v>Mid</v>
      </c>
    </row>
    <row r="464" ht="14.25" customHeight="1">
      <c r="A464" s="5">
        <v>423783.0</v>
      </c>
      <c r="B464" s="6" t="s">
        <v>1897</v>
      </c>
      <c r="C464" s="6" t="s">
        <v>53</v>
      </c>
      <c r="D464" s="6">
        <v>96388.0</v>
      </c>
      <c r="E464" s="6" t="s">
        <v>30</v>
      </c>
      <c r="F464" s="6" t="s">
        <v>46</v>
      </c>
      <c r="G464" s="6" t="s">
        <v>21</v>
      </c>
      <c r="H464" s="7">
        <v>2610.0</v>
      </c>
      <c r="I464" s="7">
        <v>8780.0</v>
      </c>
      <c r="J464" s="6">
        <v>1977.0</v>
      </c>
      <c r="K464" s="6">
        <v>34.0</v>
      </c>
      <c r="L464" s="6" t="s">
        <v>32</v>
      </c>
      <c r="M464" s="6" t="s">
        <v>1898</v>
      </c>
      <c r="N464" s="6" t="s">
        <v>24</v>
      </c>
      <c r="O464" s="6" t="s">
        <v>25</v>
      </c>
      <c r="P464" s="6">
        <f>COUNTIF(Analysis!$M$1:$M$3001,Analysis!$M464)</f>
        <v>1</v>
      </c>
      <c r="Q464" s="6" t="str">
        <f>IF(COUNTIF(Analysis!$M$2:$M$3001,Analysis!$M464)&gt;1,"Duplicate","OK")</f>
        <v>OK</v>
      </c>
      <c r="R464" s="6" t="str">
        <f t="shared" si="1"/>
        <v>2600-3600</v>
      </c>
      <c r="S464" s="6">
        <f t="shared" si="2"/>
        <v>49</v>
      </c>
      <c r="T464" s="6" t="str">
        <f t="shared" si="3"/>
        <v>Old</v>
      </c>
    </row>
    <row r="465" ht="14.25" customHeight="1">
      <c r="A465" s="5">
        <v>554124.0</v>
      </c>
      <c r="B465" s="6" t="s">
        <v>1901</v>
      </c>
      <c r="C465" s="6" t="s">
        <v>53</v>
      </c>
      <c r="D465" s="6">
        <v>68265.0</v>
      </c>
      <c r="E465" s="6" t="s">
        <v>19</v>
      </c>
      <c r="F465" s="6" t="s">
        <v>46</v>
      </c>
      <c r="G465" s="6" t="s">
        <v>21</v>
      </c>
      <c r="H465" s="7">
        <v>2652.0</v>
      </c>
      <c r="I465" s="7">
        <v>5338.0</v>
      </c>
      <c r="J465" s="6">
        <v>1952.0</v>
      </c>
      <c r="K465" s="6">
        <v>71.0</v>
      </c>
      <c r="L465" s="6" t="s">
        <v>22</v>
      </c>
      <c r="M465" s="6" t="s">
        <v>1902</v>
      </c>
      <c r="N465" s="6" t="s">
        <v>34</v>
      </c>
      <c r="O465" s="6" t="s">
        <v>25</v>
      </c>
      <c r="P465" s="6">
        <f>COUNTIF(Analysis!$M$1:$M$3001,Analysis!$M465)</f>
        <v>1</v>
      </c>
      <c r="Q465" s="6" t="str">
        <f>IF(COUNTIF(Analysis!$M$2:$M$3001,Analysis!$M465)&gt;1,"Duplicate","OK")</f>
        <v>OK</v>
      </c>
      <c r="R465" s="6" t="str">
        <f t="shared" si="1"/>
        <v>2600-3600</v>
      </c>
      <c r="S465" s="6">
        <f t="shared" si="2"/>
        <v>74</v>
      </c>
      <c r="T465" s="6" t="str">
        <f t="shared" si="3"/>
        <v>Very Old</v>
      </c>
    </row>
    <row r="466" ht="14.25" customHeight="1">
      <c r="A466" s="5">
        <v>729055.0</v>
      </c>
      <c r="B466" s="6" t="s">
        <v>1905</v>
      </c>
      <c r="C466" s="6" t="s">
        <v>18</v>
      </c>
      <c r="D466" s="6">
        <v>52635.0</v>
      </c>
      <c r="E466" s="6" t="s">
        <v>77</v>
      </c>
      <c r="F466" s="6" t="s">
        <v>20</v>
      </c>
      <c r="G466" s="6" t="s">
        <v>100</v>
      </c>
      <c r="H466" s="7">
        <v>3549.0</v>
      </c>
      <c r="I466" s="7">
        <v>4792.0</v>
      </c>
      <c r="J466" s="6">
        <v>1973.0</v>
      </c>
      <c r="K466" s="6">
        <v>43.0</v>
      </c>
      <c r="L466" s="6" t="s">
        <v>141</v>
      </c>
      <c r="M466" s="6" t="s">
        <v>1906</v>
      </c>
      <c r="N466" s="6" t="s">
        <v>24</v>
      </c>
      <c r="O466" s="6" t="s">
        <v>35</v>
      </c>
      <c r="P466" s="6">
        <f>COUNTIF(Analysis!$M$1:$M$3001,Analysis!$M466)</f>
        <v>1</v>
      </c>
      <c r="Q466" s="6" t="str">
        <f>IF(COUNTIF(Analysis!$M$2:$M$3001,Analysis!$M466)&gt;1,"Duplicate","OK")</f>
        <v>OK</v>
      </c>
      <c r="R466" s="6" t="str">
        <f t="shared" si="1"/>
        <v>2600-3600</v>
      </c>
      <c r="S466" s="6">
        <f t="shared" si="2"/>
        <v>53</v>
      </c>
      <c r="T466" s="6" t="str">
        <f t="shared" si="3"/>
        <v>Old</v>
      </c>
    </row>
    <row r="467" ht="14.25" customHeight="1">
      <c r="A467" s="5">
        <v>1280219.0</v>
      </c>
      <c r="B467" s="6" t="s">
        <v>1909</v>
      </c>
      <c r="C467" s="6" t="s">
        <v>76</v>
      </c>
      <c r="D467" s="6">
        <v>77562.0</v>
      </c>
      <c r="E467" s="6" t="s">
        <v>40</v>
      </c>
      <c r="F467" s="6" t="s">
        <v>20</v>
      </c>
      <c r="G467" s="6" t="s">
        <v>21</v>
      </c>
      <c r="H467" s="7">
        <v>1831.0</v>
      </c>
      <c r="I467" s="7">
        <v>4659.0</v>
      </c>
      <c r="J467" s="6">
        <v>1990.0</v>
      </c>
      <c r="K467" s="6">
        <v>7.0</v>
      </c>
      <c r="L467" s="6" t="s">
        <v>62</v>
      </c>
      <c r="M467" s="6" t="s">
        <v>1910</v>
      </c>
      <c r="N467" s="6" t="s">
        <v>64</v>
      </c>
      <c r="O467" s="6" t="s">
        <v>25</v>
      </c>
      <c r="P467" s="6">
        <f>COUNTIF(Analysis!$M$1:$M$3001,Analysis!$M467)</f>
        <v>1</v>
      </c>
      <c r="Q467" s="6" t="str">
        <f>IF(COUNTIF(Analysis!$M$2:$M$3001,Analysis!$M467)&gt;1,"Duplicate","OK")</f>
        <v>OK</v>
      </c>
      <c r="R467" s="6" t="str">
        <f t="shared" si="1"/>
        <v>1600-2600</v>
      </c>
      <c r="S467" s="6">
        <f t="shared" si="2"/>
        <v>36</v>
      </c>
      <c r="T467" s="6" t="str">
        <f t="shared" si="3"/>
        <v>Old</v>
      </c>
    </row>
    <row r="468" ht="14.25" customHeight="1">
      <c r="A468" s="5">
        <v>743014.0</v>
      </c>
      <c r="B468" s="6" t="s">
        <v>1913</v>
      </c>
      <c r="C468" s="6" t="s">
        <v>53</v>
      </c>
      <c r="D468" s="6">
        <v>42337.0</v>
      </c>
      <c r="E468" s="6" t="s">
        <v>60</v>
      </c>
      <c r="F468" s="6" t="s">
        <v>61</v>
      </c>
      <c r="G468" s="6" t="s">
        <v>100</v>
      </c>
      <c r="H468" s="7">
        <v>1507.0</v>
      </c>
      <c r="I468" s="7">
        <v>8044.0</v>
      </c>
      <c r="J468" s="6">
        <v>1983.0</v>
      </c>
      <c r="K468" s="6">
        <v>112.0</v>
      </c>
      <c r="L468" s="6" t="s">
        <v>62</v>
      </c>
      <c r="M468" s="6" t="s">
        <v>1914</v>
      </c>
      <c r="N468" s="6" t="s">
        <v>64</v>
      </c>
      <c r="O468" s="6" t="s">
        <v>35</v>
      </c>
      <c r="P468" s="6">
        <f>COUNTIF(Analysis!$M$1:$M$3001,Analysis!$M468)</f>
        <v>1</v>
      </c>
      <c r="Q468" s="6" t="str">
        <f>IF(COUNTIF(Analysis!$M$2:$M$3001,Analysis!$M468)&gt;1,"Duplicate","OK")</f>
        <v>OK</v>
      </c>
      <c r="R468" s="6" t="str">
        <f t="shared" si="1"/>
        <v>600-1600</v>
      </c>
      <c r="S468" s="6">
        <f t="shared" si="2"/>
        <v>43</v>
      </c>
      <c r="T468" s="6" t="str">
        <f t="shared" si="3"/>
        <v>Old</v>
      </c>
    </row>
    <row r="469" ht="14.25" customHeight="1">
      <c r="A469" s="5">
        <v>1122707.0</v>
      </c>
      <c r="B469" s="6" t="s">
        <v>1917</v>
      </c>
      <c r="C469" s="6" t="s">
        <v>53</v>
      </c>
      <c r="D469" s="6">
        <v>41713.0</v>
      </c>
      <c r="E469" s="6" t="s">
        <v>19</v>
      </c>
      <c r="F469" s="6" t="s">
        <v>41</v>
      </c>
      <c r="G469" s="6" t="s">
        <v>31</v>
      </c>
      <c r="H469" s="7">
        <v>3226.0</v>
      </c>
      <c r="I469" s="7">
        <v>4493.0</v>
      </c>
      <c r="J469" s="6">
        <v>2004.0</v>
      </c>
      <c r="K469" s="6">
        <v>58.0</v>
      </c>
      <c r="L469" s="6" t="s">
        <v>62</v>
      </c>
      <c r="M469" s="6" t="s">
        <v>1918</v>
      </c>
      <c r="N469" s="6" t="s">
        <v>64</v>
      </c>
      <c r="O469" s="6" t="s">
        <v>49</v>
      </c>
      <c r="P469" s="6">
        <f>COUNTIF(Analysis!$M$1:$M$3001,Analysis!$M469)</f>
        <v>1</v>
      </c>
      <c r="Q469" s="6" t="str">
        <f>IF(COUNTIF(Analysis!$M$2:$M$3001,Analysis!$M469)&gt;1,"Duplicate","OK")</f>
        <v>OK</v>
      </c>
      <c r="R469" s="6" t="str">
        <f t="shared" si="1"/>
        <v>2600-3600</v>
      </c>
      <c r="S469" s="6">
        <f t="shared" si="2"/>
        <v>22</v>
      </c>
      <c r="T469" s="6" t="str">
        <f t="shared" si="3"/>
        <v>Mid</v>
      </c>
    </row>
    <row r="470" ht="14.25" customHeight="1">
      <c r="A470" s="5">
        <v>113084.0</v>
      </c>
      <c r="B470" s="6" t="s">
        <v>1921</v>
      </c>
      <c r="C470" s="6" t="s">
        <v>18</v>
      </c>
      <c r="D470" s="6">
        <v>16656.0</v>
      </c>
      <c r="E470" s="6" t="s">
        <v>60</v>
      </c>
      <c r="F470" s="6" t="s">
        <v>46</v>
      </c>
      <c r="G470" s="6" t="s">
        <v>55</v>
      </c>
      <c r="H470" s="7">
        <v>2148.0</v>
      </c>
      <c r="I470" s="7">
        <v>9539.0</v>
      </c>
      <c r="J470" s="6">
        <v>2015.0</v>
      </c>
      <c r="K470" s="6">
        <v>94.0</v>
      </c>
      <c r="L470" s="6" t="s">
        <v>22</v>
      </c>
      <c r="M470" s="6" t="s">
        <v>1922</v>
      </c>
      <c r="N470" s="6" t="s">
        <v>64</v>
      </c>
      <c r="O470" s="6" t="s">
        <v>49</v>
      </c>
      <c r="P470" s="6">
        <f>COUNTIF(Analysis!$M$1:$M$3001,Analysis!$M470)</f>
        <v>1</v>
      </c>
      <c r="Q470" s="6" t="str">
        <f>IF(COUNTIF(Analysis!$M$2:$M$3001,Analysis!$M470)&gt;1,"Duplicate","OK")</f>
        <v>OK</v>
      </c>
      <c r="R470" s="6" t="str">
        <f t="shared" si="1"/>
        <v>1600-2600</v>
      </c>
      <c r="S470" s="6">
        <f t="shared" si="2"/>
        <v>11</v>
      </c>
      <c r="T470" s="6" t="str">
        <f t="shared" si="3"/>
        <v>Mid</v>
      </c>
    </row>
    <row r="471" ht="14.25" customHeight="1">
      <c r="A471" s="5">
        <v>206332.0</v>
      </c>
      <c r="B471" s="6" t="s">
        <v>1925</v>
      </c>
      <c r="C471" s="6" t="s">
        <v>53</v>
      </c>
      <c r="D471" s="6">
        <v>49604.0</v>
      </c>
      <c r="E471" s="6" t="s">
        <v>77</v>
      </c>
      <c r="F471" s="6" t="s">
        <v>61</v>
      </c>
      <c r="G471" s="6" t="s">
        <v>55</v>
      </c>
      <c r="H471" s="7">
        <v>3235.0</v>
      </c>
      <c r="I471" s="7">
        <v>3939.0</v>
      </c>
      <c r="J471" s="6">
        <v>1960.0</v>
      </c>
      <c r="K471" s="6">
        <v>94.0</v>
      </c>
      <c r="L471" s="6" t="s">
        <v>22</v>
      </c>
      <c r="M471" s="6" t="s">
        <v>1926</v>
      </c>
      <c r="N471" s="6" t="s">
        <v>64</v>
      </c>
      <c r="O471" s="6" t="s">
        <v>25</v>
      </c>
      <c r="P471" s="6">
        <f>COUNTIF(Analysis!$M$1:$M$3001,Analysis!$M471)</f>
        <v>1</v>
      </c>
      <c r="Q471" s="6" t="str">
        <f>IF(COUNTIF(Analysis!$M$2:$M$3001,Analysis!$M471)&gt;1,"Duplicate","OK")</f>
        <v>OK</v>
      </c>
      <c r="R471" s="6" t="str">
        <f t="shared" si="1"/>
        <v>2600-3600</v>
      </c>
      <c r="S471" s="6">
        <f t="shared" si="2"/>
        <v>66</v>
      </c>
      <c r="T471" s="6" t="str">
        <f t="shared" si="3"/>
        <v>Very Old</v>
      </c>
    </row>
    <row r="472" ht="14.25" customHeight="1">
      <c r="A472" s="5">
        <v>358119.0</v>
      </c>
      <c r="B472" s="6" t="s">
        <v>2911</v>
      </c>
      <c r="C472" s="6" t="s">
        <v>29</v>
      </c>
      <c r="D472" s="6">
        <v>88240.0</v>
      </c>
      <c r="E472" s="6" t="s">
        <v>60</v>
      </c>
      <c r="F472" s="6" t="s">
        <v>54</v>
      </c>
      <c r="G472" s="6" t="s">
        <v>100</v>
      </c>
      <c r="H472" s="7">
        <v>2456.0</v>
      </c>
      <c r="I472" s="7">
        <v>6941.0</v>
      </c>
      <c r="J472" s="6">
        <v>1972.0</v>
      </c>
      <c r="K472" s="6">
        <v>5.0</v>
      </c>
      <c r="L472" s="6" t="s">
        <v>22</v>
      </c>
      <c r="M472" s="6" t="s">
        <v>2912</v>
      </c>
      <c r="N472" s="6" t="s">
        <v>43</v>
      </c>
      <c r="O472" s="6" t="s">
        <v>25</v>
      </c>
      <c r="P472" s="6">
        <f>COUNTIF(Analysis!$M$1:$M$3001,Analysis!$M718)</f>
        <v>1</v>
      </c>
      <c r="Q472" s="6" t="str">
        <f>IF(COUNTIF(Analysis!$M$2:$M$3001,Analysis!$M718)&gt;1,"Duplicate","OK")</f>
        <v>OK</v>
      </c>
      <c r="R472" s="6" t="str">
        <f t="shared" si="1"/>
        <v>1600-2600</v>
      </c>
      <c r="S472" s="6">
        <f t="shared" si="2"/>
        <v>54</v>
      </c>
      <c r="T472" s="6" t="str">
        <f t="shared" si="3"/>
        <v>Old</v>
      </c>
    </row>
    <row r="473" ht="14.25" customHeight="1">
      <c r="A473" s="5">
        <v>361658.0</v>
      </c>
      <c r="B473" s="6" t="s">
        <v>5271</v>
      </c>
      <c r="C473" s="6" t="s">
        <v>29</v>
      </c>
      <c r="D473" s="6">
        <v>96198.0</v>
      </c>
      <c r="E473" s="6" t="s">
        <v>30</v>
      </c>
      <c r="F473" s="6" t="s">
        <v>54</v>
      </c>
      <c r="G473" s="6" t="s">
        <v>21</v>
      </c>
      <c r="H473" s="7">
        <v>2701.0</v>
      </c>
      <c r="I473" s="7">
        <v>7568.0</v>
      </c>
      <c r="J473" s="6">
        <v>1986.0</v>
      </c>
      <c r="K473" s="6">
        <v>11.0</v>
      </c>
      <c r="L473" s="6" t="s">
        <v>95</v>
      </c>
      <c r="M473" s="6" t="s">
        <v>5272</v>
      </c>
      <c r="N473" s="6" t="s">
        <v>24</v>
      </c>
      <c r="O473" s="6" t="s">
        <v>35</v>
      </c>
      <c r="P473" s="6">
        <f>COUNTIF(Analysis!$M$1:$M$3001,Analysis!$M1308)</f>
        <v>1</v>
      </c>
      <c r="Q473" s="6" t="str">
        <f>IF(COUNTIF(Analysis!$M$2:$M$3001,Analysis!$M1308)&gt;1,"Duplicate","OK")</f>
        <v>OK</v>
      </c>
      <c r="R473" s="6" t="str">
        <f t="shared" si="1"/>
        <v>2600-3600</v>
      </c>
      <c r="S473" s="6">
        <f t="shared" si="2"/>
        <v>40</v>
      </c>
      <c r="T473" s="6" t="str">
        <f t="shared" si="3"/>
        <v>Old</v>
      </c>
    </row>
    <row r="474" ht="14.25" customHeight="1">
      <c r="A474" s="5">
        <v>1009530.0</v>
      </c>
      <c r="B474" s="6" t="s">
        <v>1937</v>
      </c>
      <c r="C474" s="6" t="s">
        <v>76</v>
      </c>
      <c r="D474" s="6">
        <v>56080.0</v>
      </c>
      <c r="E474" s="6" t="s">
        <v>30</v>
      </c>
      <c r="F474" s="6" t="s">
        <v>61</v>
      </c>
      <c r="G474" s="6" t="s">
        <v>31</v>
      </c>
      <c r="H474" s="7">
        <v>3083.0</v>
      </c>
      <c r="I474" s="7">
        <v>8448.0</v>
      </c>
      <c r="J474" s="6">
        <v>1966.0</v>
      </c>
      <c r="K474" s="6">
        <v>67.0</v>
      </c>
      <c r="L474" s="6" t="s">
        <v>62</v>
      </c>
      <c r="M474" s="6" t="s">
        <v>1938</v>
      </c>
      <c r="N474" s="6" t="s">
        <v>64</v>
      </c>
      <c r="O474" s="6" t="s">
        <v>25</v>
      </c>
      <c r="P474" s="6">
        <f>COUNTIF(Analysis!$M$1:$M$3001,Analysis!$M474)</f>
        <v>1</v>
      </c>
      <c r="Q474" s="6" t="str">
        <f>IF(COUNTIF(Analysis!$M$2:$M$3001,Analysis!$M474)&gt;1,"Duplicate","OK")</f>
        <v>OK</v>
      </c>
      <c r="R474" s="6" t="str">
        <f t="shared" si="1"/>
        <v>2600-3600</v>
      </c>
      <c r="S474" s="6">
        <f t="shared" si="2"/>
        <v>60</v>
      </c>
      <c r="T474" s="6" t="str">
        <f t="shared" si="3"/>
        <v>Old</v>
      </c>
    </row>
    <row r="475" ht="14.25" customHeight="1">
      <c r="A475" s="5">
        <v>545380.0</v>
      </c>
      <c r="B475" s="6" t="s">
        <v>1941</v>
      </c>
      <c r="C475" s="6" t="s">
        <v>53</v>
      </c>
      <c r="D475" s="6">
        <v>35544.0</v>
      </c>
      <c r="E475" s="6" t="s">
        <v>19</v>
      </c>
      <c r="F475" s="6" t="s">
        <v>20</v>
      </c>
      <c r="G475" s="6" t="s">
        <v>21</v>
      </c>
      <c r="H475" s="7">
        <v>2037.0</v>
      </c>
      <c r="I475" s="7">
        <v>6805.0</v>
      </c>
      <c r="J475" s="6">
        <v>1972.0</v>
      </c>
      <c r="K475" s="6">
        <v>64.0</v>
      </c>
      <c r="L475" s="6" t="s">
        <v>32</v>
      </c>
      <c r="M475" s="6" t="s">
        <v>1942</v>
      </c>
      <c r="N475" s="6" t="s">
        <v>43</v>
      </c>
      <c r="O475" s="6" t="s">
        <v>25</v>
      </c>
      <c r="P475" s="6">
        <f>COUNTIF(Analysis!$M$1:$M$3001,Analysis!$M475)</f>
        <v>1</v>
      </c>
      <c r="Q475" s="6" t="str">
        <f>IF(COUNTIF(Analysis!$M$2:$M$3001,Analysis!$M475)&gt;1,"Duplicate","OK")</f>
        <v>OK</v>
      </c>
      <c r="R475" s="6" t="str">
        <f t="shared" si="1"/>
        <v>1600-2600</v>
      </c>
      <c r="S475" s="6">
        <f t="shared" si="2"/>
        <v>54</v>
      </c>
      <c r="T475" s="6" t="str">
        <f t="shared" si="3"/>
        <v>Old</v>
      </c>
    </row>
    <row r="476" ht="14.25" customHeight="1">
      <c r="A476" s="5">
        <v>357273.0</v>
      </c>
      <c r="B476" s="6" t="s">
        <v>1945</v>
      </c>
      <c r="C476" s="6" t="s">
        <v>18</v>
      </c>
      <c r="D476" s="6">
        <v>29803.0</v>
      </c>
      <c r="E476" s="6" t="s">
        <v>40</v>
      </c>
      <c r="F476" s="6" t="s">
        <v>61</v>
      </c>
      <c r="G476" s="6" t="s">
        <v>100</v>
      </c>
      <c r="H476" s="7">
        <v>2723.0</v>
      </c>
      <c r="I476" s="7">
        <v>6968.0</v>
      </c>
      <c r="J476" s="6">
        <v>1957.0</v>
      </c>
      <c r="K476" s="6">
        <v>57.0</v>
      </c>
      <c r="L476" s="6" t="s">
        <v>95</v>
      </c>
      <c r="M476" s="6" t="s">
        <v>1946</v>
      </c>
      <c r="N476" s="6" t="s">
        <v>34</v>
      </c>
      <c r="O476" s="6" t="s">
        <v>49</v>
      </c>
      <c r="P476" s="6">
        <f>COUNTIF(Analysis!$M$1:$M$3001,Analysis!$M476)</f>
        <v>1</v>
      </c>
      <c r="Q476" s="6" t="str">
        <f>IF(COUNTIF(Analysis!$M$2:$M$3001,Analysis!$M476)&gt;1,"Duplicate","OK")</f>
        <v>OK</v>
      </c>
      <c r="R476" s="6" t="str">
        <f t="shared" si="1"/>
        <v>2600-3600</v>
      </c>
      <c r="S476" s="6">
        <f t="shared" si="2"/>
        <v>69</v>
      </c>
      <c r="T476" s="6" t="str">
        <f t="shared" si="3"/>
        <v>Very Old</v>
      </c>
    </row>
    <row r="477" ht="14.25" customHeight="1">
      <c r="A477" s="5">
        <v>537598.0</v>
      </c>
      <c r="B477" s="6" t="s">
        <v>1949</v>
      </c>
      <c r="C477" s="6" t="s">
        <v>76</v>
      </c>
      <c r="D477" s="6">
        <v>11210.0</v>
      </c>
      <c r="E477" s="6" t="s">
        <v>30</v>
      </c>
      <c r="F477" s="6" t="s">
        <v>61</v>
      </c>
      <c r="G477" s="6" t="s">
        <v>55</v>
      </c>
      <c r="H477" s="7">
        <v>3694.0</v>
      </c>
      <c r="I477" s="7">
        <v>9944.0</v>
      </c>
      <c r="J477" s="6">
        <v>1973.0</v>
      </c>
      <c r="K477" s="6">
        <v>16.0</v>
      </c>
      <c r="L477" s="6" t="s">
        <v>141</v>
      </c>
      <c r="M477" s="6" t="s">
        <v>1950</v>
      </c>
      <c r="N477" s="6" t="s">
        <v>43</v>
      </c>
      <c r="O477" s="6" t="s">
        <v>25</v>
      </c>
      <c r="P477" s="6">
        <f>COUNTIF(Analysis!$M$1:$M$3001,Analysis!$M477)</f>
        <v>1</v>
      </c>
      <c r="Q477" s="6" t="str">
        <f>IF(COUNTIF(Analysis!$M$2:$M$3001,Analysis!$M477)&gt;1,"Duplicate","OK")</f>
        <v>OK</v>
      </c>
      <c r="R477" s="6" t="str">
        <f t="shared" si="1"/>
        <v>3600+</v>
      </c>
      <c r="S477" s="6">
        <f t="shared" si="2"/>
        <v>53</v>
      </c>
      <c r="T477" s="6" t="str">
        <f t="shared" si="3"/>
        <v>Old</v>
      </c>
    </row>
    <row r="478" ht="14.25" customHeight="1">
      <c r="A478" s="5">
        <v>263351.0</v>
      </c>
      <c r="B478" s="6" t="s">
        <v>1953</v>
      </c>
      <c r="C478" s="6" t="s">
        <v>53</v>
      </c>
      <c r="D478" s="6">
        <v>50766.0</v>
      </c>
      <c r="E478" s="6" t="s">
        <v>77</v>
      </c>
      <c r="F478" s="6" t="s">
        <v>46</v>
      </c>
      <c r="G478" s="6" t="s">
        <v>100</v>
      </c>
      <c r="H478" s="7">
        <v>1746.0</v>
      </c>
      <c r="I478" s="7">
        <v>9811.0</v>
      </c>
      <c r="J478" s="6">
        <v>2013.0</v>
      </c>
      <c r="K478" s="6">
        <v>97.0</v>
      </c>
      <c r="L478" s="6" t="s">
        <v>62</v>
      </c>
      <c r="M478" s="6" t="s">
        <v>1954</v>
      </c>
      <c r="N478" s="6" t="s">
        <v>24</v>
      </c>
      <c r="O478" s="6" t="s">
        <v>35</v>
      </c>
      <c r="P478" s="6">
        <f>COUNTIF(Analysis!$M$1:$M$3001,Analysis!$M478)</f>
        <v>1</v>
      </c>
      <c r="Q478" s="6" t="str">
        <f>IF(COUNTIF(Analysis!$M$2:$M$3001,Analysis!$M478)&gt;1,"Duplicate","OK")</f>
        <v>OK</v>
      </c>
      <c r="R478" s="6" t="str">
        <f t="shared" si="1"/>
        <v>1600-2600</v>
      </c>
      <c r="S478" s="6">
        <f t="shared" si="2"/>
        <v>13</v>
      </c>
      <c r="T478" s="6" t="str">
        <f t="shared" si="3"/>
        <v>Mid</v>
      </c>
    </row>
    <row r="479" ht="14.25" customHeight="1">
      <c r="A479" s="5">
        <v>883643.0</v>
      </c>
      <c r="B479" s="6" t="s">
        <v>1957</v>
      </c>
      <c r="C479" s="6" t="s">
        <v>53</v>
      </c>
      <c r="D479" s="6">
        <v>94827.0</v>
      </c>
      <c r="E479" s="6" t="s">
        <v>40</v>
      </c>
      <c r="F479" s="6" t="s">
        <v>46</v>
      </c>
      <c r="G479" s="6" t="s">
        <v>100</v>
      </c>
      <c r="H479" s="7">
        <v>841.0</v>
      </c>
      <c r="I479" s="7">
        <v>5960.0</v>
      </c>
      <c r="J479" s="6">
        <v>1991.0</v>
      </c>
      <c r="K479" s="6">
        <v>28.0</v>
      </c>
      <c r="L479" s="6" t="s">
        <v>32</v>
      </c>
      <c r="M479" s="6" t="s">
        <v>1958</v>
      </c>
      <c r="N479" s="6" t="s">
        <v>43</v>
      </c>
      <c r="O479" s="6" t="s">
        <v>25</v>
      </c>
      <c r="P479" s="6">
        <f>COUNTIF(Analysis!$M$1:$M$3001,Analysis!$M479)</f>
        <v>1</v>
      </c>
      <c r="Q479" s="6" t="str">
        <f>IF(COUNTIF(Analysis!$M$2:$M$3001,Analysis!$M479)&gt;1,"Duplicate","OK")</f>
        <v>OK</v>
      </c>
      <c r="R479" s="6" t="str">
        <f t="shared" si="1"/>
        <v>600-1600</v>
      </c>
      <c r="S479" s="6">
        <f t="shared" si="2"/>
        <v>35</v>
      </c>
      <c r="T479" s="6" t="str">
        <f t="shared" si="3"/>
        <v>Old</v>
      </c>
    </row>
    <row r="480" ht="14.25" customHeight="1">
      <c r="A480" s="5">
        <v>654277.0</v>
      </c>
      <c r="B480" s="6" t="s">
        <v>1961</v>
      </c>
      <c r="C480" s="6" t="s">
        <v>76</v>
      </c>
      <c r="D480" s="6">
        <v>89195.0</v>
      </c>
      <c r="E480" s="6" t="s">
        <v>30</v>
      </c>
      <c r="F480" s="6" t="s">
        <v>54</v>
      </c>
      <c r="G480" s="6" t="s">
        <v>31</v>
      </c>
      <c r="H480" s="7">
        <v>741.0</v>
      </c>
      <c r="I480" s="7">
        <v>8032.0</v>
      </c>
      <c r="J480" s="6">
        <v>2018.0</v>
      </c>
      <c r="K480" s="6">
        <v>70.0</v>
      </c>
      <c r="L480" s="6" t="s">
        <v>141</v>
      </c>
      <c r="M480" s="6" t="s">
        <v>1962</v>
      </c>
      <c r="N480" s="6" t="s">
        <v>48</v>
      </c>
      <c r="O480" s="6" t="s">
        <v>35</v>
      </c>
      <c r="P480" s="6">
        <f>COUNTIF(Analysis!$M$1:$M$3001,Analysis!$M480)</f>
        <v>1</v>
      </c>
      <c r="Q480" s="6" t="str">
        <f>IF(COUNTIF(Analysis!$M$2:$M$3001,Analysis!$M480)&gt;1,"Duplicate","OK")</f>
        <v>OK</v>
      </c>
      <c r="R480" s="6" t="str">
        <f t="shared" si="1"/>
        <v>600-1600</v>
      </c>
      <c r="S480" s="6">
        <f t="shared" si="2"/>
        <v>8</v>
      </c>
      <c r="T480" s="6" t="str">
        <f t="shared" si="3"/>
        <v>New</v>
      </c>
    </row>
    <row r="481" ht="14.25" customHeight="1">
      <c r="A481" s="5">
        <v>855844.0</v>
      </c>
      <c r="B481" s="6" t="s">
        <v>1965</v>
      </c>
      <c r="C481" s="6" t="s">
        <v>18</v>
      </c>
      <c r="D481" s="6">
        <v>48115.0</v>
      </c>
      <c r="E481" s="6" t="s">
        <v>60</v>
      </c>
      <c r="F481" s="6" t="s">
        <v>20</v>
      </c>
      <c r="G481" s="6" t="s">
        <v>21</v>
      </c>
      <c r="H481" s="7">
        <v>3404.0</v>
      </c>
      <c r="I481" s="7">
        <v>6596.0</v>
      </c>
      <c r="J481" s="6">
        <v>1979.0</v>
      </c>
      <c r="K481" s="6">
        <v>27.0</v>
      </c>
      <c r="L481" s="6" t="s">
        <v>95</v>
      </c>
      <c r="M481" s="6" t="s">
        <v>1966</v>
      </c>
      <c r="N481" s="6" t="s">
        <v>64</v>
      </c>
      <c r="O481" s="6" t="s">
        <v>49</v>
      </c>
      <c r="P481" s="6">
        <f>COUNTIF(Analysis!$M$1:$M$3001,Analysis!$M481)</f>
        <v>1</v>
      </c>
      <c r="Q481" s="6" t="str">
        <f>IF(COUNTIF(Analysis!$M$2:$M$3001,Analysis!$M481)&gt;1,"Duplicate","OK")</f>
        <v>OK</v>
      </c>
      <c r="R481" s="6" t="str">
        <f t="shared" si="1"/>
        <v>2600-3600</v>
      </c>
      <c r="S481" s="6">
        <f t="shared" si="2"/>
        <v>47</v>
      </c>
      <c r="T481" s="6" t="str">
        <f t="shared" si="3"/>
        <v>Old</v>
      </c>
    </row>
    <row r="482" ht="14.25" customHeight="1">
      <c r="A482" s="5">
        <v>286416.0</v>
      </c>
      <c r="B482" s="6" t="s">
        <v>1969</v>
      </c>
      <c r="C482" s="6" t="s">
        <v>53</v>
      </c>
      <c r="D482" s="6">
        <v>99183.0</v>
      </c>
      <c r="E482" s="6" t="s">
        <v>60</v>
      </c>
      <c r="F482" s="6" t="s">
        <v>94</v>
      </c>
      <c r="G482" s="6" t="s">
        <v>100</v>
      </c>
      <c r="H482" s="7">
        <v>2294.0</v>
      </c>
      <c r="I482" s="7">
        <v>5246.0</v>
      </c>
      <c r="J482" s="6">
        <v>2015.0</v>
      </c>
      <c r="K482" s="6">
        <v>116.0</v>
      </c>
      <c r="L482" s="6" t="s">
        <v>95</v>
      </c>
      <c r="M482" s="6" t="s">
        <v>1970</v>
      </c>
      <c r="N482" s="6" t="s">
        <v>24</v>
      </c>
      <c r="O482" s="6" t="s">
        <v>35</v>
      </c>
      <c r="P482" s="6">
        <f>COUNTIF(Analysis!$M$1:$M$3001,Analysis!$M482)</f>
        <v>1</v>
      </c>
      <c r="Q482" s="6" t="str">
        <f>IF(COUNTIF(Analysis!$M$2:$M$3001,Analysis!$M482)&gt;1,"Duplicate","OK")</f>
        <v>OK</v>
      </c>
      <c r="R482" s="6" t="str">
        <f t="shared" si="1"/>
        <v>1600-2600</v>
      </c>
      <c r="S482" s="6">
        <f t="shared" si="2"/>
        <v>11</v>
      </c>
      <c r="T482" s="6" t="str">
        <f t="shared" si="3"/>
        <v>Mid</v>
      </c>
    </row>
    <row r="483" ht="14.25" customHeight="1">
      <c r="A483" s="5">
        <v>1471386.0</v>
      </c>
      <c r="B483" s="6" t="s">
        <v>1973</v>
      </c>
      <c r="C483" s="6" t="s">
        <v>53</v>
      </c>
      <c r="D483" s="6">
        <v>28501.0</v>
      </c>
      <c r="E483" s="6" t="s">
        <v>30</v>
      </c>
      <c r="F483" s="6" t="s">
        <v>46</v>
      </c>
      <c r="G483" s="6" t="s">
        <v>100</v>
      </c>
      <c r="H483" s="7">
        <v>622.0</v>
      </c>
      <c r="I483" s="7">
        <v>4625.0</v>
      </c>
      <c r="J483" s="6">
        <v>1992.0</v>
      </c>
      <c r="K483" s="6">
        <v>84.0</v>
      </c>
      <c r="L483" s="6" t="s">
        <v>141</v>
      </c>
      <c r="M483" s="6" t="s">
        <v>1974</v>
      </c>
      <c r="N483" s="6" t="s">
        <v>48</v>
      </c>
      <c r="O483" s="6" t="s">
        <v>49</v>
      </c>
      <c r="P483" s="6">
        <f>COUNTIF(Analysis!$M$1:$M$3001,Analysis!$M483)</f>
        <v>1</v>
      </c>
      <c r="Q483" s="6" t="str">
        <f>IF(COUNTIF(Analysis!$M$2:$M$3001,Analysis!$M483)&gt;1,"Duplicate","OK")</f>
        <v>OK</v>
      </c>
      <c r="R483" s="6" t="str">
        <f t="shared" si="1"/>
        <v>600-1600</v>
      </c>
      <c r="S483" s="6">
        <f t="shared" si="2"/>
        <v>34</v>
      </c>
      <c r="T483" s="6" t="str">
        <f t="shared" si="3"/>
        <v>Old</v>
      </c>
    </row>
    <row r="484" ht="14.25" customHeight="1">
      <c r="A484" s="5">
        <v>843704.0</v>
      </c>
      <c r="B484" s="6" t="s">
        <v>1977</v>
      </c>
      <c r="C484" s="6" t="s">
        <v>53</v>
      </c>
      <c r="D484" s="6">
        <v>95821.0</v>
      </c>
      <c r="E484" s="6" t="s">
        <v>40</v>
      </c>
      <c r="F484" s="6" t="s">
        <v>94</v>
      </c>
      <c r="G484" s="6" t="s">
        <v>31</v>
      </c>
      <c r="H484" s="7">
        <v>3816.0</v>
      </c>
      <c r="I484" s="7">
        <v>7652.0</v>
      </c>
      <c r="J484" s="6">
        <v>1963.0</v>
      </c>
      <c r="K484" s="6">
        <v>114.0</v>
      </c>
      <c r="L484" s="6" t="s">
        <v>22</v>
      </c>
      <c r="M484" s="6" t="s">
        <v>1978</v>
      </c>
      <c r="N484" s="6" t="s">
        <v>24</v>
      </c>
      <c r="O484" s="6" t="s">
        <v>25</v>
      </c>
      <c r="P484" s="6">
        <f>COUNTIF(Analysis!$M$1:$M$3001,Analysis!$M484)</f>
        <v>1</v>
      </c>
      <c r="Q484" s="6" t="str">
        <f>IF(COUNTIF(Analysis!$M$2:$M$3001,Analysis!$M484)&gt;1,"Duplicate","OK")</f>
        <v>OK</v>
      </c>
      <c r="R484" s="6" t="str">
        <f t="shared" si="1"/>
        <v>3600+</v>
      </c>
      <c r="S484" s="6">
        <f t="shared" si="2"/>
        <v>63</v>
      </c>
      <c r="T484" s="6" t="str">
        <f t="shared" si="3"/>
        <v>Very Old</v>
      </c>
    </row>
    <row r="485" ht="14.25" customHeight="1">
      <c r="A485" s="5">
        <v>558267.0</v>
      </c>
      <c r="B485" s="6" t="s">
        <v>1981</v>
      </c>
      <c r="C485" s="6" t="s">
        <v>76</v>
      </c>
      <c r="D485" s="6">
        <v>35045.0</v>
      </c>
      <c r="E485" s="6" t="s">
        <v>60</v>
      </c>
      <c r="F485" s="6" t="s">
        <v>20</v>
      </c>
      <c r="G485" s="6" t="s">
        <v>21</v>
      </c>
      <c r="H485" s="7">
        <v>1502.0</v>
      </c>
      <c r="I485" s="7">
        <v>7040.0</v>
      </c>
      <c r="J485" s="6">
        <v>1975.0</v>
      </c>
      <c r="K485" s="6">
        <v>106.0</v>
      </c>
      <c r="L485" s="6" t="s">
        <v>22</v>
      </c>
      <c r="M485" s="6" t="s">
        <v>1982</v>
      </c>
      <c r="N485" s="6" t="s">
        <v>24</v>
      </c>
      <c r="O485" s="6" t="s">
        <v>49</v>
      </c>
      <c r="P485" s="6">
        <f>COUNTIF(Analysis!$M$1:$M$3001,Analysis!$M485)</f>
        <v>1</v>
      </c>
      <c r="Q485" s="6" t="str">
        <f>IF(COUNTIF(Analysis!$M$2:$M$3001,Analysis!$M485)&gt;1,"Duplicate","OK")</f>
        <v>OK</v>
      </c>
      <c r="R485" s="6" t="str">
        <f t="shared" si="1"/>
        <v>600-1600</v>
      </c>
      <c r="S485" s="6">
        <f t="shared" si="2"/>
        <v>51</v>
      </c>
      <c r="T485" s="6" t="str">
        <f t="shared" si="3"/>
        <v>Old</v>
      </c>
    </row>
    <row r="486" ht="14.25" customHeight="1">
      <c r="A486" s="5">
        <v>575209.0</v>
      </c>
      <c r="B486" s="6" t="s">
        <v>1985</v>
      </c>
      <c r="C486" s="6" t="s">
        <v>18</v>
      </c>
      <c r="D486" s="6">
        <v>94919.0</v>
      </c>
      <c r="E486" s="6" t="s">
        <v>30</v>
      </c>
      <c r="F486" s="6" t="s">
        <v>54</v>
      </c>
      <c r="G486" s="6" t="s">
        <v>100</v>
      </c>
      <c r="H486" s="7">
        <v>3771.0</v>
      </c>
      <c r="I486" s="7">
        <v>2665.0</v>
      </c>
      <c r="J486" s="6">
        <v>1982.0</v>
      </c>
      <c r="K486" s="6">
        <v>112.0</v>
      </c>
      <c r="L486" s="6" t="s">
        <v>141</v>
      </c>
      <c r="M486" s="6" t="s">
        <v>1986</v>
      </c>
      <c r="N486" s="6" t="s">
        <v>64</v>
      </c>
      <c r="O486" s="6" t="s">
        <v>49</v>
      </c>
      <c r="P486" s="6">
        <f>COUNTIF(Analysis!$M$1:$M$3001,Analysis!$M486)</f>
        <v>1</v>
      </c>
      <c r="Q486" s="6" t="str">
        <f>IF(COUNTIF(Analysis!$M$2:$M$3001,Analysis!$M486)&gt;1,"Duplicate","OK")</f>
        <v>OK</v>
      </c>
      <c r="R486" s="6" t="str">
        <f t="shared" si="1"/>
        <v>3600+</v>
      </c>
      <c r="S486" s="6">
        <f t="shared" si="2"/>
        <v>44</v>
      </c>
      <c r="T486" s="6" t="str">
        <f t="shared" si="3"/>
        <v>Old</v>
      </c>
    </row>
    <row r="487" ht="14.25" customHeight="1">
      <c r="A487" s="5">
        <v>788343.0</v>
      </c>
      <c r="B487" s="6" t="s">
        <v>1989</v>
      </c>
      <c r="C487" s="6" t="s">
        <v>76</v>
      </c>
      <c r="D487" s="6">
        <v>20373.0</v>
      </c>
      <c r="E487" s="6" t="s">
        <v>77</v>
      </c>
      <c r="F487" s="6" t="s">
        <v>61</v>
      </c>
      <c r="G487" s="6" t="s">
        <v>100</v>
      </c>
      <c r="H487" s="7">
        <v>718.0</v>
      </c>
      <c r="I487" s="7">
        <v>1624.0</v>
      </c>
      <c r="J487" s="6">
        <v>1964.0</v>
      </c>
      <c r="K487" s="6">
        <v>104.0</v>
      </c>
      <c r="L487" s="6" t="s">
        <v>32</v>
      </c>
      <c r="M487" s="6" t="s">
        <v>1990</v>
      </c>
      <c r="N487" s="6" t="s">
        <v>24</v>
      </c>
      <c r="O487" s="6" t="s">
        <v>25</v>
      </c>
      <c r="P487" s="6">
        <f>COUNTIF(Analysis!$M$1:$M$3001,Analysis!$M487)</f>
        <v>1</v>
      </c>
      <c r="Q487" s="6" t="str">
        <f>IF(COUNTIF(Analysis!$M$2:$M$3001,Analysis!$M487)&gt;1,"Duplicate","OK")</f>
        <v>OK</v>
      </c>
      <c r="R487" s="6" t="str">
        <f t="shared" si="1"/>
        <v>600-1600</v>
      </c>
      <c r="S487" s="6">
        <f t="shared" si="2"/>
        <v>62</v>
      </c>
      <c r="T487" s="6" t="str">
        <f t="shared" si="3"/>
        <v>Very Old</v>
      </c>
    </row>
    <row r="488" ht="14.25" customHeight="1">
      <c r="A488" s="5">
        <v>1175985.0</v>
      </c>
      <c r="B488" s="6" t="s">
        <v>1993</v>
      </c>
      <c r="C488" s="6" t="s">
        <v>39</v>
      </c>
      <c r="D488" s="6">
        <v>82995.0</v>
      </c>
      <c r="E488" s="6" t="s">
        <v>30</v>
      </c>
      <c r="F488" s="6" t="s">
        <v>94</v>
      </c>
      <c r="G488" s="6" t="s">
        <v>55</v>
      </c>
      <c r="H488" s="7">
        <v>1725.0</v>
      </c>
      <c r="I488" s="7">
        <v>5053.0</v>
      </c>
      <c r="J488" s="6">
        <v>1978.0</v>
      </c>
      <c r="K488" s="6">
        <v>40.0</v>
      </c>
      <c r="L488" s="6" t="s">
        <v>141</v>
      </c>
      <c r="M488" s="6" t="s">
        <v>1994</v>
      </c>
      <c r="N488" s="6" t="s">
        <v>34</v>
      </c>
      <c r="O488" s="6" t="s">
        <v>35</v>
      </c>
      <c r="P488" s="6">
        <f>COUNTIF(Analysis!$M$1:$M$3001,Analysis!$M488)</f>
        <v>1</v>
      </c>
      <c r="Q488" s="6" t="str">
        <f>IF(COUNTIF(Analysis!$M$2:$M$3001,Analysis!$M488)&gt;1,"Duplicate","OK")</f>
        <v>OK</v>
      </c>
      <c r="R488" s="6" t="str">
        <f t="shared" si="1"/>
        <v>1600-2600</v>
      </c>
      <c r="S488" s="6">
        <f t="shared" si="2"/>
        <v>48</v>
      </c>
      <c r="T488" s="6" t="str">
        <f t="shared" si="3"/>
        <v>Old</v>
      </c>
    </row>
    <row r="489" ht="14.25" customHeight="1">
      <c r="A489" s="5">
        <v>389748.0</v>
      </c>
      <c r="B489" s="6" t="s">
        <v>1997</v>
      </c>
      <c r="C489" s="6" t="s">
        <v>39</v>
      </c>
      <c r="D489" s="6">
        <v>58019.0</v>
      </c>
      <c r="E489" s="6" t="s">
        <v>60</v>
      </c>
      <c r="F489" s="6" t="s">
        <v>61</v>
      </c>
      <c r="G489" s="6" t="s">
        <v>21</v>
      </c>
      <c r="H489" s="7">
        <v>1188.0</v>
      </c>
      <c r="I489" s="7">
        <v>7429.0</v>
      </c>
      <c r="J489" s="6">
        <v>1966.0</v>
      </c>
      <c r="K489" s="6">
        <v>55.0</v>
      </c>
      <c r="L489" s="6" t="s">
        <v>95</v>
      </c>
      <c r="M489" s="6" t="s">
        <v>1998</v>
      </c>
      <c r="N489" s="6" t="s">
        <v>64</v>
      </c>
      <c r="O489" s="6" t="s">
        <v>25</v>
      </c>
      <c r="P489" s="6">
        <f>COUNTIF(Analysis!$M$1:$M$3001,Analysis!$M489)</f>
        <v>1</v>
      </c>
      <c r="Q489" s="6" t="str">
        <f>IF(COUNTIF(Analysis!$M$2:$M$3001,Analysis!$M489)&gt;1,"Duplicate","OK")</f>
        <v>OK</v>
      </c>
      <c r="R489" s="6" t="str">
        <f t="shared" si="1"/>
        <v>600-1600</v>
      </c>
      <c r="S489" s="6">
        <f t="shared" si="2"/>
        <v>60</v>
      </c>
      <c r="T489" s="6" t="str">
        <f t="shared" si="3"/>
        <v>Old</v>
      </c>
    </row>
    <row r="490" ht="14.25" customHeight="1">
      <c r="A490" s="5">
        <v>297796.0</v>
      </c>
      <c r="B490" s="6" t="s">
        <v>2001</v>
      </c>
      <c r="C490" s="6" t="s">
        <v>76</v>
      </c>
      <c r="D490" s="6">
        <v>47018.0</v>
      </c>
      <c r="E490" s="6" t="s">
        <v>77</v>
      </c>
      <c r="F490" s="6" t="s">
        <v>61</v>
      </c>
      <c r="G490" s="6" t="s">
        <v>21</v>
      </c>
      <c r="H490" s="7">
        <v>1748.0</v>
      </c>
      <c r="I490" s="7">
        <v>7189.0</v>
      </c>
      <c r="J490" s="6">
        <v>1956.0</v>
      </c>
      <c r="K490" s="6">
        <v>10.0</v>
      </c>
      <c r="L490" s="6" t="s">
        <v>32</v>
      </c>
      <c r="M490" s="6" t="s">
        <v>2002</v>
      </c>
      <c r="N490" s="6" t="s">
        <v>43</v>
      </c>
      <c r="O490" s="6" t="s">
        <v>49</v>
      </c>
      <c r="P490" s="6">
        <f>COUNTIF(Analysis!$M$1:$M$3001,Analysis!$M490)</f>
        <v>1</v>
      </c>
      <c r="Q490" s="6" t="str">
        <f>IF(COUNTIF(Analysis!$M$2:$M$3001,Analysis!$M490)&gt;1,"Duplicate","OK")</f>
        <v>OK</v>
      </c>
      <c r="R490" s="6" t="str">
        <f t="shared" si="1"/>
        <v>1600-2600</v>
      </c>
      <c r="S490" s="6">
        <f t="shared" si="2"/>
        <v>70</v>
      </c>
      <c r="T490" s="6" t="str">
        <f t="shared" si="3"/>
        <v>Very Old</v>
      </c>
    </row>
    <row r="491" ht="14.25" customHeight="1">
      <c r="A491" s="5">
        <v>117540.0</v>
      </c>
      <c r="B491" s="6" t="s">
        <v>2005</v>
      </c>
      <c r="C491" s="6" t="s">
        <v>53</v>
      </c>
      <c r="D491" s="6">
        <v>44250.0</v>
      </c>
      <c r="E491" s="6" t="s">
        <v>40</v>
      </c>
      <c r="F491" s="6" t="s">
        <v>41</v>
      </c>
      <c r="G491" s="6" t="s">
        <v>100</v>
      </c>
      <c r="H491" s="7">
        <v>2415.0</v>
      </c>
      <c r="I491" s="7">
        <v>7240.0</v>
      </c>
      <c r="J491" s="6">
        <v>1953.0</v>
      </c>
      <c r="K491" s="6">
        <v>36.0</v>
      </c>
      <c r="L491" s="6" t="s">
        <v>22</v>
      </c>
      <c r="M491" s="6" t="s">
        <v>2006</v>
      </c>
      <c r="N491" s="6" t="s">
        <v>34</v>
      </c>
      <c r="O491" s="6" t="s">
        <v>25</v>
      </c>
      <c r="P491" s="6">
        <f>COUNTIF(Analysis!$M$1:$M$3001,Analysis!$M491)</f>
        <v>1</v>
      </c>
      <c r="Q491" s="6" t="str">
        <f>IF(COUNTIF(Analysis!$M$2:$M$3001,Analysis!$M491)&gt;1,"Duplicate","OK")</f>
        <v>OK</v>
      </c>
      <c r="R491" s="6" t="str">
        <f t="shared" si="1"/>
        <v>1600-2600</v>
      </c>
      <c r="S491" s="6">
        <f t="shared" si="2"/>
        <v>73</v>
      </c>
      <c r="T491" s="6" t="str">
        <f t="shared" si="3"/>
        <v>Very Old</v>
      </c>
    </row>
    <row r="492" ht="14.25" customHeight="1">
      <c r="A492" s="5">
        <v>320520.0</v>
      </c>
      <c r="B492" s="6" t="s">
        <v>2009</v>
      </c>
      <c r="C492" s="6" t="s">
        <v>18</v>
      </c>
      <c r="D492" s="6">
        <v>40066.0</v>
      </c>
      <c r="E492" s="6" t="s">
        <v>40</v>
      </c>
      <c r="F492" s="6" t="s">
        <v>54</v>
      </c>
      <c r="G492" s="6" t="s">
        <v>55</v>
      </c>
      <c r="H492" s="7">
        <v>3290.0</v>
      </c>
      <c r="I492" s="7">
        <v>3111.0</v>
      </c>
      <c r="J492" s="6">
        <v>2007.0</v>
      </c>
      <c r="K492" s="6">
        <v>81.0</v>
      </c>
      <c r="L492" s="6" t="s">
        <v>62</v>
      </c>
      <c r="M492" s="6" t="s">
        <v>2010</v>
      </c>
      <c r="N492" s="6" t="s">
        <v>24</v>
      </c>
      <c r="O492" s="6" t="s">
        <v>49</v>
      </c>
      <c r="P492" s="6">
        <f>COUNTIF(Analysis!$M$1:$M$3001,Analysis!$M492)</f>
        <v>1</v>
      </c>
      <c r="Q492" s="6" t="str">
        <f>IF(COUNTIF(Analysis!$M$2:$M$3001,Analysis!$M492)&gt;1,"Duplicate","OK")</f>
        <v>OK</v>
      </c>
      <c r="R492" s="6" t="str">
        <f t="shared" si="1"/>
        <v>2600-3600</v>
      </c>
      <c r="S492" s="6">
        <f t="shared" si="2"/>
        <v>19</v>
      </c>
      <c r="T492" s="6" t="str">
        <f t="shared" si="3"/>
        <v>Mid</v>
      </c>
    </row>
    <row r="493" ht="14.25" customHeight="1">
      <c r="A493" s="5">
        <v>319961.0</v>
      </c>
      <c r="B493" s="6" t="s">
        <v>2013</v>
      </c>
      <c r="C493" s="6" t="s">
        <v>39</v>
      </c>
      <c r="D493" s="6">
        <v>67883.0</v>
      </c>
      <c r="E493" s="6" t="s">
        <v>40</v>
      </c>
      <c r="F493" s="6" t="s">
        <v>46</v>
      </c>
      <c r="G493" s="6" t="s">
        <v>21</v>
      </c>
      <c r="H493" s="7">
        <v>894.0</v>
      </c>
      <c r="I493" s="7">
        <v>6877.0</v>
      </c>
      <c r="J493" s="6">
        <v>1968.0</v>
      </c>
      <c r="K493" s="6">
        <v>11.0</v>
      </c>
      <c r="L493" s="6" t="s">
        <v>32</v>
      </c>
      <c r="M493" s="6" t="s">
        <v>2014</v>
      </c>
      <c r="N493" s="6" t="s">
        <v>48</v>
      </c>
      <c r="O493" s="6" t="s">
        <v>35</v>
      </c>
      <c r="P493" s="6">
        <f>COUNTIF(Analysis!$M$1:$M$3001,Analysis!$M493)</f>
        <v>1</v>
      </c>
      <c r="Q493" s="6" t="str">
        <f>IF(COUNTIF(Analysis!$M$2:$M$3001,Analysis!$M493)&gt;1,"Duplicate","OK")</f>
        <v>OK</v>
      </c>
      <c r="R493" s="6" t="str">
        <f t="shared" si="1"/>
        <v>600-1600</v>
      </c>
      <c r="S493" s="6">
        <f t="shared" si="2"/>
        <v>58</v>
      </c>
      <c r="T493" s="6" t="str">
        <f t="shared" si="3"/>
        <v>Old</v>
      </c>
    </row>
    <row r="494" ht="14.25" customHeight="1">
      <c r="A494" s="5">
        <v>563715.0</v>
      </c>
      <c r="B494" s="6" t="s">
        <v>2017</v>
      </c>
      <c r="C494" s="6" t="s">
        <v>53</v>
      </c>
      <c r="D494" s="6">
        <v>88335.0</v>
      </c>
      <c r="E494" s="6" t="s">
        <v>77</v>
      </c>
      <c r="F494" s="6" t="s">
        <v>61</v>
      </c>
      <c r="G494" s="6" t="s">
        <v>100</v>
      </c>
      <c r="H494" s="7">
        <v>2143.0</v>
      </c>
      <c r="I494" s="7">
        <v>3548.0</v>
      </c>
      <c r="J494" s="6">
        <v>1988.0</v>
      </c>
      <c r="K494" s="6">
        <v>28.0</v>
      </c>
      <c r="L494" s="6" t="s">
        <v>95</v>
      </c>
      <c r="M494" s="6" t="s">
        <v>2018</v>
      </c>
      <c r="N494" s="6" t="s">
        <v>43</v>
      </c>
      <c r="O494" s="6" t="s">
        <v>25</v>
      </c>
      <c r="P494" s="6">
        <f>COUNTIF(Analysis!$M$1:$M$3001,Analysis!$M494)</f>
        <v>1</v>
      </c>
      <c r="Q494" s="6" t="str">
        <f>IF(COUNTIF(Analysis!$M$2:$M$3001,Analysis!$M494)&gt;1,"Duplicate","OK")</f>
        <v>OK</v>
      </c>
      <c r="R494" s="6" t="str">
        <f t="shared" si="1"/>
        <v>1600-2600</v>
      </c>
      <c r="S494" s="6">
        <f t="shared" si="2"/>
        <v>38</v>
      </c>
      <c r="T494" s="6" t="str">
        <f t="shared" si="3"/>
        <v>Old</v>
      </c>
    </row>
    <row r="495" ht="14.25" customHeight="1">
      <c r="A495" s="5">
        <v>842075.0</v>
      </c>
      <c r="B495" s="6" t="s">
        <v>2021</v>
      </c>
      <c r="C495" s="6" t="s">
        <v>76</v>
      </c>
      <c r="D495" s="6">
        <v>77567.0</v>
      </c>
      <c r="E495" s="6" t="s">
        <v>40</v>
      </c>
      <c r="F495" s="6" t="s">
        <v>94</v>
      </c>
      <c r="G495" s="6" t="s">
        <v>21</v>
      </c>
      <c r="H495" s="7">
        <v>3563.0</v>
      </c>
      <c r="I495" s="7">
        <v>2581.0</v>
      </c>
      <c r="J495" s="6">
        <v>1954.0</v>
      </c>
      <c r="K495" s="6">
        <v>54.0</v>
      </c>
      <c r="L495" s="6" t="s">
        <v>95</v>
      </c>
      <c r="M495" s="6" t="s">
        <v>2022</v>
      </c>
      <c r="N495" s="6" t="s">
        <v>24</v>
      </c>
      <c r="O495" s="6" t="s">
        <v>49</v>
      </c>
      <c r="P495" s="6">
        <f>COUNTIF(Analysis!$M$1:$M$3001,Analysis!$M495)</f>
        <v>1</v>
      </c>
      <c r="Q495" s="6" t="str">
        <f>IF(COUNTIF(Analysis!$M$2:$M$3001,Analysis!$M495)&gt;1,"Duplicate","OK")</f>
        <v>OK</v>
      </c>
      <c r="R495" s="6" t="str">
        <f t="shared" si="1"/>
        <v>2600-3600</v>
      </c>
      <c r="S495" s="6">
        <f t="shared" si="2"/>
        <v>72</v>
      </c>
      <c r="T495" s="6" t="str">
        <f t="shared" si="3"/>
        <v>Very Old</v>
      </c>
    </row>
    <row r="496" ht="14.25" customHeight="1">
      <c r="A496" s="5">
        <v>1394343.0</v>
      </c>
      <c r="B496" s="6" t="s">
        <v>2025</v>
      </c>
      <c r="C496" s="6" t="s">
        <v>18</v>
      </c>
      <c r="D496" s="6">
        <v>65461.0</v>
      </c>
      <c r="E496" s="6" t="s">
        <v>60</v>
      </c>
      <c r="F496" s="6" t="s">
        <v>46</v>
      </c>
      <c r="G496" s="6" t="s">
        <v>55</v>
      </c>
      <c r="H496" s="7">
        <v>1464.0</v>
      </c>
      <c r="I496" s="7">
        <v>7843.0</v>
      </c>
      <c r="J496" s="6">
        <v>1992.0</v>
      </c>
      <c r="K496" s="6">
        <v>70.0</v>
      </c>
      <c r="L496" s="6" t="s">
        <v>95</v>
      </c>
      <c r="M496" s="6" t="s">
        <v>2026</v>
      </c>
      <c r="N496" s="6" t="s">
        <v>24</v>
      </c>
      <c r="O496" s="6" t="s">
        <v>49</v>
      </c>
      <c r="P496" s="6">
        <f>COUNTIF(Analysis!$M$1:$M$3001,Analysis!$M496)</f>
        <v>1</v>
      </c>
      <c r="Q496" s="6" t="str">
        <f>IF(COUNTIF(Analysis!$M$2:$M$3001,Analysis!$M496)&gt;1,"Duplicate","OK")</f>
        <v>OK</v>
      </c>
      <c r="R496" s="6" t="str">
        <f t="shared" si="1"/>
        <v>600-1600</v>
      </c>
      <c r="S496" s="6">
        <f t="shared" si="2"/>
        <v>34</v>
      </c>
      <c r="T496" s="6" t="str">
        <f t="shared" si="3"/>
        <v>Old</v>
      </c>
    </row>
    <row r="497" ht="14.25" customHeight="1">
      <c r="A497" s="5">
        <v>1219513.0</v>
      </c>
      <c r="B497" s="6" t="s">
        <v>2029</v>
      </c>
      <c r="C497" s="6" t="s">
        <v>18</v>
      </c>
      <c r="D497" s="6">
        <v>93955.0</v>
      </c>
      <c r="E497" s="6" t="s">
        <v>77</v>
      </c>
      <c r="F497" s="6" t="s">
        <v>61</v>
      </c>
      <c r="G497" s="6" t="s">
        <v>100</v>
      </c>
      <c r="H497" s="7">
        <v>1116.0</v>
      </c>
      <c r="I497" s="7">
        <v>4430.0</v>
      </c>
      <c r="J497" s="6">
        <v>1956.0</v>
      </c>
      <c r="K497" s="6">
        <v>91.0</v>
      </c>
      <c r="L497" s="6" t="s">
        <v>141</v>
      </c>
      <c r="M497" s="6" t="s">
        <v>2030</v>
      </c>
      <c r="N497" s="6" t="s">
        <v>64</v>
      </c>
      <c r="O497" s="6" t="s">
        <v>49</v>
      </c>
      <c r="P497" s="6">
        <f>COUNTIF(Analysis!$M$1:$M$3001,Analysis!$M497)</f>
        <v>1</v>
      </c>
      <c r="Q497" s="6" t="str">
        <f>IF(COUNTIF(Analysis!$M$2:$M$3001,Analysis!$M497)&gt;1,"Duplicate","OK")</f>
        <v>OK</v>
      </c>
      <c r="R497" s="6" t="str">
        <f t="shared" si="1"/>
        <v>600-1600</v>
      </c>
      <c r="S497" s="6">
        <f t="shared" si="2"/>
        <v>70</v>
      </c>
      <c r="T497" s="6" t="str">
        <f t="shared" si="3"/>
        <v>Very Old</v>
      </c>
    </row>
    <row r="498" ht="14.25" customHeight="1">
      <c r="A498" s="5">
        <v>805615.0</v>
      </c>
      <c r="B498" s="6" t="s">
        <v>2033</v>
      </c>
      <c r="C498" s="6" t="s">
        <v>53</v>
      </c>
      <c r="D498" s="6">
        <v>17410.0</v>
      </c>
      <c r="E498" s="6" t="s">
        <v>60</v>
      </c>
      <c r="F498" s="6" t="s">
        <v>94</v>
      </c>
      <c r="G498" s="6" t="s">
        <v>31</v>
      </c>
      <c r="H498" s="7">
        <v>3481.0</v>
      </c>
      <c r="I498" s="7">
        <v>2514.0</v>
      </c>
      <c r="J498" s="6">
        <v>1961.0</v>
      </c>
      <c r="K498" s="6">
        <v>111.0</v>
      </c>
      <c r="L498" s="6" t="s">
        <v>22</v>
      </c>
      <c r="M498" s="6" t="s">
        <v>2034</v>
      </c>
      <c r="N498" s="6" t="s">
        <v>43</v>
      </c>
      <c r="O498" s="6" t="s">
        <v>35</v>
      </c>
      <c r="P498" s="6">
        <f>COUNTIF(Analysis!$M$1:$M$3001,Analysis!$M498)</f>
        <v>1</v>
      </c>
      <c r="Q498" s="6" t="str">
        <f>IF(COUNTIF(Analysis!$M$2:$M$3001,Analysis!$M498)&gt;1,"Duplicate","OK")</f>
        <v>OK</v>
      </c>
      <c r="R498" s="6" t="str">
        <f t="shared" si="1"/>
        <v>2600-3600</v>
      </c>
      <c r="S498" s="6">
        <f t="shared" si="2"/>
        <v>65</v>
      </c>
      <c r="T498" s="6" t="str">
        <f t="shared" si="3"/>
        <v>Very Old</v>
      </c>
    </row>
    <row r="499" ht="14.25" customHeight="1">
      <c r="A499" s="5">
        <v>366009.0</v>
      </c>
      <c r="B499" s="6" t="s">
        <v>8257</v>
      </c>
      <c r="C499" s="6" t="s">
        <v>29</v>
      </c>
      <c r="D499" s="6">
        <v>92818.0</v>
      </c>
      <c r="E499" s="6" t="s">
        <v>19</v>
      </c>
      <c r="F499" s="6" t="s">
        <v>61</v>
      </c>
      <c r="G499" s="6" t="s">
        <v>31</v>
      </c>
      <c r="H499" s="7">
        <v>3019.0</v>
      </c>
      <c r="I499" s="7">
        <v>6247.0</v>
      </c>
      <c r="J499" s="6">
        <v>1971.0</v>
      </c>
      <c r="K499" s="6">
        <v>115.0</v>
      </c>
      <c r="L499" s="6" t="s">
        <v>95</v>
      </c>
      <c r="M499" s="6" t="s">
        <v>8258</v>
      </c>
      <c r="N499" s="6" t="s">
        <v>64</v>
      </c>
      <c r="O499" s="6" t="s">
        <v>49</v>
      </c>
      <c r="P499" s="6">
        <f>COUNTIF(Analysis!$M$1:$M$3001,Analysis!$M2055)</f>
        <v>1</v>
      </c>
      <c r="Q499" s="6" t="str">
        <f>IF(COUNTIF(Analysis!$M$2:$M$3001,Analysis!$M2055)&gt;1,"Duplicate","OK")</f>
        <v>OK</v>
      </c>
      <c r="R499" s="6" t="str">
        <f t="shared" si="1"/>
        <v>2600-3600</v>
      </c>
      <c r="S499" s="6">
        <f t="shared" si="2"/>
        <v>55</v>
      </c>
      <c r="T499" s="6" t="str">
        <f t="shared" si="3"/>
        <v>Old</v>
      </c>
    </row>
    <row r="500" ht="14.25" customHeight="1">
      <c r="A500" s="5">
        <v>371380.0</v>
      </c>
      <c r="B500" s="6" t="s">
        <v>5071</v>
      </c>
      <c r="C500" s="6" t="s">
        <v>29</v>
      </c>
      <c r="D500" s="6">
        <v>96383.0</v>
      </c>
      <c r="E500" s="6" t="s">
        <v>19</v>
      </c>
      <c r="F500" s="6" t="s">
        <v>46</v>
      </c>
      <c r="G500" s="6" t="s">
        <v>55</v>
      </c>
      <c r="H500" s="7">
        <v>3376.0</v>
      </c>
      <c r="I500" s="7">
        <v>4682.0</v>
      </c>
      <c r="J500" s="6">
        <v>1965.0</v>
      </c>
      <c r="K500" s="6">
        <v>72.0</v>
      </c>
      <c r="L500" s="6" t="s">
        <v>62</v>
      </c>
      <c r="M500" s="6" t="s">
        <v>5072</v>
      </c>
      <c r="N500" s="6" t="s">
        <v>34</v>
      </c>
      <c r="O500" s="6" t="s">
        <v>35</v>
      </c>
      <c r="P500" s="6">
        <f>COUNTIF(Analysis!$M$1:$M$3001,Analysis!$M1258)</f>
        <v>1</v>
      </c>
      <c r="Q500" s="6" t="str">
        <f>IF(COUNTIF(Analysis!$M$2:$M$3001,Analysis!$M1258)&gt;1,"Duplicate","OK")</f>
        <v>OK</v>
      </c>
      <c r="R500" s="6" t="str">
        <f t="shared" si="1"/>
        <v>2600-3600</v>
      </c>
      <c r="S500" s="6">
        <f t="shared" si="2"/>
        <v>61</v>
      </c>
      <c r="T500" s="6" t="str">
        <f t="shared" si="3"/>
        <v>Very Old</v>
      </c>
    </row>
    <row r="501" ht="14.25" customHeight="1">
      <c r="A501" s="5">
        <v>983080.0</v>
      </c>
      <c r="B501" s="6" t="s">
        <v>2045</v>
      </c>
      <c r="C501" s="6" t="s">
        <v>39</v>
      </c>
      <c r="D501" s="6">
        <v>53607.0</v>
      </c>
      <c r="E501" s="6" t="s">
        <v>60</v>
      </c>
      <c r="F501" s="6" t="s">
        <v>94</v>
      </c>
      <c r="G501" s="6" t="s">
        <v>100</v>
      </c>
      <c r="H501" s="7">
        <v>3764.0</v>
      </c>
      <c r="I501" s="7">
        <v>3690.0</v>
      </c>
      <c r="J501" s="6">
        <v>1995.0</v>
      </c>
      <c r="K501" s="6">
        <v>28.0</v>
      </c>
      <c r="L501" s="6" t="s">
        <v>95</v>
      </c>
      <c r="M501" s="6" t="s">
        <v>2046</v>
      </c>
      <c r="N501" s="6" t="s">
        <v>24</v>
      </c>
      <c r="O501" s="6" t="s">
        <v>25</v>
      </c>
      <c r="P501" s="6">
        <f>COUNTIF(Analysis!$M$1:$M$3001,Analysis!$M501)</f>
        <v>1</v>
      </c>
      <c r="Q501" s="6" t="str">
        <f>IF(COUNTIF(Analysis!$M$2:$M$3001,Analysis!$M501)&gt;1,"Duplicate","OK")</f>
        <v>OK</v>
      </c>
      <c r="R501" s="6" t="str">
        <f t="shared" si="1"/>
        <v>3600+</v>
      </c>
      <c r="S501" s="6">
        <f t="shared" si="2"/>
        <v>31</v>
      </c>
      <c r="T501" s="6" t="str">
        <f t="shared" si="3"/>
        <v>Old</v>
      </c>
    </row>
    <row r="502" ht="14.25" customHeight="1">
      <c r="A502" s="5">
        <v>1001958.0</v>
      </c>
      <c r="B502" s="6" t="s">
        <v>2049</v>
      </c>
      <c r="C502" s="6" t="s">
        <v>76</v>
      </c>
      <c r="D502" s="6">
        <v>10311.0</v>
      </c>
      <c r="E502" s="6" t="s">
        <v>60</v>
      </c>
      <c r="F502" s="6" t="s">
        <v>61</v>
      </c>
      <c r="G502" s="6" t="s">
        <v>31</v>
      </c>
      <c r="H502" s="7">
        <v>1975.0</v>
      </c>
      <c r="I502" s="7">
        <v>9535.0</v>
      </c>
      <c r="J502" s="6">
        <v>1981.0</v>
      </c>
      <c r="K502" s="6">
        <v>60.0</v>
      </c>
      <c r="L502" s="6" t="s">
        <v>22</v>
      </c>
      <c r="M502" s="6" t="s">
        <v>2050</v>
      </c>
      <c r="N502" s="6" t="s">
        <v>48</v>
      </c>
      <c r="O502" s="6" t="s">
        <v>25</v>
      </c>
      <c r="P502" s="6">
        <f>COUNTIF(Analysis!$M$1:$M$3001,Analysis!$M502)</f>
        <v>1</v>
      </c>
      <c r="Q502" s="6" t="str">
        <f>IF(COUNTIF(Analysis!$M$2:$M$3001,Analysis!$M502)&gt;1,"Duplicate","OK")</f>
        <v>OK</v>
      </c>
      <c r="R502" s="6" t="str">
        <f t="shared" si="1"/>
        <v>1600-2600</v>
      </c>
      <c r="S502" s="6">
        <f t="shared" si="2"/>
        <v>45</v>
      </c>
      <c r="T502" s="6" t="str">
        <f t="shared" si="3"/>
        <v>Old</v>
      </c>
    </row>
    <row r="503" ht="14.25" customHeight="1">
      <c r="A503" s="5">
        <v>1465899.0</v>
      </c>
      <c r="B503" s="6" t="s">
        <v>2053</v>
      </c>
      <c r="C503" s="6" t="s">
        <v>18</v>
      </c>
      <c r="D503" s="6">
        <v>32173.0</v>
      </c>
      <c r="E503" s="6" t="s">
        <v>19</v>
      </c>
      <c r="F503" s="6" t="s">
        <v>54</v>
      </c>
      <c r="G503" s="6" t="s">
        <v>31</v>
      </c>
      <c r="H503" s="7">
        <v>2413.0</v>
      </c>
      <c r="I503" s="7">
        <v>7910.0</v>
      </c>
      <c r="J503" s="6">
        <v>2013.0</v>
      </c>
      <c r="K503" s="6">
        <v>100.0</v>
      </c>
      <c r="L503" s="6" t="s">
        <v>141</v>
      </c>
      <c r="M503" s="6" t="s">
        <v>2054</v>
      </c>
      <c r="N503" s="6" t="s">
        <v>48</v>
      </c>
      <c r="O503" s="6" t="s">
        <v>49</v>
      </c>
      <c r="P503" s="6">
        <f>COUNTIF(Analysis!$M$1:$M$3001,Analysis!$M503)</f>
        <v>1</v>
      </c>
      <c r="Q503" s="6" t="str">
        <f>IF(COUNTIF(Analysis!$M$2:$M$3001,Analysis!$M503)&gt;1,"Duplicate","OK")</f>
        <v>OK</v>
      </c>
      <c r="R503" s="6" t="str">
        <f t="shared" si="1"/>
        <v>1600-2600</v>
      </c>
      <c r="S503" s="6">
        <f t="shared" si="2"/>
        <v>13</v>
      </c>
      <c r="T503" s="6" t="str">
        <f t="shared" si="3"/>
        <v>Mid</v>
      </c>
    </row>
    <row r="504" ht="14.25" customHeight="1">
      <c r="A504" s="5">
        <v>875089.0</v>
      </c>
      <c r="B504" s="6" t="s">
        <v>2057</v>
      </c>
      <c r="C504" s="6" t="s">
        <v>18</v>
      </c>
      <c r="D504" s="6">
        <v>27832.0</v>
      </c>
      <c r="E504" s="6" t="s">
        <v>77</v>
      </c>
      <c r="F504" s="6" t="s">
        <v>54</v>
      </c>
      <c r="G504" s="6" t="s">
        <v>100</v>
      </c>
      <c r="H504" s="7">
        <v>1557.0</v>
      </c>
      <c r="I504" s="7">
        <v>9804.0</v>
      </c>
      <c r="J504" s="6">
        <v>1976.0</v>
      </c>
      <c r="K504" s="6">
        <v>69.0</v>
      </c>
      <c r="L504" s="6" t="s">
        <v>62</v>
      </c>
      <c r="M504" s="6" t="s">
        <v>2058</v>
      </c>
      <c r="N504" s="6" t="s">
        <v>34</v>
      </c>
      <c r="O504" s="6" t="s">
        <v>25</v>
      </c>
      <c r="P504" s="6">
        <f>COUNTIF(Analysis!$M$1:$M$3001,Analysis!$M504)</f>
        <v>1</v>
      </c>
      <c r="Q504" s="6" t="str">
        <f>IF(COUNTIF(Analysis!$M$2:$M$3001,Analysis!$M504)&gt;1,"Duplicate","OK")</f>
        <v>OK</v>
      </c>
      <c r="R504" s="6" t="str">
        <f t="shared" si="1"/>
        <v>600-1600</v>
      </c>
      <c r="S504" s="6">
        <f t="shared" si="2"/>
        <v>50</v>
      </c>
      <c r="T504" s="6" t="str">
        <f t="shared" si="3"/>
        <v>Old</v>
      </c>
    </row>
    <row r="505" ht="14.25" customHeight="1">
      <c r="A505" s="5">
        <v>672952.0</v>
      </c>
      <c r="B505" s="6" t="s">
        <v>2060</v>
      </c>
      <c r="C505" s="6" t="s">
        <v>39</v>
      </c>
      <c r="D505" s="6">
        <v>31075.0</v>
      </c>
      <c r="E505" s="6" t="s">
        <v>60</v>
      </c>
      <c r="F505" s="6" t="s">
        <v>46</v>
      </c>
      <c r="G505" s="6" t="s">
        <v>31</v>
      </c>
      <c r="H505" s="7">
        <v>2702.0</v>
      </c>
      <c r="I505" s="7">
        <v>9320.0</v>
      </c>
      <c r="J505" s="6">
        <v>1961.0</v>
      </c>
      <c r="K505" s="6">
        <v>12.0</v>
      </c>
      <c r="L505" s="6" t="s">
        <v>62</v>
      </c>
      <c r="M505" s="6" t="s">
        <v>2061</v>
      </c>
      <c r="N505" s="6" t="s">
        <v>64</v>
      </c>
      <c r="O505" s="6" t="s">
        <v>49</v>
      </c>
      <c r="P505" s="6">
        <f>COUNTIF(Analysis!$M$1:$M$3001,Analysis!$M505)</f>
        <v>1</v>
      </c>
      <c r="Q505" s="6" t="str">
        <f>IF(COUNTIF(Analysis!$M$2:$M$3001,Analysis!$M505)&gt;1,"Duplicate","OK")</f>
        <v>OK</v>
      </c>
      <c r="R505" s="6" t="str">
        <f t="shared" si="1"/>
        <v>2600-3600</v>
      </c>
      <c r="S505" s="6">
        <f t="shared" si="2"/>
        <v>65</v>
      </c>
      <c r="T505" s="6" t="str">
        <f t="shared" si="3"/>
        <v>Very Old</v>
      </c>
    </row>
    <row r="506" ht="14.25" customHeight="1">
      <c r="A506" s="5">
        <v>630401.0</v>
      </c>
      <c r="B506" s="6" t="s">
        <v>2064</v>
      </c>
      <c r="C506" s="6" t="s">
        <v>39</v>
      </c>
      <c r="D506" s="6">
        <v>27470.0</v>
      </c>
      <c r="E506" s="6" t="s">
        <v>77</v>
      </c>
      <c r="F506" s="6" t="s">
        <v>46</v>
      </c>
      <c r="G506" s="6" t="s">
        <v>31</v>
      </c>
      <c r="H506" s="7">
        <v>3931.0</v>
      </c>
      <c r="I506" s="7">
        <v>8662.0</v>
      </c>
      <c r="J506" s="6">
        <v>1951.0</v>
      </c>
      <c r="K506" s="6">
        <v>41.0</v>
      </c>
      <c r="L506" s="6" t="s">
        <v>62</v>
      </c>
      <c r="M506" s="6" t="s">
        <v>2065</v>
      </c>
      <c r="N506" s="6" t="s">
        <v>43</v>
      </c>
      <c r="O506" s="6" t="s">
        <v>35</v>
      </c>
      <c r="P506" s="6">
        <f>COUNTIF(Analysis!$M$1:$M$3001,Analysis!$M506)</f>
        <v>1</v>
      </c>
      <c r="Q506" s="6" t="str">
        <f>IF(COUNTIF(Analysis!$M$2:$M$3001,Analysis!$M506)&gt;1,"Duplicate","OK")</f>
        <v>OK</v>
      </c>
      <c r="R506" s="6" t="str">
        <f t="shared" si="1"/>
        <v>3600+</v>
      </c>
      <c r="S506" s="6">
        <f t="shared" si="2"/>
        <v>75</v>
      </c>
      <c r="T506" s="6" t="str">
        <f t="shared" si="3"/>
        <v>Very Old</v>
      </c>
    </row>
    <row r="507" ht="14.25" customHeight="1">
      <c r="A507" s="5">
        <v>541228.0</v>
      </c>
      <c r="B507" s="6" t="s">
        <v>2068</v>
      </c>
      <c r="C507" s="6" t="s">
        <v>76</v>
      </c>
      <c r="D507" s="6">
        <v>68868.0</v>
      </c>
      <c r="E507" s="6" t="s">
        <v>77</v>
      </c>
      <c r="F507" s="6" t="s">
        <v>61</v>
      </c>
      <c r="G507" s="6" t="s">
        <v>31</v>
      </c>
      <c r="H507" s="7">
        <v>3000.0</v>
      </c>
      <c r="I507" s="7">
        <v>2295.0</v>
      </c>
      <c r="J507" s="6">
        <v>1966.0</v>
      </c>
      <c r="K507" s="6">
        <v>87.0</v>
      </c>
      <c r="L507" s="6" t="s">
        <v>95</v>
      </c>
      <c r="M507" s="6" t="s">
        <v>2069</v>
      </c>
      <c r="N507" s="6" t="s">
        <v>48</v>
      </c>
      <c r="O507" s="6" t="s">
        <v>49</v>
      </c>
      <c r="P507" s="6">
        <f>COUNTIF(Analysis!$M$1:$M$3001,Analysis!$M507)</f>
        <v>1</v>
      </c>
      <c r="Q507" s="6" t="str">
        <f>IF(COUNTIF(Analysis!$M$2:$M$3001,Analysis!$M507)&gt;1,"Duplicate","OK")</f>
        <v>OK</v>
      </c>
      <c r="R507" s="6" t="str">
        <f t="shared" si="1"/>
        <v>2600-3600</v>
      </c>
      <c r="S507" s="6">
        <f t="shared" si="2"/>
        <v>60</v>
      </c>
      <c r="T507" s="6" t="str">
        <f t="shared" si="3"/>
        <v>Old</v>
      </c>
    </row>
    <row r="508" ht="14.25" customHeight="1">
      <c r="A508" s="5">
        <v>900860.0</v>
      </c>
      <c r="B508" s="6" t="s">
        <v>2072</v>
      </c>
      <c r="C508" s="6" t="s">
        <v>53</v>
      </c>
      <c r="D508" s="6">
        <v>23693.0</v>
      </c>
      <c r="E508" s="6" t="s">
        <v>40</v>
      </c>
      <c r="F508" s="6" t="s">
        <v>46</v>
      </c>
      <c r="G508" s="6" t="s">
        <v>100</v>
      </c>
      <c r="H508" s="7">
        <v>3999.0</v>
      </c>
      <c r="I508" s="7">
        <v>3447.0</v>
      </c>
      <c r="J508" s="6">
        <v>1972.0</v>
      </c>
      <c r="K508" s="6">
        <v>21.0</v>
      </c>
      <c r="L508" s="6" t="s">
        <v>95</v>
      </c>
      <c r="M508" s="6" t="s">
        <v>2073</v>
      </c>
      <c r="N508" s="6" t="s">
        <v>64</v>
      </c>
      <c r="O508" s="6" t="s">
        <v>35</v>
      </c>
      <c r="P508" s="6">
        <f>COUNTIF(Analysis!$M$1:$M$3001,Analysis!$M508)</f>
        <v>1</v>
      </c>
      <c r="Q508" s="6" t="str">
        <f>IF(COUNTIF(Analysis!$M$2:$M$3001,Analysis!$M508)&gt;1,"Duplicate","OK")</f>
        <v>OK</v>
      </c>
      <c r="R508" s="6" t="str">
        <f t="shared" si="1"/>
        <v>3600+</v>
      </c>
      <c r="S508" s="6">
        <f t="shared" si="2"/>
        <v>54</v>
      </c>
      <c r="T508" s="6" t="str">
        <f t="shared" si="3"/>
        <v>Old</v>
      </c>
    </row>
    <row r="509" ht="14.25" customHeight="1">
      <c r="A509" s="5">
        <v>197773.0</v>
      </c>
      <c r="B509" s="6" t="s">
        <v>2076</v>
      </c>
      <c r="C509" s="6" t="s">
        <v>39</v>
      </c>
      <c r="D509" s="6">
        <v>72738.0</v>
      </c>
      <c r="E509" s="6" t="s">
        <v>40</v>
      </c>
      <c r="F509" s="6" t="s">
        <v>61</v>
      </c>
      <c r="G509" s="6" t="s">
        <v>31</v>
      </c>
      <c r="H509" s="7">
        <v>1788.0</v>
      </c>
      <c r="I509" s="7">
        <v>5300.0</v>
      </c>
      <c r="J509" s="6">
        <v>2001.0</v>
      </c>
      <c r="K509" s="6">
        <v>24.0</v>
      </c>
      <c r="L509" s="6" t="s">
        <v>95</v>
      </c>
      <c r="M509" s="6" t="s">
        <v>2077</v>
      </c>
      <c r="N509" s="6" t="s">
        <v>48</v>
      </c>
      <c r="O509" s="6" t="s">
        <v>49</v>
      </c>
      <c r="P509" s="6">
        <f>COUNTIF(Analysis!$M$1:$M$3001,Analysis!$M509)</f>
        <v>1</v>
      </c>
      <c r="Q509" s="6" t="str">
        <f>IF(COUNTIF(Analysis!$M$2:$M$3001,Analysis!$M509)&gt;1,"Duplicate","OK")</f>
        <v>OK</v>
      </c>
      <c r="R509" s="6" t="str">
        <f t="shared" si="1"/>
        <v>1600-2600</v>
      </c>
      <c r="S509" s="6">
        <f t="shared" si="2"/>
        <v>25</v>
      </c>
      <c r="T509" s="6" t="str">
        <f t="shared" si="3"/>
        <v>Mid</v>
      </c>
    </row>
    <row r="510" ht="14.25" customHeight="1">
      <c r="A510" s="5">
        <v>975227.0</v>
      </c>
      <c r="B510" s="6" t="s">
        <v>2080</v>
      </c>
      <c r="C510" s="6" t="s">
        <v>53</v>
      </c>
      <c r="D510" s="6">
        <v>80412.0</v>
      </c>
      <c r="E510" s="6" t="s">
        <v>77</v>
      </c>
      <c r="F510" s="6" t="s">
        <v>94</v>
      </c>
      <c r="G510" s="6" t="s">
        <v>100</v>
      </c>
      <c r="H510" s="7">
        <v>3301.0</v>
      </c>
      <c r="I510" s="7">
        <v>2937.0</v>
      </c>
      <c r="J510" s="6">
        <v>1985.0</v>
      </c>
      <c r="K510" s="6">
        <v>42.0</v>
      </c>
      <c r="L510" s="6" t="s">
        <v>32</v>
      </c>
      <c r="M510" s="6" t="s">
        <v>2081</v>
      </c>
      <c r="N510" s="6" t="s">
        <v>34</v>
      </c>
      <c r="O510" s="6" t="s">
        <v>35</v>
      </c>
      <c r="P510" s="6">
        <f>COUNTIF(Analysis!$M$1:$M$3001,Analysis!$M510)</f>
        <v>1</v>
      </c>
      <c r="Q510" s="6" t="str">
        <f>IF(COUNTIF(Analysis!$M$2:$M$3001,Analysis!$M510)&gt;1,"Duplicate","OK")</f>
        <v>OK</v>
      </c>
      <c r="R510" s="6" t="str">
        <f t="shared" si="1"/>
        <v>2600-3600</v>
      </c>
      <c r="S510" s="6">
        <f t="shared" si="2"/>
        <v>41</v>
      </c>
      <c r="T510" s="6" t="str">
        <f t="shared" si="3"/>
        <v>Old</v>
      </c>
    </row>
    <row r="511" ht="14.25" customHeight="1">
      <c r="A511" s="5">
        <v>1113507.0</v>
      </c>
      <c r="B511" s="6" t="s">
        <v>2084</v>
      </c>
      <c r="C511" s="6" t="s">
        <v>39</v>
      </c>
      <c r="D511" s="6">
        <v>32115.0</v>
      </c>
      <c r="E511" s="6" t="s">
        <v>60</v>
      </c>
      <c r="F511" s="6" t="s">
        <v>20</v>
      </c>
      <c r="G511" s="6" t="s">
        <v>21</v>
      </c>
      <c r="H511" s="7">
        <v>2129.0</v>
      </c>
      <c r="I511" s="7">
        <v>7102.0</v>
      </c>
      <c r="J511" s="6">
        <v>1958.0</v>
      </c>
      <c r="K511" s="6">
        <v>38.0</v>
      </c>
      <c r="L511" s="6" t="s">
        <v>32</v>
      </c>
      <c r="M511" s="6" t="s">
        <v>2085</v>
      </c>
      <c r="N511" s="6" t="s">
        <v>64</v>
      </c>
      <c r="O511" s="6" t="s">
        <v>35</v>
      </c>
      <c r="P511" s="6">
        <f>COUNTIF(Analysis!$M$1:$M$3001,Analysis!$M511)</f>
        <v>1</v>
      </c>
      <c r="Q511" s="6" t="str">
        <f>IF(COUNTIF(Analysis!$M$2:$M$3001,Analysis!$M511)&gt;1,"Duplicate","OK")</f>
        <v>OK</v>
      </c>
      <c r="R511" s="6" t="str">
        <f t="shared" si="1"/>
        <v>1600-2600</v>
      </c>
      <c r="S511" s="6">
        <f t="shared" si="2"/>
        <v>68</v>
      </c>
      <c r="T511" s="6" t="str">
        <f t="shared" si="3"/>
        <v>Very Old</v>
      </c>
    </row>
    <row r="512" ht="14.25" customHeight="1">
      <c r="A512" s="5">
        <v>372979.0</v>
      </c>
      <c r="B512" s="6" t="s">
        <v>10607</v>
      </c>
      <c r="C512" s="6" t="s">
        <v>29</v>
      </c>
      <c r="D512" s="6">
        <v>80351.0</v>
      </c>
      <c r="E512" s="6" t="s">
        <v>77</v>
      </c>
      <c r="F512" s="6" t="s">
        <v>20</v>
      </c>
      <c r="G512" s="6" t="s">
        <v>31</v>
      </c>
      <c r="H512" s="7">
        <v>716.0</v>
      </c>
      <c r="I512" s="7">
        <v>1882.0</v>
      </c>
      <c r="J512" s="6">
        <v>1967.0</v>
      </c>
      <c r="K512" s="6">
        <v>113.0</v>
      </c>
      <c r="L512" s="6" t="s">
        <v>22</v>
      </c>
      <c r="M512" s="6" t="s">
        <v>10608</v>
      </c>
      <c r="N512" s="6" t="s">
        <v>64</v>
      </c>
      <c r="O512" s="6" t="s">
        <v>35</v>
      </c>
      <c r="P512" s="6">
        <f>COUNTIF(Analysis!$M$1:$M$3001,Analysis!$M2643)</f>
        <v>1</v>
      </c>
      <c r="Q512" s="6" t="str">
        <f>IF(COUNTIF(Analysis!$M$2:$M$3001,Analysis!$M2643)&gt;1,"Duplicate","OK")</f>
        <v>OK</v>
      </c>
      <c r="R512" s="6" t="str">
        <f t="shared" si="1"/>
        <v>600-1600</v>
      </c>
      <c r="S512" s="6">
        <f t="shared" si="2"/>
        <v>59</v>
      </c>
      <c r="T512" s="6" t="str">
        <f t="shared" si="3"/>
        <v>Old</v>
      </c>
    </row>
    <row r="513" ht="14.25" customHeight="1">
      <c r="A513" s="5">
        <v>1055684.0</v>
      </c>
      <c r="B513" s="6" t="s">
        <v>2092</v>
      </c>
      <c r="C513" s="6" t="s">
        <v>18</v>
      </c>
      <c r="D513" s="6">
        <v>56888.0</v>
      </c>
      <c r="E513" s="6" t="s">
        <v>30</v>
      </c>
      <c r="F513" s="6" t="s">
        <v>20</v>
      </c>
      <c r="G513" s="6" t="s">
        <v>31</v>
      </c>
      <c r="H513" s="7">
        <v>3393.0</v>
      </c>
      <c r="I513" s="7">
        <v>9986.0</v>
      </c>
      <c r="J513" s="6">
        <v>1981.0</v>
      </c>
      <c r="K513" s="6">
        <v>80.0</v>
      </c>
      <c r="L513" s="6" t="s">
        <v>95</v>
      </c>
      <c r="M513" s="6" t="s">
        <v>2093</v>
      </c>
      <c r="N513" s="6" t="s">
        <v>24</v>
      </c>
      <c r="O513" s="6" t="s">
        <v>49</v>
      </c>
      <c r="P513" s="6">
        <f>COUNTIF(Analysis!$M$1:$M$3001,Analysis!$M513)</f>
        <v>1</v>
      </c>
      <c r="Q513" s="6" t="str">
        <f>IF(COUNTIF(Analysis!$M$2:$M$3001,Analysis!$M513)&gt;1,"Duplicate","OK")</f>
        <v>OK</v>
      </c>
      <c r="R513" s="6" t="str">
        <f t="shared" si="1"/>
        <v>2600-3600</v>
      </c>
      <c r="S513" s="6">
        <f t="shared" si="2"/>
        <v>45</v>
      </c>
      <c r="T513" s="6" t="str">
        <f t="shared" si="3"/>
        <v>Old</v>
      </c>
    </row>
    <row r="514" ht="14.25" customHeight="1">
      <c r="A514" s="5">
        <v>396731.0</v>
      </c>
      <c r="B514" s="6" t="s">
        <v>2096</v>
      </c>
      <c r="C514" s="6" t="s">
        <v>18</v>
      </c>
      <c r="D514" s="6">
        <v>94192.0</v>
      </c>
      <c r="E514" s="6" t="s">
        <v>30</v>
      </c>
      <c r="F514" s="6" t="s">
        <v>54</v>
      </c>
      <c r="G514" s="6" t="s">
        <v>21</v>
      </c>
      <c r="H514" s="7">
        <v>1443.0</v>
      </c>
      <c r="I514" s="7">
        <v>9102.0</v>
      </c>
      <c r="J514" s="6">
        <v>1963.0</v>
      </c>
      <c r="K514" s="6">
        <v>113.0</v>
      </c>
      <c r="L514" s="6" t="s">
        <v>95</v>
      </c>
      <c r="M514" s="6" t="s">
        <v>2097</v>
      </c>
      <c r="N514" s="6" t="s">
        <v>64</v>
      </c>
      <c r="O514" s="6" t="s">
        <v>25</v>
      </c>
      <c r="P514" s="6">
        <f>COUNTIF(Analysis!$M$1:$M$3001,Analysis!$M514)</f>
        <v>1</v>
      </c>
      <c r="Q514" s="6" t="str">
        <f>IF(COUNTIF(Analysis!$M$2:$M$3001,Analysis!$M514)&gt;1,"Duplicate","OK")</f>
        <v>OK</v>
      </c>
      <c r="R514" s="6" t="str">
        <f t="shared" si="1"/>
        <v>600-1600</v>
      </c>
      <c r="S514" s="6">
        <f t="shared" si="2"/>
        <v>63</v>
      </c>
      <c r="T514" s="6" t="str">
        <f t="shared" si="3"/>
        <v>Very Old</v>
      </c>
    </row>
    <row r="515" ht="14.25" customHeight="1">
      <c r="A515" s="5">
        <v>869597.0</v>
      </c>
      <c r="B515" s="6" t="s">
        <v>2100</v>
      </c>
      <c r="C515" s="6" t="s">
        <v>76</v>
      </c>
      <c r="D515" s="6">
        <v>45081.0</v>
      </c>
      <c r="E515" s="6" t="s">
        <v>19</v>
      </c>
      <c r="F515" s="6" t="s">
        <v>94</v>
      </c>
      <c r="G515" s="6" t="s">
        <v>21</v>
      </c>
      <c r="H515" s="7">
        <v>752.0</v>
      </c>
      <c r="I515" s="7">
        <v>9574.0</v>
      </c>
      <c r="J515" s="6">
        <v>1969.0</v>
      </c>
      <c r="K515" s="6">
        <v>86.0</v>
      </c>
      <c r="L515" s="6" t="s">
        <v>22</v>
      </c>
      <c r="M515" s="6" t="s">
        <v>2101</v>
      </c>
      <c r="N515" s="6" t="s">
        <v>64</v>
      </c>
      <c r="O515" s="6" t="s">
        <v>49</v>
      </c>
      <c r="P515" s="6">
        <f>COUNTIF(Analysis!$M$1:$M$3001,Analysis!$M515)</f>
        <v>1</v>
      </c>
      <c r="Q515" s="6" t="str">
        <f>IF(COUNTIF(Analysis!$M$2:$M$3001,Analysis!$M515)&gt;1,"Duplicate","OK")</f>
        <v>OK</v>
      </c>
      <c r="R515" s="6" t="str">
        <f t="shared" si="1"/>
        <v>600-1600</v>
      </c>
      <c r="S515" s="6">
        <f t="shared" si="2"/>
        <v>57</v>
      </c>
      <c r="T515" s="6" t="str">
        <f t="shared" si="3"/>
        <v>Old</v>
      </c>
    </row>
    <row r="516" ht="14.25" customHeight="1">
      <c r="A516" s="5">
        <v>860503.0</v>
      </c>
      <c r="B516" s="6" t="s">
        <v>2104</v>
      </c>
      <c r="C516" s="6" t="s">
        <v>18</v>
      </c>
      <c r="D516" s="6">
        <v>28105.0</v>
      </c>
      <c r="E516" s="6" t="s">
        <v>40</v>
      </c>
      <c r="F516" s="6" t="s">
        <v>20</v>
      </c>
      <c r="G516" s="6" t="s">
        <v>55</v>
      </c>
      <c r="H516" s="7">
        <v>1169.0</v>
      </c>
      <c r="I516" s="7">
        <v>3329.0</v>
      </c>
      <c r="J516" s="6">
        <v>1991.0</v>
      </c>
      <c r="K516" s="6">
        <v>32.0</v>
      </c>
      <c r="L516" s="6" t="s">
        <v>95</v>
      </c>
      <c r="M516" s="6" t="s">
        <v>2105</v>
      </c>
      <c r="N516" s="6" t="s">
        <v>34</v>
      </c>
      <c r="O516" s="6" t="s">
        <v>49</v>
      </c>
      <c r="P516" s="6">
        <f>COUNTIF(Analysis!$M$1:$M$3001,Analysis!$M516)</f>
        <v>1</v>
      </c>
      <c r="Q516" s="6" t="str">
        <f>IF(COUNTIF(Analysis!$M$2:$M$3001,Analysis!$M516)&gt;1,"Duplicate","OK")</f>
        <v>OK</v>
      </c>
      <c r="R516" s="6" t="str">
        <f t="shared" si="1"/>
        <v>600-1600</v>
      </c>
      <c r="S516" s="6">
        <f t="shared" si="2"/>
        <v>35</v>
      </c>
      <c r="T516" s="6" t="str">
        <f t="shared" si="3"/>
        <v>Old</v>
      </c>
    </row>
    <row r="517" ht="14.25" customHeight="1">
      <c r="A517" s="5">
        <v>1408977.0</v>
      </c>
      <c r="B517" s="6" t="s">
        <v>2108</v>
      </c>
      <c r="C517" s="6" t="s">
        <v>53</v>
      </c>
      <c r="D517" s="6">
        <v>67939.0</v>
      </c>
      <c r="E517" s="6" t="s">
        <v>40</v>
      </c>
      <c r="F517" s="6" t="s">
        <v>54</v>
      </c>
      <c r="G517" s="6" t="s">
        <v>21</v>
      </c>
      <c r="H517" s="7">
        <v>1476.0</v>
      </c>
      <c r="I517" s="7">
        <v>3691.0</v>
      </c>
      <c r="J517" s="6">
        <v>1986.0</v>
      </c>
      <c r="K517" s="6">
        <v>99.0</v>
      </c>
      <c r="L517" s="6" t="s">
        <v>22</v>
      </c>
      <c r="M517" s="6" t="s">
        <v>2109</v>
      </c>
      <c r="N517" s="6" t="s">
        <v>64</v>
      </c>
      <c r="O517" s="6" t="s">
        <v>49</v>
      </c>
      <c r="P517" s="6">
        <f>COUNTIF(Analysis!$M$1:$M$3001,Analysis!$M517)</f>
        <v>1</v>
      </c>
      <c r="Q517" s="6" t="str">
        <f>IF(COUNTIF(Analysis!$M$2:$M$3001,Analysis!$M517)&gt;1,"Duplicate","OK")</f>
        <v>OK</v>
      </c>
      <c r="R517" s="6" t="str">
        <f t="shared" si="1"/>
        <v>600-1600</v>
      </c>
      <c r="S517" s="6">
        <f t="shared" si="2"/>
        <v>40</v>
      </c>
      <c r="T517" s="6" t="str">
        <f t="shared" si="3"/>
        <v>Old</v>
      </c>
    </row>
    <row r="518" ht="14.25" customHeight="1">
      <c r="A518" s="5">
        <v>151541.0</v>
      </c>
      <c r="B518" s="6" t="s">
        <v>2112</v>
      </c>
      <c r="C518" s="6" t="s">
        <v>18</v>
      </c>
      <c r="D518" s="6">
        <v>35797.0</v>
      </c>
      <c r="E518" s="6" t="s">
        <v>19</v>
      </c>
      <c r="F518" s="6" t="s">
        <v>61</v>
      </c>
      <c r="G518" s="6" t="s">
        <v>31</v>
      </c>
      <c r="H518" s="7">
        <v>1665.0</v>
      </c>
      <c r="I518" s="7">
        <v>5891.0</v>
      </c>
      <c r="J518" s="6">
        <v>2010.0</v>
      </c>
      <c r="K518" s="6">
        <v>33.0</v>
      </c>
      <c r="L518" s="6" t="s">
        <v>32</v>
      </c>
      <c r="M518" s="6" t="s">
        <v>2113</v>
      </c>
      <c r="N518" s="6" t="s">
        <v>34</v>
      </c>
      <c r="O518" s="6" t="s">
        <v>25</v>
      </c>
      <c r="P518" s="6">
        <f>COUNTIF(Analysis!$M$1:$M$3001,Analysis!$M518)</f>
        <v>1</v>
      </c>
      <c r="Q518" s="6" t="str">
        <f>IF(COUNTIF(Analysis!$M$2:$M$3001,Analysis!$M518)&gt;1,"Duplicate","OK")</f>
        <v>OK</v>
      </c>
      <c r="R518" s="6" t="str">
        <f t="shared" si="1"/>
        <v>1600-2600</v>
      </c>
      <c r="S518" s="6">
        <f t="shared" si="2"/>
        <v>16</v>
      </c>
      <c r="T518" s="6" t="str">
        <f t="shared" si="3"/>
        <v>Mid</v>
      </c>
    </row>
    <row r="519" ht="14.25" customHeight="1">
      <c r="A519" s="5">
        <v>1406366.0</v>
      </c>
      <c r="B519" s="6" t="s">
        <v>2116</v>
      </c>
      <c r="C519" s="6" t="s">
        <v>53</v>
      </c>
      <c r="D519" s="6">
        <v>51679.0</v>
      </c>
      <c r="E519" s="6" t="s">
        <v>30</v>
      </c>
      <c r="F519" s="6" t="s">
        <v>46</v>
      </c>
      <c r="G519" s="6" t="s">
        <v>55</v>
      </c>
      <c r="H519" s="7">
        <v>1456.0</v>
      </c>
      <c r="I519" s="7">
        <v>8429.0</v>
      </c>
      <c r="J519" s="6">
        <v>1978.0</v>
      </c>
      <c r="K519" s="6">
        <v>70.0</v>
      </c>
      <c r="L519" s="6" t="s">
        <v>22</v>
      </c>
      <c r="M519" s="6" t="s">
        <v>2117</v>
      </c>
      <c r="N519" s="6" t="s">
        <v>24</v>
      </c>
      <c r="O519" s="6" t="s">
        <v>49</v>
      </c>
      <c r="P519" s="6">
        <f>COUNTIF(Analysis!$M$1:$M$3001,Analysis!$M519)</f>
        <v>1</v>
      </c>
      <c r="Q519" s="6" t="str">
        <f>IF(COUNTIF(Analysis!$M$2:$M$3001,Analysis!$M519)&gt;1,"Duplicate","OK")</f>
        <v>OK</v>
      </c>
      <c r="R519" s="6" t="str">
        <f t="shared" si="1"/>
        <v>600-1600</v>
      </c>
      <c r="S519" s="6">
        <f t="shared" si="2"/>
        <v>48</v>
      </c>
      <c r="T519" s="6" t="str">
        <f t="shared" si="3"/>
        <v>Old</v>
      </c>
    </row>
    <row r="520" ht="14.25" customHeight="1">
      <c r="A520" s="5">
        <v>373305.0</v>
      </c>
      <c r="B520" s="6" t="s">
        <v>8404</v>
      </c>
      <c r="C520" s="6" t="s">
        <v>29</v>
      </c>
      <c r="D520" s="6">
        <v>88744.0</v>
      </c>
      <c r="E520" s="6" t="s">
        <v>19</v>
      </c>
      <c r="F520" s="6" t="s">
        <v>61</v>
      </c>
      <c r="G520" s="6" t="s">
        <v>21</v>
      </c>
      <c r="H520" s="7">
        <v>3062.0</v>
      </c>
      <c r="I520" s="7">
        <v>7555.0</v>
      </c>
      <c r="J520" s="6">
        <v>1960.0</v>
      </c>
      <c r="K520" s="6">
        <v>67.0</v>
      </c>
      <c r="L520" s="6" t="s">
        <v>22</v>
      </c>
      <c r="M520" s="6" t="s">
        <v>8405</v>
      </c>
      <c r="N520" s="6" t="s">
        <v>24</v>
      </c>
      <c r="O520" s="6" t="s">
        <v>25</v>
      </c>
      <c r="P520" s="6">
        <f>COUNTIF(Analysis!$M$1:$M$3001,Analysis!$M2092)</f>
        <v>1</v>
      </c>
      <c r="Q520" s="6" t="str">
        <f>IF(COUNTIF(Analysis!$M$2:$M$3001,Analysis!$M2092)&gt;1,"Duplicate","OK")</f>
        <v>OK</v>
      </c>
      <c r="R520" s="6" t="str">
        <f t="shared" si="1"/>
        <v>2600-3600</v>
      </c>
      <c r="S520" s="6">
        <f t="shared" si="2"/>
        <v>66</v>
      </c>
      <c r="T520" s="6" t="str">
        <f t="shared" si="3"/>
        <v>Very Old</v>
      </c>
    </row>
    <row r="521" ht="14.25" customHeight="1">
      <c r="A521" s="5">
        <v>1077238.0</v>
      </c>
      <c r="B521" s="6" t="s">
        <v>2124</v>
      </c>
      <c r="C521" s="6" t="s">
        <v>76</v>
      </c>
      <c r="D521" s="6">
        <v>39812.0</v>
      </c>
      <c r="E521" s="6" t="s">
        <v>40</v>
      </c>
      <c r="F521" s="6" t="s">
        <v>46</v>
      </c>
      <c r="G521" s="6" t="s">
        <v>100</v>
      </c>
      <c r="H521" s="7">
        <v>2161.0</v>
      </c>
      <c r="I521" s="7">
        <v>5742.0</v>
      </c>
      <c r="J521" s="6">
        <v>2008.0</v>
      </c>
      <c r="K521" s="6">
        <v>34.0</v>
      </c>
      <c r="L521" s="6" t="s">
        <v>62</v>
      </c>
      <c r="M521" s="6" t="s">
        <v>2125</v>
      </c>
      <c r="N521" s="6" t="s">
        <v>64</v>
      </c>
      <c r="O521" s="6" t="s">
        <v>49</v>
      </c>
      <c r="P521" s="6">
        <f>COUNTIF(Analysis!$M$1:$M$3001,Analysis!$M521)</f>
        <v>1</v>
      </c>
      <c r="Q521" s="6" t="str">
        <f>IF(COUNTIF(Analysis!$M$2:$M$3001,Analysis!$M521)&gt;1,"Duplicate","OK")</f>
        <v>OK</v>
      </c>
      <c r="R521" s="6" t="str">
        <f t="shared" si="1"/>
        <v>1600-2600</v>
      </c>
      <c r="S521" s="6">
        <f t="shared" si="2"/>
        <v>18</v>
      </c>
      <c r="T521" s="6" t="str">
        <f t="shared" si="3"/>
        <v>Mid</v>
      </c>
    </row>
    <row r="522" ht="14.25" customHeight="1">
      <c r="A522" s="5">
        <v>708347.0</v>
      </c>
      <c r="B522" s="6" t="s">
        <v>2128</v>
      </c>
      <c r="C522" s="6" t="s">
        <v>53</v>
      </c>
      <c r="D522" s="6">
        <v>61780.0</v>
      </c>
      <c r="E522" s="6" t="s">
        <v>19</v>
      </c>
      <c r="F522" s="6" t="s">
        <v>46</v>
      </c>
      <c r="G522" s="6" t="s">
        <v>55</v>
      </c>
      <c r="H522" s="7">
        <v>1852.0</v>
      </c>
      <c r="I522" s="7">
        <v>7550.0</v>
      </c>
      <c r="J522" s="6">
        <v>1955.0</v>
      </c>
      <c r="K522" s="6">
        <v>58.0</v>
      </c>
      <c r="L522" s="6" t="s">
        <v>62</v>
      </c>
      <c r="M522" s="6" t="s">
        <v>2129</v>
      </c>
      <c r="N522" s="6" t="s">
        <v>24</v>
      </c>
      <c r="O522" s="6" t="s">
        <v>25</v>
      </c>
      <c r="P522" s="6">
        <f>COUNTIF(Analysis!$M$1:$M$3001,Analysis!$M522)</f>
        <v>1</v>
      </c>
      <c r="Q522" s="6" t="str">
        <f>IF(COUNTIF(Analysis!$M$2:$M$3001,Analysis!$M522)&gt;1,"Duplicate","OK")</f>
        <v>OK</v>
      </c>
      <c r="R522" s="6" t="str">
        <f t="shared" si="1"/>
        <v>1600-2600</v>
      </c>
      <c r="S522" s="6">
        <f t="shared" si="2"/>
        <v>71</v>
      </c>
      <c r="T522" s="6" t="str">
        <f t="shared" si="3"/>
        <v>Very Old</v>
      </c>
    </row>
    <row r="523" ht="14.25" customHeight="1">
      <c r="A523" s="5">
        <v>380139.0</v>
      </c>
      <c r="B523" s="6" t="s">
        <v>8301</v>
      </c>
      <c r="C523" s="6" t="s">
        <v>29</v>
      </c>
      <c r="D523" s="6">
        <v>91641.0</v>
      </c>
      <c r="E523" s="6" t="s">
        <v>60</v>
      </c>
      <c r="F523" s="6" t="s">
        <v>94</v>
      </c>
      <c r="G523" s="6" t="s">
        <v>31</v>
      </c>
      <c r="H523" s="7">
        <v>2114.0</v>
      </c>
      <c r="I523" s="7">
        <v>6303.0</v>
      </c>
      <c r="J523" s="6">
        <v>1995.0</v>
      </c>
      <c r="K523" s="6">
        <v>72.0</v>
      </c>
      <c r="L523" s="6" t="s">
        <v>22</v>
      </c>
      <c r="M523" s="6" t="s">
        <v>8302</v>
      </c>
      <c r="N523" s="6" t="s">
        <v>34</v>
      </c>
      <c r="O523" s="6" t="s">
        <v>49</v>
      </c>
      <c r="P523" s="6">
        <f>COUNTIF(Analysis!$M$1:$M$3001,Analysis!$M2066)</f>
        <v>1</v>
      </c>
      <c r="Q523" s="6" t="str">
        <f>IF(COUNTIF(Analysis!$M$2:$M$3001,Analysis!$M2066)&gt;1,"Duplicate","OK")</f>
        <v>OK</v>
      </c>
      <c r="R523" s="6" t="str">
        <f t="shared" si="1"/>
        <v>1600-2600</v>
      </c>
      <c r="S523" s="6">
        <f t="shared" si="2"/>
        <v>31</v>
      </c>
      <c r="T523" s="6" t="str">
        <f t="shared" si="3"/>
        <v>Old</v>
      </c>
    </row>
    <row r="524" ht="14.25" customHeight="1">
      <c r="A524" s="5">
        <v>1274393.0</v>
      </c>
      <c r="B524" s="6" t="s">
        <v>2136</v>
      </c>
      <c r="C524" s="6" t="s">
        <v>18</v>
      </c>
      <c r="D524" s="6">
        <v>74415.0</v>
      </c>
      <c r="E524" s="6" t="s">
        <v>30</v>
      </c>
      <c r="F524" s="6" t="s">
        <v>54</v>
      </c>
      <c r="G524" s="6" t="s">
        <v>100</v>
      </c>
      <c r="H524" s="7">
        <v>3023.0</v>
      </c>
      <c r="I524" s="7">
        <v>5852.0</v>
      </c>
      <c r="J524" s="6">
        <v>1983.0</v>
      </c>
      <c r="K524" s="6">
        <v>85.0</v>
      </c>
      <c r="L524" s="6" t="s">
        <v>22</v>
      </c>
      <c r="M524" s="6" t="s">
        <v>2137</v>
      </c>
      <c r="N524" s="6" t="s">
        <v>43</v>
      </c>
      <c r="O524" s="6" t="s">
        <v>25</v>
      </c>
      <c r="P524" s="6">
        <f>COUNTIF(Analysis!$M$1:$M$3001,Analysis!$M524)</f>
        <v>1</v>
      </c>
      <c r="Q524" s="6" t="str">
        <f>IF(COUNTIF(Analysis!$M$2:$M$3001,Analysis!$M524)&gt;1,"Duplicate","OK")</f>
        <v>OK</v>
      </c>
      <c r="R524" s="6" t="str">
        <f t="shared" si="1"/>
        <v>2600-3600</v>
      </c>
      <c r="S524" s="6">
        <f t="shared" si="2"/>
        <v>43</v>
      </c>
      <c r="T524" s="6" t="str">
        <f t="shared" si="3"/>
        <v>Old</v>
      </c>
    </row>
    <row r="525" ht="14.25" customHeight="1">
      <c r="A525" s="5">
        <v>1314599.0</v>
      </c>
      <c r="B525" s="6" t="s">
        <v>2140</v>
      </c>
      <c r="C525" s="6" t="s">
        <v>53</v>
      </c>
      <c r="D525" s="6">
        <v>55480.0</v>
      </c>
      <c r="E525" s="6" t="s">
        <v>19</v>
      </c>
      <c r="F525" s="6" t="s">
        <v>46</v>
      </c>
      <c r="G525" s="6" t="s">
        <v>100</v>
      </c>
      <c r="H525" s="7">
        <v>2784.0</v>
      </c>
      <c r="I525" s="7">
        <v>7766.0</v>
      </c>
      <c r="J525" s="6">
        <v>1980.0</v>
      </c>
      <c r="K525" s="6">
        <v>40.0</v>
      </c>
      <c r="L525" s="6" t="s">
        <v>32</v>
      </c>
      <c r="M525" s="6" t="s">
        <v>2141</v>
      </c>
      <c r="N525" s="6" t="s">
        <v>48</v>
      </c>
      <c r="O525" s="6" t="s">
        <v>35</v>
      </c>
      <c r="P525" s="6">
        <f>COUNTIF(Analysis!$M$1:$M$3001,Analysis!$M525)</f>
        <v>1</v>
      </c>
      <c r="Q525" s="6" t="str">
        <f>IF(COUNTIF(Analysis!$M$2:$M$3001,Analysis!$M525)&gt;1,"Duplicate","OK")</f>
        <v>OK</v>
      </c>
      <c r="R525" s="6" t="str">
        <f t="shared" si="1"/>
        <v>2600-3600</v>
      </c>
      <c r="S525" s="6">
        <f t="shared" si="2"/>
        <v>46</v>
      </c>
      <c r="T525" s="6" t="str">
        <f t="shared" si="3"/>
        <v>Old</v>
      </c>
    </row>
    <row r="526" ht="14.25" customHeight="1">
      <c r="A526" s="5">
        <v>1186759.0</v>
      </c>
      <c r="B526" s="6" t="s">
        <v>2144</v>
      </c>
      <c r="C526" s="6" t="s">
        <v>39</v>
      </c>
      <c r="D526" s="6">
        <v>65418.0</v>
      </c>
      <c r="E526" s="6" t="s">
        <v>19</v>
      </c>
      <c r="F526" s="6" t="s">
        <v>94</v>
      </c>
      <c r="G526" s="6" t="s">
        <v>31</v>
      </c>
      <c r="H526" s="7">
        <v>2669.0</v>
      </c>
      <c r="I526" s="7">
        <v>7376.0</v>
      </c>
      <c r="J526" s="6">
        <v>1961.0</v>
      </c>
      <c r="K526" s="6">
        <v>25.0</v>
      </c>
      <c r="L526" s="6" t="s">
        <v>95</v>
      </c>
      <c r="M526" s="6" t="s">
        <v>2145</v>
      </c>
      <c r="N526" s="6" t="s">
        <v>48</v>
      </c>
      <c r="O526" s="6" t="s">
        <v>35</v>
      </c>
      <c r="P526" s="6">
        <f>COUNTIF(Analysis!$M$1:$M$3001,Analysis!$M526)</f>
        <v>1</v>
      </c>
      <c r="Q526" s="6" t="str">
        <f>IF(COUNTIF(Analysis!$M$2:$M$3001,Analysis!$M526)&gt;1,"Duplicate","OK")</f>
        <v>OK</v>
      </c>
      <c r="R526" s="6" t="str">
        <f t="shared" si="1"/>
        <v>2600-3600</v>
      </c>
      <c r="S526" s="6">
        <f t="shared" si="2"/>
        <v>65</v>
      </c>
      <c r="T526" s="6" t="str">
        <f t="shared" si="3"/>
        <v>Very Old</v>
      </c>
    </row>
    <row r="527" ht="14.25" customHeight="1">
      <c r="A527" s="5">
        <v>383121.0</v>
      </c>
      <c r="B527" s="6" t="s">
        <v>9283</v>
      </c>
      <c r="C527" s="6" t="s">
        <v>29</v>
      </c>
      <c r="D527" s="6">
        <v>60396.0</v>
      </c>
      <c r="E527" s="6" t="s">
        <v>30</v>
      </c>
      <c r="F527" s="6" t="s">
        <v>94</v>
      </c>
      <c r="G527" s="6" t="s">
        <v>55</v>
      </c>
      <c r="H527" s="7">
        <v>1099.0</v>
      </c>
      <c r="I527" s="7">
        <v>4286.0</v>
      </c>
      <c r="J527" s="6">
        <v>2015.0</v>
      </c>
      <c r="K527" s="6">
        <v>88.0</v>
      </c>
      <c r="L527" s="6" t="s">
        <v>62</v>
      </c>
      <c r="M527" s="6" t="s">
        <v>9284</v>
      </c>
      <c r="N527" s="6" t="s">
        <v>43</v>
      </c>
      <c r="O527" s="6" t="s">
        <v>35</v>
      </c>
      <c r="P527" s="6">
        <f>COUNTIF(Analysis!$M$1:$M$3001,Analysis!$M2312)</f>
        <v>1</v>
      </c>
      <c r="Q527" s="6" t="str">
        <f>IF(COUNTIF(Analysis!$M$2:$M$3001,Analysis!$M2312)&gt;1,"Duplicate","OK")</f>
        <v>OK</v>
      </c>
      <c r="R527" s="6" t="str">
        <f t="shared" si="1"/>
        <v>600-1600</v>
      </c>
      <c r="S527" s="6">
        <f t="shared" si="2"/>
        <v>11</v>
      </c>
      <c r="T527" s="6" t="str">
        <f t="shared" si="3"/>
        <v>Mid</v>
      </c>
    </row>
    <row r="528" ht="14.25" customHeight="1">
      <c r="A528" s="5">
        <v>386515.0</v>
      </c>
      <c r="B528" s="6" t="s">
        <v>6389</v>
      </c>
      <c r="C528" s="6" t="s">
        <v>29</v>
      </c>
      <c r="D528" s="6">
        <v>73202.0</v>
      </c>
      <c r="E528" s="6" t="s">
        <v>30</v>
      </c>
      <c r="F528" s="6" t="s">
        <v>46</v>
      </c>
      <c r="G528" s="6" t="s">
        <v>31</v>
      </c>
      <c r="H528" s="7">
        <v>2829.0</v>
      </c>
      <c r="I528" s="7">
        <v>6434.0</v>
      </c>
      <c r="J528" s="6">
        <v>1994.0</v>
      </c>
      <c r="K528" s="6">
        <v>117.0</v>
      </c>
      <c r="L528" s="6" t="s">
        <v>62</v>
      </c>
      <c r="M528" s="6" t="s">
        <v>6390</v>
      </c>
      <c r="N528" s="6" t="s">
        <v>34</v>
      </c>
      <c r="O528" s="6" t="s">
        <v>25</v>
      </c>
      <c r="P528" s="6">
        <f>COUNTIF(Analysis!$M$1:$M$3001,Analysis!$M1588)</f>
        <v>1</v>
      </c>
      <c r="Q528" s="6" t="str">
        <f>IF(COUNTIF(Analysis!$M$2:$M$3001,Analysis!$M1588)&gt;1,"Duplicate","OK")</f>
        <v>OK</v>
      </c>
      <c r="R528" s="6" t="str">
        <f t="shared" si="1"/>
        <v>2600-3600</v>
      </c>
      <c r="S528" s="6">
        <f t="shared" si="2"/>
        <v>32</v>
      </c>
      <c r="T528" s="6" t="str">
        <f t="shared" si="3"/>
        <v>Old</v>
      </c>
    </row>
    <row r="529" ht="14.25" customHeight="1">
      <c r="A529" s="5">
        <v>1256875.0</v>
      </c>
      <c r="B529" s="6" t="s">
        <v>2156</v>
      </c>
      <c r="C529" s="6" t="s">
        <v>39</v>
      </c>
      <c r="D529" s="6">
        <v>65996.0</v>
      </c>
      <c r="E529" s="6" t="s">
        <v>30</v>
      </c>
      <c r="F529" s="6" t="s">
        <v>61</v>
      </c>
      <c r="G529" s="6" t="s">
        <v>55</v>
      </c>
      <c r="H529" s="7">
        <v>1823.0</v>
      </c>
      <c r="I529" s="7">
        <v>2773.0</v>
      </c>
      <c r="J529" s="6">
        <v>1993.0</v>
      </c>
      <c r="K529" s="6">
        <v>70.0</v>
      </c>
      <c r="L529" s="6" t="s">
        <v>32</v>
      </c>
      <c r="M529" s="6" t="s">
        <v>2157</v>
      </c>
      <c r="N529" s="6" t="s">
        <v>48</v>
      </c>
      <c r="O529" s="6" t="s">
        <v>35</v>
      </c>
      <c r="P529" s="6">
        <f>COUNTIF(Analysis!$M$1:$M$3001,Analysis!$M529)</f>
        <v>1</v>
      </c>
      <c r="Q529" s="6" t="str">
        <f>IF(COUNTIF(Analysis!$M$2:$M$3001,Analysis!$M529)&gt;1,"Duplicate","OK")</f>
        <v>OK</v>
      </c>
      <c r="R529" s="6" t="str">
        <f t="shared" si="1"/>
        <v>1600-2600</v>
      </c>
      <c r="S529" s="6">
        <f t="shared" si="2"/>
        <v>33</v>
      </c>
      <c r="T529" s="6" t="str">
        <f t="shared" si="3"/>
        <v>Old</v>
      </c>
    </row>
    <row r="530" ht="14.25" customHeight="1">
      <c r="A530" s="5">
        <v>230146.0</v>
      </c>
      <c r="B530" s="6" t="s">
        <v>2160</v>
      </c>
      <c r="C530" s="6" t="s">
        <v>76</v>
      </c>
      <c r="D530" s="6">
        <v>47810.0</v>
      </c>
      <c r="E530" s="6" t="s">
        <v>40</v>
      </c>
      <c r="F530" s="6" t="s">
        <v>94</v>
      </c>
      <c r="G530" s="6" t="s">
        <v>100</v>
      </c>
      <c r="H530" s="7">
        <v>794.0</v>
      </c>
      <c r="I530" s="7">
        <v>1927.0</v>
      </c>
      <c r="J530" s="6">
        <v>2002.0</v>
      </c>
      <c r="K530" s="6">
        <v>110.0</v>
      </c>
      <c r="L530" s="6" t="s">
        <v>32</v>
      </c>
      <c r="M530" s="6" t="s">
        <v>2161</v>
      </c>
      <c r="N530" s="6" t="s">
        <v>24</v>
      </c>
      <c r="O530" s="6" t="s">
        <v>35</v>
      </c>
      <c r="P530" s="6">
        <f>COUNTIF(Analysis!$M$1:$M$3001,Analysis!$M530)</f>
        <v>1</v>
      </c>
      <c r="Q530" s="6" t="str">
        <f>IF(COUNTIF(Analysis!$M$2:$M$3001,Analysis!$M530)&gt;1,"Duplicate","OK")</f>
        <v>OK</v>
      </c>
      <c r="R530" s="6" t="str">
        <f t="shared" si="1"/>
        <v>600-1600</v>
      </c>
      <c r="S530" s="6">
        <f t="shared" si="2"/>
        <v>24</v>
      </c>
      <c r="T530" s="6" t="str">
        <f t="shared" si="3"/>
        <v>Mid</v>
      </c>
    </row>
    <row r="531" ht="14.25" customHeight="1">
      <c r="A531" s="5">
        <v>757948.0</v>
      </c>
      <c r="B531" s="6" t="s">
        <v>2164</v>
      </c>
      <c r="C531" s="6" t="s">
        <v>53</v>
      </c>
      <c r="D531" s="6">
        <v>25777.0</v>
      </c>
      <c r="E531" s="6" t="s">
        <v>30</v>
      </c>
      <c r="F531" s="6" t="s">
        <v>54</v>
      </c>
      <c r="G531" s="6" t="s">
        <v>31</v>
      </c>
      <c r="H531" s="7">
        <v>1116.0</v>
      </c>
      <c r="I531" s="7">
        <v>7054.0</v>
      </c>
      <c r="J531" s="6">
        <v>1959.0</v>
      </c>
      <c r="K531" s="6">
        <v>52.0</v>
      </c>
      <c r="L531" s="6" t="s">
        <v>22</v>
      </c>
      <c r="M531" s="6" t="s">
        <v>2165</v>
      </c>
      <c r="N531" s="6" t="s">
        <v>34</v>
      </c>
      <c r="O531" s="6" t="s">
        <v>35</v>
      </c>
      <c r="P531" s="6">
        <f>COUNTIF(Analysis!$M$1:$M$3001,Analysis!$M531)</f>
        <v>1</v>
      </c>
      <c r="Q531" s="6" t="str">
        <f>IF(COUNTIF(Analysis!$M$2:$M$3001,Analysis!$M531)&gt;1,"Duplicate","OK")</f>
        <v>OK</v>
      </c>
      <c r="R531" s="6" t="str">
        <f t="shared" si="1"/>
        <v>600-1600</v>
      </c>
      <c r="S531" s="6">
        <f t="shared" si="2"/>
        <v>67</v>
      </c>
      <c r="T531" s="6" t="str">
        <f t="shared" si="3"/>
        <v>Very Old</v>
      </c>
    </row>
    <row r="532" ht="14.25" customHeight="1">
      <c r="A532" s="5">
        <v>446258.0</v>
      </c>
      <c r="B532" s="6" t="s">
        <v>2168</v>
      </c>
      <c r="C532" s="6" t="s">
        <v>53</v>
      </c>
      <c r="D532" s="6">
        <v>58433.0</v>
      </c>
      <c r="E532" s="6" t="s">
        <v>60</v>
      </c>
      <c r="F532" s="6" t="s">
        <v>61</v>
      </c>
      <c r="G532" s="6" t="s">
        <v>31</v>
      </c>
      <c r="H532" s="7">
        <v>1034.0</v>
      </c>
      <c r="I532" s="7">
        <v>4346.0</v>
      </c>
      <c r="J532" s="6">
        <v>1973.0</v>
      </c>
      <c r="K532" s="6">
        <v>43.0</v>
      </c>
      <c r="L532" s="6" t="s">
        <v>141</v>
      </c>
      <c r="M532" s="6" t="s">
        <v>2169</v>
      </c>
      <c r="N532" s="6" t="s">
        <v>43</v>
      </c>
      <c r="O532" s="6" t="s">
        <v>35</v>
      </c>
      <c r="P532" s="6">
        <f>COUNTIF(Analysis!$M$1:$M$3001,Analysis!$M532)</f>
        <v>1</v>
      </c>
      <c r="Q532" s="6" t="str">
        <f>IF(COUNTIF(Analysis!$M$2:$M$3001,Analysis!$M532)&gt;1,"Duplicate","OK")</f>
        <v>OK</v>
      </c>
      <c r="R532" s="6" t="str">
        <f t="shared" si="1"/>
        <v>600-1600</v>
      </c>
      <c r="S532" s="6">
        <f t="shared" si="2"/>
        <v>53</v>
      </c>
      <c r="T532" s="6" t="str">
        <f t="shared" si="3"/>
        <v>Old</v>
      </c>
    </row>
    <row r="533" ht="14.25" customHeight="1">
      <c r="A533" s="5">
        <v>387069.0</v>
      </c>
      <c r="B533" s="6" t="s">
        <v>3903</v>
      </c>
      <c r="C533" s="6" t="s">
        <v>29</v>
      </c>
      <c r="D533" s="6">
        <v>97242.0</v>
      </c>
      <c r="E533" s="6" t="s">
        <v>77</v>
      </c>
      <c r="F533" s="6" t="s">
        <v>94</v>
      </c>
      <c r="G533" s="6" t="s">
        <v>31</v>
      </c>
      <c r="H533" s="7">
        <v>3390.0</v>
      </c>
      <c r="I533" s="7">
        <v>2425.0</v>
      </c>
      <c r="J533" s="6">
        <v>2008.0</v>
      </c>
      <c r="K533" s="6">
        <v>4.0</v>
      </c>
      <c r="L533" s="6" t="s">
        <v>141</v>
      </c>
      <c r="M533" s="6" t="s">
        <v>3904</v>
      </c>
      <c r="N533" s="6" t="s">
        <v>34</v>
      </c>
      <c r="O533" s="6" t="s">
        <v>25</v>
      </c>
      <c r="P533" s="6">
        <f>COUNTIF(Analysis!$M$1:$M$3001,Analysis!$M966)</f>
        <v>1</v>
      </c>
      <c r="Q533" s="6" t="str">
        <f>IF(COUNTIF(Analysis!$M$2:$M$3001,Analysis!$M966)&gt;1,"Duplicate","OK")</f>
        <v>OK</v>
      </c>
      <c r="R533" s="6" t="str">
        <f t="shared" si="1"/>
        <v>2600-3600</v>
      </c>
      <c r="S533" s="6">
        <f t="shared" si="2"/>
        <v>18</v>
      </c>
      <c r="T533" s="6" t="str">
        <f t="shared" si="3"/>
        <v>Mid</v>
      </c>
    </row>
    <row r="534" ht="14.25" customHeight="1">
      <c r="A534" s="5">
        <v>395747.0</v>
      </c>
      <c r="B534" s="6" t="s">
        <v>2176</v>
      </c>
      <c r="C534" s="6" t="s">
        <v>18</v>
      </c>
      <c r="D534" s="6">
        <v>61026.0</v>
      </c>
      <c r="E534" s="6" t="s">
        <v>60</v>
      </c>
      <c r="F534" s="6" t="s">
        <v>94</v>
      </c>
      <c r="G534" s="6" t="s">
        <v>21</v>
      </c>
      <c r="H534" s="7">
        <v>3454.0</v>
      </c>
      <c r="I534" s="7">
        <v>7379.0</v>
      </c>
      <c r="J534" s="6">
        <v>1996.0</v>
      </c>
      <c r="K534" s="6">
        <v>13.0</v>
      </c>
      <c r="L534" s="6" t="s">
        <v>95</v>
      </c>
      <c r="M534" s="6" t="s">
        <v>2177</v>
      </c>
      <c r="N534" s="6" t="s">
        <v>64</v>
      </c>
      <c r="O534" s="6" t="s">
        <v>49</v>
      </c>
      <c r="P534" s="6">
        <f>COUNTIF(Analysis!$M$1:$M$3001,Analysis!$M534)</f>
        <v>1</v>
      </c>
      <c r="Q534" s="6" t="str">
        <f>IF(COUNTIF(Analysis!$M$2:$M$3001,Analysis!$M534)&gt;1,"Duplicate","OK")</f>
        <v>OK</v>
      </c>
      <c r="R534" s="6" t="str">
        <f t="shared" si="1"/>
        <v>2600-3600</v>
      </c>
      <c r="S534" s="6">
        <f t="shared" si="2"/>
        <v>30</v>
      </c>
      <c r="T534" s="6" t="str">
        <f t="shared" si="3"/>
        <v>Mid</v>
      </c>
    </row>
    <row r="535" ht="14.25" customHeight="1">
      <c r="A535" s="5">
        <v>757183.0</v>
      </c>
      <c r="B535" s="6" t="s">
        <v>2180</v>
      </c>
      <c r="C535" s="6" t="s">
        <v>18</v>
      </c>
      <c r="D535" s="6">
        <v>43557.0</v>
      </c>
      <c r="E535" s="6" t="s">
        <v>40</v>
      </c>
      <c r="F535" s="6" t="s">
        <v>41</v>
      </c>
      <c r="G535" s="6" t="s">
        <v>55</v>
      </c>
      <c r="H535" s="7">
        <v>2081.0</v>
      </c>
      <c r="I535" s="7">
        <v>4775.0</v>
      </c>
      <c r="J535" s="6">
        <v>2017.0</v>
      </c>
      <c r="K535" s="6">
        <v>74.0</v>
      </c>
      <c r="L535" s="6" t="s">
        <v>22</v>
      </c>
      <c r="M535" s="6" t="s">
        <v>2181</v>
      </c>
      <c r="N535" s="6" t="s">
        <v>64</v>
      </c>
      <c r="O535" s="6" t="s">
        <v>49</v>
      </c>
      <c r="P535" s="6">
        <f>COUNTIF(Analysis!$M$1:$M$3001,Analysis!$M535)</f>
        <v>1</v>
      </c>
      <c r="Q535" s="6" t="str">
        <f>IF(COUNTIF(Analysis!$M$2:$M$3001,Analysis!$M535)&gt;1,"Duplicate","OK")</f>
        <v>OK</v>
      </c>
      <c r="R535" s="6" t="str">
        <f t="shared" si="1"/>
        <v>1600-2600</v>
      </c>
      <c r="S535" s="6">
        <f t="shared" si="2"/>
        <v>9</v>
      </c>
      <c r="T535" s="6" t="str">
        <f t="shared" si="3"/>
        <v>New</v>
      </c>
    </row>
    <row r="536" ht="14.25" customHeight="1">
      <c r="A536" s="5">
        <v>388660.0</v>
      </c>
      <c r="B536" s="6" t="s">
        <v>1177</v>
      </c>
      <c r="C536" s="6" t="s">
        <v>29</v>
      </c>
      <c r="D536" s="6">
        <v>65725.0</v>
      </c>
      <c r="E536" s="6" t="s">
        <v>40</v>
      </c>
      <c r="F536" s="6" t="s">
        <v>54</v>
      </c>
      <c r="G536" s="6" t="s">
        <v>31</v>
      </c>
      <c r="H536" s="7">
        <v>1983.0</v>
      </c>
      <c r="I536" s="7">
        <v>4741.0</v>
      </c>
      <c r="J536" s="6">
        <v>2017.0</v>
      </c>
      <c r="K536" s="6">
        <v>93.0</v>
      </c>
      <c r="L536" s="6" t="s">
        <v>22</v>
      </c>
      <c r="M536" s="6" t="s">
        <v>1178</v>
      </c>
      <c r="N536" s="6" t="s">
        <v>43</v>
      </c>
      <c r="O536" s="6" t="s">
        <v>25</v>
      </c>
      <c r="P536" s="6">
        <f>COUNTIF(Analysis!$M$1:$M$3001,Analysis!$M284)</f>
        <v>1</v>
      </c>
      <c r="Q536" s="6" t="str">
        <f>IF(COUNTIF(Analysis!$M$2:$M$3001,Analysis!$M284)&gt;1,"Duplicate","OK")</f>
        <v>OK</v>
      </c>
      <c r="R536" s="6" t="str">
        <f t="shared" si="1"/>
        <v>1600-2600</v>
      </c>
      <c r="S536" s="6">
        <f t="shared" si="2"/>
        <v>9</v>
      </c>
      <c r="T536" s="6" t="str">
        <f t="shared" si="3"/>
        <v>New</v>
      </c>
    </row>
    <row r="537" ht="14.25" customHeight="1">
      <c r="A537" s="5">
        <v>389653.0</v>
      </c>
      <c r="B537" s="6" t="s">
        <v>11763</v>
      </c>
      <c r="C537" s="6" t="s">
        <v>29</v>
      </c>
      <c r="D537" s="6">
        <v>88176.0</v>
      </c>
      <c r="E537" s="6" t="s">
        <v>40</v>
      </c>
      <c r="F537" s="6" t="s">
        <v>46</v>
      </c>
      <c r="G537" s="6" t="s">
        <v>100</v>
      </c>
      <c r="H537" s="7">
        <v>1176.0</v>
      </c>
      <c r="I537" s="7">
        <v>3948.0</v>
      </c>
      <c r="J537" s="6">
        <v>1968.0</v>
      </c>
      <c r="K537" s="6">
        <v>12.0</v>
      </c>
      <c r="L537" s="6" t="s">
        <v>95</v>
      </c>
      <c r="M537" s="6" t="s">
        <v>11764</v>
      </c>
      <c r="N537" s="6" t="s">
        <v>24</v>
      </c>
      <c r="O537" s="6" t="s">
        <v>49</v>
      </c>
      <c r="P537" s="6">
        <f>COUNTIF(Analysis!$M$1:$M$3001,Analysis!$M2932)</f>
        <v>1</v>
      </c>
      <c r="Q537" s="6" t="str">
        <f>IF(COUNTIF(Analysis!$M$2:$M$3001,Analysis!$M2932)&gt;1,"Duplicate","OK")</f>
        <v>OK</v>
      </c>
      <c r="R537" s="6" t="str">
        <f t="shared" si="1"/>
        <v>600-1600</v>
      </c>
      <c r="S537" s="6">
        <f t="shared" si="2"/>
        <v>58</v>
      </c>
      <c r="T537" s="6" t="str">
        <f t="shared" si="3"/>
        <v>Old</v>
      </c>
    </row>
    <row r="538" ht="14.25" customHeight="1">
      <c r="A538" s="5">
        <v>1228020.0</v>
      </c>
      <c r="B538" s="6" t="s">
        <v>2192</v>
      </c>
      <c r="C538" s="6" t="s">
        <v>53</v>
      </c>
      <c r="D538" s="6">
        <v>37339.0</v>
      </c>
      <c r="E538" s="6" t="s">
        <v>30</v>
      </c>
      <c r="F538" s="6" t="s">
        <v>46</v>
      </c>
      <c r="G538" s="6" t="s">
        <v>55</v>
      </c>
      <c r="H538" s="7">
        <v>3597.0</v>
      </c>
      <c r="I538" s="7">
        <v>3730.0</v>
      </c>
      <c r="J538" s="6">
        <v>1958.0</v>
      </c>
      <c r="K538" s="6">
        <v>24.0</v>
      </c>
      <c r="L538" s="6" t="s">
        <v>141</v>
      </c>
      <c r="M538" s="6" t="s">
        <v>2193</v>
      </c>
      <c r="N538" s="6" t="s">
        <v>64</v>
      </c>
      <c r="O538" s="6" t="s">
        <v>49</v>
      </c>
      <c r="P538" s="6">
        <f>COUNTIF(Analysis!$M$1:$M$3001,Analysis!$M538)</f>
        <v>1</v>
      </c>
      <c r="Q538" s="6" t="str">
        <f>IF(COUNTIF(Analysis!$M$2:$M$3001,Analysis!$M538)&gt;1,"Duplicate","OK")</f>
        <v>OK</v>
      </c>
      <c r="R538" s="6" t="str">
        <f t="shared" si="1"/>
        <v>2600-3600</v>
      </c>
      <c r="S538" s="6">
        <f t="shared" si="2"/>
        <v>68</v>
      </c>
      <c r="T538" s="6" t="str">
        <f t="shared" si="3"/>
        <v>Very Old</v>
      </c>
    </row>
    <row r="539" ht="14.25" customHeight="1">
      <c r="A539" s="5">
        <v>1055904.0</v>
      </c>
      <c r="B539" s="6" t="s">
        <v>2196</v>
      </c>
      <c r="C539" s="6" t="s">
        <v>76</v>
      </c>
      <c r="D539" s="6">
        <v>14212.0</v>
      </c>
      <c r="E539" s="6" t="s">
        <v>30</v>
      </c>
      <c r="F539" s="6" t="s">
        <v>41</v>
      </c>
      <c r="G539" s="6" t="s">
        <v>55</v>
      </c>
      <c r="H539" s="7">
        <v>2630.0</v>
      </c>
      <c r="I539" s="7">
        <v>9873.0</v>
      </c>
      <c r="J539" s="6">
        <v>2003.0</v>
      </c>
      <c r="K539" s="6">
        <v>110.0</v>
      </c>
      <c r="L539" s="6" t="s">
        <v>95</v>
      </c>
      <c r="M539" s="6" t="s">
        <v>2197</v>
      </c>
      <c r="N539" s="6" t="s">
        <v>34</v>
      </c>
      <c r="O539" s="6" t="s">
        <v>25</v>
      </c>
      <c r="P539" s="6">
        <f>COUNTIF(Analysis!$M$1:$M$3001,Analysis!$M539)</f>
        <v>1</v>
      </c>
      <c r="Q539" s="6" t="str">
        <f>IF(COUNTIF(Analysis!$M$2:$M$3001,Analysis!$M539)&gt;1,"Duplicate","OK")</f>
        <v>OK</v>
      </c>
      <c r="R539" s="6" t="str">
        <f t="shared" si="1"/>
        <v>2600-3600</v>
      </c>
      <c r="S539" s="6">
        <f t="shared" si="2"/>
        <v>23</v>
      </c>
      <c r="T539" s="6" t="str">
        <f t="shared" si="3"/>
        <v>Mid</v>
      </c>
    </row>
    <row r="540" ht="14.25" customHeight="1">
      <c r="A540" s="5">
        <v>850524.0</v>
      </c>
      <c r="B540" s="6" t="s">
        <v>2200</v>
      </c>
      <c r="C540" s="6" t="s">
        <v>53</v>
      </c>
      <c r="D540" s="6">
        <v>35378.0</v>
      </c>
      <c r="E540" s="6" t="s">
        <v>30</v>
      </c>
      <c r="F540" s="6" t="s">
        <v>20</v>
      </c>
      <c r="G540" s="6" t="s">
        <v>55</v>
      </c>
      <c r="H540" s="7">
        <v>3783.0</v>
      </c>
      <c r="I540" s="7">
        <v>6706.0</v>
      </c>
      <c r="J540" s="6">
        <v>1984.0</v>
      </c>
      <c r="K540" s="6">
        <v>102.0</v>
      </c>
      <c r="L540" s="6" t="s">
        <v>141</v>
      </c>
      <c r="M540" s="6" t="s">
        <v>2201</v>
      </c>
      <c r="N540" s="6" t="s">
        <v>43</v>
      </c>
      <c r="O540" s="6" t="s">
        <v>49</v>
      </c>
      <c r="P540" s="6">
        <f>COUNTIF(Analysis!$M$1:$M$3001,Analysis!$M540)</f>
        <v>1</v>
      </c>
      <c r="Q540" s="6" t="str">
        <f>IF(COUNTIF(Analysis!$M$2:$M$3001,Analysis!$M540)&gt;1,"Duplicate","OK")</f>
        <v>OK</v>
      </c>
      <c r="R540" s="6" t="str">
        <f t="shared" si="1"/>
        <v>3600+</v>
      </c>
      <c r="S540" s="6">
        <f t="shared" si="2"/>
        <v>42</v>
      </c>
      <c r="T540" s="6" t="str">
        <f t="shared" si="3"/>
        <v>Old</v>
      </c>
    </row>
    <row r="541" ht="14.25" customHeight="1">
      <c r="A541" s="5">
        <v>374194.0</v>
      </c>
      <c r="B541" s="6" t="s">
        <v>2204</v>
      </c>
      <c r="C541" s="6" t="s">
        <v>53</v>
      </c>
      <c r="D541" s="6">
        <v>87488.0</v>
      </c>
      <c r="E541" s="6" t="s">
        <v>60</v>
      </c>
      <c r="F541" s="6" t="s">
        <v>20</v>
      </c>
      <c r="G541" s="6" t="s">
        <v>21</v>
      </c>
      <c r="H541" s="7">
        <v>2866.0</v>
      </c>
      <c r="I541" s="7">
        <v>3036.0</v>
      </c>
      <c r="J541" s="6">
        <v>1964.0</v>
      </c>
      <c r="K541" s="6">
        <v>87.0</v>
      </c>
      <c r="L541" s="6" t="s">
        <v>62</v>
      </c>
      <c r="M541" s="6" t="s">
        <v>2205</v>
      </c>
      <c r="N541" s="6" t="s">
        <v>34</v>
      </c>
      <c r="O541" s="6" t="s">
        <v>35</v>
      </c>
      <c r="P541" s="6">
        <f>COUNTIF(Analysis!$M$1:$M$3001,Analysis!$M541)</f>
        <v>1</v>
      </c>
      <c r="Q541" s="6" t="str">
        <f>IF(COUNTIF(Analysis!$M$2:$M$3001,Analysis!$M541)&gt;1,"Duplicate","OK")</f>
        <v>OK</v>
      </c>
      <c r="R541" s="6" t="str">
        <f t="shared" si="1"/>
        <v>2600-3600</v>
      </c>
      <c r="S541" s="6">
        <f t="shared" si="2"/>
        <v>62</v>
      </c>
      <c r="T541" s="6" t="str">
        <f t="shared" si="3"/>
        <v>Very Old</v>
      </c>
    </row>
    <row r="542" ht="14.25" customHeight="1">
      <c r="A542" s="5">
        <v>277923.0</v>
      </c>
      <c r="B542" s="6" t="s">
        <v>2208</v>
      </c>
      <c r="C542" s="6" t="s">
        <v>18</v>
      </c>
      <c r="D542" s="6">
        <v>55567.0</v>
      </c>
      <c r="E542" s="6" t="s">
        <v>77</v>
      </c>
      <c r="F542" s="6" t="s">
        <v>61</v>
      </c>
      <c r="G542" s="6" t="s">
        <v>55</v>
      </c>
      <c r="H542" s="7">
        <v>807.0</v>
      </c>
      <c r="I542" s="7">
        <v>5944.0</v>
      </c>
      <c r="J542" s="6">
        <v>2021.0</v>
      </c>
      <c r="K542" s="6">
        <v>68.0</v>
      </c>
      <c r="L542" s="6" t="s">
        <v>32</v>
      </c>
      <c r="M542" s="6" t="s">
        <v>2209</v>
      </c>
      <c r="N542" s="6" t="s">
        <v>43</v>
      </c>
      <c r="O542" s="6" t="s">
        <v>49</v>
      </c>
      <c r="P542" s="6">
        <f>COUNTIF(Analysis!$M$1:$M$3001,Analysis!$M542)</f>
        <v>1</v>
      </c>
      <c r="Q542" s="6" t="str">
        <f>IF(COUNTIF(Analysis!$M$2:$M$3001,Analysis!$M542)&gt;1,"Duplicate","OK")</f>
        <v>OK</v>
      </c>
      <c r="R542" s="6" t="str">
        <f t="shared" si="1"/>
        <v>600-1600</v>
      </c>
      <c r="S542" s="6">
        <f t="shared" si="2"/>
        <v>5</v>
      </c>
      <c r="T542" s="6" t="str">
        <f t="shared" si="3"/>
        <v>New</v>
      </c>
    </row>
    <row r="543" ht="14.25" customHeight="1">
      <c r="A543" s="5">
        <v>930934.0</v>
      </c>
      <c r="B543" s="6" t="s">
        <v>2212</v>
      </c>
      <c r="C543" s="6" t="s">
        <v>76</v>
      </c>
      <c r="D543" s="6">
        <v>88302.0</v>
      </c>
      <c r="E543" s="6" t="s">
        <v>30</v>
      </c>
      <c r="F543" s="6" t="s">
        <v>20</v>
      </c>
      <c r="G543" s="6" t="s">
        <v>31</v>
      </c>
      <c r="H543" s="7">
        <v>3219.0</v>
      </c>
      <c r="I543" s="7">
        <v>8079.0</v>
      </c>
      <c r="J543" s="6">
        <v>1966.0</v>
      </c>
      <c r="K543" s="6">
        <v>70.0</v>
      </c>
      <c r="L543" s="6" t="s">
        <v>141</v>
      </c>
      <c r="M543" s="6" t="s">
        <v>2213</v>
      </c>
      <c r="N543" s="6" t="s">
        <v>24</v>
      </c>
      <c r="O543" s="6" t="s">
        <v>35</v>
      </c>
      <c r="P543" s="6">
        <f>COUNTIF(Analysis!$M$1:$M$3001,Analysis!$M543)</f>
        <v>1</v>
      </c>
      <c r="Q543" s="6" t="str">
        <f>IF(COUNTIF(Analysis!$M$2:$M$3001,Analysis!$M543)&gt;1,"Duplicate","OK")</f>
        <v>OK</v>
      </c>
      <c r="R543" s="6" t="str">
        <f t="shared" si="1"/>
        <v>2600-3600</v>
      </c>
      <c r="S543" s="6">
        <f t="shared" si="2"/>
        <v>60</v>
      </c>
      <c r="T543" s="6" t="str">
        <f t="shared" si="3"/>
        <v>Old</v>
      </c>
    </row>
    <row r="544" ht="14.25" customHeight="1">
      <c r="A544" s="5">
        <v>390844.0</v>
      </c>
      <c r="B544" s="6" t="s">
        <v>2767</v>
      </c>
      <c r="C544" s="6" t="s">
        <v>29</v>
      </c>
      <c r="D544" s="6">
        <v>20603.0</v>
      </c>
      <c r="E544" s="6" t="s">
        <v>77</v>
      </c>
      <c r="F544" s="6" t="s">
        <v>54</v>
      </c>
      <c r="G544" s="6" t="s">
        <v>100</v>
      </c>
      <c r="H544" s="7">
        <v>3770.0</v>
      </c>
      <c r="I544" s="7">
        <v>5185.0</v>
      </c>
      <c r="J544" s="6">
        <v>1986.0</v>
      </c>
      <c r="K544" s="6">
        <v>39.0</v>
      </c>
      <c r="L544" s="6" t="s">
        <v>62</v>
      </c>
      <c r="M544" s="6" t="s">
        <v>2768</v>
      </c>
      <c r="N544" s="6" t="s">
        <v>43</v>
      </c>
      <c r="O544" s="6" t="s">
        <v>35</v>
      </c>
      <c r="P544" s="6">
        <f>COUNTIF(Analysis!$M$1:$M$3001,Analysis!$M682)</f>
        <v>1</v>
      </c>
      <c r="Q544" s="6" t="str">
        <f>IF(COUNTIF(Analysis!$M$2:$M$3001,Analysis!$M682)&gt;1,"Duplicate","OK")</f>
        <v>OK</v>
      </c>
      <c r="R544" s="6" t="str">
        <f t="shared" si="1"/>
        <v>3600+</v>
      </c>
      <c r="S544" s="6">
        <f t="shared" si="2"/>
        <v>40</v>
      </c>
      <c r="T544" s="6" t="str">
        <f t="shared" si="3"/>
        <v>Old</v>
      </c>
    </row>
    <row r="545" ht="14.25" customHeight="1">
      <c r="A545" s="5">
        <v>499090.0</v>
      </c>
      <c r="B545" s="6" t="s">
        <v>2220</v>
      </c>
      <c r="C545" s="6" t="s">
        <v>39</v>
      </c>
      <c r="D545" s="6">
        <v>14685.0</v>
      </c>
      <c r="E545" s="6" t="s">
        <v>60</v>
      </c>
      <c r="F545" s="6" t="s">
        <v>41</v>
      </c>
      <c r="G545" s="6" t="s">
        <v>21</v>
      </c>
      <c r="H545" s="7">
        <v>3614.0</v>
      </c>
      <c r="I545" s="7">
        <v>4546.0</v>
      </c>
      <c r="J545" s="6">
        <v>1996.0</v>
      </c>
      <c r="K545" s="6">
        <v>51.0</v>
      </c>
      <c r="L545" s="6" t="s">
        <v>141</v>
      </c>
      <c r="M545" s="6" t="s">
        <v>2221</v>
      </c>
      <c r="N545" s="6" t="s">
        <v>48</v>
      </c>
      <c r="O545" s="6" t="s">
        <v>25</v>
      </c>
      <c r="P545" s="6">
        <f>COUNTIF(Analysis!$M$1:$M$3001,Analysis!$M545)</f>
        <v>1</v>
      </c>
      <c r="Q545" s="6" t="str">
        <f>IF(COUNTIF(Analysis!$M$2:$M$3001,Analysis!$M545)&gt;1,"Duplicate","OK")</f>
        <v>OK</v>
      </c>
      <c r="R545" s="6" t="str">
        <f t="shared" si="1"/>
        <v>3600+</v>
      </c>
      <c r="S545" s="6">
        <f t="shared" si="2"/>
        <v>30</v>
      </c>
      <c r="T545" s="6" t="str">
        <f t="shared" si="3"/>
        <v>Mid</v>
      </c>
    </row>
    <row r="546" ht="14.25" customHeight="1">
      <c r="A546" s="5">
        <v>1107473.0</v>
      </c>
      <c r="B546" s="6" t="s">
        <v>2224</v>
      </c>
      <c r="C546" s="6" t="s">
        <v>53</v>
      </c>
      <c r="D546" s="6">
        <v>18152.0</v>
      </c>
      <c r="E546" s="6" t="s">
        <v>30</v>
      </c>
      <c r="F546" s="6" t="s">
        <v>41</v>
      </c>
      <c r="G546" s="6" t="s">
        <v>31</v>
      </c>
      <c r="H546" s="7">
        <v>795.0</v>
      </c>
      <c r="I546" s="7">
        <v>3674.0</v>
      </c>
      <c r="J546" s="6">
        <v>2009.0</v>
      </c>
      <c r="K546" s="6">
        <v>43.0</v>
      </c>
      <c r="L546" s="6" t="s">
        <v>32</v>
      </c>
      <c r="M546" s="6" t="s">
        <v>2225</v>
      </c>
      <c r="N546" s="6" t="s">
        <v>34</v>
      </c>
      <c r="O546" s="6" t="s">
        <v>25</v>
      </c>
      <c r="P546" s="6">
        <f>COUNTIF(Analysis!$M$1:$M$3001,Analysis!$M546)</f>
        <v>1</v>
      </c>
      <c r="Q546" s="6" t="str">
        <f>IF(COUNTIF(Analysis!$M$2:$M$3001,Analysis!$M546)&gt;1,"Duplicate","OK")</f>
        <v>OK</v>
      </c>
      <c r="R546" s="6" t="str">
        <f t="shared" si="1"/>
        <v>600-1600</v>
      </c>
      <c r="S546" s="6">
        <f t="shared" si="2"/>
        <v>17</v>
      </c>
      <c r="T546" s="6" t="str">
        <f t="shared" si="3"/>
        <v>Mid</v>
      </c>
    </row>
    <row r="547" ht="14.25" customHeight="1">
      <c r="A547" s="5">
        <v>859034.0</v>
      </c>
      <c r="B547" s="6" t="s">
        <v>2228</v>
      </c>
      <c r="C547" s="6" t="s">
        <v>39</v>
      </c>
      <c r="D547" s="6">
        <v>73267.0</v>
      </c>
      <c r="E547" s="6" t="s">
        <v>40</v>
      </c>
      <c r="F547" s="6" t="s">
        <v>41</v>
      </c>
      <c r="G547" s="6" t="s">
        <v>21</v>
      </c>
      <c r="H547" s="7">
        <v>2088.0</v>
      </c>
      <c r="I547" s="7">
        <v>1515.0</v>
      </c>
      <c r="J547" s="6">
        <v>1958.0</v>
      </c>
      <c r="K547" s="6">
        <v>6.0</v>
      </c>
      <c r="L547" s="6" t="s">
        <v>95</v>
      </c>
      <c r="M547" s="6" t="s">
        <v>2229</v>
      </c>
      <c r="N547" s="6" t="s">
        <v>34</v>
      </c>
      <c r="O547" s="6" t="s">
        <v>25</v>
      </c>
      <c r="P547" s="6">
        <f>COUNTIF(Analysis!$M$1:$M$3001,Analysis!$M547)</f>
        <v>1</v>
      </c>
      <c r="Q547" s="6" t="str">
        <f>IF(COUNTIF(Analysis!$M$2:$M$3001,Analysis!$M547)&gt;1,"Duplicate","OK")</f>
        <v>OK</v>
      </c>
      <c r="R547" s="6" t="str">
        <f t="shared" si="1"/>
        <v>1600-2600</v>
      </c>
      <c r="S547" s="6">
        <f t="shared" si="2"/>
        <v>68</v>
      </c>
      <c r="T547" s="6" t="str">
        <f t="shared" si="3"/>
        <v>Very Old</v>
      </c>
    </row>
    <row r="548" ht="14.25" customHeight="1">
      <c r="A548" s="5">
        <v>1082651.0</v>
      </c>
      <c r="B548" s="6" t="s">
        <v>2232</v>
      </c>
      <c r="C548" s="6" t="s">
        <v>39</v>
      </c>
      <c r="D548" s="6">
        <v>82661.0</v>
      </c>
      <c r="E548" s="6" t="s">
        <v>60</v>
      </c>
      <c r="F548" s="6" t="s">
        <v>46</v>
      </c>
      <c r="G548" s="6" t="s">
        <v>55</v>
      </c>
      <c r="H548" s="7">
        <v>3042.0</v>
      </c>
      <c r="I548" s="7">
        <v>4692.0</v>
      </c>
      <c r="J548" s="6">
        <v>2023.0</v>
      </c>
      <c r="K548" s="6">
        <v>61.0</v>
      </c>
      <c r="L548" s="6" t="s">
        <v>62</v>
      </c>
      <c r="M548" s="6" t="s">
        <v>2233</v>
      </c>
      <c r="N548" s="6" t="s">
        <v>24</v>
      </c>
      <c r="O548" s="6" t="s">
        <v>49</v>
      </c>
      <c r="P548" s="6">
        <f>COUNTIF(Analysis!$M$1:$M$3001,Analysis!$M548)</f>
        <v>1</v>
      </c>
      <c r="Q548" s="6" t="str">
        <f>IF(COUNTIF(Analysis!$M$2:$M$3001,Analysis!$M548)&gt;1,"Duplicate","OK")</f>
        <v>OK</v>
      </c>
      <c r="R548" s="6" t="str">
        <f t="shared" si="1"/>
        <v>2600-3600</v>
      </c>
      <c r="S548" s="6">
        <f t="shared" si="2"/>
        <v>3</v>
      </c>
      <c r="T548" s="6" t="str">
        <f t="shared" si="3"/>
        <v>New</v>
      </c>
    </row>
    <row r="549" ht="14.25" customHeight="1">
      <c r="A549" s="5">
        <v>208387.0</v>
      </c>
      <c r="B549" s="6" t="s">
        <v>2236</v>
      </c>
      <c r="C549" s="6" t="s">
        <v>76</v>
      </c>
      <c r="D549" s="6">
        <v>93635.0</v>
      </c>
      <c r="E549" s="6" t="s">
        <v>19</v>
      </c>
      <c r="F549" s="6" t="s">
        <v>94</v>
      </c>
      <c r="G549" s="6" t="s">
        <v>100</v>
      </c>
      <c r="H549" s="7">
        <v>2807.0</v>
      </c>
      <c r="I549" s="7">
        <v>5586.0</v>
      </c>
      <c r="J549" s="6">
        <v>1976.0</v>
      </c>
      <c r="K549" s="6">
        <v>99.0</v>
      </c>
      <c r="L549" s="6" t="s">
        <v>32</v>
      </c>
      <c r="M549" s="6" t="s">
        <v>2237</v>
      </c>
      <c r="N549" s="6" t="s">
        <v>48</v>
      </c>
      <c r="O549" s="6" t="s">
        <v>25</v>
      </c>
      <c r="P549" s="6">
        <f>COUNTIF(Analysis!$M$1:$M$3001,Analysis!$M549)</f>
        <v>1</v>
      </c>
      <c r="Q549" s="6" t="str">
        <f>IF(COUNTIF(Analysis!$M$2:$M$3001,Analysis!$M549)&gt;1,"Duplicate","OK")</f>
        <v>OK</v>
      </c>
      <c r="R549" s="6" t="str">
        <f t="shared" si="1"/>
        <v>2600-3600</v>
      </c>
      <c r="S549" s="6">
        <f t="shared" si="2"/>
        <v>50</v>
      </c>
      <c r="T549" s="6" t="str">
        <f t="shared" si="3"/>
        <v>Old</v>
      </c>
    </row>
    <row r="550" ht="14.25" customHeight="1">
      <c r="A550" s="5">
        <v>564122.0</v>
      </c>
      <c r="B550" s="6" t="s">
        <v>2240</v>
      </c>
      <c r="C550" s="6" t="s">
        <v>76</v>
      </c>
      <c r="D550" s="6">
        <v>78415.0</v>
      </c>
      <c r="E550" s="6" t="s">
        <v>30</v>
      </c>
      <c r="F550" s="6" t="s">
        <v>61</v>
      </c>
      <c r="G550" s="6" t="s">
        <v>55</v>
      </c>
      <c r="H550" s="7">
        <v>1590.0</v>
      </c>
      <c r="I550" s="7">
        <v>8525.0</v>
      </c>
      <c r="J550" s="6">
        <v>2015.0</v>
      </c>
      <c r="K550" s="6">
        <v>21.0</v>
      </c>
      <c r="L550" s="6" t="s">
        <v>141</v>
      </c>
      <c r="M550" s="6" t="s">
        <v>2241</v>
      </c>
      <c r="N550" s="6" t="s">
        <v>24</v>
      </c>
      <c r="O550" s="6" t="s">
        <v>25</v>
      </c>
      <c r="P550" s="6">
        <f>COUNTIF(Analysis!$M$1:$M$3001,Analysis!$M550)</f>
        <v>1</v>
      </c>
      <c r="Q550" s="6" t="str">
        <f>IF(COUNTIF(Analysis!$M$2:$M$3001,Analysis!$M550)&gt;1,"Duplicate","OK")</f>
        <v>OK</v>
      </c>
      <c r="R550" s="6" t="str">
        <f t="shared" si="1"/>
        <v>600-1600</v>
      </c>
      <c r="S550" s="6">
        <f t="shared" si="2"/>
        <v>11</v>
      </c>
      <c r="T550" s="6" t="str">
        <f t="shared" si="3"/>
        <v>Mid</v>
      </c>
    </row>
    <row r="551" ht="14.25" customHeight="1">
      <c r="A551" s="5">
        <v>987975.0</v>
      </c>
      <c r="B551" s="6" t="s">
        <v>2244</v>
      </c>
      <c r="C551" s="6" t="s">
        <v>18</v>
      </c>
      <c r="D551" s="6">
        <v>59583.0</v>
      </c>
      <c r="E551" s="6" t="s">
        <v>40</v>
      </c>
      <c r="F551" s="6" t="s">
        <v>54</v>
      </c>
      <c r="G551" s="6" t="s">
        <v>55</v>
      </c>
      <c r="H551" s="7">
        <v>1416.0</v>
      </c>
      <c r="I551" s="7">
        <v>1584.0</v>
      </c>
      <c r="J551" s="6">
        <v>1978.0</v>
      </c>
      <c r="K551" s="6">
        <v>90.0</v>
      </c>
      <c r="L551" s="6" t="s">
        <v>32</v>
      </c>
      <c r="M551" s="6" t="s">
        <v>2245</v>
      </c>
      <c r="N551" s="6" t="s">
        <v>24</v>
      </c>
      <c r="O551" s="6" t="s">
        <v>25</v>
      </c>
      <c r="P551" s="6">
        <f>COUNTIF(Analysis!$M$1:$M$3001,Analysis!$M551)</f>
        <v>1</v>
      </c>
      <c r="Q551" s="6" t="str">
        <f>IF(COUNTIF(Analysis!$M$2:$M$3001,Analysis!$M551)&gt;1,"Duplicate","OK")</f>
        <v>OK</v>
      </c>
      <c r="R551" s="6" t="str">
        <f t="shared" si="1"/>
        <v>600-1600</v>
      </c>
      <c r="S551" s="6">
        <f t="shared" si="2"/>
        <v>48</v>
      </c>
      <c r="T551" s="6" t="str">
        <f t="shared" si="3"/>
        <v>Old</v>
      </c>
    </row>
    <row r="552" ht="14.25" customHeight="1">
      <c r="A552" s="5">
        <v>491022.0</v>
      </c>
      <c r="B552" s="6" t="s">
        <v>2248</v>
      </c>
      <c r="C552" s="6" t="s">
        <v>18</v>
      </c>
      <c r="D552" s="6">
        <v>29719.0</v>
      </c>
      <c r="E552" s="6" t="s">
        <v>60</v>
      </c>
      <c r="F552" s="6" t="s">
        <v>20</v>
      </c>
      <c r="G552" s="6" t="s">
        <v>100</v>
      </c>
      <c r="H552" s="7">
        <v>3645.0</v>
      </c>
      <c r="I552" s="7">
        <v>4509.0</v>
      </c>
      <c r="J552" s="6">
        <v>2020.0</v>
      </c>
      <c r="K552" s="6">
        <v>92.0</v>
      </c>
      <c r="L552" s="6" t="s">
        <v>32</v>
      </c>
      <c r="M552" s="6" t="s">
        <v>2249</v>
      </c>
      <c r="N552" s="6" t="s">
        <v>64</v>
      </c>
      <c r="O552" s="6" t="s">
        <v>35</v>
      </c>
      <c r="P552" s="6">
        <f>COUNTIF(Analysis!$M$1:$M$3001,Analysis!$M552)</f>
        <v>1</v>
      </c>
      <c r="Q552" s="6" t="str">
        <f>IF(COUNTIF(Analysis!$M$2:$M$3001,Analysis!$M552)&gt;1,"Duplicate","OK")</f>
        <v>OK</v>
      </c>
      <c r="R552" s="6" t="str">
        <f t="shared" si="1"/>
        <v>3600+</v>
      </c>
      <c r="S552" s="6">
        <f t="shared" si="2"/>
        <v>6</v>
      </c>
      <c r="T552" s="6" t="str">
        <f t="shared" si="3"/>
        <v>New</v>
      </c>
    </row>
    <row r="553" ht="14.25" customHeight="1">
      <c r="A553" s="5">
        <v>305465.0</v>
      </c>
      <c r="B553" s="6" t="s">
        <v>2252</v>
      </c>
      <c r="C553" s="6" t="s">
        <v>18</v>
      </c>
      <c r="D553" s="6">
        <v>78275.0</v>
      </c>
      <c r="E553" s="6" t="s">
        <v>40</v>
      </c>
      <c r="F553" s="6" t="s">
        <v>41</v>
      </c>
      <c r="G553" s="6" t="s">
        <v>55</v>
      </c>
      <c r="H553" s="7">
        <v>927.0</v>
      </c>
      <c r="I553" s="7">
        <v>2474.0</v>
      </c>
      <c r="J553" s="6">
        <v>1990.0</v>
      </c>
      <c r="K553" s="6">
        <v>20.0</v>
      </c>
      <c r="L553" s="6" t="s">
        <v>62</v>
      </c>
      <c r="M553" s="6" t="s">
        <v>2253</v>
      </c>
      <c r="N553" s="6" t="s">
        <v>64</v>
      </c>
      <c r="O553" s="6" t="s">
        <v>25</v>
      </c>
      <c r="P553" s="6">
        <f>COUNTIF(Analysis!$M$1:$M$3001,Analysis!$M553)</f>
        <v>1</v>
      </c>
      <c r="Q553" s="6" t="str">
        <f>IF(COUNTIF(Analysis!$M$2:$M$3001,Analysis!$M553)&gt;1,"Duplicate","OK")</f>
        <v>OK</v>
      </c>
      <c r="R553" s="6" t="str">
        <f t="shared" si="1"/>
        <v>600-1600</v>
      </c>
      <c r="S553" s="6">
        <f t="shared" si="2"/>
        <v>36</v>
      </c>
      <c r="T553" s="6" t="str">
        <f t="shared" si="3"/>
        <v>Old</v>
      </c>
    </row>
    <row r="554" ht="14.25" customHeight="1">
      <c r="A554" s="5">
        <v>334971.0</v>
      </c>
      <c r="B554" s="6" t="s">
        <v>2256</v>
      </c>
      <c r="C554" s="6" t="s">
        <v>39</v>
      </c>
      <c r="D554" s="6">
        <v>78040.0</v>
      </c>
      <c r="E554" s="6" t="s">
        <v>40</v>
      </c>
      <c r="F554" s="6" t="s">
        <v>61</v>
      </c>
      <c r="G554" s="6" t="s">
        <v>55</v>
      </c>
      <c r="H554" s="7">
        <v>1948.0</v>
      </c>
      <c r="I554" s="7">
        <v>4784.0</v>
      </c>
      <c r="J554" s="6">
        <v>1970.0</v>
      </c>
      <c r="K554" s="6">
        <v>44.0</v>
      </c>
      <c r="L554" s="6" t="s">
        <v>62</v>
      </c>
      <c r="M554" s="6" t="s">
        <v>2257</v>
      </c>
      <c r="N554" s="6" t="s">
        <v>64</v>
      </c>
      <c r="O554" s="6" t="s">
        <v>49</v>
      </c>
      <c r="P554" s="6">
        <f>COUNTIF(Analysis!$M$1:$M$3001,Analysis!$M554)</f>
        <v>1</v>
      </c>
      <c r="Q554" s="6" t="str">
        <f>IF(COUNTIF(Analysis!$M$2:$M$3001,Analysis!$M554)&gt;1,"Duplicate","OK")</f>
        <v>OK</v>
      </c>
      <c r="R554" s="6" t="str">
        <f t="shared" si="1"/>
        <v>1600-2600</v>
      </c>
      <c r="S554" s="6">
        <f t="shared" si="2"/>
        <v>56</v>
      </c>
      <c r="T554" s="6" t="str">
        <f t="shared" si="3"/>
        <v>Old</v>
      </c>
    </row>
    <row r="555" ht="14.25" customHeight="1">
      <c r="A555" s="5">
        <v>395473.0</v>
      </c>
      <c r="B555" s="6" t="s">
        <v>9771</v>
      </c>
      <c r="C555" s="6" t="s">
        <v>29</v>
      </c>
      <c r="D555" s="6">
        <v>43818.0</v>
      </c>
      <c r="E555" s="6" t="s">
        <v>30</v>
      </c>
      <c r="F555" s="6" t="s">
        <v>61</v>
      </c>
      <c r="G555" s="6" t="s">
        <v>31</v>
      </c>
      <c r="H555" s="7">
        <v>2054.0</v>
      </c>
      <c r="I555" s="7">
        <v>6068.0</v>
      </c>
      <c r="J555" s="6">
        <v>1990.0</v>
      </c>
      <c r="K555" s="6">
        <v>45.0</v>
      </c>
      <c r="L555" s="6" t="s">
        <v>141</v>
      </c>
      <c r="M555" s="6" t="s">
        <v>9772</v>
      </c>
      <c r="N555" s="6" t="s">
        <v>48</v>
      </c>
      <c r="O555" s="6" t="s">
        <v>35</v>
      </c>
      <c r="P555" s="6">
        <f>COUNTIF(Analysis!$M$1:$M$3001,Analysis!$M2434)</f>
        <v>1</v>
      </c>
      <c r="Q555" s="6" t="str">
        <f>IF(COUNTIF(Analysis!$M$2:$M$3001,Analysis!$M2434)&gt;1,"Duplicate","OK")</f>
        <v>OK</v>
      </c>
      <c r="R555" s="6" t="str">
        <f t="shared" si="1"/>
        <v>1600-2600</v>
      </c>
      <c r="S555" s="6">
        <f t="shared" si="2"/>
        <v>36</v>
      </c>
      <c r="T555" s="6" t="str">
        <f t="shared" si="3"/>
        <v>Old</v>
      </c>
    </row>
    <row r="556" ht="14.25" customHeight="1">
      <c r="A556" s="5">
        <v>586833.0</v>
      </c>
      <c r="B556" s="6" t="s">
        <v>2264</v>
      </c>
      <c r="C556" s="6" t="s">
        <v>39</v>
      </c>
      <c r="D556" s="6">
        <v>93094.0</v>
      </c>
      <c r="E556" s="6" t="s">
        <v>19</v>
      </c>
      <c r="F556" s="6" t="s">
        <v>41</v>
      </c>
      <c r="G556" s="6" t="s">
        <v>100</v>
      </c>
      <c r="H556" s="7">
        <v>1507.0</v>
      </c>
      <c r="I556" s="7">
        <v>1556.0</v>
      </c>
      <c r="J556" s="6">
        <v>1985.0</v>
      </c>
      <c r="K556" s="6">
        <v>107.0</v>
      </c>
      <c r="L556" s="6" t="s">
        <v>62</v>
      </c>
      <c r="M556" s="6" t="s">
        <v>2265</v>
      </c>
      <c r="N556" s="6" t="s">
        <v>48</v>
      </c>
      <c r="O556" s="6" t="s">
        <v>35</v>
      </c>
      <c r="P556" s="6">
        <f>COUNTIF(Analysis!$M$1:$M$3001,Analysis!$M556)</f>
        <v>1</v>
      </c>
      <c r="Q556" s="6" t="str">
        <f>IF(COUNTIF(Analysis!$M$2:$M$3001,Analysis!$M556)&gt;1,"Duplicate","OK")</f>
        <v>OK</v>
      </c>
      <c r="R556" s="6" t="str">
        <f t="shared" si="1"/>
        <v>600-1600</v>
      </c>
      <c r="S556" s="6">
        <f t="shared" si="2"/>
        <v>41</v>
      </c>
      <c r="T556" s="6" t="str">
        <f t="shared" si="3"/>
        <v>Old</v>
      </c>
    </row>
    <row r="557" ht="14.25" customHeight="1">
      <c r="A557" s="5">
        <v>1458637.0</v>
      </c>
      <c r="B557" s="6" t="s">
        <v>2268</v>
      </c>
      <c r="C557" s="6" t="s">
        <v>18</v>
      </c>
      <c r="D557" s="6">
        <v>41680.0</v>
      </c>
      <c r="E557" s="6" t="s">
        <v>30</v>
      </c>
      <c r="F557" s="6" t="s">
        <v>61</v>
      </c>
      <c r="G557" s="6" t="s">
        <v>100</v>
      </c>
      <c r="H557" s="7">
        <v>1617.0</v>
      </c>
      <c r="I557" s="7">
        <v>6677.0</v>
      </c>
      <c r="J557" s="6">
        <v>2023.0</v>
      </c>
      <c r="K557" s="6">
        <v>58.0</v>
      </c>
      <c r="L557" s="6" t="s">
        <v>62</v>
      </c>
      <c r="M557" s="6" t="s">
        <v>2269</v>
      </c>
      <c r="N557" s="6" t="s">
        <v>64</v>
      </c>
      <c r="O557" s="6" t="s">
        <v>35</v>
      </c>
      <c r="P557" s="6">
        <f>COUNTIF(Analysis!$M$1:$M$3001,Analysis!$M557)</f>
        <v>1</v>
      </c>
      <c r="Q557" s="6" t="str">
        <f>IF(COUNTIF(Analysis!$M$2:$M$3001,Analysis!$M557)&gt;1,"Duplicate","OK")</f>
        <v>OK</v>
      </c>
      <c r="R557" s="6" t="str">
        <f t="shared" si="1"/>
        <v>1600-2600</v>
      </c>
      <c r="S557" s="6">
        <f t="shared" si="2"/>
        <v>3</v>
      </c>
      <c r="T557" s="6" t="str">
        <f t="shared" si="3"/>
        <v>New</v>
      </c>
    </row>
    <row r="558" ht="14.25" customHeight="1">
      <c r="A558" s="5">
        <v>375021.0</v>
      </c>
      <c r="B558" s="6" t="s">
        <v>2272</v>
      </c>
      <c r="C558" s="6" t="s">
        <v>39</v>
      </c>
      <c r="D558" s="6">
        <v>10818.0</v>
      </c>
      <c r="E558" s="6" t="s">
        <v>30</v>
      </c>
      <c r="F558" s="6" t="s">
        <v>20</v>
      </c>
      <c r="G558" s="6" t="s">
        <v>31</v>
      </c>
      <c r="H558" s="7">
        <v>2257.0</v>
      </c>
      <c r="I558" s="7">
        <v>5257.0</v>
      </c>
      <c r="J558" s="6">
        <v>2018.0</v>
      </c>
      <c r="K558" s="6">
        <v>93.0</v>
      </c>
      <c r="L558" s="6" t="s">
        <v>141</v>
      </c>
      <c r="M558" s="6" t="s">
        <v>2273</v>
      </c>
      <c r="N558" s="6" t="s">
        <v>64</v>
      </c>
      <c r="O558" s="6" t="s">
        <v>25</v>
      </c>
      <c r="P558" s="6">
        <f>COUNTIF(Analysis!$M$1:$M$3001,Analysis!$M558)</f>
        <v>1</v>
      </c>
      <c r="Q558" s="6" t="str">
        <f>IF(COUNTIF(Analysis!$M$2:$M$3001,Analysis!$M558)&gt;1,"Duplicate","OK")</f>
        <v>OK</v>
      </c>
      <c r="R558" s="6" t="str">
        <f t="shared" si="1"/>
        <v>1600-2600</v>
      </c>
      <c r="S558" s="6">
        <f t="shared" si="2"/>
        <v>8</v>
      </c>
      <c r="T558" s="6" t="str">
        <f t="shared" si="3"/>
        <v>New</v>
      </c>
    </row>
    <row r="559" ht="14.25" customHeight="1">
      <c r="A559" s="5">
        <v>1250673.0</v>
      </c>
      <c r="B559" s="6" t="s">
        <v>2276</v>
      </c>
      <c r="C559" s="6" t="s">
        <v>39</v>
      </c>
      <c r="D559" s="6">
        <v>55808.0</v>
      </c>
      <c r="E559" s="6" t="s">
        <v>60</v>
      </c>
      <c r="F559" s="6" t="s">
        <v>54</v>
      </c>
      <c r="G559" s="6" t="s">
        <v>31</v>
      </c>
      <c r="H559" s="7">
        <v>3881.0</v>
      </c>
      <c r="I559" s="7">
        <v>9959.0</v>
      </c>
      <c r="J559" s="6">
        <v>1979.0</v>
      </c>
      <c r="K559" s="6">
        <v>111.0</v>
      </c>
      <c r="L559" s="6" t="s">
        <v>95</v>
      </c>
      <c r="M559" s="6" t="s">
        <v>2277</v>
      </c>
      <c r="N559" s="6" t="s">
        <v>48</v>
      </c>
      <c r="O559" s="6" t="s">
        <v>35</v>
      </c>
      <c r="P559" s="6">
        <f>COUNTIF(Analysis!$M$1:$M$3001,Analysis!$M559)</f>
        <v>1</v>
      </c>
      <c r="Q559" s="6" t="str">
        <f>IF(COUNTIF(Analysis!$M$2:$M$3001,Analysis!$M559)&gt;1,"Duplicate","OK")</f>
        <v>OK</v>
      </c>
      <c r="R559" s="6" t="str">
        <f t="shared" si="1"/>
        <v>3600+</v>
      </c>
      <c r="S559" s="6">
        <f t="shared" si="2"/>
        <v>47</v>
      </c>
      <c r="T559" s="6" t="str">
        <f t="shared" si="3"/>
        <v>Old</v>
      </c>
    </row>
    <row r="560" ht="14.25" customHeight="1">
      <c r="A560" s="5">
        <v>668183.0</v>
      </c>
      <c r="B560" s="6" t="s">
        <v>2280</v>
      </c>
      <c r="C560" s="6" t="s">
        <v>39</v>
      </c>
      <c r="D560" s="6">
        <v>36098.0</v>
      </c>
      <c r="E560" s="6" t="s">
        <v>30</v>
      </c>
      <c r="F560" s="6" t="s">
        <v>46</v>
      </c>
      <c r="G560" s="6" t="s">
        <v>55</v>
      </c>
      <c r="H560" s="7">
        <v>665.0</v>
      </c>
      <c r="I560" s="7">
        <v>6566.0</v>
      </c>
      <c r="J560" s="6">
        <v>1984.0</v>
      </c>
      <c r="K560" s="6">
        <v>42.0</v>
      </c>
      <c r="L560" s="6" t="s">
        <v>141</v>
      </c>
      <c r="M560" s="6" t="s">
        <v>2281</v>
      </c>
      <c r="N560" s="6" t="s">
        <v>43</v>
      </c>
      <c r="O560" s="6" t="s">
        <v>49</v>
      </c>
      <c r="P560" s="6">
        <f>COUNTIF(Analysis!$M$1:$M$3001,Analysis!$M560)</f>
        <v>1</v>
      </c>
      <c r="Q560" s="6" t="str">
        <f>IF(COUNTIF(Analysis!$M$2:$M$3001,Analysis!$M560)&gt;1,"Duplicate","OK")</f>
        <v>OK</v>
      </c>
      <c r="R560" s="6" t="str">
        <f t="shared" si="1"/>
        <v>600-1600</v>
      </c>
      <c r="S560" s="6">
        <f t="shared" si="2"/>
        <v>42</v>
      </c>
      <c r="T560" s="6" t="str">
        <f t="shared" si="3"/>
        <v>Old</v>
      </c>
    </row>
    <row r="561" ht="14.25" customHeight="1">
      <c r="A561" s="5">
        <v>397028.0</v>
      </c>
      <c r="B561" s="6" t="s">
        <v>4823</v>
      </c>
      <c r="C561" s="6" t="s">
        <v>29</v>
      </c>
      <c r="D561" s="6">
        <v>66852.0</v>
      </c>
      <c r="E561" s="6" t="s">
        <v>40</v>
      </c>
      <c r="F561" s="6" t="s">
        <v>20</v>
      </c>
      <c r="G561" s="6" t="s">
        <v>21</v>
      </c>
      <c r="H561" s="7">
        <v>2013.0</v>
      </c>
      <c r="I561" s="7">
        <v>6611.0</v>
      </c>
      <c r="J561" s="6">
        <v>2015.0</v>
      </c>
      <c r="K561" s="6">
        <v>10.0</v>
      </c>
      <c r="L561" s="6" t="s">
        <v>62</v>
      </c>
      <c r="M561" s="6" t="s">
        <v>4824</v>
      </c>
      <c r="N561" s="6" t="s">
        <v>24</v>
      </c>
      <c r="O561" s="6" t="s">
        <v>25</v>
      </c>
      <c r="P561" s="6">
        <f>COUNTIF(Analysis!$M$1:$M$3001,Analysis!$M1196)</f>
        <v>1</v>
      </c>
      <c r="Q561" s="6" t="str">
        <f>IF(COUNTIF(Analysis!$M$2:$M$3001,Analysis!$M1196)&gt;1,"Duplicate","OK")</f>
        <v>OK</v>
      </c>
      <c r="R561" s="6" t="str">
        <f t="shared" si="1"/>
        <v>1600-2600</v>
      </c>
      <c r="S561" s="6">
        <f t="shared" si="2"/>
        <v>11</v>
      </c>
      <c r="T561" s="6" t="str">
        <f t="shared" si="3"/>
        <v>Mid</v>
      </c>
    </row>
    <row r="562" ht="14.25" customHeight="1">
      <c r="A562" s="5">
        <v>478198.0</v>
      </c>
      <c r="B562" s="6" t="s">
        <v>2288</v>
      </c>
      <c r="C562" s="6" t="s">
        <v>18</v>
      </c>
      <c r="D562" s="6">
        <v>43152.0</v>
      </c>
      <c r="E562" s="6" t="s">
        <v>19</v>
      </c>
      <c r="F562" s="6" t="s">
        <v>46</v>
      </c>
      <c r="G562" s="6" t="s">
        <v>21</v>
      </c>
      <c r="H562" s="7">
        <v>2971.0</v>
      </c>
      <c r="I562" s="7">
        <v>1846.0</v>
      </c>
      <c r="J562" s="6">
        <v>1997.0</v>
      </c>
      <c r="K562" s="6">
        <v>1.0</v>
      </c>
      <c r="L562" s="6" t="s">
        <v>22</v>
      </c>
      <c r="M562" s="6" t="s">
        <v>2289</v>
      </c>
      <c r="N562" s="6" t="s">
        <v>64</v>
      </c>
      <c r="O562" s="6" t="s">
        <v>49</v>
      </c>
      <c r="P562" s="6">
        <f>COUNTIF(Analysis!$M$1:$M$3001,Analysis!$M562)</f>
        <v>1</v>
      </c>
      <c r="Q562" s="6" t="str">
        <f>IF(COUNTIF(Analysis!$M$2:$M$3001,Analysis!$M562)&gt;1,"Duplicate","OK")</f>
        <v>OK</v>
      </c>
      <c r="R562" s="6" t="str">
        <f t="shared" si="1"/>
        <v>2600-3600</v>
      </c>
      <c r="S562" s="6">
        <f t="shared" si="2"/>
        <v>29</v>
      </c>
      <c r="T562" s="6" t="str">
        <f t="shared" si="3"/>
        <v>Mid</v>
      </c>
    </row>
    <row r="563" ht="14.25" customHeight="1">
      <c r="A563" s="5">
        <v>398506.0</v>
      </c>
      <c r="B563" s="6" t="s">
        <v>5531</v>
      </c>
      <c r="C563" s="6" t="s">
        <v>29</v>
      </c>
      <c r="D563" s="6">
        <v>34652.0</v>
      </c>
      <c r="E563" s="6" t="s">
        <v>77</v>
      </c>
      <c r="F563" s="6" t="s">
        <v>20</v>
      </c>
      <c r="G563" s="6" t="s">
        <v>55</v>
      </c>
      <c r="H563" s="7">
        <v>2822.0</v>
      </c>
      <c r="I563" s="7">
        <v>3325.0</v>
      </c>
      <c r="J563" s="6">
        <v>1969.0</v>
      </c>
      <c r="K563" s="6">
        <v>11.0</v>
      </c>
      <c r="L563" s="6" t="s">
        <v>32</v>
      </c>
      <c r="M563" s="6" t="s">
        <v>5532</v>
      </c>
      <c r="N563" s="6" t="s">
        <v>48</v>
      </c>
      <c r="O563" s="6" t="s">
        <v>49</v>
      </c>
      <c r="P563" s="6">
        <f>COUNTIF(Analysis!$M$1:$M$3001,Analysis!$M1373)</f>
        <v>1</v>
      </c>
      <c r="Q563" s="6" t="str">
        <f>IF(COUNTIF(Analysis!$M$2:$M$3001,Analysis!$M1373)&gt;1,"Duplicate","OK")</f>
        <v>OK</v>
      </c>
      <c r="R563" s="6" t="str">
        <f t="shared" si="1"/>
        <v>2600-3600</v>
      </c>
      <c r="S563" s="6">
        <f t="shared" si="2"/>
        <v>57</v>
      </c>
      <c r="T563" s="6" t="str">
        <f t="shared" si="3"/>
        <v>Old</v>
      </c>
    </row>
    <row r="564" ht="14.25" customHeight="1">
      <c r="A564" s="5">
        <v>1434930.0</v>
      </c>
      <c r="B564" s="6" t="s">
        <v>2296</v>
      </c>
      <c r="C564" s="6" t="s">
        <v>18</v>
      </c>
      <c r="D564" s="6">
        <v>96391.0</v>
      </c>
      <c r="E564" s="6" t="s">
        <v>19</v>
      </c>
      <c r="F564" s="6" t="s">
        <v>94</v>
      </c>
      <c r="G564" s="6" t="s">
        <v>31</v>
      </c>
      <c r="H564" s="7">
        <v>1365.0</v>
      </c>
      <c r="I564" s="7">
        <v>1898.0</v>
      </c>
      <c r="J564" s="6">
        <v>1967.0</v>
      </c>
      <c r="K564" s="6">
        <v>9.0</v>
      </c>
      <c r="L564" s="6" t="s">
        <v>95</v>
      </c>
      <c r="M564" s="6" t="s">
        <v>2297</v>
      </c>
      <c r="N564" s="6" t="s">
        <v>34</v>
      </c>
      <c r="O564" s="6" t="s">
        <v>35</v>
      </c>
      <c r="P564" s="6">
        <f>COUNTIF(Analysis!$M$1:$M$3001,Analysis!$M564)</f>
        <v>1</v>
      </c>
      <c r="Q564" s="6" t="str">
        <f>IF(COUNTIF(Analysis!$M$2:$M$3001,Analysis!$M564)&gt;1,"Duplicate","OK")</f>
        <v>OK</v>
      </c>
      <c r="R564" s="6" t="str">
        <f t="shared" si="1"/>
        <v>600-1600</v>
      </c>
      <c r="S564" s="6">
        <f t="shared" si="2"/>
        <v>59</v>
      </c>
      <c r="T564" s="6" t="str">
        <f t="shared" si="3"/>
        <v>Old</v>
      </c>
    </row>
    <row r="565" ht="14.25" customHeight="1">
      <c r="A565" s="5">
        <v>1312715.0</v>
      </c>
      <c r="B565" s="6" t="s">
        <v>2300</v>
      </c>
      <c r="C565" s="6" t="s">
        <v>18</v>
      </c>
      <c r="D565" s="6">
        <v>90523.0</v>
      </c>
      <c r="E565" s="6" t="s">
        <v>60</v>
      </c>
      <c r="F565" s="6" t="s">
        <v>94</v>
      </c>
      <c r="G565" s="6" t="s">
        <v>100</v>
      </c>
      <c r="H565" s="7">
        <v>1601.0</v>
      </c>
      <c r="I565" s="7">
        <v>2079.0</v>
      </c>
      <c r="J565" s="6">
        <v>1955.0</v>
      </c>
      <c r="K565" s="6">
        <v>90.0</v>
      </c>
      <c r="L565" s="6" t="s">
        <v>62</v>
      </c>
      <c r="M565" s="6" t="s">
        <v>2301</v>
      </c>
      <c r="N565" s="6" t="s">
        <v>48</v>
      </c>
      <c r="O565" s="6" t="s">
        <v>25</v>
      </c>
      <c r="P565" s="6">
        <f>COUNTIF(Analysis!$M$1:$M$3001,Analysis!$M565)</f>
        <v>1</v>
      </c>
      <c r="Q565" s="6" t="str">
        <f>IF(COUNTIF(Analysis!$M$2:$M$3001,Analysis!$M565)&gt;1,"Duplicate","OK")</f>
        <v>OK</v>
      </c>
      <c r="R565" s="6" t="str">
        <f t="shared" si="1"/>
        <v>1600-2600</v>
      </c>
      <c r="S565" s="6">
        <f t="shared" si="2"/>
        <v>71</v>
      </c>
      <c r="T565" s="6" t="str">
        <f t="shared" si="3"/>
        <v>Very Old</v>
      </c>
    </row>
    <row r="566" ht="14.25" customHeight="1">
      <c r="A566" s="5">
        <v>1361982.0</v>
      </c>
      <c r="B566" s="6" t="s">
        <v>2304</v>
      </c>
      <c r="C566" s="6" t="s">
        <v>76</v>
      </c>
      <c r="D566" s="6">
        <v>51332.0</v>
      </c>
      <c r="E566" s="6" t="s">
        <v>60</v>
      </c>
      <c r="F566" s="6" t="s">
        <v>20</v>
      </c>
      <c r="G566" s="6" t="s">
        <v>100</v>
      </c>
      <c r="H566" s="7">
        <v>2820.0</v>
      </c>
      <c r="I566" s="7">
        <v>5745.0</v>
      </c>
      <c r="J566" s="6">
        <v>1967.0</v>
      </c>
      <c r="K566" s="6">
        <v>111.0</v>
      </c>
      <c r="L566" s="6" t="s">
        <v>32</v>
      </c>
      <c r="M566" s="6" t="s">
        <v>2305</v>
      </c>
      <c r="N566" s="6" t="s">
        <v>48</v>
      </c>
      <c r="O566" s="6" t="s">
        <v>25</v>
      </c>
      <c r="P566" s="6">
        <f>COUNTIF(Analysis!$M$1:$M$3001,Analysis!$M566)</f>
        <v>1</v>
      </c>
      <c r="Q566" s="6" t="str">
        <f>IF(COUNTIF(Analysis!$M$2:$M$3001,Analysis!$M566)&gt;1,"Duplicate","OK")</f>
        <v>OK</v>
      </c>
      <c r="R566" s="6" t="str">
        <f t="shared" si="1"/>
        <v>2600-3600</v>
      </c>
      <c r="S566" s="6">
        <f t="shared" si="2"/>
        <v>59</v>
      </c>
      <c r="T566" s="6" t="str">
        <f t="shared" si="3"/>
        <v>Old</v>
      </c>
    </row>
    <row r="567" ht="14.25" customHeight="1">
      <c r="A567" s="5">
        <v>1376159.0</v>
      </c>
      <c r="B567" s="6" t="s">
        <v>2308</v>
      </c>
      <c r="C567" s="6" t="s">
        <v>76</v>
      </c>
      <c r="D567" s="6">
        <v>20764.0</v>
      </c>
      <c r="E567" s="6" t="s">
        <v>60</v>
      </c>
      <c r="F567" s="6" t="s">
        <v>61</v>
      </c>
      <c r="G567" s="6" t="s">
        <v>100</v>
      </c>
      <c r="H567" s="7">
        <v>2168.0</v>
      </c>
      <c r="I567" s="7">
        <v>2738.0</v>
      </c>
      <c r="J567" s="6">
        <v>1978.0</v>
      </c>
      <c r="K567" s="6">
        <v>68.0</v>
      </c>
      <c r="L567" s="6" t="s">
        <v>62</v>
      </c>
      <c r="M567" s="6" t="s">
        <v>2309</v>
      </c>
      <c r="N567" s="6" t="s">
        <v>48</v>
      </c>
      <c r="O567" s="6" t="s">
        <v>35</v>
      </c>
      <c r="P567" s="6">
        <f>COUNTIF(Analysis!$M$1:$M$3001,Analysis!$M567)</f>
        <v>1</v>
      </c>
      <c r="Q567" s="6" t="str">
        <f>IF(COUNTIF(Analysis!$M$2:$M$3001,Analysis!$M567)&gt;1,"Duplicate","OK")</f>
        <v>OK</v>
      </c>
      <c r="R567" s="6" t="str">
        <f t="shared" si="1"/>
        <v>1600-2600</v>
      </c>
      <c r="S567" s="6">
        <f t="shared" si="2"/>
        <v>48</v>
      </c>
      <c r="T567" s="6" t="str">
        <f t="shared" si="3"/>
        <v>Old</v>
      </c>
    </row>
    <row r="568" ht="14.25" customHeight="1">
      <c r="A568" s="5">
        <v>119222.0</v>
      </c>
      <c r="B568" s="6" t="s">
        <v>2312</v>
      </c>
      <c r="C568" s="6" t="s">
        <v>18</v>
      </c>
      <c r="D568" s="6">
        <v>92972.0</v>
      </c>
      <c r="E568" s="6" t="s">
        <v>60</v>
      </c>
      <c r="F568" s="6" t="s">
        <v>20</v>
      </c>
      <c r="G568" s="6" t="s">
        <v>55</v>
      </c>
      <c r="H568" s="7">
        <v>2894.0</v>
      </c>
      <c r="I568" s="7">
        <v>3214.0</v>
      </c>
      <c r="J568" s="6">
        <v>1953.0</v>
      </c>
      <c r="K568" s="6">
        <v>8.0</v>
      </c>
      <c r="L568" s="6" t="s">
        <v>22</v>
      </c>
      <c r="M568" s="6" t="s">
        <v>2313</v>
      </c>
      <c r="N568" s="6" t="s">
        <v>34</v>
      </c>
      <c r="O568" s="6" t="s">
        <v>25</v>
      </c>
      <c r="P568" s="6">
        <f>COUNTIF(Analysis!$M$1:$M$3001,Analysis!$M568)</f>
        <v>1</v>
      </c>
      <c r="Q568" s="6" t="str">
        <f>IF(COUNTIF(Analysis!$M$2:$M$3001,Analysis!$M568)&gt;1,"Duplicate","OK")</f>
        <v>OK</v>
      </c>
      <c r="R568" s="6" t="str">
        <f t="shared" si="1"/>
        <v>2600-3600</v>
      </c>
      <c r="S568" s="6">
        <f t="shared" si="2"/>
        <v>73</v>
      </c>
      <c r="T568" s="6" t="str">
        <f t="shared" si="3"/>
        <v>Very Old</v>
      </c>
    </row>
    <row r="569" ht="14.25" customHeight="1">
      <c r="A569" s="5">
        <v>976821.0</v>
      </c>
      <c r="B569" s="6" t="s">
        <v>2316</v>
      </c>
      <c r="C569" s="6" t="s">
        <v>18</v>
      </c>
      <c r="D569" s="6">
        <v>75163.0</v>
      </c>
      <c r="E569" s="6" t="s">
        <v>77</v>
      </c>
      <c r="F569" s="6" t="s">
        <v>94</v>
      </c>
      <c r="G569" s="6" t="s">
        <v>55</v>
      </c>
      <c r="H569" s="7">
        <v>1072.0</v>
      </c>
      <c r="I569" s="7">
        <v>2832.0</v>
      </c>
      <c r="J569" s="6">
        <v>1965.0</v>
      </c>
      <c r="K569" s="6">
        <v>92.0</v>
      </c>
      <c r="L569" s="6" t="s">
        <v>141</v>
      </c>
      <c r="M569" s="6" t="s">
        <v>2317</v>
      </c>
      <c r="N569" s="6" t="s">
        <v>34</v>
      </c>
      <c r="O569" s="6" t="s">
        <v>49</v>
      </c>
      <c r="P569" s="6">
        <f>COUNTIF(Analysis!$M$1:$M$3001,Analysis!$M569)</f>
        <v>1</v>
      </c>
      <c r="Q569" s="6" t="str">
        <f>IF(COUNTIF(Analysis!$M$2:$M$3001,Analysis!$M569)&gt;1,"Duplicate","OK")</f>
        <v>OK</v>
      </c>
      <c r="R569" s="6" t="str">
        <f t="shared" si="1"/>
        <v>600-1600</v>
      </c>
      <c r="S569" s="6">
        <f t="shared" si="2"/>
        <v>61</v>
      </c>
      <c r="T569" s="6" t="str">
        <f t="shared" si="3"/>
        <v>Very Old</v>
      </c>
    </row>
    <row r="570" ht="14.25" customHeight="1">
      <c r="A570" s="5">
        <v>530400.0</v>
      </c>
      <c r="B570" s="6" t="s">
        <v>2320</v>
      </c>
      <c r="C570" s="6" t="s">
        <v>76</v>
      </c>
      <c r="D570" s="6">
        <v>29586.0</v>
      </c>
      <c r="E570" s="6" t="s">
        <v>60</v>
      </c>
      <c r="F570" s="6" t="s">
        <v>41</v>
      </c>
      <c r="G570" s="6" t="s">
        <v>100</v>
      </c>
      <c r="H570" s="7">
        <v>2739.0</v>
      </c>
      <c r="I570" s="7">
        <v>2813.0</v>
      </c>
      <c r="J570" s="6">
        <v>1972.0</v>
      </c>
      <c r="K570" s="6">
        <v>58.0</v>
      </c>
      <c r="L570" s="6" t="s">
        <v>32</v>
      </c>
      <c r="M570" s="6" t="s">
        <v>2321</v>
      </c>
      <c r="N570" s="6" t="s">
        <v>64</v>
      </c>
      <c r="O570" s="6" t="s">
        <v>49</v>
      </c>
      <c r="P570" s="6">
        <f>COUNTIF(Analysis!$M$1:$M$3001,Analysis!$M570)</f>
        <v>1</v>
      </c>
      <c r="Q570" s="6" t="str">
        <f>IF(COUNTIF(Analysis!$M$2:$M$3001,Analysis!$M570)&gt;1,"Duplicate","OK")</f>
        <v>OK</v>
      </c>
      <c r="R570" s="6" t="str">
        <f t="shared" si="1"/>
        <v>2600-3600</v>
      </c>
      <c r="S570" s="6">
        <f t="shared" si="2"/>
        <v>54</v>
      </c>
      <c r="T570" s="6" t="str">
        <f t="shared" si="3"/>
        <v>Old</v>
      </c>
    </row>
    <row r="571" ht="14.25" customHeight="1">
      <c r="A571" s="5">
        <v>524279.0</v>
      </c>
      <c r="B571" s="6" t="s">
        <v>2324</v>
      </c>
      <c r="C571" s="6" t="s">
        <v>53</v>
      </c>
      <c r="D571" s="6">
        <v>45798.0</v>
      </c>
      <c r="E571" s="6" t="s">
        <v>19</v>
      </c>
      <c r="F571" s="6" t="s">
        <v>94</v>
      </c>
      <c r="G571" s="6" t="s">
        <v>31</v>
      </c>
      <c r="H571" s="7">
        <v>2371.0</v>
      </c>
      <c r="I571" s="7">
        <v>4972.0</v>
      </c>
      <c r="J571" s="6">
        <v>1979.0</v>
      </c>
      <c r="K571" s="6">
        <v>86.0</v>
      </c>
      <c r="L571" s="6" t="s">
        <v>22</v>
      </c>
      <c r="M571" s="6" t="s">
        <v>2325</v>
      </c>
      <c r="N571" s="6" t="s">
        <v>48</v>
      </c>
      <c r="O571" s="6" t="s">
        <v>35</v>
      </c>
      <c r="P571" s="6">
        <f>COUNTIF(Analysis!$M$1:$M$3001,Analysis!$M571)</f>
        <v>1</v>
      </c>
      <c r="Q571" s="6" t="str">
        <f>IF(COUNTIF(Analysis!$M$2:$M$3001,Analysis!$M571)&gt;1,"Duplicate","OK")</f>
        <v>OK</v>
      </c>
      <c r="R571" s="6" t="str">
        <f t="shared" si="1"/>
        <v>1600-2600</v>
      </c>
      <c r="S571" s="6">
        <f t="shared" si="2"/>
        <v>47</v>
      </c>
      <c r="T571" s="6" t="str">
        <f t="shared" si="3"/>
        <v>Old</v>
      </c>
    </row>
    <row r="572" ht="14.25" customHeight="1">
      <c r="A572" s="5">
        <v>1333867.0</v>
      </c>
      <c r="B572" s="6" t="s">
        <v>2328</v>
      </c>
      <c r="C572" s="6" t="s">
        <v>53</v>
      </c>
      <c r="D572" s="6">
        <v>83126.0</v>
      </c>
      <c r="E572" s="6" t="s">
        <v>77</v>
      </c>
      <c r="F572" s="6" t="s">
        <v>41</v>
      </c>
      <c r="G572" s="6" t="s">
        <v>55</v>
      </c>
      <c r="H572" s="7">
        <v>3440.0</v>
      </c>
      <c r="I572" s="7">
        <v>5975.0</v>
      </c>
      <c r="J572" s="6">
        <v>1999.0</v>
      </c>
      <c r="K572" s="6">
        <v>113.0</v>
      </c>
      <c r="L572" s="6" t="s">
        <v>32</v>
      </c>
      <c r="M572" s="6" t="s">
        <v>2329</v>
      </c>
      <c r="N572" s="6" t="s">
        <v>43</v>
      </c>
      <c r="O572" s="6" t="s">
        <v>25</v>
      </c>
      <c r="P572" s="6">
        <f>COUNTIF(Analysis!$M$1:$M$3001,Analysis!$M572)</f>
        <v>1</v>
      </c>
      <c r="Q572" s="6" t="str">
        <f>IF(COUNTIF(Analysis!$M$2:$M$3001,Analysis!$M572)&gt;1,"Duplicate","OK")</f>
        <v>OK</v>
      </c>
      <c r="R572" s="6" t="str">
        <f t="shared" si="1"/>
        <v>2600-3600</v>
      </c>
      <c r="S572" s="6">
        <f t="shared" si="2"/>
        <v>27</v>
      </c>
      <c r="T572" s="6" t="str">
        <f t="shared" si="3"/>
        <v>Mid</v>
      </c>
    </row>
    <row r="573" ht="14.25" customHeight="1">
      <c r="A573" s="5">
        <v>368896.0</v>
      </c>
      <c r="B573" s="6" t="s">
        <v>2332</v>
      </c>
      <c r="C573" s="6" t="s">
        <v>18</v>
      </c>
      <c r="D573" s="6">
        <v>74857.0</v>
      </c>
      <c r="E573" s="6" t="s">
        <v>77</v>
      </c>
      <c r="F573" s="6" t="s">
        <v>41</v>
      </c>
      <c r="G573" s="6" t="s">
        <v>100</v>
      </c>
      <c r="H573" s="7">
        <v>1781.0</v>
      </c>
      <c r="I573" s="7">
        <v>8066.0</v>
      </c>
      <c r="J573" s="6">
        <v>2011.0</v>
      </c>
      <c r="K573" s="6">
        <v>120.0</v>
      </c>
      <c r="L573" s="6" t="s">
        <v>32</v>
      </c>
      <c r="M573" s="6" t="s">
        <v>2333</v>
      </c>
      <c r="N573" s="6" t="s">
        <v>48</v>
      </c>
      <c r="O573" s="6" t="s">
        <v>25</v>
      </c>
      <c r="P573" s="6">
        <f>COUNTIF(Analysis!$M$1:$M$3001,Analysis!$M573)</f>
        <v>1</v>
      </c>
      <c r="Q573" s="6" t="str">
        <f>IF(COUNTIF(Analysis!$M$2:$M$3001,Analysis!$M573)&gt;1,"Duplicate","OK")</f>
        <v>OK</v>
      </c>
      <c r="R573" s="6" t="str">
        <f t="shared" si="1"/>
        <v>1600-2600</v>
      </c>
      <c r="S573" s="6">
        <f t="shared" si="2"/>
        <v>15</v>
      </c>
      <c r="T573" s="6" t="str">
        <f t="shared" si="3"/>
        <v>Mid</v>
      </c>
    </row>
    <row r="574" ht="14.25" customHeight="1">
      <c r="A574" s="5">
        <v>380565.0</v>
      </c>
      <c r="B574" s="6" t="s">
        <v>2336</v>
      </c>
      <c r="C574" s="6" t="s">
        <v>18</v>
      </c>
      <c r="D574" s="6">
        <v>80154.0</v>
      </c>
      <c r="E574" s="6" t="s">
        <v>60</v>
      </c>
      <c r="F574" s="6" t="s">
        <v>94</v>
      </c>
      <c r="G574" s="6" t="s">
        <v>21</v>
      </c>
      <c r="H574" s="7">
        <v>3509.0</v>
      </c>
      <c r="I574" s="7">
        <v>5120.0</v>
      </c>
      <c r="J574" s="6">
        <v>2017.0</v>
      </c>
      <c r="K574" s="6">
        <v>71.0</v>
      </c>
      <c r="L574" s="6" t="s">
        <v>141</v>
      </c>
      <c r="M574" s="6" t="s">
        <v>2337</v>
      </c>
      <c r="N574" s="6" t="s">
        <v>24</v>
      </c>
      <c r="O574" s="6" t="s">
        <v>35</v>
      </c>
      <c r="P574" s="6">
        <f>COUNTIF(Analysis!$M$1:$M$3001,Analysis!$M574)</f>
        <v>1</v>
      </c>
      <c r="Q574" s="6" t="str">
        <f>IF(COUNTIF(Analysis!$M$2:$M$3001,Analysis!$M574)&gt;1,"Duplicate","OK")</f>
        <v>OK</v>
      </c>
      <c r="R574" s="6" t="str">
        <f t="shared" si="1"/>
        <v>2600-3600</v>
      </c>
      <c r="S574" s="6">
        <f t="shared" si="2"/>
        <v>9</v>
      </c>
      <c r="T574" s="6" t="str">
        <f t="shared" si="3"/>
        <v>New</v>
      </c>
    </row>
    <row r="575" ht="14.25" customHeight="1">
      <c r="A575" s="5">
        <v>1197421.0</v>
      </c>
      <c r="B575" s="6" t="s">
        <v>2340</v>
      </c>
      <c r="C575" s="6" t="s">
        <v>76</v>
      </c>
      <c r="D575" s="6">
        <v>64532.0</v>
      </c>
      <c r="E575" s="6" t="s">
        <v>40</v>
      </c>
      <c r="F575" s="6" t="s">
        <v>46</v>
      </c>
      <c r="G575" s="6" t="s">
        <v>100</v>
      </c>
      <c r="H575" s="7">
        <v>3406.0</v>
      </c>
      <c r="I575" s="7">
        <v>6569.0</v>
      </c>
      <c r="J575" s="6">
        <v>1988.0</v>
      </c>
      <c r="K575" s="6">
        <v>70.0</v>
      </c>
      <c r="L575" s="6" t="s">
        <v>62</v>
      </c>
      <c r="M575" s="6" t="s">
        <v>2341</v>
      </c>
      <c r="N575" s="6" t="s">
        <v>34</v>
      </c>
      <c r="O575" s="6" t="s">
        <v>25</v>
      </c>
      <c r="P575" s="6">
        <f>COUNTIF(Analysis!$M$1:$M$3001,Analysis!$M575)</f>
        <v>1</v>
      </c>
      <c r="Q575" s="6" t="str">
        <f>IF(COUNTIF(Analysis!$M$2:$M$3001,Analysis!$M575)&gt;1,"Duplicate","OK")</f>
        <v>OK</v>
      </c>
      <c r="R575" s="6" t="str">
        <f t="shared" si="1"/>
        <v>2600-3600</v>
      </c>
      <c r="S575" s="6">
        <f t="shared" si="2"/>
        <v>38</v>
      </c>
      <c r="T575" s="6" t="str">
        <f t="shared" si="3"/>
        <v>Old</v>
      </c>
    </row>
    <row r="576" ht="14.25" customHeight="1">
      <c r="A576" s="5">
        <v>399142.0</v>
      </c>
      <c r="B576" s="6" t="s">
        <v>3207</v>
      </c>
      <c r="C576" s="6" t="s">
        <v>29</v>
      </c>
      <c r="D576" s="6">
        <v>55782.0</v>
      </c>
      <c r="E576" s="6" t="s">
        <v>30</v>
      </c>
      <c r="F576" s="6" t="s">
        <v>54</v>
      </c>
      <c r="G576" s="6" t="s">
        <v>31</v>
      </c>
      <c r="H576" s="7">
        <v>1815.0</v>
      </c>
      <c r="I576" s="7">
        <v>9641.0</v>
      </c>
      <c r="J576" s="6">
        <v>1966.0</v>
      </c>
      <c r="K576" s="6">
        <v>109.0</v>
      </c>
      <c r="L576" s="6" t="s">
        <v>32</v>
      </c>
      <c r="M576" s="6" t="s">
        <v>3208</v>
      </c>
      <c r="N576" s="6" t="s">
        <v>48</v>
      </c>
      <c r="O576" s="6" t="s">
        <v>35</v>
      </c>
      <c r="P576" s="6">
        <f>COUNTIF(Analysis!$M$1:$M$3001,Analysis!$M792)</f>
        <v>1</v>
      </c>
      <c r="Q576" s="6" t="str">
        <f>IF(COUNTIF(Analysis!$M$2:$M$3001,Analysis!$M792)&gt;1,"Duplicate","OK")</f>
        <v>OK</v>
      </c>
      <c r="R576" s="6" t="str">
        <f t="shared" si="1"/>
        <v>1600-2600</v>
      </c>
      <c r="S576" s="6">
        <f t="shared" si="2"/>
        <v>60</v>
      </c>
      <c r="T576" s="6" t="str">
        <f t="shared" si="3"/>
        <v>Old</v>
      </c>
    </row>
    <row r="577" ht="14.25" customHeight="1">
      <c r="A577" s="5">
        <v>1040215.0</v>
      </c>
      <c r="B577" s="6" t="s">
        <v>2348</v>
      </c>
      <c r="C577" s="6" t="s">
        <v>53</v>
      </c>
      <c r="D577" s="6">
        <v>55444.0</v>
      </c>
      <c r="E577" s="6" t="s">
        <v>77</v>
      </c>
      <c r="F577" s="6" t="s">
        <v>61</v>
      </c>
      <c r="G577" s="6" t="s">
        <v>100</v>
      </c>
      <c r="H577" s="7">
        <v>2130.0</v>
      </c>
      <c r="I577" s="7">
        <v>6097.0</v>
      </c>
      <c r="J577" s="6">
        <v>2008.0</v>
      </c>
      <c r="K577" s="6">
        <v>43.0</v>
      </c>
      <c r="L577" s="6" t="s">
        <v>32</v>
      </c>
      <c r="M577" s="6" t="s">
        <v>2349</v>
      </c>
      <c r="N577" s="6" t="s">
        <v>24</v>
      </c>
      <c r="O577" s="6" t="s">
        <v>35</v>
      </c>
      <c r="P577" s="6">
        <f>COUNTIF(Analysis!$M$1:$M$3001,Analysis!$M577)</f>
        <v>1</v>
      </c>
      <c r="Q577" s="6" t="str">
        <f>IF(COUNTIF(Analysis!$M$2:$M$3001,Analysis!$M577)&gt;1,"Duplicate","OK")</f>
        <v>OK</v>
      </c>
      <c r="R577" s="6" t="str">
        <f t="shared" si="1"/>
        <v>1600-2600</v>
      </c>
      <c r="S577" s="6">
        <f t="shared" si="2"/>
        <v>18</v>
      </c>
      <c r="T577" s="6" t="str">
        <f t="shared" si="3"/>
        <v>Mid</v>
      </c>
    </row>
    <row r="578" ht="14.25" customHeight="1">
      <c r="A578" s="5">
        <v>503182.0</v>
      </c>
      <c r="B578" s="6" t="s">
        <v>2352</v>
      </c>
      <c r="C578" s="6" t="s">
        <v>39</v>
      </c>
      <c r="D578" s="6">
        <v>30347.0</v>
      </c>
      <c r="E578" s="6" t="s">
        <v>19</v>
      </c>
      <c r="F578" s="6" t="s">
        <v>54</v>
      </c>
      <c r="G578" s="6" t="s">
        <v>100</v>
      </c>
      <c r="H578" s="7">
        <v>2362.0</v>
      </c>
      <c r="I578" s="7">
        <v>8743.0</v>
      </c>
      <c r="J578" s="6">
        <v>1998.0</v>
      </c>
      <c r="K578" s="6">
        <v>38.0</v>
      </c>
      <c r="L578" s="6" t="s">
        <v>62</v>
      </c>
      <c r="M578" s="6" t="s">
        <v>2353</v>
      </c>
      <c r="N578" s="6" t="s">
        <v>43</v>
      </c>
      <c r="O578" s="6" t="s">
        <v>35</v>
      </c>
      <c r="P578" s="6">
        <f>COUNTIF(Analysis!$M$1:$M$3001,Analysis!$M578)</f>
        <v>1</v>
      </c>
      <c r="Q578" s="6" t="str">
        <f>IF(COUNTIF(Analysis!$M$2:$M$3001,Analysis!$M578)&gt;1,"Duplicate","OK")</f>
        <v>OK</v>
      </c>
      <c r="R578" s="6" t="str">
        <f t="shared" si="1"/>
        <v>1600-2600</v>
      </c>
      <c r="S578" s="6">
        <f t="shared" si="2"/>
        <v>28</v>
      </c>
      <c r="T578" s="6" t="str">
        <f t="shared" si="3"/>
        <v>Mid</v>
      </c>
    </row>
    <row r="579" ht="14.25" customHeight="1">
      <c r="A579" s="5">
        <v>403704.0</v>
      </c>
      <c r="B579" s="6" t="s">
        <v>4907</v>
      </c>
      <c r="C579" s="6" t="s">
        <v>29</v>
      </c>
      <c r="D579" s="6">
        <v>13545.0</v>
      </c>
      <c r="E579" s="6" t="s">
        <v>19</v>
      </c>
      <c r="F579" s="6" t="s">
        <v>94</v>
      </c>
      <c r="G579" s="6" t="s">
        <v>31</v>
      </c>
      <c r="H579" s="7">
        <v>3129.0</v>
      </c>
      <c r="I579" s="7">
        <v>7471.0</v>
      </c>
      <c r="J579" s="6">
        <v>1979.0</v>
      </c>
      <c r="K579" s="6">
        <v>28.0</v>
      </c>
      <c r="L579" s="6" t="s">
        <v>22</v>
      </c>
      <c r="M579" s="6" t="s">
        <v>4908</v>
      </c>
      <c r="N579" s="6" t="s">
        <v>48</v>
      </c>
      <c r="O579" s="6" t="s">
        <v>25</v>
      </c>
      <c r="P579" s="6">
        <f>COUNTIF(Analysis!$M$1:$M$3001,Analysis!$M1217)</f>
        <v>1</v>
      </c>
      <c r="Q579" s="6" t="str">
        <f>IF(COUNTIF(Analysis!$M$2:$M$3001,Analysis!$M1217)&gt;1,"Duplicate","OK")</f>
        <v>OK</v>
      </c>
      <c r="R579" s="6" t="str">
        <f t="shared" si="1"/>
        <v>2600-3600</v>
      </c>
      <c r="S579" s="6">
        <f t="shared" si="2"/>
        <v>47</v>
      </c>
      <c r="T579" s="6" t="str">
        <f t="shared" si="3"/>
        <v>Old</v>
      </c>
    </row>
    <row r="580" ht="14.25" customHeight="1">
      <c r="A580" s="5">
        <v>1410074.0</v>
      </c>
      <c r="B580" s="6" t="s">
        <v>2360</v>
      </c>
      <c r="C580" s="6" t="s">
        <v>53</v>
      </c>
      <c r="D580" s="6">
        <v>74523.0</v>
      </c>
      <c r="E580" s="6" t="s">
        <v>30</v>
      </c>
      <c r="F580" s="6" t="s">
        <v>20</v>
      </c>
      <c r="G580" s="6" t="s">
        <v>31</v>
      </c>
      <c r="H580" s="7">
        <v>860.0</v>
      </c>
      <c r="I580" s="7">
        <v>2838.0</v>
      </c>
      <c r="J580" s="6">
        <v>1998.0</v>
      </c>
      <c r="K580" s="6">
        <v>43.0</v>
      </c>
      <c r="L580" s="6" t="s">
        <v>95</v>
      </c>
      <c r="M580" s="6" t="s">
        <v>2361</v>
      </c>
      <c r="N580" s="6" t="s">
        <v>48</v>
      </c>
      <c r="O580" s="6" t="s">
        <v>35</v>
      </c>
      <c r="P580" s="6">
        <f>COUNTIF(Analysis!$M$1:$M$3001,Analysis!$M580)</f>
        <v>1</v>
      </c>
      <c r="Q580" s="6" t="str">
        <f>IF(COUNTIF(Analysis!$M$2:$M$3001,Analysis!$M580)&gt;1,"Duplicate","OK")</f>
        <v>OK</v>
      </c>
      <c r="R580" s="6" t="str">
        <f t="shared" si="1"/>
        <v>600-1600</v>
      </c>
      <c r="S580" s="6">
        <f t="shared" si="2"/>
        <v>28</v>
      </c>
      <c r="T580" s="6" t="str">
        <f t="shared" si="3"/>
        <v>Mid</v>
      </c>
    </row>
    <row r="581" ht="14.25" customHeight="1">
      <c r="A581" s="5">
        <v>406535.0</v>
      </c>
      <c r="B581" s="6" t="s">
        <v>1817</v>
      </c>
      <c r="C581" s="6" t="s">
        <v>29</v>
      </c>
      <c r="D581" s="6">
        <v>33457.0</v>
      </c>
      <c r="E581" s="6" t="s">
        <v>30</v>
      </c>
      <c r="F581" s="6" t="s">
        <v>20</v>
      </c>
      <c r="G581" s="6" t="s">
        <v>55</v>
      </c>
      <c r="H581" s="7">
        <v>886.0</v>
      </c>
      <c r="I581" s="7">
        <v>2168.0</v>
      </c>
      <c r="J581" s="6">
        <v>1965.0</v>
      </c>
      <c r="K581" s="6">
        <v>33.0</v>
      </c>
      <c r="L581" s="6" t="s">
        <v>95</v>
      </c>
      <c r="M581" s="6" t="s">
        <v>1818</v>
      </c>
      <c r="N581" s="6" t="s">
        <v>64</v>
      </c>
      <c r="O581" s="6" t="s">
        <v>49</v>
      </c>
      <c r="P581" s="6">
        <f>COUNTIF(Analysis!$M$1:$M$3001,Analysis!$M444)</f>
        <v>1</v>
      </c>
      <c r="Q581" s="6" t="str">
        <f>IF(COUNTIF(Analysis!$M$2:$M$3001,Analysis!$M444)&gt;1,"Duplicate","OK")</f>
        <v>OK</v>
      </c>
      <c r="R581" s="6" t="str">
        <f t="shared" si="1"/>
        <v>600-1600</v>
      </c>
      <c r="S581" s="6">
        <f t="shared" si="2"/>
        <v>61</v>
      </c>
      <c r="T581" s="6" t="str">
        <f t="shared" si="3"/>
        <v>Very Old</v>
      </c>
    </row>
    <row r="582" ht="14.25" customHeight="1">
      <c r="A582" s="5">
        <v>1047205.0</v>
      </c>
      <c r="B582" s="6" t="s">
        <v>2368</v>
      </c>
      <c r="C582" s="6" t="s">
        <v>18</v>
      </c>
      <c r="D582" s="6">
        <v>23507.0</v>
      </c>
      <c r="E582" s="6" t="s">
        <v>60</v>
      </c>
      <c r="F582" s="6" t="s">
        <v>61</v>
      </c>
      <c r="G582" s="6" t="s">
        <v>31</v>
      </c>
      <c r="H582" s="7">
        <v>2651.0</v>
      </c>
      <c r="I582" s="7">
        <v>1927.0</v>
      </c>
      <c r="J582" s="6">
        <v>2003.0</v>
      </c>
      <c r="K582" s="6">
        <v>63.0</v>
      </c>
      <c r="L582" s="6" t="s">
        <v>95</v>
      </c>
      <c r="M582" s="6" t="s">
        <v>2369</v>
      </c>
      <c r="N582" s="6" t="s">
        <v>34</v>
      </c>
      <c r="O582" s="6" t="s">
        <v>25</v>
      </c>
      <c r="P582" s="6">
        <f>COUNTIF(Analysis!$M$1:$M$3001,Analysis!$M582)</f>
        <v>1</v>
      </c>
      <c r="Q582" s="6" t="str">
        <f>IF(COUNTIF(Analysis!$M$2:$M$3001,Analysis!$M582)&gt;1,"Duplicate","OK")</f>
        <v>OK</v>
      </c>
      <c r="R582" s="6" t="str">
        <f t="shared" si="1"/>
        <v>2600-3600</v>
      </c>
      <c r="S582" s="6">
        <f t="shared" si="2"/>
        <v>23</v>
      </c>
      <c r="T582" s="6" t="str">
        <f t="shared" si="3"/>
        <v>Mid</v>
      </c>
    </row>
    <row r="583" ht="14.25" customHeight="1">
      <c r="A583" s="5">
        <v>1115773.0</v>
      </c>
      <c r="B583" s="6" t="s">
        <v>2372</v>
      </c>
      <c r="C583" s="6" t="s">
        <v>18</v>
      </c>
      <c r="D583" s="6">
        <v>46749.0</v>
      </c>
      <c r="E583" s="6" t="s">
        <v>30</v>
      </c>
      <c r="F583" s="6" t="s">
        <v>20</v>
      </c>
      <c r="G583" s="6" t="s">
        <v>21</v>
      </c>
      <c r="H583" s="7">
        <v>1880.0</v>
      </c>
      <c r="I583" s="7">
        <v>6833.0</v>
      </c>
      <c r="J583" s="6">
        <v>2017.0</v>
      </c>
      <c r="K583" s="6">
        <v>59.0</v>
      </c>
      <c r="L583" s="6" t="s">
        <v>95</v>
      </c>
      <c r="M583" s="6" t="s">
        <v>2373</v>
      </c>
      <c r="N583" s="6" t="s">
        <v>43</v>
      </c>
      <c r="O583" s="6" t="s">
        <v>35</v>
      </c>
      <c r="P583" s="6">
        <f>COUNTIF(Analysis!$M$1:$M$3001,Analysis!$M583)</f>
        <v>1</v>
      </c>
      <c r="Q583" s="6" t="str">
        <f>IF(COUNTIF(Analysis!$M$2:$M$3001,Analysis!$M583)&gt;1,"Duplicate","OK")</f>
        <v>OK</v>
      </c>
      <c r="R583" s="6" t="str">
        <f t="shared" si="1"/>
        <v>1600-2600</v>
      </c>
      <c r="S583" s="6">
        <f t="shared" si="2"/>
        <v>9</v>
      </c>
      <c r="T583" s="6" t="str">
        <f t="shared" si="3"/>
        <v>New</v>
      </c>
    </row>
    <row r="584" ht="14.25" customHeight="1">
      <c r="A584" s="5">
        <v>1470452.0</v>
      </c>
      <c r="B584" s="6" t="s">
        <v>2376</v>
      </c>
      <c r="C584" s="6" t="s">
        <v>53</v>
      </c>
      <c r="D584" s="6">
        <v>81900.0</v>
      </c>
      <c r="E584" s="6" t="s">
        <v>77</v>
      </c>
      <c r="F584" s="6" t="s">
        <v>94</v>
      </c>
      <c r="G584" s="6" t="s">
        <v>100</v>
      </c>
      <c r="H584" s="7">
        <v>2367.0</v>
      </c>
      <c r="I584" s="7">
        <v>2891.0</v>
      </c>
      <c r="J584" s="6">
        <v>2021.0</v>
      </c>
      <c r="K584" s="6">
        <v>18.0</v>
      </c>
      <c r="L584" s="6" t="s">
        <v>22</v>
      </c>
      <c r="M584" s="6" t="s">
        <v>2377</v>
      </c>
      <c r="N584" s="6" t="s">
        <v>64</v>
      </c>
      <c r="O584" s="6" t="s">
        <v>49</v>
      </c>
      <c r="P584" s="6">
        <f>COUNTIF(Analysis!$M$1:$M$3001,Analysis!$M584)</f>
        <v>1</v>
      </c>
      <c r="Q584" s="6" t="str">
        <f>IF(COUNTIF(Analysis!$M$2:$M$3001,Analysis!$M584)&gt;1,"Duplicate","OK")</f>
        <v>OK</v>
      </c>
      <c r="R584" s="6" t="str">
        <f t="shared" si="1"/>
        <v>1600-2600</v>
      </c>
      <c r="S584" s="6">
        <f t="shared" si="2"/>
        <v>5</v>
      </c>
      <c r="T584" s="6" t="str">
        <f t="shared" si="3"/>
        <v>New</v>
      </c>
    </row>
    <row r="585" ht="14.25" customHeight="1">
      <c r="A585" s="5">
        <v>408518.0</v>
      </c>
      <c r="B585" s="6" t="s">
        <v>841</v>
      </c>
      <c r="C585" s="6" t="s">
        <v>29</v>
      </c>
      <c r="D585" s="6">
        <v>87522.0</v>
      </c>
      <c r="E585" s="6" t="s">
        <v>77</v>
      </c>
      <c r="F585" s="6" t="s">
        <v>20</v>
      </c>
      <c r="G585" s="6" t="s">
        <v>21</v>
      </c>
      <c r="H585" s="7">
        <v>1152.0</v>
      </c>
      <c r="I585" s="7">
        <v>4219.0</v>
      </c>
      <c r="J585" s="6">
        <v>2012.0</v>
      </c>
      <c r="K585" s="6">
        <v>49.0</v>
      </c>
      <c r="L585" s="6" t="s">
        <v>141</v>
      </c>
      <c r="M585" s="6" t="s">
        <v>842</v>
      </c>
      <c r="N585" s="6" t="s">
        <v>48</v>
      </c>
      <c r="O585" s="6" t="s">
        <v>35</v>
      </c>
      <c r="P585" s="6">
        <f>COUNTIF(Analysis!$M$1:$M$3001,Analysis!$M200)</f>
        <v>1</v>
      </c>
      <c r="Q585" s="6" t="str">
        <f>IF(COUNTIF(Analysis!$M$2:$M$3001,Analysis!$M200)&gt;1,"Duplicate","OK")</f>
        <v>OK</v>
      </c>
      <c r="R585" s="6" t="str">
        <f t="shared" si="1"/>
        <v>600-1600</v>
      </c>
      <c r="S585" s="6">
        <f t="shared" si="2"/>
        <v>14</v>
      </c>
      <c r="T585" s="6" t="str">
        <f t="shared" si="3"/>
        <v>Mid</v>
      </c>
    </row>
    <row r="586" ht="14.25" customHeight="1">
      <c r="A586" s="5">
        <v>1482612.0</v>
      </c>
      <c r="B586" s="6" t="s">
        <v>2384</v>
      </c>
      <c r="C586" s="6" t="s">
        <v>18</v>
      </c>
      <c r="D586" s="6">
        <v>11664.0</v>
      </c>
      <c r="E586" s="6" t="s">
        <v>77</v>
      </c>
      <c r="F586" s="6" t="s">
        <v>61</v>
      </c>
      <c r="G586" s="6" t="s">
        <v>21</v>
      </c>
      <c r="H586" s="7">
        <v>3996.0</v>
      </c>
      <c r="I586" s="7">
        <v>1151.0</v>
      </c>
      <c r="J586" s="6">
        <v>1975.0</v>
      </c>
      <c r="K586" s="6">
        <v>86.0</v>
      </c>
      <c r="L586" s="6" t="s">
        <v>62</v>
      </c>
      <c r="M586" s="6" t="s">
        <v>2385</v>
      </c>
      <c r="N586" s="6" t="s">
        <v>48</v>
      </c>
      <c r="O586" s="6" t="s">
        <v>25</v>
      </c>
      <c r="P586" s="6">
        <f>COUNTIF(Analysis!$M$1:$M$3001,Analysis!$M586)</f>
        <v>1</v>
      </c>
      <c r="Q586" s="6" t="str">
        <f>IF(COUNTIF(Analysis!$M$2:$M$3001,Analysis!$M586)&gt;1,"Duplicate","OK")</f>
        <v>OK</v>
      </c>
      <c r="R586" s="6" t="str">
        <f t="shared" si="1"/>
        <v>3600+</v>
      </c>
      <c r="S586" s="6">
        <f t="shared" si="2"/>
        <v>51</v>
      </c>
      <c r="T586" s="6" t="str">
        <f t="shared" si="3"/>
        <v>Old</v>
      </c>
    </row>
    <row r="587" ht="14.25" customHeight="1">
      <c r="A587" s="5">
        <v>195826.0</v>
      </c>
      <c r="B587" s="6" t="s">
        <v>2388</v>
      </c>
      <c r="C587" s="6" t="s">
        <v>53</v>
      </c>
      <c r="D587" s="6">
        <v>26355.0</v>
      </c>
      <c r="E587" s="6" t="s">
        <v>77</v>
      </c>
      <c r="F587" s="6" t="s">
        <v>61</v>
      </c>
      <c r="G587" s="6" t="s">
        <v>100</v>
      </c>
      <c r="H587" s="7">
        <v>1965.0</v>
      </c>
      <c r="I587" s="7">
        <v>8146.0</v>
      </c>
      <c r="J587" s="6">
        <v>1974.0</v>
      </c>
      <c r="K587" s="6">
        <v>18.0</v>
      </c>
      <c r="L587" s="6" t="s">
        <v>95</v>
      </c>
      <c r="M587" s="6" t="s">
        <v>2389</v>
      </c>
      <c r="N587" s="6" t="s">
        <v>43</v>
      </c>
      <c r="O587" s="6" t="s">
        <v>25</v>
      </c>
      <c r="P587" s="6">
        <f>COUNTIF(Analysis!$M$1:$M$3001,Analysis!$M587)</f>
        <v>1</v>
      </c>
      <c r="Q587" s="6" t="str">
        <f>IF(COUNTIF(Analysis!$M$2:$M$3001,Analysis!$M587)&gt;1,"Duplicate","OK")</f>
        <v>OK</v>
      </c>
      <c r="R587" s="6" t="str">
        <f t="shared" si="1"/>
        <v>1600-2600</v>
      </c>
      <c r="S587" s="6">
        <f t="shared" si="2"/>
        <v>52</v>
      </c>
      <c r="T587" s="6" t="str">
        <f t="shared" si="3"/>
        <v>Old</v>
      </c>
    </row>
    <row r="588" ht="14.25" customHeight="1">
      <c r="A588" s="5">
        <v>984633.0</v>
      </c>
      <c r="B588" s="6" t="s">
        <v>2392</v>
      </c>
      <c r="C588" s="6" t="s">
        <v>53</v>
      </c>
      <c r="D588" s="6">
        <v>27317.0</v>
      </c>
      <c r="E588" s="6" t="s">
        <v>19</v>
      </c>
      <c r="F588" s="6" t="s">
        <v>46</v>
      </c>
      <c r="G588" s="6" t="s">
        <v>31</v>
      </c>
      <c r="H588" s="7">
        <v>1014.0</v>
      </c>
      <c r="I588" s="7">
        <v>1919.0</v>
      </c>
      <c r="J588" s="6">
        <v>1989.0</v>
      </c>
      <c r="K588" s="6">
        <v>105.0</v>
      </c>
      <c r="L588" s="6" t="s">
        <v>141</v>
      </c>
      <c r="M588" s="6" t="s">
        <v>2393</v>
      </c>
      <c r="N588" s="6" t="s">
        <v>24</v>
      </c>
      <c r="O588" s="6" t="s">
        <v>35</v>
      </c>
      <c r="P588" s="6">
        <f>COUNTIF(Analysis!$M$1:$M$3001,Analysis!$M588)</f>
        <v>1</v>
      </c>
      <c r="Q588" s="6" t="str">
        <f>IF(COUNTIF(Analysis!$M$2:$M$3001,Analysis!$M588)&gt;1,"Duplicate","OK")</f>
        <v>OK</v>
      </c>
      <c r="R588" s="6" t="str">
        <f t="shared" si="1"/>
        <v>600-1600</v>
      </c>
      <c r="S588" s="6">
        <f t="shared" si="2"/>
        <v>37</v>
      </c>
      <c r="T588" s="6" t="str">
        <f t="shared" si="3"/>
        <v>Old</v>
      </c>
    </row>
    <row r="589" ht="14.25" customHeight="1">
      <c r="A589" s="5">
        <v>1280680.0</v>
      </c>
      <c r="B589" s="6" t="s">
        <v>2395</v>
      </c>
      <c r="C589" s="6" t="s">
        <v>39</v>
      </c>
      <c r="D589" s="6">
        <v>52052.0</v>
      </c>
      <c r="E589" s="6" t="s">
        <v>40</v>
      </c>
      <c r="F589" s="6" t="s">
        <v>20</v>
      </c>
      <c r="G589" s="6" t="s">
        <v>21</v>
      </c>
      <c r="H589" s="7">
        <v>2852.0</v>
      </c>
      <c r="I589" s="7">
        <v>5704.0</v>
      </c>
      <c r="J589" s="6">
        <v>2015.0</v>
      </c>
      <c r="K589" s="6">
        <v>5.0</v>
      </c>
      <c r="L589" s="6" t="s">
        <v>95</v>
      </c>
      <c r="M589" s="6" t="s">
        <v>2396</v>
      </c>
      <c r="N589" s="6" t="s">
        <v>48</v>
      </c>
      <c r="O589" s="6" t="s">
        <v>35</v>
      </c>
      <c r="P589" s="6">
        <f>COUNTIF(Analysis!$M$1:$M$3001,Analysis!$M589)</f>
        <v>1</v>
      </c>
      <c r="Q589" s="6" t="str">
        <f>IF(COUNTIF(Analysis!$M$2:$M$3001,Analysis!$M589)&gt;1,"Duplicate","OK")</f>
        <v>OK</v>
      </c>
      <c r="R589" s="6" t="str">
        <f t="shared" si="1"/>
        <v>2600-3600</v>
      </c>
      <c r="S589" s="6">
        <f t="shared" si="2"/>
        <v>11</v>
      </c>
      <c r="T589" s="6" t="str">
        <f t="shared" si="3"/>
        <v>Mid</v>
      </c>
    </row>
    <row r="590" ht="14.25" customHeight="1">
      <c r="A590" s="5">
        <v>722912.0</v>
      </c>
      <c r="B590" s="6" t="s">
        <v>2399</v>
      </c>
      <c r="C590" s="6" t="s">
        <v>18</v>
      </c>
      <c r="D590" s="6">
        <v>66605.0</v>
      </c>
      <c r="E590" s="6" t="s">
        <v>77</v>
      </c>
      <c r="F590" s="6" t="s">
        <v>61</v>
      </c>
      <c r="G590" s="6" t="s">
        <v>31</v>
      </c>
      <c r="H590" s="7">
        <v>3402.0</v>
      </c>
      <c r="I590" s="7">
        <v>8965.0</v>
      </c>
      <c r="J590" s="6">
        <v>1988.0</v>
      </c>
      <c r="K590" s="6">
        <v>72.0</v>
      </c>
      <c r="L590" s="6" t="s">
        <v>95</v>
      </c>
      <c r="M590" s="6" t="s">
        <v>2400</v>
      </c>
      <c r="N590" s="6" t="s">
        <v>48</v>
      </c>
      <c r="O590" s="6" t="s">
        <v>49</v>
      </c>
      <c r="P590" s="6">
        <f>COUNTIF(Analysis!$M$1:$M$3001,Analysis!$M590)</f>
        <v>1</v>
      </c>
      <c r="Q590" s="6" t="str">
        <f>IF(COUNTIF(Analysis!$M$2:$M$3001,Analysis!$M590)&gt;1,"Duplicate","OK")</f>
        <v>OK</v>
      </c>
      <c r="R590" s="6" t="str">
        <f t="shared" si="1"/>
        <v>2600-3600</v>
      </c>
      <c r="S590" s="6">
        <f t="shared" si="2"/>
        <v>38</v>
      </c>
      <c r="T590" s="6" t="str">
        <f t="shared" si="3"/>
        <v>Old</v>
      </c>
    </row>
    <row r="591" ht="14.25" customHeight="1">
      <c r="A591" s="5">
        <v>1442863.0</v>
      </c>
      <c r="B591" s="6" t="s">
        <v>2403</v>
      </c>
      <c r="C591" s="6" t="s">
        <v>53</v>
      </c>
      <c r="D591" s="6">
        <v>90177.0</v>
      </c>
      <c r="E591" s="6" t="s">
        <v>19</v>
      </c>
      <c r="F591" s="6" t="s">
        <v>94</v>
      </c>
      <c r="G591" s="6" t="s">
        <v>55</v>
      </c>
      <c r="H591" s="7">
        <v>2278.0</v>
      </c>
      <c r="I591" s="7">
        <v>8180.0</v>
      </c>
      <c r="J591" s="6">
        <v>1966.0</v>
      </c>
      <c r="K591" s="6">
        <v>103.0</v>
      </c>
      <c r="L591" s="6" t="s">
        <v>32</v>
      </c>
      <c r="M591" s="6" t="s">
        <v>2404</v>
      </c>
      <c r="N591" s="6" t="s">
        <v>24</v>
      </c>
      <c r="O591" s="6" t="s">
        <v>35</v>
      </c>
      <c r="P591" s="6">
        <f>COUNTIF(Analysis!$M$1:$M$3001,Analysis!$M591)</f>
        <v>1</v>
      </c>
      <c r="Q591" s="6" t="str">
        <f>IF(COUNTIF(Analysis!$M$2:$M$3001,Analysis!$M591)&gt;1,"Duplicate","OK")</f>
        <v>OK</v>
      </c>
      <c r="R591" s="6" t="str">
        <f t="shared" si="1"/>
        <v>1600-2600</v>
      </c>
      <c r="S591" s="6">
        <f t="shared" si="2"/>
        <v>60</v>
      </c>
      <c r="T591" s="6" t="str">
        <f t="shared" si="3"/>
        <v>Old</v>
      </c>
    </row>
    <row r="592" ht="14.25" customHeight="1">
      <c r="A592" s="5">
        <v>409090.0</v>
      </c>
      <c r="B592" s="6" t="s">
        <v>1661</v>
      </c>
      <c r="C592" s="6" t="s">
        <v>29</v>
      </c>
      <c r="D592" s="6">
        <v>40049.0</v>
      </c>
      <c r="E592" s="6" t="s">
        <v>60</v>
      </c>
      <c r="F592" s="6" t="s">
        <v>94</v>
      </c>
      <c r="G592" s="6" t="s">
        <v>55</v>
      </c>
      <c r="H592" s="7">
        <v>2997.0</v>
      </c>
      <c r="I592" s="7">
        <v>9647.0</v>
      </c>
      <c r="J592" s="6">
        <v>2000.0</v>
      </c>
      <c r="K592" s="6">
        <v>71.0</v>
      </c>
      <c r="L592" s="6" t="s">
        <v>62</v>
      </c>
      <c r="M592" s="6" t="s">
        <v>1662</v>
      </c>
      <c r="N592" s="6" t="s">
        <v>43</v>
      </c>
      <c r="O592" s="6" t="s">
        <v>49</v>
      </c>
      <c r="P592" s="6">
        <f>COUNTIF(Analysis!$M$1:$M$3001,Analysis!$M405)</f>
        <v>1</v>
      </c>
      <c r="Q592" s="6" t="str">
        <f>IF(COUNTIF(Analysis!$M$2:$M$3001,Analysis!$M405)&gt;1,"Duplicate","OK")</f>
        <v>OK</v>
      </c>
      <c r="R592" s="6" t="str">
        <f t="shared" si="1"/>
        <v>2600-3600</v>
      </c>
      <c r="S592" s="6">
        <f t="shared" si="2"/>
        <v>26</v>
      </c>
      <c r="T592" s="6" t="str">
        <f t="shared" si="3"/>
        <v>Mid</v>
      </c>
    </row>
    <row r="593" ht="14.25" customHeight="1">
      <c r="A593" s="5">
        <v>1375641.0</v>
      </c>
      <c r="B593" s="6" t="s">
        <v>2411</v>
      </c>
      <c r="C593" s="6" t="s">
        <v>18</v>
      </c>
      <c r="D593" s="6">
        <v>63599.0</v>
      </c>
      <c r="E593" s="6" t="s">
        <v>19</v>
      </c>
      <c r="F593" s="6" t="s">
        <v>46</v>
      </c>
      <c r="G593" s="6" t="s">
        <v>55</v>
      </c>
      <c r="H593" s="7">
        <v>1948.0</v>
      </c>
      <c r="I593" s="7">
        <v>6670.0</v>
      </c>
      <c r="J593" s="6">
        <v>2009.0</v>
      </c>
      <c r="K593" s="6">
        <v>48.0</v>
      </c>
      <c r="L593" s="6" t="s">
        <v>141</v>
      </c>
      <c r="M593" s="6" t="s">
        <v>2412</v>
      </c>
      <c r="N593" s="6" t="s">
        <v>34</v>
      </c>
      <c r="O593" s="6" t="s">
        <v>49</v>
      </c>
      <c r="P593" s="6">
        <f>COUNTIF(Analysis!$M$1:$M$3001,Analysis!$M593)</f>
        <v>1</v>
      </c>
      <c r="Q593" s="6" t="str">
        <f>IF(COUNTIF(Analysis!$M$2:$M$3001,Analysis!$M593)&gt;1,"Duplicate","OK")</f>
        <v>OK</v>
      </c>
      <c r="R593" s="6" t="str">
        <f t="shared" si="1"/>
        <v>1600-2600</v>
      </c>
      <c r="S593" s="6">
        <f t="shared" si="2"/>
        <v>17</v>
      </c>
      <c r="T593" s="6" t="str">
        <f t="shared" si="3"/>
        <v>Mid</v>
      </c>
    </row>
    <row r="594" ht="14.25" customHeight="1">
      <c r="A594" s="5">
        <v>547298.0</v>
      </c>
      <c r="B594" s="6" t="s">
        <v>2415</v>
      </c>
      <c r="C594" s="6" t="s">
        <v>53</v>
      </c>
      <c r="D594" s="6">
        <v>81824.0</v>
      </c>
      <c r="E594" s="6" t="s">
        <v>30</v>
      </c>
      <c r="F594" s="6" t="s">
        <v>61</v>
      </c>
      <c r="G594" s="6" t="s">
        <v>100</v>
      </c>
      <c r="H594" s="7">
        <v>3217.0</v>
      </c>
      <c r="I594" s="7">
        <v>3835.0</v>
      </c>
      <c r="J594" s="6">
        <v>2007.0</v>
      </c>
      <c r="K594" s="6">
        <v>76.0</v>
      </c>
      <c r="L594" s="6" t="s">
        <v>95</v>
      </c>
      <c r="M594" s="6" t="s">
        <v>2416</v>
      </c>
      <c r="N594" s="6" t="s">
        <v>43</v>
      </c>
      <c r="O594" s="6" t="s">
        <v>49</v>
      </c>
      <c r="P594" s="6">
        <f>COUNTIF(Analysis!$M$1:$M$3001,Analysis!$M594)</f>
        <v>1</v>
      </c>
      <c r="Q594" s="6" t="str">
        <f>IF(COUNTIF(Analysis!$M$2:$M$3001,Analysis!$M594)&gt;1,"Duplicate","OK")</f>
        <v>OK</v>
      </c>
      <c r="R594" s="6" t="str">
        <f t="shared" si="1"/>
        <v>2600-3600</v>
      </c>
      <c r="S594" s="6">
        <f t="shared" si="2"/>
        <v>19</v>
      </c>
      <c r="T594" s="6" t="str">
        <f t="shared" si="3"/>
        <v>Mid</v>
      </c>
    </row>
    <row r="595" ht="14.25" customHeight="1">
      <c r="A595" s="5">
        <v>1168200.0</v>
      </c>
      <c r="B595" s="6" t="s">
        <v>2419</v>
      </c>
      <c r="C595" s="6" t="s">
        <v>76</v>
      </c>
      <c r="D595" s="6">
        <v>74633.0</v>
      </c>
      <c r="E595" s="6" t="s">
        <v>60</v>
      </c>
      <c r="F595" s="6" t="s">
        <v>54</v>
      </c>
      <c r="G595" s="6" t="s">
        <v>100</v>
      </c>
      <c r="H595" s="7">
        <v>1072.0</v>
      </c>
      <c r="I595" s="7">
        <v>7750.0</v>
      </c>
      <c r="J595" s="6">
        <v>1971.0</v>
      </c>
      <c r="K595" s="6">
        <v>114.0</v>
      </c>
      <c r="L595" s="6" t="s">
        <v>141</v>
      </c>
      <c r="M595" s="6" t="s">
        <v>2420</v>
      </c>
      <c r="N595" s="6" t="s">
        <v>64</v>
      </c>
      <c r="O595" s="6" t="s">
        <v>25</v>
      </c>
      <c r="P595" s="6">
        <f>COUNTIF(Analysis!$M$1:$M$3001,Analysis!$M595)</f>
        <v>1</v>
      </c>
      <c r="Q595" s="6" t="str">
        <f>IF(COUNTIF(Analysis!$M$2:$M$3001,Analysis!$M595)&gt;1,"Duplicate","OK")</f>
        <v>OK</v>
      </c>
      <c r="R595" s="6" t="str">
        <f t="shared" si="1"/>
        <v>600-1600</v>
      </c>
      <c r="S595" s="6">
        <f t="shared" si="2"/>
        <v>55</v>
      </c>
      <c r="T595" s="6" t="str">
        <f t="shared" si="3"/>
        <v>Old</v>
      </c>
    </row>
    <row r="596" ht="14.25" customHeight="1">
      <c r="A596" s="5">
        <v>728249.0</v>
      </c>
      <c r="B596" s="6" t="s">
        <v>2423</v>
      </c>
      <c r="C596" s="6" t="s">
        <v>39</v>
      </c>
      <c r="D596" s="6">
        <v>87520.0</v>
      </c>
      <c r="E596" s="6" t="s">
        <v>30</v>
      </c>
      <c r="F596" s="6" t="s">
        <v>61</v>
      </c>
      <c r="G596" s="6" t="s">
        <v>100</v>
      </c>
      <c r="H596" s="7">
        <v>3398.0</v>
      </c>
      <c r="I596" s="7">
        <v>7233.0</v>
      </c>
      <c r="J596" s="6">
        <v>1956.0</v>
      </c>
      <c r="K596" s="6">
        <v>78.0</v>
      </c>
      <c r="L596" s="6" t="s">
        <v>141</v>
      </c>
      <c r="M596" s="6" t="s">
        <v>2424</v>
      </c>
      <c r="N596" s="6" t="s">
        <v>64</v>
      </c>
      <c r="O596" s="6" t="s">
        <v>35</v>
      </c>
      <c r="P596" s="6">
        <f>COUNTIF(Analysis!$M$1:$M$3001,Analysis!$M596)</f>
        <v>1</v>
      </c>
      <c r="Q596" s="6" t="str">
        <f>IF(COUNTIF(Analysis!$M$2:$M$3001,Analysis!$M596)&gt;1,"Duplicate","OK")</f>
        <v>OK</v>
      </c>
      <c r="R596" s="6" t="str">
        <f t="shared" si="1"/>
        <v>2600-3600</v>
      </c>
      <c r="S596" s="6">
        <f t="shared" si="2"/>
        <v>70</v>
      </c>
      <c r="T596" s="6" t="str">
        <f t="shared" si="3"/>
        <v>Very Old</v>
      </c>
    </row>
    <row r="597" ht="14.25" customHeight="1">
      <c r="A597" s="5">
        <v>998871.0</v>
      </c>
      <c r="B597" s="6" t="s">
        <v>2427</v>
      </c>
      <c r="C597" s="6" t="s">
        <v>76</v>
      </c>
      <c r="D597" s="6">
        <v>45648.0</v>
      </c>
      <c r="E597" s="6" t="s">
        <v>77</v>
      </c>
      <c r="F597" s="6" t="s">
        <v>41</v>
      </c>
      <c r="G597" s="6" t="s">
        <v>31</v>
      </c>
      <c r="H597" s="7">
        <v>2133.0</v>
      </c>
      <c r="I597" s="7">
        <v>3328.0</v>
      </c>
      <c r="J597" s="6">
        <v>1981.0</v>
      </c>
      <c r="K597" s="6">
        <v>114.0</v>
      </c>
      <c r="L597" s="6" t="s">
        <v>32</v>
      </c>
      <c r="M597" s="6" t="s">
        <v>2428</v>
      </c>
      <c r="N597" s="6" t="s">
        <v>34</v>
      </c>
      <c r="O597" s="6" t="s">
        <v>49</v>
      </c>
      <c r="P597" s="6">
        <f>COUNTIF(Analysis!$M$1:$M$3001,Analysis!$M597)</f>
        <v>1</v>
      </c>
      <c r="Q597" s="6" t="str">
        <f>IF(COUNTIF(Analysis!$M$2:$M$3001,Analysis!$M597)&gt;1,"Duplicate","OK")</f>
        <v>OK</v>
      </c>
      <c r="R597" s="6" t="str">
        <f t="shared" si="1"/>
        <v>1600-2600</v>
      </c>
      <c r="S597" s="6">
        <f t="shared" si="2"/>
        <v>45</v>
      </c>
      <c r="T597" s="6" t="str">
        <f t="shared" si="3"/>
        <v>Old</v>
      </c>
    </row>
    <row r="598" ht="14.25" customHeight="1">
      <c r="A598" s="5">
        <v>1122337.0</v>
      </c>
      <c r="B598" s="6" t="s">
        <v>2431</v>
      </c>
      <c r="C598" s="6" t="s">
        <v>76</v>
      </c>
      <c r="D598" s="6">
        <v>52454.0</v>
      </c>
      <c r="E598" s="6" t="s">
        <v>30</v>
      </c>
      <c r="F598" s="6" t="s">
        <v>94</v>
      </c>
      <c r="G598" s="6" t="s">
        <v>31</v>
      </c>
      <c r="H598" s="7">
        <v>1947.0</v>
      </c>
      <c r="I598" s="7">
        <v>3995.0</v>
      </c>
      <c r="J598" s="6">
        <v>1996.0</v>
      </c>
      <c r="K598" s="6">
        <v>40.0</v>
      </c>
      <c r="L598" s="6" t="s">
        <v>95</v>
      </c>
      <c r="M598" s="6" t="s">
        <v>2432</v>
      </c>
      <c r="N598" s="6" t="s">
        <v>24</v>
      </c>
      <c r="O598" s="6" t="s">
        <v>35</v>
      </c>
      <c r="P598" s="6">
        <f>COUNTIF(Analysis!$M$1:$M$3001,Analysis!$M598)</f>
        <v>1</v>
      </c>
      <c r="Q598" s="6" t="str">
        <f>IF(COUNTIF(Analysis!$M$2:$M$3001,Analysis!$M598)&gt;1,"Duplicate","OK")</f>
        <v>OK</v>
      </c>
      <c r="R598" s="6" t="str">
        <f t="shared" si="1"/>
        <v>1600-2600</v>
      </c>
      <c r="S598" s="6">
        <f t="shared" si="2"/>
        <v>30</v>
      </c>
      <c r="T598" s="6" t="str">
        <f t="shared" si="3"/>
        <v>Mid</v>
      </c>
    </row>
    <row r="599" ht="14.25" customHeight="1">
      <c r="A599" s="5">
        <v>190329.0</v>
      </c>
      <c r="B599" s="6" t="s">
        <v>2435</v>
      </c>
      <c r="C599" s="6" t="s">
        <v>53</v>
      </c>
      <c r="D599" s="6">
        <v>66135.0</v>
      </c>
      <c r="E599" s="6" t="s">
        <v>40</v>
      </c>
      <c r="F599" s="6" t="s">
        <v>94</v>
      </c>
      <c r="G599" s="6" t="s">
        <v>55</v>
      </c>
      <c r="H599" s="7">
        <v>3215.0</v>
      </c>
      <c r="I599" s="7">
        <v>8651.0</v>
      </c>
      <c r="J599" s="6">
        <v>2021.0</v>
      </c>
      <c r="K599" s="6">
        <v>58.0</v>
      </c>
      <c r="L599" s="6" t="s">
        <v>62</v>
      </c>
      <c r="M599" s="6" t="s">
        <v>2436</v>
      </c>
      <c r="N599" s="6" t="s">
        <v>48</v>
      </c>
      <c r="O599" s="6" t="s">
        <v>25</v>
      </c>
      <c r="P599" s="6">
        <f>COUNTIF(Analysis!$M$1:$M$3001,Analysis!$M599)</f>
        <v>1</v>
      </c>
      <c r="Q599" s="6" t="str">
        <f>IF(COUNTIF(Analysis!$M$2:$M$3001,Analysis!$M599)&gt;1,"Duplicate","OK")</f>
        <v>OK</v>
      </c>
      <c r="R599" s="6" t="str">
        <f t="shared" si="1"/>
        <v>2600-3600</v>
      </c>
      <c r="S599" s="6">
        <f t="shared" si="2"/>
        <v>5</v>
      </c>
      <c r="T599" s="6" t="str">
        <f t="shared" si="3"/>
        <v>New</v>
      </c>
    </row>
    <row r="600" ht="14.25" customHeight="1">
      <c r="A600" s="5">
        <v>410666.0</v>
      </c>
      <c r="B600" s="6" t="s">
        <v>6809</v>
      </c>
      <c r="C600" s="6" t="s">
        <v>29</v>
      </c>
      <c r="D600" s="6">
        <v>43311.0</v>
      </c>
      <c r="E600" s="6" t="s">
        <v>77</v>
      </c>
      <c r="F600" s="6" t="s">
        <v>46</v>
      </c>
      <c r="G600" s="6" t="s">
        <v>55</v>
      </c>
      <c r="H600" s="7">
        <v>2306.0</v>
      </c>
      <c r="I600" s="7">
        <v>1159.0</v>
      </c>
      <c r="J600" s="6">
        <v>1950.0</v>
      </c>
      <c r="K600" s="6">
        <v>2.0</v>
      </c>
      <c r="L600" s="6" t="s">
        <v>22</v>
      </c>
      <c r="M600" s="6" t="s">
        <v>6810</v>
      </c>
      <c r="N600" s="6" t="s">
        <v>48</v>
      </c>
      <c r="O600" s="6" t="s">
        <v>35</v>
      </c>
      <c r="P600" s="6">
        <f>COUNTIF(Analysis!$M$1:$M$3001,Analysis!$M1693)</f>
        <v>1</v>
      </c>
      <c r="Q600" s="6" t="str">
        <f>IF(COUNTIF(Analysis!$M$2:$M$3001,Analysis!$M1693)&gt;1,"Duplicate","OK")</f>
        <v>OK</v>
      </c>
      <c r="R600" s="6" t="str">
        <f t="shared" si="1"/>
        <v>1600-2600</v>
      </c>
      <c r="S600" s="6">
        <f t="shared" si="2"/>
        <v>76</v>
      </c>
      <c r="T600" s="6" t="str">
        <f t="shared" si="3"/>
        <v>Very Old</v>
      </c>
    </row>
    <row r="601" ht="14.25" customHeight="1">
      <c r="A601" s="5">
        <v>1489699.0</v>
      </c>
      <c r="B601" s="6" t="s">
        <v>2443</v>
      </c>
      <c r="C601" s="6" t="s">
        <v>18</v>
      </c>
      <c r="D601" s="6">
        <v>29464.0</v>
      </c>
      <c r="E601" s="6" t="s">
        <v>77</v>
      </c>
      <c r="F601" s="6" t="s">
        <v>54</v>
      </c>
      <c r="G601" s="6" t="s">
        <v>31</v>
      </c>
      <c r="H601" s="7">
        <v>2228.0</v>
      </c>
      <c r="I601" s="7">
        <v>1657.0</v>
      </c>
      <c r="J601" s="6">
        <v>1992.0</v>
      </c>
      <c r="K601" s="6">
        <v>51.0</v>
      </c>
      <c r="L601" s="6" t="s">
        <v>22</v>
      </c>
      <c r="M601" s="6" t="s">
        <v>2444</v>
      </c>
      <c r="N601" s="6" t="s">
        <v>34</v>
      </c>
      <c r="O601" s="6" t="s">
        <v>25</v>
      </c>
      <c r="P601" s="6">
        <f>COUNTIF(Analysis!$M$1:$M$3001,Analysis!$M601)</f>
        <v>1</v>
      </c>
      <c r="Q601" s="6" t="str">
        <f>IF(COUNTIF(Analysis!$M$2:$M$3001,Analysis!$M601)&gt;1,"Duplicate","OK")</f>
        <v>OK</v>
      </c>
      <c r="R601" s="6" t="str">
        <f t="shared" si="1"/>
        <v>1600-2600</v>
      </c>
      <c r="S601" s="6">
        <f t="shared" si="2"/>
        <v>34</v>
      </c>
      <c r="T601" s="6" t="str">
        <f t="shared" si="3"/>
        <v>Old</v>
      </c>
    </row>
    <row r="602" ht="14.25" customHeight="1">
      <c r="A602" s="5">
        <v>1382451.0</v>
      </c>
      <c r="B602" s="6" t="s">
        <v>2447</v>
      </c>
      <c r="C602" s="6" t="s">
        <v>76</v>
      </c>
      <c r="D602" s="6">
        <v>80206.0</v>
      </c>
      <c r="E602" s="6" t="s">
        <v>19</v>
      </c>
      <c r="F602" s="6" t="s">
        <v>41</v>
      </c>
      <c r="G602" s="6" t="s">
        <v>55</v>
      </c>
      <c r="H602" s="7">
        <v>2003.0</v>
      </c>
      <c r="I602" s="7">
        <v>3192.0</v>
      </c>
      <c r="J602" s="6">
        <v>1962.0</v>
      </c>
      <c r="K602" s="6">
        <v>9.0</v>
      </c>
      <c r="L602" s="6" t="s">
        <v>22</v>
      </c>
      <c r="M602" s="6" t="s">
        <v>2448</v>
      </c>
      <c r="N602" s="6" t="s">
        <v>64</v>
      </c>
      <c r="O602" s="6" t="s">
        <v>49</v>
      </c>
      <c r="P602" s="6">
        <f>COUNTIF(Analysis!$M$1:$M$3001,Analysis!$M602)</f>
        <v>1</v>
      </c>
      <c r="Q602" s="6" t="str">
        <f>IF(COUNTIF(Analysis!$M$2:$M$3001,Analysis!$M602)&gt;1,"Duplicate","OK")</f>
        <v>OK</v>
      </c>
      <c r="R602" s="6" t="str">
        <f t="shared" si="1"/>
        <v>1600-2600</v>
      </c>
      <c r="S602" s="6">
        <f t="shared" si="2"/>
        <v>64</v>
      </c>
      <c r="T602" s="6" t="str">
        <f t="shared" si="3"/>
        <v>Very Old</v>
      </c>
    </row>
    <row r="603" ht="14.25" customHeight="1">
      <c r="A603" s="5">
        <v>258490.0</v>
      </c>
      <c r="B603" s="6" t="s">
        <v>2451</v>
      </c>
      <c r="C603" s="6" t="s">
        <v>39</v>
      </c>
      <c r="D603" s="6">
        <v>64621.0</v>
      </c>
      <c r="E603" s="6" t="s">
        <v>60</v>
      </c>
      <c r="F603" s="6" t="s">
        <v>41</v>
      </c>
      <c r="G603" s="6" t="s">
        <v>55</v>
      </c>
      <c r="H603" s="7">
        <v>1024.0</v>
      </c>
      <c r="I603" s="7">
        <v>9065.0</v>
      </c>
      <c r="J603" s="6">
        <v>1960.0</v>
      </c>
      <c r="K603" s="6">
        <v>95.0</v>
      </c>
      <c r="L603" s="6" t="s">
        <v>141</v>
      </c>
      <c r="M603" s="6" t="s">
        <v>2452</v>
      </c>
      <c r="N603" s="6" t="s">
        <v>48</v>
      </c>
      <c r="O603" s="6" t="s">
        <v>35</v>
      </c>
      <c r="P603" s="6">
        <f>COUNTIF(Analysis!$M$1:$M$3001,Analysis!$M603)</f>
        <v>1</v>
      </c>
      <c r="Q603" s="6" t="str">
        <f>IF(COUNTIF(Analysis!$M$2:$M$3001,Analysis!$M603)&gt;1,"Duplicate","OK")</f>
        <v>OK</v>
      </c>
      <c r="R603" s="6" t="str">
        <f t="shared" si="1"/>
        <v>600-1600</v>
      </c>
      <c r="S603" s="6">
        <f t="shared" si="2"/>
        <v>66</v>
      </c>
      <c r="T603" s="6" t="str">
        <f t="shared" si="3"/>
        <v>Very Old</v>
      </c>
    </row>
    <row r="604" ht="14.25" customHeight="1">
      <c r="A604" s="5">
        <v>161267.0</v>
      </c>
      <c r="B604" s="6" t="s">
        <v>2455</v>
      </c>
      <c r="C604" s="6" t="s">
        <v>39</v>
      </c>
      <c r="D604" s="6">
        <v>63439.0</v>
      </c>
      <c r="E604" s="6" t="s">
        <v>30</v>
      </c>
      <c r="F604" s="6" t="s">
        <v>61</v>
      </c>
      <c r="G604" s="6" t="s">
        <v>55</v>
      </c>
      <c r="H604" s="7">
        <v>3136.0</v>
      </c>
      <c r="I604" s="7">
        <v>6476.0</v>
      </c>
      <c r="J604" s="6">
        <v>1997.0</v>
      </c>
      <c r="K604" s="6">
        <v>50.0</v>
      </c>
      <c r="L604" s="6" t="s">
        <v>141</v>
      </c>
      <c r="M604" s="6" t="s">
        <v>2456</v>
      </c>
      <c r="N604" s="6" t="s">
        <v>34</v>
      </c>
      <c r="O604" s="6" t="s">
        <v>25</v>
      </c>
      <c r="P604" s="6">
        <f>COUNTIF(Analysis!$M$1:$M$3001,Analysis!$M604)</f>
        <v>1</v>
      </c>
      <c r="Q604" s="6" t="str">
        <f>IF(COUNTIF(Analysis!$M$2:$M$3001,Analysis!$M604)&gt;1,"Duplicate","OK")</f>
        <v>OK</v>
      </c>
      <c r="R604" s="6" t="str">
        <f t="shared" si="1"/>
        <v>2600-3600</v>
      </c>
      <c r="S604" s="6">
        <f t="shared" si="2"/>
        <v>29</v>
      </c>
      <c r="T604" s="6" t="str">
        <f t="shared" si="3"/>
        <v>Mid</v>
      </c>
    </row>
    <row r="605" ht="14.25" customHeight="1">
      <c r="A605" s="5">
        <v>1411656.0</v>
      </c>
      <c r="B605" s="6" t="s">
        <v>2459</v>
      </c>
      <c r="C605" s="6" t="s">
        <v>18</v>
      </c>
      <c r="D605" s="6">
        <v>62811.0</v>
      </c>
      <c r="E605" s="6" t="s">
        <v>60</v>
      </c>
      <c r="F605" s="6" t="s">
        <v>94</v>
      </c>
      <c r="G605" s="6" t="s">
        <v>31</v>
      </c>
      <c r="H605" s="7">
        <v>3650.0</v>
      </c>
      <c r="I605" s="7">
        <v>6748.0</v>
      </c>
      <c r="J605" s="6">
        <v>1983.0</v>
      </c>
      <c r="K605" s="6">
        <v>2.0</v>
      </c>
      <c r="L605" s="6" t="s">
        <v>62</v>
      </c>
      <c r="M605" s="6" t="s">
        <v>2460</v>
      </c>
      <c r="N605" s="6" t="s">
        <v>48</v>
      </c>
      <c r="O605" s="6" t="s">
        <v>35</v>
      </c>
      <c r="P605" s="6">
        <f>COUNTIF(Analysis!$M$1:$M$3001,Analysis!$M605)</f>
        <v>1</v>
      </c>
      <c r="Q605" s="6" t="str">
        <f>IF(COUNTIF(Analysis!$M$2:$M$3001,Analysis!$M605)&gt;1,"Duplicate","OK")</f>
        <v>OK</v>
      </c>
      <c r="R605" s="6" t="str">
        <f t="shared" si="1"/>
        <v>3600+</v>
      </c>
      <c r="S605" s="6">
        <f t="shared" si="2"/>
        <v>43</v>
      </c>
      <c r="T605" s="6" t="str">
        <f t="shared" si="3"/>
        <v>Old</v>
      </c>
    </row>
    <row r="606" ht="14.25" customHeight="1">
      <c r="A606" s="5">
        <v>980741.0</v>
      </c>
      <c r="B606" s="6" t="s">
        <v>2463</v>
      </c>
      <c r="C606" s="6" t="s">
        <v>39</v>
      </c>
      <c r="D606" s="6">
        <v>91105.0</v>
      </c>
      <c r="E606" s="6" t="s">
        <v>19</v>
      </c>
      <c r="F606" s="6" t="s">
        <v>94</v>
      </c>
      <c r="G606" s="6" t="s">
        <v>31</v>
      </c>
      <c r="H606" s="7">
        <v>1403.0</v>
      </c>
      <c r="I606" s="7">
        <v>6539.0</v>
      </c>
      <c r="J606" s="6">
        <v>1989.0</v>
      </c>
      <c r="K606" s="6">
        <v>82.0</v>
      </c>
      <c r="L606" s="6" t="s">
        <v>22</v>
      </c>
      <c r="M606" s="6" t="s">
        <v>2464</v>
      </c>
      <c r="N606" s="6" t="s">
        <v>64</v>
      </c>
      <c r="O606" s="6" t="s">
        <v>25</v>
      </c>
      <c r="P606" s="6">
        <f>COUNTIF(Analysis!$M$1:$M$3001,Analysis!$M606)</f>
        <v>1</v>
      </c>
      <c r="Q606" s="6" t="str">
        <f>IF(COUNTIF(Analysis!$M$2:$M$3001,Analysis!$M606)&gt;1,"Duplicate","OK")</f>
        <v>OK</v>
      </c>
      <c r="R606" s="6" t="str">
        <f t="shared" si="1"/>
        <v>600-1600</v>
      </c>
      <c r="S606" s="6">
        <f t="shared" si="2"/>
        <v>37</v>
      </c>
      <c r="T606" s="6" t="str">
        <f t="shared" si="3"/>
        <v>Old</v>
      </c>
    </row>
    <row r="607" ht="14.25" customHeight="1">
      <c r="A607" s="5">
        <v>309134.0</v>
      </c>
      <c r="B607" s="6" t="s">
        <v>2467</v>
      </c>
      <c r="C607" s="6" t="s">
        <v>53</v>
      </c>
      <c r="D607" s="6">
        <v>32641.0</v>
      </c>
      <c r="E607" s="6" t="s">
        <v>77</v>
      </c>
      <c r="F607" s="6" t="s">
        <v>41</v>
      </c>
      <c r="G607" s="6" t="s">
        <v>21</v>
      </c>
      <c r="H607" s="7">
        <v>3111.0</v>
      </c>
      <c r="I607" s="7">
        <v>6149.0</v>
      </c>
      <c r="J607" s="6">
        <v>1952.0</v>
      </c>
      <c r="K607" s="6">
        <v>13.0</v>
      </c>
      <c r="L607" s="6" t="s">
        <v>32</v>
      </c>
      <c r="M607" s="6" t="s">
        <v>2468</v>
      </c>
      <c r="N607" s="6" t="s">
        <v>64</v>
      </c>
      <c r="O607" s="6" t="s">
        <v>49</v>
      </c>
      <c r="P607" s="6">
        <f>COUNTIF(Analysis!$M$1:$M$3001,Analysis!$M607)</f>
        <v>1</v>
      </c>
      <c r="Q607" s="6" t="str">
        <f>IF(COUNTIF(Analysis!$M$2:$M$3001,Analysis!$M607)&gt;1,"Duplicate","OK")</f>
        <v>OK</v>
      </c>
      <c r="R607" s="6" t="str">
        <f t="shared" si="1"/>
        <v>2600-3600</v>
      </c>
      <c r="S607" s="6">
        <f t="shared" si="2"/>
        <v>74</v>
      </c>
      <c r="T607" s="6" t="str">
        <f t="shared" si="3"/>
        <v>Very Old</v>
      </c>
    </row>
    <row r="608" ht="14.25" customHeight="1">
      <c r="A608" s="5">
        <v>586196.0</v>
      </c>
      <c r="B608" s="6" t="s">
        <v>2471</v>
      </c>
      <c r="C608" s="6" t="s">
        <v>18</v>
      </c>
      <c r="D608" s="6">
        <v>77805.0</v>
      </c>
      <c r="E608" s="6" t="s">
        <v>77</v>
      </c>
      <c r="F608" s="6" t="s">
        <v>54</v>
      </c>
      <c r="G608" s="6" t="s">
        <v>21</v>
      </c>
      <c r="H608" s="7">
        <v>1949.0</v>
      </c>
      <c r="I608" s="7">
        <v>2789.0</v>
      </c>
      <c r="J608" s="6">
        <v>2020.0</v>
      </c>
      <c r="K608" s="6">
        <v>33.0</v>
      </c>
      <c r="L608" s="6" t="s">
        <v>32</v>
      </c>
      <c r="M608" s="6" t="s">
        <v>2472</v>
      </c>
      <c r="N608" s="6" t="s">
        <v>43</v>
      </c>
      <c r="O608" s="6" t="s">
        <v>25</v>
      </c>
      <c r="P608" s="6">
        <f>COUNTIF(Analysis!$M$1:$M$3001,Analysis!$M608)</f>
        <v>1</v>
      </c>
      <c r="Q608" s="6" t="str">
        <f>IF(COUNTIF(Analysis!$M$2:$M$3001,Analysis!$M608)&gt;1,"Duplicate","OK")</f>
        <v>OK</v>
      </c>
      <c r="R608" s="6" t="str">
        <f t="shared" si="1"/>
        <v>1600-2600</v>
      </c>
      <c r="S608" s="6">
        <f t="shared" si="2"/>
        <v>6</v>
      </c>
      <c r="T608" s="6" t="str">
        <f t="shared" si="3"/>
        <v>New</v>
      </c>
    </row>
    <row r="609" ht="14.25" customHeight="1">
      <c r="A609" s="5">
        <v>596947.0</v>
      </c>
      <c r="B609" s="6" t="s">
        <v>2475</v>
      </c>
      <c r="C609" s="6" t="s">
        <v>18</v>
      </c>
      <c r="D609" s="6">
        <v>82273.0</v>
      </c>
      <c r="E609" s="6" t="s">
        <v>40</v>
      </c>
      <c r="F609" s="6" t="s">
        <v>20</v>
      </c>
      <c r="G609" s="6" t="s">
        <v>31</v>
      </c>
      <c r="H609" s="7">
        <v>3540.0</v>
      </c>
      <c r="I609" s="7">
        <v>8256.0</v>
      </c>
      <c r="J609" s="6">
        <v>1960.0</v>
      </c>
      <c r="K609" s="6">
        <v>86.0</v>
      </c>
      <c r="L609" s="6" t="s">
        <v>95</v>
      </c>
      <c r="M609" s="6" t="s">
        <v>2476</v>
      </c>
      <c r="N609" s="6" t="s">
        <v>64</v>
      </c>
      <c r="O609" s="6" t="s">
        <v>25</v>
      </c>
      <c r="P609" s="6">
        <f>COUNTIF(Analysis!$M$1:$M$3001,Analysis!$M609)</f>
        <v>1</v>
      </c>
      <c r="Q609" s="6" t="str">
        <f>IF(COUNTIF(Analysis!$M$2:$M$3001,Analysis!$M609)&gt;1,"Duplicate","OK")</f>
        <v>OK</v>
      </c>
      <c r="R609" s="6" t="str">
        <f t="shared" si="1"/>
        <v>2600-3600</v>
      </c>
      <c r="S609" s="6">
        <f t="shared" si="2"/>
        <v>66</v>
      </c>
      <c r="T609" s="6" t="str">
        <f t="shared" si="3"/>
        <v>Very Old</v>
      </c>
    </row>
    <row r="610" ht="14.25" customHeight="1">
      <c r="A610" s="5">
        <v>193325.0</v>
      </c>
      <c r="B610" s="6" t="s">
        <v>2479</v>
      </c>
      <c r="C610" s="6" t="s">
        <v>39</v>
      </c>
      <c r="D610" s="6">
        <v>98214.0</v>
      </c>
      <c r="E610" s="6" t="s">
        <v>19</v>
      </c>
      <c r="F610" s="6" t="s">
        <v>41</v>
      </c>
      <c r="G610" s="6" t="s">
        <v>31</v>
      </c>
      <c r="H610" s="7">
        <v>1917.0</v>
      </c>
      <c r="I610" s="7">
        <v>9358.0</v>
      </c>
      <c r="J610" s="6">
        <v>1955.0</v>
      </c>
      <c r="K610" s="6">
        <v>40.0</v>
      </c>
      <c r="L610" s="6" t="s">
        <v>32</v>
      </c>
      <c r="M610" s="6" t="s">
        <v>2480</v>
      </c>
      <c r="N610" s="6" t="s">
        <v>48</v>
      </c>
      <c r="O610" s="6" t="s">
        <v>49</v>
      </c>
      <c r="P610" s="6">
        <f>COUNTIF(Analysis!$M$1:$M$3001,Analysis!$M610)</f>
        <v>1</v>
      </c>
      <c r="Q610" s="6" t="str">
        <f>IF(COUNTIF(Analysis!$M$2:$M$3001,Analysis!$M610)&gt;1,"Duplicate","OK")</f>
        <v>OK</v>
      </c>
      <c r="R610" s="6" t="str">
        <f t="shared" si="1"/>
        <v>1600-2600</v>
      </c>
      <c r="S610" s="6">
        <f t="shared" si="2"/>
        <v>71</v>
      </c>
      <c r="T610" s="6" t="str">
        <f t="shared" si="3"/>
        <v>Very Old</v>
      </c>
    </row>
    <row r="611" ht="14.25" customHeight="1">
      <c r="A611" s="5">
        <v>1178393.0</v>
      </c>
      <c r="B611" s="6" t="s">
        <v>2483</v>
      </c>
      <c r="C611" s="6" t="s">
        <v>53</v>
      </c>
      <c r="D611" s="6">
        <v>45468.0</v>
      </c>
      <c r="E611" s="6" t="s">
        <v>40</v>
      </c>
      <c r="F611" s="6" t="s">
        <v>20</v>
      </c>
      <c r="G611" s="6" t="s">
        <v>55</v>
      </c>
      <c r="H611" s="7">
        <v>2473.0</v>
      </c>
      <c r="I611" s="7">
        <v>5451.0</v>
      </c>
      <c r="J611" s="6">
        <v>1956.0</v>
      </c>
      <c r="K611" s="6">
        <v>75.0</v>
      </c>
      <c r="L611" s="6" t="s">
        <v>95</v>
      </c>
      <c r="M611" s="6" t="s">
        <v>2484</v>
      </c>
      <c r="N611" s="6" t="s">
        <v>48</v>
      </c>
      <c r="O611" s="6" t="s">
        <v>35</v>
      </c>
      <c r="P611" s="6">
        <f>COUNTIF(Analysis!$M$1:$M$3001,Analysis!$M611)</f>
        <v>1</v>
      </c>
      <c r="Q611" s="6" t="str">
        <f>IF(COUNTIF(Analysis!$M$2:$M$3001,Analysis!$M611)&gt;1,"Duplicate","OK")</f>
        <v>OK</v>
      </c>
      <c r="R611" s="6" t="str">
        <f t="shared" si="1"/>
        <v>1600-2600</v>
      </c>
      <c r="S611" s="6">
        <f t="shared" si="2"/>
        <v>70</v>
      </c>
      <c r="T611" s="6" t="str">
        <f t="shared" si="3"/>
        <v>Very Old</v>
      </c>
    </row>
    <row r="612" ht="14.25" customHeight="1">
      <c r="A612" s="5">
        <v>243343.0</v>
      </c>
      <c r="B612" s="6" t="s">
        <v>2487</v>
      </c>
      <c r="C612" s="6" t="s">
        <v>18</v>
      </c>
      <c r="D612" s="6">
        <v>81784.0</v>
      </c>
      <c r="E612" s="6" t="s">
        <v>40</v>
      </c>
      <c r="F612" s="6" t="s">
        <v>46</v>
      </c>
      <c r="G612" s="6" t="s">
        <v>55</v>
      </c>
      <c r="H612" s="7">
        <v>3958.0</v>
      </c>
      <c r="I612" s="7">
        <v>1936.0</v>
      </c>
      <c r="J612" s="6">
        <v>2012.0</v>
      </c>
      <c r="K612" s="6">
        <v>116.0</v>
      </c>
      <c r="L612" s="6" t="s">
        <v>95</v>
      </c>
      <c r="M612" s="6" t="s">
        <v>2488</v>
      </c>
      <c r="N612" s="6" t="s">
        <v>24</v>
      </c>
      <c r="O612" s="6" t="s">
        <v>35</v>
      </c>
      <c r="P612" s="6">
        <f>COUNTIF(Analysis!$M$1:$M$3001,Analysis!$M612)</f>
        <v>1</v>
      </c>
      <c r="Q612" s="6" t="str">
        <f>IF(COUNTIF(Analysis!$M$2:$M$3001,Analysis!$M612)&gt;1,"Duplicate","OK")</f>
        <v>OK</v>
      </c>
      <c r="R612" s="6" t="str">
        <f t="shared" si="1"/>
        <v>3600+</v>
      </c>
      <c r="S612" s="6">
        <f t="shared" si="2"/>
        <v>14</v>
      </c>
      <c r="T612" s="6" t="str">
        <f t="shared" si="3"/>
        <v>Mid</v>
      </c>
    </row>
    <row r="613" ht="14.25" customHeight="1">
      <c r="A613" s="5">
        <v>414754.0</v>
      </c>
      <c r="B613" s="6" t="s">
        <v>7417</v>
      </c>
      <c r="C613" s="6" t="s">
        <v>29</v>
      </c>
      <c r="D613" s="6">
        <v>86532.0</v>
      </c>
      <c r="E613" s="6" t="s">
        <v>19</v>
      </c>
      <c r="F613" s="6" t="s">
        <v>61</v>
      </c>
      <c r="G613" s="6" t="s">
        <v>55</v>
      </c>
      <c r="H613" s="7">
        <v>1932.0</v>
      </c>
      <c r="I613" s="7">
        <v>3415.0</v>
      </c>
      <c r="J613" s="6">
        <v>1984.0</v>
      </c>
      <c r="K613" s="6">
        <v>110.0</v>
      </c>
      <c r="L613" s="6" t="s">
        <v>141</v>
      </c>
      <c r="M613" s="6" t="s">
        <v>7418</v>
      </c>
      <c r="N613" s="6" t="s">
        <v>34</v>
      </c>
      <c r="O613" s="6" t="s">
        <v>49</v>
      </c>
      <c r="P613" s="6">
        <f>COUNTIF(Analysis!$M$1:$M$3001,Analysis!$M1845)</f>
        <v>1</v>
      </c>
      <c r="Q613" s="6" t="str">
        <f>IF(COUNTIF(Analysis!$M$2:$M$3001,Analysis!$M1845)&gt;1,"Duplicate","OK")</f>
        <v>OK</v>
      </c>
      <c r="R613" s="6" t="str">
        <f t="shared" si="1"/>
        <v>1600-2600</v>
      </c>
      <c r="S613" s="6">
        <f t="shared" si="2"/>
        <v>42</v>
      </c>
      <c r="T613" s="6" t="str">
        <f t="shared" si="3"/>
        <v>Old</v>
      </c>
    </row>
    <row r="614" ht="14.25" customHeight="1">
      <c r="A614" s="5">
        <v>668833.0</v>
      </c>
      <c r="B614" s="6" t="s">
        <v>2495</v>
      </c>
      <c r="C614" s="6" t="s">
        <v>53</v>
      </c>
      <c r="D614" s="6">
        <v>66826.0</v>
      </c>
      <c r="E614" s="6" t="s">
        <v>77</v>
      </c>
      <c r="F614" s="6" t="s">
        <v>61</v>
      </c>
      <c r="G614" s="6" t="s">
        <v>31</v>
      </c>
      <c r="H614" s="7">
        <v>1894.0</v>
      </c>
      <c r="I614" s="7">
        <v>5146.0</v>
      </c>
      <c r="J614" s="6">
        <v>1989.0</v>
      </c>
      <c r="K614" s="6">
        <v>120.0</v>
      </c>
      <c r="L614" s="6" t="s">
        <v>32</v>
      </c>
      <c r="M614" s="6" t="s">
        <v>2496</v>
      </c>
      <c r="N614" s="6" t="s">
        <v>64</v>
      </c>
      <c r="O614" s="6" t="s">
        <v>35</v>
      </c>
      <c r="P614" s="6">
        <f>COUNTIF(Analysis!$M$1:$M$3001,Analysis!$M614)</f>
        <v>1</v>
      </c>
      <c r="Q614" s="6" t="str">
        <f>IF(COUNTIF(Analysis!$M$2:$M$3001,Analysis!$M614)&gt;1,"Duplicate","OK")</f>
        <v>OK</v>
      </c>
      <c r="R614" s="6" t="str">
        <f t="shared" si="1"/>
        <v>1600-2600</v>
      </c>
      <c r="S614" s="6">
        <f t="shared" si="2"/>
        <v>37</v>
      </c>
      <c r="T614" s="6" t="str">
        <f t="shared" si="3"/>
        <v>Old</v>
      </c>
    </row>
    <row r="615" ht="14.25" customHeight="1">
      <c r="A615" s="5">
        <v>732202.0</v>
      </c>
      <c r="B615" s="6" t="s">
        <v>2499</v>
      </c>
      <c r="C615" s="6" t="s">
        <v>39</v>
      </c>
      <c r="D615" s="6">
        <v>19962.0</v>
      </c>
      <c r="E615" s="6" t="s">
        <v>40</v>
      </c>
      <c r="F615" s="6" t="s">
        <v>46</v>
      </c>
      <c r="G615" s="6" t="s">
        <v>31</v>
      </c>
      <c r="H615" s="7">
        <v>2072.0</v>
      </c>
      <c r="I615" s="7">
        <v>2578.0</v>
      </c>
      <c r="J615" s="6">
        <v>1981.0</v>
      </c>
      <c r="K615" s="6">
        <v>66.0</v>
      </c>
      <c r="L615" s="6" t="s">
        <v>32</v>
      </c>
      <c r="M615" s="6" t="s">
        <v>2500</v>
      </c>
      <c r="N615" s="6" t="s">
        <v>43</v>
      </c>
      <c r="O615" s="6" t="s">
        <v>25</v>
      </c>
      <c r="P615" s="6">
        <f>COUNTIF(Analysis!$M$1:$M$3001,Analysis!$M615)</f>
        <v>1</v>
      </c>
      <c r="Q615" s="6" t="str">
        <f>IF(COUNTIF(Analysis!$M$2:$M$3001,Analysis!$M615)&gt;1,"Duplicate","OK")</f>
        <v>OK</v>
      </c>
      <c r="R615" s="6" t="str">
        <f t="shared" si="1"/>
        <v>1600-2600</v>
      </c>
      <c r="S615" s="6">
        <f t="shared" si="2"/>
        <v>45</v>
      </c>
      <c r="T615" s="6" t="str">
        <f t="shared" si="3"/>
        <v>Old</v>
      </c>
    </row>
    <row r="616" ht="14.25" customHeight="1">
      <c r="A616" s="5">
        <v>414961.0</v>
      </c>
      <c r="B616" s="6" t="s">
        <v>3639</v>
      </c>
      <c r="C616" s="6" t="s">
        <v>29</v>
      </c>
      <c r="D616" s="6">
        <v>41056.0</v>
      </c>
      <c r="E616" s="6" t="s">
        <v>30</v>
      </c>
      <c r="F616" s="6" t="s">
        <v>94</v>
      </c>
      <c r="G616" s="6" t="s">
        <v>100</v>
      </c>
      <c r="H616" s="7">
        <v>1832.0</v>
      </c>
      <c r="I616" s="7">
        <v>9594.0</v>
      </c>
      <c r="J616" s="6">
        <v>1987.0</v>
      </c>
      <c r="K616" s="6">
        <v>6.0</v>
      </c>
      <c r="L616" s="6" t="s">
        <v>62</v>
      </c>
      <c r="M616" s="6" t="s">
        <v>3640</v>
      </c>
      <c r="N616" s="6" t="s">
        <v>64</v>
      </c>
      <c r="O616" s="6" t="s">
        <v>49</v>
      </c>
      <c r="P616" s="6">
        <f>COUNTIF(Analysis!$M$1:$M$3001,Analysis!$M900)</f>
        <v>1</v>
      </c>
      <c r="Q616" s="6" t="str">
        <f>IF(COUNTIF(Analysis!$M$2:$M$3001,Analysis!$M900)&gt;1,"Duplicate","OK")</f>
        <v>OK</v>
      </c>
      <c r="R616" s="6" t="str">
        <f t="shared" si="1"/>
        <v>1600-2600</v>
      </c>
      <c r="S616" s="6">
        <f t="shared" si="2"/>
        <v>39</v>
      </c>
      <c r="T616" s="6" t="str">
        <f t="shared" si="3"/>
        <v>Old</v>
      </c>
    </row>
    <row r="617" ht="14.25" customHeight="1">
      <c r="A617" s="5">
        <v>537863.0</v>
      </c>
      <c r="B617" s="6" t="s">
        <v>2507</v>
      </c>
      <c r="C617" s="6" t="s">
        <v>18</v>
      </c>
      <c r="D617" s="6">
        <v>50347.0</v>
      </c>
      <c r="E617" s="6" t="s">
        <v>19</v>
      </c>
      <c r="F617" s="6" t="s">
        <v>94</v>
      </c>
      <c r="G617" s="6" t="s">
        <v>21</v>
      </c>
      <c r="H617" s="7">
        <v>3616.0</v>
      </c>
      <c r="I617" s="7">
        <v>7784.0</v>
      </c>
      <c r="J617" s="6">
        <v>1990.0</v>
      </c>
      <c r="K617" s="6">
        <v>83.0</v>
      </c>
      <c r="L617" s="6" t="s">
        <v>95</v>
      </c>
      <c r="M617" s="6" t="s">
        <v>2508</v>
      </c>
      <c r="N617" s="6" t="s">
        <v>64</v>
      </c>
      <c r="O617" s="6" t="s">
        <v>49</v>
      </c>
      <c r="P617" s="6">
        <f>COUNTIF(Analysis!$M$1:$M$3001,Analysis!$M617)</f>
        <v>1</v>
      </c>
      <c r="Q617" s="6" t="str">
        <f>IF(COUNTIF(Analysis!$M$2:$M$3001,Analysis!$M617)&gt;1,"Duplicate","OK")</f>
        <v>OK</v>
      </c>
      <c r="R617" s="6" t="str">
        <f t="shared" si="1"/>
        <v>3600+</v>
      </c>
      <c r="S617" s="6">
        <f t="shared" si="2"/>
        <v>36</v>
      </c>
      <c r="T617" s="6" t="str">
        <f t="shared" si="3"/>
        <v>Old</v>
      </c>
    </row>
    <row r="618" ht="14.25" customHeight="1">
      <c r="A618" s="5">
        <v>827893.0</v>
      </c>
      <c r="B618" s="6" t="s">
        <v>2511</v>
      </c>
      <c r="C618" s="6" t="s">
        <v>39</v>
      </c>
      <c r="D618" s="6">
        <v>28407.0</v>
      </c>
      <c r="E618" s="6" t="s">
        <v>40</v>
      </c>
      <c r="F618" s="6" t="s">
        <v>20</v>
      </c>
      <c r="G618" s="6" t="s">
        <v>100</v>
      </c>
      <c r="H618" s="7">
        <v>2813.0</v>
      </c>
      <c r="I618" s="7">
        <v>9576.0</v>
      </c>
      <c r="J618" s="6">
        <v>2022.0</v>
      </c>
      <c r="K618" s="6">
        <v>15.0</v>
      </c>
      <c r="L618" s="6" t="s">
        <v>141</v>
      </c>
      <c r="M618" s="6" t="s">
        <v>2512</v>
      </c>
      <c r="N618" s="6" t="s">
        <v>48</v>
      </c>
      <c r="O618" s="6" t="s">
        <v>25</v>
      </c>
      <c r="P618" s="6">
        <f>COUNTIF(Analysis!$M$1:$M$3001,Analysis!$M618)</f>
        <v>1</v>
      </c>
      <c r="Q618" s="6" t="str">
        <f>IF(COUNTIF(Analysis!$M$2:$M$3001,Analysis!$M618)&gt;1,"Duplicate","OK")</f>
        <v>OK</v>
      </c>
      <c r="R618" s="6" t="str">
        <f t="shared" si="1"/>
        <v>2600-3600</v>
      </c>
      <c r="S618" s="6">
        <f t="shared" si="2"/>
        <v>4</v>
      </c>
      <c r="T618" s="6" t="str">
        <f t="shared" si="3"/>
        <v>New</v>
      </c>
    </row>
    <row r="619" ht="14.25" customHeight="1">
      <c r="A619" s="5">
        <v>1418370.0</v>
      </c>
      <c r="B619" s="6" t="s">
        <v>2515</v>
      </c>
      <c r="C619" s="6" t="s">
        <v>53</v>
      </c>
      <c r="D619" s="6">
        <v>92569.0</v>
      </c>
      <c r="E619" s="6" t="s">
        <v>60</v>
      </c>
      <c r="F619" s="6" t="s">
        <v>94</v>
      </c>
      <c r="G619" s="6" t="s">
        <v>100</v>
      </c>
      <c r="H619" s="7">
        <v>2006.0</v>
      </c>
      <c r="I619" s="7">
        <v>2091.0</v>
      </c>
      <c r="J619" s="6">
        <v>2023.0</v>
      </c>
      <c r="K619" s="6">
        <v>15.0</v>
      </c>
      <c r="L619" s="6" t="s">
        <v>141</v>
      </c>
      <c r="M619" s="6" t="s">
        <v>2516</v>
      </c>
      <c r="N619" s="6" t="s">
        <v>64</v>
      </c>
      <c r="O619" s="6" t="s">
        <v>49</v>
      </c>
      <c r="P619" s="6">
        <f>COUNTIF(Analysis!$M$1:$M$3001,Analysis!$M619)</f>
        <v>1</v>
      </c>
      <c r="Q619" s="6" t="str">
        <f>IF(COUNTIF(Analysis!$M$2:$M$3001,Analysis!$M619)&gt;1,"Duplicate","OK")</f>
        <v>OK</v>
      </c>
      <c r="R619" s="6" t="str">
        <f t="shared" si="1"/>
        <v>1600-2600</v>
      </c>
      <c r="S619" s="6">
        <f t="shared" si="2"/>
        <v>3</v>
      </c>
      <c r="T619" s="6" t="str">
        <f t="shared" si="3"/>
        <v>New</v>
      </c>
    </row>
    <row r="620" ht="14.25" customHeight="1">
      <c r="A620" s="5">
        <v>996528.0</v>
      </c>
      <c r="B620" s="6" t="s">
        <v>2519</v>
      </c>
      <c r="C620" s="6" t="s">
        <v>18</v>
      </c>
      <c r="D620" s="6">
        <v>28635.0</v>
      </c>
      <c r="E620" s="6" t="s">
        <v>60</v>
      </c>
      <c r="F620" s="6" t="s">
        <v>61</v>
      </c>
      <c r="G620" s="6" t="s">
        <v>100</v>
      </c>
      <c r="H620" s="7">
        <v>764.0</v>
      </c>
      <c r="I620" s="7">
        <v>1016.0</v>
      </c>
      <c r="J620" s="6">
        <v>1988.0</v>
      </c>
      <c r="K620" s="6">
        <v>54.0</v>
      </c>
      <c r="L620" s="6" t="s">
        <v>62</v>
      </c>
      <c r="M620" s="6" t="s">
        <v>2520</v>
      </c>
      <c r="N620" s="6" t="s">
        <v>43</v>
      </c>
      <c r="O620" s="6" t="s">
        <v>25</v>
      </c>
      <c r="P620" s="6">
        <f>COUNTIF(Analysis!$M$1:$M$3001,Analysis!$M620)</f>
        <v>1</v>
      </c>
      <c r="Q620" s="6" t="str">
        <f>IF(COUNTIF(Analysis!$M$2:$M$3001,Analysis!$M620)&gt;1,"Duplicate","OK")</f>
        <v>OK</v>
      </c>
      <c r="R620" s="6" t="str">
        <f t="shared" si="1"/>
        <v>600-1600</v>
      </c>
      <c r="S620" s="6">
        <f t="shared" si="2"/>
        <v>38</v>
      </c>
      <c r="T620" s="6" t="str">
        <f t="shared" si="3"/>
        <v>Old</v>
      </c>
    </row>
    <row r="621" ht="14.25" customHeight="1">
      <c r="A621" s="5">
        <v>697087.0</v>
      </c>
      <c r="B621" s="6" t="s">
        <v>2523</v>
      </c>
      <c r="C621" s="6" t="s">
        <v>39</v>
      </c>
      <c r="D621" s="6">
        <v>93261.0</v>
      </c>
      <c r="E621" s="6" t="s">
        <v>30</v>
      </c>
      <c r="F621" s="6" t="s">
        <v>94</v>
      </c>
      <c r="G621" s="6" t="s">
        <v>31</v>
      </c>
      <c r="H621" s="7">
        <v>3295.0</v>
      </c>
      <c r="I621" s="7">
        <v>8749.0</v>
      </c>
      <c r="J621" s="6">
        <v>2007.0</v>
      </c>
      <c r="K621" s="6">
        <v>82.0</v>
      </c>
      <c r="L621" s="6" t="s">
        <v>141</v>
      </c>
      <c r="M621" s="6" t="s">
        <v>2524</v>
      </c>
      <c r="N621" s="6" t="s">
        <v>43</v>
      </c>
      <c r="O621" s="6" t="s">
        <v>35</v>
      </c>
      <c r="P621" s="6">
        <f>COUNTIF(Analysis!$M$1:$M$3001,Analysis!$M621)</f>
        <v>1</v>
      </c>
      <c r="Q621" s="6" t="str">
        <f>IF(COUNTIF(Analysis!$M$2:$M$3001,Analysis!$M621)&gt;1,"Duplicate","OK")</f>
        <v>OK</v>
      </c>
      <c r="R621" s="6" t="str">
        <f t="shared" si="1"/>
        <v>2600-3600</v>
      </c>
      <c r="S621" s="6">
        <f t="shared" si="2"/>
        <v>19</v>
      </c>
      <c r="T621" s="6" t="str">
        <f t="shared" si="3"/>
        <v>Mid</v>
      </c>
    </row>
    <row r="622" ht="14.25" customHeight="1">
      <c r="A622" s="5">
        <v>417290.0</v>
      </c>
      <c r="B622" s="6" t="s">
        <v>693</v>
      </c>
      <c r="C622" s="6" t="s">
        <v>29</v>
      </c>
      <c r="D622" s="6">
        <v>33202.0</v>
      </c>
      <c r="E622" s="6" t="s">
        <v>77</v>
      </c>
      <c r="F622" s="6" t="s">
        <v>54</v>
      </c>
      <c r="G622" s="6" t="s">
        <v>21</v>
      </c>
      <c r="H622" s="7">
        <v>2374.0</v>
      </c>
      <c r="I622" s="7">
        <v>9265.0</v>
      </c>
      <c r="J622" s="6">
        <v>1950.0</v>
      </c>
      <c r="K622" s="6">
        <v>46.0</v>
      </c>
      <c r="L622" s="6" t="s">
        <v>22</v>
      </c>
      <c r="M622" s="6" t="s">
        <v>694</v>
      </c>
      <c r="N622" s="6" t="s">
        <v>43</v>
      </c>
      <c r="O622" s="6" t="s">
        <v>35</v>
      </c>
      <c r="P622" s="6">
        <f>COUNTIF(Analysis!$M$1:$M$3001,Analysis!$M163)</f>
        <v>1</v>
      </c>
      <c r="Q622" s="6" t="str">
        <f>IF(COUNTIF(Analysis!$M$2:$M$3001,Analysis!$M163)&gt;1,"Duplicate","OK")</f>
        <v>OK</v>
      </c>
      <c r="R622" s="6" t="str">
        <f t="shared" si="1"/>
        <v>1600-2600</v>
      </c>
      <c r="S622" s="6">
        <f t="shared" si="2"/>
        <v>76</v>
      </c>
      <c r="T622" s="6" t="str">
        <f t="shared" si="3"/>
        <v>Very Old</v>
      </c>
    </row>
    <row r="623" ht="14.25" customHeight="1">
      <c r="A623" s="5">
        <v>1321679.0</v>
      </c>
      <c r="B623" s="6" t="s">
        <v>2531</v>
      </c>
      <c r="C623" s="6" t="s">
        <v>18</v>
      </c>
      <c r="D623" s="6">
        <v>99094.0</v>
      </c>
      <c r="E623" s="6" t="s">
        <v>19</v>
      </c>
      <c r="F623" s="6" t="s">
        <v>61</v>
      </c>
      <c r="G623" s="6" t="s">
        <v>31</v>
      </c>
      <c r="H623" s="7">
        <v>1446.0</v>
      </c>
      <c r="I623" s="7">
        <v>8068.0</v>
      </c>
      <c r="J623" s="6">
        <v>1985.0</v>
      </c>
      <c r="K623" s="6">
        <v>83.0</v>
      </c>
      <c r="L623" s="6" t="s">
        <v>62</v>
      </c>
      <c r="M623" s="6" t="s">
        <v>2532</v>
      </c>
      <c r="N623" s="6" t="s">
        <v>64</v>
      </c>
      <c r="O623" s="6" t="s">
        <v>25</v>
      </c>
      <c r="P623" s="6">
        <f>COUNTIF(Analysis!$M$1:$M$3001,Analysis!$M623)</f>
        <v>1</v>
      </c>
      <c r="Q623" s="6" t="str">
        <f>IF(COUNTIF(Analysis!$M$2:$M$3001,Analysis!$M623)&gt;1,"Duplicate","OK")</f>
        <v>OK</v>
      </c>
      <c r="R623" s="6" t="str">
        <f t="shared" si="1"/>
        <v>600-1600</v>
      </c>
      <c r="S623" s="6">
        <f t="shared" si="2"/>
        <v>41</v>
      </c>
      <c r="T623" s="6" t="str">
        <f t="shared" si="3"/>
        <v>Old</v>
      </c>
    </row>
    <row r="624" ht="14.25" customHeight="1">
      <c r="A624" s="5">
        <v>812527.0</v>
      </c>
      <c r="B624" s="6" t="s">
        <v>2535</v>
      </c>
      <c r="C624" s="6" t="s">
        <v>53</v>
      </c>
      <c r="D624" s="6">
        <v>13830.0</v>
      </c>
      <c r="E624" s="6" t="s">
        <v>40</v>
      </c>
      <c r="F624" s="6" t="s">
        <v>41</v>
      </c>
      <c r="G624" s="6" t="s">
        <v>21</v>
      </c>
      <c r="H624" s="7">
        <v>2820.0</v>
      </c>
      <c r="I624" s="7">
        <v>9357.0</v>
      </c>
      <c r="J624" s="6">
        <v>1966.0</v>
      </c>
      <c r="K624" s="6">
        <v>70.0</v>
      </c>
      <c r="L624" s="6" t="s">
        <v>95</v>
      </c>
      <c r="M624" s="6" t="s">
        <v>2536</v>
      </c>
      <c r="N624" s="6" t="s">
        <v>24</v>
      </c>
      <c r="O624" s="6" t="s">
        <v>35</v>
      </c>
      <c r="P624" s="6">
        <f>COUNTIF(Analysis!$M$1:$M$3001,Analysis!$M624)</f>
        <v>1</v>
      </c>
      <c r="Q624" s="6" t="str">
        <f>IF(COUNTIF(Analysis!$M$2:$M$3001,Analysis!$M624)&gt;1,"Duplicate","OK")</f>
        <v>OK</v>
      </c>
      <c r="R624" s="6" t="str">
        <f t="shared" si="1"/>
        <v>2600-3600</v>
      </c>
      <c r="S624" s="6">
        <f t="shared" si="2"/>
        <v>60</v>
      </c>
      <c r="T624" s="6" t="str">
        <f t="shared" si="3"/>
        <v>Old</v>
      </c>
    </row>
    <row r="625" ht="14.25" customHeight="1">
      <c r="A625" s="5">
        <v>534310.0</v>
      </c>
      <c r="B625" s="6" t="s">
        <v>2539</v>
      </c>
      <c r="C625" s="6" t="s">
        <v>76</v>
      </c>
      <c r="D625" s="6">
        <v>82969.0</v>
      </c>
      <c r="E625" s="6" t="s">
        <v>19</v>
      </c>
      <c r="F625" s="6" t="s">
        <v>41</v>
      </c>
      <c r="G625" s="6" t="s">
        <v>31</v>
      </c>
      <c r="H625" s="7">
        <v>2329.0</v>
      </c>
      <c r="I625" s="7">
        <v>4291.0</v>
      </c>
      <c r="J625" s="6">
        <v>1962.0</v>
      </c>
      <c r="K625" s="6">
        <v>32.0</v>
      </c>
      <c r="L625" s="6" t="s">
        <v>62</v>
      </c>
      <c r="M625" s="6" t="s">
        <v>2540</v>
      </c>
      <c r="N625" s="6" t="s">
        <v>34</v>
      </c>
      <c r="O625" s="6" t="s">
        <v>35</v>
      </c>
      <c r="P625" s="6">
        <f>COUNTIF(Analysis!$M$1:$M$3001,Analysis!$M625)</f>
        <v>1</v>
      </c>
      <c r="Q625" s="6" t="str">
        <f>IF(COUNTIF(Analysis!$M$2:$M$3001,Analysis!$M625)&gt;1,"Duplicate","OK")</f>
        <v>OK</v>
      </c>
      <c r="R625" s="6" t="str">
        <f t="shared" si="1"/>
        <v>1600-2600</v>
      </c>
      <c r="S625" s="6">
        <f t="shared" si="2"/>
        <v>64</v>
      </c>
      <c r="T625" s="6" t="str">
        <f t="shared" si="3"/>
        <v>Very Old</v>
      </c>
    </row>
    <row r="626" ht="14.25" customHeight="1">
      <c r="A626" s="5">
        <v>402672.0</v>
      </c>
      <c r="B626" s="6" t="s">
        <v>2543</v>
      </c>
      <c r="C626" s="6" t="s">
        <v>18</v>
      </c>
      <c r="D626" s="6">
        <v>18244.0</v>
      </c>
      <c r="E626" s="6" t="s">
        <v>60</v>
      </c>
      <c r="F626" s="6" t="s">
        <v>94</v>
      </c>
      <c r="G626" s="6" t="s">
        <v>55</v>
      </c>
      <c r="H626" s="7">
        <v>2890.0</v>
      </c>
      <c r="I626" s="7">
        <v>1444.0</v>
      </c>
      <c r="J626" s="6">
        <v>1989.0</v>
      </c>
      <c r="K626" s="6">
        <v>64.0</v>
      </c>
      <c r="L626" s="6" t="s">
        <v>95</v>
      </c>
      <c r="M626" s="6" t="s">
        <v>2544</v>
      </c>
      <c r="N626" s="6" t="s">
        <v>43</v>
      </c>
      <c r="O626" s="6" t="s">
        <v>35</v>
      </c>
      <c r="P626" s="6">
        <f>COUNTIF(Analysis!$M$1:$M$3001,Analysis!$M626)</f>
        <v>1</v>
      </c>
      <c r="Q626" s="6" t="str">
        <f>IF(COUNTIF(Analysis!$M$2:$M$3001,Analysis!$M626)&gt;1,"Duplicate","OK")</f>
        <v>OK</v>
      </c>
      <c r="R626" s="6" t="str">
        <f t="shared" si="1"/>
        <v>2600-3600</v>
      </c>
      <c r="S626" s="6">
        <f t="shared" si="2"/>
        <v>37</v>
      </c>
      <c r="T626" s="6" t="str">
        <f t="shared" si="3"/>
        <v>Old</v>
      </c>
    </row>
    <row r="627" ht="14.25" customHeight="1">
      <c r="A627" s="5">
        <v>697945.0</v>
      </c>
      <c r="B627" s="6" t="s">
        <v>2547</v>
      </c>
      <c r="C627" s="6" t="s">
        <v>18</v>
      </c>
      <c r="D627" s="6">
        <v>55155.0</v>
      </c>
      <c r="E627" s="6" t="s">
        <v>77</v>
      </c>
      <c r="F627" s="6" t="s">
        <v>41</v>
      </c>
      <c r="G627" s="6" t="s">
        <v>21</v>
      </c>
      <c r="H627" s="7">
        <v>2400.0</v>
      </c>
      <c r="I627" s="7">
        <v>7325.0</v>
      </c>
      <c r="J627" s="6">
        <v>1996.0</v>
      </c>
      <c r="K627" s="6">
        <v>110.0</v>
      </c>
      <c r="L627" s="6" t="s">
        <v>141</v>
      </c>
      <c r="M627" s="6" t="s">
        <v>2548</v>
      </c>
      <c r="N627" s="6" t="s">
        <v>43</v>
      </c>
      <c r="O627" s="6" t="s">
        <v>49</v>
      </c>
      <c r="P627" s="6">
        <f>COUNTIF(Analysis!$M$1:$M$3001,Analysis!$M627)</f>
        <v>1</v>
      </c>
      <c r="Q627" s="6" t="str">
        <f>IF(COUNTIF(Analysis!$M$2:$M$3001,Analysis!$M627)&gt;1,"Duplicate","OK")</f>
        <v>OK</v>
      </c>
      <c r="R627" s="6" t="str">
        <f t="shared" si="1"/>
        <v>1600-2600</v>
      </c>
      <c r="S627" s="6">
        <f t="shared" si="2"/>
        <v>30</v>
      </c>
      <c r="T627" s="6" t="str">
        <f t="shared" si="3"/>
        <v>Mid</v>
      </c>
    </row>
    <row r="628" ht="14.25" customHeight="1">
      <c r="A628" s="5">
        <v>1387098.0</v>
      </c>
      <c r="B628" s="6" t="s">
        <v>2551</v>
      </c>
      <c r="C628" s="6" t="s">
        <v>53</v>
      </c>
      <c r="D628" s="6">
        <v>70939.0</v>
      </c>
      <c r="E628" s="6" t="s">
        <v>40</v>
      </c>
      <c r="F628" s="6" t="s">
        <v>61</v>
      </c>
      <c r="G628" s="6" t="s">
        <v>21</v>
      </c>
      <c r="H628" s="7">
        <v>1231.0</v>
      </c>
      <c r="I628" s="7">
        <v>4038.0</v>
      </c>
      <c r="J628" s="6">
        <v>2016.0</v>
      </c>
      <c r="K628" s="6">
        <v>81.0</v>
      </c>
      <c r="L628" s="6" t="s">
        <v>32</v>
      </c>
      <c r="M628" s="6" t="s">
        <v>2552</v>
      </c>
      <c r="N628" s="6" t="s">
        <v>43</v>
      </c>
      <c r="O628" s="6" t="s">
        <v>35</v>
      </c>
      <c r="P628" s="6">
        <f>COUNTIF(Analysis!$M$1:$M$3001,Analysis!$M628)</f>
        <v>1</v>
      </c>
      <c r="Q628" s="6" t="str">
        <f>IF(COUNTIF(Analysis!$M$2:$M$3001,Analysis!$M628)&gt;1,"Duplicate","OK")</f>
        <v>OK</v>
      </c>
      <c r="R628" s="6" t="str">
        <f t="shared" si="1"/>
        <v>600-1600</v>
      </c>
      <c r="S628" s="6">
        <f t="shared" si="2"/>
        <v>10</v>
      </c>
      <c r="T628" s="6" t="str">
        <f t="shared" si="3"/>
        <v>New</v>
      </c>
    </row>
    <row r="629" ht="14.25" customHeight="1">
      <c r="A629" s="5">
        <v>451247.0</v>
      </c>
      <c r="B629" s="6" t="s">
        <v>2555</v>
      </c>
      <c r="C629" s="6" t="s">
        <v>76</v>
      </c>
      <c r="D629" s="6">
        <v>63514.0</v>
      </c>
      <c r="E629" s="6" t="s">
        <v>40</v>
      </c>
      <c r="F629" s="6" t="s">
        <v>20</v>
      </c>
      <c r="G629" s="6" t="s">
        <v>55</v>
      </c>
      <c r="H629" s="7">
        <v>1023.0</v>
      </c>
      <c r="I629" s="7">
        <v>1621.0</v>
      </c>
      <c r="J629" s="6">
        <v>2019.0</v>
      </c>
      <c r="K629" s="6">
        <v>63.0</v>
      </c>
      <c r="L629" s="6" t="s">
        <v>141</v>
      </c>
      <c r="M629" s="6" t="s">
        <v>2556</v>
      </c>
      <c r="N629" s="6" t="s">
        <v>34</v>
      </c>
      <c r="O629" s="6" t="s">
        <v>25</v>
      </c>
      <c r="P629" s="6">
        <f>COUNTIF(Analysis!$M$1:$M$3001,Analysis!$M629)</f>
        <v>1</v>
      </c>
      <c r="Q629" s="6" t="str">
        <f>IF(COUNTIF(Analysis!$M$2:$M$3001,Analysis!$M629)&gt;1,"Duplicate","OK")</f>
        <v>OK</v>
      </c>
      <c r="R629" s="6" t="str">
        <f t="shared" si="1"/>
        <v>600-1600</v>
      </c>
      <c r="S629" s="6">
        <f t="shared" si="2"/>
        <v>7</v>
      </c>
      <c r="T629" s="6" t="str">
        <f t="shared" si="3"/>
        <v>New</v>
      </c>
    </row>
    <row r="630" ht="14.25" customHeight="1">
      <c r="A630" s="5">
        <v>825806.0</v>
      </c>
      <c r="B630" s="6" t="s">
        <v>2559</v>
      </c>
      <c r="C630" s="6" t="s">
        <v>39</v>
      </c>
      <c r="D630" s="6">
        <v>78721.0</v>
      </c>
      <c r="E630" s="6" t="s">
        <v>19</v>
      </c>
      <c r="F630" s="6" t="s">
        <v>54</v>
      </c>
      <c r="G630" s="6" t="s">
        <v>31</v>
      </c>
      <c r="H630" s="7">
        <v>2713.0</v>
      </c>
      <c r="I630" s="7">
        <v>7477.0</v>
      </c>
      <c r="J630" s="6">
        <v>1985.0</v>
      </c>
      <c r="K630" s="6">
        <v>15.0</v>
      </c>
      <c r="L630" s="6" t="s">
        <v>32</v>
      </c>
      <c r="M630" s="6" t="s">
        <v>2560</v>
      </c>
      <c r="N630" s="6" t="s">
        <v>48</v>
      </c>
      <c r="O630" s="6" t="s">
        <v>35</v>
      </c>
      <c r="P630" s="6">
        <f>COUNTIF(Analysis!$M$1:$M$3001,Analysis!$M630)</f>
        <v>1</v>
      </c>
      <c r="Q630" s="6" t="str">
        <f>IF(COUNTIF(Analysis!$M$2:$M$3001,Analysis!$M630)&gt;1,"Duplicate","OK")</f>
        <v>OK</v>
      </c>
      <c r="R630" s="6" t="str">
        <f t="shared" si="1"/>
        <v>2600-3600</v>
      </c>
      <c r="S630" s="6">
        <f t="shared" si="2"/>
        <v>41</v>
      </c>
      <c r="T630" s="6" t="str">
        <f t="shared" si="3"/>
        <v>Old</v>
      </c>
    </row>
    <row r="631" ht="14.25" customHeight="1">
      <c r="A631" s="5">
        <v>104306.0</v>
      </c>
      <c r="B631" s="6" t="s">
        <v>2563</v>
      </c>
      <c r="C631" s="6" t="s">
        <v>76</v>
      </c>
      <c r="D631" s="6">
        <v>47337.0</v>
      </c>
      <c r="E631" s="6" t="s">
        <v>19</v>
      </c>
      <c r="F631" s="6" t="s">
        <v>41</v>
      </c>
      <c r="G631" s="6" t="s">
        <v>55</v>
      </c>
      <c r="H631" s="7">
        <v>3476.0</v>
      </c>
      <c r="I631" s="7">
        <v>5287.0</v>
      </c>
      <c r="J631" s="6">
        <v>1984.0</v>
      </c>
      <c r="K631" s="6">
        <v>34.0</v>
      </c>
      <c r="L631" s="6" t="s">
        <v>32</v>
      </c>
      <c r="M631" s="6" t="s">
        <v>2564</v>
      </c>
      <c r="N631" s="6" t="s">
        <v>48</v>
      </c>
      <c r="O631" s="6" t="s">
        <v>25</v>
      </c>
      <c r="P631" s="6">
        <f>COUNTIF(Analysis!$M$1:$M$3001,Analysis!$M631)</f>
        <v>1</v>
      </c>
      <c r="Q631" s="6" t="str">
        <f>IF(COUNTIF(Analysis!$M$2:$M$3001,Analysis!$M631)&gt;1,"Duplicate","OK")</f>
        <v>OK</v>
      </c>
      <c r="R631" s="6" t="str">
        <f t="shared" si="1"/>
        <v>2600-3600</v>
      </c>
      <c r="S631" s="6">
        <f t="shared" si="2"/>
        <v>42</v>
      </c>
      <c r="T631" s="6" t="str">
        <f t="shared" si="3"/>
        <v>Old</v>
      </c>
    </row>
    <row r="632" ht="14.25" customHeight="1">
      <c r="A632" s="5">
        <v>579576.0</v>
      </c>
      <c r="B632" s="6" t="s">
        <v>2567</v>
      </c>
      <c r="C632" s="6" t="s">
        <v>39</v>
      </c>
      <c r="D632" s="6">
        <v>27185.0</v>
      </c>
      <c r="E632" s="6" t="s">
        <v>30</v>
      </c>
      <c r="F632" s="6" t="s">
        <v>20</v>
      </c>
      <c r="G632" s="6" t="s">
        <v>55</v>
      </c>
      <c r="H632" s="7">
        <v>2249.0</v>
      </c>
      <c r="I632" s="7">
        <v>2604.0</v>
      </c>
      <c r="J632" s="6">
        <v>1967.0</v>
      </c>
      <c r="K632" s="6">
        <v>51.0</v>
      </c>
      <c r="L632" s="6" t="s">
        <v>32</v>
      </c>
      <c r="M632" s="6" t="s">
        <v>2568</v>
      </c>
      <c r="N632" s="6" t="s">
        <v>34</v>
      </c>
      <c r="O632" s="6" t="s">
        <v>49</v>
      </c>
      <c r="P632" s="6">
        <f>COUNTIF(Analysis!$M$1:$M$3001,Analysis!$M632)</f>
        <v>1</v>
      </c>
      <c r="Q632" s="6" t="str">
        <f>IF(COUNTIF(Analysis!$M$2:$M$3001,Analysis!$M632)&gt;1,"Duplicate","OK")</f>
        <v>OK</v>
      </c>
      <c r="R632" s="6" t="str">
        <f t="shared" si="1"/>
        <v>1600-2600</v>
      </c>
      <c r="S632" s="6">
        <f t="shared" si="2"/>
        <v>59</v>
      </c>
      <c r="T632" s="6" t="str">
        <f t="shared" si="3"/>
        <v>Old</v>
      </c>
    </row>
    <row r="633" ht="14.25" customHeight="1">
      <c r="A633" s="5">
        <v>982001.0</v>
      </c>
      <c r="B633" s="6" t="s">
        <v>2571</v>
      </c>
      <c r="C633" s="6" t="s">
        <v>18</v>
      </c>
      <c r="D633" s="6">
        <v>63053.0</v>
      </c>
      <c r="E633" s="6" t="s">
        <v>40</v>
      </c>
      <c r="F633" s="6" t="s">
        <v>20</v>
      </c>
      <c r="G633" s="6" t="s">
        <v>55</v>
      </c>
      <c r="H633" s="7">
        <v>2708.0</v>
      </c>
      <c r="I633" s="7">
        <v>1145.0</v>
      </c>
      <c r="J633" s="6">
        <v>1979.0</v>
      </c>
      <c r="K633" s="6">
        <v>26.0</v>
      </c>
      <c r="L633" s="6" t="s">
        <v>95</v>
      </c>
      <c r="M633" s="6" t="s">
        <v>2572</v>
      </c>
      <c r="N633" s="6" t="s">
        <v>48</v>
      </c>
      <c r="O633" s="6" t="s">
        <v>35</v>
      </c>
      <c r="P633" s="6">
        <f>COUNTIF(Analysis!$M$1:$M$3001,Analysis!$M633)</f>
        <v>1</v>
      </c>
      <c r="Q633" s="6" t="str">
        <f>IF(COUNTIF(Analysis!$M$2:$M$3001,Analysis!$M633)&gt;1,"Duplicate","OK")</f>
        <v>OK</v>
      </c>
      <c r="R633" s="6" t="str">
        <f t="shared" si="1"/>
        <v>2600-3600</v>
      </c>
      <c r="S633" s="6">
        <f t="shared" si="2"/>
        <v>47</v>
      </c>
      <c r="T633" s="6" t="str">
        <f t="shared" si="3"/>
        <v>Old</v>
      </c>
    </row>
    <row r="634" ht="14.25" customHeight="1">
      <c r="A634" s="5">
        <v>417718.0</v>
      </c>
      <c r="B634" s="6" t="s">
        <v>3315</v>
      </c>
      <c r="C634" s="6" t="s">
        <v>29</v>
      </c>
      <c r="D634" s="6">
        <v>56423.0</v>
      </c>
      <c r="E634" s="6" t="s">
        <v>19</v>
      </c>
      <c r="F634" s="6" t="s">
        <v>61</v>
      </c>
      <c r="G634" s="6" t="s">
        <v>100</v>
      </c>
      <c r="H634" s="7">
        <v>1837.0</v>
      </c>
      <c r="I634" s="7">
        <v>4892.0</v>
      </c>
      <c r="J634" s="6">
        <v>1965.0</v>
      </c>
      <c r="K634" s="6">
        <v>110.0</v>
      </c>
      <c r="L634" s="6" t="s">
        <v>22</v>
      </c>
      <c r="M634" s="6" t="s">
        <v>3316</v>
      </c>
      <c r="N634" s="6" t="s">
        <v>64</v>
      </c>
      <c r="O634" s="6" t="s">
        <v>49</v>
      </c>
      <c r="P634" s="6">
        <f>COUNTIF(Analysis!$M$1:$M$3001,Analysis!$M819)</f>
        <v>1</v>
      </c>
      <c r="Q634" s="6" t="str">
        <f>IF(COUNTIF(Analysis!$M$2:$M$3001,Analysis!$M819)&gt;1,"Duplicate","OK")</f>
        <v>OK</v>
      </c>
      <c r="R634" s="6" t="str">
        <f t="shared" si="1"/>
        <v>1600-2600</v>
      </c>
      <c r="S634" s="6">
        <f t="shared" si="2"/>
        <v>61</v>
      </c>
      <c r="T634" s="6" t="str">
        <f t="shared" si="3"/>
        <v>Very Old</v>
      </c>
    </row>
    <row r="635" ht="14.25" customHeight="1">
      <c r="A635" s="5">
        <v>1261938.0</v>
      </c>
      <c r="B635" s="6" t="s">
        <v>2579</v>
      </c>
      <c r="C635" s="6" t="s">
        <v>76</v>
      </c>
      <c r="D635" s="6">
        <v>45469.0</v>
      </c>
      <c r="E635" s="6" t="s">
        <v>77</v>
      </c>
      <c r="F635" s="6" t="s">
        <v>61</v>
      </c>
      <c r="G635" s="6" t="s">
        <v>21</v>
      </c>
      <c r="H635" s="7">
        <v>3765.0</v>
      </c>
      <c r="I635" s="7">
        <v>9118.0</v>
      </c>
      <c r="J635" s="6">
        <v>2002.0</v>
      </c>
      <c r="K635" s="6">
        <v>65.0</v>
      </c>
      <c r="L635" s="6" t="s">
        <v>95</v>
      </c>
      <c r="M635" s="6" t="s">
        <v>2580</v>
      </c>
      <c r="N635" s="6" t="s">
        <v>34</v>
      </c>
      <c r="O635" s="6" t="s">
        <v>35</v>
      </c>
      <c r="P635" s="6">
        <f>COUNTIF(Analysis!$M$1:$M$3001,Analysis!$M635)</f>
        <v>1</v>
      </c>
      <c r="Q635" s="6" t="str">
        <f>IF(COUNTIF(Analysis!$M$2:$M$3001,Analysis!$M635)&gt;1,"Duplicate","OK")</f>
        <v>OK</v>
      </c>
      <c r="R635" s="6" t="str">
        <f t="shared" si="1"/>
        <v>3600+</v>
      </c>
      <c r="S635" s="6">
        <f t="shared" si="2"/>
        <v>24</v>
      </c>
      <c r="T635" s="6" t="str">
        <f t="shared" si="3"/>
        <v>Mid</v>
      </c>
    </row>
    <row r="636" ht="14.25" customHeight="1">
      <c r="A636" s="5">
        <v>453129.0</v>
      </c>
      <c r="B636" s="6" t="s">
        <v>2583</v>
      </c>
      <c r="C636" s="6" t="s">
        <v>53</v>
      </c>
      <c r="D636" s="6">
        <v>38082.0</v>
      </c>
      <c r="E636" s="6" t="s">
        <v>77</v>
      </c>
      <c r="F636" s="6" t="s">
        <v>41</v>
      </c>
      <c r="G636" s="6" t="s">
        <v>100</v>
      </c>
      <c r="H636" s="7">
        <v>2468.0</v>
      </c>
      <c r="I636" s="7">
        <v>2090.0</v>
      </c>
      <c r="J636" s="6">
        <v>1950.0</v>
      </c>
      <c r="K636" s="6">
        <v>117.0</v>
      </c>
      <c r="L636" s="6" t="s">
        <v>62</v>
      </c>
      <c r="M636" s="6" t="s">
        <v>2584</v>
      </c>
      <c r="N636" s="6" t="s">
        <v>43</v>
      </c>
      <c r="O636" s="6" t="s">
        <v>25</v>
      </c>
      <c r="P636" s="6">
        <f>COUNTIF(Analysis!$M$1:$M$3001,Analysis!$M636)</f>
        <v>1</v>
      </c>
      <c r="Q636" s="6" t="str">
        <f>IF(COUNTIF(Analysis!$M$2:$M$3001,Analysis!$M636)&gt;1,"Duplicate","OK")</f>
        <v>OK</v>
      </c>
      <c r="R636" s="6" t="str">
        <f t="shared" si="1"/>
        <v>1600-2600</v>
      </c>
      <c r="S636" s="6">
        <f t="shared" si="2"/>
        <v>76</v>
      </c>
      <c r="T636" s="6" t="str">
        <f t="shared" si="3"/>
        <v>Very Old</v>
      </c>
    </row>
    <row r="637" ht="14.25" customHeight="1">
      <c r="A637" s="5">
        <v>347890.0</v>
      </c>
      <c r="B637" s="6" t="s">
        <v>2587</v>
      </c>
      <c r="C637" s="6" t="s">
        <v>76</v>
      </c>
      <c r="D637" s="6">
        <v>34230.0</v>
      </c>
      <c r="E637" s="6" t="s">
        <v>77</v>
      </c>
      <c r="F637" s="6" t="s">
        <v>94</v>
      </c>
      <c r="G637" s="6" t="s">
        <v>100</v>
      </c>
      <c r="H637" s="7">
        <v>1659.0</v>
      </c>
      <c r="I637" s="7">
        <v>9835.0</v>
      </c>
      <c r="J637" s="6">
        <v>2000.0</v>
      </c>
      <c r="K637" s="6">
        <v>75.0</v>
      </c>
      <c r="L637" s="6" t="s">
        <v>95</v>
      </c>
      <c r="M637" s="6" t="s">
        <v>2588</v>
      </c>
      <c r="N637" s="6" t="s">
        <v>43</v>
      </c>
      <c r="O637" s="6" t="s">
        <v>49</v>
      </c>
      <c r="P637" s="6">
        <f>COUNTIF(Analysis!$M$1:$M$3001,Analysis!$M637)</f>
        <v>1</v>
      </c>
      <c r="Q637" s="6" t="str">
        <f>IF(COUNTIF(Analysis!$M$2:$M$3001,Analysis!$M637)&gt;1,"Duplicate","OK")</f>
        <v>OK</v>
      </c>
      <c r="R637" s="6" t="str">
        <f t="shared" si="1"/>
        <v>1600-2600</v>
      </c>
      <c r="S637" s="6">
        <f t="shared" si="2"/>
        <v>26</v>
      </c>
      <c r="T637" s="6" t="str">
        <f t="shared" si="3"/>
        <v>Mid</v>
      </c>
    </row>
    <row r="638" ht="14.25" customHeight="1">
      <c r="A638" s="5">
        <v>825324.0</v>
      </c>
      <c r="B638" s="6" t="s">
        <v>2591</v>
      </c>
      <c r="C638" s="6" t="s">
        <v>39</v>
      </c>
      <c r="D638" s="6">
        <v>72726.0</v>
      </c>
      <c r="E638" s="6" t="s">
        <v>30</v>
      </c>
      <c r="F638" s="6" t="s">
        <v>54</v>
      </c>
      <c r="G638" s="6" t="s">
        <v>21</v>
      </c>
      <c r="H638" s="7">
        <v>1983.0</v>
      </c>
      <c r="I638" s="7">
        <v>7846.0</v>
      </c>
      <c r="J638" s="6">
        <v>1992.0</v>
      </c>
      <c r="K638" s="6">
        <v>92.0</v>
      </c>
      <c r="L638" s="6" t="s">
        <v>95</v>
      </c>
      <c r="M638" s="6" t="s">
        <v>2592</v>
      </c>
      <c r="N638" s="6" t="s">
        <v>34</v>
      </c>
      <c r="O638" s="6" t="s">
        <v>25</v>
      </c>
      <c r="P638" s="6">
        <f>COUNTIF(Analysis!$M$1:$M$3001,Analysis!$M638)</f>
        <v>1</v>
      </c>
      <c r="Q638" s="6" t="str">
        <f>IF(COUNTIF(Analysis!$M$2:$M$3001,Analysis!$M638)&gt;1,"Duplicate","OK")</f>
        <v>OK</v>
      </c>
      <c r="R638" s="6" t="str">
        <f t="shared" si="1"/>
        <v>1600-2600</v>
      </c>
      <c r="S638" s="6">
        <f t="shared" si="2"/>
        <v>34</v>
      </c>
      <c r="T638" s="6" t="str">
        <f t="shared" si="3"/>
        <v>Old</v>
      </c>
    </row>
    <row r="639" ht="14.25" customHeight="1">
      <c r="A639" s="5">
        <v>1131077.0</v>
      </c>
      <c r="B639" s="6" t="s">
        <v>2595</v>
      </c>
      <c r="C639" s="6" t="s">
        <v>53</v>
      </c>
      <c r="D639" s="6">
        <v>71424.0</v>
      </c>
      <c r="E639" s="6" t="s">
        <v>60</v>
      </c>
      <c r="F639" s="6" t="s">
        <v>46</v>
      </c>
      <c r="G639" s="6" t="s">
        <v>31</v>
      </c>
      <c r="H639" s="7">
        <v>1988.0</v>
      </c>
      <c r="I639" s="7">
        <v>5101.0</v>
      </c>
      <c r="J639" s="6">
        <v>1996.0</v>
      </c>
      <c r="K639" s="6">
        <v>3.0</v>
      </c>
      <c r="L639" s="6" t="s">
        <v>95</v>
      </c>
      <c r="M639" s="6" t="s">
        <v>2596</v>
      </c>
      <c r="N639" s="6" t="s">
        <v>64</v>
      </c>
      <c r="O639" s="6" t="s">
        <v>49</v>
      </c>
      <c r="P639" s="6">
        <f>COUNTIF(Analysis!$M$1:$M$3001,Analysis!$M639)</f>
        <v>1</v>
      </c>
      <c r="Q639" s="6" t="str">
        <f>IF(COUNTIF(Analysis!$M$2:$M$3001,Analysis!$M639)&gt;1,"Duplicate","OK")</f>
        <v>OK</v>
      </c>
      <c r="R639" s="6" t="str">
        <f t="shared" si="1"/>
        <v>1600-2600</v>
      </c>
      <c r="S639" s="6">
        <f t="shared" si="2"/>
        <v>30</v>
      </c>
      <c r="T639" s="6" t="str">
        <f t="shared" si="3"/>
        <v>Mid</v>
      </c>
    </row>
    <row r="640" ht="14.25" customHeight="1">
      <c r="A640" s="5">
        <v>1433969.0</v>
      </c>
      <c r="B640" s="6" t="s">
        <v>2599</v>
      </c>
      <c r="C640" s="6" t="s">
        <v>53</v>
      </c>
      <c r="D640" s="6">
        <v>81291.0</v>
      </c>
      <c r="E640" s="6" t="s">
        <v>60</v>
      </c>
      <c r="F640" s="6" t="s">
        <v>20</v>
      </c>
      <c r="G640" s="6" t="s">
        <v>21</v>
      </c>
      <c r="H640" s="7">
        <v>3876.0</v>
      </c>
      <c r="I640" s="7">
        <v>8917.0</v>
      </c>
      <c r="J640" s="6">
        <v>1993.0</v>
      </c>
      <c r="K640" s="6">
        <v>63.0</v>
      </c>
      <c r="L640" s="6" t="s">
        <v>32</v>
      </c>
      <c r="M640" s="6" t="s">
        <v>2600</v>
      </c>
      <c r="N640" s="6" t="s">
        <v>64</v>
      </c>
      <c r="O640" s="6" t="s">
        <v>25</v>
      </c>
      <c r="P640" s="6">
        <f>COUNTIF(Analysis!$M$1:$M$3001,Analysis!$M640)</f>
        <v>1</v>
      </c>
      <c r="Q640" s="6" t="str">
        <f>IF(COUNTIF(Analysis!$M$2:$M$3001,Analysis!$M640)&gt;1,"Duplicate","OK")</f>
        <v>OK</v>
      </c>
      <c r="R640" s="6" t="str">
        <f t="shared" si="1"/>
        <v>3600+</v>
      </c>
      <c r="S640" s="6">
        <f t="shared" si="2"/>
        <v>33</v>
      </c>
      <c r="T640" s="6" t="str">
        <f t="shared" si="3"/>
        <v>Old</v>
      </c>
    </row>
    <row r="641" ht="14.25" customHeight="1">
      <c r="A641" s="5">
        <v>1440490.0</v>
      </c>
      <c r="B641" s="6" t="s">
        <v>2603</v>
      </c>
      <c r="C641" s="6" t="s">
        <v>18</v>
      </c>
      <c r="D641" s="6">
        <v>36666.0</v>
      </c>
      <c r="E641" s="6" t="s">
        <v>19</v>
      </c>
      <c r="F641" s="6" t="s">
        <v>54</v>
      </c>
      <c r="G641" s="6" t="s">
        <v>100</v>
      </c>
      <c r="H641" s="7">
        <v>2937.0</v>
      </c>
      <c r="I641" s="7">
        <v>2061.0</v>
      </c>
      <c r="J641" s="6">
        <v>1963.0</v>
      </c>
      <c r="K641" s="6">
        <v>111.0</v>
      </c>
      <c r="L641" s="6" t="s">
        <v>62</v>
      </c>
      <c r="M641" s="6" t="s">
        <v>2604</v>
      </c>
      <c r="N641" s="6" t="s">
        <v>34</v>
      </c>
      <c r="O641" s="6" t="s">
        <v>49</v>
      </c>
      <c r="P641" s="6">
        <f>COUNTIF(Analysis!$M$1:$M$3001,Analysis!$M641)</f>
        <v>1</v>
      </c>
      <c r="Q641" s="6" t="str">
        <f>IF(COUNTIF(Analysis!$M$2:$M$3001,Analysis!$M641)&gt;1,"Duplicate","OK")</f>
        <v>OK</v>
      </c>
      <c r="R641" s="6" t="str">
        <f t="shared" si="1"/>
        <v>2600-3600</v>
      </c>
      <c r="S641" s="6">
        <f t="shared" si="2"/>
        <v>63</v>
      </c>
      <c r="T641" s="6" t="str">
        <f t="shared" si="3"/>
        <v>Very Old</v>
      </c>
    </row>
    <row r="642" ht="14.25" customHeight="1">
      <c r="A642" s="5">
        <v>539037.0</v>
      </c>
      <c r="B642" s="6" t="s">
        <v>2607</v>
      </c>
      <c r="C642" s="6" t="s">
        <v>18</v>
      </c>
      <c r="D642" s="6">
        <v>20161.0</v>
      </c>
      <c r="E642" s="6" t="s">
        <v>77</v>
      </c>
      <c r="F642" s="6" t="s">
        <v>20</v>
      </c>
      <c r="G642" s="6" t="s">
        <v>55</v>
      </c>
      <c r="H642" s="7">
        <v>2161.0</v>
      </c>
      <c r="I642" s="7">
        <v>7030.0</v>
      </c>
      <c r="J642" s="6">
        <v>1975.0</v>
      </c>
      <c r="K642" s="6">
        <v>45.0</v>
      </c>
      <c r="L642" s="6" t="s">
        <v>32</v>
      </c>
      <c r="M642" s="6" t="s">
        <v>2608</v>
      </c>
      <c r="N642" s="6" t="s">
        <v>34</v>
      </c>
      <c r="O642" s="6" t="s">
        <v>35</v>
      </c>
      <c r="P642" s="6">
        <f>COUNTIF(Analysis!$M$1:$M$3001,Analysis!$M642)</f>
        <v>1</v>
      </c>
      <c r="Q642" s="6" t="str">
        <f>IF(COUNTIF(Analysis!$M$2:$M$3001,Analysis!$M642)&gt;1,"Duplicate","OK")</f>
        <v>OK</v>
      </c>
      <c r="R642" s="6" t="str">
        <f t="shared" si="1"/>
        <v>1600-2600</v>
      </c>
      <c r="S642" s="6">
        <f t="shared" si="2"/>
        <v>51</v>
      </c>
      <c r="T642" s="6" t="str">
        <f t="shared" si="3"/>
        <v>Old</v>
      </c>
    </row>
    <row r="643" ht="14.25" customHeight="1">
      <c r="A643" s="5">
        <v>1465615.0</v>
      </c>
      <c r="B643" s="6" t="s">
        <v>2611</v>
      </c>
      <c r="C643" s="6" t="s">
        <v>53</v>
      </c>
      <c r="D643" s="6">
        <v>40426.0</v>
      </c>
      <c r="E643" s="6" t="s">
        <v>77</v>
      </c>
      <c r="F643" s="6" t="s">
        <v>94</v>
      </c>
      <c r="G643" s="6" t="s">
        <v>21</v>
      </c>
      <c r="H643" s="7">
        <v>3051.0</v>
      </c>
      <c r="I643" s="7">
        <v>6869.0</v>
      </c>
      <c r="J643" s="6">
        <v>1955.0</v>
      </c>
      <c r="K643" s="6">
        <v>64.0</v>
      </c>
      <c r="L643" s="6" t="s">
        <v>141</v>
      </c>
      <c r="M643" s="6" t="s">
        <v>2612</v>
      </c>
      <c r="N643" s="6" t="s">
        <v>24</v>
      </c>
      <c r="O643" s="6" t="s">
        <v>35</v>
      </c>
      <c r="P643" s="6">
        <f>COUNTIF(Analysis!$M$1:$M$3001,Analysis!$M643)</f>
        <v>1</v>
      </c>
      <c r="Q643" s="6" t="str">
        <f>IF(COUNTIF(Analysis!$M$2:$M$3001,Analysis!$M643)&gt;1,"Duplicate","OK")</f>
        <v>OK</v>
      </c>
      <c r="R643" s="6" t="str">
        <f t="shared" si="1"/>
        <v>2600-3600</v>
      </c>
      <c r="S643" s="6">
        <f t="shared" si="2"/>
        <v>71</v>
      </c>
      <c r="T643" s="6" t="str">
        <f t="shared" si="3"/>
        <v>Very Old</v>
      </c>
    </row>
    <row r="644" ht="14.25" customHeight="1">
      <c r="A644" s="5">
        <v>1448976.0</v>
      </c>
      <c r="B644" s="6" t="s">
        <v>2615</v>
      </c>
      <c r="C644" s="6" t="s">
        <v>39</v>
      </c>
      <c r="D644" s="6">
        <v>19836.0</v>
      </c>
      <c r="E644" s="6" t="s">
        <v>40</v>
      </c>
      <c r="F644" s="6" t="s">
        <v>46</v>
      </c>
      <c r="G644" s="6" t="s">
        <v>55</v>
      </c>
      <c r="H644" s="7">
        <v>2749.0</v>
      </c>
      <c r="I644" s="7">
        <v>1346.0</v>
      </c>
      <c r="J644" s="6">
        <v>2001.0</v>
      </c>
      <c r="K644" s="6">
        <v>71.0</v>
      </c>
      <c r="L644" s="6" t="s">
        <v>32</v>
      </c>
      <c r="M644" s="6" t="s">
        <v>2616</v>
      </c>
      <c r="N644" s="6" t="s">
        <v>34</v>
      </c>
      <c r="O644" s="6" t="s">
        <v>49</v>
      </c>
      <c r="P644" s="6">
        <f>COUNTIF(Analysis!$M$1:$M$3001,Analysis!$M644)</f>
        <v>1</v>
      </c>
      <c r="Q644" s="6" t="str">
        <f>IF(COUNTIF(Analysis!$M$2:$M$3001,Analysis!$M644)&gt;1,"Duplicate","OK")</f>
        <v>OK</v>
      </c>
      <c r="R644" s="6" t="str">
        <f t="shared" si="1"/>
        <v>2600-3600</v>
      </c>
      <c r="S644" s="6">
        <f t="shared" si="2"/>
        <v>25</v>
      </c>
      <c r="T644" s="6" t="str">
        <f t="shared" si="3"/>
        <v>Mid</v>
      </c>
    </row>
    <row r="645" ht="14.25" customHeight="1">
      <c r="A645" s="5">
        <v>420055.0</v>
      </c>
      <c r="B645" s="6" t="s">
        <v>4735</v>
      </c>
      <c r="C645" s="6" t="s">
        <v>29</v>
      </c>
      <c r="D645" s="6">
        <v>82261.0</v>
      </c>
      <c r="E645" s="6" t="s">
        <v>30</v>
      </c>
      <c r="F645" s="6" t="s">
        <v>54</v>
      </c>
      <c r="G645" s="6" t="s">
        <v>31</v>
      </c>
      <c r="H645" s="7">
        <v>2877.0</v>
      </c>
      <c r="I645" s="7">
        <v>8340.0</v>
      </c>
      <c r="J645" s="6">
        <v>1999.0</v>
      </c>
      <c r="K645" s="6">
        <v>25.0</v>
      </c>
      <c r="L645" s="6" t="s">
        <v>141</v>
      </c>
      <c r="M645" s="6" t="s">
        <v>4736</v>
      </c>
      <c r="N645" s="6" t="s">
        <v>64</v>
      </c>
      <c r="O645" s="6" t="s">
        <v>49</v>
      </c>
      <c r="P645" s="6">
        <f>COUNTIF(Analysis!$M$1:$M$3001,Analysis!$M1174)</f>
        <v>1</v>
      </c>
      <c r="Q645" s="6" t="str">
        <f>IF(COUNTIF(Analysis!$M$2:$M$3001,Analysis!$M1174)&gt;1,"Duplicate","OK")</f>
        <v>OK</v>
      </c>
      <c r="R645" s="6" t="str">
        <f t="shared" si="1"/>
        <v>2600-3600</v>
      </c>
      <c r="S645" s="6">
        <f t="shared" si="2"/>
        <v>27</v>
      </c>
      <c r="T645" s="6" t="str">
        <f t="shared" si="3"/>
        <v>Mid</v>
      </c>
    </row>
    <row r="646" ht="14.25" customHeight="1">
      <c r="A646" s="5">
        <v>704660.0</v>
      </c>
      <c r="B646" s="6" t="s">
        <v>2623</v>
      </c>
      <c r="C646" s="6" t="s">
        <v>53</v>
      </c>
      <c r="D646" s="6">
        <v>68561.0</v>
      </c>
      <c r="E646" s="6" t="s">
        <v>40</v>
      </c>
      <c r="F646" s="6" t="s">
        <v>94</v>
      </c>
      <c r="G646" s="6" t="s">
        <v>21</v>
      </c>
      <c r="H646" s="7">
        <v>1224.0</v>
      </c>
      <c r="I646" s="7">
        <v>3952.0</v>
      </c>
      <c r="J646" s="6">
        <v>2022.0</v>
      </c>
      <c r="K646" s="6">
        <v>49.0</v>
      </c>
      <c r="L646" s="6" t="s">
        <v>141</v>
      </c>
      <c r="M646" s="6" t="s">
        <v>2624</v>
      </c>
      <c r="N646" s="6" t="s">
        <v>64</v>
      </c>
      <c r="O646" s="6" t="s">
        <v>25</v>
      </c>
      <c r="P646" s="6">
        <f>COUNTIF(Analysis!$M$1:$M$3001,Analysis!$M646)</f>
        <v>1</v>
      </c>
      <c r="Q646" s="6" t="str">
        <f>IF(COUNTIF(Analysis!$M$2:$M$3001,Analysis!$M646)&gt;1,"Duplicate","OK")</f>
        <v>OK</v>
      </c>
      <c r="R646" s="6" t="str">
        <f t="shared" si="1"/>
        <v>600-1600</v>
      </c>
      <c r="S646" s="6">
        <f t="shared" si="2"/>
        <v>4</v>
      </c>
      <c r="T646" s="6" t="str">
        <f t="shared" si="3"/>
        <v>New</v>
      </c>
    </row>
    <row r="647" ht="14.25" customHeight="1">
      <c r="A647" s="5">
        <v>508759.0</v>
      </c>
      <c r="B647" s="6" t="s">
        <v>2627</v>
      </c>
      <c r="C647" s="6" t="s">
        <v>18</v>
      </c>
      <c r="D647" s="6">
        <v>47970.0</v>
      </c>
      <c r="E647" s="6" t="s">
        <v>60</v>
      </c>
      <c r="F647" s="6" t="s">
        <v>54</v>
      </c>
      <c r="G647" s="6" t="s">
        <v>55</v>
      </c>
      <c r="H647" s="7">
        <v>3942.0</v>
      </c>
      <c r="I647" s="7">
        <v>4881.0</v>
      </c>
      <c r="J647" s="6">
        <v>1973.0</v>
      </c>
      <c r="K647" s="6">
        <v>110.0</v>
      </c>
      <c r="L647" s="6" t="s">
        <v>22</v>
      </c>
      <c r="M647" s="6" t="s">
        <v>2628</v>
      </c>
      <c r="N647" s="6" t="s">
        <v>64</v>
      </c>
      <c r="O647" s="6" t="s">
        <v>25</v>
      </c>
      <c r="P647" s="6">
        <f>COUNTIF(Analysis!$M$1:$M$3001,Analysis!$M647)</f>
        <v>1</v>
      </c>
      <c r="Q647" s="6" t="str">
        <f>IF(COUNTIF(Analysis!$M$2:$M$3001,Analysis!$M647)&gt;1,"Duplicate","OK")</f>
        <v>OK</v>
      </c>
      <c r="R647" s="6" t="str">
        <f t="shared" si="1"/>
        <v>3600+</v>
      </c>
      <c r="S647" s="6">
        <f t="shared" si="2"/>
        <v>53</v>
      </c>
      <c r="T647" s="6" t="str">
        <f t="shared" si="3"/>
        <v>Old</v>
      </c>
    </row>
    <row r="648" ht="14.25" customHeight="1">
      <c r="A648" s="5">
        <v>198100.0</v>
      </c>
      <c r="B648" s="6" t="s">
        <v>2631</v>
      </c>
      <c r="C648" s="6" t="s">
        <v>53</v>
      </c>
      <c r="D648" s="6">
        <v>69780.0</v>
      </c>
      <c r="E648" s="6" t="s">
        <v>77</v>
      </c>
      <c r="F648" s="6" t="s">
        <v>61</v>
      </c>
      <c r="G648" s="6" t="s">
        <v>55</v>
      </c>
      <c r="H648" s="7">
        <v>857.0</v>
      </c>
      <c r="I648" s="7">
        <v>2046.0</v>
      </c>
      <c r="J648" s="6">
        <v>1951.0</v>
      </c>
      <c r="K648" s="6">
        <v>4.0</v>
      </c>
      <c r="L648" s="6" t="s">
        <v>32</v>
      </c>
      <c r="M648" s="6" t="s">
        <v>2632</v>
      </c>
      <c r="N648" s="6" t="s">
        <v>64</v>
      </c>
      <c r="O648" s="6" t="s">
        <v>25</v>
      </c>
      <c r="P648" s="6">
        <f>COUNTIF(Analysis!$M$1:$M$3001,Analysis!$M648)</f>
        <v>1</v>
      </c>
      <c r="Q648" s="6" t="str">
        <f>IF(COUNTIF(Analysis!$M$2:$M$3001,Analysis!$M648)&gt;1,"Duplicate","OK")</f>
        <v>OK</v>
      </c>
      <c r="R648" s="6" t="str">
        <f t="shared" si="1"/>
        <v>600-1600</v>
      </c>
      <c r="S648" s="6">
        <f t="shared" si="2"/>
        <v>75</v>
      </c>
      <c r="T648" s="6" t="str">
        <f t="shared" si="3"/>
        <v>Very Old</v>
      </c>
    </row>
    <row r="649" ht="14.25" customHeight="1">
      <c r="A649" s="5">
        <v>1171593.0</v>
      </c>
      <c r="B649" s="6" t="s">
        <v>2635</v>
      </c>
      <c r="C649" s="6" t="s">
        <v>76</v>
      </c>
      <c r="D649" s="6">
        <v>38092.0</v>
      </c>
      <c r="E649" s="6" t="s">
        <v>19</v>
      </c>
      <c r="F649" s="6" t="s">
        <v>41</v>
      </c>
      <c r="G649" s="6" t="s">
        <v>31</v>
      </c>
      <c r="H649" s="7">
        <v>1840.0</v>
      </c>
      <c r="I649" s="7">
        <v>1811.0</v>
      </c>
      <c r="J649" s="6">
        <v>2016.0</v>
      </c>
      <c r="K649" s="6">
        <v>10.0</v>
      </c>
      <c r="L649" s="6" t="s">
        <v>22</v>
      </c>
      <c r="M649" s="6" t="s">
        <v>2636</v>
      </c>
      <c r="N649" s="6" t="s">
        <v>48</v>
      </c>
      <c r="O649" s="6" t="s">
        <v>49</v>
      </c>
      <c r="P649" s="6">
        <f>COUNTIF(Analysis!$M$1:$M$3001,Analysis!$M649)</f>
        <v>1</v>
      </c>
      <c r="Q649" s="6" t="str">
        <f>IF(COUNTIF(Analysis!$M$2:$M$3001,Analysis!$M649)&gt;1,"Duplicate","OK")</f>
        <v>OK</v>
      </c>
      <c r="R649" s="6" t="str">
        <f t="shared" si="1"/>
        <v>1600-2600</v>
      </c>
      <c r="S649" s="6">
        <f t="shared" si="2"/>
        <v>10</v>
      </c>
      <c r="T649" s="6" t="str">
        <f t="shared" si="3"/>
        <v>New</v>
      </c>
    </row>
    <row r="650" ht="14.25" customHeight="1">
      <c r="A650" s="5">
        <v>421154.0</v>
      </c>
      <c r="B650" s="6" t="s">
        <v>2292</v>
      </c>
      <c r="C650" s="6" t="s">
        <v>29</v>
      </c>
      <c r="D650" s="6">
        <v>40098.0</v>
      </c>
      <c r="E650" s="6" t="s">
        <v>77</v>
      </c>
      <c r="F650" s="6" t="s">
        <v>46</v>
      </c>
      <c r="G650" s="6" t="s">
        <v>21</v>
      </c>
      <c r="H650" s="7">
        <v>1440.0</v>
      </c>
      <c r="I650" s="7">
        <v>4971.0</v>
      </c>
      <c r="J650" s="6">
        <v>2009.0</v>
      </c>
      <c r="K650" s="6">
        <v>20.0</v>
      </c>
      <c r="L650" s="6" t="s">
        <v>62</v>
      </c>
      <c r="M650" s="6" t="s">
        <v>2293</v>
      </c>
      <c r="N650" s="6" t="s">
        <v>34</v>
      </c>
      <c r="O650" s="6" t="s">
        <v>49</v>
      </c>
      <c r="P650" s="6">
        <f>COUNTIF(Analysis!$M$1:$M$3001,Analysis!$M563)</f>
        <v>1</v>
      </c>
      <c r="Q650" s="6" t="str">
        <f>IF(COUNTIF(Analysis!$M$2:$M$3001,Analysis!$M563)&gt;1,"Duplicate","OK")</f>
        <v>OK</v>
      </c>
      <c r="R650" s="6" t="str">
        <f t="shared" si="1"/>
        <v>600-1600</v>
      </c>
      <c r="S650" s="6">
        <f t="shared" si="2"/>
        <v>17</v>
      </c>
      <c r="T650" s="6" t="str">
        <f t="shared" si="3"/>
        <v>Mid</v>
      </c>
    </row>
    <row r="651" ht="14.25" customHeight="1">
      <c r="A651" s="5">
        <v>1046834.0</v>
      </c>
      <c r="B651" s="6" t="s">
        <v>2643</v>
      </c>
      <c r="C651" s="6" t="s">
        <v>53</v>
      </c>
      <c r="D651" s="6">
        <v>18709.0</v>
      </c>
      <c r="E651" s="6" t="s">
        <v>19</v>
      </c>
      <c r="F651" s="6" t="s">
        <v>20</v>
      </c>
      <c r="G651" s="6" t="s">
        <v>21</v>
      </c>
      <c r="H651" s="7">
        <v>2420.0</v>
      </c>
      <c r="I651" s="7">
        <v>1592.0</v>
      </c>
      <c r="J651" s="6">
        <v>1978.0</v>
      </c>
      <c r="K651" s="6">
        <v>76.0</v>
      </c>
      <c r="L651" s="6" t="s">
        <v>62</v>
      </c>
      <c r="M651" s="6" t="s">
        <v>2644</v>
      </c>
      <c r="N651" s="6" t="s">
        <v>48</v>
      </c>
      <c r="O651" s="6" t="s">
        <v>49</v>
      </c>
      <c r="P651" s="6">
        <f>COUNTIF(Analysis!$M$1:$M$3001,Analysis!$M651)</f>
        <v>1</v>
      </c>
      <c r="Q651" s="6" t="str">
        <f>IF(COUNTIF(Analysis!$M$2:$M$3001,Analysis!$M651)&gt;1,"Duplicate","OK")</f>
        <v>OK</v>
      </c>
      <c r="R651" s="6" t="str">
        <f t="shared" si="1"/>
        <v>1600-2600</v>
      </c>
      <c r="S651" s="6">
        <f t="shared" si="2"/>
        <v>48</v>
      </c>
      <c r="T651" s="6" t="str">
        <f t="shared" si="3"/>
        <v>Old</v>
      </c>
    </row>
    <row r="652" ht="14.25" customHeight="1">
      <c r="A652" s="5">
        <v>422369.0</v>
      </c>
      <c r="B652" s="6" t="s">
        <v>4467</v>
      </c>
      <c r="C652" s="6" t="s">
        <v>29</v>
      </c>
      <c r="D652" s="6">
        <v>89639.0</v>
      </c>
      <c r="E652" s="6" t="s">
        <v>60</v>
      </c>
      <c r="F652" s="6" t="s">
        <v>61</v>
      </c>
      <c r="G652" s="6" t="s">
        <v>100</v>
      </c>
      <c r="H652" s="7">
        <v>2789.0</v>
      </c>
      <c r="I652" s="7">
        <v>1515.0</v>
      </c>
      <c r="J652" s="6">
        <v>1991.0</v>
      </c>
      <c r="K652" s="6">
        <v>82.0</v>
      </c>
      <c r="L652" s="6" t="s">
        <v>95</v>
      </c>
      <c r="M652" s="6" t="s">
        <v>4468</v>
      </c>
      <c r="N652" s="6" t="s">
        <v>34</v>
      </c>
      <c r="O652" s="6" t="s">
        <v>25</v>
      </c>
      <c r="P652" s="6">
        <f>COUNTIF(Analysis!$M$1:$M$3001,Analysis!$M1107)</f>
        <v>1</v>
      </c>
      <c r="Q652" s="6" t="str">
        <f>IF(COUNTIF(Analysis!$M$2:$M$3001,Analysis!$M1107)&gt;1,"Duplicate","OK")</f>
        <v>OK</v>
      </c>
      <c r="R652" s="6" t="str">
        <f t="shared" si="1"/>
        <v>2600-3600</v>
      </c>
      <c r="S652" s="6">
        <f t="shared" si="2"/>
        <v>35</v>
      </c>
      <c r="T652" s="6" t="str">
        <f t="shared" si="3"/>
        <v>Old</v>
      </c>
    </row>
    <row r="653" ht="14.25" customHeight="1">
      <c r="A653" s="5">
        <v>1114155.0</v>
      </c>
      <c r="B653" s="6" t="s">
        <v>2651</v>
      </c>
      <c r="C653" s="6" t="s">
        <v>53</v>
      </c>
      <c r="D653" s="6">
        <v>42449.0</v>
      </c>
      <c r="E653" s="6" t="s">
        <v>60</v>
      </c>
      <c r="F653" s="6" t="s">
        <v>61</v>
      </c>
      <c r="G653" s="6" t="s">
        <v>55</v>
      </c>
      <c r="H653" s="7">
        <v>2339.0</v>
      </c>
      <c r="I653" s="7">
        <v>8974.0</v>
      </c>
      <c r="J653" s="6">
        <v>2015.0</v>
      </c>
      <c r="K653" s="6">
        <v>53.0</v>
      </c>
      <c r="L653" s="6" t="s">
        <v>95</v>
      </c>
      <c r="M653" s="6" t="s">
        <v>2652</v>
      </c>
      <c r="N653" s="6" t="s">
        <v>24</v>
      </c>
      <c r="O653" s="6" t="s">
        <v>49</v>
      </c>
      <c r="P653" s="6">
        <f>COUNTIF(Analysis!$M$1:$M$3001,Analysis!$M653)</f>
        <v>1</v>
      </c>
      <c r="Q653" s="6" t="str">
        <f>IF(COUNTIF(Analysis!$M$2:$M$3001,Analysis!$M653)&gt;1,"Duplicate","OK")</f>
        <v>OK</v>
      </c>
      <c r="R653" s="6" t="str">
        <f t="shared" si="1"/>
        <v>1600-2600</v>
      </c>
      <c r="S653" s="6">
        <f t="shared" si="2"/>
        <v>11</v>
      </c>
      <c r="T653" s="6" t="str">
        <f t="shared" si="3"/>
        <v>Mid</v>
      </c>
    </row>
    <row r="654" ht="14.25" customHeight="1">
      <c r="A654" s="5">
        <v>980574.0</v>
      </c>
      <c r="B654" s="6" t="s">
        <v>2655</v>
      </c>
      <c r="C654" s="6" t="s">
        <v>76</v>
      </c>
      <c r="D654" s="6">
        <v>19527.0</v>
      </c>
      <c r="E654" s="6" t="s">
        <v>30</v>
      </c>
      <c r="F654" s="6" t="s">
        <v>41</v>
      </c>
      <c r="G654" s="6" t="s">
        <v>55</v>
      </c>
      <c r="H654" s="7">
        <v>1083.0</v>
      </c>
      <c r="I654" s="7">
        <v>2372.0</v>
      </c>
      <c r="J654" s="6">
        <v>1957.0</v>
      </c>
      <c r="K654" s="6">
        <v>81.0</v>
      </c>
      <c r="L654" s="6" t="s">
        <v>32</v>
      </c>
      <c r="M654" s="6" t="s">
        <v>2656</v>
      </c>
      <c r="N654" s="6" t="s">
        <v>24</v>
      </c>
      <c r="O654" s="6" t="s">
        <v>49</v>
      </c>
      <c r="P654" s="6">
        <f>COUNTIF(Analysis!$M$1:$M$3001,Analysis!$M654)</f>
        <v>1</v>
      </c>
      <c r="Q654" s="6" t="str">
        <f>IF(COUNTIF(Analysis!$M$2:$M$3001,Analysis!$M654)&gt;1,"Duplicate","OK")</f>
        <v>OK</v>
      </c>
      <c r="R654" s="6" t="str">
        <f t="shared" si="1"/>
        <v>600-1600</v>
      </c>
      <c r="S654" s="6">
        <f t="shared" si="2"/>
        <v>69</v>
      </c>
      <c r="T654" s="6" t="str">
        <f t="shared" si="3"/>
        <v>Very Old</v>
      </c>
    </row>
    <row r="655" ht="14.25" customHeight="1">
      <c r="A655" s="5">
        <v>1036583.0</v>
      </c>
      <c r="B655" s="6" t="s">
        <v>2659</v>
      </c>
      <c r="C655" s="6" t="s">
        <v>39</v>
      </c>
      <c r="D655" s="6">
        <v>58984.0</v>
      </c>
      <c r="E655" s="6" t="s">
        <v>30</v>
      </c>
      <c r="F655" s="6" t="s">
        <v>54</v>
      </c>
      <c r="G655" s="6" t="s">
        <v>100</v>
      </c>
      <c r="H655" s="7">
        <v>3752.0</v>
      </c>
      <c r="I655" s="7">
        <v>5731.0</v>
      </c>
      <c r="J655" s="6">
        <v>2003.0</v>
      </c>
      <c r="K655" s="6">
        <v>27.0</v>
      </c>
      <c r="L655" s="6" t="s">
        <v>32</v>
      </c>
      <c r="M655" s="6" t="s">
        <v>2660</v>
      </c>
      <c r="N655" s="6" t="s">
        <v>48</v>
      </c>
      <c r="O655" s="6" t="s">
        <v>35</v>
      </c>
      <c r="P655" s="6">
        <f>COUNTIF(Analysis!$M$1:$M$3001,Analysis!$M655)</f>
        <v>1</v>
      </c>
      <c r="Q655" s="6" t="str">
        <f>IF(COUNTIF(Analysis!$M$2:$M$3001,Analysis!$M655)&gt;1,"Duplicate","OK")</f>
        <v>OK</v>
      </c>
      <c r="R655" s="6" t="str">
        <f t="shared" si="1"/>
        <v>3600+</v>
      </c>
      <c r="S655" s="6">
        <f t="shared" si="2"/>
        <v>23</v>
      </c>
      <c r="T655" s="6" t="str">
        <f t="shared" si="3"/>
        <v>Mid</v>
      </c>
    </row>
    <row r="656" ht="14.25" customHeight="1">
      <c r="A656" s="5">
        <v>398021.0</v>
      </c>
      <c r="B656" s="6" t="s">
        <v>2663</v>
      </c>
      <c r="C656" s="6" t="s">
        <v>18</v>
      </c>
      <c r="D656" s="6">
        <v>75125.0</v>
      </c>
      <c r="E656" s="6" t="s">
        <v>19</v>
      </c>
      <c r="F656" s="6" t="s">
        <v>54</v>
      </c>
      <c r="G656" s="6" t="s">
        <v>55</v>
      </c>
      <c r="H656" s="7">
        <v>726.0</v>
      </c>
      <c r="I656" s="7">
        <v>1292.0</v>
      </c>
      <c r="J656" s="6">
        <v>1962.0</v>
      </c>
      <c r="K656" s="6">
        <v>35.0</v>
      </c>
      <c r="L656" s="6" t="s">
        <v>62</v>
      </c>
      <c r="M656" s="6" t="s">
        <v>2664</v>
      </c>
      <c r="N656" s="6" t="s">
        <v>64</v>
      </c>
      <c r="O656" s="6" t="s">
        <v>49</v>
      </c>
      <c r="P656" s="6">
        <f>COUNTIF(Analysis!$M$1:$M$3001,Analysis!$M656)</f>
        <v>1</v>
      </c>
      <c r="Q656" s="6" t="str">
        <f>IF(COUNTIF(Analysis!$M$2:$M$3001,Analysis!$M656)&gt;1,"Duplicate","OK")</f>
        <v>OK</v>
      </c>
      <c r="R656" s="6" t="str">
        <f t="shared" si="1"/>
        <v>600-1600</v>
      </c>
      <c r="S656" s="6">
        <f t="shared" si="2"/>
        <v>64</v>
      </c>
      <c r="T656" s="6" t="str">
        <f t="shared" si="3"/>
        <v>Very Old</v>
      </c>
    </row>
    <row r="657" ht="14.25" customHeight="1">
      <c r="A657" s="5">
        <v>735817.0</v>
      </c>
      <c r="B657" s="6" t="s">
        <v>2667</v>
      </c>
      <c r="C657" s="6" t="s">
        <v>39</v>
      </c>
      <c r="D657" s="6">
        <v>89405.0</v>
      </c>
      <c r="E657" s="6" t="s">
        <v>19</v>
      </c>
      <c r="F657" s="6" t="s">
        <v>41</v>
      </c>
      <c r="G657" s="6" t="s">
        <v>21</v>
      </c>
      <c r="H657" s="7">
        <v>3740.0</v>
      </c>
      <c r="I657" s="7">
        <v>4980.0</v>
      </c>
      <c r="J657" s="6">
        <v>2017.0</v>
      </c>
      <c r="K657" s="6">
        <v>104.0</v>
      </c>
      <c r="L657" s="6" t="s">
        <v>22</v>
      </c>
      <c r="M657" s="6" t="s">
        <v>2668</v>
      </c>
      <c r="N657" s="6" t="s">
        <v>43</v>
      </c>
      <c r="O657" s="6" t="s">
        <v>25</v>
      </c>
      <c r="P657" s="6">
        <f>COUNTIF(Analysis!$M$1:$M$3001,Analysis!$M657)</f>
        <v>1</v>
      </c>
      <c r="Q657" s="6" t="str">
        <f>IF(COUNTIF(Analysis!$M$2:$M$3001,Analysis!$M657)&gt;1,"Duplicate","OK")</f>
        <v>OK</v>
      </c>
      <c r="R657" s="6" t="str">
        <f t="shared" si="1"/>
        <v>3600+</v>
      </c>
      <c r="S657" s="6">
        <f t="shared" si="2"/>
        <v>9</v>
      </c>
      <c r="T657" s="6" t="str">
        <f t="shared" si="3"/>
        <v>New</v>
      </c>
    </row>
    <row r="658" ht="14.25" customHeight="1">
      <c r="A658" s="5">
        <v>422789.0</v>
      </c>
      <c r="B658" s="6" t="s">
        <v>9983</v>
      </c>
      <c r="C658" s="6" t="s">
        <v>29</v>
      </c>
      <c r="D658" s="6">
        <v>71252.0</v>
      </c>
      <c r="E658" s="6" t="s">
        <v>77</v>
      </c>
      <c r="F658" s="6" t="s">
        <v>41</v>
      </c>
      <c r="G658" s="6" t="s">
        <v>21</v>
      </c>
      <c r="H658" s="7">
        <v>3026.0</v>
      </c>
      <c r="I658" s="7">
        <v>8560.0</v>
      </c>
      <c r="J658" s="6">
        <v>1971.0</v>
      </c>
      <c r="K658" s="6">
        <v>107.0</v>
      </c>
      <c r="L658" s="6" t="s">
        <v>95</v>
      </c>
      <c r="M658" s="6" t="s">
        <v>9984</v>
      </c>
      <c r="N658" s="6" t="s">
        <v>24</v>
      </c>
      <c r="O658" s="6" t="s">
        <v>35</v>
      </c>
      <c r="P658" s="6">
        <f>COUNTIF(Analysis!$M$1:$M$3001,Analysis!$M2487)</f>
        <v>1</v>
      </c>
      <c r="Q658" s="6" t="str">
        <f>IF(COUNTIF(Analysis!$M$2:$M$3001,Analysis!$M2487)&gt;1,"Duplicate","OK")</f>
        <v>OK</v>
      </c>
      <c r="R658" s="6" t="str">
        <f t="shared" si="1"/>
        <v>2600-3600</v>
      </c>
      <c r="S658" s="6">
        <f t="shared" si="2"/>
        <v>55</v>
      </c>
      <c r="T658" s="6" t="str">
        <f t="shared" si="3"/>
        <v>Old</v>
      </c>
    </row>
    <row r="659" ht="14.25" customHeight="1">
      <c r="A659" s="5">
        <v>1397853.0</v>
      </c>
      <c r="B659" s="6" t="s">
        <v>2675</v>
      </c>
      <c r="C659" s="6" t="s">
        <v>53</v>
      </c>
      <c r="D659" s="6">
        <v>61754.0</v>
      </c>
      <c r="E659" s="6" t="s">
        <v>30</v>
      </c>
      <c r="F659" s="6" t="s">
        <v>20</v>
      </c>
      <c r="G659" s="6" t="s">
        <v>55</v>
      </c>
      <c r="H659" s="7">
        <v>1286.0</v>
      </c>
      <c r="I659" s="7">
        <v>2668.0</v>
      </c>
      <c r="J659" s="6">
        <v>1993.0</v>
      </c>
      <c r="K659" s="6">
        <v>4.0</v>
      </c>
      <c r="L659" s="6" t="s">
        <v>141</v>
      </c>
      <c r="M659" s="6" t="s">
        <v>2676</v>
      </c>
      <c r="N659" s="6" t="s">
        <v>64</v>
      </c>
      <c r="O659" s="6" t="s">
        <v>35</v>
      </c>
      <c r="P659" s="6">
        <f>COUNTIF(Analysis!$M$1:$M$3001,Analysis!$M659)</f>
        <v>1</v>
      </c>
      <c r="Q659" s="6" t="str">
        <f>IF(COUNTIF(Analysis!$M$2:$M$3001,Analysis!$M659)&gt;1,"Duplicate","OK")</f>
        <v>OK</v>
      </c>
      <c r="R659" s="6" t="str">
        <f t="shared" si="1"/>
        <v>600-1600</v>
      </c>
      <c r="S659" s="6">
        <f t="shared" si="2"/>
        <v>33</v>
      </c>
      <c r="T659" s="6" t="str">
        <f t="shared" si="3"/>
        <v>Old</v>
      </c>
    </row>
    <row r="660" ht="14.25" customHeight="1">
      <c r="A660" s="5">
        <v>426442.0</v>
      </c>
      <c r="B660" s="6" t="s">
        <v>3235</v>
      </c>
      <c r="C660" s="6" t="s">
        <v>29</v>
      </c>
      <c r="D660" s="6">
        <v>40814.0</v>
      </c>
      <c r="E660" s="6" t="s">
        <v>30</v>
      </c>
      <c r="F660" s="6" t="s">
        <v>61</v>
      </c>
      <c r="G660" s="6" t="s">
        <v>55</v>
      </c>
      <c r="H660" s="7">
        <v>1741.0</v>
      </c>
      <c r="I660" s="7">
        <v>4338.0</v>
      </c>
      <c r="J660" s="6">
        <v>1986.0</v>
      </c>
      <c r="K660" s="6">
        <v>112.0</v>
      </c>
      <c r="L660" s="6" t="s">
        <v>32</v>
      </c>
      <c r="M660" s="6" t="s">
        <v>3236</v>
      </c>
      <c r="N660" s="6" t="s">
        <v>43</v>
      </c>
      <c r="O660" s="6" t="s">
        <v>49</v>
      </c>
      <c r="P660" s="6">
        <f>COUNTIF(Analysis!$M$1:$M$3001,Analysis!$M799)</f>
        <v>1</v>
      </c>
      <c r="Q660" s="6" t="str">
        <f>IF(COUNTIF(Analysis!$M$2:$M$3001,Analysis!$M799)&gt;1,"Duplicate","OK")</f>
        <v>OK</v>
      </c>
      <c r="R660" s="6" t="str">
        <f t="shared" si="1"/>
        <v>1600-2600</v>
      </c>
      <c r="S660" s="6">
        <f t="shared" si="2"/>
        <v>40</v>
      </c>
      <c r="T660" s="6" t="str">
        <f t="shared" si="3"/>
        <v>Old</v>
      </c>
    </row>
    <row r="661" ht="14.25" customHeight="1">
      <c r="A661" s="5">
        <v>922155.0</v>
      </c>
      <c r="B661" s="6" t="s">
        <v>2683</v>
      </c>
      <c r="C661" s="6" t="s">
        <v>76</v>
      </c>
      <c r="D661" s="6">
        <v>40195.0</v>
      </c>
      <c r="E661" s="6" t="s">
        <v>40</v>
      </c>
      <c r="F661" s="6" t="s">
        <v>61</v>
      </c>
      <c r="G661" s="6" t="s">
        <v>31</v>
      </c>
      <c r="H661" s="7">
        <v>743.0</v>
      </c>
      <c r="I661" s="7">
        <v>6787.0</v>
      </c>
      <c r="J661" s="6">
        <v>2016.0</v>
      </c>
      <c r="K661" s="6">
        <v>64.0</v>
      </c>
      <c r="L661" s="6" t="s">
        <v>22</v>
      </c>
      <c r="M661" s="6" t="s">
        <v>2684</v>
      </c>
      <c r="N661" s="6" t="s">
        <v>24</v>
      </c>
      <c r="O661" s="6" t="s">
        <v>49</v>
      </c>
      <c r="P661" s="6">
        <f>COUNTIF(Analysis!$M$1:$M$3001,Analysis!$M661)</f>
        <v>1</v>
      </c>
      <c r="Q661" s="6" t="str">
        <f>IF(COUNTIF(Analysis!$M$2:$M$3001,Analysis!$M661)&gt;1,"Duplicate","OK")</f>
        <v>OK</v>
      </c>
      <c r="R661" s="6" t="str">
        <f t="shared" si="1"/>
        <v>600-1600</v>
      </c>
      <c r="S661" s="6">
        <f t="shared" si="2"/>
        <v>10</v>
      </c>
      <c r="T661" s="6" t="str">
        <f t="shared" si="3"/>
        <v>New</v>
      </c>
    </row>
    <row r="662" ht="14.25" customHeight="1">
      <c r="A662" s="5">
        <v>1304944.0</v>
      </c>
      <c r="B662" s="6" t="s">
        <v>2687</v>
      </c>
      <c r="C662" s="6" t="s">
        <v>53</v>
      </c>
      <c r="D662" s="6">
        <v>77333.0</v>
      </c>
      <c r="E662" s="6" t="s">
        <v>19</v>
      </c>
      <c r="F662" s="6" t="s">
        <v>94</v>
      </c>
      <c r="G662" s="6" t="s">
        <v>21</v>
      </c>
      <c r="H662" s="7">
        <v>2329.0</v>
      </c>
      <c r="I662" s="7">
        <v>7908.0</v>
      </c>
      <c r="J662" s="6">
        <v>1965.0</v>
      </c>
      <c r="K662" s="6">
        <v>50.0</v>
      </c>
      <c r="L662" s="6" t="s">
        <v>22</v>
      </c>
      <c r="M662" s="6" t="s">
        <v>2688</v>
      </c>
      <c r="N662" s="6" t="s">
        <v>64</v>
      </c>
      <c r="O662" s="6" t="s">
        <v>35</v>
      </c>
      <c r="P662" s="6">
        <f>COUNTIF(Analysis!$M$1:$M$3001,Analysis!$M662)</f>
        <v>1</v>
      </c>
      <c r="Q662" s="6" t="str">
        <f>IF(COUNTIF(Analysis!$M$2:$M$3001,Analysis!$M662)&gt;1,"Duplicate","OK")</f>
        <v>OK</v>
      </c>
      <c r="R662" s="6" t="str">
        <f t="shared" si="1"/>
        <v>1600-2600</v>
      </c>
      <c r="S662" s="6">
        <f t="shared" si="2"/>
        <v>61</v>
      </c>
      <c r="T662" s="6" t="str">
        <f t="shared" si="3"/>
        <v>Very Old</v>
      </c>
    </row>
    <row r="663" ht="14.25" customHeight="1">
      <c r="A663" s="5">
        <v>910408.0</v>
      </c>
      <c r="B663" s="6" t="s">
        <v>2691</v>
      </c>
      <c r="C663" s="6" t="s">
        <v>39</v>
      </c>
      <c r="D663" s="6">
        <v>19709.0</v>
      </c>
      <c r="E663" s="6" t="s">
        <v>19</v>
      </c>
      <c r="F663" s="6" t="s">
        <v>54</v>
      </c>
      <c r="G663" s="6" t="s">
        <v>55</v>
      </c>
      <c r="H663" s="7">
        <v>1418.0</v>
      </c>
      <c r="I663" s="7">
        <v>4817.0</v>
      </c>
      <c r="J663" s="6">
        <v>2021.0</v>
      </c>
      <c r="K663" s="6">
        <v>69.0</v>
      </c>
      <c r="L663" s="6" t="s">
        <v>95</v>
      </c>
      <c r="M663" s="6" t="s">
        <v>2692</v>
      </c>
      <c r="N663" s="6" t="s">
        <v>34</v>
      </c>
      <c r="O663" s="6" t="s">
        <v>35</v>
      </c>
      <c r="P663" s="6">
        <f>COUNTIF(Analysis!$M$1:$M$3001,Analysis!$M663)</f>
        <v>1</v>
      </c>
      <c r="Q663" s="6" t="str">
        <f>IF(COUNTIF(Analysis!$M$2:$M$3001,Analysis!$M663)&gt;1,"Duplicate","OK")</f>
        <v>OK</v>
      </c>
      <c r="R663" s="6" t="str">
        <f t="shared" si="1"/>
        <v>600-1600</v>
      </c>
      <c r="S663" s="6">
        <f t="shared" si="2"/>
        <v>5</v>
      </c>
      <c r="T663" s="6" t="str">
        <f t="shared" si="3"/>
        <v>New</v>
      </c>
    </row>
    <row r="664" ht="14.25" customHeight="1">
      <c r="A664" s="5">
        <v>429291.0</v>
      </c>
      <c r="B664" s="6" t="s">
        <v>10851</v>
      </c>
      <c r="C664" s="6" t="s">
        <v>29</v>
      </c>
      <c r="D664" s="6">
        <v>30885.0</v>
      </c>
      <c r="E664" s="6" t="s">
        <v>77</v>
      </c>
      <c r="F664" s="6" t="s">
        <v>54</v>
      </c>
      <c r="G664" s="6" t="s">
        <v>21</v>
      </c>
      <c r="H664" s="7">
        <v>1513.0</v>
      </c>
      <c r="I664" s="7">
        <v>6424.0</v>
      </c>
      <c r="J664" s="6">
        <v>2007.0</v>
      </c>
      <c r="K664" s="6">
        <v>77.0</v>
      </c>
      <c r="L664" s="6" t="s">
        <v>95</v>
      </c>
      <c r="M664" s="6" t="s">
        <v>10852</v>
      </c>
      <c r="N664" s="6" t="s">
        <v>64</v>
      </c>
      <c r="O664" s="6" t="s">
        <v>25</v>
      </c>
      <c r="P664" s="6">
        <f>COUNTIF(Analysis!$M$1:$M$3001,Analysis!$M2704)</f>
        <v>1</v>
      </c>
      <c r="Q664" s="6" t="str">
        <f>IF(COUNTIF(Analysis!$M$2:$M$3001,Analysis!$M2704)&gt;1,"Duplicate","OK")</f>
        <v>OK</v>
      </c>
      <c r="R664" s="6" t="str">
        <f t="shared" si="1"/>
        <v>600-1600</v>
      </c>
      <c r="S664" s="6">
        <f t="shared" si="2"/>
        <v>19</v>
      </c>
      <c r="T664" s="6" t="str">
        <f t="shared" si="3"/>
        <v>Mid</v>
      </c>
    </row>
    <row r="665" ht="14.25" customHeight="1">
      <c r="A665" s="5">
        <v>706540.0</v>
      </c>
      <c r="B665" s="6" t="s">
        <v>2699</v>
      </c>
      <c r="C665" s="6" t="s">
        <v>53</v>
      </c>
      <c r="D665" s="6">
        <v>78631.0</v>
      </c>
      <c r="E665" s="6" t="s">
        <v>30</v>
      </c>
      <c r="F665" s="6" t="s">
        <v>41</v>
      </c>
      <c r="G665" s="6" t="s">
        <v>55</v>
      </c>
      <c r="H665" s="7">
        <v>1924.0</v>
      </c>
      <c r="I665" s="7">
        <v>3685.0</v>
      </c>
      <c r="J665" s="6">
        <v>1966.0</v>
      </c>
      <c r="K665" s="6">
        <v>83.0</v>
      </c>
      <c r="L665" s="6" t="s">
        <v>141</v>
      </c>
      <c r="M665" s="6" t="s">
        <v>2700</v>
      </c>
      <c r="N665" s="6" t="s">
        <v>34</v>
      </c>
      <c r="O665" s="6" t="s">
        <v>25</v>
      </c>
      <c r="P665" s="6">
        <f>COUNTIF(Analysis!$M$1:$M$3001,Analysis!$M665)</f>
        <v>1</v>
      </c>
      <c r="Q665" s="6" t="str">
        <f>IF(COUNTIF(Analysis!$M$2:$M$3001,Analysis!$M665)&gt;1,"Duplicate","OK")</f>
        <v>OK</v>
      </c>
      <c r="R665" s="6" t="str">
        <f t="shared" si="1"/>
        <v>1600-2600</v>
      </c>
      <c r="S665" s="6">
        <f t="shared" si="2"/>
        <v>60</v>
      </c>
      <c r="T665" s="6" t="str">
        <f t="shared" si="3"/>
        <v>Old</v>
      </c>
    </row>
    <row r="666" ht="14.25" customHeight="1">
      <c r="A666" s="5">
        <v>798896.0</v>
      </c>
      <c r="B666" s="6" t="s">
        <v>2703</v>
      </c>
      <c r="C666" s="6" t="s">
        <v>39</v>
      </c>
      <c r="D666" s="6">
        <v>15377.0</v>
      </c>
      <c r="E666" s="6" t="s">
        <v>30</v>
      </c>
      <c r="F666" s="6" t="s">
        <v>54</v>
      </c>
      <c r="G666" s="6" t="s">
        <v>31</v>
      </c>
      <c r="H666" s="7">
        <v>2100.0</v>
      </c>
      <c r="I666" s="7">
        <v>3409.0</v>
      </c>
      <c r="J666" s="6">
        <v>1971.0</v>
      </c>
      <c r="K666" s="6">
        <v>58.0</v>
      </c>
      <c r="L666" s="6" t="s">
        <v>95</v>
      </c>
      <c r="M666" s="6" t="s">
        <v>2704</v>
      </c>
      <c r="N666" s="6" t="s">
        <v>48</v>
      </c>
      <c r="O666" s="6" t="s">
        <v>49</v>
      </c>
      <c r="P666" s="6">
        <f>COUNTIF(Analysis!$M$1:$M$3001,Analysis!$M666)</f>
        <v>1</v>
      </c>
      <c r="Q666" s="6" t="str">
        <f>IF(COUNTIF(Analysis!$M$2:$M$3001,Analysis!$M666)&gt;1,"Duplicate","OK")</f>
        <v>OK</v>
      </c>
      <c r="R666" s="6" t="str">
        <f t="shared" si="1"/>
        <v>1600-2600</v>
      </c>
      <c r="S666" s="6">
        <f t="shared" si="2"/>
        <v>55</v>
      </c>
      <c r="T666" s="6" t="str">
        <f t="shared" si="3"/>
        <v>Old</v>
      </c>
    </row>
    <row r="667" ht="14.25" customHeight="1">
      <c r="A667" s="5">
        <v>437137.0</v>
      </c>
      <c r="B667" s="6" t="s">
        <v>6257</v>
      </c>
      <c r="C667" s="6" t="s">
        <v>29</v>
      </c>
      <c r="D667" s="6">
        <v>78357.0</v>
      </c>
      <c r="E667" s="6" t="s">
        <v>19</v>
      </c>
      <c r="F667" s="6" t="s">
        <v>20</v>
      </c>
      <c r="G667" s="6" t="s">
        <v>55</v>
      </c>
      <c r="H667" s="7">
        <v>1575.0</v>
      </c>
      <c r="I667" s="7">
        <v>5478.0</v>
      </c>
      <c r="J667" s="6">
        <v>2011.0</v>
      </c>
      <c r="K667" s="6">
        <v>10.0</v>
      </c>
      <c r="L667" s="6" t="s">
        <v>62</v>
      </c>
      <c r="M667" s="6" t="s">
        <v>6258</v>
      </c>
      <c r="N667" s="6" t="s">
        <v>34</v>
      </c>
      <c r="O667" s="6" t="s">
        <v>25</v>
      </c>
      <c r="P667" s="6">
        <f>COUNTIF(Analysis!$M$1:$M$3001,Analysis!$M1555)</f>
        <v>1</v>
      </c>
      <c r="Q667" s="6" t="str">
        <f>IF(COUNTIF(Analysis!$M$2:$M$3001,Analysis!$M1555)&gt;1,"Duplicate","OK")</f>
        <v>OK</v>
      </c>
      <c r="R667" s="6" t="str">
        <f t="shared" si="1"/>
        <v>600-1600</v>
      </c>
      <c r="S667" s="6">
        <f t="shared" si="2"/>
        <v>15</v>
      </c>
      <c r="T667" s="6" t="str">
        <f t="shared" si="3"/>
        <v>Mid</v>
      </c>
    </row>
    <row r="668" ht="14.25" customHeight="1">
      <c r="A668" s="5">
        <v>1076134.0</v>
      </c>
      <c r="B668" s="6" t="s">
        <v>2711</v>
      </c>
      <c r="C668" s="6" t="s">
        <v>76</v>
      </c>
      <c r="D668" s="6">
        <v>32018.0</v>
      </c>
      <c r="E668" s="6" t="s">
        <v>30</v>
      </c>
      <c r="F668" s="6" t="s">
        <v>20</v>
      </c>
      <c r="G668" s="6" t="s">
        <v>100</v>
      </c>
      <c r="H668" s="7">
        <v>1462.0</v>
      </c>
      <c r="I668" s="7">
        <v>4169.0</v>
      </c>
      <c r="J668" s="6">
        <v>1998.0</v>
      </c>
      <c r="K668" s="6">
        <v>27.0</v>
      </c>
      <c r="L668" s="6" t="s">
        <v>22</v>
      </c>
      <c r="M668" s="6" t="s">
        <v>2712</v>
      </c>
      <c r="N668" s="6" t="s">
        <v>24</v>
      </c>
      <c r="O668" s="6" t="s">
        <v>35</v>
      </c>
      <c r="P668" s="6">
        <f>COUNTIF(Analysis!$M$1:$M$3001,Analysis!$M668)</f>
        <v>1</v>
      </c>
      <c r="Q668" s="6" t="str">
        <f>IF(COUNTIF(Analysis!$M$2:$M$3001,Analysis!$M668)&gt;1,"Duplicate","OK")</f>
        <v>OK</v>
      </c>
      <c r="R668" s="6" t="str">
        <f t="shared" si="1"/>
        <v>600-1600</v>
      </c>
      <c r="S668" s="6">
        <f t="shared" si="2"/>
        <v>28</v>
      </c>
      <c r="T668" s="6" t="str">
        <f t="shared" si="3"/>
        <v>Mid</v>
      </c>
    </row>
    <row r="669" ht="14.25" customHeight="1">
      <c r="A669" s="5">
        <v>213805.0</v>
      </c>
      <c r="B669" s="6" t="s">
        <v>2715</v>
      </c>
      <c r="C669" s="6" t="s">
        <v>39</v>
      </c>
      <c r="D669" s="6">
        <v>31318.0</v>
      </c>
      <c r="E669" s="6" t="s">
        <v>19</v>
      </c>
      <c r="F669" s="6" t="s">
        <v>61</v>
      </c>
      <c r="G669" s="6" t="s">
        <v>31</v>
      </c>
      <c r="H669" s="7">
        <v>1543.0</v>
      </c>
      <c r="I669" s="7">
        <v>8855.0</v>
      </c>
      <c r="J669" s="6">
        <v>1957.0</v>
      </c>
      <c r="K669" s="6">
        <v>38.0</v>
      </c>
      <c r="L669" s="6" t="s">
        <v>22</v>
      </c>
      <c r="M669" s="6" t="s">
        <v>2716</v>
      </c>
      <c r="N669" s="6" t="s">
        <v>24</v>
      </c>
      <c r="O669" s="6" t="s">
        <v>49</v>
      </c>
      <c r="P669" s="6">
        <f>COUNTIF(Analysis!$M$1:$M$3001,Analysis!$M669)</f>
        <v>1</v>
      </c>
      <c r="Q669" s="6" t="str">
        <f>IF(COUNTIF(Analysis!$M$2:$M$3001,Analysis!$M669)&gt;1,"Duplicate","OK")</f>
        <v>OK</v>
      </c>
      <c r="R669" s="6" t="str">
        <f t="shared" si="1"/>
        <v>600-1600</v>
      </c>
      <c r="S669" s="6">
        <f t="shared" si="2"/>
        <v>69</v>
      </c>
      <c r="T669" s="6" t="str">
        <f t="shared" si="3"/>
        <v>Very Old</v>
      </c>
    </row>
    <row r="670" ht="14.25" customHeight="1">
      <c r="A670" s="5">
        <v>1152978.0</v>
      </c>
      <c r="B670" s="6" t="s">
        <v>2719</v>
      </c>
      <c r="C670" s="6" t="s">
        <v>39</v>
      </c>
      <c r="D670" s="6">
        <v>80409.0</v>
      </c>
      <c r="E670" s="6" t="s">
        <v>19</v>
      </c>
      <c r="F670" s="6" t="s">
        <v>54</v>
      </c>
      <c r="G670" s="6" t="s">
        <v>21</v>
      </c>
      <c r="H670" s="7">
        <v>2535.0</v>
      </c>
      <c r="I670" s="7">
        <v>2153.0</v>
      </c>
      <c r="J670" s="6">
        <v>2011.0</v>
      </c>
      <c r="K670" s="6">
        <v>13.0</v>
      </c>
      <c r="L670" s="6" t="s">
        <v>32</v>
      </c>
      <c r="M670" s="6" t="s">
        <v>2720</v>
      </c>
      <c r="N670" s="6" t="s">
        <v>43</v>
      </c>
      <c r="O670" s="6" t="s">
        <v>35</v>
      </c>
      <c r="P670" s="6">
        <f>COUNTIF(Analysis!$M$1:$M$3001,Analysis!$M670)</f>
        <v>1</v>
      </c>
      <c r="Q670" s="6" t="str">
        <f>IF(COUNTIF(Analysis!$M$2:$M$3001,Analysis!$M670)&gt;1,"Duplicate","OK")</f>
        <v>OK</v>
      </c>
      <c r="R670" s="6" t="str">
        <f t="shared" si="1"/>
        <v>1600-2600</v>
      </c>
      <c r="S670" s="6">
        <f t="shared" si="2"/>
        <v>15</v>
      </c>
      <c r="T670" s="6" t="str">
        <f t="shared" si="3"/>
        <v>Mid</v>
      </c>
    </row>
    <row r="671" ht="14.25" customHeight="1">
      <c r="A671" s="5">
        <v>437818.0</v>
      </c>
      <c r="B671" s="6" t="s">
        <v>5255</v>
      </c>
      <c r="C671" s="6" t="s">
        <v>29</v>
      </c>
      <c r="D671" s="6">
        <v>65816.0</v>
      </c>
      <c r="E671" s="6" t="s">
        <v>40</v>
      </c>
      <c r="F671" s="6" t="s">
        <v>46</v>
      </c>
      <c r="G671" s="6" t="s">
        <v>100</v>
      </c>
      <c r="H671" s="7">
        <v>3047.0</v>
      </c>
      <c r="I671" s="7">
        <v>4867.0</v>
      </c>
      <c r="J671" s="6">
        <v>1980.0</v>
      </c>
      <c r="K671" s="6">
        <v>29.0</v>
      </c>
      <c r="L671" s="6" t="s">
        <v>95</v>
      </c>
      <c r="M671" s="6" t="s">
        <v>5256</v>
      </c>
      <c r="N671" s="6" t="s">
        <v>24</v>
      </c>
      <c r="O671" s="6" t="s">
        <v>35</v>
      </c>
      <c r="P671" s="6">
        <f>COUNTIF(Analysis!$M$1:$M$3001,Analysis!$M1304)</f>
        <v>1</v>
      </c>
      <c r="Q671" s="6" t="str">
        <f>IF(COUNTIF(Analysis!$M$2:$M$3001,Analysis!$M1304)&gt;1,"Duplicate","OK")</f>
        <v>OK</v>
      </c>
      <c r="R671" s="6" t="str">
        <f t="shared" si="1"/>
        <v>2600-3600</v>
      </c>
      <c r="S671" s="6">
        <f t="shared" si="2"/>
        <v>46</v>
      </c>
      <c r="T671" s="6" t="str">
        <f t="shared" si="3"/>
        <v>Old</v>
      </c>
    </row>
    <row r="672" ht="14.25" customHeight="1">
      <c r="A672" s="5">
        <v>440689.0</v>
      </c>
      <c r="B672" s="6" t="s">
        <v>2727</v>
      </c>
      <c r="C672" s="6" t="s">
        <v>76</v>
      </c>
      <c r="D672" s="6">
        <v>18857.0</v>
      </c>
      <c r="E672" s="6" t="s">
        <v>19</v>
      </c>
      <c r="F672" s="6" t="s">
        <v>20</v>
      </c>
      <c r="G672" s="6" t="s">
        <v>31</v>
      </c>
      <c r="H672" s="7">
        <v>1532.0</v>
      </c>
      <c r="I672" s="7">
        <v>7838.0</v>
      </c>
      <c r="J672" s="6">
        <v>1981.0</v>
      </c>
      <c r="K672" s="6">
        <v>32.0</v>
      </c>
      <c r="L672" s="6" t="s">
        <v>95</v>
      </c>
      <c r="M672" s="6" t="s">
        <v>2728</v>
      </c>
      <c r="N672" s="6" t="s">
        <v>43</v>
      </c>
      <c r="O672" s="6" t="s">
        <v>25</v>
      </c>
      <c r="P672" s="6">
        <f>COUNTIF(Analysis!$M$1:$M$3001,Analysis!$M672)</f>
        <v>1</v>
      </c>
      <c r="Q672" s="6" t="str">
        <f>IF(COUNTIF(Analysis!$M$2:$M$3001,Analysis!$M672)&gt;1,"Duplicate","OK")</f>
        <v>OK</v>
      </c>
      <c r="R672" s="6" t="str">
        <f t="shared" si="1"/>
        <v>600-1600</v>
      </c>
      <c r="S672" s="6">
        <f t="shared" si="2"/>
        <v>45</v>
      </c>
      <c r="T672" s="6" t="str">
        <f t="shared" si="3"/>
        <v>Old</v>
      </c>
    </row>
    <row r="673" ht="14.25" customHeight="1">
      <c r="A673" s="5">
        <v>638010.0</v>
      </c>
      <c r="B673" s="6" t="s">
        <v>2731</v>
      </c>
      <c r="C673" s="6" t="s">
        <v>39</v>
      </c>
      <c r="D673" s="6">
        <v>93308.0</v>
      </c>
      <c r="E673" s="6" t="s">
        <v>60</v>
      </c>
      <c r="F673" s="6" t="s">
        <v>61</v>
      </c>
      <c r="G673" s="6" t="s">
        <v>55</v>
      </c>
      <c r="H673" s="7">
        <v>1639.0</v>
      </c>
      <c r="I673" s="7">
        <v>7177.0</v>
      </c>
      <c r="J673" s="6">
        <v>1954.0</v>
      </c>
      <c r="K673" s="6">
        <v>68.0</v>
      </c>
      <c r="L673" s="6" t="s">
        <v>32</v>
      </c>
      <c r="M673" s="6" t="s">
        <v>2732</v>
      </c>
      <c r="N673" s="6" t="s">
        <v>24</v>
      </c>
      <c r="O673" s="6" t="s">
        <v>35</v>
      </c>
      <c r="P673" s="6">
        <f>COUNTIF(Analysis!$M$1:$M$3001,Analysis!$M673)</f>
        <v>1</v>
      </c>
      <c r="Q673" s="6" t="str">
        <f>IF(COUNTIF(Analysis!$M$2:$M$3001,Analysis!$M673)&gt;1,"Duplicate","OK")</f>
        <v>OK</v>
      </c>
      <c r="R673" s="6" t="str">
        <f t="shared" si="1"/>
        <v>1600-2600</v>
      </c>
      <c r="S673" s="6">
        <f t="shared" si="2"/>
        <v>72</v>
      </c>
      <c r="T673" s="6" t="str">
        <f t="shared" si="3"/>
        <v>Very Old</v>
      </c>
    </row>
    <row r="674" ht="14.25" customHeight="1">
      <c r="A674" s="5">
        <v>883012.0</v>
      </c>
      <c r="B674" s="6" t="s">
        <v>2735</v>
      </c>
      <c r="C674" s="6" t="s">
        <v>76</v>
      </c>
      <c r="D674" s="6">
        <v>66275.0</v>
      </c>
      <c r="E674" s="6" t="s">
        <v>40</v>
      </c>
      <c r="F674" s="6" t="s">
        <v>54</v>
      </c>
      <c r="G674" s="6" t="s">
        <v>100</v>
      </c>
      <c r="H674" s="7">
        <v>2177.0</v>
      </c>
      <c r="I674" s="7">
        <v>3011.0</v>
      </c>
      <c r="J674" s="6">
        <v>1969.0</v>
      </c>
      <c r="K674" s="6">
        <v>84.0</v>
      </c>
      <c r="L674" s="6" t="s">
        <v>62</v>
      </c>
      <c r="M674" s="6" t="s">
        <v>2736</v>
      </c>
      <c r="N674" s="6" t="s">
        <v>34</v>
      </c>
      <c r="O674" s="6" t="s">
        <v>35</v>
      </c>
      <c r="P674" s="6">
        <f>COUNTIF(Analysis!$M$1:$M$3001,Analysis!$M674)</f>
        <v>1</v>
      </c>
      <c r="Q674" s="6" t="str">
        <f>IF(COUNTIF(Analysis!$M$2:$M$3001,Analysis!$M674)&gt;1,"Duplicate","OK")</f>
        <v>OK</v>
      </c>
      <c r="R674" s="6" t="str">
        <f t="shared" si="1"/>
        <v>1600-2600</v>
      </c>
      <c r="S674" s="6">
        <f t="shared" si="2"/>
        <v>57</v>
      </c>
      <c r="T674" s="6" t="str">
        <f t="shared" si="3"/>
        <v>Old</v>
      </c>
    </row>
    <row r="675" ht="14.25" customHeight="1">
      <c r="A675" s="5">
        <v>546284.0</v>
      </c>
      <c r="B675" s="6" t="s">
        <v>2739</v>
      </c>
      <c r="C675" s="6" t="s">
        <v>18</v>
      </c>
      <c r="D675" s="6">
        <v>76029.0</v>
      </c>
      <c r="E675" s="6" t="s">
        <v>40</v>
      </c>
      <c r="F675" s="6" t="s">
        <v>94</v>
      </c>
      <c r="G675" s="6" t="s">
        <v>100</v>
      </c>
      <c r="H675" s="7">
        <v>2040.0</v>
      </c>
      <c r="I675" s="7">
        <v>9298.0</v>
      </c>
      <c r="J675" s="6">
        <v>2011.0</v>
      </c>
      <c r="K675" s="6">
        <v>113.0</v>
      </c>
      <c r="L675" s="6" t="s">
        <v>95</v>
      </c>
      <c r="M675" s="6" t="s">
        <v>2740</v>
      </c>
      <c r="N675" s="6" t="s">
        <v>43</v>
      </c>
      <c r="O675" s="6" t="s">
        <v>25</v>
      </c>
      <c r="P675" s="6">
        <f>COUNTIF(Analysis!$M$1:$M$3001,Analysis!$M675)</f>
        <v>1</v>
      </c>
      <c r="Q675" s="6" t="str">
        <f>IF(COUNTIF(Analysis!$M$2:$M$3001,Analysis!$M675)&gt;1,"Duplicate","OK")</f>
        <v>OK</v>
      </c>
      <c r="R675" s="6" t="str">
        <f t="shared" si="1"/>
        <v>1600-2600</v>
      </c>
      <c r="S675" s="6">
        <f t="shared" si="2"/>
        <v>15</v>
      </c>
      <c r="T675" s="6" t="str">
        <f t="shared" si="3"/>
        <v>Mid</v>
      </c>
    </row>
    <row r="676" ht="14.25" customHeight="1">
      <c r="A676" s="5">
        <v>392126.0</v>
      </c>
      <c r="B676" s="6" t="s">
        <v>2743</v>
      </c>
      <c r="C676" s="6" t="s">
        <v>53</v>
      </c>
      <c r="D676" s="6">
        <v>83251.0</v>
      </c>
      <c r="E676" s="6" t="s">
        <v>30</v>
      </c>
      <c r="F676" s="6" t="s">
        <v>54</v>
      </c>
      <c r="G676" s="6" t="s">
        <v>31</v>
      </c>
      <c r="H676" s="7">
        <v>1545.0</v>
      </c>
      <c r="I676" s="7">
        <v>7035.0</v>
      </c>
      <c r="J676" s="6">
        <v>1997.0</v>
      </c>
      <c r="K676" s="6">
        <v>33.0</v>
      </c>
      <c r="L676" s="6" t="s">
        <v>32</v>
      </c>
      <c r="M676" s="6" t="s">
        <v>2744</v>
      </c>
      <c r="N676" s="6" t="s">
        <v>64</v>
      </c>
      <c r="O676" s="6" t="s">
        <v>25</v>
      </c>
      <c r="P676" s="6">
        <f>COUNTIF(Analysis!$M$1:$M$3001,Analysis!$M676)</f>
        <v>1</v>
      </c>
      <c r="Q676" s="6" t="str">
        <f>IF(COUNTIF(Analysis!$M$2:$M$3001,Analysis!$M676)&gt;1,"Duplicate","OK")</f>
        <v>OK</v>
      </c>
      <c r="R676" s="6" t="str">
        <f t="shared" si="1"/>
        <v>600-1600</v>
      </c>
      <c r="S676" s="6">
        <f t="shared" si="2"/>
        <v>29</v>
      </c>
      <c r="T676" s="6" t="str">
        <f t="shared" si="3"/>
        <v>Mid</v>
      </c>
    </row>
    <row r="677" ht="14.25" customHeight="1">
      <c r="A677" s="5">
        <v>1105600.0</v>
      </c>
      <c r="B677" s="6" t="s">
        <v>2747</v>
      </c>
      <c r="C677" s="6" t="s">
        <v>76</v>
      </c>
      <c r="D677" s="6">
        <v>63073.0</v>
      </c>
      <c r="E677" s="6" t="s">
        <v>19</v>
      </c>
      <c r="F677" s="6" t="s">
        <v>54</v>
      </c>
      <c r="G677" s="6" t="s">
        <v>100</v>
      </c>
      <c r="H677" s="7">
        <v>3888.0</v>
      </c>
      <c r="I677" s="7">
        <v>4824.0</v>
      </c>
      <c r="J677" s="6">
        <v>1961.0</v>
      </c>
      <c r="K677" s="6">
        <v>56.0</v>
      </c>
      <c r="L677" s="6" t="s">
        <v>95</v>
      </c>
      <c r="M677" s="6" t="s">
        <v>2748</v>
      </c>
      <c r="N677" s="6" t="s">
        <v>64</v>
      </c>
      <c r="O677" s="6" t="s">
        <v>35</v>
      </c>
      <c r="P677" s="6">
        <f>COUNTIF(Analysis!$M$1:$M$3001,Analysis!$M677)</f>
        <v>1</v>
      </c>
      <c r="Q677" s="6" t="str">
        <f>IF(COUNTIF(Analysis!$M$2:$M$3001,Analysis!$M677)&gt;1,"Duplicate","OK")</f>
        <v>OK</v>
      </c>
      <c r="R677" s="6" t="str">
        <f t="shared" si="1"/>
        <v>3600+</v>
      </c>
      <c r="S677" s="6">
        <f t="shared" si="2"/>
        <v>65</v>
      </c>
      <c r="T677" s="6" t="str">
        <f t="shared" si="3"/>
        <v>Very Old</v>
      </c>
    </row>
    <row r="678" ht="14.25" customHeight="1">
      <c r="A678" s="5">
        <v>936991.0</v>
      </c>
      <c r="B678" s="6" t="s">
        <v>2751</v>
      </c>
      <c r="C678" s="6" t="s">
        <v>39</v>
      </c>
      <c r="D678" s="6">
        <v>37843.0</v>
      </c>
      <c r="E678" s="6" t="s">
        <v>40</v>
      </c>
      <c r="F678" s="6" t="s">
        <v>20</v>
      </c>
      <c r="G678" s="6" t="s">
        <v>55</v>
      </c>
      <c r="H678" s="7">
        <v>3975.0</v>
      </c>
      <c r="I678" s="7">
        <v>3716.0</v>
      </c>
      <c r="J678" s="6">
        <v>1967.0</v>
      </c>
      <c r="K678" s="6">
        <v>108.0</v>
      </c>
      <c r="L678" s="6" t="s">
        <v>62</v>
      </c>
      <c r="M678" s="6" t="s">
        <v>2752</v>
      </c>
      <c r="N678" s="6" t="s">
        <v>64</v>
      </c>
      <c r="O678" s="6" t="s">
        <v>35</v>
      </c>
      <c r="P678" s="6">
        <f>COUNTIF(Analysis!$M$1:$M$3001,Analysis!$M678)</f>
        <v>1</v>
      </c>
      <c r="Q678" s="6" t="str">
        <f>IF(COUNTIF(Analysis!$M$2:$M$3001,Analysis!$M678)&gt;1,"Duplicate","OK")</f>
        <v>OK</v>
      </c>
      <c r="R678" s="6" t="str">
        <f t="shared" si="1"/>
        <v>3600+</v>
      </c>
      <c r="S678" s="6">
        <f t="shared" si="2"/>
        <v>59</v>
      </c>
      <c r="T678" s="6" t="str">
        <f t="shared" si="3"/>
        <v>Old</v>
      </c>
    </row>
    <row r="679" ht="14.25" customHeight="1">
      <c r="A679" s="5">
        <v>1203446.0</v>
      </c>
      <c r="B679" s="6" t="s">
        <v>2755</v>
      </c>
      <c r="C679" s="6" t="s">
        <v>39</v>
      </c>
      <c r="D679" s="6">
        <v>98024.0</v>
      </c>
      <c r="E679" s="6" t="s">
        <v>77</v>
      </c>
      <c r="F679" s="6" t="s">
        <v>94</v>
      </c>
      <c r="G679" s="6" t="s">
        <v>31</v>
      </c>
      <c r="H679" s="7">
        <v>1493.0</v>
      </c>
      <c r="I679" s="7">
        <v>6406.0</v>
      </c>
      <c r="J679" s="6">
        <v>2015.0</v>
      </c>
      <c r="K679" s="6">
        <v>91.0</v>
      </c>
      <c r="L679" s="6" t="s">
        <v>141</v>
      </c>
      <c r="M679" s="6" t="s">
        <v>2756</v>
      </c>
      <c r="N679" s="6" t="s">
        <v>34</v>
      </c>
      <c r="O679" s="6" t="s">
        <v>35</v>
      </c>
      <c r="P679" s="6">
        <f>COUNTIF(Analysis!$M$1:$M$3001,Analysis!$M679)</f>
        <v>1</v>
      </c>
      <c r="Q679" s="6" t="str">
        <f>IF(COUNTIF(Analysis!$M$2:$M$3001,Analysis!$M679)&gt;1,"Duplicate","OK")</f>
        <v>OK</v>
      </c>
      <c r="R679" s="6" t="str">
        <f t="shared" si="1"/>
        <v>600-1600</v>
      </c>
      <c r="S679" s="6">
        <f t="shared" si="2"/>
        <v>11</v>
      </c>
      <c r="T679" s="6" t="str">
        <f t="shared" si="3"/>
        <v>Mid</v>
      </c>
    </row>
    <row r="680" ht="14.25" customHeight="1">
      <c r="A680" s="5">
        <v>1456198.0</v>
      </c>
      <c r="B680" s="6" t="s">
        <v>2759</v>
      </c>
      <c r="C680" s="6" t="s">
        <v>18</v>
      </c>
      <c r="D680" s="6">
        <v>77634.0</v>
      </c>
      <c r="E680" s="6" t="s">
        <v>30</v>
      </c>
      <c r="F680" s="6" t="s">
        <v>46</v>
      </c>
      <c r="G680" s="6" t="s">
        <v>21</v>
      </c>
      <c r="H680" s="7">
        <v>3913.0</v>
      </c>
      <c r="I680" s="7">
        <v>8178.0</v>
      </c>
      <c r="J680" s="6">
        <v>2012.0</v>
      </c>
      <c r="K680" s="6">
        <v>4.0</v>
      </c>
      <c r="L680" s="6" t="s">
        <v>141</v>
      </c>
      <c r="M680" s="6" t="s">
        <v>2760</v>
      </c>
      <c r="N680" s="6" t="s">
        <v>24</v>
      </c>
      <c r="O680" s="6" t="s">
        <v>35</v>
      </c>
      <c r="P680" s="6">
        <f>COUNTIF(Analysis!$M$1:$M$3001,Analysis!$M680)</f>
        <v>1</v>
      </c>
      <c r="Q680" s="6" t="str">
        <f>IF(COUNTIF(Analysis!$M$2:$M$3001,Analysis!$M680)&gt;1,"Duplicate","OK")</f>
        <v>OK</v>
      </c>
      <c r="R680" s="6" t="str">
        <f t="shared" si="1"/>
        <v>3600+</v>
      </c>
      <c r="S680" s="6">
        <f t="shared" si="2"/>
        <v>14</v>
      </c>
      <c r="T680" s="6" t="str">
        <f t="shared" si="3"/>
        <v>Mid</v>
      </c>
    </row>
    <row r="681" ht="14.25" customHeight="1">
      <c r="A681" s="5">
        <v>422981.0</v>
      </c>
      <c r="B681" s="6" t="s">
        <v>2763</v>
      </c>
      <c r="C681" s="6" t="s">
        <v>18</v>
      </c>
      <c r="D681" s="6">
        <v>87315.0</v>
      </c>
      <c r="E681" s="6" t="s">
        <v>40</v>
      </c>
      <c r="F681" s="6" t="s">
        <v>94</v>
      </c>
      <c r="G681" s="6" t="s">
        <v>21</v>
      </c>
      <c r="H681" s="7">
        <v>1375.0</v>
      </c>
      <c r="I681" s="7">
        <v>8044.0</v>
      </c>
      <c r="J681" s="6">
        <v>1983.0</v>
      </c>
      <c r="K681" s="6">
        <v>9.0</v>
      </c>
      <c r="L681" s="6" t="s">
        <v>141</v>
      </c>
      <c r="M681" s="6" t="s">
        <v>2764</v>
      </c>
      <c r="N681" s="6" t="s">
        <v>34</v>
      </c>
      <c r="O681" s="6" t="s">
        <v>25</v>
      </c>
      <c r="P681" s="6">
        <f>COUNTIF(Analysis!$M$1:$M$3001,Analysis!$M681)</f>
        <v>1</v>
      </c>
      <c r="Q681" s="6" t="str">
        <f>IF(COUNTIF(Analysis!$M$2:$M$3001,Analysis!$M681)&gt;1,"Duplicate","OK")</f>
        <v>OK</v>
      </c>
      <c r="R681" s="6" t="str">
        <f t="shared" si="1"/>
        <v>600-1600</v>
      </c>
      <c r="S681" s="6">
        <f t="shared" si="2"/>
        <v>43</v>
      </c>
      <c r="T681" s="6" t="str">
        <f t="shared" si="3"/>
        <v>Old</v>
      </c>
    </row>
    <row r="682" ht="14.25" customHeight="1">
      <c r="A682" s="5">
        <v>441126.0</v>
      </c>
      <c r="B682" s="6" t="s">
        <v>10331</v>
      </c>
      <c r="C682" s="6" t="s">
        <v>29</v>
      </c>
      <c r="D682" s="6">
        <v>87777.0</v>
      </c>
      <c r="E682" s="6" t="s">
        <v>30</v>
      </c>
      <c r="F682" s="6" t="s">
        <v>54</v>
      </c>
      <c r="G682" s="6" t="s">
        <v>100</v>
      </c>
      <c r="H682" s="7">
        <v>3737.0</v>
      </c>
      <c r="I682" s="7">
        <v>9711.0</v>
      </c>
      <c r="J682" s="6">
        <v>1968.0</v>
      </c>
      <c r="K682" s="6">
        <v>109.0</v>
      </c>
      <c r="L682" s="6" t="s">
        <v>22</v>
      </c>
      <c r="M682" s="6" t="s">
        <v>10332</v>
      </c>
      <c r="N682" s="6" t="s">
        <v>24</v>
      </c>
      <c r="O682" s="6" t="s">
        <v>35</v>
      </c>
      <c r="P682" s="6">
        <f>COUNTIF(Analysis!$M$1:$M$3001,Analysis!$M2574)</f>
        <v>1</v>
      </c>
      <c r="Q682" s="6" t="str">
        <f>IF(COUNTIF(Analysis!$M$2:$M$3001,Analysis!$M2574)&gt;1,"Duplicate","OK")</f>
        <v>OK</v>
      </c>
      <c r="R682" s="6" t="str">
        <f t="shared" si="1"/>
        <v>3600+</v>
      </c>
      <c r="S682" s="6">
        <f t="shared" si="2"/>
        <v>58</v>
      </c>
      <c r="T682" s="6" t="str">
        <f t="shared" si="3"/>
        <v>Old</v>
      </c>
    </row>
    <row r="683" ht="14.25" customHeight="1">
      <c r="A683" s="5">
        <v>562937.0</v>
      </c>
      <c r="B683" s="6" t="s">
        <v>2771</v>
      </c>
      <c r="C683" s="6" t="s">
        <v>39</v>
      </c>
      <c r="D683" s="6">
        <v>63240.0</v>
      </c>
      <c r="E683" s="6" t="s">
        <v>40</v>
      </c>
      <c r="F683" s="6" t="s">
        <v>46</v>
      </c>
      <c r="G683" s="6" t="s">
        <v>100</v>
      </c>
      <c r="H683" s="7">
        <v>3915.0</v>
      </c>
      <c r="I683" s="7">
        <v>2748.0</v>
      </c>
      <c r="J683" s="6">
        <v>2010.0</v>
      </c>
      <c r="K683" s="6">
        <v>43.0</v>
      </c>
      <c r="L683" s="6" t="s">
        <v>32</v>
      </c>
      <c r="M683" s="6" t="s">
        <v>2772</v>
      </c>
      <c r="N683" s="6" t="s">
        <v>24</v>
      </c>
      <c r="O683" s="6" t="s">
        <v>35</v>
      </c>
      <c r="P683" s="6">
        <f>COUNTIF(Analysis!$M$1:$M$3001,Analysis!$M683)</f>
        <v>1</v>
      </c>
      <c r="Q683" s="6" t="str">
        <f>IF(COUNTIF(Analysis!$M$2:$M$3001,Analysis!$M683)&gt;1,"Duplicate","OK")</f>
        <v>OK</v>
      </c>
      <c r="R683" s="6" t="str">
        <f t="shared" si="1"/>
        <v>3600+</v>
      </c>
      <c r="S683" s="6">
        <f t="shared" si="2"/>
        <v>16</v>
      </c>
      <c r="T683" s="6" t="str">
        <f t="shared" si="3"/>
        <v>Mid</v>
      </c>
    </row>
    <row r="684" ht="14.25" customHeight="1">
      <c r="A684" s="5">
        <v>1222304.0</v>
      </c>
      <c r="B684" s="6" t="s">
        <v>2775</v>
      </c>
      <c r="C684" s="6" t="s">
        <v>76</v>
      </c>
      <c r="D684" s="6">
        <v>89641.0</v>
      </c>
      <c r="E684" s="6" t="s">
        <v>30</v>
      </c>
      <c r="F684" s="6" t="s">
        <v>54</v>
      </c>
      <c r="G684" s="6" t="s">
        <v>21</v>
      </c>
      <c r="H684" s="7">
        <v>3640.0</v>
      </c>
      <c r="I684" s="7">
        <v>5324.0</v>
      </c>
      <c r="J684" s="6">
        <v>2009.0</v>
      </c>
      <c r="K684" s="6">
        <v>99.0</v>
      </c>
      <c r="L684" s="6" t="s">
        <v>95</v>
      </c>
      <c r="M684" s="6" t="s">
        <v>2776</v>
      </c>
      <c r="N684" s="6" t="s">
        <v>34</v>
      </c>
      <c r="O684" s="6" t="s">
        <v>35</v>
      </c>
      <c r="P684" s="6">
        <f>COUNTIF(Analysis!$M$1:$M$3001,Analysis!$M684)</f>
        <v>1</v>
      </c>
      <c r="Q684" s="6" t="str">
        <f>IF(COUNTIF(Analysis!$M$2:$M$3001,Analysis!$M684)&gt;1,"Duplicate","OK")</f>
        <v>OK</v>
      </c>
      <c r="R684" s="6" t="str">
        <f t="shared" si="1"/>
        <v>3600+</v>
      </c>
      <c r="S684" s="6">
        <f t="shared" si="2"/>
        <v>17</v>
      </c>
      <c r="T684" s="6" t="str">
        <f t="shared" si="3"/>
        <v>Mid</v>
      </c>
    </row>
    <row r="685" ht="14.25" customHeight="1">
      <c r="A685" s="5">
        <v>560234.0</v>
      </c>
      <c r="B685" s="6" t="s">
        <v>2779</v>
      </c>
      <c r="C685" s="6" t="s">
        <v>39</v>
      </c>
      <c r="D685" s="6">
        <v>76866.0</v>
      </c>
      <c r="E685" s="6" t="s">
        <v>40</v>
      </c>
      <c r="F685" s="6" t="s">
        <v>20</v>
      </c>
      <c r="G685" s="6" t="s">
        <v>100</v>
      </c>
      <c r="H685" s="7">
        <v>1613.0</v>
      </c>
      <c r="I685" s="7">
        <v>1303.0</v>
      </c>
      <c r="J685" s="6">
        <v>1958.0</v>
      </c>
      <c r="K685" s="6">
        <v>116.0</v>
      </c>
      <c r="L685" s="6" t="s">
        <v>141</v>
      </c>
      <c r="M685" s="6" t="s">
        <v>2780</v>
      </c>
      <c r="N685" s="6" t="s">
        <v>64</v>
      </c>
      <c r="O685" s="6" t="s">
        <v>35</v>
      </c>
      <c r="P685" s="6">
        <f>COUNTIF(Analysis!$M$1:$M$3001,Analysis!$M685)</f>
        <v>1</v>
      </c>
      <c r="Q685" s="6" t="str">
        <f>IF(COUNTIF(Analysis!$M$2:$M$3001,Analysis!$M685)&gt;1,"Duplicate","OK")</f>
        <v>OK</v>
      </c>
      <c r="R685" s="6" t="str">
        <f t="shared" si="1"/>
        <v>1600-2600</v>
      </c>
      <c r="S685" s="6">
        <f t="shared" si="2"/>
        <v>68</v>
      </c>
      <c r="T685" s="6" t="str">
        <f t="shared" si="3"/>
        <v>Very Old</v>
      </c>
    </row>
    <row r="686" ht="14.25" customHeight="1">
      <c r="A686" s="5">
        <v>166868.0</v>
      </c>
      <c r="B686" s="6" t="s">
        <v>2783</v>
      </c>
      <c r="C686" s="6" t="s">
        <v>39</v>
      </c>
      <c r="D686" s="6">
        <v>77255.0</v>
      </c>
      <c r="E686" s="6" t="s">
        <v>30</v>
      </c>
      <c r="F686" s="6" t="s">
        <v>20</v>
      </c>
      <c r="G686" s="6" t="s">
        <v>55</v>
      </c>
      <c r="H686" s="7">
        <v>2586.0</v>
      </c>
      <c r="I686" s="7">
        <v>9278.0</v>
      </c>
      <c r="J686" s="6">
        <v>2014.0</v>
      </c>
      <c r="K686" s="6">
        <v>115.0</v>
      </c>
      <c r="L686" s="6" t="s">
        <v>62</v>
      </c>
      <c r="M686" s="6" t="s">
        <v>2784</v>
      </c>
      <c r="N686" s="6" t="s">
        <v>48</v>
      </c>
      <c r="O686" s="6" t="s">
        <v>25</v>
      </c>
      <c r="P686" s="6">
        <f>COUNTIF(Analysis!$M$1:$M$3001,Analysis!$M686)</f>
        <v>1</v>
      </c>
      <c r="Q686" s="6" t="str">
        <f>IF(COUNTIF(Analysis!$M$2:$M$3001,Analysis!$M686)&gt;1,"Duplicate","OK")</f>
        <v>OK</v>
      </c>
      <c r="R686" s="6" t="str">
        <f t="shared" si="1"/>
        <v>1600-2600</v>
      </c>
      <c r="S686" s="6">
        <f t="shared" si="2"/>
        <v>12</v>
      </c>
      <c r="T686" s="6" t="str">
        <f t="shared" si="3"/>
        <v>Mid</v>
      </c>
    </row>
    <row r="687" ht="14.25" customHeight="1">
      <c r="A687" s="5">
        <v>524109.0</v>
      </c>
      <c r="B687" s="6" t="s">
        <v>2787</v>
      </c>
      <c r="C687" s="6" t="s">
        <v>39</v>
      </c>
      <c r="D687" s="6">
        <v>80756.0</v>
      </c>
      <c r="E687" s="6" t="s">
        <v>19</v>
      </c>
      <c r="F687" s="6" t="s">
        <v>41</v>
      </c>
      <c r="G687" s="6" t="s">
        <v>100</v>
      </c>
      <c r="H687" s="7">
        <v>2044.0</v>
      </c>
      <c r="I687" s="7">
        <v>4940.0</v>
      </c>
      <c r="J687" s="6">
        <v>2012.0</v>
      </c>
      <c r="K687" s="6">
        <v>117.0</v>
      </c>
      <c r="L687" s="6" t="s">
        <v>62</v>
      </c>
      <c r="M687" s="6" t="s">
        <v>2788</v>
      </c>
      <c r="N687" s="6" t="s">
        <v>34</v>
      </c>
      <c r="O687" s="6" t="s">
        <v>35</v>
      </c>
      <c r="P687" s="6">
        <f>COUNTIF(Analysis!$M$1:$M$3001,Analysis!$M687)</f>
        <v>1</v>
      </c>
      <c r="Q687" s="6" t="str">
        <f>IF(COUNTIF(Analysis!$M$2:$M$3001,Analysis!$M687)&gt;1,"Duplicate","OK")</f>
        <v>OK</v>
      </c>
      <c r="R687" s="6" t="str">
        <f t="shared" si="1"/>
        <v>1600-2600</v>
      </c>
      <c r="S687" s="6">
        <f t="shared" si="2"/>
        <v>14</v>
      </c>
      <c r="T687" s="6" t="str">
        <f t="shared" si="3"/>
        <v>Mid</v>
      </c>
    </row>
    <row r="688" ht="14.25" customHeight="1">
      <c r="A688" s="5">
        <v>434921.0</v>
      </c>
      <c r="B688" s="6" t="s">
        <v>2791</v>
      </c>
      <c r="C688" s="6" t="s">
        <v>53</v>
      </c>
      <c r="D688" s="6">
        <v>94803.0</v>
      </c>
      <c r="E688" s="6" t="s">
        <v>19</v>
      </c>
      <c r="F688" s="6" t="s">
        <v>46</v>
      </c>
      <c r="G688" s="6" t="s">
        <v>21</v>
      </c>
      <c r="H688" s="7">
        <v>2479.0</v>
      </c>
      <c r="I688" s="7">
        <v>5067.0</v>
      </c>
      <c r="J688" s="6">
        <v>1986.0</v>
      </c>
      <c r="K688" s="6">
        <v>38.0</v>
      </c>
      <c r="L688" s="6" t="s">
        <v>141</v>
      </c>
      <c r="M688" s="6" t="s">
        <v>2792</v>
      </c>
      <c r="N688" s="6" t="s">
        <v>43</v>
      </c>
      <c r="O688" s="6" t="s">
        <v>49</v>
      </c>
      <c r="P688" s="6">
        <f>COUNTIF(Analysis!$M$1:$M$3001,Analysis!$M688)</f>
        <v>1</v>
      </c>
      <c r="Q688" s="6" t="str">
        <f>IF(COUNTIF(Analysis!$M$2:$M$3001,Analysis!$M688)&gt;1,"Duplicate","OK")</f>
        <v>OK</v>
      </c>
      <c r="R688" s="6" t="str">
        <f t="shared" si="1"/>
        <v>1600-2600</v>
      </c>
      <c r="S688" s="6">
        <f t="shared" si="2"/>
        <v>40</v>
      </c>
      <c r="T688" s="6" t="str">
        <f t="shared" si="3"/>
        <v>Old</v>
      </c>
    </row>
    <row r="689" ht="14.25" customHeight="1">
      <c r="A689" s="5">
        <v>1083361.0</v>
      </c>
      <c r="B689" s="6" t="s">
        <v>2795</v>
      </c>
      <c r="C689" s="6" t="s">
        <v>39</v>
      </c>
      <c r="D689" s="6">
        <v>64762.0</v>
      </c>
      <c r="E689" s="6" t="s">
        <v>77</v>
      </c>
      <c r="F689" s="6" t="s">
        <v>61</v>
      </c>
      <c r="G689" s="6" t="s">
        <v>31</v>
      </c>
      <c r="H689" s="7">
        <v>1249.0</v>
      </c>
      <c r="I689" s="7">
        <v>9828.0</v>
      </c>
      <c r="J689" s="6">
        <v>1961.0</v>
      </c>
      <c r="K689" s="6">
        <v>82.0</v>
      </c>
      <c r="L689" s="6" t="s">
        <v>95</v>
      </c>
      <c r="M689" s="6" t="s">
        <v>2796</v>
      </c>
      <c r="N689" s="6" t="s">
        <v>64</v>
      </c>
      <c r="O689" s="6" t="s">
        <v>49</v>
      </c>
      <c r="P689" s="6">
        <f>COUNTIF(Analysis!$M$1:$M$3001,Analysis!$M689)</f>
        <v>1</v>
      </c>
      <c r="Q689" s="6" t="str">
        <f>IF(COUNTIF(Analysis!$M$2:$M$3001,Analysis!$M689)&gt;1,"Duplicate","OK")</f>
        <v>OK</v>
      </c>
      <c r="R689" s="6" t="str">
        <f t="shared" si="1"/>
        <v>600-1600</v>
      </c>
      <c r="S689" s="6">
        <f t="shared" si="2"/>
        <v>65</v>
      </c>
      <c r="T689" s="6" t="str">
        <f t="shared" si="3"/>
        <v>Very Old</v>
      </c>
    </row>
    <row r="690" ht="14.25" customHeight="1">
      <c r="A690" s="5">
        <v>1167836.0</v>
      </c>
      <c r="B690" s="6" t="s">
        <v>2799</v>
      </c>
      <c r="C690" s="6" t="s">
        <v>53</v>
      </c>
      <c r="D690" s="6">
        <v>68715.0</v>
      </c>
      <c r="E690" s="6" t="s">
        <v>40</v>
      </c>
      <c r="F690" s="6" t="s">
        <v>41</v>
      </c>
      <c r="G690" s="6" t="s">
        <v>55</v>
      </c>
      <c r="H690" s="7">
        <v>2283.0</v>
      </c>
      <c r="I690" s="7">
        <v>4038.0</v>
      </c>
      <c r="J690" s="6">
        <v>1953.0</v>
      </c>
      <c r="K690" s="6">
        <v>70.0</v>
      </c>
      <c r="L690" s="6" t="s">
        <v>95</v>
      </c>
      <c r="M690" s="6" t="s">
        <v>2800</v>
      </c>
      <c r="N690" s="6" t="s">
        <v>64</v>
      </c>
      <c r="O690" s="6" t="s">
        <v>35</v>
      </c>
      <c r="P690" s="6">
        <f>COUNTIF(Analysis!$M$1:$M$3001,Analysis!$M690)</f>
        <v>1</v>
      </c>
      <c r="Q690" s="6" t="str">
        <f>IF(COUNTIF(Analysis!$M$2:$M$3001,Analysis!$M690)&gt;1,"Duplicate","OK")</f>
        <v>OK</v>
      </c>
      <c r="R690" s="6" t="str">
        <f t="shared" si="1"/>
        <v>1600-2600</v>
      </c>
      <c r="S690" s="6">
        <f t="shared" si="2"/>
        <v>73</v>
      </c>
      <c r="T690" s="6" t="str">
        <f t="shared" si="3"/>
        <v>Very Old</v>
      </c>
    </row>
    <row r="691" ht="14.25" customHeight="1">
      <c r="A691" s="5">
        <v>443507.0</v>
      </c>
      <c r="B691" s="6" t="s">
        <v>7285</v>
      </c>
      <c r="C691" s="6" t="s">
        <v>29</v>
      </c>
      <c r="D691" s="6">
        <v>79704.0</v>
      </c>
      <c r="E691" s="6" t="s">
        <v>77</v>
      </c>
      <c r="F691" s="6" t="s">
        <v>46</v>
      </c>
      <c r="G691" s="6" t="s">
        <v>31</v>
      </c>
      <c r="H691" s="7">
        <v>3517.0</v>
      </c>
      <c r="I691" s="7">
        <v>1384.0</v>
      </c>
      <c r="J691" s="6">
        <v>1952.0</v>
      </c>
      <c r="K691" s="6">
        <v>111.0</v>
      </c>
      <c r="L691" s="6" t="s">
        <v>95</v>
      </c>
      <c r="M691" s="6" t="s">
        <v>7286</v>
      </c>
      <c r="N691" s="6" t="s">
        <v>64</v>
      </c>
      <c r="O691" s="6" t="s">
        <v>49</v>
      </c>
      <c r="P691" s="6">
        <f>COUNTIF(Analysis!$M$1:$M$3001,Analysis!$M1812)</f>
        <v>1</v>
      </c>
      <c r="Q691" s="6" t="str">
        <f>IF(COUNTIF(Analysis!$M$2:$M$3001,Analysis!$M1812)&gt;1,"Duplicate","OK")</f>
        <v>OK</v>
      </c>
      <c r="R691" s="6" t="str">
        <f t="shared" si="1"/>
        <v>2600-3600</v>
      </c>
      <c r="S691" s="6">
        <f t="shared" si="2"/>
        <v>74</v>
      </c>
      <c r="T691" s="6" t="str">
        <f t="shared" si="3"/>
        <v>Very Old</v>
      </c>
    </row>
    <row r="692" ht="14.25" customHeight="1">
      <c r="A692" s="5">
        <v>1281515.0</v>
      </c>
      <c r="B692" s="6" t="s">
        <v>2807</v>
      </c>
      <c r="C692" s="6" t="s">
        <v>76</v>
      </c>
      <c r="D692" s="6">
        <v>30227.0</v>
      </c>
      <c r="E692" s="6" t="s">
        <v>77</v>
      </c>
      <c r="F692" s="6" t="s">
        <v>61</v>
      </c>
      <c r="G692" s="6" t="s">
        <v>100</v>
      </c>
      <c r="H692" s="7">
        <v>3018.0</v>
      </c>
      <c r="I692" s="7">
        <v>7330.0</v>
      </c>
      <c r="J692" s="6">
        <v>1983.0</v>
      </c>
      <c r="K692" s="6">
        <v>1.0</v>
      </c>
      <c r="L692" s="6" t="s">
        <v>95</v>
      </c>
      <c r="M692" s="6" t="s">
        <v>2808</v>
      </c>
      <c r="N692" s="6" t="s">
        <v>64</v>
      </c>
      <c r="O692" s="6" t="s">
        <v>35</v>
      </c>
      <c r="P692" s="6">
        <f>COUNTIF(Analysis!$M$1:$M$3001,Analysis!$M692)</f>
        <v>1</v>
      </c>
      <c r="Q692" s="6" t="str">
        <f>IF(COUNTIF(Analysis!$M$2:$M$3001,Analysis!$M692)&gt;1,"Duplicate","OK")</f>
        <v>OK</v>
      </c>
      <c r="R692" s="6" t="str">
        <f t="shared" si="1"/>
        <v>2600-3600</v>
      </c>
      <c r="S692" s="6">
        <f t="shared" si="2"/>
        <v>43</v>
      </c>
      <c r="T692" s="6" t="str">
        <f t="shared" si="3"/>
        <v>Old</v>
      </c>
    </row>
    <row r="693" ht="14.25" customHeight="1">
      <c r="A693" s="5">
        <v>1080061.0</v>
      </c>
      <c r="B693" s="6" t="s">
        <v>2811</v>
      </c>
      <c r="C693" s="6" t="s">
        <v>76</v>
      </c>
      <c r="D693" s="6">
        <v>18441.0</v>
      </c>
      <c r="E693" s="6" t="s">
        <v>30</v>
      </c>
      <c r="F693" s="6" t="s">
        <v>46</v>
      </c>
      <c r="G693" s="6" t="s">
        <v>31</v>
      </c>
      <c r="H693" s="7">
        <v>2214.0</v>
      </c>
      <c r="I693" s="7">
        <v>3028.0</v>
      </c>
      <c r="J693" s="6">
        <v>2017.0</v>
      </c>
      <c r="K693" s="6">
        <v>111.0</v>
      </c>
      <c r="L693" s="6" t="s">
        <v>95</v>
      </c>
      <c r="M693" s="6" t="s">
        <v>2812</v>
      </c>
      <c r="N693" s="6" t="s">
        <v>48</v>
      </c>
      <c r="O693" s="6" t="s">
        <v>25</v>
      </c>
      <c r="P693" s="6">
        <f>COUNTIF(Analysis!$M$1:$M$3001,Analysis!$M693)</f>
        <v>1</v>
      </c>
      <c r="Q693" s="6" t="str">
        <f>IF(COUNTIF(Analysis!$M$2:$M$3001,Analysis!$M693)&gt;1,"Duplicate","OK")</f>
        <v>OK</v>
      </c>
      <c r="R693" s="6" t="str">
        <f t="shared" si="1"/>
        <v>1600-2600</v>
      </c>
      <c r="S693" s="6">
        <f t="shared" si="2"/>
        <v>9</v>
      </c>
      <c r="T693" s="6" t="str">
        <f t="shared" si="3"/>
        <v>New</v>
      </c>
    </row>
    <row r="694" ht="14.25" customHeight="1">
      <c r="A694" s="5">
        <v>1303467.0</v>
      </c>
      <c r="B694" s="6" t="s">
        <v>2815</v>
      </c>
      <c r="C694" s="6" t="s">
        <v>39</v>
      </c>
      <c r="D694" s="6">
        <v>44806.0</v>
      </c>
      <c r="E694" s="6" t="s">
        <v>19</v>
      </c>
      <c r="F694" s="6" t="s">
        <v>20</v>
      </c>
      <c r="G694" s="6" t="s">
        <v>55</v>
      </c>
      <c r="H694" s="7">
        <v>3367.0</v>
      </c>
      <c r="I694" s="7">
        <v>9381.0</v>
      </c>
      <c r="J694" s="6">
        <v>1969.0</v>
      </c>
      <c r="K694" s="6">
        <v>6.0</v>
      </c>
      <c r="L694" s="6" t="s">
        <v>32</v>
      </c>
      <c r="M694" s="6" t="s">
        <v>2816</v>
      </c>
      <c r="N694" s="6" t="s">
        <v>34</v>
      </c>
      <c r="O694" s="6" t="s">
        <v>49</v>
      </c>
      <c r="P694" s="6">
        <f>COUNTIF(Analysis!$M$1:$M$3001,Analysis!$M694)</f>
        <v>1</v>
      </c>
      <c r="Q694" s="6" t="str">
        <f>IF(COUNTIF(Analysis!$M$2:$M$3001,Analysis!$M694)&gt;1,"Duplicate","OK")</f>
        <v>OK</v>
      </c>
      <c r="R694" s="6" t="str">
        <f t="shared" si="1"/>
        <v>2600-3600</v>
      </c>
      <c r="S694" s="6">
        <f t="shared" si="2"/>
        <v>57</v>
      </c>
      <c r="T694" s="6" t="str">
        <f t="shared" si="3"/>
        <v>Old</v>
      </c>
    </row>
    <row r="695" ht="14.25" customHeight="1">
      <c r="A695" s="5">
        <v>925872.0</v>
      </c>
      <c r="B695" s="6" t="s">
        <v>2819</v>
      </c>
      <c r="C695" s="6" t="s">
        <v>39</v>
      </c>
      <c r="D695" s="6">
        <v>13361.0</v>
      </c>
      <c r="E695" s="6" t="s">
        <v>40</v>
      </c>
      <c r="F695" s="6" t="s">
        <v>41</v>
      </c>
      <c r="G695" s="6" t="s">
        <v>55</v>
      </c>
      <c r="H695" s="7">
        <v>1471.0</v>
      </c>
      <c r="I695" s="7">
        <v>9507.0</v>
      </c>
      <c r="J695" s="6">
        <v>2020.0</v>
      </c>
      <c r="K695" s="6">
        <v>46.0</v>
      </c>
      <c r="L695" s="6" t="s">
        <v>95</v>
      </c>
      <c r="M695" s="6" t="s">
        <v>2820</v>
      </c>
      <c r="N695" s="6" t="s">
        <v>34</v>
      </c>
      <c r="O695" s="6" t="s">
        <v>49</v>
      </c>
      <c r="P695" s="6">
        <f>COUNTIF(Analysis!$M$1:$M$3001,Analysis!$M695)</f>
        <v>1</v>
      </c>
      <c r="Q695" s="6" t="str">
        <f>IF(COUNTIF(Analysis!$M$2:$M$3001,Analysis!$M695)&gt;1,"Duplicate","OK")</f>
        <v>OK</v>
      </c>
      <c r="R695" s="6" t="str">
        <f t="shared" si="1"/>
        <v>600-1600</v>
      </c>
      <c r="S695" s="6">
        <f t="shared" si="2"/>
        <v>6</v>
      </c>
      <c r="T695" s="6" t="str">
        <f t="shared" si="3"/>
        <v>New</v>
      </c>
    </row>
    <row r="696" ht="14.25" customHeight="1">
      <c r="A696" s="5">
        <v>979559.0</v>
      </c>
      <c r="B696" s="6" t="s">
        <v>2823</v>
      </c>
      <c r="C696" s="6" t="s">
        <v>39</v>
      </c>
      <c r="D696" s="6">
        <v>42661.0</v>
      </c>
      <c r="E696" s="6" t="s">
        <v>60</v>
      </c>
      <c r="F696" s="6" t="s">
        <v>54</v>
      </c>
      <c r="G696" s="6" t="s">
        <v>21</v>
      </c>
      <c r="H696" s="7">
        <v>1573.0</v>
      </c>
      <c r="I696" s="7">
        <v>4233.0</v>
      </c>
      <c r="J696" s="6">
        <v>1985.0</v>
      </c>
      <c r="K696" s="6">
        <v>37.0</v>
      </c>
      <c r="L696" s="6" t="s">
        <v>22</v>
      </c>
      <c r="M696" s="6" t="s">
        <v>2824</v>
      </c>
      <c r="N696" s="6" t="s">
        <v>24</v>
      </c>
      <c r="O696" s="6" t="s">
        <v>49</v>
      </c>
      <c r="P696" s="6">
        <f>COUNTIF(Analysis!$M$1:$M$3001,Analysis!$M696)</f>
        <v>1</v>
      </c>
      <c r="Q696" s="6" t="str">
        <f>IF(COUNTIF(Analysis!$M$2:$M$3001,Analysis!$M696)&gt;1,"Duplicate","OK")</f>
        <v>OK</v>
      </c>
      <c r="R696" s="6" t="str">
        <f t="shared" si="1"/>
        <v>600-1600</v>
      </c>
      <c r="S696" s="6">
        <f t="shared" si="2"/>
        <v>41</v>
      </c>
      <c r="T696" s="6" t="str">
        <f t="shared" si="3"/>
        <v>Old</v>
      </c>
    </row>
    <row r="697" ht="14.25" customHeight="1">
      <c r="A697" s="5">
        <v>451830.0</v>
      </c>
      <c r="B697" s="6" t="s">
        <v>2827</v>
      </c>
      <c r="C697" s="6" t="s">
        <v>18</v>
      </c>
      <c r="D697" s="6">
        <v>59147.0</v>
      </c>
      <c r="E697" s="6" t="s">
        <v>19</v>
      </c>
      <c r="F697" s="6" t="s">
        <v>41</v>
      </c>
      <c r="G697" s="6" t="s">
        <v>55</v>
      </c>
      <c r="H697" s="7">
        <v>3420.0</v>
      </c>
      <c r="I697" s="7">
        <v>5505.0</v>
      </c>
      <c r="J697" s="6">
        <v>1990.0</v>
      </c>
      <c r="K697" s="6">
        <v>86.0</v>
      </c>
      <c r="L697" s="6" t="s">
        <v>32</v>
      </c>
      <c r="M697" s="6" t="s">
        <v>2828</v>
      </c>
      <c r="N697" s="6" t="s">
        <v>34</v>
      </c>
      <c r="O697" s="6" t="s">
        <v>35</v>
      </c>
      <c r="P697" s="6">
        <f>COUNTIF(Analysis!$M$1:$M$3001,Analysis!$M697)</f>
        <v>1</v>
      </c>
      <c r="Q697" s="6" t="str">
        <f>IF(COUNTIF(Analysis!$M$2:$M$3001,Analysis!$M697)&gt;1,"Duplicate","OK")</f>
        <v>OK</v>
      </c>
      <c r="R697" s="6" t="str">
        <f t="shared" si="1"/>
        <v>2600-3600</v>
      </c>
      <c r="S697" s="6">
        <f t="shared" si="2"/>
        <v>36</v>
      </c>
      <c r="T697" s="6" t="str">
        <f t="shared" si="3"/>
        <v>Old</v>
      </c>
    </row>
    <row r="698" ht="14.25" customHeight="1">
      <c r="A698" s="5">
        <v>1428613.0</v>
      </c>
      <c r="B698" s="6" t="s">
        <v>2831</v>
      </c>
      <c r="C698" s="6" t="s">
        <v>76</v>
      </c>
      <c r="D698" s="6">
        <v>29994.0</v>
      </c>
      <c r="E698" s="6" t="s">
        <v>30</v>
      </c>
      <c r="F698" s="6" t="s">
        <v>94</v>
      </c>
      <c r="G698" s="6" t="s">
        <v>21</v>
      </c>
      <c r="H698" s="7">
        <v>2091.0</v>
      </c>
      <c r="I698" s="7">
        <v>9753.0</v>
      </c>
      <c r="J698" s="6">
        <v>1986.0</v>
      </c>
      <c r="K698" s="6">
        <v>96.0</v>
      </c>
      <c r="L698" s="6" t="s">
        <v>62</v>
      </c>
      <c r="M698" s="6" t="s">
        <v>2832</v>
      </c>
      <c r="N698" s="6" t="s">
        <v>43</v>
      </c>
      <c r="O698" s="6" t="s">
        <v>25</v>
      </c>
      <c r="P698" s="6">
        <f>COUNTIF(Analysis!$M$1:$M$3001,Analysis!$M698)</f>
        <v>1</v>
      </c>
      <c r="Q698" s="6" t="str">
        <f>IF(COUNTIF(Analysis!$M$2:$M$3001,Analysis!$M698)&gt;1,"Duplicate","OK")</f>
        <v>OK</v>
      </c>
      <c r="R698" s="6" t="str">
        <f t="shared" si="1"/>
        <v>1600-2600</v>
      </c>
      <c r="S698" s="6">
        <f t="shared" si="2"/>
        <v>40</v>
      </c>
      <c r="T698" s="6" t="str">
        <f t="shared" si="3"/>
        <v>Old</v>
      </c>
    </row>
    <row r="699" ht="14.25" customHeight="1">
      <c r="A699" s="5">
        <v>444483.0</v>
      </c>
      <c r="B699" s="6" t="s">
        <v>9899</v>
      </c>
      <c r="C699" s="6" t="s">
        <v>29</v>
      </c>
      <c r="D699" s="6">
        <v>17027.0</v>
      </c>
      <c r="E699" s="6" t="s">
        <v>30</v>
      </c>
      <c r="F699" s="6" t="s">
        <v>46</v>
      </c>
      <c r="G699" s="6" t="s">
        <v>55</v>
      </c>
      <c r="H699" s="7">
        <v>1337.0</v>
      </c>
      <c r="I699" s="7">
        <v>8033.0</v>
      </c>
      <c r="J699" s="6">
        <v>1953.0</v>
      </c>
      <c r="K699" s="6">
        <v>64.0</v>
      </c>
      <c r="L699" s="6" t="s">
        <v>95</v>
      </c>
      <c r="M699" s="6" t="s">
        <v>9900</v>
      </c>
      <c r="N699" s="6" t="s">
        <v>64</v>
      </c>
      <c r="O699" s="6" t="s">
        <v>35</v>
      </c>
      <c r="P699" s="6">
        <f>COUNTIF(Analysis!$M$1:$M$3001,Analysis!$M2466)</f>
        <v>1</v>
      </c>
      <c r="Q699" s="6" t="str">
        <f>IF(COUNTIF(Analysis!$M$2:$M$3001,Analysis!$M2466)&gt;1,"Duplicate","OK")</f>
        <v>OK</v>
      </c>
      <c r="R699" s="6" t="str">
        <f t="shared" si="1"/>
        <v>600-1600</v>
      </c>
      <c r="S699" s="6">
        <f t="shared" si="2"/>
        <v>73</v>
      </c>
      <c r="T699" s="6" t="str">
        <f t="shared" si="3"/>
        <v>Very Old</v>
      </c>
    </row>
    <row r="700" ht="14.25" customHeight="1">
      <c r="A700" s="5">
        <v>793777.0</v>
      </c>
      <c r="B700" s="6" t="s">
        <v>2839</v>
      </c>
      <c r="C700" s="6" t="s">
        <v>39</v>
      </c>
      <c r="D700" s="6">
        <v>14389.0</v>
      </c>
      <c r="E700" s="6" t="s">
        <v>60</v>
      </c>
      <c r="F700" s="6" t="s">
        <v>94</v>
      </c>
      <c r="G700" s="6" t="s">
        <v>31</v>
      </c>
      <c r="H700" s="7">
        <v>1616.0</v>
      </c>
      <c r="I700" s="7">
        <v>8476.0</v>
      </c>
      <c r="J700" s="6">
        <v>1996.0</v>
      </c>
      <c r="K700" s="6">
        <v>91.0</v>
      </c>
      <c r="L700" s="6" t="s">
        <v>62</v>
      </c>
      <c r="M700" s="6" t="s">
        <v>2840</v>
      </c>
      <c r="N700" s="6" t="s">
        <v>64</v>
      </c>
      <c r="O700" s="6" t="s">
        <v>49</v>
      </c>
      <c r="P700" s="6">
        <f>COUNTIF(Analysis!$M$1:$M$3001,Analysis!$M700)</f>
        <v>1</v>
      </c>
      <c r="Q700" s="6" t="str">
        <f>IF(COUNTIF(Analysis!$M$2:$M$3001,Analysis!$M700)&gt;1,"Duplicate","OK")</f>
        <v>OK</v>
      </c>
      <c r="R700" s="6" t="str">
        <f t="shared" si="1"/>
        <v>1600-2600</v>
      </c>
      <c r="S700" s="6">
        <f t="shared" si="2"/>
        <v>30</v>
      </c>
      <c r="T700" s="6" t="str">
        <f t="shared" si="3"/>
        <v>Mid</v>
      </c>
    </row>
    <row r="701" ht="14.25" customHeight="1">
      <c r="A701" s="5">
        <v>1372428.0</v>
      </c>
      <c r="B701" s="6" t="s">
        <v>2843</v>
      </c>
      <c r="C701" s="6" t="s">
        <v>18</v>
      </c>
      <c r="D701" s="6">
        <v>57376.0</v>
      </c>
      <c r="E701" s="6" t="s">
        <v>40</v>
      </c>
      <c r="F701" s="6" t="s">
        <v>94</v>
      </c>
      <c r="G701" s="6" t="s">
        <v>31</v>
      </c>
      <c r="H701" s="7">
        <v>1729.0</v>
      </c>
      <c r="I701" s="7">
        <v>7379.0</v>
      </c>
      <c r="J701" s="6">
        <v>1954.0</v>
      </c>
      <c r="K701" s="6">
        <v>64.0</v>
      </c>
      <c r="L701" s="6" t="s">
        <v>22</v>
      </c>
      <c r="M701" s="6" t="s">
        <v>2844</v>
      </c>
      <c r="N701" s="6" t="s">
        <v>24</v>
      </c>
      <c r="O701" s="6" t="s">
        <v>49</v>
      </c>
      <c r="P701" s="6">
        <f>COUNTIF(Analysis!$M$1:$M$3001,Analysis!$M701)</f>
        <v>1</v>
      </c>
      <c r="Q701" s="6" t="str">
        <f>IF(COUNTIF(Analysis!$M$2:$M$3001,Analysis!$M701)&gt;1,"Duplicate","OK")</f>
        <v>OK</v>
      </c>
      <c r="R701" s="6" t="str">
        <f t="shared" si="1"/>
        <v>1600-2600</v>
      </c>
      <c r="S701" s="6">
        <f t="shared" si="2"/>
        <v>72</v>
      </c>
      <c r="T701" s="6" t="str">
        <f t="shared" si="3"/>
        <v>Very Old</v>
      </c>
    </row>
    <row r="702" ht="14.25" customHeight="1">
      <c r="A702" s="5">
        <v>596612.0</v>
      </c>
      <c r="B702" s="6" t="s">
        <v>2847</v>
      </c>
      <c r="C702" s="6" t="s">
        <v>76</v>
      </c>
      <c r="D702" s="6">
        <v>17048.0</v>
      </c>
      <c r="E702" s="6" t="s">
        <v>19</v>
      </c>
      <c r="F702" s="6" t="s">
        <v>46</v>
      </c>
      <c r="G702" s="6" t="s">
        <v>100</v>
      </c>
      <c r="H702" s="7">
        <v>1056.0</v>
      </c>
      <c r="I702" s="7">
        <v>2543.0</v>
      </c>
      <c r="J702" s="6">
        <v>2014.0</v>
      </c>
      <c r="K702" s="6">
        <v>93.0</v>
      </c>
      <c r="L702" s="6" t="s">
        <v>32</v>
      </c>
      <c r="M702" s="6" t="s">
        <v>2848</v>
      </c>
      <c r="N702" s="6" t="s">
        <v>48</v>
      </c>
      <c r="O702" s="6" t="s">
        <v>49</v>
      </c>
      <c r="P702" s="6">
        <f>COUNTIF(Analysis!$M$1:$M$3001,Analysis!$M702)</f>
        <v>1</v>
      </c>
      <c r="Q702" s="6" t="str">
        <f>IF(COUNTIF(Analysis!$M$2:$M$3001,Analysis!$M702)&gt;1,"Duplicate","OK")</f>
        <v>OK</v>
      </c>
      <c r="R702" s="6" t="str">
        <f t="shared" si="1"/>
        <v>600-1600</v>
      </c>
      <c r="S702" s="6">
        <f t="shared" si="2"/>
        <v>12</v>
      </c>
      <c r="T702" s="6" t="str">
        <f t="shared" si="3"/>
        <v>Mid</v>
      </c>
    </row>
    <row r="703" ht="14.25" customHeight="1">
      <c r="A703" s="5">
        <v>1307358.0</v>
      </c>
      <c r="B703" s="6" t="s">
        <v>2851</v>
      </c>
      <c r="C703" s="6" t="s">
        <v>39</v>
      </c>
      <c r="D703" s="6">
        <v>19411.0</v>
      </c>
      <c r="E703" s="6" t="s">
        <v>77</v>
      </c>
      <c r="F703" s="6" t="s">
        <v>54</v>
      </c>
      <c r="G703" s="6" t="s">
        <v>21</v>
      </c>
      <c r="H703" s="7">
        <v>1216.0</v>
      </c>
      <c r="I703" s="7">
        <v>8572.0</v>
      </c>
      <c r="J703" s="6">
        <v>2011.0</v>
      </c>
      <c r="K703" s="6">
        <v>87.0</v>
      </c>
      <c r="L703" s="6" t="s">
        <v>62</v>
      </c>
      <c r="M703" s="6" t="s">
        <v>2852</v>
      </c>
      <c r="N703" s="6" t="s">
        <v>48</v>
      </c>
      <c r="O703" s="6" t="s">
        <v>35</v>
      </c>
      <c r="P703" s="6">
        <f>COUNTIF(Analysis!$M$1:$M$3001,Analysis!$M703)</f>
        <v>1</v>
      </c>
      <c r="Q703" s="6" t="str">
        <f>IF(COUNTIF(Analysis!$M$2:$M$3001,Analysis!$M703)&gt;1,"Duplicate","OK")</f>
        <v>OK</v>
      </c>
      <c r="R703" s="6" t="str">
        <f t="shared" si="1"/>
        <v>600-1600</v>
      </c>
      <c r="S703" s="6">
        <f t="shared" si="2"/>
        <v>15</v>
      </c>
      <c r="T703" s="6" t="str">
        <f t="shared" si="3"/>
        <v>Mid</v>
      </c>
    </row>
    <row r="704" ht="14.25" customHeight="1">
      <c r="A704" s="5">
        <v>1352612.0</v>
      </c>
      <c r="B704" s="6" t="s">
        <v>2855</v>
      </c>
      <c r="C704" s="6" t="s">
        <v>39</v>
      </c>
      <c r="D704" s="6">
        <v>59105.0</v>
      </c>
      <c r="E704" s="6" t="s">
        <v>60</v>
      </c>
      <c r="F704" s="6" t="s">
        <v>54</v>
      </c>
      <c r="G704" s="6" t="s">
        <v>21</v>
      </c>
      <c r="H704" s="7">
        <v>2036.0</v>
      </c>
      <c r="I704" s="7">
        <v>2219.0</v>
      </c>
      <c r="J704" s="6">
        <v>1961.0</v>
      </c>
      <c r="K704" s="6">
        <v>21.0</v>
      </c>
      <c r="L704" s="6" t="s">
        <v>62</v>
      </c>
      <c r="M704" s="6" t="s">
        <v>2856</v>
      </c>
      <c r="N704" s="6" t="s">
        <v>64</v>
      </c>
      <c r="O704" s="6" t="s">
        <v>49</v>
      </c>
      <c r="P704" s="6">
        <f>COUNTIF(Analysis!$M$1:$M$3001,Analysis!$M704)</f>
        <v>1</v>
      </c>
      <c r="Q704" s="6" t="str">
        <f>IF(COUNTIF(Analysis!$M$2:$M$3001,Analysis!$M704)&gt;1,"Duplicate","OK")</f>
        <v>OK</v>
      </c>
      <c r="R704" s="6" t="str">
        <f t="shared" si="1"/>
        <v>1600-2600</v>
      </c>
      <c r="S704" s="6">
        <f t="shared" si="2"/>
        <v>65</v>
      </c>
      <c r="T704" s="6" t="str">
        <f t="shared" si="3"/>
        <v>Very Old</v>
      </c>
    </row>
    <row r="705" ht="14.25" customHeight="1">
      <c r="A705" s="5">
        <v>642419.0</v>
      </c>
      <c r="B705" s="6" t="s">
        <v>2859</v>
      </c>
      <c r="C705" s="6" t="s">
        <v>76</v>
      </c>
      <c r="D705" s="6">
        <v>69662.0</v>
      </c>
      <c r="E705" s="6" t="s">
        <v>60</v>
      </c>
      <c r="F705" s="6" t="s">
        <v>94</v>
      </c>
      <c r="G705" s="6" t="s">
        <v>55</v>
      </c>
      <c r="H705" s="7">
        <v>1175.0</v>
      </c>
      <c r="I705" s="7">
        <v>2281.0</v>
      </c>
      <c r="J705" s="6">
        <v>1985.0</v>
      </c>
      <c r="K705" s="6">
        <v>48.0</v>
      </c>
      <c r="L705" s="6" t="s">
        <v>141</v>
      </c>
      <c r="M705" s="6" t="s">
        <v>2860</v>
      </c>
      <c r="N705" s="6" t="s">
        <v>64</v>
      </c>
      <c r="O705" s="6" t="s">
        <v>35</v>
      </c>
      <c r="P705" s="6">
        <f>COUNTIF(Analysis!$M$1:$M$3001,Analysis!$M705)</f>
        <v>1</v>
      </c>
      <c r="Q705" s="6" t="str">
        <f>IF(COUNTIF(Analysis!$M$2:$M$3001,Analysis!$M705)&gt;1,"Duplicate","OK")</f>
        <v>OK</v>
      </c>
      <c r="R705" s="6" t="str">
        <f t="shared" si="1"/>
        <v>600-1600</v>
      </c>
      <c r="S705" s="6">
        <f t="shared" si="2"/>
        <v>41</v>
      </c>
      <c r="T705" s="6" t="str">
        <f t="shared" si="3"/>
        <v>Old</v>
      </c>
    </row>
    <row r="706" ht="14.25" customHeight="1">
      <c r="A706" s="5">
        <v>961607.0</v>
      </c>
      <c r="B706" s="6" t="s">
        <v>2863</v>
      </c>
      <c r="C706" s="6" t="s">
        <v>39</v>
      </c>
      <c r="D706" s="6">
        <v>36242.0</v>
      </c>
      <c r="E706" s="6" t="s">
        <v>30</v>
      </c>
      <c r="F706" s="6" t="s">
        <v>46</v>
      </c>
      <c r="G706" s="6" t="s">
        <v>55</v>
      </c>
      <c r="H706" s="7">
        <v>3528.0</v>
      </c>
      <c r="I706" s="7">
        <v>9102.0</v>
      </c>
      <c r="J706" s="6">
        <v>1993.0</v>
      </c>
      <c r="K706" s="6">
        <v>109.0</v>
      </c>
      <c r="L706" s="6" t="s">
        <v>62</v>
      </c>
      <c r="M706" s="6" t="s">
        <v>2864</v>
      </c>
      <c r="N706" s="6" t="s">
        <v>24</v>
      </c>
      <c r="O706" s="6" t="s">
        <v>35</v>
      </c>
      <c r="P706" s="6">
        <f>COUNTIF(Analysis!$M$1:$M$3001,Analysis!$M706)</f>
        <v>1</v>
      </c>
      <c r="Q706" s="6" t="str">
        <f>IF(COUNTIF(Analysis!$M$2:$M$3001,Analysis!$M706)&gt;1,"Duplicate","OK")</f>
        <v>OK</v>
      </c>
      <c r="R706" s="6" t="str">
        <f t="shared" si="1"/>
        <v>2600-3600</v>
      </c>
      <c r="S706" s="6">
        <f t="shared" si="2"/>
        <v>33</v>
      </c>
      <c r="T706" s="6" t="str">
        <f t="shared" si="3"/>
        <v>Old</v>
      </c>
    </row>
    <row r="707" ht="14.25" customHeight="1">
      <c r="A707" s="5">
        <v>292055.0</v>
      </c>
      <c r="B707" s="6" t="s">
        <v>2867</v>
      </c>
      <c r="C707" s="6" t="s">
        <v>18</v>
      </c>
      <c r="D707" s="6">
        <v>43942.0</v>
      </c>
      <c r="E707" s="6" t="s">
        <v>30</v>
      </c>
      <c r="F707" s="6" t="s">
        <v>54</v>
      </c>
      <c r="G707" s="6" t="s">
        <v>31</v>
      </c>
      <c r="H707" s="7">
        <v>1577.0</v>
      </c>
      <c r="I707" s="7">
        <v>2961.0</v>
      </c>
      <c r="J707" s="6">
        <v>2013.0</v>
      </c>
      <c r="K707" s="6">
        <v>15.0</v>
      </c>
      <c r="L707" s="6" t="s">
        <v>62</v>
      </c>
      <c r="M707" s="6" t="s">
        <v>2868</v>
      </c>
      <c r="N707" s="6" t="s">
        <v>34</v>
      </c>
      <c r="O707" s="6" t="s">
        <v>35</v>
      </c>
      <c r="P707" s="6">
        <f>COUNTIF(Analysis!$M$1:$M$3001,Analysis!$M707)</f>
        <v>1</v>
      </c>
      <c r="Q707" s="6" t="str">
        <f>IF(COUNTIF(Analysis!$M$2:$M$3001,Analysis!$M707)&gt;1,"Duplicate","OK")</f>
        <v>OK</v>
      </c>
      <c r="R707" s="6" t="str">
        <f t="shared" si="1"/>
        <v>600-1600</v>
      </c>
      <c r="S707" s="6">
        <f t="shared" si="2"/>
        <v>13</v>
      </c>
      <c r="T707" s="6" t="str">
        <f t="shared" si="3"/>
        <v>Mid</v>
      </c>
    </row>
    <row r="708" ht="14.25" customHeight="1">
      <c r="A708" s="5">
        <v>591446.0</v>
      </c>
      <c r="B708" s="6" t="s">
        <v>2871</v>
      </c>
      <c r="C708" s="6" t="s">
        <v>39</v>
      </c>
      <c r="D708" s="6">
        <v>90940.0</v>
      </c>
      <c r="E708" s="6" t="s">
        <v>60</v>
      </c>
      <c r="F708" s="6" t="s">
        <v>20</v>
      </c>
      <c r="G708" s="6" t="s">
        <v>100</v>
      </c>
      <c r="H708" s="7">
        <v>1744.0</v>
      </c>
      <c r="I708" s="7">
        <v>1254.0</v>
      </c>
      <c r="J708" s="6">
        <v>1977.0</v>
      </c>
      <c r="K708" s="6">
        <v>77.0</v>
      </c>
      <c r="L708" s="6" t="s">
        <v>32</v>
      </c>
      <c r="M708" s="6" t="s">
        <v>2872</v>
      </c>
      <c r="N708" s="6" t="s">
        <v>48</v>
      </c>
      <c r="O708" s="6" t="s">
        <v>35</v>
      </c>
      <c r="P708" s="6">
        <f>COUNTIF(Analysis!$M$1:$M$3001,Analysis!$M708)</f>
        <v>1</v>
      </c>
      <c r="Q708" s="6" t="str">
        <f>IF(COUNTIF(Analysis!$M$2:$M$3001,Analysis!$M708)&gt;1,"Duplicate","OK")</f>
        <v>OK</v>
      </c>
      <c r="R708" s="6" t="str">
        <f t="shared" si="1"/>
        <v>1600-2600</v>
      </c>
      <c r="S708" s="6">
        <f t="shared" si="2"/>
        <v>49</v>
      </c>
      <c r="T708" s="6" t="str">
        <f t="shared" si="3"/>
        <v>Old</v>
      </c>
    </row>
    <row r="709" ht="14.25" customHeight="1">
      <c r="A709" s="5">
        <v>1064262.0</v>
      </c>
      <c r="B709" s="6" t="s">
        <v>2875</v>
      </c>
      <c r="C709" s="6" t="s">
        <v>39</v>
      </c>
      <c r="D709" s="6">
        <v>23919.0</v>
      </c>
      <c r="E709" s="6" t="s">
        <v>19</v>
      </c>
      <c r="F709" s="6" t="s">
        <v>94</v>
      </c>
      <c r="G709" s="6" t="s">
        <v>31</v>
      </c>
      <c r="H709" s="7">
        <v>2057.0</v>
      </c>
      <c r="I709" s="7">
        <v>5106.0</v>
      </c>
      <c r="J709" s="6">
        <v>1981.0</v>
      </c>
      <c r="K709" s="6">
        <v>106.0</v>
      </c>
      <c r="L709" s="6" t="s">
        <v>95</v>
      </c>
      <c r="M709" s="6" t="s">
        <v>2876</v>
      </c>
      <c r="N709" s="6" t="s">
        <v>43</v>
      </c>
      <c r="O709" s="6" t="s">
        <v>25</v>
      </c>
      <c r="P709" s="6">
        <f>COUNTIF(Analysis!$M$1:$M$3001,Analysis!$M709)</f>
        <v>1</v>
      </c>
      <c r="Q709" s="6" t="str">
        <f>IF(COUNTIF(Analysis!$M$2:$M$3001,Analysis!$M709)&gt;1,"Duplicate","OK")</f>
        <v>OK</v>
      </c>
      <c r="R709" s="6" t="str">
        <f t="shared" si="1"/>
        <v>1600-2600</v>
      </c>
      <c r="S709" s="6">
        <f t="shared" si="2"/>
        <v>45</v>
      </c>
      <c r="T709" s="6" t="str">
        <f t="shared" si="3"/>
        <v>Old</v>
      </c>
    </row>
    <row r="710" ht="14.25" customHeight="1">
      <c r="A710" s="5">
        <v>846494.0</v>
      </c>
      <c r="B710" s="6" t="s">
        <v>2879</v>
      </c>
      <c r="C710" s="6" t="s">
        <v>18</v>
      </c>
      <c r="D710" s="6">
        <v>10463.0</v>
      </c>
      <c r="E710" s="6" t="s">
        <v>30</v>
      </c>
      <c r="F710" s="6" t="s">
        <v>46</v>
      </c>
      <c r="G710" s="6" t="s">
        <v>55</v>
      </c>
      <c r="H710" s="7">
        <v>618.0</v>
      </c>
      <c r="I710" s="7">
        <v>5905.0</v>
      </c>
      <c r="J710" s="6">
        <v>1999.0</v>
      </c>
      <c r="K710" s="6">
        <v>105.0</v>
      </c>
      <c r="L710" s="6" t="s">
        <v>62</v>
      </c>
      <c r="M710" s="6" t="s">
        <v>2880</v>
      </c>
      <c r="N710" s="6" t="s">
        <v>64</v>
      </c>
      <c r="O710" s="6" t="s">
        <v>49</v>
      </c>
      <c r="P710" s="6">
        <f>COUNTIF(Analysis!$M$1:$M$3001,Analysis!$M710)</f>
        <v>1</v>
      </c>
      <c r="Q710" s="6" t="str">
        <f>IF(COUNTIF(Analysis!$M$2:$M$3001,Analysis!$M710)&gt;1,"Duplicate","OK")</f>
        <v>OK</v>
      </c>
      <c r="R710" s="6" t="str">
        <f t="shared" si="1"/>
        <v>600-1600</v>
      </c>
      <c r="S710" s="6">
        <f t="shared" si="2"/>
        <v>27</v>
      </c>
      <c r="T710" s="6" t="str">
        <f t="shared" si="3"/>
        <v>Mid</v>
      </c>
    </row>
    <row r="711" ht="14.25" customHeight="1">
      <c r="A711" s="5">
        <v>1414445.0</v>
      </c>
      <c r="B711" s="6" t="s">
        <v>2883</v>
      </c>
      <c r="C711" s="6" t="s">
        <v>76</v>
      </c>
      <c r="D711" s="6">
        <v>45720.0</v>
      </c>
      <c r="E711" s="6" t="s">
        <v>77</v>
      </c>
      <c r="F711" s="6" t="s">
        <v>41</v>
      </c>
      <c r="G711" s="6" t="s">
        <v>55</v>
      </c>
      <c r="H711" s="7">
        <v>1976.0</v>
      </c>
      <c r="I711" s="7">
        <v>1775.0</v>
      </c>
      <c r="J711" s="6">
        <v>1964.0</v>
      </c>
      <c r="K711" s="6">
        <v>70.0</v>
      </c>
      <c r="L711" s="6" t="s">
        <v>32</v>
      </c>
      <c r="M711" s="6" t="s">
        <v>2884</v>
      </c>
      <c r="N711" s="6" t="s">
        <v>48</v>
      </c>
      <c r="O711" s="6" t="s">
        <v>35</v>
      </c>
      <c r="P711" s="6">
        <f>COUNTIF(Analysis!$M$1:$M$3001,Analysis!$M711)</f>
        <v>1</v>
      </c>
      <c r="Q711" s="6" t="str">
        <f>IF(COUNTIF(Analysis!$M$2:$M$3001,Analysis!$M711)&gt;1,"Duplicate","OK")</f>
        <v>OK</v>
      </c>
      <c r="R711" s="6" t="str">
        <f t="shared" si="1"/>
        <v>1600-2600</v>
      </c>
      <c r="S711" s="6">
        <f t="shared" si="2"/>
        <v>62</v>
      </c>
      <c r="T711" s="6" t="str">
        <f t="shared" si="3"/>
        <v>Very Old</v>
      </c>
    </row>
    <row r="712" ht="14.25" customHeight="1">
      <c r="A712" s="5">
        <v>1248043.0</v>
      </c>
      <c r="B712" s="6" t="s">
        <v>2887</v>
      </c>
      <c r="C712" s="6" t="s">
        <v>53</v>
      </c>
      <c r="D712" s="6">
        <v>28141.0</v>
      </c>
      <c r="E712" s="6" t="s">
        <v>30</v>
      </c>
      <c r="F712" s="6" t="s">
        <v>94</v>
      </c>
      <c r="G712" s="6" t="s">
        <v>100</v>
      </c>
      <c r="H712" s="7">
        <v>2192.0</v>
      </c>
      <c r="I712" s="7">
        <v>1203.0</v>
      </c>
      <c r="J712" s="6">
        <v>1982.0</v>
      </c>
      <c r="K712" s="6">
        <v>56.0</v>
      </c>
      <c r="L712" s="6" t="s">
        <v>141</v>
      </c>
      <c r="M712" s="6" t="s">
        <v>2888</v>
      </c>
      <c r="N712" s="6" t="s">
        <v>64</v>
      </c>
      <c r="O712" s="6" t="s">
        <v>35</v>
      </c>
      <c r="P712" s="6">
        <f>COUNTIF(Analysis!$M$1:$M$3001,Analysis!$M712)</f>
        <v>1</v>
      </c>
      <c r="Q712" s="6" t="str">
        <f>IF(COUNTIF(Analysis!$M$2:$M$3001,Analysis!$M712)&gt;1,"Duplicate","OK")</f>
        <v>OK</v>
      </c>
      <c r="R712" s="6" t="str">
        <f t="shared" si="1"/>
        <v>1600-2600</v>
      </c>
      <c r="S712" s="6">
        <f t="shared" si="2"/>
        <v>44</v>
      </c>
      <c r="T712" s="6" t="str">
        <f t="shared" si="3"/>
        <v>Old</v>
      </c>
    </row>
    <row r="713" ht="14.25" customHeight="1">
      <c r="A713" s="5">
        <v>1067540.0</v>
      </c>
      <c r="B713" s="6" t="s">
        <v>2891</v>
      </c>
      <c r="C713" s="6" t="s">
        <v>53</v>
      </c>
      <c r="D713" s="6">
        <v>46051.0</v>
      </c>
      <c r="E713" s="6" t="s">
        <v>19</v>
      </c>
      <c r="F713" s="6" t="s">
        <v>54</v>
      </c>
      <c r="G713" s="6" t="s">
        <v>55</v>
      </c>
      <c r="H713" s="7">
        <v>2578.0</v>
      </c>
      <c r="I713" s="7">
        <v>6302.0</v>
      </c>
      <c r="J713" s="6">
        <v>1958.0</v>
      </c>
      <c r="K713" s="6">
        <v>88.0</v>
      </c>
      <c r="L713" s="6" t="s">
        <v>32</v>
      </c>
      <c r="M713" s="6" t="s">
        <v>2892</v>
      </c>
      <c r="N713" s="6" t="s">
        <v>48</v>
      </c>
      <c r="O713" s="6" t="s">
        <v>35</v>
      </c>
      <c r="P713" s="6">
        <f>COUNTIF(Analysis!$M$1:$M$3001,Analysis!$M713)</f>
        <v>1</v>
      </c>
      <c r="Q713" s="6" t="str">
        <f>IF(COUNTIF(Analysis!$M$2:$M$3001,Analysis!$M713)&gt;1,"Duplicate","OK")</f>
        <v>OK</v>
      </c>
      <c r="R713" s="6" t="str">
        <f t="shared" si="1"/>
        <v>1600-2600</v>
      </c>
      <c r="S713" s="6">
        <f t="shared" si="2"/>
        <v>68</v>
      </c>
      <c r="T713" s="6" t="str">
        <f t="shared" si="3"/>
        <v>Very Old</v>
      </c>
    </row>
    <row r="714" ht="14.25" customHeight="1">
      <c r="A714" s="5">
        <v>857797.0</v>
      </c>
      <c r="B714" s="6" t="s">
        <v>2895</v>
      </c>
      <c r="C714" s="6" t="s">
        <v>18</v>
      </c>
      <c r="D714" s="6">
        <v>45263.0</v>
      </c>
      <c r="E714" s="6" t="s">
        <v>40</v>
      </c>
      <c r="F714" s="6" t="s">
        <v>61</v>
      </c>
      <c r="G714" s="6" t="s">
        <v>31</v>
      </c>
      <c r="H714" s="7">
        <v>3694.0</v>
      </c>
      <c r="I714" s="7">
        <v>8820.0</v>
      </c>
      <c r="J714" s="6">
        <v>1955.0</v>
      </c>
      <c r="K714" s="6">
        <v>92.0</v>
      </c>
      <c r="L714" s="6" t="s">
        <v>141</v>
      </c>
      <c r="M714" s="6" t="s">
        <v>2896</v>
      </c>
      <c r="N714" s="6" t="s">
        <v>24</v>
      </c>
      <c r="O714" s="6" t="s">
        <v>35</v>
      </c>
      <c r="P714" s="6">
        <f>COUNTIF(Analysis!$M$1:$M$3001,Analysis!$M714)</f>
        <v>1</v>
      </c>
      <c r="Q714" s="6" t="str">
        <f>IF(COUNTIF(Analysis!$M$2:$M$3001,Analysis!$M714)&gt;1,"Duplicate","OK")</f>
        <v>OK</v>
      </c>
      <c r="R714" s="6" t="str">
        <f t="shared" si="1"/>
        <v>3600+</v>
      </c>
      <c r="S714" s="6">
        <f t="shared" si="2"/>
        <v>71</v>
      </c>
      <c r="T714" s="6" t="str">
        <f t="shared" si="3"/>
        <v>Very Old</v>
      </c>
    </row>
    <row r="715" ht="14.25" customHeight="1">
      <c r="A715" s="5">
        <v>396831.0</v>
      </c>
      <c r="B715" s="6" t="s">
        <v>2899</v>
      </c>
      <c r="C715" s="6" t="s">
        <v>76</v>
      </c>
      <c r="D715" s="6">
        <v>90781.0</v>
      </c>
      <c r="E715" s="6" t="s">
        <v>30</v>
      </c>
      <c r="F715" s="6" t="s">
        <v>54</v>
      </c>
      <c r="G715" s="6" t="s">
        <v>100</v>
      </c>
      <c r="H715" s="7">
        <v>3135.0</v>
      </c>
      <c r="I715" s="7">
        <v>9158.0</v>
      </c>
      <c r="J715" s="6">
        <v>1951.0</v>
      </c>
      <c r="K715" s="6">
        <v>114.0</v>
      </c>
      <c r="L715" s="6" t="s">
        <v>32</v>
      </c>
      <c r="M715" s="6" t="s">
        <v>2900</v>
      </c>
      <c r="N715" s="6" t="s">
        <v>34</v>
      </c>
      <c r="O715" s="6" t="s">
        <v>49</v>
      </c>
      <c r="P715" s="6">
        <f>COUNTIF(Analysis!$M$1:$M$3001,Analysis!$M715)</f>
        <v>1</v>
      </c>
      <c r="Q715" s="6" t="str">
        <f>IF(COUNTIF(Analysis!$M$2:$M$3001,Analysis!$M715)&gt;1,"Duplicate","OK")</f>
        <v>OK</v>
      </c>
      <c r="R715" s="6" t="str">
        <f t="shared" si="1"/>
        <v>2600-3600</v>
      </c>
      <c r="S715" s="6">
        <f t="shared" si="2"/>
        <v>75</v>
      </c>
      <c r="T715" s="6" t="str">
        <f t="shared" si="3"/>
        <v>Very Old</v>
      </c>
    </row>
    <row r="716" ht="14.25" customHeight="1">
      <c r="A716" s="5">
        <v>451925.0</v>
      </c>
      <c r="B716" s="6" t="s">
        <v>11439</v>
      </c>
      <c r="C716" s="6" t="s">
        <v>29</v>
      </c>
      <c r="D716" s="6">
        <v>15862.0</v>
      </c>
      <c r="E716" s="6" t="s">
        <v>19</v>
      </c>
      <c r="F716" s="6" t="s">
        <v>20</v>
      </c>
      <c r="G716" s="6" t="s">
        <v>100</v>
      </c>
      <c r="H716" s="7">
        <v>1570.0</v>
      </c>
      <c r="I716" s="7">
        <v>5425.0</v>
      </c>
      <c r="J716" s="6">
        <v>1974.0</v>
      </c>
      <c r="K716" s="6">
        <v>69.0</v>
      </c>
      <c r="L716" s="6" t="s">
        <v>22</v>
      </c>
      <c r="M716" s="6" t="s">
        <v>11440</v>
      </c>
      <c r="N716" s="6" t="s">
        <v>43</v>
      </c>
      <c r="O716" s="6" t="s">
        <v>35</v>
      </c>
      <c r="P716" s="6">
        <f>COUNTIF(Analysis!$M$1:$M$3001,Analysis!$M2851)</f>
        <v>1</v>
      </c>
      <c r="Q716" s="6" t="str">
        <f>IF(COUNTIF(Analysis!$M$2:$M$3001,Analysis!$M2851)&gt;1,"Duplicate","OK")</f>
        <v>OK</v>
      </c>
      <c r="R716" s="6" t="str">
        <f t="shared" si="1"/>
        <v>600-1600</v>
      </c>
      <c r="S716" s="6">
        <f t="shared" si="2"/>
        <v>52</v>
      </c>
      <c r="T716" s="6" t="str">
        <f t="shared" si="3"/>
        <v>Old</v>
      </c>
    </row>
    <row r="717" ht="14.25" customHeight="1">
      <c r="A717" s="5">
        <v>1257643.0</v>
      </c>
      <c r="B717" s="6" t="s">
        <v>2907</v>
      </c>
      <c r="C717" s="6" t="s">
        <v>76</v>
      </c>
      <c r="D717" s="6">
        <v>41315.0</v>
      </c>
      <c r="E717" s="6" t="s">
        <v>30</v>
      </c>
      <c r="F717" s="6" t="s">
        <v>61</v>
      </c>
      <c r="G717" s="6" t="s">
        <v>100</v>
      </c>
      <c r="H717" s="7">
        <v>709.0</v>
      </c>
      <c r="I717" s="7">
        <v>5357.0</v>
      </c>
      <c r="J717" s="6">
        <v>1950.0</v>
      </c>
      <c r="K717" s="6">
        <v>88.0</v>
      </c>
      <c r="L717" s="6" t="s">
        <v>62</v>
      </c>
      <c r="M717" s="6" t="s">
        <v>2908</v>
      </c>
      <c r="N717" s="6" t="s">
        <v>64</v>
      </c>
      <c r="O717" s="6" t="s">
        <v>25</v>
      </c>
      <c r="P717" s="6">
        <f>COUNTIF(Analysis!$M$1:$M$3001,Analysis!$M717)</f>
        <v>1</v>
      </c>
      <c r="Q717" s="6" t="str">
        <f>IF(COUNTIF(Analysis!$M$2:$M$3001,Analysis!$M717)&gt;1,"Duplicate","OK")</f>
        <v>OK</v>
      </c>
      <c r="R717" s="6" t="str">
        <f t="shared" si="1"/>
        <v>600-1600</v>
      </c>
      <c r="S717" s="6">
        <f t="shared" si="2"/>
        <v>76</v>
      </c>
      <c r="T717" s="6" t="str">
        <f t="shared" si="3"/>
        <v>Very Old</v>
      </c>
    </row>
    <row r="718" ht="14.25" customHeight="1">
      <c r="A718" s="5">
        <v>454473.0</v>
      </c>
      <c r="B718" s="6" t="s">
        <v>433</v>
      </c>
      <c r="C718" s="6" t="s">
        <v>29</v>
      </c>
      <c r="D718" s="6">
        <v>64486.0</v>
      </c>
      <c r="E718" s="6" t="s">
        <v>30</v>
      </c>
      <c r="F718" s="6" t="s">
        <v>61</v>
      </c>
      <c r="G718" s="6" t="s">
        <v>55</v>
      </c>
      <c r="H718" s="7">
        <v>3693.0</v>
      </c>
      <c r="I718" s="7">
        <v>9896.0</v>
      </c>
      <c r="J718" s="6">
        <v>1951.0</v>
      </c>
      <c r="K718" s="6">
        <v>87.0</v>
      </c>
      <c r="L718" s="6" t="s">
        <v>32</v>
      </c>
      <c r="M718" s="6" t="s">
        <v>434</v>
      </c>
      <c r="N718" s="6" t="s">
        <v>48</v>
      </c>
      <c r="O718" s="6" t="s">
        <v>25</v>
      </c>
      <c r="P718" s="6">
        <f>COUNTIF(Analysis!$M$1:$M$3001,Analysis!$M98)</f>
        <v>1</v>
      </c>
      <c r="Q718" s="6" t="str">
        <f>IF(COUNTIF(Analysis!$M$2:$M$3001,Analysis!$M98)&gt;1,"Duplicate","OK")</f>
        <v>OK</v>
      </c>
      <c r="R718" s="6" t="str">
        <f t="shared" si="1"/>
        <v>3600+</v>
      </c>
      <c r="S718" s="6">
        <f t="shared" si="2"/>
        <v>75</v>
      </c>
      <c r="T718" s="6" t="str">
        <f t="shared" si="3"/>
        <v>Very Old</v>
      </c>
    </row>
    <row r="719" ht="14.25" customHeight="1">
      <c r="A719" s="5">
        <v>1360246.0</v>
      </c>
      <c r="B719" s="6" t="s">
        <v>2915</v>
      </c>
      <c r="C719" s="6" t="s">
        <v>39</v>
      </c>
      <c r="D719" s="6">
        <v>10497.0</v>
      </c>
      <c r="E719" s="6" t="s">
        <v>30</v>
      </c>
      <c r="F719" s="6" t="s">
        <v>20</v>
      </c>
      <c r="G719" s="6" t="s">
        <v>31</v>
      </c>
      <c r="H719" s="7">
        <v>2296.0</v>
      </c>
      <c r="I719" s="7">
        <v>3109.0</v>
      </c>
      <c r="J719" s="6">
        <v>1959.0</v>
      </c>
      <c r="K719" s="6">
        <v>66.0</v>
      </c>
      <c r="L719" s="6" t="s">
        <v>22</v>
      </c>
      <c r="M719" s="6" t="s">
        <v>2916</v>
      </c>
      <c r="N719" s="6" t="s">
        <v>43</v>
      </c>
      <c r="O719" s="6" t="s">
        <v>49</v>
      </c>
      <c r="P719" s="6">
        <f>COUNTIF(Analysis!$M$1:$M$3001,Analysis!$M719)</f>
        <v>1</v>
      </c>
      <c r="Q719" s="6" t="str">
        <f>IF(COUNTIF(Analysis!$M$2:$M$3001,Analysis!$M719)&gt;1,"Duplicate","OK")</f>
        <v>OK</v>
      </c>
      <c r="R719" s="6" t="str">
        <f t="shared" si="1"/>
        <v>1600-2600</v>
      </c>
      <c r="S719" s="6">
        <f t="shared" si="2"/>
        <v>67</v>
      </c>
      <c r="T719" s="6" t="str">
        <f t="shared" si="3"/>
        <v>Very Old</v>
      </c>
    </row>
    <row r="720" ht="14.25" customHeight="1">
      <c r="A720" s="5">
        <v>1452143.0</v>
      </c>
      <c r="B720" s="6" t="s">
        <v>2919</v>
      </c>
      <c r="C720" s="6" t="s">
        <v>18</v>
      </c>
      <c r="D720" s="6">
        <v>93193.0</v>
      </c>
      <c r="E720" s="6" t="s">
        <v>30</v>
      </c>
      <c r="F720" s="6" t="s">
        <v>61</v>
      </c>
      <c r="G720" s="6" t="s">
        <v>55</v>
      </c>
      <c r="H720" s="7">
        <v>2797.0</v>
      </c>
      <c r="I720" s="7">
        <v>2687.0</v>
      </c>
      <c r="J720" s="6">
        <v>1965.0</v>
      </c>
      <c r="K720" s="6">
        <v>17.0</v>
      </c>
      <c r="L720" s="6" t="s">
        <v>95</v>
      </c>
      <c r="M720" s="6" t="s">
        <v>2920</v>
      </c>
      <c r="N720" s="6" t="s">
        <v>64</v>
      </c>
      <c r="O720" s="6" t="s">
        <v>49</v>
      </c>
      <c r="P720" s="6">
        <f>COUNTIF(Analysis!$M$1:$M$3001,Analysis!$M720)</f>
        <v>1</v>
      </c>
      <c r="Q720" s="6" t="str">
        <f>IF(COUNTIF(Analysis!$M$2:$M$3001,Analysis!$M720)&gt;1,"Duplicate","OK")</f>
        <v>OK</v>
      </c>
      <c r="R720" s="6" t="str">
        <f t="shared" si="1"/>
        <v>2600-3600</v>
      </c>
      <c r="S720" s="6">
        <f t="shared" si="2"/>
        <v>61</v>
      </c>
      <c r="T720" s="6" t="str">
        <f t="shared" si="3"/>
        <v>Very Old</v>
      </c>
    </row>
    <row r="721" ht="14.25" customHeight="1">
      <c r="A721" s="5">
        <v>113001.0</v>
      </c>
      <c r="B721" s="6" t="s">
        <v>2923</v>
      </c>
      <c r="C721" s="6" t="s">
        <v>76</v>
      </c>
      <c r="D721" s="6">
        <v>35930.0</v>
      </c>
      <c r="E721" s="6" t="s">
        <v>19</v>
      </c>
      <c r="F721" s="6" t="s">
        <v>20</v>
      </c>
      <c r="G721" s="6" t="s">
        <v>100</v>
      </c>
      <c r="H721" s="7">
        <v>2282.0</v>
      </c>
      <c r="I721" s="7">
        <v>4554.0</v>
      </c>
      <c r="J721" s="6">
        <v>1994.0</v>
      </c>
      <c r="K721" s="6">
        <v>77.0</v>
      </c>
      <c r="L721" s="6" t="s">
        <v>22</v>
      </c>
      <c r="M721" s="6" t="s">
        <v>2924</v>
      </c>
      <c r="N721" s="6" t="s">
        <v>64</v>
      </c>
      <c r="O721" s="6" t="s">
        <v>49</v>
      </c>
      <c r="P721" s="6">
        <f>COUNTIF(Analysis!$M$1:$M$3001,Analysis!$M721)</f>
        <v>1</v>
      </c>
      <c r="Q721" s="6" t="str">
        <f>IF(COUNTIF(Analysis!$M$2:$M$3001,Analysis!$M721)&gt;1,"Duplicate","OK")</f>
        <v>OK</v>
      </c>
      <c r="R721" s="6" t="str">
        <f t="shared" si="1"/>
        <v>1600-2600</v>
      </c>
      <c r="S721" s="6">
        <f t="shared" si="2"/>
        <v>32</v>
      </c>
      <c r="T721" s="6" t="str">
        <f t="shared" si="3"/>
        <v>Old</v>
      </c>
    </row>
    <row r="722" ht="14.25" customHeight="1">
      <c r="A722" s="5">
        <v>936069.0</v>
      </c>
      <c r="B722" s="6" t="s">
        <v>2927</v>
      </c>
      <c r="C722" s="6" t="s">
        <v>18</v>
      </c>
      <c r="D722" s="6">
        <v>77374.0</v>
      </c>
      <c r="E722" s="6" t="s">
        <v>60</v>
      </c>
      <c r="F722" s="6" t="s">
        <v>46</v>
      </c>
      <c r="G722" s="6" t="s">
        <v>55</v>
      </c>
      <c r="H722" s="7">
        <v>2199.0</v>
      </c>
      <c r="I722" s="7">
        <v>5597.0</v>
      </c>
      <c r="J722" s="6">
        <v>1952.0</v>
      </c>
      <c r="K722" s="6">
        <v>90.0</v>
      </c>
      <c r="L722" s="6" t="s">
        <v>62</v>
      </c>
      <c r="M722" s="6" t="s">
        <v>2928</v>
      </c>
      <c r="N722" s="6" t="s">
        <v>64</v>
      </c>
      <c r="O722" s="6" t="s">
        <v>35</v>
      </c>
      <c r="P722" s="6">
        <f>COUNTIF(Analysis!$M$1:$M$3001,Analysis!$M722)</f>
        <v>1</v>
      </c>
      <c r="Q722" s="6" t="str">
        <f>IF(COUNTIF(Analysis!$M$2:$M$3001,Analysis!$M722)&gt;1,"Duplicate","OK")</f>
        <v>OK</v>
      </c>
      <c r="R722" s="6" t="str">
        <f t="shared" si="1"/>
        <v>1600-2600</v>
      </c>
      <c r="S722" s="6">
        <f t="shared" si="2"/>
        <v>74</v>
      </c>
      <c r="T722" s="6" t="str">
        <f t="shared" si="3"/>
        <v>Very Old</v>
      </c>
    </row>
    <row r="723" ht="14.25" customHeight="1">
      <c r="A723" s="5">
        <v>1206928.0</v>
      </c>
      <c r="B723" s="6" t="s">
        <v>2931</v>
      </c>
      <c r="C723" s="6" t="s">
        <v>39</v>
      </c>
      <c r="D723" s="6">
        <v>45005.0</v>
      </c>
      <c r="E723" s="6" t="s">
        <v>40</v>
      </c>
      <c r="F723" s="6" t="s">
        <v>94</v>
      </c>
      <c r="G723" s="6" t="s">
        <v>31</v>
      </c>
      <c r="H723" s="7">
        <v>1906.0</v>
      </c>
      <c r="I723" s="7">
        <v>3379.0</v>
      </c>
      <c r="J723" s="6">
        <v>1995.0</v>
      </c>
      <c r="K723" s="6">
        <v>96.0</v>
      </c>
      <c r="L723" s="6" t="s">
        <v>22</v>
      </c>
      <c r="M723" s="6" t="s">
        <v>2932</v>
      </c>
      <c r="N723" s="6" t="s">
        <v>43</v>
      </c>
      <c r="O723" s="6" t="s">
        <v>35</v>
      </c>
      <c r="P723" s="6">
        <f>COUNTIF(Analysis!$M$1:$M$3001,Analysis!$M723)</f>
        <v>1</v>
      </c>
      <c r="Q723" s="6" t="str">
        <f>IF(COUNTIF(Analysis!$M$2:$M$3001,Analysis!$M723)&gt;1,"Duplicate","OK")</f>
        <v>OK</v>
      </c>
      <c r="R723" s="6" t="str">
        <f t="shared" si="1"/>
        <v>1600-2600</v>
      </c>
      <c r="S723" s="6">
        <f t="shared" si="2"/>
        <v>31</v>
      </c>
      <c r="T723" s="6" t="str">
        <f t="shared" si="3"/>
        <v>Old</v>
      </c>
    </row>
    <row r="724" ht="14.25" customHeight="1">
      <c r="A724" s="5">
        <v>835493.0</v>
      </c>
      <c r="B724" s="6" t="s">
        <v>2935</v>
      </c>
      <c r="C724" s="6" t="s">
        <v>39</v>
      </c>
      <c r="D724" s="6">
        <v>43472.0</v>
      </c>
      <c r="E724" s="6" t="s">
        <v>30</v>
      </c>
      <c r="F724" s="6" t="s">
        <v>41</v>
      </c>
      <c r="G724" s="6" t="s">
        <v>55</v>
      </c>
      <c r="H724" s="7">
        <v>3787.0</v>
      </c>
      <c r="I724" s="7">
        <v>6045.0</v>
      </c>
      <c r="J724" s="6">
        <v>2008.0</v>
      </c>
      <c r="K724" s="6">
        <v>106.0</v>
      </c>
      <c r="L724" s="6" t="s">
        <v>22</v>
      </c>
      <c r="M724" s="6" t="s">
        <v>2936</v>
      </c>
      <c r="N724" s="6" t="s">
        <v>24</v>
      </c>
      <c r="O724" s="6" t="s">
        <v>25</v>
      </c>
      <c r="P724" s="6">
        <f>COUNTIF(Analysis!$M$1:$M$3001,Analysis!$M724)</f>
        <v>1</v>
      </c>
      <c r="Q724" s="6" t="str">
        <f>IF(COUNTIF(Analysis!$M$2:$M$3001,Analysis!$M724)&gt;1,"Duplicate","OK")</f>
        <v>OK</v>
      </c>
      <c r="R724" s="6" t="str">
        <f t="shared" si="1"/>
        <v>3600+</v>
      </c>
      <c r="S724" s="6">
        <f t="shared" si="2"/>
        <v>18</v>
      </c>
      <c r="T724" s="6" t="str">
        <f t="shared" si="3"/>
        <v>Mid</v>
      </c>
    </row>
    <row r="725" ht="14.25" customHeight="1">
      <c r="A725" s="5">
        <v>1001135.0</v>
      </c>
      <c r="B725" s="6" t="s">
        <v>2939</v>
      </c>
      <c r="C725" s="6" t="s">
        <v>18</v>
      </c>
      <c r="D725" s="6">
        <v>96400.0</v>
      </c>
      <c r="E725" s="6" t="s">
        <v>30</v>
      </c>
      <c r="F725" s="6" t="s">
        <v>46</v>
      </c>
      <c r="G725" s="6" t="s">
        <v>55</v>
      </c>
      <c r="H725" s="7">
        <v>3621.0</v>
      </c>
      <c r="I725" s="7">
        <v>3770.0</v>
      </c>
      <c r="J725" s="6">
        <v>1978.0</v>
      </c>
      <c r="K725" s="6">
        <v>118.0</v>
      </c>
      <c r="L725" s="6" t="s">
        <v>141</v>
      </c>
      <c r="M725" s="6" t="s">
        <v>2940</v>
      </c>
      <c r="N725" s="6" t="s">
        <v>24</v>
      </c>
      <c r="O725" s="6" t="s">
        <v>25</v>
      </c>
      <c r="P725" s="6">
        <f>COUNTIF(Analysis!$M$1:$M$3001,Analysis!$M725)</f>
        <v>1</v>
      </c>
      <c r="Q725" s="6" t="str">
        <f>IF(COUNTIF(Analysis!$M$2:$M$3001,Analysis!$M725)&gt;1,"Duplicate","OK")</f>
        <v>OK</v>
      </c>
      <c r="R725" s="6" t="str">
        <f t="shared" si="1"/>
        <v>3600+</v>
      </c>
      <c r="S725" s="6">
        <f t="shared" si="2"/>
        <v>48</v>
      </c>
      <c r="T725" s="6" t="str">
        <f t="shared" si="3"/>
        <v>Old</v>
      </c>
    </row>
    <row r="726" ht="14.25" customHeight="1">
      <c r="A726" s="5">
        <v>468367.0</v>
      </c>
      <c r="B726" s="6" t="s">
        <v>2951</v>
      </c>
      <c r="C726" s="6" t="s">
        <v>29</v>
      </c>
      <c r="D726" s="6">
        <v>23802.0</v>
      </c>
      <c r="E726" s="6" t="s">
        <v>40</v>
      </c>
      <c r="F726" s="6" t="s">
        <v>94</v>
      </c>
      <c r="G726" s="6" t="s">
        <v>55</v>
      </c>
      <c r="H726" s="7">
        <v>3953.0</v>
      </c>
      <c r="I726" s="7">
        <v>3330.0</v>
      </c>
      <c r="J726" s="6">
        <v>1964.0</v>
      </c>
      <c r="K726" s="6">
        <v>104.0</v>
      </c>
      <c r="L726" s="6" t="s">
        <v>62</v>
      </c>
      <c r="M726" s="6" t="s">
        <v>2952</v>
      </c>
      <c r="N726" s="6" t="s">
        <v>43</v>
      </c>
      <c r="O726" s="6" t="s">
        <v>25</v>
      </c>
      <c r="P726" s="6">
        <f>COUNTIF(Analysis!$M$1:$M$3001,Analysis!$M728)</f>
        <v>1</v>
      </c>
      <c r="Q726" s="6" t="str">
        <f>IF(COUNTIF(Analysis!$M$2:$M$3001,Analysis!$M728)&gt;1,"Duplicate","OK")</f>
        <v>OK</v>
      </c>
      <c r="R726" s="6" t="str">
        <f t="shared" si="1"/>
        <v>3600+</v>
      </c>
      <c r="S726" s="6">
        <f t="shared" si="2"/>
        <v>62</v>
      </c>
      <c r="T726" s="6" t="str">
        <f t="shared" si="3"/>
        <v>Very Old</v>
      </c>
    </row>
    <row r="727" ht="14.25" customHeight="1">
      <c r="A727" s="5">
        <v>1178128.0</v>
      </c>
      <c r="B727" s="6" t="s">
        <v>2947</v>
      </c>
      <c r="C727" s="6" t="s">
        <v>53</v>
      </c>
      <c r="D727" s="6">
        <v>19472.0</v>
      </c>
      <c r="E727" s="6" t="s">
        <v>19</v>
      </c>
      <c r="F727" s="6" t="s">
        <v>20</v>
      </c>
      <c r="G727" s="6" t="s">
        <v>100</v>
      </c>
      <c r="H727" s="7">
        <v>642.0</v>
      </c>
      <c r="I727" s="7">
        <v>4223.0</v>
      </c>
      <c r="J727" s="6">
        <v>1967.0</v>
      </c>
      <c r="K727" s="6">
        <v>70.0</v>
      </c>
      <c r="L727" s="6" t="s">
        <v>141</v>
      </c>
      <c r="M727" s="6" t="s">
        <v>2948</v>
      </c>
      <c r="N727" s="6" t="s">
        <v>43</v>
      </c>
      <c r="O727" s="6" t="s">
        <v>35</v>
      </c>
      <c r="P727" s="6">
        <f>COUNTIF(Analysis!$M$1:$M$3001,Analysis!$M727)</f>
        <v>1</v>
      </c>
      <c r="Q727" s="6" t="str">
        <f>IF(COUNTIF(Analysis!$M$2:$M$3001,Analysis!$M727)&gt;1,"Duplicate","OK")</f>
        <v>OK</v>
      </c>
      <c r="R727" s="6" t="str">
        <f t="shared" si="1"/>
        <v>600-1600</v>
      </c>
      <c r="S727" s="6">
        <f t="shared" si="2"/>
        <v>59</v>
      </c>
      <c r="T727" s="6" t="str">
        <f t="shared" si="3"/>
        <v>Old</v>
      </c>
    </row>
    <row r="728" ht="14.25" customHeight="1">
      <c r="A728" s="5">
        <v>469172.0</v>
      </c>
      <c r="B728" s="6" t="s">
        <v>6933</v>
      </c>
      <c r="C728" s="6" t="s">
        <v>29</v>
      </c>
      <c r="D728" s="6">
        <v>71447.0</v>
      </c>
      <c r="E728" s="6" t="s">
        <v>30</v>
      </c>
      <c r="F728" s="6" t="s">
        <v>41</v>
      </c>
      <c r="G728" s="6" t="s">
        <v>100</v>
      </c>
      <c r="H728" s="7">
        <v>903.0</v>
      </c>
      <c r="I728" s="7">
        <v>5156.0</v>
      </c>
      <c r="J728" s="6">
        <v>1995.0</v>
      </c>
      <c r="K728" s="6">
        <v>80.0</v>
      </c>
      <c r="L728" s="6" t="s">
        <v>95</v>
      </c>
      <c r="M728" s="6" t="s">
        <v>6934</v>
      </c>
      <c r="N728" s="6" t="s">
        <v>64</v>
      </c>
      <c r="O728" s="6" t="s">
        <v>35</v>
      </c>
      <c r="P728" s="6">
        <f>COUNTIF(Analysis!$M$1:$M$3001,Analysis!$M1724)</f>
        <v>1</v>
      </c>
      <c r="Q728" s="6" t="str">
        <f>IF(COUNTIF(Analysis!$M$2:$M$3001,Analysis!$M1724)&gt;1,"Duplicate","OK")</f>
        <v>OK</v>
      </c>
      <c r="R728" s="6" t="str">
        <f t="shared" si="1"/>
        <v>600-1600</v>
      </c>
      <c r="S728" s="6">
        <f t="shared" si="2"/>
        <v>31</v>
      </c>
      <c r="T728" s="6" t="str">
        <f t="shared" si="3"/>
        <v>Old</v>
      </c>
    </row>
    <row r="729" ht="14.25" customHeight="1">
      <c r="A729" s="5">
        <v>543847.0</v>
      </c>
      <c r="B729" s="6" t="s">
        <v>2955</v>
      </c>
      <c r="C729" s="6" t="s">
        <v>53</v>
      </c>
      <c r="D729" s="6">
        <v>24009.0</v>
      </c>
      <c r="E729" s="6" t="s">
        <v>30</v>
      </c>
      <c r="F729" s="6" t="s">
        <v>61</v>
      </c>
      <c r="G729" s="6" t="s">
        <v>55</v>
      </c>
      <c r="H729" s="7">
        <v>3813.0</v>
      </c>
      <c r="I729" s="7">
        <v>4624.0</v>
      </c>
      <c r="J729" s="6">
        <v>1962.0</v>
      </c>
      <c r="K729" s="6">
        <v>114.0</v>
      </c>
      <c r="L729" s="6" t="s">
        <v>22</v>
      </c>
      <c r="M729" s="6" t="s">
        <v>2956</v>
      </c>
      <c r="N729" s="6" t="s">
        <v>43</v>
      </c>
      <c r="O729" s="6" t="s">
        <v>49</v>
      </c>
      <c r="P729" s="6">
        <f>COUNTIF(Analysis!$M$1:$M$3001,Analysis!$M729)</f>
        <v>1</v>
      </c>
      <c r="Q729" s="6" t="str">
        <f>IF(COUNTIF(Analysis!$M$2:$M$3001,Analysis!$M729)&gt;1,"Duplicate","OK")</f>
        <v>OK</v>
      </c>
      <c r="R729" s="6" t="str">
        <f t="shared" si="1"/>
        <v>3600+</v>
      </c>
      <c r="S729" s="6">
        <f t="shared" si="2"/>
        <v>64</v>
      </c>
      <c r="T729" s="6" t="str">
        <f t="shared" si="3"/>
        <v>Very Old</v>
      </c>
    </row>
    <row r="730" ht="14.25" customHeight="1">
      <c r="A730" s="5">
        <v>308811.0</v>
      </c>
      <c r="B730" s="6" t="s">
        <v>2959</v>
      </c>
      <c r="C730" s="6" t="s">
        <v>53</v>
      </c>
      <c r="D730" s="6">
        <v>88307.0</v>
      </c>
      <c r="E730" s="6" t="s">
        <v>19</v>
      </c>
      <c r="F730" s="6" t="s">
        <v>54</v>
      </c>
      <c r="G730" s="6" t="s">
        <v>100</v>
      </c>
      <c r="H730" s="7">
        <v>3689.0</v>
      </c>
      <c r="I730" s="7">
        <v>9518.0</v>
      </c>
      <c r="J730" s="6">
        <v>2002.0</v>
      </c>
      <c r="K730" s="6">
        <v>33.0</v>
      </c>
      <c r="L730" s="6" t="s">
        <v>62</v>
      </c>
      <c r="M730" s="6" t="s">
        <v>2960</v>
      </c>
      <c r="N730" s="6" t="s">
        <v>24</v>
      </c>
      <c r="O730" s="6" t="s">
        <v>35</v>
      </c>
      <c r="P730" s="6">
        <f>COUNTIF(Analysis!$M$1:$M$3001,Analysis!$M730)</f>
        <v>1</v>
      </c>
      <c r="Q730" s="6" t="str">
        <f>IF(COUNTIF(Analysis!$M$2:$M$3001,Analysis!$M730)&gt;1,"Duplicate","OK")</f>
        <v>OK</v>
      </c>
      <c r="R730" s="6" t="str">
        <f t="shared" si="1"/>
        <v>3600+</v>
      </c>
      <c r="S730" s="6">
        <f t="shared" si="2"/>
        <v>24</v>
      </c>
      <c r="T730" s="6" t="str">
        <f t="shared" si="3"/>
        <v>Mid</v>
      </c>
    </row>
    <row r="731" ht="14.25" customHeight="1">
      <c r="A731" s="5">
        <v>915237.0</v>
      </c>
      <c r="B731" s="6" t="s">
        <v>2963</v>
      </c>
      <c r="C731" s="6" t="s">
        <v>39</v>
      </c>
      <c r="D731" s="6">
        <v>35214.0</v>
      </c>
      <c r="E731" s="6" t="s">
        <v>19</v>
      </c>
      <c r="F731" s="6" t="s">
        <v>46</v>
      </c>
      <c r="G731" s="6" t="s">
        <v>100</v>
      </c>
      <c r="H731" s="7">
        <v>2469.0</v>
      </c>
      <c r="I731" s="7">
        <v>2860.0</v>
      </c>
      <c r="J731" s="6">
        <v>2007.0</v>
      </c>
      <c r="K731" s="6">
        <v>7.0</v>
      </c>
      <c r="L731" s="6" t="s">
        <v>141</v>
      </c>
      <c r="M731" s="6" t="s">
        <v>2964</v>
      </c>
      <c r="N731" s="6" t="s">
        <v>43</v>
      </c>
      <c r="O731" s="6" t="s">
        <v>35</v>
      </c>
      <c r="P731" s="6">
        <f>COUNTIF(Analysis!$M$1:$M$3001,Analysis!$M731)</f>
        <v>1</v>
      </c>
      <c r="Q731" s="6" t="str">
        <f>IF(COUNTIF(Analysis!$M$2:$M$3001,Analysis!$M731)&gt;1,"Duplicate","OK")</f>
        <v>OK</v>
      </c>
      <c r="R731" s="6" t="str">
        <f t="shared" si="1"/>
        <v>1600-2600</v>
      </c>
      <c r="S731" s="6">
        <f t="shared" si="2"/>
        <v>19</v>
      </c>
      <c r="T731" s="6" t="str">
        <f t="shared" si="3"/>
        <v>Mid</v>
      </c>
    </row>
    <row r="732" ht="14.25" customHeight="1">
      <c r="A732" s="5">
        <v>1427605.0</v>
      </c>
      <c r="B732" s="6" t="s">
        <v>2967</v>
      </c>
      <c r="C732" s="6" t="s">
        <v>39</v>
      </c>
      <c r="D732" s="6">
        <v>11286.0</v>
      </c>
      <c r="E732" s="6" t="s">
        <v>30</v>
      </c>
      <c r="F732" s="6" t="s">
        <v>54</v>
      </c>
      <c r="G732" s="6" t="s">
        <v>21</v>
      </c>
      <c r="H732" s="7">
        <v>1655.0</v>
      </c>
      <c r="I732" s="7">
        <v>1185.0</v>
      </c>
      <c r="J732" s="6">
        <v>1986.0</v>
      </c>
      <c r="K732" s="6">
        <v>12.0</v>
      </c>
      <c r="L732" s="6" t="s">
        <v>141</v>
      </c>
      <c r="M732" s="6" t="s">
        <v>2968</v>
      </c>
      <c r="N732" s="6" t="s">
        <v>43</v>
      </c>
      <c r="O732" s="6" t="s">
        <v>35</v>
      </c>
      <c r="P732" s="6">
        <f>COUNTIF(Analysis!$M$1:$M$3001,Analysis!$M732)</f>
        <v>1</v>
      </c>
      <c r="Q732" s="6" t="str">
        <f>IF(COUNTIF(Analysis!$M$2:$M$3001,Analysis!$M732)&gt;1,"Duplicate","OK")</f>
        <v>OK</v>
      </c>
      <c r="R732" s="6" t="str">
        <f t="shared" si="1"/>
        <v>1600-2600</v>
      </c>
      <c r="S732" s="6">
        <f t="shared" si="2"/>
        <v>40</v>
      </c>
      <c r="T732" s="6" t="str">
        <f t="shared" si="3"/>
        <v>Old</v>
      </c>
    </row>
    <row r="733" ht="14.25" customHeight="1">
      <c r="A733" s="5">
        <v>474491.0</v>
      </c>
      <c r="B733" s="6" t="s">
        <v>4747</v>
      </c>
      <c r="C733" s="6" t="s">
        <v>29</v>
      </c>
      <c r="D733" s="6">
        <v>45184.0</v>
      </c>
      <c r="E733" s="6" t="s">
        <v>77</v>
      </c>
      <c r="F733" s="6" t="s">
        <v>46</v>
      </c>
      <c r="G733" s="6" t="s">
        <v>55</v>
      </c>
      <c r="H733" s="7">
        <v>2827.0</v>
      </c>
      <c r="I733" s="7">
        <v>3158.0</v>
      </c>
      <c r="J733" s="6">
        <v>1998.0</v>
      </c>
      <c r="K733" s="6">
        <v>84.0</v>
      </c>
      <c r="L733" s="6" t="s">
        <v>62</v>
      </c>
      <c r="M733" s="6" t="s">
        <v>4748</v>
      </c>
      <c r="N733" s="6" t="s">
        <v>34</v>
      </c>
      <c r="O733" s="6" t="s">
        <v>25</v>
      </c>
      <c r="P733" s="6">
        <f>COUNTIF(Analysis!$M$1:$M$3001,Analysis!$M1177)</f>
        <v>1</v>
      </c>
      <c r="Q733" s="6" t="str">
        <f>IF(COUNTIF(Analysis!$M$2:$M$3001,Analysis!$M1177)&gt;1,"Duplicate","OK")</f>
        <v>OK</v>
      </c>
      <c r="R733" s="6" t="str">
        <f t="shared" si="1"/>
        <v>2600-3600</v>
      </c>
      <c r="S733" s="6">
        <f t="shared" si="2"/>
        <v>28</v>
      </c>
      <c r="T733" s="6" t="str">
        <f t="shared" si="3"/>
        <v>Mid</v>
      </c>
    </row>
    <row r="734" ht="14.25" customHeight="1">
      <c r="A734" s="5">
        <v>1314753.0</v>
      </c>
      <c r="B734" s="6" t="s">
        <v>2975</v>
      </c>
      <c r="C734" s="6" t="s">
        <v>53</v>
      </c>
      <c r="D734" s="6">
        <v>46396.0</v>
      </c>
      <c r="E734" s="6" t="s">
        <v>19</v>
      </c>
      <c r="F734" s="6" t="s">
        <v>61</v>
      </c>
      <c r="G734" s="6" t="s">
        <v>31</v>
      </c>
      <c r="H734" s="7">
        <v>3060.0</v>
      </c>
      <c r="I734" s="7">
        <v>1630.0</v>
      </c>
      <c r="J734" s="6">
        <v>1992.0</v>
      </c>
      <c r="K734" s="6">
        <v>98.0</v>
      </c>
      <c r="L734" s="6" t="s">
        <v>141</v>
      </c>
      <c r="M734" s="6" t="s">
        <v>2976</v>
      </c>
      <c r="N734" s="6" t="s">
        <v>34</v>
      </c>
      <c r="O734" s="6" t="s">
        <v>49</v>
      </c>
      <c r="P734" s="6">
        <f>COUNTIF(Analysis!$M$1:$M$3001,Analysis!$M734)</f>
        <v>1</v>
      </c>
      <c r="Q734" s="6" t="str">
        <f>IF(COUNTIF(Analysis!$M$2:$M$3001,Analysis!$M734)&gt;1,"Duplicate","OK")</f>
        <v>OK</v>
      </c>
      <c r="R734" s="6" t="str">
        <f t="shared" si="1"/>
        <v>2600-3600</v>
      </c>
      <c r="S734" s="6">
        <f t="shared" si="2"/>
        <v>34</v>
      </c>
      <c r="T734" s="6" t="str">
        <f t="shared" si="3"/>
        <v>Old</v>
      </c>
    </row>
    <row r="735" ht="14.25" customHeight="1">
      <c r="A735" s="5">
        <v>476564.0</v>
      </c>
      <c r="B735" s="6" t="s">
        <v>7089</v>
      </c>
      <c r="C735" s="6" t="s">
        <v>29</v>
      </c>
      <c r="D735" s="6">
        <v>45136.0</v>
      </c>
      <c r="E735" s="6" t="s">
        <v>60</v>
      </c>
      <c r="F735" s="6" t="s">
        <v>54</v>
      </c>
      <c r="G735" s="6" t="s">
        <v>21</v>
      </c>
      <c r="H735" s="7">
        <v>731.0</v>
      </c>
      <c r="I735" s="7">
        <v>7083.0</v>
      </c>
      <c r="J735" s="6">
        <v>1992.0</v>
      </c>
      <c r="K735" s="6">
        <v>67.0</v>
      </c>
      <c r="L735" s="6" t="s">
        <v>62</v>
      </c>
      <c r="M735" s="6" t="s">
        <v>7090</v>
      </c>
      <c r="N735" s="6" t="s">
        <v>34</v>
      </c>
      <c r="O735" s="6" t="s">
        <v>25</v>
      </c>
      <c r="P735" s="6">
        <f>COUNTIF(Analysis!$M$1:$M$3001,Analysis!$M1763)</f>
        <v>1</v>
      </c>
      <c r="Q735" s="6" t="str">
        <f>IF(COUNTIF(Analysis!$M$2:$M$3001,Analysis!$M1763)&gt;1,"Duplicate","OK")</f>
        <v>OK</v>
      </c>
      <c r="R735" s="6" t="str">
        <f t="shared" si="1"/>
        <v>600-1600</v>
      </c>
      <c r="S735" s="6">
        <f t="shared" si="2"/>
        <v>34</v>
      </c>
      <c r="T735" s="6" t="str">
        <f t="shared" si="3"/>
        <v>Old</v>
      </c>
    </row>
    <row r="736" ht="14.25" customHeight="1">
      <c r="A736" s="5">
        <v>1025348.0</v>
      </c>
      <c r="B736" s="6" t="s">
        <v>2983</v>
      </c>
      <c r="C736" s="6" t="s">
        <v>39</v>
      </c>
      <c r="D736" s="6">
        <v>54020.0</v>
      </c>
      <c r="E736" s="6" t="s">
        <v>30</v>
      </c>
      <c r="F736" s="6" t="s">
        <v>54</v>
      </c>
      <c r="G736" s="6" t="s">
        <v>55</v>
      </c>
      <c r="H736" s="7">
        <v>2672.0</v>
      </c>
      <c r="I736" s="7">
        <v>6391.0</v>
      </c>
      <c r="J736" s="6">
        <v>2014.0</v>
      </c>
      <c r="K736" s="6">
        <v>114.0</v>
      </c>
      <c r="L736" s="6" t="s">
        <v>141</v>
      </c>
      <c r="M736" s="6" t="s">
        <v>2984</v>
      </c>
      <c r="N736" s="6" t="s">
        <v>34</v>
      </c>
      <c r="O736" s="6" t="s">
        <v>25</v>
      </c>
      <c r="P736" s="6">
        <f>COUNTIF(Analysis!$M$1:$M$3001,Analysis!$M736)</f>
        <v>1</v>
      </c>
      <c r="Q736" s="6" t="str">
        <f>IF(COUNTIF(Analysis!$M$2:$M$3001,Analysis!$M736)&gt;1,"Duplicate","OK")</f>
        <v>OK</v>
      </c>
      <c r="R736" s="6" t="str">
        <f t="shared" si="1"/>
        <v>2600-3600</v>
      </c>
      <c r="S736" s="6">
        <f t="shared" si="2"/>
        <v>12</v>
      </c>
      <c r="T736" s="6" t="str">
        <f t="shared" si="3"/>
        <v>Mid</v>
      </c>
    </row>
    <row r="737" ht="14.25" customHeight="1">
      <c r="A737" s="5">
        <v>1229367.0</v>
      </c>
      <c r="B737" s="6" t="s">
        <v>2987</v>
      </c>
      <c r="C737" s="6" t="s">
        <v>39</v>
      </c>
      <c r="D737" s="6">
        <v>62655.0</v>
      </c>
      <c r="E737" s="6" t="s">
        <v>40</v>
      </c>
      <c r="F737" s="6" t="s">
        <v>61</v>
      </c>
      <c r="G737" s="6" t="s">
        <v>31</v>
      </c>
      <c r="H737" s="7">
        <v>1256.0</v>
      </c>
      <c r="I737" s="7">
        <v>9446.0</v>
      </c>
      <c r="J737" s="6">
        <v>1963.0</v>
      </c>
      <c r="K737" s="6">
        <v>80.0</v>
      </c>
      <c r="L737" s="6" t="s">
        <v>141</v>
      </c>
      <c r="M737" s="6" t="s">
        <v>2988</v>
      </c>
      <c r="N737" s="6" t="s">
        <v>34</v>
      </c>
      <c r="O737" s="6" t="s">
        <v>35</v>
      </c>
      <c r="P737" s="6">
        <f>COUNTIF(Analysis!$M$1:$M$3001,Analysis!$M737)</f>
        <v>1</v>
      </c>
      <c r="Q737" s="6" t="str">
        <f>IF(COUNTIF(Analysis!$M$2:$M$3001,Analysis!$M737)&gt;1,"Duplicate","OK")</f>
        <v>OK</v>
      </c>
      <c r="R737" s="6" t="str">
        <f t="shared" si="1"/>
        <v>600-1600</v>
      </c>
      <c r="S737" s="6">
        <f t="shared" si="2"/>
        <v>63</v>
      </c>
      <c r="T737" s="6" t="str">
        <f t="shared" si="3"/>
        <v>Very Old</v>
      </c>
    </row>
    <row r="738" ht="14.25" customHeight="1">
      <c r="A738" s="5">
        <v>651790.0</v>
      </c>
      <c r="B738" s="6" t="s">
        <v>2991</v>
      </c>
      <c r="C738" s="6" t="s">
        <v>76</v>
      </c>
      <c r="D738" s="6">
        <v>15264.0</v>
      </c>
      <c r="E738" s="6" t="s">
        <v>19</v>
      </c>
      <c r="F738" s="6" t="s">
        <v>46</v>
      </c>
      <c r="G738" s="6" t="s">
        <v>55</v>
      </c>
      <c r="H738" s="7">
        <v>881.0</v>
      </c>
      <c r="I738" s="7">
        <v>7350.0</v>
      </c>
      <c r="J738" s="6">
        <v>2022.0</v>
      </c>
      <c r="K738" s="6">
        <v>18.0</v>
      </c>
      <c r="L738" s="6" t="s">
        <v>141</v>
      </c>
      <c r="M738" s="6" t="s">
        <v>2992</v>
      </c>
      <c r="N738" s="6" t="s">
        <v>24</v>
      </c>
      <c r="O738" s="6" t="s">
        <v>49</v>
      </c>
      <c r="P738" s="6">
        <f>COUNTIF(Analysis!$M$1:$M$3001,Analysis!$M738)</f>
        <v>1</v>
      </c>
      <c r="Q738" s="6" t="str">
        <f>IF(COUNTIF(Analysis!$M$2:$M$3001,Analysis!$M738)&gt;1,"Duplicate","OK")</f>
        <v>OK</v>
      </c>
      <c r="R738" s="6" t="str">
        <f t="shared" si="1"/>
        <v>600-1600</v>
      </c>
      <c r="S738" s="6">
        <f t="shared" si="2"/>
        <v>4</v>
      </c>
      <c r="T738" s="6" t="str">
        <f t="shared" si="3"/>
        <v>New</v>
      </c>
    </row>
    <row r="739" ht="14.25" customHeight="1">
      <c r="A739" s="5">
        <v>1359843.0</v>
      </c>
      <c r="B739" s="6" t="s">
        <v>2995</v>
      </c>
      <c r="C739" s="6" t="s">
        <v>76</v>
      </c>
      <c r="D739" s="6">
        <v>41053.0</v>
      </c>
      <c r="E739" s="6" t="s">
        <v>40</v>
      </c>
      <c r="F739" s="6" t="s">
        <v>20</v>
      </c>
      <c r="G739" s="6" t="s">
        <v>100</v>
      </c>
      <c r="H739" s="7">
        <v>2630.0</v>
      </c>
      <c r="I739" s="7">
        <v>2470.0</v>
      </c>
      <c r="J739" s="6">
        <v>1960.0</v>
      </c>
      <c r="K739" s="6">
        <v>30.0</v>
      </c>
      <c r="L739" s="6" t="s">
        <v>141</v>
      </c>
      <c r="M739" s="6" t="s">
        <v>2996</v>
      </c>
      <c r="N739" s="6" t="s">
        <v>43</v>
      </c>
      <c r="O739" s="6" t="s">
        <v>49</v>
      </c>
      <c r="P739" s="6">
        <f>COUNTIF(Analysis!$M$1:$M$3001,Analysis!$M739)</f>
        <v>1</v>
      </c>
      <c r="Q739" s="6" t="str">
        <f>IF(COUNTIF(Analysis!$M$2:$M$3001,Analysis!$M739)&gt;1,"Duplicate","OK")</f>
        <v>OK</v>
      </c>
      <c r="R739" s="6" t="str">
        <f t="shared" si="1"/>
        <v>2600-3600</v>
      </c>
      <c r="S739" s="6">
        <f t="shared" si="2"/>
        <v>66</v>
      </c>
      <c r="T739" s="6" t="str">
        <f t="shared" si="3"/>
        <v>Very Old</v>
      </c>
    </row>
    <row r="740" ht="14.25" customHeight="1">
      <c r="A740" s="5">
        <v>564035.0</v>
      </c>
      <c r="B740" s="6" t="s">
        <v>2999</v>
      </c>
      <c r="C740" s="6" t="s">
        <v>18</v>
      </c>
      <c r="D740" s="6">
        <v>54870.0</v>
      </c>
      <c r="E740" s="6" t="s">
        <v>40</v>
      </c>
      <c r="F740" s="6" t="s">
        <v>46</v>
      </c>
      <c r="G740" s="6" t="s">
        <v>100</v>
      </c>
      <c r="H740" s="7">
        <v>1712.0</v>
      </c>
      <c r="I740" s="7">
        <v>8311.0</v>
      </c>
      <c r="J740" s="6">
        <v>1965.0</v>
      </c>
      <c r="K740" s="6">
        <v>19.0</v>
      </c>
      <c r="L740" s="6" t="s">
        <v>95</v>
      </c>
      <c r="M740" s="6" t="s">
        <v>3000</v>
      </c>
      <c r="N740" s="6" t="s">
        <v>43</v>
      </c>
      <c r="O740" s="6" t="s">
        <v>35</v>
      </c>
      <c r="P740" s="6">
        <f>COUNTIF(Analysis!$M$1:$M$3001,Analysis!$M740)</f>
        <v>1</v>
      </c>
      <c r="Q740" s="6" t="str">
        <f>IF(COUNTIF(Analysis!$M$2:$M$3001,Analysis!$M740)&gt;1,"Duplicate","OK")</f>
        <v>OK</v>
      </c>
      <c r="R740" s="6" t="str">
        <f t="shared" si="1"/>
        <v>1600-2600</v>
      </c>
      <c r="S740" s="6">
        <f t="shared" si="2"/>
        <v>61</v>
      </c>
      <c r="T740" s="6" t="str">
        <f t="shared" si="3"/>
        <v>Very Old</v>
      </c>
    </row>
    <row r="741" ht="14.25" customHeight="1">
      <c r="A741" s="5">
        <v>1181346.0</v>
      </c>
      <c r="B741" s="6" t="s">
        <v>3003</v>
      </c>
      <c r="C741" s="6" t="s">
        <v>18</v>
      </c>
      <c r="D741" s="6">
        <v>24302.0</v>
      </c>
      <c r="E741" s="6" t="s">
        <v>30</v>
      </c>
      <c r="F741" s="6" t="s">
        <v>54</v>
      </c>
      <c r="G741" s="6" t="s">
        <v>21</v>
      </c>
      <c r="H741" s="7">
        <v>3247.0</v>
      </c>
      <c r="I741" s="7">
        <v>6455.0</v>
      </c>
      <c r="J741" s="6">
        <v>1957.0</v>
      </c>
      <c r="K741" s="6">
        <v>47.0</v>
      </c>
      <c r="L741" s="6" t="s">
        <v>22</v>
      </c>
      <c r="M741" s="6" t="s">
        <v>3004</v>
      </c>
      <c r="N741" s="6" t="s">
        <v>48</v>
      </c>
      <c r="O741" s="6" t="s">
        <v>49</v>
      </c>
      <c r="P741" s="6">
        <f>COUNTIF(Analysis!$M$1:$M$3001,Analysis!$M741)</f>
        <v>1</v>
      </c>
      <c r="Q741" s="6" t="str">
        <f>IF(COUNTIF(Analysis!$M$2:$M$3001,Analysis!$M741)&gt;1,"Duplicate","OK")</f>
        <v>OK</v>
      </c>
      <c r="R741" s="6" t="str">
        <f t="shared" si="1"/>
        <v>2600-3600</v>
      </c>
      <c r="S741" s="6">
        <f t="shared" si="2"/>
        <v>69</v>
      </c>
      <c r="T741" s="6" t="str">
        <f t="shared" si="3"/>
        <v>Very Old</v>
      </c>
    </row>
    <row r="742" ht="14.25" customHeight="1">
      <c r="A742" s="5">
        <v>698712.0</v>
      </c>
      <c r="B742" s="6" t="s">
        <v>3007</v>
      </c>
      <c r="C742" s="6" t="s">
        <v>53</v>
      </c>
      <c r="D742" s="6">
        <v>28809.0</v>
      </c>
      <c r="E742" s="6" t="s">
        <v>19</v>
      </c>
      <c r="F742" s="6" t="s">
        <v>46</v>
      </c>
      <c r="G742" s="6" t="s">
        <v>21</v>
      </c>
      <c r="H742" s="7">
        <v>1880.0</v>
      </c>
      <c r="I742" s="7">
        <v>2575.0</v>
      </c>
      <c r="J742" s="6">
        <v>2017.0</v>
      </c>
      <c r="K742" s="6">
        <v>106.0</v>
      </c>
      <c r="L742" s="6" t="s">
        <v>22</v>
      </c>
      <c r="M742" s="6" t="s">
        <v>3008</v>
      </c>
      <c r="N742" s="6" t="s">
        <v>64</v>
      </c>
      <c r="O742" s="6" t="s">
        <v>35</v>
      </c>
      <c r="P742" s="6">
        <f>COUNTIF(Analysis!$M$1:$M$3001,Analysis!$M742)</f>
        <v>1</v>
      </c>
      <c r="Q742" s="6" t="str">
        <f>IF(COUNTIF(Analysis!$M$2:$M$3001,Analysis!$M742)&gt;1,"Duplicate","OK")</f>
        <v>OK</v>
      </c>
      <c r="R742" s="6" t="str">
        <f t="shared" si="1"/>
        <v>1600-2600</v>
      </c>
      <c r="S742" s="6">
        <f t="shared" si="2"/>
        <v>9</v>
      </c>
      <c r="T742" s="6" t="str">
        <f t="shared" si="3"/>
        <v>New</v>
      </c>
    </row>
    <row r="743" ht="14.25" customHeight="1">
      <c r="A743" s="5">
        <v>1331935.0</v>
      </c>
      <c r="B743" s="6" t="s">
        <v>3011</v>
      </c>
      <c r="C743" s="6" t="s">
        <v>53</v>
      </c>
      <c r="D743" s="6">
        <v>73989.0</v>
      </c>
      <c r="E743" s="6" t="s">
        <v>60</v>
      </c>
      <c r="F743" s="6" t="s">
        <v>46</v>
      </c>
      <c r="G743" s="6" t="s">
        <v>55</v>
      </c>
      <c r="H743" s="7">
        <v>2011.0</v>
      </c>
      <c r="I743" s="7">
        <v>4759.0</v>
      </c>
      <c r="J743" s="6">
        <v>1998.0</v>
      </c>
      <c r="K743" s="6">
        <v>115.0</v>
      </c>
      <c r="L743" s="6" t="s">
        <v>141</v>
      </c>
      <c r="M743" s="6" t="s">
        <v>3012</v>
      </c>
      <c r="N743" s="6" t="s">
        <v>34</v>
      </c>
      <c r="O743" s="6" t="s">
        <v>49</v>
      </c>
      <c r="P743" s="6">
        <f>COUNTIF(Analysis!$M$1:$M$3001,Analysis!$M743)</f>
        <v>1</v>
      </c>
      <c r="Q743" s="6" t="str">
        <f>IF(COUNTIF(Analysis!$M$2:$M$3001,Analysis!$M743)&gt;1,"Duplicate","OK")</f>
        <v>OK</v>
      </c>
      <c r="R743" s="6" t="str">
        <f t="shared" si="1"/>
        <v>1600-2600</v>
      </c>
      <c r="S743" s="6">
        <f t="shared" si="2"/>
        <v>28</v>
      </c>
      <c r="T743" s="6" t="str">
        <f t="shared" si="3"/>
        <v>Mid</v>
      </c>
    </row>
    <row r="744" ht="14.25" customHeight="1">
      <c r="A744" s="5">
        <v>221942.0</v>
      </c>
      <c r="B744" s="6" t="s">
        <v>3015</v>
      </c>
      <c r="C744" s="6" t="s">
        <v>76</v>
      </c>
      <c r="D744" s="6">
        <v>27882.0</v>
      </c>
      <c r="E744" s="6" t="s">
        <v>19</v>
      </c>
      <c r="F744" s="6" t="s">
        <v>46</v>
      </c>
      <c r="G744" s="6" t="s">
        <v>21</v>
      </c>
      <c r="H744" s="7">
        <v>3191.0</v>
      </c>
      <c r="I744" s="7">
        <v>5459.0</v>
      </c>
      <c r="J744" s="6">
        <v>2001.0</v>
      </c>
      <c r="K744" s="6">
        <v>6.0</v>
      </c>
      <c r="L744" s="6" t="s">
        <v>32</v>
      </c>
      <c r="M744" s="6" t="s">
        <v>3016</v>
      </c>
      <c r="N744" s="6" t="s">
        <v>34</v>
      </c>
      <c r="O744" s="6" t="s">
        <v>49</v>
      </c>
      <c r="P744" s="6">
        <f>COUNTIF(Analysis!$M$1:$M$3001,Analysis!$M744)</f>
        <v>1</v>
      </c>
      <c r="Q744" s="6" t="str">
        <f>IF(COUNTIF(Analysis!$M$2:$M$3001,Analysis!$M744)&gt;1,"Duplicate","OK")</f>
        <v>OK</v>
      </c>
      <c r="R744" s="6" t="str">
        <f t="shared" si="1"/>
        <v>2600-3600</v>
      </c>
      <c r="S744" s="6">
        <f t="shared" si="2"/>
        <v>25</v>
      </c>
      <c r="T744" s="6" t="str">
        <f t="shared" si="3"/>
        <v>Mid</v>
      </c>
    </row>
    <row r="745" ht="14.25" customHeight="1">
      <c r="A745" s="5">
        <v>237627.0</v>
      </c>
      <c r="B745" s="6" t="s">
        <v>3019</v>
      </c>
      <c r="C745" s="6" t="s">
        <v>18</v>
      </c>
      <c r="D745" s="6">
        <v>24734.0</v>
      </c>
      <c r="E745" s="6" t="s">
        <v>40</v>
      </c>
      <c r="F745" s="6" t="s">
        <v>46</v>
      </c>
      <c r="G745" s="6" t="s">
        <v>55</v>
      </c>
      <c r="H745" s="7">
        <v>2197.0</v>
      </c>
      <c r="I745" s="7">
        <v>8424.0</v>
      </c>
      <c r="J745" s="6">
        <v>2016.0</v>
      </c>
      <c r="K745" s="6">
        <v>112.0</v>
      </c>
      <c r="L745" s="6" t="s">
        <v>141</v>
      </c>
      <c r="M745" s="6" t="s">
        <v>3020</v>
      </c>
      <c r="N745" s="6" t="s">
        <v>43</v>
      </c>
      <c r="O745" s="6" t="s">
        <v>49</v>
      </c>
      <c r="P745" s="6">
        <f>COUNTIF(Analysis!$M$1:$M$3001,Analysis!$M745)</f>
        <v>1</v>
      </c>
      <c r="Q745" s="6" t="str">
        <f>IF(COUNTIF(Analysis!$M$2:$M$3001,Analysis!$M745)&gt;1,"Duplicate","OK")</f>
        <v>OK</v>
      </c>
      <c r="R745" s="6" t="str">
        <f t="shared" si="1"/>
        <v>1600-2600</v>
      </c>
      <c r="S745" s="6">
        <f t="shared" si="2"/>
        <v>10</v>
      </c>
      <c r="T745" s="6" t="str">
        <f t="shared" si="3"/>
        <v>New</v>
      </c>
    </row>
    <row r="746" ht="14.25" customHeight="1">
      <c r="A746" s="5">
        <v>936123.0</v>
      </c>
      <c r="B746" s="6" t="s">
        <v>3023</v>
      </c>
      <c r="C746" s="6" t="s">
        <v>18</v>
      </c>
      <c r="D746" s="6">
        <v>58737.0</v>
      </c>
      <c r="E746" s="6" t="s">
        <v>60</v>
      </c>
      <c r="F746" s="6" t="s">
        <v>61</v>
      </c>
      <c r="G746" s="6" t="s">
        <v>31</v>
      </c>
      <c r="H746" s="7">
        <v>1516.0</v>
      </c>
      <c r="I746" s="7">
        <v>4785.0</v>
      </c>
      <c r="J746" s="6">
        <v>1987.0</v>
      </c>
      <c r="K746" s="6">
        <v>113.0</v>
      </c>
      <c r="L746" s="6" t="s">
        <v>22</v>
      </c>
      <c r="M746" s="6" t="s">
        <v>3024</v>
      </c>
      <c r="N746" s="6" t="s">
        <v>48</v>
      </c>
      <c r="O746" s="6" t="s">
        <v>25</v>
      </c>
      <c r="P746" s="6">
        <f>COUNTIF(Analysis!$M$1:$M$3001,Analysis!$M746)</f>
        <v>1</v>
      </c>
      <c r="Q746" s="6" t="str">
        <f>IF(COUNTIF(Analysis!$M$2:$M$3001,Analysis!$M746)&gt;1,"Duplicate","OK")</f>
        <v>OK</v>
      </c>
      <c r="R746" s="6" t="str">
        <f t="shared" si="1"/>
        <v>600-1600</v>
      </c>
      <c r="S746" s="6">
        <f t="shared" si="2"/>
        <v>39</v>
      </c>
      <c r="T746" s="6" t="str">
        <f t="shared" si="3"/>
        <v>Old</v>
      </c>
    </row>
    <row r="747" ht="14.25" customHeight="1">
      <c r="A747" s="5">
        <v>891266.0</v>
      </c>
      <c r="B747" s="6" t="s">
        <v>3027</v>
      </c>
      <c r="C747" s="6" t="s">
        <v>18</v>
      </c>
      <c r="D747" s="6">
        <v>88255.0</v>
      </c>
      <c r="E747" s="6" t="s">
        <v>19</v>
      </c>
      <c r="F747" s="6" t="s">
        <v>46</v>
      </c>
      <c r="G747" s="6" t="s">
        <v>100</v>
      </c>
      <c r="H747" s="7">
        <v>690.0</v>
      </c>
      <c r="I747" s="7">
        <v>2510.0</v>
      </c>
      <c r="J747" s="6">
        <v>2011.0</v>
      </c>
      <c r="K747" s="6">
        <v>11.0</v>
      </c>
      <c r="L747" s="6" t="s">
        <v>141</v>
      </c>
      <c r="M747" s="6" t="s">
        <v>3028</v>
      </c>
      <c r="N747" s="6" t="s">
        <v>64</v>
      </c>
      <c r="O747" s="6" t="s">
        <v>25</v>
      </c>
      <c r="P747" s="6">
        <f>COUNTIF(Analysis!$M$1:$M$3001,Analysis!$M747)</f>
        <v>1</v>
      </c>
      <c r="Q747" s="6" t="str">
        <f>IF(COUNTIF(Analysis!$M$2:$M$3001,Analysis!$M747)&gt;1,"Duplicate","OK")</f>
        <v>OK</v>
      </c>
      <c r="R747" s="6" t="str">
        <f t="shared" si="1"/>
        <v>600-1600</v>
      </c>
      <c r="S747" s="6">
        <f t="shared" si="2"/>
        <v>15</v>
      </c>
      <c r="T747" s="6" t="str">
        <f t="shared" si="3"/>
        <v>Mid</v>
      </c>
    </row>
    <row r="748" ht="14.25" customHeight="1">
      <c r="A748" s="5">
        <v>564030.0</v>
      </c>
      <c r="B748" s="6" t="s">
        <v>3031</v>
      </c>
      <c r="C748" s="6" t="s">
        <v>39</v>
      </c>
      <c r="D748" s="6">
        <v>53113.0</v>
      </c>
      <c r="E748" s="6" t="s">
        <v>77</v>
      </c>
      <c r="F748" s="6" t="s">
        <v>41</v>
      </c>
      <c r="G748" s="6" t="s">
        <v>100</v>
      </c>
      <c r="H748" s="7">
        <v>2608.0</v>
      </c>
      <c r="I748" s="7">
        <v>8536.0</v>
      </c>
      <c r="J748" s="6">
        <v>1983.0</v>
      </c>
      <c r="K748" s="6">
        <v>73.0</v>
      </c>
      <c r="L748" s="6" t="s">
        <v>22</v>
      </c>
      <c r="M748" s="6" t="s">
        <v>3032</v>
      </c>
      <c r="N748" s="6" t="s">
        <v>64</v>
      </c>
      <c r="O748" s="6" t="s">
        <v>49</v>
      </c>
      <c r="P748" s="6">
        <f>COUNTIF(Analysis!$M$1:$M$3001,Analysis!$M748)</f>
        <v>1</v>
      </c>
      <c r="Q748" s="6" t="str">
        <f>IF(COUNTIF(Analysis!$M$2:$M$3001,Analysis!$M748)&gt;1,"Duplicate","OK")</f>
        <v>OK</v>
      </c>
      <c r="R748" s="6" t="str">
        <f t="shared" si="1"/>
        <v>2600-3600</v>
      </c>
      <c r="S748" s="6">
        <f t="shared" si="2"/>
        <v>43</v>
      </c>
      <c r="T748" s="6" t="str">
        <f t="shared" si="3"/>
        <v>Old</v>
      </c>
    </row>
    <row r="749" ht="14.25" customHeight="1">
      <c r="A749" s="5">
        <v>1220906.0</v>
      </c>
      <c r="B749" s="6" t="s">
        <v>3035</v>
      </c>
      <c r="C749" s="6" t="s">
        <v>53</v>
      </c>
      <c r="D749" s="6">
        <v>79319.0</v>
      </c>
      <c r="E749" s="6" t="s">
        <v>77</v>
      </c>
      <c r="F749" s="6" t="s">
        <v>41</v>
      </c>
      <c r="G749" s="6" t="s">
        <v>55</v>
      </c>
      <c r="H749" s="7">
        <v>3648.0</v>
      </c>
      <c r="I749" s="7">
        <v>9786.0</v>
      </c>
      <c r="J749" s="6">
        <v>2011.0</v>
      </c>
      <c r="K749" s="6">
        <v>20.0</v>
      </c>
      <c r="L749" s="6" t="s">
        <v>22</v>
      </c>
      <c r="M749" s="6" t="s">
        <v>3036</v>
      </c>
      <c r="N749" s="6" t="s">
        <v>48</v>
      </c>
      <c r="O749" s="6" t="s">
        <v>35</v>
      </c>
      <c r="P749" s="6">
        <f>COUNTIF(Analysis!$M$1:$M$3001,Analysis!$M749)</f>
        <v>1</v>
      </c>
      <c r="Q749" s="6" t="str">
        <f>IF(COUNTIF(Analysis!$M$2:$M$3001,Analysis!$M749)&gt;1,"Duplicate","OK")</f>
        <v>OK</v>
      </c>
      <c r="R749" s="6" t="str">
        <f t="shared" si="1"/>
        <v>3600+</v>
      </c>
      <c r="S749" s="6">
        <f t="shared" si="2"/>
        <v>15</v>
      </c>
      <c r="T749" s="6" t="str">
        <f t="shared" si="3"/>
        <v>Mid</v>
      </c>
    </row>
    <row r="750" ht="14.25" customHeight="1">
      <c r="A750" s="5">
        <v>478395.0</v>
      </c>
      <c r="B750" s="6" t="s">
        <v>6301</v>
      </c>
      <c r="C750" s="6" t="s">
        <v>29</v>
      </c>
      <c r="D750" s="6">
        <v>58931.0</v>
      </c>
      <c r="E750" s="6" t="s">
        <v>30</v>
      </c>
      <c r="F750" s="6" t="s">
        <v>46</v>
      </c>
      <c r="G750" s="6" t="s">
        <v>100</v>
      </c>
      <c r="H750" s="7">
        <v>2583.0</v>
      </c>
      <c r="I750" s="7">
        <v>2427.0</v>
      </c>
      <c r="J750" s="6">
        <v>1953.0</v>
      </c>
      <c r="K750" s="6">
        <v>80.0</v>
      </c>
      <c r="L750" s="6" t="s">
        <v>62</v>
      </c>
      <c r="M750" s="6" t="s">
        <v>6302</v>
      </c>
      <c r="N750" s="6" t="s">
        <v>64</v>
      </c>
      <c r="O750" s="6" t="s">
        <v>35</v>
      </c>
      <c r="P750" s="6">
        <f>COUNTIF(Analysis!$M$1:$M$3001,Analysis!$M1566)</f>
        <v>1</v>
      </c>
      <c r="Q750" s="6" t="str">
        <f>IF(COUNTIF(Analysis!$M$2:$M$3001,Analysis!$M1566)&gt;1,"Duplicate","OK")</f>
        <v>OK</v>
      </c>
      <c r="R750" s="6" t="str">
        <f t="shared" si="1"/>
        <v>1600-2600</v>
      </c>
      <c r="S750" s="6">
        <f t="shared" si="2"/>
        <v>73</v>
      </c>
      <c r="T750" s="6" t="str">
        <f t="shared" si="3"/>
        <v>Very Old</v>
      </c>
    </row>
    <row r="751" ht="14.25" customHeight="1">
      <c r="A751" s="5">
        <v>1249075.0</v>
      </c>
      <c r="B751" s="6" t="s">
        <v>3043</v>
      </c>
      <c r="C751" s="6" t="s">
        <v>18</v>
      </c>
      <c r="D751" s="6">
        <v>88560.0</v>
      </c>
      <c r="E751" s="6" t="s">
        <v>77</v>
      </c>
      <c r="F751" s="6" t="s">
        <v>94</v>
      </c>
      <c r="G751" s="6" t="s">
        <v>21</v>
      </c>
      <c r="H751" s="7">
        <v>1444.0</v>
      </c>
      <c r="I751" s="7">
        <v>5827.0</v>
      </c>
      <c r="J751" s="6">
        <v>2002.0</v>
      </c>
      <c r="K751" s="6">
        <v>46.0</v>
      </c>
      <c r="L751" s="6" t="s">
        <v>95</v>
      </c>
      <c r="M751" s="6" t="s">
        <v>3044</v>
      </c>
      <c r="N751" s="6" t="s">
        <v>43</v>
      </c>
      <c r="O751" s="6" t="s">
        <v>49</v>
      </c>
      <c r="P751" s="6">
        <f>COUNTIF(Analysis!$M$1:$M$3001,Analysis!$M751)</f>
        <v>1</v>
      </c>
      <c r="Q751" s="6" t="str">
        <f>IF(COUNTIF(Analysis!$M$2:$M$3001,Analysis!$M751)&gt;1,"Duplicate","OK")</f>
        <v>OK</v>
      </c>
      <c r="R751" s="6" t="str">
        <f t="shared" si="1"/>
        <v>600-1600</v>
      </c>
      <c r="S751" s="6">
        <f t="shared" si="2"/>
        <v>24</v>
      </c>
      <c r="T751" s="6" t="str">
        <f t="shared" si="3"/>
        <v>Mid</v>
      </c>
    </row>
    <row r="752" ht="14.25" customHeight="1">
      <c r="A752" s="5">
        <v>463854.0</v>
      </c>
      <c r="B752" s="6" t="s">
        <v>3047</v>
      </c>
      <c r="C752" s="6" t="s">
        <v>53</v>
      </c>
      <c r="D752" s="6">
        <v>10506.0</v>
      </c>
      <c r="E752" s="6" t="s">
        <v>30</v>
      </c>
      <c r="F752" s="6" t="s">
        <v>94</v>
      </c>
      <c r="G752" s="6" t="s">
        <v>100</v>
      </c>
      <c r="H752" s="7">
        <v>734.0</v>
      </c>
      <c r="I752" s="7">
        <v>2587.0</v>
      </c>
      <c r="J752" s="6">
        <v>2015.0</v>
      </c>
      <c r="K752" s="6">
        <v>9.0</v>
      </c>
      <c r="L752" s="6" t="s">
        <v>95</v>
      </c>
      <c r="M752" s="6" t="s">
        <v>3048</v>
      </c>
      <c r="N752" s="6" t="s">
        <v>48</v>
      </c>
      <c r="O752" s="6" t="s">
        <v>35</v>
      </c>
      <c r="P752" s="6">
        <f>COUNTIF(Analysis!$M$1:$M$3001,Analysis!$M752)</f>
        <v>1</v>
      </c>
      <c r="Q752" s="6" t="str">
        <f>IF(COUNTIF(Analysis!$M$2:$M$3001,Analysis!$M752)&gt;1,"Duplicate","OK")</f>
        <v>OK</v>
      </c>
      <c r="R752" s="6" t="str">
        <f t="shared" si="1"/>
        <v>600-1600</v>
      </c>
      <c r="S752" s="6">
        <f t="shared" si="2"/>
        <v>11</v>
      </c>
      <c r="T752" s="6" t="str">
        <f t="shared" si="3"/>
        <v>Mid</v>
      </c>
    </row>
    <row r="753" ht="14.25" customHeight="1">
      <c r="A753" s="5">
        <v>1250374.0</v>
      </c>
      <c r="B753" s="6" t="s">
        <v>3051</v>
      </c>
      <c r="C753" s="6" t="s">
        <v>18</v>
      </c>
      <c r="D753" s="6">
        <v>89557.0</v>
      </c>
      <c r="E753" s="6" t="s">
        <v>40</v>
      </c>
      <c r="F753" s="6" t="s">
        <v>61</v>
      </c>
      <c r="G753" s="6" t="s">
        <v>55</v>
      </c>
      <c r="H753" s="7">
        <v>1555.0</v>
      </c>
      <c r="I753" s="7">
        <v>1662.0</v>
      </c>
      <c r="J753" s="6">
        <v>1969.0</v>
      </c>
      <c r="K753" s="6">
        <v>15.0</v>
      </c>
      <c r="L753" s="6" t="s">
        <v>95</v>
      </c>
      <c r="M753" s="6" t="s">
        <v>3052</v>
      </c>
      <c r="N753" s="6" t="s">
        <v>24</v>
      </c>
      <c r="O753" s="6" t="s">
        <v>25</v>
      </c>
      <c r="P753" s="6">
        <f>COUNTIF(Analysis!$M$1:$M$3001,Analysis!$M753)</f>
        <v>1</v>
      </c>
      <c r="Q753" s="6" t="str">
        <f>IF(COUNTIF(Analysis!$M$2:$M$3001,Analysis!$M753)&gt;1,"Duplicate","OK")</f>
        <v>OK</v>
      </c>
      <c r="R753" s="6" t="str">
        <f t="shared" si="1"/>
        <v>600-1600</v>
      </c>
      <c r="S753" s="6">
        <f t="shared" si="2"/>
        <v>57</v>
      </c>
      <c r="T753" s="6" t="str">
        <f t="shared" si="3"/>
        <v>Old</v>
      </c>
    </row>
    <row r="754" ht="14.25" customHeight="1">
      <c r="A754" s="5">
        <v>480974.0</v>
      </c>
      <c r="B754" s="6" t="s">
        <v>1637</v>
      </c>
      <c r="C754" s="6" t="s">
        <v>29</v>
      </c>
      <c r="D754" s="6">
        <v>51917.0</v>
      </c>
      <c r="E754" s="6" t="s">
        <v>60</v>
      </c>
      <c r="F754" s="6" t="s">
        <v>46</v>
      </c>
      <c r="G754" s="6" t="s">
        <v>100</v>
      </c>
      <c r="H754" s="7">
        <v>2901.0</v>
      </c>
      <c r="I754" s="7">
        <v>4820.0</v>
      </c>
      <c r="J754" s="6">
        <v>1973.0</v>
      </c>
      <c r="K754" s="6">
        <v>53.0</v>
      </c>
      <c r="L754" s="6" t="s">
        <v>22</v>
      </c>
      <c r="M754" s="6" t="s">
        <v>1638</v>
      </c>
      <c r="N754" s="6" t="s">
        <v>48</v>
      </c>
      <c r="O754" s="6" t="s">
        <v>25</v>
      </c>
      <c r="P754" s="6">
        <f>COUNTIF(Analysis!$M$1:$M$3001,Analysis!$M399)</f>
        <v>1</v>
      </c>
      <c r="Q754" s="6" t="str">
        <f>IF(COUNTIF(Analysis!$M$2:$M$3001,Analysis!$M399)&gt;1,"Duplicate","OK")</f>
        <v>OK</v>
      </c>
      <c r="R754" s="6" t="str">
        <f t="shared" si="1"/>
        <v>2600-3600</v>
      </c>
      <c r="S754" s="6">
        <f t="shared" si="2"/>
        <v>53</v>
      </c>
      <c r="T754" s="6" t="str">
        <f t="shared" si="3"/>
        <v>Old</v>
      </c>
    </row>
    <row r="755" ht="14.25" customHeight="1">
      <c r="A755" s="5">
        <v>1014410.0</v>
      </c>
      <c r="B755" s="6" t="s">
        <v>3059</v>
      </c>
      <c r="C755" s="6" t="s">
        <v>39</v>
      </c>
      <c r="D755" s="6">
        <v>57436.0</v>
      </c>
      <c r="E755" s="6" t="s">
        <v>19</v>
      </c>
      <c r="F755" s="6" t="s">
        <v>41</v>
      </c>
      <c r="G755" s="6" t="s">
        <v>100</v>
      </c>
      <c r="H755" s="7">
        <v>2500.0</v>
      </c>
      <c r="I755" s="7">
        <v>4258.0</v>
      </c>
      <c r="J755" s="6">
        <v>1987.0</v>
      </c>
      <c r="K755" s="6">
        <v>28.0</v>
      </c>
      <c r="L755" s="6" t="s">
        <v>22</v>
      </c>
      <c r="M755" s="6" t="s">
        <v>3060</v>
      </c>
      <c r="N755" s="6" t="s">
        <v>34</v>
      </c>
      <c r="O755" s="6" t="s">
        <v>25</v>
      </c>
      <c r="P755" s="6">
        <f>COUNTIF(Analysis!$M$1:$M$3001,Analysis!$M755)</f>
        <v>1</v>
      </c>
      <c r="Q755" s="6" t="str">
        <f>IF(COUNTIF(Analysis!$M$2:$M$3001,Analysis!$M755)&gt;1,"Duplicate","OK")</f>
        <v>OK</v>
      </c>
      <c r="R755" s="6" t="str">
        <f t="shared" si="1"/>
        <v>1600-2600</v>
      </c>
      <c r="S755" s="6">
        <f t="shared" si="2"/>
        <v>39</v>
      </c>
      <c r="T755" s="6" t="str">
        <f t="shared" si="3"/>
        <v>Old</v>
      </c>
    </row>
    <row r="756" ht="14.25" customHeight="1">
      <c r="A756" s="5">
        <v>236666.0</v>
      </c>
      <c r="B756" s="6" t="s">
        <v>3063</v>
      </c>
      <c r="C756" s="6" t="s">
        <v>39</v>
      </c>
      <c r="D756" s="6">
        <v>67537.0</v>
      </c>
      <c r="E756" s="6" t="s">
        <v>40</v>
      </c>
      <c r="F756" s="6" t="s">
        <v>46</v>
      </c>
      <c r="G756" s="6" t="s">
        <v>55</v>
      </c>
      <c r="H756" s="7">
        <v>2884.0</v>
      </c>
      <c r="I756" s="7">
        <v>3523.0</v>
      </c>
      <c r="J756" s="6">
        <v>2009.0</v>
      </c>
      <c r="K756" s="6">
        <v>66.0</v>
      </c>
      <c r="L756" s="6" t="s">
        <v>95</v>
      </c>
      <c r="M756" s="6" t="s">
        <v>3064</v>
      </c>
      <c r="N756" s="6" t="s">
        <v>34</v>
      </c>
      <c r="O756" s="6" t="s">
        <v>25</v>
      </c>
      <c r="P756" s="6">
        <f>COUNTIF(Analysis!$M$1:$M$3001,Analysis!$M756)</f>
        <v>1</v>
      </c>
      <c r="Q756" s="6" t="str">
        <f>IF(COUNTIF(Analysis!$M$2:$M$3001,Analysis!$M756)&gt;1,"Duplicate","OK")</f>
        <v>OK</v>
      </c>
      <c r="R756" s="6" t="str">
        <f t="shared" si="1"/>
        <v>2600-3600</v>
      </c>
      <c r="S756" s="6">
        <f t="shared" si="2"/>
        <v>17</v>
      </c>
      <c r="T756" s="6" t="str">
        <f t="shared" si="3"/>
        <v>Mid</v>
      </c>
    </row>
    <row r="757" ht="14.25" customHeight="1">
      <c r="A757" s="5">
        <v>1321463.0</v>
      </c>
      <c r="B757" s="6" t="s">
        <v>3067</v>
      </c>
      <c r="C757" s="6" t="s">
        <v>18</v>
      </c>
      <c r="D757" s="6">
        <v>23637.0</v>
      </c>
      <c r="E757" s="6" t="s">
        <v>77</v>
      </c>
      <c r="F757" s="6" t="s">
        <v>46</v>
      </c>
      <c r="G757" s="6" t="s">
        <v>31</v>
      </c>
      <c r="H757" s="7">
        <v>3857.0</v>
      </c>
      <c r="I757" s="7">
        <v>8715.0</v>
      </c>
      <c r="J757" s="6">
        <v>2016.0</v>
      </c>
      <c r="K757" s="6">
        <v>86.0</v>
      </c>
      <c r="L757" s="6" t="s">
        <v>141</v>
      </c>
      <c r="M757" s="6" t="s">
        <v>3068</v>
      </c>
      <c r="N757" s="6" t="s">
        <v>64</v>
      </c>
      <c r="O757" s="6" t="s">
        <v>35</v>
      </c>
      <c r="P757" s="6">
        <f>COUNTIF(Analysis!$M$1:$M$3001,Analysis!$M757)</f>
        <v>1</v>
      </c>
      <c r="Q757" s="6" t="str">
        <f>IF(COUNTIF(Analysis!$M$2:$M$3001,Analysis!$M757)&gt;1,"Duplicate","OK")</f>
        <v>OK</v>
      </c>
      <c r="R757" s="6" t="str">
        <f t="shared" si="1"/>
        <v>3600+</v>
      </c>
      <c r="S757" s="6">
        <f t="shared" si="2"/>
        <v>10</v>
      </c>
      <c r="T757" s="6" t="str">
        <f t="shared" si="3"/>
        <v>New</v>
      </c>
    </row>
    <row r="758" ht="14.25" customHeight="1">
      <c r="A758" s="5">
        <v>1416409.0</v>
      </c>
      <c r="B758" s="6" t="s">
        <v>3071</v>
      </c>
      <c r="C758" s="6" t="s">
        <v>76</v>
      </c>
      <c r="D758" s="6">
        <v>27396.0</v>
      </c>
      <c r="E758" s="6" t="s">
        <v>77</v>
      </c>
      <c r="F758" s="6" t="s">
        <v>46</v>
      </c>
      <c r="G758" s="6" t="s">
        <v>21</v>
      </c>
      <c r="H758" s="7">
        <v>3600.0</v>
      </c>
      <c r="I758" s="7">
        <v>8054.0</v>
      </c>
      <c r="J758" s="6">
        <v>1983.0</v>
      </c>
      <c r="K758" s="6">
        <v>5.0</v>
      </c>
      <c r="L758" s="6" t="s">
        <v>22</v>
      </c>
      <c r="M758" s="6" t="s">
        <v>3072</v>
      </c>
      <c r="N758" s="6" t="s">
        <v>64</v>
      </c>
      <c r="O758" s="6" t="s">
        <v>25</v>
      </c>
      <c r="P758" s="6">
        <f>COUNTIF(Analysis!$M$1:$M$3001,Analysis!$M758)</f>
        <v>1</v>
      </c>
      <c r="Q758" s="6" t="str">
        <f>IF(COUNTIF(Analysis!$M$2:$M$3001,Analysis!$M758)&gt;1,"Duplicate","OK")</f>
        <v>OK</v>
      </c>
      <c r="R758" s="6" t="str">
        <f t="shared" si="1"/>
        <v>3600+</v>
      </c>
      <c r="S758" s="6">
        <f t="shared" si="2"/>
        <v>43</v>
      </c>
      <c r="T758" s="6" t="str">
        <f t="shared" si="3"/>
        <v>Old</v>
      </c>
    </row>
    <row r="759" ht="14.25" customHeight="1">
      <c r="A759" s="5">
        <v>229675.0</v>
      </c>
      <c r="B759" s="6" t="s">
        <v>3075</v>
      </c>
      <c r="C759" s="6" t="s">
        <v>18</v>
      </c>
      <c r="D759" s="6">
        <v>48584.0</v>
      </c>
      <c r="E759" s="6" t="s">
        <v>77</v>
      </c>
      <c r="F759" s="6" t="s">
        <v>20</v>
      </c>
      <c r="G759" s="6" t="s">
        <v>21</v>
      </c>
      <c r="H759" s="7">
        <v>798.0</v>
      </c>
      <c r="I759" s="7">
        <v>2972.0</v>
      </c>
      <c r="J759" s="6">
        <v>1967.0</v>
      </c>
      <c r="K759" s="6">
        <v>76.0</v>
      </c>
      <c r="L759" s="6" t="s">
        <v>95</v>
      </c>
      <c r="M759" s="6" t="s">
        <v>3076</v>
      </c>
      <c r="N759" s="6" t="s">
        <v>43</v>
      </c>
      <c r="O759" s="6" t="s">
        <v>35</v>
      </c>
      <c r="P759" s="6">
        <f>COUNTIF(Analysis!$M$1:$M$3001,Analysis!$M759)</f>
        <v>1</v>
      </c>
      <c r="Q759" s="6" t="str">
        <f>IF(COUNTIF(Analysis!$M$2:$M$3001,Analysis!$M759)&gt;1,"Duplicate","OK")</f>
        <v>OK</v>
      </c>
      <c r="R759" s="6" t="str">
        <f t="shared" si="1"/>
        <v>600-1600</v>
      </c>
      <c r="S759" s="6">
        <f t="shared" si="2"/>
        <v>59</v>
      </c>
      <c r="T759" s="6" t="str">
        <f t="shared" si="3"/>
        <v>Old</v>
      </c>
    </row>
    <row r="760" ht="14.25" customHeight="1">
      <c r="A760" s="5">
        <v>414018.0</v>
      </c>
      <c r="B760" s="6" t="s">
        <v>3079</v>
      </c>
      <c r="C760" s="6" t="s">
        <v>39</v>
      </c>
      <c r="D760" s="6">
        <v>77410.0</v>
      </c>
      <c r="E760" s="6" t="s">
        <v>19</v>
      </c>
      <c r="F760" s="6" t="s">
        <v>20</v>
      </c>
      <c r="G760" s="6" t="s">
        <v>21</v>
      </c>
      <c r="H760" s="7">
        <v>2292.0</v>
      </c>
      <c r="I760" s="7">
        <v>5579.0</v>
      </c>
      <c r="J760" s="6">
        <v>2001.0</v>
      </c>
      <c r="K760" s="6">
        <v>103.0</v>
      </c>
      <c r="L760" s="6" t="s">
        <v>32</v>
      </c>
      <c r="M760" s="6" t="s">
        <v>3080</v>
      </c>
      <c r="N760" s="6" t="s">
        <v>48</v>
      </c>
      <c r="O760" s="6" t="s">
        <v>35</v>
      </c>
      <c r="P760" s="6">
        <f>COUNTIF(Analysis!$M$1:$M$3001,Analysis!$M760)</f>
        <v>1</v>
      </c>
      <c r="Q760" s="6" t="str">
        <f>IF(COUNTIF(Analysis!$M$2:$M$3001,Analysis!$M760)&gt;1,"Duplicate","OK")</f>
        <v>OK</v>
      </c>
      <c r="R760" s="6" t="str">
        <f t="shared" si="1"/>
        <v>1600-2600</v>
      </c>
      <c r="S760" s="6">
        <f t="shared" si="2"/>
        <v>25</v>
      </c>
      <c r="T760" s="6" t="str">
        <f t="shared" si="3"/>
        <v>Mid</v>
      </c>
    </row>
    <row r="761" ht="14.25" customHeight="1">
      <c r="A761" s="5">
        <v>434016.0</v>
      </c>
      <c r="B761" s="6" t="s">
        <v>3083</v>
      </c>
      <c r="C761" s="6" t="s">
        <v>18</v>
      </c>
      <c r="D761" s="6">
        <v>25867.0</v>
      </c>
      <c r="E761" s="6" t="s">
        <v>19</v>
      </c>
      <c r="F761" s="6" t="s">
        <v>20</v>
      </c>
      <c r="G761" s="6" t="s">
        <v>21</v>
      </c>
      <c r="H761" s="7">
        <v>3157.0</v>
      </c>
      <c r="I761" s="7">
        <v>8457.0</v>
      </c>
      <c r="J761" s="6">
        <v>2010.0</v>
      </c>
      <c r="K761" s="6">
        <v>4.0</v>
      </c>
      <c r="L761" s="6" t="s">
        <v>95</v>
      </c>
      <c r="M761" s="6" t="s">
        <v>3084</v>
      </c>
      <c r="N761" s="6" t="s">
        <v>48</v>
      </c>
      <c r="O761" s="6" t="s">
        <v>25</v>
      </c>
      <c r="P761" s="6">
        <f>COUNTIF(Analysis!$M$1:$M$3001,Analysis!$M761)</f>
        <v>1</v>
      </c>
      <c r="Q761" s="6" t="str">
        <f>IF(COUNTIF(Analysis!$M$2:$M$3001,Analysis!$M761)&gt;1,"Duplicate","OK")</f>
        <v>OK</v>
      </c>
      <c r="R761" s="6" t="str">
        <f t="shared" si="1"/>
        <v>2600-3600</v>
      </c>
      <c r="S761" s="6">
        <f t="shared" si="2"/>
        <v>16</v>
      </c>
      <c r="T761" s="6" t="str">
        <f t="shared" si="3"/>
        <v>Mid</v>
      </c>
    </row>
    <row r="762" ht="14.25" customHeight="1">
      <c r="A762" s="5">
        <v>411851.0</v>
      </c>
      <c r="B762" s="6" t="s">
        <v>3087</v>
      </c>
      <c r="C762" s="6" t="s">
        <v>53</v>
      </c>
      <c r="D762" s="6">
        <v>75253.0</v>
      </c>
      <c r="E762" s="6" t="s">
        <v>30</v>
      </c>
      <c r="F762" s="6" t="s">
        <v>54</v>
      </c>
      <c r="G762" s="6" t="s">
        <v>31</v>
      </c>
      <c r="H762" s="7">
        <v>863.0</v>
      </c>
      <c r="I762" s="7">
        <v>3598.0</v>
      </c>
      <c r="J762" s="6">
        <v>2015.0</v>
      </c>
      <c r="K762" s="6">
        <v>83.0</v>
      </c>
      <c r="L762" s="6" t="s">
        <v>62</v>
      </c>
      <c r="M762" s="6" t="s">
        <v>3088</v>
      </c>
      <c r="N762" s="6" t="s">
        <v>34</v>
      </c>
      <c r="O762" s="6" t="s">
        <v>25</v>
      </c>
      <c r="P762" s="6">
        <f>COUNTIF(Analysis!$M$1:$M$3001,Analysis!$M762)</f>
        <v>1</v>
      </c>
      <c r="Q762" s="6" t="str">
        <f>IF(COUNTIF(Analysis!$M$2:$M$3001,Analysis!$M762)&gt;1,"Duplicate","OK")</f>
        <v>OK</v>
      </c>
      <c r="R762" s="6" t="str">
        <f t="shared" si="1"/>
        <v>600-1600</v>
      </c>
      <c r="S762" s="6">
        <f t="shared" si="2"/>
        <v>11</v>
      </c>
      <c r="T762" s="6" t="str">
        <f t="shared" si="3"/>
        <v>Mid</v>
      </c>
    </row>
    <row r="763" ht="14.25" customHeight="1">
      <c r="A763" s="5">
        <v>1062025.0</v>
      </c>
      <c r="B763" s="6" t="s">
        <v>3091</v>
      </c>
      <c r="C763" s="6" t="s">
        <v>53</v>
      </c>
      <c r="D763" s="6">
        <v>83724.0</v>
      </c>
      <c r="E763" s="6" t="s">
        <v>19</v>
      </c>
      <c r="F763" s="6" t="s">
        <v>20</v>
      </c>
      <c r="G763" s="6" t="s">
        <v>55</v>
      </c>
      <c r="H763" s="7">
        <v>1333.0</v>
      </c>
      <c r="I763" s="7">
        <v>3640.0</v>
      </c>
      <c r="J763" s="6">
        <v>1998.0</v>
      </c>
      <c r="K763" s="6">
        <v>105.0</v>
      </c>
      <c r="L763" s="6" t="s">
        <v>95</v>
      </c>
      <c r="M763" s="6" t="s">
        <v>3092</v>
      </c>
      <c r="N763" s="6" t="s">
        <v>34</v>
      </c>
      <c r="O763" s="6" t="s">
        <v>49</v>
      </c>
      <c r="P763" s="6">
        <f>COUNTIF(Analysis!$M$1:$M$3001,Analysis!$M763)</f>
        <v>1</v>
      </c>
      <c r="Q763" s="6" t="str">
        <f>IF(COUNTIF(Analysis!$M$2:$M$3001,Analysis!$M763)&gt;1,"Duplicate","OK")</f>
        <v>OK</v>
      </c>
      <c r="R763" s="6" t="str">
        <f t="shared" si="1"/>
        <v>600-1600</v>
      </c>
      <c r="S763" s="6">
        <f t="shared" si="2"/>
        <v>28</v>
      </c>
      <c r="T763" s="6" t="str">
        <f t="shared" si="3"/>
        <v>Mid</v>
      </c>
    </row>
    <row r="764" ht="14.25" customHeight="1">
      <c r="A764" s="5">
        <v>717498.0</v>
      </c>
      <c r="B764" s="6" t="s">
        <v>3095</v>
      </c>
      <c r="C764" s="6" t="s">
        <v>76</v>
      </c>
      <c r="D764" s="6">
        <v>11432.0</v>
      </c>
      <c r="E764" s="6" t="s">
        <v>40</v>
      </c>
      <c r="F764" s="6" t="s">
        <v>20</v>
      </c>
      <c r="G764" s="6" t="s">
        <v>55</v>
      </c>
      <c r="H764" s="7">
        <v>3379.0</v>
      </c>
      <c r="I764" s="7">
        <v>1670.0</v>
      </c>
      <c r="J764" s="6">
        <v>2013.0</v>
      </c>
      <c r="K764" s="6">
        <v>70.0</v>
      </c>
      <c r="L764" s="6" t="s">
        <v>95</v>
      </c>
      <c r="M764" s="6" t="s">
        <v>3096</v>
      </c>
      <c r="N764" s="6" t="s">
        <v>34</v>
      </c>
      <c r="O764" s="6" t="s">
        <v>25</v>
      </c>
      <c r="P764" s="6">
        <f>COUNTIF(Analysis!$M$1:$M$3001,Analysis!$M764)</f>
        <v>1</v>
      </c>
      <c r="Q764" s="6" t="str">
        <f>IF(COUNTIF(Analysis!$M$2:$M$3001,Analysis!$M764)&gt;1,"Duplicate","OK")</f>
        <v>OK</v>
      </c>
      <c r="R764" s="6" t="str">
        <f t="shared" si="1"/>
        <v>2600-3600</v>
      </c>
      <c r="S764" s="6">
        <f t="shared" si="2"/>
        <v>13</v>
      </c>
      <c r="T764" s="6" t="str">
        <f t="shared" si="3"/>
        <v>Mid</v>
      </c>
    </row>
    <row r="765" ht="14.25" customHeight="1">
      <c r="A765" s="5">
        <v>1112100.0</v>
      </c>
      <c r="B765" s="6" t="s">
        <v>3099</v>
      </c>
      <c r="C765" s="6" t="s">
        <v>18</v>
      </c>
      <c r="D765" s="6">
        <v>80722.0</v>
      </c>
      <c r="E765" s="6" t="s">
        <v>77</v>
      </c>
      <c r="F765" s="6" t="s">
        <v>46</v>
      </c>
      <c r="G765" s="6" t="s">
        <v>21</v>
      </c>
      <c r="H765" s="7">
        <v>1378.0</v>
      </c>
      <c r="I765" s="7">
        <v>8884.0</v>
      </c>
      <c r="J765" s="6">
        <v>2022.0</v>
      </c>
      <c r="K765" s="6">
        <v>92.0</v>
      </c>
      <c r="L765" s="6" t="s">
        <v>62</v>
      </c>
      <c r="M765" s="6" t="s">
        <v>3100</v>
      </c>
      <c r="N765" s="6" t="s">
        <v>34</v>
      </c>
      <c r="O765" s="6" t="s">
        <v>35</v>
      </c>
      <c r="P765" s="6">
        <f>COUNTIF(Analysis!$M$1:$M$3001,Analysis!$M765)</f>
        <v>1</v>
      </c>
      <c r="Q765" s="6" t="str">
        <f>IF(COUNTIF(Analysis!$M$2:$M$3001,Analysis!$M765)&gt;1,"Duplicate","OK")</f>
        <v>OK</v>
      </c>
      <c r="R765" s="6" t="str">
        <f t="shared" si="1"/>
        <v>600-1600</v>
      </c>
      <c r="S765" s="6">
        <f t="shared" si="2"/>
        <v>4</v>
      </c>
      <c r="T765" s="6" t="str">
        <f t="shared" si="3"/>
        <v>New</v>
      </c>
    </row>
    <row r="766" ht="14.25" customHeight="1">
      <c r="A766" s="5">
        <v>890769.0</v>
      </c>
      <c r="B766" s="6" t="s">
        <v>3103</v>
      </c>
      <c r="C766" s="6" t="s">
        <v>76</v>
      </c>
      <c r="D766" s="6">
        <v>71524.0</v>
      </c>
      <c r="E766" s="6" t="s">
        <v>30</v>
      </c>
      <c r="F766" s="6" t="s">
        <v>46</v>
      </c>
      <c r="G766" s="6" t="s">
        <v>31</v>
      </c>
      <c r="H766" s="7">
        <v>2731.0</v>
      </c>
      <c r="I766" s="7">
        <v>4407.0</v>
      </c>
      <c r="J766" s="6">
        <v>2023.0</v>
      </c>
      <c r="K766" s="6">
        <v>2.0</v>
      </c>
      <c r="L766" s="6" t="s">
        <v>62</v>
      </c>
      <c r="M766" s="6" t="s">
        <v>3104</v>
      </c>
      <c r="N766" s="6" t="s">
        <v>48</v>
      </c>
      <c r="O766" s="6" t="s">
        <v>49</v>
      </c>
      <c r="P766" s="6">
        <f>COUNTIF(Analysis!$M$1:$M$3001,Analysis!$M766)</f>
        <v>1</v>
      </c>
      <c r="Q766" s="6" t="str">
        <f>IF(COUNTIF(Analysis!$M$2:$M$3001,Analysis!$M766)&gt;1,"Duplicate","OK")</f>
        <v>OK</v>
      </c>
      <c r="R766" s="6" t="str">
        <f t="shared" si="1"/>
        <v>2600-3600</v>
      </c>
      <c r="S766" s="6">
        <f t="shared" si="2"/>
        <v>3</v>
      </c>
      <c r="T766" s="6" t="str">
        <f t="shared" si="3"/>
        <v>New</v>
      </c>
    </row>
    <row r="767" ht="14.25" customHeight="1">
      <c r="A767" s="5">
        <v>617617.0</v>
      </c>
      <c r="B767" s="6" t="s">
        <v>3107</v>
      </c>
      <c r="C767" s="6" t="s">
        <v>18</v>
      </c>
      <c r="D767" s="6">
        <v>98236.0</v>
      </c>
      <c r="E767" s="6" t="s">
        <v>30</v>
      </c>
      <c r="F767" s="6" t="s">
        <v>46</v>
      </c>
      <c r="G767" s="6" t="s">
        <v>55</v>
      </c>
      <c r="H767" s="7">
        <v>1184.0</v>
      </c>
      <c r="I767" s="7">
        <v>3972.0</v>
      </c>
      <c r="J767" s="6">
        <v>2010.0</v>
      </c>
      <c r="K767" s="6">
        <v>88.0</v>
      </c>
      <c r="L767" s="6" t="s">
        <v>141</v>
      </c>
      <c r="M767" s="6" t="s">
        <v>3108</v>
      </c>
      <c r="N767" s="6" t="s">
        <v>64</v>
      </c>
      <c r="O767" s="6" t="s">
        <v>35</v>
      </c>
      <c r="P767" s="6">
        <f>COUNTIF(Analysis!$M$1:$M$3001,Analysis!$M767)</f>
        <v>1</v>
      </c>
      <c r="Q767" s="6" t="str">
        <f>IF(COUNTIF(Analysis!$M$2:$M$3001,Analysis!$M767)&gt;1,"Duplicate","OK")</f>
        <v>OK</v>
      </c>
      <c r="R767" s="6" t="str">
        <f t="shared" si="1"/>
        <v>600-1600</v>
      </c>
      <c r="S767" s="6">
        <f t="shared" si="2"/>
        <v>16</v>
      </c>
      <c r="T767" s="6" t="str">
        <f t="shared" si="3"/>
        <v>Mid</v>
      </c>
    </row>
    <row r="768" ht="14.25" customHeight="1">
      <c r="A768" s="5">
        <v>475989.0</v>
      </c>
      <c r="B768" s="6" t="s">
        <v>3111</v>
      </c>
      <c r="C768" s="6" t="s">
        <v>53</v>
      </c>
      <c r="D768" s="6">
        <v>89919.0</v>
      </c>
      <c r="E768" s="6" t="s">
        <v>40</v>
      </c>
      <c r="F768" s="6" t="s">
        <v>46</v>
      </c>
      <c r="G768" s="6" t="s">
        <v>55</v>
      </c>
      <c r="H768" s="7">
        <v>3102.0</v>
      </c>
      <c r="I768" s="7">
        <v>6488.0</v>
      </c>
      <c r="J768" s="6">
        <v>2002.0</v>
      </c>
      <c r="K768" s="6">
        <v>120.0</v>
      </c>
      <c r="L768" s="6" t="s">
        <v>32</v>
      </c>
      <c r="M768" s="6" t="s">
        <v>3112</v>
      </c>
      <c r="N768" s="6" t="s">
        <v>43</v>
      </c>
      <c r="O768" s="6" t="s">
        <v>49</v>
      </c>
      <c r="P768" s="6">
        <f>COUNTIF(Analysis!$M$1:$M$3001,Analysis!$M768)</f>
        <v>1</v>
      </c>
      <c r="Q768" s="6" t="str">
        <f>IF(COUNTIF(Analysis!$M$2:$M$3001,Analysis!$M768)&gt;1,"Duplicate","OK")</f>
        <v>OK</v>
      </c>
      <c r="R768" s="6" t="str">
        <f t="shared" si="1"/>
        <v>2600-3600</v>
      </c>
      <c r="S768" s="6">
        <f t="shared" si="2"/>
        <v>24</v>
      </c>
      <c r="T768" s="6" t="str">
        <f t="shared" si="3"/>
        <v>Mid</v>
      </c>
    </row>
    <row r="769" ht="14.25" customHeight="1">
      <c r="A769" s="5">
        <v>482156.0</v>
      </c>
      <c r="B769" s="6" t="s">
        <v>3115</v>
      </c>
      <c r="C769" s="6" t="s">
        <v>18</v>
      </c>
      <c r="D769" s="6">
        <v>65564.0</v>
      </c>
      <c r="E769" s="6" t="s">
        <v>60</v>
      </c>
      <c r="F769" s="6" t="s">
        <v>20</v>
      </c>
      <c r="G769" s="6" t="s">
        <v>100</v>
      </c>
      <c r="H769" s="7">
        <v>3948.0</v>
      </c>
      <c r="I769" s="7">
        <v>4253.0</v>
      </c>
      <c r="J769" s="6">
        <v>1995.0</v>
      </c>
      <c r="K769" s="6">
        <v>55.0</v>
      </c>
      <c r="L769" s="6" t="s">
        <v>22</v>
      </c>
      <c r="M769" s="6" t="s">
        <v>3116</v>
      </c>
      <c r="N769" s="6" t="s">
        <v>34</v>
      </c>
      <c r="O769" s="6" t="s">
        <v>49</v>
      </c>
      <c r="P769" s="6">
        <f>COUNTIF(Analysis!$M$1:$M$3001,Analysis!$M769)</f>
        <v>1</v>
      </c>
      <c r="Q769" s="6" t="str">
        <f>IF(COUNTIF(Analysis!$M$2:$M$3001,Analysis!$M769)&gt;1,"Duplicate","OK")</f>
        <v>OK</v>
      </c>
      <c r="R769" s="6" t="str">
        <f t="shared" si="1"/>
        <v>3600+</v>
      </c>
      <c r="S769" s="6">
        <f t="shared" si="2"/>
        <v>31</v>
      </c>
      <c r="T769" s="6" t="str">
        <f t="shared" si="3"/>
        <v>Old</v>
      </c>
    </row>
    <row r="770" ht="14.25" customHeight="1">
      <c r="A770" s="5">
        <v>455797.0</v>
      </c>
      <c r="B770" s="6" t="s">
        <v>3119</v>
      </c>
      <c r="C770" s="6" t="s">
        <v>18</v>
      </c>
      <c r="D770" s="6">
        <v>46273.0</v>
      </c>
      <c r="E770" s="6" t="s">
        <v>30</v>
      </c>
      <c r="F770" s="6" t="s">
        <v>41</v>
      </c>
      <c r="G770" s="6" t="s">
        <v>31</v>
      </c>
      <c r="H770" s="7">
        <v>786.0</v>
      </c>
      <c r="I770" s="7">
        <v>5942.0</v>
      </c>
      <c r="J770" s="6">
        <v>2002.0</v>
      </c>
      <c r="K770" s="6">
        <v>103.0</v>
      </c>
      <c r="L770" s="6" t="s">
        <v>95</v>
      </c>
      <c r="M770" s="6" t="s">
        <v>3120</v>
      </c>
      <c r="N770" s="6" t="s">
        <v>34</v>
      </c>
      <c r="O770" s="6" t="s">
        <v>25</v>
      </c>
      <c r="P770" s="6">
        <f>COUNTIF(Analysis!$M$1:$M$3001,Analysis!$M770)</f>
        <v>1</v>
      </c>
      <c r="Q770" s="6" t="str">
        <f>IF(COUNTIF(Analysis!$M$2:$M$3001,Analysis!$M770)&gt;1,"Duplicate","OK")</f>
        <v>OK</v>
      </c>
      <c r="R770" s="6" t="str">
        <f t="shared" si="1"/>
        <v>600-1600</v>
      </c>
      <c r="S770" s="6">
        <f t="shared" si="2"/>
        <v>24</v>
      </c>
      <c r="T770" s="6" t="str">
        <f t="shared" si="3"/>
        <v>Mid</v>
      </c>
    </row>
    <row r="771" ht="14.25" customHeight="1">
      <c r="A771" s="5">
        <v>1090941.0</v>
      </c>
      <c r="B771" s="6" t="s">
        <v>3123</v>
      </c>
      <c r="C771" s="6" t="s">
        <v>18</v>
      </c>
      <c r="D771" s="6">
        <v>77457.0</v>
      </c>
      <c r="E771" s="6" t="s">
        <v>77</v>
      </c>
      <c r="F771" s="6" t="s">
        <v>54</v>
      </c>
      <c r="G771" s="6" t="s">
        <v>100</v>
      </c>
      <c r="H771" s="7">
        <v>890.0</v>
      </c>
      <c r="I771" s="7">
        <v>6226.0</v>
      </c>
      <c r="J771" s="6">
        <v>1999.0</v>
      </c>
      <c r="K771" s="6">
        <v>29.0</v>
      </c>
      <c r="L771" s="6" t="s">
        <v>95</v>
      </c>
      <c r="M771" s="6" t="s">
        <v>3124</v>
      </c>
      <c r="N771" s="6" t="s">
        <v>34</v>
      </c>
      <c r="O771" s="6" t="s">
        <v>25</v>
      </c>
      <c r="P771" s="6">
        <f>COUNTIF(Analysis!$M$1:$M$3001,Analysis!$M771)</f>
        <v>1</v>
      </c>
      <c r="Q771" s="6" t="str">
        <f>IF(COUNTIF(Analysis!$M$2:$M$3001,Analysis!$M771)&gt;1,"Duplicate","OK")</f>
        <v>OK</v>
      </c>
      <c r="R771" s="6" t="str">
        <f t="shared" si="1"/>
        <v>600-1600</v>
      </c>
      <c r="S771" s="6">
        <f t="shared" si="2"/>
        <v>27</v>
      </c>
      <c r="T771" s="6" t="str">
        <f t="shared" si="3"/>
        <v>Mid</v>
      </c>
    </row>
    <row r="772" ht="14.25" customHeight="1">
      <c r="A772" s="5">
        <v>699839.0</v>
      </c>
      <c r="B772" s="6" t="s">
        <v>3127</v>
      </c>
      <c r="C772" s="6" t="s">
        <v>39</v>
      </c>
      <c r="D772" s="6">
        <v>47736.0</v>
      </c>
      <c r="E772" s="6" t="s">
        <v>19</v>
      </c>
      <c r="F772" s="6" t="s">
        <v>41</v>
      </c>
      <c r="G772" s="6" t="s">
        <v>100</v>
      </c>
      <c r="H772" s="7">
        <v>1851.0</v>
      </c>
      <c r="I772" s="7">
        <v>6489.0</v>
      </c>
      <c r="J772" s="6">
        <v>2015.0</v>
      </c>
      <c r="K772" s="6">
        <v>22.0</v>
      </c>
      <c r="L772" s="6" t="s">
        <v>32</v>
      </c>
      <c r="M772" s="6" t="s">
        <v>3128</v>
      </c>
      <c r="N772" s="6" t="s">
        <v>24</v>
      </c>
      <c r="O772" s="6" t="s">
        <v>49</v>
      </c>
      <c r="P772" s="6">
        <f>COUNTIF(Analysis!$M$1:$M$3001,Analysis!$M772)</f>
        <v>1</v>
      </c>
      <c r="Q772" s="6" t="str">
        <f>IF(COUNTIF(Analysis!$M$2:$M$3001,Analysis!$M772)&gt;1,"Duplicate","OK")</f>
        <v>OK</v>
      </c>
      <c r="R772" s="6" t="str">
        <f t="shared" si="1"/>
        <v>1600-2600</v>
      </c>
      <c r="S772" s="6">
        <f t="shared" si="2"/>
        <v>11</v>
      </c>
      <c r="T772" s="6" t="str">
        <f t="shared" si="3"/>
        <v>Mid</v>
      </c>
    </row>
    <row r="773" ht="14.25" customHeight="1">
      <c r="A773" s="5">
        <v>975466.0</v>
      </c>
      <c r="B773" s="6" t="s">
        <v>3131</v>
      </c>
      <c r="C773" s="6" t="s">
        <v>18</v>
      </c>
      <c r="D773" s="6">
        <v>33841.0</v>
      </c>
      <c r="E773" s="6" t="s">
        <v>40</v>
      </c>
      <c r="F773" s="6" t="s">
        <v>94</v>
      </c>
      <c r="G773" s="6" t="s">
        <v>31</v>
      </c>
      <c r="H773" s="7">
        <v>2991.0</v>
      </c>
      <c r="I773" s="7">
        <v>1778.0</v>
      </c>
      <c r="J773" s="6">
        <v>1965.0</v>
      </c>
      <c r="K773" s="6">
        <v>74.0</v>
      </c>
      <c r="L773" s="6" t="s">
        <v>22</v>
      </c>
      <c r="M773" s="6" t="s">
        <v>3132</v>
      </c>
      <c r="N773" s="6" t="s">
        <v>24</v>
      </c>
      <c r="O773" s="6" t="s">
        <v>35</v>
      </c>
      <c r="P773" s="6">
        <f>COUNTIF(Analysis!$M$1:$M$3001,Analysis!$M773)</f>
        <v>1</v>
      </c>
      <c r="Q773" s="6" t="str">
        <f>IF(COUNTIF(Analysis!$M$2:$M$3001,Analysis!$M773)&gt;1,"Duplicate","OK")</f>
        <v>OK</v>
      </c>
      <c r="R773" s="6" t="str">
        <f t="shared" si="1"/>
        <v>2600-3600</v>
      </c>
      <c r="S773" s="6">
        <f t="shared" si="2"/>
        <v>61</v>
      </c>
      <c r="T773" s="6" t="str">
        <f t="shared" si="3"/>
        <v>Very Old</v>
      </c>
    </row>
    <row r="774" ht="14.25" customHeight="1">
      <c r="A774" s="5">
        <v>161264.0</v>
      </c>
      <c r="B774" s="6" t="s">
        <v>3135</v>
      </c>
      <c r="C774" s="6" t="s">
        <v>76</v>
      </c>
      <c r="D774" s="6">
        <v>89187.0</v>
      </c>
      <c r="E774" s="6" t="s">
        <v>30</v>
      </c>
      <c r="F774" s="6" t="s">
        <v>46</v>
      </c>
      <c r="G774" s="6" t="s">
        <v>31</v>
      </c>
      <c r="H774" s="7">
        <v>2828.0</v>
      </c>
      <c r="I774" s="7">
        <v>7470.0</v>
      </c>
      <c r="J774" s="6">
        <v>1986.0</v>
      </c>
      <c r="K774" s="6">
        <v>118.0</v>
      </c>
      <c r="L774" s="6" t="s">
        <v>32</v>
      </c>
      <c r="M774" s="6" t="s">
        <v>3136</v>
      </c>
      <c r="N774" s="6" t="s">
        <v>24</v>
      </c>
      <c r="O774" s="6" t="s">
        <v>25</v>
      </c>
      <c r="P774" s="6">
        <f>COUNTIF(Analysis!$M$1:$M$3001,Analysis!$M774)</f>
        <v>1</v>
      </c>
      <c r="Q774" s="6" t="str">
        <f>IF(COUNTIF(Analysis!$M$2:$M$3001,Analysis!$M774)&gt;1,"Duplicate","OK")</f>
        <v>OK</v>
      </c>
      <c r="R774" s="6" t="str">
        <f t="shared" si="1"/>
        <v>2600-3600</v>
      </c>
      <c r="S774" s="6">
        <f t="shared" si="2"/>
        <v>40</v>
      </c>
      <c r="T774" s="6" t="str">
        <f t="shared" si="3"/>
        <v>Old</v>
      </c>
    </row>
    <row r="775" ht="14.25" customHeight="1">
      <c r="A775" s="5">
        <v>1342267.0</v>
      </c>
      <c r="B775" s="6" t="s">
        <v>3139</v>
      </c>
      <c r="C775" s="6" t="s">
        <v>53</v>
      </c>
      <c r="D775" s="6">
        <v>58462.0</v>
      </c>
      <c r="E775" s="6" t="s">
        <v>30</v>
      </c>
      <c r="F775" s="6" t="s">
        <v>20</v>
      </c>
      <c r="G775" s="6" t="s">
        <v>100</v>
      </c>
      <c r="H775" s="7">
        <v>1791.0</v>
      </c>
      <c r="I775" s="7">
        <v>1988.0</v>
      </c>
      <c r="J775" s="6">
        <v>1978.0</v>
      </c>
      <c r="K775" s="6">
        <v>73.0</v>
      </c>
      <c r="L775" s="6" t="s">
        <v>95</v>
      </c>
      <c r="M775" s="6" t="s">
        <v>3140</v>
      </c>
      <c r="N775" s="6" t="s">
        <v>34</v>
      </c>
      <c r="O775" s="6" t="s">
        <v>25</v>
      </c>
      <c r="P775" s="6">
        <f>COUNTIF(Analysis!$M$1:$M$3001,Analysis!$M775)</f>
        <v>1</v>
      </c>
      <c r="Q775" s="6" t="str">
        <f>IF(COUNTIF(Analysis!$M$2:$M$3001,Analysis!$M775)&gt;1,"Duplicate","OK")</f>
        <v>OK</v>
      </c>
      <c r="R775" s="6" t="str">
        <f t="shared" si="1"/>
        <v>1600-2600</v>
      </c>
      <c r="S775" s="6">
        <f t="shared" si="2"/>
        <v>48</v>
      </c>
      <c r="T775" s="6" t="str">
        <f t="shared" si="3"/>
        <v>Old</v>
      </c>
    </row>
    <row r="776" ht="14.25" customHeight="1">
      <c r="A776" s="5">
        <v>235502.0</v>
      </c>
      <c r="B776" s="6" t="s">
        <v>3143</v>
      </c>
      <c r="C776" s="6" t="s">
        <v>53</v>
      </c>
      <c r="D776" s="6">
        <v>61679.0</v>
      </c>
      <c r="E776" s="6" t="s">
        <v>60</v>
      </c>
      <c r="F776" s="6" t="s">
        <v>61</v>
      </c>
      <c r="G776" s="6" t="s">
        <v>55</v>
      </c>
      <c r="H776" s="7">
        <v>2434.0</v>
      </c>
      <c r="I776" s="7">
        <v>6501.0</v>
      </c>
      <c r="J776" s="6">
        <v>1981.0</v>
      </c>
      <c r="K776" s="6">
        <v>119.0</v>
      </c>
      <c r="L776" s="6" t="s">
        <v>22</v>
      </c>
      <c r="M776" s="6" t="s">
        <v>3144</v>
      </c>
      <c r="N776" s="6" t="s">
        <v>24</v>
      </c>
      <c r="O776" s="6" t="s">
        <v>49</v>
      </c>
      <c r="P776" s="6">
        <f>COUNTIF(Analysis!$M$1:$M$3001,Analysis!$M776)</f>
        <v>1</v>
      </c>
      <c r="Q776" s="6" t="str">
        <f>IF(COUNTIF(Analysis!$M$2:$M$3001,Analysis!$M776)&gt;1,"Duplicate","OK")</f>
        <v>OK</v>
      </c>
      <c r="R776" s="6" t="str">
        <f t="shared" si="1"/>
        <v>1600-2600</v>
      </c>
      <c r="S776" s="6">
        <f t="shared" si="2"/>
        <v>45</v>
      </c>
      <c r="T776" s="6" t="str">
        <f t="shared" si="3"/>
        <v>Old</v>
      </c>
    </row>
    <row r="777" ht="14.25" customHeight="1">
      <c r="A777" s="5">
        <v>1382618.0</v>
      </c>
      <c r="B777" s="6" t="s">
        <v>3147</v>
      </c>
      <c r="C777" s="6" t="s">
        <v>39</v>
      </c>
      <c r="D777" s="6">
        <v>33285.0</v>
      </c>
      <c r="E777" s="6" t="s">
        <v>40</v>
      </c>
      <c r="F777" s="6" t="s">
        <v>61</v>
      </c>
      <c r="G777" s="6" t="s">
        <v>31</v>
      </c>
      <c r="H777" s="7">
        <v>3721.0</v>
      </c>
      <c r="I777" s="7">
        <v>7132.0</v>
      </c>
      <c r="J777" s="6">
        <v>1955.0</v>
      </c>
      <c r="K777" s="6">
        <v>65.0</v>
      </c>
      <c r="L777" s="6" t="s">
        <v>62</v>
      </c>
      <c r="M777" s="6" t="s">
        <v>3148</v>
      </c>
      <c r="N777" s="6" t="s">
        <v>34</v>
      </c>
      <c r="O777" s="6" t="s">
        <v>49</v>
      </c>
      <c r="P777" s="6">
        <f>COUNTIF(Analysis!$M$1:$M$3001,Analysis!$M777)</f>
        <v>1</v>
      </c>
      <c r="Q777" s="6" t="str">
        <f>IF(COUNTIF(Analysis!$M$2:$M$3001,Analysis!$M777)&gt;1,"Duplicate","OK")</f>
        <v>OK</v>
      </c>
      <c r="R777" s="6" t="str">
        <f t="shared" si="1"/>
        <v>3600+</v>
      </c>
      <c r="S777" s="6">
        <f t="shared" si="2"/>
        <v>71</v>
      </c>
      <c r="T777" s="6" t="str">
        <f t="shared" si="3"/>
        <v>Very Old</v>
      </c>
    </row>
    <row r="778" ht="14.25" customHeight="1">
      <c r="A778" s="5">
        <v>1016919.0</v>
      </c>
      <c r="B778" s="6" t="s">
        <v>3151</v>
      </c>
      <c r="C778" s="6" t="s">
        <v>39</v>
      </c>
      <c r="D778" s="6">
        <v>45702.0</v>
      </c>
      <c r="E778" s="6" t="s">
        <v>77</v>
      </c>
      <c r="F778" s="6" t="s">
        <v>20</v>
      </c>
      <c r="G778" s="6" t="s">
        <v>21</v>
      </c>
      <c r="H778" s="7">
        <v>2696.0</v>
      </c>
      <c r="I778" s="7">
        <v>8955.0</v>
      </c>
      <c r="J778" s="6">
        <v>1957.0</v>
      </c>
      <c r="K778" s="6">
        <v>7.0</v>
      </c>
      <c r="L778" s="6" t="s">
        <v>32</v>
      </c>
      <c r="M778" s="6" t="s">
        <v>3152</v>
      </c>
      <c r="N778" s="6" t="s">
        <v>24</v>
      </c>
      <c r="O778" s="6" t="s">
        <v>25</v>
      </c>
      <c r="P778" s="6">
        <f>COUNTIF(Analysis!$M$1:$M$3001,Analysis!$M778)</f>
        <v>1</v>
      </c>
      <c r="Q778" s="6" t="str">
        <f>IF(COUNTIF(Analysis!$M$2:$M$3001,Analysis!$M778)&gt;1,"Duplicate","OK")</f>
        <v>OK</v>
      </c>
      <c r="R778" s="6" t="str">
        <f t="shared" si="1"/>
        <v>2600-3600</v>
      </c>
      <c r="S778" s="6">
        <f t="shared" si="2"/>
        <v>69</v>
      </c>
      <c r="T778" s="6" t="str">
        <f t="shared" si="3"/>
        <v>Very Old</v>
      </c>
    </row>
    <row r="779" ht="14.25" customHeight="1">
      <c r="A779" s="5">
        <v>373698.0</v>
      </c>
      <c r="B779" s="6" t="s">
        <v>3155</v>
      </c>
      <c r="C779" s="6" t="s">
        <v>53</v>
      </c>
      <c r="D779" s="6">
        <v>90010.0</v>
      </c>
      <c r="E779" s="6" t="s">
        <v>30</v>
      </c>
      <c r="F779" s="6" t="s">
        <v>61</v>
      </c>
      <c r="G779" s="6" t="s">
        <v>21</v>
      </c>
      <c r="H779" s="7">
        <v>3579.0</v>
      </c>
      <c r="I779" s="7">
        <v>2532.0</v>
      </c>
      <c r="J779" s="6">
        <v>1955.0</v>
      </c>
      <c r="K779" s="6">
        <v>118.0</v>
      </c>
      <c r="L779" s="6" t="s">
        <v>32</v>
      </c>
      <c r="M779" s="6" t="s">
        <v>3156</v>
      </c>
      <c r="N779" s="6" t="s">
        <v>24</v>
      </c>
      <c r="O779" s="6" t="s">
        <v>35</v>
      </c>
      <c r="P779" s="6">
        <f>COUNTIF(Analysis!$M$1:$M$3001,Analysis!$M779)</f>
        <v>1</v>
      </c>
      <c r="Q779" s="6" t="str">
        <f>IF(COUNTIF(Analysis!$M$2:$M$3001,Analysis!$M779)&gt;1,"Duplicate","OK")</f>
        <v>OK</v>
      </c>
      <c r="R779" s="6" t="str">
        <f t="shared" si="1"/>
        <v>2600-3600</v>
      </c>
      <c r="S779" s="6">
        <f t="shared" si="2"/>
        <v>71</v>
      </c>
      <c r="T779" s="6" t="str">
        <f t="shared" si="3"/>
        <v>Very Old</v>
      </c>
    </row>
    <row r="780" ht="14.25" customHeight="1">
      <c r="A780" s="5">
        <v>481322.0</v>
      </c>
      <c r="B780" s="6" t="s">
        <v>2407</v>
      </c>
      <c r="C780" s="6" t="s">
        <v>29</v>
      </c>
      <c r="D780" s="6">
        <v>28842.0</v>
      </c>
      <c r="E780" s="6" t="s">
        <v>60</v>
      </c>
      <c r="F780" s="6" t="s">
        <v>94</v>
      </c>
      <c r="G780" s="6" t="s">
        <v>55</v>
      </c>
      <c r="H780" s="7">
        <v>1121.0</v>
      </c>
      <c r="I780" s="7">
        <v>4261.0</v>
      </c>
      <c r="J780" s="6">
        <v>1975.0</v>
      </c>
      <c r="K780" s="6">
        <v>50.0</v>
      </c>
      <c r="L780" s="6" t="s">
        <v>22</v>
      </c>
      <c r="M780" s="6" t="s">
        <v>2408</v>
      </c>
      <c r="N780" s="6" t="s">
        <v>34</v>
      </c>
      <c r="O780" s="6" t="s">
        <v>49</v>
      </c>
      <c r="P780" s="6">
        <f>COUNTIF(Analysis!$M$1:$M$3001,Analysis!$M592)</f>
        <v>1</v>
      </c>
      <c r="Q780" s="6" t="str">
        <f>IF(COUNTIF(Analysis!$M$2:$M$3001,Analysis!$M592)&gt;1,"Duplicate","OK")</f>
        <v>OK</v>
      </c>
      <c r="R780" s="6" t="str">
        <f t="shared" si="1"/>
        <v>600-1600</v>
      </c>
      <c r="S780" s="6">
        <f t="shared" si="2"/>
        <v>51</v>
      </c>
      <c r="T780" s="6" t="str">
        <f t="shared" si="3"/>
        <v>Old</v>
      </c>
    </row>
    <row r="781" ht="14.25" customHeight="1">
      <c r="A781" s="5">
        <v>484981.0</v>
      </c>
      <c r="B781" s="6" t="s">
        <v>7073</v>
      </c>
      <c r="C781" s="6" t="s">
        <v>29</v>
      </c>
      <c r="D781" s="6">
        <v>22863.0</v>
      </c>
      <c r="E781" s="6" t="s">
        <v>30</v>
      </c>
      <c r="F781" s="6" t="s">
        <v>41</v>
      </c>
      <c r="G781" s="6" t="s">
        <v>55</v>
      </c>
      <c r="H781" s="7">
        <v>3122.0</v>
      </c>
      <c r="I781" s="7">
        <v>3886.0</v>
      </c>
      <c r="J781" s="6">
        <v>2002.0</v>
      </c>
      <c r="K781" s="6">
        <v>108.0</v>
      </c>
      <c r="L781" s="6" t="s">
        <v>95</v>
      </c>
      <c r="M781" s="6" t="s">
        <v>7074</v>
      </c>
      <c r="N781" s="6" t="s">
        <v>24</v>
      </c>
      <c r="O781" s="6" t="s">
        <v>49</v>
      </c>
      <c r="P781" s="6">
        <f>COUNTIF(Analysis!$M$1:$M$3001,Analysis!$M1759)</f>
        <v>1</v>
      </c>
      <c r="Q781" s="6" t="str">
        <f>IF(COUNTIF(Analysis!$M$2:$M$3001,Analysis!$M1759)&gt;1,"Duplicate","OK")</f>
        <v>OK</v>
      </c>
      <c r="R781" s="6" t="str">
        <f t="shared" si="1"/>
        <v>2600-3600</v>
      </c>
      <c r="S781" s="6">
        <f t="shared" si="2"/>
        <v>24</v>
      </c>
      <c r="T781" s="6" t="str">
        <f t="shared" si="3"/>
        <v>Mid</v>
      </c>
    </row>
    <row r="782" ht="14.25" customHeight="1">
      <c r="A782" s="5">
        <v>923080.0</v>
      </c>
      <c r="B782" s="6" t="s">
        <v>3167</v>
      </c>
      <c r="C782" s="6" t="s">
        <v>53</v>
      </c>
      <c r="D782" s="6">
        <v>23668.0</v>
      </c>
      <c r="E782" s="6" t="s">
        <v>30</v>
      </c>
      <c r="F782" s="6" t="s">
        <v>54</v>
      </c>
      <c r="G782" s="6" t="s">
        <v>55</v>
      </c>
      <c r="H782" s="7">
        <v>2742.0</v>
      </c>
      <c r="I782" s="7">
        <v>2878.0</v>
      </c>
      <c r="J782" s="6">
        <v>1951.0</v>
      </c>
      <c r="K782" s="6">
        <v>67.0</v>
      </c>
      <c r="L782" s="6" t="s">
        <v>95</v>
      </c>
      <c r="M782" s="6" t="s">
        <v>3168</v>
      </c>
      <c r="N782" s="6" t="s">
        <v>24</v>
      </c>
      <c r="O782" s="6" t="s">
        <v>35</v>
      </c>
      <c r="P782" s="6">
        <f>COUNTIF(Analysis!$M$1:$M$3001,Analysis!$M782)</f>
        <v>1</v>
      </c>
      <c r="Q782" s="6" t="str">
        <f>IF(COUNTIF(Analysis!$M$2:$M$3001,Analysis!$M782)&gt;1,"Duplicate","OK")</f>
        <v>OK</v>
      </c>
      <c r="R782" s="6" t="str">
        <f t="shared" si="1"/>
        <v>2600-3600</v>
      </c>
      <c r="S782" s="6">
        <f t="shared" si="2"/>
        <v>75</v>
      </c>
      <c r="T782" s="6" t="str">
        <f t="shared" si="3"/>
        <v>Very Old</v>
      </c>
    </row>
    <row r="783" ht="14.25" customHeight="1">
      <c r="A783" s="5">
        <v>1411902.0</v>
      </c>
      <c r="B783" s="6" t="s">
        <v>3171</v>
      </c>
      <c r="C783" s="6" t="s">
        <v>39</v>
      </c>
      <c r="D783" s="6">
        <v>38562.0</v>
      </c>
      <c r="E783" s="6" t="s">
        <v>77</v>
      </c>
      <c r="F783" s="6" t="s">
        <v>46</v>
      </c>
      <c r="G783" s="6" t="s">
        <v>31</v>
      </c>
      <c r="H783" s="7">
        <v>1008.0</v>
      </c>
      <c r="I783" s="7">
        <v>7656.0</v>
      </c>
      <c r="J783" s="6">
        <v>1982.0</v>
      </c>
      <c r="K783" s="6">
        <v>30.0</v>
      </c>
      <c r="L783" s="6" t="s">
        <v>95</v>
      </c>
      <c r="M783" s="6" t="s">
        <v>3172</v>
      </c>
      <c r="N783" s="6" t="s">
        <v>34</v>
      </c>
      <c r="O783" s="6" t="s">
        <v>49</v>
      </c>
      <c r="P783" s="6">
        <f>COUNTIF(Analysis!$M$1:$M$3001,Analysis!$M783)</f>
        <v>1</v>
      </c>
      <c r="Q783" s="6" t="str">
        <f>IF(COUNTIF(Analysis!$M$2:$M$3001,Analysis!$M783)&gt;1,"Duplicate","OK")</f>
        <v>OK</v>
      </c>
      <c r="R783" s="6" t="str">
        <f t="shared" si="1"/>
        <v>600-1600</v>
      </c>
      <c r="S783" s="6">
        <f t="shared" si="2"/>
        <v>44</v>
      </c>
      <c r="T783" s="6" t="str">
        <f t="shared" si="3"/>
        <v>Old</v>
      </c>
    </row>
    <row r="784" ht="14.25" customHeight="1">
      <c r="A784" s="5">
        <v>1464732.0</v>
      </c>
      <c r="B784" s="6" t="s">
        <v>3175</v>
      </c>
      <c r="C784" s="6" t="s">
        <v>76</v>
      </c>
      <c r="D784" s="6">
        <v>26396.0</v>
      </c>
      <c r="E784" s="6" t="s">
        <v>40</v>
      </c>
      <c r="F784" s="6" t="s">
        <v>94</v>
      </c>
      <c r="G784" s="6" t="s">
        <v>31</v>
      </c>
      <c r="H784" s="7">
        <v>3163.0</v>
      </c>
      <c r="I784" s="7">
        <v>1052.0</v>
      </c>
      <c r="J784" s="6">
        <v>1958.0</v>
      </c>
      <c r="K784" s="6">
        <v>113.0</v>
      </c>
      <c r="L784" s="6" t="s">
        <v>95</v>
      </c>
      <c r="M784" s="6" t="s">
        <v>3176</v>
      </c>
      <c r="N784" s="6" t="s">
        <v>43</v>
      </c>
      <c r="O784" s="6" t="s">
        <v>49</v>
      </c>
      <c r="P784" s="6">
        <f>COUNTIF(Analysis!$M$1:$M$3001,Analysis!$M784)</f>
        <v>1</v>
      </c>
      <c r="Q784" s="6" t="str">
        <f>IF(COUNTIF(Analysis!$M$2:$M$3001,Analysis!$M784)&gt;1,"Duplicate","OK")</f>
        <v>OK</v>
      </c>
      <c r="R784" s="6" t="str">
        <f t="shared" si="1"/>
        <v>2600-3600</v>
      </c>
      <c r="S784" s="6">
        <f t="shared" si="2"/>
        <v>68</v>
      </c>
      <c r="T784" s="6" t="str">
        <f t="shared" si="3"/>
        <v>Very Old</v>
      </c>
    </row>
    <row r="785" ht="14.25" customHeight="1">
      <c r="A785" s="5">
        <v>485409.0</v>
      </c>
      <c r="B785" s="6" t="s">
        <v>10967</v>
      </c>
      <c r="C785" s="6" t="s">
        <v>29</v>
      </c>
      <c r="D785" s="6">
        <v>45968.0</v>
      </c>
      <c r="E785" s="6" t="s">
        <v>19</v>
      </c>
      <c r="F785" s="6" t="s">
        <v>20</v>
      </c>
      <c r="G785" s="6" t="s">
        <v>31</v>
      </c>
      <c r="H785" s="7">
        <v>3327.0</v>
      </c>
      <c r="I785" s="7">
        <v>1193.0</v>
      </c>
      <c r="J785" s="6">
        <v>1953.0</v>
      </c>
      <c r="K785" s="6">
        <v>57.0</v>
      </c>
      <c r="L785" s="6" t="s">
        <v>22</v>
      </c>
      <c r="M785" s="6" t="s">
        <v>10968</v>
      </c>
      <c r="N785" s="6" t="s">
        <v>24</v>
      </c>
      <c r="O785" s="6" t="s">
        <v>49</v>
      </c>
      <c r="P785" s="6">
        <f>COUNTIF(Analysis!$M$1:$M$3001,Analysis!$M2733)</f>
        <v>1</v>
      </c>
      <c r="Q785" s="6" t="str">
        <f>IF(COUNTIF(Analysis!$M$2:$M$3001,Analysis!$M2733)&gt;1,"Duplicate","OK")</f>
        <v>OK</v>
      </c>
      <c r="R785" s="6" t="str">
        <f t="shared" si="1"/>
        <v>2600-3600</v>
      </c>
      <c r="S785" s="6">
        <f t="shared" si="2"/>
        <v>73</v>
      </c>
      <c r="T785" s="6" t="str">
        <f t="shared" si="3"/>
        <v>Very Old</v>
      </c>
    </row>
    <row r="786" ht="14.25" customHeight="1">
      <c r="A786" s="5">
        <v>1096197.0</v>
      </c>
      <c r="B786" s="6" t="s">
        <v>3183</v>
      </c>
      <c r="C786" s="6" t="s">
        <v>18</v>
      </c>
      <c r="D786" s="6">
        <v>54933.0</v>
      </c>
      <c r="E786" s="6" t="s">
        <v>77</v>
      </c>
      <c r="F786" s="6" t="s">
        <v>61</v>
      </c>
      <c r="G786" s="6" t="s">
        <v>21</v>
      </c>
      <c r="H786" s="7">
        <v>1993.0</v>
      </c>
      <c r="I786" s="7">
        <v>5581.0</v>
      </c>
      <c r="J786" s="6">
        <v>1951.0</v>
      </c>
      <c r="K786" s="6">
        <v>77.0</v>
      </c>
      <c r="L786" s="6" t="s">
        <v>95</v>
      </c>
      <c r="M786" s="6" t="s">
        <v>3184</v>
      </c>
      <c r="N786" s="6" t="s">
        <v>64</v>
      </c>
      <c r="O786" s="6" t="s">
        <v>35</v>
      </c>
      <c r="P786" s="6">
        <f>COUNTIF(Analysis!$M$1:$M$3001,Analysis!$M786)</f>
        <v>1</v>
      </c>
      <c r="Q786" s="6" t="str">
        <f>IF(COUNTIF(Analysis!$M$2:$M$3001,Analysis!$M786)&gt;1,"Duplicate","OK")</f>
        <v>OK</v>
      </c>
      <c r="R786" s="6" t="str">
        <f t="shared" si="1"/>
        <v>1600-2600</v>
      </c>
      <c r="S786" s="6">
        <f t="shared" si="2"/>
        <v>75</v>
      </c>
      <c r="T786" s="6" t="str">
        <f t="shared" si="3"/>
        <v>Very Old</v>
      </c>
    </row>
    <row r="787" ht="14.25" customHeight="1">
      <c r="A787" s="5">
        <v>152511.0</v>
      </c>
      <c r="B787" s="6" t="s">
        <v>3187</v>
      </c>
      <c r="C787" s="6" t="s">
        <v>53</v>
      </c>
      <c r="D787" s="6">
        <v>28325.0</v>
      </c>
      <c r="E787" s="6" t="s">
        <v>30</v>
      </c>
      <c r="F787" s="6" t="s">
        <v>61</v>
      </c>
      <c r="G787" s="6" t="s">
        <v>21</v>
      </c>
      <c r="H787" s="7">
        <v>3460.0</v>
      </c>
      <c r="I787" s="7">
        <v>3225.0</v>
      </c>
      <c r="J787" s="6">
        <v>2014.0</v>
      </c>
      <c r="K787" s="6">
        <v>40.0</v>
      </c>
      <c r="L787" s="6" t="s">
        <v>141</v>
      </c>
      <c r="M787" s="6" t="s">
        <v>3188</v>
      </c>
      <c r="N787" s="6" t="s">
        <v>48</v>
      </c>
      <c r="O787" s="6" t="s">
        <v>25</v>
      </c>
      <c r="P787" s="6">
        <f>COUNTIF(Analysis!$M$1:$M$3001,Analysis!$M787)</f>
        <v>1</v>
      </c>
      <c r="Q787" s="6" t="str">
        <f>IF(COUNTIF(Analysis!$M$2:$M$3001,Analysis!$M787)&gt;1,"Duplicate","OK")</f>
        <v>OK</v>
      </c>
      <c r="R787" s="6" t="str">
        <f t="shared" si="1"/>
        <v>2600-3600</v>
      </c>
      <c r="S787" s="6">
        <f t="shared" si="2"/>
        <v>12</v>
      </c>
      <c r="T787" s="6" t="str">
        <f t="shared" si="3"/>
        <v>Mid</v>
      </c>
    </row>
    <row r="788" ht="14.25" customHeight="1">
      <c r="A788" s="5">
        <v>941690.0</v>
      </c>
      <c r="B788" s="6" t="s">
        <v>3191</v>
      </c>
      <c r="C788" s="6" t="s">
        <v>18</v>
      </c>
      <c r="D788" s="6">
        <v>86353.0</v>
      </c>
      <c r="E788" s="6" t="s">
        <v>30</v>
      </c>
      <c r="F788" s="6" t="s">
        <v>41</v>
      </c>
      <c r="G788" s="6" t="s">
        <v>100</v>
      </c>
      <c r="H788" s="7">
        <v>661.0</v>
      </c>
      <c r="I788" s="7">
        <v>2846.0</v>
      </c>
      <c r="J788" s="6">
        <v>2003.0</v>
      </c>
      <c r="K788" s="6">
        <v>10.0</v>
      </c>
      <c r="L788" s="6" t="s">
        <v>95</v>
      </c>
      <c r="M788" s="6" t="s">
        <v>3192</v>
      </c>
      <c r="N788" s="6" t="s">
        <v>24</v>
      </c>
      <c r="O788" s="6" t="s">
        <v>49</v>
      </c>
      <c r="P788" s="6">
        <f>COUNTIF(Analysis!$M$1:$M$3001,Analysis!$M788)</f>
        <v>1</v>
      </c>
      <c r="Q788" s="6" t="str">
        <f>IF(COUNTIF(Analysis!$M$2:$M$3001,Analysis!$M788)&gt;1,"Duplicate","OK")</f>
        <v>OK</v>
      </c>
      <c r="R788" s="6" t="str">
        <f t="shared" si="1"/>
        <v>600-1600</v>
      </c>
      <c r="S788" s="6">
        <f t="shared" si="2"/>
        <v>23</v>
      </c>
      <c r="T788" s="6" t="str">
        <f t="shared" si="3"/>
        <v>Mid</v>
      </c>
    </row>
    <row r="789" ht="14.25" customHeight="1">
      <c r="A789" s="5">
        <v>1400044.0</v>
      </c>
      <c r="B789" s="6" t="s">
        <v>3195</v>
      </c>
      <c r="C789" s="6" t="s">
        <v>39</v>
      </c>
      <c r="D789" s="6">
        <v>26044.0</v>
      </c>
      <c r="E789" s="6" t="s">
        <v>40</v>
      </c>
      <c r="F789" s="6" t="s">
        <v>61</v>
      </c>
      <c r="G789" s="6" t="s">
        <v>31</v>
      </c>
      <c r="H789" s="7">
        <v>2160.0</v>
      </c>
      <c r="I789" s="7">
        <v>2181.0</v>
      </c>
      <c r="J789" s="6">
        <v>1953.0</v>
      </c>
      <c r="K789" s="6">
        <v>57.0</v>
      </c>
      <c r="L789" s="6" t="s">
        <v>95</v>
      </c>
      <c r="M789" s="6" t="s">
        <v>3196</v>
      </c>
      <c r="N789" s="6" t="s">
        <v>64</v>
      </c>
      <c r="O789" s="6" t="s">
        <v>35</v>
      </c>
      <c r="P789" s="6">
        <f>COUNTIF(Analysis!$M$1:$M$3001,Analysis!$M789)</f>
        <v>1</v>
      </c>
      <c r="Q789" s="6" t="str">
        <f>IF(COUNTIF(Analysis!$M$2:$M$3001,Analysis!$M789)&gt;1,"Duplicate","OK")</f>
        <v>OK</v>
      </c>
      <c r="R789" s="6" t="str">
        <f t="shared" si="1"/>
        <v>1600-2600</v>
      </c>
      <c r="S789" s="6">
        <f t="shared" si="2"/>
        <v>73</v>
      </c>
      <c r="T789" s="6" t="str">
        <f t="shared" si="3"/>
        <v>Very Old</v>
      </c>
    </row>
    <row r="790" ht="14.25" customHeight="1">
      <c r="A790" s="5">
        <v>474461.0</v>
      </c>
      <c r="B790" s="6" t="s">
        <v>3199</v>
      </c>
      <c r="C790" s="6" t="s">
        <v>76</v>
      </c>
      <c r="D790" s="6">
        <v>55615.0</v>
      </c>
      <c r="E790" s="6" t="s">
        <v>30</v>
      </c>
      <c r="F790" s="6" t="s">
        <v>41</v>
      </c>
      <c r="G790" s="6" t="s">
        <v>31</v>
      </c>
      <c r="H790" s="7">
        <v>2743.0</v>
      </c>
      <c r="I790" s="7">
        <v>8980.0</v>
      </c>
      <c r="J790" s="6">
        <v>2016.0</v>
      </c>
      <c r="K790" s="6">
        <v>119.0</v>
      </c>
      <c r="L790" s="6" t="s">
        <v>141</v>
      </c>
      <c r="M790" s="6" t="s">
        <v>3200</v>
      </c>
      <c r="N790" s="6" t="s">
        <v>43</v>
      </c>
      <c r="O790" s="6" t="s">
        <v>35</v>
      </c>
      <c r="P790" s="6">
        <f>COUNTIF(Analysis!$M$1:$M$3001,Analysis!$M790)</f>
        <v>1</v>
      </c>
      <c r="Q790" s="6" t="str">
        <f>IF(COUNTIF(Analysis!$M$2:$M$3001,Analysis!$M790)&gt;1,"Duplicate","OK")</f>
        <v>OK</v>
      </c>
      <c r="R790" s="6" t="str">
        <f t="shared" si="1"/>
        <v>2600-3600</v>
      </c>
      <c r="S790" s="6">
        <f t="shared" si="2"/>
        <v>10</v>
      </c>
      <c r="T790" s="6" t="str">
        <f t="shared" si="3"/>
        <v>New</v>
      </c>
    </row>
    <row r="791" ht="14.25" customHeight="1">
      <c r="A791" s="5">
        <v>486791.0</v>
      </c>
      <c r="B791" s="6" t="s">
        <v>1309</v>
      </c>
      <c r="C791" s="6" t="s">
        <v>29</v>
      </c>
      <c r="D791" s="6">
        <v>55624.0</v>
      </c>
      <c r="E791" s="6" t="s">
        <v>77</v>
      </c>
      <c r="F791" s="6" t="s">
        <v>20</v>
      </c>
      <c r="G791" s="6" t="s">
        <v>31</v>
      </c>
      <c r="H791" s="7">
        <v>2840.0</v>
      </c>
      <c r="I791" s="7">
        <v>8535.0</v>
      </c>
      <c r="J791" s="6">
        <v>2023.0</v>
      </c>
      <c r="K791" s="6">
        <v>118.0</v>
      </c>
      <c r="L791" s="6" t="s">
        <v>95</v>
      </c>
      <c r="M791" s="6" t="s">
        <v>1310</v>
      </c>
      <c r="N791" s="6" t="s">
        <v>34</v>
      </c>
      <c r="O791" s="6" t="s">
        <v>49</v>
      </c>
      <c r="P791" s="6">
        <f>COUNTIF(Analysis!$M$1:$M$3001,Analysis!$M317)</f>
        <v>1</v>
      </c>
      <c r="Q791" s="6" t="str">
        <f>IF(COUNTIF(Analysis!$M$2:$M$3001,Analysis!$M317)&gt;1,"Duplicate","OK")</f>
        <v>OK</v>
      </c>
      <c r="R791" s="6" t="str">
        <f t="shared" si="1"/>
        <v>2600-3600</v>
      </c>
      <c r="S791" s="6">
        <f t="shared" si="2"/>
        <v>3</v>
      </c>
      <c r="T791" s="6" t="str">
        <f t="shared" si="3"/>
        <v>New</v>
      </c>
    </row>
    <row r="792" ht="14.25" customHeight="1">
      <c r="A792" s="5">
        <v>489480.0</v>
      </c>
      <c r="B792" s="6" t="s">
        <v>9459</v>
      </c>
      <c r="C792" s="6" t="s">
        <v>29</v>
      </c>
      <c r="D792" s="6">
        <v>27696.0</v>
      </c>
      <c r="E792" s="6" t="s">
        <v>19</v>
      </c>
      <c r="F792" s="6" t="s">
        <v>94</v>
      </c>
      <c r="G792" s="6" t="s">
        <v>55</v>
      </c>
      <c r="H792" s="7">
        <v>3792.0</v>
      </c>
      <c r="I792" s="7">
        <v>7066.0</v>
      </c>
      <c r="J792" s="6">
        <v>2018.0</v>
      </c>
      <c r="K792" s="6">
        <v>89.0</v>
      </c>
      <c r="L792" s="6" t="s">
        <v>141</v>
      </c>
      <c r="M792" s="6" t="s">
        <v>9460</v>
      </c>
      <c r="N792" s="6" t="s">
        <v>48</v>
      </c>
      <c r="O792" s="6" t="s">
        <v>49</v>
      </c>
      <c r="P792" s="6">
        <f>COUNTIF(Analysis!$M$1:$M$3001,Analysis!$M2356)</f>
        <v>1</v>
      </c>
      <c r="Q792" s="6" t="str">
        <f>IF(COUNTIF(Analysis!$M$2:$M$3001,Analysis!$M2356)&gt;1,"Duplicate","OK")</f>
        <v>OK</v>
      </c>
      <c r="R792" s="6" t="str">
        <f t="shared" si="1"/>
        <v>3600+</v>
      </c>
      <c r="S792" s="6">
        <f t="shared" si="2"/>
        <v>8</v>
      </c>
      <c r="T792" s="6" t="str">
        <f t="shared" si="3"/>
        <v>New</v>
      </c>
    </row>
    <row r="793" ht="14.25" customHeight="1">
      <c r="A793" s="5">
        <v>492639.0</v>
      </c>
      <c r="B793" s="6" t="s">
        <v>8899</v>
      </c>
      <c r="C793" s="6" t="s">
        <v>29</v>
      </c>
      <c r="D793" s="6">
        <v>26426.0</v>
      </c>
      <c r="E793" s="6" t="s">
        <v>40</v>
      </c>
      <c r="F793" s="6" t="s">
        <v>41</v>
      </c>
      <c r="G793" s="6" t="s">
        <v>55</v>
      </c>
      <c r="H793" s="7">
        <v>3326.0</v>
      </c>
      <c r="I793" s="7">
        <v>6511.0</v>
      </c>
      <c r="J793" s="6">
        <v>2002.0</v>
      </c>
      <c r="K793" s="6">
        <v>47.0</v>
      </c>
      <c r="L793" s="6" t="s">
        <v>62</v>
      </c>
      <c r="M793" s="6" t="s">
        <v>8900</v>
      </c>
      <c r="N793" s="6" t="s">
        <v>34</v>
      </c>
      <c r="O793" s="6" t="s">
        <v>35</v>
      </c>
      <c r="P793" s="6">
        <f>COUNTIF(Analysis!$M$1:$M$3001,Analysis!$M2216)</f>
        <v>1</v>
      </c>
      <c r="Q793" s="6" t="str">
        <f>IF(COUNTIF(Analysis!$M$2:$M$3001,Analysis!$M2216)&gt;1,"Duplicate","OK")</f>
        <v>OK</v>
      </c>
      <c r="R793" s="6" t="str">
        <f t="shared" si="1"/>
        <v>2600-3600</v>
      </c>
      <c r="S793" s="6">
        <f t="shared" si="2"/>
        <v>24</v>
      </c>
      <c r="T793" s="6" t="str">
        <f t="shared" si="3"/>
        <v>Mid</v>
      </c>
    </row>
    <row r="794" ht="14.25" customHeight="1">
      <c r="A794" s="5">
        <v>1266372.0</v>
      </c>
      <c r="B794" s="6" t="s">
        <v>3215</v>
      </c>
      <c r="C794" s="6" t="s">
        <v>53</v>
      </c>
      <c r="D794" s="6">
        <v>66115.0</v>
      </c>
      <c r="E794" s="6" t="s">
        <v>77</v>
      </c>
      <c r="F794" s="6" t="s">
        <v>20</v>
      </c>
      <c r="G794" s="6" t="s">
        <v>21</v>
      </c>
      <c r="H794" s="7">
        <v>3321.0</v>
      </c>
      <c r="I794" s="7">
        <v>9019.0</v>
      </c>
      <c r="J794" s="6">
        <v>1997.0</v>
      </c>
      <c r="K794" s="6">
        <v>9.0</v>
      </c>
      <c r="L794" s="6" t="s">
        <v>141</v>
      </c>
      <c r="M794" s="6" t="s">
        <v>3216</v>
      </c>
      <c r="N794" s="6" t="s">
        <v>43</v>
      </c>
      <c r="O794" s="6" t="s">
        <v>35</v>
      </c>
      <c r="P794" s="6">
        <f>COUNTIF(Analysis!$M$1:$M$3001,Analysis!$M794)</f>
        <v>1</v>
      </c>
      <c r="Q794" s="6" t="str">
        <f>IF(COUNTIF(Analysis!$M$2:$M$3001,Analysis!$M794)&gt;1,"Duplicate","OK")</f>
        <v>OK</v>
      </c>
      <c r="R794" s="6" t="str">
        <f t="shared" si="1"/>
        <v>2600-3600</v>
      </c>
      <c r="S794" s="6">
        <f t="shared" si="2"/>
        <v>29</v>
      </c>
      <c r="T794" s="6" t="str">
        <f t="shared" si="3"/>
        <v>Mid</v>
      </c>
    </row>
    <row r="795" ht="14.25" customHeight="1">
      <c r="A795" s="5">
        <v>1436634.0</v>
      </c>
      <c r="B795" s="6" t="s">
        <v>3219</v>
      </c>
      <c r="C795" s="6" t="s">
        <v>76</v>
      </c>
      <c r="D795" s="6">
        <v>62932.0</v>
      </c>
      <c r="E795" s="6" t="s">
        <v>60</v>
      </c>
      <c r="F795" s="6" t="s">
        <v>46</v>
      </c>
      <c r="G795" s="6" t="s">
        <v>21</v>
      </c>
      <c r="H795" s="7">
        <v>2915.0</v>
      </c>
      <c r="I795" s="7">
        <v>7934.0</v>
      </c>
      <c r="J795" s="6">
        <v>2018.0</v>
      </c>
      <c r="K795" s="6">
        <v>100.0</v>
      </c>
      <c r="L795" s="6" t="s">
        <v>32</v>
      </c>
      <c r="M795" s="6" t="s">
        <v>3220</v>
      </c>
      <c r="N795" s="6" t="s">
        <v>48</v>
      </c>
      <c r="O795" s="6" t="s">
        <v>35</v>
      </c>
      <c r="P795" s="6">
        <f>COUNTIF(Analysis!$M$1:$M$3001,Analysis!$M795)</f>
        <v>1</v>
      </c>
      <c r="Q795" s="6" t="str">
        <f>IF(COUNTIF(Analysis!$M$2:$M$3001,Analysis!$M795)&gt;1,"Duplicate","OK")</f>
        <v>OK</v>
      </c>
      <c r="R795" s="6" t="str">
        <f t="shared" si="1"/>
        <v>2600-3600</v>
      </c>
      <c r="S795" s="6">
        <f t="shared" si="2"/>
        <v>8</v>
      </c>
      <c r="T795" s="6" t="str">
        <f t="shared" si="3"/>
        <v>New</v>
      </c>
    </row>
    <row r="796" ht="14.25" customHeight="1">
      <c r="A796" s="5">
        <v>1135748.0</v>
      </c>
      <c r="B796" s="6" t="s">
        <v>3223</v>
      </c>
      <c r="C796" s="6" t="s">
        <v>18</v>
      </c>
      <c r="D796" s="6">
        <v>42286.0</v>
      </c>
      <c r="E796" s="6" t="s">
        <v>40</v>
      </c>
      <c r="F796" s="6" t="s">
        <v>41</v>
      </c>
      <c r="G796" s="6" t="s">
        <v>21</v>
      </c>
      <c r="H796" s="7">
        <v>3126.0</v>
      </c>
      <c r="I796" s="7">
        <v>4046.0</v>
      </c>
      <c r="J796" s="6">
        <v>2009.0</v>
      </c>
      <c r="K796" s="6">
        <v>72.0</v>
      </c>
      <c r="L796" s="6" t="s">
        <v>95</v>
      </c>
      <c r="M796" s="6" t="s">
        <v>3224</v>
      </c>
      <c r="N796" s="6" t="s">
        <v>64</v>
      </c>
      <c r="O796" s="6" t="s">
        <v>35</v>
      </c>
      <c r="P796" s="6">
        <f>COUNTIF(Analysis!$M$1:$M$3001,Analysis!$M796)</f>
        <v>1</v>
      </c>
      <c r="Q796" s="6" t="str">
        <f>IF(COUNTIF(Analysis!$M$2:$M$3001,Analysis!$M796)&gt;1,"Duplicate","OK")</f>
        <v>OK</v>
      </c>
      <c r="R796" s="6" t="str">
        <f t="shared" si="1"/>
        <v>2600-3600</v>
      </c>
      <c r="S796" s="6">
        <f t="shared" si="2"/>
        <v>17</v>
      </c>
      <c r="T796" s="6" t="str">
        <f t="shared" si="3"/>
        <v>Mid</v>
      </c>
    </row>
    <row r="797" ht="14.25" customHeight="1">
      <c r="A797" s="5">
        <v>1445315.0</v>
      </c>
      <c r="B797" s="6" t="s">
        <v>3227</v>
      </c>
      <c r="C797" s="6" t="s">
        <v>53</v>
      </c>
      <c r="D797" s="6">
        <v>93603.0</v>
      </c>
      <c r="E797" s="6" t="s">
        <v>30</v>
      </c>
      <c r="F797" s="6" t="s">
        <v>46</v>
      </c>
      <c r="G797" s="6" t="s">
        <v>21</v>
      </c>
      <c r="H797" s="7">
        <v>1897.0</v>
      </c>
      <c r="I797" s="7">
        <v>4300.0</v>
      </c>
      <c r="J797" s="6">
        <v>1952.0</v>
      </c>
      <c r="K797" s="6">
        <v>10.0</v>
      </c>
      <c r="L797" s="6" t="s">
        <v>32</v>
      </c>
      <c r="M797" s="6" t="s">
        <v>3228</v>
      </c>
      <c r="N797" s="6" t="s">
        <v>34</v>
      </c>
      <c r="O797" s="6" t="s">
        <v>25</v>
      </c>
      <c r="P797" s="6">
        <f>COUNTIF(Analysis!$M$1:$M$3001,Analysis!$M797)</f>
        <v>1</v>
      </c>
      <c r="Q797" s="6" t="str">
        <f>IF(COUNTIF(Analysis!$M$2:$M$3001,Analysis!$M797)&gt;1,"Duplicate","OK")</f>
        <v>OK</v>
      </c>
      <c r="R797" s="6" t="str">
        <f t="shared" si="1"/>
        <v>1600-2600</v>
      </c>
      <c r="S797" s="6">
        <f t="shared" si="2"/>
        <v>74</v>
      </c>
      <c r="T797" s="6" t="str">
        <f t="shared" si="3"/>
        <v>Very Old</v>
      </c>
    </row>
    <row r="798" ht="14.25" customHeight="1">
      <c r="A798" s="5">
        <v>710158.0</v>
      </c>
      <c r="B798" s="6" t="s">
        <v>3231</v>
      </c>
      <c r="C798" s="6" t="s">
        <v>76</v>
      </c>
      <c r="D798" s="6">
        <v>78415.0</v>
      </c>
      <c r="E798" s="6" t="s">
        <v>60</v>
      </c>
      <c r="F798" s="6" t="s">
        <v>61</v>
      </c>
      <c r="G798" s="6" t="s">
        <v>55</v>
      </c>
      <c r="H798" s="7">
        <v>2609.0</v>
      </c>
      <c r="I798" s="7">
        <v>8200.0</v>
      </c>
      <c r="J798" s="6">
        <v>2005.0</v>
      </c>
      <c r="K798" s="6">
        <v>76.0</v>
      </c>
      <c r="L798" s="6" t="s">
        <v>95</v>
      </c>
      <c r="M798" s="6" t="s">
        <v>3232</v>
      </c>
      <c r="N798" s="6" t="s">
        <v>48</v>
      </c>
      <c r="O798" s="6" t="s">
        <v>25</v>
      </c>
      <c r="P798" s="6">
        <f>COUNTIF(Analysis!$M$1:$M$3001,Analysis!$M798)</f>
        <v>1</v>
      </c>
      <c r="Q798" s="6" t="str">
        <f>IF(COUNTIF(Analysis!$M$2:$M$3001,Analysis!$M798)&gt;1,"Duplicate","OK")</f>
        <v>OK</v>
      </c>
      <c r="R798" s="6" t="str">
        <f t="shared" si="1"/>
        <v>2600-3600</v>
      </c>
      <c r="S798" s="6">
        <f t="shared" si="2"/>
        <v>21</v>
      </c>
      <c r="T798" s="6" t="str">
        <f t="shared" si="3"/>
        <v>Mid</v>
      </c>
    </row>
    <row r="799" ht="14.25" customHeight="1">
      <c r="A799" s="5">
        <v>493145.0</v>
      </c>
      <c r="B799" s="6" t="s">
        <v>633</v>
      </c>
      <c r="C799" s="6" t="s">
        <v>29</v>
      </c>
      <c r="D799" s="6">
        <v>95106.0</v>
      </c>
      <c r="E799" s="6" t="s">
        <v>40</v>
      </c>
      <c r="F799" s="6" t="s">
        <v>61</v>
      </c>
      <c r="G799" s="6" t="s">
        <v>55</v>
      </c>
      <c r="H799" s="7">
        <v>2880.0</v>
      </c>
      <c r="I799" s="7">
        <v>2593.0</v>
      </c>
      <c r="J799" s="6">
        <v>1981.0</v>
      </c>
      <c r="K799" s="6">
        <v>82.0</v>
      </c>
      <c r="L799" s="6" t="s">
        <v>95</v>
      </c>
      <c r="M799" s="6" t="s">
        <v>634</v>
      </c>
      <c r="N799" s="6" t="s">
        <v>24</v>
      </c>
      <c r="O799" s="6" t="s">
        <v>35</v>
      </c>
      <c r="P799" s="6">
        <f>COUNTIF(Analysis!$M$1:$M$3001,Analysis!$M148)</f>
        <v>1</v>
      </c>
      <c r="Q799" s="6" t="str">
        <f>IF(COUNTIF(Analysis!$M$2:$M$3001,Analysis!$M148)&gt;1,"Duplicate","OK")</f>
        <v>OK</v>
      </c>
      <c r="R799" s="6" t="str">
        <f t="shared" si="1"/>
        <v>2600-3600</v>
      </c>
      <c r="S799" s="6">
        <f t="shared" si="2"/>
        <v>45</v>
      </c>
      <c r="T799" s="6" t="str">
        <f t="shared" si="3"/>
        <v>Old</v>
      </c>
    </row>
    <row r="800" ht="14.25" customHeight="1">
      <c r="A800" s="5">
        <v>474005.0</v>
      </c>
      <c r="B800" s="6" t="s">
        <v>3239</v>
      </c>
      <c r="C800" s="6" t="s">
        <v>76</v>
      </c>
      <c r="D800" s="6">
        <v>98362.0</v>
      </c>
      <c r="E800" s="6" t="s">
        <v>30</v>
      </c>
      <c r="F800" s="6" t="s">
        <v>20</v>
      </c>
      <c r="G800" s="6" t="s">
        <v>100</v>
      </c>
      <c r="H800" s="7">
        <v>3102.0</v>
      </c>
      <c r="I800" s="7">
        <v>8039.0</v>
      </c>
      <c r="J800" s="6">
        <v>2015.0</v>
      </c>
      <c r="K800" s="6">
        <v>73.0</v>
      </c>
      <c r="L800" s="6" t="s">
        <v>62</v>
      </c>
      <c r="M800" s="6" t="s">
        <v>3240</v>
      </c>
      <c r="N800" s="6" t="s">
        <v>48</v>
      </c>
      <c r="O800" s="6" t="s">
        <v>35</v>
      </c>
      <c r="P800" s="6">
        <f>COUNTIF(Analysis!$M$1:$M$3001,Analysis!$M800)</f>
        <v>1</v>
      </c>
      <c r="Q800" s="6" t="str">
        <f>IF(COUNTIF(Analysis!$M$2:$M$3001,Analysis!$M800)&gt;1,"Duplicate","OK")</f>
        <v>OK</v>
      </c>
      <c r="R800" s="6" t="str">
        <f t="shared" si="1"/>
        <v>2600-3600</v>
      </c>
      <c r="S800" s="6">
        <f t="shared" si="2"/>
        <v>11</v>
      </c>
      <c r="T800" s="6" t="str">
        <f t="shared" si="3"/>
        <v>Mid</v>
      </c>
    </row>
    <row r="801" ht="14.25" customHeight="1">
      <c r="A801" s="5">
        <v>102028.0</v>
      </c>
      <c r="B801" s="6" t="s">
        <v>3243</v>
      </c>
      <c r="C801" s="6" t="s">
        <v>39</v>
      </c>
      <c r="D801" s="6">
        <v>97031.0</v>
      </c>
      <c r="E801" s="6" t="s">
        <v>40</v>
      </c>
      <c r="F801" s="6" t="s">
        <v>54</v>
      </c>
      <c r="G801" s="6" t="s">
        <v>31</v>
      </c>
      <c r="H801" s="7">
        <v>650.0</v>
      </c>
      <c r="I801" s="7">
        <v>2740.0</v>
      </c>
      <c r="J801" s="6">
        <v>1955.0</v>
      </c>
      <c r="K801" s="6">
        <v>4.0</v>
      </c>
      <c r="L801" s="6" t="s">
        <v>22</v>
      </c>
      <c r="M801" s="6" t="s">
        <v>3244</v>
      </c>
      <c r="N801" s="6" t="s">
        <v>34</v>
      </c>
      <c r="O801" s="6" t="s">
        <v>25</v>
      </c>
      <c r="P801" s="6">
        <f>COUNTIF(Analysis!$M$1:$M$3001,Analysis!$M801)</f>
        <v>1</v>
      </c>
      <c r="Q801" s="6" t="str">
        <f>IF(COUNTIF(Analysis!$M$2:$M$3001,Analysis!$M801)&gt;1,"Duplicate","OK")</f>
        <v>OK</v>
      </c>
      <c r="R801" s="6" t="str">
        <f t="shared" si="1"/>
        <v>600-1600</v>
      </c>
      <c r="S801" s="6">
        <f t="shared" si="2"/>
        <v>71</v>
      </c>
      <c r="T801" s="6" t="str">
        <f t="shared" si="3"/>
        <v>Very Old</v>
      </c>
    </row>
    <row r="802" ht="14.25" customHeight="1">
      <c r="A802" s="5">
        <v>1171830.0</v>
      </c>
      <c r="B802" s="6" t="s">
        <v>3247</v>
      </c>
      <c r="C802" s="6" t="s">
        <v>18</v>
      </c>
      <c r="D802" s="6">
        <v>70965.0</v>
      </c>
      <c r="E802" s="6" t="s">
        <v>30</v>
      </c>
      <c r="F802" s="6" t="s">
        <v>20</v>
      </c>
      <c r="G802" s="6" t="s">
        <v>100</v>
      </c>
      <c r="H802" s="7">
        <v>2322.0</v>
      </c>
      <c r="I802" s="7">
        <v>2476.0</v>
      </c>
      <c r="J802" s="6">
        <v>1957.0</v>
      </c>
      <c r="K802" s="6">
        <v>3.0</v>
      </c>
      <c r="L802" s="6" t="s">
        <v>22</v>
      </c>
      <c r="M802" s="6" t="s">
        <v>3248</v>
      </c>
      <c r="N802" s="6" t="s">
        <v>43</v>
      </c>
      <c r="O802" s="6" t="s">
        <v>25</v>
      </c>
      <c r="P802" s="6">
        <f>COUNTIF(Analysis!$M$1:$M$3001,Analysis!$M802)</f>
        <v>1</v>
      </c>
      <c r="Q802" s="6" t="str">
        <f>IF(COUNTIF(Analysis!$M$2:$M$3001,Analysis!$M802)&gt;1,"Duplicate","OK")</f>
        <v>OK</v>
      </c>
      <c r="R802" s="6" t="str">
        <f t="shared" si="1"/>
        <v>1600-2600</v>
      </c>
      <c r="S802" s="6">
        <f t="shared" si="2"/>
        <v>69</v>
      </c>
      <c r="T802" s="6" t="str">
        <f t="shared" si="3"/>
        <v>Very Old</v>
      </c>
    </row>
    <row r="803" ht="14.25" customHeight="1">
      <c r="A803" s="5">
        <v>660843.0</v>
      </c>
      <c r="B803" s="6" t="s">
        <v>3251</v>
      </c>
      <c r="C803" s="6" t="s">
        <v>53</v>
      </c>
      <c r="D803" s="6">
        <v>57579.0</v>
      </c>
      <c r="E803" s="6" t="s">
        <v>60</v>
      </c>
      <c r="F803" s="6" t="s">
        <v>41</v>
      </c>
      <c r="G803" s="6" t="s">
        <v>55</v>
      </c>
      <c r="H803" s="7">
        <v>3890.0</v>
      </c>
      <c r="I803" s="7">
        <v>2155.0</v>
      </c>
      <c r="J803" s="6">
        <v>1961.0</v>
      </c>
      <c r="K803" s="6">
        <v>43.0</v>
      </c>
      <c r="L803" s="6" t="s">
        <v>95</v>
      </c>
      <c r="M803" s="6" t="s">
        <v>3252</v>
      </c>
      <c r="N803" s="6" t="s">
        <v>34</v>
      </c>
      <c r="O803" s="6" t="s">
        <v>35</v>
      </c>
      <c r="P803" s="6">
        <f>COUNTIF(Analysis!$M$1:$M$3001,Analysis!$M803)</f>
        <v>1</v>
      </c>
      <c r="Q803" s="6" t="str">
        <f>IF(COUNTIF(Analysis!$M$2:$M$3001,Analysis!$M803)&gt;1,"Duplicate","OK")</f>
        <v>OK</v>
      </c>
      <c r="R803" s="6" t="str">
        <f t="shared" si="1"/>
        <v>3600+</v>
      </c>
      <c r="S803" s="6">
        <f t="shared" si="2"/>
        <v>65</v>
      </c>
      <c r="T803" s="6" t="str">
        <f t="shared" si="3"/>
        <v>Very Old</v>
      </c>
    </row>
    <row r="804" ht="14.25" customHeight="1">
      <c r="A804" s="5">
        <v>1071749.0</v>
      </c>
      <c r="B804" s="6" t="s">
        <v>3255</v>
      </c>
      <c r="C804" s="6" t="s">
        <v>18</v>
      </c>
      <c r="D804" s="6">
        <v>12729.0</v>
      </c>
      <c r="E804" s="6" t="s">
        <v>19</v>
      </c>
      <c r="F804" s="6" t="s">
        <v>54</v>
      </c>
      <c r="G804" s="6" t="s">
        <v>21</v>
      </c>
      <c r="H804" s="7">
        <v>3391.0</v>
      </c>
      <c r="I804" s="7">
        <v>7953.0</v>
      </c>
      <c r="J804" s="6">
        <v>2008.0</v>
      </c>
      <c r="K804" s="6">
        <v>52.0</v>
      </c>
      <c r="L804" s="6" t="s">
        <v>62</v>
      </c>
      <c r="M804" s="6" t="s">
        <v>3256</v>
      </c>
      <c r="N804" s="6" t="s">
        <v>24</v>
      </c>
      <c r="O804" s="6" t="s">
        <v>49</v>
      </c>
      <c r="P804" s="6">
        <f>COUNTIF(Analysis!$M$1:$M$3001,Analysis!$M804)</f>
        <v>1</v>
      </c>
      <c r="Q804" s="6" t="str">
        <f>IF(COUNTIF(Analysis!$M$2:$M$3001,Analysis!$M804)&gt;1,"Duplicate","OK")</f>
        <v>OK</v>
      </c>
      <c r="R804" s="6" t="str">
        <f t="shared" si="1"/>
        <v>2600-3600</v>
      </c>
      <c r="S804" s="6">
        <f t="shared" si="2"/>
        <v>18</v>
      </c>
      <c r="T804" s="6" t="str">
        <f t="shared" si="3"/>
        <v>Mid</v>
      </c>
    </row>
    <row r="805" ht="14.25" customHeight="1">
      <c r="A805" s="5">
        <v>470645.0</v>
      </c>
      <c r="B805" s="6" t="s">
        <v>3259</v>
      </c>
      <c r="C805" s="6" t="s">
        <v>18</v>
      </c>
      <c r="D805" s="6">
        <v>75919.0</v>
      </c>
      <c r="E805" s="6" t="s">
        <v>77</v>
      </c>
      <c r="F805" s="6" t="s">
        <v>61</v>
      </c>
      <c r="G805" s="6" t="s">
        <v>100</v>
      </c>
      <c r="H805" s="7">
        <v>2998.0</v>
      </c>
      <c r="I805" s="7">
        <v>1309.0</v>
      </c>
      <c r="J805" s="6">
        <v>1999.0</v>
      </c>
      <c r="K805" s="6">
        <v>47.0</v>
      </c>
      <c r="L805" s="6" t="s">
        <v>95</v>
      </c>
      <c r="M805" s="6" t="s">
        <v>3260</v>
      </c>
      <c r="N805" s="6" t="s">
        <v>48</v>
      </c>
      <c r="O805" s="6" t="s">
        <v>49</v>
      </c>
      <c r="P805" s="6">
        <f>COUNTIF(Analysis!$M$1:$M$3001,Analysis!$M805)</f>
        <v>1</v>
      </c>
      <c r="Q805" s="6" t="str">
        <f>IF(COUNTIF(Analysis!$M$2:$M$3001,Analysis!$M805)&gt;1,"Duplicate","OK")</f>
        <v>OK</v>
      </c>
      <c r="R805" s="6" t="str">
        <f t="shared" si="1"/>
        <v>2600-3600</v>
      </c>
      <c r="S805" s="6">
        <f t="shared" si="2"/>
        <v>27</v>
      </c>
      <c r="T805" s="6" t="str">
        <f t="shared" si="3"/>
        <v>Mid</v>
      </c>
    </row>
    <row r="806" ht="14.25" customHeight="1">
      <c r="A806" s="5">
        <v>1015628.0</v>
      </c>
      <c r="B806" s="6" t="s">
        <v>3263</v>
      </c>
      <c r="C806" s="6" t="s">
        <v>76</v>
      </c>
      <c r="D806" s="6">
        <v>24923.0</v>
      </c>
      <c r="E806" s="6" t="s">
        <v>30</v>
      </c>
      <c r="F806" s="6" t="s">
        <v>94</v>
      </c>
      <c r="G806" s="6" t="s">
        <v>21</v>
      </c>
      <c r="H806" s="7">
        <v>3677.0</v>
      </c>
      <c r="I806" s="7">
        <v>3304.0</v>
      </c>
      <c r="J806" s="6">
        <v>1955.0</v>
      </c>
      <c r="K806" s="6">
        <v>88.0</v>
      </c>
      <c r="L806" s="6" t="s">
        <v>32</v>
      </c>
      <c r="M806" s="6" t="s">
        <v>3264</v>
      </c>
      <c r="N806" s="6" t="s">
        <v>48</v>
      </c>
      <c r="O806" s="6" t="s">
        <v>25</v>
      </c>
      <c r="P806" s="6">
        <f>COUNTIF(Analysis!$M$1:$M$3001,Analysis!$M806)</f>
        <v>1</v>
      </c>
      <c r="Q806" s="6" t="str">
        <f>IF(COUNTIF(Analysis!$M$2:$M$3001,Analysis!$M806)&gt;1,"Duplicate","OK")</f>
        <v>OK</v>
      </c>
      <c r="R806" s="6" t="str">
        <f t="shared" si="1"/>
        <v>3600+</v>
      </c>
      <c r="S806" s="6">
        <f t="shared" si="2"/>
        <v>71</v>
      </c>
      <c r="T806" s="6" t="str">
        <f t="shared" si="3"/>
        <v>Very Old</v>
      </c>
    </row>
    <row r="807" ht="14.25" customHeight="1">
      <c r="A807" s="5">
        <v>962971.0</v>
      </c>
      <c r="B807" s="6" t="s">
        <v>3267</v>
      </c>
      <c r="C807" s="6" t="s">
        <v>39</v>
      </c>
      <c r="D807" s="6">
        <v>88614.0</v>
      </c>
      <c r="E807" s="6" t="s">
        <v>60</v>
      </c>
      <c r="F807" s="6" t="s">
        <v>46</v>
      </c>
      <c r="G807" s="6" t="s">
        <v>100</v>
      </c>
      <c r="H807" s="7">
        <v>3352.0</v>
      </c>
      <c r="I807" s="7">
        <v>9760.0</v>
      </c>
      <c r="J807" s="6">
        <v>2022.0</v>
      </c>
      <c r="K807" s="6">
        <v>118.0</v>
      </c>
      <c r="L807" s="6" t="s">
        <v>32</v>
      </c>
      <c r="M807" s="6" t="s">
        <v>3268</v>
      </c>
      <c r="N807" s="6" t="s">
        <v>34</v>
      </c>
      <c r="O807" s="6" t="s">
        <v>35</v>
      </c>
      <c r="P807" s="6">
        <f>COUNTIF(Analysis!$M$1:$M$3001,Analysis!$M807)</f>
        <v>1</v>
      </c>
      <c r="Q807" s="6" t="str">
        <f>IF(COUNTIF(Analysis!$M$2:$M$3001,Analysis!$M807)&gt;1,"Duplicate","OK")</f>
        <v>OK</v>
      </c>
      <c r="R807" s="6" t="str">
        <f t="shared" si="1"/>
        <v>2600-3600</v>
      </c>
      <c r="S807" s="6">
        <f t="shared" si="2"/>
        <v>4</v>
      </c>
      <c r="T807" s="6" t="str">
        <f t="shared" si="3"/>
        <v>New</v>
      </c>
    </row>
    <row r="808" ht="14.25" customHeight="1">
      <c r="A808" s="5">
        <v>496342.0</v>
      </c>
      <c r="B808" s="6" t="s">
        <v>11251</v>
      </c>
      <c r="C808" s="6" t="s">
        <v>29</v>
      </c>
      <c r="D808" s="6">
        <v>66338.0</v>
      </c>
      <c r="E808" s="6" t="s">
        <v>60</v>
      </c>
      <c r="F808" s="6" t="s">
        <v>54</v>
      </c>
      <c r="G808" s="6" t="s">
        <v>31</v>
      </c>
      <c r="H808" s="7">
        <v>1491.0</v>
      </c>
      <c r="I808" s="7">
        <v>2788.0</v>
      </c>
      <c r="J808" s="6">
        <v>2002.0</v>
      </c>
      <c r="K808" s="6">
        <v>83.0</v>
      </c>
      <c r="L808" s="6" t="s">
        <v>62</v>
      </c>
      <c r="M808" s="6" t="s">
        <v>11252</v>
      </c>
      <c r="N808" s="6" t="s">
        <v>48</v>
      </c>
      <c r="O808" s="6" t="s">
        <v>25</v>
      </c>
      <c r="P808" s="6">
        <f>COUNTIF(Analysis!$M$1:$M$3001,Analysis!$M2804)</f>
        <v>1</v>
      </c>
      <c r="Q808" s="6" t="str">
        <f>IF(COUNTIF(Analysis!$M$2:$M$3001,Analysis!$M2804)&gt;1,"Duplicate","OK")</f>
        <v>OK</v>
      </c>
      <c r="R808" s="6" t="str">
        <f t="shared" si="1"/>
        <v>600-1600</v>
      </c>
      <c r="S808" s="6">
        <f t="shared" si="2"/>
        <v>24</v>
      </c>
      <c r="T808" s="6" t="str">
        <f t="shared" si="3"/>
        <v>Mid</v>
      </c>
    </row>
    <row r="809" ht="14.25" customHeight="1">
      <c r="A809" s="5">
        <v>500037.0</v>
      </c>
      <c r="B809" s="6" t="s">
        <v>2943</v>
      </c>
      <c r="C809" s="6" t="s">
        <v>29</v>
      </c>
      <c r="D809" s="6">
        <v>95888.0</v>
      </c>
      <c r="E809" s="6" t="s">
        <v>19</v>
      </c>
      <c r="F809" s="6" t="s">
        <v>20</v>
      </c>
      <c r="G809" s="6" t="s">
        <v>55</v>
      </c>
      <c r="H809" s="7">
        <v>1072.0</v>
      </c>
      <c r="I809" s="7">
        <v>3335.0</v>
      </c>
      <c r="J809" s="6">
        <v>1979.0</v>
      </c>
      <c r="K809" s="6">
        <v>14.0</v>
      </c>
      <c r="L809" s="6" t="s">
        <v>22</v>
      </c>
      <c r="M809" s="6" t="s">
        <v>2944</v>
      </c>
      <c r="N809" s="6" t="s">
        <v>64</v>
      </c>
      <c r="O809" s="6" t="s">
        <v>49</v>
      </c>
      <c r="P809" s="6">
        <f>COUNTIF(Analysis!$M$1:$M$3001,Analysis!$M726)</f>
        <v>1</v>
      </c>
      <c r="Q809" s="6" t="str">
        <f>IF(COUNTIF(Analysis!$M$2:$M$3001,Analysis!$M726)&gt;1,"Duplicate","OK")</f>
        <v>OK</v>
      </c>
      <c r="R809" s="6" t="str">
        <f t="shared" si="1"/>
        <v>600-1600</v>
      </c>
      <c r="S809" s="6">
        <f t="shared" si="2"/>
        <v>47</v>
      </c>
      <c r="T809" s="6" t="str">
        <f t="shared" si="3"/>
        <v>Old</v>
      </c>
    </row>
    <row r="810" ht="14.25" customHeight="1">
      <c r="A810" s="5">
        <v>406159.0</v>
      </c>
      <c r="B810" s="6" t="s">
        <v>3279</v>
      </c>
      <c r="C810" s="6" t="s">
        <v>39</v>
      </c>
      <c r="D810" s="6">
        <v>14892.0</v>
      </c>
      <c r="E810" s="6" t="s">
        <v>40</v>
      </c>
      <c r="F810" s="6" t="s">
        <v>20</v>
      </c>
      <c r="G810" s="6" t="s">
        <v>31</v>
      </c>
      <c r="H810" s="7">
        <v>2533.0</v>
      </c>
      <c r="I810" s="7">
        <v>6096.0</v>
      </c>
      <c r="J810" s="6">
        <v>1971.0</v>
      </c>
      <c r="K810" s="6">
        <v>40.0</v>
      </c>
      <c r="L810" s="6" t="s">
        <v>32</v>
      </c>
      <c r="M810" s="6" t="s">
        <v>3280</v>
      </c>
      <c r="N810" s="6" t="s">
        <v>34</v>
      </c>
      <c r="O810" s="6" t="s">
        <v>49</v>
      </c>
      <c r="P810" s="6">
        <f>COUNTIF(Analysis!$M$1:$M$3001,Analysis!$M810)</f>
        <v>1</v>
      </c>
      <c r="Q810" s="6" t="str">
        <f>IF(COUNTIF(Analysis!$M$2:$M$3001,Analysis!$M810)&gt;1,"Duplicate","OK")</f>
        <v>OK</v>
      </c>
      <c r="R810" s="6" t="str">
        <f t="shared" si="1"/>
        <v>1600-2600</v>
      </c>
      <c r="S810" s="6">
        <f t="shared" si="2"/>
        <v>55</v>
      </c>
      <c r="T810" s="6" t="str">
        <f t="shared" si="3"/>
        <v>Old</v>
      </c>
    </row>
    <row r="811" ht="14.25" customHeight="1">
      <c r="A811" s="5">
        <v>1129152.0</v>
      </c>
      <c r="B811" s="6" t="s">
        <v>3283</v>
      </c>
      <c r="C811" s="6" t="s">
        <v>39</v>
      </c>
      <c r="D811" s="6">
        <v>12477.0</v>
      </c>
      <c r="E811" s="6" t="s">
        <v>19</v>
      </c>
      <c r="F811" s="6" t="s">
        <v>41</v>
      </c>
      <c r="G811" s="6" t="s">
        <v>21</v>
      </c>
      <c r="H811" s="7">
        <v>1311.0</v>
      </c>
      <c r="I811" s="7">
        <v>5889.0</v>
      </c>
      <c r="J811" s="6">
        <v>2021.0</v>
      </c>
      <c r="K811" s="6">
        <v>100.0</v>
      </c>
      <c r="L811" s="6" t="s">
        <v>62</v>
      </c>
      <c r="M811" s="6" t="s">
        <v>3284</v>
      </c>
      <c r="N811" s="6" t="s">
        <v>34</v>
      </c>
      <c r="O811" s="6" t="s">
        <v>49</v>
      </c>
      <c r="P811" s="6">
        <f>COUNTIF(Analysis!$M$1:$M$3001,Analysis!$M811)</f>
        <v>1</v>
      </c>
      <c r="Q811" s="6" t="str">
        <f>IF(COUNTIF(Analysis!$M$2:$M$3001,Analysis!$M811)&gt;1,"Duplicate","OK")</f>
        <v>OK</v>
      </c>
      <c r="R811" s="6" t="str">
        <f t="shared" si="1"/>
        <v>600-1600</v>
      </c>
      <c r="S811" s="6">
        <f t="shared" si="2"/>
        <v>5</v>
      </c>
      <c r="T811" s="6" t="str">
        <f t="shared" si="3"/>
        <v>New</v>
      </c>
    </row>
    <row r="812" ht="14.25" customHeight="1">
      <c r="A812" s="5">
        <v>280337.0</v>
      </c>
      <c r="B812" s="6" t="s">
        <v>3287</v>
      </c>
      <c r="C812" s="6" t="s">
        <v>39</v>
      </c>
      <c r="D812" s="6">
        <v>52311.0</v>
      </c>
      <c r="E812" s="6" t="s">
        <v>30</v>
      </c>
      <c r="F812" s="6" t="s">
        <v>41</v>
      </c>
      <c r="G812" s="6" t="s">
        <v>21</v>
      </c>
      <c r="H812" s="7">
        <v>3145.0</v>
      </c>
      <c r="I812" s="7">
        <v>4528.0</v>
      </c>
      <c r="J812" s="6">
        <v>2005.0</v>
      </c>
      <c r="K812" s="6">
        <v>38.0</v>
      </c>
      <c r="L812" s="6" t="s">
        <v>62</v>
      </c>
      <c r="M812" s="6" t="s">
        <v>3288</v>
      </c>
      <c r="N812" s="6" t="s">
        <v>24</v>
      </c>
      <c r="O812" s="6" t="s">
        <v>25</v>
      </c>
      <c r="P812" s="6">
        <f>COUNTIF(Analysis!$M$1:$M$3001,Analysis!$M812)</f>
        <v>1</v>
      </c>
      <c r="Q812" s="6" t="str">
        <f>IF(COUNTIF(Analysis!$M$2:$M$3001,Analysis!$M812)&gt;1,"Duplicate","OK")</f>
        <v>OK</v>
      </c>
      <c r="R812" s="6" t="str">
        <f t="shared" si="1"/>
        <v>2600-3600</v>
      </c>
      <c r="S812" s="6">
        <f t="shared" si="2"/>
        <v>21</v>
      </c>
      <c r="T812" s="6" t="str">
        <f t="shared" si="3"/>
        <v>Mid</v>
      </c>
    </row>
    <row r="813" ht="14.25" customHeight="1">
      <c r="A813" s="5">
        <v>500875.0</v>
      </c>
      <c r="B813" s="6" t="s">
        <v>6385</v>
      </c>
      <c r="C813" s="6" t="s">
        <v>29</v>
      </c>
      <c r="D813" s="6">
        <v>39103.0</v>
      </c>
      <c r="E813" s="6" t="s">
        <v>30</v>
      </c>
      <c r="F813" s="6" t="s">
        <v>41</v>
      </c>
      <c r="G813" s="6" t="s">
        <v>31</v>
      </c>
      <c r="H813" s="7">
        <v>1507.0</v>
      </c>
      <c r="I813" s="7">
        <v>1997.0</v>
      </c>
      <c r="J813" s="6">
        <v>1975.0</v>
      </c>
      <c r="K813" s="6">
        <v>2.0</v>
      </c>
      <c r="L813" s="6" t="s">
        <v>95</v>
      </c>
      <c r="M813" s="6" t="s">
        <v>6386</v>
      </c>
      <c r="N813" s="6" t="s">
        <v>34</v>
      </c>
      <c r="O813" s="6" t="s">
        <v>25</v>
      </c>
      <c r="P813" s="6">
        <f>COUNTIF(Analysis!$M$1:$M$3001,Analysis!$M1587)</f>
        <v>1</v>
      </c>
      <c r="Q813" s="6" t="str">
        <f>IF(COUNTIF(Analysis!$M$2:$M$3001,Analysis!$M1587)&gt;1,"Duplicate","OK")</f>
        <v>OK</v>
      </c>
      <c r="R813" s="6" t="str">
        <f t="shared" si="1"/>
        <v>600-1600</v>
      </c>
      <c r="S813" s="6">
        <f t="shared" si="2"/>
        <v>51</v>
      </c>
      <c r="T813" s="6" t="str">
        <f t="shared" si="3"/>
        <v>Old</v>
      </c>
    </row>
    <row r="814" ht="14.25" customHeight="1">
      <c r="A814" s="5">
        <v>351462.0</v>
      </c>
      <c r="B814" s="6" t="s">
        <v>3295</v>
      </c>
      <c r="C814" s="6" t="s">
        <v>39</v>
      </c>
      <c r="D814" s="6">
        <v>78963.0</v>
      </c>
      <c r="E814" s="6" t="s">
        <v>40</v>
      </c>
      <c r="F814" s="6" t="s">
        <v>61</v>
      </c>
      <c r="G814" s="6" t="s">
        <v>21</v>
      </c>
      <c r="H814" s="7">
        <v>2271.0</v>
      </c>
      <c r="I814" s="7">
        <v>6190.0</v>
      </c>
      <c r="J814" s="6">
        <v>2021.0</v>
      </c>
      <c r="K814" s="6">
        <v>36.0</v>
      </c>
      <c r="L814" s="6" t="s">
        <v>32</v>
      </c>
      <c r="M814" s="6" t="s">
        <v>3296</v>
      </c>
      <c r="N814" s="6" t="s">
        <v>43</v>
      </c>
      <c r="O814" s="6" t="s">
        <v>49</v>
      </c>
      <c r="P814" s="6">
        <f>COUNTIF(Analysis!$M$1:$M$3001,Analysis!$M814)</f>
        <v>1</v>
      </c>
      <c r="Q814" s="6" t="str">
        <f>IF(COUNTIF(Analysis!$M$2:$M$3001,Analysis!$M814)&gt;1,"Duplicate","OK")</f>
        <v>OK</v>
      </c>
      <c r="R814" s="6" t="str">
        <f t="shared" si="1"/>
        <v>1600-2600</v>
      </c>
      <c r="S814" s="6">
        <f t="shared" si="2"/>
        <v>5</v>
      </c>
      <c r="T814" s="6" t="str">
        <f t="shared" si="3"/>
        <v>New</v>
      </c>
    </row>
    <row r="815" ht="14.25" customHeight="1">
      <c r="A815" s="5">
        <v>210113.0</v>
      </c>
      <c r="B815" s="6" t="s">
        <v>3299</v>
      </c>
      <c r="C815" s="6" t="s">
        <v>39</v>
      </c>
      <c r="D815" s="6">
        <v>99538.0</v>
      </c>
      <c r="E815" s="6" t="s">
        <v>30</v>
      </c>
      <c r="F815" s="6" t="s">
        <v>94</v>
      </c>
      <c r="G815" s="6" t="s">
        <v>100</v>
      </c>
      <c r="H815" s="7">
        <v>3866.0</v>
      </c>
      <c r="I815" s="7">
        <v>1796.0</v>
      </c>
      <c r="J815" s="6">
        <v>1973.0</v>
      </c>
      <c r="K815" s="6">
        <v>10.0</v>
      </c>
      <c r="L815" s="6" t="s">
        <v>22</v>
      </c>
      <c r="M815" s="6" t="s">
        <v>3300</v>
      </c>
      <c r="N815" s="6" t="s">
        <v>48</v>
      </c>
      <c r="O815" s="6" t="s">
        <v>25</v>
      </c>
      <c r="P815" s="6">
        <f>COUNTIF(Analysis!$M$1:$M$3001,Analysis!$M815)</f>
        <v>1</v>
      </c>
      <c r="Q815" s="6" t="str">
        <f>IF(COUNTIF(Analysis!$M$2:$M$3001,Analysis!$M815)&gt;1,"Duplicate","OK")</f>
        <v>OK</v>
      </c>
      <c r="R815" s="6" t="str">
        <f t="shared" si="1"/>
        <v>3600+</v>
      </c>
      <c r="S815" s="6">
        <f t="shared" si="2"/>
        <v>53</v>
      </c>
      <c r="T815" s="6" t="str">
        <f t="shared" si="3"/>
        <v>Old</v>
      </c>
    </row>
    <row r="816" ht="14.25" customHeight="1">
      <c r="A816" s="5">
        <v>1255047.0</v>
      </c>
      <c r="B816" s="6" t="s">
        <v>3303</v>
      </c>
      <c r="C816" s="6" t="s">
        <v>76</v>
      </c>
      <c r="D816" s="6">
        <v>65918.0</v>
      </c>
      <c r="E816" s="6" t="s">
        <v>60</v>
      </c>
      <c r="F816" s="6" t="s">
        <v>41</v>
      </c>
      <c r="G816" s="6" t="s">
        <v>21</v>
      </c>
      <c r="H816" s="7">
        <v>1894.0</v>
      </c>
      <c r="I816" s="7">
        <v>9879.0</v>
      </c>
      <c r="J816" s="6">
        <v>1961.0</v>
      </c>
      <c r="K816" s="6">
        <v>68.0</v>
      </c>
      <c r="L816" s="6" t="s">
        <v>141</v>
      </c>
      <c r="M816" s="6" t="s">
        <v>3304</v>
      </c>
      <c r="N816" s="6" t="s">
        <v>48</v>
      </c>
      <c r="O816" s="6" t="s">
        <v>25</v>
      </c>
      <c r="P816" s="6">
        <f>COUNTIF(Analysis!$M$1:$M$3001,Analysis!$M816)</f>
        <v>1</v>
      </c>
      <c r="Q816" s="6" t="str">
        <f>IF(COUNTIF(Analysis!$M$2:$M$3001,Analysis!$M816)&gt;1,"Duplicate","OK")</f>
        <v>OK</v>
      </c>
      <c r="R816" s="6" t="str">
        <f t="shared" si="1"/>
        <v>1600-2600</v>
      </c>
      <c r="S816" s="6">
        <f t="shared" si="2"/>
        <v>65</v>
      </c>
      <c r="T816" s="6" t="str">
        <f t="shared" si="3"/>
        <v>Very Old</v>
      </c>
    </row>
    <row r="817" ht="14.25" customHeight="1">
      <c r="A817" s="5">
        <v>699231.0</v>
      </c>
      <c r="B817" s="6" t="s">
        <v>3307</v>
      </c>
      <c r="C817" s="6" t="s">
        <v>18</v>
      </c>
      <c r="D817" s="6">
        <v>20679.0</v>
      </c>
      <c r="E817" s="6" t="s">
        <v>30</v>
      </c>
      <c r="F817" s="6" t="s">
        <v>54</v>
      </c>
      <c r="G817" s="6" t="s">
        <v>55</v>
      </c>
      <c r="H817" s="7">
        <v>3009.0</v>
      </c>
      <c r="I817" s="7">
        <v>2641.0</v>
      </c>
      <c r="J817" s="6">
        <v>1984.0</v>
      </c>
      <c r="K817" s="6">
        <v>72.0</v>
      </c>
      <c r="L817" s="6" t="s">
        <v>62</v>
      </c>
      <c r="M817" s="6" t="s">
        <v>3308</v>
      </c>
      <c r="N817" s="6" t="s">
        <v>43</v>
      </c>
      <c r="O817" s="6" t="s">
        <v>49</v>
      </c>
      <c r="P817" s="6">
        <f>COUNTIF(Analysis!$M$1:$M$3001,Analysis!$M817)</f>
        <v>1</v>
      </c>
      <c r="Q817" s="6" t="str">
        <f>IF(COUNTIF(Analysis!$M$2:$M$3001,Analysis!$M817)&gt;1,"Duplicate","OK")</f>
        <v>OK</v>
      </c>
      <c r="R817" s="6" t="str">
        <f t="shared" si="1"/>
        <v>2600-3600</v>
      </c>
      <c r="S817" s="6">
        <f t="shared" si="2"/>
        <v>42</v>
      </c>
      <c r="T817" s="6" t="str">
        <f t="shared" si="3"/>
        <v>Old</v>
      </c>
    </row>
    <row r="818" ht="14.25" customHeight="1">
      <c r="A818" s="5">
        <v>772910.0</v>
      </c>
      <c r="B818" s="6" t="s">
        <v>3311</v>
      </c>
      <c r="C818" s="6" t="s">
        <v>76</v>
      </c>
      <c r="D818" s="6">
        <v>14339.0</v>
      </c>
      <c r="E818" s="6" t="s">
        <v>40</v>
      </c>
      <c r="F818" s="6" t="s">
        <v>61</v>
      </c>
      <c r="G818" s="6" t="s">
        <v>21</v>
      </c>
      <c r="H818" s="7">
        <v>1393.0</v>
      </c>
      <c r="I818" s="7">
        <v>4054.0</v>
      </c>
      <c r="J818" s="6">
        <v>1957.0</v>
      </c>
      <c r="K818" s="6">
        <v>81.0</v>
      </c>
      <c r="L818" s="6" t="s">
        <v>22</v>
      </c>
      <c r="M818" s="6" t="s">
        <v>3312</v>
      </c>
      <c r="N818" s="6" t="s">
        <v>43</v>
      </c>
      <c r="O818" s="6" t="s">
        <v>49</v>
      </c>
      <c r="P818" s="6">
        <f>COUNTIF(Analysis!$M$1:$M$3001,Analysis!$M818)</f>
        <v>1</v>
      </c>
      <c r="Q818" s="6" t="str">
        <f>IF(COUNTIF(Analysis!$M$2:$M$3001,Analysis!$M818)&gt;1,"Duplicate","OK")</f>
        <v>OK</v>
      </c>
      <c r="R818" s="6" t="str">
        <f t="shared" si="1"/>
        <v>600-1600</v>
      </c>
      <c r="S818" s="6">
        <f t="shared" si="2"/>
        <v>69</v>
      </c>
      <c r="T818" s="6" t="str">
        <f t="shared" si="3"/>
        <v>Very Old</v>
      </c>
    </row>
    <row r="819" ht="14.25" customHeight="1">
      <c r="A819" s="5">
        <v>506109.0</v>
      </c>
      <c r="B819" s="6" t="s">
        <v>6453</v>
      </c>
      <c r="C819" s="6" t="s">
        <v>29</v>
      </c>
      <c r="D819" s="6">
        <v>46866.0</v>
      </c>
      <c r="E819" s="6" t="s">
        <v>40</v>
      </c>
      <c r="F819" s="6" t="s">
        <v>94</v>
      </c>
      <c r="G819" s="6" t="s">
        <v>21</v>
      </c>
      <c r="H819" s="7">
        <v>1410.0</v>
      </c>
      <c r="I819" s="7">
        <v>7928.0</v>
      </c>
      <c r="J819" s="6">
        <v>1981.0</v>
      </c>
      <c r="K819" s="6">
        <v>88.0</v>
      </c>
      <c r="L819" s="6" t="s">
        <v>22</v>
      </c>
      <c r="M819" s="6" t="s">
        <v>6454</v>
      </c>
      <c r="N819" s="6" t="s">
        <v>24</v>
      </c>
      <c r="O819" s="6" t="s">
        <v>35</v>
      </c>
      <c r="P819" s="6">
        <f>COUNTIF(Analysis!$M$1:$M$3001,Analysis!$M1604)</f>
        <v>1</v>
      </c>
      <c r="Q819" s="6" t="str">
        <f>IF(COUNTIF(Analysis!$M$2:$M$3001,Analysis!$M1604)&gt;1,"Duplicate","OK")</f>
        <v>OK</v>
      </c>
      <c r="R819" s="6" t="str">
        <f t="shared" si="1"/>
        <v>600-1600</v>
      </c>
      <c r="S819" s="6">
        <f t="shared" si="2"/>
        <v>45</v>
      </c>
      <c r="T819" s="6" t="str">
        <f t="shared" si="3"/>
        <v>Old</v>
      </c>
    </row>
    <row r="820" ht="14.25" customHeight="1">
      <c r="A820" s="5">
        <v>1138482.0</v>
      </c>
      <c r="B820" s="6" t="s">
        <v>3319</v>
      </c>
      <c r="C820" s="6" t="s">
        <v>39</v>
      </c>
      <c r="D820" s="6">
        <v>64089.0</v>
      </c>
      <c r="E820" s="6" t="s">
        <v>77</v>
      </c>
      <c r="F820" s="6" t="s">
        <v>41</v>
      </c>
      <c r="G820" s="6" t="s">
        <v>55</v>
      </c>
      <c r="H820" s="7">
        <v>3174.0</v>
      </c>
      <c r="I820" s="7">
        <v>2912.0</v>
      </c>
      <c r="J820" s="6">
        <v>1956.0</v>
      </c>
      <c r="K820" s="6">
        <v>22.0</v>
      </c>
      <c r="L820" s="6" t="s">
        <v>141</v>
      </c>
      <c r="M820" s="6" t="s">
        <v>3320</v>
      </c>
      <c r="N820" s="6" t="s">
        <v>64</v>
      </c>
      <c r="O820" s="6" t="s">
        <v>35</v>
      </c>
      <c r="P820" s="6">
        <f>COUNTIF(Analysis!$M$1:$M$3001,Analysis!$M820)</f>
        <v>1</v>
      </c>
      <c r="Q820" s="6" t="str">
        <f>IF(COUNTIF(Analysis!$M$2:$M$3001,Analysis!$M820)&gt;1,"Duplicate","OK")</f>
        <v>OK</v>
      </c>
      <c r="R820" s="6" t="str">
        <f t="shared" si="1"/>
        <v>2600-3600</v>
      </c>
      <c r="S820" s="6">
        <f t="shared" si="2"/>
        <v>70</v>
      </c>
      <c r="T820" s="6" t="str">
        <f t="shared" si="3"/>
        <v>Very Old</v>
      </c>
    </row>
    <row r="821" ht="14.25" customHeight="1">
      <c r="A821" s="5">
        <v>948743.0</v>
      </c>
      <c r="B821" s="6" t="s">
        <v>3323</v>
      </c>
      <c r="C821" s="6" t="s">
        <v>76</v>
      </c>
      <c r="D821" s="6">
        <v>34766.0</v>
      </c>
      <c r="E821" s="6" t="s">
        <v>77</v>
      </c>
      <c r="F821" s="6" t="s">
        <v>46</v>
      </c>
      <c r="G821" s="6" t="s">
        <v>31</v>
      </c>
      <c r="H821" s="7">
        <v>1829.0</v>
      </c>
      <c r="I821" s="7">
        <v>5193.0</v>
      </c>
      <c r="J821" s="6">
        <v>1969.0</v>
      </c>
      <c r="K821" s="6">
        <v>27.0</v>
      </c>
      <c r="L821" s="6" t="s">
        <v>32</v>
      </c>
      <c r="M821" s="6" t="s">
        <v>3324</v>
      </c>
      <c r="N821" s="6" t="s">
        <v>48</v>
      </c>
      <c r="O821" s="6" t="s">
        <v>49</v>
      </c>
      <c r="P821" s="6">
        <f>COUNTIF(Analysis!$M$1:$M$3001,Analysis!$M821)</f>
        <v>1</v>
      </c>
      <c r="Q821" s="6" t="str">
        <f>IF(COUNTIF(Analysis!$M$2:$M$3001,Analysis!$M821)&gt;1,"Duplicate","OK")</f>
        <v>OK</v>
      </c>
      <c r="R821" s="6" t="str">
        <f t="shared" si="1"/>
        <v>1600-2600</v>
      </c>
      <c r="S821" s="6">
        <f t="shared" si="2"/>
        <v>57</v>
      </c>
      <c r="T821" s="6" t="str">
        <f t="shared" si="3"/>
        <v>Old</v>
      </c>
    </row>
    <row r="822" ht="14.25" customHeight="1">
      <c r="A822" s="5">
        <v>279426.0</v>
      </c>
      <c r="B822" s="6" t="s">
        <v>3327</v>
      </c>
      <c r="C822" s="6" t="s">
        <v>18</v>
      </c>
      <c r="D822" s="6">
        <v>99507.0</v>
      </c>
      <c r="E822" s="6" t="s">
        <v>30</v>
      </c>
      <c r="F822" s="6" t="s">
        <v>41</v>
      </c>
      <c r="G822" s="6" t="s">
        <v>31</v>
      </c>
      <c r="H822" s="7">
        <v>3904.0</v>
      </c>
      <c r="I822" s="7">
        <v>9647.0</v>
      </c>
      <c r="J822" s="6">
        <v>1971.0</v>
      </c>
      <c r="K822" s="6">
        <v>86.0</v>
      </c>
      <c r="L822" s="6" t="s">
        <v>22</v>
      </c>
      <c r="M822" s="6" t="s">
        <v>3328</v>
      </c>
      <c r="N822" s="6" t="s">
        <v>34</v>
      </c>
      <c r="O822" s="6" t="s">
        <v>35</v>
      </c>
      <c r="P822" s="6">
        <f>COUNTIF(Analysis!$M$1:$M$3001,Analysis!$M822)</f>
        <v>1</v>
      </c>
      <c r="Q822" s="6" t="str">
        <f>IF(COUNTIF(Analysis!$M$2:$M$3001,Analysis!$M822)&gt;1,"Duplicate","OK")</f>
        <v>OK</v>
      </c>
      <c r="R822" s="6" t="str">
        <f t="shared" si="1"/>
        <v>3600+</v>
      </c>
      <c r="S822" s="6">
        <f t="shared" si="2"/>
        <v>55</v>
      </c>
      <c r="T822" s="6" t="str">
        <f t="shared" si="3"/>
        <v>Old</v>
      </c>
    </row>
    <row r="823" ht="14.25" customHeight="1">
      <c r="A823" s="5">
        <v>285969.0</v>
      </c>
      <c r="B823" s="6" t="s">
        <v>3331</v>
      </c>
      <c r="C823" s="6" t="s">
        <v>53</v>
      </c>
      <c r="D823" s="6">
        <v>39530.0</v>
      </c>
      <c r="E823" s="6" t="s">
        <v>60</v>
      </c>
      <c r="F823" s="6" t="s">
        <v>94</v>
      </c>
      <c r="G823" s="6" t="s">
        <v>21</v>
      </c>
      <c r="H823" s="7">
        <v>3611.0</v>
      </c>
      <c r="I823" s="7">
        <v>3117.0</v>
      </c>
      <c r="J823" s="6">
        <v>1990.0</v>
      </c>
      <c r="K823" s="6">
        <v>78.0</v>
      </c>
      <c r="L823" s="6" t="s">
        <v>95</v>
      </c>
      <c r="M823" s="6" t="s">
        <v>3332</v>
      </c>
      <c r="N823" s="6" t="s">
        <v>48</v>
      </c>
      <c r="O823" s="6" t="s">
        <v>49</v>
      </c>
      <c r="P823" s="6">
        <f>COUNTIF(Analysis!$M$1:$M$3001,Analysis!$M823)</f>
        <v>1</v>
      </c>
      <c r="Q823" s="6" t="str">
        <f>IF(COUNTIF(Analysis!$M$2:$M$3001,Analysis!$M823)&gt;1,"Duplicate","OK")</f>
        <v>OK</v>
      </c>
      <c r="R823" s="6" t="str">
        <f t="shared" si="1"/>
        <v>3600+</v>
      </c>
      <c r="S823" s="6">
        <f t="shared" si="2"/>
        <v>36</v>
      </c>
      <c r="T823" s="6" t="str">
        <f t="shared" si="3"/>
        <v>Old</v>
      </c>
    </row>
    <row r="824" ht="14.25" customHeight="1">
      <c r="A824" s="5">
        <v>1127463.0</v>
      </c>
      <c r="B824" s="6" t="s">
        <v>3335</v>
      </c>
      <c r="C824" s="6" t="s">
        <v>53</v>
      </c>
      <c r="D824" s="6">
        <v>50916.0</v>
      </c>
      <c r="E824" s="6" t="s">
        <v>77</v>
      </c>
      <c r="F824" s="6" t="s">
        <v>61</v>
      </c>
      <c r="G824" s="6" t="s">
        <v>21</v>
      </c>
      <c r="H824" s="7">
        <v>2940.0</v>
      </c>
      <c r="I824" s="7">
        <v>7112.0</v>
      </c>
      <c r="J824" s="6">
        <v>1986.0</v>
      </c>
      <c r="K824" s="6">
        <v>59.0</v>
      </c>
      <c r="L824" s="6" t="s">
        <v>141</v>
      </c>
      <c r="M824" s="6" t="s">
        <v>3336</v>
      </c>
      <c r="N824" s="6" t="s">
        <v>34</v>
      </c>
      <c r="O824" s="6" t="s">
        <v>35</v>
      </c>
      <c r="P824" s="6">
        <f>COUNTIF(Analysis!$M$1:$M$3001,Analysis!$M824)</f>
        <v>1</v>
      </c>
      <c r="Q824" s="6" t="str">
        <f>IF(COUNTIF(Analysis!$M$2:$M$3001,Analysis!$M824)&gt;1,"Duplicate","OK")</f>
        <v>OK</v>
      </c>
      <c r="R824" s="6" t="str">
        <f t="shared" si="1"/>
        <v>2600-3600</v>
      </c>
      <c r="S824" s="6">
        <f t="shared" si="2"/>
        <v>40</v>
      </c>
      <c r="T824" s="6" t="str">
        <f t="shared" si="3"/>
        <v>Old</v>
      </c>
    </row>
    <row r="825" ht="14.25" customHeight="1">
      <c r="A825" s="5">
        <v>723852.0</v>
      </c>
      <c r="B825" s="6" t="s">
        <v>3339</v>
      </c>
      <c r="C825" s="6" t="s">
        <v>76</v>
      </c>
      <c r="D825" s="6">
        <v>71130.0</v>
      </c>
      <c r="E825" s="6" t="s">
        <v>19</v>
      </c>
      <c r="F825" s="6" t="s">
        <v>41</v>
      </c>
      <c r="G825" s="6" t="s">
        <v>55</v>
      </c>
      <c r="H825" s="7">
        <v>2459.0</v>
      </c>
      <c r="I825" s="7">
        <v>9743.0</v>
      </c>
      <c r="J825" s="6">
        <v>1994.0</v>
      </c>
      <c r="K825" s="6">
        <v>117.0</v>
      </c>
      <c r="L825" s="6" t="s">
        <v>95</v>
      </c>
      <c r="M825" s="6" t="s">
        <v>3340</v>
      </c>
      <c r="N825" s="6" t="s">
        <v>64</v>
      </c>
      <c r="O825" s="6" t="s">
        <v>25</v>
      </c>
      <c r="P825" s="6">
        <f>COUNTIF(Analysis!$M$1:$M$3001,Analysis!$M825)</f>
        <v>1</v>
      </c>
      <c r="Q825" s="6" t="str">
        <f>IF(COUNTIF(Analysis!$M$2:$M$3001,Analysis!$M825)&gt;1,"Duplicate","OK")</f>
        <v>OK</v>
      </c>
      <c r="R825" s="6" t="str">
        <f t="shared" si="1"/>
        <v>1600-2600</v>
      </c>
      <c r="S825" s="6">
        <f t="shared" si="2"/>
        <v>32</v>
      </c>
      <c r="T825" s="6" t="str">
        <f t="shared" si="3"/>
        <v>Old</v>
      </c>
    </row>
    <row r="826" ht="14.25" customHeight="1">
      <c r="A826" s="5">
        <v>1074925.0</v>
      </c>
      <c r="B826" s="6" t="s">
        <v>3343</v>
      </c>
      <c r="C826" s="6" t="s">
        <v>18</v>
      </c>
      <c r="D826" s="6">
        <v>38257.0</v>
      </c>
      <c r="E826" s="6" t="s">
        <v>19</v>
      </c>
      <c r="F826" s="6" t="s">
        <v>41</v>
      </c>
      <c r="G826" s="6" t="s">
        <v>31</v>
      </c>
      <c r="H826" s="7">
        <v>994.0</v>
      </c>
      <c r="I826" s="7">
        <v>7071.0</v>
      </c>
      <c r="J826" s="6">
        <v>1995.0</v>
      </c>
      <c r="K826" s="6">
        <v>36.0</v>
      </c>
      <c r="L826" s="6" t="s">
        <v>22</v>
      </c>
      <c r="M826" s="6" t="s">
        <v>3344</v>
      </c>
      <c r="N826" s="6" t="s">
        <v>34</v>
      </c>
      <c r="O826" s="6" t="s">
        <v>35</v>
      </c>
      <c r="P826" s="6">
        <f>COUNTIF(Analysis!$M$1:$M$3001,Analysis!$M826)</f>
        <v>1</v>
      </c>
      <c r="Q826" s="6" t="str">
        <f>IF(COUNTIF(Analysis!$M$2:$M$3001,Analysis!$M826)&gt;1,"Duplicate","OK")</f>
        <v>OK</v>
      </c>
      <c r="R826" s="6" t="str">
        <f t="shared" si="1"/>
        <v>600-1600</v>
      </c>
      <c r="S826" s="6">
        <f t="shared" si="2"/>
        <v>31</v>
      </c>
      <c r="T826" s="6" t="str">
        <f t="shared" si="3"/>
        <v>Old</v>
      </c>
    </row>
    <row r="827" ht="14.25" customHeight="1">
      <c r="A827" s="5">
        <v>450784.0</v>
      </c>
      <c r="B827" s="6" t="s">
        <v>3347</v>
      </c>
      <c r="C827" s="6" t="s">
        <v>53</v>
      </c>
      <c r="D827" s="6">
        <v>14062.0</v>
      </c>
      <c r="E827" s="6" t="s">
        <v>19</v>
      </c>
      <c r="F827" s="6" t="s">
        <v>94</v>
      </c>
      <c r="G827" s="6" t="s">
        <v>55</v>
      </c>
      <c r="H827" s="7">
        <v>2907.0</v>
      </c>
      <c r="I827" s="7">
        <v>5822.0</v>
      </c>
      <c r="J827" s="6">
        <v>1992.0</v>
      </c>
      <c r="K827" s="6">
        <v>54.0</v>
      </c>
      <c r="L827" s="6" t="s">
        <v>62</v>
      </c>
      <c r="M827" s="6" t="s">
        <v>3348</v>
      </c>
      <c r="N827" s="6" t="s">
        <v>43</v>
      </c>
      <c r="O827" s="6" t="s">
        <v>25</v>
      </c>
      <c r="P827" s="6">
        <f>COUNTIF(Analysis!$M$1:$M$3001,Analysis!$M827)</f>
        <v>1</v>
      </c>
      <c r="Q827" s="6" t="str">
        <f>IF(COUNTIF(Analysis!$M$2:$M$3001,Analysis!$M827)&gt;1,"Duplicate","OK")</f>
        <v>OK</v>
      </c>
      <c r="R827" s="6" t="str">
        <f t="shared" si="1"/>
        <v>2600-3600</v>
      </c>
      <c r="S827" s="6">
        <f t="shared" si="2"/>
        <v>34</v>
      </c>
      <c r="T827" s="6" t="str">
        <f t="shared" si="3"/>
        <v>Old</v>
      </c>
    </row>
    <row r="828" ht="14.25" customHeight="1">
      <c r="A828" s="5">
        <v>506158.0</v>
      </c>
      <c r="B828" s="6" t="s">
        <v>713</v>
      </c>
      <c r="C828" s="6" t="s">
        <v>29</v>
      </c>
      <c r="D828" s="6">
        <v>97228.0</v>
      </c>
      <c r="E828" s="6" t="s">
        <v>19</v>
      </c>
      <c r="F828" s="6" t="s">
        <v>61</v>
      </c>
      <c r="G828" s="6" t="s">
        <v>100</v>
      </c>
      <c r="H828" s="7">
        <v>2306.0</v>
      </c>
      <c r="I828" s="7">
        <v>1972.0</v>
      </c>
      <c r="J828" s="6">
        <v>1985.0</v>
      </c>
      <c r="K828" s="6">
        <v>8.0</v>
      </c>
      <c r="L828" s="6" t="s">
        <v>62</v>
      </c>
      <c r="M828" s="6" t="s">
        <v>714</v>
      </c>
      <c r="N828" s="6" t="s">
        <v>64</v>
      </c>
      <c r="O828" s="6" t="s">
        <v>35</v>
      </c>
      <c r="P828" s="6">
        <f>COUNTIF(Analysis!$M$1:$M$3001,Analysis!$M168)</f>
        <v>1</v>
      </c>
      <c r="Q828" s="6" t="str">
        <f>IF(COUNTIF(Analysis!$M$2:$M$3001,Analysis!$M168)&gt;1,"Duplicate","OK")</f>
        <v>OK</v>
      </c>
      <c r="R828" s="6" t="str">
        <f t="shared" si="1"/>
        <v>1600-2600</v>
      </c>
      <c r="S828" s="6">
        <f t="shared" si="2"/>
        <v>41</v>
      </c>
      <c r="T828" s="6" t="str">
        <f t="shared" si="3"/>
        <v>Old</v>
      </c>
    </row>
    <row r="829" ht="14.25" customHeight="1">
      <c r="A829" s="5">
        <v>825178.0</v>
      </c>
      <c r="B829" s="6" t="s">
        <v>3355</v>
      </c>
      <c r="C829" s="6" t="s">
        <v>53</v>
      </c>
      <c r="D829" s="6">
        <v>48570.0</v>
      </c>
      <c r="E829" s="6" t="s">
        <v>40</v>
      </c>
      <c r="F829" s="6" t="s">
        <v>61</v>
      </c>
      <c r="G829" s="6" t="s">
        <v>100</v>
      </c>
      <c r="H829" s="7">
        <v>1317.0</v>
      </c>
      <c r="I829" s="7">
        <v>5647.0</v>
      </c>
      <c r="J829" s="6">
        <v>1976.0</v>
      </c>
      <c r="K829" s="6">
        <v>31.0</v>
      </c>
      <c r="L829" s="6" t="s">
        <v>32</v>
      </c>
      <c r="M829" s="6" t="s">
        <v>3356</v>
      </c>
      <c r="N829" s="6" t="s">
        <v>34</v>
      </c>
      <c r="O829" s="6" t="s">
        <v>49</v>
      </c>
      <c r="P829" s="6">
        <f>COUNTIF(Analysis!$M$1:$M$3001,Analysis!$M829)</f>
        <v>1</v>
      </c>
      <c r="Q829" s="6" t="str">
        <f>IF(COUNTIF(Analysis!$M$2:$M$3001,Analysis!$M829)&gt;1,"Duplicate","OK")</f>
        <v>OK</v>
      </c>
      <c r="R829" s="6" t="str">
        <f t="shared" si="1"/>
        <v>600-1600</v>
      </c>
      <c r="S829" s="6">
        <f t="shared" si="2"/>
        <v>50</v>
      </c>
      <c r="T829" s="6" t="str">
        <f t="shared" si="3"/>
        <v>Old</v>
      </c>
    </row>
    <row r="830" ht="14.25" customHeight="1">
      <c r="A830" s="5">
        <v>245952.0</v>
      </c>
      <c r="B830" s="6" t="s">
        <v>3359</v>
      </c>
      <c r="C830" s="6" t="s">
        <v>76</v>
      </c>
      <c r="D830" s="6">
        <v>84319.0</v>
      </c>
      <c r="E830" s="6" t="s">
        <v>30</v>
      </c>
      <c r="F830" s="6" t="s">
        <v>54</v>
      </c>
      <c r="G830" s="6" t="s">
        <v>55</v>
      </c>
      <c r="H830" s="7">
        <v>2046.0</v>
      </c>
      <c r="I830" s="7">
        <v>2495.0</v>
      </c>
      <c r="J830" s="6">
        <v>1961.0</v>
      </c>
      <c r="K830" s="6">
        <v>24.0</v>
      </c>
      <c r="L830" s="6" t="s">
        <v>62</v>
      </c>
      <c r="M830" s="6" t="s">
        <v>3360</v>
      </c>
      <c r="N830" s="6" t="s">
        <v>24</v>
      </c>
      <c r="O830" s="6" t="s">
        <v>49</v>
      </c>
      <c r="P830" s="6">
        <f>COUNTIF(Analysis!$M$1:$M$3001,Analysis!$M830)</f>
        <v>1</v>
      </c>
      <c r="Q830" s="6" t="str">
        <f>IF(COUNTIF(Analysis!$M$2:$M$3001,Analysis!$M830)&gt;1,"Duplicate","OK")</f>
        <v>OK</v>
      </c>
      <c r="R830" s="6" t="str">
        <f t="shared" si="1"/>
        <v>1600-2600</v>
      </c>
      <c r="S830" s="6">
        <f t="shared" si="2"/>
        <v>65</v>
      </c>
      <c r="T830" s="6" t="str">
        <f t="shared" si="3"/>
        <v>Very Old</v>
      </c>
    </row>
    <row r="831" ht="14.25" customHeight="1">
      <c r="A831" s="5">
        <v>433253.0</v>
      </c>
      <c r="B831" s="6" t="s">
        <v>3363</v>
      </c>
      <c r="C831" s="6" t="s">
        <v>18</v>
      </c>
      <c r="D831" s="6">
        <v>21216.0</v>
      </c>
      <c r="E831" s="6" t="s">
        <v>40</v>
      </c>
      <c r="F831" s="6" t="s">
        <v>54</v>
      </c>
      <c r="G831" s="6" t="s">
        <v>100</v>
      </c>
      <c r="H831" s="7">
        <v>3855.0</v>
      </c>
      <c r="I831" s="7">
        <v>1361.0</v>
      </c>
      <c r="J831" s="6">
        <v>1967.0</v>
      </c>
      <c r="K831" s="6">
        <v>115.0</v>
      </c>
      <c r="L831" s="6" t="s">
        <v>62</v>
      </c>
      <c r="M831" s="6" t="s">
        <v>3364</v>
      </c>
      <c r="N831" s="6" t="s">
        <v>48</v>
      </c>
      <c r="O831" s="6" t="s">
        <v>49</v>
      </c>
      <c r="P831" s="6">
        <f>COUNTIF(Analysis!$M$1:$M$3001,Analysis!$M831)</f>
        <v>1</v>
      </c>
      <c r="Q831" s="6" t="str">
        <f>IF(COUNTIF(Analysis!$M$2:$M$3001,Analysis!$M831)&gt;1,"Duplicate","OK")</f>
        <v>OK</v>
      </c>
      <c r="R831" s="6" t="str">
        <f t="shared" si="1"/>
        <v>3600+</v>
      </c>
      <c r="S831" s="6">
        <f t="shared" si="2"/>
        <v>59</v>
      </c>
      <c r="T831" s="6" t="str">
        <f t="shared" si="3"/>
        <v>Old</v>
      </c>
    </row>
    <row r="832" ht="14.25" customHeight="1">
      <c r="A832" s="5">
        <v>745190.0</v>
      </c>
      <c r="B832" s="6" t="s">
        <v>3367</v>
      </c>
      <c r="C832" s="6" t="s">
        <v>53</v>
      </c>
      <c r="D832" s="6">
        <v>95808.0</v>
      </c>
      <c r="E832" s="6" t="s">
        <v>40</v>
      </c>
      <c r="F832" s="6" t="s">
        <v>46</v>
      </c>
      <c r="G832" s="6" t="s">
        <v>100</v>
      </c>
      <c r="H832" s="7">
        <v>2572.0</v>
      </c>
      <c r="I832" s="7">
        <v>9938.0</v>
      </c>
      <c r="J832" s="6">
        <v>1959.0</v>
      </c>
      <c r="K832" s="6">
        <v>91.0</v>
      </c>
      <c r="L832" s="6" t="s">
        <v>32</v>
      </c>
      <c r="M832" s="6" t="s">
        <v>3368</v>
      </c>
      <c r="N832" s="6" t="s">
        <v>43</v>
      </c>
      <c r="O832" s="6" t="s">
        <v>35</v>
      </c>
      <c r="P832" s="6">
        <f>COUNTIF(Analysis!$M$1:$M$3001,Analysis!$M832)</f>
        <v>1</v>
      </c>
      <c r="Q832" s="6" t="str">
        <f>IF(COUNTIF(Analysis!$M$2:$M$3001,Analysis!$M832)&gt;1,"Duplicate","OK")</f>
        <v>OK</v>
      </c>
      <c r="R832" s="6" t="str">
        <f t="shared" si="1"/>
        <v>1600-2600</v>
      </c>
      <c r="S832" s="6">
        <f t="shared" si="2"/>
        <v>67</v>
      </c>
      <c r="T832" s="6" t="str">
        <f t="shared" si="3"/>
        <v>Very Old</v>
      </c>
    </row>
    <row r="833" ht="14.25" customHeight="1">
      <c r="A833" s="5">
        <v>507793.0</v>
      </c>
      <c r="B833" s="6" t="s">
        <v>104</v>
      </c>
      <c r="C833" s="6" t="s">
        <v>29</v>
      </c>
      <c r="D833" s="6">
        <v>29191.0</v>
      </c>
      <c r="E833" s="6" t="s">
        <v>19</v>
      </c>
      <c r="F833" s="6" t="s">
        <v>61</v>
      </c>
      <c r="G833" s="6" t="s">
        <v>100</v>
      </c>
      <c r="H833" s="7">
        <v>3480.0</v>
      </c>
      <c r="I833" s="7">
        <v>2022.0</v>
      </c>
      <c r="J833" s="6">
        <v>2007.0</v>
      </c>
      <c r="K833" s="6">
        <v>66.0</v>
      </c>
      <c r="L833" s="6" t="s">
        <v>62</v>
      </c>
      <c r="M833" s="6" t="s">
        <v>105</v>
      </c>
      <c r="N833" s="6" t="s">
        <v>34</v>
      </c>
      <c r="O833" s="6" t="s">
        <v>35</v>
      </c>
      <c r="P833" s="6">
        <f>COUNTIF(Analysis!$M$1:$M$3001,Analysis!$M16)</f>
        <v>1</v>
      </c>
      <c r="Q833" s="6" t="str">
        <f>IF(COUNTIF(Analysis!$M$2:$M$3001,Analysis!$M16)&gt;1,"Duplicate","OK")</f>
        <v>OK</v>
      </c>
      <c r="R833" s="6" t="str">
        <f t="shared" si="1"/>
        <v>2600-3600</v>
      </c>
      <c r="S833" s="6">
        <f t="shared" si="2"/>
        <v>19</v>
      </c>
      <c r="T833" s="6" t="str">
        <f t="shared" si="3"/>
        <v>Mid</v>
      </c>
    </row>
    <row r="834" ht="14.25" customHeight="1">
      <c r="A834" s="5">
        <v>1008831.0</v>
      </c>
      <c r="B834" s="6" t="s">
        <v>3375</v>
      </c>
      <c r="C834" s="6" t="s">
        <v>76</v>
      </c>
      <c r="D834" s="6">
        <v>81827.0</v>
      </c>
      <c r="E834" s="6" t="s">
        <v>40</v>
      </c>
      <c r="F834" s="6" t="s">
        <v>54</v>
      </c>
      <c r="G834" s="6" t="s">
        <v>31</v>
      </c>
      <c r="H834" s="7">
        <v>3975.0</v>
      </c>
      <c r="I834" s="7">
        <v>1119.0</v>
      </c>
      <c r="J834" s="6">
        <v>1963.0</v>
      </c>
      <c r="K834" s="6">
        <v>24.0</v>
      </c>
      <c r="L834" s="6" t="s">
        <v>95</v>
      </c>
      <c r="M834" s="6" t="s">
        <v>3376</v>
      </c>
      <c r="N834" s="6" t="s">
        <v>43</v>
      </c>
      <c r="O834" s="6" t="s">
        <v>25</v>
      </c>
      <c r="P834" s="6">
        <f>COUNTIF(Analysis!$M$1:$M$3001,Analysis!$M834)</f>
        <v>1</v>
      </c>
      <c r="Q834" s="6" t="str">
        <f>IF(COUNTIF(Analysis!$M$2:$M$3001,Analysis!$M834)&gt;1,"Duplicate","OK")</f>
        <v>OK</v>
      </c>
      <c r="R834" s="6" t="str">
        <f t="shared" si="1"/>
        <v>3600+</v>
      </c>
      <c r="S834" s="6">
        <f t="shared" si="2"/>
        <v>63</v>
      </c>
      <c r="T834" s="6" t="str">
        <f t="shared" si="3"/>
        <v>Very Old</v>
      </c>
    </row>
    <row r="835" ht="14.25" customHeight="1">
      <c r="A835" s="5">
        <v>227204.0</v>
      </c>
      <c r="B835" s="6" t="s">
        <v>3379</v>
      </c>
      <c r="C835" s="6" t="s">
        <v>18</v>
      </c>
      <c r="D835" s="6">
        <v>23226.0</v>
      </c>
      <c r="E835" s="6" t="s">
        <v>60</v>
      </c>
      <c r="F835" s="6" t="s">
        <v>20</v>
      </c>
      <c r="G835" s="6" t="s">
        <v>55</v>
      </c>
      <c r="H835" s="7">
        <v>1647.0</v>
      </c>
      <c r="I835" s="7">
        <v>9202.0</v>
      </c>
      <c r="J835" s="6">
        <v>1950.0</v>
      </c>
      <c r="K835" s="6">
        <v>34.0</v>
      </c>
      <c r="L835" s="6" t="s">
        <v>141</v>
      </c>
      <c r="M835" s="6" t="s">
        <v>3380</v>
      </c>
      <c r="N835" s="6" t="s">
        <v>48</v>
      </c>
      <c r="O835" s="6" t="s">
        <v>49</v>
      </c>
      <c r="P835" s="6">
        <f>COUNTIF(Analysis!$M$1:$M$3001,Analysis!$M835)</f>
        <v>1</v>
      </c>
      <c r="Q835" s="6" t="str">
        <f>IF(COUNTIF(Analysis!$M$2:$M$3001,Analysis!$M835)&gt;1,"Duplicate","OK")</f>
        <v>OK</v>
      </c>
      <c r="R835" s="6" t="str">
        <f t="shared" si="1"/>
        <v>1600-2600</v>
      </c>
      <c r="S835" s="6">
        <f t="shared" si="2"/>
        <v>76</v>
      </c>
      <c r="T835" s="6" t="str">
        <f t="shared" si="3"/>
        <v>Very Old</v>
      </c>
    </row>
    <row r="836" ht="14.25" customHeight="1">
      <c r="A836" s="5">
        <v>745289.0</v>
      </c>
      <c r="B836" s="6" t="s">
        <v>3383</v>
      </c>
      <c r="C836" s="6" t="s">
        <v>18</v>
      </c>
      <c r="D836" s="6">
        <v>23788.0</v>
      </c>
      <c r="E836" s="6" t="s">
        <v>19</v>
      </c>
      <c r="F836" s="6" t="s">
        <v>94</v>
      </c>
      <c r="G836" s="6" t="s">
        <v>55</v>
      </c>
      <c r="H836" s="7">
        <v>1050.0</v>
      </c>
      <c r="I836" s="7">
        <v>3723.0</v>
      </c>
      <c r="J836" s="6">
        <v>1975.0</v>
      </c>
      <c r="K836" s="6">
        <v>64.0</v>
      </c>
      <c r="L836" s="6" t="s">
        <v>22</v>
      </c>
      <c r="M836" s="6" t="s">
        <v>3384</v>
      </c>
      <c r="N836" s="6" t="s">
        <v>48</v>
      </c>
      <c r="O836" s="6" t="s">
        <v>49</v>
      </c>
      <c r="P836" s="6">
        <f>COUNTIF(Analysis!$M$1:$M$3001,Analysis!$M836)</f>
        <v>2</v>
      </c>
      <c r="Q836" s="6" t="str">
        <f>IF(COUNTIF(Analysis!$M$2:$M$3001,Analysis!$M836)&gt;1,"Duplicate","OK")</f>
        <v>Duplicate</v>
      </c>
      <c r="R836" s="6" t="str">
        <f t="shared" si="1"/>
        <v>600-1600</v>
      </c>
      <c r="S836" s="6">
        <f t="shared" si="2"/>
        <v>51</v>
      </c>
      <c r="T836" s="6" t="str">
        <f t="shared" si="3"/>
        <v>Old</v>
      </c>
    </row>
    <row r="837" ht="14.25" customHeight="1">
      <c r="A837" s="5">
        <v>1483987.0</v>
      </c>
      <c r="B837" s="6" t="s">
        <v>3387</v>
      </c>
      <c r="C837" s="6" t="s">
        <v>76</v>
      </c>
      <c r="D837" s="6">
        <v>98527.0</v>
      </c>
      <c r="E837" s="6" t="s">
        <v>77</v>
      </c>
      <c r="F837" s="6" t="s">
        <v>46</v>
      </c>
      <c r="G837" s="6" t="s">
        <v>21</v>
      </c>
      <c r="H837" s="7">
        <v>1186.0</v>
      </c>
      <c r="I837" s="7">
        <v>7670.0</v>
      </c>
      <c r="J837" s="6">
        <v>1990.0</v>
      </c>
      <c r="K837" s="6">
        <v>16.0</v>
      </c>
      <c r="L837" s="6" t="s">
        <v>141</v>
      </c>
      <c r="M837" s="6" t="s">
        <v>3388</v>
      </c>
      <c r="N837" s="6" t="s">
        <v>48</v>
      </c>
      <c r="O837" s="6" t="s">
        <v>35</v>
      </c>
      <c r="P837" s="6">
        <f>COUNTIF(Analysis!$M$1:$M$3001,Analysis!$M837)</f>
        <v>1</v>
      </c>
      <c r="Q837" s="6" t="str">
        <f>IF(COUNTIF(Analysis!$M$2:$M$3001,Analysis!$M837)&gt;1,"Duplicate","OK")</f>
        <v>OK</v>
      </c>
      <c r="R837" s="6" t="str">
        <f t="shared" si="1"/>
        <v>600-1600</v>
      </c>
      <c r="S837" s="6">
        <f t="shared" si="2"/>
        <v>36</v>
      </c>
      <c r="T837" s="6" t="str">
        <f t="shared" si="3"/>
        <v>Old</v>
      </c>
    </row>
    <row r="838" ht="14.25" customHeight="1">
      <c r="A838" s="5">
        <v>128853.0</v>
      </c>
      <c r="B838" s="6" t="s">
        <v>3391</v>
      </c>
      <c r="C838" s="6" t="s">
        <v>53</v>
      </c>
      <c r="D838" s="6">
        <v>85529.0</v>
      </c>
      <c r="E838" s="6" t="s">
        <v>30</v>
      </c>
      <c r="F838" s="6" t="s">
        <v>41</v>
      </c>
      <c r="G838" s="6" t="s">
        <v>55</v>
      </c>
      <c r="H838" s="7">
        <v>725.0</v>
      </c>
      <c r="I838" s="7">
        <v>9263.0</v>
      </c>
      <c r="J838" s="6">
        <v>1957.0</v>
      </c>
      <c r="K838" s="6">
        <v>1.0</v>
      </c>
      <c r="L838" s="6" t="s">
        <v>95</v>
      </c>
      <c r="M838" s="6" t="s">
        <v>3392</v>
      </c>
      <c r="N838" s="6" t="s">
        <v>64</v>
      </c>
      <c r="O838" s="6" t="s">
        <v>25</v>
      </c>
      <c r="P838" s="6">
        <f>COUNTIF(Analysis!$M$1:$M$3001,Analysis!$M838)</f>
        <v>1</v>
      </c>
      <c r="Q838" s="6" t="str">
        <f>IF(COUNTIF(Analysis!$M$2:$M$3001,Analysis!$M838)&gt;1,"Duplicate","OK")</f>
        <v>OK</v>
      </c>
      <c r="R838" s="6" t="str">
        <f t="shared" si="1"/>
        <v>600-1600</v>
      </c>
      <c r="S838" s="6">
        <f t="shared" si="2"/>
        <v>69</v>
      </c>
      <c r="T838" s="6" t="str">
        <f t="shared" si="3"/>
        <v>Very Old</v>
      </c>
    </row>
    <row r="839" ht="14.25" customHeight="1">
      <c r="A839" s="5">
        <v>509205.0</v>
      </c>
      <c r="B839" s="6" t="s">
        <v>6657</v>
      </c>
      <c r="C839" s="6" t="s">
        <v>29</v>
      </c>
      <c r="D839" s="6">
        <v>94640.0</v>
      </c>
      <c r="E839" s="6" t="s">
        <v>40</v>
      </c>
      <c r="F839" s="6" t="s">
        <v>94</v>
      </c>
      <c r="G839" s="6" t="s">
        <v>55</v>
      </c>
      <c r="H839" s="7">
        <v>892.0</v>
      </c>
      <c r="I839" s="7">
        <v>8183.0</v>
      </c>
      <c r="J839" s="6">
        <v>1966.0</v>
      </c>
      <c r="K839" s="6">
        <v>68.0</v>
      </c>
      <c r="L839" s="6" t="s">
        <v>32</v>
      </c>
      <c r="M839" s="6" t="s">
        <v>6658</v>
      </c>
      <c r="N839" s="6" t="s">
        <v>34</v>
      </c>
      <c r="O839" s="6" t="s">
        <v>49</v>
      </c>
      <c r="P839" s="6">
        <f>COUNTIF(Analysis!$M$1:$M$3001,Analysis!$M1655)</f>
        <v>1</v>
      </c>
      <c r="Q839" s="6" t="str">
        <f>IF(COUNTIF(Analysis!$M$2:$M$3001,Analysis!$M1655)&gt;1,"Duplicate","OK")</f>
        <v>OK</v>
      </c>
      <c r="R839" s="6" t="str">
        <f t="shared" si="1"/>
        <v>600-1600</v>
      </c>
      <c r="S839" s="6">
        <f t="shared" si="2"/>
        <v>60</v>
      </c>
      <c r="T839" s="6" t="str">
        <f t="shared" si="3"/>
        <v>Old</v>
      </c>
    </row>
    <row r="840" ht="14.25" customHeight="1">
      <c r="A840" s="5">
        <v>478498.0</v>
      </c>
      <c r="B840" s="6" t="s">
        <v>3399</v>
      </c>
      <c r="C840" s="6" t="s">
        <v>53</v>
      </c>
      <c r="D840" s="6">
        <v>97828.0</v>
      </c>
      <c r="E840" s="6" t="s">
        <v>40</v>
      </c>
      <c r="F840" s="6" t="s">
        <v>94</v>
      </c>
      <c r="G840" s="6" t="s">
        <v>100</v>
      </c>
      <c r="H840" s="7">
        <v>2606.0</v>
      </c>
      <c r="I840" s="7">
        <v>4920.0</v>
      </c>
      <c r="J840" s="6">
        <v>2021.0</v>
      </c>
      <c r="K840" s="6">
        <v>118.0</v>
      </c>
      <c r="L840" s="6" t="s">
        <v>22</v>
      </c>
      <c r="M840" s="6" t="s">
        <v>3400</v>
      </c>
      <c r="N840" s="6" t="s">
        <v>43</v>
      </c>
      <c r="O840" s="6" t="s">
        <v>25</v>
      </c>
      <c r="P840" s="6">
        <f>COUNTIF(Analysis!$M$1:$M$3001,Analysis!$M840)</f>
        <v>1</v>
      </c>
      <c r="Q840" s="6" t="str">
        <f>IF(COUNTIF(Analysis!$M$2:$M$3001,Analysis!$M840)&gt;1,"Duplicate","OK")</f>
        <v>OK</v>
      </c>
      <c r="R840" s="6" t="str">
        <f t="shared" si="1"/>
        <v>2600-3600</v>
      </c>
      <c r="S840" s="6">
        <f t="shared" si="2"/>
        <v>5</v>
      </c>
      <c r="T840" s="6" t="str">
        <f t="shared" si="3"/>
        <v>New</v>
      </c>
    </row>
    <row r="841" ht="14.25" customHeight="1">
      <c r="A841" s="5">
        <v>779579.0</v>
      </c>
      <c r="B841" s="6" t="s">
        <v>3403</v>
      </c>
      <c r="C841" s="6" t="s">
        <v>76</v>
      </c>
      <c r="D841" s="6">
        <v>67577.0</v>
      </c>
      <c r="E841" s="6" t="s">
        <v>19</v>
      </c>
      <c r="F841" s="6" t="s">
        <v>46</v>
      </c>
      <c r="G841" s="6" t="s">
        <v>21</v>
      </c>
      <c r="H841" s="7">
        <v>762.0</v>
      </c>
      <c r="I841" s="7">
        <v>3462.0</v>
      </c>
      <c r="J841" s="6">
        <v>1992.0</v>
      </c>
      <c r="K841" s="6">
        <v>115.0</v>
      </c>
      <c r="L841" s="6" t="s">
        <v>62</v>
      </c>
      <c r="M841" s="6" t="s">
        <v>3404</v>
      </c>
      <c r="N841" s="6" t="s">
        <v>43</v>
      </c>
      <c r="O841" s="6" t="s">
        <v>49</v>
      </c>
      <c r="P841" s="6">
        <f>COUNTIF(Analysis!$M$1:$M$3001,Analysis!$M841)</f>
        <v>1</v>
      </c>
      <c r="Q841" s="6" t="str">
        <f>IF(COUNTIF(Analysis!$M$2:$M$3001,Analysis!$M841)&gt;1,"Duplicate","OK")</f>
        <v>OK</v>
      </c>
      <c r="R841" s="6" t="str">
        <f t="shared" si="1"/>
        <v>600-1600</v>
      </c>
      <c r="S841" s="6">
        <f t="shared" si="2"/>
        <v>34</v>
      </c>
      <c r="T841" s="6" t="str">
        <f t="shared" si="3"/>
        <v>Old</v>
      </c>
    </row>
    <row r="842" ht="14.25" customHeight="1">
      <c r="A842" s="5">
        <v>459607.0</v>
      </c>
      <c r="B842" s="6" t="s">
        <v>3407</v>
      </c>
      <c r="C842" s="6" t="s">
        <v>53</v>
      </c>
      <c r="D842" s="6">
        <v>82462.0</v>
      </c>
      <c r="E842" s="6" t="s">
        <v>60</v>
      </c>
      <c r="F842" s="6" t="s">
        <v>61</v>
      </c>
      <c r="G842" s="6" t="s">
        <v>21</v>
      </c>
      <c r="H842" s="7">
        <v>2352.0</v>
      </c>
      <c r="I842" s="7">
        <v>8601.0</v>
      </c>
      <c r="J842" s="6">
        <v>1952.0</v>
      </c>
      <c r="K842" s="6">
        <v>30.0</v>
      </c>
      <c r="L842" s="6" t="s">
        <v>22</v>
      </c>
      <c r="M842" s="6" t="s">
        <v>3408</v>
      </c>
      <c r="N842" s="6" t="s">
        <v>48</v>
      </c>
      <c r="O842" s="6" t="s">
        <v>25</v>
      </c>
      <c r="P842" s="6">
        <f>COUNTIF(Analysis!$M$1:$M$3001,Analysis!$M842)</f>
        <v>1</v>
      </c>
      <c r="Q842" s="6" t="str">
        <f>IF(COUNTIF(Analysis!$M$2:$M$3001,Analysis!$M842)&gt;1,"Duplicate","OK")</f>
        <v>OK</v>
      </c>
      <c r="R842" s="6" t="str">
        <f t="shared" si="1"/>
        <v>1600-2600</v>
      </c>
      <c r="S842" s="6">
        <f t="shared" si="2"/>
        <v>74</v>
      </c>
      <c r="T842" s="6" t="str">
        <f t="shared" si="3"/>
        <v>Very Old</v>
      </c>
    </row>
    <row r="843" ht="14.25" customHeight="1">
      <c r="A843" s="5">
        <v>1325699.0</v>
      </c>
      <c r="B843" s="6" t="s">
        <v>3411</v>
      </c>
      <c r="C843" s="6" t="s">
        <v>53</v>
      </c>
      <c r="D843" s="6">
        <v>77037.0</v>
      </c>
      <c r="E843" s="6" t="s">
        <v>30</v>
      </c>
      <c r="F843" s="6" t="s">
        <v>61</v>
      </c>
      <c r="G843" s="6" t="s">
        <v>21</v>
      </c>
      <c r="H843" s="7">
        <v>2241.0</v>
      </c>
      <c r="I843" s="7">
        <v>8877.0</v>
      </c>
      <c r="J843" s="6">
        <v>1991.0</v>
      </c>
      <c r="K843" s="6">
        <v>118.0</v>
      </c>
      <c r="L843" s="6" t="s">
        <v>62</v>
      </c>
      <c r="M843" s="6" t="s">
        <v>3412</v>
      </c>
      <c r="N843" s="6" t="s">
        <v>48</v>
      </c>
      <c r="O843" s="6" t="s">
        <v>35</v>
      </c>
      <c r="P843" s="6">
        <f>COUNTIF(Analysis!$M$1:$M$3001,Analysis!$M843)</f>
        <v>1</v>
      </c>
      <c r="Q843" s="6" t="str">
        <f>IF(COUNTIF(Analysis!$M$2:$M$3001,Analysis!$M843)&gt;1,"Duplicate","OK")</f>
        <v>OK</v>
      </c>
      <c r="R843" s="6" t="str">
        <f t="shared" si="1"/>
        <v>1600-2600</v>
      </c>
      <c r="S843" s="6">
        <f t="shared" si="2"/>
        <v>35</v>
      </c>
      <c r="T843" s="6" t="str">
        <f t="shared" si="3"/>
        <v>Old</v>
      </c>
    </row>
    <row r="844" ht="14.25" customHeight="1">
      <c r="A844" s="5">
        <v>509660.0</v>
      </c>
      <c r="B844" s="6" t="s">
        <v>9727</v>
      </c>
      <c r="C844" s="6" t="s">
        <v>29</v>
      </c>
      <c r="D844" s="6">
        <v>65915.0</v>
      </c>
      <c r="E844" s="6" t="s">
        <v>77</v>
      </c>
      <c r="F844" s="6" t="s">
        <v>61</v>
      </c>
      <c r="G844" s="6" t="s">
        <v>55</v>
      </c>
      <c r="H844" s="7">
        <v>1663.0</v>
      </c>
      <c r="I844" s="7">
        <v>1517.0</v>
      </c>
      <c r="J844" s="6">
        <v>2009.0</v>
      </c>
      <c r="K844" s="6">
        <v>94.0</v>
      </c>
      <c r="L844" s="6" t="s">
        <v>95</v>
      </c>
      <c r="M844" s="6" t="s">
        <v>9728</v>
      </c>
      <c r="N844" s="6" t="s">
        <v>48</v>
      </c>
      <c r="O844" s="6" t="s">
        <v>25</v>
      </c>
      <c r="P844" s="6">
        <f>COUNTIF(Analysis!$M$1:$M$3001,Analysis!$M2423)</f>
        <v>1</v>
      </c>
      <c r="Q844" s="6" t="str">
        <f>IF(COUNTIF(Analysis!$M$2:$M$3001,Analysis!$M2423)&gt;1,"Duplicate","OK")</f>
        <v>OK</v>
      </c>
      <c r="R844" s="6" t="str">
        <f t="shared" si="1"/>
        <v>1600-2600</v>
      </c>
      <c r="S844" s="6">
        <f t="shared" si="2"/>
        <v>17</v>
      </c>
      <c r="T844" s="6" t="str">
        <f t="shared" si="3"/>
        <v>Mid</v>
      </c>
    </row>
    <row r="845" ht="14.25" customHeight="1">
      <c r="A845" s="5">
        <v>1017616.0</v>
      </c>
      <c r="B845" s="6" t="s">
        <v>3419</v>
      </c>
      <c r="C845" s="6" t="s">
        <v>39</v>
      </c>
      <c r="D845" s="6">
        <v>85987.0</v>
      </c>
      <c r="E845" s="6" t="s">
        <v>77</v>
      </c>
      <c r="F845" s="6" t="s">
        <v>46</v>
      </c>
      <c r="G845" s="6" t="s">
        <v>55</v>
      </c>
      <c r="H845" s="7">
        <v>1619.0</v>
      </c>
      <c r="I845" s="7">
        <v>6627.0</v>
      </c>
      <c r="J845" s="6">
        <v>1990.0</v>
      </c>
      <c r="K845" s="6">
        <v>2.0</v>
      </c>
      <c r="L845" s="6" t="s">
        <v>32</v>
      </c>
      <c r="M845" s="6" t="s">
        <v>3420</v>
      </c>
      <c r="N845" s="6" t="s">
        <v>48</v>
      </c>
      <c r="O845" s="6" t="s">
        <v>49</v>
      </c>
      <c r="P845" s="6">
        <f>COUNTIF(Analysis!$M$1:$M$3001,Analysis!$M845)</f>
        <v>1</v>
      </c>
      <c r="Q845" s="6" t="str">
        <f>IF(COUNTIF(Analysis!$M$2:$M$3001,Analysis!$M845)&gt;1,"Duplicate","OK")</f>
        <v>OK</v>
      </c>
      <c r="R845" s="6" t="str">
        <f t="shared" si="1"/>
        <v>1600-2600</v>
      </c>
      <c r="S845" s="6">
        <f t="shared" si="2"/>
        <v>36</v>
      </c>
      <c r="T845" s="6" t="str">
        <f t="shared" si="3"/>
        <v>Old</v>
      </c>
    </row>
    <row r="846" ht="14.25" customHeight="1">
      <c r="A846" s="5">
        <v>905273.0</v>
      </c>
      <c r="B846" s="6" t="s">
        <v>3423</v>
      </c>
      <c r="C846" s="6" t="s">
        <v>76</v>
      </c>
      <c r="D846" s="6">
        <v>77179.0</v>
      </c>
      <c r="E846" s="6" t="s">
        <v>19</v>
      </c>
      <c r="F846" s="6" t="s">
        <v>20</v>
      </c>
      <c r="G846" s="6" t="s">
        <v>21</v>
      </c>
      <c r="H846" s="7">
        <v>2704.0</v>
      </c>
      <c r="I846" s="7">
        <v>7502.0</v>
      </c>
      <c r="J846" s="6">
        <v>2022.0</v>
      </c>
      <c r="K846" s="6">
        <v>28.0</v>
      </c>
      <c r="L846" s="6" t="s">
        <v>95</v>
      </c>
      <c r="M846" s="6" t="s">
        <v>3424</v>
      </c>
      <c r="N846" s="6" t="s">
        <v>24</v>
      </c>
      <c r="O846" s="6" t="s">
        <v>25</v>
      </c>
      <c r="P846" s="6">
        <f>COUNTIF(Analysis!$M$1:$M$3001,Analysis!$M846)</f>
        <v>1</v>
      </c>
      <c r="Q846" s="6" t="str">
        <f>IF(COUNTIF(Analysis!$M$2:$M$3001,Analysis!$M846)&gt;1,"Duplicate","OK")</f>
        <v>OK</v>
      </c>
      <c r="R846" s="6" t="str">
        <f t="shared" si="1"/>
        <v>2600-3600</v>
      </c>
      <c r="S846" s="6">
        <f t="shared" si="2"/>
        <v>4</v>
      </c>
      <c r="T846" s="6" t="str">
        <f t="shared" si="3"/>
        <v>New</v>
      </c>
    </row>
    <row r="847" ht="14.25" customHeight="1">
      <c r="A847" s="5">
        <v>929598.0</v>
      </c>
      <c r="B847" s="6" t="s">
        <v>3427</v>
      </c>
      <c r="C847" s="6" t="s">
        <v>39</v>
      </c>
      <c r="D847" s="6">
        <v>54113.0</v>
      </c>
      <c r="E847" s="6" t="s">
        <v>30</v>
      </c>
      <c r="F847" s="6" t="s">
        <v>20</v>
      </c>
      <c r="G847" s="6" t="s">
        <v>100</v>
      </c>
      <c r="H847" s="7">
        <v>3446.0</v>
      </c>
      <c r="I847" s="7">
        <v>3758.0</v>
      </c>
      <c r="J847" s="6">
        <v>1963.0</v>
      </c>
      <c r="K847" s="6">
        <v>96.0</v>
      </c>
      <c r="L847" s="6" t="s">
        <v>32</v>
      </c>
      <c r="M847" s="6" t="s">
        <v>3428</v>
      </c>
      <c r="N847" s="6" t="s">
        <v>43</v>
      </c>
      <c r="O847" s="6" t="s">
        <v>25</v>
      </c>
      <c r="P847" s="6">
        <f>COUNTIF(Analysis!$M$1:$M$3001,Analysis!$M847)</f>
        <v>1</v>
      </c>
      <c r="Q847" s="6" t="str">
        <f>IF(COUNTIF(Analysis!$M$2:$M$3001,Analysis!$M847)&gt;1,"Duplicate","OK")</f>
        <v>OK</v>
      </c>
      <c r="R847" s="6" t="str">
        <f t="shared" si="1"/>
        <v>2600-3600</v>
      </c>
      <c r="S847" s="6">
        <f t="shared" si="2"/>
        <v>63</v>
      </c>
      <c r="T847" s="6" t="str">
        <f t="shared" si="3"/>
        <v>Very Old</v>
      </c>
    </row>
    <row r="848" ht="14.25" customHeight="1">
      <c r="A848" s="5">
        <v>512474.0</v>
      </c>
      <c r="B848" s="6" t="s">
        <v>7597</v>
      </c>
      <c r="C848" s="6" t="s">
        <v>29</v>
      </c>
      <c r="D848" s="6">
        <v>58601.0</v>
      </c>
      <c r="E848" s="6" t="s">
        <v>40</v>
      </c>
      <c r="F848" s="6" t="s">
        <v>61</v>
      </c>
      <c r="G848" s="6" t="s">
        <v>21</v>
      </c>
      <c r="H848" s="7">
        <v>1228.0</v>
      </c>
      <c r="I848" s="7">
        <v>1347.0</v>
      </c>
      <c r="J848" s="6">
        <v>2004.0</v>
      </c>
      <c r="K848" s="6">
        <v>69.0</v>
      </c>
      <c r="L848" s="6" t="s">
        <v>141</v>
      </c>
      <c r="M848" s="6" t="s">
        <v>7598</v>
      </c>
      <c r="N848" s="6" t="s">
        <v>24</v>
      </c>
      <c r="O848" s="6" t="s">
        <v>35</v>
      </c>
      <c r="P848" s="6">
        <f>COUNTIF(Analysis!$M$1:$M$3001,Analysis!$M1890)</f>
        <v>1</v>
      </c>
      <c r="Q848" s="6" t="str">
        <f>IF(COUNTIF(Analysis!$M$2:$M$3001,Analysis!$M1890)&gt;1,"Duplicate","OK")</f>
        <v>OK</v>
      </c>
      <c r="R848" s="6" t="str">
        <f t="shared" si="1"/>
        <v>600-1600</v>
      </c>
      <c r="S848" s="6">
        <f t="shared" si="2"/>
        <v>22</v>
      </c>
      <c r="T848" s="6" t="str">
        <f t="shared" si="3"/>
        <v>Mid</v>
      </c>
    </row>
    <row r="849" ht="14.25" customHeight="1">
      <c r="A849" s="5">
        <v>1246523.0</v>
      </c>
      <c r="B849" s="6" t="s">
        <v>3435</v>
      </c>
      <c r="C849" s="6" t="s">
        <v>76</v>
      </c>
      <c r="D849" s="6">
        <v>23613.0</v>
      </c>
      <c r="E849" s="6" t="s">
        <v>30</v>
      </c>
      <c r="F849" s="6" t="s">
        <v>94</v>
      </c>
      <c r="G849" s="6" t="s">
        <v>100</v>
      </c>
      <c r="H849" s="7">
        <v>2585.0</v>
      </c>
      <c r="I849" s="7">
        <v>9925.0</v>
      </c>
      <c r="J849" s="6">
        <v>1972.0</v>
      </c>
      <c r="K849" s="6">
        <v>62.0</v>
      </c>
      <c r="L849" s="6" t="s">
        <v>62</v>
      </c>
      <c r="M849" s="6" t="s">
        <v>3436</v>
      </c>
      <c r="N849" s="6" t="s">
        <v>34</v>
      </c>
      <c r="O849" s="6" t="s">
        <v>25</v>
      </c>
      <c r="P849" s="6">
        <f>COUNTIF(Analysis!$M$1:$M$3001,Analysis!$M849)</f>
        <v>1</v>
      </c>
      <c r="Q849" s="6" t="str">
        <f>IF(COUNTIF(Analysis!$M$2:$M$3001,Analysis!$M849)&gt;1,"Duplicate","OK")</f>
        <v>OK</v>
      </c>
      <c r="R849" s="6" t="str">
        <f t="shared" si="1"/>
        <v>1600-2600</v>
      </c>
      <c r="S849" s="6">
        <f t="shared" si="2"/>
        <v>54</v>
      </c>
      <c r="T849" s="6" t="str">
        <f t="shared" si="3"/>
        <v>Old</v>
      </c>
    </row>
    <row r="850" ht="14.25" customHeight="1">
      <c r="A850" s="5">
        <v>779712.0</v>
      </c>
      <c r="B850" s="6" t="s">
        <v>3439</v>
      </c>
      <c r="C850" s="6" t="s">
        <v>18</v>
      </c>
      <c r="D850" s="6">
        <v>42387.0</v>
      </c>
      <c r="E850" s="6" t="s">
        <v>77</v>
      </c>
      <c r="F850" s="6" t="s">
        <v>61</v>
      </c>
      <c r="G850" s="6" t="s">
        <v>100</v>
      </c>
      <c r="H850" s="7">
        <v>3051.0</v>
      </c>
      <c r="I850" s="7">
        <v>6115.0</v>
      </c>
      <c r="J850" s="6">
        <v>2017.0</v>
      </c>
      <c r="K850" s="6">
        <v>17.0</v>
      </c>
      <c r="L850" s="6" t="s">
        <v>141</v>
      </c>
      <c r="M850" s="6" t="s">
        <v>3440</v>
      </c>
      <c r="N850" s="6" t="s">
        <v>24</v>
      </c>
      <c r="O850" s="6" t="s">
        <v>35</v>
      </c>
      <c r="P850" s="6">
        <f>COUNTIF(Analysis!$M$1:$M$3001,Analysis!$M850)</f>
        <v>1</v>
      </c>
      <c r="Q850" s="6" t="str">
        <f>IF(COUNTIF(Analysis!$M$2:$M$3001,Analysis!$M850)&gt;1,"Duplicate","OK")</f>
        <v>OK</v>
      </c>
      <c r="R850" s="6" t="str">
        <f t="shared" si="1"/>
        <v>2600-3600</v>
      </c>
      <c r="S850" s="6">
        <f t="shared" si="2"/>
        <v>9</v>
      </c>
      <c r="T850" s="6" t="str">
        <f t="shared" si="3"/>
        <v>New</v>
      </c>
    </row>
    <row r="851" ht="14.25" customHeight="1">
      <c r="A851" s="5">
        <v>113372.0</v>
      </c>
      <c r="B851" s="6" t="s">
        <v>3443</v>
      </c>
      <c r="C851" s="6" t="s">
        <v>76</v>
      </c>
      <c r="D851" s="6">
        <v>57518.0</v>
      </c>
      <c r="E851" s="6" t="s">
        <v>60</v>
      </c>
      <c r="F851" s="6" t="s">
        <v>54</v>
      </c>
      <c r="G851" s="6" t="s">
        <v>31</v>
      </c>
      <c r="H851" s="7">
        <v>3084.0</v>
      </c>
      <c r="I851" s="7">
        <v>2899.0</v>
      </c>
      <c r="J851" s="6">
        <v>1955.0</v>
      </c>
      <c r="K851" s="6">
        <v>29.0</v>
      </c>
      <c r="L851" s="6" t="s">
        <v>32</v>
      </c>
      <c r="M851" s="6" t="s">
        <v>3444</v>
      </c>
      <c r="N851" s="6" t="s">
        <v>64</v>
      </c>
      <c r="O851" s="6" t="s">
        <v>25</v>
      </c>
      <c r="P851" s="6">
        <f>COUNTIF(Analysis!$M$1:$M$3001,Analysis!$M851)</f>
        <v>1</v>
      </c>
      <c r="Q851" s="6" t="str">
        <f>IF(COUNTIF(Analysis!$M$2:$M$3001,Analysis!$M851)&gt;1,"Duplicate","OK")</f>
        <v>OK</v>
      </c>
      <c r="R851" s="6" t="str">
        <f t="shared" si="1"/>
        <v>2600-3600</v>
      </c>
      <c r="S851" s="6">
        <f t="shared" si="2"/>
        <v>71</v>
      </c>
      <c r="T851" s="6" t="str">
        <f t="shared" si="3"/>
        <v>Very Old</v>
      </c>
    </row>
    <row r="852" ht="14.25" customHeight="1">
      <c r="A852" s="5">
        <v>513312.0</v>
      </c>
      <c r="B852" s="6" t="s">
        <v>9703</v>
      </c>
      <c r="C852" s="6" t="s">
        <v>29</v>
      </c>
      <c r="D852" s="6">
        <v>48796.0</v>
      </c>
      <c r="E852" s="6" t="s">
        <v>60</v>
      </c>
      <c r="F852" s="6" t="s">
        <v>20</v>
      </c>
      <c r="G852" s="6" t="s">
        <v>21</v>
      </c>
      <c r="H852" s="7">
        <v>1689.0</v>
      </c>
      <c r="I852" s="7">
        <v>8669.0</v>
      </c>
      <c r="J852" s="6">
        <v>1974.0</v>
      </c>
      <c r="K852" s="6">
        <v>65.0</v>
      </c>
      <c r="L852" s="6" t="s">
        <v>22</v>
      </c>
      <c r="M852" s="6" t="s">
        <v>9704</v>
      </c>
      <c r="N852" s="6" t="s">
        <v>34</v>
      </c>
      <c r="O852" s="6" t="s">
        <v>49</v>
      </c>
      <c r="P852" s="6">
        <f>COUNTIF(Analysis!$M$1:$M$3001,Analysis!$M2417)</f>
        <v>1</v>
      </c>
      <c r="Q852" s="6" t="str">
        <f>IF(COUNTIF(Analysis!$M$2:$M$3001,Analysis!$M2417)&gt;1,"Duplicate","OK")</f>
        <v>OK</v>
      </c>
      <c r="R852" s="6" t="str">
        <f t="shared" si="1"/>
        <v>1600-2600</v>
      </c>
      <c r="S852" s="6">
        <f t="shared" si="2"/>
        <v>52</v>
      </c>
      <c r="T852" s="6" t="str">
        <f t="shared" si="3"/>
        <v>Old</v>
      </c>
    </row>
    <row r="853" ht="14.25" customHeight="1">
      <c r="A853" s="5">
        <v>803646.0</v>
      </c>
      <c r="B853" s="6" t="s">
        <v>3451</v>
      </c>
      <c r="C853" s="6" t="s">
        <v>53</v>
      </c>
      <c r="D853" s="6">
        <v>79826.0</v>
      </c>
      <c r="E853" s="6" t="s">
        <v>77</v>
      </c>
      <c r="F853" s="6" t="s">
        <v>54</v>
      </c>
      <c r="G853" s="6" t="s">
        <v>100</v>
      </c>
      <c r="H853" s="7">
        <v>2623.0</v>
      </c>
      <c r="I853" s="7">
        <v>8836.0</v>
      </c>
      <c r="J853" s="6">
        <v>1961.0</v>
      </c>
      <c r="K853" s="6">
        <v>106.0</v>
      </c>
      <c r="L853" s="6" t="s">
        <v>141</v>
      </c>
      <c r="M853" s="6" t="s">
        <v>3452</v>
      </c>
      <c r="N853" s="6" t="s">
        <v>64</v>
      </c>
      <c r="O853" s="6" t="s">
        <v>49</v>
      </c>
      <c r="P853" s="6">
        <f>COUNTIF(Analysis!$M$1:$M$3001,Analysis!$M853)</f>
        <v>1</v>
      </c>
      <c r="Q853" s="6" t="str">
        <f>IF(COUNTIF(Analysis!$M$2:$M$3001,Analysis!$M853)&gt;1,"Duplicate","OK")</f>
        <v>OK</v>
      </c>
      <c r="R853" s="6" t="str">
        <f t="shared" si="1"/>
        <v>2600-3600</v>
      </c>
      <c r="S853" s="6">
        <f t="shared" si="2"/>
        <v>65</v>
      </c>
      <c r="T853" s="6" t="str">
        <f t="shared" si="3"/>
        <v>Very Old</v>
      </c>
    </row>
    <row r="854" ht="14.25" customHeight="1">
      <c r="A854" s="5">
        <v>299347.0</v>
      </c>
      <c r="B854" s="6" t="s">
        <v>3455</v>
      </c>
      <c r="C854" s="6" t="s">
        <v>39</v>
      </c>
      <c r="D854" s="6">
        <v>64861.0</v>
      </c>
      <c r="E854" s="6" t="s">
        <v>60</v>
      </c>
      <c r="F854" s="6" t="s">
        <v>41</v>
      </c>
      <c r="G854" s="6" t="s">
        <v>21</v>
      </c>
      <c r="H854" s="7">
        <v>2211.0</v>
      </c>
      <c r="I854" s="7">
        <v>3656.0</v>
      </c>
      <c r="J854" s="6">
        <v>2022.0</v>
      </c>
      <c r="K854" s="6">
        <v>119.0</v>
      </c>
      <c r="L854" s="6" t="s">
        <v>141</v>
      </c>
      <c r="M854" s="6" t="s">
        <v>3456</v>
      </c>
      <c r="N854" s="6" t="s">
        <v>43</v>
      </c>
      <c r="O854" s="6" t="s">
        <v>49</v>
      </c>
      <c r="P854" s="6">
        <f>COUNTIF(Analysis!$M$1:$M$3001,Analysis!$M854)</f>
        <v>1</v>
      </c>
      <c r="Q854" s="6" t="str">
        <f>IF(COUNTIF(Analysis!$M$2:$M$3001,Analysis!$M854)&gt;1,"Duplicate","OK")</f>
        <v>OK</v>
      </c>
      <c r="R854" s="6" t="str">
        <f t="shared" si="1"/>
        <v>1600-2600</v>
      </c>
      <c r="S854" s="6">
        <f t="shared" si="2"/>
        <v>4</v>
      </c>
      <c r="T854" s="6" t="str">
        <f t="shared" si="3"/>
        <v>New</v>
      </c>
    </row>
    <row r="855" ht="14.25" customHeight="1">
      <c r="A855" s="5">
        <v>751719.0</v>
      </c>
      <c r="B855" s="6" t="s">
        <v>3459</v>
      </c>
      <c r="C855" s="6" t="s">
        <v>76</v>
      </c>
      <c r="D855" s="6">
        <v>87473.0</v>
      </c>
      <c r="E855" s="6" t="s">
        <v>30</v>
      </c>
      <c r="F855" s="6" t="s">
        <v>41</v>
      </c>
      <c r="G855" s="6" t="s">
        <v>21</v>
      </c>
      <c r="H855" s="7">
        <v>760.0</v>
      </c>
      <c r="I855" s="7">
        <v>1199.0</v>
      </c>
      <c r="J855" s="6">
        <v>1987.0</v>
      </c>
      <c r="K855" s="6">
        <v>40.0</v>
      </c>
      <c r="L855" s="6" t="s">
        <v>32</v>
      </c>
      <c r="M855" s="6" t="s">
        <v>3460</v>
      </c>
      <c r="N855" s="6" t="s">
        <v>43</v>
      </c>
      <c r="O855" s="6" t="s">
        <v>49</v>
      </c>
      <c r="P855" s="6">
        <f>COUNTIF(Analysis!$M$1:$M$3001,Analysis!$M855)</f>
        <v>1</v>
      </c>
      <c r="Q855" s="6" t="str">
        <f>IF(COUNTIF(Analysis!$M$2:$M$3001,Analysis!$M855)&gt;1,"Duplicate","OK")</f>
        <v>OK</v>
      </c>
      <c r="R855" s="6" t="str">
        <f t="shared" si="1"/>
        <v>600-1600</v>
      </c>
      <c r="S855" s="6">
        <f t="shared" si="2"/>
        <v>39</v>
      </c>
      <c r="T855" s="6" t="str">
        <f t="shared" si="3"/>
        <v>Old</v>
      </c>
    </row>
    <row r="856" ht="14.25" customHeight="1">
      <c r="A856" s="5">
        <v>517860.0</v>
      </c>
      <c r="B856" s="6" t="s">
        <v>8165</v>
      </c>
      <c r="C856" s="6" t="s">
        <v>29</v>
      </c>
      <c r="D856" s="6">
        <v>21350.0</v>
      </c>
      <c r="E856" s="6" t="s">
        <v>40</v>
      </c>
      <c r="F856" s="6" t="s">
        <v>61</v>
      </c>
      <c r="G856" s="6" t="s">
        <v>31</v>
      </c>
      <c r="H856" s="7">
        <v>1768.0</v>
      </c>
      <c r="I856" s="7">
        <v>4280.0</v>
      </c>
      <c r="J856" s="6">
        <v>1997.0</v>
      </c>
      <c r="K856" s="6">
        <v>111.0</v>
      </c>
      <c r="L856" s="6" t="s">
        <v>95</v>
      </c>
      <c r="M856" s="6" t="s">
        <v>8166</v>
      </c>
      <c r="N856" s="6" t="s">
        <v>34</v>
      </c>
      <c r="O856" s="6" t="s">
        <v>49</v>
      </c>
      <c r="P856" s="6">
        <f>COUNTIF(Analysis!$M$1:$M$3001,Analysis!$M2032)</f>
        <v>1</v>
      </c>
      <c r="Q856" s="6" t="str">
        <f>IF(COUNTIF(Analysis!$M$2:$M$3001,Analysis!$M2032)&gt;1,"Duplicate","OK")</f>
        <v>OK</v>
      </c>
      <c r="R856" s="6" t="str">
        <f t="shared" si="1"/>
        <v>1600-2600</v>
      </c>
      <c r="S856" s="6">
        <f t="shared" si="2"/>
        <v>29</v>
      </c>
      <c r="T856" s="6" t="str">
        <f t="shared" si="3"/>
        <v>Mid</v>
      </c>
    </row>
    <row r="857" ht="14.25" customHeight="1">
      <c r="A857" s="5">
        <v>442260.0</v>
      </c>
      <c r="B857" s="6" t="s">
        <v>3467</v>
      </c>
      <c r="C857" s="6" t="s">
        <v>53</v>
      </c>
      <c r="D857" s="6">
        <v>70928.0</v>
      </c>
      <c r="E857" s="6" t="s">
        <v>40</v>
      </c>
      <c r="F857" s="6" t="s">
        <v>20</v>
      </c>
      <c r="G857" s="6" t="s">
        <v>55</v>
      </c>
      <c r="H857" s="7">
        <v>1761.0</v>
      </c>
      <c r="I857" s="7">
        <v>9362.0</v>
      </c>
      <c r="J857" s="6">
        <v>1976.0</v>
      </c>
      <c r="K857" s="6">
        <v>74.0</v>
      </c>
      <c r="L857" s="6" t="s">
        <v>22</v>
      </c>
      <c r="M857" s="6" t="s">
        <v>3468</v>
      </c>
      <c r="N857" s="6" t="s">
        <v>64</v>
      </c>
      <c r="O857" s="6" t="s">
        <v>25</v>
      </c>
      <c r="P857" s="6">
        <f>COUNTIF(Analysis!$M$1:$M$3001,Analysis!$M857)</f>
        <v>1</v>
      </c>
      <c r="Q857" s="6" t="str">
        <f>IF(COUNTIF(Analysis!$M$2:$M$3001,Analysis!$M857)&gt;1,"Duplicate","OK")</f>
        <v>OK</v>
      </c>
      <c r="R857" s="6" t="str">
        <f t="shared" si="1"/>
        <v>1600-2600</v>
      </c>
      <c r="S857" s="6">
        <f t="shared" si="2"/>
        <v>50</v>
      </c>
      <c r="T857" s="6" t="str">
        <f t="shared" si="3"/>
        <v>Old</v>
      </c>
    </row>
    <row r="858" ht="14.25" customHeight="1">
      <c r="A858" s="5">
        <v>467871.0</v>
      </c>
      <c r="B858" s="6" t="s">
        <v>3471</v>
      </c>
      <c r="C858" s="6" t="s">
        <v>39</v>
      </c>
      <c r="D858" s="6">
        <v>15604.0</v>
      </c>
      <c r="E858" s="6" t="s">
        <v>77</v>
      </c>
      <c r="F858" s="6" t="s">
        <v>54</v>
      </c>
      <c r="G858" s="6" t="s">
        <v>100</v>
      </c>
      <c r="H858" s="7">
        <v>3114.0</v>
      </c>
      <c r="I858" s="7">
        <v>9717.0</v>
      </c>
      <c r="J858" s="6">
        <v>1961.0</v>
      </c>
      <c r="K858" s="6">
        <v>77.0</v>
      </c>
      <c r="L858" s="6" t="s">
        <v>32</v>
      </c>
      <c r="M858" s="6" t="s">
        <v>3472</v>
      </c>
      <c r="N858" s="6" t="s">
        <v>64</v>
      </c>
      <c r="O858" s="6" t="s">
        <v>35</v>
      </c>
      <c r="P858" s="6">
        <f>COUNTIF(Analysis!$M$1:$M$3001,Analysis!$M858)</f>
        <v>1</v>
      </c>
      <c r="Q858" s="6" t="str">
        <f>IF(COUNTIF(Analysis!$M$2:$M$3001,Analysis!$M858)&gt;1,"Duplicate","OK")</f>
        <v>OK</v>
      </c>
      <c r="R858" s="6" t="str">
        <f t="shared" si="1"/>
        <v>2600-3600</v>
      </c>
      <c r="S858" s="6">
        <f t="shared" si="2"/>
        <v>65</v>
      </c>
      <c r="T858" s="6" t="str">
        <f t="shared" si="3"/>
        <v>Very Old</v>
      </c>
    </row>
    <row r="859" ht="14.25" customHeight="1">
      <c r="A859" s="5">
        <v>1246389.0</v>
      </c>
      <c r="B859" s="6" t="s">
        <v>3475</v>
      </c>
      <c r="C859" s="6" t="s">
        <v>39</v>
      </c>
      <c r="D859" s="6">
        <v>79757.0</v>
      </c>
      <c r="E859" s="6" t="s">
        <v>30</v>
      </c>
      <c r="F859" s="6" t="s">
        <v>54</v>
      </c>
      <c r="G859" s="6" t="s">
        <v>21</v>
      </c>
      <c r="H859" s="7">
        <v>1724.0</v>
      </c>
      <c r="I859" s="7">
        <v>1272.0</v>
      </c>
      <c r="J859" s="6">
        <v>2003.0</v>
      </c>
      <c r="K859" s="6">
        <v>100.0</v>
      </c>
      <c r="L859" s="6" t="s">
        <v>22</v>
      </c>
      <c r="M859" s="6" t="s">
        <v>3476</v>
      </c>
      <c r="N859" s="6" t="s">
        <v>24</v>
      </c>
      <c r="O859" s="6" t="s">
        <v>35</v>
      </c>
      <c r="P859" s="6">
        <f>COUNTIF(Analysis!$M$1:$M$3001,Analysis!$M859)</f>
        <v>1</v>
      </c>
      <c r="Q859" s="6" t="str">
        <f>IF(COUNTIF(Analysis!$M$2:$M$3001,Analysis!$M859)&gt;1,"Duplicate","OK")</f>
        <v>OK</v>
      </c>
      <c r="R859" s="6" t="str">
        <f t="shared" si="1"/>
        <v>1600-2600</v>
      </c>
      <c r="S859" s="6">
        <f t="shared" si="2"/>
        <v>23</v>
      </c>
      <c r="T859" s="6" t="str">
        <f t="shared" si="3"/>
        <v>Mid</v>
      </c>
    </row>
    <row r="860" ht="14.25" customHeight="1">
      <c r="A860" s="5">
        <v>1454268.0</v>
      </c>
      <c r="B860" s="6" t="s">
        <v>3479</v>
      </c>
      <c r="C860" s="6" t="s">
        <v>76</v>
      </c>
      <c r="D860" s="6">
        <v>95098.0</v>
      </c>
      <c r="E860" s="6" t="s">
        <v>30</v>
      </c>
      <c r="F860" s="6" t="s">
        <v>46</v>
      </c>
      <c r="G860" s="6" t="s">
        <v>100</v>
      </c>
      <c r="H860" s="7">
        <v>2028.0</v>
      </c>
      <c r="I860" s="7">
        <v>7650.0</v>
      </c>
      <c r="J860" s="6">
        <v>2020.0</v>
      </c>
      <c r="K860" s="6">
        <v>54.0</v>
      </c>
      <c r="L860" s="6" t="s">
        <v>62</v>
      </c>
      <c r="M860" s="6" t="s">
        <v>3480</v>
      </c>
      <c r="N860" s="6" t="s">
        <v>64</v>
      </c>
      <c r="O860" s="6" t="s">
        <v>35</v>
      </c>
      <c r="P860" s="6">
        <f>COUNTIF(Analysis!$M$1:$M$3001,Analysis!$M860)</f>
        <v>1</v>
      </c>
      <c r="Q860" s="6" t="str">
        <f>IF(COUNTIF(Analysis!$M$2:$M$3001,Analysis!$M860)&gt;1,"Duplicate","OK")</f>
        <v>OK</v>
      </c>
      <c r="R860" s="6" t="str">
        <f t="shared" si="1"/>
        <v>1600-2600</v>
      </c>
      <c r="S860" s="6">
        <f t="shared" si="2"/>
        <v>6</v>
      </c>
      <c r="T860" s="6" t="str">
        <f t="shared" si="3"/>
        <v>New</v>
      </c>
    </row>
    <row r="861" ht="14.25" customHeight="1">
      <c r="A861" s="5">
        <v>201436.0</v>
      </c>
      <c r="B861" s="6" t="s">
        <v>3483</v>
      </c>
      <c r="C861" s="6" t="s">
        <v>18</v>
      </c>
      <c r="D861" s="6">
        <v>20368.0</v>
      </c>
      <c r="E861" s="6" t="s">
        <v>19</v>
      </c>
      <c r="F861" s="6" t="s">
        <v>61</v>
      </c>
      <c r="G861" s="6" t="s">
        <v>21</v>
      </c>
      <c r="H861" s="7">
        <v>2837.0</v>
      </c>
      <c r="I861" s="7">
        <v>7362.0</v>
      </c>
      <c r="J861" s="6">
        <v>2009.0</v>
      </c>
      <c r="K861" s="6">
        <v>62.0</v>
      </c>
      <c r="L861" s="6" t="s">
        <v>141</v>
      </c>
      <c r="M861" s="6" t="s">
        <v>3484</v>
      </c>
      <c r="N861" s="6" t="s">
        <v>34</v>
      </c>
      <c r="O861" s="6" t="s">
        <v>25</v>
      </c>
      <c r="P861" s="6">
        <f>COUNTIF(Analysis!$M$1:$M$3001,Analysis!$M861)</f>
        <v>1</v>
      </c>
      <c r="Q861" s="6" t="str">
        <f>IF(COUNTIF(Analysis!$M$2:$M$3001,Analysis!$M861)&gt;1,"Duplicate","OK")</f>
        <v>OK</v>
      </c>
      <c r="R861" s="6" t="str">
        <f t="shared" si="1"/>
        <v>2600-3600</v>
      </c>
      <c r="S861" s="6">
        <f t="shared" si="2"/>
        <v>17</v>
      </c>
      <c r="T861" s="6" t="str">
        <f t="shared" si="3"/>
        <v>Mid</v>
      </c>
    </row>
    <row r="862" ht="14.25" customHeight="1">
      <c r="A862" s="5">
        <v>1286048.0</v>
      </c>
      <c r="B862" s="6" t="s">
        <v>3487</v>
      </c>
      <c r="C862" s="6" t="s">
        <v>53</v>
      </c>
      <c r="D862" s="6">
        <v>54147.0</v>
      </c>
      <c r="E862" s="6" t="s">
        <v>40</v>
      </c>
      <c r="F862" s="6" t="s">
        <v>94</v>
      </c>
      <c r="G862" s="6" t="s">
        <v>100</v>
      </c>
      <c r="H862" s="7">
        <v>3918.0</v>
      </c>
      <c r="I862" s="7">
        <v>3960.0</v>
      </c>
      <c r="J862" s="6">
        <v>1965.0</v>
      </c>
      <c r="K862" s="6">
        <v>23.0</v>
      </c>
      <c r="L862" s="6" t="s">
        <v>32</v>
      </c>
      <c r="M862" s="6" t="s">
        <v>3488</v>
      </c>
      <c r="N862" s="6" t="s">
        <v>43</v>
      </c>
      <c r="O862" s="6" t="s">
        <v>25</v>
      </c>
      <c r="P862" s="6">
        <f>COUNTIF(Analysis!$M$1:$M$3001,Analysis!$M862)</f>
        <v>1</v>
      </c>
      <c r="Q862" s="6" t="str">
        <f>IF(COUNTIF(Analysis!$M$2:$M$3001,Analysis!$M862)&gt;1,"Duplicate","OK")</f>
        <v>OK</v>
      </c>
      <c r="R862" s="6" t="str">
        <f t="shared" si="1"/>
        <v>3600+</v>
      </c>
      <c r="S862" s="6">
        <f t="shared" si="2"/>
        <v>61</v>
      </c>
      <c r="T862" s="6" t="str">
        <f t="shared" si="3"/>
        <v>Very Old</v>
      </c>
    </row>
    <row r="863" ht="14.25" customHeight="1">
      <c r="A863" s="5">
        <v>518222.0</v>
      </c>
      <c r="B863" s="6" t="s">
        <v>717</v>
      </c>
      <c r="C863" s="6" t="s">
        <v>29</v>
      </c>
      <c r="D863" s="6">
        <v>84200.0</v>
      </c>
      <c r="E863" s="6" t="s">
        <v>60</v>
      </c>
      <c r="F863" s="6" t="s">
        <v>94</v>
      </c>
      <c r="G863" s="6" t="s">
        <v>55</v>
      </c>
      <c r="H863" s="7">
        <v>1462.0</v>
      </c>
      <c r="I863" s="7">
        <v>2320.0</v>
      </c>
      <c r="J863" s="6">
        <v>2000.0</v>
      </c>
      <c r="K863" s="6">
        <v>114.0</v>
      </c>
      <c r="L863" s="6" t="s">
        <v>141</v>
      </c>
      <c r="M863" s="6" t="s">
        <v>718</v>
      </c>
      <c r="N863" s="6" t="s">
        <v>34</v>
      </c>
      <c r="O863" s="6" t="s">
        <v>49</v>
      </c>
      <c r="P863" s="6">
        <f>COUNTIF(Analysis!$M$1:$M$3001,Analysis!$M169)</f>
        <v>1</v>
      </c>
      <c r="Q863" s="6" t="str">
        <f>IF(COUNTIF(Analysis!$M$2:$M$3001,Analysis!$M169)&gt;1,"Duplicate","OK")</f>
        <v>OK</v>
      </c>
      <c r="R863" s="6" t="str">
        <f t="shared" si="1"/>
        <v>600-1600</v>
      </c>
      <c r="S863" s="6">
        <f t="shared" si="2"/>
        <v>26</v>
      </c>
      <c r="T863" s="6" t="str">
        <f t="shared" si="3"/>
        <v>Mid</v>
      </c>
    </row>
    <row r="864" ht="14.25" customHeight="1">
      <c r="A864" s="5">
        <v>1189972.0</v>
      </c>
      <c r="B864" s="6" t="s">
        <v>3495</v>
      </c>
      <c r="C864" s="6" t="s">
        <v>76</v>
      </c>
      <c r="D864" s="6">
        <v>24763.0</v>
      </c>
      <c r="E864" s="6" t="s">
        <v>30</v>
      </c>
      <c r="F864" s="6" t="s">
        <v>54</v>
      </c>
      <c r="G864" s="6" t="s">
        <v>55</v>
      </c>
      <c r="H864" s="7">
        <v>2943.0</v>
      </c>
      <c r="I864" s="7">
        <v>7607.0</v>
      </c>
      <c r="J864" s="6">
        <v>2008.0</v>
      </c>
      <c r="K864" s="6">
        <v>54.0</v>
      </c>
      <c r="L864" s="6" t="s">
        <v>32</v>
      </c>
      <c r="M864" s="6" t="s">
        <v>3496</v>
      </c>
      <c r="N864" s="6" t="s">
        <v>64</v>
      </c>
      <c r="O864" s="6" t="s">
        <v>35</v>
      </c>
      <c r="P864" s="6">
        <f>COUNTIF(Analysis!$M$1:$M$3001,Analysis!$M864)</f>
        <v>1</v>
      </c>
      <c r="Q864" s="6" t="str">
        <f>IF(COUNTIF(Analysis!$M$2:$M$3001,Analysis!$M864)&gt;1,"Duplicate","OK")</f>
        <v>OK</v>
      </c>
      <c r="R864" s="6" t="str">
        <f t="shared" si="1"/>
        <v>2600-3600</v>
      </c>
      <c r="S864" s="6">
        <f t="shared" si="2"/>
        <v>18</v>
      </c>
      <c r="T864" s="6" t="str">
        <f t="shared" si="3"/>
        <v>Mid</v>
      </c>
    </row>
    <row r="865" ht="14.25" customHeight="1">
      <c r="A865" s="5">
        <v>1363612.0</v>
      </c>
      <c r="B865" s="6" t="s">
        <v>3499</v>
      </c>
      <c r="C865" s="6" t="s">
        <v>76</v>
      </c>
      <c r="D865" s="6">
        <v>67802.0</v>
      </c>
      <c r="E865" s="6" t="s">
        <v>30</v>
      </c>
      <c r="F865" s="6" t="s">
        <v>20</v>
      </c>
      <c r="G865" s="6" t="s">
        <v>31</v>
      </c>
      <c r="H865" s="7">
        <v>679.0</v>
      </c>
      <c r="I865" s="7">
        <v>6239.0</v>
      </c>
      <c r="J865" s="6">
        <v>1990.0</v>
      </c>
      <c r="K865" s="6">
        <v>115.0</v>
      </c>
      <c r="L865" s="6" t="s">
        <v>62</v>
      </c>
      <c r="M865" s="6" t="s">
        <v>3500</v>
      </c>
      <c r="N865" s="6" t="s">
        <v>34</v>
      </c>
      <c r="O865" s="6" t="s">
        <v>49</v>
      </c>
      <c r="P865" s="6">
        <f>COUNTIF(Analysis!$M$1:$M$3001,Analysis!$M865)</f>
        <v>1</v>
      </c>
      <c r="Q865" s="6" t="str">
        <f>IF(COUNTIF(Analysis!$M$2:$M$3001,Analysis!$M865)&gt;1,"Duplicate","OK")</f>
        <v>OK</v>
      </c>
      <c r="R865" s="6" t="str">
        <f t="shared" si="1"/>
        <v>600-1600</v>
      </c>
      <c r="S865" s="6">
        <f t="shared" si="2"/>
        <v>36</v>
      </c>
      <c r="T865" s="6" t="str">
        <f t="shared" si="3"/>
        <v>Old</v>
      </c>
    </row>
    <row r="866" ht="14.25" customHeight="1">
      <c r="A866" s="5">
        <v>996190.0</v>
      </c>
      <c r="B866" s="6" t="s">
        <v>3503</v>
      </c>
      <c r="C866" s="6" t="s">
        <v>53</v>
      </c>
      <c r="D866" s="6">
        <v>45498.0</v>
      </c>
      <c r="E866" s="6" t="s">
        <v>60</v>
      </c>
      <c r="F866" s="6" t="s">
        <v>94</v>
      </c>
      <c r="G866" s="6" t="s">
        <v>21</v>
      </c>
      <c r="H866" s="7">
        <v>3870.0</v>
      </c>
      <c r="I866" s="7">
        <v>4259.0</v>
      </c>
      <c r="J866" s="6">
        <v>2023.0</v>
      </c>
      <c r="K866" s="6">
        <v>56.0</v>
      </c>
      <c r="L866" s="6" t="s">
        <v>62</v>
      </c>
      <c r="M866" s="6" t="s">
        <v>3504</v>
      </c>
      <c r="N866" s="6" t="s">
        <v>64</v>
      </c>
      <c r="O866" s="6" t="s">
        <v>49</v>
      </c>
      <c r="P866" s="6">
        <f>COUNTIF(Analysis!$M$1:$M$3001,Analysis!$M866)</f>
        <v>1</v>
      </c>
      <c r="Q866" s="6" t="str">
        <f>IF(COUNTIF(Analysis!$M$2:$M$3001,Analysis!$M866)&gt;1,"Duplicate","OK")</f>
        <v>OK</v>
      </c>
      <c r="R866" s="6" t="str">
        <f t="shared" si="1"/>
        <v>3600+</v>
      </c>
      <c r="S866" s="6">
        <f t="shared" si="2"/>
        <v>3</v>
      </c>
      <c r="T866" s="6" t="str">
        <f t="shared" si="3"/>
        <v>New</v>
      </c>
    </row>
    <row r="867" ht="14.25" customHeight="1">
      <c r="A867" s="5">
        <v>518811.0</v>
      </c>
      <c r="B867" s="6" t="s">
        <v>11679</v>
      </c>
      <c r="C867" s="6" t="s">
        <v>29</v>
      </c>
      <c r="D867" s="6">
        <v>65592.0</v>
      </c>
      <c r="E867" s="6" t="s">
        <v>60</v>
      </c>
      <c r="F867" s="6" t="s">
        <v>54</v>
      </c>
      <c r="G867" s="6" t="s">
        <v>100</v>
      </c>
      <c r="H867" s="7">
        <v>2819.0</v>
      </c>
      <c r="I867" s="7">
        <v>7024.0</v>
      </c>
      <c r="J867" s="6">
        <v>1988.0</v>
      </c>
      <c r="K867" s="6">
        <v>12.0</v>
      </c>
      <c r="L867" s="6" t="s">
        <v>95</v>
      </c>
      <c r="M867" s="6" t="s">
        <v>11680</v>
      </c>
      <c r="N867" s="6" t="s">
        <v>24</v>
      </c>
      <c r="O867" s="6" t="s">
        <v>35</v>
      </c>
      <c r="P867" s="6">
        <f>COUNTIF(Analysis!$M$1:$M$3001,Analysis!$M2911)</f>
        <v>1</v>
      </c>
      <c r="Q867" s="6" t="str">
        <f>IF(COUNTIF(Analysis!$M$2:$M$3001,Analysis!$M2911)&gt;1,"Duplicate","OK")</f>
        <v>OK</v>
      </c>
      <c r="R867" s="6" t="str">
        <f t="shared" si="1"/>
        <v>2600-3600</v>
      </c>
      <c r="S867" s="6">
        <f t="shared" si="2"/>
        <v>38</v>
      </c>
      <c r="T867" s="6" t="str">
        <f t="shared" si="3"/>
        <v>Old</v>
      </c>
    </row>
    <row r="868" ht="14.25" customHeight="1">
      <c r="A868" s="5">
        <v>1426721.0</v>
      </c>
      <c r="B868" s="6" t="s">
        <v>3511</v>
      </c>
      <c r="C868" s="6" t="s">
        <v>76</v>
      </c>
      <c r="D868" s="6">
        <v>48593.0</v>
      </c>
      <c r="E868" s="6" t="s">
        <v>77</v>
      </c>
      <c r="F868" s="6" t="s">
        <v>94</v>
      </c>
      <c r="G868" s="6" t="s">
        <v>31</v>
      </c>
      <c r="H868" s="7">
        <v>2687.0</v>
      </c>
      <c r="I868" s="7">
        <v>3184.0</v>
      </c>
      <c r="J868" s="6">
        <v>2000.0</v>
      </c>
      <c r="K868" s="6">
        <v>21.0</v>
      </c>
      <c r="L868" s="6" t="s">
        <v>22</v>
      </c>
      <c r="M868" s="6" t="s">
        <v>3512</v>
      </c>
      <c r="N868" s="6" t="s">
        <v>43</v>
      </c>
      <c r="O868" s="6" t="s">
        <v>25</v>
      </c>
      <c r="P868" s="6">
        <f>COUNTIF(Analysis!$M$1:$M$3001,Analysis!$M868)</f>
        <v>1</v>
      </c>
      <c r="Q868" s="6" t="str">
        <f>IF(COUNTIF(Analysis!$M$2:$M$3001,Analysis!$M868)&gt;1,"Duplicate","OK")</f>
        <v>OK</v>
      </c>
      <c r="R868" s="6" t="str">
        <f t="shared" si="1"/>
        <v>2600-3600</v>
      </c>
      <c r="S868" s="6">
        <f t="shared" si="2"/>
        <v>26</v>
      </c>
      <c r="T868" s="6" t="str">
        <f t="shared" si="3"/>
        <v>Mid</v>
      </c>
    </row>
    <row r="869" ht="14.25" customHeight="1">
      <c r="A869" s="5">
        <v>1193769.0</v>
      </c>
      <c r="B869" s="6" t="s">
        <v>3515</v>
      </c>
      <c r="C869" s="6" t="s">
        <v>76</v>
      </c>
      <c r="D869" s="6">
        <v>31544.0</v>
      </c>
      <c r="E869" s="6" t="s">
        <v>19</v>
      </c>
      <c r="F869" s="6" t="s">
        <v>20</v>
      </c>
      <c r="G869" s="6" t="s">
        <v>100</v>
      </c>
      <c r="H869" s="7">
        <v>1795.0</v>
      </c>
      <c r="I869" s="7">
        <v>2512.0</v>
      </c>
      <c r="J869" s="6">
        <v>1984.0</v>
      </c>
      <c r="K869" s="6">
        <v>40.0</v>
      </c>
      <c r="L869" s="6" t="s">
        <v>95</v>
      </c>
      <c r="M869" s="6" t="s">
        <v>3516</v>
      </c>
      <c r="N869" s="6" t="s">
        <v>43</v>
      </c>
      <c r="O869" s="6" t="s">
        <v>49</v>
      </c>
      <c r="P869" s="6">
        <f>COUNTIF(Analysis!$M$1:$M$3001,Analysis!$M869)</f>
        <v>1</v>
      </c>
      <c r="Q869" s="6" t="str">
        <f>IF(COUNTIF(Analysis!$M$2:$M$3001,Analysis!$M869)&gt;1,"Duplicate","OK")</f>
        <v>OK</v>
      </c>
      <c r="R869" s="6" t="str">
        <f t="shared" si="1"/>
        <v>1600-2600</v>
      </c>
      <c r="S869" s="6">
        <f t="shared" si="2"/>
        <v>42</v>
      </c>
      <c r="T869" s="6" t="str">
        <f t="shared" si="3"/>
        <v>Old</v>
      </c>
    </row>
    <row r="870" ht="14.25" customHeight="1">
      <c r="A870" s="5">
        <v>1458463.0</v>
      </c>
      <c r="B870" s="6" t="s">
        <v>3519</v>
      </c>
      <c r="C870" s="6" t="s">
        <v>53</v>
      </c>
      <c r="D870" s="6">
        <v>37866.0</v>
      </c>
      <c r="E870" s="6" t="s">
        <v>60</v>
      </c>
      <c r="F870" s="6" t="s">
        <v>46</v>
      </c>
      <c r="G870" s="6" t="s">
        <v>55</v>
      </c>
      <c r="H870" s="7">
        <v>2244.0</v>
      </c>
      <c r="I870" s="7">
        <v>6626.0</v>
      </c>
      <c r="J870" s="6">
        <v>1960.0</v>
      </c>
      <c r="K870" s="6">
        <v>6.0</v>
      </c>
      <c r="L870" s="6" t="s">
        <v>62</v>
      </c>
      <c r="M870" s="6" t="s">
        <v>3520</v>
      </c>
      <c r="N870" s="6" t="s">
        <v>24</v>
      </c>
      <c r="O870" s="6" t="s">
        <v>35</v>
      </c>
      <c r="P870" s="6">
        <f>COUNTIF(Analysis!$M$1:$M$3001,Analysis!$M870)</f>
        <v>1</v>
      </c>
      <c r="Q870" s="6" t="str">
        <f>IF(COUNTIF(Analysis!$M$2:$M$3001,Analysis!$M870)&gt;1,"Duplicate","OK")</f>
        <v>OK</v>
      </c>
      <c r="R870" s="6" t="str">
        <f t="shared" si="1"/>
        <v>1600-2600</v>
      </c>
      <c r="S870" s="6">
        <f t="shared" si="2"/>
        <v>66</v>
      </c>
      <c r="T870" s="6" t="str">
        <f t="shared" si="3"/>
        <v>Very Old</v>
      </c>
    </row>
    <row r="871" ht="14.25" customHeight="1">
      <c r="A871" s="5">
        <v>1496151.0</v>
      </c>
      <c r="B871" s="6" t="s">
        <v>3523</v>
      </c>
      <c r="C871" s="6" t="s">
        <v>39</v>
      </c>
      <c r="D871" s="6">
        <v>62476.0</v>
      </c>
      <c r="E871" s="6" t="s">
        <v>77</v>
      </c>
      <c r="F871" s="6" t="s">
        <v>61</v>
      </c>
      <c r="G871" s="6" t="s">
        <v>21</v>
      </c>
      <c r="H871" s="7">
        <v>3445.0</v>
      </c>
      <c r="I871" s="7">
        <v>7944.0</v>
      </c>
      <c r="J871" s="6">
        <v>1962.0</v>
      </c>
      <c r="K871" s="6">
        <v>12.0</v>
      </c>
      <c r="L871" s="6" t="s">
        <v>62</v>
      </c>
      <c r="M871" s="6" t="s">
        <v>3524</v>
      </c>
      <c r="N871" s="6" t="s">
        <v>64</v>
      </c>
      <c r="O871" s="6" t="s">
        <v>49</v>
      </c>
      <c r="P871" s="6">
        <f>COUNTIF(Analysis!$M$1:$M$3001,Analysis!$M871)</f>
        <v>1</v>
      </c>
      <c r="Q871" s="6" t="str">
        <f>IF(COUNTIF(Analysis!$M$2:$M$3001,Analysis!$M871)&gt;1,"Duplicate","OK")</f>
        <v>OK</v>
      </c>
      <c r="R871" s="6" t="str">
        <f t="shared" si="1"/>
        <v>2600-3600</v>
      </c>
      <c r="S871" s="6">
        <f t="shared" si="2"/>
        <v>64</v>
      </c>
      <c r="T871" s="6" t="str">
        <f t="shared" si="3"/>
        <v>Very Old</v>
      </c>
    </row>
    <row r="872" ht="14.25" customHeight="1">
      <c r="A872" s="5">
        <v>526134.0</v>
      </c>
      <c r="B872" s="6" t="s">
        <v>3871</v>
      </c>
      <c r="C872" s="6" t="s">
        <v>29</v>
      </c>
      <c r="D872" s="6">
        <v>14760.0</v>
      </c>
      <c r="E872" s="6" t="s">
        <v>30</v>
      </c>
      <c r="F872" s="6" t="s">
        <v>54</v>
      </c>
      <c r="G872" s="6" t="s">
        <v>100</v>
      </c>
      <c r="H872" s="7">
        <v>1409.0</v>
      </c>
      <c r="I872" s="7">
        <v>6433.0</v>
      </c>
      <c r="J872" s="6">
        <v>1959.0</v>
      </c>
      <c r="K872" s="6">
        <v>119.0</v>
      </c>
      <c r="L872" s="6" t="s">
        <v>95</v>
      </c>
      <c r="M872" s="6" t="s">
        <v>3872</v>
      </c>
      <c r="N872" s="6" t="s">
        <v>43</v>
      </c>
      <c r="O872" s="6" t="s">
        <v>49</v>
      </c>
      <c r="P872" s="6">
        <f>COUNTIF(Analysis!$M$1:$M$3001,Analysis!$M958)</f>
        <v>1</v>
      </c>
      <c r="Q872" s="6" t="str">
        <f>IF(COUNTIF(Analysis!$M$2:$M$3001,Analysis!$M958)&gt;1,"Duplicate","OK")</f>
        <v>OK</v>
      </c>
      <c r="R872" s="6" t="str">
        <f t="shared" si="1"/>
        <v>600-1600</v>
      </c>
      <c r="S872" s="6">
        <f t="shared" si="2"/>
        <v>67</v>
      </c>
      <c r="T872" s="6" t="str">
        <f t="shared" si="3"/>
        <v>Very Old</v>
      </c>
    </row>
    <row r="873" ht="14.25" customHeight="1">
      <c r="A873" s="5">
        <v>431967.0</v>
      </c>
      <c r="B873" s="6" t="s">
        <v>3531</v>
      </c>
      <c r="C873" s="6" t="s">
        <v>76</v>
      </c>
      <c r="D873" s="6">
        <v>79165.0</v>
      </c>
      <c r="E873" s="6" t="s">
        <v>77</v>
      </c>
      <c r="F873" s="6" t="s">
        <v>61</v>
      </c>
      <c r="G873" s="6" t="s">
        <v>21</v>
      </c>
      <c r="H873" s="7">
        <v>2861.0</v>
      </c>
      <c r="I873" s="7">
        <v>2320.0</v>
      </c>
      <c r="J873" s="6">
        <v>2002.0</v>
      </c>
      <c r="K873" s="6">
        <v>101.0</v>
      </c>
      <c r="L873" s="6" t="s">
        <v>62</v>
      </c>
      <c r="M873" s="6" t="s">
        <v>3532</v>
      </c>
      <c r="N873" s="6" t="s">
        <v>24</v>
      </c>
      <c r="O873" s="6" t="s">
        <v>35</v>
      </c>
      <c r="P873" s="6">
        <f>COUNTIF(Analysis!$M$1:$M$3001,Analysis!$M873)</f>
        <v>1</v>
      </c>
      <c r="Q873" s="6" t="str">
        <f>IF(COUNTIF(Analysis!$M$2:$M$3001,Analysis!$M873)&gt;1,"Duplicate","OK")</f>
        <v>OK</v>
      </c>
      <c r="R873" s="6" t="str">
        <f t="shared" si="1"/>
        <v>2600-3600</v>
      </c>
      <c r="S873" s="6">
        <f t="shared" si="2"/>
        <v>24</v>
      </c>
      <c r="T873" s="6" t="str">
        <f t="shared" si="3"/>
        <v>Mid</v>
      </c>
    </row>
    <row r="874" ht="14.25" customHeight="1">
      <c r="A874" s="5">
        <v>1192923.0</v>
      </c>
      <c r="B874" s="6" t="s">
        <v>3535</v>
      </c>
      <c r="C874" s="6" t="s">
        <v>18</v>
      </c>
      <c r="D874" s="6">
        <v>26898.0</v>
      </c>
      <c r="E874" s="6" t="s">
        <v>19</v>
      </c>
      <c r="F874" s="6" t="s">
        <v>41</v>
      </c>
      <c r="G874" s="6" t="s">
        <v>55</v>
      </c>
      <c r="H874" s="7">
        <v>2726.0</v>
      </c>
      <c r="I874" s="7">
        <v>5814.0</v>
      </c>
      <c r="J874" s="6">
        <v>1996.0</v>
      </c>
      <c r="K874" s="6">
        <v>5.0</v>
      </c>
      <c r="L874" s="6" t="s">
        <v>32</v>
      </c>
      <c r="M874" s="6" t="s">
        <v>3536</v>
      </c>
      <c r="N874" s="6" t="s">
        <v>43</v>
      </c>
      <c r="O874" s="6" t="s">
        <v>49</v>
      </c>
      <c r="P874" s="6">
        <f>COUNTIF(Analysis!$M$1:$M$3001,Analysis!$M874)</f>
        <v>1</v>
      </c>
      <c r="Q874" s="6" t="str">
        <f>IF(COUNTIF(Analysis!$M$2:$M$3001,Analysis!$M874)&gt;1,"Duplicate","OK")</f>
        <v>OK</v>
      </c>
      <c r="R874" s="6" t="str">
        <f t="shared" si="1"/>
        <v>2600-3600</v>
      </c>
      <c r="S874" s="6">
        <f t="shared" si="2"/>
        <v>30</v>
      </c>
      <c r="T874" s="6" t="str">
        <f t="shared" si="3"/>
        <v>Mid</v>
      </c>
    </row>
    <row r="875" ht="14.25" customHeight="1">
      <c r="A875" s="5">
        <v>529982.0</v>
      </c>
      <c r="B875" s="6" t="s">
        <v>3575</v>
      </c>
      <c r="C875" s="6" t="s">
        <v>29</v>
      </c>
      <c r="D875" s="6">
        <v>92928.0</v>
      </c>
      <c r="E875" s="6" t="s">
        <v>19</v>
      </c>
      <c r="F875" s="6" t="s">
        <v>61</v>
      </c>
      <c r="G875" s="6" t="s">
        <v>55</v>
      </c>
      <c r="H875" s="7">
        <v>3686.0</v>
      </c>
      <c r="I875" s="7">
        <v>3527.0</v>
      </c>
      <c r="J875" s="6">
        <v>2007.0</v>
      </c>
      <c r="K875" s="6">
        <v>54.0</v>
      </c>
      <c r="L875" s="6" t="s">
        <v>95</v>
      </c>
      <c r="M875" s="6" t="s">
        <v>3576</v>
      </c>
      <c r="N875" s="6" t="s">
        <v>48</v>
      </c>
      <c r="O875" s="6" t="s">
        <v>49</v>
      </c>
      <c r="P875" s="6">
        <f>COUNTIF(Analysis!$M$1:$M$3001,Analysis!$M884)</f>
        <v>1</v>
      </c>
      <c r="Q875" s="6" t="str">
        <f>IF(COUNTIF(Analysis!$M$2:$M$3001,Analysis!$M884)&gt;1,"Duplicate","OK")</f>
        <v>OK</v>
      </c>
      <c r="R875" s="6" t="str">
        <f t="shared" si="1"/>
        <v>3600+</v>
      </c>
      <c r="S875" s="6">
        <f t="shared" si="2"/>
        <v>19</v>
      </c>
      <c r="T875" s="6" t="str">
        <f t="shared" si="3"/>
        <v>Mid</v>
      </c>
    </row>
    <row r="876" ht="14.25" customHeight="1">
      <c r="A876" s="5">
        <v>1478203.0</v>
      </c>
      <c r="B876" s="6" t="s">
        <v>3543</v>
      </c>
      <c r="C876" s="6" t="s">
        <v>18</v>
      </c>
      <c r="D876" s="6">
        <v>99061.0</v>
      </c>
      <c r="E876" s="6" t="s">
        <v>77</v>
      </c>
      <c r="F876" s="6" t="s">
        <v>46</v>
      </c>
      <c r="G876" s="6" t="s">
        <v>100</v>
      </c>
      <c r="H876" s="7">
        <v>3581.0</v>
      </c>
      <c r="I876" s="7">
        <v>9668.0</v>
      </c>
      <c r="J876" s="6">
        <v>1992.0</v>
      </c>
      <c r="K876" s="6">
        <v>2.0</v>
      </c>
      <c r="L876" s="6" t="s">
        <v>62</v>
      </c>
      <c r="M876" s="6" t="s">
        <v>3544</v>
      </c>
      <c r="N876" s="6" t="s">
        <v>24</v>
      </c>
      <c r="O876" s="6" t="s">
        <v>35</v>
      </c>
      <c r="P876" s="6">
        <f>COUNTIF(Analysis!$M$1:$M$3001,Analysis!$M876)</f>
        <v>1</v>
      </c>
      <c r="Q876" s="6" t="str">
        <f>IF(COUNTIF(Analysis!$M$2:$M$3001,Analysis!$M876)&gt;1,"Duplicate","OK")</f>
        <v>OK</v>
      </c>
      <c r="R876" s="6" t="str">
        <f t="shared" si="1"/>
        <v>2600-3600</v>
      </c>
      <c r="S876" s="6">
        <f t="shared" si="2"/>
        <v>34</v>
      </c>
      <c r="T876" s="6" t="str">
        <f t="shared" si="3"/>
        <v>Old</v>
      </c>
    </row>
    <row r="877" ht="14.25" customHeight="1">
      <c r="A877" s="5">
        <v>1259364.0</v>
      </c>
      <c r="B877" s="6" t="s">
        <v>3547</v>
      </c>
      <c r="C877" s="6" t="s">
        <v>39</v>
      </c>
      <c r="D877" s="6">
        <v>25588.0</v>
      </c>
      <c r="E877" s="6" t="s">
        <v>40</v>
      </c>
      <c r="F877" s="6" t="s">
        <v>61</v>
      </c>
      <c r="G877" s="6" t="s">
        <v>55</v>
      </c>
      <c r="H877" s="7">
        <v>1487.0</v>
      </c>
      <c r="I877" s="7">
        <v>9110.0</v>
      </c>
      <c r="J877" s="6">
        <v>2005.0</v>
      </c>
      <c r="K877" s="6">
        <v>33.0</v>
      </c>
      <c r="L877" s="6" t="s">
        <v>62</v>
      </c>
      <c r="M877" s="6" t="s">
        <v>3548</v>
      </c>
      <c r="N877" s="6" t="s">
        <v>48</v>
      </c>
      <c r="O877" s="6" t="s">
        <v>35</v>
      </c>
      <c r="P877" s="6">
        <f>COUNTIF(Analysis!$M$1:$M$3001,Analysis!$M877)</f>
        <v>1</v>
      </c>
      <c r="Q877" s="6" t="str">
        <f>IF(COUNTIF(Analysis!$M$2:$M$3001,Analysis!$M877)&gt;1,"Duplicate","OK")</f>
        <v>OK</v>
      </c>
      <c r="R877" s="6" t="str">
        <f t="shared" si="1"/>
        <v>600-1600</v>
      </c>
      <c r="S877" s="6">
        <f t="shared" si="2"/>
        <v>21</v>
      </c>
      <c r="T877" s="6" t="str">
        <f t="shared" si="3"/>
        <v>Mid</v>
      </c>
    </row>
    <row r="878" ht="14.25" customHeight="1">
      <c r="A878" s="5">
        <v>531098.0</v>
      </c>
      <c r="B878" s="6" t="s">
        <v>6561</v>
      </c>
      <c r="C878" s="6" t="s">
        <v>29</v>
      </c>
      <c r="D878" s="6">
        <v>51303.0</v>
      </c>
      <c r="E878" s="6" t="s">
        <v>30</v>
      </c>
      <c r="F878" s="6" t="s">
        <v>20</v>
      </c>
      <c r="G878" s="6" t="s">
        <v>21</v>
      </c>
      <c r="H878" s="7">
        <v>3332.0</v>
      </c>
      <c r="I878" s="7">
        <v>3979.0</v>
      </c>
      <c r="J878" s="6">
        <v>1958.0</v>
      </c>
      <c r="K878" s="6">
        <v>9.0</v>
      </c>
      <c r="L878" s="6" t="s">
        <v>141</v>
      </c>
      <c r="M878" s="6" t="s">
        <v>6562</v>
      </c>
      <c r="N878" s="6" t="s">
        <v>24</v>
      </c>
      <c r="O878" s="6" t="s">
        <v>35</v>
      </c>
      <c r="P878" s="6">
        <f>COUNTIF(Analysis!$M$1:$M$3001,Analysis!$M1631)</f>
        <v>1</v>
      </c>
      <c r="Q878" s="6" t="str">
        <f>IF(COUNTIF(Analysis!$M$2:$M$3001,Analysis!$M1631)&gt;1,"Duplicate","OK")</f>
        <v>OK</v>
      </c>
      <c r="R878" s="6" t="str">
        <f t="shared" si="1"/>
        <v>2600-3600</v>
      </c>
      <c r="S878" s="6">
        <f t="shared" si="2"/>
        <v>68</v>
      </c>
      <c r="T878" s="6" t="str">
        <f t="shared" si="3"/>
        <v>Very Old</v>
      </c>
    </row>
    <row r="879" ht="14.25" customHeight="1">
      <c r="A879" s="5">
        <v>953983.0</v>
      </c>
      <c r="B879" s="6" t="s">
        <v>3555</v>
      </c>
      <c r="C879" s="6" t="s">
        <v>18</v>
      </c>
      <c r="D879" s="6">
        <v>70380.0</v>
      </c>
      <c r="E879" s="6" t="s">
        <v>77</v>
      </c>
      <c r="F879" s="6" t="s">
        <v>94</v>
      </c>
      <c r="G879" s="6" t="s">
        <v>55</v>
      </c>
      <c r="H879" s="7">
        <v>1708.0</v>
      </c>
      <c r="I879" s="7">
        <v>9989.0</v>
      </c>
      <c r="J879" s="6">
        <v>1971.0</v>
      </c>
      <c r="K879" s="6">
        <v>3.0</v>
      </c>
      <c r="L879" s="6" t="s">
        <v>62</v>
      </c>
      <c r="M879" s="6" t="s">
        <v>3556</v>
      </c>
      <c r="N879" s="6" t="s">
        <v>48</v>
      </c>
      <c r="O879" s="6" t="s">
        <v>35</v>
      </c>
      <c r="P879" s="6">
        <f>COUNTIF(Analysis!$M$1:$M$3001,Analysis!$M879)</f>
        <v>1</v>
      </c>
      <c r="Q879" s="6" t="str">
        <f>IF(COUNTIF(Analysis!$M$2:$M$3001,Analysis!$M879)&gt;1,"Duplicate","OK")</f>
        <v>OK</v>
      </c>
      <c r="R879" s="6" t="str">
        <f t="shared" si="1"/>
        <v>1600-2600</v>
      </c>
      <c r="S879" s="6">
        <f t="shared" si="2"/>
        <v>55</v>
      </c>
      <c r="T879" s="6" t="str">
        <f t="shared" si="3"/>
        <v>Old</v>
      </c>
    </row>
    <row r="880" ht="14.25" customHeight="1">
      <c r="A880" s="5">
        <v>392778.0</v>
      </c>
      <c r="B880" s="6" t="s">
        <v>3559</v>
      </c>
      <c r="C880" s="6" t="s">
        <v>76</v>
      </c>
      <c r="D880" s="6">
        <v>67259.0</v>
      </c>
      <c r="E880" s="6" t="s">
        <v>60</v>
      </c>
      <c r="F880" s="6" t="s">
        <v>61</v>
      </c>
      <c r="G880" s="6" t="s">
        <v>21</v>
      </c>
      <c r="H880" s="7">
        <v>2392.0</v>
      </c>
      <c r="I880" s="7">
        <v>7622.0</v>
      </c>
      <c r="J880" s="6">
        <v>1995.0</v>
      </c>
      <c r="K880" s="6">
        <v>57.0</v>
      </c>
      <c r="L880" s="6" t="s">
        <v>22</v>
      </c>
      <c r="M880" s="6" t="s">
        <v>3560</v>
      </c>
      <c r="N880" s="6" t="s">
        <v>24</v>
      </c>
      <c r="O880" s="6" t="s">
        <v>49</v>
      </c>
      <c r="P880" s="6">
        <f>COUNTIF(Analysis!$M$1:$M$3001,Analysis!$M880)</f>
        <v>1</v>
      </c>
      <c r="Q880" s="6" t="str">
        <f>IF(COUNTIF(Analysis!$M$2:$M$3001,Analysis!$M880)&gt;1,"Duplicate","OK")</f>
        <v>OK</v>
      </c>
      <c r="R880" s="6" t="str">
        <f t="shared" si="1"/>
        <v>1600-2600</v>
      </c>
      <c r="S880" s="6">
        <f t="shared" si="2"/>
        <v>31</v>
      </c>
      <c r="T880" s="6" t="str">
        <f t="shared" si="3"/>
        <v>Old</v>
      </c>
    </row>
    <row r="881" ht="14.25" customHeight="1">
      <c r="A881" s="5">
        <v>533084.0</v>
      </c>
      <c r="B881" s="6" t="s">
        <v>6141</v>
      </c>
      <c r="C881" s="6" t="s">
        <v>29</v>
      </c>
      <c r="D881" s="6">
        <v>46347.0</v>
      </c>
      <c r="E881" s="6" t="s">
        <v>77</v>
      </c>
      <c r="F881" s="6" t="s">
        <v>54</v>
      </c>
      <c r="G881" s="6" t="s">
        <v>31</v>
      </c>
      <c r="H881" s="7">
        <v>826.0</v>
      </c>
      <c r="I881" s="7">
        <v>3948.0</v>
      </c>
      <c r="J881" s="6">
        <v>2018.0</v>
      </c>
      <c r="K881" s="6">
        <v>55.0</v>
      </c>
      <c r="L881" s="6" t="s">
        <v>141</v>
      </c>
      <c r="M881" s="6" t="s">
        <v>6142</v>
      </c>
      <c r="N881" s="6" t="s">
        <v>64</v>
      </c>
      <c r="O881" s="6" t="s">
        <v>25</v>
      </c>
      <c r="P881" s="6">
        <f>COUNTIF(Analysis!$M$1:$M$3001,Analysis!$M1526)</f>
        <v>1</v>
      </c>
      <c r="Q881" s="6" t="str">
        <f>IF(COUNTIF(Analysis!$M$2:$M$3001,Analysis!$M1526)&gt;1,"Duplicate","OK")</f>
        <v>OK</v>
      </c>
      <c r="R881" s="6" t="str">
        <f t="shared" si="1"/>
        <v>600-1600</v>
      </c>
      <c r="S881" s="6">
        <f t="shared" si="2"/>
        <v>8</v>
      </c>
      <c r="T881" s="6" t="str">
        <f t="shared" si="3"/>
        <v>New</v>
      </c>
    </row>
    <row r="882" ht="14.25" customHeight="1">
      <c r="A882" s="5">
        <v>394824.0</v>
      </c>
      <c r="B882" s="6" t="s">
        <v>3567</v>
      </c>
      <c r="C882" s="6" t="s">
        <v>53</v>
      </c>
      <c r="D882" s="6">
        <v>99705.0</v>
      </c>
      <c r="E882" s="6" t="s">
        <v>77</v>
      </c>
      <c r="F882" s="6" t="s">
        <v>61</v>
      </c>
      <c r="G882" s="6" t="s">
        <v>21</v>
      </c>
      <c r="H882" s="7">
        <v>3790.0</v>
      </c>
      <c r="I882" s="7">
        <v>6394.0</v>
      </c>
      <c r="J882" s="6">
        <v>1971.0</v>
      </c>
      <c r="K882" s="6">
        <v>8.0</v>
      </c>
      <c r="L882" s="6" t="s">
        <v>62</v>
      </c>
      <c r="M882" s="6" t="s">
        <v>3568</v>
      </c>
      <c r="N882" s="6" t="s">
        <v>43</v>
      </c>
      <c r="O882" s="6" t="s">
        <v>25</v>
      </c>
      <c r="P882" s="6">
        <f>COUNTIF(Analysis!$M$1:$M$3001,Analysis!$M882)</f>
        <v>1</v>
      </c>
      <c r="Q882" s="6" t="str">
        <f>IF(COUNTIF(Analysis!$M$2:$M$3001,Analysis!$M882)&gt;1,"Duplicate","OK")</f>
        <v>OK</v>
      </c>
      <c r="R882" s="6" t="str">
        <f t="shared" si="1"/>
        <v>3600+</v>
      </c>
      <c r="S882" s="6">
        <f t="shared" si="2"/>
        <v>55</v>
      </c>
      <c r="T882" s="6" t="str">
        <f t="shared" si="3"/>
        <v>Old</v>
      </c>
    </row>
    <row r="883" ht="14.25" customHeight="1">
      <c r="A883" s="5">
        <v>132626.0</v>
      </c>
      <c r="B883" s="6" t="s">
        <v>3571</v>
      </c>
      <c r="C883" s="6" t="s">
        <v>53</v>
      </c>
      <c r="D883" s="6">
        <v>81064.0</v>
      </c>
      <c r="E883" s="6" t="s">
        <v>30</v>
      </c>
      <c r="F883" s="6" t="s">
        <v>46</v>
      </c>
      <c r="G883" s="6" t="s">
        <v>21</v>
      </c>
      <c r="H883" s="7">
        <v>923.0</v>
      </c>
      <c r="I883" s="7">
        <v>5412.0</v>
      </c>
      <c r="J883" s="6">
        <v>1977.0</v>
      </c>
      <c r="K883" s="6">
        <v>118.0</v>
      </c>
      <c r="L883" s="6" t="s">
        <v>95</v>
      </c>
      <c r="M883" s="6" t="s">
        <v>3572</v>
      </c>
      <c r="N883" s="6" t="s">
        <v>34</v>
      </c>
      <c r="O883" s="6" t="s">
        <v>49</v>
      </c>
      <c r="P883" s="6">
        <f>COUNTIF(Analysis!$M$1:$M$3001,Analysis!$M883)</f>
        <v>1</v>
      </c>
      <c r="Q883" s="6" t="str">
        <f>IF(COUNTIF(Analysis!$M$2:$M$3001,Analysis!$M883)&gt;1,"Duplicate","OK")</f>
        <v>OK</v>
      </c>
      <c r="R883" s="6" t="str">
        <f t="shared" si="1"/>
        <v>600-1600</v>
      </c>
      <c r="S883" s="6">
        <f t="shared" si="2"/>
        <v>49</v>
      </c>
      <c r="T883" s="6" t="str">
        <f t="shared" si="3"/>
        <v>Old</v>
      </c>
    </row>
    <row r="884" ht="14.25" customHeight="1">
      <c r="A884" s="5">
        <v>535024.0</v>
      </c>
      <c r="B884" s="6" t="s">
        <v>4455</v>
      </c>
      <c r="C884" s="6" t="s">
        <v>29</v>
      </c>
      <c r="D884" s="6">
        <v>41971.0</v>
      </c>
      <c r="E884" s="6" t="s">
        <v>77</v>
      </c>
      <c r="F884" s="6" t="s">
        <v>94</v>
      </c>
      <c r="G884" s="6" t="s">
        <v>100</v>
      </c>
      <c r="H884" s="7">
        <v>3953.0</v>
      </c>
      <c r="I884" s="7">
        <v>3173.0</v>
      </c>
      <c r="J884" s="6">
        <v>2013.0</v>
      </c>
      <c r="K884" s="6">
        <v>11.0</v>
      </c>
      <c r="L884" s="6" t="s">
        <v>22</v>
      </c>
      <c r="M884" s="6" t="s">
        <v>4456</v>
      </c>
      <c r="N884" s="6" t="s">
        <v>34</v>
      </c>
      <c r="O884" s="6" t="s">
        <v>35</v>
      </c>
      <c r="P884" s="6">
        <f>COUNTIF(Analysis!$M$1:$M$3001,Analysis!$M1104)</f>
        <v>1</v>
      </c>
      <c r="Q884" s="6" t="str">
        <f>IF(COUNTIF(Analysis!$M$2:$M$3001,Analysis!$M1104)&gt;1,"Duplicate","OK")</f>
        <v>OK</v>
      </c>
      <c r="R884" s="6" t="str">
        <f t="shared" si="1"/>
        <v>3600+</v>
      </c>
      <c r="S884" s="6">
        <f t="shared" si="2"/>
        <v>13</v>
      </c>
      <c r="T884" s="6" t="str">
        <f t="shared" si="3"/>
        <v>Mid</v>
      </c>
    </row>
    <row r="885" ht="14.25" customHeight="1">
      <c r="A885" s="5">
        <v>171018.0</v>
      </c>
      <c r="B885" s="6" t="s">
        <v>3579</v>
      </c>
      <c r="C885" s="6" t="s">
        <v>76</v>
      </c>
      <c r="D885" s="6">
        <v>18188.0</v>
      </c>
      <c r="E885" s="6" t="s">
        <v>77</v>
      </c>
      <c r="F885" s="6" t="s">
        <v>61</v>
      </c>
      <c r="G885" s="6" t="s">
        <v>55</v>
      </c>
      <c r="H885" s="7">
        <v>616.0</v>
      </c>
      <c r="I885" s="7">
        <v>2338.0</v>
      </c>
      <c r="J885" s="6">
        <v>1986.0</v>
      </c>
      <c r="K885" s="6">
        <v>17.0</v>
      </c>
      <c r="L885" s="6" t="s">
        <v>62</v>
      </c>
      <c r="M885" s="6" t="s">
        <v>3580</v>
      </c>
      <c r="N885" s="6" t="s">
        <v>43</v>
      </c>
      <c r="O885" s="6" t="s">
        <v>35</v>
      </c>
      <c r="P885" s="6">
        <f>COUNTIF(Analysis!$M$1:$M$3001,Analysis!$M885)</f>
        <v>1</v>
      </c>
      <c r="Q885" s="6" t="str">
        <f>IF(COUNTIF(Analysis!$M$2:$M$3001,Analysis!$M885)&gt;1,"Duplicate","OK")</f>
        <v>OK</v>
      </c>
      <c r="R885" s="6" t="str">
        <f t="shared" si="1"/>
        <v>600-1600</v>
      </c>
      <c r="S885" s="6">
        <f t="shared" si="2"/>
        <v>40</v>
      </c>
      <c r="T885" s="6" t="str">
        <f t="shared" si="3"/>
        <v>Old</v>
      </c>
    </row>
    <row r="886" ht="14.25" customHeight="1">
      <c r="A886" s="5">
        <v>1428670.0</v>
      </c>
      <c r="B886" s="6" t="s">
        <v>3583</v>
      </c>
      <c r="C886" s="6" t="s">
        <v>53</v>
      </c>
      <c r="D886" s="6">
        <v>48336.0</v>
      </c>
      <c r="E886" s="6" t="s">
        <v>30</v>
      </c>
      <c r="F886" s="6" t="s">
        <v>41</v>
      </c>
      <c r="G886" s="6" t="s">
        <v>100</v>
      </c>
      <c r="H886" s="7">
        <v>3316.0</v>
      </c>
      <c r="I886" s="7">
        <v>5657.0</v>
      </c>
      <c r="J886" s="6">
        <v>1996.0</v>
      </c>
      <c r="K886" s="6">
        <v>114.0</v>
      </c>
      <c r="L886" s="6" t="s">
        <v>32</v>
      </c>
      <c r="M886" s="6" t="s">
        <v>3584</v>
      </c>
      <c r="N886" s="6" t="s">
        <v>48</v>
      </c>
      <c r="O886" s="6" t="s">
        <v>49</v>
      </c>
      <c r="P886" s="6">
        <f>COUNTIF(Analysis!$M$1:$M$3001,Analysis!$M886)</f>
        <v>1</v>
      </c>
      <c r="Q886" s="6" t="str">
        <f>IF(COUNTIF(Analysis!$M$2:$M$3001,Analysis!$M886)&gt;1,"Duplicate","OK")</f>
        <v>OK</v>
      </c>
      <c r="R886" s="6" t="str">
        <f t="shared" si="1"/>
        <v>2600-3600</v>
      </c>
      <c r="S886" s="6">
        <f t="shared" si="2"/>
        <v>30</v>
      </c>
      <c r="T886" s="6" t="str">
        <f t="shared" si="3"/>
        <v>Mid</v>
      </c>
    </row>
    <row r="887" ht="14.25" customHeight="1">
      <c r="A887" s="5">
        <v>516901.0</v>
      </c>
      <c r="B887" s="6" t="s">
        <v>3587</v>
      </c>
      <c r="C887" s="6" t="s">
        <v>76</v>
      </c>
      <c r="D887" s="6">
        <v>98522.0</v>
      </c>
      <c r="E887" s="6" t="s">
        <v>30</v>
      </c>
      <c r="F887" s="6" t="s">
        <v>46</v>
      </c>
      <c r="G887" s="6" t="s">
        <v>100</v>
      </c>
      <c r="H887" s="7">
        <v>1004.0</v>
      </c>
      <c r="I887" s="7">
        <v>6101.0</v>
      </c>
      <c r="J887" s="6">
        <v>1967.0</v>
      </c>
      <c r="K887" s="6">
        <v>33.0</v>
      </c>
      <c r="L887" s="6" t="s">
        <v>22</v>
      </c>
      <c r="M887" s="6" t="s">
        <v>3588</v>
      </c>
      <c r="N887" s="6" t="s">
        <v>24</v>
      </c>
      <c r="O887" s="6" t="s">
        <v>25</v>
      </c>
      <c r="P887" s="6">
        <f>COUNTIF(Analysis!$M$1:$M$3001,Analysis!$M887)</f>
        <v>1</v>
      </c>
      <c r="Q887" s="6" t="str">
        <f>IF(COUNTIF(Analysis!$M$2:$M$3001,Analysis!$M887)&gt;1,"Duplicate","OK")</f>
        <v>OK</v>
      </c>
      <c r="R887" s="6" t="str">
        <f t="shared" si="1"/>
        <v>600-1600</v>
      </c>
      <c r="S887" s="6">
        <f t="shared" si="2"/>
        <v>59</v>
      </c>
      <c r="T887" s="6" t="str">
        <f t="shared" si="3"/>
        <v>Old</v>
      </c>
    </row>
    <row r="888" ht="14.25" customHeight="1">
      <c r="A888" s="5">
        <v>401072.0</v>
      </c>
      <c r="B888" s="6" t="s">
        <v>3591</v>
      </c>
      <c r="C888" s="6" t="s">
        <v>53</v>
      </c>
      <c r="D888" s="6">
        <v>86828.0</v>
      </c>
      <c r="E888" s="6" t="s">
        <v>19</v>
      </c>
      <c r="F888" s="6" t="s">
        <v>94</v>
      </c>
      <c r="G888" s="6" t="s">
        <v>21</v>
      </c>
      <c r="H888" s="7">
        <v>1246.0</v>
      </c>
      <c r="I888" s="7">
        <v>1518.0</v>
      </c>
      <c r="J888" s="6">
        <v>1956.0</v>
      </c>
      <c r="K888" s="6">
        <v>24.0</v>
      </c>
      <c r="L888" s="6" t="s">
        <v>141</v>
      </c>
      <c r="M888" s="6" t="s">
        <v>3592</v>
      </c>
      <c r="N888" s="6" t="s">
        <v>34</v>
      </c>
      <c r="O888" s="6" t="s">
        <v>35</v>
      </c>
      <c r="P888" s="6">
        <f>COUNTIF(Analysis!$M$1:$M$3001,Analysis!$M888)</f>
        <v>1</v>
      </c>
      <c r="Q888" s="6" t="str">
        <f>IF(COUNTIF(Analysis!$M$2:$M$3001,Analysis!$M888)&gt;1,"Duplicate","OK")</f>
        <v>OK</v>
      </c>
      <c r="R888" s="6" t="str">
        <f t="shared" si="1"/>
        <v>600-1600</v>
      </c>
      <c r="S888" s="6">
        <f t="shared" si="2"/>
        <v>70</v>
      </c>
      <c r="T888" s="6" t="str">
        <f t="shared" si="3"/>
        <v>Very Old</v>
      </c>
    </row>
    <row r="889" ht="14.25" customHeight="1">
      <c r="A889" s="5">
        <v>535463.0</v>
      </c>
      <c r="B889" s="6" t="s">
        <v>2364</v>
      </c>
      <c r="C889" s="6" t="s">
        <v>29</v>
      </c>
      <c r="D889" s="6">
        <v>17671.0</v>
      </c>
      <c r="E889" s="6" t="s">
        <v>19</v>
      </c>
      <c r="F889" s="6" t="s">
        <v>61</v>
      </c>
      <c r="G889" s="6" t="s">
        <v>100</v>
      </c>
      <c r="H889" s="7">
        <v>903.0</v>
      </c>
      <c r="I889" s="7">
        <v>2533.0</v>
      </c>
      <c r="J889" s="6">
        <v>1962.0</v>
      </c>
      <c r="K889" s="6">
        <v>37.0</v>
      </c>
      <c r="L889" s="6" t="s">
        <v>62</v>
      </c>
      <c r="M889" s="6" t="s">
        <v>2365</v>
      </c>
      <c r="N889" s="6" t="s">
        <v>48</v>
      </c>
      <c r="O889" s="6" t="s">
        <v>49</v>
      </c>
      <c r="P889" s="6">
        <f>COUNTIF(Analysis!$M$1:$M$3001,Analysis!$M581)</f>
        <v>1</v>
      </c>
      <c r="Q889" s="6" t="str">
        <f>IF(COUNTIF(Analysis!$M$2:$M$3001,Analysis!$M581)&gt;1,"Duplicate","OK")</f>
        <v>OK</v>
      </c>
      <c r="R889" s="6" t="str">
        <f t="shared" si="1"/>
        <v>600-1600</v>
      </c>
      <c r="S889" s="6">
        <f t="shared" si="2"/>
        <v>64</v>
      </c>
      <c r="T889" s="6" t="str">
        <f t="shared" si="3"/>
        <v>Very Old</v>
      </c>
    </row>
    <row r="890" ht="14.25" customHeight="1">
      <c r="A890" s="5">
        <v>1456318.0</v>
      </c>
      <c r="B890" s="6" t="s">
        <v>3599</v>
      </c>
      <c r="C890" s="6" t="s">
        <v>39</v>
      </c>
      <c r="D890" s="6">
        <v>67032.0</v>
      </c>
      <c r="E890" s="6" t="s">
        <v>77</v>
      </c>
      <c r="F890" s="6" t="s">
        <v>54</v>
      </c>
      <c r="G890" s="6" t="s">
        <v>100</v>
      </c>
      <c r="H890" s="7">
        <v>2204.0</v>
      </c>
      <c r="I890" s="7">
        <v>6968.0</v>
      </c>
      <c r="J890" s="6">
        <v>1959.0</v>
      </c>
      <c r="K890" s="6">
        <v>87.0</v>
      </c>
      <c r="L890" s="6" t="s">
        <v>62</v>
      </c>
      <c r="M890" s="6" t="s">
        <v>3600</v>
      </c>
      <c r="N890" s="6" t="s">
        <v>34</v>
      </c>
      <c r="O890" s="6" t="s">
        <v>35</v>
      </c>
      <c r="P890" s="6">
        <f>COUNTIF(Analysis!$M$1:$M$3001,Analysis!$M890)</f>
        <v>1</v>
      </c>
      <c r="Q890" s="6" t="str">
        <f>IF(COUNTIF(Analysis!$M$2:$M$3001,Analysis!$M890)&gt;1,"Duplicate","OK")</f>
        <v>OK</v>
      </c>
      <c r="R890" s="6" t="str">
        <f t="shared" si="1"/>
        <v>1600-2600</v>
      </c>
      <c r="S890" s="6">
        <f t="shared" si="2"/>
        <v>67</v>
      </c>
      <c r="T890" s="6" t="str">
        <f t="shared" si="3"/>
        <v>Very Old</v>
      </c>
    </row>
    <row r="891" ht="14.25" customHeight="1">
      <c r="A891" s="5">
        <v>539722.0</v>
      </c>
      <c r="B891" s="6" t="s">
        <v>2707</v>
      </c>
      <c r="C891" s="6" t="s">
        <v>29</v>
      </c>
      <c r="D891" s="6">
        <v>74354.0</v>
      </c>
      <c r="E891" s="6" t="s">
        <v>77</v>
      </c>
      <c r="F891" s="6" t="s">
        <v>41</v>
      </c>
      <c r="G891" s="6" t="s">
        <v>100</v>
      </c>
      <c r="H891" s="7">
        <v>2702.0</v>
      </c>
      <c r="I891" s="7">
        <v>4501.0</v>
      </c>
      <c r="J891" s="6">
        <v>1972.0</v>
      </c>
      <c r="K891" s="6">
        <v>50.0</v>
      </c>
      <c r="L891" s="6" t="s">
        <v>22</v>
      </c>
      <c r="M891" s="6" t="s">
        <v>2708</v>
      </c>
      <c r="N891" s="6" t="s">
        <v>34</v>
      </c>
      <c r="O891" s="6" t="s">
        <v>49</v>
      </c>
      <c r="P891" s="6">
        <f>COUNTIF(Analysis!$M$1:$M$3001,Analysis!$M667)</f>
        <v>1</v>
      </c>
      <c r="Q891" s="6" t="str">
        <f>IF(COUNTIF(Analysis!$M$2:$M$3001,Analysis!$M667)&gt;1,"Duplicate","OK")</f>
        <v>OK</v>
      </c>
      <c r="R891" s="6" t="str">
        <f t="shared" si="1"/>
        <v>2600-3600</v>
      </c>
      <c r="S891" s="6">
        <f t="shared" si="2"/>
        <v>54</v>
      </c>
      <c r="T891" s="6" t="str">
        <f t="shared" si="3"/>
        <v>Old</v>
      </c>
    </row>
    <row r="892" ht="14.25" customHeight="1">
      <c r="A892" s="5">
        <v>619389.0</v>
      </c>
      <c r="B892" s="6" t="s">
        <v>3607</v>
      </c>
      <c r="C892" s="6" t="s">
        <v>76</v>
      </c>
      <c r="D892" s="6">
        <v>89824.0</v>
      </c>
      <c r="E892" s="6" t="s">
        <v>77</v>
      </c>
      <c r="F892" s="6" t="s">
        <v>61</v>
      </c>
      <c r="G892" s="6" t="s">
        <v>100</v>
      </c>
      <c r="H892" s="7">
        <v>3289.0</v>
      </c>
      <c r="I892" s="7">
        <v>9451.0</v>
      </c>
      <c r="J892" s="6">
        <v>2001.0</v>
      </c>
      <c r="K892" s="6">
        <v>22.0</v>
      </c>
      <c r="L892" s="6" t="s">
        <v>141</v>
      </c>
      <c r="M892" s="6" t="s">
        <v>3608</v>
      </c>
      <c r="N892" s="6" t="s">
        <v>48</v>
      </c>
      <c r="O892" s="6" t="s">
        <v>49</v>
      </c>
      <c r="P892" s="6">
        <f>COUNTIF(Analysis!$M$1:$M$3001,Analysis!$M892)</f>
        <v>1</v>
      </c>
      <c r="Q892" s="6" t="str">
        <f>IF(COUNTIF(Analysis!$M$2:$M$3001,Analysis!$M892)&gt;1,"Duplicate","OK")</f>
        <v>OK</v>
      </c>
      <c r="R892" s="6" t="str">
        <f t="shared" si="1"/>
        <v>2600-3600</v>
      </c>
      <c r="S892" s="6">
        <f t="shared" si="2"/>
        <v>25</v>
      </c>
      <c r="T892" s="6" t="str">
        <f t="shared" si="3"/>
        <v>Mid</v>
      </c>
    </row>
    <row r="893" ht="14.25" customHeight="1">
      <c r="A893" s="5">
        <v>869419.0</v>
      </c>
      <c r="B893" s="6" t="s">
        <v>3611</v>
      </c>
      <c r="C893" s="6" t="s">
        <v>18</v>
      </c>
      <c r="D893" s="6">
        <v>63159.0</v>
      </c>
      <c r="E893" s="6" t="s">
        <v>40</v>
      </c>
      <c r="F893" s="6" t="s">
        <v>54</v>
      </c>
      <c r="G893" s="6" t="s">
        <v>31</v>
      </c>
      <c r="H893" s="7">
        <v>1231.0</v>
      </c>
      <c r="I893" s="7">
        <v>5733.0</v>
      </c>
      <c r="J893" s="6">
        <v>1953.0</v>
      </c>
      <c r="K893" s="6">
        <v>38.0</v>
      </c>
      <c r="L893" s="6" t="s">
        <v>62</v>
      </c>
      <c r="M893" s="6" t="s">
        <v>3612</v>
      </c>
      <c r="N893" s="6" t="s">
        <v>48</v>
      </c>
      <c r="O893" s="6" t="s">
        <v>49</v>
      </c>
      <c r="P893" s="6">
        <f>COUNTIF(Analysis!$M$1:$M$3001,Analysis!$M893)</f>
        <v>1</v>
      </c>
      <c r="Q893" s="6" t="str">
        <f>IF(COUNTIF(Analysis!$M$2:$M$3001,Analysis!$M893)&gt;1,"Duplicate","OK")</f>
        <v>OK</v>
      </c>
      <c r="R893" s="6" t="str">
        <f t="shared" si="1"/>
        <v>600-1600</v>
      </c>
      <c r="S893" s="6">
        <f t="shared" si="2"/>
        <v>73</v>
      </c>
      <c r="T893" s="6" t="str">
        <f t="shared" si="3"/>
        <v>Very Old</v>
      </c>
    </row>
    <row r="894" ht="14.25" customHeight="1">
      <c r="A894" s="5">
        <v>384317.0</v>
      </c>
      <c r="B894" s="6" t="s">
        <v>3615</v>
      </c>
      <c r="C894" s="6" t="s">
        <v>53</v>
      </c>
      <c r="D894" s="6">
        <v>72459.0</v>
      </c>
      <c r="E894" s="6" t="s">
        <v>77</v>
      </c>
      <c r="F894" s="6" t="s">
        <v>20</v>
      </c>
      <c r="G894" s="6" t="s">
        <v>55</v>
      </c>
      <c r="H894" s="7">
        <v>2867.0</v>
      </c>
      <c r="I894" s="7">
        <v>2794.0</v>
      </c>
      <c r="J894" s="6">
        <v>2020.0</v>
      </c>
      <c r="K894" s="6">
        <v>34.0</v>
      </c>
      <c r="L894" s="6" t="s">
        <v>22</v>
      </c>
      <c r="M894" s="6" t="s">
        <v>3616</v>
      </c>
      <c r="N894" s="6" t="s">
        <v>43</v>
      </c>
      <c r="O894" s="6" t="s">
        <v>49</v>
      </c>
      <c r="P894" s="6">
        <f>COUNTIF(Analysis!$M$1:$M$3001,Analysis!$M894)</f>
        <v>1</v>
      </c>
      <c r="Q894" s="6" t="str">
        <f>IF(COUNTIF(Analysis!$M$2:$M$3001,Analysis!$M894)&gt;1,"Duplicate","OK")</f>
        <v>OK</v>
      </c>
      <c r="R894" s="6" t="str">
        <f t="shared" si="1"/>
        <v>2600-3600</v>
      </c>
      <c r="S894" s="6">
        <f t="shared" si="2"/>
        <v>6</v>
      </c>
      <c r="T894" s="6" t="str">
        <f t="shared" si="3"/>
        <v>New</v>
      </c>
    </row>
    <row r="895" ht="14.25" customHeight="1">
      <c r="A895" s="5">
        <v>850010.0</v>
      </c>
      <c r="B895" s="6" t="s">
        <v>3619</v>
      </c>
      <c r="C895" s="6" t="s">
        <v>39</v>
      </c>
      <c r="D895" s="6">
        <v>10339.0</v>
      </c>
      <c r="E895" s="6" t="s">
        <v>77</v>
      </c>
      <c r="F895" s="6" t="s">
        <v>61</v>
      </c>
      <c r="G895" s="6" t="s">
        <v>31</v>
      </c>
      <c r="H895" s="7">
        <v>2419.0</v>
      </c>
      <c r="I895" s="7">
        <v>8423.0</v>
      </c>
      <c r="J895" s="6">
        <v>1991.0</v>
      </c>
      <c r="K895" s="6">
        <v>78.0</v>
      </c>
      <c r="L895" s="6" t="s">
        <v>141</v>
      </c>
      <c r="M895" s="6" t="s">
        <v>3620</v>
      </c>
      <c r="N895" s="6" t="s">
        <v>43</v>
      </c>
      <c r="O895" s="6" t="s">
        <v>25</v>
      </c>
      <c r="P895" s="6">
        <f>COUNTIF(Analysis!$M$1:$M$3001,Analysis!$M895)</f>
        <v>1</v>
      </c>
      <c r="Q895" s="6" t="str">
        <f>IF(COUNTIF(Analysis!$M$2:$M$3001,Analysis!$M895)&gt;1,"Duplicate","OK")</f>
        <v>OK</v>
      </c>
      <c r="R895" s="6" t="str">
        <f t="shared" si="1"/>
        <v>1600-2600</v>
      </c>
      <c r="S895" s="6">
        <f t="shared" si="2"/>
        <v>35</v>
      </c>
      <c r="T895" s="6" t="str">
        <f t="shared" si="3"/>
        <v>Old</v>
      </c>
    </row>
    <row r="896" ht="14.25" customHeight="1">
      <c r="A896" s="5">
        <v>1466927.0</v>
      </c>
      <c r="B896" s="6" t="s">
        <v>3623</v>
      </c>
      <c r="C896" s="6" t="s">
        <v>39</v>
      </c>
      <c r="D896" s="6">
        <v>63572.0</v>
      </c>
      <c r="E896" s="6" t="s">
        <v>30</v>
      </c>
      <c r="F896" s="6" t="s">
        <v>20</v>
      </c>
      <c r="G896" s="6" t="s">
        <v>21</v>
      </c>
      <c r="H896" s="7">
        <v>1280.0</v>
      </c>
      <c r="I896" s="7">
        <v>8684.0</v>
      </c>
      <c r="J896" s="6">
        <v>1964.0</v>
      </c>
      <c r="K896" s="6">
        <v>81.0</v>
      </c>
      <c r="L896" s="6" t="s">
        <v>141</v>
      </c>
      <c r="M896" s="6" t="s">
        <v>3624</v>
      </c>
      <c r="N896" s="6" t="s">
        <v>43</v>
      </c>
      <c r="O896" s="6" t="s">
        <v>25</v>
      </c>
      <c r="P896" s="6">
        <f>COUNTIF(Analysis!$M$1:$M$3001,Analysis!$M896)</f>
        <v>1</v>
      </c>
      <c r="Q896" s="6" t="str">
        <f>IF(COUNTIF(Analysis!$M$2:$M$3001,Analysis!$M896)&gt;1,"Duplicate","OK")</f>
        <v>OK</v>
      </c>
      <c r="R896" s="6" t="str">
        <f t="shared" si="1"/>
        <v>600-1600</v>
      </c>
      <c r="S896" s="6">
        <f t="shared" si="2"/>
        <v>62</v>
      </c>
      <c r="T896" s="6" t="str">
        <f t="shared" si="3"/>
        <v>Very Old</v>
      </c>
    </row>
    <row r="897" ht="14.25" customHeight="1">
      <c r="A897" s="5">
        <v>463990.0</v>
      </c>
      <c r="B897" s="6" t="s">
        <v>3627</v>
      </c>
      <c r="C897" s="6" t="s">
        <v>39</v>
      </c>
      <c r="D897" s="6">
        <v>75749.0</v>
      </c>
      <c r="E897" s="6" t="s">
        <v>60</v>
      </c>
      <c r="F897" s="6" t="s">
        <v>54</v>
      </c>
      <c r="G897" s="6" t="s">
        <v>31</v>
      </c>
      <c r="H897" s="7">
        <v>3069.0</v>
      </c>
      <c r="I897" s="7">
        <v>8766.0</v>
      </c>
      <c r="J897" s="6">
        <v>1968.0</v>
      </c>
      <c r="K897" s="6">
        <v>44.0</v>
      </c>
      <c r="L897" s="6" t="s">
        <v>141</v>
      </c>
      <c r="M897" s="6" t="s">
        <v>3628</v>
      </c>
      <c r="N897" s="6" t="s">
        <v>34</v>
      </c>
      <c r="O897" s="6" t="s">
        <v>49</v>
      </c>
      <c r="P897" s="6">
        <f>COUNTIF(Analysis!$M$1:$M$3001,Analysis!$M897)</f>
        <v>1</v>
      </c>
      <c r="Q897" s="6" t="str">
        <f>IF(COUNTIF(Analysis!$M$2:$M$3001,Analysis!$M897)&gt;1,"Duplicate","OK")</f>
        <v>OK</v>
      </c>
      <c r="R897" s="6" t="str">
        <f t="shared" si="1"/>
        <v>2600-3600</v>
      </c>
      <c r="S897" s="6">
        <f t="shared" si="2"/>
        <v>58</v>
      </c>
      <c r="T897" s="6" t="str">
        <f t="shared" si="3"/>
        <v>Old</v>
      </c>
    </row>
    <row r="898" ht="14.25" customHeight="1">
      <c r="A898" s="5">
        <v>1237293.0</v>
      </c>
      <c r="B898" s="6" t="s">
        <v>3631</v>
      </c>
      <c r="C898" s="6" t="s">
        <v>39</v>
      </c>
      <c r="D898" s="6">
        <v>56410.0</v>
      </c>
      <c r="E898" s="6" t="s">
        <v>19</v>
      </c>
      <c r="F898" s="6" t="s">
        <v>46</v>
      </c>
      <c r="G898" s="6" t="s">
        <v>55</v>
      </c>
      <c r="H898" s="7">
        <v>2488.0</v>
      </c>
      <c r="I898" s="7">
        <v>6525.0</v>
      </c>
      <c r="J898" s="6">
        <v>1961.0</v>
      </c>
      <c r="K898" s="6">
        <v>79.0</v>
      </c>
      <c r="L898" s="6" t="s">
        <v>141</v>
      </c>
      <c r="M898" s="6" t="s">
        <v>3632</v>
      </c>
      <c r="N898" s="6" t="s">
        <v>24</v>
      </c>
      <c r="O898" s="6" t="s">
        <v>25</v>
      </c>
      <c r="P898" s="6">
        <f>COUNTIF(Analysis!$M$1:$M$3001,Analysis!$M898)</f>
        <v>1</v>
      </c>
      <c r="Q898" s="6" t="str">
        <f>IF(COUNTIF(Analysis!$M$2:$M$3001,Analysis!$M898)&gt;1,"Duplicate","OK")</f>
        <v>OK</v>
      </c>
      <c r="R898" s="6" t="str">
        <f t="shared" si="1"/>
        <v>1600-2600</v>
      </c>
      <c r="S898" s="6">
        <f t="shared" si="2"/>
        <v>65</v>
      </c>
      <c r="T898" s="6" t="str">
        <f t="shared" si="3"/>
        <v>Very Old</v>
      </c>
    </row>
    <row r="899" ht="14.25" customHeight="1">
      <c r="A899" s="5">
        <v>208954.0</v>
      </c>
      <c r="B899" s="6" t="s">
        <v>3635</v>
      </c>
      <c r="C899" s="6" t="s">
        <v>76</v>
      </c>
      <c r="D899" s="6">
        <v>37583.0</v>
      </c>
      <c r="E899" s="6" t="s">
        <v>77</v>
      </c>
      <c r="F899" s="6" t="s">
        <v>61</v>
      </c>
      <c r="G899" s="6" t="s">
        <v>31</v>
      </c>
      <c r="H899" s="7">
        <v>1485.0</v>
      </c>
      <c r="I899" s="7">
        <v>9478.0</v>
      </c>
      <c r="J899" s="6">
        <v>2022.0</v>
      </c>
      <c r="K899" s="6">
        <v>84.0</v>
      </c>
      <c r="L899" s="6" t="s">
        <v>141</v>
      </c>
      <c r="M899" s="6" t="s">
        <v>3636</v>
      </c>
      <c r="N899" s="6" t="s">
        <v>48</v>
      </c>
      <c r="O899" s="6" t="s">
        <v>49</v>
      </c>
      <c r="P899" s="6">
        <f>COUNTIF(Analysis!$M$1:$M$3001,Analysis!$M899)</f>
        <v>1</v>
      </c>
      <c r="Q899" s="6" t="str">
        <f>IF(COUNTIF(Analysis!$M$2:$M$3001,Analysis!$M899)&gt;1,"Duplicate","OK")</f>
        <v>OK</v>
      </c>
      <c r="R899" s="6" t="str">
        <f t="shared" si="1"/>
        <v>600-1600</v>
      </c>
      <c r="S899" s="6">
        <f t="shared" si="2"/>
        <v>4</v>
      </c>
      <c r="T899" s="6" t="str">
        <f t="shared" si="3"/>
        <v>New</v>
      </c>
    </row>
    <row r="900" ht="14.25" customHeight="1">
      <c r="A900" s="5">
        <v>542852.0</v>
      </c>
      <c r="B900" s="6" t="s">
        <v>10959</v>
      </c>
      <c r="C900" s="6" t="s">
        <v>29</v>
      </c>
      <c r="D900" s="6">
        <v>23513.0</v>
      </c>
      <c r="E900" s="6" t="s">
        <v>19</v>
      </c>
      <c r="F900" s="6" t="s">
        <v>54</v>
      </c>
      <c r="G900" s="6" t="s">
        <v>31</v>
      </c>
      <c r="H900" s="7">
        <v>1430.0</v>
      </c>
      <c r="I900" s="7">
        <v>4574.0</v>
      </c>
      <c r="J900" s="6">
        <v>1988.0</v>
      </c>
      <c r="K900" s="6">
        <v>71.0</v>
      </c>
      <c r="L900" s="6" t="s">
        <v>32</v>
      </c>
      <c r="M900" s="6" t="s">
        <v>10960</v>
      </c>
      <c r="N900" s="6" t="s">
        <v>24</v>
      </c>
      <c r="O900" s="6" t="s">
        <v>25</v>
      </c>
      <c r="P900" s="6">
        <f>COUNTIF(Analysis!$M$1:$M$3001,Analysis!$M2731)</f>
        <v>1</v>
      </c>
      <c r="Q900" s="6" t="str">
        <f>IF(COUNTIF(Analysis!$M$2:$M$3001,Analysis!$M2731)&gt;1,"Duplicate","OK")</f>
        <v>OK</v>
      </c>
      <c r="R900" s="6" t="str">
        <f t="shared" si="1"/>
        <v>600-1600</v>
      </c>
      <c r="S900" s="6">
        <f t="shared" si="2"/>
        <v>38</v>
      </c>
      <c r="T900" s="6" t="str">
        <f t="shared" si="3"/>
        <v>Old</v>
      </c>
    </row>
    <row r="901" ht="14.25" customHeight="1">
      <c r="A901" s="5">
        <v>868534.0</v>
      </c>
      <c r="B901" s="6" t="s">
        <v>3643</v>
      </c>
      <c r="C901" s="6" t="s">
        <v>18</v>
      </c>
      <c r="D901" s="6">
        <v>42349.0</v>
      </c>
      <c r="E901" s="6" t="s">
        <v>60</v>
      </c>
      <c r="F901" s="6" t="s">
        <v>61</v>
      </c>
      <c r="G901" s="6" t="s">
        <v>100</v>
      </c>
      <c r="H901" s="7">
        <v>683.0</v>
      </c>
      <c r="I901" s="7">
        <v>4670.0</v>
      </c>
      <c r="J901" s="6">
        <v>1998.0</v>
      </c>
      <c r="K901" s="6">
        <v>79.0</v>
      </c>
      <c r="L901" s="6" t="s">
        <v>62</v>
      </c>
      <c r="M901" s="6" t="s">
        <v>3644</v>
      </c>
      <c r="N901" s="6" t="s">
        <v>24</v>
      </c>
      <c r="O901" s="6" t="s">
        <v>25</v>
      </c>
      <c r="P901" s="6">
        <f>COUNTIF(Analysis!$M$1:$M$3001,Analysis!$M901)</f>
        <v>1</v>
      </c>
      <c r="Q901" s="6" t="str">
        <f>IF(COUNTIF(Analysis!$M$2:$M$3001,Analysis!$M901)&gt;1,"Duplicate","OK")</f>
        <v>OK</v>
      </c>
      <c r="R901" s="6" t="str">
        <f t="shared" si="1"/>
        <v>600-1600</v>
      </c>
      <c r="S901" s="6">
        <f t="shared" si="2"/>
        <v>28</v>
      </c>
      <c r="T901" s="6" t="str">
        <f t="shared" si="3"/>
        <v>Mid</v>
      </c>
    </row>
    <row r="902" ht="14.25" customHeight="1">
      <c r="A902" s="5">
        <v>1133100.0</v>
      </c>
      <c r="B902" s="6" t="s">
        <v>3647</v>
      </c>
      <c r="C902" s="6" t="s">
        <v>39</v>
      </c>
      <c r="D902" s="6">
        <v>75688.0</v>
      </c>
      <c r="E902" s="6" t="s">
        <v>77</v>
      </c>
      <c r="F902" s="6" t="s">
        <v>41</v>
      </c>
      <c r="G902" s="6" t="s">
        <v>21</v>
      </c>
      <c r="H902" s="7">
        <v>942.0</v>
      </c>
      <c r="I902" s="7">
        <v>6946.0</v>
      </c>
      <c r="J902" s="6">
        <v>2023.0</v>
      </c>
      <c r="K902" s="6">
        <v>110.0</v>
      </c>
      <c r="L902" s="6" t="s">
        <v>32</v>
      </c>
      <c r="M902" s="6" t="s">
        <v>3648</v>
      </c>
      <c r="N902" s="6" t="s">
        <v>64</v>
      </c>
      <c r="O902" s="6" t="s">
        <v>25</v>
      </c>
      <c r="P902" s="6">
        <f>COUNTIF(Analysis!$M$1:$M$3001,Analysis!$M902)</f>
        <v>1</v>
      </c>
      <c r="Q902" s="6" t="str">
        <f>IF(COUNTIF(Analysis!$M$2:$M$3001,Analysis!$M902)&gt;1,"Duplicate","OK")</f>
        <v>OK</v>
      </c>
      <c r="R902" s="6" t="str">
        <f t="shared" si="1"/>
        <v>600-1600</v>
      </c>
      <c r="S902" s="6">
        <f t="shared" si="2"/>
        <v>3</v>
      </c>
      <c r="T902" s="6" t="str">
        <f t="shared" si="3"/>
        <v>New</v>
      </c>
    </row>
    <row r="903" ht="14.25" customHeight="1">
      <c r="A903" s="5">
        <v>1396517.0</v>
      </c>
      <c r="B903" s="6" t="s">
        <v>3651</v>
      </c>
      <c r="C903" s="6" t="s">
        <v>39</v>
      </c>
      <c r="D903" s="6">
        <v>21619.0</v>
      </c>
      <c r="E903" s="6" t="s">
        <v>60</v>
      </c>
      <c r="F903" s="6" t="s">
        <v>54</v>
      </c>
      <c r="G903" s="6" t="s">
        <v>55</v>
      </c>
      <c r="H903" s="7">
        <v>2365.0</v>
      </c>
      <c r="I903" s="7">
        <v>6983.0</v>
      </c>
      <c r="J903" s="6">
        <v>1992.0</v>
      </c>
      <c r="K903" s="6">
        <v>59.0</v>
      </c>
      <c r="L903" s="6" t="s">
        <v>22</v>
      </c>
      <c r="M903" s="6" t="s">
        <v>3652</v>
      </c>
      <c r="N903" s="6" t="s">
        <v>64</v>
      </c>
      <c r="O903" s="6" t="s">
        <v>35</v>
      </c>
      <c r="P903" s="6">
        <f>COUNTIF(Analysis!$M$1:$M$3001,Analysis!$M903)</f>
        <v>1</v>
      </c>
      <c r="Q903" s="6" t="str">
        <f>IF(COUNTIF(Analysis!$M$2:$M$3001,Analysis!$M903)&gt;1,"Duplicate","OK")</f>
        <v>OK</v>
      </c>
      <c r="R903" s="6" t="str">
        <f t="shared" si="1"/>
        <v>1600-2600</v>
      </c>
      <c r="S903" s="6">
        <f t="shared" si="2"/>
        <v>34</v>
      </c>
      <c r="T903" s="6" t="str">
        <f t="shared" si="3"/>
        <v>Old</v>
      </c>
    </row>
    <row r="904" ht="14.25" customHeight="1">
      <c r="A904" s="5">
        <v>1159677.0</v>
      </c>
      <c r="B904" s="6" t="s">
        <v>3655</v>
      </c>
      <c r="C904" s="6" t="s">
        <v>53</v>
      </c>
      <c r="D904" s="6">
        <v>83680.0</v>
      </c>
      <c r="E904" s="6" t="s">
        <v>40</v>
      </c>
      <c r="F904" s="6" t="s">
        <v>61</v>
      </c>
      <c r="G904" s="6" t="s">
        <v>55</v>
      </c>
      <c r="H904" s="7">
        <v>3728.0</v>
      </c>
      <c r="I904" s="7">
        <v>3997.0</v>
      </c>
      <c r="J904" s="6">
        <v>2019.0</v>
      </c>
      <c r="K904" s="6">
        <v>22.0</v>
      </c>
      <c r="L904" s="6" t="s">
        <v>141</v>
      </c>
      <c r="M904" s="6" t="s">
        <v>3656</v>
      </c>
      <c r="N904" s="6" t="s">
        <v>43</v>
      </c>
      <c r="O904" s="6" t="s">
        <v>49</v>
      </c>
      <c r="P904" s="6">
        <f>COUNTIF(Analysis!$M$1:$M$3001,Analysis!$M904)</f>
        <v>1</v>
      </c>
      <c r="Q904" s="6" t="str">
        <f>IF(COUNTIF(Analysis!$M$2:$M$3001,Analysis!$M904)&gt;1,"Duplicate","OK")</f>
        <v>OK</v>
      </c>
      <c r="R904" s="6" t="str">
        <f t="shared" si="1"/>
        <v>3600+</v>
      </c>
      <c r="S904" s="6">
        <f t="shared" si="2"/>
        <v>7</v>
      </c>
      <c r="T904" s="6" t="str">
        <f t="shared" si="3"/>
        <v>New</v>
      </c>
    </row>
    <row r="905" ht="14.25" customHeight="1">
      <c r="A905" s="5">
        <v>543938.0</v>
      </c>
      <c r="B905" s="6" t="s">
        <v>9171</v>
      </c>
      <c r="C905" s="6" t="s">
        <v>29</v>
      </c>
      <c r="D905" s="6">
        <v>57201.0</v>
      </c>
      <c r="E905" s="6" t="s">
        <v>40</v>
      </c>
      <c r="F905" s="6" t="s">
        <v>61</v>
      </c>
      <c r="G905" s="6" t="s">
        <v>55</v>
      </c>
      <c r="H905" s="7">
        <v>2421.0</v>
      </c>
      <c r="I905" s="7">
        <v>1632.0</v>
      </c>
      <c r="J905" s="6">
        <v>2012.0</v>
      </c>
      <c r="K905" s="6">
        <v>106.0</v>
      </c>
      <c r="L905" s="6" t="s">
        <v>32</v>
      </c>
      <c r="M905" s="6" t="s">
        <v>9172</v>
      </c>
      <c r="N905" s="6" t="s">
        <v>64</v>
      </c>
      <c r="O905" s="6" t="s">
        <v>35</v>
      </c>
      <c r="P905" s="6">
        <f>COUNTIF(Analysis!$M$1:$M$3001,Analysis!$M2284)</f>
        <v>1</v>
      </c>
      <c r="Q905" s="6" t="str">
        <f>IF(COUNTIF(Analysis!$M$2:$M$3001,Analysis!$M2284)&gt;1,"Duplicate","OK")</f>
        <v>OK</v>
      </c>
      <c r="R905" s="6" t="str">
        <f t="shared" si="1"/>
        <v>1600-2600</v>
      </c>
      <c r="S905" s="6">
        <f t="shared" si="2"/>
        <v>14</v>
      </c>
      <c r="T905" s="6" t="str">
        <f t="shared" si="3"/>
        <v>Mid</v>
      </c>
    </row>
    <row r="906" ht="14.25" customHeight="1">
      <c r="A906" s="5">
        <v>911278.0</v>
      </c>
      <c r="B906" s="6" t="s">
        <v>3663</v>
      </c>
      <c r="C906" s="6" t="s">
        <v>39</v>
      </c>
      <c r="D906" s="6">
        <v>26360.0</v>
      </c>
      <c r="E906" s="6" t="s">
        <v>40</v>
      </c>
      <c r="F906" s="6" t="s">
        <v>41</v>
      </c>
      <c r="G906" s="6" t="s">
        <v>31</v>
      </c>
      <c r="H906" s="7">
        <v>3908.0</v>
      </c>
      <c r="I906" s="7">
        <v>2348.0</v>
      </c>
      <c r="J906" s="6">
        <v>2013.0</v>
      </c>
      <c r="K906" s="6">
        <v>3.0</v>
      </c>
      <c r="L906" s="6" t="s">
        <v>95</v>
      </c>
      <c r="M906" s="6" t="s">
        <v>3664</v>
      </c>
      <c r="N906" s="6" t="s">
        <v>64</v>
      </c>
      <c r="O906" s="6" t="s">
        <v>25</v>
      </c>
      <c r="P906" s="6">
        <f>COUNTIF(Analysis!$M$1:$M$3001,Analysis!$M906)</f>
        <v>1</v>
      </c>
      <c r="Q906" s="6" t="str">
        <f>IF(COUNTIF(Analysis!$M$2:$M$3001,Analysis!$M906)&gt;1,"Duplicate","OK")</f>
        <v>OK</v>
      </c>
      <c r="R906" s="6" t="str">
        <f t="shared" si="1"/>
        <v>3600+</v>
      </c>
      <c r="S906" s="6">
        <f t="shared" si="2"/>
        <v>13</v>
      </c>
      <c r="T906" s="6" t="str">
        <f t="shared" si="3"/>
        <v>Mid</v>
      </c>
    </row>
    <row r="907" ht="14.25" customHeight="1">
      <c r="A907" s="5">
        <v>1171839.0</v>
      </c>
      <c r="B907" s="6" t="s">
        <v>3667</v>
      </c>
      <c r="C907" s="6" t="s">
        <v>39</v>
      </c>
      <c r="D907" s="6">
        <v>48702.0</v>
      </c>
      <c r="E907" s="6" t="s">
        <v>40</v>
      </c>
      <c r="F907" s="6" t="s">
        <v>46</v>
      </c>
      <c r="G907" s="6" t="s">
        <v>21</v>
      </c>
      <c r="H907" s="7">
        <v>862.0</v>
      </c>
      <c r="I907" s="7">
        <v>5533.0</v>
      </c>
      <c r="J907" s="6">
        <v>1955.0</v>
      </c>
      <c r="K907" s="6">
        <v>95.0</v>
      </c>
      <c r="L907" s="6" t="s">
        <v>62</v>
      </c>
      <c r="M907" s="6" t="s">
        <v>3668</v>
      </c>
      <c r="N907" s="6" t="s">
        <v>34</v>
      </c>
      <c r="O907" s="6" t="s">
        <v>25</v>
      </c>
      <c r="P907" s="6">
        <f>COUNTIF(Analysis!$M$1:$M$3001,Analysis!$M907)</f>
        <v>1</v>
      </c>
      <c r="Q907" s="6" t="str">
        <f>IF(COUNTIF(Analysis!$M$2:$M$3001,Analysis!$M907)&gt;1,"Duplicate","OK")</f>
        <v>OK</v>
      </c>
      <c r="R907" s="6" t="str">
        <f t="shared" si="1"/>
        <v>600-1600</v>
      </c>
      <c r="S907" s="6">
        <f t="shared" si="2"/>
        <v>71</v>
      </c>
      <c r="T907" s="6" t="str">
        <f t="shared" si="3"/>
        <v>Very Old</v>
      </c>
    </row>
    <row r="908" ht="14.25" customHeight="1">
      <c r="A908" s="5">
        <v>754257.0</v>
      </c>
      <c r="B908" s="6" t="s">
        <v>3671</v>
      </c>
      <c r="C908" s="6" t="s">
        <v>39</v>
      </c>
      <c r="D908" s="6">
        <v>79263.0</v>
      </c>
      <c r="E908" s="6" t="s">
        <v>19</v>
      </c>
      <c r="F908" s="6" t="s">
        <v>54</v>
      </c>
      <c r="G908" s="6" t="s">
        <v>21</v>
      </c>
      <c r="H908" s="7">
        <v>3957.0</v>
      </c>
      <c r="I908" s="7">
        <v>7534.0</v>
      </c>
      <c r="J908" s="6">
        <v>1957.0</v>
      </c>
      <c r="K908" s="6">
        <v>70.0</v>
      </c>
      <c r="L908" s="6" t="s">
        <v>141</v>
      </c>
      <c r="M908" s="6" t="s">
        <v>3672</v>
      </c>
      <c r="N908" s="6" t="s">
        <v>48</v>
      </c>
      <c r="O908" s="6" t="s">
        <v>35</v>
      </c>
      <c r="P908" s="6">
        <f>COUNTIF(Analysis!$M$1:$M$3001,Analysis!$M908)</f>
        <v>1</v>
      </c>
      <c r="Q908" s="6" t="str">
        <f>IF(COUNTIF(Analysis!$M$2:$M$3001,Analysis!$M908)&gt;1,"Duplicate","OK")</f>
        <v>OK</v>
      </c>
      <c r="R908" s="6" t="str">
        <f t="shared" si="1"/>
        <v>3600+</v>
      </c>
      <c r="S908" s="6">
        <f t="shared" si="2"/>
        <v>69</v>
      </c>
      <c r="T908" s="6" t="str">
        <f t="shared" si="3"/>
        <v>Very Old</v>
      </c>
    </row>
    <row r="909" ht="14.25" customHeight="1">
      <c r="A909" s="5">
        <v>632651.0</v>
      </c>
      <c r="B909" s="6" t="s">
        <v>3675</v>
      </c>
      <c r="C909" s="6" t="s">
        <v>39</v>
      </c>
      <c r="D909" s="6">
        <v>39844.0</v>
      </c>
      <c r="E909" s="6" t="s">
        <v>77</v>
      </c>
      <c r="F909" s="6" t="s">
        <v>46</v>
      </c>
      <c r="G909" s="6" t="s">
        <v>100</v>
      </c>
      <c r="H909" s="7">
        <v>1069.0</v>
      </c>
      <c r="I909" s="7">
        <v>9220.0</v>
      </c>
      <c r="J909" s="6">
        <v>2004.0</v>
      </c>
      <c r="K909" s="6">
        <v>98.0</v>
      </c>
      <c r="L909" s="6" t="s">
        <v>32</v>
      </c>
      <c r="M909" s="6" t="s">
        <v>3676</v>
      </c>
      <c r="N909" s="6" t="s">
        <v>64</v>
      </c>
      <c r="O909" s="6" t="s">
        <v>49</v>
      </c>
      <c r="P909" s="6">
        <f>COUNTIF(Analysis!$M$1:$M$3001,Analysis!$M909)</f>
        <v>1</v>
      </c>
      <c r="Q909" s="6" t="str">
        <f>IF(COUNTIF(Analysis!$M$2:$M$3001,Analysis!$M909)&gt;1,"Duplicate","OK")</f>
        <v>OK</v>
      </c>
      <c r="R909" s="6" t="str">
        <f t="shared" si="1"/>
        <v>600-1600</v>
      </c>
      <c r="S909" s="6">
        <f t="shared" si="2"/>
        <v>22</v>
      </c>
      <c r="T909" s="6" t="str">
        <f t="shared" si="3"/>
        <v>Mid</v>
      </c>
    </row>
    <row r="910" ht="14.25" customHeight="1">
      <c r="A910" s="5">
        <v>547385.0</v>
      </c>
      <c r="B910" s="6" t="s">
        <v>10475</v>
      </c>
      <c r="C910" s="6" t="s">
        <v>29</v>
      </c>
      <c r="D910" s="6">
        <v>94096.0</v>
      </c>
      <c r="E910" s="6" t="s">
        <v>60</v>
      </c>
      <c r="F910" s="6" t="s">
        <v>20</v>
      </c>
      <c r="G910" s="6" t="s">
        <v>21</v>
      </c>
      <c r="H910" s="7">
        <v>1792.0</v>
      </c>
      <c r="I910" s="7">
        <v>3712.0</v>
      </c>
      <c r="J910" s="6">
        <v>1951.0</v>
      </c>
      <c r="K910" s="6">
        <v>41.0</v>
      </c>
      <c r="L910" s="6" t="s">
        <v>62</v>
      </c>
      <c r="M910" s="6" t="s">
        <v>10476</v>
      </c>
      <c r="N910" s="6" t="s">
        <v>43</v>
      </c>
      <c r="O910" s="6" t="s">
        <v>25</v>
      </c>
      <c r="P910" s="6">
        <f>COUNTIF(Analysis!$M$1:$M$3001,Analysis!$M2610)</f>
        <v>1</v>
      </c>
      <c r="Q910" s="6" t="str">
        <f>IF(COUNTIF(Analysis!$M$2:$M$3001,Analysis!$M2610)&gt;1,"Duplicate","OK")</f>
        <v>OK</v>
      </c>
      <c r="R910" s="6" t="str">
        <f t="shared" si="1"/>
        <v>1600-2600</v>
      </c>
      <c r="S910" s="6">
        <f t="shared" si="2"/>
        <v>75</v>
      </c>
      <c r="T910" s="6" t="str">
        <f t="shared" si="3"/>
        <v>Very Old</v>
      </c>
    </row>
    <row r="911" ht="14.25" customHeight="1">
      <c r="A911" s="5">
        <v>1102363.0</v>
      </c>
      <c r="B911" s="6" t="s">
        <v>3683</v>
      </c>
      <c r="C911" s="6" t="s">
        <v>76</v>
      </c>
      <c r="D911" s="6">
        <v>30748.0</v>
      </c>
      <c r="E911" s="6" t="s">
        <v>77</v>
      </c>
      <c r="F911" s="6" t="s">
        <v>20</v>
      </c>
      <c r="G911" s="6" t="s">
        <v>21</v>
      </c>
      <c r="H911" s="7">
        <v>1405.0</v>
      </c>
      <c r="I911" s="7">
        <v>8885.0</v>
      </c>
      <c r="J911" s="6">
        <v>2001.0</v>
      </c>
      <c r="K911" s="6">
        <v>85.0</v>
      </c>
      <c r="L911" s="6" t="s">
        <v>32</v>
      </c>
      <c r="M911" s="6" t="s">
        <v>3684</v>
      </c>
      <c r="N911" s="6" t="s">
        <v>43</v>
      </c>
      <c r="O911" s="6" t="s">
        <v>25</v>
      </c>
      <c r="P911" s="6">
        <f>COUNTIF(Analysis!$M$1:$M$3001,Analysis!$M911)</f>
        <v>1</v>
      </c>
      <c r="Q911" s="6" t="str">
        <f>IF(COUNTIF(Analysis!$M$2:$M$3001,Analysis!$M911)&gt;1,"Duplicate","OK")</f>
        <v>OK</v>
      </c>
      <c r="R911" s="6" t="str">
        <f t="shared" si="1"/>
        <v>600-1600</v>
      </c>
      <c r="S911" s="6">
        <f t="shared" si="2"/>
        <v>25</v>
      </c>
      <c r="T911" s="6" t="str">
        <f t="shared" si="3"/>
        <v>Mid</v>
      </c>
    </row>
    <row r="912" ht="14.25" customHeight="1">
      <c r="A912" s="5">
        <v>800196.0</v>
      </c>
      <c r="B912" s="6" t="s">
        <v>3687</v>
      </c>
      <c r="C912" s="6" t="s">
        <v>76</v>
      </c>
      <c r="D912" s="6">
        <v>82706.0</v>
      </c>
      <c r="E912" s="6" t="s">
        <v>19</v>
      </c>
      <c r="F912" s="6" t="s">
        <v>46</v>
      </c>
      <c r="G912" s="6" t="s">
        <v>55</v>
      </c>
      <c r="H912" s="7">
        <v>2082.0</v>
      </c>
      <c r="I912" s="7">
        <v>7035.0</v>
      </c>
      <c r="J912" s="6">
        <v>2006.0</v>
      </c>
      <c r="K912" s="6">
        <v>10.0</v>
      </c>
      <c r="L912" s="6" t="s">
        <v>32</v>
      </c>
      <c r="M912" s="6" t="s">
        <v>3688</v>
      </c>
      <c r="N912" s="6" t="s">
        <v>34</v>
      </c>
      <c r="O912" s="6" t="s">
        <v>35</v>
      </c>
      <c r="P912" s="6">
        <f>COUNTIF(Analysis!$M$1:$M$3001,Analysis!$M912)</f>
        <v>1</v>
      </c>
      <c r="Q912" s="6" t="str">
        <f>IF(COUNTIF(Analysis!$M$2:$M$3001,Analysis!$M912)&gt;1,"Duplicate","OK")</f>
        <v>OK</v>
      </c>
      <c r="R912" s="6" t="str">
        <f t="shared" si="1"/>
        <v>1600-2600</v>
      </c>
      <c r="S912" s="6">
        <f t="shared" si="2"/>
        <v>20</v>
      </c>
      <c r="T912" s="6" t="str">
        <f t="shared" si="3"/>
        <v>Mid</v>
      </c>
    </row>
    <row r="913" ht="14.25" customHeight="1">
      <c r="A913" s="5">
        <v>249358.0</v>
      </c>
      <c r="B913" s="6" t="s">
        <v>3691</v>
      </c>
      <c r="C913" s="6" t="s">
        <v>53</v>
      </c>
      <c r="D913" s="6">
        <v>81173.0</v>
      </c>
      <c r="E913" s="6" t="s">
        <v>19</v>
      </c>
      <c r="F913" s="6" t="s">
        <v>20</v>
      </c>
      <c r="G913" s="6" t="s">
        <v>55</v>
      </c>
      <c r="H913" s="7">
        <v>1763.0</v>
      </c>
      <c r="I913" s="7">
        <v>6974.0</v>
      </c>
      <c r="J913" s="6">
        <v>1953.0</v>
      </c>
      <c r="K913" s="6">
        <v>18.0</v>
      </c>
      <c r="L913" s="6" t="s">
        <v>95</v>
      </c>
      <c r="M913" s="6" t="s">
        <v>3692</v>
      </c>
      <c r="N913" s="6" t="s">
        <v>34</v>
      </c>
      <c r="O913" s="6" t="s">
        <v>25</v>
      </c>
      <c r="P913" s="6">
        <f>COUNTIF(Analysis!$M$1:$M$3001,Analysis!$M913)</f>
        <v>1</v>
      </c>
      <c r="Q913" s="6" t="str">
        <f>IF(COUNTIF(Analysis!$M$2:$M$3001,Analysis!$M913)&gt;1,"Duplicate","OK")</f>
        <v>OK</v>
      </c>
      <c r="R913" s="6" t="str">
        <f t="shared" si="1"/>
        <v>1600-2600</v>
      </c>
      <c r="S913" s="6">
        <f t="shared" si="2"/>
        <v>73</v>
      </c>
      <c r="T913" s="6" t="str">
        <f t="shared" si="3"/>
        <v>Very Old</v>
      </c>
    </row>
    <row r="914" ht="14.25" customHeight="1">
      <c r="A914" s="5">
        <v>302114.0</v>
      </c>
      <c r="B914" s="6" t="s">
        <v>3695</v>
      </c>
      <c r="C914" s="6" t="s">
        <v>53</v>
      </c>
      <c r="D914" s="6">
        <v>25628.0</v>
      </c>
      <c r="E914" s="6" t="s">
        <v>77</v>
      </c>
      <c r="F914" s="6" t="s">
        <v>61</v>
      </c>
      <c r="G914" s="6" t="s">
        <v>31</v>
      </c>
      <c r="H914" s="7">
        <v>3187.0</v>
      </c>
      <c r="I914" s="7">
        <v>5076.0</v>
      </c>
      <c r="J914" s="6">
        <v>1950.0</v>
      </c>
      <c r="K914" s="6">
        <v>20.0</v>
      </c>
      <c r="L914" s="6" t="s">
        <v>95</v>
      </c>
      <c r="M914" s="6" t="s">
        <v>3696</v>
      </c>
      <c r="N914" s="6" t="s">
        <v>64</v>
      </c>
      <c r="O914" s="6" t="s">
        <v>35</v>
      </c>
      <c r="P914" s="6">
        <f>COUNTIF(Analysis!$M$1:$M$3001,Analysis!$M914)</f>
        <v>1</v>
      </c>
      <c r="Q914" s="6" t="str">
        <f>IF(COUNTIF(Analysis!$M$2:$M$3001,Analysis!$M914)&gt;1,"Duplicate","OK")</f>
        <v>OK</v>
      </c>
      <c r="R914" s="6" t="str">
        <f t="shared" si="1"/>
        <v>2600-3600</v>
      </c>
      <c r="S914" s="6">
        <f t="shared" si="2"/>
        <v>76</v>
      </c>
      <c r="T914" s="6" t="str">
        <f t="shared" si="3"/>
        <v>Very Old</v>
      </c>
    </row>
    <row r="915" ht="14.25" customHeight="1">
      <c r="A915" s="5">
        <v>742536.0</v>
      </c>
      <c r="B915" s="6" t="s">
        <v>3699</v>
      </c>
      <c r="C915" s="6" t="s">
        <v>76</v>
      </c>
      <c r="D915" s="6">
        <v>97889.0</v>
      </c>
      <c r="E915" s="6" t="s">
        <v>77</v>
      </c>
      <c r="F915" s="6" t="s">
        <v>54</v>
      </c>
      <c r="G915" s="6" t="s">
        <v>100</v>
      </c>
      <c r="H915" s="7">
        <v>695.0</v>
      </c>
      <c r="I915" s="7">
        <v>5342.0</v>
      </c>
      <c r="J915" s="6">
        <v>1971.0</v>
      </c>
      <c r="K915" s="6">
        <v>58.0</v>
      </c>
      <c r="L915" s="6" t="s">
        <v>22</v>
      </c>
      <c r="M915" s="6" t="s">
        <v>3700</v>
      </c>
      <c r="N915" s="6" t="s">
        <v>48</v>
      </c>
      <c r="O915" s="6" t="s">
        <v>25</v>
      </c>
      <c r="P915" s="6">
        <f>COUNTIF(Analysis!$M$1:$M$3001,Analysis!$M915)</f>
        <v>1</v>
      </c>
      <c r="Q915" s="6" t="str">
        <f>IF(COUNTIF(Analysis!$M$2:$M$3001,Analysis!$M915)&gt;1,"Duplicate","OK")</f>
        <v>OK</v>
      </c>
      <c r="R915" s="6" t="str">
        <f t="shared" si="1"/>
        <v>600-1600</v>
      </c>
      <c r="S915" s="6">
        <f t="shared" si="2"/>
        <v>55</v>
      </c>
      <c r="T915" s="6" t="str">
        <f t="shared" si="3"/>
        <v>Old</v>
      </c>
    </row>
    <row r="916" ht="14.25" customHeight="1">
      <c r="A916" s="5">
        <v>191048.0</v>
      </c>
      <c r="B916" s="6" t="s">
        <v>3703</v>
      </c>
      <c r="C916" s="6" t="s">
        <v>76</v>
      </c>
      <c r="D916" s="6">
        <v>21240.0</v>
      </c>
      <c r="E916" s="6" t="s">
        <v>60</v>
      </c>
      <c r="F916" s="6" t="s">
        <v>20</v>
      </c>
      <c r="G916" s="6" t="s">
        <v>100</v>
      </c>
      <c r="H916" s="7">
        <v>2605.0</v>
      </c>
      <c r="I916" s="7">
        <v>7019.0</v>
      </c>
      <c r="J916" s="6">
        <v>1954.0</v>
      </c>
      <c r="K916" s="6">
        <v>49.0</v>
      </c>
      <c r="L916" s="6" t="s">
        <v>62</v>
      </c>
      <c r="M916" s="6" t="s">
        <v>3704</v>
      </c>
      <c r="N916" s="6" t="s">
        <v>48</v>
      </c>
      <c r="O916" s="6" t="s">
        <v>49</v>
      </c>
      <c r="P916" s="6">
        <f>COUNTIF(Analysis!$M$1:$M$3001,Analysis!$M916)</f>
        <v>1</v>
      </c>
      <c r="Q916" s="6" t="str">
        <f>IF(COUNTIF(Analysis!$M$2:$M$3001,Analysis!$M916)&gt;1,"Duplicate","OK")</f>
        <v>OK</v>
      </c>
      <c r="R916" s="6" t="str">
        <f t="shared" si="1"/>
        <v>2600-3600</v>
      </c>
      <c r="S916" s="6">
        <f t="shared" si="2"/>
        <v>72</v>
      </c>
      <c r="T916" s="6" t="str">
        <f t="shared" si="3"/>
        <v>Very Old</v>
      </c>
    </row>
    <row r="917" ht="14.25" customHeight="1">
      <c r="A917" s="5">
        <v>1123358.0</v>
      </c>
      <c r="B917" s="6" t="s">
        <v>3707</v>
      </c>
      <c r="C917" s="6" t="s">
        <v>53</v>
      </c>
      <c r="D917" s="6">
        <v>10643.0</v>
      </c>
      <c r="E917" s="6" t="s">
        <v>40</v>
      </c>
      <c r="F917" s="6" t="s">
        <v>20</v>
      </c>
      <c r="G917" s="6" t="s">
        <v>55</v>
      </c>
      <c r="H917" s="7">
        <v>3084.0</v>
      </c>
      <c r="I917" s="7">
        <v>5030.0</v>
      </c>
      <c r="J917" s="6">
        <v>1978.0</v>
      </c>
      <c r="K917" s="6">
        <v>96.0</v>
      </c>
      <c r="L917" s="6" t="s">
        <v>62</v>
      </c>
      <c r="M917" s="6" t="s">
        <v>3708</v>
      </c>
      <c r="N917" s="6" t="s">
        <v>43</v>
      </c>
      <c r="O917" s="6" t="s">
        <v>25</v>
      </c>
      <c r="P917" s="6">
        <f>COUNTIF(Analysis!$M$1:$M$3001,Analysis!$M917)</f>
        <v>1</v>
      </c>
      <c r="Q917" s="6" t="str">
        <f>IF(COUNTIF(Analysis!$M$2:$M$3001,Analysis!$M917)&gt;1,"Duplicate","OK")</f>
        <v>OK</v>
      </c>
      <c r="R917" s="6" t="str">
        <f t="shared" si="1"/>
        <v>2600-3600</v>
      </c>
      <c r="S917" s="6">
        <f t="shared" si="2"/>
        <v>48</v>
      </c>
      <c r="T917" s="6" t="str">
        <f t="shared" si="3"/>
        <v>Old</v>
      </c>
    </row>
    <row r="918" ht="14.25" customHeight="1">
      <c r="A918" s="5">
        <v>800072.0</v>
      </c>
      <c r="B918" s="6" t="s">
        <v>3711</v>
      </c>
      <c r="C918" s="6" t="s">
        <v>76</v>
      </c>
      <c r="D918" s="6">
        <v>33359.0</v>
      </c>
      <c r="E918" s="6" t="s">
        <v>77</v>
      </c>
      <c r="F918" s="6" t="s">
        <v>46</v>
      </c>
      <c r="G918" s="6" t="s">
        <v>55</v>
      </c>
      <c r="H918" s="7">
        <v>3220.0</v>
      </c>
      <c r="I918" s="7">
        <v>8971.0</v>
      </c>
      <c r="J918" s="6">
        <v>2001.0</v>
      </c>
      <c r="K918" s="6">
        <v>15.0</v>
      </c>
      <c r="L918" s="6" t="s">
        <v>62</v>
      </c>
      <c r="M918" s="6" t="s">
        <v>3712</v>
      </c>
      <c r="N918" s="6" t="s">
        <v>43</v>
      </c>
      <c r="O918" s="6" t="s">
        <v>35</v>
      </c>
      <c r="P918" s="6">
        <f>COUNTIF(Analysis!$M$1:$M$3001,Analysis!$M918)</f>
        <v>1</v>
      </c>
      <c r="Q918" s="6" t="str">
        <f>IF(COUNTIF(Analysis!$M$2:$M$3001,Analysis!$M918)&gt;1,"Duplicate","OK")</f>
        <v>OK</v>
      </c>
      <c r="R918" s="6" t="str">
        <f t="shared" si="1"/>
        <v>2600-3600</v>
      </c>
      <c r="S918" s="6">
        <f t="shared" si="2"/>
        <v>25</v>
      </c>
      <c r="T918" s="6" t="str">
        <f t="shared" si="3"/>
        <v>Mid</v>
      </c>
    </row>
    <row r="919" ht="14.25" customHeight="1">
      <c r="A919" s="5">
        <v>762346.0</v>
      </c>
      <c r="B919" s="6" t="s">
        <v>3715</v>
      </c>
      <c r="C919" s="6" t="s">
        <v>53</v>
      </c>
      <c r="D919" s="6">
        <v>55662.0</v>
      </c>
      <c r="E919" s="6" t="s">
        <v>40</v>
      </c>
      <c r="F919" s="6" t="s">
        <v>61</v>
      </c>
      <c r="G919" s="6" t="s">
        <v>100</v>
      </c>
      <c r="H919" s="7">
        <v>1149.0</v>
      </c>
      <c r="I919" s="7">
        <v>1446.0</v>
      </c>
      <c r="J919" s="6">
        <v>1957.0</v>
      </c>
      <c r="K919" s="6">
        <v>51.0</v>
      </c>
      <c r="L919" s="6" t="s">
        <v>95</v>
      </c>
      <c r="M919" s="6" t="s">
        <v>3716</v>
      </c>
      <c r="N919" s="6" t="s">
        <v>48</v>
      </c>
      <c r="O919" s="6" t="s">
        <v>35</v>
      </c>
      <c r="P919" s="6">
        <f>COUNTIF(Analysis!$M$1:$M$3001,Analysis!$M919)</f>
        <v>1</v>
      </c>
      <c r="Q919" s="6" t="str">
        <f>IF(COUNTIF(Analysis!$M$2:$M$3001,Analysis!$M919)&gt;1,"Duplicate","OK")</f>
        <v>OK</v>
      </c>
      <c r="R919" s="6" t="str">
        <f t="shared" si="1"/>
        <v>600-1600</v>
      </c>
      <c r="S919" s="6">
        <f t="shared" si="2"/>
        <v>69</v>
      </c>
      <c r="T919" s="6" t="str">
        <f t="shared" si="3"/>
        <v>Very Old</v>
      </c>
    </row>
    <row r="920" ht="14.25" customHeight="1">
      <c r="A920" s="5">
        <v>862718.0</v>
      </c>
      <c r="B920" s="6" t="s">
        <v>3719</v>
      </c>
      <c r="C920" s="6" t="s">
        <v>39</v>
      </c>
      <c r="D920" s="6">
        <v>36680.0</v>
      </c>
      <c r="E920" s="6" t="s">
        <v>30</v>
      </c>
      <c r="F920" s="6" t="s">
        <v>61</v>
      </c>
      <c r="G920" s="6" t="s">
        <v>100</v>
      </c>
      <c r="H920" s="7">
        <v>1298.0</v>
      </c>
      <c r="I920" s="7">
        <v>6640.0</v>
      </c>
      <c r="J920" s="6">
        <v>2004.0</v>
      </c>
      <c r="K920" s="6">
        <v>29.0</v>
      </c>
      <c r="L920" s="6" t="s">
        <v>95</v>
      </c>
      <c r="M920" s="6" t="s">
        <v>3720</v>
      </c>
      <c r="N920" s="6" t="s">
        <v>34</v>
      </c>
      <c r="O920" s="6" t="s">
        <v>35</v>
      </c>
      <c r="P920" s="6">
        <f>COUNTIF(Analysis!$M$1:$M$3001,Analysis!$M920)</f>
        <v>1</v>
      </c>
      <c r="Q920" s="6" t="str">
        <f>IF(COUNTIF(Analysis!$M$2:$M$3001,Analysis!$M920)&gt;1,"Duplicate","OK")</f>
        <v>OK</v>
      </c>
      <c r="R920" s="6" t="str">
        <f t="shared" si="1"/>
        <v>600-1600</v>
      </c>
      <c r="S920" s="6">
        <f t="shared" si="2"/>
        <v>22</v>
      </c>
      <c r="T920" s="6" t="str">
        <f t="shared" si="3"/>
        <v>Mid</v>
      </c>
    </row>
    <row r="921" ht="14.25" customHeight="1">
      <c r="A921" s="5">
        <v>573942.0</v>
      </c>
      <c r="B921" s="6" t="s">
        <v>3723</v>
      </c>
      <c r="C921" s="6" t="s">
        <v>76</v>
      </c>
      <c r="D921" s="6">
        <v>89169.0</v>
      </c>
      <c r="E921" s="6" t="s">
        <v>30</v>
      </c>
      <c r="F921" s="6" t="s">
        <v>54</v>
      </c>
      <c r="G921" s="6" t="s">
        <v>55</v>
      </c>
      <c r="H921" s="7">
        <v>984.0</v>
      </c>
      <c r="I921" s="7">
        <v>2308.0</v>
      </c>
      <c r="J921" s="6">
        <v>1972.0</v>
      </c>
      <c r="K921" s="6">
        <v>2.0</v>
      </c>
      <c r="L921" s="6" t="s">
        <v>22</v>
      </c>
      <c r="M921" s="6" t="s">
        <v>3724</v>
      </c>
      <c r="N921" s="6" t="s">
        <v>34</v>
      </c>
      <c r="O921" s="6" t="s">
        <v>25</v>
      </c>
      <c r="P921" s="6">
        <f>COUNTIF(Analysis!$M$1:$M$3001,Analysis!$M921)</f>
        <v>1</v>
      </c>
      <c r="Q921" s="6" t="str">
        <f>IF(COUNTIF(Analysis!$M$2:$M$3001,Analysis!$M921)&gt;1,"Duplicate","OK")</f>
        <v>OK</v>
      </c>
      <c r="R921" s="6" t="str">
        <f t="shared" si="1"/>
        <v>600-1600</v>
      </c>
      <c r="S921" s="6">
        <f t="shared" si="2"/>
        <v>54</v>
      </c>
      <c r="T921" s="6" t="str">
        <f t="shared" si="3"/>
        <v>Old</v>
      </c>
    </row>
    <row r="922" ht="14.25" customHeight="1">
      <c r="A922" s="5">
        <v>241211.0</v>
      </c>
      <c r="B922" s="6" t="s">
        <v>3727</v>
      </c>
      <c r="C922" s="6" t="s">
        <v>39</v>
      </c>
      <c r="D922" s="6">
        <v>59994.0</v>
      </c>
      <c r="E922" s="6" t="s">
        <v>19</v>
      </c>
      <c r="F922" s="6" t="s">
        <v>20</v>
      </c>
      <c r="G922" s="6" t="s">
        <v>31</v>
      </c>
      <c r="H922" s="7">
        <v>1779.0</v>
      </c>
      <c r="I922" s="7">
        <v>3156.0</v>
      </c>
      <c r="J922" s="6">
        <v>2019.0</v>
      </c>
      <c r="K922" s="6">
        <v>10.0</v>
      </c>
      <c r="L922" s="6" t="s">
        <v>22</v>
      </c>
      <c r="M922" s="6" t="s">
        <v>3728</v>
      </c>
      <c r="N922" s="6" t="s">
        <v>43</v>
      </c>
      <c r="O922" s="6" t="s">
        <v>49</v>
      </c>
      <c r="P922" s="6">
        <f>COUNTIF(Analysis!$M$1:$M$3001,Analysis!$M922)</f>
        <v>1</v>
      </c>
      <c r="Q922" s="6" t="str">
        <f>IF(COUNTIF(Analysis!$M$2:$M$3001,Analysis!$M922)&gt;1,"Duplicate","OK")</f>
        <v>OK</v>
      </c>
      <c r="R922" s="6" t="str">
        <f t="shared" si="1"/>
        <v>1600-2600</v>
      </c>
      <c r="S922" s="6">
        <f t="shared" si="2"/>
        <v>7</v>
      </c>
      <c r="T922" s="6" t="str">
        <f t="shared" si="3"/>
        <v>New</v>
      </c>
    </row>
    <row r="923" ht="14.25" customHeight="1">
      <c r="A923" s="5">
        <v>1153825.0</v>
      </c>
      <c r="B923" s="6" t="s">
        <v>3731</v>
      </c>
      <c r="C923" s="6" t="s">
        <v>18</v>
      </c>
      <c r="D923" s="6">
        <v>62437.0</v>
      </c>
      <c r="E923" s="6" t="s">
        <v>19</v>
      </c>
      <c r="F923" s="6" t="s">
        <v>41</v>
      </c>
      <c r="G923" s="6" t="s">
        <v>55</v>
      </c>
      <c r="H923" s="7">
        <v>2619.0</v>
      </c>
      <c r="I923" s="7">
        <v>5135.0</v>
      </c>
      <c r="J923" s="6">
        <v>1966.0</v>
      </c>
      <c r="K923" s="6">
        <v>118.0</v>
      </c>
      <c r="L923" s="6" t="s">
        <v>32</v>
      </c>
      <c r="M923" s="6" t="s">
        <v>3732</v>
      </c>
      <c r="N923" s="6" t="s">
        <v>48</v>
      </c>
      <c r="O923" s="6" t="s">
        <v>25</v>
      </c>
      <c r="P923" s="6">
        <f>COUNTIF(Analysis!$M$1:$M$3001,Analysis!$M923)</f>
        <v>1</v>
      </c>
      <c r="Q923" s="6" t="str">
        <f>IF(COUNTIF(Analysis!$M$2:$M$3001,Analysis!$M923)&gt;1,"Duplicate","OK")</f>
        <v>OK</v>
      </c>
      <c r="R923" s="6" t="str">
        <f t="shared" si="1"/>
        <v>2600-3600</v>
      </c>
      <c r="S923" s="6">
        <f t="shared" si="2"/>
        <v>60</v>
      </c>
      <c r="T923" s="6" t="str">
        <f t="shared" si="3"/>
        <v>Old</v>
      </c>
    </row>
    <row r="924" ht="14.25" customHeight="1">
      <c r="A924" s="5">
        <v>369281.0</v>
      </c>
      <c r="B924" s="6" t="s">
        <v>3735</v>
      </c>
      <c r="C924" s="6" t="s">
        <v>18</v>
      </c>
      <c r="D924" s="6">
        <v>50148.0</v>
      </c>
      <c r="E924" s="6" t="s">
        <v>40</v>
      </c>
      <c r="F924" s="6" t="s">
        <v>46</v>
      </c>
      <c r="G924" s="6" t="s">
        <v>55</v>
      </c>
      <c r="H924" s="7">
        <v>2831.0</v>
      </c>
      <c r="I924" s="7">
        <v>7086.0</v>
      </c>
      <c r="J924" s="6">
        <v>1979.0</v>
      </c>
      <c r="K924" s="6">
        <v>41.0</v>
      </c>
      <c r="L924" s="6" t="s">
        <v>141</v>
      </c>
      <c r="M924" s="6" t="s">
        <v>3736</v>
      </c>
      <c r="N924" s="6" t="s">
        <v>64</v>
      </c>
      <c r="O924" s="6" t="s">
        <v>49</v>
      </c>
      <c r="P924" s="6">
        <f>COUNTIF(Analysis!$M$1:$M$3001,Analysis!$M924)</f>
        <v>1</v>
      </c>
      <c r="Q924" s="6" t="str">
        <f>IF(COUNTIF(Analysis!$M$2:$M$3001,Analysis!$M924)&gt;1,"Duplicate","OK")</f>
        <v>OK</v>
      </c>
      <c r="R924" s="6" t="str">
        <f t="shared" si="1"/>
        <v>2600-3600</v>
      </c>
      <c r="S924" s="6">
        <f t="shared" si="2"/>
        <v>47</v>
      </c>
      <c r="T924" s="6" t="str">
        <f t="shared" si="3"/>
        <v>Old</v>
      </c>
    </row>
    <row r="925" ht="14.25" customHeight="1">
      <c r="A925" s="5">
        <v>570529.0</v>
      </c>
      <c r="B925" s="6" t="s">
        <v>3739</v>
      </c>
      <c r="C925" s="6" t="s">
        <v>39</v>
      </c>
      <c r="D925" s="6">
        <v>12730.0</v>
      </c>
      <c r="E925" s="6" t="s">
        <v>60</v>
      </c>
      <c r="F925" s="6" t="s">
        <v>20</v>
      </c>
      <c r="G925" s="6" t="s">
        <v>55</v>
      </c>
      <c r="H925" s="7">
        <v>2925.0</v>
      </c>
      <c r="I925" s="7">
        <v>8592.0</v>
      </c>
      <c r="J925" s="6">
        <v>2016.0</v>
      </c>
      <c r="K925" s="6">
        <v>54.0</v>
      </c>
      <c r="L925" s="6" t="s">
        <v>62</v>
      </c>
      <c r="M925" s="6" t="s">
        <v>3740</v>
      </c>
      <c r="N925" s="6" t="s">
        <v>24</v>
      </c>
      <c r="O925" s="6" t="s">
        <v>49</v>
      </c>
      <c r="P925" s="6">
        <f>COUNTIF(Analysis!$M$1:$M$3001,Analysis!$M925)</f>
        <v>1</v>
      </c>
      <c r="Q925" s="6" t="str">
        <f>IF(COUNTIF(Analysis!$M$2:$M$3001,Analysis!$M925)&gt;1,"Duplicate","OK")</f>
        <v>OK</v>
      </c>
      <c r="R925" s="6" t="str">
        <f t="shared" si="1"/>
        <v>2600-3600</v>
      </c>
      <c r="S925" s="6">
        <f t="shared" si="2"/>
        <v>10</v>
      </c>
      <c r="T925" s="6" t="str">
        <f t="shared" si="3"/>
        <v>New</v>
      </c>
    </row>
    <row r="926" ht="14.25" customHeight="1">
      <c r="A926" s="5">
        <v>224348.0</v>
      </c>
      <c r="B926" s="6" t="s">
        <v>3743</v>
      </c>
      <c r="C926" s="6" t="s">
        <v>53</v>
      </c>
      <c r="D926" s="6">
        <v>77020.0</v>
      </c>
      <c r="E926" s="6" t="s">
        <v>60</v>
      </c>
      <c r="F926" s="6" t="s">
        <v>94</v>
      </c>
      <c r="G926" s="6" t="s">
        <v>100</v>
      </c>
      <c r="H926" s="7">
        <v>1431.0</v>
      </c>
      <c r="I926" s="7">
        <v>3673.0</v>
      </c>
      <c r="J926" s="6">
        <v>2014.0</v>
      </c>
      <c r="K926" s="6">
        <v>86.0</v>
      </c>
      <c r="L926" s="6" t="s">
        <v>32</v>
      </c>
      <c r="M926" s="6" t="s">
        <v>3744</v>
      </c>
      <c r="N926" s="6" t="s">
        <v>34</v>
      </c>
      <c r="O926" s="6" t="s">
        <v>35</v>
      </c>
      <c r="P926" s="6">
        <f>COUNTIF(Analysis!$M$1:$M$3001,Analysis!$M926)</f>
        <v>1</v>
      </c>
      <c r="Q926" s="6" t="str">
        <f>IF(COUNTIF(Analysis!$M$2:$M$3001,Analysis!$M926)&gt;1,"Duplicate","OK")</f>
        <v>OK</v>
      </c>
      <c r="R926" s="6" t="str">
        <f t="shared" si="1"/>
        <v>600-1600</v>
      </c>
      <c r="S926" s="6">
        <f t="shared" si="2"/>
        <v>12</v>
      </c>
      <c r="T926" s="6" t="str">
        <f t="shared" si="3"/>
        <v>Mid</v>
      </c>
    </row>
    <row r="927" ht="14.25" customHeight="1">
      <c r="A927" s="5">
        <v>551665.0</v>
      </c>
      <c r="B927" s="6" t="s">
        <v>4123</v>
      </c>
      <c r="C927" s="6" t="s">
        <v>29</v>
      </c>
      <c r="D927" s="6">
        <v>74963.0</v>
      </c>
      <c r="E927" s="6" t="s">
        <v>40</v>
      </c>
      <c r="F927" s="6" t="s">
        <v>94</v>
      </c>
      <c r="G927" s="6" t="s">
        <v>21</v>
      </c>
      <c r="H927" s="7">
        <v>2284.0</v>
      </c>
      <c r="I927" s="7">
        <v>2136.0</v>
      </c>
      <c r="J927" s="6">
        <v>1991.0</v>
      </c>
      <c r="K927" s="6">
        <v>62.0</v>
      </c>
      <c r="L927" s="6" t="s">
        <v>95</v>
      </c>
      <c r="M927" s="6" t="s">
        <v>4124</v>
      </c>
      <c r="N927" s="6" t="s">
        <v>24</v>
      </c>
      <c r="O927" s="6" t="s">
        <v>25</v>
      </c>
      <c r="P927" s="6">
        <f>COUNTIF(Analysis!$M$1:$M$3001,Analysis!$M1021)</f>
        <v>1</v>
      </c>
      <c r="Q927" s="6" t="str">
        <f>IF(COUNTIF(Analysis!$M$2:$M$3001,Analysis!$M1021)&gt;1,"Duplicate","OK")</f>
        <v>OK</v>
      </c>
      <c r="R927" s="6" t="str">
        <f t="shared" si="1"/>
        <v>1600-2600</v>
      </c>
      <c r="S927" s="6">
        <f t="shared" si="2"/>
        <v>35</v>
      </c>
      <c r="T927" s="6" t="str">
        <f t="shared" si="3"/>
        <v>Old</v>
      </c>
    </row>
    <row r="928" ht="14.25" customHeight="1">
      <c r="A928" s="5">
        <v>592454.0</v>
      </c>
      <c r="B928" s="6" t="s">
        <v>3751</v>
      </c>
      <c r="C928" s="6" t="s">
        <v>53</v>
      </c>
      <c r="D928" s="6">
        <v>57711.0</v>
      </c>
      <c r="E928" s="6" t="s">
        <v>30</v>
      </c>
      <c r="F928" s="6" t="s">
        <v>94</v>
      </c>
      <c r="G928" s="6" t="s">
        <v>21</v>
      </c>
      <c r="H928" s="7">
        <v>2478.0</v>
      </c>
      <c r="I928" s="7">
        <v>5501.0</v>
      </c>
      <c r="J928" s="6">
        <v>1980.0</v>
      </c>
      <c r="K928" s="6">
        <v>16.0</v>
      </c>
      <c r="L928" s="6" t="s">
        <v>141</v>
      </c>
      <c r="M928" s="6" t="s">
        <v>3752</v>
      </c>
      <c r="N928" s="6" t="s">
        <v>24</v>
      </c>
      <c r="O928" s="6" t="s">
        <v>49</v>
      </c>
      <c r="P928" s="6">
        <f>COUNTIF(Analysis!$M$1:$M$3001,Analysis!$M928)</f>
        <v>1</v>
      </c>
      <c r="Q928" s="6" t="str">
        <f>IF(COUNTIF(Analysis!$M$2:$M$3001,Analysis!$M928)&gt;1,"Duplicate","OK")</f>
        <v>OK</v>
      </c>
      <c r="R928" s="6" t="str">
        <f t="shared" si="1"/>
        <v>1600-2600</v>
      </c>
      <c r="S928" s="6">
        <f t="shared" si="2"/>
        <v>46</v>
      </c>
      <c r="T928" s="6" t="str">
        <f t="shared" si="3"/>
        <v>Old</v>
      </c>
    </row>
    <row r="929" ht="14.25" customHeight="1">
      <c r="A929" s="5">
        <v>905860.0</v>
      </c>
      <c r="B929" s="6" t="s">
        <v>3755</v>
      </c>
      <c r="C929" s="6" t="s">
        <v>39</v>
      </c>
      <c r="D929" s="6">
        <v>16674.0</v>
      </c>
      <c r="E929" s="6" t="s">
        <v>19</v>
      </c>
      <c r="F929" s="6" t="s">
        <v>54</v>
      </c>
      <c r="G929" s="6" t="s">
        <v>100</v>
      </c>
      <c r="H929" s="7">
        <v>748.0</v>
      </c>
      <c r="I929" s="7">
        <v>6224.0</v>
      </c>
      <c r="J929" s="6">
        <v>2017.0</v>
      </c>
      <c r="K929" s="6">
        <v>16.0</v>
      </c>
      <c r="L929" s="6" t="s">
        <v>141</v>
      </c>
      <c r="M929" s="6" t="s">
        <v>3756</v>
      </c>
      <c r="N929" s="6" t="s">
        <v>48</v>
      </c>
      <c r="O929" s="6" t="s">
        <v>49</v>
      </c>
      <c r="P929" s="6">
        <f>COUNTIF(Analysis!$M$1:$M$3001,Analysis!$M929)</f>
        <v>1</v>
      </c>
      <c r="Q929" s="6" t="str">
        <f>IF(COUNTIF(Analysis!$M$2:$M$3001,Analysis!$M929)&gt;1,"Duplicate","OK")</f>
        <v>OK</v>
      </c>
      <c r="R929" s="6" t="str">
        <f t="shared" si="1"/>
        <v>600-1600</v>
      </c>
      <c r="S929" s="6">
        <f t="shared" si="2"/>
        <v>9</v>
      </c>
      <c r="T929" s="6" t="str">
        <f t="shared" si="3"/>
        <v>New</v>
      </c>
    </row>
    <row r="930" ht="14.25" customHeight="1">
      <c r="A930" s="5">
        <v>552551.0</v>
      </c>
      <c r="B930" s="6" t="s">
        <v>3603</v>
      </c>
      <c r="C930" s="6" t="s">
        <v>29</v>
      </c>
      <c r="D930" s="6">
        <v>85195.0</v>
      </c>
      <c r="E930" s="6" t="s">
        <v>19</v>
      </c>
      <c r="F930" s="6" t="s">
        <v>54</v>
      </c>
      <c r="G930" s="6" t="s">
        <v>100</v>
      </c>
      <c r="H930" s="7">
        <v>1117.0</v>
      </c>
      <c r="I930" s="7">
        <v>2991.0</v>
      </c>
      <c r="J930" s="6">
        <v>2010.0</v>
      </c>
      <c r="K930" s="6">
        <v>33.0</v>
      </c>
      <c r="L930" s="6" t="s">
        <v>95</v>
      </c>
      <c r="M930" s="6" t="s">
        <v>3604</v>
      </c>
      <c r="N930" s="6" t="s">
        <v>24</v>
      </c>
      <c r="O930" s="6" t="s">
        <v>49</v>
      </c>
      <c r="P930" s="6">
        <f>COUNTIF(Analysis!$M$1:$M$3001,Analysis!$M891)</f>
        <v>1</v>
      </c>
      <c r="Q930" s="6" t="str">
        <f>IF(COUNTIF(Analysis!$M$2:$M$3001,Analysis!$M891)&gt;1,"Duplicate","OK")</f>
        <v>OK</v>
      </c>
      <c r="R930" s="6" t="str">
        <f t="shared" si="1"/>
        <v>600-1600</v>
      </c>
      <c r="S930" s="6">
        <f t="shared" si="2"/>
        <v>16</v>
      </c>
      <c r="T930" s="6" t="str">
        <f t="shared" si="3"/>
        <v>Mid</v>
      </c>
    </row>
    <row r="931" ht="14.25" customHeight="1">
      <c r="A931" s="5">
        <v>890786.0</v>
      </c>
      <c r="B931" s="6" t="s">
        <v>3763</v>
      </c>
      <c r="C931" s="6" t="s">
        <v>76</v>
      </c>
      <c r="D931" s="6">
        <v>23506.0</v>
      </c>
      <c r="E931" s="6" t="s">
        <v>77</v>
      </c>
      <c r="F931" s="6" t="s">
        <v>54</v>
      </c>
      <c r="G931" s="6" t="s">
        <v>55</v>
      </c>
      <c r="H931" s="7">
        <v>2457.0</v>
      </c>
      <c r="I931" s="7">
        <v>5569.0</v>
      </c>
      <c r="J931" s="6">
        <v>2008.0</v>
      </c>
      <c r="K931" s="6">
        <v>30.0</v>
      </c>
      <c r="L931" s="6" t="s">
        <v>62</v>
      </c>
      <c r="M931" s="6" t="s">
        <v>3764</v>
      </c>
      <c r="N931" s="6" t="s">
        <v>43</v>
      </c>
      <c r="O931" s="6" t="s">
        <v>25</v>
      </c>
      <c r="P931" s="6">
        <f>COUNTIF(Analysis!$M$1:$M$3001,Analysis!$M931)</f>
        <v>1</v>
      </c>
      <c r="Q931" s="6" t="str">
        <f>IF(COUNTIF(Analysis!$M$2:$M$3001,Analysis!$M931)&gt;1,"Duplicate","OK")</f>
        <v>OK</v>
      </c>
      <c r="R931" s="6" t="str">
        <f t="shared" si="1"/>
        <v>1600-2600</v>
      </c>
      <c r="S931" s="6">
        <f t="shared" si="2"/>
        <v>18</v>
      </c>
      <c r="T931" s="6" t="str">
        <f t="shared" si="3"/>
        <v>Mid</v>
      </c>
    </row>
    <row r="932" ht="14.25" customHeight="1">
      <c r="A932" s="5">
        <v>437511.0</v>
      </c>
      <c r="B932" s="6" t="s">
        <v>3767</v>
      </c>
      <c r="C932" s="6" t="s">
        <v>18</v>
      </c>
      <c r="D932" s="6">
        <v>18919.0</v>
      </c>
      <c r="E932" s="6" t="s">
        <v>40</v>
      </c>
      <c r="F932" s="6" t="s">
        <v>54</v>
      </c>
      <c r="G932" s="6" t="s">
        <v>21</v>
      </c>
      <c r="H932" s="7">
        <v>3156.0</v>
      </c>
      <c r="I932" s="7">
        <v>9554.0</v>
      </c>
      <c r="J932" s="6">
        <v>1963.0</v>
      </c>
      <c r="K932" s="6">
        <v>9.0</v>
      </c>
      <c r="L932" s="6" t="s">
        <v>22</v>
      </c>
      <c r="M932" s="6" t="s">
        <v>3768</v>
      </c>
      <c r="N932" s="6" t="s">
        <v>43</v>
      </c>
      <c r="O932" s="6" t="s">
        <v>25</v>
      </c>
      <c r="P932" s="6">
        <f>COUNTIF(Analysis!$M$1:$M$3001,Analysis!$M932)</f>
        <v>1</v>
      </c>
      <c r="Q932" s="6" t="str">
        <f>IF(COUNTIF(Analysis!$M$2:$M$3001,Analysis!$M932)&gt;1,"Duplicate","OK")</f>
        <v>OK</v>
      </c>
      <c r="R932" s="6" t="str">
        <f t="shared" si="1"/>
        <v>2600-3600</v>
      </c>
      <c r="S932" s="6">
        <f t="shared" si="2"/>
        <v>63</v>
      </c>
      <c r="T932" s="6" t="str">
        <f t="shared" si="3"/>
        <v>Very Old</v>
      </c>
    </row>
    <row r="933" ht="14.25" customHeight="1">
      <c r="A933" s="5">
        <v>552759.0</v>
      </c>
      <c r="B933" s="6" t="s">
        <v>5011</v>
      </c>
      <c r="C933" s="6" t="s">
        <v>29</v>
      </c>
      <c r="D933" s="6">
        <v>19807.0</v>
      </c>
      <c r="E933" s="6" t="s">
        <v>60</v>
      </c>
      <c r="F933" s="6" t="s">
        <v>54</v>
      </c>
      <c r="G933" s="6" t="s">
        <v>31</v>
      </c>
      <c r="H933" s="7">
        <v>3726.0</v>
      </c>
      <c r="I933" s="7">
        <v>2319.0</v>
      </c>
      <c r="J933" s="6">
        <v>2012.0</v>
      </c>
      <c r="K933" s="6">
        <v>61.0</v>
      </c>
      <c r="L933" s="6" t="s">
        <v>141</v>
      </c>
      <c r="M933" s="6" t="s">
        <v>5012</v>
      </c>
      <c r="N933" s="6" t="s">
        <v>43</v>
      </c>
      <c r="O933" s="6" t="s">
        <v>49</v>
      </c>
      <c r="P933" s="6">
        <f>COUNTIF(Analysis!$M$1:$M$3001,Analysis!$M1243)</f>
        <v>1</v>
      </c>
      <c r="Q933" s="6" t="str">
        <f>IF(COUNTIF(Analysis!$M$2:$M$3001,Analysis!$M1243)&gt;1,"Duplicate","OK")</f>
        <v>OK</v>
      </c>
      <c r="R933" s="6" t="str">
        <f t="shared" si="1"/>
        <v>3600+</v>
      </c>
      <c r="S933" s="6">
        <f t="shared" si="2"/>
        <v>14</v>
      </c>
      <c r="T933" s="6" t="str">
        <f t="shared" si="3"/>
        <v>Mid</v>
      </c>
    </row>
    <row r="934" ht="14.25" customHeight="1">
      <c r="A934" s="5">
        <v>1003604.0</v>
      </c>
      <c r="B934" s="6" t="s">
        <v>3775</v>
      </c>
      <c r="C934" s="6" t="s">
        <v>76</v>
      </c>
      <c r="D934" s="6">
        <v>29378.0</v>
      </c>
      <c r="E934" s="6" t="s">
        <v>19</v>
      </c>
      <c r="F934" s="6" t="s">
        <v>46</v>
      </c>
      <c r="G934" s="6" t="s">
        <v>31</v>
      </c>
      <c r="H934" s="7">
        <v>3633.0</v>
      </c>
      <c r="I934" s="7">
        <v>4691.0</v>
      </c>
      <c r="J934" s="6">
        <v>1953.0</v>
      </c>
      <c r="K934" s="6">
        <v>108.0</v>
      </c>
      <c r="L934" s="6" t="s">
        <v>141</v>
      </c>
      <c r="M934" s="6" t="s">
        <v>3776</v>
      </c>
      <c r="N934" s="6" t="s">
        <v>48</v>
      </c>
      <c r="O934" s="6" t="s">
        <v>25</v>
      </c>
      <c r="P934" s="6">
        <f>COUNTIF(Analysis!$M$1:$M$3001,Analysis!$M934)</f>
        <v>1</v>
      </c>
      <c r="Q934" s="6" t="str">
        <f>IF(COUNTIF(Analysis!$M$2:$M$3001,Analysis!$M934)&gt;1,"Duplicate","OK")</f>
        <v>OK</v>
      </c>
      <c r="R934" s="6" t="str">
        <f t="shared" si="1"/>
        <v>3600+</v>
      </c>
      <c r="S934" s="6">
        <f t="shared" si="2"/>
        <v>73</v>
      </c>
      <c r="T934" s="6" t="str">
        <f t="shared" si="3"/>
        <v>Very Old</v>
      </c>
    </row>
    <row r="935" ht="14.25" customHeight="1">
      <c r="A935" s="5">
        <v>764241.0</v>
      </c>
      <c r="B935" s="6" t="s">
        <v>3779</v>
      </c>
      <c r="C935" s="6" t="s">
        <v>76</v>
      </c>
      <c r="D935" s="6">
        <v>63040.0</v>
      </c>
      <c r="E935" s="6" t="s">
        <v>19</v>
      </c>
      <c r="F935" s="6" t="s">
        <v>46</v>
      </c>
      <c r="G935" s="6" t="s">
        <v>55</v>
      </c>
      <c r="H935" s="7">
        <v>2153.0</v>
      </c>
      <c r="I935" s="7">
        <v>2782.0</v>
      </c>
      <c r="J935" s="6">
        <v>2015.0</v>
      </c>
      <c r="K935" s="6">
        <v>53.0</v>
      </c>
      <c r="L935" s="6" t="s">
        <v>95</v>
      </c>
      <c r="M935" s="6" t="s">
        <v>3780</v>
      </c>
      <c r="N935" s="6" t="s">
        <v>48</v>
      </c>
      <c r="O935" s="6" t="s">
        <v>49</v>
      </c>
      <c r="P935" s="6">
        <f>COUNTIF(Analysis!$M$1:$M$3001,Analysis!$M935)</f>
        <v>1</v>
      </c>
      <c r="Q935" s="6" t="str">
        <f>IF(COUNTIF(Analysis!$M$2:$M$3001,Analysis!$M935)&gt;1,"Duplicate","OK")</f>
        <v>OK</v>
      </c>
      <c r="R935" s="6" t="str">
        <f t="shared" si="1"/>
        <v>1600-2600</v>
      </c>
      <c r="S935" s="6">
        <f t="shared" si="2"/>
        <v>11</v>
      </c>
      <c r="T935" s="6" t="str">
        <f t="shared" si="3"/>
        <v>Mid</v>
      </c>
    </row>
    <row r="936" ht="14.25" customHeight="1">
      <c r="A936" s="5">
        <v>557894.0</v>
      </c>
      <c r="B936" s="6" t="s">
        <v>317</v>
      </c>
      <c r="C936" s="6" t="s">
        <v>29</v>
      </c>
      <c r="D936" s="6">
        <v>52141.0</v>
      </c>
      <c r="E936" s="6" t="s">
        <v>30</v>
      </c>
      <c r="F936" s="6" t="s">
        <v>61</v>
      </c>
      <c r="G936" s="6" t="s">
        <v>31</v>
      </c>
      <c r="H936" s="7">
        <v>2551.0</v>
      </c>
      <c r="I936" s="7">
        <v>3014.0</v>
      </c>
      <c r="J936" s="6">
        <v>2006.0</v>
      </c>
      <c r="K936" s="6">
        <v>76.0</v>
      </c>
      <c r="L936" s="6" t="s">
        <v>22</v>
      </c>
      <c r="M936" s="6" t="s">
        <v>318</v>
      </c>
      <c r="N936" s="6" t="s">
        <v>43</v>
      </c>
      <c r="O936" s="6" t="s">
        <v>35</v>
      </c>
      <c r="P936" s="6">
        <f>COUNTIF(Analysis!$M$1:$M$3001,Analysis!$M69)</f>
        <v>1</v>
      </c>
      <c r="Q936" s="6" t="str">
        <f>IF(COUNTIF(Analysis!$M$2:$M$3001,Analysis!$M69)&gt;1,"Duplicate","OK")</f>
        <v>OK</v>
      </c>
      <c r="R936" s="6" t="str">
        <f t="shared" si="1"/>
        <v>1600-2600</v>
      </c>
      <c r="S936" s="6">
        <f t="shared" si="2"/>
        <v>20</v>
      </c>
      <c r="T936" s="6" t="str">
        <f t="shared" si="3"/>
        <v>Mid</v>
      </c>
    </row>
    <row r="937" ht="14.25" customHeight="1">
      <c r="A937" s="5">
        <v>491796.0</v>
      </c>
      <c r="B937" s="6" t="s">
        <v>3787</v>
      </c>
      <c r="C937" s="6" t="s">
        <v>18</v>
      </c>
      <c r="D937" s="6">
        <v>60385.0</v>
      </c>
      <c r="E937" s="6" t="s">
        <v>30</v>
      </c>
      <c r="F937" s="6" t="s">
        <v>94</v>
      </c>
      <c r="G937" s="6" t="s">
        <v>21</v>
      </c>
      <c r="H937" s="7">
        <v>2586.0</v>
      </c>
      <c r="I937" s="7">
        <v>9732.0</v>
      </c>
      <c r="J937" s="6">
        <v>1976.0</v>
      </c>
      <c r="K937" s="6">
        <v>102.0</v>
      </c>
      <c r="L937" s="6" t="s">
        <v>32</v>
      </c>
      <c r="M937" s="6" t="s">
        <v>3788</v>
      </c>
      <c r="N937" s="6" t="s">
        <v>43</v>
      </c>
      <c r="O937" s="6" t="s">
        <v>35</v>
      </c>
      <c r="P937" s="6">
        <f>COUNTIF(Analysis!$M$1:$M$3001,Analysis!$M937)</f>
        <v>1</v>
      </c>
      <c r="Q937" s="6" t="str">
        <f>IF(COUNTIF(Analysis!$M$2:$M$3001,Analysis!$M937)&gt;1,"Duplicate","OK")</f>
        <v>OK</v>
      </c>
      <c r="R937" s="6" t="str">
        <f t="shared" si="1"/>
        <v>1600-2600</v>
      </c>
      <c r="S937" s="6">
        <f t="shared" si="2"/>
        <v>50</v>
      </c>
      <c r="T937" s="6" t="str">
        <f t="shared" si="3"/>
        <v>Old</v>
      </c>
    </row>
    <row r="938" ht="14.25" customHeight="1">
      <c r="A938" s="5">
        <v>107634.0</v>
      </c>
      <c r="B938" s="6" t="s">
        <v>3791</v>
      </c>
      <c r="C938" s="6" t="s">
        <v>53</v>
      </c>
      <c r="D938" s="6">
        <v>67231.0</v>
      </c>
      <c r="E938" s="6" t="s">
        <v>40</v>
      </c>
      <c r="F938" s="6" t="s">
        <v>61</v>
      </c>
      <c r="G938" s="6" t="s">
        <v>21</v>
      </c>
      <c r="H938" s="7">
        <v>2223.0</v>
      </c>
      <c r="I938" s="7">
        <v>8024.0</v>
      </c>
      <c r="J938" s="6">
        <v>2006.0</v>
      </c>
      <c r="K938" s="6">
        <v>53.0</v>
      </c>
      <c r="L938" s="6" t="s">
        <v>62</v>
      </c>
      <c r="M938" s="6" t="s">
        <v>3792</v>
      </c>
      <c r="N938" s="6" t="s">
        <v>48</v>
      </c>
      <c r="O938" s="6" t="s">
        <v>49</v>
      </c>
      <c r="P938" s="6">
        <f>COUNTIF(Analysis!$M$1:$M$3001,Analysis!$M938)</f>
        <v>1</v>
      </c>
      <c r="Q938" s="6" t="str">
        <f>IF(COUNTIF(Analysis!$M$2:$M$3001,Analysis!$M938)&gt;1,"Duplicate","OK")</f>
        <v>OK</v>
      </c>
      <c r="R938" s="6" t="str">
        <f t="shared" si="1"/>
        <v>1600-2600</v>
      </c>
      <c r="S938" s="6">
        <f t="shared" si="2"/>
        <v>20</v>
      </c>
      <c r="T938" s="6" t="str">
        <f t="shared" si="3"/>
        <v>Mid</v>
      </c>
    </row>
    <row r="939" ht="14.25" customHeight="1">
      <c r="A939" s="5">
        <v>560442.0</v>
      </c>
      <c r="B939" s="6" t="s">
        <v>10443</v>
      </c>
      <c r="C939" s="6" t="s">
        <v>29</v>
      </c>
      <c r="D939" s="6">
        <v>77955.0</v>
      </c>
      <c r="E939" s="6" t="s">
        <v>77</v>
      </c>
      <c r="F939" s="6" t="s">
        <v>94</v>
      </c>
      <c r="G939" s="6" t="s">
        <v>55</v>
      </c>
      <c r="H939" s="7">
        <v>915.0</v>
      </c>
      <c r="I939" s="7">
        <v>5399.0</v>
      </c>
      <c r="J939" s="6">
        <v>2023.0</v>
      </c>
      <c r="K939" s="6">
        <v>105.0</v>
      </c>
      <c r="L939" s="6" t="s">
        <v>32</v>
      </c>
      <c r="M939" s="6" t="s">
        <v>10444</v>
      </c>
      <c r="N939" s="6" t="s">
        <v>64</v>
      </c>
      <c r="O939" s="6" t="s">
        <v>35</v>
      </c>
      <c r="P939" s="6">
        <f>COUNTIF(Analysis!$M$1:$M$3001,Analysis!$M2602)</f>
        <v>1</v>
      </c>
      <c r="Q939" s="6" t="str">
        <f>IF(COUNTIF(Analysis!$M$2:$M$3001,Analysis!$M2602)&gt;1,"Duplicate","OK")</f>
        <v>OK</v>
      </c>
      <c r="R939" s="6" t="str">
        <f t="shared" si="1"/>
        <v>600-1600</v>
      </c>
      <c r="S939" s="6">
        <f t="shared" si="2"/>
        <v>3</v>
      </c>
      <c r="T939" s="6" t="str">
        <f t="shared" si="3"/>
        <v>New</v>
      </c>
    </row>
    <row r="940" ht="14.25" customHeight="1">
      <c r="A940" s="5">
        <v>724110.0</v>
      </c>
      <c r="B940" s="6" t="s">
        <v>3799</v>
      </c>
      <c r="C940" s="6" t="s">
        <v>18</v>
      </c>
      <c r="D940" s="6">
        <v>36444.0</v>
      </c>
      <c r="E940" s="6" t="s">
        <v>60</v>
      </c>
      <c r="F940" s="6" t="s">
        <v>41</v>
      </c>
      <c r="G940" s="6" t="s">
        <v>55</v>
      </c>
      <c r="H940" s="7">
        <v>623.0</v>
      </c>
      <c r="I940" s="7">
        <v>3053.0</v>
      </c>
      <c r="J940" s="6">
        <v>1998.0</v>
      </c>
      <c r="K940" s="6">
        <v>50.0</v>
      </c>
      <c r="L940" s="6" t="s">
        <v>32</v>
      </c>
      <c r="M940" s="6" t="s">
        <v>3800</v>
      </c>
      <c r="N940" s="6" t="s">
        <v>43</v>
      </c>
      <c r="O940" s="6" t="s">
        <v>35</v>
      </c>
      <c r="P940" s="6">
        <f>COUNTIF(Analysis!$M$1:$M$3001,Analysis!$M940)</f>
        <v>1</v>
      </c>
      <c r="Q940" s="6" t="str">
        <f>IF(COUNTIF(Analysis!$M$2:$M$3001,Analysis!$M940)&gt;1,"Duplicate","OK")</f>
        <v>OK</v>
      </c>
      <c r="R940" s="6" t="str">
        <f t="shared" si="1"/>
        <v>600-1600</v>
      </c>
      <c r="S940" s="6">
        <f t="shared" si="2"/>
        <v>28</v>
      </c>
      <c r="T940" s="6" t="str">
        <f t="shared" si="3"/>
        <v>Mid</v>
      </c>
    </row>
    <row r="941" ht="14.25" customHeight="1">
      <c r="A941" s="5">
        <v>562297.0</v>
      </c>
      <c r="B941" s="6" t="s">
        <v>4223</v>
      </c>
      <c r="C941" s="6" t="s">
        <v>29</v>
      </c>
      <c r="D941" s="6">
        <v>38332.0</v>
      </c>
      <c r="E941" s="6" t="s">
        <v>40</v>
      </c>
      <c r="F941" s="6" t="s">
        <v>46</v>
      </c>
      <c r="G941" s="6" t="s">
        <v>31</v>
      </c>
      <c r="H941" s="7">
        <v>3399.0</v>
      </c>
      <c r="I941" s="7">
        <v>8678.0</v>
      </c>
      <c r="J941" s="6">
        <v>2008.0</v>
      </c>
      <c r="K941" s="6">
        <v>8.0</v>
      </c>
      <c r="L941" s="6" t="s">
        <v>32</v>
      </c>
      <c r="M941" s="6" t="s">
        <v>4224</v>
      </c>
      <c r="N941" s="6" t="s">
        <v>34</v>
      </c>
      <c r="O941" s="6" t="s">
        <v>35</v>
      </c>
      <c r="P941" s="6">
        <f>COUNTIF(Analysis!$M$1:$M$3001,Analysis!$M1046)</f>
        <v>1</v>
      </c>
      <c r="Q941" s="6" t="str">
        <f>IF(COUNTIF(Analysis!$M$2:$M$3001,Analysis!$M1046)&gt;1,"Duplicate","OK")</f>
        <v>OK</v>
      </c>
      <c r="R941" s="6" t="str">
        <f t="shared" si="1"/>
        <v>2600-3600</v>
      </c>
      <c r="S941" s="6">
        <f t="shared" si="2"/>
        <v>18</v>
      </c>
      <c r="T941" s="6" t="str">
        <f t="shared" si="3"/>
        <v>Mid</v>
      </c>
    </row>
    <row r="942" ht="14.25" customHeight="1">
      <c r="A942" s="5">
        <v>655953.0</v>
      </c>
      <c r="B942" s="6" t="s">
        <v>3807</v>
      </c>
      <c r="C942" s="6" t="s">
        <v>39</v>
      </c>
      <c r="D942" s="6">
        <v>77412.0</v>
      </c>
      <c r="E942" s="6" t="s">
        <v>77</v>
      </c>
      <c r="F942" s="6" t="s">
        <v>46</v>
      </c>
      <c r="G942" s="6" t="s">
        <v>100</v>
      </c>
      <c r="H942" s="7">
        <v>2799.0</v>
      </c>
      <c r="I942" s="7">
        <v>7811.0</v>
      </c>
      <c r="J942" s="6">
        <v>1982.0</v>
      </c>
      <c r="K942" s="6">
        <v>57.0</v>
      </c>
      <c r="L942" s="6" t="s">
        <v>22</v>
      </c>
      <c r="M942" s="6" t="s">
        <v>3808</v>
      </c>
      <c r="N942" s="6" t="s">
        <v>43</v>
      </c>
      <c r="O942" s="6" t="s">
        <v>25</v>
      </c>
      <c r="P942" s="6">
        <f>COUNTIF(Analysis!$M$1:$M$3001,Analysis!$M942)</f>
        <v>1</v>
      </c>
      <c r="Q942" s="6" t="str">
        <f>IF(COUNTIF(Analysis!$M$2:$M$3001,Analysis!$M942)&gt;1,"Duplicate","OK")</f>
        <v>OK</v>
      </c>
      <c r="R942" s="6" t="str">
        <f t="shared" si="1"/>
        <v>2600-3600</v>
      </c>
      <c r="S942" s="6">
        <f t="shared" si="2"/>
        <v>44</v>
      </c>
      <c r="T942" s="6" t="str">
        <f t="shared" si="3"/>
        <v>Old</v>
      </c>
    </row>
    <row r="943" ht="14.25" customHeight="1">
      <c r="A943" s="5">
        <v>837749.0</v>
      </c>
      <c r="B943" s="6" t="s">
        <v>3811</v>
      </c>
      <c r="C943" s="6" t="s">
        <v>76</v>
      </c>
      <c r="D943" s="6">
        <v>66809.0</v>
      </c>
      <c r="E943" s="6" t="s">
        <v>40</v>
      </c>
      <c r="F943" s="6" t="s">
        <v>61</v>
      </c>
      <c r="G943" s="6" t="s">
        <v>31</v>
      </c>
      <c r="H943" s="7">
        <v>1323.0</v>
      </c>
      <c r="I943" s="7">
        <v>4978.0</v>
      </c>
      <c r="J943" s="6">
        <v>1966.0</v>
      </c>
      <c r="K943" s="6">
        <v>108.0</v>
      </c>
      <c r="L943" s="6" t="s">
        <v>22</v>
      </c>
      <c r="M943" s="6" t="s">
        <v>3812</v>
      </c>
      <c r="N943" s="6" t="s">
        <v>64</v>
      </c>
      <c r="O943" s="6" t="s">
        <v>25</v>
      </c>
      <c r="P943" s="6">
        <f>COUNTIF(Analysis!$M$1:$M$3001,Analysis!$M943)</f>
        <v>1</v>
      </c>
      <c r="Q943" s="6" t="str">
        <f>IF(COUNTIF(Analysis!$M$2:$M$3001,Analysis!$M943)&gt;1,"Duplicate","OK")</f>
        <v>OK</v>
      </c>
      <c r="R943" s="6" t="str">
        <f t="shared" si="1"/>
        <v>600-1600</v>
      </c>
      <c r="S943" s="6">
        <f t="shared" si="2"/>
        <v>60</v>
      </c>
      <c r="T943" s="6" t="str">
        <f t="shared" si="3"/>
        <v>Old</v>
      </c>
    </row>
    <row r="944" ht="14.25" customHeight="1">
      <c r="A944" s="5">
        <v>498606.0</v>
      </c>
      <c r="B944" s="6" t="s">
        <v>3815</v>
      </c>
      <c r="C944" s="6" t="s">
        <v>39</v>
      </c>
      <c r="D944" s="6">
        <v>33151.0</v>
      </c>
      <c r="E944" s="6" t="s">
        <v>77</v>
      </c>
      <c r="F944" s="6" t="s">
        <v>94</v>
      </c>
      <c r="G944" s="6" t="s">
        <v>21</v>
      </c>
      <c r="H944" s="7">
        <v>1437.0</v>
      </c>
      <c r="I944" s="7">
        <v>3459.0</v>
      </c>
      <c r="J944" s="6">
        <v>1955.0</v>
      </c>
      <c r="K944" s="6">
        <v>55.0</v>
      </c>
      <c r="L944" s="6" t="s">
        <v>22</v>
      </c>
      <c r="M944" s="6" t="s">
        <v>3816</v>
      </c>
      <c r="N944" s="6" t="s">
        <v>43</v>
      </c>
      <c r="O944" s="6" t="s">
        <v>35</v>
      </c>
      <c r="P944" s="6">
        <f>COUNTIF(Analysis!$M$1:$M$3001,Analysis!$M944)</f>
        <v>1</v>
      </c>
      <c r="Q944" s="6" t="str">
        <f>IF(COUNTIF(Analysis!$M$2:$M$3001,Analysis!$M944)&gt;1,"Duplicate","OK")</f>
        <v>OK</v>
      </c>
      <c r="R944" s="6" t="str">
        <f t="shared" si="1"/>
        <v>600-1600</v>
      </c>
      <c r="S944" s="6">
        <f t="shared" si="2"/>
        <v>71</v>
      </c>
      <c r="T944" s="6" t="str">
        <f t="shared" si="3"/>
        <v>Very Old</v>
      </c>
    </row>
    <row r="945" ht="14.25" customHeight="1">
      <c r="A945" s="5">
        <v>688959.0</v>
      </c>
      <c r="B945" s="6" t="s">
        <v>3819</v>
      </c>
      <c r="C945" s="6" t="s">
        <v>18</v>
      </c>
      <c r="D945" s="6">
        <v>73609.0</v>
      </c>
      <c r="E945" s="6" t="s">
        <v>30</v>
      </c>
      <c r="F945" s="6" t="s">
        <v>20</v>
      </c>
      <c r="G945" s="6" t="s">
        <v>31</v>
      </c>
      <c r="H945" s="7">
        <v>2352.0</v>
      </c>
      <c r="I945" s="7">
        <v>3608.0</v>
      </c>
      <c r="J945" s="6">
        <v>1978.0</v>
      </c>
      <c r="K945" s="6">
        <v>102.0</v>
      </c>
      <c r="L945" s="6" t="s">
        <v>141</v>
      </c>
      <c r="M945" s="6" t="s">
        <v>3820</v>
      </c>
      <c r="N945" s="6" t="s">
        <v>43</v>
      </c>
      <c r="O945" s="6" t="s">
        <v>35</v>
      </c>
      <c r="P945" s="6">
        <f>COUNTIF(Analysis!$M$1:$M$3001,Analysis!$M945)</f>
        <v>1</v>
      </c>
      <c r="Q945" s="6" t="str">
        <f>IF(COUNTIF(Analysis!$M$2:$M$3001,Analysis!$M945)&gt;1,"Duplicate","OK")</f>
        <v>OK</v>
      </c>
      <c r="R945" s="6" t="str">
        <f t="shared" si="1"/>
        <v>1600-2600</v>
      </c>
      <c r="S945" s="6">
        <f t="shared" si="2"/>
        <v>48</v>
      </c>
      <c r="T945" s="6" t="str">
        <f t="shared" si="3"/>
        <v>Old</v>
      </c>
    </row>
    <row r="946" ht="14.25" customHeight="1">
      <c r="A946" s="5">
        <v>1005631.0</v>
      </c>
      <c r="B946" s="6" t="s">
        <v>3823</v>
      </c>
      <c r="C946" s="6" t="s">
        <v>76</v>
      </c>
      <c r="D946" s="6">
        <v>60168.0</v>
      </c>
      <c r="E946" s="6" t="s">
        <v>30</v>
      </c>
      <c r="F946" s="6" t="s">
        <v>46</v>
      </c>
      <c r="G946" s="6" t="s">
        <v>21</v>
      </c>
      <c r="H946" s="7">
        <v>3736.0</v>
      </c>
      <c r="I946" s="7">
        <v>5382.0</v>
      </c>
      <c r="J946" s="6">
        <v>2007.0</v>
      </c>
      <c r="K946" s="6">
        <v>57.0</v>
      </c>
      <c r="L946" s="6" t="s">
        <v>32</v>
      </c>
      <c r="M946" s="6" t="s">
        <v>3824</v>
      </c>
      <c r="N946" s="6" t="s">
        <v>48</v>
      </c>
      <c r="O946" s="6" t="s">
        <v>35</v>
      </c>
      <c r="P946" s="6">
        <f>COUNTIF(Analysis!$M$1:$M$3001,Analysis!$M946)</f>
        <v>1</v>
      </c>
      <c r="Q946" s="6" t="str">
        <f>IF(COUNTIF(Analysis!$M$2:$M$3001,Analysis!$M946)&gt;1,"Duplicate","OK")</f>
        <v>OK</v>
      </c>
      <c r="R946" s="6" t="str">
        <f t="shared" si="1"/>
        <v>3600+</v>
      </c>
      <c r="S946" s="6">
        <f t="shared" si="2"/>
        <v>19</v>
      </c>
      <c r="T946" s="6" t="str">
        <f t="shared" si="3"/>
        <v>Mid</v>
      </c>
    </row>
    <row r="947" ht="14.25" customHeight="1">
      <c r="A947" s="5">
        <v>985654.0</v>
      </c>
      <c r="B947" s="6" t="s">
        <v>3827</v>
      </c>
      <c r="C947" s="6" t="s">
        <v>53</v>
      </c>
      <c r="D947" s="6">
        <v>61336.0</v>
      </c>
      <c r="E947" s="6" t="s">
        <v>77</v>
      </c>
      <c r="F947" s="6" t="s">
        <v>41</v>
      </c>
      <c r="G947" s="6" t="s">
        <v>55</v>
      </c>
      <c r="H947" s="7">
        <v>3776.0</v>
      </c>
      <c r="I947" s="7">
        <v>8176.0</v>
      </c>
      <c r="J947" s="6">
        <v>2018.0</v>
      </c>
      <c r="K947" s="6">
        <v>100.0</v>
      </c>
      <c r="L947" s="6" t="s">
        <v>62</v>
      </c>
      <c r="M947" s="6" t="s">
        <v>3828</v>
      </c>
      <c r="N947" s="6" t="s">
        <v>48</v>
      </c>
      <c r="O947" s="6" t="s">
        <v>35</v>
      </c>
      <c r="P947" s="6">
        <f>COUNTIF(Analysis!$M$1:$M$3001,Analysis!$M947)</f>
        <v>1</v>
      </c>
      <c r="Q947" s="6" t="str">
        <f>IF(COUNTIF(Analysis!$M$2:$M$3001,Analysis!$M947)&gt;1,"Duplicate","OK")</f>
        <v>OK</v>
      </c>
      <c r="R947" s="6" t="str">
        <f t="shared" si="1"/>
        <v>3600+</v>
      </c>
      <c r="S947" s="6">
        <f t="shared" si="2"/>
        <v>8</v>
      </c>
      <c r="T947" s="6" t="str">
        <f t="shared" si="3"/>
        <v>New</v>
      </c>
    </row>
    <row r="948" ht="14.25" customHeight="1">
      <c r="A948" s="5">
        <v>1200264.0</v>
      </c>
      <c r="B948" s="6" t="s">
        <v>3831</v>
      </c>
      <c r="C948" s="6" t="s">
        <v>76</v>
      </c>
      <c r="D948" s="6">
        <v>39601.0</v>
      </c>
      <c r="E948" s="6" t="s">
        <v>19</v>
      </c>
      <c r="F948" s="6" t="s">
        <v>41</v>
      </c>
      <c r="G948" s="6" t="s">
        <v>21</v>
      </c>
      <c r="H948" s="7">
        <v>2500.0</v>
      </c>
      <c r="I948" s="7">
        <v>7280.0</v>
      </c>
      <c r="J948" s="6">
        <v>2021.0</v>
      </c>
      <c r="K948" s="6">
        <v>90.0</v>
      </c>
      <c r="L948" s="6" t="s">
        <v>62</v>
      </c>
      <c r="M948" s="6" t="s">
        <v>3832</v>
      </c>
      <c r="N948" s="6" t="s">
        <v>43</v>
      </c>
      <c r="O948" s="6" t="s">
        <v>49</v>
      </c>
      <c r="P948" s="6">
        <f>COUNTIF(Analysis!$M$1:$M$3001,Analysis!$M948)</f>
        <v>1</v>
      </c>
      <c r="Q948" s="6" t="str">
        <f>IF(COUNTIF(Analysis!$M$2:$M$3001,Analysis!$M948)&gt;1,"Duplicate","OK")</f>
        <v>OK</v>
      </c>
      <c r="R948" s="6" t="str">
        <f t="shared" si="1"/>
        <v>1600-2600</v>
      </c>
      <c r="S948" s="6">
        <f t="shared" si="2"/>
        <v>5</v>
      </c>
      <c r="T948" s="6" t="str">
        <f t="shared" si="3"/>
        <v>New</v>
      </c>
    </row>
    <row r="949" ht="14.25" customHeight="1">
      <c r="A949" s="5">
        <v>563528.0</v>
      </c>
      <c r="B949" s="6" t="s">
        <v>1277</v>
      </c>
      <c r="C949" s="6" t="s">
        <v>29</v>
      </c>
      <c r="D949" s="6">
        <v>16892.0</v>
      </c>
      <c r="E949" s="6" t="s">
        <v>40</v>
      </c>
      <c r="F949" s="6" t="s">
        <v>46</v>
      </c>
      <c r="G949" s="6" t="s">
        <v>100</v>
      </c>
      <c r="H949" s="7">
        <v>1319.0</v>
      </c>
      <c r="I949" s="7">
        <v>2031.0</v>
      </c>
      <c r="J949" s="6">
        <v>2007.0</v>
      </c>
      <c r="K949" s="6">
        <v>72.0</v>
      </c>
      <c r="L949" s="6" t="s">
        <v>22</v>
      </c>
      <c r="M949" s="6" t="s">
        <v>1278</v>
      </c>
      <c r="N949" s="6" t="s">
        <v>34</v>
      </c>
      <c r="O949" s="6" t="s">
        <v>35</v>
      </c>
      <c r="P949" s="6">
        <f>COUNTIF(Analysis!$M$1:$M$3001,Analysis!$M309)</f>
        <v>1</v>
      </c>
      <c r="Q949" s="6" t="str">
        <f>IF(COUNTIF(Analysis!$M$2:$M$3001,Analysis!$M309)&gt;1,"Duplicate","OK")</f>
        <v>OK</v>
      </c>
      <c r="R949" s="6" t="str">
        <f t="shared" si="1"/>
        <v>600-1600</v>
      </c>
      <c r="S949" s="6">
        <f t="shared" si="2"/>
        <v>19</v>
      </c>
      <c r="T949" s="6" t="str">
        <f t="shared" si="3"/>
        <v>Mid</v>
      </c>
    </row>
    <row r="950" ht="14.25" customHeight="1">
      <c r="A950" s="5">
        <v>658283.0</v>
      </c>
      <c r="B950" s="6" t="s">
        <v>3839</v>
      </c>
      <c r="C950" s="6" t="s">
        <v>39</v>
      </c>
      <c r="D950" s="6">
        <v>37559.0</v>
      </c>
      <c r="E950" s="6" t="s">
        <v>77</v>
      </c>
      <c r="F950" s="6" t="s">
        <v>54</v>
      </c>
      <c r="G950" s="6" t="s">
        <v>31</v>
      </c>
      <c r="H950" s="7">
        <v>2487.0</v>
      </c>
      <c r="I950" s="7">
        <v>9439.0</v>
      </c>
      <c r="J950" s="6">
        <v>2013.0</v>
      </c>
      <c r="K950" s="6">
        <v>27.0</v>
      </c>
      <c r="L950" s="6" t="s">
        <v>62</v>
      </c>
      <c r="M950" s="6" t="s">
        <v>3840</v>
      </c>
      <c r="N950" s="6" t="s">
        <v>48</v>
      </c>
      <c r="O950" s="6" t="s">
        <v>25</v>
      </c>
      <c r="P950" s="6">
        <f>COUNTIF(Analysis!$M$1:$M$3001,Analysis!$M950)</f>
        <v>1</v>
      </c>
      <c r="Q950" s="6" t="str">
        <f>IF(COUNTIF(Analysis!$M$2:$M$3001,Analysis!$M950)&gt;1,"Duplicate","OK")</f>
        <v>OK</v>
      </c>
      <c r="R950" s="6" t="str">
        <f t="shared" si="1"/>
        <v>1600-2600</v>
      </c>
      <c r="S950" s="6">
        <f t="shared" si="2"/>
        <v>13</v>
      </c>
      <c r="T950" s="6" t="str">
        <f t="shared" si="3"/>
        <v>Mid</v>
      </c>
    </row>
    <row r="951" ht="14.25" customHeight="1">
      <c r="A951" s="5">
        <v>980749.0</v>
      </c>
      <c r="B951" s="6" t="s">
        <v>3843</v>
      </c>
      <c r="C951" s="6" t="s">
        <v>53</v>
      </c>
      <c r="D951" s="6">
        <v>38914.0</v>
      </c>
      <c r="E951" s="6" t="s">
        <v>19</v>
      </c>
      <c r="F951" s="6" t="s">
        <v>46</v>
      </c>
      <c r="G951" s="6" t="s">
        <v>55</v>
      </c>
      <c r="H951" s="7">
        <v>834.0</v>
      </c>
      <c r="I951" s="7">
        <v>3839.0</v>
      </c>
      <c r="J951" s="6">
        <v>1959.0</v>
      </c>
      <c r="K951" s="6">
        <v>28.0</v>
      </c>
      <c r="L951" s="6" t="s">
        <v>22</v>
      </c>
      <c r="M951" s="6" t="s">
        <v>3844</v>
      </c>
      <c r="N951" s="6" t="s">
        <v>64</v>
      </c>
      <c r="O951" s="6" t="s">
        <v>35</v>
      </c>
      <c r="P951" s="6">
        <f>COUNTIF(Analysis!$M$1:$M$3001,Analysis!$M951)</f>
        <v>1</v>
      </c>
      <c r="Q951" s="6" t="str">
        <f>IF(COUNTIF(Analysis!$M$2:$M$3001,Analysis!$M951)&gt;1,"Duplicate","OK")</f>
        <v>OK</v>
      </c>
      <c r="R951" s="6" t="str">
        <f t="shared" si="1"/>
        <v>600-1600</v>
      </c>
      <c r="S951" s="6">
        <f t="shared" si="2"/>
        <v>67</v>
      </c>
      <c r="T951" s="6" t="str">
        <f t="shared" si="3"/>
        <v>Very Old</v>
      </c>
    </row>
    <row r="952" ht="14.25" customHeight="1">
      <c r="A952" s="5">
        <v>590836.0</v>
      </c>
      <c r="B952" s="6" t="s">
        <v>3847</v>
      </c>
      <c r="C952" s="6" t="s">
        <v>53</v>
      </c>
      <c r="D952" s="6">
        <v>77726.0</v>
      </c>
      <c r="E952" s="6" t="s">
        <v>40</v>
      </c>
      <c r="F952" s="6" t="s">
        <v>94</v>
      </c>
      <c r="G952" s="6" t="s">
        <v>31</v>
      </c>
      <c r="H952" s="7">
        <v>983.0</v>
      </c>
      <c r="I952" s="7">
        <v>9401.0</v>
      </c>
      <c r="J952" s="6">
        <v>1998.0</v>
      </c>
      <c r="K952" s="6">
        <v>3.0</v>
      </c>
      <c r="L952" s="6" t="s">
        <v>95</v>
      </c>
      <c r="M952" s="6" t="s">
        <v>3848</v>
      </c>
      <c r="N952" s="6" t="s">
        <v>24</v>
      </c>
      <c r="O952" s="6" t="s">
        <v>25</v>
      </c>
      <c r="P952" s="6">
        <f>COUNTIF(Analysis!$M$1:$M$3001,Analysis!$M952)</f>
        <v>1</v>
      </c>
      <c r="Q952" s="6" t="str">
        <f>IF(COUNTIF(Analysis!$M$2:$M$3001,Analysis!$M952)&gt;1,"Duplicate","OK")</f>
        <v>OK</v>
      </c>
      <c r="R952" s="6" t="str">
        <f t="shared" si="1"/>
        <v>600-1600</v>
      </c>
      <c r="S952" s="6">
        <f t="shared" si="2"/>
        <v>28</v>
      </c>
      <c r="T952" s="6" t="str">
        <f t="shared" si="3"/>
        <v>Mid</v>
      </c>
    </row>
    <row r="953" ht="14.25" customHeight="1">
      <c r="A953" s="5">
        <v>1124902.0</v>
      </c>
      <c r="B953" s="6" t="s">
        <v>3851</v>
      </c>
      <c r="C953" s="6" t="s">
        <v>76</v>
      </c>
      <c r="D953" s="6">
        <v>98081.0</v>
      </c>
      <c r="E953" s="6" t="s">
        <v>40</v>
      </c>
      <c r="F953" s="6" t="s">
        <v>20</v>
      </c>
      <c r="G953" s="6" t="s">
        <v>21</v>
      </c>
      <c r="H953" s="7">
        <v>2685.0</v>
      </c>
      <c r="I953" s="7">
        <v>1181.0</v>
      </c>
      <c r="J953" s="6">
        <v>1955.0</v>
      </c>
      <c r="K953" s="6">
        <v>73.0</v>
      </c>
      <c r="L953" s="6" t="s">
        <v>95</v>
      </c>
      <c r="M953" s="6" t="s">
        <v>3852</v>
      </c>
      <c r="N953" s="6" t="s">
        <v>48</v>
      </c>
      <c r="O953" s="6" t="s">
        <v>35</v>
      </c>
      <c r="P953" s="6">
        <f>COUNTIF(Analysis!$M$1:$M$3001,Analysis!$M953)</f>
        <v>1</v>
      </c>
      <c r="Q953" s="6" t="str">
        <f>IF(COUNTIF(Analysis!$M$2:$M$3001,Analysis!$M953)&gt;1,"Duplicate","OK")</f>
        <v>OK</v>
      </c>
      <c r="R953" s="6" t="str">
        <f t="shared" si="1"/>
        <v>2600-3600</v>
      </c>
      <c r="S953" s="6">
        <f t="shared" si="2"/>
        <v>71</v>
      </c>
      <c r="T953" s="6" t="str">
        <f t="shared" si="3"/>
        <v>Very Old</v>
      </c>
    </row>
    <row r="954" ht="14.25" customHeight="1">
      <c r="A954" s="5">
        <v>1055664.0</v>
      </c>
      <c r="B954" s="6" t="s">
        <v>3855</v>
      </c>
      <c r="C954" s="6" t="s">
        <v>76</v>
      </c>
      <c r="D954" s="6">
        <v>90885.0</v>
      </c>
      <c r="E954" s="6" t="s">
        <v>19</v>
      </c>
      <c r="F954" s="6" t="s">
        <v>20</v>
      </c>
      <c r="G954" s="6" t="s">
        <v>55</v>
      </c>
      <c r="H954" s="7">
        <v>1984.0</v>
      </c>
      <c r="I954" s="7">
        <v>2398.0</v>
      </c>
      <c r="J954" s="6">
        <v>1983.0</v>
      </c>
      <c r="K954" s="6">
        <v>7.0</v>
      </c>
      <c r="L954" s="6" t="s">
        <v>141</v>
      </c>
      <c r="M954" s="6" t="s">
        <v>3856</v>
      </c>
      <c r="N954" s="6" t="s">
        <v>24</v>
      </c>
      <c r="O954" s="6" t="s">
        <v>35</v>
      </c>
      <c r="P954" s="6">
        <f>COUNTIF(Analysis!$M$1:$M$3001,Analysis!$M954)</f>
        <v>1</v>
      </c>
      <c r="Q954" s="6" t="str">
        <f>IF(COUNTIF(Analysis!$M$2:$M$3001,Analysis!$M954)&gt;1,"Duplicate","OK")</f>
        <v>OK</v>
      </c>
      <c r="R954" s="6" t="str">
        <f t="shared" si="1"/>
        <v>1600-2600</v>
      </c>
      <c r="S954" s="6">
        <f t="shared" si="2"/>
        <v>43</v>
      </c>
      <c r="T954" s="6" t="str">
        <f t="shared" si="3"/>
        <v>Old</v>
      </c>
    </row>
    <row r="955" ht="14.25" customHeight="1">
      <c r="A955" s="5">
        <v>1228378.0</v>
      </c>
      <c r="B955" s="6" t="s">
        <v>3859</v>
      </c>
      <c r="C955" s="6" t="s">
        <v>39</v>
      </c>
      <c r="D955" s="6">
        <v>74884.0</v>
      </c>
      <c r="E955" s="6" t="s">
        <v>19</v>
      </c>
      <c r="F955" s="6" t="s">
        <v>61</v>
      </c>
      <c r="G955" s="6" t="s">
        <v>21</v>
      </c>
      <c r="H955" s="7">
        <v>2761.0</v>
      </c>
      <c r="I955" s="7">
        <v>7538.0</v>
      </c>
      <c r="J955" s="6">
        <v>1972.0</v>
      </c>
      <c r="K955" s="6">
        <v>46.0</v>
      </c>
      <c r="L955" s="6" t="s">
        <v>22</v>
      </c>
      <c r="M955" s="6" t="s">
        <v>3860</v>
      </c>
      <c r="N955" s="6" t="s">
        <v>48</v>
      </c>
      <c r="O955" s="6" t="s">
        <v>35</v>
      </c>
      <c r="P955" s="6">
        <f>COUNTIF(Analysis!$M$1:$M$3001,Analysis!$M955)</f>
        <v>1</v>
      </c>
      <c r="Q955" s="6" t="str">
        <f>IF(COUNTIF(Analysis!$M$2:$M$3001,Analysis!$M955)&gt;1,"Duplicate","OK")</f>
        <v>OK</v>
      </c>
      <c r="R955" s="6" t="str">
        <f t="shared" si="1"/>
        <v>2600-3600</v>
      </c>
      <c r="S955" s="6">
        <f t="shared" si="2"/>
        <v>54</v>
      </c>
      <c r="T955" s="6" t="str">
        <f t="shared" si="3"/>
        <v>Old</v>
      </c>
    </row>
    <row r="956" ht="14.25" customHeight="1">
      <c r="A956" s="5">
        <v>563864.0</v>
      </c>
      <c r="B956" s="6" t="s">
        <v>1861</v>
      </c>
      <c r="C956" s="6" t="s">
        <v>29</v>
      </c>
      <c r="D956" s="6">
        <v>61586.0</v>
      </c>
      <c r="E956" s="6" t="s">
        <v>77</v>
      </c>
      <c r="F956" s="6" t="s">
        <v>94</v>
      </c>
      <c r="G956" s="6" t="s">
        <v>21</v>
      </c>
      <c r="H956" s="7">
        <v>3158.0</v>
      </c>
      <c r="I956" s="7">
        <v>3949.0</v>
      </c>
      <c r="J956" s="6">
        <v>1960.0</v>
      </c>
      <c r="K956" s="6">
        <v>76.0</v>
      </c>
      <c r="L956" s="6" t="s">
        <v>22</v>
      </c>
      <c r="M956" s="6" t="s">
        <v>1862</v>
      </c>
      <c r="N956" s="6" t="s">
        <v>64</v>
      </c>
      <c r="O956" s="6" t="s">
        <v>25</v>
      </c>
      <c r="P956" s="6">
        <f>COUNTIF(Analysis!$M$1:$M$3001,Analysis!$M455)</f>
        <v>1</v>
      </c>
      <c r="Q956" s="6" t="str">
        <f>IF(COUNTIF(Analysis!$M$2:$M$3001,Analysis!$M455)&gt;1,"Duplicate","OK")</f>
        <v>OK</v>
      </c>
      <c r="R956" s="6" t="str">
        <f t="shared" si="1"/>
        <v>2600-3600</v>
      </c>
      <c r="S956" s="6">
        <f t="shared" si="2"/>
        <v>66</v>
      </c>
      <c r="T956" s="6" t="str">
        <f t="shared" si="3"/>
        <v>Very Old</v>
      </c>
    </row>
    <row r="957" ht="14.25" customHeight="1">
      <c r="A957" s="5">
        <v>564670.0</v>
      </c>
      <c r="B957" s="6" t="s">
        <v>11798</v>
      </c>
      <c r="C957" s="6" t="s">
        <v>29</v>
      </c>
      <c r="D957" s="6">
        <v>49998.0</v>
      </c>
      <c r="E957" s="6" t="s">
        <v>77</v>
      </c>
      <c r="F957" s="6" t="s">
        <v>20</v>
      </c>
      <c r="G957" s="6" t="s">
        <v>100</v>
      </c>
      <c r="H957" s="7">
        <v>3713.0</v>
      </c>
      <c r="I957" s="7">
        <v>4531.0</v>
      </c>
      <c r="J957" s="6">
        <v>2017.0</v>
      </c>
      <c r="K957" s="6">
        <v>76.0</v>
      </c>
      <c r="L957" s="6" t="s">
        <v>32</v>
      </c>
      <c r="M957" s="6" t="s">
        <v>11799</v>
      </c>
      <c r="N957" s="6" t="s">
        <v>64</v>
      </c>
      <c r="O957" s="6" t="s">
        <v>35</v>
      </c>
      <c r="P957" s="6">
        <f>COUNTIF(Analysis!$M$1:$M$3001,Analysis!$M2941)</f>
        <v>1</v>
      </c>
      <c r="Q957" s="6" t="str">
        <f>IF(COUNTIF(Analysis!$M$2:$M$3001,Analysis!$M2941)&gt;1,"Duplicate","OK")</f>
        <v>OK</v>
      </c>
      <c r="R957" s="6" t="str">
        <f t="shared" si="1"/>
        <v>3600+</v>
      </c>
      <c r="S957" s="6">
        <f t="shared" si="2"/>
        <v>9</v>
      </c>
      <c r="T957" s="6" t="str">
        <f t="shared" si="3"/>
        <v>New</v>
      </c>
    </row>
    <row r="958" ht="14.25" customHeight="1">
      <c r="A958" s="5">
        <v>564752.0</v>
      </c>
      <c r="B958" s="6" t="s">
        <v>10863</v>
      </c>
      <c r="C958" s="6" t="s">
        <v>29</v>
      </c>
      <c r="D958" s="6">
        <v>18368.0</v>
      </c>
      <c r="E958" s="6" t="s">
        <v>77</v>
      </c>
      <c r="F958" s="6" t="s">
        <v>20</v>
      </c>
      <c r="G958" s="6" t="s">
        <v>100</v>
      </c>
      <c r="H958" s="7">
        <v>3205.0</v>
      </c>
      <c r="I958" s="7">
        <v>6265.0</v>
      </c>
      <c r="J958" s="6">
        <v>1980.0</v>
      </c>
      <c r="K958" s="6">
        <v>9.0</v>
      </c>
      <c r="L958" s="6" t="s">
        <v>141</v>
      </c>
      <c r="M958" s="6" t="s">
        <v>10864</v>
      </c>
      <c r="N958" s="6" t="s">
        <v>34</v>
      </c>
      <c r="O958" s="6" t="s">
        <v>35</v>
      </c>
      <c r="P958" s="6">
        <f>COUNTIF(Analysis!$M$1:$M$3001,Analysis!$M2707)</f>
        <v>1</v>
      </c>
      <c r="Q958" s="6" t="str">
        <f>IF(COUNTIF(Analysis!$M$2:$M$3001,Analysis!$M2707)&gt;1,"Duplicate","OK")</f>
        <v>OK</v>
      </c>
      <c r="R958" s="6" t="str">
        <f t="shared" si="1"/>
        <v>2600-3600</v>
      </c>
      <c r="S958" s="6">
        <f t="shared" si="2"/>
        <v>46</v>
      </c>
      <c r="T958" s="6" t="str">
        <f t="shared" si="3"/>
        <v>Old</v>
      </c>
    </row>
    <row r="959" ht="14.25" customHeight="1">
      <c r="A959" s="5">
        <v>874245.0</v>
      </c>
      <c r="B959" s="6" t="s">
        <v>3875</v>
      </c>
      <c r="C959" s="6" t="s">
        <v>39</v>
      </c>
      <c r="D959" s="6">
        <v>48361.0</v>
      </c>
      <c r="E959" s="6" t="s">
        <v>19</v>
      </c>
      <c r="F959" s="6" t="s">
        <v>46</v>
      </c>
      <c r="G959" s="6" t="s">
        <v>55</v>
      </c>
      <c r="H959" s="7">
        <v>2442.0</v>
      </c>
      <c r="I959" s="7">
        <v>9869.0</v>
      </c>
      <c r="J959" s="6">
        <v>1994.0</v>
      </c>
      <c r="K959" s="6">
        <v>18.0</v>
      </c>
      <c r="L959" s="6" t="s">
        <v>62</v>
      </c>
      <c r="M959" s="6" t="s">
        <v>3876</v>
      </c>
      <c r="N959" s="6" t="s">
        <v>34</v>
      </c>
      <c r="O959" s="6" t="s">
        <v>49</v>
      </c>
      <c r="P959" s="6">
        <f>COUNTIF(Analysis!$M$1:$M$3001,Analysis!$M959)</f>
        <v>1</v>
      </c>
      <c r="Q959" s="6" t="str">
        <f>IF(COUNTIF(Analysis!$M$2:$M$3001,Analysis!$M959)&gt;1,"Duplicate","OK")</f>
        <v>OK</v>
      </c>
      <c r="R959" s="6" t="str">
        <f t="shared" si="1"/>
        <v>1600-2600</v>
      </c>
      <c r="S959" s="6">
        <f t="shared" si="2"/>
        <v>32</v>
      </c>
      <c r="T959" s="6" t="str">
        <f t="shared" si="3"/>
        <v>Old</v>
      </c>
    </row>
    <row r="960" ht="14.25" customHeight="1">
      <c r="A960" s="5">
        <v>1417766.0</v>
      </c>
      <c r="B960" s="6" t="s">
        <v>3879</v>
      </c>
      <c r="C960" s="6" t="s">
        <v>76</v>
      </c>
      <c r="D960" s="6">
        <v>91508.0</v>
      </c>
      <c r="E960" s="6" t="s">
        <v>40</v>
      </c>
      <c r="F960" s="6" t="s">
        <v>61</v>
      </c>
      <c r="G960" s="6" t="s">
        <v>31</v>
      </c>
      <c r="H960" s="7">
        <v>2236.0</v>
      </c>
      <c r="I960" s="7">
        <v>7873.0</v>
      </c>
      <c r="J960" s="6">
        <v>1994.0</v>
      </c>
      <c r="K960" s="6">
        <v>5.0</v>
      </c>
      <c r="L960" s="6" t="s">
        <v>141</v>
      </c>
      <c r="M960" s="6" t="s">
        <v>3880</v>
      </c>
      <c r="N960" s="6" t="s">
        <v>48</v>
      </c>
      <c r="O960" s="6" t="s">
        <v>35</v>
      </c>
      <c r="P960" s="6">
        <f>COUNTIF(Analysis!$M$1:$M$3001,Analysis!$M960)</f>
        <v>1</v>
      </c>
      <c r="Q960" s="6" t="str">
        <f>IF(COUNTIF(Analysis!$M$2:$M$3001,Analysis!$M960)&gt;1,"Duplicate","OK")</f>
        <v>OK</v>
      </c>
      <c r="R960" s="6" t="str">
        <f t="shared" si="1"/>
        <v>1600-2600</v>
      </c>
      <c r="S960" s="6">
        <f t="shared" si="2"/>
        <v>32</v>
      </c>
      <c r="T960" s="6" t="str">
        <f t="shared" si="3"/>
        <v>Old</v>
      </c>
    </row>
    <row r="961" ht="14.25" customHeight="1">
      <c r="A961" s="5">
        <v>1460654.0</v>
      </c>
      <c r="B961" s="6" t="s">
        <v>3883</v>
      </c>
      <c r="C961" s="6" t="s">
        <v>53</v>
      </c>
      <c r="D961" s="6">
        <v>86267.0</v>
      </c>
      <c r="E961" s="6" t="s">
        <v>19</v>
      </c>
      <c r="F961" s="6" t="s">
        <v>20</v>
      </c>
      <c r="G961" s="6" t="s">
        <v>55</v>
      </c>
      <c r="H961" s="7">
        <v>1320.0</v>
      </c>
      <c r="I961" s="7">
        <v>8708.0</v>
      </c>
      <c r="J961" s="6">
        <v>1956.0</v>
      </c>
      <c r="K961" s="6">
        <v>31.0</v>
      </c>
      <c r="L961" s="6" t="s">
        <v>141</v>
      </c>
      <c r="M961" s="6" t="s">
        <v>3884</v>
      </c>
      <c r="N961" s="6" t="s">
        <v>64</v>
      </c>
      <c r="O961" s="6" t="s">
        <v>25</v>
      </c>
      <c r="P961" s="6">
        <f>COUNTIF(Analysis!$M$1:$M$3001,Analysis!$M961)</f>
        <v>1</v>
      </c>
      <c r="Q961" s="6" t="str">
        <f>IF(COUNTIF(Analysis!$M$2:$M$3001,Analysis!$M961)&gt;1,"Duplicate","OK")</f>
        <v>OK</v>
      </c>
      <c r="R961" s="6" t="str">
        <f t="shared" si="1"/>
        <v>600-1600</v>
      </c>
      <c r="S961" s="6">
        <f t="shared" si="2"/>
        <v>70</v>
      </c>
      <c r="T961" s="6" t="str">
        <f t="shared" si="3"/>
        <v>Very Old</v>
      </c>
    </row>
    <row r="962" ht="14.25" customHeight="1">
      <c r="A962" s="5">
        <v>1455417.0</v>
      </c>
      <c r="B962" s="6" t="s">
        <v>3887</v>
      </c>
      <c r="C962" s="6" t="s">
        <v>18</v>
      </c>
      <c r="D962" s="6">
        <v>68218.0</v>
      </c>
      <c r="E962" s="6" t="s">
        <v>77</v>
      </c>
      <c r="F962" s="6" t="s">
        <v>20</v>
      </c>
      <c r="G962" s="6" t="s">
        <v>100</v>
      </c>
      <c r="H962" s="7">
        <v>2720.0</v>
      </c>
      <c r="I962" s="7">
        <v>1777.0</v>
      </c>
      <c r="J962" s="6">
        <v>2003.0</v>
      </c>
      <c r="K962" s="6">
        <v>101.0</v>
      </c>
      <c r="L962" s="6" t="s">
        <v>32</v>
      </c>
      <c r="M962" s="6" t="s">
        <v>3888</v>
      </c>
      <c r="N962" s="6" t="s">
        <v>64</v>
      </c>
      <c r="O962" s="6" t="s">
        <v>35</v>
      </c>
      <c r="P962" s="6">
        <f>COUNTIF(Analysis!$M$1:$M$3001,Analysis!$M962)</f>
        <v>1</v>
      </c>
      <c r="Q962" s="6" t="str">
        <f>IF(COUNTIF(Analysis!$M$2:$M$3001,Analysis!$M962)&gt;1,"Duplicate","OK")</f>
        <v>OK</v>
      </c>
      <c r="R962" s="6" t="str">
        <f t="shared" si="1"/>
        <v>2600-3600</v>
      </c>
      <c r="S962" s="6">
        <f t="shared" si="2"/>
        <v>23</v>
      </c>
      <c r="T962" s="6" t="str">
        <f t="shared" si="3"/>
        <v>Mid</v>
      </c>
    </row>
    <row r="963" ht="14.25" customHeight="1">
      <c r="A963" s="5">
        <v>1253458.0</v>
      </c>
      <c r="B963" s="6" t="s">
        <v>3891</v>
      </c>
      <c r="C963" s="6" t="s">
        <v>18</v>
      </c>
      <c r="D963" s="6">
        <v>89720.0</v>
      </c>
      <c r="E963" s="6" t="s">
        <v>40</v>
      </c>
      <c r="F963" s="6" t="s">
        <v>46</v>
      </c>
      <c r="G963" s="6" t="s">
        <v>21</v>
      </c>
      <c r="H963" s="7">
        <v>2660.0</v>
      </c>
      <c r="I963" s="7">
        <v>3105.0</v>
      </c>
      <c r="J963" s="6">
        <v>2002.0</v>
      </c>
      <c r="K963" s="6">
        <v>48.0</v>
      </c>
      <c r="L963" s="6" t="s">
        <v>22</v>
      </c>
      <c r="M963" s="6" t="s">
        <v>3892</v>
      </c>
      <c r="N963" s="6" t="s">
        <v>64</v>
      </c>
      <c r="O963" s="6" t="s">
        <v>49</v>
      </c>
      <c r="P963" s="6">
        <f>COUNTIF(Analysis!$M$1:$M$3001,Analysis!$M963)</f>
        <v>1</v>
      </c>
      <c r="Q963" s="6" t="str">
        <f>IF(COUNTIF(Analysis!$M$2:$M$3001,Analysis!$M963)&gt;1,"Duplicate","OK")</f>
        <v>OK</v>
      </c>
      <c r="R963" s="6" t="str">
        <f t="shared" si="1"/>
        <v>2600-3600</v>
      </c>
      <c r="S963" s="6">
        <f t="shared" si="2"/>
        <v>24</v>
      </c>
      <c r="T963" s="6" t="str">
        <f t="shared" si="3"/>
        <v>Mid</v>
      </c>
    </row>
    <row r="964" ht="14.25" customHeight="1">
      <c r="A964" s="5">
        <v>484967.0</v>
      </c>
      <c r="B964" s="6" t="s">
        <v>3895</v>
      </c>
      <c r="C964" s="6" t="s">
        <v>39</v>
      </c>
      <c r="D964" s="6">
        <v>29123.0</v>
      </c>
      <c r="E964" s="6" t="s">
        <v>77</v>
      </c>
      <c r="F964" s="6" t="s">
        <v>41</v>
      </c>
      <c r="G964" s="6" t="s">
        <v>55</v>
      </c>
      <c r="H964" s="7">
        <v>1087.0</v>
      </c>
      <c r="I964" s="7">
        <v>6914.0</v>
      </c>
      <c r="J964" s="6">
        <v>1953.0</v>
      </c>
      <c r="K964" s="6">
        <v>40.0</v>
      </c>
      <c r="L964" s="6" t="s">
        <v>141</v>
      </c>
      <c r="M964" s="6" t="s">
        <v>3896</v>
      </c>
      <c r="N964" s="6" t="s">
        <v>64</v>
      </c>
      <c r="O964" s="6" t="s">
        <v>25</v>
      </c>
      <c r="P964" s="6">
        <f>COUNTIF(Analysis!$M$1:$M$3001,Analysis!$M964)</f>
        <v>1</v>
      </c>
      <c r="Q964" s="6" t="str">
        <f>IF(COUNTIF(Analysis!$M$2:$M$3001,Analysis!$M964)&gt;1,"Duplicate","OK")</f>
        <v>OK</v>
      </c>
      <c r="R964" s="6" t="str">
        <f t="shared" si="1"/>
        <v>600-1600</v>
      </c>
      <c r="S964" s="6">
        <f t="shared" si="2"/>
        <v>73</v>
      </c>
      <c r="T964" s="6" t="str">
        <f t="shared" si="3"/>
        <v>Very Old</v>
      </c>
    </row>
    <row r="965" ht="14.25" customHeight="1">
      <c r="A965" s="5">
        <v>565244.0</v>
      </c>
      <c r="B965" s="6" t="s">
        <v>2575</v>
      </c>
      <c r="C965" s="6" t="s">
        <v>29</v>
      </c>
      <c r="D965" s="6">
        <v>57967.0</v>
      </c>
      <c r="E965" s="6" t="s">
        <v>77</v>
      </c>
      <c r="F965" s="6" t="s">
        <v>46</v>
      </c>
      <c r="G965" s="6" t="s">
        <v>55</v>
      </c>
      <c r="H965" s="7">
        <v>3288.0</v>
      </c>
      <c r="I965" s="7">
        <v>8511.0</v>
      </c>
      <c r="J965" s="6">
        <v>2008.0</v>
      </c>
      <c r="K965" s="6">
        <v>70.0</v>
      </c>
      <c r="L965" s="6" t="s">
        <v>22</v>
      </c>
      <c r="M965" s="6" t="s">
        <v>2576</v>
      </c>
      <c r="N965" s="6" t="s">
        <v>24</v>
      </c>
      <c r="O965" s="6" t="s">
        <v>49</v>
      </c>
      <c r="P965" s="6">
        <f>COUNTIF(Analysis!$M$1:$M$3001,Analysis!$M634)</f>
        <v>1</v>
      </c>
      <c r="Q965" s="6" t="str">
        <f>IF(COUNTIF(Analysis!$M$2:$M$3001,Analysis!$M634)&gt;1,"Duplicate","OK")</f>
        <v>OK</v>
      </c>
      <c r="R965" s="6" t="str">
        <f t="shared" si="1"/>
        <v>2600-3600</v>
      </c>
      <c r="S965" s="6">
        <f t="shared" si="2"/>
        <v>18</v>
      </c>
      <c r="T965" s="6" t="str">
        <f t="shared" si="3"/>
        <v>Mid</v>
      </c>
    </row>
    <row r="966" ht="14.25" customHeight="1">
      <c r="A966" s="5">
        <v>566147.0</v>
      </c>
      <c r="B966" s="6" t="s">
        <v>10623</v>
      </c>
      <c r="C966" s="6" t="s">
        <v>29</v>
      </c>
      <c r="D966" s="6">
        <v>16407.0</v>
      </c>
      <c r="E966" s="6" t="s">
        <v>77</v>
      </c>
      <c r="F966" s="6" t="s">
        <v>61</v>
      </c>
      <c r="G966" s="6" t="s">
        <v>31</v>
      </c>
      <c r="H966" s="7">
        <v>2049.0</v>
      </c>
      <c r="I966" s="7">
        <v>9210.0</v>
      </c>
      <c r="J966" s="6">
        <v>1969.0</v>
      </c>
      <c r="K966" s="6">
        <v>67.0</v>
      </c>
      <c r="L966" s="6" t="s">
        <v>22</v>
      </c>
      <c r="M966" s="6" t="s">
        <v>10624</v>
      </c>
      <c r="N966" s="6" t="s">
        <v>48</v>
      </c>
      <c r="O966" s="6" t="s">
        <v>49</v>
      </c>
      <c r="P966" s="6">
        <f>COUNTIF(Analysis!$M$1:$M$3001,Analysis!$M2647)</f>
        <v>1</v>
      </c>
      <c r="Q966" s="6" t="str">
        <f>IF(COUNTIF(Analysis!$M$2:$M$3001,Analysis!$M2647)&gt;1,"Duplicate","OK")</f>
        <v>OK</v>
      </c>
      <c r="R966" s="6" t="str">
        <f t="shared" si="1"/>
        <v>1600-2600</v>
      </c>
      <c r="S966" s="6">
        <f t="shared" si="2"/>
        <v>57</v>
      </c>
      <c r="T966" s="6" t="str">
        <f t="shared" si="3"/>
        <v>Old</v>
      </c>
    </row>
    <row r="967" ht="14.25" customHeight="1">
      <c r="A967" s="5">
        <v>688763.0</v>
      </c>
      <c r="B967" s="6" t="s">
        <v>3907</v>
      </c>
      <c r="C967" s="6" t="s">
        <v>18</v>
      </c>
      <c r="D967" s="6">
        <v>92096.0</v>
      </c>
      <c r="E967" s="6" t="s">
        <v>30</v>
      </c>
      <c r="F967" s="6" t="s">
        <v>54</v>
      </c>
      <c r="G967" s="6" t="s">
        <v>21</v>
      </c>
      <c r="H967" s="7">
        <v>1358.0</v>
      </c>
      <c r="I967" s="7">
        <v>5525.0</v>
      </c>
      <c r="J967" s="6">
        <v>2019.0</v>
      </c>
      <c r="K967" s="6">
        <v>19.0</v>
      </c>
      <c r="L967" s="6" t="s">
        <v>95</v>
      </c>
      <c r="M967" s="6" t="s">
        <v>3908</v>
      </c>
      <c r="N967" s="6" t="s">
        <v>34</v>
      </c>
      <c r="O967" s="6" t="s">
        <v>25</v>
      </c>
      <c r="P967" s="6">
        <f>COUNTIF(Analysis!$M$1:$M$3001,Analysis!$M967)</f>
        <v>1</v>
      </c>
      <c r="Q967" s="6" t="str">
        <f>IF(COUNTIF(Analysis!$M$2:$M$3001,Analysis!$M967)&gt;1,"Duplicate","OK")</f>
        <v>OK</v>
      </c>
      <c r="R967" s="6" t="str">
        <f t="shared" si="1"/>
        <v>600-1600</v>
      </c>
      <c r="S967" s="6">
        <f t="shared" si="2"/>
        <v>7</v>
      </c>
      <c r="T967" s="6" t="str">
        <f t="shared" si="3"/>
        <v>New</v>
      </c>
    </row>
    <row r="968" ht="14.25" customHeight="1">
      <c r="A968" s="5">
        <v>848451.0</v>
      </c>
      <c r="B968" s="6" t="s">
        <v>3911</v>
      </c>
      <c r="C968" s="6" t="s">
        <v>18</v>
      </c>
      <c r="D968" s="6">
        <v>79289.0</v>
      </c>
      <c r="E968" s="6" t="s">
        <v>19</v>
      </c>
      <c r="F968" s="6" t="s">
        <v>54</v>
      </c>
      <c r="G968" s="6" t="s">
        <v>55</v>
      </c>
      <c r="H968" s="7">
        <v>2168.0</v>
      </c>
      <c r="I968" s="7">
        <v>2019.0</v>
      </c>
      <c r="J968" s="6">
        <v>1958.0</v>
      </c>
      <c r="K968" s="6">
        <v>91.0</v>
      </c>
      <c r="L968" s="6" t="s">
        <v>22</v>
      </c>
      <c r="M968" s="6" t="s">
        <v>3912</v>
      </c>
      <c r="N968" s="6" t="s">
        <v>24</v>
      </c>
      <c r="O968" s="6" t="s">
        <v>35</v>
      </c>
      <c r="P968" s="6">
        <f>COUNTIF(Analysis!$M$1:$M$3001,Analysis!$M968)</f>
        <v>1</v>
      </c>
      <c r="Q968" s="6" t="str">
        <f>IF(COUNTIF(Analysis!$M$2:$M$3001,Analysis!$M968)&gt;1,"Duplicate","OK")</f>
        <v>OK</v>
      </c>
      <c r="R968" s="6" t="str">
        <f t="shared" si="1"/>
        <v>1600-2600</v>
      </c>
      <c r="S968" s="6">
        <f t="shared" si="2"/>
        <v>68</v>
      </c>
      <c r="T968" s="6" t="str">
        <f t="shared" si="3"/>
        <v>Very Old</v>
      </c>
    </row>
    <row r="969" ht="14.25" customHeight="1">
      <c r="A969" s="5">
        <v>437080.0</v>
      </c>
      <c r="B969" s="6" t="s">
        <v>3915</v>
      </c>
      <c r="C969" s="6" t="s">
        <v>53</v>
      </c>
      <c r="D969" s="6">
        <v>28489.0</v>
      </c>
      <c r="E969" s="6" t="s">
        <v>60</v>
      </c>
      <c r="F969" s="6" t="s">
        <v>61</v>
      </c>
      <c r="G969" s="6" t="s">
        <v>31</v>
      </c>
      <c r="H969" s="7">
        <v>740.0</v>
      </c>
      <c r="I969" s="7">
        <v>7577.0</v>
      </c>
      <c r="J969" s="6">
        <v>1969.0</v>
      </c>
      <c r="K969" s="6">
        <v>63.0</v>
      </c>
      <c r="L969" s="6" t="s">
        <v>62</v>
      </c>
      <c r="M969" s="6" t="s">
        <v>3916</v>
      </c>
      <c r="N969" s="6" t="s">
        <v>48</v>
      </c>
      <c r="O969" s="6" t="s">
        <v>49</v>
      </c>
      <c r="P969" s="6">
        <f>COUNTIF(Analysis!$M$1:$M$3001,Analysis!$M969)</f>
        <v>1</v>
      </c>
      <c r="Q969" s="6" t="str">
        <f>IF(COUNTIF(Analysis!$M$2:$M$3001,Analysis!$M969)&gt;1,"Duplicate","OK")</f>
        <v>OK</v>
      </c>
      <c r="R969" s="6" t="str">
        <f t="shared" si="1"/>
        <v>600-1600</v>
      </c>
      <c r="S969" s="6">
        <f t="shared" si="2"/>
        <v>57</v>
      </c>
      <c r="T969" s="6" t="str">
        <f t="shared" si="3"/>
        <v>Old</v>
      </c>
    </row>
    <row r="970" ht="14.25" customHeight="1">
      <c r="A970" s="5">
        <v>1227751.0</v>
      </c>
      <c r="B970" s="6" t="s">
        <v>3919</v>
      </c>
      <c r="C970" s="6" t="s">
        <v>76</v>
      </c>
      <c r="D970" s="6">
        <v>73849.0</v>
      </c>
      <c r="E970" s="6" t="s">
        <v>60</v>
      </c>
      <c r="F970" s="6" t="s">
        <v>41</v>
      </c>
      <c r="G970" s="6" t="s">
        <v>31</v>
      </c>
      <c r="H970" s="7">
        <v>1382.0</v>
      </c>
      <c r="I970" s="7">
        <v>1046.0</v>
      </c>
      <c r="J970" s="6">
        <v>1974.0</v>
      </c>
      <c r="K970" s="6">
        <v>72.0</v>
      </c>
      <c r="L970" s="6" t="s">
        <v>62</v>
      </c>
      <c r="M970" s="6" t="s">
        <v>3920</v>
      </c>
      <c r="N970" s="6" t="s">
        <v>64</v>
      </c>
      <c r="O970" s="6" t="s">
        <v>35</v>
      </c>
      <c r="P970" s="6">
        <f>COUNTIF(Analysis!$M$1:$M$3001,Analysis!$M970)</f>
        <v>1</v>
      </c>
      <c r="Q970" s="6" t="str">
        <f>IF(COUNTIF(Analysis!$M$2:$M$3001,Analysis!$M970)&gt;1,"Duplicate","OK")</f>
        <v>OK</v>
      </c>
      <c r="R970" s="6" t="str">
        <f t="shared" si="1"/>
        <v>600-1600</v>
      </c>
      <c r="S970" s="6">
        <f t="shared" si="2"/>
        <v>52</v>
      </c>
      <c r="T970" s="6" t="str">
        <f t="shared" si="3"/>
        <v>Old</v>
      </c>
    </row>
    <row r="971" ht="14.25" customHeight="1">
      <c r="A971" s="5">
        <v>533645.0</v>
      </c>
      <c r="B971" s="6" t="s">
        <v>3923</v>
      </c>
      <c r="C971" s="6" t="s">
        <v>76</v>
      </c>
      <c r="D971" s="6">
        <v>95184.0</v>
      </c>
      <c r="E971" s="6" t="s">
        <v>60</v>
      </c>
      <c r="F971" s="6" t="s">
        <v>54</v>
      </c>
      <c r="G971" s="6" t="s">
        <v>55</v>
      </c>
      <c r="H971" s="7">
        <v>2513.0</v>
      </c>
      <c r="I971" s="7">
        <v>7358.0</v>
      </c>
      <c r="J971" s="6">
        <v>1982.0</v>
      </c>
      <c r="K971" s="6">
        <v>68.0</v>
      </c>
      <c r="L971" s="6" t="s">
        <v>141</v>
      </c>
      <c r="M971" s="6" t="s">
        <v>3924</v>
      </c>
      <c r="N971" s="6" t="s">
        <v>43</v>
      </c>
      <c r="O971" s="6" t="s">
        <v>25</v>
      </c>
      <c r="P971" s="6">
        <f>COUNTIF(Analysis!$M$1:$M$3001,Analysis!$M971)</f>
        <v>1</v>
      </c>
      <c r="Q971" s="6" t="str">
        <f>IF(COUNTIF(Analysis!$M$2:$M$3001,Analysis!$M971)&gt;1,"Duplicate","OK")</f>
        <v>OK</v>
      </c>
      <c r="R971" s="6" t="str">
        <f t="shared" si="1"/>
        <v>1600-2600</v>
      </c>
      <c r="S971" s="6">
        <f t="shared" si="2"/>
        <v>44</v>
      </c>
      <c r="T971" s="6" t="str">
        <f t="shared" si="3"/>
        <v>Old</v>
      </c>
    </row>
    <row r="972" ht="14.25" customHeight="1">
      <c r="A972" s="5">
        <v>790073.0</v>
      </c>
      <c r="B972" s="6" t="s">
        <v>3927</v>
      </c>
      <c r="C972" s="6" t="s">
        <v>18</v>
      </c>
      <c r="D972" s="6">
        <v>35467.0</v>
      </c>
      <c r="E972" s="6" t="s">
        <v>40</v>
      </c>
      <c r="F972" s="6" t="s">
        <v>61</v>
      </c>
      <c r="G972" s="6" t="s">
        <v>31</v>
      </c>
      <c r="H972" s="7">
        <v>3417.0</v>
      </c>
      <c r="I972" s="7">
        <v>8797.0</v>
      </c>
      <c r="J972" s="6">
        <v>1976.0</v>
      </c>
      <c r="K972" s="6">
        <v>29.0</v>
      </c>
      <c r="L972" s="6" t="s">
        <v>22</v>
      </c>
      <c r="M972" s="6" t="s">
        <v>3928</v>
      </c>
      <c r="N972" s="6" t="s">
        <v>48</v>
      </c>
      <c r="O972" s="6" t="s">
        <v>25</v>
      </c>
      <c r="P972" s="6">
        <f>COUNTIF(Analysis!$M$1:$M$3001,Analysis!$M972)</f>
        <v>1</v>
      </c>
      <c r="Q972" s="6" t="str">
        <f>IF(COUNTIF(Analysis!$M$2:$M$3001,Analysis!$M972)&gt;1,"Duplicate","OK")</f>
        <v>OK</v>
      </c>
      <c r="R972" s="6" t="str">
        <f t="shared" si="1"/>
        <v>2600-3600</v>
      </c>
      <c r="S972" s="6">
        <f t="shared" si="2"/>
        <v>50</v>
      </c>
      <c r="T972" s="6" t="str">
        <f t="shared" si="3"/>
        <v>Old</v>
      </c>
    </row>
    <row r="973" ht="14.25" customHeight="1">
      <c r="A973" s="5">
        <v>1283155.0</v>
      </c>
      <c r="B973" s="6" t="s">
        <v>3931</v>
      </c>
      <c r="C973" s="6" t="s">
        <v>53</v>
      </c>
      <c r="D973" s="6">
        <v>35889.0</v>
      </c>
      <c r="E973" s="6" t="s">
        <v>77</v>
      </c>
      <c r="F973" s="6" t="s">
        <v>46</v>
      </c>
      <c r="G973" s="6" t="s">
        <v>31</v>
      </c>
      <c r="H973" s="7">
        <v>1825.0</v>
      </c>
      <c r="I973" s="7">
        <v>1853.0</v>
      </c>
      <c r="J973" s="6">
        <v>1969.0</v>
      </c>
      <c r="K973" s="6">
        <v>62.0</v>
      </c>
      <c r="L973" s="6" t="s">
        <v>22</v>
      </c>
      <c r="M973" s="6" t="s">
        <v>3932</v>
      </c>
      <c r="N973" s="6" t="s">
        <v>34</v>
      </c>
      <c r="O973" s="6" t="s">
        <v>25</v>
      </c>
      <c r="P973" s="6">
        <f>COUNTIF(Analysis!$M$1:$M$3001,Analysis!$M973)</f>
        <v>1</v>
      </c>
      <c r="Q973" s="6" t="str">
        <f>IF(COUNTIF(Analysis!$M$2:$M$3001,Analysis!$M973)&gt;1,"Duplicate","OK")</f>
        <v>OK</v>
      </c>
      <c r="R973" s="6" t="str">
        <f t="shared" si="1"/>
        <v>1600-2600</v>
      </c>
      <c r="S973" s="6">
        <f t="shared" si="2"/>
        <v>57</v>
      </c>
      <c r="T973" s="6" t="str">
        <f t="shared" si="3"/>
        <v>Old</v>
      </c>
    </row>
    <row r="974" ht="14.25" customHeight="1">
      <c r="A974" s="5">
        <v>571121.0</v>
      </c>
      <c r="B974" s="6" t="s">
        <v>7049</v>
      </c>
      <c r="C974" s="6" t="s">
        <v>29</v>
      </c>
      <c r="D974" s="6">
        <v>40774.0</v>
      </c>
      <c r="E974" s="6" t="s">
        <v>77</v>
      </c>
      <c r="F974" s="6" t="s">
        <v>94</v>
      </c>
      <c r="G974" s="6" t="s">
        <v>21</v>
      </c>
      <c r="H974" s="7">
        <v>3598.0</v>
      </c>
      <c r="I974" s="7">
        <v>6671.0</v>
      </c>
      <c r="J974" s="6">
        <v>1992.0</v>
      </c>
      <c r="K974" s="6">
        <v>76.0</v>
      </c>
      <c r="L974" s="6" t="s">
        <v>141</v>
      </c>
      <c r="M974" s="6" t="s">
        <v>7050</v>
      </c>
      <c r="N974" s="6" t="s">
        <v>34</v>
      </c>
      <c r="O974" s="6" t="s">
        <v>35</v>
      </c>
      <c r="P974" s="6">
        <f>COUNTIF(Analysis!$M$1:$M$3001,Analysis!$M1753)</f>
        <v>1</v>
      </c>
      <c r="Q974" s="6" t="str">
        <f>IF(COUNTIF(Analysis!$M$2:$M$3001,Analysis!$M1753)&gt;1,"Duplicate","OK")</f>
        <v>OK</v>
      </c>
      <c r="R974" s="6" t="str">
        <f t="shared" si="1"/>
        <v>2600-3600</v>
      </c>
      <c r="S974" s="6">
        <f t="shared" si="2"/>
        <v>34</v>
      </c>
      <c r="T974" s="6" t="str">
        <f t="shared" si="3"/>
        <v>Old</v>
      </c>
    </row>
    <row r="975" ht="14.25" customHeight="1">
      <c r="A975" s="5">
        <v>923083.0</v>
      </c>
      <c r="B975" s="6" t="s">
        <v>3939</v>
      </c>
      <c r="C975" s="6" t="s">
        <v>76</v>
      </c>
      <c r="D975" s="6">
        <v>83659.0</v>
      </c>
      <c r="E975" s="6" t="s">
        <v>60</v>
      </c>
      <c r="F975" s="6" t="s">
        <v>20</v>
      </c>
      <c r="G975" s="6" t="s">
        <v>21</v>
      </c>
      <c r="H975" s="7">
        <v>1199.0</v>
      </c>
      <c r="I975" s="7">
        <v>2333.0</v>
      </c>
      <c r="J975" s="6">
        <v>2000.0</v>
      </c>
      <c r="K975" s="6">
        <v>18.0</v>
      </c>
      <c r="L975" s="6" t="s">
        <v>32</v>
      </c>
      <c r="M975" s="6" t="s">
        <v>3940</v>
      </c>
      <c r="N975" s="6" t="s">
        <v>64</v>
      </c>
      <c r="O975" s="6" t="s">
        <v>35</v>
      </c>
      <c r="P975" s="6">
        <f>COUNTIF(Analysis!$M$1:$M$3001,Analysis!$M975)</f>
        <v>1</v>
      </c>
      <c r="Q975" s="6" t="str">
        <f>IF(COUNTIF(Analysis!$M$2:$M$3001,Analysis!$M975)&gt;1,"Duplicate","OK")</f>
        <v>OK</v>
      </c>
      <c r="R975" s="6" t="str">
        <f t="shared" si="1"/>
        <v>600-1600</v>
      </c>
      <c r="S975" s="6">
        <f t="shared" si="2"/>
        <v>26</v>
      </c>
      <c r="T975" s="6" t="str">
        <f t="shared" si="3"/>
        <v>Mid</v>
      </c>
    </row>
    <row r="976" ht="14.25" customHeight="1">
      <c r="A976" s="5">
        <v>151810.0</v>
      </c>
      <c r="B976" s="6" t="s">
        <v>3943</v>
      </c>
      <c r="C976" s="6" t="s">
        <v>18</v>
      </c>
      <c r="D976" s="6">
        <v>91142.0</v>
      </c>
      <c r="E976" s="6" t="s">
        <v>30</v>
      </c>
      <c r="F976" s="6" t="s">
        <v>46</v>
      </c>
      <c r="G976" s="6" t="s">
        <v>31</v>
      </c>
      <c r="H976" s="7">
        <v>1458.0</v>
      </c>
      <c r="I976" s="7">
        <v>1047.0</v>
      </c>
      <c r="J976" s="6">
        <v>1964.0</v>
      </c>
      <c r="K976" s="6">
        <v>47.0</v>
      </c>
      <c r="L976" s="6" t="s">
        <v>22</v>
      </c>
      <c r="M976" s="6" t="s">
        <v>3944</v>
      </c>
      <c r="N976" s="6" t="s">
        <v>64</v>
      </c>
      <c r="O976" s="6" t="s">
        <v>35</v>
      </c>
      <c r="P976" s="6">
        <f>COUNTIF(Analysis!$M$1:$M$3001,Analysis!$M976)</f>
        <v>1</v>
      </c>
      <c r="Q976" s="6" t="str">
        <f>IF(COUNTIF(Analysis!$M$2:$M$3001,Analysis!$M976)&gt;1,"Duplicate","OK")</f>
        <v>OK</v>
      </c>
      <c r="R976" s="6" t="str">
        <f t="shared" si="1"/>
        <v>600-1600</v>
      </c>
      <c r="S976" s="6">
        <f t="shared" si="2"/>
        <v>62</v>
      </c>
      <c r="T976" s="6" t="str">
        <f t="shared" si="3"/>
        <v>Very Old</v>
      </c>
    </row>
    <row r="977" ht="14.25" customHeight="1">
      <c r="A977" s="5">
        <v>318897.0</v>
      </c>
      <c r="B977" s="6" t="s">
        <v>3947</v>
      </c>
      <c r="C977" s="6" t="s">
        <v>39</v>
      </c>
      <c r="D977" s="6">
        <v>20887.0</v>
      </c>
      <c r="E977" s="6" t="s">
        <v>40</v>
      </c>
      <c r="F977" s="6" t="s">
        <v>46</v>
      </c>
      <c r="G977" s="6" t="s">
        <v>55</v>
      </c>
      <c r="H977" s="7">
        <v>2995.0</v>
      </c>
      <c r="I977" s="7">
        <v>2028.0</v>
      </c>
      <c r="J977" s="6">
        <v>2008.0</v>
      </c>
      <c r="K977" s="6">
        <v>102.0</v>
      </c>
      <c r="L977" s="6" t="s">
        <v>32</v>
      </c>
      <c r="M977" s="6" t="s">
        <v>3948</v>
      </c>
      <c r="N977" s="6" t="s">
        <v>43</v>
      </c>
      <c r="O977" s="6" t="s">
        <v>25</v>
      </c>
      <c r="P977" s="6">
        <f>COUNTIF(Analysis!$M$1:$M$3001,Analysis!$M977)</f>
        <v>1</v>
      </c>
      <c r="Q977" s="6" t="str">
        <f>IF(COUNTIF(Analysis!$M$2:$M$3001,Analysis!$M977)&gt;1,"Duplicate","OK")</f>
        <v>OK</v>
      </c>
      <c r="R977" s="6" t="str">
        <f t="shared" si="1"/>
        <v>2600-3600</v>
      </c>
      <c r="S977" s="6">
        <f t="shared" si="2"/>
        <v>18</v>
      </c>
      <c r="T977" s="6" t="str">
        <f t="shared" si="3"/>
        <v>Mid</v>
      </c>
    </row>
    <row r="978" ht="14.25" customHeight="1">
      <c r="A978" s="5">
        <v>563082.0</v>
      </c>
      <c r="B978" s="6" t="s">
        <v>3951</v>
      </c>
      <c r="C978" s="6" t="s">
        <v>18</v>
      </c>
      <c r="D978" s="6">
        <v>29137.0</v>
      </c>
      <c r="E978" s="6" t="s">
        <v>30</v>
      </c>
      <c r="F978" s="6" t="s">
        <v>41</v>
      </c>
      <c r="G978" s="6" t="s">
        <v>100</v>
      </c>
      <c r="H978" s="7">
        <v>1020.0</v>
      </c>
      <c r="I978" s="7">
        <v>6331.0</v>
      </c>
      <c r="J978" s="6">
        <v>2020.0</v>
      </c>
      <c r="K978" s="6">
        <v>20.0</v>
      </c>
      <c r="L978" s="6" t="s">
        <v>141</v>
      </c>
      <c r="M978" s="6" t="s">
        <v>3952</v>
      </c>
      <c r="N978" s="6" t="s">
        <v>48</v>
      </c>
      <c r="O978" s="6" t="s">
        <v>49</v>
      </c>
      <c r="P978" s="6">
        <f>COUNTIF(Analysis!$M$1:$M$3001,Analysis!$M978)</f>
        <v>1</v>
      </c>
      <c r="Q978" s="6" t="str">
        <f>IF(COUNTIF(Analysis!$M$2:$M$3001,Analysis!$M978)&gt;1,"Duplicate","OK")</f>
        <v>OK</v>
      </c>
      <c r="R978" s="6" t="str">
        <f t="shared" si="1"/>
        <v>600-1600</v>
      </c>
      <c r="S978" s="6">
        <f t="shared" si="2"/>
        <v>6</v>
      </c>
      <c r="T978" s="6" t="str">
        <f t="shared" si="3"/>
        <v>New</v>
      </c>
    </row>
    <row r="979" ht="14.25" customHeight="1">
      <c r="A979" s="5">
        <v>1481779.0</v>
      </c>
      <c r="B979" s="6" t="s">
        <v>3955</v>
      </c>
      <c r="C979" s="6" t="s">
        <v>39</v>
      </c>
      <c r="D979" s="6">
        <v>20598.0</v>
      </c>
      <c r="E979" s="6" t="s">
        <v>60</v>
      </c>
      <c r="F979" s="6" t="s">
        <v>20</v>
      </c>
      <c r="G979" s="6" t="s">
        <v>31</v>
      </c>
      <c r="H979" s="7">
        <v>1371.0</v>
      </c>
      <c r="I979" s="7">
        <v>3672.0</v>
      </c>
      <c r="J979" s="6">
        <v>2012.0</v>
      </c>
      <c r="K979" s="6">
        <v>86.0</v>
      </c>
      <c r="L979" s="6" t="s">
        <v>95</v>
      </c>
      <c r="M979" s="6" t="s">
        <v>3956</v>
      </c>
      <c r="N979" s="6" t="s">
        <v>43</v>
      </c>
      <c r="O979" s="6" t="s">
        <v>49</v>
      </c>
      <c r="P979" s="6">
        <f>COUNTIF(Analysis!$M$1:$M$3001,Analysis!$M979)</f>
        <v>1</v>
      </c>
      <c r="Q979" s="6" t="str">
        <f>IF(COUNTIF(Analysis!$M$2:$M$3001,Analysis!$M979)&gt;1,"Duplicate","OK")</f>
        <v>OK</v>
      </c>
      <c r="R979" s="6" t="str">
        <f t="shared" si="1"/>
        <v>600-1600</v>
      </c>
      <c r="S979" s="6">
        <f t="shared" si="2"/>
        <v>14</v>
      </c>
      <c r="T979" s="6" t="str">
        <f t="shared" si="3"/>
        <v>Mid</v>
      </c>
    </row>
    <row r="980" ht="14.25" customHeight="1">
      <c r="A980" s="5">
        <v>1116179.0</v>
      </c>
      <c r="B980" s="6" t="s">
        <v>3959</v>
      </c>
      <c r="C980" s="6" t="s">
        <v>39</v>
      </c>
      <c r="D980" s="6">
        <v>34382.0</v>
      </c>
      <c r="E980" s="6" t="s">
        <v>30</v>
      </c>
      <c r="F980" s="6" t="s">
        <v>20</v>
      </c>
      <c r="G980" s="6" t="s">
        <v>31</v>
      </c>
      <c r="H980" s="7">
        <v>968.0</v>
      </c>
      <c r="I980" s="7">
        <v>1465.0</v>
      </c>
      <c r="J980" s="6">
        <v>1985.0</v>
      </c>
      <c r="K980" s="6">
        <v>42.0</v>
      </c>
      <c r="L980" s="6" t="s">
        <v>22</v>
      </c>
      <c r="M980" s="6" t="s">
        <v>3960</v>
      </c>
      <c r="N980" s="6" t="s">
        <v>24</v>
      </c>
      <c r="O980" s="6" t="s">
        <v>35</v>
      </c>
      <c r="P980" s="6">
        <f>COUNTIF(Analysis!$M$1:$M$3001,Analysis!$M980)</f>
        <v>1</v>
      </c>
      <c r="Q980" s="6" t="str">
        <f>IF(COUNTIF(Analysis!$M$2:$M$3001,Analysis!$M980)&gt;1,"Duplicate","OK")</f>
        <v>OK</v>
      </c>
      <c r="R980" s="6" t="str">
        <f t="shared" si="1"/>
        <v>600-1600</v>
      </c>
      <c r="S980" s="6">
        <f t="shared" si="2"/>
        <v>41</v>
      </c>
      <c r="T980" s="6" t="str">
        <f t="shared" si="3"/>
        <v>Old</v>
      </c>
    </row>
    <row r="981" ht="14.25" customHeight="1">
      <c r="A981" s="5">
        <v>572120.0</v>
      </c>
      <c r="B981" s="6" t="s">
        <v>7817</v>
      </c>
      <c r="C981" s="6" t="s">
        <v>29</v>
      </c>
      <c r="D981" s="6">
        <v>93059.0</v>
      </c>
      <c r="E981" s="6" t="s">
        <v>30</v>
      </c>
      <c r="F981" s="6" t="s">
        <v>20</v>
      </c>
      <c r="G981" s="6" t="s">
        <v>100</v>
      </c>
      <c r="H981" s="7">
        <v>3185.0</v>
      </c>
      <c r="I981" s="7">
        <v>3030.0</v>
      </c>
      <c r="J981" s="6">
        <v>1987.0</v>
      </c>
      <c r="K981" s="6">
        <v>51.0</v>
      </c>
      <c r="L981" s="6" t="s">
        <v>95</v>
      </c>
      <c r="M981" s="6" t="s">
        <v>7818</v>
      </c>
      <c r="N981" s="6" t="s">
        <v>48</v>
      </c>
      <c r="O981" s="6" t="s">
        <v>25</v>
      </c>
      <c r="P981" s="6">
        <f>COUNTIF(Analysis!$M$1:$M$3001,Analysis!$M1945)</f>
        <v>1</v>
      </c>
      <c r="Q981" s="6" t="str">
        <f>IF(COUNTIF(Analysis!$M$2:$M$3001,Analysis!$M1945)&gt;1,"Duplicate","OK")</f>
        <v>OK</v>
      </c>
      <c r="R981" s="6" t="str">
        <f t="shared" si="1"/>
        <v>2600-3600</v>
      </c>
      <c r="S981" s="6">
        <f t="shared" si="2"/>
        <v>39</v>
      </c>
      <c r="T981" s="6" t="str">
        <f t="shared" si="3"/>
        <v>Old</v>
      </c>
    </row>
    <row r="982" ht="14.25" customHeight="1">
      <c r="A982" s="5">
        <v>574526.0</v>
      </c>
      <c r="B982" s="6" t="s">
        <v>11371</v>
      </c>
      <c r="C982" s="6" t="s">
        <v>29</v>
      </c>
      <c r="D982" s="6">
        <v>79620.0</v>
      </c>
      <c r="E982" s="6" t="s">
        <v>60</v>
      </c>
      <c r="F982" s="6" t="s">
        <v>54</v>
      </c>
      <c r="G982" s="6" t="s">
        <v>100</v>
      </c>
      <c r="H982" s="7">
        <v>972.0</v>
      </c>
      <c r="I982" s="7">
        <v>8792.0</v>
      </c>
      <c r="J982" s="6">
        <v>1966.0</v>
      </c>
      <c r="K982" s="6">
        <v>5.0</v>
      </c>
      <c r="L982" s="6" t="s">
        <v>32</v>
      </c>
      <c r="M982" s="6" t="s">
        <v>11372</v>
      </c>
      <c r="N982" s="6" t="s">
        <v>34</v>
      </c>
      <c r="O982" s="6" t="s">
        <v>25</v>
      </c>
      <c r="P982" s="6">
        <f>COUNTIF(Analysis!$M$1:$M$3001,Analysis!$M2834)</f>
        <v>1</v>
      </c>
      <c r="Q982" s="6" t="str">
        <f>IF(COUNTIF(Analysis!$M$2:$M$3001,Analysis!$M2834)&gt;1,"Duplicate","OK")</f>
        <v>OK</v>
      </c>
      <c r="R982" s="6" t="str">
        <f t="shared" si="1"/>
        <v>600-1600</v>
      </c>
      <c r="S982" s="6">
        <f t="shared" si="2"/>
        <v>60</v>
      </c>
      <c r="T982" s="6" t="str">
        <f t="shared" si="3"/>
        <v>Old</v>
      </c>
    </row>
    <row r="983" ht="14.25" customHeight="1">
      <c r="A983" s="5">
        <v>575289.0</v>
      </c>
      <c r="B983" s="6" t="s">
        <v>8237</v>
      </c>
      <c r="C983" s="6" t="s">
        <v>29</v>
      </c>
      <c r="D983" s="6">
        <v>62369.0</v>
      </c>
      <c r="E983" s="6" t="s">
        <v>30</v>
      </c>
      <c r="F983" s="6" t="s">
        <v>61</v>
      </c>
      <c r="G983" s="6" t="s">
        <v>21</v>
      </c>
      <c r="H983" s="7">
        <v>904.0</v>
      </c>
      <c r="I983" s="7">
        <v>3576.0</v>
      </c>
      <c r="J983" s="6">
        <v>1954.0</v>
      </c>
      <c r="K983" s="6">
        <v>54.0</v>
      </c>
      <c r="L983" s="6" t="s">
        <v>62</v>
      </c>
      <c r="M983" s="6" t="s">
        <v>8238</v>
      </c>
      <c r="N983" s="6" t="s">
        <v>64</v>
      </c>
      <c r="O983" s="6" t="s">
        <v>49</v>
      </c>
      <c r="P983" s="6">
        <f>COUNTIF(Analysis!$M$1:$M$3001,Analysis!$M2050)</f>
        <v>1</v>
      </c>
      <c r="Q983" s="6" t="str">
        <f>IF(COUNTIF(Analysis!$M$2:$M$3001,Analysis!$M2050)&gt;1,"Duplicate","OK")</f>
        <v>OK</v>
      </c>
      <c r="R983" s="6" t="str">
        <f t="shared" si="1"/>
        <v>600-1600</v>
      </c>
      <c r="S983" s="6">
        <f t="shared" si="2"/>
        <v>72</v>
      </c>
      <c r="T983" s="6" t="str">
        <f t="shared" si="3"/>
        <v>Very Old</v>
      </c>
    </row>
    <row r="984" ht="14.25" customHeight="1">
      <c r="A984" s="5">
        <v>344950.0</v>
      </c>
      <c r="B984" s="6" t="s">
        <v>3975</v>
      </c>
      <c r="C984" s="6" t="s">
        <v>53</v>
      </c>
      <c r="D984" s="6">
        <v>56574.0</v>
      </c>
      <c r="E984" s="6" t="s">
        <v>77</v>
      </c>
      <c r="F984" s="6" t="s">
        <v>41</v>
      </c>
      <c r="G984" s="6" t="s">
        <v>100</v>
      </c>
      <c r="H984" s="7">
        <v>1560.0</v>
      </c>
      <c r="I984" s="7">
        <v>1691.0</v>
      </c>
      <c r="J984" s="6">
        <v>2021.0</v>
      </c>
      <c r="K984" s="6">
        <v>2.0</v>
      </c>
      <c r="L984" s="6" t="s">
        <v>22</v>
      </c>
      <c r="M984" s="6" t="s">
        <v>3976</v>
      </c>
      <c r="N984" s="6" t="s">
        <v>43</v>
      </c>
      <c r="O984" s="6" t="s">
        <v>25</v>
      </c>
      <c r="P984" s="6">
        <f>COUNTIF(Analysis!$M$1:$M$3001,Analysis!$M984)</f>
        <v>1</v>
      </c>
      <c r="Q984" s="6" t="str">
        <f>IF(COUNTIF(Analysis!$M$2:$M$3001,Analysis!$M984)&gt;1,"Duplicate","OK")</f>
        <v>OK</v>
      </c>
      <c r="R984" s="6" t="str">
        <f t="shared" si="1"/>
        <v>600-1600</v>
      </c>
      <c r="S984" s="6">
        <f t="shared" si="2"/>
        <v>5</v>
      </c>
      <c r="T984" s="6" t="str">
        <f t="shared" si="3"/>
        <v>New</v>
      </c>
    </row>
    <row r="985" ht="14.25" customHeight="1">
      <c r="A985" s="5">
        <v>433189.0</v>
      </c>
      <c r="B985" s="6" t="s">
        <v>3979</v>
      </c>
      <c r="C985" s="6" t="s">
        <v>76</v>
      </c>
      <c r="D985" s="6">
        <v>88715.0</v>
      </c>
      <c r="E985" s="6" t="s">
        <v>40</v>
      </c>
      <c r="F985" s="6" t="s">
        <v>41</v>
      </c>
      <c r="G985" s="6" t="s">
        <v>100</v>
      </c>
      <c r="H985" s="7">
        <v>1179.0</v>
      </c>
      <c r="I985" s="7">
        <v>8430.0</v>
      </c>
      <c r="J985" s="6">
        <v>1966.0</v>
      </c>
      <c r="K985" s="6">
        <v>43.0</v>
      </c>
      <c r="L985" s="6" t="s">
        <v>141</v>
      </c>
      <c r="M985" s="6" t="s">
        <v>3980</v>
      </c>
      <c r="N985" s="6" t="s">
        <v>24</v>
      </c>
      <c r="O985" s="6" t="s">
        <v>35</v>
      </c>
      <c r="P985" s="6">
        <f>COUNTIF(Analysis!$M$1:$M$3001,Analysis!$M985)</f>
        <v>1</v>
      </c>
      <c r="Q985" s="6" t="str">
        <f>IF(COUNTIF(Analysis!$M$2:$M$3001,Analysis!$M985)&gt;1,"Duplicate","OK")</f>
        <v>OK</v>
      </c>
      <c r="R985" s="6" t="str">
        <f t="shared" si="1"/>
        <v>600-1600</v>
      </c>
      <c r="S985" s="6">
        <f t="shared" si="2"/>
        <v>60</v>
      </c>
      <c r="T985" s="6" t="str">
        <f t="shared" si="3"/>
        <v>Old</v>
      </c>
    </row>
    <row r="986" ht="14.25" customHeight="1">
      <c r="A986" s="5">
        <v>580380.0</v>
      </c>
      <c r="B986" s="6" t="s">
        <v>5754</v>
      </c>
      <c r="C986" s="6" t="s">
        <v>29</v>
      </c>
      <c r="D986" s="6">
        <v>73090.0</v>
      </c>
      <c r="E986" s="6" t="s">
        <v>60</v>
      </c>
      <c r="F986" s="6" t="s">
        <v>61</v>
      </c>
      <c r="G986" s="6" t="s">
        <v>21</v>
      </c>
      <c r="H986" s="7">
        <v>3656.0</v>
      </c>
      <c r="I986" s="7">
        <v>7186.0</v>
      </c>
      <c r="J986" s="6">
        <v>1955.0</v>
      </c>
      <c r="K986" s="6">
        <v>44.0</v>
      </c>
      <c r="L986" s="6" t="s">
        <v>22</v>
      </c>
      <c r="M986" s="6" t="s">
        <v>5755</v>
      </c>
      <c r="N986" s="6" t="s">
        <v>48</v>
      </c>
      <c r="O986" s="6" t="s">
        <v>35</v>
      </c>
      <c r="P986" s="6">
        <f>COUNTIF(Analysis!$M$1:$M$3001,Analysis!$M1429)</f>
        <v>1</v>
      </c>
      <c r="Q986" s="6" t="str">
        <f>IF(COUNTIF(Analysis!$M$2:$M$3001,Analysis!$M1429)&gt;1,"Duplicate","OK")</f>
        <v>OK</v>
      </c>
      <c r="R986" s="6" t="str">
        <f t="shared" si="1"/>
        <v>3600+</v>
      </c>
      <c r="S986" s="6">
        <f t="shared" si="2"/>
        <v>71</v>
      </c>
      <c r="T986" s="6" t="str">
        <f t="shared" si="3"/>
        <v>Very Old</v>
      </c>
    </row>
    <row r="987" ht="14.25" customHeight="1">
      <c r="A987" s="5">
        <v>795699.0</v>
      </c>
      <c r="B987" s="6" t="s">
        <v>3987</v>
      </c>
      <c r="C987" s="6" t="s">
        <v>53</v>
      </c>
      <c r="D987" s="6">
        <v>35944.0</v>
      </c>
      <c r="E987" s="6" t="s">
        <v>40</v>
      </c>
      <c r="F987" s="6" t="s">
        <v>94</v>
      </c>
      <c r="G987" s="6" t="s">
        <v>21</v>
      </c>
      <c r="H987" s="7">
        <v>2079.0</v>
      </c>
      <c r="I987" s="7">
        <v>4284.0</v>
      </c>
      <c r="J987" s="6">
        <v>2016.0</v>
      </c>
      <c r="K987" s="6">
        <v>41.0</v>
      </c>
      <c r="L987" s="6" t="s">
        <v>141</v>
      </c>
      <c r="M987" s="6" t="s">
        <v>3988</v>
      </c>
      <c r="N987" s="6" t="s">
        <v>43</v>
      </c>
      <c r="O987" s="6" t="s">
        <v>25</v>
      </c>
      <c r="P987" s="6">
        <f>COUNTIF(Analysis!$M$1:$M$3001,Analysis!$M987)</f>
        <v>1</v>
      </c>
      <c r="Q987" s="6" t="str">
        <f>IF(COUNTIF(Analysis!$M$2:$M$3001,Analysis!$M987)&gt;1,"Duplicate","OK")</f>
        <v>OK</v>
      </c>
      <c r="R987" s="6" t="str">
        <f t="shared" si="1"/>
        <v>1600-2600</v>
      </c>
      <c r="S987" s="6">
        <f t="shared" si="2"/>
        <v>10</v>
      </c>
      <c r="T987" s="6" t="str">
        <f t="shared" si="3"/>
        <v>New</v>
      </c>
    </row>
    <row r="988" ht="14.25" customHeight="1">
      <c r="A988" s="5">
        <v>530184.0</v>
      </c>
      <c r="B988" s="6" t="s">
        <v>3991</v>
      </c>
      <c r="C988" s="6" t="s">
        <v>18</v>
      </c>
      <c r="D988" s="6">
        <v>55913.0</v>
      </c>
      <c r="E988" s="6" t="s">
        <v>60</v>
      </c>
      <c r="F988" s="6" t="s">
        <v>46</v>
      </c>
      <c r="G988" s="6" t="s">
        <v>21</v>
      </c>
      <c r="H988" s="7">
        <v>794.0</v>
      </c>
      <c r="I988" s="7">
        <v>2136.0</v>
      </c>
      <c r="J988" s="6">
        <v>1964.0</v>
      </c>
      <c r="K988" s="6">
        <v>60.0</v>
      </c>
      <c r="L988" s="6" t="s">
        <v>22</v>
      </c>
      <c r="M988" s="6" t="s">
        <v>3992</v>
      </c>
      <c r="N988" s="6" t="s">
        <v>43</v>
      </c>
      <c r="O988" s="6" t="s">
        <v>49</v>
      </c>
      <c r="P988" s="6">
        <f>COUNTIF(Analysis!$M$1:$M$3001,Analysis!$M988)</f>
        <v>1</v>
      </c>
      <c r="Q988" s="6" t="str">
        <f>IF(COUNTIF(Analysis!$M$2:$M$3001,Analysis!$M988)&gt;1,"Duplicate","OK")</f>
        <v>OK</v>
      </c>
      <c r="R988" s="6" t="str">
        <f t="shared" si="1"/>
        <v>600-1600</v>
      </c>
      <c r="S988" s="6">
        <f t="shared" si="2"/>
        <v>62</v>
      </c>
      <c r="T988" s="6" t="str">
        <f t="shared" si="3"/>
        <v>Very Old</v>
      </c>
    </row>
    <row r="989" ht="14.25" customHeight="1">
      <c r="A989" s="5">
        <v>580491.0</v>
      </c>
      <c r="B989" s="6" t="s">
        <v>9827</v>
      </c>
      <c r="C989" s="6" t="s">
        <v>29</v>
      </c>
      <c r="D989" s="6">
        <v>55175.0</v>
      </c>
      <c r="E989" s="6" t="s">
        <v>60</v>
      </c>
      <c r="F989" s="6" t="s">
        <v>41</v>
      </c>
      <c r="G989" s="6" t="s">
        <v>31</v>
      </c>
      <c r="H989" s="7">
        <v>707.0</v>
      </c>
      <c r="I989" s="7">
        <v>2993.0</v>
      </c>
      <c r="J989" s="6">
        <v>2000.0</v>
      </c>
      <c r="K989" s="6">
        <v>102.0</v>
      </c>
      <c r="L989" s="6" t="s">
        <v>141</v>
      </c>
      <c r="M989" s="6" t="s">
        <v>9828</v>
      </c>
      <c r="N989" s="6" t="s">
        <v>43</v>
      </c>
      <c r="O989" s="6" t="s">
        <v>35</v>
      </c>
      <c r="P989" s="6">
        <f>COUNTIF(Analysis!$M$1:$M$3001,Analysis!$M2448)</f>
        <v>1</v>
      </c>
      <c r="Q989" s="6" t="str">
        <f>IF(COUNTIF(Analysis!$M$2:$M$3001,Analysis!$M2448)&gt;1,"Duplicate","OK")</f>
        <v>OK</v>
      </c>
      <c r="R989" s="6" t="str">
        <f t="shared" si="1"/>
        <v>600-1600</v>
      </c>
      <c r="S989" s="6">
        <f t="shared" si="2"/>
        <v>26</v>
      </c>
      <c r="T989" s="6" t="str">
        <f t="shared" si="3"/>
        <v>Mid</v>
      </c>
    </row>
    <row r="990" ht="14.25" customHeight="1">
      <c r="A990" s="5">
        <v>496223.0</v>
      </c>
      <c r="B990" s="6" t="s">
        <v>3999</v>
      </c>
      <c r="C990" s="6" t="s">
        <v>76</v>
      </c>
      <c r="D990" s="6">
        <v>88144.0</v>
      </c>
      <c r="E990" s="6" t="s">
        <v>77</v>
      </c>
      <c r="F990" s="6" t="s">
        <v>41</v>
      </c>
      <c r="G990" s="6" t="s">
        <v>55</v>
      </c>
      <c r="H990" s="7">
        <v>1343.0</v>
      </c>
      <c r="I990" s="7">
        <v>9534.0</v>
      </c>
      <c r="J990" s="6">
        <v>2015.0</v>
      </c>
      <c r="K990" s="6">
        <v>99.0</v>
      </c>
      <c r="L990" s="6" t="s">
        <v>141</v>
      </c>
      <c r="M990" s="6" t="s">
        <v>4000</v>
      </c>
      <c r="N990" s="6" t="s">
        <v>43</v>
      </c>
      <c r="O990" s="6" t="s">
        <v>35</v>
      </c>
      <c r="P990" s="6">
        <f>COUNTIF(Analysis!$M$1:$M$3001,Analysis!$M990)</f>
        <v>1</v>
      </c>
      <c r="Q990" s="6" t="str">
        <f>IF(COUNTIF(Analysis!$M$2:$M$3001,Analysis!$M990)&gt;1,"Duplicate","OK")</f>
        <v>OK</v>
      </c>
      <c r="R990" s="6" t="str">
        <f t="shared" si="1"/>
        <v>600-1600</v>
      </c>
      <c r="S990" s="6">
        <f t="shared" si="2"/>
        <v>11</v>
      </c>
      <c r="T990" s="6" t="str">
        <f t="shared" si="3"/>
        <v>Mid</v>
      </c>
    </row>
    <row r="991" ht="14.25" customHeight="1">
      <c r="A991" s="5">
        <v>142832.0</v>
      </c>
      <c r="B991" s="6" t="s">
        <v>4003</v>
      </c>
      <c r="C991" s="6" t="s">
        <v>39</v>
      </c>
      <c r="D991" s="6">
        <v>14393.0</v>
      </c>
      <c r="E991" s="6" t="s">
        <v>77</v>
      </c>
      <c r="F991" s="6" t="s">
        <v>61</v>
      </c>
      <c r="G991" s="6" t="s">
        <v>31</v>
      </c>
      <c r="H991" s="7">
        <v>3265.0</v>
      </c>
      <c r="I991" s="7">
        <v>3212.0</v>
      </c>
      <c r="J991" s="6">
        <v>2018.0</v>
      </c>
      <c r="K991" s="6">
        <v>105.0</v>
      </c>
      <c r="L991" s="6" t="s">
        <v>95</v>
      </c>
      <c r="M991" s="6" t="s">
        <v>4004</v>
      </c>
      <c r="N991" s="6" t="s">
        <v>48</v>
      </c>
      <c r="O991" s="6" t="s">
        <v>25</v>
      </c>
      <c r="P991" s="6">
        <f>COUNTIF(Analysis!$M$1:$M$3001,Analysis!$M991)</f>
        <v>1</v>
      </c>
      <c r="Q991" s="6" t="str">
        <f>IF(COUNTIF(Analysis!$M$2:$M$3001,Analysis!$M991)&gt;1,"Duplicate","OK")</f>
        <v>OK</v>
      </c>
      <c r="R991" s="6" t="str">
        <f t="shared" si="1"/>
        <v>2600-3600</v>
      </c>
      <c r="S991" s="6">
        <f t="shared" si="2"/>
        <v>8</v>
      </c>
      <c r="T991" s="6" t="str">
        <f t="shared" si="3"/>
        <v>New</v>
      </c>
    </row>
    <row r="992" ht="14.25" customHeight="1">
      <c r="A992" s="5">
        <v>526359.0</v>
      </c>
      <c r="B992" s="6" t="s">
        <v>4007</v>
      </c>
      <c r="C992" s="6" t="s">
        <v>76</v>
      </c>
      <c r="D992" s="6">
        <v>29858.0</v>
      </c>
      <c r="E992" s="6" t="s">
        <v>60</v>
      </c>
      <c r="F992" s="6" t="s">
        <v>20</v>
      </c>
      <c r="G992" s="6" t="s">
        <v>31</v>
      </c>
      <c r="H992" s="7">
        <v>3882.0</v>
      </c>
      <c r="I992" s="7">
        <v>8121.0</v>
      </c>
      <c r="J992" s="6">
        <v>1983.0</v>
      </c>
      <c r="K992" s="6">
        <v>18.0</v>
      </c>
      <c r="L992" s="6" t="s">
        <v>95</v>
      </c>
      <c r="M992" s="6" t="s">
        <v>4008</v>
      </c>
      <c r="N992" s="6" t="s">
        <v>64</v>
      </c>
      <c r="O992" s="6" t="s">
        <v>25</v>
      </c>
      <c r="P992" s="6">
        <f>COUNTIF(Analysis!$M$1:$M$3001,Analysis!$M992)</f>
        <v>1</v>
      </c>
      <c r="Q992" s="6" t="str">
        <f>IF(COUNTIF(Analysis!$M$2:$M$3001,Analysis!$M992)&gt;1,"Duplicate","OK")</f>
        <v>OK</v>
      </c>
      <c r="R992" s="6" t="str">
        <f t="shared" si="1"/>
        <v>3600+</v>
      </c>
      <c r="S992" s="6">
        <f t="shared" si="2"/>
        <v>43</v>
      </c>
      <c r="T992" s="6" t="str">
        <f t="shared" si="3"/>
        <v>Old</v>
      </c>
    </row>
    <row r="993" ht="14.25" customHeight="1">
      <c r="A993" s="5">
        <v>176255.0</v>
      </c>
      <c r="B993" s="6" t="s">
        <v>4011</v>
      </c>
      <c r="C993" s="6" t="s">
        <v>39</v>
      </c>
      <c r="D993" s="6">
        <v>44381.0</v>
      </c>
      <c r="E993" s="6" t="s">
        <v>77</v>
      </c>
      <c r="F993" s="6" t="s">
        <v>54</v>
      </c>
      <c r="G993" s="6" t="s">
        <v>21</v>
      </c>
      <c r="H993" s="7">
        <v>2969.0</v>
      </c>
      <c r="I993" s="7">
        <v>5769.0</v>
      </c>
      <c r="J993" s="6">
        <v>1952.0</v>
      </c>
      <c r="K993" s="6">
        <v>97.0</v>
      </c>
      <c r="L993" s="6" t="s">
        <v>22</v>
      </c>
      <c r="M993" s="6" t="s">
        <v>4012</v>
      </c>
      <c r="N993" s="6" t="s">
        <v>24</v>
      </c>
      <c r="O993" s="6" t="s">
        <v>25</v>
      </c>
      <c r="P993" s="6">
        <f>COUNTIF(Analysis!$M$1:$M$3001,Analysis!$M993)</f>
        <v>1</v>
      </c>
      <c r="Q993" s="6" t="str">
        <f>IF(COUNTIF(Analysis!$M$2:$M$3001,Analysis!$M993)&gt;1,"Duplicate","OK")</f>
        <v>OK</v>
      </c>
      <c r="R993" s="6" t="str">
        <f t="shared" si="1"/>
        <v>2600-3600</v>
      </c>
      <c r="S993" s="6">
        <f t="shared" si="2"/>
        <v>74</v>
      </c>
      <c r="T993" s="6" t="str">
        <f t="shared" si="3"/>
        <v>Very Old</v>
      </c>
    </row>
    <row r="994" ht="14.25" customHeight="1">
      <c r="A994" s="5">
        <v>906658.0</v>
      </c>
      <c r="B994" s="6" t="s">
        <v>4015</v>
      </c>
      <c r="C994" s="6" t="s">
        <v>18</v>
      </c>
      <c r="D994" s="6">
        <v>60005.0</v>
      </c>
      <c r="E994" s="6" t="s">
        <v>19</v>
      </c>
      <c r="F994" s="6" t="s">
        <v>54</v>
      </c>
      <c r="G994" s="6" t="s">
        <v>21</v>
      </c>
      <c r="H994" s="7">
        <v>3531.0</v>
      </c>
      <c r="I994" s="7">
        <v>5012.0</v>
      </c>
      <c r="J994" s="6">
        <v>1956.0</v>
      </c>
      <c r="K994" s="6">
        <v>100.0</v>
      </c>
      <c r="L994" s="6" t="s">
        <v>141</v>
      </c>
      <c r="M994" s="6" t="s">
        <v>4016</v>
      </c>
      <c r="N994" s="6" t="s">
        <v>34</v>
      </c>
      <c r="O994" s="6" t="s">
        <v>35</v>
      </c>
      <c r="P994" s="6">
        <f>COUNTIF(Analysis!$M$1:$M$3001,Analysis!$M994)</f>
        <v>1</v>
      </c>
      <c r="Q994" s="6" t="str">
        <f>IF(COUNTIF(Analysis!$M$2:$M$3001,Analysis!$M994)&gt;1,"Duplicate","OK")</f>
        <v>OK</v>
      </c>
      <c r="R994" s="6" t="str">
        <f t="shared" si="1"/>
        <v>2600-3600</v>
      </c>
      <c r="S994" s="6">
        <f t="shared" si="2"/>
        <v>70</v>
      </c>
      <c r="T994" s="6" t="str">
        <f t="shared" si="3"/>
        <v>Very Old</v>
      </c>
    </row>
    <row r="995" ht="14.25" customHeight="1">
      <c r="A995" s="5">
        <v>390894.0</v>
      </c>
      <c r="B995" s="6" t="s">
        <v>4019</v>
      </c>
      <c r="C995" s="6" t="s">
        <v>76</v>
      </c>
      <c r="D995" s="6">
        <v>31365.0</v>
      </c>
      <c r="E995" s="6" t="s">
        <v>77</v>
      </c>
      <c r="F995" s="6" t="s">
        <v>54</v>
      </c>
      <c r="G995" s="6" t="s">
        <v>21</v>
      </c>
      <c r="H995" s="7">
        <v>1772.0</v>
      </c>
      <c r="I995" s="7">
        <v>7124.0</v>
      </c>
      <c r="J995" s="6">
        <v>1951.0</v>
      </c>
      <c r="K995" s="6">
        <v>71.0</v>
      </c>
      <c r="L995" s="6" t="s">
        <v>95</v>
      </c>
      <c r="M995" s="6" t="s">
        <v>4020</v>
      </c>
      <c r="N995" s="6" t="s">
        <v>48</v>
      </c>
      <c r="O995" s="6" t="s">
        <v>25</v>
      </c>
      <c r="P995" s="6">
        <f>COUNTIF(Analysis!$M$1:$M$3001,Analysis!$M995)</f>
        <v>1</v>
      </c>
      <c r="Q995" s="6" t="str">
        <f>IF(COUNTIF(Analysis!$M$2:$M$3001,Analysis!$M995)&gt;1,"Duplicate","OK")</f>
        <v>OK</v>
      </c>
      <c r="R995" s="6" t="str">
        <f t="shared" si="1"/>
        <v>1600-2600</v>
      </c>
      <c r="S995" s="6">
        <f t="shared" si="2"/>
        <v>75</v>
      </c>
      <c r="T995" s="6" t="str">
        <f t="shared" si="3"/>
        <v>Very Old</v>
      </c>
    </row>
    <row r="996" ht="14.25" customHeight="1">
      <c r="A996" s="5">
        <v>676318.0</v>
      </c>
      <c r="B996" s="6" t="s">
        <v>4023</v>
      </c>
      <c r="C996" s="6" t="s">
        <v>39</v>
      </c>
      <c r="D996" s="6">
        <v>92999.0</v>
      </c>
      <c r="E996" s="6" t="s">
        <v>60</v>
      </c>
      <c r="F996" s="6" t="s">
        <v>20</v>
      </c>
      <c r="G996" s="6" t="s">
        <v>31</v>
      </c>
      <c r="H996" s="7">
        <v>3944.0</v>
      </c>
      <c r="I996" s="7">
        <v>5783.0</v>
      </c>
      <c r="J996" s="6">
        <v>1957.0</v>
      </c>
      <c r="K996" s="6">
        <v>79.0</v>
      </c>
      <c r="L996" s="6" t="s">
        <v>32</v>
      </c>
      <c r="M996" s="6" t="s">
        <v>4024</v>
      </c>
      <c r="N996" s="6" t="s">
        <v>24</v>
      </c>
      <c r="O996" s="6" t="s">
        <v>49</v>
      </c>
      <c r="P996" s="6">
        <f>COUNTIF(Analysis!$M$1:$M$3001,Analysis!$M996)</f>
        <v>1</v>
      </c>
      <c r="Q996" s="6" t="str">
        <f>IF(COUNTIF(Analysis!$M$2:$M$3001,Analysis!$M996)&gt;1,"Duplicate","OK")</f>
        <v>OK</v>
      </c>
      <c r="R996" s="6" t="str">
        <f t="shared" si="1"/>
        <v>3600+</v>
      </c>
      <c r="S996" s="6">
        <f t="shared" si="2"/>
        <v>69</v>
      </c>
      <c r="T996" s="6" t="str">
        <f t="shared" si="3"/>
        <v>Very Old</v>
      </c>
    </row>
    <row r="997" ht="14.25" customHeight="1">
      <c r="A997" s="5">
        <v>423257.0</v>
      </c>
      <c r="B997" s="6" t="s">
        <v>4027</v>
      </c>
      <c r="C997" s="6" t="s">
        <v>76</v>
      </c>
      <c r="D997" s="6">
        <v>46034.0</v>
      </c>
      <c r="E997" s="6" t="s">
        <v>77</v>
      </c>
      <c r="F997" s="6" t="s">
        <v>41</v>
      </c>
      <c r="G997" s="6" t="s">
        <v>31</v>
      </c>
      <c r="H997" s="7">
        <v>3862.0</v>
      </c>
      <c r="I997" s="7">
        <v>9816.0</v>
      </c>
      <c r="J997" s="6">
        <v>1982.0</v>
      </c>
      <c r="K997" s="6">
        <v>95.0</v>
      </c>
      <c r="L997" s="6" t="s">
        <v>32</v>
      </c>
      <c r="M997" s="6" t="s">
        <v>4028</v>
      </c>
      <c r="N997" s="6" t="s">
        <v>48</v>
      </c>
      <c r="O997" s="6" t="s">
        <v>25</v>
      </c>
      <c r="P997" s="6">
        <f>COUNTIF(Analysis!$M$1:$M$3001,Analysis!$M997)</f>
        <v>1</v>
      </c>
      <c r="Q997" s="6" t="str">
        <f>IF(COUNTIF(Analysis!$M$2:$M$3001,Analysis!$M997)&gt;1,"Duplicate","OK")</f>
        <v>OK</v>
      </c>
      <c r="R997" s="6" t="str">
        <f t="shared" si="1"/>
        <v>3600+</v>
      </c>
      <c r="S997" s="6">
        <f t="shared" si="2"/>
        <v>44</v>
      </c>
      <c r="T997" s="6" t="str">
        <f t="shared" si="3"/>
        <v>Old</v>
      </c>
    </row>
    <row r="998" ht="14.25" customHeight="1">
      <c r="A998" s="5">
        <v>1026238.0</v>
      </c>
      <c r="B998" s="6" t="s">
        <v>4031</v>
      </c>
      <c r="C998" s="6" t="s">
        <v>18</v>
      </c>
      <c r="D998" s="6">
        <v>18529.0</v>
      </c>
      <c r="E998" s="6" t="s">
        <v>30</v>
      </c>
      <c r="F998" s="6" t="s">
        <v>20</v>
      </c>
      <c r="G998" s="6" t="s">
        <v>31</v>
      </c>
      <c r="H998" s="7">
        <v>3333.0</v>
      </c>
      <c r="I998" s="7">
        <v>5761.0</v>
      </c>
      <c r="J998" s="6">
        <v>1966.0</v>
      </c>
      <c r="K998" s="6">
        <v>90.0</v>
      </c>
      <c r="L998" s="6" t="s">
        <v>141</v>
      </c>
      <c r="M998" s="6" t="s">
        <v>4032</v>
      </c>
      <c r="N998" s="6" t="s">
        <v>43</v>
      </c>
      <c r="O998" s="6" t="s">
        <v>49</v>
      </c>
      <c r="P998" s="6">
        <f>COUNTIF(Analysis!$M$1:$M$3001,Analysis!$M998)</f>
        <v>1</v>
      </c>
      <c r="Q998" s="6" t="str">
        <f>IF(COUNTIF(Analysis!$M$2:$M$3001,Analysis!$M998)&gt;1,"Duplicate","OK")</f>
        <v>OK</v>
      </c>
      <c r="R998" s="6" t="str">
        <f t="shared" si="1"/>
        <v>2600-3600</v>
      </c>
      <c r="S998" s="6">
        <f t="shared" si="2"/>
        <v>60</v>
      </c>
      <c r="T998" s="6" t="str">
        <f t="shared" si="3"/>
        <v>Old</v>
      </c>
    </row>
    <row r="999" ht="14.25" customHeight="1">
      <c r="A999" s="5">
        <v>1289517.0</v>
      </c>
      <c r="B999" s="6" t="s">
        <v>4035</v>
      </c>
      <c r="C999" s="6" t="s">
        <v>18</v>
      </c>
      <c r="D999" s="6">
        <v>44148.0</v>
      </c>
      <c r="E999" s="6" t="s">
        <v>60</v>
      </c>
      <c r="F999" s="6" t="s">
        <v>20</v>
      </c>
      <c r="G999" s="6" t="s">
        <v>100</v>
      </c>
      <c r="H999" s="7">
        <v>710.0</v>
      </c>
      <c r="I999" s="7">
        <v>3639.0</v>
      </c>
      <c r="J999" s="6">
        <v>1976.0</v>
      </c>
      <c r="K999" s="6">
        <v>7.0</v>
      </c>
      <c r="L999" s="6" t="s">
        <v>62</v>
      </c>
      <c r="M999" s="6" t="s">
        <v>4036</v>
      </c>
      <c r="N999" s="6" t="s">
        <v>34</v>
      </c>
      <c r="O999" s="6" t="s">
        <v>49</v>
      </c>
      <c r="P999" s="6">
        <f>COUNTIF(Analysis!$M$1:$M$3001,Analysis!$M999)</f>
        <v>1</v>
      </c>
      <c r="Q999" s="6" t="str">
        <f>IF(COUNTIF(Analysis!$M$2:$M$3001,Analysis!$M999)&gt;1,"Duplicate","OK")</f>
        <v>OK</v>
      </c>
      <c r="R999" s="6" t="str">
        <f t="shared" si="1"/>
        <v>600-1600</v>
      </c>
      <c r="S999" s="6">
        <f t="shared" si="2"/>
        <v>50</v>
      </c>
      <c r="T999" s="6" t="str">
        <f t="shared" si="3"/>
        <v>Old</v>
      </c>
    </row>
    <row r="1000" ht="14.25" customHeight="1">
      <c r="A1000" s="5">
        <v>803057.0</v>
      </c>
      <c r="B1000" s="6" t="s">
        <v>4039</v>
      </c>
      <c r="C1000" s="6" t="s">
        <v>53</v>
      </c>
      <c r="D1000" s="6">
        <v>87490.0</v>
      </c>
      <c r="E1000" s="6" t="s">
        <v>77</v>
      </c>
      <c r="F1000" s="6" t="s">
        <v>46</v>
      </c>
      <c r="G1000" s="6" t="s">
        <v>55</v>
      </c>
      <c r="H1000" s="7">
        <v>1551.0</v>
      </c>
      <c r="I1000" s="7">
        <v>9626.0</v>
      </c>
      <c r="J1000" s="6">
        <v>2014.0</v>
      </c>
      <c r="K1000" s="6">
        <v>59.0</v>
      </c>
      <c r="L1000" s="6" t="s">
        <v>62</v>
      </c>
      <c r="M1000" s="6" t="s">
        <v>4040</v>
      </c>
      <c r="N1000" s="6" t="s">
        <v>43</v>
      </c>
      <c r="O1000" s="6" t="s">
        <v>35</v>
      </c>
      <c r="P1000" s="6">
        <f>COUNTIF(Analysis!$M$1:$M$3001,Analysis!$M1000)</f>
        <v>1</v>
      </c>
      <c r="Q1000" s="6" t="str">
        <f>IF(COUNTIF(Analysis!$M$2:$M$3001,Analysis!$M1000)&gt;1,"Duplicate","OK")</f>
        <v>OK</v>
      </c>
      <c r="R1000" s="6" t="str">
        <f t="shared" si="1"/>
        <v>600-1600</v>
      </c>
      <c r="S1000" s="6">
        <f t="shared" si="2"/>
        <v>12</v>
      </c>
      <c r="T1000" s="6" t="str">
        <f t="shared" si="3"/>
        <v>Mid</v>
      </c>
    </row>
    <row r="1001" ht="14.25" customHeight="1">
      <c r="A1001" s="5">
        <v>785531.0</v>
      </c>
      <c r="B1001" s="6" t="s">
        <v>4043</v>
      </c>
      <c r="C1001" s="6" t="s">
        <v>53</v>
      </c>
      <c r="D1001" s="6">
        <v>30384.0</v>
      </c>
      <c r="E1001" s="6" t="s">
        <v>40</v>
      </c>
      <c r="F1001" s="6" t="s">
        <v>61</v>
      </c>
      <c r="G1001" s="6" t="s">
        <v>31</v>
      </c>
      <c r="H1001" s="7">
        <v>1035.0</v>
      </c>
      <c r="I1001" s="7">
        <v>4165.0</v>
      </c>
      <c r="J1001" s="6">
        <v>1970.0</v>
      </c>
      <c r="K1001" s="6">
        <v>106.0</v>
      </c>
      <c r="L1001" s="6" t="s">
        <v>62</v>
      </c>
      <c r="M1001" s="6" t="s">
        <v>4044</v>
      </c>
      <c r="N1001" s="6" t="s">
        <v>48</v>
      </c>
      <c r="O1001" s="6" t="s">
        <v>25</v>
      </c>
      <c r="P1001" s="6">
        <f>COUNTIF(Analysis!$M$1:$M$3001,Analysis!$M1001)</f>
        <v>1</v>
      </c>
      <c r="Q1001" s="6" t="str">
        <f>IF(COUNTIF(Analysis!$M$2:$M$3001,Analysis!$M1001)&gt;1,"Duplicate","OK")</f>
        <v>OK</v>
      </c>
      <c r="R1001" s="6" t="str">
        <f t="shared" si="1"/>
        <v>600-1600</v>
      </c>
      <c r="S1001" s="6">
        <f t="shared" si="2"/>
        <v>56</v>
      </c>
      <c r="T1001" s="6" t="str">
        <f t="shared" si="3"/>
        <v>Old</v>
      </c>
    </row>
    <row r="1002" ht="14.25" customHeight="1">
      <c r="A1002" s="5">
        <v>320312.0</v>
      </c>
      <c r="B1002" s="6" t="s">
        <v>4047</v>
      </c>
      <c r="C1002" s="6" t="s">
        <v>39</v>
      </c>
      <c r="D1002" s="6">
        <v>49761.0</v>
      </c>
      <c r="E1002" s="6" t="s">
        <v>77</v>
      </c>
      <c r="F1002" s="6" t="s">
        <v>94</v>
      </c>
      <c r="G1002" s="6" t="s">
        <v>31</v>
      </c>
      <c r="H1002" s="7">
        <v>3795.0</v>
      </c>
      <c r="I1002" s="7">
        <v>1632.0</v>
      </c>
      <c r="J1002" s="6">
        <v>1984.0</v>
      </c>
      <c r="K1002" s="6">
        <v>106.0</v>
      </c>
      <c r="L1002" s="6" t="s">
        <v>62</v>
      </c>
      <c r="M1002" s="6" t="s">
        <v>4048</v>
      </c>
      <c r="N1002" s="6" t="s">
        <v>24</v>
      </c>
      <c r="O1002" s="6" t="s">
        <v>49</v>
      </c>
      <c r="P1002" s="6">
        <f>COUNTIF(Analysis!$M$1:$M$3001,Analysis!$M1002)</f>
        <v>1</v>
      </c>
      <c r="Q1002" s="6" t="str">
        <f>IF(COUNTIF(Analysis!$M$2:$M$3001,Analysis!$M1002)&gt;1,"Duplicate","OK")</f>
        <v>OK</v>
      </c>
      <c r="R1002" s="6" t="str">
        <f t="shared" si="1"/>
        <v>3600+</v>
      </c>
      <c r="S1002" s="6">
        <f t="shared" si="2"/>
        <v>42</v>
      </c>
      <c r="T1002" s="6" t="str">
        <f t="shared" si="3"/>
        <v>Old</v>
      </c>
    </row>
    <row r="1003" ht="14.25" customHeight="1">
      <c r="A1003" s="5">
        <v>417279.0</v>
      </c>
      <c r="B1003" s="6" t="s">
        <v>4051</v>
      </c>
      <c r="C1003" s="6" t="s">
        <v>39</v>
      </c>
      <c r="D1003" s="6">
        <v>91575.0</v>
      </c>
      <c r="E1003" s="6" t="s">
        <v>19</v>
      </c>
      <c r="F1003" s="6" t="s">
        <v>54</v>
      </c>
      <c r="G1003" s="6" t="s">
        <v>21</v>
      </c>
      <c r="H1003" s="7">
        <v>1133.0</v>
      </c>
      <c r="I1003" s="7">
        <v>9672.0</v>
      </c>
      <c r="J1003" s="6">
        <v>1994.0</v>
      </c>
      <c r="K1003" s="6">
        <v>69.0</v>
      </c>
      <c r="L1003" s="6" t="s">
        <v>62</v>
      </c>
      <c r="M1003" s="6" t="s">
        <v>4052</v>
      </c>
      <c r="N1003" s="6" t="s">
        <v>24</v>
      </c>
      <c r="O1003" s="6" t="s">
        <v>25</v>
      </c>
      <c r="P1003" s="6">
        <f>COUNTIF(Analysis!$M$1:$M$3001,Analysis!$M1003)</f>
        <v>1</v>
      </c>
      <c r="Q1003" s="6" t="str">
        <f>IF(COUNTIF(Analysis!$M$2:$M$3001,Analysis!$M1003)&gt;1,"Duplicate","OK")</f>
        <v>OK</v>
      </c>
      <c r="R1003" s="6" t="str">
        <f t="shared" si="1"/>
        <v>600-1600</v>
      </c>
      <c r="S1003" s="6">
        <f t="shared" si="2"/>
        <v>32</v>
      </c>
      <c r="T1003" s="6" t="str">
        <f t="shared" si="3"/>
        <v>Old</v>
      </c>
    </row>
    <row r="1004" ht="14.25" customHeight="1">
      <c r="A1004" s="5">
        <v>473195.0</v>
      </c>
      <c r="B1004" s="6" t="s">
        <v>4055</v>
      </c>
      <c r="C1004" s="6" t="s">
        <v>76</v>
      </c>
      <c r="D1004" s="6">
        <v>20811.0</v>
      </c>
      <c r="E1004" s="6" t="s">
        <v>77</v>
      </c>
      <c r="F1004" s="6" t="s">
        <v>94</v>
      </c>
      <c r="G1004" s="6" t="s">
        <v>55</v>
      </c>
      <c r="H1004" s="7">
        <v>2063.0</v>
      </c>
      <c r="I1004" s="7">
        <v>4193.0</v>
      </c>
      <c r="J1004" s="6">
        <v>1983.0</v>
      </c>
      <c r="K1004" s="6">
        <v>96.0</v>
      </c>
      <c r="L1004" s="6" t="s">
        <v>62</v>
      </c>
      <c r="M1004" s="6" t="s">
        <v>4056</v>
      </c>
      <c r="N1004" s="6" t="s">
        <v>43</v>
      </c>
      <c r="O1004" s="6" t="s">
        <v>35</v>
      </c>
      <c r="P1004" s="6">
        <f>COUNTIF(Analysis!$M$1:$M$3001,Analysis!$M1004)</f>
        <v>1</v>
      </c>
      <c r="Q1004" s="6" t="str">
        <f>IF(COUNTIF(Analysis!$M$2:$M$3001,Analysis!$M1004)&gt;1,"Duplicate","OK")</f>
        <v>OK</v>
      </c>
      <c r="R1004" s="6" t="str">
        <f t="shared" si="1"/>
        <v>1600-2600</v>
      </c>
      <c r="S1004" s="6">
        <f t="shared" si="2"/>
        <v>43</v>
      </c>
      <c r="T1004" s="6" t="str">
        <f t="shared" si="3"/>
        <v>Old</v>
      </c>
    </row>
    <row r="1005" ht="14.25" customHeight="1">
      <c r="A1005" s="5">
        <v>580818.0</v>
      </c>
      <c r="B1005" s="6" t="s">
        <v>1585</v>
      </c>
      <c r="C1005" s="6" t="s">
        <v>29</v>
      </c>
      <c r="D1005" s="6">
        <v>22458.0</v>
      </c>
      <c r="E1005" s="6" t="s">
        <v>30</v>
      </c>
      <c r="F1005" s="6" t="s">
        <v>20</v>
      </c>
      <c r="G1005" s="6" t="s">
        <v>21</v>
      </c>
      <c r="H1005" s="7">
        <v>2164.0</v>
      </c>
      <c r="I1005" s="7">
        <v>9409.0</v>
      </c>
      <c r="J1005" s="6">
        <v>1956.0</v>
      </c>
      <c r="K1005" s="6">
        <v>44.0</v>
      </c>
      <c r="L1005" s="6" t="s">
        <v>95</v>
      </c>
      <c r="M1005" s="6" t="s">
        <v>1586</v>
      </c>
      <c r="N1005" s="6" t="s">
        <v>34</v>
      </c>
      <c r="O1005" s="6" t="s">
        <v>35</v>
      </c>
      <c r="P1005" s="6">
        <f>COUNTIF(Analysis!$M$1:$M$3001,Analysis!$M386)</f>
        <v>1</v>
      </c>
      <c r="Q1005" s="6" t="str">
        <f>IF(COUNTIF(Analysis!$M$2:$M$3001,Analysis!$M386)&gt;1,"Duplicate","OK")</f>
        <v>OK</v>
      </c>
      <c r="R1005" s="6" t="str">
        <f t="shared" si="1"/>
        <v>1600-2600</v>
      </c>
      <c r="S1005" s="6">
        <f t="shared" si="2"/>
        <v>70</v>
      </c>
      <c r="T1005" s="6" t="str">
        <f t="shared" si="3"/>
        <v>Very Old</v>
      </c>
    </row>
    <row r="1006" ht="14.25" customHeight="1">
      <c r="A1006" s="5">
        <v>581762.0</v>
      </c>
      <c r="B1006" s="6" t="s">
        <v>8648</v>
      </c>
      <c r="C1006" s="6" t="s">
        <v>29</v>
      </c>
      <c r="D1006" s="6">
        <v>88406.0</v>
      </c>
      <c r="E1006" s="6" t="s">
        <v>40</v>
      </c>
      <c r="F1006" s="6" t="s">
        <v>54</v>
      </c>
      <c r="G1006" s="6" t="s">
        <v>31</v>
      </c>
      <c r="H1006" s="7">
        <v>916.0</v>
      </c>
      <c r="I1006" s="7">
        <v>6496.0</v>
      </c>
      <c r="J1006" s="6">
        <v>1971.0</v>
      </c>
      <c r="K1006" s="6">
        <v>120.0</v>
      </c>
      <c r="L1006" s="6" t="s">
        <v>32</v>
      </c>
      <c r="M1006" s="6" t="s">
        <v>8649</v>
      </c>
      <c r="N1006" s="6" t="s">
        <v>64</v>
      </c>
      <c r="O1006" s="6" t="s">
        <v>35</v>
      </c>
      <c r="P1006" s="6">
        <f>COUNTIF(Analysis!$M$1:$M$3001,Analysis!$M2153)</f>
        <v>1</v>
      </c>
      <c r="Q1006" s="6" t="str">
        <f>IF(COUNTIF(Analysis!$M$2:$M$3001,Analysis!$M2153)&gt;1,"Duplicate","OK")</f>
        <v>OK</v>
      </c>
      <c r="R1006" s="6" t="str">
        <f t="shared" si="1"/>
        <v>600-1600</v>
      </c>
      <c r="S1006" s="6">
        <f t="shared" si="2"/>
        <v>55</v>
      </c>
      <c r="T1006" s="6" t="str">
        <f t="shared" si="3"/>
        <v>Old</v>
      </c>
    </row>
    <row r="1007" ht="14.25" customHeight="1">
      <c r="A1007" s="5">
        <v>872311.0</v>
      </c>
      <c r="B1007" s="6" t="s">
        <v>4067</v>
      </c>
      <c r="C1007" s="6" t="s">
        <v>39</v>
      </c>
      <c r="D1007" s="6">
        <v>57079.0</v>
      </c>
      <c r="E1007" s="6" t="s">
        <v>40</v>
      </c>
      <c r="F1007" s="6" t="s">
        <v>94</v>
      </c>
      <c r="G1007" s="6" t="s">
        <v>100</v>
      </c>
      <c r="H1007" s="7">
        <v>1534.0</v>
      </c>
      <c r="I1007" s="7">
        <v>6971.0</v>
      </c>
      <c r="J1007" s="6">
        <v>2014.0</v>
      </c>
      <c r="K1007" s="6">
        <v>67.0</v>
      </c>
      <c r="L1007" s="6" t="s">
        <v>141</v>
      </c>
      <c r="M1007" s="6" t="s">
        <v>4068</v>
      </c>
      <c r="N1007" s="6" t="s">
        <v>34</v>
      </c>
      <c r="O1007" s="6" t="s">
        <v>25</v>
      </c>
      <c r="P1007" s="6">
        <f>COUNTIF(Analysis!$M$1:$M$3001,Analysis!$M1007)</f>
        <v>1</v>
      </c>
      <c r="Q1007" s="6" t="str">
        <f>IF(COUNTIF(Analysis!$M$2:$M$3001,Analysis!$M1007)&gt;1,"Duplicate","OK")</f>
        <v>OK</v>
      </c>
      <c r="R1007" s="6" t="str">
        <f t="shared" si="1"/>
        <v>600-1600</v>
      </c>
      <c r="S1007" s="6">
        <f t="shared" si="2"/>
        <v>12</v>
      </c>
      <c r="T1007" s="6" t="str">
        <f t="shared" si="3"/>
        <v>Mid</v>
      </c>
    </row>
    <row r="1008" ht="14.25" customHeight="1">
      <c r="A1008" s="5">
        <v>1123484.0</v>
      </c>
      <c r="B1008" s="6" t="s">
        <v>4071</v>
      </c>
      <c r="C1008" s="6" t="s">
        <v>18</v>
      </c>
      <c r="D1008" s="6">
        <v>81853.0</v>
      </c>
      <c r="E1008" s="6" t="s">
        <v>60</v>
      </c>
      <c r="F1008" s="6" t="s">
        <v>20</v>
      </c>
      <c r="G1008" s="6" t="s">
        <v>55</v>
      </c>
      <c r="H1008" s="7">
        <v>1361.0</v>
      </c>
      <c r="I1008" s="7">
        <v>5247.0</v>
      </c>
      <c r="J1008" s="6">
        <v>2011.0</v>
      </c>
      <c r="K1008" s="6">
        <v>33.0</v>
      </c>
      <c r="L1008" s="6" t="s">
        <v>141</v>
      </c>
      <c r="M1008" s="6" t="s">
        <v>4072</v>
      </c>
      <c r="N1008" s="6" t="s">
        <v>34</v>
      </c>
      <c r="O1008" s="6" t="s">
        <v>25</v>
      </c>
      <c r="P1008" s="6">
        <f>COUNTIF(Analysis!$M$1:$M$3001,Analysis!$M1008)</f>
        <v>1</v>
      </c>
      <c r="Q1008" s="6" t="str">
        <f>IF(COUNTIF(Analysis!$M$2:$M$3001,Analysis!$M1008)&gt;1,"Duplicate","OK")</f>
        <v>OK</v>
      </c>
      <c r="R1008" s="6" t="str">
        <f t="shared" si="1"/>
        <v>600-1600</v>
      </c>
      <c r="S1008" s="6">
        <f t="shared" si="2"/>
        <v>15</v>
      </c>
      <c r="T1008" s="6" t="str">
        <f t="shared" si="3"/>
        <v>Mid</v>
      </c>
    </row>
    <row r="1009" ht="14.25" customHeight="1">
      <c r="A1009" s="5">
        <v>908029.0</v>
      </c>
      <c r="B1009" s="6" t="s">
        <v>4075</v>
      </c>
      <c r="C1009" s="6" t="s">
        <v>53</v>
      </c>
      <c r="D1009" s="6">
        <v>24663.0</v>
      </c>
      <c r="E1009" s="6" t="s">
        <v>30</v>
      </c>
      <c r="F1009" s="6" t="s">
        <v>46</v>
      </c>
      <c r="G1009" s="6" t="s">
        <v>100</v>
      </c>
      <c r="H1009" s="7">
        <v>646.0</v>
      </c>
      <c r="I1009" s="7">
        <v>4393.0</v>
      </c>
      <c r="J1009" s="6">
        <v>2004.0</v>
      </c>
      <c r="K1009" s="6">
        <v>58.0</v>
      </c>
      <c r="L1009" s="6" t="s">
        <v>95</v>
      </c>
      <c r="M1009" s="6" t="s">
        <v>4076</v>
      </c>
      <c r="N1009" s="6" t="s">
        <v>34</v>
      </c>
      <c r="O1009" s="6" t="s">
        <v>35</v>
      </c>
      <c r="P1009" s="6">
        <f>COUNTIF(Analysis!$M$1:$M$3001,Analysis!$M1009)</f>
        <v>1</v>
      </c>
      <c r="Q1009" s="6" t="str">
        <f>IF(COUNTIF(Analysis!$M$2:$M$3001,Analysis!$M1009)&gt;1,"Duplicate","OK")</f>
        <v>OK</v>
      </c>
      <c r="R1009" s="6" t="str">
        <f t="shared" si="1"/>
        <v>600-1600</v>
      </c>
      <c r="S1009" s="6">
        <f t="shared" si="2"/>
        <v>22</v>
      </c>
      <c r="T1009" s="6" t="str">
        <f t="shared" si="3"/>
        <v>Mid</v>
      </c>
    </row>
    <row r="1010" ht="14.25" customHeight="1">
      <c r="A1010" s="5">
        <v>858758.0</v>
      </c>
      <c r="B1010" s="6" t="s">
        <v>4079</v>
      </c>
      <c r="C1010" s="6" t="s">
        <v>53</v>
      </c>
      <c r="D1010" s="6">
        <v>88380.0</v>
      </c>
      <c r="E1010" s="6" t="s">
        <v>19</v>
      </c>
      <c r="F1010" s="6" t="s">
        <v>20</v>
      </c>
      <c r="G1010" s="6" t="s">
        <v>100</v>
      </c>
      <c r="H1010" s="7">
        <v>3827.0</v>
      </c>
      <c r="I1010" s="7">
        <v>1256.0</v>
      </c>
      <c r="J1010" s="6">
        <v>1994.0</v>
      </c>
      <c r="K1010" s="6">
        <v>45.0</v>
      </c>
      <c r="L1010" s="6" t="s">
        <v>95</v>
      </c>
      <c r="M1010" s="6" t="s">
        <v>4080</v>
      </c>
      <c r="N1010" s="6" t="s">
        <v>64</v>
      </c>
      <c r="O1010" s="6" t="s">
        <v>49</v>
      </c>
      <c r="P1010" s="6">
        <f>COUNTIF(Analysis!$M$1:$M$3001,Analysis!$M1010)</f>
        <v>1</v>
      </c>
      <c r="Q1010" s="6" t="str">
        <f>IF(COUNTIF(Analysis!$M$2:$M$3001,Analysis!$M1010)&gt;1,"Duplicate","OK")</f>
        <v>OK</v>
      </c>
      <c r="R1010" s="6" t="str">
        <f t="shared" si="1"/>
        <v>3600+</v>
      </c>
      <c r="S1010" s="6">
        <f t="shared" si="2"/>
        <v>32</v>
      </c>
      <c r="T1010" s="6" t="str">
        <f t="shared" si="3"/>
        <v>Old</v>
      </c>
    </row>
    <row r="1011" ht="14.25" customHeight="1">
      <c r="A1011" s="5">
        <v>130430.0</v>
      </c>
      <c r="B1011" s="6" t="s">
        <v>4083</v>
      </c>
      <c r="C1011" s="6" t="s">
        <v>76</v>
      </c>
      <c r="D1011" s="6">
        <v>98355.0</v>
      </c>
      <c r="E1011" s="6" t="s">
        <v>19</v>
      </c>
      <c r="F1011" s="6" t="s">
        <v>61</v>
      </c>
      <c r="G1011" s="6" t="s">
        <v>21</v>
      </c>
      <c r="H1011" s="7">
        <v>2989.0</v>
      </c>
      <c r="I1011" s="7">
        <v>8110.0</v>
      </c>
      <c r="J1011" s="6">
        <v>2017.0</v>
      </c>
      <c r="K1011" s="6">
        <v>5.0</v>
      </c>
      <c r="L1011" s="6" t="s">
        <v>22</v>
      </c>
      <c r="M1011" s="6" t="s">
        <v>4084</v>
      </c>
      <c r="N1011" s="6" t="s">
        <v>24</v>
      </c>
      <c r="O1011" s="6" t="s">
        <v>35</v>
      </c>
      <c r="P1011" s="6">
        <f>COUNTIF(Analysis!$M$1:$M$3001,Analysis!$M1011)</f>
        <v>1</v>
      </c>
      <c r="Q1011" s="6" t="str">
        <f>IF(COUNTIF(Analysis!$M$2:$M$3001,Analysis!$M1011)&gt;1,"Duplicate","OK")</f>
        <v>OK</v>
      </c>
      <c r="R1011" s="6" t="str">
        <f t="shared" si="1"/>
        <v>2600-3600</v>
      </c>
      <c r="S1011" s="6">
        <f t="shared" si="2"/>
        <v>9</v>
      </c>
      <c r="T1011" s="6" t="str">
        <f t="shared" si="3"/>
        <v>New</v>
      </c>
    </row>
    <row r="1012" ht="14.25" customHeight="1">
      <c r="A1012" s="5">
        <v>1152868.0</v>
      </c>
      <c r="B1012" s="6" t="s">
        <v>4087</v>
      </c>
      <c r="C1012" s="6" t="s">
        <v>39</v>
      </c>
      <c r="D1012" s="6">
        <v>65167.0</v>
      </c>
      <c r="E1012" s="6" t="s">
        <v>19</v>
      </c>
      <c r="F1012" s="6" t="s">
        <v>41</v>
      </c>
      <c r="G1012" s="6" t="s">
        <v>21</v>
      </c>
      <c r="H1012" s="7">
        <v>3121.0</v>
      </c>
      <c r="I1012" s="7">
        <v>3243.0</v>
      </c>
      <c r="J1012" s="6">
        <v>1990.0</v>
      </c>
      <c r="K1012" s="6">
        <v>55.0</v>
      </c>
      <c r="L1012" s="6" t="s">
        <v>62</v>
      </c>
      <c r="M1012" s="6" t="s">
        <v>4088</v>
      </c>
      <c r="N1012" s="6" t="s">
        <v>43</v>
      </c>
      <c r="O1012" s="6" t="s">
        <v>49</v>
      </c>
      <c r="P1012" s="6">
        <f>COUNTIF(Analysis!$M$1:$M$3001,Analysis!$M1012)</f>
        <v>1</v>
      </c>
      <c r="Q1012" s="6" t="str">
        <f>IF(COUNTIF(Analysis!$M$2:$M$3001,Analysis!$M1012)&gt;1,"Duplicate","OK")</f>
        <v>OK</v>
      </c>
      <c r="R1012" s="6" t="str">
        <f t="shared" si="1"/>
        <v>2600-3600</v>
      </c>
      <c r="S1012" s="6">
        <f t="shared" si="2"/>
        <v>36</v>
      </c>
      <c r="T1012" s="6" t="str">
        <f t="shared" si="3"/>
        <v>Old</v>
      </c>
    </row>
    <row r="1013" ht="14.25" customHeight="1">
      <c r="A1013" s="5">
        <v>951210.0</v>
      </c>
      <c r="B1013" s="6" t="s">
        <v>4091</v>
      </c>
      <c r="C1013" s="6" t="s">
        <v>53</v>
      </c>
      <c r="D1013" s="6">
        <v>38616.0</v>
      </c>
      <c r="E1013" s="6" t="s">
        <v>60</v>
      </c>
      <c r="F1013" s="6" t="s">
        <v>54</v>
      </c>
      <c r="G1013" s="6" t="s">
        <v>100</v>
      </c>
      <c r="H1013" s="7">
        <v>3769.0</v>
      </c>
      <c r="I1013" s="7">
        <v>7943.0</v>
      </c>
      <c r="J1013" s="6">
        <v>2004.0</v>
      </c>
      <c r="K1013" s="6">
        <v>16.0</v>
      </c>
      <c r="L1013" s="6" t="s">
        <v>22</v>
      </c>
      <c r="M1013" s="6" t="s">
        <v>4092</v>
      </c>
      <c r="N1013" s="6" t="s">
        <v>24</v>
      </c>
      <c r="O1013" s="6" t="s">
        <v>25</v>
      </c>
      <c r="P1013" s="6">
        <f>COUNTIF(Analysis!$M$1:$M$3001,Analysis!$M1013)</f>
        <v>1</v>
      </c>
      <c r="Q1013" s="6" t="str">
        <f>IF(COUNTIF(Analysis!$M$2:$M$3001,Analysis!$M1013)&gt;1,"Duplicate","OK")</f>
        <v>OK</v>
      </c>
      <c r="R1013" s="6" t="str">
        <f t="shared" si="1"/>
        <v>3600+</v>
      </c>
      <c r="S1013" s="6">
        <f t="shared" si="2"/>
        <v>22</v>
      </c>
      <c r="T1013" s="6" t="str">
        <f t="shared" si="3"/>
        <v>Mid</v>
      </c>
    </row>
    <row r="1014" ht="14.25" customHeight="1">
      <c r="A1014" s="5">
        <v>799710.0</v>
      </c>
      <c r="B1014" s="6" t="s">
        <v>4095</v>
      </c>
      <c r="C1014" s="6" t="s">
        <v>18</v>
      </c>
      <c r="D1014" s="6">
        <v>74545.0</v>
      </c>
      <c r="E1014" s="6" t="s">
        <v>40</v>
      </c>
      <c r="F1014" s="6" t="s">
        <v>46</v>
      </c>
      <c r="G1014" s="6" t="s">
        <v>55</v>
      </c>
      <c r="H1014" s="7">
        <v>1238.0</v>
      </c>
      <c r="I1014" s="7">
        <v>4966.0</v>
      </c>
      <c r="J1014" s="6">
        <v>1968.0</v>
      </c>
      <c r="K1014" s="6">
        <v>92.0</v>
      </c>
      <c r="L1014" s="6" t="s">
        <v>95</v>
      </c>
      <c r="M1014" s="6" t="s">
        <v>4096</v>
      </c>
      <c r="N1014" s="6" t="s">
        <v>64</v>
      </c>
      <c r="O1014" s="6" t="s">
        <v>35</v>
      </c>
      <c r="P1014" s="6">
        <f>COUNTIF(Analysis!$M$1:$M$3001,Analysis!$M1014)</f>
        <v>1</v>
      </c>
      <c r="Q1014" s="6" t="str">
        <f>IF(COUNTIF(Analysis!$M$2:$M$3001,Analysis!$M1014)&gt;1,"Duplicate","OK")</f>
        <v>OK</v>
      </c>
      <c r="R1014" s="6" t="str">
        <f t="shared" si="1"/>
        <v>600-1600</v>
      </c>
      <c r="S1014" s="6">
        <f t="shared" si="2"/>
        <v>58</v>
      </c>
      <c r="T1014" s="6" t="str">
        <f t="shared" si="3"/>
        <v>Old</v>
      </c>
    </row>
    <row r="1015" ht="14.25" customHeight="1">
      <c r="A1015" s="5">
        <v>585085.0</v>
      </c>
      <c r="B1015" s="6" t="s">
        <v>7021</v>
      </c>
      <c r="C1015" s="6" t="s">
        <v>29</v>
      </c>
      <c r="D1015" s="6">
        <v>18937.0</v>
      </c>
      <c r="E1015" s="6" t="s">
        <v>77</v>
      </c>
      <c r="F1015" s="6" t="s">
        <v>61</v>
      </c>
      <c r="G1015" s="6" t="s">
        <v>100</v>
      </c>
      <c r="H1015" s="7">
        <v>1404.0</v>
      </c>
      <c r="I1015" s="7">
        <v>3613.0</v>
      </c>
      <c r="J1015" s="6">
        <v>1972.0</v>
      </c>
      <c r="K1015" s="6">
        <v>81.0</v>
      </c>
      <c r="L1015" s="6" t="s">
        <v>32</v>
      </c>
      <c r="M1015" s="6" t="s">
        <v>7022</v>
      </c>
      <c r="N1015" s="6" t="s">
        <v>34</v>
      </c>
      <c r="O1015" s="6" t="s">
        <v>35</v>
      </c>
      <c r="P1015" s="6">
        <f>COUNTIF(Analysis!$M$1:$M$3001,Analysis!$M1746)</f>
        <v>1</v>
      </c>
      <c r="Q1015" s="6" t="str">
        <f>IF(COUNTIF(Analysis!$M$2:$M$3001,Analysis!$M1746)&gt;1,"Duplicate","OK")</f>
        <v>OK</v>
      </c>
      <c r="R1015" s="6" t="str">
        <f t="shared" si="1"/>
        <v>600-1600</v>
      </c>
      <c r="S1015" s="6">
        <f t="shared" si="2"/>
        <v>54</v>
      </c>
      <c r="T1015" s="6" t="str">
        <f t="shared" si="3"/>
        <v>Old</v>
      </c>
    </row>
    <row r="1016" ht="14.25" customHeight="1">
      <c r="A1016" s="5">
        <v>1181226.0</v>
      </c>
      <c r="B1016" s="6" t="s">
        <v>4103</v>
      </c>
      <c r="C1016" s="6" t="s">
        <v>76</v>
      </c>
      <c r="D1016" s="6">
        <v>13718.0</v>
      </c>
      <c r="E1016" s="6" t="s">
        <v>19</v>
      </c>
      <c r="F1016" s="6" t="s">
        <v>20</v>
      </c>
      <c r="G1016" s="6" t="s">
        <v>55</v>
      </c>
      <c r="H1016" s="7">
        <v>830.0</v>
      </c>
      <c r="I1016" s="7">
        <v>1630.0</v>
      </c>
      <c r="J1016" s="6">
        <v>1969.0</v>
      </c>
      <c r="K1016" s="6">
        <v>21.0</v>
      </c>
      <c r="L1016" s="6" t="s">
        <v>141</v>
      </c>
      <c r="M1016" s="6" t="s">
        <v>4104</v>
      </c>
      <c r="N1016" s="6" t="s">
        <v>24</v>
      </c>
      <c r="O1016" s="6" t="s">
        <v>35</v>
      </c>
      <c r="P1016" s="6">
        <f>COUNTIF(Analysis!$M$1:$M$3001,Analysis!$M1016)</f>
        <v>1</v>
      </c>
      <c r="Q1016" s="6" t="str">
        <f>IF(COUNTIF(Analysis!$M$2:$M$3001,Analysis!$M1016)&gt;1,"Duplicate","OK")</f>
        <v>OK</v>
      </c>
      <c r="R1016" s="6" t="str">
        <f t="shared" si="1"/>
        <v>600-1600</v>
      </c>
      <c r="S1016" s="6">
        <f t="shared" si="2"/>
        <v>57</v>
      </c>
      <c r="T1016" s="6" t="str">
        <f t="shared" si="3"/>
        <v>Old</v>
      </c>
    </row>
    <row r="1017" ht="14.25" customHeight="1">
      <c r="A1017" s="5">
        <v>1141219.0</v>
      </c>
      <c r="B1017" s="6" t="s">
        <v>4107</v>
      </c>
      <c r="C1017" s="6" t="s">
        <v>39</v>
      </c>
      <c r="D1017" s="6">
        <v>21680.0</v>
      </c>
      <c r="E1017" s="6" t="s">
        <v>60</v>
      </c>
      <c r="F1017" s="6" t="s">
        <v>46</v>
      </c>
      <c r="G1017" s="6" t="s">
        <v>21</v>
      </c>
      <c r="H1017" s="7">
        <v>989.0</v>
      </c>
      <c r="I1017" s="7">
        <v>9282.0</v>
      </c>
      <c r="J1017" s="6">
        <v>2012.0</v>
      </c>
      <c r="K1017" s="6">
        <v>24.0</v>
      </c>
      <c r="L1017" s="6" t="s">
        <v>32</v>
      </c>
      <c r="M1017" s="6" t="s">
        <v>4108</v>
      </c>
      <c r="N1017" s="6" t="s">
        <v>34</v>
      </c>
      <c r="O1017" s="6" t="s">
        <v>25</v>
      </c>
      <c r="P1017" s="6">
        <f>COUNTIF(Analysis!$M$1:$M$3001,Analysis!$M1017)</f>
        <v>1</v>
      </c>
      <c r="Q1017" s="6" t="str">
        <f>IF(COUNTIF(Analysis!$M$2:$M$3001,Analysis!$M1017)&gt;1,"Duplicate","OK")</f>
        <v>OK</v>
      </c>
      <c r="R1017" s="6" t="str">
        <f t="shared" si="1"/>
        <v>600-1600</v>
      </c>
      <c r="S1017" s="6">
        <f t="shared" si="2"/>
        <v>14</v>
      </c>
      <c r="T1017" s="6" t="str">
        <f t="shared" si="3"/>
        <v>Mid</v>
      </c>
    </row>
    <row r="1018" ht="14.25" customHeight="1">
      <c r="A1018" s="5">
        <v>455913.0</v>
      </c>
      <c r="B1018" s="6" t="s">
        <v>4111</v>
      </c>
      <c r="C1018" s="6" t="s">
        <v>39</v>
      </c>
      <c r="D1018" s="6">
        <v>78010.0</v>
      </c>
      <c r="E1018" s="6" t="s">
        <v>30</v>
      </c>
      <c r="F1018" s="6" t="s">
        <v>94</v>
      </c>
      <c r="G1018" s="6" t="s">
        <v>31</v>
      </c>
      <c r="H1018" s="7">
        <v>1786.0</v>
      </c>
      <c r="I1018" s="7">
        <v>1424.0</v>
      </c>
      <c r="J1018" s="6">
        <v>1983.0</v>
      </c>
      <c r="K1018" s="6">
        <v>95.0</v>
      </c>
      <c r="L1018" s="6" t="s">
        <v>95</v>
      </c>
      <c r="M1018" s="6" t="s">
        <v>4112</v>
      </c>
      <c r="N1018" s="6" t="s">
        <v>64</v>
      </c>
      <c r="O1018" s="6" t="s">
        <v>25</v>
      </c>
      <c r="P1018" s="6">
        <f>COUNTIF(Analysis!$M$1:$M$3001,Analysis!$M1018)</f>
        <v>1</v>
      </c>
      <c r="Q1018" s="6" t="str">
        <f>IF(COUNTIF(Analysis!$M$2:$M$3001,Analysis!$M1018)&gt;1,"Duplicate","OK")</f>
        <v>OK</v>
      </c>
      <c r="R1018" s="6" t="str">
        <f t="shared" si="1"/>
        <v>1600-2600</v>
      </c>
      <c r="S1018" s="6">
        <f t="shared" si="2"/>
        <v>43</v>
      </c>
      <c r="T1018" s="6" t="str">
        <f t="shared" si="3"/>
        <v>Old</v>
      </c>
    </row>
    <row r="1019" ht="14.25" customHeight="1">
      <c r="A1019" s="5">
        <v>589012.0</v>
      </c>
      <c r="B1019" s="6" t="s">
        <v>3271</v>
      </c>
      <c r="C1019" s="6" t="s">
        <v>29</v>
      </c>
      <c r="D1019" s="6">
        <v>66654.0</v>
      </c>
      <c r="E1019" s="6" t="s">
        <v>40</v>
      </c>
      <c r="F1019" s="6" t="s">
        <v>20</v>
      </c>
      <c r="G1019" s="6" t="s">
        <v>55</v>
      </c>
      <c r="H1019" s="7">
        <v>690.0</v>
      </c>
      <c r="I1019" s="7">
        <v>7936.0</v>
      </c>
      <c r="J1019" s="6">
        <v>2019.0</v>
      </c>
      <c r="K1019" s="6">
        <v>31.0</v>
      </c>
      <c r="L1019" s="6" t="s">
        <v>22</v>
      </c>
      <c r="M1019" s="6" t="s">
        <v>3272</v>
      </c>
      <c r="N1019" s="6" t="s">
        <v>48</v>
      </c>
      <c r="O1019" s="6" t="s">
        <v>35</v>
      </c>
      <c r="P1019" s="6">
        <f>COUNTIF(Analysis!$M$1:$M$3001,Analysis!$M808)</f>
        <v>1</v>
      </c>
      <c r="Q1019" s="6" t="str">
        <f>IF(COUNTIF(Analysis!$M$2:$M$3001,Analysis!$M808)&gt;1,"Duplicate","OK")</f>
        <v>OK</v>
      </c>
      <c r="R1019" s="6" t="str">
        <f t="shared" si="1"/>
        <v>600-1600</v>
      </c>
      <c r="S1019" s="6">
        <f t="shared" si="2"/>
        <v>7</v>
      </c>
      <c r="T1019" s="6" t="str">
        <f t="shared" si="3"/>
        <v>New</v>
      </c>
    </row>
    <row r="1020" ht="14.25" customHeight="1">
      <c r="A1020" s="5">
        <v>282695.0</v>
      </c>
      <c r="B1020" s="6" t="s">
        <v>4119</v>
      </c>
      <c r="C1020" s="6" t="s">
        <v>18</v>
      </c>
      <c r="D1020" s="6">
        <v>97210.0</v>
      </c>
      <c r="E1020" s="6" t="s">
        <v>30</v>
      </c>
      <c r="F1020" s="6" t="s">
        <v>41</v>
      </c>
      <c r="G1020" s="6" t="s">
        <v>100</v>
      </c>
      <c r="H1020" s="7">
        <v>1582.0</v>
      </c>
      <c r="I1020" s="7">
        <v>4037.0</v>
      </c>
      <c r="J1020" s="6">
        <v>1982.0</v>
      </c>
      <c r="K1020" s="6">
        <v>74.0</v>
      </c>
      <c r="L1020" s="6" t="s">
        <v>22</v>
      </c>
      <c r="M1020" s="6" t="s">
        <v>4120</v>
      </c>
      <c r="N1020" s="6" t="s">
        <v>64</v>
      </c>
      <c r="O1020" s="6" t="s">
        <v>49</v>
      </c>
      <c r="P1020" s="6">
        <f>COUNTIF(Analysis!$M$1:$M$3001,Analysis!$M1020)</f>
        <v>1</v>
      </c>
      <c r="Q1020" s="6" t="str">
        <f>IF(COUNTIF(Analysis!$M$2:$M$3001,Analysis!$M1020)&gt;1,"Duplicate","OK")</f>
        <v>OK</v>
      </c>
      <c r="R1020" s="6" t="str">
        <f t="shared" si="1"/>
        <v>600-1600</v>
      </c>
      <c r="S1020" s="6">
        <f t="shared" si="2"/>
        <v>44</v>
      </c>
      <c r="T1020" s="6" t="str">
        <f t="shared" si="3"/>
        <v>Old</v>
      </c>
    </row>
    <row r="1021" ht="14.25" customHeight="1">
      <c r="A1021" s="5">
        <v>589018.0</v>
      </c>
      <c r="B1021" s="6" t="s">
        <v>11579</v>
      </c>
      <c r="C1021" s="6" t="s">
        <v>29</v>
      </c>
      <c r="D1021" s="6">
        <v>95305.0</v>
      </c>
      <c r="E1021" s="6" t="s">
        <v>30</v>
      </c>
      <c r="F1021" s="6" t="s">
        <v>46</v>
      </c>
      <c r="G1021" s="6" t="s">
        <v>31</v>
      </c>
      <c r="H1021" s="7">
        <v>3426.0</v>
      </c>
      <c r="I1021" s="7">
        <v>9940.0</v>
      </c>
      <c r="J1021" s="6">
        <v>1961.0</v>
      </c>
      <c r="K1021" s="6">
        <v>7.0</v>
      </c>
      <c r="L1021" s="6" t="s">
        <v>141</v>
      </c>
      <c r="M1021" s="6" t="s">
        <v>11580</v>
      </c>
      <c r="N1021" s="6" t="s">
        <v>43</v>
      </c>
      <c r="O1021" s="6" t="s">
        <v>35</v>
      </c>
      <c r="P1021" s="6">
        <f>COUNTIF(Analysis!$M$1:$M$3001,Analysis!$M2886)</f>
        <v>1</v>
      </c>
      <c r="Q1021" s="6" t="str">
        <f>IF(COUNTIF(Analysis!$M$2:$M$3001,Analysis!$M2886)&gt;1,"Duplicate","OK")</f>
        <v>OK</v>
      </c>
      <c r="R1021" s="6" t="str">
        <f t="shared" si="1"/>
        <v>2600-3600</v>
      </c>
      <c r="S1021" s="6">
        <f t="shared" si="2"/>
        <v>65</v>
      </c>
      <c r="T1021" s="6" t="str">
        <f t="shared" si="3"/>
        <v>Very Old</v>
      </c>
    </row>
    <row r="1022" ht="14.25" customHeight="1">
      <c r="A1022" s="5">
        <v>589245.0</v>
      </c>
      <c r="B1022" s="6" t="s">
        <v>857</v>
      </c>
      <c r="C1022" s="6" t="s">
        <v>29</v>
      </c>
      <c r="D1022" s="6">
        <v>57020.0</v>
      </c>
      <c r="E1022" s="6" t="s">
        <v>19</v>
      </c>
      <c r="F1022" s="6" t="s">
        <v>20</v>
      </c>
      <c r="G1022" s="6" t="s">
        <v>31</v>
      </c>
      <c r="H1022" s="7">
        <v>794.0</v>
      </c>
      <c r="I1022" s="7">
        <v>1177.0</v>
      </c>
      <c r="J1022" s="6">
        <v>1987.0</v>
      </c>
      <c r="K1022" s="6">
        <v>39.0</v>
      </c>
      <c r="L1022" s="6" t="s">
        <v>22</v>
      </c>
      <c r="M1022" s="6" t="s">
        <v>858</v>
      </c>
      <c r="N1022" s="6" t="s">
        <v>64</v>
      </c>
      <c r="O1022" s="6" t="s">
        <v>25</v>
      </c>
      <c r="P1022" s="6">
        <f>COUNTIF(Analysis!$M$1:$M$3001,Analysis!$M204)</f>
        <v>1</v>
      </c>
      <c r="Q1022" s="6" t="str">
        <f>IF(COUNTIF(Analysis!$M$2:$M$3001,Analysis!$M204)&gt;1,"Duplicate","OK")</f>
        <v>OK</v>
      </c>
      <c r="R1022" s="6" t="str">
        <f t="shared" si="1"/>
        <v>600-1600</v>
      </c>
      <c r="S1022" s="6">
        <f t="shared" si="2"/>
        <v>39</v>
      </c>
      <c r="T1022" s="6" t="str">
        <f t="shared" si="3"/>
        <v>Old</v>
      </c>
    </row>
    <row r="1023" ht="14.25" customHeight="1">
      <c r="A1023" s="5">
        <v>598034.0</v>
      </c>
      <c r="B1023" s="6" t="s">
        <v>677</v>
      </c>
      <c r="C1023" s="6" t="s">
        <v>29</v>
      </c>
      <c r="D1023" s="6">
        <v>33935.0</v>
      </c>
      <c r="E1023" s="6" t="s">
        <v>19</v>
      </c>
      <c r="F1023" s="6" t="s">
        <v>94</v>
      </c>
      <c r="G1023" s="6" t="s">
        <v>21</v>
      </c>
      <c r="H1023" s="7">
        <v>2174.0</v>
      </c>
      <c r="I1023" s="7">
        <v>3623.0</v>
      </c>
      <c r="J1023" s="6">
        <v>1970.0</v>
      </c>
      <c r="K1023" s="6">
        <v>65.0</v>
      </c>
      <c r="L1023" s="6" t="s">
        <v>22</v>
      </c>
      <c r="M1023" s="6" t="s">
        <v>678</v>
      </c>
      <c r="N1023" s="6" t="s">
        <v>43</v>
      </c>
      <c r="O1023" s="6" t="s">
        <v>25</v>
      </c>
      <c r="P1023" s="6">
        <f>COUNTIF(Analysis!$M$1:$M$3001,Analysis!$M159)</f>
        <v>1</v>
      </c>
      <c r="Q1023" s="6" t="str">
        <f>IF(COUNTIF(Analysis!$M$2:$M$3001,Analysis!$M159)&gt;1,"Duplicate","OK")</f>
        <v>OK</v>
      </c>
      <c r="R1023" s="6" t="str">
        <f t="shared" si="1"/>
        <v>1600-2600</v>
      </c>
      <c r="S1023" s="6">
        <f t="shared" si="2"/>
        <v>56</v>
      </c>
      <c r="T1023" s="6" t="str">
        <f t="shared" si="3"/>
        <v>Old</v>
      </c>
    </row>
    <row r="1024" ht="14.25" customHeight="1">
      <c r="A1024" s="5">
        <v>1313735.0</v>
      </c>
      <c r="B1024" s="6" t="s">
        <v>4135</v>
      </c>
      <c r="C1024" s="6" t="s">
        <v>76</v>
      </c>
      <c r="D1024" s="6">
        <v>50174.0</v>
      </c>
      <c r="E1024" s="6" t="s">
        <v>77</v>
      </c>
      <c r="F1024" s="6" t="s">
        <v>20</v>
      </c>
      <c r="G1024" s="6" t="s">
        <v>21</v>
      </c>
      <c r="H1024" s="7">
        <v>1405.0</v>
      </c>
      <c r="I1024" s="7">
        <v>5427.0</v>
      </c>
      <c r="J1024" s="6">
        <v>2006.0</v>
      </c>
      <c r="K1024" s="6">
        <v>105.0</v>
      </c>
      <c r="L1024" s="6" t="s">
        <v>22</v>
      </c>
      <c r="M1024" s="6" t="s">
        <v>4136</v>
      </c>
      <c r="N1024" s="6" t="s">
        <v>24</v>
      </c>
      <c r="O1024" s="6" t="s">
        <v>25</v>
      </c>
      <c r="P1024" s="6">
        <f>COUNTIF(Analysis!$M$1:$M$3001,Analysis!$M1024)</f>
        <v>1</v>
      </c>
      <c r="Q1024" s="6" t="str">
        <f>IF(COUNTIF(Analysis!$M$2:$M$3001,Analysis!$M1024)&gt;1,"Duplicate","OK")</f>
        <v>OK</v>
      </c>
      <c r="R1024" s="6" t="str">
        <f t="shared" si="1"/>
        <v>600-1600</v>
      </c>
      <c r="S1024" s="6">
        <f t="shared" si="2"/>
        <v>20</v>
      </c>
      <c r="T1024" s="6" t="str">
        <f t="shared" si="3"/>
        <v>Mid</v>
      </c>
    </row>
    <row r="1025" ht="14.25" customHeight="1">
      <c r="A1025" s="5">
        <v>601508.0</v>
      </c>
      <c r="B1025" s="6" t="s">
        <v>3759</v>
      </c>
      <c r="C1025" s="6" t="s">
        <v>29</v>
      </c>
      <c r="D1025" s="6">
        <v>87430.0</v>
      </c>
      <c r="E1025" s="6" t="s">
        <v>77</v>
      </c>
      <c r="F1025" s="6" t="s">
        <v>20</v>
      </c>
      <c r="G1025" s="6" t="s">
        <v>21</v>
      </c>
      <c r="H1025" s="7">
        <v>2993.0</v>
      </c>
      <c r="I1025" s="7">
        <v>7553.0</v>
      </c>
      <c r="J1025" s="6">
        <v>2004.0</v>
      </c>
      <c r="K1025" s="6">
        <v>113.0</v>
      </c>
      <c r="L1025" s="6" t="s">
        <v>95</v>
      </c>
      <c r="M1025" s="6" t="s">
        <v>3760</v>
      </c>
      <c r="N1025" s="6" t="s">
        <v>24</v>
      </c>
      <c r="O1025" s="6" t="s">
        <v>25</v>
      </c>
      <c r="P1025" s="6">
        <f>COUNTIF(Analysis!$M$1:$M$3001,Analysis!$M930)</f>
        <v>1</v>
      </c>
      <c r="Q1025" s="6" t="str">
        <f>IF(COUNTIF(Analysis!$M$2:$M$3001,Analysis!$M930)&gt;1,"Duplicate","OK")</f>
        <v>OK</v>
      </c>
      <c r="R1025" s="6" t="str">
        <f t="shared" si="1"/>
        <v>2600-3600</v>
      </c>
      <c r="S1025" s="6">
        <f t="shared" si="2"/>
        <v>22</v>
      </c>
      <c r="T1025" s="6" t="str">
        <f t="shared" si="3"/>
        <v>Mid</v>
      </c>
    </row>
    <row r="1026" ht="14.25" customHeight="1">
      <c r="A1026" s="5">
        <v>602545.0</v>
      </c>
      <c r="B1026" s="6" t="s">
        <v>9743</v>
      </c>
      <c r="C1026" s="6" t="s">
        <v>29</v>
      </c>
      <c r="D1026" s="6">
        <v>56633.0</v>
      </c>
      <c r="E1026" s="6" t="s">
        <v>30</v>
      </c>
      <c r="F1026" s="6" t="s">
        <v>41</v>
      </c>
      <c r="G1026" s="6" t="s">
        <v>31</v>
      </c>
      <c r="H1026" s="7">
        <v>1005.0</v>
      </c>
      <c r="I1026" s="7">
        <v>6375.0</v>
      </c>
      <c r="J1026" s="6">
        <v>1992.0</v>
      </c>
      <c r="K1026" s="6">
        <v>70.0</v>
      </c>
      <c r="L1026" s="6" t="s">
        <v>95</v>
      </c>
      <c r="M1026" s="6" t="s">
        <v>9744</v>
      </c>
      <c r="N1026" s="6" t="s">
        <v>64</v>
      </c>
      <c r="O1026" s="6" t="s">
        <v>25</v>
      </c>
      <c r="P1026" s="6">
        <f>COUNTIF(Analysis!$M$1:$M$3001,Analysis!$M2427)</f>
        <v>1</v>
      </c>
      <c r="Q1026" s="6" t="str">
        <f>IF(COUNTIF(Analysis!$M$2:$M$3001,Analysis!$M2427)&gt;1,"Duplicate","OK")</f>
        <v>OK</v>
      </c>
      <c r="R1026" s="6" t="str">
        <f t="shared" si="1"/>
        <v>600-1600</v>
      </c>
      <c r="S1026" s="6">
        <f t="shared" si="2"/>
        <v>34</v>
      </c>
      <c r="T1026" s="6" t="str">
        <f t="shared" si="3"/>
        <v>Old</v>
      </c>
    </row>
    <row r="1027" ht="14.25" customHeight="1">
      <c r="A1027" s="5">
        <v>606184.0</v>
      </c>
      <c r="B1027" s="6" t="s">
        <v>7501</v>
      </c>
      <c r="C1027" s="6" t="s">
        <v>29</v>
      </c>
      <c r="D1027" s="6">
        <v>12532.0</v>
      </c>
      <c r="E1027" s="6" t="s">
        <v>30</v>
      </c>
      <c r="F1027" s="6" t="s">
        <v>41</v>
      </c>
      <c r="G1027" s="6" t="s">
        <v>55</v>
      </c>
      <c r="H1027" s="7">
        <v>2192.0</v>
      </c>
      <c r="I1027" s="7">
        <v>9466.0</v>
      </c>
      <c r="J1027" s="6">
        <v>1998.0</v>
      </c>
      <c r="K1027" s="6">
        <v>65.0</v>
      </c>
      <c r="L1027" s="6" t="s">
        <v>95</v>
      </c>
      <c r="M1027" s="6" t="s">
        <v>7502</v>
      </c>
      <c r="N1027" s="6" t="s">
        <v>24</v>
      </c>
      <c r="O1027" s="6" t="s">
        <v>35</v>
      </c>
      <c r="P1027" s="6">
        <f>COUNTIF(Analysis!$M$1:$M$3001,Analysis!$M1866)</f>
        <v>1</v>
      </c>
      <c r="Q1027" s="6" t="str">
        <f>IF(COUNTIF(Analysis!$M$2:$M$3001,Analysis!$M1866)&gt;1,"Duplicate","OK")</f>
        <v>OK</v>
      </c>
      <c r="R1027" s="6" t="str">
        <f t="shared" si="1"/>
        <v>1600-2600</v>
      </c>
      <c r="S1027" s="6">
        <f t="shared" si="2"/>
        <v>28</v>
      </c>
      <c r="T1027" s="6" t="str">
        <f t="shared" si="3"/>
        <v>Mid</v>
      </c>
    </row>
    <row r="1028" ht="14.25" customHeight="1">
      <c r="A1028" s="5">
        <v>607071.0</v>
      </c>
      <c r="B1028" s="6" t="s">
        <v>5658</v>
      </c>
      <c r="C1028" s="6" t="s">
        <v>29</v>
      </c>
      <c r="D1028" s="6">
        <v>32435.0</v>
      </c>
      <c r="E1028" s="6" t="s">
        <v>19</v>
      </c>
      <c r="F1028" s="6" t="s">
        <v>41</v>
      </c>
      <c r="G1028" s="6" t="s">
        <v>100</v>
      </c>
      <c r="H1028" s="7">
        <v>3202.0</v>
      </c>
      <c r="I1028" s="7">
        <v>6081.0</v>
      </c>
      <c r="J1028" s="6">
        <v>2010.0</v>
      </c>
      <c r="K1028" s="6">
        <v>76.0</v>
      </c>
      <c r="L1028" s="6" t="s">
        <v>62</v>
      </c>
      <c r="M1028" s="6" t="s">
        <v>5659</v>
      </c>
      <c r="N1028" s="6" t="s">
        <v>48</v>
      </c>
      <c r="O1028" s="6" t="s">
        <v>35</v>
      </c>
      <c r="P1028" s="6">
        <f>COUNTIF(Analysis!$M$1:$M$3001,Analysis!$M1405)</f>
        <v>1</v>
      </c>
      <c r="Q1028" s="6" t="str">
        <f>IF(COUNTIF(Analysis!$M$2:$M$3001,Analysis!$M1405)&gt;1,"Duplicate","OK")</f>
        <v>OK</v>
      </c>
      <c r="R1028" s="6" t="str">
        <f t="shared" si="1"/>
        <v>2600-3600</v>
      </c>
      <c r="S1028" s="6">
        <f t="shared" si="2"/>
        <v>16</v>
      </c>
      <c r="T1028" s="6" t="str">
        <f t="shared" si="3"/>
        <v>Mid</v>
      </c>
    </row>
    <row r="1029" ht="14.25" customHeight="1">
      <c r="A1029" s="5">
        <v>680198.0</v>
      </c>
      <c r="B1029" s="6" t="s">
        <v>4155</v>
      </c>
      <c r="C1029" s="6" t="s">
        <v>18</v>
      </c>
      <c r="D1029" s="6">
        <v>29109.0</v>
      </c>
      <c r="E1029" s="6" t="s">
        <v>19</v>
      </c>
      <c r="F1029" s="6" t="s">
        <v>94</v>
      </c>
      <c r="G1029" s="6" t="s">
        <v>55</v>
      </c>
      <c r="H1029" s="7">
        <v>2641.0</v>
      </c>
      <c r="I1029" s="7">
        <v>3327.0</v>
      </c>
      <c r="J1029" s="6">
        <v>1958.0</v>
      </c>
      <c r="K1029" s="6">
        <v>81.0</v>
      </c>
      <c r="L1029" s="6" t="s">
        <v>141</v>
      </c>
      <c r="M1029" s="6" t="s">
        <v>4156</v>
      </c>
      <c r="N1029" s="6" t="s">
        <v>24</v>
      </c>
      <c r="O1029" s="6" t="s">
        <v>25</v>
      </c>
      <c r="P1029" s="6">
        <f>COUNTIF(Analysis!$M$1:$M$3001,Analysis!$M1029)</f>
        <v>1</v>
      </c>
      <c r="Q1029" s="6" t="str">
        <f>IF(COUNTIF(Analysis!$M$2:$M$3001,Analysis!$M1029)&gt;1,"Duplicate","OK")</f>
        <v>OK</v>
      </c>
      <c r="R1029" s="6" t="str">
        <f t="shared" si="1"/>
        <v>2600-3600</v>
      </c>
      <c r="S1029" s="6">
        <f t="shared" si="2"/>
        <v>68</v>
      </c>
      <c r="T1029" s="6" t="str">
        <f t="shared" si="3"/>
        <v>Very Old</v>
      </c>
    </row>
    <row r="1030" ht="14.25" customHeight="1">
      <c r="A1030" s="5">
        <v>379538.0</v>
      </c>
      <c r="B1030" s="6" t="s">
        <v>4159</v>
      </c>
      <c r="C1030" s="6" t="s">
        <v>76</v>
      </c>
      <c r="D1030" s="6">
        <v>22219.0</v>
      </c>
      <c r="E1030" s="6" t="s">
        <v>60</v>
      </c>
      <c r="F1030" s="6" t="s">
        <v>94</v>
      </c>
      <c r="G1030" s="6" t="s">
        <v>21</v>
      </c>
      <c r="H1030" s="7">
        <v>1974.0</v>
      </c>
      <c r="I1030" s="7">
        <v>4275.0</v>
      </c>
      <c r="J1030" s="6">
        <v>1988.0</v>
      </c>
      <c r="K1030" s="6">
        <v>64.0</v>
      </c>
      <c r="L1030" s="6" t="s">
        <v>22</v>
      </c>
      <c r="M1030" s="6" t="s">
        <v>4160</v>
      </c>
      <c r="N1030" s="6" t="s">
        <v>48</v>
      </c>
      <c r="O1030" s="6" t="s">
        <v>25</v>
      </c>
      <c r="P1030" s="6">
        <f>COUNTIF(Analysis!$M$1:$M$3001,Analysis!$M1030)</f>
        <v>1</v>
      </c>
      <c r="Q1030" s="6" t="str">
        <f>IF(COUNTIF(Analysis!$M$2:$M$3001,Analysis!$M1030)&gt;1,"Duplicate","OK")</f>
        <v>OK</v>
      </c>
      <c r="R1030" s="6" t="str">
        <f t="shared" si="1"/>
        <v>1600-2600</v>
      </c>
      <c r="S1030" s="6">
        <f t="shared" si="2"/>
        <v>38</v>
      </c>
      <c r="T1030" s="6" t="str">
        <f t="shared" si="3"/>
        <v>Old</v>
      </c>
    </row>
    <row r="1031" ht="14.25" customHeight="1">
      <c r="A1031" s="5">
        <v>607972.0</v>
      </c>
      <c r="B1031" s="6" t="s">
        <v>2356</v>
      </c>
      <c r="C1031" s="6" t="s">
        <v>29</v>
      </c>
      <c r="D1031" s="6">
        <v>96549.0</v>
      </c>
      <c r="E1031" s="6" t="s">
        <v>19</v>
      </c>
      <c r="F1031" s="6" t="s">
        <v>94</v>
      </c>
      <c r="G1031" s="6" t="s">
        <v>21</v>
      </c>
      <c r="H1031" s="7">
        <v>2109.0</v>
      </c>
      <c r="I1031" s="7">
        <v>4791.0</v>
      </c>
      <c r="J1031" s="6">
        <v>2017.0</v>
      </c>
      <c r="K1031" s="6">
        <v>31.0</v>
      </c>
      <c r="L1031" s="6" t="s">
        <v>62</v>
      </c>
      <c r="M1031" s="6" t="s">
        <v>2357</v>
      </c>
      <c r="N1031" s="6" t="s">
        <v>43</v>
      </c>
      <c r="O1031" s="6" t="s">
        <v>49</v>
      </c>
      <c r="P1031" s="6">
        <f>COUNTIF(Analysis!$M$1:$M$3001,Analysis!$M579)</f>
        <v>1</v>
      </c>
      <c r="Q1031" s="6" t="str">
        <f>IF(COUNTIF(Analysis!$M$2:$M$3001,Analysis!$M579)&gt;1,"Duplicate","OK")</f>
        <v>OK</v>
      </c>
      <c r="R1031" s="6" t="str">
        <f t="shared" si="1"/>
        <v>1600-2600</v>
      </c>
      <c r="S1031" s="6">
        <f t="shared" si="2"/>
        <v>9</v>
      </c>
      <c r="T1031" s="6" t="str">
        <f t="shared" si="3"/>
        <v>New</v>
      </c>
    </row>
    <row r="1032" ht="14.25" customHeight="1">
      <c r="A1032" s="5">
        <v>469414.0</v>
      </c>
      <c r="B1032" s="6" t="s">
        <v>4167</v>
      </c>
      <c r="C1032" s="6" t="s">
        <v>76</v>
      </c>
      <c r="D1032" s="6">
        <v>99931.0</v>
      </c>
      <c r="E1032" s="6" t="s">
        <v>60</v>
      </c>
      <c r="F1032" s="6" t="s">
        <v>20</v>
      </c>
      <c r="G1032" s="6" t="s">
        <v>31</v>
      </c>
      <c r="H1032" s="7">
        <v>3125.0</v>
      </c>
      <c r="I1032" s="7">
        <v>2061.0</v>
      </c>
      <c r="J1032" s="6">
        <v>1986.0</v>
      </c>
      <c r="K1032" s="6">
        <v>4.0</v>
      </c>
      <c r="L1032" s="6" t="s">
        <v>141</v>
      </c>
      <c r="M1032" s="6" t="s">
        <v>4168</v>
      </c>
      <c r="N1032" s="6" t="s">
        <v>34</v>
      </c>
      <c r="O1032" s="6" t="s">
        <v>35</v>
      </c>
      <c r="P1032" s="6">
        <f>COUNTIF(Analysis!$M$1:$M$3001,Analysis!$M1032)</f>
        <v>1</v>
      </c>
      <c r="Q1032" s="6" t="str">
        <f>IF(COUNTIF(Analysis!$M$2:$M$3001,Analysis!$M1032)&gt;1,"Duplicate","OK")</f>
        <v>OK</v>
      </c>
      <c r="R1032" s="6" t="str">
        <f t="shared" si="1"/>
        <v>2600-3600</v>
      </c>
      <c r="S1032" s="6">
        <f t="shared" si="2"/>
        <v>40</v>
      </c>
      <c r="T1032" s="6" t="str">
        <f t="shared" si="3"/>
        <v>Old</v>
      </c>
    </row>
    <row r="1033" ht="14.25" customHeight="1">
      <c r="A1033" s="5">
        <v>853353.0</v>
      </c>
      <c r="B1033" s="6" t="s">
        <v>4171</v>
      </c>
      <c r="C1033" s="6" t="s">
        <v>76</v>
      </c>
      <c r="D1033" s="6">
        <v>88211.0</v>
      </c>
      <c r="E1033" s="6" t="s">
        <v>40</v>
      </c>
      <c r="F1033" s="6" t="s">
        <v>20</v>
      </c>
      <c r="G1033" s="6" t="s">
        <v>55</v>
      </c>
      <c r="H1033" s="7">
        <v>3752.0</v>
      </c>
      <c r="I1033" s="7">
        <v>8566.0</v>
      </c>
      <c r="J1033" s="6">
        <v>1973.0</v>
      </c>
      <c r="K1033" s="6">
        <v>77.0</v>
      </c>
      <c r="L1033" s="6" t="s">
        <v>62</v>
      </c>
      <c r="M1033" s="6" t="s">
        <v>4172</v>
      </c>
      <c r="N1033" s="6" t="s">
        <v>24</v>
      </c>
      <c r="O1033" s="6" t="s">
        <v>49</v>
      </c>
      <c r="P1033" s="6">
        <f>COUNTIF(Analysis!$M$1:$M$3001,Analysis!$M1033)</f>
        <v>1</v>
      </c>
      <c r="Q1033" s="6" t="str">
        <f>IF(COUNTIF(Analysis!$M$2:$M$3001,Analysis!$M1033)&gt;1,"Duplicate","OK")</f>
        <v>OK</v>
      </c>
      <c r="R1033" s="6" t="str">
        <f t="shared" si="1"/>
        <v>3600+</v>
      </c>
      <c r="S1033" s="6">
        <f t="shared" si="2"/>
        <v>53</v>
      </c>
      <c r="T1033" s="6" t="str">
        <f t="shared" si="3"/>
        <v>Old</v>
      </c>
    </row>
    <row r="1034" ht="14.25" customHeight="1">
      <c r="A1034" s="5">
        <v>1276290.0</v>
      </c>
      <c r="B1034" s="6" t="s">
        <v>4175</v>
      </c>
      <c r="C1034" s="6" t="s">
        <v>53</v>
      </c>
      <c r="D1034" s="6">
        <v>70285.0</v>
      </c>
      <c r="E1034" s="6" t="s">
        <v>77</v>
      </c>
      <c r="F1034" s="6" t="s">
        <v>20</v>
      </c>
      <c r="G1034" s="6" t="s">
        <v>55</v>
      </c>
      <c r="H1034" s="7">
        <v>1382.0</v>
      </c>
      <c r="I1034" s="7">
        <v>2112.0</v>
      </c>
      <c r="J1034" s="6">
        <v>1981.0</v>
      </c>
      <c r="K1034" s="6">
        <v>42.0</v>
      </c>
      <c r="L1034" s="6" t="s">
        <v>62</v>
      </c>
      <c r="M1034" s="6" t="s">
        <v>4176</v>
      </c>
      <c r="N1034" s="6" t="s">
        <v>24</v>
      </c>
      <c r="O1034" s="6" t="s">
        <v>49</v>
      </c>
      <c r="P1034" s="6">
        <f>COUNTIF(Analysis!$M$1:$M$3001,Analysis!$M1034)</f>
        <v>1</v>
      </c>
      <c r="Q1034" s="6" t="str">
        <f>IF(COUNTIF(Analysis!$M$2:$M$3001,Analysis!$M1034)&gt;1,"Duplicate","OK")</f>
        <v>OK</v>
      </c>
      <c r="R1034" s="6" t="str">
        <f t="shared" si="1"/>
        <v>600-1600</v>
      </c>
      <c r="S1034" s="6">
        <f t="shared" si="2"/>
        <v>45</v>
      </c>
      <c r="T1034" s="6" t="str">
        <f t="shared" si="3"/>
        <v>Old</v>
      </c>
    </row>
    <row r="1035" ht="14.25" customHeight="1">
      <c r="A1035" s="5">
        <v>395657.0</v>
      </c>
      <c r="B1035" s="6" t="s">
        <v>4179</v>
      </c>
      <c r="C1035" s="6" t="s">
        <v>39</v>
      </c>
      <c r="D1035" s="6">
        <v>49161.0</v>
      </c>
      <c r="E1035" s="6" t="s">
        <v>19</v>
      </c>
      <c r="F1035" s="6" t="s">
        <v>20</v>
      </c>
      <c r="G1035" s="6" t="s">
        <v>31</v>
      </c>
      <c r="H1035" s="7">
        <v>2322.0</v>
      </c>
      <c r="I1035" s="7">
        <v>7592.0</v>
      </c>
      <c r="J1035" s="6">
        <v>2011.0</v>
      </c>
      <c r="K1035" s="6">
        <v>104.0</v>
      </c>
      <c r="L1035" s="6" t="s">
        <v>95</v>
      </c>
      <c r="M1035" s="6" t="s">
        <v>4180</v>
      </c>
      <c r="N1035" s="6" t="s">
        <v>48</v>
      </c>
      <c r="O1035" s="6" t="s">
        <v>35</v>
      </c>
      <c r="P1035" s="6">
        <f>COUNTIF(Analysis!$M$1:$M$3001,Analysis!$M1035)</f>
        <v>1</v>
      </c>
      <c r="Q1035" s="6" t="str">
        <f>IF(COUNTIF(Analysis!$M$2:$M$3001,Analysis!$M1035)&gt;1,"Duplicate","OK")</f>
        <v>OK</v>
      </c>
      <c r="R1035" s="6" t="str">
        <f t="shared" si="1"/>
        <v>1600-2600</v>
      </c>
      <c r="S1035" s="6">
        <f t="shared" si="2"/>
        <v>15</v>
      </c>
      <c r="T1035" s="6" t="str">
        <f t="shared" si="3"/>
        <v>Mid</v>
      </c>
    </row>
    <row r="1036" ht="14.25" customHeight="1">
      <c r="A1036" s="5">
        <v>610670.0</v>
      </c>
      <c r="B1036" s="6" t="s">
        <v>5778</v>
      </c>
      <c r="C1036" s="6" t="s">
        <v>29</v>
      </c>
      <c r="D1036" s="6">
        <v>46716.0</v>
      </c>
      <c r="E1036" s="6" t="s">
        <v>77</v>
      </c>
      <c r="F1036" s="6" t="s">
        <v>61</v>
      </c>
      <c r="G1036" s="6" t="s">
        <v>21</v>
      </c>
      <c r="H1036" s="7">
        <v>2221.0</v>
      </c>
      <c r="I1036" s="7">
        <v>8274.0</v>
      </c>
      <c r="J1036" s="6">
        <v>1971.0</v>
      </c>
      <c r="K1036" s="6">
        <v>96.0</v>
      </c>
      <c r="L1036" s="6" t="s">
        <v>141</v>
      </c>
      <c r="M1036" s="6" t="s">
        <v>5779</v>
      </c>
      <c r="N1036" s="6" t="s">
        <v>34</v>
      </c>
      <c r="O1036" s="6" t="s">
        <v>35</v>
      </c>
      <c r="P1036" s="6">
        <f>COUNTIF(Analysis!$M$1:$M$3001,Analysis!$M1435)</f>
        <v>1</v>
      </c>
      <c r="Q1036" s="6" t="str">
        <f>IF(COUNTIF(Analysis!$M$2:$M$3001,Analysis!$M1435)&gt;1,"Duplicate","OK")</f>
        <v>OK</v>
      </c>
      <c r="R1036" s="6" t="str">
        <f t="shared" si="1"/>
        <v>1600-2600</v>
      </c>
      <c r="S1036" s="6">
        <f t="shared" si="2"/>
        <v>55</v>
      </c>
      <c r="T1036" s="6" t="str">
        <f t="shared" si="3"/>
        <v>Old</v>
      </c>
    </row>
    <row r="1037" ht="14.25" customHeight="1">
      <c r="A1037" s="5">
        <v>1312306.0</v>
      </c>
      <c r="B1037" s="6" t="s">
        <v>4187</v>
      </c>
      <c r="C1037" s="6" t="s">
        <v>18</v>
      </c>
      <c r="D1037" s="6">
        <v>17110.0</v>
      </c>
      <c r="E1037" s="6" t="s">
        <v>77</v>
      </c>
      <c r="F1037" s="6" t="s">
        <v>54</v>
      </c>
      <c r="G1037" s="6" t="s">
        <v>31</v>
      </c>
      <c r="H1037" s="7">
        <v>2584.0</v>
      </c>
      <c r="I1037" s="7">
        <v>5196.0</v>
      </c>
      <c r="J1037" s="6">
        <v>1952.0</v>
      </c>
      <c r="K1037" s="6">
        <v>30.0</v>
      </c>
      <c r="L1037" s="6" t="s">
        <v>32</v>
      </c>
      <c r="M1037" s="6" t="s">
        <v>4188</v>
      </c>
      <c r="N1037" s="6" t="s">
        <v>64</v>
      </c>
      <c r="O1037" s="6" t="s">
        <v>25</v>
      </c>
      <c r="P1037" s="6">
        <f>COUNTIF(Analysis!$M$1:$M$3001,Analysis!$M1037)</f>
        <v>1</v>
      </c>
      <c r="Q1037" s="6" t="str">
        <f>IF(COUNTIF(Analysis!$M$2:$M$3001,Analysis!$M1037)&gt;1,"Duplicate","OK")</f>
        <v>OK</v>
      </c>
      <c r="R1037" s="6" t="str">
        <f t="shared" si="1"/>
        <v>1600-2600</v>
      </c>
      <c r="S1037" s="6">
        <f t="shared" si="2"/>
        <v>74</v>
      </c>
      <c r="T1037" s="6" t="str">
        <f t="shared" si="3"/>
        <v>Very Old</v>
      </c>
    </row>
    <row r="1038" ht="14.25" customHeight="1">
      <c r="A1038" s="5">
        <v>772408.0</v>
      </c>
      <c r="B1038" s="6" t="s">
        <v>4191</v>
      </c>
      <c r="C1038" s="6" t="s">
        <v>53</v>
      </c>
      <c r="D1038" s="6">
        <v>52450.0</v>
      </c>
      <c r="E1038" s="6" t="s">
        <v>60</v>
      </c>
      <c r="F1038" s="6" t="s">
        <v>41</v>
      </c>
      <c r="G1038" s="6" t="s">
        <v>55</v>
      </c>
      <c r="H1038" s="7">
        <v>1030.0</v>
      </c>
      <c r="I1038" s="7">
        <v>2017.0</v>
      </c>
      <c r="J1038" s="6">
        <v>2008.0</v>
      </c>
      <c r="K1038" s="6">
        <v>87.0</v>
      </c>
      <c r="L1038" s="6" t="s">
        <v>62</v>
      </c>
      <c r="M1038" s="6" t="s">
        <v>4192</v>
      </c>
      <c r="N1038" s="6" t="s">
        <v>34</v>
      </c>
      <c r="O1038" s="6" t="s">
        <v>25</v>
      </c>
      <c r="P1038" s="6">
        <f>COUNTIF(Analysis!$M$1:$M$3001,Analysis!$M1038)</f>
        <v>1</v>
      </c>
      <c r="Q1038" s="6" t="str">
        <f>IF(COUNTIF(Analysis!$M$2:$M$3001,Analysis!$M1038)&gt;1,"Duplicate","OK")</f>
        <v>OK</v>
      </c>
      <c r="R1038" s="6" t="str">
        <f t="shared" si="1"/>
        <v>600-1600</v>
      </c>
      <c r="S1038" s="6">
        <f t="shared" si="2"/>
        <v>18</v>
      </c>
      <c r="T1038" s="6" t="str">
        <f t="shared" si="3"/>
        <v>Mid</v>
      </c>
    </row>
    <row r="1039" ht="14.25" customHeight="1">
      <c r="A1039" s="5">
        <v>221390.0</v>
      </c>
      <c r="B1039" s="6" t="s">
        <v>4195</v>
      </c>
      <c r="C1039" s="6" t="s">
        <v>39</v>
      </c>
      <c r="D1039" s="6">
        <v>90015.0</v>
      </c>
      <c r="E1039" s="6" t="s">
        <v>60</v>
      </c>
      <c r="F1039" s="6" t="s">
        <v>41</v>
      </c>
      <c r="G1039" s="6" t="s">
        <v>21</v>
      </c>
      <c r="H1039" s="7">
        <v>2266.0</v>
      </c>
      <c r="I1039" s="7">
        <v>4448.0</v>
      </c>
      <c r="J1039" s="6">
        <v>1963.0</v>
      </c>
      <c r="K1039" s="6">
        <v>106.0</v>
      </c>
      <c r="L1039" s="6" t="s">
        <v>95</v>
      </c>
      <c r="M1039" s="6" t="s">
        <v>4196</v>
      </c>
      <c r="N1039" s="6" t="s">
        <v>64</v>
      </c>
      <c r="O1039" s="6" t="s">
        <v>49</v>
      </c>
      <c r="P1039" s="6">
        <f>COUNTIF(Analysis!$M$1:$M$3001,Analysis!$M1039)</f>
        <v>1</v>
      </c>
      <c r="Q1039" s="6" t="str">
        <f>IF(COUNTIF(Analysis!$M$2:$M$3001,Analysis!$M1039)&gt;1,"Duplicate","OK")</f>
        <v>OK</v>
      </c>
      <c r="R1039" s="6" t="str">
        <f t="shared" si="1"/>
        <v>1600-2600</v>
      </c>
      <c r="S1039" s="6">
        <f t="shared" si="2"/>
        <v>63</v>
      </c>
      <c r="T1039" s="6" t="str">
        <f t="shared" si="3"/>
        <v>Very Old</v>
      </c>
    </row>
    <row r="1040" ht="14.25" customHeight="1">
      <c r="A1040" s="5">
        <v>380336.0</v>
      </c>
      <c r="B1040" s="6" t="s">
        <v>4199</v>
      </c>
      <c r="C1040" s="6" t="s">
        <v>53</v>
      </c>
      <c r="D1040" s="6">
        <v>77649.0</v>
      </c>
      <c r="E1040" s="6" t="s">
        <v>77</v>
      </c>
      <c r="F1040" s="6" t="s">
        <v>41</v>
      </c>
      <c r="G1040" s="6" t="s">
        <v>31</v>
      </c>
      <c r="H1040" s="7">
        <v>947.0</v>
      </c>
      <c r="I1040" s="7">
        <v>4928.0</v>
      </c>
      <c r="J1040" s="6">
        <v>1989.0</v>
      </c>
      <c r="K1040" s="6">
        <v>56.0</v>
      </c>
      <c r="L1040" s="6" t="s">
        <v>62</v>
      </c>
      <c r="M1040" s="6" t="s">
        <v>4200</v>
      </c>
      <c r="N1040" s="6" t="s">
        <v>64</v>
      </c>
      <c r="O1040" s="6" t="s">
        <v>25</v>
      </c>
      <c r="P1040" s="6">
        <f>COUNTIF(Analysis!$M$1:$M$3001,Analysis!$M1040)</f>
        <v>1</v>
      </c>
      <c r="Q1040" s="6" t="str">
        <f>IF(COUNTIF(Analysis!$M$2:$M$3001,Analysis!$M1040)&gt;1,"Duplicate","OK")</f>
        <v>OK</v>
      </c>
      <c r="R1040" s="6" t="str">
        <f t="shared" si="1"/>
        <v>600-1600</v>
      </c>
      <c r="S1040" s="6">
        <f t="shared" si="2"/>
        <v>37</v>
      </c>
      <c r="T1040" s="6" t="str">
        <f t="shared" si="3"/>
        <v>Old</v>
      </c>
    </row>
    <row r="1041" ht="14.25" customHeight="1">
      <c r="A1041" s="5">
        <v>686236.0</v>
      </c>
      <c r="B1041" s="6" t="s">
        <v>4203</v>
      </c>
      <c r="C1041" s="6" t="s">
        <v>18</v>
      </c>
      <c r="D1041" s="6">
        <v>47469.0</v>
      </c>
      <c r="E1041" s="6" t="s">
        <v>60</v>
      </c>
      <c r="F1041" s="6" t="s">
        <v>54</v>
      </c>
      <c r="G1041" s="6" t="s">
        <v>31</v>
      </c>
      <c r="H1041" s="7">
        <v>3054.0</v>
      </c>
      <c r="I1041" s="7">
        <v>6628.0</v>
      </c>
      <c r="J1041" s="6">
        <v>1956.0</v>
      </c>
      <c r="K1041" s="6">
        <v>58.0</v>
      </c>
      <c r="L1041" s="6" t="s">
        <v>22</v>
      </c>
      <c r="M1041" s="6" t="s">
        <v>4204</v>
      </c>
      <c r="N1041" s="6" t="s">
        <v>43</v>
      </c>
      <c r="O1041" s="6" t="s">
        <v>25</v>
      </c>
      <c r="P1041" s="6">
        <f>COUNTIF(Analysis!$M$1:$M$3001,Analysis!$M1041)</f>
        <v>1</v>
      </c>
      <c r="Q1041" s="6" t="str">
        <f>IF(COUNTIF(Analysis!$M$2:$M$3001,Analysis!$M1041)&gt;1,"Duplicate","OK")</f>
        <v>OK</v>
      </c>
      <c r="R1041" s="6" t="str">
        <f t="shared" si="1"/>
        <v>2600-3600</v>
      </c>
      <c r="S1041" s="6">
        <f t="shared" si="2"/>
        <v>70</v>
      </c>
      <c r="T1041" s="6" t="str">
        <f t="shared" si="3"/>
        <v>Very Old</v>
      </c>
    </row>
    <row r="1042" ht="14.25" customHeight="1">
      <c r="A1042" s="5">
        <v>842483.0</v>
      </c>
      <c r="B1042" s="6" t="s">
        <v>4207</v>
      </c>
      <c r="C1042" s="6" t="s">
        <v>76</v>
      </c>
      <c r="D1042" s="6">
        <v>38263.0</v>
      </c>
      <c r="E1042" s="6" t="s">
        <v>30</v>
      </c>
      <c r="F1042" s="6" t="s">
        <v>54</v>
      </c>
      <c r="G1042" s="6" t="s">
        <v>31</v>
      </c>
      <c r="H1042" s="7">
        <v>2213.0</v>
      </c>
      <c r="I1042" s="7">
        <v>6162.0</v>
      </c>
      <c r="J1042" s="6">
        <v>1980.0</v>
      </c>
      <c r="K1042" s="6">
        <v>58.0</v>
      </c>
      <c r="L1042" s="6" t="s">
        <v>141</v>
      </c>
      <c r="M1042" s="6" t="s">
        <v>4208</v>
      </c>
      <c r="N1042" s="6" t="s">
        <v>24</v>
      </c>
      <c r="O1042" s="6" t="s">
        <v>25</v>
      </c>
      <c r="P1042" s="6">
        <f>COUNTIF(Analysis!$M$1:$M$3001,Analysis!$M1042)</f>
        <v>1</v>
      </c>
      <c r="Q1042" s="6" t="str">
        <f>IF(COUNTIF(Analysis!$M$2:$M$3001,Analysis!$M1042)&gt;1,"Duplicate","OK")</f>
        <v>OK</v>
      </c>
      <c r="R1042" s="6" t="str">
        <f t="shared" si="1"/>
        <v>1600-2600</v>
      </c>
      <c r="S1042" s="6">
        <f t="shared" si="2"/>
        <v>46</v>
      </c>
      <c r="T1042" s="6" t="str">
        <f t="shared" si="3"/>
        <v>Old</v>
      </c>
    </row>
    <row r="1043" ht="14.25" customHeight="1">
      <c r="A1043" s="5">
        <v>176130.0</v>
      </c>
      <c r="B1043" s="6" t="s">
        <v>4211</v>
      </c>
      <c r="C1043" s="6" t="s">
        <v>76</v>
      </c>
      <c r="D1043" s="6">
        <v>99845.0</v>
      </c>
      <c r="E1043" s="6" t="s">
        <v>40</v>
      </c>
      <c r="F1043" s="6" t="s">
        <v>46</v>
      </c>
      <c r="G1043" s="6" t="s">
        <v>100</v>
      </c>
      <c r="H1043" s="7">
        <v>810.0</v>
      </c>
      <c r="I1043" s="7">
        <v>3859.0</v>
      </c>
      <c r="J1043" s="6">
        <v>1985.0</v>
      </c>
      <c r="K1043" s="6">
        <v>59.0</v>
      </c>
      <c r="L1043" s="6" t="s">
        <v>141</v>
      </c>
      <c r="M1043" s="6" t="s">
        <v>4212</v>
      </c>
      <c r="N1043" s="6" t="s">
        <v>43</v>
      </c>
      <c r="O1043" s="6" t="s">
        <v>49</v>
      </c>
      <c r="P1043" s="6">
        <f>COUNTIF(Analysis!$M$1:$M$3001,Analysis!$M1043)</f>
        <v>1</v>
      </c>
      <c r="Q1043" s="6" t="str">
        <f>IF(COUNTIF(Analysis!$M$2:$M$3001,Analysis!$M1043)&gt;1,"Duplicate","OK")</f>
        <v>OK</v>
      </c>
      <c r="R1043" s="6" t="str">
        <f t="shared" si="1"/>
        <v>600-1600</v>
      </c>
      <c r="S1043" s="6">
        <f t="shared" si="2"/>
        <v>41</v>
      </c>
      <c r="T1043" s="6" t="str">
        <f t="shared" si="3"/>
        <v>Old</v>
      </c>
    </row>
    <row r="1044" ht="14.25" customHeight="1">
      <c r="A1044" s="5">
        <v>1001401.0</v>
      </c>
      <c r="B1044" s="6" t="s">
        <v>4215</v>
      </c>
      <c r="C1044" s="6" t="s">
        <v>76</v>
      </c>
      <c r="D1044" s="6">
        <v>42599.0</v>
      </c>
      <c r="E1044" s="6" t="s">
        <v>40</v>
      </c>
      <c r="F1044" s="6" t="s">
        <v>46</v>
      </c>
      <c r="G1044" s="6" t="s">
        <v>31</v>
      </c>
      <c r="H1044" s="7">
        <v>3810.0</v>
      </c>
      <c r="I1044" s="7">
        <v>9866.0</v>
      </c>
      <c r="J1044" s="6">
        <v>1967.0</v>
      </c>
      <c r="K1044" s="6">
        <v>29.0</v>
      </c>
      <c r="L1044" s="6" t="s">
        <v>62</v>
      </c>
      <c r="M1044" s="6" t="s">
        <v>4216</v>
      </c>
      <c r="N1044" s="6" t="s">
        <v>64</v>
      </c>
      <c r="O1044" s="6" t="s">
        <v>25</v>
      </c>
      <c r="P1044" s="6">
        <f>COUNTIF(Analysis!$M$1:$M$3001,Analysis!$M1044)</f>
        <v>1</v>
      </c>
      <c r="Q1044" s="6" t="str">
        <f>IF(COUNTIF(Analysis!$M$2:$M$3001,Analysis!$M1044)&gt;1,"Duplicate","OK")</f>
        <v>OK</v>
      </c>
      <c r="R1044" s="6" t="str">
        <f t="shared" si="1"/>
        <v>3600+</v>
      </c>
      <c r="S1044" s="6">
        <f t="shared" si="2"/>
        <v>59</v>
      </c>
      <c r="T1044" s="6" t="str">
        <f t="shared" si="3"/>
        <v>Old</v>
      </c>
    </row>
    <row r="1045" ht="14.25" customHeight="1">
      <c r="A1045" s="5">
        <v>765739.0</v>
      </c>
      <c r="B1045" s="6" t="s">
        <v>4219</v>
      </c>
      <c r="C1045" s="6" t="s">
        <v>39</v>
      </c>
      <c r="D1045" s="6">
        <v>90056.0</v>
      </c>
      <c r="E1045" s="6" t="s">
        <v>19</v>
      </c>
      <c r="F1045" s="6" t="s">
        <v>41</v>
      </c>
      <c r="G1045" s="6" t="s">
        <v>31</v>
      </c>
      <c r="H1045" s="7">
        <v>3818.0</v>
      </c>
      <c r="I1045" s="7">
        <v>6476.0</v>
      </c>
      <c r="J1045" s="6">
        <v>2001.0</v>
      </c>
      <c r="K1045" s="6">
        <v>14.0</v>
      </c>
      <c r="L1045" s="6" t="s">
        <v>95</v>
      </c>
      <c r="M1045" s="6" t="s">
        <v>4220</v>
      </c>
      <c r="N1045" s="6" t="s">
        <v>34</v>
      </c>
      <c r="O1045" s="6" t="s">
        <v>35</v>
      </c>
      <c r="P1045" s="6">
        <f>COUNTIF(Analysis!$M$1:$M$3001,Analysis!$M1045)</f>
        <v>1</v>
      </c>
      <c r="Q1045" s="6" t="str">
        <f>IF(COUNTIF(Analysis!$M$2:$M$3001,Analysis!$M1045)&gt;1,"Duplicate","OK")</f>
        <v>OK</v>
      </c>
      <c r="R1045" s="6" t="str">
        <f t="shared" si="1"/>
        <v>3600+</v>
      </c>
      <c r="S1045" s="6">
        <f t="shared" si="2"/>
        <v>25</v>
      </c>
      <c r="T1045" s="6" t="str">
        <f t="shared" si="3"/>
        <v>Mid</v>
      </c>
    </row>
    <row r="1046" ht="14.25" customHeight="1">
      <c r="A1046" s="5">
        <v>611694.0</v>
      </c>
      <c r="B1046" s="6" t="s">
        <v>9339</v>
      </c>
      <c r="C1046" s="6" t="s">
        <v>29</v>
      </c>
      <c r="D1046" s="6">
        <v>81534.0</v>
      </c>
      <c r="E1046" s="6" t="s">
        <v>40</v>
      </c>
      <c r="F1046" s="6" t="s">
        <v>94</v>
      </c>
      <c r="G1046" s="6" t="s">
        <v>31</v>
      </c>
      <c r="H1046" s="7">
        <v>3813.0</v>
      </c>
      <c r="I1046" s="7">
        <v>1470.0</v>
      </c>
      <c r="J1046" s="6">
        <v>1999.0</v>
      </c>
      <c r="K1046" s="6">
        <v>27.0</v>
      </c>
      <c r="L1046" s="6" t="s">
        <v>62</v>
      </c>
      <c r="M1046" s="6" t="s">
        <v>9340</v>
      </c>
      <c r="N1046" s="6" t="s">
        <v>24</v>
      </c>
      <c r="O1046" s="6" t="s">
        <v>35</v>
      </c>
      <c r="P1046" s="6">
        <f>COUNTIF(Analysis!$M$1:$M$3001,Analysis!$M2326)</f>
        <v>1</v>
      </c>
      <c r="Q1046" s="6" t="str">
        <f>IF(COUNTIF(Analysis!$M$2:$M$3001,Analysis!$M2326)&gt;1,"Duplicate","OK")</f>
        <v>OK</v>
      </c>
      <c r="R1046" s="6" t="str">
        <f t="shared" si="1"/>
        <v>3600+</v>
      </c>
      <c r="S1046" s="6">
        <f t="shared" si="2"/>
        <v>27</v>
      </c>
      <c r="T1046" s="6" t="str">
        <f t="shared" si="3"/>
        <v>Mid</v>
      </c>
    </row>
    <row r="1047" ht="14.25" customHeight="1">
      <c r="A1047" s="5">
        <v>173054.0</v>
      </c>
      <c r="B1047" s="6" t="s">
        <v>4227</v>
      </c>
      <c r="C1047" s="6" t="s">
        <v>18</v>
      </c>
      <c r="D1047" s="6">
        <v>21488.0</v>
      </c>
      <c r="E1047" s="6" t="s">
        <v>77</v>
      </c>
      <c r="F1047" s="6" t="s">
        <v>20</v>
      </c>
      <c r="G1047" s="6" t="s">
        <v>21</v>
      </c>
      <c r="H1047" s="7">
        <v>3340.0</v>
      </c>
      <c r="I1047" s="7">
        <v>9797.0</v>
      </c>
      <c r="J1047" s="6">
        <v>1986.0</v>
      </c>
      <c r="K1047" s="6">
        <v>68.0</v>
      </c>
      <c r="L1047" s="6" t="s">
        <v>32</v>
      </c>
      <c r="M1047" s="6" t="s">
        <v>4228</v>
      </c>
      <c r="N1047" s="6" t="s">
        <v>43</v>
      </c>
      <c r="O1047" s="6" t="s">
        <v>49</v>
      </c>
      <c r="P1047" s="6">
        <f>COUNTIF(Analysis!$M$1:$M$3001,Analysis!$M1047)</f>
        <v>1</v>
      </c>
      <c r="Q1047" s="6" t="str">
        <f>IF(COUNTIF(Analysis!$M$2:$M$3001,Analysis!$M1047)&gt;1,"Duplicate","OK")</f>
        <v>OK</v>
      </c>
      <c r="R1047" s="6" t="str">
        <f t="shared" si="1"/>
        <v>2600-3600</v>
      </c>
      <c r="S1047" s="6">
        <f t="shared" si="2"/>
        <v>40</v>
      </c>
      <c r="T1047" s="6" t="str">
        <f t="shared" si="3"/>
        <v>Old</v>
      </c>
    </row>
    <row r="1048" ht="14.25" customHeight="1">
      <c r="A1048" s="5">
        <v>836369.0</v>
      </c>
      <c r="B1048" s="6" t="s">
        <v>4231</v>
      </c>
      <c r="C1048" s="6" t="s">
        <v>76</v>
      </c>
      <c r="D1048" s="6">
        <v>47349.0</v>
      </c>
      <c r="E1048" s="6" t="s">
        <v>77</v>
      </c>
      <c r="F1048" s="6" t="s">
        <v>54</v>
      </c>
      <c r="G1048" s="6" t="s">
        <v>55</v>
      </c>
      <c r="H1048" s="7">
        <v>2137.0</v>
      </c>
      <c r="I1048" s="7">
        <v>5945.0</v>
      </c>
      <c r="J1048" s="6">
        <v>1967.0</v>
      </c>
      <c r="K1048" s="6">
        <v>91.0</v>
      </c>
      <c r="L1048" s="6" t="s">
        <v>95</v>
      </c>
      <c r="M1048" s="6" t="s">
        <v>4232</v>
      </c>
      <c r="N1048" s="6" t="s">
        <v>48</v>
      </c>
      <c r="O1048" s="6" t="s">
        <v>35</v>
      </c>
      <c r="P1048" s="6">
        <f>COUNTIF(Analysis!$M$1:$M$3001,Analysis!$M1048)</f>
        <v>1</v>
      </c>
      <c r="Q1048" s="6" t="str">
        <f>IF(COUNTIF(Analysis!$M$2:$M$3001,Analysis!$M1048)&gt;1,"Duplicate","OK")</f>
        <v>OK</v>
      </c>
      <c r="R1048" s="6" t="str">
        <f t="shared" si="1"/>
        <v>1600-2600</v>
      </c>
      <c r="S1048" s="6">
        <f t="shared" si="2"/>
        <v>59</v>
      </c>
      <c r="T1048" s="6" t="str">
        <f t="shared" si="3"/>
        <v>Old</v>
      </c>
    </row>
    <row r="1049" ht="14.25" customHeight="1">
      <c r="A1049" s="5">
        <v>1214653.0</v>
      </c>
      <c r="B1049" s="6" t="s">
        <v>4235</v>
      </c>
      <c r="C1049" s="6" t="s">
        <v>53</v>
      </c>
      <c r="D1049" s="6">
        <v>73115.0</v>
      </c>
      <c r="E1049" s="6" t="s">
        <v>30</v>
      </c>
      <c r="F1049" s="6" t="s">
        <v>46</v>
      </c>
      <c r="G1049" s="6" t="s">
        <v>55</v>
      </c>
      <c r="H1049" s="7">
        <v>609.0</v>
      </c>
      <c r="I1049" s="7">
        <v>9127.0</v>
      </c>
      <c r="J1049" s="6">
        <v>1973.0</v>
      </c>
      <c r="K1049" s="6">
        <v>25.0</v>
      </c>
      <c r="L1049" s="6" t="s">
        <v>62</v>
      </c>
      <c r="M1049" s="6" t="s">
        <v>4236</v>
      </c>
      <c r="N1049" s="6" t="s">
        <v>24</v>
      </c>
      <c r="O1049" s="6" t="s">
        <v>49</v>
      </c>
      <c r="P1049" s="6">
        <f>COUNTIF(Analysis!$M$1:$M$3001,Analysis!$M1049)</f>
        <v>1</v>
      </c>
      <c r="Q1049" s="6" t="str">
        <f>IF(COUNTIF(Analysis!$M$2:$M$3001,Analysis!$M1049)&gt;1,"Duplicate","OK")</f>
        <v>OK</v>
      </c>
      <c r="R1049" s="6" t="str">
        <f t="shared" si="1"/>
        <v>600-1600</v>
      </c>
      <c r="S1049" s="6">
        <f t="shared" si="2"/>
        <v>53</v>
      </c>
      <c r="T1049" s="6" t="str">
        <f t="shared" si="3"/>
        <v>Old</v>
      </c>
    </row>
    <row r="1050" ht="14.25" customHeight="1">
      <c r="A1050" s="5">
        <v>613429.0</v>
      </c>
      <c r="B1050" s="6" t="s">
        <v>6225</v>
      </c>
      <c r="C1050" s="6" t="s">
        <v>29</v>
      </c>
      <c r="D1050" s="6">
        <v>72546.0</v>
      </c>
      <c r="E1050" s="6" t="s">
        <v>19</v>
      </c>
      <c r="F1050" s="6" t="s">
        <v>20</v>
      </c>
      <c r="G1050" s="6" t="s">
        <v>31</v>
      </c>
      <c r="H1050" s="7">
        <v>3420.0</v>
      </c>
      <c r="I1050" s="7">
        <v>2949.0</v>
      </c>
      <c r="J1050" s="6">
        <v>1992.0</v>
      </c>
      <c r="K1050" s="6">
        <v>22.0</v>
      </c>
      <c r="L1050" s="6" t="s">
        <v>95</v>
      </c>
      <c r="M1050" s="6" t="s">
        <v>6226</v>
      </c>
      <c r="N1050" s="6" t="s">
        <v>34</v>
      </c>
      <c r="O1050" s="6" t="s">
        <v>49</v>
      </c>
      <c r="P1050" s="6">
        <f>COUNTIF(Analysis!$M$1:$M$3001,Analysis!$M1547)</f>
        <v>1</v>
      </c>
      <c r="Q1050" s="6" t="str">
        <f>IF(COUNTIF(Analysis!$M$2:$M$3001,Analysis!$M1547)&gt;1,"Duplicate","OK")</f>
        <v>OK</v>
      </c>
      <c r="R1050" s="6" t="str">
        <f t="shared" si="1"/>
        <v>2600-3600</v>
      </c>
      <c r="S1050" s="6">
        <f t="shared" si="2"/>
        <v>34</v>
      </c>
      <c r="T1050" s="6" t="str">
        <f t="shared" si="3"/>
        <v>Old</v>
      </c>
    </row>
    <row r="1051" ht="14.25" customHeight="1">
      <c r="A1051" s="5">
        <v>1287048.0</v>
      </c>
      <c r="B1051" s="6" t="s">
        <v>4243</v>
      </c>
      <c r="C1051" s="6" t="s">
        <v>18</v>
      </c>
      <c r="D1051" s="6">
        <v>62025.0</v>
      </c>
      <c r="E1051" s="6" t="s">
        <v>77</v>
      </c>
      <c r="F1051" s="6" t="s">
        <v>61</v>
      </c>
      <c r="G1051" s="6" t="s">
        <v>55</v>
      </c>
      <c r="H1051" s="7">
        <v>2474.0</v>
      </c>
      <c r="I1051" s="7">
        <v>3110.0</v>
      </c>
      <c r="J1051" s="6">
        <v>1989.0</v>
      </c>
      <c r="K1051" s="6">
        <v>57.0</v>
      </c>
      <c r="L1051" s="6" t="s">
        <v>141</v>
      </c>
      <c r="M1051" s="6" t="s">
        <v>4244</v>
      </c>
      <c r="N1051" s="6" t="s">
        <v>64</v>
      </c>
      <c r="O1051" s="6" t="s">
        <v>35</v>
      </c>
      <c r="P1051" s="6">
        <f>COUNTIF(Analysis!$M$1:$M$3001,Analysis!$M1051)</f>
        <v>1</v>
      </c>
      <c r="Q1051" s="6" t="str">
        <f>IF(COUNTIF(Analysis!$M$2:$M$3001,Analysis!$M1051)&gt;1,"Duplicate","OK")</f>
        <v>OK</v>
      </c>
      <c r="R1051" s="6" t="str">
        <f t="shared" si="1"/>
        <v>1600-2600</v>
      </c>
      <c r="S1051" s="6">
        <f t="shared" si="2"/>
        <v>37</v>
      </c>
      <c r="T1051" s="6" t="str">
        <f t="shared" si="3"/>
        <v>Old</v>
      </c>
    </row>
    <row r="1052" ht="14.25" customHeight="1">
      <c r="A1052" s="5">
        <v>1140261.0</v>
      </c>
      <c r="B1052" s="6" t="s">
        <v>4247</v>
      </c>
      <c r="C1052" s="6" t="s">
        <v>18</v>
      </c>
      <c r="D1052" s="6">
        <v>25704.0</v>
      </c>
      <c r="E1052" s="6" t="s">
        <v>30</v>
      </c>
      <c r="F1052" s="6" t="s">
        <v>46</v>
      </c>
      <c r="G1052" s="6" t="s">
        <v>21</v>
      </c>
      <c r="H1052" s="7">
        <v>3140.0</v>
      </c>
      <c r="I1052" s="7">
        <v>4951.0</v>
      </c>
      <c r="J1052" s="6">
        <v>1961.0</v>
      </c>
      <c r="K1052" s="6">
        <v>46.0</v>
      </c>
      <c r="L1052" s="6" t="s">
        <v>141</v>
      </c>
      <c r="M1052" s="6" t="s">
        <v>4248</v>
      </c>
      <c r="N1052" s="6" t="s">
        <v>24</v>
      </c>
      <c r="O1052" s="6" t="s">
        <v>49</v>
      </c>
      <c r="P1052" s="6">
        <f>COUNTIF(Analysis!$M$1:$M$3001,Analysis!$M1052)</f>
        <v>1</v>
      </c>
      <c r="Q1052" s="6" t="str">
        <f>IF(COUNTIF(Analysis!$M$2:$M$3001,Analysis!$M1052)&gt;1,"Duplicate","OK")</f>
        <v>OK</v>
      </c>
      <c r="R1052" s="6" t="str">
        <f t="shared" si="1"/>
        <v>2600-3600</v>
      </c>
      <c r="S1052" s="6">
        <f t="shared" si="2"/>
        <v>65</v>
      </c>
      <c r="T1052" s="6" t="str">
        <f t="shared" si="3"/>
        <v>Very Old</v>
      </c>
    </row>
    <row r="1053" ht="14.25" customHeight="1">
      <c r="A1053" s="5">
        <v>166017.0</v>
      </c>
      <c r="B1053" s="6" t="s">
        <v>4251</v>
      </c>
      <c r="C1053" s="6" t="s">
        <v>76</v>
      </c>
      <c r="D1053" s="6">
        <v>88279.0</v>
      </c>
      <c r="E1053" s="6" t="s">
        <v>40</v>
      </c>
      <c r="F1053" s="6" t="s">
        <v>54</v>
      </c>
      <c r="G1053" s="6" t="s">
        <v>55</v>
      </c>
      <c r="H1053" s="7">
        <v>2827.0</v>
      </c>
      <c r="I1053" s="7">
        <v>3640.0</v>
      </c>
      <c r="J1053" s="6">
        <v>2007.0</v>
      </c>
      <c r="K1053" s="6">
        <v>11.0</v>
      </c>
      <c r="L1053" s="6" t="s">
        <v>32</v>
      </c>
      <c r="M1053" s="6" t="s">
        <v>4252</v>
      </c>
      <c r="N1053" s="6" t="s">
        <v>48</v>
      </c>
      <c r="O1053" s="6" t="s">
        <v>49</v>
      </c>
      <c r="P1053" s="6">
        <f>COUNTIF(Analysis!$M$1:$M$3001,Analysis!$M1053)</f>
        <v>1</v>
      </c>
      <c r="Q1053" s="6" t="str">
        <f>IF(COUNTIF(Analysis!$M$2:$M$3001,Analysis!$M1053)&gt;1,"Duplicate","OK")</f>
        <v>OK</v>
      </c>
      <c r="R1053" s="6" t="str">
        <f t="shared" si="1"/>
        <v>2600-3600</v>
      </c>
      <c r="S1053" s="6">
        <f t="shared" si="2"/>
        <v>19</v>
      </c>
      <c r="T1053" s="6" t="str">
        <f t="shared" si="3"/>
        <v>Mid</v>
      </c>
    </row>
    <row r="1054" ht="14.25" customHeight="1">
      <c r="A1054" s="5">
        <v>1175358.0</v>
      </c>
      <c r="B1054" s="6" t="s">
        <v>4255</v>
      </c>
      <c r="C1054" s="6" t="s">
        <v>39</v>
      </c>
      <c r="D1054" s="6">
        <v>72578.0</v>
      </c>
      <c r="E1054" s="6" t="s">
        <v>40</v>
      </c>
      <c r="F1054" s="6" t="s">
        <v>46</v>
      </c>
      <c r="G1054" s="6" t="s">
        <v>21</v>
      </c>
      <c r="H1054" s="7">
        <v>2872.0</v>
      </c>
      <c r="I1054" s="7">
        <v>7449.0</v>
      </c>
      <c r="J1054" s="6">
        <v>2006.0</v>
      </c>
      <c r="K1054" s="6">
        <v>110.0</v>
      </c>
      <c r="L1054" s="6" t="s">
        <v>32</v>
      </c>
      <c r="M1054" s="6" t="s">
        <v>4256</v>
      </c>
      <c r="N1054" s="6" t="s">
        <v>24</v>
      </c>
      <c r="O1054" s="6" t="s">
        <v>35</v>
      </c>
      <c r="P1054" s="6">
        <f>COUNTIF(Analysis!$M$1:$M$3001,Analysis!$M1054)</f>
        <v>1</v>
      </c>
      <c r="Q1054" s="6" t="str">
        <f>IF(COUNTIF(Analysis!$M$2:$M$3001,Analysis!$M1054)&gt;1,"Duplicate","OK")</f>
        <v>OK</v>
      </c>
      <c r="R1054" s="6" t="str">
        <f t="shared" si="1"/>
        <v>2600-3600</v>
      </c>
      <c r="S1054" s="6">
        <f t="shared" si="2"/>
        <v>20</v>
      </c>
      <c r="T1054" s="6" t="str">
        <f t="shared" si="3"/>
        <v>Mid</v>
      </c>
    </row>
    <row r="1055" ht="14.25" customHeight="1">
      <c r="A1055" s="5">
        <v>1134124.0</v>
      </c>
      <c r="B1055" s="6" t="s">
        <v>4259</v>
      </c>
      <c r="C1055" s="6" t="s">
        <v>18</v>
      </c>
      <c r="D1055" s="6">
        <v>71044.0</v>
      </c>
      <c r="E1055" s="6" t="s">
        <v>77</v>
      </c>
      <c r="F1055" s="6" t="s">
        <v>54</v>
      </c>
      <c r="G1055" s="6" t="s">
        <v>31</v>
      </c>
      <c r="H1055" s="7">
        <v>2076.0</v>
      </c>
      <c r="I1055" s="7">
        <v>3784.0</v>
      </c>
      <c r="J1055" s="6">
        <v>1968.0</v>
      </c>
      <c r="K1055" s="6">
        <v>43.0</v>
      </c>
      <c r="L1055" s="6" t="s">
        <v>32</v>
      </c>
      <c r="M1055" s="6" t="s">
        <v>4260</v>
      </c>
      <c r="N1055" s="6" t="s">
        <v>24</v>
      </c>
      <c r="O1055" s="6" t="s">
        <v>49</v>
      </c>
      <c r="P1055" s="6">
        <f>COUNTIF(Analysis!$M$1:$M$3001,Analysis!$M1055)</f>
        <v>1</v>
      </c>
      <c r="Q1055" s="6" t="str">
        <f>IF(COUNTIF(Analysis!$M$2:$M$3001,Analysis!$M1055)&gt;1,"Duplicate","OK")</f>
        <v>OK</v>
      </c>
      <c r="R1055" s="6" t="str">
        <f t="shared" si="1"/>
        <v>1600-2600</v>
      </c>
      <c r="S1055" s="6">
        <f t="shared" si="2"/>
        <v>58</v>
      </c>
      <c r="T1055" s="6" t="str">
        <f t="shared" si="3"/>
        <v>Old</v>
      </c>
    </row>
    <row r="1056" ht="14.25" customHeight="1">
      <c r="A1056" s="5">
        <v>983337.0</v>
      </c>
      <c r="B1056" s="6" t="s">
        <v>4263</v>
      </c>
      <c r="C1056" s="6" t="s">
        <v>18</v>
      </c>
      <c r="D1056" s="6">
        <v>81110.0</v>
      </c>
      <c r="E1056" s="6" t="s">
        <v>30</v>
      </c>
      <c r="F1056" s="6" t="s">
        <v>61</v>
      </c>
      <c r="G1056" s="6" t="s">
        <v>31</v>
      </c>
      <c r="H1056" s="7">
        <v>3233.0</v>
      </c>
      <c r="I1056" s="7">
        <v>8192.0</v>
      </c>
      <c r="J1056" s="6">
        <v>2007.0</v>
      </c>
      <c r="K1056" s="6">
        <v>89.0</v>
      </c>
      <c r="L1056" s="6" t="s">
        <v>62</v>
      </c>
      <c r="M1056" s="6" t="s">
        <v>4264</v>
      </c>
      <c r="N1056" s="6" t="s">
        <v>43</v>
      </c>
      <c r="O1056" s="6" t="s">
        <v>49</v>
      </c>
      <c r="P1056" s="6">
        <f>COUNTIF(Analysis!$M$1:$M$3001,Analysis!$M1056)</f>
        <v>1</v>
      </c>
      <c r="Q1056" s="6" t="str">
        <f>IF(COUNTIF(Analysis!$M$2:$M$3001,Analysis!$M1056)&gt;1,"Duplicate","OK")</f>
        <v>OK</v>
      </c>
      <c r="R1056" s="6" t="str">
        <f t="shared" si="1"/>
        <v>2600-3600</v>
      </c>
      <c r="S1056" s="6">
        <f t="shared" si="2"/>
        <v>19</v>
      </c>
      <c r="T1056" s="6" t="str">
        <f t="shared" si="3"/>
        <v>Mid</v>
      </c>
    </row>
    <row r="1057" ht="14.25" customHeight="1">
      <c r="A1057" s="5">
        <v>557489.0</v>
      </c>
      <c r="B1057" s="6" t="s">
        <v>4267</v>
      </c>
      <c r="C1057" s="6" t="s">
        <v>76</v>
      </c>
      <c r="D1057" s="6">
        <v>42781.0</v>
      </c>
      <c r="E1057" s="6" t="s">
        <v>30</v>
      </c>
      <c r="F1057" s="6" t="s">
        <v>61</v>
      </c>
      <c r="G1057" s="6" t="s">
        <v>31</v>
      </c>
      <c r="H1057" s="7">
        <v>1549.0</v>
      </c>
      <c r="I1057" s="7">
        <v>9759.0</v>
      </c>
      <c r="J1057" s="6">
        <v>1998.0</v>
      </c>
      <c r="K1057" s="6">
        <v>107.0</v>
      </c>
      <c r="L1057" s="6" t="s">
        <v>22</v>
      </c>
      <c r="M1057" s="6" t="s">
        <v>4268</v>
      </c>
      <c r="N1057" s="6" t="s">
        <v>48</v>
      </c>
      <c r="O1057" s="6" t="s">
        <v>35</v>
      </c>
      <c r="P1057" s="6">
        <f>COUNTIF(Analysis!$M$1:$M$3001,Analysis!$M1057)</f>
        <v>1</v>
      </c>
      <c r="Q1057" s="6" t="str">
        <f>IF(COUNTIF(Analysis!$M$2:$M$3001,Analysis!$M1057)&gt;1,"Duplicate","OK")</f>
        <v>OK</v>
      </c>
      <c r="R1057" s="6" t="str">
        <f t="shared" si="1"/>
        <v>600-1600</v>
      </c>
      <c r="S1057" s="6">
        <f t="shared" si="2"/>
        <v>28</v>
      </c>
      <c r="T1057" s="6" t="str">
        <f t="shared" si="3"/>
        <v>Mid</v>
      </c>
    </row>
    <row r="1058" ht="14.25" customHeight="1">
      <c r="A1058" s="5">
        <v>1453148.0</v>
      </c>
      <c r="B1058" s="6" t="s">
        <v>4271</v>
      </c>
      <c r="C1058" s="6" t="s">
        <v>39</v>
      </c>
      <c r="D1058" s="6">
        <v>82732.0</v>
      </c>
      <c r="E1058" s="6" t="s">
        <v>60</v>
      </c>
      <c r="F1058" s="6" t="s">
        <v>20</v>
      </c>
      <c r="G1058" s="6" t="s">
        <v>55</v>
      </c>
      <c r="H1058" s="7">
        <v>1340.0</v>
      </c>
      <c r="I1058" s="7">
        <v>9464.0</v>
      </c>
      <c r="J1058" s="6">
        <v>1969.0</v>
      </c>
      <c r="K1058" s="6">
        <v>94.0</v>
      </c>
      <c r="L1058" s="6" t="s">
        <v>32</v>
      </c>
      <c r="M1058" s="6" t="s">
        <v>4272</v>
      </c>
      <c r="N1058" s="6" t="s">
        <v>48</v>
      </c>
      <c r="O1058" s="6" t="s">
        <v>35</v>
      </c>
      <c r="P1058" s="6">
        <f>COUNTIF(Analysis!$M$1:$M$3001,Analysis!$M1058)</f>
        <v>1</v>
      </c>
      <c r="Q1058" s="6" t="str">
        <f>IF(COUNTIF(Analysis!$M$2:$M$3001,Analysis!$M1058)&gt;1,"Duplicate","OK")</f>
        <v>OK</v>
      </c>
      <c r="R1058" s="6" t="str">
        <f t="shared" si="1"/>
        <v>600-1600</v>
      </c>
      <c r="S1058" s="6">
        <f t="shared" si="2"/>
        <v>57</v>
      </c>
      <c r="T1058" s="6" t="str">
        <f t="shared" si="3"/>
        <v>Old</v>
      </c>
    </row>
    <row r="1059" ht="14.25" customHeight="1">
      <c r="A1059" s="5">
        <v>556554.0</v>
      </c>
      <c r="B1059" s="6" t="s">
        <v>4275</v>
      </c>
      <c r="C1059" s="6" t="s">
        <v>76</v>
      </c>
      <c r="D1059" s="6">
        <v>56312.0</v>
      </c>
      <c r="E1059" s="6" t="s">
        <v>40</v>
      </c>
      <c r="F1059" s="6" t="s">
        <v>94</v>
      </c>
      <c r="G1059" s="6" t="s">
        <v>31</v>
      </c>
      <c r="H1059" s="7">
        <v>1460.0</v>
      </c>
      <c r="I1059" s="7">
        <v>3678.0</v>
      </c>
      <c r="J1059" s="6">
        <v>2007.0</v>
      </c>
      <c r="K1059" s="6">
        <v>80.0</v>
      </c>
      <c r="L1059" s="6" t="s">
        <v>95</v>
      </c>
      <c r="M1059" s="6" t="s">
        <v>4276</v>
      </c>
      <c r="N1059" s="6" t="s">
        <v>48</v>
      </c>
      <c r="O1059" s="6" t="s">
        <v>49</v>
      </c>
      <c r="P1059" s="6">
        <f>COUNTIF(Analysis!$M$1:$M$3001,Analysis!$M1059)</f>
        <v>1</v>
      </c>
      <c r="Q1059" s="6" t="str">
        <f>IF(COUNTIF(Analysis!$M$2:$M$3001,Analysis!$M1059)&gt;1,"Duplicate","OK")</f>
        <v>OK</v>
      </c>
      <c r="R1059" s="6" t="str">
        <f t="shared" si="1"/>
        <v>600-1600</v>
      </c>
      <c r="S1059" s="6">
        <f t="shared" si="2"/>
        <v>19</v>
      </c>
      <c r="T1059" s="6" t="str">
        <f t="shared" si="3"/>
        <v>Mid</v>
      </c>
    </row>
    <row r="1060" ht="14.25" customHeight="1">
      <c r="A1060" s="5">
        <v>1273603.0</v>
      </c>
      <c r="B1060" s="6" t="s">
        <v>4279</v>
      </c>
      <c r="C1060" s="6" t="s">
        <v>39</v>
      </c>
      <c r="D1060" s="6">
        <v>59720.0</v>
      </c>
      <c r="E1060" s="6" t="s">
        <v>77</v>
      </c>
      <c r="F1060" s="6" t="s">
        <v>20</v>
      </c>
      <c r="G1060" s="6" t="s">
        <v>100</v>
      </c>
      <c r="H1060" s="7">
        <v>1534.0</v>
      </c>
      <c r="I1060" s="7">
        <v>5943.0</v>
      </c>
      <c r="J1060" s="6">
        <v>1981.0</v>
      </c>
      <c r="K1060" s="6">
        <v>47.0</v>
      </c>
      <c r="L1060" s="6" t="s">
        <v>62</v>
      </c>
      <c r="M1060" s="6" t="s">
        <v>4280</v>
      </c>
      <c r="N1060" s="6" t="s">
        <v>64</v>
      </c>
      <c r="O1060" s="6" t="s">
        <v>49</v>
      </c>
      <c r="P1060" s="6">
        <f>COUNTIF(Analysis!$M$1:$M$3001,Analysis!$M1060)</f>
        <v>1</v>
      </c>
      <c r="Q1060" s="6" t="str">
        <f>IF(COUNTIF(Analysis!$M$2:$M$3001,Analysis!$M1060)&gt;1,"Duplicate","OK")</f>
        <v>OK</v>
      </c>
      <c r="R1060" s="6" t="str">
        <f t="shared" si="1"/>
        <v>600-1600</v>
      </c>
      <c r="S1060" s="6">
        <f t="shared" si="2"/>
        <v>45</v>
      </c>
      <c r="T1060" s="6" t="str">
        <f t="shared" si="3"/>
        <v>Old</v>
      </c>
    </row>
    <row r="1061" ht="14.25" customHeight="1">
      <c r="A1061" s="5">
        <v>1214336.0</v>
      </c>
      <c r="B1061" s="6" t="s">
        <v>4283</v>
      </c>
      <c r="C1061" s="6" t="s">
        <v>18</v>
      </c>
      <c r="D1061" s="6">
        <v>49598.0</v>
      </c>
      <c r="E1061" s="6" t="s">
        <v>40</v>
      </c>
      <c r="F1061" s="6" t="s">
        <v>46</v>
      </c>
      <c r="G1061" s="6" t="s">
        <v>31</v>
      </c>
      <c r="H1061" s="7">
        <v>1886.0</v>
      </c>
      <c r="I1061" s="7">
        <v>4102.0</v>
      </c>
      <c r="J1061" s="6">
        <v>1972.0</v>
      </c>
      <c r="K1061" s="6">
        <v>61.0</v>
      </c>
      <c r="L1061" s="6" t="s">
        <v>22</v>
      </c>
      <c r="M1061" s="6" t="s">
        <v>4284</v>
      </c>
      <c r="N1061" s="6" t="s">
        <v>43</v>
      </c>
      <c r="O1061" s="6" t="s">
        <v>49</v>
      </c>
      <c r="P1061" s="6">
        <f>COUNTIF(Analysis!$M$1:$M$3001,Analysis!$M1061)</f>
        <v>1</v>
      </c>
      <c r="Q1061" s="6" t="str">
        <f>IF(COUNTIF(Analysis!$M$2:$M$3001,Analysis!$M1061)&gt;1,"Duplicate","OK")</f>
        <v>OK</v>
      </c>
      <c r="R1061" s="6" t="str">
        <f t="shared" si="1"/>
        <v>1600-2600</v>
      </c>
      <c r="S1061" s="6">
        <f t="shared" si="2"/>
        <v>54</v>
      </c>
      <c r="T1061" s="6" t="str">
        <f t="shared" si="3"/>
        <v>Old</v>
      </c>
    </row>
    <row r="1062" ht="14.25" customHeight="1">
      <c r="A1062" s="5">
        <v>616741.0</v>
      </c>
      <c r="B1062" s="6" t="s">
        <v>405</v>
      </c>
      <c r="C1062" s="6" t="s">
        <v>29</v>
      </c>
      <c r="D1062" s="6">
        <v>92471.0</v>
      </c>
      <c r="E1062" s="6" t="s">
        <v>77</v>
      </c>
      <c r="F1062" s="6" t="s">
        <v>46</v>
      </c>
      <c r="G1062" s="6" t="s">
        <v>31</v>
      </c>
      <c r="H1062" s="7">
        <v>1258.0</v>
      </c>
      <c r="I1062" s="7">
        <v>2818.0</v>
      </c>
      <c r="J1062" s="6">
        <v>1966.0</v>
      </c>
      <c r="K1062" s="6">
        <v>73.0</v>
      </c>
      <c r="L1062" s="6" t="s">
        <v>32</v>
      </c>
      <c r="M1062" s="6" t="s">
        <v>406</v>
      </c>
      <c r="N1062" s="6" t="s">
        <v>43</v>
      </c>
      <c r="O1062" s="6" t="s">
        <v>49</v>
      </c>
      <c r="P1062" s="6">
        <f>COUNTIF(Analysis!$M$1:$M$3001,Analysis!$M91)</f>
        <v>1</v>
      </c>
      <c r="Q1062" s="6" t="str">
        <f>IF(COUNTIF(Analysis!$M$2:$M$3001,Analysis!$M91)&gt;1,"Duplicate","OK")</f>
        <v>OK</v>
      </c>
      <c r="R1062" s="6" t="str">
        <f t="shared" si="1"/>
        <v>600-1600</v>
      </c>
      <c r="S1062" s="6">
        <f t="shared" si="2"/>
        <v>60</v>
      </c>
      <c r="T1062" s="6" t="str">
        <f t="shared" si="3"/>
        <v>Old</v>
      </c>
    </row>
    <row r="1063" ht="14.25" customHeight="1">
      <c r="A1063" s="5">
        <v>854669.0</v>
      </c>
      <c r="B1063" s="6" t="s">
        <v>4291</v>
      </c>
      <c r="C1063" s="6" t="s">
        <v>53</v>
      </c>
      <c r="D1063" s="6">
        <v>80765.0</v>
      </c>
      <c r="E1063" s="6" t="s">
        <v>77</v>
      </c>
      <c r="F1063" s="6" t="s">
        <v>61</v>
      </c>
      <c r="G1063" s="6" t="s">
        <v>100</v>
      </c>
      <c r="H1063" s="7">
        <v>1950.0</v>
      </c>
      <c r="I1063" s="7">
        <v>8973.0</v>
      </c>
      <c r="J1063" s="6">
        <v>1996.0</v>
      </c>
      <c r="K1063" s="6">
        <v>105.0</v>
      </c>
      <c r="L1063" s="6" t="s">
        <v>141</v>
      </c>
      <c r="M1063" s="6" t="s">
        <v>4292</v>
      </c>
      <c r="N1063" s="6" t="s">
        <v>64</v>
      </c>
      <c r="O1063" s="6" t="s">
        <v>49</v>
      </c>
      <c r="P1063" s="6">
        <f>COUNTIF(Analysis!$M$1:$M$3001,Analysis!$M1063)</f>
        <v>1</v>
      </c>
      <c r="Q1063" s="6" t="str">
        <f>IF(COUNTIF(Analysis!$M$2:$M$3001,Analysis!$M1063)&gt;1,"Duplicate","OK")</f>
        <v>OK</v>
      </c>
      <c r="R1063" s="6" t="str">
        <f t="shared" si="1"/>
        <v>1600-2600</v>
      </c>
      <c r="S1063" s="6">
        <f t="shared" si="2"/>
        <v>30</v>
      </c>
      <c r="T1063" s="6" t="str">
        <f t="shared" si="3"/>
        <v>Mid</v>
      </c>
    </row>
    <row r="1064" ht="14.25" customHeight="1">
      <c r="A1064" s="5">
        <v>698107.0</v>
      </c>
      <c r="B1064" s="6" t="s">
        <v>4295</v>
      </c>
      <c r="C1064" s="6" t="s">
        <v>18</v>
      </c>
      <c r="D1064" s="6">
        <v>57171.0</v>
      </c>
      <c r="E1064" s="6" t="s">
        <v>60</v>
      </c>
      <c r="F1064" s="6" t="s">
        <v>41</v>
      </c>
      <c r="G1064" s="6" t="s">
        <v>21</v>
      </c>
      <c r="H1064" s="7">
        <v>2549.0</v>
      </c>
      <c r="I1064" s="7">
        <v>3939.0</v>
      </c>
      <c r="J1064" s="6">
        <v>1955.0</v>
      </c>
      <c r="K1064" s="6">
        <v>10.0</v>
      </c>
      <c r="L1064" s="6" t="s">
        <v>141</v>
      </c>
      <c r="M1064" s="6" t="s">
        <v>4296</v>
      </c>
      <c r="N1064" s="6" t="s">
        <v>43</v>
      </c>
      <c r="O1064" s="6" t="s">
        <v>25</v>
      </c>
      <c r="P1064" s="6">
        <f>COUNTIF(Analysis!$M$1:$M$3001,Analysis!$M1064)</f>
        <v>1</v>
      </c>
      <c r="Q1064" s="6" t="str">
        <f>IF(COUNTIF(Analysis!$M$2:$M$3001,Analysis!$M1064)&gt;1,"Duplicate","OK")</f>
        <v>OK</v>
      </c>
      <c r="R1064" s="6" t="str">
        <f t="shared" si="1"/>
        <v>1600-2600</v>
      </c>
      <c r="S1064" s="6">
        <f t="shared" si="2"/>
        <v>71</v>
      </c>
      <c r="T1064" s="6" t="str">
        <f t="shared" si="3"/>
        <v>Very Old</v>
      </c>
    </row>
    <row r="1065" ht="14.25" customHeight="1">
      <c r="A1065" s="5">
        <v>208299.0</v>
      </c>
      <c r="B1065" s="6" t="s">
        <v>4299</v>
      </c>
      <c r="C1065" s="6" t="s">
        <v>39</v>
      </c>
      <c r="D1065" s="6">
        <v>49084.0</v>
      </c>
      <c r="E1065" s="6" t="s">
        <v>19</v>
      </c>
      <c r="F1065" s="6" t="s">
        <v>94</v>
      </c>
      <c r="G1065" s="6" t="s">
        <v>100</v>
      </c>
      <c r="H1065" s="7">
        <v>3794.0</v>
      </c>
      <c r="I1065" s="7">
        <v>5661.0</v>
      </c>
      <c r="J1065" s="6">
        <v>1995.0</v>
      </c>
      <c r="K1065" s="6">
        <v>109.0</v>
      </c>
      <c r="L1065" s="6" t="s">
        <v>32</v>
      </c>
      <c r="M1065" s="6" t="s">
        <v>4300</v>
      </c>
      <c r="N1065" s="6" t="s">
        <v>34</v>
      </c>
      <c r="O1065" s="6" t="s">
        <v>49</v>
      </c>
      <c r="P1065" s="6">
        <f>COUNTIF(Analysis!$M$1:$M$3001,Analysis!$M1065)</f>
        <v>1</v>
      </c>
      <c r="Q1065" s="6" t="str">
        <f>IF(COUNTIF(Analysis!$M$2:$M$3001,Analysis!$M1065)&gt;1,"Duplicate","OK")</f>
        <v>OK</v>
      </c>
      <c r="R1065" s="6" t="str">
        <f t="shared" si="1"/>
        <v>3600+</v>
      </c>
      <c r="S1065" s="6">
        <f t="shared" si="2"/>
        <v>31</v>
      </c>
      <c r="T1065" s="6" t="str">
        <f t="shared" si="3"/>
        <v>Old</v>
      </c>
    </row>
    <row r="1066" ht="14.25" customHeight="1">
      <c r="A1066" s="5">
        <v>802037.0</v>
      </c>
      <c r="B1066" s="6" t="s">
        <v>4303</v>
      </c>
      <c r="C1066" s="6" t="s">
        <v>18</v>
      </c>
      <c r="D1066" s="6">
        <v>21055.0</v>
      </c>
      <c r="E1066" s="6" t="s">
        <v>40</v>
      </c>
      <c r="F1066" s="6" t="s">
        <v>54</v>
      </c>
      <c r="G1066" s="6" t="s">
        <v>31</v>
      </c>
      <c r="H1066" s="7">
        <v>1556.0</v>
      </c>
      <c r="I1066" s="7">
        <v>3510.0</v>
      </c>
      <c r="J1066" s="6">
        <v>1976.0</v>
      </c>
      <c r="K1066" s="6">
        <v>105.0</v>
      </c>
      <c r="L1066" s="6" t="s">
        <v>95</v>
      </c>
      <c r="M1066" s="6" t="s">
        <v>4304</v>
      </c>
      <c r="N1066" s="6" t="s">
        <v>34</v>
      </c>
      <c r="O1066" s="6" t="s">
        <v>35</v>
      </c>
      <c r="P1066" s="6">
        <f>COUNTIF(Analysis!$M$1:$M$3001,Analysis!$M1066)</f>
        <v>1</v>
      </c>
      <c r="Q1066" s="6" t="str">
        <f>IF(COUNTIF(Analysis!$M$2:$M$3001,Analysis!$M1066)&gt;1,"Duplicate","OK")</f>
        <v>OK</v>
      </c>
      <c r="R1066" s="6" t="str">
        <f t="shared" si="1"/>
        <v>600-1600</v>
      </c>
      <c r="S1066" s="6">
        <f t="shared" si="2"/>
        <v>50</v>
      </c>
      <c r="T1066" s="6" t="str">
        <f t="shared" si="3"/>
        <v>Old</v>
      </c>
    </row>
    <row r="1067" ht="14.25" customHeight="1">
      <c r="A1067" s="5">
        <v>242635.0</v>
      </c>
      <c r="B1067" s="6" t="s">
        <v>4307</v>
      </c>
      <c r="C1067" s="6" t="s">
        <v>53</v>
      </c>
      <c r="D1067" s="6">
        <v>67428.0</v>
      </c>
      <c r="E1067" s="6" t="s">
        <v>40</v>
      </c>
      <c r="F1067" s="6" t="s">
        <v>54</v>
      </c>
      <c r="G1067" s="6" t="s">
        <v>31</v>
      </c>
      <c r="H1067" s="7">
        <v>970.0</v>
      </c>
      <c r="I1067" s="7">
        <v>7044.0</v>
      </c>
      <c r="J1067" s="6">
        <v>1964.0</v>
      </c>
      <c r="K1067" s="6">
        <v>7.0</v>
      </c>
      <c r="L1067" s="6" t="s">
        <v>141</v>
      </c>
      <c r="M1067" s="6" t="s">
        <v>4308</v>
      </c>
      <c r="N1067" s="6" t="s">
        <v>24</v>
      </c>
      <c r="O1067" s="6" t="s">
        <v>49</v>
      </c>
      <c r="P1067" s="6">
        <f>COUNTIF(Analysis!$M$1:$M$3001,Analysis!$M1067)</f>
        <v>1</v>
      </c>
      <c r="Q1067" s="6" t="str">
        <f>IF(COUNTIF(Analysis!$M$2:$M$3001,Analysis!$M1067)&gt;1,"Duplicate","OK")</f>
        <v>OK</v>
      </c>
      <c r="R1067" s="6" t="str">
        <f t="shared" si="1"/>
        <v>600-1600</v>
      </c>
      <c r="S1067" s="6">
        <f t="shared" si="2"/>
        <v>62</v>
      </c>
      <c r="T1067" s="6" t="str">
        <f t="shared" si="3"/>
        <v>Very Old</v>
      </c>
    </row>
    <row r="1068" ht="14.25" customHeight="1">
      <c r="A1068" s="5">
        <v>164337.0</v>
      </c>
      <c r="B1068" s="6" t="s">
        <v>4311</v>
      </c>
      <c r="C1068" s="6" t="s">
        <v>76</v>
      </c>
      <c r="D1068" s="6">
        <v>48114.0</v>
      </c>
      <c r="E1068" s="6" t="s">
        <v>30</v>
      </c>
      <c r="F1068" s="6" t="s">
        <v>54</v>
      </c>
      <c r="G1068" s="6" t="s">
        <v>31</v>
      </c>
      <c r="H1068" s="7">
        <v>992.0</v>
      </c>
      <c r="I1068" s="7">
        <v>7775.0</v>
      </c>
      <c r="J1068" s="6">
        <v>1992.0</v>
      </c>
      <c r="K1068" s="6">
        <v>88.0</v>
      </c>
      <c r="L1068" s="6" t="s">
        <v>62</v>
      </c>
      <c r="M1068" s="6" t="s">
        <v>4312</v>
      </c>
      <c r="N1068" s="6" t="s">
        <v>24</v>
      </c>
      <c r="O1068" s="6" t="s">
        <v>25</v>
      </c>
      <c r="P1068" s="6">
        <f>COUNTIF(Analysis!$M$1:$M$3001,Analysis!$M1068)</f>
        <v>1</v>
      </c>
      <c r="Q1068" s="6" t="str">
        <f>IF(COUNTIF(Analysis!$M$2:$M$3001,Analysis!$M1068)&gt;1,"Duplicate","OK")</f>
        <v>OK</v>
      </c>
      <c r="R1068" s="6" t="str">
        <f t="shared" si="1"/>
        <v>600-1600</v>
      </c>
      <c r="S1068" s="6">
        <f t="shared" si="2"/>
        <v>34</v>
      </c>
      <c r="T1068" s="6" t="str">
        <f t="shared" si="3"/>
        <v>Old</v>
      </c>
    </row>
    <row r="1069" ht="14.25" customHeight="1">
      <c r="A1069" s="5">
        <v>100764.0</v>
      </c>
      <c r="B1069" s="6" t="s">
        <v>4315</v>
      </c>
      <c r="C1069" s="6" t="s">
        <v>18</v>
      </c>
      <c r="D1069" s="6">
        <v>63771.0</v>
      </c>
      <c r="E1069" s="6" t="s">
        <v>19</v>
      </c>
      <c r="F1069" s="6" t="s">
        <v>54</v>
      </c>
      <c r="G1069" s="6" t="s">
        <v>55</v>
      </c>
      <c r="H1069" s="7">
        <v>1687.0</v>
      </c>
      <c r="I1069" s="7">
        <v>6031.0</v>
      </c>
      <c r="J1069" s="6">
        <v>1962.0</v>
      </c>
      <c r="K1069" s="6">
        <v>32.0</v>
      </c>
      <c r="L1069" s="6" t="s">
        <v>95</v>
      </c>
      <c r="M1069" s="6" t="s">
        <v>4316</v>
      </c>
      <c r="N1069" s="6" t="s">
        <v>43</v>
      </c>
      <c r="O1069" s="6" t="s">
        <v>49</v>
      </c>
      <c r="P1069" s="6">
        <f>COUNTIF(Analysis!$M$1:$M$3001,Analysis!$M1069)</f>
        <v>1</v>
      </c>
      <c r="Q1069" s="6" t="str">
        <f>IF(COUNTIF(Analysis!$M$2:$M$3001,Analysis!$M1069)&gt;1,"Duplicate","OK")</f>
        <v>OK</v>
      </c>
      <c r="R1069" s="6" t="str">
        <f t="shared" si="1"/>
        <v>1600-2600</v>
      </c>
      <c r="S1069" s="6">
        <f t="shared" si="2"/>
        <v>64</v>
      </c>
      <c r="T1069" s="6" t="str">
        <f t="shared" si="3"/>
        <v>Very Old</v>
      </c>
    </row>
    <row r="1070" ht="14.25" customHeight="1">
      <c r="A1070" s="5">
        <v>756933.0</v>
      </c>
      <c r="B1070" s="6" t="s">
        <v>4319</v>
      </c>
      <c r="C1070" s="6" t="s">
        <v>53</v>
      </c>
      <c r="D1070" s="6">
        <v>38900.0</v>
      </c>
      <c r="E1070" s="6" t="s">
        <v>40</v>
      </c>
      <c r="F1070" s="6" t="s">
        <v>94</v>
      </c>
      <c r="G1070" s="6" t="s">
        <v>21</v>
      </c>
      <c r="H1070" s="7">
        <v>3266.0</v>
      </c>
      <c r="I1070" s="7">
        <v>9727.0</v>
      </c>
      <c r="J1070" s="6">
        <v>1977.0</v>
      </c>
      <c r="K1070" s="6">
        <v>27.0</v>
      </c>
      <c r="L1070" s="6" t="s">
        <v>22</v>
      </c>
      <c r="M1070" s="6" t="s">
        <v>4320</v>
      </c>
      <c r="N1070" s="6" t="s">
        <v>48</v>
      </c>
      <c r="O1070" s="6" t="s">
        <v>25</v>
      </c>
      <c r="P1070" s="6">
        <f>COUNTIF(Analysis!$M$1:$M$3001,Analysis!$M1070)</f>
        <v>1</v>
      </c>
      <c r="Q1070" s="6" t="str">
        <f>IF(COUNTIF(Analysis!$M$2:$M$3001,Analysis!$M1070)&gt;1,"Duplicate","OK")</f>
        <v>OK</v>
      </c>
      <c r="R1070" s="6" t="str">
        <f t="shared" si="1"/>
        <v>2600-3600</v>
      </c>
      <c r="S1070" s="6">
        <f t="shared" si="2"/>
        <v>49</v>
      </c>
      <c r="T1070" s="6" t="str">
        <f t="shared" si="3"/>
        <v>Old</v>
      </c>
    </row>
    <row r="1071" ht="14.25" customHeight="1">
      <c r="A1071" s="5">
        <v>209720.0</v>
      </c>
      <c r="B1071" s="6" t="s">
        <v>4323</v>
      </c>
      <c r="C1071" s="6" t="s">
        <v>76</v>
      </c>
      <c r="D1071" s="6">
        <v>25446.0</v>
      </c>
      <c r="E1071" s="6" t="s">
        <v>19</v>
      </c>
      <c r="F1071" s="6" t="s">
        <v>41</v>
      </c>
      <c r="G1071" s="6" t="s">
        <v>31</v>
      </c>
      <c r="H1071" s="7">
        <v>2480.0</v>
      </c>
      <c r="I1071" s="7">
        <v>6884.0</v>
      </c>
      <c r="J1071" s="6">
        <v>2013.0</v>
      </c>
      <c r="K1071" s="6">
        <v>115.0</v>
      </c>
      <c r="L1071" s="6" t="s">
        <v>95</v>
      </c>
      <c r="M1071" s="6" t="s">
        <v>4324</v>
      </c>
      <c r="N1071" s="6" t="s">
        <v>64</v>
      </c>
      <c r="O1071" s="6" t="s">
        <v>49</v>
      </c>
      <c r="P1071" s="6">
        <f>COUNTIF(Analysis!$M$1:$M$3001,Analysis!$M1071)</f>
        <v>1</v>
      </c>
      <c r="Q1071" s="6" t="str">
        <f>IF(COUNTIF(Analysis!$M$2:$M$3001,Analysis!$M1071)&gt;1,"Duplicate","OK")</f>
        <v>OK</v>
      </c>
      <c r="R1071" s="6" t="str">
        <f t="shared" si="1"/>
        <v>1600-2600</v>
      </c>
      <c r="S1071" s="6">
        <f t="shared" si="2"/>
        <v>13</v>
      </c>
      <c r="T1071" s="6" t="str">
        <f t="shared" si="3"/>
        <v>Mid</v>
      </c>
    </row>
    <row r="1072" ht="14.25" customHeight="1">
      <c r="A1072" s="5">
        <v>246361.0</v>
      </c>
      <c r="B1072" s="6" t="s">
        <v>4327</v>
      </c>
      <c r="C1072" s="6" t="s">
        <v>18</v>
      </c>
      <c r="D1072" s="6">
        <v>29956.0</v>
      </c>
      <c r="E1072" s="6" t="s">
        <v>60</v>
      </c>
      <c r="F1072" s="6" t="s">
        <v>41</v>
      </c>
      <c r="G1072" s="6" t="s">
        <v>100</v>
      </c>
      <c r="H1072" s="7">
        <v>2926.0</v>
      </c>
      <c r="I1072" s="7">
        <v>9813.0</v>
      </c>
      <c r="J1072" s="6">
        <v>1983.0</v>
      </c>
      <c r="K1072" s="6">
        <v>61.0</v>
      </c>
      <c r="L1072" s="6" t="s">
        <v>95</v>
      </c>
      <c r="M1072" s="6" t="s">
        <v>4328</v>
      </c>
      <c r="N1072" s="6" t="s">
        <v>43</v>
      </c>
      <c r="O1072" s="6" t="s">
        <v>49</v>
      </c>
      <c r="P1072" s="6">
        <f>COUNTIF(Analysis!$M$1:$M$3001,Analysis!$M1072)</f>
        <v>1</v>
      </c>
      <c r="Q1072" s="6" t="str">
        <f>IF(COUNTIF(Analysis!$M$2:$M$3001,Analysis!$M1072)&gt;1,"Duplicate","OK")</f>
        <v>OK</v>
      </c>
      <c r="R1072" s="6" t="str">
        <f t="shared" si="1"/>
        <v>2600-3600</v>
      </c>
      <c r="S1072" s="6">
        <f t="shared" si="2"/>
        <v>43</v>
      </c>
      <c r="T1072" s="6" t="str">
        <f t="shared" si="3"/>
        <v>Old</v>
      </c>
    </row>
    <row r="1073" ht="14.25" customHeight="1">
      <c r="A1073" s="5">
        <v>1103488.0</v>
      </c>
      <c r="B1073" s="6" t="s">
        <v>4331</v>
      </c>
      <c r="C1073" s="6" t="s">
        <v>76</v>
      </c>
      <c r="D1073" s="6">
        <v>49247.0</v>
      </c>
      <c r="E1073" s="6" t="s">
        <v>77</v>
      </c>
      <c r="F1073" s="6" t="s">
        <v>20</v>
      </c>
      <c r="G1073" s="6" t="s">
        <v>55</v>
      </c>
      <c r="H1073" s="7">
        <v>2493.0</v>
      </c>
      <c r="I1073" s="7">
        <v>2625.0</v>
      </c>
      <c r="J1073" s="6">
        <v>1984.0</v>
      </c>
      <c r="K1073" s="6">
        <v>79.0</v>
      </c>
      <c r="L1073" s="6" t="s">
        <v>62</v>
      </c>
      <c r="M1073" s="6" t="s">
        <v>4332</v>
      </c>
      <c r="N1073" s="6" t="s">
        <v>64</v>
      </c>
      <c r="O1073" s="6" t="s">
        <v>35</v>
      </c>
      <c r="P1073" s="6">
        <f>COUNTIF(Analysis!$M$1:$M$3001,Analysis!$M1073)</f>
        <v>1</v>
      </c>
      <c r="Q1073" s="6" t="str">
        <f>IF(COUNTIF(Analysis!$M$2:$M$3001,Analysis!$M1073)&gt;1,"Duplicate","OK")</f>
        <v>OK</v>
      </c>
      <c r="R1073" s="6" t="str">
        <f t="shared" si="1"/>
        <v>1600-2600</v>
      </c>
      <c r="S1073" s="6">
        <f t="shared" si="2"/>
        <v>42</v>
      </c>
      <c r="T1073" s="6" t="str">
        <f t="shared" si="3"/>
        <v>Old</v>
      </c>
    </row>
    <row r="1074" ht="14.25" customHeight="1">
      <c r="A1074" s="5">
        <v>276902.0</v>
      </c>
      <c r="B1074" s="6" t="s">
        <v>4335</v>
      </c>
      <c r="C1074" s="6" t="s">
        <v>39</v>
      </c>
      <c r="D1074" s="6">
        <v>95685.0</v>
      </c>
      <c r="E1074" s="6" t="s">
        <v>30</v>
      </c>
      <c r="F1074" s="6" t="s">
        <v>54</v>
      </c>
      <c r="G1074" s="6" t="s">
        <v>55</v>
      </c>
      <c r="H1074" s="7">
        <v>2643.0</v>
      </c>
      <c r="I1074" s="7">
        <v>1253.0</v>
      </c>
      <c r="J1074" s="6">
        <v>1954.0</v>
      </c>
      <c r="K1074" s="6">
        <v>103.0</v>
      </c>
      <c r="L1074" s="6" t="s">
        <v>95</v>
      </c>
      <c r="M1074" s="6" t="s">
        <v>4336</v>
      </c>
      <c r="N1074" s="6" t="s">
        <v>34</v>
      </c>
      <c r="O1074" s="6" t="s">
        <v>35</v>
      </c>
      <c r="P1074" s="6">
        <f>COUNTIF(Analysis!$M$1:$M$3001,Analysis!$M1074)</f>
        <v>1</v>
      </c>
      <c r="Q1074" s="6" t="str">
        <f>IF(COUNTIF(Analysis!$M$2:$M$3001,Analysis!$M1074)&gt;1,"Duplicate","OK")</f>
        <v>OK</v>
      </c>
      <c r="R1074" s="6" t="str">
        <f t="shared" si="1"/>
        <v>2600-3600</v>
      </c>
      <c r="S1074" s="6">
        <f t="shared" si="2"/>
        <v>72</v>
      </c>
      <c r="T1074" s="6" t="str">
        <f t="shared" si="3"/>
        <v>Very Old</v>
      </c>
    </row>
    <row r="1075" ht="14.25" customHeight="1">
      <c r="A1075" s="5">
        <v>777133.0</v>
      </c>
      <c r="B1075" s="6" t="s">
        <v>4339</v>
      </c>
      <c r="C1075" s="6" t="s">
        <v>53</v>
      </c>
      <c r="D1075" s="6">
        <v>73692.0</v>
      </c>
      <c r="E1075" s="6" t="s">
        <v>77</v>
      </c>
      <c r="F1075" s="6" t="s">
        <v>61</v>
      </c>
      <c r="G1075" s="6" t="s">
        <v>21</v>
      </c>
      <c r="H1075" s="7">
        <v>1558.0</v>
      </c>
      <c r="I1075" s="7">
        <v>4251.0</v>
      </c>
      <c r="J1075" s="6">
        <v>1956.0</v>
      </c>
      <c r="K1075" s="6">
        <v>68.0</v>
      </c>
      <c r="L1075" s="6" t="s">
        <v>95</v>
      </c>
      <c r="M1075" s="6" t="s">
        <v>4340</v>
      </c>
      <c r="N1075" s="6" t="s">
        <v>64</v>
      </c>
      <c r="O1075" s="6" t="s">
        <v>35</v>
      </c>
      <c r="P1075" s="6">
        <f>COUNTIF(Analysis!$M$1:$M$3001,Analysis!$M1075)</f>
        <v>1</v>
      </c>
      <c r="Q1075" s="6" t="str">
        <f>IF(COUNTIF(Analysis!$M$2:$M$3001,Analysis!$M1075)&gt;1,"Duplicate","OK")</f>
        <v>OK</v>
      </c>
      <c r="R1075" s="6" t="str">
        <f t="shared" si="1"/>
        <v>600-1600</v>
      </c>
      <c r="S1075" s="6">
        <f t="shared" si="2"/>
        <v>70</v>
      </c>
      <c r="T1075" s="6" t="str">
        <f t="shared" si="3"/>
        <v>Very Old</v>
      </c>
    </row>
    <row r="1076" ht="14.25" customHeight="1">
      <c r="A1076" s="5">
        <v>588396.0</v>
      </c>
      <c r="B1076" s="6" t="s">
        <v>4343</v>
      </c>
      <c r="C1076" s="6" t="s">
        <v>18</v>
      </c>
      <c r="D1076" s="6">
        <v>46347.0</v>
      </c>
      <c r="E1076" s="6" t="s">
        <v>40</v>
      </c>
      <c r="F1076" s="6" t="s">
        <v>41</v>
      </c>
      <c r="G1076" s="6" t="s">
        <v>55</v>
      </c>
      <c r="H1076" s="7">
        <v>3055.0</v>
      </c>
      <c r="I1076" s="7">
        <v>3564.0</v>
      </c>
      <c r="J1076" s="6">
        <v>2001.0</v>
      </c>
      <c r="K1076" s="6">
        <v>100.0</v>
      </c>
      <c r="L1076" s="6" t="s">
        <v>32</v>
      </c>
      <c r="M1076" s="6" t="s">
        <v>4344</v>
      </c>
      <c r="N1076" s="6" t="s">
        <v>64</v>
      </c>
      <c r="O1076" s="6" t="s">
        <v>35</v>
      </c>
      <c r="P1076" s="6">
        <f>COUNTIF(Analysis!$M$1:$M$3001,Analysis!$M1076)</f>
        <v>1</v>
      </c>
      <c r="Q1076" s="6" t="str">
        <f>IF(COUNTIF(Analysis!$M$2:$M$3001,Analysis!$M1076)&gt;1,"Duplicate","OK")</f>
        <v>OK</v>
      </c>
      <c r="R1076" s="6" t="str">
        <f t="shared" si="1"/>
        <v>2600-3600</v>
      </c>
      <c r="S1076" s="6">
        <f t="shared" si="2"/>
        <v>25</v>
      </c>
      <c r="T1076" s="6" t="str">
        <f t="shared" si="3"/>
        <v>Mid</v>
      </c>
    </row>
    <row r="1077" ht="14.25" customHeight="1">
      <c r="A1077" s="5">
        <v>624172.0</v>
      </c>
      <c r="B1077" s="6" t="s">
        <v>7473</v>
      </c>
      <c r="C1077" s="6" t="s">
        <v>29</v>
      </c>
      <c r="D1077" s="6">
        <v>58626.0</v>
      </c>
      <c r="E1077" s="6" t="s">
        <v>19</v>
      </c>
      <c r="F1077" s="6" t="s">
        <v>41</v>
      </c>
      <c r="G1077" s="6" t="s">
        <v>21</v>
      </c>
      <c r="H1077" s="7">
        <v>1607.0</v>
      </c>
      <c r="I1077" s="7">
        <v>6024.0</v>
      </c>
      <c r="J1077" s="6">
        <v>2022.0</v>
      </c>
      <c r="K1077" s="6">
        <v>26.0</v>
      </c>
      <c r="L1077" s="6" t="s">
        <v>95</v>
      </c>
      <c r="M1077" s="6" t="s">
        <v>7474</v>
      </c>
      <c r="N1077" s="6" t="s">
        <v>64</v>
      </c>
      <c r="O1077" s="6" t="s">
        <v>25</v>
      </c>
      <c r="P1077" s="6">
        <f>COUNTIF(Analysis!$M$1:$M$3001,Analysis!$M1859)</f>
        <v>1</v>
      </c>
      <c r="Q1077" s="6" t="str">
        <f>IF(COUNTIF(Analysis!$M$2:$M$3001,Analysis!$M1859)&gt;1,"Duplicate","OK")</f>
        <v>OK</v>
      </c>
      <c r="R1077" s="6" t="str">
        <f t="shared" si="1"/>
        <v>1600-2600</v>
      </c>
      <c r="S1077" s="6">
        <f t="shared" si="2"/>
        <v>4</v>
      </c>
      <c r="T1077" s="6" t="str">
        <f t="shared" si="3"/>
        <v>New</v>
      </c>
    </row>
    <row r="1078" ht="14.25" customHeight="1">
      <c r="A1078" s="5">
        <v>1097319.0</v>
      </c>
      <c r="B1078" s="6" t="s">
        <v>4351</v>
      </c>
      <c r="C1078" s="6" t="s">
        <v>39</v>
      </c>
      <c r="D1078" s="6">
        <v>48149.0</v>
      </c>
      <c r="E1078" s="6" t="s">
        <v>77</v>
      </c>
      <c r="F1078" s="6" t="s">
        <v>94</v>
      </c>
      <c r="G1078" s="6" t="s">
        <v>55</v>
      </c>
      <c r="H1078" s="7">
        <v>3933.0</v>
      </c>
      <c r="I1078" s="7">
        <v>5364.0</v>
      </c>
      <c r="J1078" s="6">
        <v>1976.0</v>
      </c>
      <c r="K1078" s="6">
        <v>58.0</v>
      </c>
      <c r="L1078" s="6" t="s">
        <v>95</v>
      </c>
      <c r="M1078" s="6" t="s">
        <v>4352</v>
      </c>
      <c r="N1078" s="6" t="s">
        <v>48</v>
      </c>
      <c r="O1078" s="6" t="s">
        <v>35</v>
      </c>
      <c r="P1078" s="6">
        <f>COUNTIF(Analysis!$M$1:$M$3001,Analysis!$M1078)</f>
        <v>1</v>
      </c>
      <c r="Q1078" s="6" t="str">
        <f>IF(COUNTIF(Analysis!$M$2:$M$3001,Analysis!$M1078)&gt;1,"Duplicate","OK")</f>
        <v>OK</v>
      </c>
      <c r="R1078" s="6" t="str">
        <f t="shared" si="1"/>
        <v>3600+</v>
      </c>
      <c r="S1078" s="6">
        <f t="shared" si="2"/>
        <v>50</v>
      </c>
      <c r="T1078" s="6" t="str">
        <f t="shared" si="3"/>
        <v>Old</v>
      </c>
    </row>
    <row r="1079" ht="14.25" customHeight="1">
      <c r="A1079" s="5">
        <v>627255.0</v>
      </c>
      <c r="B1079" s="6" t="s">
        <v>9867</v>
      </c>
      <c r="C1079" s="6" t="s">
        <v>29</v>
      </c>
      <c r="D1079" s="6">
        <v>10177.0</v>
      </c>
      <c r="E1079" s="6" t="s">
        <v>77</v>
      </c>
      <c r="F1079" s="6" t="s">
        <v>61</v>
      </c>
      <c r="G1079" s="6" t="s">
        <v>55</v>
      </c>
      <c r="H1079" s="7">
        <v>3902.0</v>
      </c>
      <c r="I1079" s="7">
        <v>7085.0</v>
      </c>
      <c r="J1079" s="6">
        <v>1972.0</v>
      </c>
      <c r="K1079" s="6">
        <v>59.0</v>
      </c>
      <c r="L1079" s="6" t="s">
        <v>95</v>
      </c>
      <c r="M1079" s="6" t="s">
        <v>9868</v>
      </c>
      <c r="N1079" s="6" t="s">
        <v>48</v>
      </c>
      <c r="O1079" s="6" t="s">
        <v>35</v>
      </c>
      <c r="P1079" s="6">
        <f>COUNTIF(Analysis!$M$1:$M$3001,Analysis!$M2458)</f>
        <v>1</v>
      </c>
      <c r="Q1079" s="6" t="str">
        <f>IF(COUNTIF(Analysis!$M$2:$M$3001,Analysis!$M2458)&gt;1,"Duplicate","OK")</f>
        <v>OK</v>
      </c>
      <c r="R1079" s="6" t="str">
        <f t="shared" si="1"/>
        <v>3600+</v>
      </c>
      <c r="S1079" s="6">
        <f t="shared" si="2"/>
        <v>54</v>
      </c>
      <c r="T1079" s="6" t="str">
        <f t="shared" si="3"/>
        <v>Old</v>
      </c>
    </row>
    <row r="1080" ht="14.25" customHeight="1">
      <c r="A1080" s="5">
        <v>1133236.0</v>
      </c>
      <c r="B1080" s="6" t="s">
        <v>4359</v>
      </c>
      <c r="C1080" s="6" t="s">
        <v>53</v>
      </c>
      <c r="D1080" s="6">
        <v>51028.0</v>
      </c>
      <c r="E1080" s="6" t="s">
        <v>19</v>
      </c>
      <c r="F1080" s="6" t="s">
        <v>20</v>
      </c>
      <c r="G1080" s="6" t="s">
        <v>31</v>
      </c>
      <c r="H1080" s="7">
        <v>3591.0</v>
      </c>
      <c r="I1080" s="7">
        <v>3911.0</v>
      </c>
      <c r="J1080" s="6">
        <v>2018.0</v>
      </c>
      <c r="K1080" s="6">
        <v>81.0</v>
      </c>
      <c r="L1080" s="6" t="s">
        <v>32</v>
      </c>
      <c r="M1080" s="6" t="s">
        <v>4360</v>
      </c>
      <c r="N1080" s="6" t="s">
        <v>64</v>
      </c>
      <c r="O1080" s="6" t="s">
        <v>25</v>
      </c>
      <c r="P1080" s="6">
        <f>COUNTIF(Analysis!$M$1:$M$3001,Analysis!$M1080)</f>
        <v>1</v>
      </c>
      <c r="Q1080" s="6" t="str">
        <f>IF(COUNTIF(Analysis!$M$2:$M$3001,Analysis!$M1080)&gt;1,"Duplicate","OK")</f>
        <v>OK</v>
      </c>
      <c r="R1080" s="6" t="str">
        <f t="shared" si="1"/>
        <v>2600-3600</v>
      </c>
      <c r="S1080" s="6">
        <f t="shared" si="2"/>
        <v>8</v>
      </c>
      <c r="T1080" s="6" t="str">
        <f t="shared" si="3"/>
        <v>New</v>
      </c>
    </row>
    <row r="1081" ht="14.25" customHeight="1">
      <c r="A1081" s="5">
        <v>912802.0</v>
      </c>
      <c r="B1081" s="6" t="s">
        <v>4363</v>
      </c>
      <c r="C1081" s="6" t="s">
        <v>18</v>
      </c>
      <c r="D1081" s="6">
        <v>33055.0</v>
      </c>
      <c r="E1081" s="6" t="s">
        <v>77</v>
      </c>
      <c r="F1081" s="6" t="s">
        <v>94</v>
      </c>
      <c r="G1081" s="6" t="s">
        <v>55</v>
      </c>
      <c r="H1081" s="7">
        <v>3062.0</v>
      </c>
      <c r="I1081" s="7">
        <v>4342.0</v>
      </c>
      <c r="J1081" s="6">
        <v>2022.0</v>
      </c>
      <c r="K1081" s="6">
        <v>53.0</v>
      </c>
      <c r="L1081" s="6" t="s">
        <v>62</v>
      </c>
      <c r="M1081" s="6" t="s">
        <v>4364</v>
      </c>
      <c r="N1081" s="6" t="s">
        <v>48</v>
      </c>
      <c r="O1081" s="6" t="s">
        <v>49</v>
      </c>
      <c r="P1081" s="6">
        <f>COUNTIF(Analysis!$M$1:$M$3001,Analysis!$M1081)</f>
        <v>1</v>
      </c>
      <c r="Q1081" s="6" t="str">
        <f>IF(COUNTIF(Analysis!$M$2:$M$3001,Analysis!$M1081)&gt;1,"Duplicate","OK")</f>
        <v>OK</v>
      </c>
      <c r="R1081" s="6" t="str">
        <f t="shared" si="1"/>
        <v>2600-3600</v>
      </c>
      <c r="S1081" s="6">
        <f t="shared" si="2"/>
        <v>4</v>
      </c>
      <c r="T1081" s="6" t="str">
        <f t="shared" si="3"/>
        <v>New</v>
      </c>
    </row>
    <row r="1082" ht="14.25" customHeight="1">
      <c r="A1082" s="5">
        <v>583291.0</v>
      </c>
      <c r="B1082" s="6" t="s">
        <v>4367</v>
      </c>
      <c r="C1082" s="6" t="s">
        <v>76</v>
      </c>
      <c r="D1082" s="6">
        <v>20542.0</v>
      </c>
      <c r="E1082" s="6" t="s">
        <v>77</v>
      </c>
      <c r="F1082" s="6" t="s">
        <v>61</v>
      </c>
      <c r="G1082" s="6" t="s">
        <v>100</v>
      </c>
      <c r="H1082" s="7">
        <v>3609.0</v>
      </c>
      <c r="I1082" s="7">
        <v>1978.0</v>
      </c>
      <c r="J1082" s="6">
        <v>1957.0</v>
      </c>
      <c r="K1082" s="6">
        <v>8.0</v>
      </c>
      <c r="L1082" s="6" t="s">
        <v>62</v>
      </c>
      <c r="M1082" s="6" t="s">
        <v>4368</v>
      </c>
      <c r="N1082" s="6" t="s">
        <v>48</v>
      </c>
      <c r="O1082" s="6" t="s">
        <v>25</v>
      </c>
      <c r="P1082" s="6">
        <f>COUNTIF(Analysis!$M$1:$M$3001,Analysis!$M1082)</f>
        <v>1</v>
      </c>
      <c r="Q1082" s="6" t="str">
        <f>IF(COUNTIF(Analysis!$M$2:$M$3001,Analysis!$M1082)&gt;1,"Duplicate","OK")</f>
        <v>OK</v>
      </c>
      <c r="R1082" s="6" t="str">
        <f t="shared" si="1"/>
        <v>3600+</v>
      </c>
      <c r="S1082" s="6">
        <f t="shared" si="2"/>
        <v>69</v>
      </c>
      <c r="T1082" s="6" t="str">
        <f t="shared" si="3"/>
        <v>Very Old</v>
      </c>
    </row>
    <row r="1083" ht="14.25" customHeight="1">
      <c r="A1083" s="5">
        <v>320388.0</v>
      </c>
      <c r="B1083" s="6" t="s">
        <v>4371</v>
      </c>
      <c r="C1083" s="6" t="s">
        <v>39</v>
      </c>
      <c r="D1083" s="6">
        <v>51883.0</v>
      </c>
      <c r="E1083" s="6" t="s">
        <v>60</v>
      </c>
      <c r="F1083" s="6" t="s">
        <v>20</v>
      </c>
      <c r="G1083" s="6" t="s">
        <v>21</v>
      </c>
      <c r="H1083" s="7">
        <v>1502.0</v>
      </c>
      <c r="I1083" s="7">
        <v>3083.0</v>
      </c>
      <c r="J1083" s="6">
        <v>1963.0</v>
      </c>
      <c r="K1083" s="6">
        <v>63.0</v>
      </c>
      <c r="L1083" s="6" t="s">
        <v>141</v>
      </c>
      <c r="M1083" s="6" t="s">
        <v>4372</v>
      </c>
      <c r="N1083" s="6" t="s">
        <v>48</v>
      </c>
      <c r="O1083" s="6" t="s">
        <v>35</v>
      </c>
      <c r="P1083" s="6">
        <f>COUNTIF(Analysis!$M$1:$M$3001,Analysis!$M1083)</f>
        <v>1</v>
      </c>
      <c r="Q1083" s="6" t="str">
        <f>IF(COUNTIF(Analysis!$M$2:$M$3001,Analysis!$M1083)&gt;1,"Duplicate","OK")</f>
        <v>OK</v>
      </c>
      <c r="R1083" s="6" t="str">
        <f t="shared" si="1"/>
        <v>600-1600</v>
      </c>
      <c r="S1083" s="6">
        <f t="shared" si="2"/>
        <v>63</v>
      </c>
      <c r="T1083" s="6" t="str">
        <f t="shared" si="3"/>
        <v>Very Old</v>
      </c>
    </row>
    <row r="1084" ht="14.25" customHeight="1">
      <c r="A1084" s="5">
        <v>174689.0</v>
      </c>
      <c r="B1084" s="6" t="s">
        <v>4375</v>
      </c>
      <c r="C1084" s="6" t="s">
        <v>53</v>
      </c>
      <c r="D1084" s="6">
        <v>69649.0</v>
      </c>
      <c r="E1084" s="6" t="s">
        <v>30</v>
      </c>
      <c r="F1084" s="6" t="s">
        <v>94</v>
      </c>
      <c r="G1084" s="6" t="s">
        <v>100</v>
      </c>
      <c r="H1084" s="7">
        <v>3129.0</v>
      </c>
      <c r="I1084" s="7">
        <v>5359.0</v>
      </c>
      <c r="J1084" s="6">
        <v>1988.0</v>
      </c>
      <c r="K1084" s="6">
        <v>17.0</v>
      </c>
      <c r="L1084" s="6" t="s">
        <v>32</v>
      </c>
      <c r="M1084" s="6" t="s">
        <v>4376</v>
      </c>
      <c r="N1084" s="6" t="s">
        <v>64</v>
      </c>
      <c r="O1084" s="6" t="s">
        <v>49</v>
      </c>
      <c r="P1084" s="6">
        <f>COUNTIF(Analysis!$M$1:$M$3001,Analysis!$M1084)</f>
        <v>1</v>
      </c>
      <c r="Q1084" s="6" t="str">
        <f>IF(COUNTIF(Analysis!$M$2:$M$3001,Analysis!$M1084)&gt;1,"Duplicate","OK")</f>
        <v>OK</v>
      </c>
      <c r="R1084" s="6" t="str">
        <f t="shared" si="1"/>
        <v>2600-3600</v>
      </c>
      <c r="S1084" s="6">
        <f t="shared" si="2"/>
        <v>38</v>
      </c>
      <c r="T1084" s="6" t="str">
        <f t="shared" si="3"/>
        <v>Old</v>
      </c>
    </row>
    <row r="1085" ht="14.25" customHeight="1">
      <c r="A1085" s="5">
        <v>211758.0</v>
      </c>
      <c r="B1085" s="6" t="s">
        <v>4379</v>
      </c>
      <c r="C1085" s="6" t="s">
        <v>39</v>
      </c>
      <c r="D1085" s="6">
        <v>26310.0</v>
      </c>
      <c r="E1085" s="6" t="s">
        <v>60</v>
      </c>
      <c r="F1085" s="6" t="s">
        <v>20</v>
      </c>
      <c r="G1085" s="6" t="s">
        <v>100</v>
      </c>
      <c r="H1085" s="7">
        <v>3624.0</v>
      </c>
      <c r="I1085" s="7">
        <v>2602.0</v>
      </c>
      <c r="J1085" s="6">
        <v>1951.0</v>
      </c>
      <c r="K1085" s="6">
        <v>80.0</v>
      </c>
      <c r="L1085" s="6" t="s">
        <v>95</v>
      </c>
      <c r="M1085" s="6" t="s">
        <v>4380</v>
      </c>
      <c r="N1085" s="6" t="s">
        <v>24</v>
      </c>
      <c r="O1085" s="6" t="s">
        <v>49</v>
      </c>
      <c r="P1085" s="6">
        <f>COUNTIF(Analysis!$M$1:$M$3001,Analysis!$M1085)</f>
        <v>1</v>
      </c>
      <c r="Q1085" s="6" t="str">
        <f>IF(COUNTIF(Analysis!$M$2:$M$3001,Analysis!$M1085)&gt;1,"Duplicate","OK")</f>
        <v>OK</v>
      </c>
      <c r="R1085" s="6" t="str">
        <f t="shared" si="1"/>
        <v>3600+</v>
      </c>
      <c r="S1085" s="6">
        <f t="shared" si="2"/>
        <v>75</v>
      </c>
      <c r="T1085" s="6" t="str">
        <f t="shared" si="3"/>
        <v>Very Old</v>
      </c>
    </row>
    <row r="1086" ht="14.25" customHeight="1">
      <c r="A1086" s="5">
        <v>1202747.0</v>
      </c>
      <c r="B1086" s="6" t="s">
        <v>4383</v>
      </c>
      <c r="C1086" s="6" t="s">
        <v>18</v>
      </c>
      <c r="D1086" s="6">
        <v>87696.0</v>
      </c>
      <c r="E1086" s="6" t="s">
        <v>60</v>
      </c>
      <c r="F1086" s="6" t="s">
        <v>46</v>
      </c>
      <c r="G1086" s="6" t="s">
        <v>21</v>
      </c>
      <c r="H1086" s="7">
        <v>846.0</v>
      </c>
      <c r="I1086" s="7">
        <v>6962.0</v>
      </c>
      <c r="J1086" s="6">
        <v>1957.0</v>
      </c>
      <c r="K1086" s="6">
        <v>38.0</v>
      </c>
      <c r="L1086" s="6" t="s">
        <v>141</v>
      </c>
      <c r="M1086" s="6" t="s">
        <v>4384</v>
      </c>
      <c r="N1086" s="6" t="s">
        <v>48</v>
      </c>
      <c r="O1086" s="6" t="s">
        <v>49</v>
      </c>
      <c r="P1086" s="6">
        <f>COUNTIF(Analysis!$M$1:$M$3001,Analysis!$M1086)</f>
        <v>1</v>
      </c>
      <c r="Q1086" s="6" t="str">
        <f>IF(COUNTIF(Analysis!$M$2:$M$3001,Analysis!$M1086)&gt;1,"Duplicate","OK")</f>
        <v>OK</v>
      </c>
      <c r="R1086" s="6" t="str">
        <f t="shared" si="1"/>
        <v>600-1600</v>
      </c>
      <c r="S1086" s="6">
        <f t="shared" si="2"/>
        <v>69</v>
      </c>
      <c r="T1086" s="6" t="str">
        <f t="shared" si="3"/>
        <v>Very Old</v>
      </c>
    </row>
    <row r="1087" ht="14.25" customHeight="1">
      <c r="A1087" s="5">
        <v>706435.0</v>
      </c>
      <c r="B1087" s="6" t="s">
        <v>4387</v>
      </c>
      <c r="C1087" s="6" t="s">
        <v>39</v>
      </c>
      <c r="D1087" s="6">
        <v>68739.0</v>
      </c>
      <c r="E1087" s="6" t="s">
        <v>60</v>
      </c>
      <c r="F1087" s="6" t="s">
        <v>94</v>
      </c>
      <c r="G1087" s="6" t="s">
        <v>55</v>
      </c>
      <c r="H1087" s="7">
        <v>1266.0</v>
      </c>
      <c r="I1087" s="7">
        <v>7785.0</v>
      </c>
      <c r="J1087" s="6">
        <v>1984.0</v>
      </c>
      <c r="K1087" s="6">
        <v>78.0</v>
      </c>
      <c r="L1087" s="6" t="s">
        <v>22</v>
      </c>
      <c r="M1087" s="6" t="s">
        <v>4388</v>
      </c>
      <c r="N1087" s="6" t="s">
        <v>64</v>
      </c>
      <c r="O1087" s="6" t="s">
        <v>25</v>
      </c>
      <c r="P1087" s="6">
        <f>COUNTIF(Analysis!$M$1:$M$3001,Analysis!$M1087)</f>
        <v>1</v>
      </c>
      <c r="Q1087" s="6" t="str">
        <f>IF(COUNTIF(Analysis!$M$2:$M$3001,Analysis!$M1087)&gt;1,"Duplicate","OK")</f>
        <v>OK</v>
      </c>
      <c r="R1087" s="6" t="str">
        <f t="shared" si="1"/>
        <v>600-1600</v>
      </c>
      <c r="S1087" s="6">
        <f t="shared" si="2"/>
        <v>42</v>
      </c>
      <c r="T1087" s="6" t="str">
        <f t="shared" si="3"/>
        <v>Old</v>
      </c>
    </row>
    <row r="1088" ht="14.25" customHeight="1">
      <c r="A1088" s="5">
        <v>151954.0</v>
      </c>
      <c r="B1088" s="6" t="s">
        <v>4391</v>
      </c>
      <c r="C1088" s="6" t="s">
        <v>39</v>
      </c>
      <c r="D1088" s="6">
        <v>19818.0</v>
      </c>
      <c r="E1088" s="6" t="s">
        <v>40</v>
      </c>
      <c r="F1088" s="6" t="s">
        <v>61</v>
      </c>
      <c r="G1088" s="6" t="s">
        <v>21</v>
      </c>
      <c r="H1088" s="7">
        <v>2074.0</v>
      </c>
      <c r="I1088" s="7">
        <v>6680.0</v>
      </c>
      <c r="J1088" s="6">
        <v>1995.0</v>
      </c>
      <c r="K1088" s="6">
        <v>13.0</v>
      </c>
      <c r="L1088" s="6" t="s">
        <v>32</v>
      </c>
      <c r="M1088" s="6" t="s">
        <v>4392</v>
      </c>
      <c r="N1088" s="6" t="s">
        <v>64</v>
      </c>
      <c r="O1088" s="6" t="s">
        <v>49</v>
      </c>
      <c r="P1088" s="6">
        <f>COUNTIF(Analysis!$M$1:$M$3001,Analysis!$M1088)</f>
        <v>1</v>
      </c>
      <c r="Q1088" s="6" t="str">
        <f>IF(COUNTIF(Analysis!$M$2:$M$3001,Analysis!$M1088)&gt;1,"Duplicate","OK")</f>
        <v>OK</v>
      </c>
      <c r="R1088" s="6" t="str">
        <f t="shared" si="1"/>
        <v>1600-2600</v>
      </c>
      <c r="S1088" s="6">
        <f t="shared" si="2"/>
        <v>31</v>
      </c>
      <c r="T1088" s="6" t="str">
        <f t="shared" si="3"/>
        <v>Old</v>
      </c>
    </row>
    <row r="1089" ht="14.25" customHeight="1">
      <c r="A1089" s="5">
        <v>1250763.0</v>
      </c>
      <c r="B1089" s="6" t="s">
        <v>4395</v>
      </c>
      <c r="C1089" s="6" t="s">
        <v>76</v>
      </c>
      <c r="D1089" s="6">
        <v>14016.0</v>
      </c>
      <c r="E1089" s="6" t="s">
        <v>19</v>
      </c>
      <c r="F1089" s="6" t="s">
        <v>46</v>
      </c>
      <c r="G1089" s="6" t="s">
        <v>100</v>
      </c>
      <c r="H1089" s="7">
        <v>1531.0</v>
      </c>
      <c r="I1089" s="7">
        <v>3371.0</v>
      </c>
      <c r="J1089" s="6">
        <v>1977.0</v>
      </c>
      <c r="K1089" s="6">
        <v>112.0</v>
      </c>
      <c r="L1089" s="6" t="s">
        <v>62</v>
      </c>
      <c r="M1089" s="6" t="s">
        <v>4396</v>
      </c>
      <c r="N1089" s="6" t="s">
        <v>34</v>
      </c>
      <c r="O1089" s="6" t="s">
        <v>35</v>
      </c>
      <c r="P1089" s="6">
        <f>COUNTIF(Analysis!$M$1:$M$3001,Analysis!$M1089)</f>
        <v>1</v>
      </c>
      <c r="Q1089" s="6" t="str">
        <f>IF(COUNTIF(Analysis!$M$2:$M$3001,Analysis!$M1089)&gt;1,"Duplicate","OK")</f>
        <v>OK</v>
      </c>
      <c r="R1089" s="6" t="str">
        <f t="shared" si="1"/>
        <v>600-1600</v>
      </c>
      <c r="S1089" s="6">
        <f t="shared" si="2"/>
        <v>49</v>
      </c>
      <c r="T1089" s="6" t="str">
        <f t="shared" si="3"/>
        <v>Old</v>
      </c>
    </row>
    <row r="1090" ht="14.25" customHeight="1">
      <c r="A1090" s="5">
        <v>985809.0</v>
      </c>
      <c r="B1090" s="6" t="s">
        <v>4399</v>
      </c>
      <c r="C1090" s="6" t="s">
        <v>18</v>
      </c>
      <c r="D1090" s="6">
        <v>57110.0</v>
      </c>
      <c r="E1090" s="6" t="s">
        <v>30</v>
      </c>
      <c r="F1090" s="6" t="s">
        <v>94</v>
      </c>
      <c r="G1090" s="6" t="s">
        <v>100</v>
      </c>
      <c r="H1090" s="7">
        <v>1958.0</v>
      </c>
      <c r="I1090" s="7">
        <v>5198.0</v>
      </c>
      <c r="J1090" s="6">
        <v>1979.0</v>
      </c>
      <c r="K1090" s="6">
        <v>19.0</v>
      </c>
      <c r="L1090" s="6" t="s">
        <v>32</v>
      </c>
      <c r="M1090" s="6" t="s">
        <v>4400</v>
      </c>
      <c r="N1090" s="6" t="s">
        <v>43</v>
      </c>
      <c r="O1090" s="6" t="s">
        <v>49</v>
      </c>
      <c r="P1090" s="6">
        <f>COUNTIF(Analysis!$M$1:$M$3001,Analysis!$M1090)</f>
        <v>1</v>
      </c>
      <c r="Q1090" s="6" t="str">
        <f>IF(COUNTIF(Analysis!$M$2:$M$3001,Analysis!$M1090)&gt;1,"Duplicate","OK")</f>
        <v>OK</v>
      </c>
      <c r="R1090" s="6" t="str">
        <f t="shared" si="1"/>
        <v>1600-2600</v>
      </c>
      <c r="S1090" s="6">
        <f t="shared" si="2"/>
        <v>47</v>
      </c>
      <c r="T1090" s="6" t="str">
        <f t="shared" si="3"/>
        <v>Old</v>
      </c>
    </row>
    <row r="1091" ht="14.25" customHeight="1">
      <c r="A1091" s="5">
        <v>780930.0</v>
      </c>
      <c r="B1091" s="6" t="s">
        <v>4403</v>
      </c>
      <c r="C1091" s="6" t="s">
        <v>76</v>
      </c>
      <c r="D1091" s="6">
        <v>67146.0</v>
      </c>
      <c r="E1091" s="6" t="s">
        <v>19</v>
      </c>
      <c r="F1091" s="6" t="s">
        <v>54</v>
      </c>
      <c r="G1091" s="6" t="s">
        <v>21</v>
      </c>
      <c r="H1091" s="7">
        <v>3767.0</v>
      </c>
      <c r="I1091" s="7">
        <v>8547.0</v>
      </c>
      <c r="J1091" s="6">
        <v>1969.0</v>
      </c>
      <c r="K1091" s="6">
        <v>44.0</v>
      </c>
      <c r="L1091" s="6" t="s">
        <v>22</v>
      </c>
      <c r="M1091" s="6" t="s">
        <v>4404</v>
      </c>
      <c r="N1091" s="6" t="s">
        <v>34</v>
      </c>
      <c r="O1091" s="6" t="s">
        <v>25</v>
      </c>
      <c r="P1091" s="6">
        <f>COUNTIF(Analysis!$M$1:$M$3001,Analysis!$M1091)</f>
        <v>1</v>
      </c>
      <c r="Q1091" s="6" t="str">
        <f>IF(COUNTIF(Analysis!$M$2:$M$3001,Analysis!$M1091)&gt;1,"Duplicate","OK")</f>
        <v>OK</v>
      </c>
      <c r="R1091" s="6" t="str">
        <f t="shared" si="1"/>
        <v>3600+</v>
      </c>
      <c r="S1091" s="6">
        <f t="shared" si="2"/>
        <v>57</v>
      </c>
      <c r="T1091" s="6" t="str">
        <f t="shared" si="3"/>
        <v>Old</v>
      </c>
    </row>
    <row r="1092" ht="14.25" customHeight="1">
      <c r="A1092" s="5">
        <v>1395740.0</v>
      </c>
      <c r="B1092" s="6" t="s">
        <v>4407</v>
      </c>
      <c r="C1092" s="6" t="s">
        <v>18</v>
      </c>
      <c r="D1092" s="6">
        <v>37975.0</v>
      </c>
      <c r="E1092" s="6" t="s">
        <v>19</v>
      </c>
      <c r="F1092" s="6" t="s">
        <v>61</v>
      </c>
      <c r="G1092" s="6" t="s">
        <v>21</v>
      </c>
      <c r="H1092" s="7">
        <v>3602.0</v>
      </c>
      <c r="I1092" s="7">
        <v>7982.0</v>
      </c>
      <c r="J1092" s="6">
        <v>2005.0</v>
      </c>
      <c r="K1092" s="6">
        <v>92.0</v>
      </c>
      <c r="L1092" s="6" t="s">
        <v>141</v>
      </c>
      <c r="M1092" s="6" t="s">
        <v>4408</v>
      </c>
      <c r="N1092" s="6" t="s">
        <v>24</v>
      </c>
      <c r="O1092" s="6" t="s">
        <v>35</v>
      </c>
      <c r="P1092" s="6">
        <f>COUNTIF(Analysis!$M$1:$M$3001,Analysis!$M1092)</f>
        <v>1</v>
      </c>
      <c r="Q1092" s="6" t="str">
        <f>IF(COUNTIF(Analysis!$M$2:$M$3001,Analysis!$M1092)&gt;1,"Duplicate","OK")</f>
        <v>OK</v>
      </c>
      <c r="R1092" s="6" t="str">
        <f t="shared" si="1"/>
        <v>3600+</v>
      </c>
      <c r="S1092" s="6">
        <f t="shared" si="2"/>
        <v>21</v>
      </c>
      <c r="T1092" s="6" t="str">
        <f t="shared" si="3"/>
        <v>Mid</v>
      </c>
    </row>
    <row r="1093" ht="14.25" customHeight="1">
      <c r="A1093" s="5">
        <v>628075.0</v>
      </c>
      <c r="B1093" s="6" t="s">
        <v>6217</v>
      </c>
      <c r="C1093" s="6" t="s">
        <v>29</v>
      </c>
      <c r="D1093" s="6">
        <v>94763.0</v>
      </c>
      <c r="E1093" s="6" t="s">
        <v>30</v>
      </c>
      <c r="F1093" s="6" t="s">
        <v>41</v>
      </c>
      <c r="G1093" s="6" t="s">
        <v>31</v>
      </c>
      <c r="H1093" s="7">
        <v>3141.0</v>
      </c>
      <c r="I1093" s="7">
        <v>8542.0</v>
      </c>
      <c r="J1093" s="6">
        <v>1992.0</v>
      </c>
      <c r="K1093" s="6">
        <v>117.0</v>
      </c>
      <c r="L1093" s="6" t="s">
        <v>95</v>
      </c>
      <c r="M1093" s="6" t="s">
        <v>6218</v>
      </c>
      <c r="N1093" s="6" t="s">
        <v>43</v>
      </c>
      <c r="O1093" s="6" t="s">
        <v>49</v>
      </c>
      <c r="P1093" s="6">
        <f>COUNTIF(Analysis!$M$1:$M$3001,Analysis!$M1545)</f>
        <v>1</v>
      </c>
      <c r="Q1093" s="6" t="str">
        <f>IF(COUNTIF(Analysis!$M$2:$M$3001,Analysis!$M1545)&gt;1,"Duplicate","OK")</f>
        <v>OK</v>
      </c>
      <c r="R1093" s="6" t="str">
        <f t="shared" si="1"/>
        <v>2600-3600</v>
      </c>
      <c r="S1093" s="6">
        <f t="shared" si="2"/>
        <v>34</v>
      </c>
      <c r="T1093" s="6" t="str">
        <f t="shared" si="3"/>
        <v>Old</v>
      </c>
    </row>
    <row r="1094" ht="14.25" customHeight="1">
      <c r="A1094" s="5">
        <v>130879.0</v>
      </c>
      <c r="B1094" s="6" t="s">
        <v>4415</v>
      </c>
      <c r="C1094" s="6" t="s">
        <v>53</v>
      </c>
      <c r="D1094" s="6">
        <v>16548.0</v>
      </c>
      <c r="E1094" s="6" t="s">
        <v>77</v>
      </c>
      <c r="F1094" s="6" t="s">
        <v>54</v>
      </c>
      <c r="G1094" s="6" t="s">
        <v>55</v>
      </c>
      <c r="H1094" s="7">
        <v>2422.0</v>
      </c>
      <c r="I1094" s="7">
        <v>6875.0</v>
      </c>
      <c r="J1094" s="6">
        <v>2002.0</v>
      </c>
      <c r="K1094" s="6">
        <v>107.0</v>
      </c>
      <c r="L1094" s="6" t="s">
        <v>95</v>
      </c>
      <c r="M1094" s="6" t="s">
        <v>4416</v>
      </c>
      <c r="N1094" s="6" t="s">
        <v>64</v>
      </c>
      <c r="O1094" s="6" t="s">
        <v>35</v>
      </c>
      <c r="P1094" s="6">
        <f>COUNTIF(Analysis!$M$1:$M$3001,Analysis!$M1094)</f>
        <v>1</v>
      </c>
      <c r="Q1094" s="6" t="str">
        <f>IF(COUNTIF(Analysis!$M$2:$M$3001,Analysis!$M1094)&gt;1,"Duplicate","OK")</f>
        <v>OK</v>
      </c>
      <c r="R1094" s="6" t="str">
        <f t="shared" si="1"/>
        <v>1600-2600</v>
      </c>
      <c r="S1094" s="6">
        <f t="shared" si="2"/>
        <v>24</v>
      </c>
      <c r="T1094" s="6" t="str">
        <f t="shared" si="3"/>
        <v>Mid</v>
      </c>
    </row>
    <row r="1095" ht="14.25" customHeight="1">
      <c r="A1095" s="5">
        <v>586629.0</v>
      </c>
      <c r="B1095" s="6" t="s">
        <v>4419</v>
      </c>
      <c r="C1095" s="6" t="s">
        <v>53</v>
      </c>
      <c r="D1095" s="6">
        <v>30666.0</v>
      </c>
      <c r="E1095" s="6" t="s">
        <v>19</v>
      </c>
      <c r="F1095" s="6" t="s">
        <v>20</v>
      </c>
      <c r="G1095" s="6" t="s">
        <v>55</v>
      </c>
      <c r="H1095" s="7">
        <v>1873.0</v>
      </c>
      <c r="I1095" s="7">
        <v>1293.0</v>
      </c>
      <c r="J1095" s="6">
        <v>1963.0</v>
      </c>
      <c r="K1095" s="6">
        <v>84.0</v>
      </c>
      <c r="L1095" s="6" t="s">
        <v>141</v>
      </c>
      <c r="M1095" s="6" t="s">
        <v>4420</v>
      </c>
      <c r="N1095" s="6" t="s">
        <v>24</v>
      </c>
      <c r="O1095" s="6" t="s">
        <v>25</v>
      </c>
      <c r="P1095" s="6">
        <f>COUNTIF(Analysis!$M$1:$M$3001,Analysis!$M1095)</f>
        <v>1</v>
      </c>
      <c r="Q1095" s="6" t="str">
        <f>IF(COUNTIF(Analysis!$M$2:$M$3001,Analysis!$M1095)&gt;1,"Duplicate","OK")</f>
        <v>OK</v>
      </c>
      <c r="R1095" s="6" t="str">
        <f t="shared" si="1"/>
        <v>1600-2600</v>
      </c>
      <c r="S1095" s="6">
        <f t="shared" si="2"/>
        <v>63</v>
      </c>
      <c r="T1095" s="6" t="str">
        <f t="shared" si="3"/>
        <v>Very Old</v>
      </c>
    </row>
    <row r="1096" ht="14.25" customHeight="1">
      <c r="A1096" s="5">
        <v>848988.0</v>
      </c>
      <c r="B1096" s="6" t="s">
        <v>4423</v>
      </c>
      <c r="C1096" s="6" t="s">
        <v>39</v>
      </c>
      <c r="D1096" s="6">
        <v>58922.0</v>
      </c>
      <c r="E1096" s="6" t="s">
        <v>60</v>
      </c>
      <c r="F1096" s="6" t="s">
        <v>54</v>
      </c>
      <c r="G1096" s="6" t="s">
        <v>21</v>
      </c>
      <c r="H1096" s="7">
        <v>2099.0</v>
      </c>
      <c r="I1096" s="7">
        <v>6716.0</v>
      </c>
      <c r="J1096" s="6">
        <v>1970.0</v>
      </c>
      <c r="K1096" s="6">
        <v>115.0</v>
      </c>
      <c r="L1096" s="6" t="s">
        <v>22</v>
      </c>
      <c r="M1096" s="6" t="s">
        <v>4424</v>
      </c>
      <c r="N1096" s="6" t="s">
        <v>64</v>
      </c>
      <c r="O1096" s="6" t="s">
        <v>25</v>
      </c>
      <c r="P1096" s="6">
        <f>COUNTIF(Analysis!$M$1:$M$3001,Analysis!$M1096)</f>
        <v>1</v>
      </c>
      <c r="Q1096" s="6" t="str">
        <f>IF(COUNTIF(Analysis!$M$2:$M$3001,Analysis!$M1096)&gt;1,"Duplicate","OK")</f>
        <v>OK</v>
      </c>
      <c r="R1096" s="6" t="str">
        <f t="shared" si="1"/>
        <v>1600-2600</v>
      </c>
      <c r="S1096" s="6">
        <f t="shared" si="2"/>
        <v>56</v>
      </c>
      <c r="T1096" s="6" t="str">
        <f t="shared" si="3"/>
        <v>Old</v>
      </c>
    </row>
    <row r="1097" ht="14.25" customHeight="1">
      <c r="A1097" s="5">
        <v>1092098.0</v>
      </c>
      <c r="B1097" s="6" t="s">
        <v>4427</v>
      </c>
      <c r="C1097" s="6" t="s">
        <v>18</v>
      </c>
      <c r="D1097" s="6">
        <v>96253.0</v>
      </c>
      <c r="E1097" s="6" t="s">
        <v>60</v>
      </c>
      <c r="F1097" s="6" t="s">
        <v>61</v>
      </c>
      <c r="G1097" s="6" t="s">
        <v>100</v>
      </c>
      <c r="H1097" s="7">
        <v>1976.0</v>
      </c>
      <c r="I1097" s="7">
        <v>8980.0</v>
      </c>
      <c r="J1097" s="6">
        <v>1996.0</v>
      </c>
      <c r="K1097" s="6">
        <v>111.0</v>
      </c>
      <c r="L1097" s="6" t="s">
        <v>22</v>
      </c>
      <c r="M1097" s="6" t="s">
        <v>4428</v>
      </c>
      <c r="N1097" s="6" t="s">
        <v>24</v>
      </c>
      <c r="O1097" s="6" t="s">
        <v>25</v>
      </c>
      <c r="P1097" s="6">
        <f>COUNTIF(Analysis!$M$1:$M$3001,Analysis!$M1097)</f>
        <v>1</v>
      </c>
      <c r="Q1097" s="6" t="str">
        <f>IF(COUNTIF(Analysis!$M$2:$M$3001,Analysis!$M1097)&gt;1,"Duplicate","OK")</f>
        <v>OK</v>
      </c>
      <c r="R1097" s="6" t="str">
        <f t="shared" si="1"/>
        <v>1600-2600</v>
      </c>
      <c r="S1097" s="6">
        <f t="shared" si="2"/>
        <v>30</v>
      </c>
      <c r="T1097" s="6" t="str">
        <f t="shared" si="3"/>
        <v>Mid</v>
      </c>
    </row>
    <row r="1098" ht="14.25" customHeight="1">
      <c r="A1098" s="5">
        <v>193142.0</v>
      </c>
      <c r="B1098" s="6" t="s">
        <v>4431</v>
      </c>
      <c r="C1098" s="6" t="s">
        <v>76</v>
      </c>
      <c r="D1098" s="6">
        <v>51463.0</v>
      </c>
      <c r="E1098" s="6" t="s">
        <v>77</v>
      </c>
      <c r="F1098" s="6" t="s">
        <v>41</v>
      </c>
      <c r="G1098" s="6" t="s">
        <v>31</v>
      </c>
      <c r="H1098" s="7">
        <v>2665.0</v>
      </c>
      <c r="I1098" s="7">
        <v>6800.0</v>
      </c>
      <c r="J1098" s="6">
        <v>2011.0</v>
      </c>
      <c r="K1098" s="6">
        <v>96.0</v>
      </c>
      <c r="L1098" s="6" t="s">
        <v>32</v>
      </c>
      <c r="M1098" s="6" t="s">
        <v>4432</v>
      </c>
      <c r="N1098" s="6" t="s">
        <v>43</v>
      </c>
      <c r="O1098" s="6" t="s">
        <v>35</v>
      </c>
      <c r="P1098" s="6">
        <f>COUNTIF(Analysis!$M$1:$M$3001,Analysis!$M1098)</f>
        <v>1</v>
      </c>
      <c r="Q1098" s="6" t="str">
        <f>IF(COUNTIF(Analysis!$M$2:$M$3001,Analysis!$M1098)&gt;1,"Duplicate","OK")</f>
        <v>OK</v>
      </c>
      <c r="R1098" s="6" t="str">
        <f t="shared" si="1"/>
        <v>2600-3600</v>
      </c>
      <c r="S1098" s="6">
        <f t="shared" si="2"/>
        <v>15</v>
      </c>
      <c r="T1098" s="6" t="str">
        <f t="shared" si="3"/>
        <v>Mid</v>
      </c>
    </row>
    <row r="1099" ht="14.25" customHeight="1">
      <c r="A1099" s="5">
        <v>715251.0</v>
      </c>
      <c r="B1099" s="6" t="s">
        <v>4435</v>
      </c>
      <c r="C1099" s="6" t="s">
        <v>39</v>
      </c>
      <c r="D1099" s="6">
        <v>84864.0</v>
      </c>
      <c r="E1099" s="6" t="s">
        <v>77</v>
      </c>
      <c r="F1099" s="6" t="s">
        <v>46</v>
      </c>
      <c r="G1099" s="6" t="s">
        <v>100</v>
      </c>
      <c r="H1099" s="7">
        <v>1285.0</v>
      </c>
      <c r="I1099" s="7">
        <v>7229.0</v>
      </c>
      <c r="J1099" s="6">
        <v>1959.0</v>
      </c>
      <c r="K1099" s="6">
        <v>15.0</v>
      </c>
      <c r="L1099" s="6" t="s">
        <v>32</v>
      </c>
      <c r="M1099" s="6" t="s">
        <v>4436</v>
      </c>
      <c r="N1099" s="6" t="s">
        <v>34</v>
      </c>
      <c r="O1099" s="6" t="s">
        <v>49</v>
      </c>
      <c r="P1099" s="6">
        <f>COUNTIF(Analysis!$M$1:$M$3001,Analysis!$M1099)</f>
        <v>1</v>
      </c>
      <c r="Q1099" s="6" t="str">
        <f>IF(COUNTIF(Analysis!$M$2:$M$3001,Analysis!$M1099)&gt;1,"Duplicate","OK")</f>
        <v>OK</v>
      </c>
      <c r="R1099" s="6" t="str">
        <f t="shared" si="1"/>
        <v>600-1600</v>
      </c>
      <c r="S1099" s="6">
        <f t="shared" si="2"/>
        <v>67</v>
      </c>
      <c r="T1099" s="6" t="str">
        <f t="shared" si="3"/>
        <v>Very Old</v>
      </c>
    </row>
    <row r="1100" ht="14.25" customHeight="1">
      <c r="A1100" s="5">
        <v>1070802.0</v>
      </c>
      <c r="B1100" s="6" t="s">
        <v>4439</v>
      </c>
      <c r="C1100" s="6" t="s">
        <v>76</v>
      </c>
      <c r="D1100" s="6">
        <v>57762.0</v>
      </c>
      <c r="E1100" s="6" t="s">
        <v>60</v>
      </c>
      <c r="F1100" s="6" t="s">
        <v>94</v>
      </c>
      <c r="G1100" s="6" t="s">
        <v>21</v>
      </c>
      <c r="H1100" s="7">
        <v>1480.0</v>
      </c>
      <c r="I1100" s="7">
        <v>7730.0</v>
      </c>
      <c r="J1100" s="6">
        <v>1999.0</v>
      </c>
      <c r="K1100" s="6">
        <v>99.0</v>
      </c>
      <c r="L1100" s="6" t="s">
        <v>22</v>
      </c>
      <c r="M1100" s="6" t="s">
        <v>4440</v>
      </c>
      <c r="N1100" s="6" t="s">
        <v>64</v>
      </c>
      <c r="O1100" s="6" t="s">
        <v>25</v>
      </c>
      <c r="P1100" s="6">
        <f>COUNTIF(Analysis!$M$1:$M$3001,Analysis!$M1100)</f>
        <v>1</v>
      </c>
      <c r="Q1100" s="6" t="str">
        <f>IF(COUNTIF(Analysis!$M$2:$M$3001,Analysis!$M1100)&gt;1,"Duplicate","OK")</f>
        <v>OK</v>
      </c>
      <c r="R1100" s="6" t="str">
        <f t="shared" si="1"/>
        <v>600-1600</v>
      </c>
      <c r="S1100" s="6">
        <f t="shared" si="2"/>
        <v>27</v>
      </c>
      <c r="T1100" s="6" t="str">
        <f t="shared" si="3"/>
        <v>Mid</v>
      </c>
    </row>
    <row r="1101" ht="14.25" customHeight="1">
      <c r="A1101" s="5">
        <v>911772.0</v>
      </c>
      <c r="B1101" s="6" t="s">
        <v>4443</v>
      </c>
      <c r="C1101" s="6" t="s">
        <v>39</v>
      </c>
      <c r="D1101" s="6">
        <v>72473.0</v>
      </c>
      <c r="E1101" s="6" t="s">
        <v>19</v>
      </c>
      <c r="F1101" s="6" t="s">
        <v>54</v>
      </c>
      <c r="G1101" s="6" t="s">
        <v>31</v>
      </c>
      <c r="H1101" s="7">
        <v>3811.0</v>
      </c>
      <c r="I1101" s="7">
        <v>1523.0</v>
      </c>
      <c r="J1101" s="6">
        <v>1981.0</v>
      </c>
      <c r="K1101" s="6">
        <v>84.0</v>
      </c>
      <c r="L1101" s="6" t="s">
        <v>62</v>
      </c>
      <c r="M1101" s="6" t="s">
        <v>4444</v>
      </c>
      <c r="N1101" s="6" t="s">
        <v>34</v>
      </c>
      <c r="O1101" s="6" t="s">
        <v>35</v>
      </c>
      <c r="P1101" s="6">
        <f>COUNTIF(Analysis!$M$1:$M$3001,Analysis!$M1101)</f>
        <v>1</v>
      </c>
      <c r="Q1101" s="6" t="str">
        <f>IF(COUNTIF(Analysis!$M$2:$M$3001,Analysis!$M1101)&gt;1,"Duplicate","OK")</f>
        <v>OK</v>
      </c>
      <c r="R1101" s="6" t="str">
        <f t="shared" si="1"/>
        <v>3600+</v>
      </c>
      <c r="S1101" s="6">
        <f t="shared" si="2"/>
        <v>45</v>
      </c>
      <c r="T1101" s="6" t="str">
        <f t="shared" si="3"/>
        <v>Old</v>
      </c>
    </row>
    <row r="1102" ht="14.25" customHeight="1">
      <c r="A1102" s="5">
        <v>1095500.0</v>
      </c>
      <c r="B1102" s="6" t="s">
        <v>4447</v>
      </c>
      <c r="C1102" s="6" t="s">
        <v>76</v>
      </c>
      <c r="D1102" s="6">
        <v>95757.0</v>
      </c>
      <c r="E1102" s="6" t="s">
        <v>40</v>
      </c>
      <c r="F1102" s="6" t="s">
        <v>46</v>
      </c>
      <c r="G1102" s="6" t="s">
        <v>21</v>
      </c>
      <c r="H1102" s="7">
        <v>1130.0</v>
      </c>
      <c r="I1102" s="7">
        <v>1234.0</v>
      </c>
      <c r="J1102" s="6">
        <v>2018.0</v>
      </c>
      <c r="K1102" s="6">
        <v>118.0</v>
      </c>
      <c r="L1102" s="6" t="s">
        <v>62</v>
      </c>
      <c r="M1102" s="6" t="s">
        <v>4448</v>
      </c>
      <c r="N1102" s="6" t="s">
        <v>64</v>
      </c>
      <c r="O1102" s="6" t="s">
        <v>35</v>
      </c>
      <c r="P1102" s="6">
        <f>COUNTIF(Analysis!$M$1:$M$3001,Analysis!$M1102)</f>
        <v>1</v>
      </c>
      <c r="Q1102" s="6" t="str">
        <f>IF(COUNTIF(Analysis!$M$2:$M$3001,Analysis!$M1102)&gt;1,"Duplicate","OK")</f>
        <v>OK</v>
      </c>
      <c r="R1102" s="6" t="str">
        <f t="shared" si="1"/>
        <v>600-1600</v>
      </c>
      <c r="S1102" s="6">
        <f t="shared" si="2"/>
        <v>8</v>
      </c>
      <c r="T1102" s="6" t="str">
        <f t="shared" si="3"/>
        <v>New</v>
      </c>
    </row>
    <row r="1103" ht="14.25" customHeight="1">
      <c r="A1103" s="5">
        <v>868293.0</v>
      </c>
      <c r="B1103" s="6" t="s">
        <v>4451</v>
      </c>
      <c r="C1103" s="6" t="s">
        <v>76</v>
      </c>
      <c r="D1103" s="6">
        <v>33840.0</v>
      </c>
      <c r="E1103" s="6" t="s">
        <v>40</v>
      </c>
      <c r="F1103" s="6" t="s">
        <v>61</v>
      </c>
      <c r="G1103" s="6" t="s">
        <v>100</v>
      </c>
      <c r="H1103" s="7">
        <v>624.0</v>
      </c>
      <c r="I1103" s="7">
        <v>7729.0</v>
      </c>
      <c r="J1103" s="6">
        <v>2004.0</v>
      </c>
      <c r="K1103" s="6">
        <v>30.0</v>
      </c>
      <c r="L1103" s="6" t="s">
        <v>22</v>
      </c>
      <c r="M1103" s="6" t="s">
        <v>4452</v>
      </c>
      <c r="N1103" s="6" t="s">
        <v>24</v>
      </c>
      <c r="O1103" s="6" t="s">
        <v>25</v>
      </c>
      <c r="P1103" s="6">
        <f>COUNTIF(Analysis!$M$1:$M$3001,Analysis!$M1103)</f>
        <v>1</v>
      </c>
      <c r="Q1103" s="6" t="str">
        <f>IF(COUNTIF(Analysis!$M$2:$M$3001,Analysis!$M1103)&gt;1,"Duplicate","OK")</f>
        <v>OK</v>
      </c>
      <c r="R1103" s="6" t="str">
        <f t="shared" si="1"/>
        <v>600-1600</v>
      </c>
      <c r="S1103" s="6">
        <f t="shared" si="2"/>
        <v>22</v>
      </c>
      <c r="T1103" s="6" t="str">
        <f t="shared" si="3"/>
        <v>Mid</v>
      </c>
    </row>
    <row r="1104" ht="14.25" customHeight="1">
      <c r="A1104" s="5">
        <v>628592.0</v>
      </c>
      <c r="B1104" s="6" t="s">
        <v>2216</v>
      </c>
      <c r="C1104" s="6" t="s">
        <v>29</v>
      </c>
      <c r="D1104" s="6">
        <v>64477.0</v>
      </c>
      <c r="E1104" s="6" t="s">
        <v>40</v>
      </c>
      <c r="F1104" s="6" t="s">
        <v>54</v>
      </c>
      <c r="G1104" s="6" t="s">
        <v>55</v>
      </c>
      <c r="H1104" s="7">
        <v>3573.0</v>
      </c>
      <c r="I1104" s="7">
        <v>3110.0</v>
      </c>
      <c r="J1104" s="6">
        <v>1990.0</v>
      </c>
      <c r="K1104" s="6">
        <v>49.0</v>
      </c>
      <c r="L1104" s="6" t="s">
        <v>32</v>
      </c>
      <c r="M1104" s="6" t="s">
        <v>2217</v>
      </c>
      <c r="N1104" s="6" t="s">
        <v>48</v>
      </c>
      <c r="O1104" s="6" t="s">
        <v>25</v>
      </c>
      <c r="P1104" s="6">
        <f>COUNTIF(Analysis!$M$1:$M$3001,Analysis!$M544)</f>
        <v>1</v>
      </c>
      <c r="Q1104" s="6" t="str">
        <f>IF(COUNTIF(Analysis!$M$2:$M$3001,Analysis!$M544)&gt;1,"Duplicate","OK")</f>
        <v>OK</v>
      </c>
      <c r="R1104" s="6" t="str">
        <f t="shared" si="1"/>
        <v>2600-3600</v>
      </c>
      <c r="S1104" s="6">
        <f t="shared" si="2"/>
        <v>36</v>
      </c>
      <c r="T1104" s="6" t="str">
        <f t="shared" si="3"/>
        <v>Old</v>
      </c>
    </row>
    <row r="1105" ht="14.25" customHeight="1">
      <c r="A1105" s="5">
        <v>906684.0</v>
      </c>
      <c r="B1105" s="6" t="s">
        <v>4459</v>
      </c>
      <c r="C1105" s="6" t="s">
        <v>18</v>
      </c>
      <c r="D1105" s="6">
        <v>56900.0</v>
      </c>
      <c r="E1105" s="6" t="s">
        <v>40</v>
      </c>
      <c r="F1105" s="6" t="s">
        <v>46</v>
      </c>
      <c r="G1105" s="6" t="s">
        <v>100</v>
      </c>
      <c r="H1105" s="7">
        <v>3172.0</v>
      </c>
      <c r="I1105" s="7">
        <v>2369.0</v>
      </c>
      <c r="J1105" s="6">
        <v>2019.0</v>
      </c>
      <c r="K1105" s="6">
        <v>28.0</v>
      </c>
      <c r="L1105" s="6" t="s">
        <v>95</v>
      </c>
      <c r="M1105" s="6" t="s">
        <v>4460</v>
      </c>
      <c r="N1105" s="6" t="s">
        <v>64</v>
      </c>
      <c r="O1105" s="6" t="s">
        <v>49</v>
      </c>
      <c r="P1105" s="6">
        <f>COUNTIF(Analysis!$M$1:$M$3001,Analysis!$M1105)</f>
        <v>1</v>
      </c>
      <c r="Q1105" s="6" t="str">
        <f>IF(COUNTIF(Analysis!$M$2:$M$3001,Analysis!$M1105)&gt;1,"Duplicate","OK")</f>
        <v>OK</v>
      </c>
      <c r="R1105" s="6" t="str">
        <f t="shared" si="1"/>
        <v>2600-3600</v>
      </c>
      <c r="S1105" s="6">
        <f t="shared" si="2"/>
        <v>7</v>
      </c>
      <c r="T1105" s="6" t="str">
        <f t="shared" si="3"/>
        <v>New</v>
      </c>
    </row>
    <row r="1106" ht="14.25" customHeight="1">
      <c r="A1106" s="5">
        <v>811801.0</v>
      </c>
      <c r="B1106" s="6" t="s">
        <v>4463</v>
      </c>
      <c r="C1106" s="6" t="s">
        <v>76</v>
      </c>
      <c r="D1106" s="6">
        <v>24929.0</v>
      </c>
      <c r="E1106" s="6" t="s">
        <v>19</v>
      </c>
      <c r="F1106" s="6" t="s">
        <v>41</v>
      </c>
      <c r="G1106" s="6" t="s">
        <v>21</v>
      </c>
      <c r="H1106" s="7">
        <v>636.0</v>
      </c>
      <c r="I1106" s="7">
        <v>3670.0</v>
      </c>
      <c r="J1106" s="6">
        <v>1952.0</v>
      </c>
      <c r="K1106" s="6">
        <v>29.0</v>
      </c>
      <c r="L1106" s="6" t="s">
        <v>32</v>
      </c>
      <c r="M1106" s="6" t="s">
        <v>4464</v>
      </c>
      <c r="N1106" s="6" t="s">
        <v>24</v>
      </c>
      <c r="O1106" s="6" t="s">
        <v>49</v>
      </c>
      <c r="P1106" s="6">
        <f>COUNTIF(Analysis!$M$1:$M$3001,Analysis!$M1106)</f>
        <v>1</v>
      </c>
      <c r="Q1106" s="6" t="str">
        <f>IF(COUNTIF(Analysis!$M$2:$M$3001,Analysis!$M1106)&gt;1,"Duplicate","OK")</f>
        <v>OK</v>
      </c>
      <c r="R1106" s="6" t="str">
        <f t="shared" si="1"/>
        <v>600-1600</v>
      </c>
      <c r="S1106" s="6">
        <f t="shared" si="2"/>
        <v>74</v>
      </c>
      <c r="T1106" s="6" t="str">
        <f t="shared" si="3"/>
        <v>Very Old</v>
      </c>
    </row>
    <row r="1107" ht="14.25" customHeight="1">
      <c r="A1107" s="5">
        <v>631278.0</v>
      </c>
      <c r="B1107" s="6" t="s">
        <v>2152</v>
      </c>
      <c r="C1107" s="6" t="s">
        <v>29</v>
      </c>
      <c r="D1107" s="6">
        <v>46082.0</v>
      </c>
      <c r="E1107" s="6" t="s">
        <v>19</v>
      </c>
      <c r="F1107" s="6" t="s">
        <v>54</v>
      </c>
      <c r="G1107" s="6" t="s">
        <v>100</v>
      </c>
      <c r="H1107" s="7">
        <v>3866.0</v>
      </c>
      <c r="I1107" s="7">
        <v>4373.0</v>
      </c>
      <c r="J1107" s="6">
        <v>1982.0</v>
      </c>
      <c r="K1107" s="6">
        <v>110.0</v>
      </c>
      <c r="L1107" s="6" t="s">
        <v>22</v>
      </c>
      <c r="M1107" s="6" t="s">
        <v>2153</v>
      </c>
      <c r="N1107" s="6" t="s">
        <v>24</v>
      </c>
      <c r="O1107" s="6" t="s">
        <v>25</v>
      </c>
      <c r="P1107" s="6">
        <f>COUNTIF(Analysis!$M$1:$M$3001,Analysis!$M528)</f>
        <v>1</v>
      </c>
      <c r="Q1107" s="6" t="str">
        <f>IF(COUNTIF(Analysis!$M$2:$M$3001,Analysis!$M528)&gt;1,"Duplicate","OK")</f>
        <v>OK</v>
      </c>
      <c r="R1107" s="6" t="str">
        <f t="shared" si="1"/>
        <v>3600+</v>
      </c>
      <c r="S1107" s="6">
        <f t="shared" si="2"/>
        <v>44</v>
      </c>
      <c r="T1107" s="6" t="str">
        <f t="shared" si="3"/>
        <v>Old</v>
      </c>
    </row>
    <row r="1108" ht="14.25" customHeight="1">
      <c r="A1108" s="5">
        <v>980757.0</v>
      </c>
      <c r="B1108" s="6" t="s">
        <v>4471</v>
      </c>
      <c r="C1108" s="6" t="s">
        <v>76</v>
      </c>
      <c r="D1108" s="6">
        <v>38448.0</v>
      </c>
      <c r="E1108" s="6" t="s">
        <v>40</v>
      </c>
      <c r="F1108" s="6" t="s">
        <v>46</v>
      </c>
      <c r="G1108" s="6" t="s">
        <v>21</v>
      </c>
      <c r="H1108" s="7">
        <v>3231.0</v>
      </c>
      <c r="I1108" s="7">
        <v>6517.0</v>
      </c>
      <c r="J1108" s="6">
        <v>1991.0</v>
      </c>
      <c r="K1108" s="6">
        <v>61.0</v>
      </c>
      <c r="L1108" s="6" t="s">
        <v>22</v>
      </c>
      <c r="M1108" s="6" t="s">
        <v>4472</v>
      </c>
      <c r="N1108" s="6" t="s">
        <v>24</v>
      </c>
      <c r="O1108" s="6" t="s">
        <v>25</v>
      </c>
      <c r="P1108" s="6">
        <f>COUNTIF(Analysis!$M$1:$M$3001,Analysis!$M1108)</f>
        <v>1</v>
      </c>
      <c r="Q1108" s="6" t="str">
        <f>IF(COUNTIF(Analysis!$M$2:$M$3001,Analysis!$M1108)&gt;1,"Duplicate","OK")</f>
        <v>OK</v>
      </c>
      <c r="R1108" s="6" t="str">
        <f t="shared" si="1"/>
        <v>2600-3600</v>
      </c>
      <c r="S1108" s="6">
        <f t="shared" si="2"/>
        <v>35</v>
      </c>
      <c r="T1108" s="6" t="str">
        <f t="shared" si="3"/>
        <v>Old</v>
      </c>
    </row>
    <row r="1109" ht="14.25" customHeight="1">
      <c r="A1109" s="5">
        <v>327249.0</v>
      </c>
      <c r="B1109" s="6" t="s">
        <v>4475</v>
      </c>
      <c r="C1109" s="6" t="s">
        <v>18</v>
      </c>
      <c r="D1109" s="6">
        <v>62075.0</v>
      </c>
      <c r="E1109" s="6" t="s">
        <v>19</v>
      </c>
      <c r="F1109" s="6" t="s">
        <v>41</v>
      </c>
      <c r="G1109" s="6" t="s">
        <v>55</v>
      </c>
      <c r="H1109" s="7">
        <v>2634.0</v>
      </c>
      <c r="I1109" s="7">
        <v>3986.0</v>
      </c>
      <c r="J1109" s="6">
        <v>2003.0</v>
      </c>
      <c r="K1109" s="6">
        <v>119.0</v>
      </c>
      <c r="L1109" s="6" t="s">
        <v>141</v>
      </c>
      <c r="M1109" s="6" t="s">
        <v>4476</v>
      </c>
      <c r="N1109" s="6" t="s">
        <v>64</v>
      </c>
      <c r="O1109" s="6" t="s">
        <v>49</v>
      </c>
      <c r="P1109" s="6">
        <f>COUNTIF(Analysis!$M$1:$M$3001,Analysis!$M1109)</f>
        <v>1</v>
      </c>
      <c r="Q1109" s="6" t="str">
        <f>IF(COUNTIF(Analysis!$M$2:$M$3001,Analysis!$M1109)&gt;1,"Duplicate","OK")</f>
        <v>OK</v>
      </c>
      <c r="R1109" s="6" t="str">
        <f t="shared" si="1"/>
        <v>2600-3600</v>
      </c>
      <c r="S1109" s="6">
        <f t="shared" si="2"/>
        <v>23</v>
      </c>
      <c r="T1109" s="6" t="str">
        <f t="shared" si="3"/>
        <v>Mid</v>
      </c>
    </row>
    <row r="1110" ht="14.25" customHeight="1">
      <c r="A1110" s="5">
        <v>941729.0</v>
      </c>
      <c r="B1110" s="6" t="s">
        <v>4479</v>
      </c>
      <c r="C1110" s="6" t="s">
        <v>53</v>
      </c>
      <c r="D1110" s="6">
        <v>29846.0</v>
      </c>
      <c r="E1110" s="6" t="s">
        <v>19</v>
      </c>
      <c r="F1110" s="6" t="s">
        <v>54</v>
      </c>
      <c r="G1110" s="6" t="s">
        <v>21</v>
      </c>
      <c r="H1110" s="7">
        <v>2159.0</v>
      </c>
      <c r="I1110" s="7">
        <v>2528.0</v>
      </c>
      <c r="J1110" s="6">
        <v>2023.0</v>
      </c>
      <c r="K1110" s="6">
        <v>42.0</v>
      </c>
      <c r="L1110" s="6" t="s">
        <v>95</v>
      </c>
      <c r="M1110" s="6" t="s">
        <v>4480</v>
      </c>
      <c r="N1110" s="6" t="s">
        <v>34</v>
      </c>
      <c r="O1110" s="6" t="s">
        <v>49</v>
      </c>
      <c r="P1110" s="6">
        <f>COUNTIF(Analysis!$M$1:$M$3001,Analysis!$M1110)</f>
        <v>1</v>
      </c>
      <c r="Q1110" s="6" t="str">
        <f>IF(COUNTIF(Analysis!$M$2:$M$3001,Analysis!$M1110)&gt;1,"Duplicate","OK")</f>
        <v>OK</v>
      </c>
      <c r="R1110" s="6" t="str">
        <f t="shared" si="1"/>
        <v>1600-2600</v>
      </c>
      <c r="S1110" s="6">
        <f t="shared" si="2"/>
        <v>3</v>
      </c>
      <c r="T1110" s="6" t="str">
        <f t="shared" si="3"/>
        <v>New</v>
      </c>
    </row>
    <row r="1111" ht="14.25" customHeight="1">
      <c r="A1111" s="5">
        <v>1333634.0</v>
      </c>
      <c r="B1111" s="6" t="s">
        <v>4483</v>
      </c>
      <c r="C1111" s="6" t="s">
        <v>76</v>
      </c>
      <c r="D1111" s="6">
        <v>15184.0</v>
      </c>
      <c r="E1111" s="6" t="s">
        <v>60</v>
      </c>
      <c r="F1111" s="6" t="s">
        <v>94</v>
      </c>
      <c r="G1111" s="6" t="s">
        <v>55</v>
      </c>
      <c r="H1111" s="7">
        <v>1299.0</v>
      </c>
      <c r="I1111" s="7">
        <v>6075.0</v>
      </c>
      <c r="J1111" s="6">
        <v>2018.0</v>
      </c>
      <c r="K1111" s="6">
        <v>27.0</v>
      </c>
      <c r="L1111" s="6" t="s">
        <v>95</v>
      </c>
      <c r="M1111" s="6" t="s">
        <v>4484</v>
      </c>
      <c r="N1111" s="6" t="s">
        <v>24</v>
      </c>
      <c r="O1111" s="6" t="s">
        <v>35</v>
      </c>
      <c r="P1111" s="6">
        <f>COUNTIF(Analysis!$M$1:$M$3001,Analysis!$M1111)</f>
        <v>1</v>
      </c>
      <c r="Q1111" s="6" t="str">
        <f>IF(COUNTIF(Analysis!$M$2:$M$3001,Analysis!$M1111)&gt;1,"Duplicate","OK")</f>
        <v>OK</v>
      </c>
      <c r="R1111" s="6" t="str">
        <f t="shared" si="1"/>
        <v>600-1600</v>
      </c>
      <c r="S1111" s="6">
        <f t="shared" si="2"/>
        <v>8</v>
      </c>
      <c r="T1111" s="6" t="str">
        <f t="shared" si="3"/>
        <v>New</v>
      </c>
    </row>
    <row r="1112" ht="14.25" customHeight="1">
      <c r="A1112" s="5">
        <v>132181.0</v>
      </c>
      <c r="B1112" s="6" t="s">
        <v>4487</v>
      </c>
      <c r="C1112" s="6" t="s">
        <v>18</v>
      </c>
      <c r="D1112" s="6">
        <v>20551.0</v>
      </c>
      <c r="E1112" s="6" t="s">
        <v>77</v>
      </c>
      <c r="F1112" s="6" t="s">
        <v>61</v>
      </c>
      <c r="G1112" s="6" t="s">
        <v>55</v>
      </c>
      <c r="H1112" s="7">
        <v>2457.0</v>
      </c>
      <c r="I1112" s="7">
        <v>8629.0</v>
      </c>
      <c r="J1112" s="6">
        <v>2010.0</v>
      </c>
      <c r="K1112" s="6">
        <v>72.0</v>
      </c>
      <c r="L1112" s="6" t="s">
        <v>62</v>
      </c>
      <c r="M1112" s="6" t="s">
        <v>4488</v>
      </c>
      <c r="N1112" s="6" t="s">
        <v>34</v>
      </c>
      <c r="O1112" s="6" t="s">
        <v>49</v>
      </c>
      <c r="P1112" s="6">
        <f>COUNTIF(Analysis!$M$1:$M$3001,Analysis!$M1112)</f>
        <v>1</v>
      </c>
      <c r="Q1112" s="6" t="str">
        <f>IF(COUNTIF(Analysis!$M$2:$M$3001,Analysis!$M1112)&gt;1,"Duplicate","OK")</f>
        <v>OK</v>
      </c>
      <c r="R1112" s="6" t="str">
        <f t="shared" si="1"/>
        <v>1600-2600</v>
      </c>
      <c r="S1112" s="6">
        <f t="shared" si="2"/>
        <v>16</v>
      </c>
      <c r="T1112" s="6" t="str">
        <f t="shared" si="3"/>
        <v>Mid</v>
      </c>
    </row>
    <row r="1113" ht="14.25" customHeight="1">
      <c r="A1113" s="5">
        <v>632140.0</v>
      </c>
      <c r="B1113" s="6" t="s">
        <v>7205</v>
      </c>
      <c r="C1113" s="6" t="s">
        <v>29</v>
      </c>
      <c r="D1113" s="6">
        <v>16558.0</v>
      </c>
      <c r="E1113" s="6" t="s">
        <v>60</v>
      </c>
      <c r="F1113" s="6" t="s">
        <v>20</v>
      </c>
      <c r="G1113" s="6" t="s">
        <v>100</v>
      </c>
      <c r="H1113" s="7">
        <v>3864.0</v>
      </c>
      <c r="I1113" s="7">
        <v>9789.0</v>
      </c>
      <c r="J1113" s="6">
        <v>2007.0</v>
      </c>
      <c r="K1113" s="6">
        <v>96.0</v>
      </c>
      <c r="L1113" s="6" t="s">
        <v>62</v>
      </c>
      <c r="M1113" s="6" t="s">
        <v>7206</v>
      </c>
      <c r="N1113" s="6" t="s">
        <v>64</v>
      </c>
      <c r="O1113" s="6" t="s">
        <v>49</v>
      </c>
      <c r="P1113" s="6">
        <f>COUNTIF(Analysis!$M$1:$M$3001,Analysis!$M1792)</f>
        <v>1</v>
      </c>
      <c r="Q1113" s="6" t="str">
        <f>IF(COUNTIF(Analysis!$M$2:$M$3001,Analysis!$M1792)&gt;1,"Duplicate","OK")</f>
        <v>OK</v>
      </c>
      <c r="R1113" s="6" t="str">
        <f t="shared" si="1"/>
        <v>3600+</v>
      </c>
      <c r="S1113" s="6">
        <f t="shared" si="2"/>
        <v>19</v>
      </c>
      <c r="T1113" s="6" t="str">
        <f t="shared" si="3"/>
        <v>Mid</v>
      </c>
    </row>
    <row r="1114" ht="14.25" customHeight="1">
      <c r="A1114" s="5">
        <v>634220.0</v>
      </c>
      <c r="B1114" s="6" t="s">
        <v>5451</v>
      </c>
      <c r="C1114" s="6" t="s">
        <v>29</v>
      </c>
      <c r="D1114" s="6">
        <v>84456.0</v>
      </c>
      <c r="E1114" s="6" t="s">
        <v>60</v>
      </c>
      <c r="F1114" s="6" t="s">
        <v>54</v>
      </c>
      <c r="G1114" s="6" t="s">
        <v>21</v>
      </c>
      <c r="H1114" s="7">
        <v>3033.0</v>
      </c>
      <c r="I1114" s="7">
        <v>7036.0</v>
      </c>
      <c r="J1114" s="6">
        <v>1964.0</v>
      </c>
      <c r="K1114" s="6">
        <v>80.0</v>
      </c>
      <c r="L1114" s="6" t="s">
        <v>141</v>
      </c>
      <c r="M1114" s="6" t="s">
        <v>5452</v>
      </c>
      <c r="N1114" s="6" t="s">
        <v>34</v>
      </c>
      <c r="O1114" s="6" t="s">
        <v>25</v>
      </c>
      <c r="P1114" s="6">
        <f>COUNTIF(Analysis!$M$1:$M$3001,Analysis!$M1353)</f>
        <v>1</v>
      </c>
      <c r="Q1114" s="6" t="str">
        <f>IF(COUNTIF(Analysis!$M$2:$M$3001,Analysis!$M1353)&gt;1,"Duplicate","OK")</f>
        <v>OK</v>
      </c>
      <c r="R1114" s="6" t="str">
        <f t="shared" si="1"/>
        <v>2600-3600</v>
      </c>
      <c r="S1114" s="6">
        <f t="shared" si="2"/>
        <v>62</v>
      </c>
      <c r="T1114" s="6" t="str">
        <f t="shared" si="3"/>
        <v>Very Old</v>
      </c>
    </row>
    <row r="1115" ht="14.25" customHeight="1">
      <c r="A1115" s="5">
        <v>1333651.0</v>
      </c>
      <c r="B1115" s="6" t="s">
        <v>4499</v>
      </c>
      <c r="C1115" s="6" t="s">
        <v>53</v>
      </c>
      <c r="D1115" s="6">
        <v>60214.0</v>
      </c>
      <c r="E1115" s="6" t="s">
        <v>60</v>
      </c>
      <c r="F1115" s="6" t="s">
        <v>61</v>
      </c>
      <c r="G1115" s="6" t="s">
        <v>55</v>
      </c>
      <c r="H1115" s="7">
        <v>792.0</v>
      </c>
      <c r="I1115" s="7">
        <v>6054.0</v>
      </c>
      <c r="J1115" s="6">
        <v>2004.0</v>
      </c>
      <c r="K1115" s="6">
        <v>35.0</v>
      </c>
      <c r="L1115" s="6" t="s">
        <v>62</v>
      </c>
      <c r="M1115" s="6" t="s">
        <v>4500</v>
      </c>
      <c r="N1115" s="6" t="s">
        <v>64</v>
      </c>
      <c r="O1115" s="6" t="s">
        <v>49</v>
      </c>
      <c r="P1115" s="6">
        <f>COUNTIF(Analysis!$M$1:$M$3001,Analysis!$M1115)</f>
        <v>1</v>
      </c>
      <c r="Q1115" s="6" t="str">
        <f>IF(COUNTIF(Analysis!$M$2:$M$3001,Analysis!$M1115)&gt;1,"Duplicate","OK")</f>
        <v>OK</v>
      </c>
      <c r="R1115" s="6" t="str">
        <f t="shared" si="1"/>
        <v>600-1600</v>
      </c>
      <c r="S1115" s="6">
        <f t="shared" si="2"/>
        <v>22</v>
      </c>
      <c r="T1115" s="6" t="str">
        <f t="shared" si="3"/>
        <v>Mid</v>
      </c>
    </row>
    <row r="1116" ht="14.25" customHeight="1">
      <c r="A1116" s="5">
        <v>635574.0</v>
      </c>
      <c r="B1116" s="6" t="s">
        <v>11938</v>
      </c>
      <c r="C1116" s="6" t="s">
        <v>29</v>
      </c>
      <c r="D1116" s="6">
        <v>65770.0</v>
      </c>
      <c r="E1116" s="6" t="s">
        <v>19</v>
      </c>
      <c r="F1116" s="6" t="s">
        <v>94</v>
      </c>
      <c r="G1116" s="6" t="s">
        <v>100</v>
      </c>
      <c r="H1116" s="7">
        <v>3429.0</v>
      </c>
      <c r="I1116" s="7">
        <v>7503.0</v>
      </c>
      <c r="J1116" s="6">
        <v>2023.0</v>
      </c>
      <c r="K1116" s="6">
        <v>51.0</v>
      </c>
      <c r="L1116" s="6" t="s">
        <v>62</v>
      </c>
      <c r="M1116" s="6" t="s">
        <v>11939</v>
      </c>
      <c r="N1116" s="6" t="s">
        <v>24</v>
      </c>
      <c r="O1116" s="6" t="s">
        <v>25</v>
      </c>
      <c r="P1116" s="6">
        <f>COUNTIF(Analysis!$M$1:$M$3001,Analysis!$M2976)</f>
        <v>1</v>
      </c>
      <c r="Q1116" s="6" t="str">
        <f>IF(COUNTIF(Analysis!$M$2:$M$3001,Analysis!$M2976)&gt;1,"Duplicate","OK")</f>
        <v>OK</v>
      </c>
      <c r="R1116" s="6" t="str">
        <f t="shared" si="1"/>
        <v>2600-3600</v>
      </c>
      <c r="S1116" s="6">
        <f t="shared" si="2"/>
        <v>3</v>
      </c>
      <c r="T1116" s="6" t="str">
        <f t="shared" si="3"/>
        <v>New</v>
      </c>
    </row>
    <row r="1117" ht="14.25" customHeight="1">
      <c r="A1117" s="5">
        <v>1415873.0</v>
      </c>
      <c r="B1117" s="6" t="s">
        <v>4507</v>
      </c>
      <c r="C1117" s="6" t="s">
        <v>39</v>
      </c>
      <c r="D1117" s="6">
        <v>99365.0</v>
      </c>
      <c r="E1117" s="6" t="s">
        <v>30</v>
      </c>
      <c r="F1117" s="6" t="s">
        <v>61</v>
      </c>
      <c r="G1117" s="6" t="s">
        <v>100</v>
      </c>
      <c r="H1117" s="7">
        <v>3207.0</v>
      </c>
      <c r="I1117" s="7">
        <v>1922.0</v>
      </c>
      <c r="J1117" s="6">
        <v>1975.0</v>
      </c>
      <c r="K1117" s="6">
        <v>109.0</v>
      </c>
      <c r="L1117" s="6" t="s">
        <v>141</v>
      </c>
      <c r="M1117" s="6" t="s">
        <v>4508</v>
      </c>
      <c r="N1117" s="6" t="s">
        <v>24</v>
      </c>
      <c r="O1117" s="6" t="s">
        <v>35</v>
      </c>
      <c r="P1117" s="6">
        <f>COUNTIF(Analysis!$M$1:$M$3001,Analysis!$M1117)</f>
        <v>1</v>
      </c>
      <c r="Q1117" s="6" t="str">
        <f>IF(COUNTIF(Analysis!$M$2:$M$3001,Analysis!$M1117)&gt;1,"Duplicate","OK")</f>
        <v>OK</v>
      </c>
      <c r="R1117" s="6" t="str">
        <f t="shared" si="1"/>
        <v>2600-3600</v>
      </c>
      <c r="S1117" s="6">
        <f t="shared" si="2"/>
        <v>51</v>
      </c>
      <c r="T1117" s="6" t="str">
        <f t="shared" si="3"/>
        <v>Old</v>
      </c>
    </row>
    <row r="1118" ht="14.25" customHeight="1">
      <c r="A1118" s="5">
        <v>635830.0</v>
      </c>
      <c r="B1118" s="6" t="s">
        <v>8772</v>
      </c>
      <c r="C1118" s="6" t="s">
        <v>29</v>
      </c>
      <c r="D1118" s="6">
        <v>63899.0</v>
      </c>
      <c r="E1118" s="6" t="s">
        <v>19</v>
      </c>
      <c r="F1118" s="6" t="s">
        <v>94</v>
      </c>
      <c r="G1118" s="6" t="s">
        <v>31</v>
      </c>
      <c r="H1118" s="7">
        <v>1484.0</v>
      </c>
      <c r="I1118" s="7">
        <v>1302.0</v>
      </c>
      <c r="J1118" s="6">
        <v>1950.0</v>
      </c>
      <c r="K1118" s="6">
        <v>73.0</v>
      </c>
      <c r="L1118" s="6" t="s">
        <v>141</v>
      </c>
      <c r="M1118" s="6" t="s">
        <v>8773</v>
      </c>
      <c r="N1118" s="6" t="s">
        <v>48</v>
      </c>
      <c r="O1118" s="6" t="s">
        <v>35</v>
      </c>
      <c r="P1118" s="6">
        <f>COUNTIF(Analysis!$M$1:$M$3001,Analysis!$M2184)</f>
        <v>1</v>
      </c>
      <c r="Q1118" s="6" t="str">
        <f>IF(COUNTIF(Analysis!$M$2:$M$3001,Analysis!$M2184)&gt;1,"Duplicate","OK")</f>
        <v>OK</v>
      </c>
      <c r="R1118" s="6" t="str">
        <f t="shared" si="1"/>
        <v>600-1600</v>
      </c>
      <c r="S1118" s="6">
        <f t="shared" si="2"/>
        <v>76</v>
      </c>
      <c r="T1118" s="6" t="str">
        <f t="shared" si="3"/>
        <v>Very Old</v>
      </c>
    </row>
    <row r="1119" ht="14.25" customHeight="1">
      <c r="A1119" s="5">
        <v>940838.0</v>
      </c>
      <c r="B1119" s="6" t="s">
        <v>4515</v>
      </c>
      <c r="C1119" s="6" t="s">
        <v>76</v>
      </c>
      <c r="D1119" s="6">
        <v>53920.0</v>
      </c>
      <c r="E1119" s="6" t="s">
        <v>60</v>
      </c>
      <c r="F1119" s="6" t="s">
        <v>94</v>
      </c>
      <c r="G1119" s="6" t="s">
        <v>100</v>
      </c>
      <c r="H1119" s="7">
        <v>3029.0</v>
      </c>
      <c r="I1119" s="7">
        <v>2243.0</v>
      </c>
      <c r="J1119" s="6">
        <v>2022.0</v>
      </c>
      <c r="K1119" s="6">
        <v>112.0</v>
      </c>
      <c r="L1119" s="6" t="s">
        <v>141</v>
      </c>
      <c r="M1119" s="6" t="s">
        <v>4516</v>
      </c>
      <c r="N1119" s="6" t="s">
        <v>64</v>
      </c>
      <c r="O1119" s="6" t="s">
        <v>49</v>
      </c>
      <c r="P1119" s="6">
        <f>COUNTIF(Analysis!$M$1:$M$3001,Analysis!$M1119)</f>
        <v>1</v>
      </c>
      <c r="Q1119" s="6" t="str">
        <f>IF(COUNTIF(Analysis!$M$2:$M$3001,Analysis!$M1119)&gt;1,"Duplicate","OK")</f>
        <v>OK</v>
      </c>
      <c r="R1119" s="6" t="str">
        <f t="shared" si="1"/>
        <v>2600-3600</v>
      </c>
      <c r="S1119" s="6">
        <f t="shared" si="2"/>
        <v>4</v>
      </c>
      <c r="T1119" s="6" t="str">
        <f t="shared" si="3"/>
        <v>New</v>
      </c>
    </row>
    <row r="1120" ht="14.25" customHeight="1">
      <c r="A1120" s="5">
        <v>792689.0</v>
      </c>
      <c r="B1120" s="6" t="s">
        <v>4519</v>
      </c>
      <c r="C1120" s="6" t="s">
        <v>53</v>
      </c>
      <c r="D1120" s="6">
        <v>76014.0</v>
      </c>
      <c r="E1120" s="6" t="s">
        <v>40</v>
      </c>
      <c r="F1120" s="6" t="s">
        <v>41</v>
      </c>
      <c r="G1120" s="6" t="s">
        <v>55</v>
      </c>
      <c r="H1120" s="7">
        <v>2783.0</v>
      </c>
      <c r="I1120" s="7">
        <v>4544.0</v>
      </c>
      <c r="J1120" s="6">
        <v>1984.0</v>
      </c>
      <c r="K1120" s="6">
        <v>63.0</v>
      </c>
      <c r="L1120" s="6" t="s">
        <v>32</v>
      </c>
      <c r="M1120" s="6" t="s">
        <v>4520</v>
      </c>
      <c r="N1120" s="6" t="s">
        <v>48</v>
      </c>
      <c r="O1120" s="6" t="s">
        <v>49</v>
      </c>
      <c r="P1120" s="6">
        <f>COUNTIF(Analysis!$M$1:$M$3001,Analysis!$M1120)</f>
        <v>1</v>
      </c>
      <c r="Q1120" s="6" t="str">
        <f>IF(COUNTIF(Analysis!$M$2:$M$3001,Analysis!$M1120)&gt;1,"Duplicate","OK")</f>
        <v>OK</v>
      </c>
      <c r="R1120" s="6" t="str">
        <f t="shared" si="1"/>
        <v>2600-3600</v>
      </c>
      <c r="S1120" s="6">
        <f t="shared" si="2"/>
        <v>42</v>
      </c>
      <c r="T1120" s="6" t="str">
        <f t="shared" si="3"/>
        <v>Old</v>
      </c>
    </row>
    <row r="1121" ht="14.25" customHeight="1">
      <c r="A1121" s="5">
        <v>285698.0</v>
      </c>
      <c r="B1121" s="6" t="s">
        <v>4523</v>
      </c>
      <c r="C1121" s="6" t="s">
        <v>53</v>
      </c>
      <c r="D1121" s="6">
        <v>45807.0</v>
      </c>
      <c r="E1121" s="6" t="s">
        <v>30</v>
      </c>
      <c r="F1121" s="6" t="s">
        <v>20</v>
      </c>
      <c r="G1121" s="6" t="s">
        <v>31</v>
      </c>
      <c r="H1121" s="7">
        <v>913.0</v>
      </c>
      <c r="I1121" s="7">
        <v>2784.0</v>
      </c>
      <c r="J1121" s="6">
        <v>1999.0</v>
      </c>
      <c r="K1121" s="6">
        <v>68.0</v>
      </c>
      <c r="L1121" s="6" t="s">
        <v>62</v>
      </c>
      <c r="M1121" s="6" t="s">
        <v>4524</v>
      </c>
      <c r="N1121" s="6" t="s">
        <v>34</v>
      </c>
      <c r="O1121" s="6" t="s">
        <v>35</v>
      </c>
      <c r="P1121" s="6">
        <f>COUNTIF(Analysis!$M$1:$M$3001,Analysis!$M1121)</f>
        <v>1</v>
      </c>
      <c r="Q1121" s="6" t="str">
        <f>IF(COUNTIF(Analysis!$M$2:$M$3001,Analysis!$M1121)&gt;1,"Duplicate","OK")</f>
        <v>OK</v>
      </c>
      <c r="R1121" s="6" t="str">
        <f t="shared" si="1"/>
        <v>600-1600</v>
      </c>
      <c r="S1121" s="6">
        <f t="shared" si="2"/>
        <v>27</v>
      </c>
      <c r="T1121" s="6" t="str">
        <f t="shared" si="3"/>
        <v>Mid</v>
      </c>
    </row>
    <row r="1122" ht="14.25" customHeight="1">
      <c r="A1122" s="5">
        <v>361783.0</v>
      </c>
      <c r="B1122" s="6" t="s">
        <v>4527</v>
      </c>
      <c r="C1122" s="6" t="s">
        <v>53</v>
      </c>
      <c r="D1122" s="6">
        <v>68651.0</v>
      </c>
      <c r="E1122" s="6" t="s">
        <v>19</v>
      </c>
      <c r="F1122" s="6" t="s">
        <v>20</v>
      </c>
      <c r="G1122" s="6" t="s">
        <v>31</v>
      </c>
      <c r="H1122" s="7">
        <v>1246.0</v>
      </c>
      <c r="I1122" s="7">
        <v>7932.0</v>
      </c>
      <c r="J1122" s="6">
        <v>1950.0</v>
      </c>
      <c r="K1122" s="6">
        <v>60.0</v>
      </c>
      <c r="L1122" s="6" t="s">
        <v>141</v>
      </c>
      <c r="M1122" s="6" t="s">
        <v>4528</v>
      </c>
      <c r="N1122" s="6" t="s">
        <v>24</v>
      </c>
      <c r="O1122" s="6" t="s">
        <v>35</v>
      </c>
      <c r="P1122" s="6">
        <f>COUNTIF(Analysis!$M$1:$M$3001,Analysis!$M1122)</f>
        <v>1</v>
      </c>
      <c r="Q1122" s="6" t="str">
        <f>IF(COUNTIF(Analysis!$M$2:$M$3001,Analysis!$M1122)&gt;1,"Duplicate","OK")</f>
        <v>OK</v>
      </c>
      <c r="R1122" s="6" t="str">
        <f t="shared" si="1"/>
        <v>600-1600</v>
      </c>
      <c r="S1122" s="6">
        <f t="shared" si="2"/>
        <v>76</v>
      </c>
      <c r="T1122" s="6" t="str">
        <f t="shared" si="3"/>
        <v>Very Old</v>
      </c>
    </row>
    <row r="1123" ht="14.25" customHeight="1">
      <c r="A1123" s="5">
        <v>545103.0</v>
      </c>
      <c r="B1123" s="6" t="s">
        <v>4531</v>
      </c>
      <c r="C1123" s="6" t="s">
        <v>76</v>
      </c>
      <c r="D1123" s="6">
        <v>62739.0</v>
      </c>
      <c r="E1123" s="6" t="s">
        <v>40</v>
      </c>
      <c r="F1123" s="6" t="s">
        <v>46</v>
      </c>
      <c r="G1123" s="6" t="s">
        <v>31</v>
      </c>
      <c r="H1123" s="7">
        <v>915.0</v>
      </c>
      <c r="I1123" s="7">
        <v>8989.0</v>
      </c>
      <c r="J1123" s="6">
        <v>2012.0</v>
      </c>
      <c r="K1123" s="6">
        <v>78.0</v>
      </c>
      <c r="L1123" s="6" t="s">
        <v>62</v>
      </c>
      <c r="M1123" s="6" t="s">
        <v>4532</v>
      </c>
      <c r="N1123" s="6" t="s">
        <v>48</v>
      </c>
      <c r="O1123" s="6" t="s">
        <v>49</v>
      </c>
      <c r="P1123" s="6">
        <f>COUNTIF(Analysis!$M$1:$M$3001,Analysis!$M1123)</f>
        <v>1</v>
      </c>
      <c r="Q1123" s="6" t="str">
        <f>IF(COUNTIF(Analysis!$M$2:$M$3001,Analysis!$M1123)&gt;1,"Duplicate","OK")</f>
        <v>OK</v>
      </c>
      <c r="R1123" s="6" t="str">
        <f t="shared" si="1"/>
        <v>600-1600</v>
      </c>
      <c r="S1123" s="6">
        <f t="shared" si="2"/>
        <v>14</v>
      </c>
      <c r="T1123" s="6" t="str">
        <f t="shared" si="3"/>
        <v>Mid</v>
      </c>
    </row>
    <row r="1124" ht="14.25" customHeight="1">
      <c r="A1124" s="5">
        <v>1050912.0</v>
      </c>
      <c r="B1124" s="6" t="s">
        <v>4535</v>
      </c>
      <c r="C1124" s="6" t="s">
        <v>76</v>
      </c>
      <c r="D1124" s="6">
        <v>27780.0</v>
      </c>
      <c r="E1124" s="6" t="s">
        <v>19</v>
      </c>
      <c r="F1124" s="6" t="s">
        <v>20</v>
      </c>
      <c r="G1124" s="6" t="s">
        <v>21</v>
      </c>
      <c r="H1124" s="7">
        <v>1288.0</v>
      </c>
      <c r="I1124" s="7">
        <v>5845.0</v>
      </c>
      <c r="J1124" s="6">
        <v>1984.0</v>
      </c>
      <c r="K1124" s="6">
        <v>10.0</v>
      </c>
      <c r="L1124" s="6" t="s">
        <v>22</v>
      </c>
      <c r="M1124" s="6" t="s">
        <v>4536</v>
      </c>
      <c r="N1124" s="6" t="s">
        <v>48</v>
      </c>
      <c r="O1124" s="6" t="s">
        <v>49</v>
      </c>
      <c r="P1124" s="6">
        <f>COUNTIF(Analysis!$M$1:$M$3001,Analysis!$M1124)</f>
        <v>1</v>
      </c>
      <c r="Q1124" s="6" t="str">
        <f>IF(COUNTIF(Analysis!$M$2:$M$3001,Analysis!$M1124)&gt;1,"Duplicate","OK")</f>
        <v>OK</v>
      </c>
      <c r="R1124" s="6" t="str">
        <f t="shared" si="1"/>
        <v>600-1600</v>
      </c>
      <c r="S1124" s="6">
        <f t="shared" si="2"/>
        <v>42</v>
      </c>
      <c r="T1124" s="6" t="str">
        <f t="shared" si="3"/>
        <v>Old</v>
      </c>
    </row>
    <row r="1125" ht="14.25" customHeight="1">
      <c r="A1125" s="5">
        <v>1315813.0</v>
      </c>
      <c r="B1125" s="6" t="s">
        <v>4539</v>
      </c>
      <c r="C1125" s="6" t="s">
        <v>18</v>
      </c>
      <c r="D1125" s="6">
        <v>16773.0</v>
      </c>
      <c r="E1125" s="6" t="s">
        <v>30</v>
      </c>
      <c r="F1125" s="6" t="s">
        <v>54</v>
      </c>
      <c r="G1125" s="6" t="s">
        <v>55</v>
      </c>
      <c r="H1125" s="7">
        <v>3513.0</v>
      </c>
      <c r="I1125" s="7">
        <v>1515.0</v>
      </c>
      <c r="J1125" s="6">
        <v>2007.0</v>
      </c>
      <c r="K1125" s="6">
        <v>113.0</v>
      </c>
      <c r="L1125" s="6" t="s">
        <v>62</v>
      </c>
      <c r="M1125" s="6" t="s">
        <v>4540</v>
      </c>
      <c r="N1125" s="6" t="s">
        <v>64</v>
      </c>
      <c r="O1125" s="6" t="s">
        <v>49</v>
      </c>
      <c r="P1125" s="6">
        <f>COUNTIF(Analysis!$M$1:$M$3001,Analysis!$M1125)</f>
        <v>1</v>
      </c>
      <c r="Q1125" s="6" t="str">
        <f>IF(COUNTIF(Analysis!$M$2:$M$3001,Analysis!$M1125)&gt;1,"Duplicate","OK")</f>
        <v>OK</v>
      </c>
      <c r="R1125" s="6" t="str">
        <f t="shared" si="1"/>
        <v>2600-3600</v>
      </c>
      <c r="S1125" s="6">
        <f t="shared" si="2"/>
        <v>19</v>
      </c>
      <c r="T1125" s="6" t="str">
        <f t="shared" si="3"/>
        <v>Mid</v>
      </c>
    </row>
    <row r="1126" ht="14.25" customHeight="1">
      <c r="A1126" s="5">
        <v>1091643.0</v>
      </c>
      <c r="B1126" s="6" t="s">
        <v>4543</v>
      </c>
      <c r="C1126" s="6" t="s">
        <v>18</v>
      </c>
      <c r="D1126" s="6">
        <v>75584.0</v>
      </c>
      <c r="E1126" s="6" t="s">
        <v>77</v>
      </c>
      <c r="F1126" s="6" t="s">
        <v>20</v>
      </c>
      <c r="G1126" s="6" t="s">
        <v>100</v>
      </c>
      <c r="H1126" s="7">
        <v>1888.0</v>
      </c>
      <c r="I1126" s="7">
        <v>1621.0</v>
      </c>
      <c r="J1126" s="6">
        <v>2004.0</v>
      </c>
      <c r="K1126" s="6">
        <v>40.0</v>
      </c>
      <c r="L1126" s="6" t="s">
        <v>22</v>
      </c>
      <c r="M1126" s="6" t="s">
        <v>4544</v>
      </c>
      <c r="N1126" s="6" t="s">
        <v>34</v>
      </c>
      <c r="O1126" s="6" t="s">
        <v>25</v>
      </c>
      <c r="P1126" s="6">
        <f>COUNTIF(Analysis!$M$1:$M$3001,Analysis!$M1126)</f>
        <v>1</v>
      </c>
      <c r="Q1126" s="6" t="str">
        <f>IF(COUNTIF(Analysis!$M$2:$M$3001,Analysis!$M1126)&gt;1,"Duplicate","OK")</f>
        <v>OK</v>
      </c>
      <c r="R1126" s="6" t="str">
        <f t="shared" si="1"/>
        <v>1600-2600</v>
      </c>
      <c r="S1126" s="6">
        <f t="shared" si="2"/>
        <v>22</v>
      </c>
      <c r="T1126" s="6" t="str">
        <f t="shared" si="3"/>
        <v>Mid</v>
      </c>
    </row>
    <row r="1127" ht="14.25" customHeight="1">
      <c r="A1127" s="5">
        <v>301429.0</v>
      </c>
      <c r="B1127" s="6" t="s">
        <v>4547</v>
      </c>
      <c r="C1127" s="6" t="s">
        <v>76</v>
      </c>
      <c r="D1127" s="6">
        <v>58344.0</v>
      </c>
      <c r="E1127" s="6" t="s">
        <v>77</v>
      </c>
      <c r="F1127" s="6" t="s">
        <v>41</v>
      </c>
      <c r="G1127" s="6" t="s">
        <v>100</v>
      </c>
      <c r="H1127" s="7">
        <v>1668.0</v>
      </c>
      <c r="I1127" s="7">
        <v>6973.0</v>
      </c>
      <c r="J1127" s="6">
        <v>1968.0</v>
      </c>
      <c r="K1127" s="6">
        <v>70.0</v>
      </c>
      <c r="L1127" s="6" t="s">
        <v>141</v>
      </c>
      <c r="M1127" s="6" t="s">
        <v>4548</v>
      </c>
      <c r="N1127" s="6" t="s">
        <v>43</v>
      </c>
      <c r="O1127" s="6" t="s">
        <v>49</v>
      </c>
      <c r="P1127" s="6">
        <f>COUNTIF(Analysis!$M$1:$M$3001,Analysis!$M1127)</f>
        <v>1</v>
      </c>
      <c r="Q1127" s="6" t="str">
        <f>IF(COUNTIF(Analysis!$M$2:$M$3001,Analysis!$M1127)&gt;1,"Duplicate","OK")</f>
        <v>OK</v>
      </c>
      <c r="R1127" s="6" t="str">
        <f t="shared" si="1"/>
        <v>1600-2600</v>
      </c>
      <c r="S1127" s="6">
        <f t="shared" si="2"/>
        <v>58</v>
      </c>
      <c r="T1127" s="6" t="str">
        <f t="shared" si="3"/>
        <v>Old</v>
      </c>
    </row>
    <row r="1128" ht="14.25" customHeight="1">
      <c r="A1128" s="5">
        <v>105850.0</v>
      </c>
      <c r="B1128" s="6" t="s">
        <v>4551</v>
      </c>
      <c r="C1128" s="6" t="s">
        <v>76</v>
      </c>
      <c r="D1128" s="6">
        <v>41891.0</v>
      </c>
      <c r="E1128" s="6" t="s">
        <v>30</v>
      </c>
      <c r="F1128" s="6" t="s">
        <v>41</v>
      </c>
      <c r="G1128" s="6" t="s">
        <v>55</v>
      </c>
      <c r="H1128" s="7">
        <v>3444.0</v>
      </c>
      <c r="I1128" s="7">
        <v>5114.0</v>
      </c>
      <c r="J1128" s="6">
        <v>1950.0</v>
      </c>
      <c r="K1128" s="6">
        <v>68.0</v>
      </c>
      <c r="L1128" s="6" t="s">
        <v>32</v>
      </c>
      <c r="M1128" s="6" t="s">
        <v>4552</v>
      </c>
      <c r="N1128" s="6" t="s">
        <v>48</v>
      </c>
      <c r="O1128" s="6" t="s">
        <v>35</v>
      </c>
      <c r="P1128" s="6">
        <f>COUNTIF(Analysis!$M$1:$M$3001,Analysis!$M1128)</f>
        <v>1</v>
      </c>
      <c r="Q1128" s="6" t="str">
        <f>IF(COUNTIF(Analysis!$M$2:$M$3001,Analysis!$M1128)&gt;1,"Duplicate","OK")</f>
        <v>OK</v>
      </c>
      <c r="R1128" s="6" t="str">
        <f t="shared" si="1"/>
        <v>2600-3600</v>
      </c>
      <c r="S1128" s="6">
        <f t="shared" si="2"/>
        <v>76</v>
      </c>
      <c r="T1128" s="6" t="str">
        <f t="shared" si="3"/>
        <v>Very Old</v>
      </c>
    </row>
    <row r="1129" ht="14.25" customHeight="1">
      <c r="A1129" s="5">
        <v>1152184.0</v>
      </c>
      <c r="B1129" s="6" t="s">
        <v>4555</v>
      </c>
      <c r="C1129" s="6" t="s">
        <v>39</v>
      </c>
      <c r="D1129" s="6">
        <v>59337.0</v>
      </c>
      <c r="E1129" s="6" t="s">
        <v>77</v>
      </c>
      <c r="F1129" s="6" t="s">
        <v>46</v>
      </c>
      <c r="G1129" s="6" t="s">
        <v>21</v>
      </c>
      <c r="H1129" s="7">
        <v>1415.0</v>
      </c>
      <c r="I1129" s="7">
        <v>2690.0</v>
      </c>
      <c r="J1129" s="6">
        <v>2000.0</v>
      </c>
      <c r="K1129" s="6">
        <v>38.0</v>
      </c>
      <c r="L1129" s="6" t="s">
        <v>95</v>
      </c>
      <c r="M1129" s="6" t="s">
        <v>4556</v>
      </c>
      <c r="N1129" s="6" t="s">
        <v>34</v>
      </c>
      <c r="O1129" s="6" t="s">
        <v>25</v>
      </c>
      <c r="P1129" s="6">
        <f>COUNTIF(Analysis!$M$1:$M$3001,Analysis!$M1129)</f>
        <v>1</v>
      </c>
      <c r="Q1129" s="6" t="str">
        <f>IF(COUNTIF(Analysis!$M$2:$M$3001,Analysis!$M1129)&gt;1,"Duplicate","OK")</f>
        <v>OK</v>
      </c>
      <c r="R1129" s="6" t="str">
        <f t="shared" si="1"/>
        <v>600-1600</v>
      </c>
      <c r="S1129" s="6">
        <f t="shared" si="2"/>
        <v>26</v>
      </c>
      <c r="T1129" s="6" t="str">
        <f t="shared" si="3"/>
        <v>Mid</v>
      </c>
    </row>
    <row r="1130" ht="14.25" customHeight="1">
      <c r="A1130" s="5">
        <v>387863.0</v>
      </c>
      <c r="B1130" s="6" t="s">
        <v>4559</v>
      </c>
      <c r="C1130" s="6" t="s">
        <v>76</v>
      </c>
      <c r="D1130" s="6">
        <v>52483.0</v>
      </c>
      <c r="E1130" s="6" t="s">
        <v>19</v>
      </c>
      <c r="F1130" s="6" t="s">
        <v>41</v>
      </c>
      <c r="G1130" s="6" t="s">
        <v>31</v>
      </c>
      <c r="H1130" s="7">
        <v>1905.0</v>
      </c>
      <c r="I1130" s="7">
        <v>5806.0</v>
      </c>
      <c r="J1130" s="6">
        <v>1974.0</v>
      </c>
      <c r="K1130" s="6">
        <v>12.0</v>
      </c>
      <c r="L1130" s="6" t="s">
        <v>141</v>
      </c>
      <c r="M1130" s="6" t="s">
        <v>4560</v>
      </c>
      <c r="N1130" s="6" t="s">
        <v>48</v>
      </c>
      <c r="O1130" s="6" t="s">
        <v>25</v>
      </c>
      <c r="P1130" s="6">
        <f>COUNTIF(Analysis!$M$1:$M$3001,Analysis!$M1130)</f>
        <v>1</v>
      </c>
      <c r="Q1130" s="6" t="str">
        <f>IF(COUNTIF(Analysis!$M$2:$M$3001,Analysis!$M1130)&gt;1,"Duplicate","OK")</f>
        <v>OK</v>
      </c>
      <c r="R1130" s="6" t="str">
        <f t="shared" si="1"/>
        <v>1600-2600</v>
      </c>
      <c r="S1130" s="6">
        <f t="shared" si="2"/>
        <v>52</v>
      </c>
      <c r="T1130" s="6" t="str">
        <f t="shared" si="3"/>
        <v>Old</v>
      </c>
    </row>
    <row r="1131" ht="14.25" customHeight="1">
      <c r="A1131" s="5">
        <v>713451.0</v>
      </c>
      <c r="B1131" s="6" t="s">
        <v>4563</v>
      </c>
      <c r="C1131" s="6" t="s">
        <v>53</v>
      </c>
      <c r="D1131" s="6">
        <v>26644.0</v>
      </c>
      <c r="E1131" s="6" t="s">
        <v>60</v>
      </c>
      <c r="F1131" s="6" t="s">
        <v>54</v>
      </c>
      <c r="G1131" s="6" t="s">
        <v>55</v>
      </c>
      <c r="H1131" s="7">
        <v>3561.0</v>
      </c>
      <c r="I1131" s="7">
        <v>4316.0</v>
      </c>
      <c r="J1131" s="6">
        <v>2023.0</v>
      </c>
      <c r="K1131" s="6">
        <v>35.0</v>
      </c>
      <c r="L1131" s="6" t="s">
        <v>62</v>
      </c>
      <c r="M1131" s="6" t="s">
        <v>4564</v>
      </c>
      <c r="N1131" s="6" t="s">
        <v>34</v>
      </c>
      <c r="O1131" s="6" t="s">
        <v>35</v>
      </c>
      <c r="P1131" s="6">
        <f>COUNTIF(Analysis!$M$1:$M$3001,Analysis!$M1131)</f>
        <v>1</v>
      </c>
      <c r="Q1131" s="6" t="str">
        <f>IF(COUNTIF(Analysis!$M$2:$M$3001,Analysis!$M1131)&gt;1,"Duplicate","OK")</f>
        <v>OK</v>
      </c>
      <c r="R1131" s="6" t="str">
        <f t="shared" si="1"/>
        <v>2600-3600</v>
      </c>
      <c r="S1131" s="6">
        <f t="shared" si="2"/>
        <v>3</v>
      </c>
      <c r="T1131" s="6" t="str">
        <f t="shared" si="3"/>
        <v>New</v>
      </c>
    </row>
    <row r="1132" ht="14.25" customHeight="1">
      <c r="A1132" s="5">
        <v>697104.0</v>
      </c>
      <c r="B1132" s="6" t="s">
        <v>4567</v>
      </c>
      <c r="C1132" s="6" t="s">
        <v>39</v>
      </c>
      <c r="D1132" s="6">
        <v>89113.0</v>
      </c>
      <c r="E1132" s="6" t="s">
        <v>60</v>
      </c>
      <c r="F1132" s="6" t="s">
        <v>20</v>
      </c>
      <c r="G1132" s="6" t="s">
        <v>31</v>
      </c>
      <c r="H1132" s="7">
        <v>660.0</v>
      </c>
      <c r="I1132" s="7">
        <v>8861.0</v>
      </c>
      <c r="J1132" s="6">
        <v>1964.0</v>
      </c>
      <c r="K1132" s="6">
        <v>101.0</v>
      </c>
      <c r="L1132" s="6" t="s">
        <v>32</v>
      </c>
      <c r="M1132" s="6" t="s">
        <v>4568</v>
      </c>
      <c r="N1132" s="6" t="s">
        <v>34</v>
      </c>
      <c r="O1132" s="6" t="s">
        <v>25</v>
      </c>
      <c r="P1132" s="6">
        <f>COUNTIF(Analysis!$M$1:$M$3001,Analysis!$M1132)</f>
        <v>1</v>
      </c>
      <c r="Q1132" s="6" t="str">
        <f>IF(COUNTIF(Analysis!$M$2:$M$3001,Analysis!$M1132)&gt;1,"Duplicate","OK")</f>
        <v>OK</v>
      </c>
      <c r="R1132" s="6" t="str">
        <f t="shared" si="1"/>
        <v>600-1600</v>
      </c>
      <c r="S1132" s="6">
        <f t="shared" si="2"/>
        <v>62</v>
      </c>
      <c r="T1132" s="6" t="str">
        <f t="shared" si="3"/>
        <v>Very Old</v>
      </c>
    </row>
    <row r="1133" ht="14.25" customHeight="1">
      <c r="A1133" s="5">
        <v>107584.0</v>
      </c>
      <c r="B1133" s="6" t="s">
        <v>4571</v>
      </c>
      <c r="C1133" s="6" t="s">
        <v>53</v>
      </c>
      <c r="D1133" s="6">
        <v>68674.0</v>
      </c>
      <c r="E1133" s="6" t="s">
        <v>77</v>
      </c>
      <c r="F1133" s="6" t="s">
        <v>54</v>
      </c>
      <c r="G1133" s="6" t="s">
        <v>31</v>
      </c>
      <c r="H1133" s="7">
        <v>3542.0</v>
      </c>
      <c r="I1133" s="7">
        <v>3233.0</v>
      </c>
      <c r="J1133" s="6">
        <v>2004.0</v>
      </c>
      <c r="K1133" s="6">
        <v>13.0</v>
      </c>
      <c r="L1133" s="6" t="s">
        <v>62</v>
      </c>
      <c r="M1133" s="6" t="s">
        <v>4572</v>
      </c>
      <c r="N1133" s="6" t="s">
        <v>34</v>
      </c>
      <c r="O1133" s="6" t="s">
        <v>35</v>
      </c>
      <c r="P1133" s="6">
        <f>COUNTIF(Analysis!$M$1:$M$3001,Analysis!$M1133)</f>
        <v>1</v>
      </c>
      <c r="Q1133" s="6" t="str">
        <f>IF(COUNTIF(Analysis!$M$2:$M$3001,Analysis!$M1133)&gt;1,"Duplicate","OK")</f>
        <v>OK</v>
      </c>
      <c r="R1133" s="6" t="str">
        <f t="shared" si="1"/>
        <v>2600-3600</v>
      </c>
      <c r="S1133" s="6">
        <f t="shared" si="2"/>
        <v>22</v>
      </c>
      <c r="T1133" s="6" t="str">
        <f t="shared" si="3"/>
        <v>Mid</v>
      </c>
    </row>
    <row r="1134" ht="14.25" customHeight="1">
      <c r="A1134" s="5">
        <v>539489.0</v>
      </c>
      <c r="B1134" s="6" t="s">
        <v>4575</v>
      </c>
      <c r="C1134" s="6" t="s">
        <v>76</v>
      </c>
      <c r="D1134" s="6">
        <v>51861.0</v>
      </c>
      <c r="E1134" s="6" t="s">
        <v>60</v>
      </c>
      <c r="F1134" s="6" t="s">
        <v>20</v>
      </c>
      <c r="G1134" s="6" t="s">
        <v>55</v>
      </c>
      <c r="H1134" s="7">
        <v>2419.0</v>
      </c>
      <c r="I1134" s="7">
        <v>6115.0</v>
      </c>
      <c r="J1134" s="6">
        <v>2013.0</v>
      </c>
      <c r="K1134" s="6">
        <v>78.0</v>
      </c>
      <c r="L1134" s="6" t="s">
        <v>32</v>
      </c>
      <c r="M1134" s="6" t="s">
        <v>4576</v>
      </c>
      <c r="N1134" s="6" t="s">
        <v>43</v>
      </c>
      <c r="O1134" s="6" t="s">
        <v>35</v>
      </c>
      <c r="P1134" s="6">
        <f>COUNTIF(Analysis!$M$1:$M$3001,Analysis!$M1134)</f>
        <v>1</v>
      </c>
      <c r="Q1134" s="6" t="str">
        <f>IF(COUNTIF(Analysis!$M$2:$M$3001,Analysis!$M1134)&gt;1,"Duplicate","OK")</f>
        <v>OK</v>
      </c>
      <c r="R1134" s="6" t="str">
        <f t="shared" si="1"/>
        <v>1600-2600</v>
      </c>
      <c r="S1134" s="6">
        <f t="shared" si="2"/>
        <v>13</v>
      </c>
      <c r="T1134" s="6" t="str">
        <f t="shared" si="3"/>
        <v>Mid</v>
      </c>
    </row>
    <row r="1135" ht="14.25" customHeight="1">
      <c r="A1135" s="5">
        <v>741663.0</v>
      </c>
      <c r="B1135" s="6" t="s">
        <v>4579</v>
      </c>
      <c r="C1135" s="6" t="s">
        <v>53</v>
      </c>
      <c r="D1135" s="6">
        <v>67671.0</v>
      </c>
      <c r="E1135" s="6" t="s">
        <v>77</v>
      </c>
      <c r="F1135" s="6" t="s">
        <v>20</v>
      </c>
      <c r="G1135" s="6" t="s">
        <v>55</v>
      </c>
      <c r="H1135" s="7">
        <v>2483.0</v>
      </c>
      <c r="I1135" s="7">
        <v>8029.0</v>
      </c>
      <c r="J1135" s="6">
        <v>1998.0</v>
      </c>
      <c r="K1135" s="6">
        <v>70.0</v>
      </c>
      <c r="L1135" s="6" t="s">
        <v>95</v>
      </c>
      <c r="M1135" s="6" t="s">
        <v>4580</v>
      </c>
      <c r="N1135" s="6" t="s">
        <v>24</v>
      </c>
      <c r="O1135" s="6" t="s">
        <v>25</v>
      </c>
      <c r="P1135" s="6">
        <f>COUNTIF(Analysis!$M$1:$M$3001,Analysis!$M1135)</f>
        <v>1</v>
      </c>
      <c r="Q1135" s="6" t="str">
        <f>IF(COUNTIF(Analysis!$M$2:$M$3001,Analysis!$M1135)&gt;1,"Duplicate","OK")</f>
        <v>OK</v>
      </c>
      <c r="R1135" s="6" t="str">
        <f t="shared" si="1"/>
        <v>1600-2600</v>
      </c>
      <c r="S1135" s="6">
        <f t="shared" si="2"/>
        <v>28</v>
      </c>
      <c r="T1135" s="6" t="str">
        <f t="shared" si="3"/>
        <v>Mid</v>
      </c>
    </row>
    <row r="1136" ht="14.25" customHeight="1">
      <c r="A1136" s="5">
        <v>558631.0</v>
      </c>
      <c r="B1136" s="6" t="s">
        <v>4583</v>
      </c>
      <c r="C1136" s="6" t="s">
        <v>39</v>
      </c>
      <c r="D1136" s="6">
        <v>38964.0</v>
      </c>
      <c r="E1136" s="6" t="s">
        <v>30</v>
      </c>
      <c r="F1136" s="6" t="s">
        <v>20</v>
      </c>
      <c r="G1136" s="6" t="s">
        <v>55</v>
      </c>
      <c r="H1136" s="7">
        <v>1913.0</v>
      </c>
      <c r="I1136" s="7">
        <v>1242.0</v>
      </c>
      <c r="J1136" s="6">
        <v>2017.0</v>
      </c>
      <c r="K1136" s="6">
        <v>94.0</v>
      </c>
      <c r="L1136" s="6" t="s">
        <v>95</v>
      </c>
      <c r="M1136" s="6" t="s">
        <v>4584</v>
      </c>
      <c r="N1136" s="6" t="s">
        <v>43</v>
      </c>
      <c r="O1136" s="6" t="s">
        <v>35</v>
      </c>
      <c r="P1136" s="6">
        <f>COUNTIF(Analysis!$M$1:$M$3001,Analysis!$M1136)</f>
        <v>1</v>
      </c>
      <c r="Q1136" s="6" t="str">
        <f>IF(COUNTIF(Analysis!$M$2:$M$3001,Analysis!$M1136)&gt;1,"Duplicate","OK")</f>
        <v>OK</v>
      </c>
      <c r="R1136" s="6" t="str">
        <f t="shared" si="1"/>
        <v>1600-2600</v>
      </c>
      <c r="S1136" s="6">
        <f t="shared" si="2"/>
        <v>9</v>
      </c>
      <c r="T1136" s="6" t="str">
        <f t="shared" si="3"/>
        <v>New</v>
      </c>
    </row>
    <row r="1137" ht="14.25" customHeight="1">
      <c r="A1137" s="5">
        <v>643087.0</v>
      </c>
      <c r="B1137" s="6" t="s">
        <v>4675</v>
      </c>
      <c r="C1137" s="6" t="s">
        <v>29</v>
      </c>
      <c r="D1137" s="6">
        <v>58387.0</v>
      </c>
      <c r="E1137" s="6" t="s">
        <v>77</v>
      </c>
      <c r="F1137" s="6" t="s">
        <v>41</v>
      </c>
      <c r="G1137" s="6" t="s">
        <v>31</v>
      </c>
      <c r="H1137" s="7">
        <v>1972.0</v>
      </c>
      <c r="I1137" s="7">
        <v>9515.0</v>
      </c>
      <c r="J1137" s="6">
        <v>1963.0</v>
      </c>
      <c r="K1137" s="6">
        <v>110.0</v>
      </c>
      <c r="L1137" s="6" t="s">
        <v>141</v>
      </c>
      <c r="M1137" s="6" t="s">
        <v>4676</v>
      </c>
      <c r="N1137" s="6" t="s">
        <v>43</v>
      </c>
      <c r="O1137" s="6" t="s">
        <v>35</v>
      </c>
      <c r="P1137" s="6">
        <f>COUNTIF(Analysis!$M$1:$M$3001,Analysis!$M1159)</f>
        <v>1</v>
      </c>
      <c r="Q1137" s="6" t="str">
        <f>IF(COUNTIF(Analysis!$M$2:$M$3001,Analysis!$M1159)&gt;1,"Duplicate","OK")</f>
        <v>OK</v>
      </c>
      <c r="R1137" s="6" t="str">
        <f t="shared" si="1"/>
        <v>1600-2600</v>
      </c>
      <c r="S1137" s="6">
        <f t="shared" si="2"/>
        <v>63</v>
      </c>
      <c r="T1137" s="6" t="str">
        <f t="shared" si="3"/>
        <v>Very Old</v>
      </c>
    </row>
    <row r="1138" ht="14.25" customHeight="1">
      <c r="A1138" s="5">
        <v>566038.0</v>
      </c>
      <c r="B1138" s="6" t="s">
        <v>4591</v>
      </c>
      <c r="C1138" s="6" t="s">
        <v>39</v>
      </c>
      <c r="D1138" s="6">
        <v>71953.0</v>
      </c>
      <c r="E1138" s="6" t="s">
        <v>19</v>
      </c>
      <c r="F1138" s="6" t="s">
        <v>20</v>
      </c>
      <c r="G1138" s="6" t="s">
        <v>55</v>
      </c>
      <c r="H1138" s="7">
        <v>2602.0</v>
      </c>
      <c r="I1138" s="7">
        <v>1820.0</v>
      </c>
      <c r="J1138" s="6">
        <v>1956.0</v>
      </c>
      <c r="K1138" s="6">
        <v>116.0</v>
      </c>
      <c r="L1138" s="6" t="s">
        <v>141</v>
      </c>
      <c r="M1138" s="6" t="s">
        <v>4592</v>
      </c>
      <c r="N1138" s="6" t="s">
        <v>64</v>
      </c>
      <c r="O1138" s="6" t="s">
        <v>49</v>
      </c>
      <c r="P1138" s="6">
        <f>COUNTIF(Analysis!$M$1:$M$3001,Analysis!$M1138)</f>
        <v>1</v>
      </c>
      <c r="Q1138" s="6" t="str">
        <f>IF(COUNTIF(Analysis!$M$2:$M$3001,Analysis!$M1138)&gt;1,"Duplicate","OK")</f>
        <v>OK</v>
      </c>
      <c r="R1138" s="6" t="str">
        <f t="shared" si="1"/>
        <v>2600-3600</v>
      </c>
      <c r="S1138" s="6">
        <f t="shared" si="2"/>
        <v>70</v>
      </c>
      <c r="T1138" s="6" t="str">
        <f t="shared" si="3"/>
        <v>Very Old</v>
      </c>
    </row>
    <row r="1139" ht="14.25" customHeight="1">
      <c r="A1139" s="5">
        <v>1026003.0</v>
      </c>
      <c r="B1139" s="6" t="s">
        <v>4595</v>
      </c>
      <c r="C1139" s="6" t="s">
        <v>76</v>
      </c>
      <c r="D1139" s="6">
        <v>95520.0</v>
      </c>
      <c r="E1139" s="6" t="s">
        <v>60</v>
      </c>
      <c r="F1139" s="6" t="s">
        <v>46</v>
      </c>
      <c r="G1139" s="6" t="s">
        <v>100</v>
      </c>
      <c r="H1139" s="7">
        <v>3832.0</v>
      </c>
      <c r="I1139" s="7">
        <v>2008.0</v>
      </c>
      <c r="J1139" s="6">
        <v>1986.0</v>
      </c>
      <c r="K1139" s="6">
        <v>66.0</v>
      </c>
      <c r="L1139" s="6" t="s">
        <v>95</v>
      </c>
      <c r="M1139" s="6" t="s">
        <v>4596</v>
      </c>
      <c r="N1139" s="6" t="s">
        <v>64</v>
      </c>
      <c r="O1139" s="6" t="s">
        <v>25</v>
      </c>
      <c r="P1139" s="6">
        <f>COUNTIF(Analysis!$M$1:$M$3001,Analysis!$M1139)</f>
        <v>1</v>
      </c>
      <c r="Q1139" s="6" t="str">
        <f>IF(COUNTIF(Analysis!$M$2:$M$3001,Analysis!$M1139)&gt;1,"Duplicate","OK")</f>
        <v>OK</v>
      </c>
      <c r="R1139" s="6" t="str">
        <f t="shared" si="1"/>
        <v>3600+</v>
      </c>
      <c r="S1139" s="6">
        <f t="shared" si="2"/>
        <v>40</v>
      </c>
      <c r="T1139" s="6" t="str">
        <f t="shared" si="3"/>
        <v>Old</v>
      </c>
    </row>
    <row r="1140" ht="14.25" customHeight="1">
      <c r="A1140" s="5">
        <v>644055.0</v>
      </c>
      <c r="B1140" s="6" t="s">
        <v>629</v>
      </c>
      <c r="C1140" s="6" t="s">
        <v>29</v>
      </c>
      <c r="D1140" s="6">
        <v>36556.0</v>
      </c>
      <c r="E1140" s="6" t="s">
        <v>60</v>
      </c>
      <c r="F1140" s="6" t="s">
        <v>20</v>
      </c>
      <c r="G1140" s="6" t="s">
        <v>21</v>
      </c>
      <c r="H1140" s="7">
        <v>2972.0</v>
      </c>
      <c r="I1140" s="7">
        <v>5735.0</v>
      </c>
      <c r="J1140" s="6">
        <v>1955.0</v>
      </c>
      <c r="K1140" s="6">
        <v>81.0</v>
      </c>
      <c r="L1140" s="6" t="s">
        <v>22</v>
      </c>
      <c r="M1140" s="6" t="s">
        <v>630</v>
      </c>
      <c r="N1140" s="6" t="s">
        <v>48</v>
      </c>
      <c r="O1140" s="6" t="s">
        <v>35</v>
      </c>
      <c r="P1140" s="6">
        <f>COUNTIF(Analysis!$M$1:$M$3001,Analysis!$M147)</f>
        <v>1</v>
      </c>
      <c r="Q1140" s="6" t="str">
        <f>IF(COUNTIF(Analysis!$M$2:$M$3001,Analysis!$M147)&gt;1,"Duplicate","OK")</f>
        <v>OK</v>
      </c>
      <c r="R1140" s="6" t="str">
        <f t="shared" si="1"/>
        <v>2600-3600</v>
      </c>
      <c r="S1140" s="6">
        <f t="shared" si="2"/>
        <v>71</v>
      </c>
      <c r="T1140" s="6" t="str">
        <f t="shared" si="3"/>
        <v>Very Old</v>
      </c>
    </row>
    <row r="1141" ht="14.25" customHeight="1">
      <c r="A1141" s="5">
        <v>1101864.0</v>
      </c>
      <c r="B1141" s="6" t="s">
        <v>4603</v>
      </c>
      <c r="C1141" s="6" t="s">
        <v>18</v>
      </c>
      <c r="D1141" s="6">
        <v>40512.0</v>
      </c>
      <c r="E1141" s="6" t="s">
        <v>19</v>
      </c>
      <c r="F1141" s="6" t="s">
        <v>46</v>
      </c>
      <c r="G1141" s="6" t="s">
        <v>31</v>
      </c>
      <c r="H1141" s="7">
        <v>1481.0</v>
      </c>
      <c r="I1141" s="7">
        <v>8967.0</v>
      </c>
      <c r="J1141" s="6">
        <v>1998.0</v>
      </c>
      <c r="K1141" s="6">
        <v>109.0</v>
      </c>
      <c r="L1141" s="6" t="s">
        <v>22</v>
      </c>
      <c r="M1141" s="6" t="s">
        <v>4604</v>
      </c>
      <c r="N1141" s="6" t="s">
        <v>43</v>
      </c>
      <c r="O1141" s="6" t="s">
        <v>25</v>
      </c>
      <c r="P1141" s="6">
        <f>COUNTIF(Analysis!$M$1:$M$3001,Analysis!$M1141)</f>
        <v>1</v>
      </c>
      <c r="Q1141" s="6" t="str">
        <f>IF(COUNTIF(Analysis!$M$2:$M$3001,Analysis!$M1141)&gt;1,"Duplicate","OK")</f>
        <v>OK</v>
      </c>
      <c r="R1141" s="6" t="str">
        <f t="shared" si="1"/>
        <v>600-1600</v>
      </c>
      <c r="S1141" s="6">
        <f t="shared" si="2"/>
        <v>28</v>
      </c>
      <c r="T1141" s="6" t="str">
        <f t="shared" si="3"/>
        <v>Mid</v>
      </c>
    </row>
    <row r="1142" ht="14.25" customHeight="1">
      <c r="A1142" s="5">
        <v>450730.0</v>
      </c>
      <c r="B1142" s="6" t="s">
        <v>4607</v>
      </c>
      <c r="C1142" s="6" t="s">
        <v>53</v>
      </c>
      <c r="D1142" s="6">
        <v>70874.0</v>
      </c>
      <c r="E1142" s="6" t="s">
        <v>77</v>
      </c>
      <c r="F1142" s="6" t="s">
        <v>41</v>
      </c>
      <c r="G1142" s="6" t="s">
        <v>55</v>
      </c>
      <c r="H1142" s="7">
        <v>2794.0</v>
      </c>
      <c r="I1142" s="7">
        <v>6521.0</v>
      </c>
      <c r="J1142" s="6">
        <v>1996.0</v>
      </c>
      <c r="K1142" s="6">
        <v>72.0</v>
      </c>
      <c r="L1142" s="6" t="s">
        <v>62</v>
      </c>
      <c r="M1142" s="6" t="s">
        <v>4608</v>
      </c>
      <c r="N1142" s="6" t="s">
        <v>34</v>
      </c>
      <c r="O1142" s="6" t="s">
        <v>35</v>
      </c>
      <c r="P1142" s="6">
        <f>COUNTIF(Analysis!$M$1:$M$3001,Analysis!$M1142)</f>
        <v>1</v>
      </c>
      <c r="Q1142" s="6" t="str">
        <f>IF(COUNTIF(Analysis!$M$2:$M$3001,Analysis!$M1142)&gt;1,"Duplicate","OK")</f>
        <v>OK</v>
      </c>
      <c r="R1142" s="6" t="str">
        <f t="shared" si="1"/>
        <v>2600-3600</v>
      </c>
      <c r="S1142" s="6">
        <f t="shared" si="2"/>
        <v>30</v>
      </c>
      <c r="T1142" s="6" t="str">
        <f t="shared" si="3"/>
        <v>Mid</v>
      </c>
    </row>
    <row r="1143" ht="14.25" customHeight="1">
      <c r="A1143" s="5">
        <v>232780.0</v>
      </c>
      <c r="B1143" s="6" t="s">
        <v>4611</v>
      </c>
      <c r="C1143" s="6" t="s">
        <v>53</v>
      </c>
      <c r="D1143" s="6">
        <v>58442.0</v>
      </c>
      <c r="E1143" s="6" t="s">
        <v>40</v>
      </c>
      <c r="F1143" s="6" t="s">
        <v>54</v>
      </c>
      <c r="G1143" s="6" t="s">
        <v>21</v>
      </c>
      <c r="H1143" s="7">
        <v>1737.0</v>
      </c>
      <c r="I1143" s="7">
        <v>4621.0</v>
      </c>
      <c r="J1143" s="6">
        <v>1976.0</v>
      </c>
      <c r="K1143" s="6">
        <v>3.0</v>
      </c>
      <c r="L1143" s="6" t="s">
        <v>95</v>
      </c>
      <c r="M1143" s="6" t="s">
        <v>4612</v>
      </c>
      <c r="N1143" s="6" t="s">
        <v>34</v>
      </c>
      <c r="O1143" s="6" t="s">
        <v>35</v>
      </c>
      <c r="P1143" s="6">
        <f>COUNTIF(Analysis!$M$1:$M$3001,Analysis!$M1143)</f>
        <v>1</v>
      </c>
      <c r="Q1143" s="6" t="str">
        <f>IF(COUNTIF(Analysis!$M$2:$M$3001,Analysis!$M1143)&gt;1,"Duplicate","OK")</f>
        <v>OK</v>
      </c>
      <c r="R1143" s="6" t="str">
        <f t="shared" si="1"/>
        <v>1600-2600</v>
      </c>
      <c r="S1143" s="6">
        <f t="shared" si="2"/>
        <v>50</v>
      </c>
      <c r="T1143" s="6" t="str">
        <f t="shared" si="3"/>
        <v>Old</v>
      </c>
    </row>
    <row r="1144" ht="14.25" customHeight="1">
      <c r="A1144" s="5">
        <v>816152.0</v>
      </c>
      <c r="B1144" s="6" t="s">
        <v>4615</v>
      </c>
      <c r="C1144" s="6" t="s">
        <v>76</v>
      </c>
      <c r="D1144" s="6">
        <v>59016.0</v>
      </c>
      <c r="E1144" s="6" t="s">
        <v>40</v>
      </c>
      <c r="F1144" s="6" t="s">
        <v>61</v>
      </c>
      <c r="G1144" s="6" t="s">
        <v>55</v>
      </c>
      <c r="H1144" s="7">
        <v>3743.0</v>
      </c>
      <c r="I1144" s="7">
        <v>7752.0</v>
      </c>
      <c r="J1144" s="6">
        <v>2005.0</v>
      </c>
      <c r="K1144" s="6">
        <v>106.0</v>
      </c>
      <c r="L1144" s="6" t="s">
        <v>62</v>
      </c>
      <c r="M1144" s="6" t="s">
        <v>4616</v>
      </c>
      <c r="N1144" s="6" t="s">
        <v>48</v>
      </c>
      <c r="O1144" s="6" t="s">
        <v>49</v>
      </c>
      <c r="P1144" s="6">
        <f>COUNTIF(Analysis!$M$1:$M$3001,Analysis!$M1144)</f>
        <v>1</v>
      </c>
      <c r="Q1144" s="6" t="str">
        <f>IF(COUNTIF(Analysis!$M$2:$M$3001,Analysis!$M1144)&gt;1,"Duplicate","OK")</f>
        <v>OK</v>
      </c>
      <c r="R1144" s="6" t="str">
        <f t="shared" si="1"/>
        <v>3600+</v>
      </c>
      <c r="S1144" s="6">
        <f t="shared" si="2"/>
        <v>21</v>
      </c>
      <c r="T1144" s="6" t="str">
        <f t="shared" si="3"/>
        <v>Mid</v>
      </c>
    </row>
    <row r="1145" ht="14.25" customHeight="1">
      <c r="A1145" s="5">
        <v>644764.0</v>
      </c>
      <c r="B1145" s="6" t="s">
        <v>1597</v>
      </c>
      <c r="C1145" s="6" t="s">
        <v>29</v>
      </c>
      <c r="D1145" s="6">
        <v>91504.0</v>
      </c>
      <c r="E1145" s="6" t="s">
        <v>40</v>
      </c>
      <c r="F1145" s="6" t="s">
        <v>54</v>
      </c>
      <c r="G1145" s="6" t="s">
        <v>21</v>
      </c>
      <c r="H1145" s="7">
        <v>2213.0</v>
      </c>
      <c r="I1145" s="7">
        <v>4506.0</v>
      </c>
      <c r="J1145" s="6">
        <v>1964.0</v>
      </c>
      <c r="K1145" s="6">
        <v>32.0</v>
      </c>
      <c r="L1145" s="6" t="s">
        <v>95</v>
      </c>
      <c r="M1145" s="6" t="s">
        <v>1598</v>
      </c>
      <c r="N1145" s="6" t="s">
        <v>34</v>
      </c>
      <c r="O1145" s="6" t="s">
        <v>49</v>
      </c>
      <c r="P1145" s="6">
        <f>COUNTIF(Analysis!$M$1:$M$3001,Analysis!$M389)</f>
        <v>1</v>
      </c>
      <c r="Q1145" s="6" t="str">
        <f>IF(COUNTIF(Analysis!$M$2:$M$3001,Analysis!$M389)&gt;1,"Duplicate","OK")</f>
        <v>OK</v>
      </c>
      <c r="R1145" s="6" t="str">
        <f t="shared" si="1"/>
        <v>1600-2600</v>
      </c>
      <c r="S1145" s="6">
        <f t="shared" si="2"/>
        <v>62</v>
      </c>
      <c r="T1145" s="6" t="str">
        <f t="shared" si="3"/>
        <v>Very Old</v>
      </c>
    </row>
    <row r="1146" ht="14.25" customHeight="1">
      <c r="A1146" s="5">
        <v>1360828.0</v>
      </c>
      <c r="B1146" s="6" t="s">
        <v>4623</v>
      </c>
      <c r="C1146" s="6" t="s">
        <v>39</v>
      </c>
      <c r="D1146" s="6">
        <v>43817.0</v>
      </c>
      <c r="E1146" s="6" t="s">
        <v>30</v>
      </c>
      <c r="F1146" s="6" t="s">
        <v>94</v>
      </c>
      <c r="G1146" s="6" t="s">
        <v>31</v>
      </c>
      <c r="H1146" s="7">
        <v>3628.0</v>
      </c>
      <c r="I1146" s="7">
        <v>6485.0</v>
      </c>
      <c r="J1146" s="6">
        <v>1995.0</v>
      </c>
      <c r="K1146" s="6">
        <v>5.0</v>
      </c>
      <c r="L1146" s="6" t="s">
        <v>62</v>
      </c>
      <c r="M1146" s="6" t="s">
        <v>4624</v>
      </c>
      <c r="N1146" s="6" t="s">
        <v>64</v>
      </c>
      <c r="O1146" s="6" t="s">
        <v>25</v>
      </c>
      <c r="P1146" s="6">
        <f>COUNTIF(Analysis!$M$1:$M$3001,Analysis!$M1146)</f>
        <v>1</v>
      </c>
      <c r="Q1146" s="6" t="str">
        <f>IF(COUNTIF(Analysis!$M$2:$M$3001,Analysis!$M1146)&gt;1,"Duplicate","OK")</f>
        <v>OK</v>
      </c>
      <c r="R1146" s="6" t="str">
        <f t="shared" si="1"/>
        <v>3600+</v>
      </c>
      <c r="S1146" s="6">
        <f t="shared" si="2"/>
        <v>31</v>
      </c>
      <c r="T1146" s="6" t="str">
        <f t="shared" si="3"/>
        <v>Old</v>
      </c>
    </row>
    <row r="1147" ht="14.25" customHeight="1">
      <c r="A1147" s="5">
        <v>937063.0</v>
      </c>
      <c r="B1147" s="6" t="s">
        <v>4627</v>
      </c>
      <c r="C1147" s="6" t="s">
        <v>76</v>
      </c>
      <c r="D1147" s="6">
        <v>22221.0</v>
      </c>
      <c r="E1147" s="6" t="s">
        <v>19</v>
      </c>
      <c r="F1147" s="6" t="s">
        <v>46</v>
      </c>
      <c r="G1147" s="6" t="s">
        <v>55</v>
      </c>
      <c r="H1147" s="7">
        <v>3862.0</v>
      </c>
      <c r="I1147" s="7">
        <v>6496.0</v>
      </c>
      <c r="J1147" s="6">
        <v>2022.0</v>
      </c>
      <c r="K1147" s="6">
        <v>118.0</v>
      </c>
      <c r="L1147" s="6" t="s">
        <v>32</v>
      </c>
      <c r="M1147" s="6" t="s">
        <v>4628</v>
      </c>
      <c r="N1147" s="6" t="s">
        <v>43</v>
      </c>
      <c r="O1147" s="6" t="s">
        <v>49</v>
      </c>
      <c r="P1147" s="6">
        <f>COUNTIF(Analysis!$M$1:$M$3001,Analysis!$M1147)</f>
        <v>1</v>
      </c>
      <c r="Q1147" s="6" t="str">
        <f>IF(COUNTIF(Analysis!$M$2:$M$3001,Analysis!$M1147)&gt;1,"Duplicate","OK")</f>
        <v>OK</v>
      </c>
      <c r="R1147" s="6" t="str">
        <f t="shared" si="1"/>
        <v>3600+</v>
      </c>
      <c r="S1147" s="6">
        <f t="shared" si="2"/>
        <v>4</v>
      </c>
      <c r="T1147" s="6" t="str">
        <f t="shared" si="3"/>
        <v>New</v>
      </c>
    </row>
    <row r="1148" ht="14.25" customHeight="1">
      <c r="A1148" s="5">
        <v>340574.0</v>
      </c>
      <c r="B1148" s="6" t="s">
        <v>4631</v>
      </c>
      <c r="C1148" s="6" t="s">
        <v>39</v>
      </c>
      <c r="D1148" s="6">
        <v>37285.0</v>
      </c>
      <c r="E1148" s="6" t="s">
        <v>40</v>
      </c>
      <c r="F1148" s="6" t="s">
        <v>94</v>
      </c>
      <c r="G1148" s="6" t="s">
        <v>21</v>
      </c>
      <c r="H1148" s="7">
        <v>1510.0</v>
      </c>
      <c r="I1148" s="7">
        <v>7017.0</v>
      </c>
      <c r="J1148" s="6">
        <v>1970.0</v>
      </c>
      <c r="K1148" s="6">
        <v>69.0</v>
      </c>
      <c r="L1148" s="6" t="s">
        <v>32</v>
      </c>
      <c r="M1148" s="6" t="s">
        <v>4632</v>
      </c>
      <c r="N1148" s="6" t="s">
        <v>34</v>
      </c>
      <c r="O1148" s="6" t="s">
        <v>25</v>
      </c>
      <c r="P1148" s="6">
        <f>COUNTIF(Analysis!$M$1:$M$3001,Analysis!$M1148)</f>
        <v>1</v>
      </c>
      <c r="Q1148" s="6" t="str">
        <f>IF(COUNTIF(Analysis!$M$2:$M$3001,Analysis!$M1148)&gt;1,"Duplicate","OK")</f>
        <v>OK</v>
      </c>
      <c r="R1148" s="6" t="str">
        <f t="shared" si="1"/>
        <v>600-1600</v>
      </c>
      <c r="S1148" s="6">
        <f t="shared" si="2"/>
        <v>56</v>
      </c>
      <c r="T1148" s="6" t="str">
        <f t="shared" si="3"/>
        <v>Old</v>
      </c>
    </row>
    <row r="1149" ht="14.25" customHeight="1">
      <c r="A1149" s="5">
        <v>645454.0</v>
      </c>
      <c r="B1149" s="6" t="s">
        <v>2835</v>
      </c>
      <c r="C1149" s="6" t="s">
        <v>29</v>
      </c>
      <c r="D1149" s="6">
        <v>30310.0</v>
      </c>
      <c r="E1149" s="6" t="s">
        <v>30</v>
      </c>
      <c r="F1149" s="6" t="s">
        <v>94</v>
      </c>
      <c r="G1149" s="6" t="s">
        <v>21</v>
      </c>
      <c r="H1149" s="7">
        <v>2101.0</v>
      </c>
      <c r="I1149" s="7">
        <v>8736.0</v>
      </c>
      <c r="J1149" s="6">
        <v>1975.0</v>
      </c>
      <c r="K1149" s="6">
        <v>87.0</v>
      </c>
      <c r="L1149" s="6" t="s">
        <v>141</v>
      </c>
      <c r="M1149" s="6" t="s">
        <v>2836</v>
      </c>
      <c r="N1149" s="6" t="s">
        <v>34</v>
      </c>
      <c r="O1149" s="6" t="s">
        <v>25</v>
      </c>
      <c r="P1149" s="6">
        <f>COUNTIF(Analysis!$M$1:$M$3001,Analysis!$M699)</f>
        <v>1</v>
      </c>
      <c r="Q1149" s="6" t="str">
        <f>IF(COUNTIF(Analysis!$M$2:$M$3001,Analysis!$M699)&gt;1,"Duplicate","OK")</f>
        <v>OK</v>
      </c>
      <c r="R1149" s="6" t="str">
        <f t="shared" si="1"/>
        <v>1600-2600</v>
      </c>
      <c r="S1149" s="6">
        <f t="shared" si="2"/>
        <v>51</v>
      </c>
      <c r="T1149" s="6" t="str">
        <f t="shared" si="3"/>
        <v>Old</v>
      </c>
    </row>
    <row r="1150" ht="14.25" customHeight="1">
      <c r="A1150" s="5">
        <v>661201.0</v>
      </c>
      <c r="B1150" s="6" t="s">
        <v>4639</v>
      </c>
      <c r="C1150" s="6" t="s">
        <v>39</v>
      </c>
      <c r="D1150" s="6">
        <v>28441.0</v>
      </c>
      <c r="E1150" s="6" t="s">
        <v>19</v>
      </c>
      <c r="F1150" s="6" t="s">
        <v>20</v>
      </c>
      <c r="G1150" s="6" t="s">
        <v>21</v>
      </c>
      <c r="H1150" s="7">
        <v>2764.0</v>
      </c>
      <c r="I1150" s="7">
        <v>5413.0</v>
      </c>
      <c r="J1150" s="6">
        <v>1970.0</v>
      </c>
      <c r="K1150" s="6">
        <v>102.0</v>
      </c>
      <c r="L1150" s="6" t="s">
        <v>62</v>
      </c>
      <c r="M1150" s="6" t="s">
        <v>4640</v>
      </c>
      <c r="N1150" s="6" t="s">
        <v>48</v>
      </c>
      <c r="O1150" s="6" t="s">
        <v>49</v>
      </c>
      <c r="P1150" s="6">
        <f>COUNTIF(Analysis!$M$1:$M$3001,Analysis!$M1150)</f>
        <v>1</v>
      </c>
      <c r="Q1150" s="6" t="str">
        <f>IF(COUNTIF(Analysis!$M$2:$M$3001,Analysis!$M1150)&gt;1,"Duplicate","OK")</f>
        <v>OK</v>
      </c>
      <c r="R1150" s="6" t="str">
        <f t="shared" si="1"/>
        <v>2600-3600</v>
      </c>
      <c r="S1150" s="6">
        <f t="shared" si="2"/>
        <v>56</v>
      </c>
      <c r="T1150" s="6" t="str">
        <f t="shared" si="3"/>
        <v>Old</v>
      </c>
    </row>
    <row r="1151" ht="14.25" customHeight="1">
      <c r="A1151" s="5">
        <v>424500.0</v>
      </c>
      <c r="B1151" s="6" t="s">
        <v>4643</v>
      </c>
      <c r="C1151" s="6" t="s">
        <v>76</v>
      </c>
      <c r="D1151" s="6">
        <v>23068.0</v>
      </c>
      <c r="E1151" s="6" t="s">
        <v>30</v>
      </c>
      <c r="F1151" s="6" t="s">
        <v>61</v>
      </c>
      <c r="G1151" s="6" t="s">
        <v>55</v>
      </c>
      <c r="H1151" s="7">
        <v>1861.0</v>
      </c>
      <c r="I1151" s="7">
        <v>2318.0</v>
      </c>
      <c r="J1151" s="6">
        <v>2021.0</v>
      </c>
      <c r="K1151" s="6">
        <v>103.0</v>
      </c>
      <c r="L1151" s="6" t="s">
        <v>95</v>
      </c>
      <c r="M1151" s="6" t="s">
        <v>4644</v>
      </c>
      <c r="N1151" s="6" t="s">
        <v>64</v>
      </c>
      <c r="O1151" s="6" t="s">
        <v>49</v>
      </c>
      <c r="P1151" s="6">
        <f>COUNTIF(Analysis!$M$1:$M$3001,Analysis!$M1151)</f>
        <v>1</v>
      </c>
      <c r="Q1151" s="6" t="str">
        <f>IF(COUNTIF(Analysis!$M$2:$M$3001,Analysis!$M1151)&gt;1,"Duplicate","OK")</f>
        <v>OK</v>
      </c>
      <c r="R1151" s="6" t="str">
        <f t="shared" si="1"/>
        <v>1600-2600</v>
      </c>
      <c r="S1151" s="6">
        <f t="shared" si="2"/>
        <v>5</v>
      </c>
      <c r="T1151" s="6" t="str">
        <f t="shared" si="3"/>
        <v>New</v>
      </c>
    </row>
    <row r="1152" ht="14.25" customHeight="1">
      <c r="A1152" s="5">
        <v>646379.0</v>
      </c>
      <c r="B1152" s="6" t="s">
        <v>9755</v>
      </c>
      <c r="C1152" s="6" t="s">
        <v>29</v>
      </c>
      <c r="D1152" s="6">
        <v>15079.0</v>
      </c>
      <c r="E1152" s="6" t="s">
        <v>19</v>
      </c>
      <c r="F1152" s="6" t="s">
        <v>94</v>
      </c>
      <c r="G1152" s="6" t="s">
        <v>100</v>
      </c>
      <c r="H1152" s="7">
        <v>2049.0</v>
      </c>
      <c r="I1152" s="7">
        <v>1722.0</v>
      </c>
      <c r="J1152" s="6">
        <v>1988.0</v>
      </c>
      <c r="K1152" s="6">
        <v>118.0</v>
      </c>
      <c r="L1152" s="6" t="s">
        <v>95</v>
      </c>
      <c r="M1152" s="6" t="s">
        <v>9756</v>
      </c>
      <c r="N1152" s="6" t="s">
        <v>48</v>
      </c>
      <c r="O1152" s="6" t="s">
        <v>49</v>
      </c>
      <c r="P1152" s="6">
        <f>COUNTIF(Analysis!$M$1:$M$3001,Analysis!$M2430)</f>
        <v>1</v>
      </c>
      <c r="Q1152" s="6" t="str">
        <f>IF(COUNTIF(Analysis!$M$2:$M$3001,Analysis!$M2430)&gt;1,"Duplicate","OK")</f>
        <v>OK</v>
      </c>
      <c r="R1152" s="6" t="str">
        <f t="shared" si="1"/>
        <v>1600-2600</v>
      </c>
      <c r="S1152" s="6">
        <f t="shared" si="2"/>
        <v>38</v>
      </c>
      <c r="T1152" s="6" t="str">
        <f t="shared" si="3"/>
        <v>Old</v>
      </c>
    </row>
    <row r="1153" ht="14.25" customHeight="1">
      <c r="A1153" s="5">
        <v>503097.0</v>
      </c>
      <c r="B1153" s="6" t="s">
        <v>4651</v>
      </c>
      <c r="C1153" s="6" t="s">
        <v>39</v>
      </c>
      <c r="D1153" s="6">
        <v>65991.0</v>
      </c>
      <c r="E1153" s="6" t="s">
        <v>60</v>
      </c>
      <c r="F1153" s="6" t="s">
        <v>41</v>
      </c>
      <c r="G1153" s="6" t="s">
        <v>55</v>
      </c>
      <c r="H1153" s="7">
        <v>2784.0</v>
      </c>
      <c r="I1153" s="7">
        <v>7446.0</v>
      </c>
      <c r="J1153" s="6">
        <v>1975.0</v>
      </c>
      <c r="K1153" s="6">
        <v>13.0</v>
      </c>
      <c r="L1153" s="6" t="s">
        <v>32</v>
      </c>
      <c r="M1153" s="6" t="s">
        <v>4652</v>
      </c>
      <c r="N1153" s="6" t="s">
        <v>64</v>
      </c>
      <c r="O1153" s="6" t="s">
        <v>25</v>
      </c>
      <c r="P1153" s="6">
        <f>COUNTIF(Analysis!$M$1:$M$3001,Analysis!$M1153)</f>
        <v>1</v>
      </c>
      <c r="Q1153" s="6" t="str">
        <f>IF(COUNTIF(Analysis!$M$2:$M$3001,Analysis!$M1153)&gt;1,"Duplicate","OK")</f>
        <v>OK</v>
      </c>
      <c r="R1153" s="6" t="str">
        <f t="shared" si="1"/>
        <v>2600-3600</v>
      </c>
      <c r="S1153" s="6">
        <f t="shared" si="2"/>
        <v>51</v>
      </c>
      <c r="T1153" s="6" t="str">
        <f t="shared" si="3"/>
        <v>Old</v>
      </c>
    </row>
    <row r="1154" ht="14.25" customHeight="1">
      <c r="A1154" s="5">
        <v>1147486.0</v>
      </c>
      <c r="B1154" s="6" t="s">
        <v>4655</v>
      </c>
      <c r="C1154" s="6" t="s">
        <v>53</v>
      </c>
      <c r="D1154" s="6">
        <v>14297.0</v>
      </c>
      <c r="E1154" s="6" t="s">
        <v>19</v>
      </c>
      <c r="F1154" s="6" t="s">
        <v>46</v>
      </c>
      <c r="G1154" s="6" t="s">
        <v>100</v>
      </c>
      <c r="H1154" s="7">
        <v>1492.0</v>
      </c>
      <c r="I1154" s="7">
        <v>3301.0</v>
      </c>
      <c r="J1154" s="6">
        <v>1959.0</v>
      </c>
      <c r="K1154" s="6">
        <v>68.0</v>
      </c>
      <c r="L1154" s="6" t="s">
        <v>22</v>
      </c>
      <c r="M1154" s="6" t="s">
        <v>4656</v>
      </c>
      <c r="N1154" s="6" t="s">
        <v>43</v>
      </c>
      <c r="O1154" s="6" t="s">
        <v>49</v>
      </c>
      <c r="P1154" s="6">
        <f>COUNTIF(Analysis!$M$1:$M$3001,Analysis!$M1154)</f>
        <v>1</v>
      </c>
      <c r="Q1154" s="6" t="str">
        <f>IF(COUNTIF(Analysis!$M$2:$M$3001,Analysis!$M1154)&gt;1,"Duplicate","OK")</f>
        <v>OK</v>
      </c>
      <c r="R1154" s="6" t="str">
        <f t="shared" si="1"/>
        <v>600-1600</v>
      </c>
      <c r="S1154" s="6">
        <f t="shared" si="2"/>
        <v>67</v>
      </c>
      <c r="T1154" s="6" t="str">
        <f t="shared" si="3"/>
        <v>Very Old</v>
      </c>
    </row>
    <row r="1155" ht="14.25" customHeight="1">
      <c r="A1155" s="5">
        <v>325165.0</v>
      </c>
      <c r="B1155" s="6" t="s">
        <v>4659</v>
      </c>
      <c r="C1155" s="6" t="s">
        <v>76</v>
      </c>
      <c r="D1155" s="6">
        <v>74800.0</v>
      </c>
      <c r="E1155" s="6" t="s">
        <v>30</v>
      </c>
      <c r="F1155" s="6" t="s">
        <v>54</v>
      </c>
      <c r="G1155" s="6" t="s">
        <v>21</v>
      </c>
      <c r="H1155" s="7">
        <v>941.0</v>
      </c>
      <c r="I1155" s="7">
        <v>7511.0</v>
      </c>
      <c r="J1155" s="6">
        <v>1954.0</v>
      </c>
      <c r="K1155" s="6">
        <v>120.0</v>
      </c>
      <c r="L1155" s="6" t="s">
        <v>95</v>
      </c>
      <c r="M1155" s="6" t="s">
        <v>4660</v>
      </c>
      <c r="N1155" s="6" t="s">
        <v>24</v>
      </c>
      <c r="O1155" s="6" t="s">
        <v>35</v>
      </c>
      <c r="P1155" s="6">
        <f>COUNTIF(Analysis!$M$1:$M$3001,Analysis!$M1155)</f>
        <v>1</v>
      </c>
      <c r="Q1155" s="6" t="str">
        <f>IF(COUNTIF(Analysis!$M$2:$M$3001,Analysis!$M1155)&gt;1,"Duplicate","OK")</f>
        <v>OK</v>
      </c>
      <c r="R1155" s="6" t="str">
        <f t="shared" si="1"/>
        <v>600-1600</v>
      </c>
      <c r="S1155" s="6">
        <f t="shared" si="2"/>
        <v>72</v>
      </c>
      <c r="T1155" s="6" t="str">
        <f t="shared" si="3"/>
        <v>Very Old</v>
      </c>
    </row>
    <row r="1156" ht="14.25" customHeight="1">
      <c r="A1156" s="5">
        <v>952328.0</v>
      </c>
      <c r="B1156" s="6" t="s">
        <v>4663</v>
      </c>
      <c r="C1156" s="6" t="s">
        <v>18</v>
      </c>
      <c r="D1156" s="6">
        <v>25023.0</v>
      </c>
      <c r="E1156" s="6" t="s">
        <v>19</v>
      </c>
      <c r="F1156" s="6" t="s">
        <v>46</v>
      </c>
      <c r="G1156" s="6" t="s">
        <v>55</v>
      </c>
      <c r="H1156" s="7">
        <v>920.0</v>
      </c>
      <c r="I1156" s="7">
        <v>1631.0</v>
      </c>
      <c r="J1156" s="6">
        <v>2002.0</v>
      </c>
      <c r="K1156" s="6">
        <v>39.0</v>
      </c>
      <c r="L1156" s="6" t="s">
        <v>32</v>
      </c>
      <c r="M1156" s="6" t="s">
        <v>4664</v>
      </c>
      <c r="N1156" s="6" t="s">
        <v>48</v>
      </c>
      <c r="O1156" s="6" t="s">
        <v>25</v>
      </c>
      <c r="P1156" s="6">
        <f>COUNTIF(Analysis!$M$1:$M$3001,Analysis!$M1156)</f>
        <v>1</v>
      </c>
      <c r="Q1156" s="6" t="str">
        <f>IF(COUNTIF(Analysis!$M$2:$M$3001,Analysis!$M1156)&gt;1,"Duplicate","OK")</f>
        <v>OK</v>
      </c>
      <c r="R1156" s="6" t="str">
        <f t="shared" si="1"/>
        <v>600-1600</v>
      </c>
      <c r="S1156" s="6">
        <f t="shared" si="2"/>
        <v>24</v>
      </c>
      <c r="T1156" s="6" t="str">
        <f t="shared" si="3"/>
        <v>Mid</v>
      </c>
    </row>
    <row r="1157" ht="14.25" customHeight="1">
      <c r="A1157" s="5">
        <v>838113.0</v>
      </c>
      <c r="B1157" s="6" t="s">
        <v>4667</v>
      </c>
      <c r="C1157" s="6" t="s">
        <v>18</v>
      </c>
      <c r="D1157" s="6">
        <v>66128.0</v>
      </c>
      <c r="E1157" s="6" t="s">
        <v>60</v>
      </c>
      <c r="F1157" s="6" t="s">
        <v>94</v>
      </c>
      <c r="G1157" s="6" t="s">
        <v>100</v>
      </c>
      <c r="H1157" s="7">
        <v>3658.0</v>
      </c>
      <c r="I1157" s="7">
        <v>8027.0</v>
      </c>
      <c r="J1157" s="6">
        <v>1962.0</v>
      </c>
      <c r="K1157" s="6">
        <v>67.0</v>
      </c>
      <c r="L1157" s="6" t="s">
        <v>32</v>
      </c>
      <c r="M1157" s="6" t="s">
        <v>4668</v>
      </c>
      <c r="N1157" s="6" t="s">
        <v>64</v>
      </c>
      <c r="O1157" s="6" t="s">
        <v>35</v>
      </c>
      <c r="P1157" s="6">
        <f>COUNTIF(Analysis!$M$1:$M$3001,Analysis!$M1157)</f>
        <v>1</v>
      </c>
      <c r="Q1157" s="6" t="str">
        <f>IF(COUNTIF(Analysis!$M$2:$M$3001,Analysis!$M1157)&gt;1,"Duplicate","OK")</f>
        <v>OK</v>
      </c>
      <c r="R1157" s="6" t="str">
        <f t="shared" si="1"/>
        <v>3600+</v>
      </c>
      <c r="S1157" s="6">
        <f t="shared" si="2"/>
        <v>64</v>
      </c>
      <c r="T1157" s="6" t="str">
        <f t="shared" si="3"/>
        <v>Very Old</v>
      </c>
    </row>
    <row r="1158" ht="14.25" customHeight="1">
      <c r="A1158" s="5">
        <v>415528.0</v>
      </c>
      <c r="B1158" s="6" t="s">
        <v>4671</v>
      </c>
      <c r="C1158" s="6" t="s">
        <v>39</v>
      </c>
      <c r="D1158" s="6">
        <v>50616.0</v>
      </c>
      <c r="E1158" s="6" t="s">
        <v>60</v>
      </c>
      <c r="F1158" s="6" t="s">
        <v>46</v>
      </c>
      <c r="G1158" s="6" t="s">
        <v>55</v>
      </c>
      <c r="H1158" s="7">
        <v>1946.0</v>
      </c>
      <c r="I1158" s="7">
        <v>9660.0</v>
      </c>
      <c r="J1158" s="6">
        <v>1998.0</v>
      </c>
      <c r="K1158" s="6">
        <v>21.0</v>
      </c>
      <c r="L1158" s="6" t="s">
        <v>22</v>
      </c>
      <c r="M1158" s="6" t="s">
        <v>4672</v>
      </c>
      <c r="N1158" s="6" t="s">
        <v>64</v>
      </c>
      <c r="O1158" s="6" t="s">
        <v>49</v>
      </c>
      <c r="P1158" s="6">
        <f>COUNTIF(Analysis!$M$1:$M$3001,Analysis!$M1158)</f>
        <v>1</v>
      </c>
      <c r="Q1158" s="6" t="str">
        <f>IF(COUNTIF(Analysis!$M$2:$M$3001,Analysis!$M1158)&gt;1,"Duplicate","OK")</f>
        <v>OK</v>
      </c>
      <c r="R1158" s="6" t="str">
        <f t="shared" si="1"/>
        <v>1600-2600</v>
      </c>
      <c r="S1158" s="6">
        <f t="shared" si="2"/>
        <v>28</v>
      </c>
      <c r="T1158" s="6" t="str">
        <f t="shared" si="3"/>
        <v>Mid</v>
      </c>
    </row>
    <row r="1159" ht="14.25" customHeight="1">
      <c r="A1159" s="5">
        <v>649507.0</v>
      </c>
      <c r="B1159" s="6" t="s">
        <v>6229</v>
      </c>
      <c r="C1159" s="6" t="s">
        <v>29</v>
      </c>
      <c r="D1159" s="6">
        <v>88446.0</v>
      </c>
      <c r="E1159" s="6" t="s">
        <v>60</v>
      </c>
      <c r="F1159" s="6" t="s">
        <v>54</v>
      </c>
      <c r="G1159" s="6" t="s">
        <v>100</v>
      </c>
      <c r="H1159" s="7">
        <v>717.0</v>
      </c>
      <c r="I1159" s="7">
        <v>4739.0</v>
      </c>
      <c r="J1159" s="6">
        <v>1964.0</v>
      </c>
      <c r="K1159" s="6">
        <v>58.0</v>
      </c>
      <c r="L1159" s="6" t="s">
        <v>141</v>
      </c>
      <c r="M1159" s="6" t="s">
        <v>6230</v>
      </c>
      <c r="N1159" s="6" t="s">
        <v>24</v>
      </c>
      <c r="O1159" s="6" t="s">
        <v>35</v>
      </c>
      <c r="P1159" s="6">
        <f>COUNTIF(Analysis!$M$1:$M$3001,Analysis!$M1548)</f>
        <v>1</v>
      </c>
      <c r="Q1159" s="6" t="str">
        <f>IF(COUNTIF(Analysis!$M$2:$M$3001,Analysis!$M1548)&gt;1,"Duplicate","OK")</f>
        <v>OK</v>
      </c>
      <c r="R1159" s="6" t="str">
        <f t="shared" si="1"/>
        <v>600-1600</v>
      </c>
      <c r="S1159" s="6">
        <f t="shared" si="2"/>
        <v>62</v>
      </c>
      <c r="T1159" s="6" t="str">
        <f t="shared" si="3"/>
        <v>Very Old</v>
      </c>
    </row>
    <row r="1160" ht="14.25" customHeight="1">
      <c r="A1160" s="5">
        <v>1306432.0</v>
      </c>
      <c r="B1160" s="6" t="s">
        <v>4679</v>
      </c>
      <c r="C1160" s="6" t="s">
        <v>39</v>
      </c>
      <c r="D1160" s="6">
        <v>65559.0</v>
      </c>
      <c r="E1160" s="6" t="s">
        <v>77</v>
      </c>
      <c r="F1160" s="6" t="s">
        <v>41</v>
      </c>
      <c r="G1160" s="6" t="s">
        <v>100</v>
      </c>
      <c r="H1160" s="7">
        <v>615.0</v>
      </c>
      <c r="I1160" s="7">
        <v>4278.0</v>
      </c>
      <c r="J1160" s="6">
        <v>2014.0</v>
      </c>
      <c r="K1160" s="6">
        <v>100.0</v>
      </c>
      <c r="L1160" s="6" t="s">
        <v>62</v>
      </c>
      <c r="M1160" s="6" t="s">
        <v>4680</v>
      </c>
      <c r="N1160" s="6" t="s">
        <v>43</v>
      </c>
      <c r="O1160" s="6" t="s">
        <v>25</v>
      </c>
      <c r="P1160" s="6">
        <f>COUNTIF(Analysis!$M$1:$M$3001,Analysis!$M1160)</f>
        <v>1</v>
      </c>
      <c r="Q1160" s="6" t="str">
        <f>IF(COUNTIF(Analysis!$M$2:$M$3001,Analysis!$M1160)&gt;1,"Duplicate","OK")</f>
        <v>OK</v>
      </c>
      <c r="R1160" s="6" t="str">
        <f t="shared" si="1"/>
        <v>600-1600</v>
      </c>
      <c r="S1160" s="6">
        <f t="shared" si="2"/>
        <v>12</v>
      </c>
      <c r="T1160" s="6" t="str">
        <f t="shared" si="3"/>
        <v>Mid</v>
      </c>
    </row>
    <row r="1161" ht="14.25" customHeight="1">
      <c r="A1161" s="5">
        <v>650763.0</v>
      </c>
      <c r="B1161" s="6" t="s">
        <v>3539</v>
      </c>
      <c r="C1161" s="6" t="s">
        <v>29</v>
      </c>
      <c r="D1161" s="6">
        <v>99103.0</v>
      </c>
      <c r="E1161" s="6" t="s">
        <v>40</v>
      </c>
      <c r="F1161" s="6" t="s">
        <v>54</v>
      </c>
      <c r="G1161" s="6" t="s">
        <v>21</v>
      </c>
      <c r="H1161" s="7">
        <v>3684.0</v>
      </c>
      <c r="I1161" s="7">
        <v>5852.0</v>
      </c>
      <c r="J1161" s="6">
        <v>1982.0</v>
      </c>
      <c r="K1161" s="6">
        <v>82.0</v>
      </c>
      <c r="L1161" s="6" t="s">
        <v>22</v>
      </c>
      <c r="M1161" s="6" t="s">
        <v>3540</v>
      </c>
      <c r="N1161" s="6" t="s">
        <v>43</v>
      </c>
      <c r="O1161" s="6" t="s">
        <v>35</v>
      </c>
      <c r="P1161" s="6">
        <f>COUNTIF(Analysis!$M$1:$M$3001,Analysis!$M875)</f>
        <v>1</v>
      </c>
      <c r="Q1161" s="6" t="str">
        <f>IF(COUNTIF(Analysis!$M$2:$M$3001,Analysis!$M875)&gt;1,"Duplicate","OK")</f>
        <v>OK</v>
      </c>
      <c r="R1161" s="6" t="str">
        <f t="shared" si="1"/>
        <v>3600+</v>
      </c>
      <c r="S1161" s="6">
        <f t="shared" si="2"/>
        <v>44</v>
      </c>
      <c r="T1161" s="6" t="str">
        <f t="shared" si="3"/>
        <v>Old</v>
      </c>
    </row>
    <row r="1162" ht="14.25" customHeight="1">
      <c r="A1162" s="5">
        <v>651450.0</v>
      </c>
      <c r="B1162" s="6" t="s">
        <v>11747</v>
      </c>
      <c r="C1162" s="6" t="s">
        <v>29</v>
      </c>
      <c r="D1162" s="6">
        <v>69768.0</v>
      </c>
      <c r="E1162" s="6" t="s">
        <v>77</v>
      </c>
      <c r="F1162" s="6" t="s">
        <v>46</v>
      </c>
      <c r="G1162" s="6" t="s">
        <v>21</v>
      </c>
      <c r="H1162" s="7">
        <v>1037.0</v>
      </c>
      <c r="I1162" s="7">
        <v>6562.0</v>
      </c>
      <c r="J1162" s="6">
        <v>1994.0</v>
      </c>
      <c r="K1162" s="6">
        <v>55.0</v>
      </c>
      <c r="L1162" s="6" t="s">
        <v>141</v>
      </c>
      <c r="M1162" s="6" t="s">
        <v>11748</v>
      </c>
      <c r="N1162" s="6" t="s">
        <v>34</v>
      </c>
      <c r="O1162" s="6" t="s">
        <v>25</v>
      </c>
      <c r="P1162" s="6">
        <f>COUNTIF(Analysis!$M$1:$M$3001,Analysis!$M2928)</f>
        <v>1</v>
      </c>
      <c r="Q1162" s="6" t="str">
        <f>IF(COUNTIF(Analysis!$M$2:$M$3001,Analysis!$M2928)&gt;1,"Duplicate","OK")</f>
        <v>OK</v>
      </c>
      <c r="R1162" s="6" t="str">
        <f t="shared" si="1"/>
        <v>600-1600</v>
      </c>
      <c r="S1162" s="6">
        <f t="shared" si="2"/>
        <v>32</v>
      </c>
      <c r="T1162" s="6" t="str">
        <f t="shared" si="3"/>
        <v>Old</v>
      </c>
    </row>
    <row r="1163" ht="14.25" customHeight="1">
      <c r="A1163" s="5">
        <v>258042.0</v>
      </c>
      <c r="B1163" s="6" t="s">
        <v>4691</v>
      </c>
      <c r="C1163" s="6" t="s">
        <v>53</v>
      </c>
      <c r="D1163" s="6">
        <v>80681.0</v>
      </c>
      <c r="E1163" s="6" t="s">
        <v>77</v>
      </c>
      <c r="F1163" s="6" t="s">
        <v>41</v>
      </c>
      <c r="G1163" s="6" t="s">
        <v>31</v>
      </c>
      <c r="H1163" s="7">
        <v>3004.0</v>
      </c>
      <c r="I1163" s="7">
        <v>9978.0</v>
      </c>
      <c r="J1163" s="6">
        <v>1997.0</v>
      </c>
      <c r="K1163" s="6">
        <v>28.0</v>
      </c>
      <c r="L1163" s="6" t="s">
        <v>32</v>
      </c>
      <c r="M1163" s="6" t="s">
        <v>4692</v>
      </c>
      <c r="N1163" s="6" t="s">
        <v>24</v>
      </c>
      <c r="O1163" s="6" t="s">
        <v>49</v>
      </c>
      <c r="P1163" s="6">
        <f>COUNTIF(Analysis!$M$1:$M$3001,Analysis!$M1163)</f>
        <v>1</v>
      </c>
      <c r="Q1163" s="6" t="str">
        <f>IF(COUNTIF(Analysis!$M$2:$M$3001,Analysis!$M1163)&gt;1,"Duplicate","OK")</f>
        <v>OK</v>
      </c>
      <c r="R1163" s="6" t="str">
        <f t="shared" si="1"/>
        <v>2600-3600</v>
      </c>
      <c r="S1163" s="6">
        <f t="shared" si="2"/>
        <v>29</v>
      </c>
      <c r="T1163" s="6" t="str">
        <f t="shared" si="3"/>
        <v>Mid</v>
      </c>
    </row>
    <row r="1164" ht="14.25" customHeight="1">
      <c r="A1164" s="5">
        <v>326070.0</v>
      </c>
      <c r="B1164" s="6" t="s">
        <v>4695</v>
      </c>
      <c r="C1164" s="6" t="s">
        <v>18</v>
      </c>
      <c r="D1164" s="6">
        <v>69699.0</v>
      </c>
      <c r="E1164" s="6" t="s">
        <v>19</v>
      </c>
      <c r="F1164" s="6" t="s">
        <v>94</v>
      </c>
      <c r="G1164" s="6" t="s">
        <v>31</v>
      </c>
      <c r="H1164" s="7">
        <v>3544.0</v>
      </c>
      <c r="I1164" s="7">
        <v>4770.0</v>
      </c>
      <c r="J1164" s="6">
        <v>1967.0</v>
      </c>
      <c r="K1164" s="6">
        <v>113.0</v>
      </c>
      <c r="L1164" s="6" t="s">
        <v>95</v>
      </c>
      <c r="M1164" s="6" t="s">
        <v>4696</v>
      </c>
      <c r="N1164" s="6" t="s">
        <v>64</v>
      </c>
      <c r="O1164" s="6" t="s">
        <v>35</v>
      </c>
      <c r="P1164" s="6">
        <f>COUNTIF(Analysis!$M$1:$M$3001,Analysis!$M1164)</f>
        <v>1</v>
      </c>
      <c r="Q1164" s="6" t="str">
        <f>IF(COUNTIF(Analysis!$M$2:$M$3001,Analysis!$M1164)&gt;1,"Duplicate","OK")</f>
        <v>OK</v>
      </c>
      <c r="R1164" s="6" t="str">
        <f t="shared" si="1"/>
        <v>2600-3600</v>
      </c>
      <c r="S1164" s="6">
        <f t="shared" si="2"/>
        <v>59</v>
      </c>
      <c r="T1164" s="6" t="str">
        <f t="shared" si="3"/>
        <v>Old</v>
      </c>
    </row>
    <row r="1165" ht="14.25" customHeight="1">
      <c r="A1165" s="5">
        <v>1203382.0</v>
      </c>
      <c r="B1165" s="6" t="s">
        <v>4699</v>
      </c>
      <c r="C1165" s="6" t="s">
        <v>39</v>
      </c>
      <c r="D1165" s="6">
        <v>88829.0</v>
      </c>
      <c r="E1165" s="6" t="s">
        <v>19</v>
      </c>
      <c r="F1165" s="6" t="s">
        <v>46</v>
      </c>
      <c r="G1165" s="6" t="s">
        <v>21</v>
      </c>
      <c r="H1165" s="7">
        <v>1171.0</v>
      </c>
      <c r="I1165" s="7">
        <v>3252.0</v>
      </c>
      <c r="J1165" s="6">
        <v>2010.0</v>
      </c>
      <c r="K1165" s="6">
        <v>53.0</v>
      </c>
      <c r="L1165" s="6" t="s">
        <v>95</v>
      </c>
      <c r="M1165" s="6" t="s">
        <v>4700</v>
      </c>
      <c r="N1165" s="6" t="s">
        <v>43</v>
      </c>
      <c r="O1165" s="6" t="s">
        <v>25</v>
      </c>
      <c r="P1165" s="6">
        <f>COUNTIF(Analysis!$M$1:$M$3001,Analysis!$M1165)</f>
        <v>1</v>
      </c>
      <c r="Q1165" s="6" t="str">
        <f>IF(COUNTIF(Analysis!$M$2:$M$3001,Analysis!$M1165)&gt;1,"Duplicate","OK")</f>
        <v>OK</v>
      </c>
      <c r="R1165" s="6" t="str">
        <f t="shared" si="1"/>
        <v>600-1600</v>
      </c>
      <c r="S1165" s="6">
        <f t="shared" si="2"/>
        <v>16</v>
      </c>
      <c r="T1165" s="6" t="str">
        <f t="shared" si="3"/>
        <v>Mid</v>
      </c>
    </row>
    <row r="1166" ht="14.25" customHeight="1">
      <c r="A1166" s="5">
        <v>654339.0</v>
      </c>
      <c r="B1166" s="6" t="s">
        <v>11235</v>
      </c>
      <c r="C1166" s="6" t="s">
        <v>29</v>
      </c>
      <c r="D1166" s="6">
        <v>40235.0</v>
      </c>
      <c r="E1166" s="6" t="s">
        <v>19</v>
      </c>
      <c r="F1166" s="6" t="s">
        <v>54</v>
      </c>
      <c r="G1166" s="6" t="s">
        <v>31</v>
      </c>
      <c r="H1166" s="7">
        <v>1113.0</v>
      </c>
      <c r="I1166" s="7">
        <v>2754.0</v>
      </c>
      <c r="J1166" s="6">
        <v>1985.0</v>
      </c>
      <c r="K1166" s="6">
        <v>1.0</v>
      </c>
      <c r="L1166" s="6" t="s">
        <v>141</v>
      </c>
      <c r="M1166" s="6" t="s">
        <v>11236</v>
      </c>
      <c r="N1166" s="6" t="s">
        <v>24</v>
      </c>
      <c r="O1166" s="6" t="s">
        <v>49</v>
      </c>
      <c r="P1166" s="6">
        <f>COUNTIF(Analysis!$M$1:$M$3001,Analysis!$M2800)</f>
        <v>1</v>
      </c>
      <c r="Q1166" s="6" t="str">
        <f>IF(COUNTIF(Analysis!$M$2:$M$3001,Analysis!$M2800)&gt;1,"Duplicate","OK")</f>
        <v>OK</v>
      </c>
      <c r="R1166" s="6" t="str">
        <f t="shared" si="1"/>
        <v>600-1600</v>
      </c>
      <c r="S1166" s="6">
        <f t="shared" si="2"/>
        <v>41</v>
      </c>
      <c r="T1166" s="6" t="str">
        <f t="shared" si="3"/>
        <v>Old</v>
      </c>
    </row>
    <row r="1167" ht="14.25" customHeight="1">
      <c r="A1167" s="5">
        <v>426197.0</v>
      </c>
      <c r="B1167" s="6" t="s">
        <v>4707</v>
      </c>
      <c r="C1167" s="6" t="s">
        <v>39</v>
      </c>
      <c r="D1167" s="6">
        <v>67091.0</v>
      </c>
      <c r="E1167" s="6" t="s">
        <v>30</v>
      </c>
      <c r="F1167" s="6" t="s">
        <v>94</v>
      </c>
      <c r="G1167" s="6" t="s">
        <v>100</v>
      </c>
      <c r="H1167" s="7">
        <v>895.0</v>
      </c>
      <c r="I1167" s="7">
        <v>1537.0</v>
      </c>
      <c r="J1167" s="6">
        <v>2006.0</v>
      </c>
      <c r="K1167" s="6">
        <v>55.0</v>
      </c>
      <c r="L1167" s="6" t="s">
        <v>22</v>
      </c>
      <c r="M1167" s="6" t="s">
        <v>4708</v>
      </c>
      <c r="N1167" s="6" t="s">
        <v>64</v>
      </c>
      <c r="O1167" s="6" t="s">
        <v>35</v>
      </c>
      <c r="P1167" s="6">
        <f>COUNTIF(Analysis!$M$1:$M$3001,Analysis!$M1167)</f>
        <v>1</v>
      </c>
      <c r="Q1167" s="6" t="str">
        <f>IF(COUNTIF(Analysis!$M$2:$M$3001,Analysis!$M1167)&gt;1,"Duplicate","OK")</f>
        <v>OK</v>
      </c>
      <c r="R1167" s="6" t="str">
        <f t="shared" si="1"/>
        <v>600-1600</v>
      </c>
      <c r="S1167" s="6">
        <f t="shared" si="2"/>
        <v>20</v>
      </c>
      <c r="T1167" s="6" t="str">
        <f t="shared" si="3"/>
        <v>Mid</v>
      </c>
    </row>
    <row r="1168" ht="14.25" customHeight="1">
      <c r="A1168" s="5">
        <v>655234.0</v>
      </c>
      <c r="B1168" s="6" t="s">
        <v>11547</v>
      </c>
      <c r="C1168" s="6" t="s">
        <v>29</v>
      </c>
      <c r="D1168" s="6">
        <v>14777.0</v>
      </c>
      <c r="E1168" s="6" t="s">
        <v>77</v>
      </c>
      <c r="F1168" s="6" t="s">
        <v>94</v>
      </c>
      <c r="G1168" s="6" t="s">
        <v>100</v>
      </c>
      <c r="H1168" s="7">
        <v>3012.0</v>
      </c>
      <c r="I1168" s="7">
        <v>3101.0</v>
      </c>
      <c r="J1168" s="6">
        <v>1983.0</v>
      </c>
      <c r="K1168" s="6">
        <v>110.0</v>
      </c>
      <c r="L1168" s="6" t="s">
        <v>62</v>
      </c>
      <c r="M1168" s="6" t="s">
        <v>11548</v>
      </c>
      <c r="N1168" s="6" t="s">
        <v>48</v>
      </c>
      <c r="O1168" s="6" t="s">
        <v>35</v>
      </c>
      <c r="P1168" s="6">
        <f>COUNTIF(Analysis!$M$1:$M$3001,Analysis!$M2878)</f>
        <v>1</v>
      </c>
      <c r="Q1168" s="6" t="str">
        <f>IF(COUNTIF(Analysis!$M$2:$M$3001,Analysis!$M2878)&gt;1,"Duplicate","OK")</f>
        <v>OK</v>
      </c>
      <c r="R1168" s="6" t="str">
        <f t="shared" si="1"/>
        <v>2600-3600</v>
      </c>
      <c r="S1168" s="6">
        <f t="shared" si="2"/>
        <v>43</v>
      </c>
      <c r="T1168" s="6" t="str">
        <f t="shared" si="3"/>
        <v>Old</v>
      </c>
    </row>
    <row r="1169" ht="14.25" customHeight="1">
      <c r="A1169" s="5">
        <v>611986.0</v>
      </c>
      <c r="B1169" s="6" t="s">
        <v>4715</v>
      </c>
      <c r="C1169" s="6" t="s">
        <v>76</v>
      </c>
      <c r="D1169" s="6">
        <v>39241.0</v>
      </c>
      <c r="E1169" s="6" t="s">
        <v>77</v>
      </c>
      <c r="F1169" s="6" t="s">
        <v>41</v>
      </c>
      <c r="G1169" s="6" t="s">
        <v>55</v>
      </c>
      <c r="H1169" s="7">
        <v>918.0</v>
      </c>
      <c r="I1169" s="7">
        <v>1741.0</v>
      </c>
      <c r="J1169" s="6">
        <v>2015.0</v>
      </c>
      <c r="K1169" s="6">
        <v>120.0</v>
      </c>
      <c r="L1169" s="6" t="s">
        <v>141</v>
      </c>
      <c r="M1169" s="6" t="s">
        <v>4716</v>
      </c>
      <c r="N1169" s="6" t="s">
        <v>48</v>
      </c>
      <c r="O1169" s="6" t="s">
        <v>49</v>
      </c>
      <c r="P1169" s="6">
        <f>COUNTIF(Analysis!$M$1:$M$3001,Analysis!$M1169)</f>
        <v>1</v>
      </c>
      <c r="Q1169" s="6" t="str">
        <f>IF(COUNTIF(Analysis!$M$2:$M$3001,Analysis!$M1169)&gt;1,"Duplicate","OK")</f>
        <v>OK</v>
      </c>
      <c r="R1169" s="6" t="str">
        <f t="shared" si="1"/>
        <v>600-1600</v>
      </c>
      <c r="S1169" s="6">
        <f t="shared" si="2"/>
        <v>11</v>
      </c>
      <c r="T1169" s="6" t="str">
        <f t="shared" si="3"/>
        <v>Mid</v>
      </c>
    </row>
    <row r="1170" ht="14.25" customHeight="1">
      <c r="A1170" s="5">
        <v>1354118.0</v>
      </c>
      <c r="B1170" s="6" t="s">
        <v>4719</v>
      </c>
      <c r="C1170" s="6" t="s">
        <v>39</v>
      </c>
      <c r="D1170" s="6">
        <v>19745.0</v>
      </c>
      <c r="E1170" s="6" t="s">
        <v>60</v>
      </c>
      <c r="F1170" s="6" t="s">
        <v>54</v>
      </c>
      <c r="G1170" s="6" t="s">
        <v>31</v>
      </c>
      <c r="H1170" s="7">
        <v>1782.0</v>
      </c>
      <c r="I1170" s="7">
        <v>2088.0</v>
      </c>
      <c r="J1170" s="6">
        <v>1997.0</v>
      </c>
      <c r="K1170" s="6">
        <v>65.0</v>
      </c>
      <c r="L1170" s="6" t="s">
        <v>62</v>
      </c>
      <c r="M1170" s="6" t="s">
        <v>4720</v>
      </c>
      <c r="N1170" s="6" t="s">
        <v>48</v>
      </c>
      <c r="O1170" s="6" t="s">
        <v>49</v>
      </c>
      <c r="P1170" s="6">
        <f>COUNTIF(Analysis!$M$1:$M$3001,Analysis!$M1170)</f>
        <v>1</v>
      </c>
      <c r="Q1170" s="6" t="str">
        <f>IF(COUNTIF(Analysis!$M$2:$M$3001,Analysis!$M1170)&gt;1,"Duplicate","OK")</f>
        <v>OK</v>
      </c>
      <c r="R1170" s="6" t="str">
        <f t="shared" si="1"/>
        <v>1600-2600</v>
      </c>
      <c r="S1170" s="6">
        <f t="shared" si="2"/>
        <v>29</v>
      </c>
      <c r="T1170" s="6" t="str">
        <f t="shared" si="3"/>
        <v>Mid</v>
      </c>
    </row>
    <row r="1171" ht="14.25" customHeight="1">
      <c r="A1171" s="5">
        <v>242973.0</v>
      </c>
      <c r="B1171" s="6" t="s">
        <v>4723</v>
      </c>
      <c r="C1171" s="6" t="s">
        <v>18</v>
      </c>
      <c r="D1171" s="6">
        <v>50124.0</v>
      </c>
      <c r="E1171" s="6" t="s">
        <v>60</v>
      </c>
      <c r="F1171" s="6" t="s">
        <v>20</v>
      </c>
      <c r="G1171" s="6" t="s">
        <v>31</v>
      </c>
      <c r="H1171" s="7">
        <v>2510.0</v>
      </c>
      <c r="I1171" s="7">
        <v>7496.0</v>
      </c>
      <c r="J1171" s="6">
        <v>1974.0</v>
      </c>
      <c r="K1171" s="6">
        <v>81.0</v>
      </c>
      <c r="L1171" s="6" t="s">
        <v>22</v>
      </c>
      <c r="M1171" s="6" t="s">
        <v>4724</v>
      </c>
      <c r="N1171" s="6" t="s">
        <v>48</v>
      </c>
      <c r="O1171" s="6" t="s">
        <v>49</v>
      </c>
      <c r="P1171" s="6">
        <f>COUNTIF(Analysis!$M$1:$M$3001,Analysis!$M1171)</f>
        <v>1</v>
      </c>
      <c r="Q1171" s="6" t="str">
        <f>IF(COUNTIF(Analysis!$M$2:$M$3001,Analysis!$M1171)&gt;1,"Duplicate","OK")</f>
        <v>OK</v>
      </c>
      <c r="R1171" s="6" t="str">
        <f t="shared" si="1"/>
        <v>1600-2600</v>
      </c>
      <c r="S1171" s="6">
        <f t="shared" si="2"/>
        <v>52</v>
      </c>
      <c r="T1171" s="6" t="str">
        <f t="shared" si="3"/>
        <v>Old</v>
      </c>
    </row>
    <row r="1172" ht="14.25" customHeight="1">
      <c r="A1172" s="5">
        <v>727472.0</v>
      </c>
      <c r="B1172" s="6" t="s">
        <v>4727</v>
      </c>
      <c r="C1172" s="6" t="s">
        <v>53</v>
      </c>
      <c r="D1172" s="6">
        <v>47813.0</v>
      </c>
      <c r="E1172" s="6" t="s">
        <v>19</v>
      </c>
      <c r="F1172" s="6" t="s">
        <v>54</v>
      </c>
      <c r="G1172" s="6" t="s">
        <v>100</v>
      </c>
      <c r="H1172" s="7">
        <v>3492.0</v>
      </c>
      <c r="I1172" s="7">
        <v>8833.0</v>
      </c>
      <c r="J1172" s="6">
        <v>2011.0</v>
      </c>
      <c r="K1172" s="6">
        <v>93.0</v>
      </c>
      <c r="L1172" s="6" t="s">
        <v>22</v>
      </c>
      <c r="M1172" s="6" t="s">
        <v>4728</v>
      </c>
      <c r="N1172" s="6" t="s">
        <v>43</v>
      </c>
      <c r="O1172" s="6" t="s">
        <v>49</v>
      </c>
      <c r="P1172" s="6">
        <f>COUNTIF(Analysis!$M$1:$M$3001,Analysis!$M1172)</f>
        <v>1</v>
      </c>
      <c r="Q1172" s="6" t="str">
        <f>IF(COUNTIF(Analysis!$M$2:$M$3001,Analysis!$M1172)&gt;1,"Duplicate","OK")</f>
        <v>OK</v>
      </c>
      <c r="R1172" s="6" t="str">
        <f t="shared" si="1"/>
        <v>2600-3600</v>
      </c>
      <c r="S1172" s="6">
        <f t="shared" si="2"/>
        <v>15</v>
      </c>
      <c r="T1172" s="6" t="str">
        <f t="shared" si="3"/>
        <v>Mid</v>
      </c>
    </row>
    <row r="1173" ht="14.25" customHeight="1">
      <c r="A1173" s="5">
        <v>640552.0</v>
      </c>
      <c r="B1173" s="6" t="s">
        <v>4731</v>
      </c>
      <c r="C1173" s="6" t="s">
        <v>18</v>
      </c>
      <c r="D1173" s="6">
        <v>54247.0</v>
      </c>
      <c r="E1173" s="6" t="s">
        <v>40</v>
      </c>
      <c r="F1173" s="6" t="s">
        <v>20</v>
      </c>
      <c r="G1173" s="6" t="s">
        <v>21</v>
      </c>
      <c r="H1173" s="7">
        <v>2830.0</v>
      </c>
      <c r="I1173" s="7">
        <v>2471.0</v>
      </c>
      <c r="J1173" s="6">
        <v>1986.0</v>
      </c>
      <c r="K1173" s="6">
        <v>63.0</v>
      </c>
      <c r="L1173" s="6" t="s">
        <v>62</v>
      </c>
      <c r="M1173" s="6" t="s">
        <v>4732</v>
      </c>
      <c r="N1173" s="6" t="s">
        <v>64</v>
      </c>
      <c r="O1173" s="6" t="s">
        <v>35</v>
      </c>
      <c r="P1173" s="6">
        <f>COUNTIF(Analysis!$M$1:$M$3001,Analysis!$M1173)</f>
        <v>1</v>
      </c>
      <c r="Q1173" s="6" t="str">
        <f>IF(COUNTIF(Analysis!$M$2:$M$3001,Analysis!$M1173)&gt;1,"Duplicate","OK")</f>
        <v>OK</v>
      </c>
      <c r="R1173" s="6" t="str">
        <f t="shared" si="1"/>
        <v>2600-3600</v>
      </c>
      <c r="S1173" s="6">
        <f t="shared" si="2"/>
        <v>40</v>
      </c>
      <c r="T1173" s="6" t="str">
        <f t="shared" si="3"/>
        <v>Old</v>
      </c>
    </row>
    <row r="1174" ht="14.25" customHeight="1">
      <c r="A1174" s="5">
        <v>658392.0</v>
      </c>
      <c r="B1174" s="6" t="s">
        <v>1493</v>
      </c>
      <c r="C1174" s="6" t="s">
        <v>29</v>
      </c>
      <c r="D1174" s="6">
        <v>98045.0</v>
      </c>
      <c r="E1174" s="6" t="s">
        <v>60</v>
      </c>
      <c r="F1174" s="6" t="s">
        <v>54</v>
      </c>
      <c r="G1174" s="6" t="s">
        <v>21</v>
      </c>
      <c r="H1174" s="7">
        <v>3652.0</v>
      </c>
      <c r="I1174" s="7">
        <v>2429.0</v>
      </c>
      <c r="J1174" s="6">
        <v>2012.0</v>
      </c>
      <c r="K1174" s="6">
        <v>107.0</v>
      </c>
      <c r="L1174" s="6" t="s">
        <v>32</v>
      </c>
      <c r="M1174" s="6" t="s">
        <v>1494</v>
      </c>
      <c r="N1174" s="6" t="s">
        <v>43</v>
      </c>
      <c r="O1174" s="6" t="s">
        <v>25</v>
      </c>
      <c r="P1174" s="6">
        <f>COUNTIF(Analysis!$M$1:$M$3001,Analysis!$M363)</f>
        <v>1</v>
      </c>
      <c r="Q1174" s="6" t="str">
        <f>IF(COUNTIF(Analysis!$M$2:$M$3001,Analysis!$M363)&gt;1,"Duplicate","OK")</f>
        <v>OK</v>
      </c>
      <c r="R1174" s="6" t="str">
        <f t="shared" si="1"/>
        <v>3600+</v>
      </c>
      <c r="S1174" s="6">
        <f t="shared" si="2"/>
        <v>14</v>
      </c>
      <c r="T1174" s="6" t="str">
        <f t="shared" si="3"/>
        <v>Mid</v>
      </c>
    </row>
    <row r="1175" ht="14.25" customHeight="1">
      <c r="A1175" s="5">
        <v>662328.0</v>
      </c>
      <c r="B1175" s="6" t="s">
        <v>9547</v>
      </c>
      <c r="C1175" s="6" t="s">
        <v>29</v>
      </c>
      <c r="D1175" s="6">
        <v>83220.0</v>
      </c>
      <c r="E1175" s="6" t="s">
        <v>60</v>
      </c>
      <c r="F1175" s="6" t="s">
        <v>94</v>
      </c>
      <c r="G1175" s="6" t="s">
        <v>31</v>
      </c>
      <c r="H1175" s="7">
        <v>3299.0</v>
      </c>
      <c r="I1175" s="7">
        <v>7676.0</v>
      </c>
      <c r="J1175" s="6">
        <v>1997.0</v>
      </c>
      <c r="K1175" s="6">
        <v>20.0</v>
      </c>
      <c r="L1175" s="6" t="s">
        <v>141</v>
      </c>
      <c r="M1175" s="6" t="s">
        <v>9548</v>
      </c>
      <c r="N1175" s="6" t="s">
        <v>34</v>
      </c>
      <c r="O1175" s="6" t="s">
        <v>49</v>
      </c>
      <c r="P1175" s="6">
        <f>COUNTIF(Analysis!$M$1:$M$3001,Analysis!$M2378)</f>
        <v>1</v>
      </c>
      <c r="Q1175" s="6" t="str">
        <f>IF(COUNTIF(Analysis!$M$2:$M$3001,Analysis!$M2378)&gt;1,"Duplicate","OK")</f>
        <v>OK</v>
      </c>
      <c r="R1175" s="6" t="str">
        <f t="shared" si="1"/>
        <v>2600-3600</v>
      </c>
      <c r="S1175" s="6">
        <f t="shared" si="2"/>
        <v>29</v>
      </c>
      <c r="T1175" s="6" t="str">
        <f t="shared" si="3"/>
        <v>Mid</v>
      </c>
    </row>
    <row r="1176" ht="14.25" customHeight="1">
      <c r="A1176" s="5">
        <v>504384.0</v>
      </c>
      <c r="B1176" s="6" t="s">
        <v>4743</v>
      </c>
      <c r="C1176" s="6" t="s">
        <v>76</v>
      </c>
      <c r="D1176" s="6">
        <v>21874.0</v>
      </c>
      <c r="E1176" s="6" t="s">
        <v>19</v>
      </c>
      <c r="F1176" s="6" t="s">
        <v>54</v>
      </c>
      <c r="G1176" s="6" t="s">
        <v>55</v>
      </c>
      <c r="H1176" s="7">
        <v>1410.0</v>
      </c>
      <c r="I1176" s="7">
        <v>2913.0</v>
      </c>
      <c r="J1176" s="6">
        <v>2018.0</v>
      </c>
      <c r="K1176" s="6">
        <v>1.0</v>
      </c>
      <c r="L1176" s="6" t="s">
        <v>95</v>
      </c>
      <c r="M1176" s="6" t="s">
        <v>4744</v>
      </c>
      <c r="N1176" s="6" t="s">
        <v>48</v>
      </c>
      <c r="O1176" s="6" t="s">
        <v>49</v>
      </c>
      <c r="P1176" s="6">
        <f>COUNTIF(Analysis!$M$1:$M$3001,Analysis!$M1176)</f>
        <v>1</v>
      </c>
      <c r="Q1176" s="6" t="str">
        <f>IF(COUNTIF(Analysis!$M$2:$M$3001,Analysis!$M1176)&gt;1,"Duplicate","OK")</f>
        <v>OK</v>
      </c>
      <c r="R1176" s="6" t="str">
        <f t="shared" si="1"/>
        <v>600-1600</v>
      </c>
      <c r="S1176" s="6">
        <f t="shared" si="2"/>
        <v>8</v>
      </c>
      <c r="T1176" s="6" t="str">
        <f t="shared" si="3"/>
        <v>New</v>
      </c>
    </row>
    <row r="1177" ht="14.25" customHeight="1">
      <c r="A1177" s="5">
        <v>663332.0</v>
      </c>
      <c r="B1177" s="6" t="s">
        <v>10287</v>
      </c>
      <c r="C1177" s="6" t="s">
        <v>29</v>
      </c>
      <c r="D1177" s="6">
        <v>61189.0</v>
      </c>
      <c r="E1177" s="6" t="s">
        <v>77</v>
      </c>
      <c r="F1177" s="6" t="s">
        <v>94</v>
      </c>
      <c r="G1177" s="6" t="s">
        <v>31</v>
      </c>
      <c r="H1177" s="7">
        <v>3198.0</v>
      </c>
      <c r="I1177" s="7">
        <v>6731.0</v>
      </c>
      <c r="J1177" s="6">
        <v>2016.0</v>
      </c>
      <c r="K1177" s="6">
        <v>83.0</v>
      </c>
      <c r="L1177" s="6" t="s">
        <v>22</v>
      </c>
      <c r="M1177" s="6" t="s">
        <v>10288</v>
      </c>
      <c r="N1177" s="6" t="s">
        <v>24</v>
      </c>
      <c r="O1177" s="6" t="s">
        <v>49</v>
      </c>
      <c r="P1177" s="6">
        <f>COUNTIF(Analysis!$M$1:$M$3001,Analysis!$M2563)</f>
        <v>1</v>
      </c>
      <c r="Q1177" s="6" t="str">
        <f>IF(COUNTIF(Analysis!$M$2:$M$3001,Analysis!$M2563)&gt;1,"Duplicate","OK")</f>
        <v>OK</v>
      </c>
      <c r="R1177" s="6" t="str">
        <f t="shared" si="1"/>
        <v>2600-3600</v>
      </c>
      <c r="S1177" s="6">
        <f t="shared" si="2"/>
        <v>10</v>
      </c>
      <c r="T1177" s="6" t="str">
        <f t="shared" si="3"/>
        <v>New</v>
      </c>
    </row>
    <row r="1178" ht="14.25" customHeight="1">
      <c r="A1178" s="5">
        <v>664416.0</v>
      </c>
      <c r="B1178" s="6" t="s">
        <v>3747</v>
      </c>
      <c r="C1178" s="6" t="s">
        <v>29</v>
      </c>
      <c r="D1178" s="6">
        <v>90922.0</v>
      </c>
      <c r="E1178" s="6" t="s">
        <v>19</v>
      </c>
      <c r="F1178" s="6" t="s">
        <v>54</v>
      </c>
      <c r="G1178" s="6" t="s">
        <v>100</v>
      </c>
      <c r="H1178" s="7">
        <v>735.0</v>
      </c>
      <c r="I1178" s="7">
        <v>8347.0</v>
      </c>
      <c r="J1178" s="6">
        <v>1999.0</v>
      </c>
      <c r="K1178" s="6">
        <v>36.0</v>
      </c>
      <c r="L1178" s="6" t="s">
        <v>22</v>
      </c>
      <c r="M1178" s="6" t="s">
        <v>3748</v>
      </c>
      <c r="N1178" s="6" t="s">
        <v>64</v>
      </c>
      <c r="O1178" s="6" t="s">
        <v>35</v>
      </c>
      <c r="P1178" s="6">
        <f>COUNTIF(Analysis!$M$1:$M$3001,Analysis!$M927)</f>
        <v>1</v>
      </c>
      <c r="Q1178" s="6" t="str">
        <f>IF(COUNTIF(Analysis!$M$2:$M$3001,Analysis!$M927)&gt;1,"Duplicate","OK")</f>
        <v>OK</v>
      </c>
      <c r="R1178" s="6" t="str">
        <f t="shared" si="1"/>
        <v>600-1600</v>
      </c>
      <c r="S1178" s="6">
        <f t="shared" si="2"/>
        <v>27</v>
      </c>
      <c r="T1178" s="6" t="str">
        <f t="shared" si="3"/>
        <v>Mid</v>
      </c>
    </row>
    <row r="1179" ht="14.25" customHeight="1">
      <c r="A1179" s="5">
        <v>116136.0</v>
      </c>
      <c r="B1179" s="6" t="s">
        <v>4755</v>
      </c>
      <c r="C1179" s="6" t="s">
        <v>18</v>
      </c>
      <c r="D1179" s="6">
        <v>96362.0</v>
      </c>
      <c r="E1179" s="6" t="s">
        <v>19</v>
      </c>
      <c r="F1179" s="6" t="s">
        <v>20</v>
      </c>
      <c r="G1179" s="6" t="s">
        <v>55</v>
      </c>
      <c r="H1179" s="7">
        <v>2778.0</v>
      </c>
      <c r="I1179" s="7">
        <v>3588.0</v>
      </c>
      <c r="J1179" s="6">
        <v>2005.0</v>
      </c>
      <c r="K1179" s="6">
        <v>81.0</v>
      </c>
      <c r="L1179" s="6" t="s">
        <v>95</v>
      </c>
      <c r="M1179" s="6" t="s">
        <v>4756</v>
      </c>
      <c r="N1179" s="6" t="s">
        <v>43</v>
      </c>
      <c r="O1179" s="6" t="s">
        <v>35</v>
      </c>
      <c r="P1179" s="6">
        <f>COUNTIF(Analysis!$M$1:$M$3001,Analysis!$M1179)</f>
        <v>1</v>
      </c>
      <c r="Q1179" s="6" t="str">
        <f>IF(COUNTIF(Analysis!$M$2:$M$3001,Analysis!$M1179)&gt;1,"Duplicate","OK")</f>
        <v>OK</v>
      </c>
      <c r="R1179" s="6" t="str">
        <f t="shared" si="1"/>
        <v>2600-3600</v>
      </c>
      <c r="S1179" s="6">
        <f t="shared" si="2"/>
        <v>21</v>
      </c>
      <c r="T1179" s="6" t="str">
        <f t="shared" si="3"/>
        <v>Mid</v>
      </c>
    </row>
    <row r="1180" ht="14.25" customHeight="1">
      <c r="A1180" s="5">
        <v>1346277.0</v>
      </c>
      <c r="B1180" s="6" t="s">
        <v>4759</v>
      </c>
      <c r="C1180" s="6" t="s">
        <v>18</v>
      </c>
      <c r="D1180" s="6">
        <v>74145.0</v>
      </c>
      <c r="E1180" s="6" t="s">
        <v>40</v>
      </c>
      <c r="F1180" s="6" t="s">
        <v>54</v>
      </c>
      <c r="G1180" s="6" t="s">
        <v>55</v>
      </c>
      <c r="H1180" s="7">
        <v>1384.0</v>
      </c>
      <c r="I1180" s="7">
        <v>8523.0</v>
      </c>
      <c r="J1180" s="6">
        <v>2015.0</v>
      </c>
      <c r="K1180" s="6">
        <v>33.0</v>
      </c>
      <c r="L1180" s="6" t="s">
        <v>62</v>
      </c>
      <c r="M1180" s="6" t="s">
        <v>4760</v>
      </c>
      <c r="N1180" s="6" t="s">
        <v>43</v>
      </c>
      <c r="O1180" s="6" t="s">
        <v>25</v>
      </c>
      <c r="P1180" s="6">
        <f>COUNTIF(Analysis!$M$1:$M$3001,Analysis!$M1180)</f>
        <v>1</v>
      </c>
      <c r="Q1180" s="6" t="str">
        <f>IF(COUNTIF(Analysis!$M$2:$M$3001,Analysis!$M1180)&gt;1,"Duplicate","OK")</f>
        <v>OK</v>
      </c>
      <c r="R1180" s="6" t="str">
        <f t="shared" si="1"/>
        <v>600-1600</v>
      </c>
      <c r="S1180" s="6">
        <f t="shared" si="2"/>
        <v>11</v>
      </c>
      <c r="T1180" s="6" t="str">
        <f t="shared" si="3"/>
        <v>Mid</v>
      </c>
    </row>
    <row r="1181" ht="14.25" customHeight="1">
      <c r="A1181" s="5">
        <v>384545.0</v>
      </c>
      <c r="B1181" s="6" t="s">
        <v>4763</v>
      </c>
      <c r="C1181" s="6" t="s">
        <v>18</v>
      </c>
      <c r="D1181" s="6">
        <v>58360.0</v>
      </c>
      <c r="E1181" s="6" t="s">
        <v>60</v>
      </c>
      <c r="F1181" s="6" t="s">
        <v>94</v>
      </c>
      <c r="G1181" s="6" t="s">
        <v>100</v>
      </c>
      <c r="H1181" s="7">
        <v>1446.0</v>
      </c>
      <c r="I1181" s="7">
        <v>8246.0</v>
      </c>
      <c r="J1181" s="6">
        <v>2017.0</v>
      </c>
      <c r="K1181" s="6">
        <v>6.0</v>
      </c>
      <c r="L1181" s="6" t="s">
        <v>141</v>
      </c>
      <c r="M1181" s="6" t="s">
        <v>4764</v>
      </c>
      <c r="N1181" s="6" t="s">
        <v>48</v>
      </c>
      <c r="O1181" s="6" t="s">
        <v>35</v>
      </c>
      <c r="P1181" s="6">
        <f>COUNTIF(Analysis!$M$1:$M$3001,Analysis!$M1181)</f>
        <v>1</v>
      </c>
      <c r="Q1181" s="6" t="str">
        <f>IF(COUNTIF(Analysis!$M$2:$M$3001,Analysis!$M1181)&gt;1,"Duplicate","OK")</f>
        <v>OK</v>
      </c>
      <c r="R1181" s="6" t="str">
        <f t="shared" si="1"/>
        <v>600-1600</v>
      </c>
      <c r="S1181" s="6">
        <f t="shared" si="2"/>
        <v>9</v>
      </c>
      <c r="T1181" s="6" t="str">
        <f t="shared" si="3"/>
        <v>New</v>
      </c>
    </row>
    <row r="1182" ht="14.25" customHeight="1">
      <c r="A1182" s="5">
        <v>667232.0</v>
      </c>
      <c r="B1182" s="6" t="s">
        <v>1761</v>
      </c>
      <c r="C1182" s="6" t="s">
        <v>29</v>
      </c>
      <c r="D1182" s="6">
        <v>59040.0</v>
      </c>
      <c r="E1182" s="6" t="s">
        <v>19</v>
      </c>
      <c r="F1182" s="6" t="s">
        <v>41</v>
      </c>
      <c r="G1182" s="6" t="s">
        <v>21</v>
      </c>
      <c r="H1182" s="7">
        <v>3922.0</v>
      </c>
      <c r="I1182" s="7">
        <v>1257.0</v>
      </c>
      <c r="J1182" s="6">
        <v>2012.0</v>
      </c>
      <c r="K1182" s="6">
        <v>48.0</v>
      </c>
      <c r="L1182" s="6" t="s">
        <v>22</v>
      </c>
      <c r="M1182" s="6" t="s">
        <v>1762</v>
      </c>
      <c r="N1182" s="6" t="s">
        <v>34</v>
      </c>
      <c r="O1182" s="6" t="s">
        <v>35</v>
      </c>
      <c r="P1182" s="6">
        <f>COUNTIF(Analysis!$M$1:$M$3001,Analysis!$M430)</f>
        <v>1</v>
      </c>
      <c r="Q1182" s="6" t="str">
        <f>IF(COUNTIF(Analysis!$M$2:$M$3001,Analysis!$M430)&gt;1,"Duplicate","OK")</f>
        <v>OK</v>
      </c>
      <c r="R1182" s="6" t="str">
        <f t="shared" si="1"/>
        <v>3600+</v>
      </c>
      <c r="S1182" s="6">
        <f t="shared" si="2"/>
        <v>14</v>
      </c>
      <c r="T1182" s="6" t="str">
        <f t="shared" si="3"/>
        <v>Mid</v>
      </c>
    </row>
    <row r="1183" ht="14.25" customHeight="1">
      <c r="A1183" s="5">
        <v>1098610.0</v>
      </c>
      <c r="B1183" s="6" t="s">
        <v>4771</v>
      </c>
      <c r="C1183" s="6" t="s">
        <v>53</v>
      </c>
      <c r="D1183" s="6">
        <v>29741.0</v>
      </c>
      <c r="E1183" s="6" t="s">
        <v>30</v>
      </c>
      <c r="F1183" s="6" t="s">
        <v>41</v>
      </c>
      <c r="G1183" s="6" t="s">
        <v>31</v>
      </c>
      <c r="H1183" s="7">
        <v>983.0</v>
      </c>
      <c r="I1183" s="7">
        <v>4932.0</v>
      </c>
      <c r="J1183" s="6">
        <v>1979.0</v>
      </c>
      <c r="K1183" s="6">
        <v>98.0</v>
      </c>
      <c r="L1183" s="6" t="s">
        <v>95</v>
      </c>
      <c r="M1183" s="6" t="s">
        <v>4772</v>
      </c>
      <c r="N1183" s="6" t="s">
        <v>43</v>
      </c>
      <c r="O1183" s="6" t="s">
        <v>49</v>
      </c>
      <c r="P1183" s="6">
        <f>COUNTIF(Analysis!$M$1:$M$3001,Analysis!$M1183)</f>
        <v>1</v>
      </c>
      <c r="Q1183" s="6" t="str">
        <f>IF(COUNTIF(Analysis!$M$2:$M$3001,Analysis!$M1183)&gt;1,"Duplicate","OK")</f>
        <v>OK</v>
      </c>
      <c r="R1183" s="6" t="str">
        <f t="shared" si="1"/>
        <v>600-1600</v>
      </c>
      <c r="S1183" s="6">
        <f t="shared" si="2"/>
        <v>47</v>
      </c>
      <c r="T1183" s="6" t="str">
        <f t="shared" si="3"/>
        <v>Old</v>
      </c>
    </row>
    <row r="1184" ht="14.25" customHeight="1">
      <c r="A1184" s="5">
        <v>835582.0</v>
      </c>
      <c r="B1184" s="6" t="s">
        <v>4775</v>
      </c>
      <c r="C1184" s="6" t="s">
        <v>76</v>
      </c>
      <c r="D1184" s="6">
        <v>25426.0</v>
      </c>
      <c r="E1184" s="6" t="s">
        <v>77</v>
      </c>
      <c r="F1184" s="6" t="s">
        <v>94</v>
      </c>
      <c r="G1184" s="6" t="s">
        <v>55</v>
      </c>
      <c r="H1184" s="7">
        <v>2131.0</v>
      </c>
      <c r="I1184" s="7">
        <v>3104.0</v>
      </c>
      <c r="J1184" s="6">
        <v>2015.0</v>
      </c>
      <c r="K1184" s="6">
        <v>106.0</v>
      </c>
      <c r="L1184" s="6" t="s">
        <v>95</v>
      </c>
      <c r="M1184" s="6" t="s">
        <v>4776</v>
      </c>
      <c r="N1184" s="6" t="s">
        <v>34</v>
      </c>
      <c r="O1184" s="6" t="s">
        <v>25</v>
      </c>
      <c r="P1184" s="6">
        <f>COUNTIF(Analysis!$M$1:$M$3001,Analysis!$M1184)</f>
        <v>1</v>
      </c>
      <c r="Q1184" s="6" t="str">
        <f>IF(COUNTIF(Analysis!$M$2:$M$3001,Analysis!$M1184)&gt;1,"Duplicate","OK")</f>
        <v>OK</v>
      </c>
      <c r="R1184" s="6" t="str">
        <f t="shared" si="1"/>
        <v>1600-2600</v>
      </c>
      <c r="S1184" s="6">
        <f t="shared" si="2"/>
        <v>11</v>
      </c>
      <c r="T1184" s="6" t="str">
        <f t="shared" si="3"/>
        <v>Mid</v>
      </c>
    </row>
    <row r="1185" ht="14.25" customHeight="1">
      <c r="A1185" s="5">
        <v>994818.0</v>
      </c>
      <c r="B1185" s="6" t="s">
        <v>4779</v>
      </c>
      <c r="C1185" s="6" t="s">
        <v>53</v>
      </c>
      <c r="D1185" s="6">
        <v>16334.0</v>
      </c>
      <c r="E1185" s="6" t="s">
        <v>30</v>
      </c>
      <c r="F1185" s="6" t="s">
        <v>54</v>
      </c>
      <c r="G1185" s="6" t="s">
        <v>55</v>
      </c>
      <c r="H1185" s="7">
        <v>2985.0</v>
      </c>
      <c r="I1185" s="7">
        <v>4183.0</v>
      </c>
      <c r="J1185" s="6">
        <v>1973.0</v>
      </c>
      <c r="K1185" s="6">
        <v>40.0</v>
      </c>
      <c r="L1185" s="6" t="s">
        <v>32</v>
      </c>
      <c r="M1185" s="6" t="s">
        <v>4780</v>
      </c>
      <c r="N1185" s="6" t="s">
        <v>24</v>
      </c>
      <c r="O1185" s="6" t="s">
        <v>25</v>
      </c>
      <c r="P1185" s="6">
        <f>COUNTIF(Analysis!$M$1:$M$3001,Analysis!$M1185)</f>
        <v>1</v>
      </c>
      <c r="Q1185" s="6" t="str">
        <f>IF(COUNTIF(Analysis!$M$2:$M$3001,Analysis!$M1185)&gt;1,"Duplicate","OK")</f>
        <v>OK</v>
      </c>
      <c r="R1185" s="6" t="str">
        <f t="shared" si="1"/>
        <v>2600-3600</v>
      </c>
      <c r="S1185" s="6">
        <f t="shared" si="2"/>
        <v>53</v>
      </c>
      <c r="T1185" s="6" t="str">
        <f t="shared" si="3"/>
        <v>Old</v>
      </c>
    </row>
    <row r="1186" ht="14.25" customHeight="1">
      <c r="A1186" s="5">
        <v>667300.0</v>
      </c>
      <c r="B1186" s="6" t="s">
        <v>2527</v>
      </c>
      <c r="C1186" s="6" t="s">
        <v>29</v>
      </c>
      <c r="D1186" s="6">
        <v>23730.0</v>
      </c>
      <c r="E1186" s="6" t="s">
        <v>19</v>
      </c>
      <c r="F1186" s="6" t="s">
        <v>20</v>
      </c>
      <c r="G1186" s="6" t="s">
        <v>55</v>
      </c>
      <c r="H1186" s="7">
        <v>3699.0</v>
      </c>
      <c r="I1186" s="7">
        <v>8492.0</v>
      </c>
      <c r="J1186" s="6">
        <v>2005.0</v>
      </c>
      <c r="K1186" s="6">
        <v>70.0</v>
      </c>
      <c r="L1186" s="6" t="s">
        <v>32</v>
      </c>
      <c r="M1186" s="6" t="s">
        <v>2528</v>
      </c>
      <c r="N1186" s="6" t="s">
        <v>34</v>
      </c>
      <c r="O1186" s="6" t="s">
        <v>25</v>
      </c>
      <c r="P1186" s="6">
        <f>COUNTIF(Analysis!$M$1:$M$3001,Analysis!$M622)</f>
        <v>1</v>
      </c>
      <c r="Q1186" s="6" t="str">
        <f>IF(COUNTIF(Analysis!$M$2:$M$3001,Analysis!$M622)&gt;1,"Duplicate","OK")</f>
        <v>OK</v>
      </c>
      <c r="R1186" s="6" t="str">
        <f t="shared" si="1"/>
        <v>3600+</v>
      </c>
      <c r="S1186" s="6">
        <f t="shared" si="2"/>
        <v>21</v>
      </c>
      <c r="T1186" s="6" t="str">
        <f t="shared" si="3"/>
        <v>Mid</v>
      </c>
    </row>
    <row r="1187" ht="14.25" customHeight="1">
      <c r="A1187" s="5">
        <v>741445.0</v>
      </c>
      <c r="B1187" s="6" t="s">
        <v>4787</v>
      </c>
      <c r="C1187" s="6" t="s">
        <v>76</v>
      </c>
      <c r="D1187" s="6">
        <v>71889.0</v>
      </c>
      <c r="E1187" s="6" t="s">
        <v>30</v>
      </c>
      <c r="F1187" s="6" t="s">
        <v>54</v>
      </c>
      <c r="G1187" s="6" t="s">
        <v>21</v>
      </c>
      <c r="H1187" s="7">
        <v>2165.0</v>
      </c>
      <c r="I1187" s="7">
        <v>3160.0</v>
      </c>
      <c r="J1187" s="6">
        <v>2013.0</v>
      </c>
      <c r="K1187" s="6">
        <v>112.0</v>
      </c>
      <c r="L1187" s="6" t="s">
        <v>141</v>
      </c>
      <c r="M1187" s="6" t="s">
        <v>4788</v>
      </c>
      <c r="N1187" s="6" t="s">
        <v>48</v>
      </c>
      <c r="O1187" s="6" t="s">
        <v>49</v>
      </c>
      <c r="P1187" s="6">
        <f>COUNTIF(Analysis!$M$1:$M$3001,Analysis!$M1187)</f>
        <v>1</v>
      </c>
      <c r="Q1187" s="6" t="str">
        <f>IF(COUNTIF(Analysis!$M$2:$M$3001,Analysis!$M1187)&gt;1,"Duplicate","OK")</f>
        <v>OK</v>
      </c>
      <c r="R1187" s="6" t="str">
        <f t="shared" si="1"/>
        <v>1600-2600</v>
      </c>
      <c r="S1187" s="6">
        <f t="shared" si="2"/>
        <v>13</v>
      </c>
      <c r="T1187" s="6" t="str">
        <f t="shared" si="3"/>
        <v>Mid</v>
      </c>
    </row>
    <row r="1188" ht="14.25" customHeight="1">
      <c r="A1188" s="5">
        <v>677587.0</v>
      </c>
      <c r="B1188" s="6" t="s">
        <v>9567</v>
      </c>
      <c r="C1188" s="6" t="s">
        <v>29</v>
      </c>
      <c r="D1188" s="6">
        <v>76238.0</v>
      </c>
      <c r="E1188" s="6" t="s">
        <v>40</v>
      </c>
      <c r="F1188" s="6" t="s">
        <v>41</v>
      </c>
      <c r="G1188" s="6" t="s">
        <v>31</v>
      </c>
      <c r="H1188" s="7">
        <v>2291.0</v>
      </c>
      <c r="I1188" s="7">
        <v>6478.0</v>
      </c>
      <c r="J1188" s="6">
        <v>1996.0</v>
      </c>
      <c r="K1188" s="6">
        <v>22.0</v>
      </c>
      <c r="L1188" s="6" t="s">
        <v>141</v>
      </c>
      <c r="M1188" s="6" t="s">
        <v>9568</v>
      </c>
      <c r="N1188" s="6" t="s">
        <v>34</v>
      </c>
      <c r="O1188" s="6" t="s">
        <v>49</v>
      </c>
      <c r="P1188" s="6">
        <f>COUNTIF(Analysis!$M$1:$M$3001,Analysis!$M2383)</f>
        <v>1</v>
      </c>
      <c r="Q1188" s="6" t="str">
        <f>IF(COUNTIF(Analysis!$M$2:$M$3001,Analysis!$M2383)&gt;1,"Duplicate","OK")</f>
        <v>OK</v>
      </c>
      <c r="R1188" s="6" t="str">
        <f t="shared" si="1"/>
        <v>1600-2600</v>
      </c>
      <c r="S1188" s="6">
        <f t="shared" si="2"/>
        <v>30</v>
      </c>
      <c r="T1188" s="6" t="str">
        <f t="shared" si="3"/>
        <v>Mid</v>
      </c>
    </row>
    <row r="1189" ht="14.25" customHeight="1">
      <c r="A1189" s="5">
        <v>1391650.0</v>
      </c>
      <c r="B1189" s="6" t="s">
        <v>4795</v>
      </c>
      <c r="C1189" s="6" t="s">
        <v>76</v>
      </c>
      <c r="D1189" s="6">
        <v>75736.0</v>
      </c>
      <c r="E1189" s="6" t="s">
        <v>30</v>
      </c>
      <c r="F1189" s="6" t="s">
        <v>20</v>
      </c>
      <c r="G1189" s="6" t="s">
        <v>31</v>
      </c>
      <c r="H1189" s="7">
        <v>897.0</v>
      </c>
      <c r="I1189" s="7">
        <v>9021.0</v>
      </c>
      <c r="J1189" s="6">
        <v>2010.0</v>
      </c>
      <c r="K1189" s="6">
        <v>28.0</v>
      </c>
      <c r="L1189" s="6" t="s">
        <v>32</v>
      </c>
      <c r="M1189" s="6" t="s">
        <v>4796</v>
      </c>
      <c r="N1189" s="6" t="s">
        <v>43</v>
      </c>
      <c r="O1189" s="6" t="s">
        <v>35</v>
      </c>
      <c r="P1189" s="6">
        <f>COUNTIF(Analysis!$M$1:$M$3001,Analysis!$M1189)</f>
        <v>1</v>
      </c>
      <c r="Q1189" s="6" t="str">
        <f>IF(COUNTIF(Analysis!$M$2:$M$3001,Analysis!$M1189)&gt;1,"Duplicate","OK")</f>
        <v>OK</v>
      </c>
      <c r="R1189" s="6" t="str">
        <f t="shared" si="1"/>
        <v>600-1600</v>
      </c>
      <c r="S1189" s="6">
        <f t="shared" si="2"/>
        <v>16</v>
      </c>
      <c r="T1189" s="6" t="str">
        <f t="shared" si="3"/>
        <v>Mid</v>
      </c>
    </row>
    <row r="1190" ht="14.25" customHeight="1">
      <c r="A1190" s="5">
        <v>677597.0</v>
      </c>
      <c r="B1190" s="6" t="s">
        <v>3163</v>
      </c>
      <c r="C1190" s="6" t="s">
        <v>29</v>
      </c>
      <c r="D1190" s="6">
        <v>66275.0</v>
      </c>
      <c r="E1190" s="6" t="s">
        <v>30</v>
      </c>
      <c r="F1190" s="6" t="s">
        <v>20</v>
      </c>
      <c r="G1190" s="6" t="s">
        <v>100</v>
      </c>
      <c r="H1190" s="7">
        <v>3485.0</v>
      </c>
      <c r="I1190" s="7">
        <v>9074.0</v>
      </c>
      <c r="J1190" s="6">
        <v>1989.0</v>
      </c>
      <c r="K1190" s="6">
        <v>101.0</v>
      </c>
      <c r="L1190" s="6" t="s">
        <v>62</v>
      </c>
      <c r="M1190" s="6" t="s">
        <v>3164</v>
      </c>
      <c r="N1190" s="6" t="s">
        <v>48</v>
      </c>
      <c r="O1190" s="6" t="s">
        <v>49</v>
      </c>
      <c r="P1190" s="6">
        <f>COUNTIF(Analysis!$M$1:$M$3001,Analysis!$M781)</f>
        <v>1</v>
      </c>
      <c r="Q1190" s="6" t="str">
        <f>IF(COUNTIF(Analysis!$M$2:$M$3001,Analysis!$M781)&gt;1,"Duplicate","OK")</f>
        <v>OK</v>
      </c>
      <c r="R1190" s="6" t="str">
        <f t="shared" si="1"/>
        <v>2600-3600</v>
      </c>
      <c r="S1190" s="6">
        <f t="shared" si="2"/>
        <v>37</v>
      </c>
      <c r="T1190" s="6" t="str">
        <f t="shared" si="3"/>
        <v>Old</v>
      </c>
    </row>
    <row r="1191" ht="14.25" customHeight="1">
      <c r="A1191" s="5">
        <v>812674.0</v>
      </c>
      <c r="B1191" s="6" t="s">
        <v>4803</v>
      </c>
      <c r="C1191" s="6" t="s">
        <v>39</v>
      </c>
      <c r="D1191" s="6">
        <v>85924.0</v>
      </c>
      <c r="E1191" s="6" t="s">
        <v>30</v>
      </c>
      <c r="F1191" s="6" t="s">
        <v>54</v>
      </c>
      <c r="G1191" s="6" t="s">
        <v>100</v>
      </c>
      <c r="H1191" s="7">
        <v>3650.0</v>
      </c>
      <c r="I1191" s="7">
        <v>1018.0</v>
      </c>
      <c r="J1191" s="6">
        <v>1975.0</v>
      </c>
      <c r="K1191" s="6">
        <v>93.0</v>
      </c>
      <c r="L1191" s="6" t="s">
        <v>62</v>
      </c>
      <c r="M1191" s="6" t="s">
        <v>4804</v>
      </c>
      <c r="N1191" s="6" t="s">
        <v>24</v>
      </c>
      <c r="O1191" s="6" t="s">
        <v>49</v>
      </c>
      <c r="P1191" s="6">
        <f>COUNTIF(Analysis!$M$1:$M$3001,Analysis!$M1191)</f>
        <v>1</v>
      </c>
      <c r="Q1191" s="6" t="str">
        <f>IF(COUNTIF(Analysis!$M$2:$M$3001,Analysis!$M1191)&gt;1,"Duplicate","OK")</f>
        <v>OK</v>
      </c>
      <c r="R1191" s="6" t="str">
        <f t="shared" si="1"/>
        <v>3600+</v>
      </c>
      <c r="S1191" s="6">
        <f t="shared" si="2"/>
        <v>51</v>
      </c>
      <c r="T1191" s="6" t="str">
        <f t="shared" si="3"/>
        <v>Old</v>
      </c>
    </row>
    <row r="1192" ht="14.25" customHeight="1">
      <c r="A1192" s="5">
        <v>1464001.0</v>
      </c>
      <c r="B1192" s="6" t="s">
        <v>4807</v>
      </c>
      <c r="C1192" s="6" t="s">
        <v>76</v>
      </c>
      <c r="D1192" s="6">
        <v>41242.0</v>
      </c>
      <c r="E1192" s="6" t="s">
        <v>77</v>
      </c>
      <c r="F1192" s="6" t="s">
        <v>20</v>
      </c>
      <c r="G1192" s="6" t="s">
        <v>21</v>
      </c>
      <c r="H1192" s="7">
        <v>3354.0</v>
      </c>
      <c r="I1192" s="7">
        <v>4155.0</v>
      </c>
      <c r="J1192" s="6">
        <v>1952.0</v>
      </c>
      <c r="K1192" s="6">
        <v>99.0</v>
      </c>
      <c r="L1192" s="6" t="s">
        <v>32</v>
      </c>
      <c r="M1192" s="6" t="s">
        <v>4808</v>
      </c>
      <c r="N1192" s="6" t="s">
        <v>43</v>
      </c>
      <c r="O1192" s="6" t="s">
        <v>49</v>
      </c>
      <c r="P1192" s="6">
        <f>COUNTIF(Analysis!$M$1:$M$3001,Analysis!$M1192)</f>
        <v>1</v>
      </c>
      <c r="Q1192" s="6" t="str">
        <f>IF(COUNTIF(Analysis!$M$2:$M$3001,Analysis!$M1192)&gt;1,"Duplicate","OK")</f>
        <v>OK</v>
      </c>
      <c r="R1192" s="6" t="str">
        <f t="shared" si="1"/>
        <v>2600-3600</v>
      </c>
      <c r="S1192" s="6">
        <f t="shared" si="2"/>
        <v>74</v>
      </c>
      <c r="T1192" s="6" t="str">
        <f t="shared" si="3"/>
        <v>Very Old</v>
      </c>
    </row>
    <row r="1193" ht="14.25" customHeight="1">
      <c r="A1193" s="5">
        <v>602563.0</v>
      </c>
      <c r="B1193" s="6" t="s">
        <v>4811</v>
      </c>
      <c r="C1193" s="6" t="s">
        <v>39</v>
      </c>
      <c r="D1193" s="6">
        <v>67799.0</v>
      </c>
      <c r="E1193" s="6" t="s">
        <v>60</v>
      </c>
      <c r="F1193" s="6" t="s">
        <v>61</v>
      </c>
      <c r="G1193" s="6" t="s">
        <v>100</v>
      </c>
      <c r="H1193" s="7">
        <v>3265.0</v>
      </c>
      <c r="I1193" s="7">
        <v>3274.0</v>
      </c>
      <c r="J1193" s="6">
        <v>1990.0</v>
      </c>
      <c r="K1193" s="6">
        <v>8.0</v>
      </c>
      <c r="L1193" s="6" t="s">
        <v>22</v>
      </c>
      <c r="M1193" s="6" t="s">
        <v>4812</v>
      </c>
      <c r="N1193" s="6" t="s">
        <v>64</v>
      </c>
      <c r="O1193" s="6" t="s">
        <v>35</v>
      </c>
      <c r="P1193" s="6">
        <f>COUNTIF(Analysis!$M$1:$M$3001,Analysis!$M1193)</f>
        <v>1</v>
      </c>
      <c r="Q1193" s="6" t="str">
        <f>IF(COUNTIF(Analysis!$M$2:$M$3001,Analysis!$M1193)&gt;1,"Duplicate","OK")</f>
        <v>OK</v>
      </c>
      <c r="R1193" s="6" t="str">
        <f t="shared" si="1"/>
        <v>2600-3600</v>
      </c>
      <c r="S1193" s="6">
        <f t="shared" si="2"/>
        <v>36</v>
      </c>
      <c r="T1193" s="6" t="str">
        <f t="shared" si="3"/>
        <v>Old</v>
      </c>
    </row>
    <row r="1194" ht="14.25" customHeight="1">
      <c r="A1194" s="5">
        <v>325763.0</v>
      </c>
      <c r="B1194" s="6" t="s">
        <v>4815</v>
      </c>
      <c r="C1194" s="6" t="s">
        <v>39</v>
      </c>
      <c r="D1194" s="6">
        <v>52732.0</v>
      </c>
      <c r="E1194" s="6" t="s">
        <v>30</v>
      </c>
      <c r="F1194" s="6" t="s">
        <v>54</v>
      </c>
      <c r="G1194" s="6" t="s">
        <v>100</v>
      </c>
      <c r="H1194" s="7">
        <v>1094.0</v>
      </c>
      <c r="I1194" s="7">
        <v>8491.0</v>
      </c>
      <c r="J1194" s="6">
        <v>1968.0</v>
      </c>
      <c r="K1194" s="6">
        <v>87.0</v>
      </c>
      <c r="L1194" s="6" t="s">
        <v>95</v>
      </c>
      <c r="M1194" s="6" t="s">
        <v>4816</v>
      </c>
      <c r="N1194" s="6" t="s">
        <v>64</v>
      </c>
      <c r="O1194" s="6" t="s">
        <v>35</v>
      </c>
      <c r="P1194" s="6">
        <f>COUNTIF(Analysis!$M$1:$M$3001,Analysis!$M1194)</f>
        <v>1</v>
      </c>
      <c r="Q1194" s="6" t="str">
        <f>IF(COUNTIF(Analysis!$M$2:$M$3001,Analysis!$M1194)&gt;1,"Duplicate","OK")</f>
        <v>OK</v>
      </c>
      <c r="R1194" s="6" t="str">
        <f t="shared" si="1"/>
        <v>600-1600</v>
      </c>
      <c r="S1194" s="6">
        <f t="shared" si="2"/>
        <v>58</v>
      </c>
      <c r="T1194" s="6" t="str">
        <f t="shared" si="3"/>
        <v>Old</v>
      </c>
    </row>
    <row r="1195" ht="14.25" customHeight="1">
      <c r="A1195" s="5">
        <v>575934.0</v>
      </c>
      <c r="B1195" s="6" t="s">
        <v>4819</v>
      </c>
      <c r="C1195" s="6" t="s">
        <v>39</v>
      </c>
      <c r="D1195" s="6">
        <v>50751.0</v>
      </c>
      <c r="E1195" s="6" t="s">
        <v>60</v>
      </c>
      <c r="F1195" s="6" t="s">
        <v>20</v>
      </c>
      <c r="G1195" s="6" t="s">
        <v>21</v>
      </c>
      <c r="H1195" s="7">
        <v>1323.0</v>
      </c>
      <c r="I1195" s="7">
        <v>9864.0</v>
      </c>
      <c r="J1195" s="6">
        <v>1990.0</v>
      </c>
      <c r="K1195" s="6">
        <v>6.0</v>
      </c>
      <c r="L1195" s="6" t="s">
        <v>62</v>
      </c>
      <c r="M1195" s="6" t="s">
        <v>4820</v>
      </c>
      <c r="N1195" s="6" t="s">
        <v>64</v>
      </c>
      <c r="O1195" s="6" t="s">
        <v>35</v>
      </c>
      <c r="P1195" s="6">
        <f>COUNTIF(Analysis!$M$1:$M$3001,Analysis!$M1195)</f>
        <v>1</v>
      </c>
      <c r="Q1195" s="6" t="str">
        <f>IF(COUNTIF(Analysis!$M$2:$M$3001,Analysis!$M1195)&gt;1,"Duplicate","OK")</f>
        <v>OK</v>
      </c>
      <c r="R1195" s="6" t="str">
        <f t="shared" si="1"/>
        <v>600-1600</v>
      </c>
      <c r="S1195" s="6">
        <f t="shared" si="2"/>
        <v>36</v>
      </c>
      <c r="T1195" s="6" t="str">
        <f t="shared" si="3"/>
        <v>Old</v>
      </c>
    </row>
    <row r="1196" ht="14.25" customHeight="1">
      <c r="A1196" s="5">
        <v>680402.0</v>
      </c>
      <c r="B1196" s="6" t="s">
        <v>6557</v>
      </c>
      <c r="C1196" s="6" t="s">
        <v>29</v>
      </c>
      <c r="D1196" s="6">
        <v>53172.0</v>
      </c>
      <c r="E1196" s="6" t="s">
        <v>77</v>
      </c>
      <c r="F1196" s="6" t="s">
        <v>20</v>
      </c>
      <c r="G1196" s="6" t="s">
        <v>100</v>
      </c>
      <c r="H1196" s="7">
        <v>2565.0</v>
      </c>
      <c r="I1196" s="7">
        <v>7622.0</v>
      </c>
      <c r="J1196" s="6">
        <v>1998.0</v>
      </c>
      <c r="K1196" s="6">
        <v>54.0</v>
      </c>
      <c r="L1196" s="6" t="s">
        <v>22</v>
      </c>
      <c r="M1196" s="6" t="s">
        <v>6558</v>
      </c>
      <c r="N1196" s="6" t="s">
        <v>24</v>
      </c>
      <c r="O1196" s="6" t="s">
        <v>49</v>
      </c>
      <c r="P1196" s="6">
        <f>COUNTIF(Analysis!$M$1:$M$3001,Analysis!$M1630)</f>
        <v>1</v>
      </c>
      <c r="Q1196" s="6" t="str">
        <f>IF(COUNTIF(Analysis!$M$2:$M$3001,Analysis!$M1630)&gt;1,"Duplicate","OK")</f>
        <v>OK</v>
      </c>
      <c r="R1196" s="6" t="str">
        <f t="shared" si="1"/>
        <v>1600-2600</v>
      </c>
      <c r="S1196" s="6">
        <f t="shared" si="2"/>
        <v>28</v>
      </c>
      <c r="T1196" s="6" t="str">
        <f t="shared" si="3"/>
        <v>Mid</v>
      </c>
    </row>
    <row r="1197" ht="14.25" customHeight="1">
      <c r="A1197" s="5">
        <v>680603.0</v>
      </c>
      <c r="B1197" s="6" t="s">
        <v>5363</v>
      </c>
      <c r="C1197" s="6" t="s">
        <v>29</v>
      </c>
      <c r="D1197" s="6">
        <v>72484.0</v>
      </c>
      <c r="E1197" s="6" t="s">
        <v>19</v>
      </c>
      <c r="F1197" s="6" t="s">
        <v>54</v>
      </c>
      <c r="G1197" s="6" t="s">
        <v>55</v>
      </c>
      <c r="H1197" s="7">
        <v>729.0</v>
      </c>
      <c r="I1197" s="7">
        <v>9826.0</v>
      </c>
      <c r="J1197" s="6">
        <v>1951.0</v>
      </c>
      <c r="K1197" s="6">
        <v>57.0</v>
      </c>
      <c r="L1197" s="6" t="s">
        <v>141</v>
      </c>
      <c r="M1197" s="6" t="s">
        <v>5364</v>
      </c>
      <c r="N1197" s="6" t="s">
        <v>64</v>
      </c>
      <c r="O1197" s="6" t="s">
        <v>25</v>
      </c>
      <c r="P1197" s="6">
        <f>COUNTIF(Analysis!$M$1:$M$3001,Analysis!$M1331)</f>
        <v>1</v>
      </c>
      <c r="Q1197" s="6" t="str">
        <f>IF(COUNTIF(Analysis!$M$2:$M$3001,Analysis!$M1331)&gt;1,"Duplicate","OK")</f>
        <v>OK</v>
      </c>
      <c r="R1197" s="6" t="str">
        <f t="shared" si="1"/>
        <v>600-1600</v>
      </c>
      <c r="S1197" s="6">
        <f t="shared" si="2"/>
        <v>75</v>
      </c>
      <c r="T1197" s="6" t="str">
        <f t="shared" si="3"/>
        <v>Very Old</v>
      </c>
    </row>
    <row r="1198" ht="14.25" customHeight="1">
      <c r="A1198" s="5">
        <v>512195.0</v>
      </c>
      <c r="B1198" s="6" t="s">
        <v>4831</v>
      </c>
      <c r="C1198" s="6" t="s">
        <v>18</v>
      </c>
      <c r="D1198" s="6">
        <v>49959.0</v>
      </c>
      <c r="E1198" s="6" t="s">
        <v>60</v>
      </c>
      <c r="F1198" s="6" t="s">
        <v>46</v>
      </c>
      <c r="G1198" s="6" t="s">
        <v>21</v>
      </c>
      <c r="H1198" s="7">
        <v>1599.0</v>
      </c>
      <c r="I1198" s="7">
        <v>2831.0</v>
      </c>
      <c r="J1198" s="6">
        <v>1956.0</v>
      </c>
      <c r="K1198" s="6">
        <v>43.0</v>
      </c>
      <c r="L1198" s="6" t="s">
        <v>141</v>
      </c>
      <c r="M1198" s="6" t="s">
        <v>4832</v>
      </c>
      <c r="N1198" s="6" t="s">
        <v>48</v>
      </c>
      <c r="O1198" s="6" t="s">
        <v>35</v>
      </c>
      <c r="P1198" s="6">
        <f>COUNTIF(Analysis!$M$1:$M$3001,Analysis!$M1198)</f>
        <v>1</v>
      </c>
      <c r="Q1198" s="6" t="str">
        <f>IF(COUNTIF(Analysis!$M$2:$M$3001,Analysis!$M1198)&gt;1,"Duplicate","OK")</f>
        <v>OK</v>
      </c>
      <c r="R1198" s="6" t="str">
        <f t="shared" si="1"/>
        <v>600-1600</v>
      </c>
      <c r="S1198" s="6">
        <f t="shared" si="2"/>
        <v>70</v>
      </c>
      <c r="T1198" s="6" t="str">
        <f t="shared" si="3"/>
        <v>Very Old</v>
      </c>
    </row>
    <row r="1199" ht="14.25" customHeight="1">
      <c r="A1199" s="5">
        <v>721273.0</v>
      </c>
      <c r="B1199" s="6" t="s">
        <v>4835</v>
      </c>
      <c r="C1199" s="6" t="s">
        <v>39</v>
      </c>
      <c r="D1199" s="6">
        <v>56352.0</v>
      </c>
      <c r="E1199" s="6" t="s">
        <v>40</v>
      </c>
      <c r="F1199" s="6" t="s">
        <v>54</v>
      </c>
      <c r="G1199" s="6" t="s">
        <v>100</v>
      </c>
      <c r="H1199" s="7">
        <v>1785.0</v>
      </c>
      <c r="I1199" s="7">
        <v>7084.0</v>
      </c>
      <c r="J1199" s="6">
        <v>1990.0</v>
      </c>
      <c r="K1199" s="6">
        <v>103.0</v>
      </c>
      <c r="L1199" s="6" t="s">
        <v>141</v>
      </c>
      <c r="M1199" s="6" t="s">
        <v>4836</v>
      </c>
      <c r="N1199" s="6" t="s">
        <v>64</v>
      </c>
      <c r="O1199" s="6" t="s">
        <v>49</v>
      </c>
      <c r="P1199" s="6">
        <f>COUNTIF(Analysis!$M$1:$M$3001,Analysis!$M1199)</f>
        <v>1</v>
      </c>
      <c r="Q1199" s="6" t="str">
        <f>IF(COUNTIF(Analysis!$M$2:$M$3001,Analysis!$M1199)&gt;1,"Duplicate","OK")</f>
        <v>OK</v>
      </c>
      <c r="R1199" s="6" t="str">
        <f t="shared" si="1"/>
        <v>1600-2600</v>
      </c>
      <c r="S1199" s="6">
        <f t="shared" si="2"/>
        <v>36</v>
      </c>
      <c r="T1199" s="6" t="str">
        <f t="shared" si="3"/>
        <v>Old</v>
      </c>
    </row>
    <row r="1200" ht="14.25" customHeight="1">
      <c r="A1200" s="5">
        <v>1433695.0</v>
      </c>
      <c r="B1200" s="6" t="s">
        <v>4839</v>
      </c>
      <c r="C1200" s="6" t="s">
        <v>53</v>
      </c>
      <c r="D1200" s="6">
        <v>37005.0</v>
      </c>
      <c r="E1200" s="6" t="s">
        <v>77</v>
      </c>
      <c r="F1200" s="6" t="s">
        <v>94</v>
      </c>
      <c r="G1200" s="6" t="s">
        <v>100</v>
      </c>
      <c r="H1200" s="7">
        <v>3244.0</v>
      </c>
      <c r="I1200" s="7">
        <v>2818.0</v>
      </c>
      <c r="J1200" s="6">
        <v>1978.0</v>
      </c>
      <c r="K1200" s="6">
        <v>84.0</v>
      </c>
      <c r="L1200" s="6" t="s">
        <v>141</v>
      </c>
      <c r="M1200" s="6" t="s">
        <v>4840</v>
      </c>
      <c r="N1200" s="6" t="s">
        <v>24</v>
      </c>
      <c r="O1200" s="6" t="s">
        <v>25</v>
      </c>
      <c r="P1200" s="6">
        <f>COUNTIF(Analysis!$M$1:$M$3001,Analysis!$M1200)</f>
        <v>1</v>
      </c>
      <c r="Q1200" s="6" t="str">
        <f>IF(COUNTIF(Analysis!$M$2:$M$3001,Analysis!$M1200)&gt;1,"Duplicate","OK")</f>
        <v>OK</v>
      </c>
      <c r="R1200" s="6" t="str">
        <f t="shared" si="1"/>
        <v>2600-3600</v>
      </c>
      <c r="S1200" s="6">
        <f t="shared" si="2"/>
        <v>48</v>
      </c>
      <c r="T1200" s="6" t="str">
        <f t="shared" si="3"/>
        <v>Old</v>
      </c>
    </row>
    <row r="1201" ht="14.25" customHeight="1">
      <c r="A1201" s="5">
        <v>1310805.0</v>
      </c>
      <c r="B1201" s="6" t="s">
        <v>4843</v>
      </c>
      <c r="C1201" s="6" t="s">
        <v>18</v>
      </c>
      <c r="D1201" s="6">
        <v>29634.0</v>
      </c>
      <c r="E1201" s="6" t="s">
        <v>19</v>
      </c>
      <c r="F1201" s="6" t="s">
        <v>54</v>
      </c>
      <c r="G1201" s="6" t="s">
        <v>31</v>
      </c>
      <c r="H1201" s="7">
        <v>1573.0</v>
      </c>
      <c r="I1201" s="7">
        <v>8523.0</v>
      </c>
      <c r="J1201" s="6">
        <v>2014.0</v>
      </c>
      <c r="K1201" s="6">
        <v>96.0</v>
      </c>
      <c r="L1201" s="6" t="s">
        <v>141</v>
      </c>
      <c r="M1201" s="6" t="s">
        <v>4844</v>
      </c>
      <c r="N1201" s="6" t="s">
        <v>64</v>
      </c>
      <c r="O1201" s="6" t="s">
        <v>35</v>
      </c>
      <c r="P1201" s="6">
        <f>COUNTIF(Analysis!$M$1:$M$3001,Analysis!$M1201)</f>
        <v>1</v>
      </c>
      <c r="Q1201" s="6" t="str">
        <f>IF(COUNTIF(Analysis!$M$2:$M$3001,Analysis!$M1201)&gt;1,"Duplicate","OK")</f>
        <v>OK</v>
      </c>
      <c r="R1201" s="6" t="str">
        <f t="shared" si="1"/>
        <v>600-1600</v>
      </c>
      <c r="S1201" s="6">
        <f t="shared" si="2"/>
        <v>12</v>
      </c>
      <c r="T1201" s="6" t="str">
        <f t="shared" si="3"/>
        <v>Mid</v>
      </c>
    </row>
    <row r="1202" ht="14.25" customHeight="1">
      <c r="A1202" s="5">
        <v>203965.0</v>
      </c>
      <c r="B1202" s="6" t="s">
        <v>4847</v>
      </c>
      <c r="C1202" s="6" t="s">
        <v>76</v>
      </c>
      <c r="D1202" s="6">
        <v>37723.0</v>
      </c>
      <c r="E1202" s="6" t="s">
        <v>30</v>
      </c>
      <c r="F1202" s="6" t="s">
        <v>94</v>
      </c>
      <c r="G1202" s="6" t="s">
        <v>55</v>
      </c>
      <c r="H1202" s="7">
        <v>1533.0</v>
      </c>
      <c r="I1202" s="7">
        <v>5939.0</v>
      </c>
      <c r="J1202" s="6">
        <v>1952.0</v>
      </c>
      <c r="K1202" s="6">
        <v>118.0</v>
      </c>
      <c r="L1202" s="6" t="s">
        <v>141</v>
      </c>
      <c r="M1202" s="6" t="s">
        <v>4848</v>
      </c>
      <c r="N1202" s="6" t="s">
        <v>34</v>
      </c>
      <c r="O1202" s="6" t="s">
        <v>49</v>
      </c>
      <c r="P1202" s="6">
        <f>COUNTIF(Analysis!$M$1:$M$3001,Analysis!$M1202)</f>
        <v>1</v>
      </c>
      <c r="Q1202" s="6" t="str">
        <f>IF(COUNTIF(Analysis!$M$2:$M$3001,Analysis!$M1202)&gt;1,"Duplicate","OK")</f>
        <v>OK</v>
      </c>
      <c r="R1202" s="6" t="str">
        <f t="shared" si="1"/>
        <v>600-1600</v>
      </c>
      <c r="S1202" s="6">
        <f t="shared" si="2"/>
        <v>74</v>
      </c>
      <c r="T1202" s="6" t="str">
        <f t="shared" si="3"/>
        <v>Very Old</v>
      </c>
    </row>
    <row r="1203" ht="14.25" customHeight="1">
      <c r="A1203" s="5">
        <v>635048.0</v>
      </c>
      <c r="B1203" s="6" t="s">
        <v>4851</v>
      </c>
      <c r="C1203" s="6" t="s">
        <v>76</v>
      </c>
      <c r="D1203" s="6">
        <v>87325.0</v>
      </c>
      <c r="E1203" s="6" t="s">
        <v>19</v>
      </c>
      <c r="F1203" s="6" t="s">
        <v>46</v>
      </c>
      <c r="G1203" s="6" t="s">
        <v>100</v>
      </c>
      <c r="H1203" s="7">
        <v>3627.0</v>
      </c>
      <c r="I1203" s="7">
        <v>5301.0</v>
      </c>
      <c r="J1203" s="6">
        <v>1953.0</v>
      </c>
      <c r="K1203" s="6">
        <v>85.0</v>
      </c>
      <c r="L1203" s="6" t="s">
        <v>95</v>
      </c>
      <c r="M1203" s="6" t="s">
        <v>4852</v>
      </c>
      <c r="N1203" s="6" t="s">
        <v>43</v>
      </c>
      <c r="O1203" s="6" t="s">
        <v>49</v>
      </c>
      <c r="P1203" s="6">
        <f>COUNTIF(Analysis!$M$1:$M$3001,Analysis!$M1203)</f>
        <v>1</v>
      </c>
      <c r="Q1203" s="6" t="str">
        <f>IF(COUNTIF(Analysis!$M$2:$M$3001,Analysis!$M1203)&gt;1,"Duplicate","OK")</f>
        <v>OK</v>
      </c>
      <c r="R1203" s="6" t="str">
        <f t="shared" si="1"/>
        <v>3600+</v>
      </c>
      <c r="S1203" s="6">
        <f t="shared" si="2"/>
        <v>73</v>
      </c>
      <c r="T1203" s="6" t="str">
        <f t="shared" si="3"/>
        <v>Very Old</v>
      </c>
    </row>
    <row r="1204" ht="14.25" customHeight="1">
      <c r="A1204" s="5">
        <v>1254859.0</v>
      </c>
      <c r="B1204" s="6" t="s">
        <v>4855</v>
      </c>
      <c r="C1204" s="6" t="s">
        <v>76</v>
      </c>
      <c r="D1204" s="6">
        <v>67365.0</v>
      </c>
      <c r="E1204" s="6" t="s">
        <v>19</v>
      </c>
      <c r="F1204" s="6" t="s">
        <v>94</v>
      </c>
      <c r="G1204" s="6" t="s">
        <v>31</v>
      </c>
      <c r="H1204" s="7">
        <v>3017.0</v>
      </c>
      <c r="I1204" s="7">
        <v>7470.0</v>
      </c>
      <c r="J1204" s="6">
        <v>2005.0</v>
      </c>
      <c r="K1204" s="6">
        <v>58.0</v>
      </c>
      <c r="L1204" s="6" t="s">
        <v>22</v>
      </c>
      <c r="M1204" s="6" t="s">
        <v>4856</v>
      </c>
      <c r="N1204" s="6" t="s">
        <v>34</v>
      </c>
      <c r="O1204" s="6" t="s">
        <v>25</v>
      </c>
      <c r="P1204" s="6">
        <f>COUNTIF(Analysis!$M$1:$M$3001,Analysis!$M1204)</f>
        <v>1</v>
      </c>
      <c r="Q1204" s="6" t="str">
        <f>IF(COUNTIF(Analysis!$M$2:$M$3001,Analysis!$M1204)&gt;1,"Duplicate","OK")</f>
        <v>OK</v>
      </c>
      <c r="R1204" s="6" t="str">
        <f t="shared" si="1"/>
        <v>2600-3600</v>
      </c>
      <c r="S1204" s="6">
        <f t="shared" si="2"/>
        <v>21</v>
      </c>
      <c r="T1204" s="6" t="str">
        <f t="shared" si="3"/>
        <v>Mid</v>
      </c>
    </row>
    <row r="1205" ht="14.25" customHeight="1">
      <c r="A1205" s="5">
        <v>1186869.0</v>
      </c>
      <c r="B1205" s="6" t="s">
        <v>4859</v>
      </c>
      <c r="C1205" s="6" t="s">
        <v>76</v>
      </c>
      <c r="D1205" s="6">
        <v>21339.0</v>
      </c>
      <c r="E1205" s="6" t="s">
        <v>19</v>
      </c>
      <c r="F1205" s="6" t="s">
        <v>61</v>
      </c>
      <c r="G1205" s="6" t="s">
        <v>21</v>
      </c>
      <c r="H1205" s="7">
        <v>1592.0</v>
      </c>
      <c r="I1205" s="7">
        <v>2812.0</v>
      </c>
      <c r="J1205" s="6">
        <v>2021.0</v>
      </c>
      <c r="K1205" s="6">
        <v>36.0</v>
      </c>
      <c r="L1205" s="6" t="s">
        <v>62</v>
      </c>
      <c r="M1205" s="6" t="s">
        <v>4860</v>
      </c>
      <c r="N1205" s="6" t="s">
        <v>43</v>
      </c>
      <c r="O1205" s="6" t="s">
        <v>49</v>
      </c>
      <c r="P1205" s="6">
        <f>COUNTIF(Analysis!$M$1:$M$3001,Analysis!$M1205)</f>
        <v>1</v>
      </c>
      <c r="Q1205" s="6" t="str">
        <f>IF(COUNTIF(Analysis!$M$2:$M$3001,Analysis!$M1205)&gt;1,"Duplicate","OK")</f>
        <v>OK</v>
      </c>
      <c r="R1205" s="6" t="str">
        <f t="shared" si="1"/>
        <v>600-1600</v>
      </c>
      <c r="S1205" s="6">
        <f t="shared" si="2"/>
        <v>5</v>
      </c>
      <c r="T1205" s="6" t="str">
        <f t="shared" si="3"/>
        <v>New</v>
      </c>
    </row>
    <row r="1206" ht="14.25" customHeight="1">
      <c r="A1206" s="5">
        <v>1460250.0</v>
      </c>
      <c r="B1206" s="6" t="s">
        <v>4863</v>
      </c>
      <c r="C1206" s="6" t="s">
        <v>39</v>
      </c>
      <c r="D1206" s="6">
        <v>89824.0</v>
      </c>
      <c r="E1206" s="6" t="s">
        <v>19</v>
      </c>
      <c r="F1206" s="6" t="s">
        <v>41</v>
      </c>
      <c r="G1206" s="6" t="s">
        <v>21</v>
      </c>
      <c r="H1206" s="7">
        <v>3214.0</v>
      </c>
      <c r="I1206" s="7">
        <v>3142.0</v>
      </c>
      <c r="J1206" s="6">
        <v>1989.0</v>
      </c>
      <c r="K1206" s="6">
        <v>42.0</v>
      </c>
      <c r="L1206" s="6" t="s">
        <v>32</v>
      </c>
      <c r="M1206" s="6" t="s">
        <v>4864</v>
      </c>
      <c r="N1206" s="6" t="s">
        <v>43</v>
      </c>
      <c r="O1206" s="6" t="s">
        <v>49</v>
      </c>
      <c r="P1206" s="6">
        <f>COUNTIF(Analysis!$M$1:$M$3001,Analysis!$M1206)</f>
        <v>1</v>
      </c>
      <c r="Q1206" s="6" t="str">
        <f>IF(COUNTIF(Analysis!$M$2:$M$3001,Analysis!$M1206)&gt;1,"Duplicate","OK")</f>
        <v>OK</v>
      </c>
      <c r="R1206" s="6" t="str">
        <f t="shared" si="1"/>
        <v>2600-3600</v>
      </c>
      <c r="S1206" s="6">
        <f t="shared" si="2"/>
        <v>37</v>
      </c>
      <c r="T1206" s="6" t="str">
        <f t="shared" si="3"/>
        <v>Old</v>
      </c>
    </row>
    <row r="1207" ht="14.25" customHeight="1">
      <c r="A1207" s="5">
        <v>1224116.0</v>
      </c>
      <c r="B1207" s="6" t="s">
        <v>4867</v>
      </c>
      <c r="C1207" s="6" t="s">
        <v>76</v>
      </c>
      <c r="D1207" s="6">
        <v>94071.0</v>
      </c>
      <c r="E1207" s="6" t="s">
        <v>40</v>
      </c>
      <c r="F1207" s="6" t="s">
        <v>46</v>
      </c>
      <c r="G1207" s="6" t="s">
        <v>55</v>
      </c>
      <c r="H1207" s="7">
        <v>827.0</v>
      </c>
      <c r="I1207" s="7">
        <v>1289.0</v>
      </c>
      <c r="J1207" s="6">
        <v>2003.0</v>
      </c>
      <c r="K1207" s="6">
        <v>108.0</v>
      </c>
      <c r="L1207" s="6" t="s">
        <v>32</v>
      </c>
      <c r="M1207" s="6" t="s">
        <v>4868</v>
      </c>
      <c r="N1207" s="6" t="s">
        <v>24</v>
      </c>
      <c r="O1207" s="6" t="s">
        <v>25</v>
      </c>
      <c r="P1207" s="6">
        <f>COUNTIF(Analysis!$M$1:$M$3001,Analysis!$M1207)</f>
        <v>1</v>
      </c>
      <c r="Q1207" s="6" t="str">
        <f>IF(COUNTIF(Analysis!$M$2:$M$3001,Analysis!$M1207)&gt;1,"Duplicate","OK")</f>
        <v>OK</v>
      </c>
      <c r="R1207" s="6" t="str">
        <f t="shared" si="1"/>
        <v>600-1600</v>
      </c>
      <c r="S1207" s="6">
        <f t="shared" si="2"/>
        <v>23</v>
      </c>
      <c r="T1207" s="6" t="str">
        <f t="shared" si="3"/>
        <v>Mid</v>
      </c>
    </row>
    <row r="1208" ht="14.25" customHeight="1">
      <c r="A1208" s="5">
        <v>115744.0</v>
      </c>
      <c r="B1208" s="6" t="s">
        <v>4871</v>
      </c>
      <c r="C1208" s="6" t="s">
        <v>53</v>
      </c>
      <c r="D1208" s="6">
        <v>88040.0</v>
      </c>
      <c r="E1208" s="6" t="s">
        <v>40</v>
      </c>
      <c r="F1208" s="6" t="s">
        <v>41</v>
      </c>
      <c r="G1208" s="6" t="s">
        <v>21</v>
      </c>
      <c r="H1208" s="7">
        <v>3774.0</v>
      </c>
      <c r="I1208" s="7">
        <v>8702.0</v>
      </c>
      <c r="J1208" s="6">
        <v>2017.0</v>
      </c>
      <c r="K1208" s="6">
        <v>29.0</v>
      </c>
      <c r="L1208" s="6" t="s">
        <v>95</v>
      </c>
      <c r="M1208" s="6" t="s">
        <v>4872</v>
      </c>
      <c r="N1208" s="6" t="s">
        <v>64</v>
      </c>
      <c r="O1208" s="6" t="s">
        <v>25</v>
      </c>
      <c r="P1208" s="6">
        <f>COUNTIF(Analysis!$M$1:$M$3001,Analysis!$M1208)</f>
        <v>1</v>
      </c>
      <c r="Q1208" s="6" t="str">
        <f>IF(COUNTIF(Analysis!$M$2:$M$3001,Analysis!$M1208)&gt;1,"Duplicate","OK")</f>
        <v>OK</v>
      </c>
      <c r="R1208" s="6" t="str">
        <f t="shared" si="1"/>
        <v>3600+</v>
      </c>
      <c r="S1208" s="6">
        <f t="shared" si="2"/>
        <v>9</v>
      </c>
      <c r="T1208" s="6" t="str">
        <f t="shared" si="3"/>
        <v>New</v>
      </c>
    </row>
    <row r="1209" ht="14.25" customHeight="1">
      <c r="A1209" s="5">
        <v>1469258.0</v>
      </c>
      <c r="B1209" s="6" t="s">
        <v>4875</v>
      </c>
      <c r="C1209" s="6" t="s">
        <v>76</v>
      </c>
      <c r="D1209" s="6">
        <v>44455.0</v>
      </c>
      <c r="E1209" s="6" t="s">
        <v>77</v>
      </c>
      <c r="F1209" s="6" t="s">
        <v>94</v>
      </c>
      <c r="G1209" s="6" t="s">
        <v>100</v>
      </c>
      <c r="H1209" s="7">
        <v>3211.0</v>
      </c>
      <c r="I1209" s="7">
        <v>9532.0</v>
      </c>
      <c r="J1209" s="6">
        <v>1979.0</v>
      </c>
      <c r="K1209" s="6">
        <v>25.0</v>
      </c>
      <c r="L1209" s="6" t="s">
        <v>32</v>
      </c>
      <c r="M1209" s="6" t="s">
        <v>4876</v>
      </c>
      <c r="N1209" s="6" t="s">
        <v>43</v>
      </c>
      <c r="O1209" s="6" t="s">
        <v>49</v>
      </c>
      <c r="P1209" s="6">
        <f>COUNTIF(Analysis!$M$1:$M$3001,Analysis!$M1209)</f>
        <v>1</v>
      </c>
      <c r="Q1209" s="6" t="str">
        <f>IF(COUNTIF(Analysis!$M$2:$M$3001,Analysis!$M1209)&gt;1,"Duplicate","OK")</f>
        <v>OK</v>
      </c>
      <c r="R1209" s="6" t="str">
        <f t="shared" si="1"/>
        <v>2600-3600</v>
      </c>
      <c r="S1209" s="6">
        <f t="shared" si="2"/>
        <v>47</v>
      </c>
      <c r="T1209" s="6" t="str">
        <f t="shared" si="3"/>
        <v>Old</v>
      </c>
    </row>
    <row r="1210" ht="14.25" customHeight="1">
      <c r="A1210" s="5">
        <v>1314524.0</v>
      </c>
      <c r="B1210" s="6" t="s">
        <v>4879</v>
      </c>
      <c r="C1210" s="6" t="s">
        <v>39</v>
      </c>
      <c r="D1210" s="6">
        <v>36145.0</v>
      </c>
      <c r="E1210" s="6" t="s">
        <v>77</v>
      </c>
      <c r="F1210" s="6" t="s">
        <v>41</v>
      </c>
      <c r="G1210" s="6" t="s">
        <v>55</v>
      </c>
      <c r="H1210" s="7">
        <v>707.0</v>
      </c>
      <c r="I1210" s="7">
        <v>5131.0</v>
      </c>
      <c r="J1210" s="6">
        <v>1950.0</v>
      </c>
      <c r="K1210" s="6">
        <v>43.0</v>
      </c>
      <c r="L1210" s="6" t="s">
        <v>95</v>
      </c>
      <c r="M1210" s="6" t="s">
        <v>4880</v>
      </c>
      <c r="N1210" s="6" t="s">
        <v>64</v>
      </c>
      <c r="O1210" s="6" t="s">
        <v>35</v>
      </c>
      <c r="P1210" s="6">
        <f>COUNTIF(Analysis!$M$1:$M$3001,Analysis!$M1210)</f>
        <v>1</v>
      </c>
      <c r="Q1210" s="6" t="str">
        <f>IF(COUNTIF(Analysis!$M$2:$M$3001,Analysis!$M1210)&gt;1,"Duplicate","OK")</f>
        <v>OK</v>
      </c>
      <c r="R1210" s="6" t="str">
        <f t="shared" si="1"/>
        <v>600-1600</v>
      </c>
      <c r="S1210" s="6">
        <f t="shared" si="2"/>
        <v>76</v>
      </c>
      <c r="T1210" s="6" t="str">
        <f t="shared" si="3"/>
        <v>Very Old</v>
      </c>
    </row>
    <row r="1211" ht="14.25" customHeight="1">
      <c r="A1211" s="5">
        <v>687426.0</v>
      </c>
      <c r="B1211" s="6" t="s">
        <v>4883</v>
      </c>
      <c r="C1211" s="6" t="s">
        <v>76</v>
      </c>
      <c r="D1211" s="6">
        <v>25480.0</v>
      </c>
      <c r="E1211" s="6" t="s">
        <v>30</v>
      </c>
      <c r="F1211" s="6" t="s">
        <v>46</v>
      </c>
      <c r="G1211" s="6" t="s">
        <v>31</v>
      </c>
      <c r="H1211" s="7">
        <v>3789.0</v>
      </c>
      <c r="I1211" s="7">
        <v>1605.0</v>
      </c>
      <c r="J1211" s="6">
        <v>1967.0</v>
      </c>
      <c r="K1211" s="6">
        <v>98.0</v>
      </c>
      <c r="L1211" s="6" t="s">
        <v>95</v>
      </c>
      <c r="M1211" s="6" t="s">
        <v>4884</v>
      </c>
      <c r="N1211" s="6" t="s">
        <v>24</v>
      </c>
      <c r="O1211" s="6" t="s">
        <v>35</v>
      </c>
      <c r="P1211" s="6">
        <f>COUNTIF(Analysis!$M$1:$M$3001,Analysis!$M1211)</f>
        <v>1</v>
      </c>
      <c r="Q1211" s="6" t="str">
        <f>IF(COUNTIF(Analysis!$M$2:$M$3001,Analysis!$M1211)&gt;1,"Duplicate","OK")</f>
        <v>OK</v>
      </c>
      <c r="R1211" s="6" t="str">
        <f t="shared" si="1"/>
        <v>3600+</v>
      </c>
      <c r="S1211" s="6">
        <f t="shared" si="2"/>
        <v>59</v>
      </c>
      <c r="T1211" s="6" t="str">
        <f t="shared" si="3"/>
        <v>Old</v>
      </c>
    </row>
    <row r="1212" ht="14.25" customHeight="1">
      <c r="A1212" s="5">
        <v>1499218.0</v>
      </c>
      <c r="B1212" s="6" t="s">
        <v>4887</v>
      </c>
      <c r="C1212" s="6" t="s">
        <v>18</v>
      </c>
      <c r="D1212" s="6">
        <v>47577.0</v>
      </c>
      <c r="E1212" s="6" t="s">
        <v>19</v>
      </c>
      <c r="F1212" s="6" t="s">
        <v>46</v>
      </c>
      <c r="G1212" s="6" t="s">
        <v>21</v>
      </c>
      <c r="H1212" s="7">
        <v>1892.0</v>
      </c>
      <c r="I1212" s="7">
        <v>1464.0</v>
      </c>
      <c r="J1212" s="6">
        <v>2006.0</v>
      </c>
      <c r="K1212" s="6">
        <v>4.0</v>
      </c>
      <c r="L1212" s="6" t="s">
        <v>141</v>
      </c>
      <c r="M1212" s="6" t="s">
        <v>4888</v>
      </c>
      <c r="N1212" s="6" t="s">
        <v>34</v>
      </c>
      <c r="O1212" s="6" t="s">
        <v>35</v>
      </c>
      <c r="P1212" s="6">
        <f>COUNTIF(Analysis!$M$1:$M$3001,Analysis!$M1212)</f>
        <v>1</v>
      </c>
      <c r="Q1212" s="6" t="str">
        <f>IF(COUNTIF(Analysis!$M$2:$M$3001,Analysis!$M1212)&gt;1,"Duplicate","OK")</f>
        <v>OK</v>
      </c>
      <c r="R1212" s="6" t="str">
        <f t="shared" si="1"/>
        <v>1600-2600</v>
      </c>
      <c r="S1212" s="6">
        <f t="shared" si="2"/>
        <v>20</v>
      </c>
      <c r="T1212" s="6" t="str">
        <f t="shared" si="3"/>
        <v>Mid</v>
      </c>
    </row>
    <row r="1213" ht="14.25" customHeight="1">
      <c r="A1213" s="5">
        <v>1212223.0</v>
      </c>
      <c r="B1213" s="6" t="s">
        <v>4891</v>
      </c>
      <c r="C1213" s="6" t="s">
        <v>39</v>
      </c>
      <c r="D1213" s="6">
        <v>44730.0</v>
      </c>
      <c r="E1213" s="6" t="s">
        <v>77</v>
      </c>
      <c r="F1213" s="6" t="s">
        <v>61</v>
      </c>
      <c r="G1213" s="6" t="s">
        <v>100</v>
      </c>
      <c r="H1213" s="7">
        <v>883.0</v>
      </c>
      <c r="I1213" s="7">
        <v>9073.0</v>
      </c>
      <c r="J1213" s="6">
        <v>1971.0</v>
      </c>
      <c r="K1213" s="6">
        <v>82.0</v>
      </c>
      <c r="L1213" s="6" t="s">
        <v>22</v>
      </c>
      <c r="M1213" s="6" t="s">
        <v>4892</v>
      </c>
      <c r="N1213" s="6" t="s">
        <v>48</v>
      </c>
      <c r="O1213" s="6" t="s">
        <v>35</v>
      </c>
      <c r="P1213" s="6">
        <f>COUNTIF(Analysis!$M$1:$M$3001,Analysis!$M1213)</f>
        <v>1</v>
      </c>
      <c r="Q1213" s="6" t="str">
        <f>IF(COUNTIF(Analysis!$M$2:$M$3001,Analysis!$M1213)&gt;1,"Duplicate","OK")</f>
        <v>OK</v>
      </c>
      <c r="R1213" s="6" t="str">
        <f t="shared" si="1"/>
        <v>600-1600</v>
      </c>
      <c r="S1213" s="6">
        <f t="shared" si="2"/>
        <v>55</v>
      </c>
      <c r="T1213" s="6" t="str">
        <f t="shared" si="3"/>
        <v>Old</v>
      </c>
    </row>
    <row r="1214" ht="14.25" customHeight="1">
      <c r="A1214" s="5">
        <v>765341.0</v>
      </c>
      <c r="B1214" s="6" t="s">
        <v>4895</v>
      </c>
      <c r="C1214" s="6" t="s">
        <v>18</v>
      </c>
      <c r="D1214" s="6">
        <v>39821.0</v>
      </c>
      <c r="E1214" s="6" t="s">
        <v>30</v>
      </c>
      <c r="F1214" s="6" t="s">
        <v>46</v>
      </c>
      <c r="G1214" s="6" t="s">
        <v>55</v>
      </c>
      <c r="H1214" s="7">
        <v>970.0</v>
      </c>
      <c r="I1214" s="7">
        <v>1668.0</v>
      </c>
      <c r="J1214" s="6">
        <v>1969.0</v>
      </c>
      <c r="K1214" s="6">
        <v>62.0</v>
      </c>
      <c r="L1214" s="6" t="s">
        <v>22</v>
      </c>
      <c r="M1214" s="6" t="s">
        <v>4896</v>
      </c>
      <c r="N1214" s="6" t="s">
        <v>43</v>
      </c>
      <c r="O1214" s="6" t="s">
        <v>35</v>
      </c>
      <c r="P1214" s="6">
        <f>COUNTIF(Analysis!$M$1:$M$3001,Analysis!$M1214)</f>
        <v>1</v>
      </c>
      <c r="Q1214" s="6" t="str">
        <f>IF(COUNTIF(Analysis!$M$2:$M$3001,Analysis!$M1214)&gt;1,"Duplicate","OK")</f>
        <v>OK</v>
      </c>
      <c r="R1214" s="6" t="str">
        <f t="shared" si="1"/>
        <v>600-1600</v>
      </c>
      <c r="S1214" s="6">
        <f t="shared" si="2"/>
        <v>57</v>
      </c>
      <c r="T1214" s="6" t="str">
        <f t="shared" si="3"/>
        <v>Old</v>
      </c>
    </row>
    <row r="1215" ht="14.25" customHeight="1">
      <c r="A1215" s="5">
        <v>682633.0</v>
      </c>
      <c r="B1215" s="6" t="s">
        <v>5774</v>
      </c>
      <c r="C1215" s="6" t="s">
        <v>29</v>
      </c>
      <c r="D1215" s="6">
        <v>78072.0</v>
      </c>
      <c r="E1215" s="6" t="s">
        <v>60</v>
      </c>
      <c r="F1215" s="6" t="s">
        <v>94</v>
      </c>
      <c r="G1215" s="6" t="s">
        <v>21</v>
      </c>
      <c r="H1215" s="7">
        <v>1693.0</v>
      </c>
      <c r="I1215" s="7">
        <v>4140.0</v>
      </c>
      <c r="J1215" s="6">
        <v>2003.0</v>
      </c>
      <c r="K1215" s="6">
        <v>7.0</v>
      </c>
      <c r="L1215" s="6" t="s">
        <v>141</v>
      </c>
      <c r="M1215" s="6" t="s">
        <v>5775</v>
      </c>
      <c r="N1215" s="6" t="s">
        <v>43</v>
      </c>
      <c r="O1215" s="6" t="s">
        <v>25</v>
      </c>
      <c r="P1215" s="6">
        <f>COUNTIF(Analysis!$M$1:$M$3001,Analysis!$M1434)</f>
        <v>1</v>
      </c>
      <c r="Q1215" s="6" t="str">
        <f>IF(COUNTIF(Analysis!$M$2:$M$3001,Analysis!$M1434)&gt;1,"Duplicate","OK")</f>
        <v>OK</v>
      </c>
      <c r="R1215" s="6" t="str">
        <f t="shared" si="1"/>
        <v>1600-2600</v>
      </c>
      <c r="S1215" s="6">
        <f t="shared" si="2"/>
        <v>23</v>
      </c>
      <c r="T1215" s="6" t="str">
        <f t="shared" si="3"/>
        <v>Mid</v>
      </c>
    </row>
    <row r="1216" ht="14.25" customHeight="1">
      <c r="A1216" s="5">
        <v>683535.0</v>
      </c>
      <c r="B1216" s="6" t="s">
        <v>2120</v>
      </c>
      <c r="C1216" s="6" t="s">
        <v>29</v>
      </c>
      <c r="D1216" s="6">
        <v>54206.0</v>
      </c>
      <c r="E1216" s="6" t="s">
        <v>30</v>
      </c>
      <c r="F1216" s="6" t="s">
        <v>46</v>
      </c>
      <c r="G1216" s="6" t="s">
        <v>100</v>
      </c>
      <c r="H1216" s="7">
        <v>1402.0</v>
      </c>
      <c r="I1216" s="7">
        <v>4653.0</v>
      </c>
      <c r="J1216" s="6">
        <v>1959.0</v>
      </c>
      <c r="K1216" s="6">
        <v>97.0</v>
      </c>
      <c r="L1216" s="6" t="s">
        <v>32</v>
      </c>
      <c r="M1216" s="6" t="s">
        <v>2121</v>
      </c>
      <c r="N1216" s="6" t="s">
        <v>43</v>
      </c>
      <c r="O1216" s="6" t="s">
        <v>49</v>
      </c>
      <c r="P1216" s="6">
        <f>COUNTIF(Analysis!$M$1:$M$3001,Analysis!$M520)</f>
        <v>1</v>
      </c>
      <c r="Q1216" s="6" t="str">
        <f>IF(COUNTIF(Analysis!$M$2:$M$3001,Analysis!$M520)&gt;1,"Duplicate","OK")</f>
        <v>OK</v>
      </c>
      <c r="R1216" s="6" t="str">
        <f t="shared" si="1"/>
        <v>600-1600</v>
      </c>
      <c r="S1216" s="6">
        <f t="shared" si="2"/>
        <v>67</v>
      </c>
      <c r="T1216" s="6" t="str">
        <f t="shared" si="3"/>
        <v>Very Old</v>
      </c>
    </row>
    <row r="1217" ht="14.25" customHeight="1">
      <c r="A1217" s="5">
        <v>683573.0</v>
      </c>
      <c r="B1217" s="6" t="s">
        <v>4115</v>
      </c>
      <c r="C1217" s="6" t="s">
        <v>29</v>
      </c>
      <c r="D1217" s="6">
        <v>95683.0</v>
      </c>
      <c r="E1217" s="6" t="s">
        <v>40</v>
      </c>
      <c r="F1217" s="6" t="s">
        <v>61</v>
      </c>
      <c r="G1217" s="6" t="s">
        <v>31</v>
      </c>
      <c r="H1217" s="7">
        <v>2534.0</v>
      </c>
      <c r="I1217" s="7">
        <v>1734.0</v>
      </c>
      <c r="J1217" s="6">
        <v>2014.0</v>
      </c>
      <c r="K1217" s="6">
        <v>20.0</v>
      </c>
      <c r="L1217" s="6" t="s">
        <v>32</v>
      </c>
      <c r="M1217" s="6" t="s">
        <v>4116</v>
      </c>
      <c r="N1217" s="6" t="s">
        <v>43</v>
      </c>
      <c r="O1217" s="6" t="s">
        <v>35</v>
      </c>
      <c r="P1217" s="6">
        <f>COUNTIF(Analysis!$M$1:$M$3001,Analysis!$M1019)</f>
        <v>1</v>
      </c>
      <c r="Q1217" s="6" t="str">
        <f>IF(COUNTIF(Analysis!$M$2:$M$3001,Analysis!$M1019)&gt;1,"Duplicate","OK")</f>
        <v>OK</v>
      </c>
      <c r="R1217" s="6" t="str">
        <f t="shared" si="1"/>
        <v>1600-2600</v>
      </c>
      <c r="S1217" s="6">
        <f t="shared" si="2"/>
        <v>12</v>
      </c>
      <c r="T1217" s="6" t="str">
        <f t="shared" si="3"/>
        <v>Mid</v>
      </c>
    </row>
    <row r="1218" ht="14.25" customHeight="1">
      <c r="A1218" s="5">
        <v>337362.0</v>
      </c>
      <c r="B1218" s="6" t="s">
        <v>4911</v>
      </c>
      <c r="C1218" s="6" t="s">
        <v>76</v>
      </c>
      <c r="D1218" s="6">
        <v>34436.0</v>
      </c>
      <c r="E1218" s="6" t="s">
        <v>19</v>
      </c>
      <c r="F1218" s="6" t="s">
        <v>61</v>
      </c>
      <c r="G1218" s="6" t="s">
        <v>31</v>
      </c>
      <c r="H1218" s="7">
        <v>2678.0</v>
      </c>
      <c r="I1218" s="7">
        <v>4246.0</v>
      </c>
      <c r="J1218" s="6">
        <v>1965.0</v>
      </c>
      <c r="K1218" s="6">
        <v>19.0</v>
      </c>
      <c r="L1218" s="6" t="s">
        <v>62</v>
      </c>
      <c r="M1218" s="6" t="s">
        <v>4912</v>
      </c>
      <c r="N1218" s="6" t="s">
        <v>43</v>
      </c>
      <c r="O1218" s="6" t="s">
        <v>25</v>
      </c>
      <c r="P1218" s="6">
        <f>COUNTIF(Analysis!$M$1:$M$3001,Analysis!$M1218)</f>
        <v>1</v>
      </c>
      <c r="Q1218" s="6" t="str">
        <f>IF(COUNTIF(Analysis!$M$2:$M$3001,Analysis!$M1218)&gt;1,"Duplicate","OK")</f>
        <v>OK</v>
      </c>
      <c r="R1218" s="6" t="str">
        <f t="shared" si="1"/>
        <v>2600-3600</v>
      </c>
      <c r="S1218" s="6">
        <f t="shared" si="2"/>
        <v>61</v>
      </c>
      <c r="T1218" s="6" t="str">
        <f t="shared" si="3"/>
        <v>Very Old</v>
      </c>
    </row>
    <row r="1219" ht="14.25" customHeight="1">
      <c r="A1219" s="5">
        <v>740701.0</v>
      </c>
      <c r="B1219" s="6" t="s">
        <v>4915</v>
      </c>
      <c r="C1219" s="6" t="s">
        <v>76</v>
      </c>
      <c r="D1219" s="6">
        <v>37026.0</v>
      </c>
      <c r="E1219" s="6" t="s">
        <v>77</v>
      </c>
      <c r="F1219" s="6" t="s">
        <v>46</v>
      </c>
      <c r="G1219" s="6" t="s">
        <v>55</v>
      </c>
      <c r="H1219" s="7">
        <v>3366.0</v>
      </c>
      <c r="I1219" s="7">
        <v>8539.0</v>
      </c>
      <c r="J1219" s="6">
        <v>1988.0</v>
      </c>
      <c r="K1219" s="6">
        <v>41.0</v>
      </c>
      <c r="L1219" s="6" t="s">
        <v>32</v>
      </c>
      <c r="M1219" s="6" t="s">
        <v>4916</v>
      </c>
      <c r="N1219" s="6" t="s">
        <v>64</v>
      </c>
      <c r="O1219" s="6" t="s">
        <v>25</v>
      </c>
      <c r="P1219" s="6">
        <f>COUNTIF(Analysis!$M$1:$M$3001,Analysis!$M1219)</f>
        <v>1</v>
      </c>
      <c r="Q1219" s="6" t="str">
        <f>IF(COUNTIF(Analysis!$M$2:$M$3001,Analysis!$M1219)&gt;1,"Duplicate","OK")</f>
        <v>OK</v>
      </c>
      <c r="R1219" s="6" t="str">
        <f t="shared" si="1"/>
        <v>2600-3600</v>
      </c>
      <c r="S1219" s="6">
        <f t="shared" si="2"/>
        <v>38</v>
      </c>
      <c r="T1219" s="6" t="str">
        <f t="shared" si="3"/>
        <v>Old</v>
      </c>
    </row>
    <row r="1220" ht="14.25" customHeight="1">
      <c r="A1220" s="5">
        <v>1181779.0</v>
      </c>
      <c r="B1220" s="6" t="s">
        <v>4919</v>
      </c>
      <c r="C1220" s="6" t="s">
        <v>39</v>
      </c>
      <c r="D1220" s="6">
        <v>48832.0</v>
      </c>
      <c r="E1220" s="6" t="s">
        <v>77</v>
      </c>
      <c r="F1220" s="6" t="s">
        <v>94</v>
      </c>
      <c r="G1220" s="6" t="s">
        <v>31</v>
      </c>
      <c r="H1220" s="7">
        <v>2651.0</v>
      </c>
      <c r="I1220" s="7">
        <v>8912.0</v>
      </c>
      <c r="J1220" s="6">
        <v>1999.0</v>
      </c>
      <c r="K1220" s="6">
        <v>110.0</v>
      </c>
      <c r="L1220" s="6" t="s">
        <v>32</v>
      </c>
      <c r="M1220" s="6" t="s">
        <v>4920</v>
      </c>
      <c r="N1220" s="6" t="s">
        <v>24</v>
      </c>
      <c r="O1220" s="6" t="s">
        <v>25</v>
      </c>
      <c r="P1220" s="6">
        <f>COUNTIF(Analysis!$M$1:$M$3001,Analysis!$M1220)</f>
        <v>1</v>
      </c>
      <c r="Q1220" s="6" t="str">
        <f>IF(COUNTIF(Analysis!$M$2:$M$3001,Analysis!$M1220)&gt;1,"Duplicate","OK")</f>
        <v>OK</v>
      </c>
      <c r="R1220" s="6" t="str">
        <f t="shared" si="1"/>
        <v>2600-3600</v>
      </c>
      <c r="S1220" s="6">
        <f t="shared" si="2"/>
        <v>27</v>
      </c>
      <c r="T1220" s="6" t="str">
        <f t="shared" si="3"/>
        <v>Mid</v>
      </c>
    </row>
    <row r="1221" ht="14.25" customHeight="1">
      <c r="A1221" s="5">
        <v>1052477.0</v>
      </c>
      <c r="B1221" s="6" t="s">
        <v>4923</v>
      </c>
      <c r="C1221" s="6" t="s">
        <v>39</v>
      </c>
      <c r="D1221" s="6">
        <v>86185.0</v>
      </c>
      <c r="E1221" s="6" t="s">
        <v>30</v>
      </c>
      <c r="F1221" s="6" t="s">
        <v>46</v>
      </c>
      <c r="G1221" s="6" t="s">
        <v>31</v>
      </c>
      <c r="H1221" s="7">
        <v>3649.0</v>
      </c>
      <c r="I1221" s="7">
        <v>7355.0</v>
      </c>
      <c r="J1221" s="6">
        <v>1982.0</v>
      </c>
      <c r="K1221" s="6">
        <v>90.0</v>
      </c>
      <c r="L1221" s="6" t="s">
        <v>32</v>
      </c>
      <c r="M1221" s="6" t="s">
        <v>4924</v>
      </c>
      <c r="N1221" s="6" t="s">
        <v>48</v>
      </c>
      <c r="O1221" s="6" t="s">
        <v>49</v>
      </c>
      <c r="P1221" s="6">
        <f>COUNTIF(Analysis!$M$1:$M$3001,Analysis!$M1221)</f>
        <v>1</v>
      </c>
      <c r="Q1221" s="6" t="str">
        <f>IF(COUNTIF(Analysis!$M$2:$M$3001,Analysis!$M1221)&gt;1,"Duplicate","OK")</f>
        <v>OK</v>
      </c>
      <c r="R1221" s="6" t="str">
        <f t="shared" si="1"/>
        <v>3600+</v>
      </c>
      <c r="S1221" s="6">
        <f t="shared" si="2"/>
        <v>44</v>
      </c>
      <c r="T1221" s="6" t="str">
        <f t="shared" si="3"/>
        <v>Old</v>
      </c>
    </row>
    <row r="1222" ht="14.25" customHeight="1">
      <c r="A1222" s="5">
        <v>823571.0</v>
      </c>
      <c r="B1222" s="6" t="s">
        <v>4927</v>
      </c>
      <c r="C1222" s="6" t="s">
        <v>76</v>
      </c>
      <c r="D1222" s="6">
        <v>75048.0</v>
      </c>
      <c r="E1222" s="6" t="s">
        <v>77</v>
      </c>
      <c r="F1222" s="6" t="s">
        <v>46</v>
      </c>
      <c r="G1222" s="6" t="s">
        <v>55</v>
      </c>
      <c r="H1222" s="7">
        <v>3946.0</v>
      </c>
      <c r="I1222" s="7">
        <v>4570.0</v>
      </c>
      <c r="J1222" s="6">
        <v>1997.0</v>
      </c>
      <c r="K1222" s="6">
        <v>48.0</v>
      </c>
      <c r="L1222" s="6" t="s">
        <v>141</v>
      </c>
      <c r="M1222" s="6" t="s">
        <v>4928</v>
      </c>
      <c r="N1222" s="6" t="s">
        <v>43</v>
      </c>
      <c r="O1222" s="6" t="s">
        <v>35</v>
      </c>
      <c r="P1222" s="6">
        <f>COUNTIF(Analysis!$M$1:$M$3001,Analysis!$M1222)</f>
        <v>1</v>
      </c>
      <c r="Q1222" s="6" t="str">
        <f>IF(COUNTIF(Analysis!$M$2:$M$3001,Analysis!$M1222)&gt;1,"Duplicate","OK")</f>
        <v>OK</v>
      </c>
      <c r="R1222" s="6" t="str">
        <f t="shared" si="1"/>
        <v>3600+</v>
      </c>
      <c r="S1222" s="6">
        <f t="shared" si="2"/>
        <v>29</v>
      </c>
      <c r="T1222" s="6" t="str">
        <f t="shared" si="3"/>
        <v>Mid</v>
      </c>
    </row>
    <row r="1223" ht="14.25" customHeight="1">
      <c r="A1223" s="5">
        <v>1427202.0</v>
      </c>
      <c r="B1223" s="6" t="s">
        <v>4931</v>
      </c>
      <c r="C1223" s="6" t="s">
        <v>76</v>
      </c>
      <c r="D1223" s="6">
        <v>97697.0</v>
      </c>
      <c r="E1223" s="6" t="s">
        <v>30</v>
      </c>
      <c r="F1223" s="6" t="s">
        <v>41</v>
      </c>
      <c r="G1223" s="6" t="s">
        <v>31</v>
      </c>
      <c r="H1223" s="7">
        <v>1396.0</v>
      </c>
      <c r="I1223" s="7">
        <v>8997.0</v>
      </c>
      <c r="J1223" s="6">
        <v>2009.0</v>
      </c>
      <c r="K1223" s="6">
        <v>95.0</v>
      </c>
      <c r="L1223" s="6" t="s">
        <v>22</v>
      </c>
      <c r="M1223" s="6" t="s">
        <v>4932</v>
      </c>
      <c r="N1223" s="6" t="s">
        <v>48</v>
      </c>
      <c r="O1223" s="6" t="s">
        <v>25</v>
      </c>
      <c r="P1223" s="6">
        <f>COUNTIF(Analysis!$M$1:$M$3001,Analysis!$M1223)</f>
        <v>1</v>
      </c>
      <c r="Q1223" s="6" t="str">
        <f>IF(COUNTIF(Analysis!$M$2:$M$3001,Analysis!$M1223)&gt;1,"Duplicate","OK")</f>
        <v>OK</v>
      </c>
      <c r="R1223" s="6" t="str">
        <f t="shared" si="1"/>
        <v>600-1600</v>
      </c>
      <c r="S1223" s="6">
        <f t="shared" si="2"/>
        <v>17</v>
      </c>
      <c r="T1223" s="6" t="str">
        <f t="shared" si="3"/>
        <v>Mid</v>
      </c>
    </row>
    <row r="1224" ht="14.25" customHeight="1">
      <c r="A1224" s="5">
        <v>628568.0</v>
      </c>
      <c r="B1224" s="6" t="s">
        <v>4935</v>
      </c>
      <c r="C1224" s="6" t="s">
        <v>39</v>
      </c>
      <c r="D1224" s="6">
        <v>75834.0</v>
      </c>
      <c r="E1224" s="6" t="s">
        <v>30</v>
      </c>
      <c r="F1224" s="6" t="s">
        <v>20</v>
      </c>
      <c r="G1224" s="6" t="s">
        <v>21</v>
      </c>
      <c r="H1224" s="7">
        <v>1008.0</v>
      </c>
      <c r="I1224" s="7">
        <v>2981.0</v>
      </c>
      <c r="J1224" s="6">
        <v>1968.0</v>
      </c>
      <c r="K1224" s="6">
        <v>41.0</v>
      </c>
      <c r="L1224" s="6" t="s">
        <v>22</v>
      </c>
      <c r="M1224" s="6" t="s">
        <v>4936</v>
      </c>
      <c r="N1224" s="6" t="s">
        <v>43</v>
      </c>
      <c r="O1224" s="6" t="s">
        <v>35</v>
      </c>
      <c r="P1224" s="6">
        <f>COUNTIF(Analysis!$M$1:$M$3001,Analysis!$M1224)</f>
        <v>1</v>
      </c>
      <c r="Q1224" s="6" t="str">
        <f>IF(COUNTIF(Analysis!$M$2:$M$3001,Analysis!$M1224)&gt;1,"Duplicate","OK")</f>
        <v>OK</v>
      </c>
      <c r="R1224" s="6" t="str">
        <f t="shared" si="1"/>
        <v>600-1600</v>
      </c>
      <c r="S1224" s="6">
        <f t="shared" si="2"/>
        <v>58</v>
      </c>
      <c r="T1224" s="6" t="str">
        <f t="shared" si="3"/>
        <v>Old</v>
      </c>
    </row>
    <row r="1225" ht="14.25" customHeight="1">
      <c r="A1225" s="5">
        <v>696092.0</v>
      </c>
      <c r="B1225" s="6" t="s">
        <v>4939</v>
      </c>
      <c r="C1225" s="6" t="s">
        <v>76</v>
      </c>
      <c r="D1225" s="6">
        <v>34478.0</v>
      </c>
      <c r="E1225" s="6" t="s">
        <v>30</v>
      </c>
      <c r="F1225" s="6" t="s">
        <v>20</v>
      </c>
      <c r="G1225" s="6" t="s">
        <v>100</v>
      </c>
      <c r="H1225" s="7">
        <v>922.0</v>
      </c>
      <c r="I1225" s="7">
        <v>8400.0</v>
      </c>
      <c r="J1225" s="6">
        <v>1979.0</v>
      </c>
      <c r="K1225" s="6">
        <v>114.0</v>
      </c>
      <c r="L1225" s="6" t="s">
        <v>141</v>
      </c>
      <c r="M1225" s="6" t="s">
        <v>4940</v>
      </c>
      <c r="N1225" s="6" t="s">
        <v>34</v>
      </c>
      <c r="O1225" s="6" t="s">
        <v>35</v>
      </c>
      <c r="P1225" s="6">
        <f>COUNTIF(Analysis!$M$1:$M$3001,Analysis!$M1225)</f>
        <v>1</v>
      </c>
      <c r="Q1225" s="6" t="str">
        <f>IF(COUNTIF(Analysis!$M$2:$M$3001,Analysis!$M1225)&gt;1,"Duplicate","OK")</f>
        <v>OK</v>
      </c>
      <c r="R1225" s="6" t="str">
        <f t="shared" si="1"/>
        <v>600-1600</v>
      </c>
      <c r="S1225" s="6">
        <f t="shared" si="2"/>
        <v>47</v>
      </c>
      <c r="T1225" s="6" t="str">
        <f t="shared" si="3"/>
        <v>Old</v>
      </c>
    </row>
    <row r="1226" ht="14.25" customHeight="1">
      <c r="A1226" s="5">
        <v>127321.0</v>
      </c>
      <c r="B1226" s="6" t="s">
        <v>4943</v>
      </c>
      <c r="C1226" s="6" t="s">
        <v>53</v>
      </c>
      <c r="D1226" s="6">
        <v>78574.0</v>
      </c>
      <c r="E1226" s="6" t="s">
        <v>60</v>
      </c>
      <c r="F1226" s="6" t="s">
        <v>54</v>
      </c>
      <c r="G1226" s="6" t="s">
        <v>21</v>
      </c>
      <c r="H1226" s="7">
        <v>3353.0</v>
      </c>
      <c r="I1226" s="7">
        <v>6168.0</v>
      </c>
      <c r="J1226" s="6">
        <v>1972.0</v>
      </c>
      <c r="K1226" s="6">
        <v>57.0</v>
      </c>
      <c r="L1226" s="6" t="s">
        <v>22</v>
      </c>
      <c r="M1226" s="6" t="s">
        <v>4944</v>
      </c>
      <c r="N1226" s="6" t="s">
        <v>34</v>
      </c>
      <c r="O1226" s="6" t="s">
        <v>49</v>
      </c>
      <c r="P1226" s="6">
        <f>COUNTIF(Analysis!$M$1:$M$3001,Analysis!$M1226)</f>
        <v>1</v>
      </c>
      <c r="Q1226" s="6" t="str">
        <f>IF(COUNTIF(Analysis!$M$2:$M$3001,Analysis!$M1226)&gt;1,"Duplicate","OK")</f>
        <v>OK</v>
      </c>
      <c r="R1226" s="6" t="str">
        <f t="shared" si="1"/>
        <v>2600-3600</v>
      </c>
      <c r="S1226" s="6">
        <f t="shared" si="2"/>
        <v>54</v>
      </c>
      <c r="T1226" s="6" t="str">
        <f t="shared" si="3"/>
        <v>Old</v>
      </c>
    </row>
    <row r="1227" ht="14.25" customHeight="1">
      <c r="A1227" s="5">
        <v>417293.0</v>
      </c>
      <c r="B1227" s="6" t="s">
        <v>4947</v>
      </c>
      <c r="C1227" s="6" t="s">
        <v>53</v>
      </c>
      <c r="D1227" s="6">
        <v>30794.0</v>
      </c>
      <c r="E1227" s="6" t="s">
        <v>30</v>
      </c>
      <c r="F1227" s="6" t="s">
        <v>61</v>
      </c>
      <c r="G1227" s="6" t="s">
        <v>31</v>
      </c>
      <c r="H1227" s="7">
        <v>1842.0</v>
      </c>
      <c r="I1227" s="7">
        <v>9866.0</v>
      </c>
      <c r="J1227" s="6">
        <v>1995.0</v>
      </c>
      <c r="K1227" s="6">
        <v>117.0</v>
      </c>
      <c r="L1227" s="6" t="s">
        <v>95</v>
      </c>
      <c r="M1227" s="6" t="s">
        <v>4948</v>
      </c>
      <c r="N1227" s="6" t="s">
        <v>24</v>
      </c>
      <c r="O1227" s="6" t="s">
        <v>35</v>
      </c>
      <c r="P1227" s="6">
        <f>COUNTIF(Analysis!$M$1:$M$3001,Analysis!$M1227)</f>
        <v>1</v>
      </c>
      <c r="Q1227" s="6" t="str">
        <f>IF(COUNTIF(Analysis!$M$2:$M$3001,Analysis!$M1227)&gt;1,"Duplicate","OK")</f>
        <v>OK</v>
      </c>
      <c r="R1227" s="6" t="str">
        <f t="shared" si="1"/>
        <v>1600-2600</v>
      </c>
      <c r="S1227" s="6">
        <f t="shared" si="2"/>
        <v>31</v>
      </c>
      <c r="T1227" s="6" t="str">
        <f t="shared" si="3"/>
        <v>Old</v>
      </c>
    </row>
    <row r="1228" ht="14.25" customHeight="1">
      <c r="A1228" s="5">
        <v>445101.0</v>
      </c>
      <c r="B1228" s="6" t="s">
        <v>4951</v>
      </c>
      <c r="C1228" s="6" t="s">
        <v>53</v>
      </c>
      <c r="D1228" s="6">
        <v>52810.0</v>
      </c>
      <c r="E1228" s="6" t="s">
        <v>19</v>
      </c>
      <c r="F1228" s="6" t="s">
        <v>41</v>
      </c>
      <c r="G1228" s="6" t="s">
        <v>21</v>
      </c>
      <c r="H1228" s="7">
        <v>1624.0</v>
      </c>
      <c r="I1228" s="7">
        <v>5436.0</v>
      </c>
      <c r="J1228" s="6">
        <v>1975.0</v>
      </c>
      <c r="K1228" s="6">
        <v>117.0</v>
      </c>
      <c r="L1228" s="6" t="s">
        <v>32</v>
      </c>
      <c r="M1228" s="6" t="s">
        <v>4952</v>
      </c>
      <c r="N1228" s="6" t="s">
        <v>48</v>
      </c>
      <c r="O1228" s="6" t="s">
        <v>35</v>
      </c>
      <c r="P1228" s="6">
        <f>COUNTIF(Analysis!$M$1:$M$3001,Analysis!$M1228)</f>
        <v>1</v>
      </c>
      <c r="Q1228" s="6" t="str">
        <f>IF(COUNTIF(Analysis!$M$2:$M$3001,Analysis!$M1228)&gt;1,"Duplicate","OK")</f>
        <v>OK</v>
      </c>
      <c r="R1228" s="6" t="str">
        <f t="shared" si="1"/>
        <v>1600-2600</v>
      </c>
      <c r="S1228" s="6">
        <f t="shared" si="2"/>
        <v>51</v>
      </c>
      <c r="T1228" s="6" t="str">
        <f t="shared" si="3"/>
        <v>Old</v>
      </c>
    </row>
    <row r="1229" ht="14.25" customHeight="1">
      <c r="A1229" s="5">
        <v>238951.0</v>
      </c>
      <c r="B1229" s="6" t="s">
        <v>4955</v>
      </c>
      <c r="C1229" s="6" t="s">
        <v>39</v>
      </c>
      <c r="D1229" s="6">
        <v>66309.0</v>
      </c>
      <c r="E1229" s="6" t="s">
        <v>60</v>
      </c>
      <c r="F1229" s="6" t="s">
        <v>94</v>
      </c>
      <c r="G1229" s="6" t="s">
        <v>100</v>
      </c>
      <c r="H1229" s="7">
        <v>1921.0</v>
      </c>
      <c r="I1229" s="7">
        <v>6959.0</v>
      </c>
      <c r="J1229" s="6">
        <v>1951.0</v>
      </c>
      <c r="K1229" s="6">
        <v>15.0</v>
      </c>
      <c r="L1229" s="6" t="s">
        <v>62</v>
      </c>
      <c r="M1229" s="6" t="s">
        <v>4956</v>
      </c>
      <c r="N1229" s="6" t="s">
        <v>64</v>
      </c>
      <c r="O1229" s="6" t="s">
        <v>25</v>
      </c>
      <c r="P1229" s="6">
        <f>COUNTIF(Analysis!$M$1:$M$3001,Analysis!$M1229)</f>
        <v>1</v>
      </c>
      <c r="Q1229" s="6" t="str">
        <f>IF(COUNTIF(Analysis!$M$2:$M$3001,Analysis!$M1229)&gt;1,"Duplicate","OK")</f>
        <v>OK</v>
      </c>
      <c r="R1229" s="6" t="str">
        <f t="shared" si="1"/>
        <v>1600-2600</v>
      </c>
      <c r="S1229" s="6">
        <f t="shared" si="2"/>
        <v>75</v>
      </c>
      <c r="T1229" s="6" t="str">
        <f t="shared" si="3"/>
        <v>Very Old</v>
      </c>
    </row>
    <row r="1230" ht="14.25" customHeight="1">
      <c r="A1230" s="5">
        <v>323309.0</v>
      </c>
      <c r="B1230" s="6" t="s">
        <v>4959</v>
      </c>
      <c r="C1230" s="6" t="s">
        <v>39</v>
      </c>
      <c r="D1230" s="6">
        <v>77872.0</v>
      </c>
      <c r="E1230" s="6" t="s">
        <v>19</v>
      </c>
      <c r="F1230" s="6" t="s">
        <v>20</v>
      </c>
      <c r="G1230" s="6" t="s">
        <v>31</v>
      </c>
      <c r="H1230" s="7">
        <v>3589.0</v>
      </c>
      <c r="I1230" s="7">
        <v>9337.0</v>
      </c>
      <c r="J1230" s="6">
        <v>1968.0</v>
      </c>
      <c r="K1230" s="6">
        <v>120.0</v>
      </c>
      <c r="L1230" s="6" t="s">
        <v>32</v>
      </c>
      <c r="M1230" s="6" t="s">
        <v>4960</v>
      </c>
      <c r="N1230" s="6" t="s">
        <v>43</v>
      </c>
      <c r="O1230" s="6" t="s">
        <v>35</v>
      </c>
      <c r="P1230" s="6">
        <f>COUNTIF(Analysis!$M$1:$M$3001,Analysis!$M1230)</f>
        <v>1</v>
      </c>
      <c r="Q1230" s="6" t="str">
        <f>IF(COUNTIF(Analysis!$M$2:$M$3001,Analysis!$M1230)&gt;1,"Duplicate","OK")</f>
        <v>OK</v>
      </c>
      <c r="R1230" s="6" t="str">
        <f t="shared" si="1"/>
        <v>2600-3600</v>
      </c>
      <c r="S1230" s="6">
        <f t="shared" si="2"/>
        <v>58</v>
      </c>
      <c r="T1230" s="6" t="str">
        <f t="shared" si="3"/>
        <v>Old</v>
      </c>
    </row>
    <row r="1231" ht="14.25" customHeight="1">
      <c r="A1231" s="5">
        <v>583154.0</v>
      </c>
      <c r="B1231" s="6" t="s">
        <v>4963</v>
      </c>
      <c r="C1231" s="6" t="s">
        <v>39</v>
      </c>
      <c r="D1231" s="6">
        <v>17616.0</v>
      </c>
      <c r="E1231" s="6" t="s">
        <v>19</v>
      </c>
      <c r="F1231" s="6" t="s">
        <v>20</v>
      </c>
      <c r="G1231" s="6" t="s">
        <v>55</v>
      </c>
      <c r="H1231" s="7">
        <v>2402.0</v>
      </c>
      <c r="I1231" s="7">
        <v>4756.0</v>
      </c>
      <c r="J1231" s="6">
        <v>1981.0</v>
      </c>
      <c r="K1231" s="6">
        <v>96.0</v>
      </c>
      <c r="L1231" s="6" t="s">
        <v>22</v>
      </c>
      <c r="M1231" s="6" t="s">
        <v>4964</v>
      </c>
      <c r="N1231" s="6" t="s">
        <v>48</v>
      </c>
      <c r="O1231" s="6" t="s">
        <v>35</v>
      </c>
      <c r="P1231" s="6">
        <f>COUNTIF(Analysis!$M$1:$M$3001,Analysis!$M1231)</f>
        <v>1</v>
      </c>
      <c r="Q1231" s="6" t="str">
        <f>IF(COUNTIF(Analysis!$M$2:$M$3001,Analysis!$M1231)&gt;1,"Duplicate","OK")</f>
        <v>OK</v>
      </c>
      <c r="R1231" s="6" t="str">
        <f t="shared" si="1"/>
        <v>1600-2600</v>
      </c>
      <c r="S1231" s="6">
        <f t="shared" si="2"/>
        <v>45</v>
      </c>
      <c r="T1231" s="6" t="str">
        <f t="shared" si="3"/>
        <v>Old</v>
      </c>
    </row>
    <row r="1232" ht="14.25" customHeight="1">
      <c r="A1232" s="5">
        <v>948012.0</v>
      </c>
      <c r="B1232" s="6" t="s">
        <v>4967</v>
      </c>
      <c r="C1232" s="6" t="s">
        <v>76</v>
      </c>
      <c r="D1232" s="6">
        <v>23087.0</v>
      </c>
      <c r="E1232" s="6" t="s">
        <v>77</v>
      </c>
      <c r="F1232" s="6" t="s">
        <v>20</v>
      </c>
      <c r="G1232" s="6" t="s">
        <v>100</v>
      </c>
      <c r="H1232" s="7">
        <v>1689.0</v>
      </c>
      <c r="I1232" s="7">
        <v>4018.0</v>
      </c>
      <c r="J1232" s="6">
        <v>1971.0</v>
      </c>
      <c r="K1232" s="6">
        <v>20.0</v>
      </c>
      <c r="L1232" s="6" t="s">
        <v>141</v>
      </c>
      <c r="M1232" s="6" t="s">
        <v>4968</v>
      </c>
      <c r="N1232" s="6" t="s">
        <v>34</v>
      </c>
      <c r="O1232" s="6" t="s">
        <v>49</v>
      </c>
      <c r="P1232" s="6">
        <f>COUNTIF(Analysis!$M$1:$M$3001,Analysis!$M1232)</f>
        <v>1</v>
      </c>
      <c r="Q1232" s="6" t="str">
        <f>IF(COUNTIF(Analysis!$M$2:$M$3001,Analysis!$M1232)&gt;1,"Duplicate","OK")</f>
        <v>OK</v>
      </c>
      <c r="R1232" s="6" t="str">
        <f t="shared" si="1"/>
        <v>1600-2600</v>
      </c>
      <c r="S1232" s="6">
        <f t="shared" si="2"/>
        <v>55</v>
      </c>
      <c r="T1232" s="6" t="str">
        <f t="shared" si="3"/>
        <v>Old</v>
      </c>
    </row>
    <row r="1233" ht="14.25" customHeight="1">
      <c r="A1233" s="5">
        <v>334932.0</v>
      </c>
      <c r="B1233" s="6" t="s">
        <v>4971</v>
      </c>
      <c r="C1233" s="6" t="s">
        <v>76</v>
      </c>
      <c r="D1233" s="6">
        <v>39549.0</v>
      </c>
      <c r="E1233" s="6" t="s">
        <v>60</v>
      </c>
      <c r="F1233" s="6" t="s">
        <v>54</v>
      </c>
      <c r="G1233" s="6" t="s">
        <v>100</v>
      </c>
      <c r="H1233" s="7">
        <v>3975.0</v>
      </c>
      <c r="I1233" s="7">
        <v>2039.0</v>
      </c>
      <c r="J1233" s="6">
        <v>1978.0</v>
      </c>
      <c r="K1233" s="6">
        <v>59.0</v>
      </c>
      <c r="L1233" s="6" t="s">
        <v>62</v>
      </c>
      <c r="M1233" s="6" t="s">
        <v>4972</v>
      </c>
      <c r="N1233" s="6" t="s">
        <v>64</v>
      </c>
      <c r="O1233" s="6" t="s">
        <v>49</v>
      </c>
      <c r="P1233" s="6">
        <f>COUNTIF(Analysis!$M$1:$M$3001,Analysis!$M1233)</f>
        <v>1</v>
      </c>
      <c r="Q1233" s="6" t="str">
        <f>IF(COUNTIF(Analysis!$M$2:$M$3001,Analysis!$M1233)&gt;1,"Duplicate","OK")</f>
        <v>OK</v>
      </c>
      <c r="R1233" s="6" t="str">
        <f t="shared" si="1"/>
        <v>3600+</v>
      </c>
      <c r="S1233" s="6">
        <f t="shared" si="2"/>
        <v>48</v>
      </c>
      <c r="T1233" s="6" t="str">
        <f t="shared" si="3"/>
        <v>Old</v>
      </c>
    </row>
    <row r="1234" ht="14.25" customHeight="1">
      <c r="A1234" s="5">
        <v>731180.0</v>
      </c>
      <c r="B1234" s="6" t="s">
        <v>4975</v>
      </c>
      <c r="C1234" s="6" t="s">
        <v>39</v>
      </c>
      <c r="D1234" s="6">
        <v>55091.0</v>
      </c>
      <c r="E1234" s="6" t="s">
        <v>30</v>
      </c>
      <c r="F1234" s="6" t="s">
        <v>54</v>
      </c>
      <c r="G1234" s="6" t="s">
        <v>21</v>
      </c>
      <c r="H1234" s="7">
        <v>3339.0</v>
      </c>
      <c r="I1234" s="7">
        <v>7418.0</v>
      </c>
      <c r="J1234" s="6">
        <v>1953.0</v>
      </c>
      <c r="K1234" s="6">
        <v>1.0</v>
      </c>
      <c r="L1234" s="6" t="s">
        <v>95</v>
      </c>
      <c r="M1234" s="6" t="s">
        <v>4976</v>
      </c>
      <c r="N1234" s="6" t="s">
        <v>48</v>
      </c>
      <c r="O1234" s="6" t="s">
        <v>25</v>
      </c>
      <c r="P1234" s="6">
        <f>COUNTIF(Analysis!$M$1:$M$3001,Analysis!$M1234)</f>
        <v>1</v>
      </c>
      <c r="Q1234" s="6" t="str">
        <f>IF(COUNTIF(Analysis!$M$2:$M$3001,Analysis!$M1234)&gt;1,"Duplicate","OK")</f>
        <v>OK</v>
      </c>
      <c r="R1234" s="6" t="str">
        <f t="shared" si="1"/>
        <v>2600-3600</v>
      </c>
      <c r="S1234" s="6">
        <f t="shared" si="2"/>
        <v>73</v>
      </c>
      <c r="T1234" s="6" t="str">
        <f t="shared" si="3"/>
        <v>Very Old</v>
      </c>
    </row>
    <row r="1235" ht="14.25" customHeight="1">
      <c r="A1235" s="5">
        <v>335042.0</v>
      </c>
      <c r="B1235" s="6" t="s">
        <v>4979</v>
      </c>
      <c r="C1235" s="6" t="s">
        <v>39</v>
      </c>
      <c r="D1235" s="6">
        <v>27772.0</v>
      </c>
      <c r="E1235" s="6" t="s">
        <v>19</v>
      </c>
      <c r="F1235" s="6" t="s">
        <v>46</v>
      </c>
      <c r="G1235" s="6" t="s">
        <v>55</v>
      </c>
      <c r="H1235" s="7">
        <v>2566.0</v>
      </c>
      <c r="I1235" s="7">
        <v>5501.0</v>
      </c>
      <c r="J1235" s="6">
        <v>1967.0</v>
      </c>
      <c r="K1235" s="6">
        <v>42.0</v>
      </c>
      <c r="L1235" s="6" t="s">
        <v>95</v>
      </c>
      <c r="M1235" s="6" t="s">
        <v>4980</v>
      </c>
      <c r="N1235" s="6" t="s">
        <v>48</v>
      </c>
      <c r="O1235" s="6" t="s">
        <v>49</v>
      </c>
      <c r="P1235" s="6">
        <f>COUNTIF(Analysis!$M$1:$M$3001,Analysis!$M1235)</f>
        <v>1</v>
      </c>
      <c r="Q1235" s="6" t="str">
        <f>IF(COUNTIF(Analysis!$M$2:$M$3001,Analysis!$M1235)&gt;1,"Duplicate","OK")</f>
        <v>OK</v>
      </c>
      <c r="R1235" s="6" t="str">
        <f t="shared" si="1"/>
        <v>1600-2600</v>
      </c>
      <c r="S1235" s="6">
        <f t="shared" si="2"/>
        <v>59</v>
      </c>
      <c r="T1235" s="6" t="str">
        <f t="shared" si="3"/>
        <v>Old</v>
      </c>
    </row>
    <row r="1236" ht="14.25" customHeight="1">
      <c r="A1236" s="5">
        <v>264127.0</v>
      </c>
      <c r="B1236" s="6" t="s">
        <v>4983</v>
      </c>
      <c r="C1236" s="6" t="s">
        <v>39</v>
      </c>
      <c r="D1236" s="6">
        <v>92924.0</v>
      </c>
      <c r="E1236" s="6" t="s">
        <v>40</v>
      </c>
      <c r="F1236" s="6" t="s">
        <v>20</v>
      </c>
      <c r="G1236" s="6" t="s">
        <v>31</v>
      </c>
      <c r="H1236" s="7">
        <v>2883.0</v>
      </c>
      <c r="I1236" s="7">
        <v>7502.0</v>
      </c>
      <c r="J1236" s="6">
        <v>2004.0</v>
      </c>
      <c r="K1236" s="6">
        <v>43.0</v>
      </c>
      <c r="L1236" s="6" t="s">
        <v>141</v>
      </c>
      <c r="M1236" s="6" t="s">
        <v>4984</v>
      </c>
      <c r="N1236" s="6" t="s">
        <v>24</v>
      </c>
      <c r="O1236" s="6" t="s">
        <v>35</v>
      </c>
      <c r="P1236" s="6">
        <f>COUNTIF(Analysis!$M$1:$M$3001,Analysis!$M1236)</f>
        <v>1</v>
      </c>
      <c r="Q1236" s="6" t="str">
        <f>IF(COUNTIF(Analysis!$M$2:$M$3001,Analysis!$M1236)&gt;1,"Duplicate","OK")</f>
        <v>OK</v>
      </c>
      <c r="R1236" s="6" t="str">
        <f t="shared" si="1"/>
        <v>2600-3600</v>
      </c>
      <c r="S1236" s="6">
        <f t="shared" si="2"/>
        <v>22</v>
      </c>
      <c r="T1236" s="6" t="str">
        <f t="shared" si="3"/>
        <v>Mid</v>
      </c>
    </row>
    <row r="1237" ht="14.25" customHeight="1">
      <c r="A1237" s="5">
        <v>1157381.0</v>
      </c>
      <c r="B1237" s="6" t="s">
        <v>4987</v>
      </c>
      <c r="C1237" s="6" t="s">
        <v>53</v>
      </c>
      <c r="D1237" s="6">
        <v>58518.0</v>
      </c>
      <c r="E1237" s="6" t="s">
        <v>60</v>
      </c>
      <c r="F1237" s="6" t="s">
        <v>20</v>
      </c>
      <c r="G1237" s="6" t="s">
        <v>100</v>
      </c>
      <c r="H1237" s="7">
        <v>3825.0</v>
      </c>
      <c r="I1237" s="7">
        <v>7031.0</v>
      </c>
      <c r="J1237" s="6">
        <v>2006.0</v>
      </c>
      <c r="K1237" s="6">
        <v>58.0</v>
      </c>
      <c r="L1237" s="6" t="s">
        <v>22</v>
      </c>
      <c r="M1237" s="6" t="s">
        <v>4988</v>
      </c>
      <c r="N1237" s="6" t="s">
        <v>64</v>
      </c>
      <c r="O1237" s="6" t="s">
        <v>49</v>
      </c>
      <c r="P1237" s="6">
        <f>COUNTIF(Analysis!$M$1:$M$3001,Analysis!$M1237)</f>
        <v>1</v>
      </c>
      <c r="Q1237" s="6" t="str">
        <f>IF(COUNTIF(Analysis!$M$2:$M$3001,Analysis!$M1237)&gt;1,"Duplicate","OK")</f>
        <v>OK</v>
      </c>
      <c r="R1237" s="6" t="str">
        <f t="shared" si="1"/>
        <v>3600+</v>
      </c>
      <c r="S1237" s="6">
        <f t="shared" si="2"/>
        <v>20</v>
      </c>
      <c r="T1237" s="6" t="str">
        <f t="shared" si="3"/>
        <v>Mid</v>
      </c>
    </row>
    <row r="1238" ht="14.25" customHeight="1">
      <c r="A1238" s="5">
        <v>619431.0</v>
      </c>
      <c r="B1238" s="6" t="s">
        <v>4991</v>
      </c>
      <c r="C1238" s="6" t="s">
        <v>18</v>
      </c>
      <c r="D1238" s="6">
        <v>25303.0</v>
      </c>
      <c r="E1238" s="6" t="s">
        <v>30</v>
      </c>
      <c r="F1238" s="6" t="s">
        <v>61</v>
      </c>
      <c r="G1238" s="6" t="s">
        <v>55</v>
      </c>
      <c r="H1238" s="7">
        <v>1638.0</v>
      </c>
      <c r="I1238" s="7">
        <v>6676.0</v>
      </c>
      <c r="J1238" s="6">
        <v>1973.0</v>
      </c>
      <c r="K1238" s="6">
        <v>24.0</v>
      </c>
      <c r="L1238" s="6" t="s">
        <v>22</v>
      </c>
      <c r="M1238" s="6" t="s">
        <v>4992</v>
      </c>
      <c r="N1238" s="6" t="s">
        <v>48</v>
      </c>
      <c r="O1238" s="6" t="s">
        <v>25</v>
      </c>
      <c r="P1238" s="6">
        <f>COUNTIF(Analysis!$M$1:$M$3001,Analysis!$M1238)</f>
        <v>1</v>
      </c>
      <c r="Q1238" s="6" t="str">
        <f>IF(COUNTIF(Analysis!$M$2:$M$3001,Analysis!$M1238)&gt;1,"Duplicate","OK")</f>
        <v>OK</v>
      </c>
      <c r="R1238" s="6" t="str">
        <f t="shared" si="1"/>
        <v>1600-2600</v>
      </c>
      <c r="S1238" s="6">
        <f t="shared" si="2"/>
        <v>53</v>
      </c>
      <c r="T1238" s="6" t="str">
        <f t="shared" si="3"/>
        <v>Old</v>
      </c>
    </row>
    <row r="1239" ht="14.25" customHeight="1">
      <c r="A1239" s="5">
        <v>362754.0</v>
      </c>
      <c r="B1239" s="6" t="s">
        <v>4995</v>
      </c>
      <c r="C1239" s="6" t="s">
        <v>18</v>
      </c>
      <c r="D1239" s="6">
        <v>86063.0</v>
      </c>
      <c r="E1239" s="6" t="s">
        <v>30</v>
      </c>
      <c r="F1239" s="6" t="s">
        <v>41</v>
      </c>
      <c r="G1239" s="6" t="s">
        <v>21</v>
      </c>
      <c r="H1239" s="7">
        <v>3281.0</v>
      </c>
      <c r="I1239" s="7">
        <v>6890.0</v>
      </c>
      <c r="J1239" s="6">
        <v>1974.0</v>
      </c>
      <c r="K1239" s="6">
        <v>35.0</v>
      </c>
      <c r="L1239" s="6" t="s">
        <v>32</v>
      </c>
      <c r="M1239" s="6" t="s">
        <v>4996</v>
      </c>
      <c r="N1239" s="6" t="s">
        <v>64</v>
      </c>
      <c r="O1239" s="6" t="s">
        <v>49</v>
      </c>
      <c r="P1239" s="6">
        <f>COUNTIF(Analysis!$M$1:$M$3001,Analysis!$M1239)</f>
        <v>1</v>
      </c>
      <c r="Q1239" s="6" t="str">
        <f>IF(COUNTIF(Analysis!$M$2:$M$3001,Analysis!$M1239)&gt;1,"Duplicate","OK")</f>
        <v>OK</v>
      </c>
      <c r="R1239" s="6" t="str">
        <f t="shared" si="1"/>
        <v>2600-3600</v>
      </c>
      <c r="S1239" s="6">
        <f t="shared" si="2"/>
        <v>52</v>
      </c>
      <c r="T1239" s="6" t="str">
        <f t="shared" si="3"/>
        <v>Old</v>
      </c>
    </row>
    <row r="1240" ht="14.25" customHeight="1">
      <c r="A1240" s="5">
        <v>685711.0</v>
      </c>
      <c r="B1240" s="6" t="s">
        <v>1929</v>
      </c>
      <c r="C1240" s="6" t="s">
        <v>29</v>
      </c>
      <c r="D1240" s="6">
        <v>18615.0</v>
      </c>
      <c r="E1240" s="6" t="s">
        <v>77</v>
      </c>
      <c r="F1240" s="6" t="s">
        <v>61</v>
      </c>
      <c r="G1240" s="6" t="s">
        <v>31</v>
      </c>
      <c r="H1240" s="7">
        <v>2253.0</v>
      </c>
      <c r="I1240" s="7">
        <v>6488.0</v>
      </c>
      <c r="J1240" s="6">
        <v>1972.0</v>
      </c>
      <c r="K1240" s="6">
        <v>96.0</v>
      </c>
      <c r="L1240" s="6" t="s">
        <v>95</v>
      </c>
      <c r="M1240" s="6" t="s">
        <v>1930</v>
      </c>
      <c r="N1240" s="6" t="s">
        <v>43</v>
      </c>
      <c r="O1240" s="6" t="s">
        <v>35</v>
      </c>
      <c r="P1240" s="6">
        <f>COUNTIF(Analysis!$M$1:$M$3001,Analysis!$M472)</f>
        <v>1</v>
      </c>
      <c r="Q1240" s="6" t="str">
        <f>IF(COUNTIF(Analysis!$M$2:$M$3001,Analysis!$M472)&gt;1,"Duplicate","OK")</f>
        <v>OK</v>
      </c>
      <c r="R1240" s="6" t="str">
        <f t="shared" si="1"/>
        <v>1600-2600</v>
      </c>
      <c r="S1240" s="6">
        <f t="shared" si="2"/>
        <v>54</v>
      </c>
      <c r="T1240" s="6" t="str">
        <f t="shared" si="3"/>
        <v>Old</v>
      </c>
    </row>
    <row r="1241" ht="14.25" customHeight="1">
      <c r="A1241" s="5">
        <v>1169718.0</v>
      </c>
      <c r="B1241" s="6" t="s">
        <v>5003</v>
      </c>
      <c r="C1241" s="6" t="s">
        <v>39</v>
      </c>
      <c r="D1241" s="6">
        <v>87798.0</v>
      </c>
      <c r="E1241" s="6" t="s">
        <v>19</v>
      </c>
      <c r="F1241" s="6" t="s">
        <v>54</v>
      </c>
      <c r="G1241" s="6" t="s">
        <v>21</v>
      </c>
      <c r="H1241" s="7">
        <v>3529.0</v>
      </c>
      <c r="I1241" s="7">
        <v>5643.0</v>
      </c>
      <c r="J1241" s="6">
        <v>1959.0</v>
      </c>
      <c r="K1241" s="6">
        <v>86.0</v>
      </c>
      <c r="L1241" s="6" t="s">
        <v>22</v>
      </c>
      <c r="M1241" s="6" t="s">
        <v>5004</v>
      </c>
      <c r="N1241" s="6" t="s">
        <v>48</v>
      </c>
      <c r="O1241" s="6" t="s">
        <v>35</v>
      </c>
      <c r="P1241" s="6">
        <f>COUNTIF(Analysis!$M$1:$M$3001,Analysis!$M1241)</f>
        <v>1</v>
      </c>
      <c r="Q1241" s="6" t="str">
        <f>IF(COUNTIF(Analysis!$M$2:$M$3001,Analysis!$M1241)&gt;1,"Duplicate","OK")</f>
        <v>OK</v>
      </c>
      <c r="R1241" s="6" t="str">
        <f t="shared" si="1"/>
        <v>2600-3600</v>
      </c>
      <c r="S1241" s="6">
        <f t="shared" si="2"/>
        <v>67</v>
      </c>
      <c r="T1241" s="6" t="str">
        <f t="shared" si="3"/>
        <v>Very Old</v>
      </c>
    </row>
    <row r="1242" ht="14.25" customHeight="1">
      <c r="A1242" s="5">
        <v>686609.0</v>
      </c>
      <c r="B1242" s="6" t="s">
        <v>5842</v>
      </c>
      <c r="C1242" s="6" t="s">
        <v>29</v>
      </c>
      <c r="D1242" s="6">
        <v>47743.0</v>
      </c>
      <c r="E1242" s="6" t="s">
        <v>30</v>
      </c>
      <c r="F1242" s="6" t="s">
        <v>20</v>
      </c>
      <c r="G1242" s="6" t="s">
        <v>55</v>
      </c>
      <c r="H1242" s="7">
        <v>1656.0</v>
      </c>
      <c r="I1242" s="7">
        <v>4660.0</v>
      </c>
      <c r="J1242" s="6">
        <v>1954.0</v>
      </c>
      <c r="K1242" s="6">
        <v>58.0</v>
      </c>
      <c r="L1242" s="6" t="s">
        <v>22</v>
      </c>
      <c r="M1242" s="6" t="s">
        <v>5843</v>
      </c>
      <c r="N1242" s="6" t="s">
        <v>34</v>
      </c>
      <c r="O1242" s="6" t="s">
        <v>49</v>
      </c>
      <c r="P1242" s="6">
        <f>COUNTIF(Analysis!$M$1:$M$3001,Analysis!$M1451)</f>
        <v>1</v>
      </c>
      <c r="Q1242" s="6" t="str">
        <f>IF(COUNTIF(Analysis!$M$2:$M$3001,Analysis!$M1451)&gt;1,"Duplicate","OK")</f>
        <v>OK</v>
      </c>
      <c r="R1242" s="6" t="str">
        <f t="shared" si="1"/>
        <v>1600-2600</v>
      </c>
      <c r="S1242" s="6">
        <f t="shared" si="2"/>
        <v>72</v>
      </c>
      <c r="T1242" s="6" t="str">
        <f t="shared" si="3"/>
        <v>Very Old</v>
      </c>
    </row>
    <row r="1243" ht="14.25" customHeight="1">
      <c r="A1243" s="5">
        <v>686842.0</v>
      </c>
      <c r="B1243" s="6" t="s">
        <v>1641</v>
      </c>
      <c r="C1243" s="6" t="s">
        <v>29</v>
      </c>
      <c r="D1243" s="6">
        <v>94337.0</v>
      </c>
      <c r="E1243" s="6" t="s">
        <v>19</v>
      </c>
      <c r="F1243" s="6" t="s">
        <v>20</v>
      </c>
      <c r="G1243" s="6" t="s">
        <v>100</v>
      </c>
      <c r="H1243" s="7">
        <v>1977.0</v>
      </c>
      <c r="I1243" s="7">
        <v>3530.0</v>
      </c>
      <c r="J1243" s="6">
        <v>2002.0</v>
      </c>
      <c r="K1243" s="6">
        <v>9.0</v>
      </c>
      <c r="L1243" s="6" t="s">
        <v>32</v>
      </c>
      <c r="M1243" s="6" t="s">
        <v>1642</v>
      </c>
      <c r="N1243" s="6" t="s">
        <v>43</v>
      </c>
      <c r="O1243" s="6" t="s">
        <v>25</v>
      </c>
      <c r="P1243" s="6">
        <f>COUNTIF(Analysis!$M$1:$M$3001,Analysis!$M400)</f>
        <v>1</v>
      </c>
      <c r="Q1243" s="6" t="str">
        <f>IF(COUNTIF(Analysis!$M$2:$M$3001,Analysis!$M400)&gt;1,"Duplicate","OK")</f>
        <v>OK</v>
      </c>
      <c r="R1243" s="6" t="str">
        <f t="shared" si="1"/>
        <v>1600-2600</v>
      </c>
      <c r="S1243" s="6">
        <f t="shared" si="2"/>
        <v>24</v>
      </c>
      <c r="T1243" s="6" t="str">
        <f t="shared" si="3"/>
        <v>Mid</v>
      </c>
    </row>
    <row r="1244" ht="14.25" customHeight="1">
      <c r="A1244" s="5">
        <v>1283669.0</v>
      </c>
      <c r="B1244" s="6" t="s">
        <v>5015</v>
      </c>
      <c r="C1244" s="6" t="s">
        <v>18</v>
      </c>
      <c r="D1244" s="6">
        <v>27529.0</v>
      </c>
      <c r="E1244" s="6" t="s">
        <v>19</v>
      </c>
      <c r="F1244" s="6" t="s">
        <v>61</v>
      </c>
      <c r="G1244" s="6" t="s">
        <v>100</v>
      </c>
      <c r="H1244" s="7">
        <v>1374.0</v>
      </c>
      <c r="I1244" s="7">
        <v>7163.0</v>
      </c>
      <c r="J1244" s="6">
        <v>1993.0</v>
      </c>
      <c r="K1244" s="6">
        <v>38.0</v>
      </c>
      <c r="L1244" s="6" t="s">
        <v>62</v>
      </c>
      <c r="M1244" s="6" t="s">
        <v>5016</v>
      </c>
      <c r="N1244" s="6" t="s">
        <v>43</v>
      </c>
      <c r="O1244" s="6" t="s">
        <v>25</v>
      </c>
      <c r="P1244" s="6">
        <f>COUNTIF(Analysis!$M$1:$M$3001,Analysis!$M1244)</f>
        <v>1</v>
      </c>
      <c r="Q1244" s="6" t="str">
        <f>IF(COUNTIF(Analysis!$M$2:$M$3001,Analysis!$M1244)&gt;1,"Duplicate","OK")</f>
        <v>OK</v>
      </c>
      <c r="R1244" s="6" t="str">
        <f t="shared" si="1"/>
        <v>600-1600</v>
      </c>
      <c r="S1244" s="6">
        <f t="shared" si="2"/>
        <v>33</v>
      </c>
      <c r="T1244" s="6" t="str">
        <f t="shared" si="3"/>
        <v>Old</v>
      </c>
    </row>
    <row r="1245" ht="14.25" customHeight="1">
      <c r="A1245" s="5">
        <v>377819.0</v>
      </c>
      <c r="B1245" s="6" t="s">
        <v>5019</v>
      </c>
      <c r="C1245" s="6" t="s">
        <v>39</v>
      </c>
      <c r="D1245" s="6">
        <v>10143.0</v>
      </c>
      <c r="E1245" s="6" t="s">
        <v>40</v>
      </c>
      <c r="F1245" s="6" t="s">
        <v>94</v>
      </c>
      <c r="G1245" s="6" t="s">
        <v>21</v>
      </c>
      <c r="H1245" s="7">
        <v>1914.0</v>
      </c>
      <c r="I1245" s="7">
        <v>8404.0</v>
      </c>
      <c r="J1245" s="6">
        <v>1953.0</v>
      </c>
      <c r="K1245" s="6">
        <v>93.0</v>
      </c>
      <c r="L1245" s="6" t="s">
        <v>62</v>
      </c>
      <c r="M1245" s="6" t="s">
        <v>5020</v>
      </c>
      <c r="N1245" s="6" t="s">
        <v>24</v>
      </c>
      <c r="O1245" s="6" t="s">
        <v>35</v>
      </c>
      <c r="P1245" s="6">
        <f>COUNTIF(Analysis!$M$1:$M$3001,Analysis!$M1245)</f>
        <v>1</v>
      </c>
      <c r="Q1245" s="6" t="str">
        <f>IF(COUNTIF(Analysis!$M$2:$M$3001,Analysis!$M1245)&gt;1,"Duplicate","OK")</f>
        <v>OK</v>
      </c>
      <c r="R1245" s="6" t="str">
        <f t="shared" si="1"/>
        <v>1600-2600</v>
      </c>
      <c r="S1245" s="6">
        <f t="shared" si="2"/>
        <v>73</v>
      </c>
      <c r="T1245" s="6" t="str">
        <f t="shared" si="3"/>
        <v>Very Old</v>
      </c>
    </row>
    <row r="1246" ht="14.25" customHeight="1">
      <c r="A1246" s="5">
        <v>688285.0</v>
      </c>
      <c r="B1246" s="6" t="s">
        <v>10547</v>
      </c>
      <c r="C1246" s="6" t="s">
        <v>29</v>
      </c>
      <c r="D1246" s="6">
        <v>39426.0</v>
      </c>
      <c r="E1246" s="6" t="s">
        <v>19</v>
      </c>
      <c r="F1246" s="6" t="s">
        <v>94</v>
      </c>
      <c r="G1246" s="6" t="s">
        <v>31</v>
      </c>
      <c r="H1246" s="7">
        <v>653.0</v>
      </c>
      <c r="I1246" s="7">
        <v>3243.0</v>
      </c>
      <c r="J1246" s="6">
        <v>1976.0</v>
      </c>
      <c r="K1246" s="6">
        <v>29.0</v>
      </c>
      <c r="L1246" s="6" t="s">
        <v>62</v>
      </c>
      <c r="M1246" s="6" t="s">
        <v>10548</v>
      </c>
      <c r="N1246" s="6" t="s">
        <v>48</v>
      </c>
      <c r="O1246" s="6" t="s">
        <v>35</v>
      </c>
      <c r="P1246" s="6">
        <f>COUNTIF(Analysis!$M$1:$M$3001,Analysis!$M2628)</f>
        <v>1</v>
      </c>
      <c r="Q1246" s="6" t="str">
        <f>IF(COUNTIF(Analysis!$M$2:$M$3001,Analysis!$M2628)&gt;1,"Duplicate","OK")</f>
        <v>OK</v>
      </c>
      <c r="R1246" s="6" t="str">
        <f t="shared" si="1"/>
        <v>600-1600</v>
      </c>
      <c r="S1246" s="6">
        <f t="shared" si="2"/>
        <v>50</v>
      </c>
      <c r="T1246" s="6" t="str">
        <f t="shared" si="3"/>
        <v>Old</v>
      </c>
    </row>
    <row r="1247" ht="14.25" customHeight="1">
      <c r="A1247" s="5">
        <v>828082.0</v>
      </c>
      <c r="B1247" s="6" t="s">
        <v>5027</v>
      </c>
      <c r="C1247" s="6" t="s">
        <v>18</v>
      </c>
      <c r="D1247" s="6">
        <v>19844.0</v>
      </c>
      <c r="E1247" s="6" t="s">
        <v>40</v>
      </c>
      <c r="F1247" s="6" t="s">
        <v>94</v>
      </c>
      <c r="G1247" s="6" t="s">
        <v>31</v>
      </c>
      <c r="H1247" s="7">
        <v>1752.0</v>
      </c>
      <c r="I1247" s="7">
        <v>7434.0</v>
      </c>
      <c r="J1247" s="6">
        <v>2007.0</v>
      </c>
      <c r="K1247" s="6">
        <v>78.0</v>
      </c>
      <c r="L1247" s="6" t="s">
        <v>32</v>
      </c>
      <c r="M1247" s="6" t="s">
        <v>5028</v>
      </c>
      <c r="N1247" s="6" t="s">
        <v>34</v>
      </c>
      <c r="O1247" s="6" t="s">
        <v>49</v>
      </c>
      <c r="P1247" s="6">
        <f>COUNTIF(Analysis!$M$1:$M$3001,Analysis!$M1247)</f>
        <v>1</v>
      </c>
      <c r="Q1247" s="6" t="str">
        <f>IF(COUNTIF(Analysis!$M$2:$M$3001,Analysis!$M1247)&gt;1,"Duplicate","OK")</f>
        <v>OK</v>
      </c>
      <c r="R1247" s="6" t="str">
        <f t="shared" si="1"/>
        <v>1600-2600</v>
      </c>
      <c r="S1247" s="6">
        <f t="shared" si="2"/>
        <v>19</v>
      </c>
      <c r="T1247" s="6" t="str">
        <f t="shared" si="3"/>
        <v>Mid</v>
      </c>
    </row>
    <row r="1248" ht="14.25" customHeight="1">
      <c r="A1248" s="5">
        <v>915791.0</v>
      </c>
      <c r="B1248" s="6" t="s">
        <v>5031</v>
      </c>
      <c r="C1248" s="6" t="s">
        <v>53</v>
      </c>
      <c r="D1248" s="6">
        <v>79505.0</v>
      </c>
      <c r="E1248" s="6" t="s">
        <v>60</v>
      </c>
      <c r="F1248" s="6" t="s">
        <v>46</v>
      </c>
      <c r="G1248" s="6" t="s">
        <v>31</v>
      </c>
      <c r="H1248" s="7">
        <v>2092.0</v>
      </c>
      <c r="I1248" s="7">
        <v>4960.0</v>
      </c>
      <c r="J1248" s="6">
        <v>2023.0</v>
      </c>
      <c r="K1248" s="6">
        <v>37.0</v>
      </c>
      <c r="L1248" s="6" t="s">
        <v>62</v>
      </c>
      <c r="M1248" s="6" t="s">
        <v>5032</v>
      </c>
      <c r="N1248" s="6" t="s">
        <v>34</v>
      </c>
      <c r="O1248" s="6" t="s">
        <v>35</v>
      </c>
      <c r="P1248" s="6">
        <f>COUNTIF(Analysis!$M$1:$M$3001,Analysis!$M1248)</f>
        <v>1</v>
      </c>
      <c r="Q1248" s="6" t="str">
        <f>IF(COUNTIF(Analysis!$M$2:$M$3001,Analysis!$M1248)&gt;1,"Duplicate","OK")</f>
        <v>OK</v>
      </c>
      <c r="R1248" s="6" t="str">
        <f t="shared" si="1"/>
        <v>1600-2600</v>
      </c>
      <c r="S1248" s="6">
        <f t="shared" si="2"/>
        <v>3</v>
      </c>
      <c r="T1248" s="6" t="str">
        <f t="shared" si="3"/>
        <v>New</v>
      </c>
    </row>
    <row r="1249" ht="14.25" customHeight="1">
      <c r="A1249" s="5">
        <v>688429.0</v>
      </c>
      <c r="B1249" s="6" t="s">
        <v>8376</v>
      </c>
      <c r="C1249" s="6" t="s">
        <v>29</v>
      </c>
      <c r="D1249" s="6">
        <v>19174.0</v>
      </c>
      <c r="E1249" s="6" t="s">
        <v>40</v>
      </c>
      <c r="F1249" s="6" t="s">
        <v>46</v>
      </c>
      <c r="G1249" s="6" t="s">
        <v>31</v>
      </c>
      <c r="H1249" s="7">
        <v>3916.0</v>
      </c>
      <c r="I1249" s="7">
        <v>9776.0</v>
      </c>
      <c r="J1249" s="6">
        <v>1988.0</v>
      </c>
      <c r="K1249" s="6">
        <v>83.0</v>
      </c>
      <c r="L1249" s="6" t="s">
        <v>62</v>
      </c>
      <c r="M1249" s="6" t="s">
        <v>8377</v>
      </c>
      <c r="N1249" s="6" t="s">
        <v>64</v>
      </c>
      <c r="O1249" s="6" t="s">
        <v>25</v>
      </c>
      <c r="P1249" s="6">
        <f>COUNTIF(Analysis!$M$1:$M$3001,Analysis!$M2085)</f>
        <v>1</v>
      </c>
      <c r="Q1249" s="6" t="str">
        <f>IF(COUNTIF(Analysis!$M$2:$M$3001,Analysis!$M2085)&gt;1,"Duplicate","OK")</f>
        <v>OK</v>
      </c>
      <c r="R1249" s="6" t="str">
        <f t="shared" si="1"/>
        <v>3600+</v>
      </c>
      <c r="S1249" s="6">
        <f t="shared" si="2"/>
        <v>38</v>
      </c>
      <c r="T1249" s="6" t="str">
        <f t="shared" si="3"/>
        <v>Old</v>
      </c>
    </row>
    <row r="1250" ht="14.25" customHeight="1">
      <c r="A1250" s="5">
        <v>1054702.0</v>
      </c>
      <c r="B1250" s="6" t="s">
        <v>5039</v>
      </c>
      <c r="C1250" s="6" t="s">
        <v>76</v>
      </c>
      <c r="D1250" s="6">
        <v>62457.0</v>
      </c>
      <c r="E1250" s="6" t="s">
        <v>30</v>
      </c>
      <c r="F1250" s="6" t="s">
        <v>46</v>
      </c>
      <c r="G1250" s="6" t="s">
        <v>100</v>
      </c>
      <c r="H1250" s="7">
        <v>1671.0</v>
      </c>
      <c r="I1250" s="7">
        <v>8672.0</v>
      </c>
      <c r="J1250" s="6">
        <v>1969.0</v>
      </c>
      <c r="K1250" s="6">
        <v>87.0</v>
      </c>
      <c r="L1250" s="6" t="s">
        <v>95</v>
      </c>
      <c r="M1250" s="6" t="s">
        <v>5040</v>
      </c>
      <c r="N1250" s="6" t="s">
        <v>24</v>
      </c>
      <c r="O1250" s="6" t="s">
        <v>25</v>
      </c>
      <c r="P1250" s="6">
        <f>COUNTIF(Analysis!$M$1:$M$3001,Analysis!$M1250)</f>
        <v>1</v>
      </c>
      <c r="Q1250" s="6" t="str">
        <f>IF(COUNTIF(Analysis!$M$2:$M$3001,Analysis!$M1250)&gt;1,"Duplicate","OK")</f>
        <v>OK</v>
      </c>
      <c r="R1250" s="6" t="str">
        <f t="shared" si="1"/>
        <v>1600-2600</v>
      </c>
      <c r="S1250" s="6">
        <f t="shared" si="2"/>
        <v>57</v>
      </c>
      <c r="T1250" s="6" t="str">
        <f t="shared" si="3"/>
        <v>Old</v>
      </c>
    </row>
    <row r="1251" ht="14.25" customHeight="1">
      <c r="A1251" s="5">
        <v>474319.0</v>
      </c>
      <c r="B1251" s="6" t="s">
        <v>5043</v>
      </c>
      <c r="C1251" s="6" t="s">
        <v>39</v>
      </c>
      <c r="D1251" s="6">
        <v>13849.0</v>
      </c>
      <c r="E1251" s="6" t="s">
        <v>60</v>
      </c>
      <c r="F1251" s="6" t="s">
        <v>41</v>
      </c>
      <c r="G1251" s="6" t="s">
        <v>21</v>
      </c>
      <c r="H1251" s="7">
        <v>2153.0</v>
      </c>
      <c r="I1251" s="7">
        <v>1720.0</v>
      </c>
      <c r="J1251" s="6">
        <v>1979.0</v>
      </c>
      <c r="K1251" s="6">
        <v>41.0</v>
      </c>
      <c r="L1251" s="6" t="s">
        <v>141</v>
      </c>
      <c r="M1251" s="6" t="s">
        <v>5044</v>
      </c>
      <c r="N1251" s="6" t="s">
        <v>64</v>
      </c>
      <c r="O1251" s="6" t="s">
        <v>25</v>
      </c>
      <c r="P1251" s="6">
        <f>COUNTIF(Analysis!$M$1:$M$3001,Analysis!$M1251)</f>
        <v>1</v>
      </c>
      <c r="Q1251" s="6" t="str">
        <f>IF(COUNTIF(Analysis!$M$2:$M$3001,Analysis!$M1251)&gt;1,"Duplicate","OK")</f>
        <v>OK</v>
      </c>
      <c r="R1251" s="6" t="str">
        <f t="shared" si="1"/>
        <v>1600-2600</v>
      </c>
      <c r="S1251" s="6">
        <f t="shared" si="2"/>
        <v>47</v>
      </c>
      <c r="T1251" s="6" t="str">
        <f t="shared" si="3"/>
        <v>Old</v>
      </c>
    </row>
    <row r="1252" ht="14.25" customHeight="1">
      <c r="A1252" s="5">
        <v>501890.0</v>
      </c>
      <c r="B1252" s="6" t="s">
        <v>5047</v>
      </c>
      <c r="C1252" s="6" t="s">
        <v>39</v>
      </c>
      <c r="D1252" s="6">
        <v>47203.0</v>
      </c>
      <c r="E1252" s="6" t="s">
        <v>19</v>
      </c>
      <c r="F1252" s="6" t="s">
        <v>54</v>
      </c>
      <c r="G1252" s="6" t="s">
        <v>31</v>
      </c>
      <c r="H1252" s="7">
        <v>1214.0</v>
      </c>
      <c r="I1252" s="7">
        <v>6685.0</v>
      </c>
      <c r="J1252" s="6">
        <v>2018.0</v>
      </c>
      <c r="K1252" s="6">
        <v>18.0</v>
      </c>
      <c r="L1252" s="6" t="s">
        <v>95</v>
      </c>
      <c r="M1252" s="6" t="s">
        <v>5048</v>
      </c>
      <c r="N1252" s="6" t="s">
        <v>34</v>
      </c>
      <c r="O1252" s="6" t="s">
        <v>25</v>
      </c>
      <c r="P1252" s="6">
        <f>COUNTIF(Analysis!$M$1:$M$3001,Analysis!$M1252)</f>
        <v>1</v>
      </c>
      <c r="Q1252" s="6" t="str">
        <f>IF(COUNTIF(Analysis!$M$2:$M$3001,Analysis!$M1252)&gt;1,"Duplicate","OK")</f>
        <v>OK</v>
      </c>
      <c r="R1252" s="6" t="str">
        <f t="shared" si="1"/>
        <v>600-1600</v>
      </c>
      <c r="S1252" s="6">
        <f t="shared" si="2"/>
        <v>8</v>
      </c>
      <c r="T1252" s="6" t="str">
        <f t="shared" si="3"/>
        <v>New</v>
      </c>
    </row>
    <row r="1253" ht="14.25" customHeight="1">
      <c r="A1253" s="5">
        <v>677428.0</v>
      </c>
      <c r="B1253" s="6" t="s">
        <v>5051</v>
      </c>
      <c r="C1253" s="6" t="s">
        <v>18</v>
      </c>
      <c r="D1253" s="6">
        <v>89347.0</v>
      </c>
      <c r="E1253" s="6" t="s">
        <v>60</v>
      </c>
      <c r="F1253" s="6" t="s">
        <v>94</v>
      </c>
      <c r="G1253" s="6" t="s">
        <v>21</v>
      </c>
      <c r="H1253" s="7">
        <v>955.0</v>
      </c>
      <c r="I1253" s="7">
        <v>6659.0</v>
      </c>
      <c r="J1253" s="6">
        <v>1965.0</v>
      </c>
      <c r="K1253" s="6">
        <v>58.0</v>
      </c>
      <c r="L1253" s="6" t="s">
        <v>32</v>
      </c>
      <c r="M1253" s="6" t="s">
        <v>5052</v>
      </c>
      <c r="N1253" s="6" t="s">
        <v>48</v>
      </c>
      <c r="O1253" s="6" t="s">
        <v>49</v>
      </c>
      <c r="P1253" s="6">
        <f>COUNTIF(Analysis!$M$1:$M$3001,Analysis!$M1253)</f>
        <v>1</v>
      </c>
      <c r="Q1253" s="6" t="str">
        <f>IF(COUNTIF(Analysis!$M$2:$M$3001,Analysis!$M1253)&gt;1,"Duplicate","OK")</f>
        <v>OK</v>
      </c>
      <c r="R1253" s="6" t="str">
        <f t="shared" si="1"/>
        <v>600-1600</v>
      </c>
      <c r="S1253" s="6">
        <f t="shared" si="2"/>
        <v>61</v>
      </c>
      <c r="T1253" s="6" t="str">
        <f t="shared" si="3"/>
        <v>Very Old</v>
      </c>
    </row>
    <row r="1254" ht="14.25" customHeight="1">
      <c r="A1254" s="5">
        <v>378181.0</v>
      </c>
      <c r="B1254" s="6" t="s">
        <v>5055</v>
      </c>
      <c r="C1254" s="6" t="s">
        <v>76</v>
      </c>
      <c r="D1254" s="6">
        <v>55163.0</v>
      </c>
      <c r="E1254" s="6" t="s">
        <v>30</v>
      </c>
      <c r="F1254" s="6" t="s">
        <v>46</v>
      </c>
      <c r="G1254" s="6" t="s">
        <v>31</v>
      </c>
      <c r="H1254" s="7">
        <v>962.0</v>
      </c>
      <c r="I1254" s="7">
        <v>8717.0</v>
      </c>
      <c r="J1254" s="6">
        <v>1962.0</v>
      </c>
      <c r="K1254" s="6">
        <v>12.0</v>
      </c>
      <c r="L1254" s="6" t="s">
        <v>95</v>
      </c>
      <c r="M1254" s="6" t="s">
        <v>5056</v>
      </c>
      <c r="N1254" s="6" t="s">
        <v>43</v>
      </c>
      <c r="O1254" s="6" t="s">
        <v>25</v>
      </c>
      <c r="P1254" s="6">
        <f>COUNTIF(Analysis!$M$1:$M$3001,Analysis!$M1254)</f>
        <v>1</v>
      </c>
      <c r="Q1254" s="6" t="str">
        <f>IF(COUNTIF(Analysis!$M$2:$M$3001,Analysis!$M1254)&gt;1,"Duplicate","OK")</f>
        <v>OK</v>
      </c>
      <c r="R1254" s="6" t="str">
        <f t="shared" si="1"/>
        <v>600-1600</v>
      </c>
      <c r="S1254" s="6">
        <f t="shared" si="2"/>
        <v>64</v>
      </c>
      <c r="T1254" s="6" t="str">
        <f t="shared" si="3"/>
        <v>Very Old</v>
      </c>
    </row>
    <row r="1255" ht="14.25" customHeight="1">
      <c r="A1255" s="5">
        <v>410698.0</v>
      </c>
      <c r="B1255" s="6" t="s">
        <v>5059</v>
      </c>
      <c r="C1255" s="6" t="s">
        <v>53</v>
      </c>
      <c r="D1255" s="6">
        <v>71350.0</v>
      </c>
      <c r="E1255" s="6" t="s">
        <v>60</v>
      </c>
      <c r="F1255" s="6" t="s">
        <v>46</v>
      </c>
      <c r="G1255" s="6" t="s">
        <v>100</v>
      </c>
      <c r="H1255" s="7">
        <v>3150.0</v>
      </c>
      <c r="I1255" s="7">
        <v>8002.0</v>
      </c>
      <c r="J1255" s="6">
        <v>1982.0</v>
      </c>
      <c r="K1255" s="6">
        <v>77.0</v>
      </c>
      <c r="L1255" s="6" t="s">
        <v>22</v>
      </c>
      <c r="M1255" s="6" t="s">
        <v>5060</v>
      </c>
      <c r="N1255" s="6" t="s">
        <v>43</v>
      </c>
      <c r="O1255" s="6" t="s">
        <v>49</v>
      </c>
      <c r="P1255" s="6">
        <f>COUNTIF(Analysis!$M$1:$M$3001,Analysis!$M1255)</f>
        <v>1</v>
      </c>
      <c r="Q1255" s="6" t="str">
        <f>IF(COUNTIF(Analysis!$M$2:$M$3001,Analysis!$M1255)&gt;1,"Duplicate","OK")</f>
        <v>OK</v>
      </c>
      <c r="R1255" s="6" t="str">
        <f t="shared" si="1"/>
        <v>2600-3600</v>
      </c>
      <c r="S1255" s="6">
        <f t="shared" si="2"/>
        <v>44</v>
      </c>
      <c r="T1255" s="6" t="str">
        <f t="shared" si="3"/>
        <v>Old</v>
      </c>
    </row>
    <row r="1256" ht="14.25" customHeight="1">
      <c r="A1256" s="5">
        <v>692345.0</v>
      </c>
      <c r="B1256" s="6" t="s">
        <v>7261</v>
      </c>
      <c r="C1256" s="6" t="s">
        <v>29</v>
      </c>
      <c r="D1256" s="6">
        <v>20838.0</v>
      </c>
      <c r="E1256" s="6" t="s">
        <v>19</v>
      </c>
      <c r="F1256" s="6" t="s">
        <v>46</v>
      </c>
      <c r="G1256" s="6" t="s">
        <v>21</v>
      </c>
      <c r="H1256" s="7">
        <v>1062.0</v>
      </c>
      <c r="I1256" s="7">
        <v>1226.0</v>
      </c>
      <c r="J1256" s="6">
        <v>2022.0</v>
      </c>
      <c r="K1256" s="6">
        <v>84.0</v>
      </c>
      <c r="L1256" s="6" t="s">
        <v>95</v>
      </c>
      <c r="M1256" s="6" t="s">
        <v>7262</v>
      </c>
      <c r="N1256" s="6" t="s">
        <v>24</v>
      </c>
      <c r="O1256" s="6" t="s">
        <v>35</v>
      </c>
      <c r="P1256" s="6">
        <f>COUNTIF(Analysis!$M$1:$M$3001,Analysis!$M1806)</f>
        <v>1</v>
      </c>
      <c r="Q1256" s="6" t="str">
        <f>IF(COUNTIF(Analysis!$M$2:$M$3001,Analysis!$M1806)&gt;1,"Duplicate","OK")</f>
        <v>OK</v>
      </c>
      <c r="R1256" s="6" t="str">
        <f t="shared" si="1"/>
        <v>600-1600</v>
      </c>
      <c r="S1256" s="6">
        <f t="shared" si="2"/>
        <v>4</v>
      </c>
      <c r="T1256" s="6" t="str">
        <f t="shared" si="3"/>
        <v>New</v>
      </c>
    </row>
    <row r="1257" ht="14.25" customHeight="1">
      <c r="A1257" s="5">
        <v>918160.0</v>
      </c>
      <c r="B1257" s="6" t="s">
        <v>5067</v>
      </c>
      <c r="C1257" s="6" t="s">
        <v>76</v>
      </c>
      <c r="D1257" s="6">
        <v>79190.0</v>
      </c>
      <c r="E1257" s="6" t="s">
        <v>40</v>
      </c>
      <c r="F1257" s="6" t="s">
        <v>54</v>
      </c>
      <c r="G1257" s="6" t="s">
        <v>31</v>
      </c>
      <c r="H1257" s="7">
        <v>2034.0</v>
      </c>
      <c r="I1257" s="7">
        <v>4406.0</v>
      </c>
      <c r="J1257" s="6">
        <v>1996.0</v>
      </c>
      <c r="K1257" s="6">
        <v>65.0</v>
      </c>
      <c r="L1257" s="6" t="s">
        <v>141</v>
      </c>
      <c r="M1257" s="6" t="s">
        <v>5068</v>
      </c>
      <c r="N1257" s="6" t="s">
        <v>64</v>
      </c>
      <c r="O1257" s="6" t="s">
        <v>35</v>
      </c>
      <c r="P1257" s="6">
        <f>COUNTIF(Analysis!$M$1:$M$3001,Analysis!$M1257)</f>
        <v>1</v>
      </c>
      <c r="Q1257" s="6" t="str">
        <f>IF(COUNTIF(Analysis!$M$2:$M$3001,Analysis!$M1257)&gt;1,"Duplicate","OK")</f>
        <v>OK</v>
      </c>
      <c r="R1257" s="6" t="str">
        <f t="shared" si="1"/>
        <v>1600-2600</v>
      </c>
      <c r="S1257" s="6">
        <f t="shared" si="2"/>
        <v>30</v>
      </c>
      <c r="T1257" s="6" t="str">
        <f t="shared" si="3"/>
        <v>Mid</v>
      </c>
    </row>
    <row r="1258" ht="14.25" customHeight="1">
      <c r="A1258" s="5">
        <v>694525.0</v>
      </c>
      <c r="B1258" s="6" t="s">
        <v>6369</v>
      </c>
      <c r="C1258" s="6" t="s">
        <v>29</v>
      </c>
      <c r="D1258" s="6">
        <v>59303.0</v>
      </c>
      <c r="E1258" s="6" t="s">
        <v>60</v>
      </c>
      <c r="F1258" s="6" t="s">
        <v>46</v>
      </c>
      <c r="G1258" s="6" t="s">
        <v>100</v>
      </c>
      <c r="H1258" s="7">
        <v>1407.0</v>
      </c>
      <c r="I1258" s="7">
        <v>4179.0</v>
      </c>
      <c r="J1258" s="6">
        <v>2010.0</v>
      </c>
      <c r="K1258" s="6">
        <v>33.0</v>
      </c>
      <c r="L1258" s="6" t="s">
        <v>22</v>
      </c>
      <c r="M1258" s="6" t="s">
        <v>6370</v>
      </c>
      <c r="N1258" s="6" t="s">
        <v>64</v>
      </c>
      <c r="O1258" s="6" t="s">
        <v>35</v>
      </c>
      <c r="P1258" s="6">
        <f>COUNTIF(Analysis!$M$1:$M$3001,Analysis!$M1583)</f>
        <v>1</v>
      </c>
      <c r="Q1258" s="6" t="str">
        <f>IF(COUNTIF(Analysis!$M$2:$M$3001,Analysis!$M1583)&gt;1,"Duplicate","OK")</f>
        <v>OK</v>
      </c>
      <c r="R1258" s="6" t="str">
        <f t="shared" si="1"/>
        <v>600-1600</v>
      </c>
      <c r="S1258" s="6">
        <f t="shared" si="2"/>
        <v>16</v>
      </c>
      <c r="T1258" s="6" t="str">
        <f t="shared" si="3"/>
        <v>Mid</v>
      </c>
    </row>
    <row r="1259" ht="14.25" customHeight="1">
      <c r="A1259" s="5">
        <v>417545.0</v>
      </c>
      <c r="B1259" s="6" t="s">
        <v>5075</v>
      </c>
      <c r="C1259" s="6" t="s">
        <v>76</v>
      </c>
      <c r="D1259" s="6">
        <v>86638.0</v>
      </c>
      <c r="E1259" s="6" t="s">
        <v>77</v>
      </c>
      <c r="F1259" s="6" t="s">
        <v>94</v>
      </c>
      <c r="G1259" s="6" t="s">
        <v>100</v>
      </c>
      <c r="H1259" s="7">
        <v>2004.0</v>
      </c>
      <c r="I1259" s="7">
        <v>7617.0</v>
      </c>
      <c r="J1259" s="6">
        <v>2014.0</v>
      </c>
      <c r="K1259" s="6">
        <v>66.0</v>
      </c>
      <c r="L1259" s="6" t="s">
        <v>32</v>
      </c>
      <c r="M1259" s="6" t="s">
        <v>5076</v>
      </c>
      <c r="N1259" s="6" t="s">
        <v>34</v>
      </c>
      <c r="O1259" s="6" t="s">
        <v>49</v>
      </c>
      <c r="P1259" s="6">
        <f>COUNTIF(Analysis!$M$1:$M$3001,Analysis!$M1259)</f>
        <v>1</v>
      </c>
      <c r="Q1259" s="6" t="str">
        <f>IF(COUNTIF(Analysis!$M$2:$M$3001,Analysis!$M1259)&gt;1,"Duplicate","OK")</f>
        <v>OK</v>
      </c>
      <c r="R1259" s="6" t="str">
        <f t="shared" si="1"/>
        <v>1600-2600</v>
      </c>
      <c r="S1259" s="6">
        <f t="shared" si="2"/>
        <v>12</v>
      </c>
      <c r="T1259" s="6" t="str">
        <f t="shared" si="3"/>
        <v>Mid</v>
      </c>
    </row>
    <row r="1260" ht="14.25" customHeight="1">
      <c r="A1260" s="5">
        <v>834757.0</v>
      </c>
      <c r="B1260" s="6" t="s">
        <v>5079</v>
      </c>
      <c r="C1260" s="6" t="s">
        <v>76</v>
      </c>
      <c r="D1260" s="6">
        <v>16939.0</v>
      </c>
      <c r="E1260" s="6" t="s">
        <v>60</v>
      </c>
      <c r="F1260" s="6" t="s">
        <v>46</v>
      </c>
      <c r="G1260" s="6" t="s">
        <v>100</v>
      </c>
      <c r="H1260" s="7">
        <v>3031.0</v>
      </c>
      <c r="I1260" s="7">
        <v>8285.0</v>
      </c>
      <c r="J1260" s="6">
        <v>1974.0</v>
      </c>
      <c r="K1260" s="6">
        <v>102.0</v>
      </c>
      <c r="L1260" s="6" t="s">
        <v>95</v>
      </c>
      <c r="M1260" s="6" t="s">
        <v>5080</v>
      </c>
      <c r="N1260" s="6" t="s">
        <v>64</v>
      </c>
      <c r="O1260" s="6" t="s">
        <v>35</v>
      </c>
      <c r="P1260" s="6">
        <f>COUNTIF(Analysis!$M$1:$M$3001,Analysis!$M1260)</f>
        <v>1</v>
      </c>
      <c r="Q1260" s="6" t="str">
        <f>IF(COUNTIF(Analysis!$M$2:$M$3001,Analysis!$M1260)&gt;1,"Duplicate","OK")</f>
        <v>OK</v>
      </c>
      <c r="R1260" s="6" t="str">
        <f t="shared" si="1"/>
        <v>2600-3600</v>
      </c>
      <c r="S1260" s="6">
        <f t="shared" si="2"/>
        <v>52</v>
      </c>
      <c r="T1260" s="6" t="str">
        <f t="shared" si="3"/>
        <v>Old</v>
      </c>
    </row>
    <row r="1261" ht="14.25" customHeight="1">
      <c r="A1261" s="5">
        <v>1057374.0</v>
      </c>
      <c r="B1261" s="6" t="s">
        <v>5083</v>
      </c>
      <c r="C1261" s="6" t="s">
        <v>18</v>
      </c>
      <c r="D1261" s="6">
        <v>89598.0</v>
      </c>
      <c r="E1261" s="6" t="s">
        <v>30</v>
      </c>
      <c r="F1261" s="6" t="s">
        <v>54</v>
      </c>
      <c r="G1261" s="6" t="s">
        <v>100</v>
      </c>
      <c r="H1261" s="7">
        <v>2479.0</v>
      </c>
      <c r="I1261" s="7">
        <v>8559.0</v>
      </c>
      <c r="J1261" s="6">
        <v>1994.0</v>
      </c>
      <c r="K1261" s="6">
        <v>37.0</v>
      </c>
      <c r="L1261" s="6" t="s">
        <v>95</v>
      </c>
      <c r="M1261" s="6" t="s">
        <v>5084</v>
      </c>
      <c r="N1261" s="6" t="s">
        <v>24</v>
      </c>
      <c r="O1261" s="6" t="s">
        <v>35</v>
      </c>
      <c r="P1261" s="6">
        <f>COUNTIF(Analysis!$M$1:$M$3001,Analysis!$M1261)</f>
        <v>1</v>
      </c>
      <c r="Q1261" s="6" t="str">
        <f>IF(COUNTIF(Analysis!$M$2:$M$3001,Analysis!$M1261)&gt;1,"Duplicate","OK")</f>
        <v>OK</v>
      </c>
      <c r="R1261" s="6" t="str">
        <f t="shared" si="1"/>
        <v>1600-2600</v>
      </c>
      <c r="S1261" s="6">
        <f t="shared" si="2"/>
        <v>32</v>
      </c>
      <c r="T1261" s="6" t="str">
        <f t="shared" si="3"/>
        <v>Old</v>
      </c>
    </row>
    <row r="1262" ht="14.25" customHeight="1">
      <c r="A1262" s="5">
        <v>315634.0</v>
      </c>
      <c r="B1262" s="6" t="s">
        <v>5087</v>
      </c>
      <c r="C1262" s="6" t="s">
        <v>53</v>
      </c>
      <c r="D1262" s="6">
        <v>64628.0</v>
      </c>
      <c r="E1262" s="6" t="s">
        <v>30</v>
      </c>
      <c r="F1262" s="6" t="s">
        <v>46</v>
      </c>
      <c r="G1262" s="6" t="s">
        <v>100</v>
      </c>
      <c r="H1262" s="7">
        <v>2580.0</v>
      </c>
      <c r="I1262" s="7">
        <v>3464.0</v>
      </c>
      <c r="J1262" s="6">
        <v>1976.0</v>
      </c>
      <c r="K1262" s="6">
        <v>101.0</v>
      </c>
      <c r="L1262" s="6" t="s">
        <v>141</v>
      </c>
      <c r="M1262" s="6" t="s">
        <v>5088</v>
      </c>
      <c r="N1262" s="6" t="s">
        <v>24</v>
      </c>
      <c r="O1262" s="6" t="s">
        <v>35</v>
      </c>
      <c r="P1262" s="6">
        <f>COUNTIF(Analysis!$M$1:$M$3001,Analysis!$M1262)</f>
        <v>1</v>
      </c>
      <c r="Q1262" s="6" t="str">
        <f>IF(COUNTIF(Analysis!$M$2:$M$3001,Analysis!$M1262)&gt;1,"Duplicate","OK")</f>
        <v>OK</v>
      </c>
      <c r="R1262" s="6" t="str">
        <f t="shared" si="1"/>
        <v>1600-2600</v>
      </c>
      <c r="S1262" s="6">
        <f t="shared" si="2"/>
        <v>50</v>
      </c>
      <c r="T1262" s="6" t="str">
        <f t="shared" si="3"/>
        <v>Old</v>
      </c>
    </row>
    <row r="1263" ht="14.25" customHeight="1">
      <c r="A1263" s="5">
        <v>1053211.0</v>
      </c>
      <c r="B1263" s="6" t="s">
        <v>5091</v>
      </c>
      <c r="C1263" s="6" t="s">
        <v>76</v>
      </c>
      <c r="D1263" s="6">
        <v>30160.0</v>
      </c>
      <c r="E1263" s="6" t="s">
        <v>77</v>
      </c>
      <c r="F1263" s="6" t="s">
        <v>94</v>
      </c>
      <c r="G1263" s="6" t="s">
        <v>100</v>
      </c>
      <c r="H1263" s="7">
        <v>1386.0</v>
      </c>
      <c r="I1263" s="7">
        <v>6357.0</v>
      </c>
      <c r="J1263" s="6">
        <v>1980.0</v>
      </c>
      <c r="K1263" s="6">
        <v>97.0</v>
      </c>
      <c r="L1263" s="6" t="s">
        <v>32</v>
      </c>
      <c r="M1263" s="6" t="s">
        <v>5092</v>
      </c>
      <c r="N1263" s="6" t="s">
        <v>24</v>
      </c>
      <c r="O1263" s="6" t="s">
        <v>49</v>
      </c>
      <c r="P1263" s="6">
        <f>COUNTIF(Analysis!$M$1:$M$3001,Analysis!$M1263)</f>
        <v>1</v>
      </c>
      <c r="Q1263" s="6" t="str">
        <f>IF(COUNTIF(Analysis!$M$2:$M$3001,Analysis!$M1263)&gt;1,"Duplicate","OK")</f>
        <v>OK</v>
      </c>
      <c r="R1263" s="6" t="str">
        <f t="shared" si="1"/>
        <v>600-1600</v>
      </c>
      <c r="S1263" s="6">
        <f t="shared" si="2"/>
        <v>46</v>
      </c>
      <c r="T1263" s="6" t="str">
        <f t="shared" si="3"/>
        <v>Old</v>
      </c>
    </row>
    <row r="1264" ht="14.25" customHeight="1">
      <c r="A1264" s="5">
        <v>179797.0</v>
      </c>
      <c r="B1264" s="6" t="s">
        <v>5095</v>
      </c>
      <c r="C1264" s="6" t="s">
        <v>76</v>
      </c>
      <c r="D1264" s="6">
        <v>99211.0</v>
      </c>
      <c r="E1264" s="6" t="s">
        <v>40</v>
      </c>
      <c r="F1264" s="6" t="s">
        <v>46</v>
      </c>
      <c r="G1264" s="6" t="s">
        <v>21</v>
      </c>
      <c r="H1264" s="7">
        <v>3326.0</v>
      </c>
      <c r="I1264" s="7">
        <v>7653.0</v>
      </c>
      <c r="J1264" s="6">
        <v>2006.0</v>
      </c>
      <c r="K1264" s="6">
        <v>87.0</v>
      </c>
      <c r="L1264" s="6" t="s">
        <v>141</v>
      </c>
      <c r="M1264" s="6" t="s">
        <v>5096</v>
      </c>
      <c r="N1264" s="6" t="s">
        <v>64</v>
      </c>
      <c r="O1264" s="6" t="s">
        <v>35</v>
      </c>
      <c r="P1264" s="6">
        <f>COUNTIF(Analysis!$M$1:$M$3001,Analysis!$M1264)</f>
        <v>1</v>
      </c>
      <c r="Q1264" s="6" t="str">
        <f>IF(COUNTIF(Analysis!$M$2:$M$3001,Analysis!$M1264)&gt;1,"Duplicate","OK")</f>
        <v>OK</v>
      </c>
      <c r="R1264" s="6" t="str">
        <f t="shared" si="1"/>
        <v>2600-3600</v>
      </c>
      <c r="S1264" s="6">
        <f t="shared" si="2"/>
        <v>20</v>
      </c>
      <c r="T1264" s="6" t="str">
        <f t="shared" si="3"/>
        <v>Mid</v>
      </c>
    </row>
    <row r="1265" ht="14.25" customHeight="1">
      <c r="A1265" s="5">
        <v>1381948.0</v>
      </c>
      <c r="B1265" s="6" t="s">
        <v>5099</v>
      </c>
      <c r="C1265" s="6" t="s">
        <v>53</v>
      </c>
      <c r="D1265" s="6">
        <v>62062.0</v>
      </c>
      <c r="E1265" s="6" t="s">
        <v>30</v>
      </c>
      <c r="F1265" s="6" t="s">
        <v>46</v>
      </c>
      <c r="G1265" s="6" t="s">
        <v>21</v>
      </c>
      <c r="H1265" s="7">
        <v>1678.0</v>
      </c>
      <c r="I1265" s="7">
        <v>6412.0</v>
      </c>
      <c r="J1265" s="6">
        <v>2016.0</v>
      </c>
      <c r="K1265" s="6">
        <v>47.0</v>
      </c>
      <c r="L1265" s="6" t="s">
        <v>95</v>
      </c>
      <c r="M1265" s="6" t="s">
        <v>5100</v>
      </c>
      <c r="N1265" s="6" t="s">
        <v>34</v>
      </c>
      <c r="O1265" s="6" t="s">
        <v>25</v>
      </c>
      <c r="P1265" s="6">
        <f>COUNTIF(Analysis!$M$1:$M$3001,Analysis!$M1265)</f>
        <v>1</v>
      </c>
      <c r="Q1265" s="6" t="str">
        <f>IF(COUNTIF(Analysis!$M$2:$M$3001,Analysis!$M1265)&gt;1,"Duplicate","OK")</f>
        <v>OK</v>
      </c>
      <c r="R1265" s="6" t="str">
        <f t="shared" si="1"/>
        <v>1600-2600</v>
      </c>
      <c r="S1265" s="6">
        <f t="shared" si="2"/>
        <v>10</v>
      </c>
      <c r="T1265" s="6" t="str">
        <f t="shared" si="3"/>
        <v>New</v>
      </c>
    </row>
    <row r="1266" ht="14.25" customHeight="1">
      <c r="A1266" s="5">
        <v>1221223.0</v>
      </c>
      <c r="B1266" s="6" t="s">
        <v>5103</v>
      </c>
      <c r="C1266" s="6" t="s">
        <v>53</v>
      </c>
      <c r="D1266" s="6">
        <v>10006.0</v>
      </c>
      <c r="E1266" s="6" t="s">
        <v>77</v>
      </c>
      <c r="F1266" s="6" t="s">
        <v>41</v>
      </c>
      <c r="G1266" s="6" t="s">
        <v>31</v>
      </c>
      <c r="H1266" s="7">
        <v>2298.0</v>
      </c>
      <c r="I1266" s="7">
        <v>4008.0</v>
      </c>
      <c r="J1266" s="6">
        <v>1989.0</v>
      </c>
      <c r="K1266" s="6">
        <v>41.0</v>
      </c>
      <c r="L1266" s="6" t="s">
        <v>95</v>
      </c>
      <c r="M1266" s="6" t="s">
        <v>5104</v>
      </c>
      <c r="N1266" s="6" t="s">
        <v>48</v>
      </c>
      <c r="O1266" s="6" t="s">
        <v>35</v>
      </c>
      <c r="P1266" s="6">
        <f>COUNTIF(Analysis!$M$1:$M$3001,Analysis!$M1266)</f>
        <v>1</v>
      </c>
      <c r="Q1266" s="6" t="str">
        <f>IF(COUNTIF(Analysis!$M$2:$M$3001,Analysis!$M1266)&gt;1,"Duplicate","OK")</f>
        <v>OK</v>
      </c>
      <c r="R1266" s="6" t="str">
        <f t="shared" si="1"/>
        <v>1600-2600</v>
      </c>
      <c r="S1266" s="6">
        <f t="shared" si="2"/>
        <v>37</v>
      </c>
      <c r="T1266" s="6" t="str">
        <f t="shared" si="3"/>
        <v>Old</v>
      </c>
    </row>
    <row r="1267" ht="14.25" customHeight="1">
      <c r="A1267" s="5">
        <v>174659.0</v>
      </c>
      <c r="B1267" s="6" t="s">
        <v>5107</v>
      </c>
      <c r="C1267" s="6" t="s">
        <v>76</v>
      </c>
      <c r="D1267" s="6">
        <v>37948.0</v>
      </c>
      <c r="E1267" s="6" t="s">
        <v>40</v>
      </c>
      <c r="F1267" s="6" t="s">
        <v>41</v>
      </c>
      <c r="G1267" s="6" t="s">
        <v>100</v>
      </c>
      <c r="H1267" s="7">
        <v>1085.0</v>
      </c>
      <c r="I1267" s="7">
        <v>9715.0</v>
      </c>
      <c r="J1267" s="6">
        <v>1952.0</v>
      </c>
      <c r="K1267" s="6">
        <v>99.0</v>
      </c>
      <c r="L1267" s="6" t="s">
        <v>95</v>
      </c>
      <c r="M1267" s="6" t="s">
        <v>5108</v>
      </c>
      <c r="N1267" s="6" t="s">
        <v>24</v>
      </c>
      <c r="O1267" s="6" t="s">
        <v>49</v>
      </c>
      <c r="P1267" s="6">
        <f>COUNTIF(Analysis!$M$1:$M$3001,Analysis!$M1267)</f>
        <v>1</v>
      </c>
      <c r="Q1267" s="6" t="str">
        <f>IF(COUNTIF(Analysis!$M$2:$M$3001,Analysis!$M1267)&gt;1,"Duplicate","OK")</f>
        <v>OK</v>
      </c>
      <c r="R1267" s="6" t="str">
        <f t="shared" si="1"/>
        <v>600-1600</v>
      </c>
      <c r="S1267" s="6">
        <f t="shared" si="2"/>
        <v>74</v>
      </c>
      <c r="T1267" s="6" t="str">
        <f t="shared" si="3"/>
        <v>Very Old</v>
      </c>
    </row>
    <row r="1268" ht="14.25" customHeight="1">
      <c r="A1268" s="5">
        <v>695115.0</v>
      </c>
      <c r="B1268" s="6" t="s">
        <v>8388</v>
      </c>
      <c r="C1268" s="6" t="s">
        <v>29</v>
      </c>
      <c r="D1268" s="6">
        <v>42123.0</v>
      </c>
      <c r="E1268" s="6" t="s">
        <v>60</v>
      </c>
      <c r="F1268" s="6" t="s">
        <v>61</v>
      </c>
      <c r="G1268" s="6" t="s">
        <v>21</v>
      </c>
      <c r="H1268" s="7">
        <v>2280.0</v>
      </c>
      <c r="I1268" s="7">
        <v>8446.0</v>
      </c>
      <c r="J1268" s="6">
        <v>1966.0</v>
      </c>
      <c r="K1268" s="6">
        <v>10.0</v>
      </c>
      <c r="L1268" s="6" t="s">
        <v>22</v>
      </c>
      <c r="M1268" s="6" t="s">
        <v>8389</v>
      </c>
      <c r="N1268" s="6" t="s">
        <v>43</v>
      </c>
      <c r="O1268" s="6" t="s">
        <v>49</v>
      </c>
      <c r="P1268" s="6">
        <f>COUNTIF(Analysis!$M$1:$M$3001,Analysis!$M2088)</f>
        <v>1</v>
      </c>
      <c r="Q1268" s="6" t="str">
        <f>IF(COUNTIF(Analysis!$M$2:$M$3001,Analysis!$M2088)&gt;1,"Duplicate","OK")</f>
        <v>OK</v>
      </c>
      <c r="R1268" s="6" t="str">
        <f t="shared" si="1"/>
        <v>1600-2600</v>
      </c>
      <c r="S1268" s="6">
        <f t="shared" si="2"/>
        <v>60</v>
      </c>
      <c r="T1268" s="6" t="str">
        <f t="shared" si="3"/>
        <v>Old</v>
      </c>
    </row>
    <row r="1269" ht="14.25" customHeight="1">
      <c r="A1269" s="5">
        <v>1090823.0</v>
      </c>
      <c r="B1269" s="6" t="s">
        <v>5115</v>
      </c>
      <c r="C1269" s="6" t="s">
        <v>53</v>
      </c>
      <c r="D1269" s="6">
        <v>89851.0</v>
      </c>
      <c r="E1269" s="6" t="s">
        <v>40</v>
      </c>
      <c r="F1269" s="6" t="s">
        <v>94</v>
      </c>
      <c r="G1269" s="6" t="s">
        <v>100</v>
      </c>
      <c r="H1269" s="7">
        <v>1669.0</v>
      </c>
      <c r="I1269" s="7">
        <v>3579.0</v>
      </c>
      <c r="J1269" s="6">
        <v>2014.0</v>
      </c>
      <c r="K1269" s="6">
        <v>114.0</v>
      </c>
      <c r="L1269" s="6" t="s">
        <v>141</v>
      </c>
      <c r="M1269" s="6" t="s">
        <v>5116</v>
      </c>
      <c r="N1269" s="6" t="s">
        <v>64</v>
      </c>
      <c r="O1269" s="6" t="s">
        <v>25</v>
      </c>
      <c r="P1269" s="6">
        <f>COUNTIF(Analysis!$M$1:$M$3001,Analysis!$M1269)</f>
        <v>1</v>
      </c>
      <c r="Q1269" s="6" t="str">
        <f>IF(COUNTIF(Analysis!$M$2:$M$3001,Analysis!$M1269)&gt;1,"Duplicate","OK")</f>
        <v>OK</v>
      </c>
      <c r="R1269" s="6" t="str">
        <f t="shared" si="1"/>
        <v>1600-2600</v>
      </c>
      <c r="S1269" s="6">
        <f t="shared" si="2"/>
        <v>12</v>
      </c>
      <c r="T1269" s="6" t="str">
        <f t="shared" si="3"/>
        <v>Mid</v>
      </c>
    </row>
    <row r="1270" ht="14.25" customHeight="1">
      <c r="A1270" s="5">
        <v>697793.0</v>
      </c>
      <c r="B1270" s="6" t="s">
        <v>6873</v>
      </c>
      <c r="C1270" s="6" t="s">
        <v>29</v>
      </c>
      <c r="D1270" s="6">
        <v>91478.0</v>
      </c>
      <c r="E1270" s="6" t="s">
        <v>40</v>
      </c>
      <c r="F1270" s="6" t="s">
        <v>41</v>
      </c>
      <c r="G1270" s="6" t="s">
        <v>55</v>
      </c>
      <c r="H1270" s="7">
        <v>1336.0</v>
      </c>
      <c r="I1270" s="7">
        <v>6701.0</v>
      </c>
      <c r="J1270" s="6">
        <v>2017.0</v>
      </c>
      <c r="K1270" s="6">
        <v>25.0</v>
      </c>
      <c r="L1270" s="6" t="s">
        <v>32</v>
      </c>
      <c r="M1270" s="6" t="s">
        <v>6874</v>
      </c>
      <c r="N1270" s="6" t="s">
        <v>48</v>
      </c>
      <c r="O1270" s="6" t="s">
        <v>25</v>
      </c>
      <c r="P1270" s="6">
        <f>COUNTIF(Analysis!$M$1:$M$3001,Analysis!$M1709)</f>
        <v>1</v>
      </c>
      <c r="Q1270" s="6" t="str">
        <f>IF(COUNTIF(Analysis!$M$2:$M$3001,Analysis!$M1709)&gt;1,"Duplicate","OK")</f>
        <v>OK</v>
      </c>
      <c r="R1270" s="6" t="str">
        <f t="shared" si="1"/>
        <v>600-1600</v>
      </c>
      <c r="S1270" s="6">
        <f t="shared" si="2"/>
        <v>9</v>
      </c>
      <c r="T1270" s="6" t="str">
        <f t="shared" si="3"/>
        <v>New</v>
      </c>
    </row>
    <row r="1271" ht="14.25" customHeight="1">
      <c r="A1271" s="5">
        <v>1217532.0</v>
      </c>
      <c r="B1271" s="6" t="s">
        <v>5123</v>
      </c>
      <c r="C1271" s="6" t="s">
        <v>53</v>
      </c>
      <c r="D1271" s="6">
        <v>40283.0</v>
      </c>
      <c r="E1271" s="6" t="s">
        <v>60</v>
      </c>
      <c r="F1271" s="6" t="s">
        <v>54</v>
      </c>
      <c r="G1271" s="6" t="s">
        <v>21</v>
      </c>
      <c r="H1271" s="7">
        <v>987.0</v>
      </c>
      <c r="I1271" s="7">
        <v>1295.0</v>
      </c>
      <c r="J1271" s="6">
        <v>2019.0</v>
      </c>
      <c r="K1271" s="6">
        <v>25.0</v>
      </c>
      <c r="L1271" s="6" t="s">
        <v>141</v>
      </c>
      <c r="M1271" s="6" t="s">
        <v>5124</v>
      </c>
      <c r="N1271" s="6" t="s">
        <v>64</v>
      </c>
      <c r="O1271" s="6" t="s">
        <v>25</v>
      </c>
      <c r="P1271" s="6">
        <f>COUNTIF(Analysis!$M$1:$M$3001,Analysis!$M1271)</f>
        <v>1</v>
      </c>
      <c r="Q1271" s="6" t="str">
        <f>IF(COUNTIF(Analysis!$M$2:$M$3001,Analysis!$M1271)&gt;1,"Duplicate","OK")</f>
        <v>OK</v>
      </c>
      <c r="R1271" s="6" t="str">
        <f t="shared" si="1"/>
        <v>600-1600</v>
      </c>
      <c r="S1271" s="6">
        <f t="shared" si="2"/>
        <v>7</v>
      </c>
      <c r="T1271" s="6" t="str">
        <f t="shared" si="3"/>
        <v>New</v>
      </c>
    </row>
    <row r="1272" ht="14.25" customHeight="1">
      <c r="A1272" s="5">
        <v>1258730.0</v>
      </c>
      <c r="B1272" s="6" t="s">
        <v>5127</v>
      </c>
      <c r="C1272" s="6" t="s">
        <v>39</v>
      </c>
      <c r="D1272" s="6">
        <v>81388.0</v>
      </c>
      <c r="E1272" s="6" t="s">
        <v>77</v>
      </c>
      <c r="F1272" s="6" t="s">
        <v>20</v>
      </c>
      <c r="G1272" s="6" t="s">
        <v>31</v>
      </c>
      <c r="H1272" s="7">
        <v>3027.0</v>
      </c>
      <c r="I1272" s="7">
        <v>8287.0</v>
      </c>
      <c r="J1272" s="6">
        <v>1976.0</v>
      </c>
      <c r="K1272" s="6">
        <v>21.0</v>
      </c>
      <c r="L1272" s="6" t="s">
        <v>141</v>
      </c>
      <c r="M1272" s="6" t="s">
        <v>5128</v>
      </c>
      <c r="N1272" s="6" t="s">
        <v>24</v>
      </c>
      <c r="O1272" s="6" t="s">
        <v>25</v>
      </c>
      <c r="P1272" s="6">
        <f>COUNTIF(Analysis!$M$1:$M$3001,Analysis!$M1272)</f>
        <v>1</v>
      </c>
      <c r="Q1272" s="6" t="str">
        <f>IF(COUNTIF(Analysis!$M$2:$M$3001,Analysis!$M1272)&gt;1,"Duplicate","OK")</f>
        <v>OK</v>
      </c>
      <c r="R1272" s="6" t="str">
        <f t="shared" si="1"/>
        <v>2600-3600</v>
      </c>
      <c r="S1272" s="6">
        <f t="shared" si="2"/>
        <v>50</v>
      </c>
      <c r="T1272" s="6" t="str">
        <f t="shared" si="3"/>
        <v>Old</v>
      </c>
    </row>
    <row r="1273" ht="14.25" customHeight="1">
      <c r="A1273" s="5">
        <v>705333.0</v>
      </c>
      <c r="B1273" s="6" t="s">
        <v>5207</v>
      </c>
      <c r="C1273" s="6" t="s">
        <v>29</v>
      </c>
      <c r="D1273" s="6">
        <v>17784.0</v>
      </c>
      <c r="E1273" s="6" t="s">
        <v>77</v>
      </c>
      <c r="F1273" s="6" t="s">
        <v>20</v>
      </c>
      <c r="G1273" s="6" t="s">
        <v>21</v>
      </c>
      <c r="H1273" s="7">
        <v>1868.0</v>
      </c>
      <c r="I1273" s="7">
        <v>7761.0</v>
      </c>
      <c r="J1273" s="6">
        <v>2016.0</v>
      </c>
      <c r="K1273" s="6">
        <v>120.0</v>
      </c>
      <c r="L1273" s="6" t="s">
        <v>95</v>
      </c>
      <c r="M1273" s="6" t="s">
        <v>5208</v>
      </c>
      <c r="N1273" s="6" t="s">
        <v>48</v>
      </c>
      <c r="O1273" s="6" t="s">
        <v>35</v>
      </c>
      <c r="P1273" s="6">
        <f>COUNTIF(Analysis!$M$1:$M$3001,Analysis!$M1292)</f>
        <v>1</v>
      </c>
      <c r="Q1273" s="6" t="str">
        <f>IF(COUNTIF(Analysis!$M$2:$M$3001,Analysis!$M1292)&gt;1,"Duplicate","OK")</f>
        <v>OK</v>
      </c>
      <c r="R1273" s="6" t="str">
        <f t="shared" si="1"/>
        <v>1600-2600</v>
      </c>
      <c r="S1273" s="6">
        <f t="shared" si="2"/>
        <v>10</v>
      </c>
      <c r="T1273" s="6" t="str">
        <f t="shared" si="3"/>
        <v>New</v>
      </c>
    </row>
    <row r="1274" ht="14.25" customHeight="1">
      <c r="A1274" s="5">
        <v>1366314.0</v>
      </c>
      <c r="B1274" s="6" t="s">
        <v>5135</v>
      </c>
      <c r="C1274" s="6" t="s">
        <v>76</v>
      </c>
      <c r="D1274" s="6">
        <v>85201.0</v>
      </c>
      <c r="E1274" s="6" t="s">
        <v>60</v>
      </c>
      <c r="F1274" s="6" t="s">
        <v>46</v>
      </c>
      <c r="G1274" s="6" t="s">
        <v>31</v>
      </c>
      <c r="H1274" s="7">
        <v>3429.0</v>
      </c>
      <c r="I1274" s="7">
        <v>4250.0</v>
      </c>
      <c r="J1274" s="6">
        <v>2007.0</v>
      </c>
      <c r="K1274" s="6">
        <v>17.0</v>
      </c>
      <c r="L1274" s="6" t="s">
        <v>141</v>
      </c>
      <c r="M1274" s="6" t="s">
        <v>5136</v>
      </c>
      <c r="N1274" s="6" t="s">
        <v>48</v>
      </c>
      <c r="O1274" s="6" t="s">
        <v>35</v>
      </c>
      <c r="P1274" s="6">
        <f>COUNTIF(Analysis!$M$1:$M$3001,Analysis!$M1274)</f>
        <v>1</v>
      </c>
      <c r="Q1274" s="6" t="str">
        <f>IF(COUNTIF(Analysis!$M$2:$M$3001,Analysis!$M1274)&gt;1,"Duplicate","OK")</f>
        <v>OK</v>
      </c>
      <c r="R1274" s="6" t="str">
        <f t="shared" si="1"/>
        <v>2600-3600</v>
      </c>
      <c r="S1274" s="6">
        <f t="shared" si="2"/>
        <v>19</v>
      </c>
      <c r="T1274" s="6" t="str">
        <f t="shared" si="3"/>
        <v>Mid</v>
      </c>
    </row>
    <row r="1275" ht="14.25" customHeight="1">
      <c r="A1275" s="5">
        <v>104493.0</v>
      </c>
      <c r="B1275" s="6" t="s">
        <v>5139</v>
      </c>
      <c r="C1275" s="6" t="s">
        <v>53</v>
      </c>
      <c r="D1275" s="6">
        <v>42451.0</v>
      </c>
      <c r="E1275" s="6" t="s">
        <v>40</v>
      </c>
      <c r="F1275" s="6" t="s">
        <v>41</v>
      </c>
      <c r="G1275" s="6" t="s">
        <v>31</v>
      </c>
      <c r="H1275" s="7">
        <v>722.0</v>
      </c>
      <c r="I1275" s="7">
        <v>2374.0</v>
      </c>
      <c r="J1275" s="6">
        <v>2010.0</v>
      </c>
      <c r="K1275" s="6">
        <v>45.0</v>
      </c>
      <c r="L1275" s="6" t="s">
        <v>32</v>
      </c>
      <c r="M1275" s="6" t="s">
        <v>5140</v>
      </c>
      <c r="N1275" s="6" t="s">
        <v>48</v>
      </c>
      <c r="O1275" s="6" t="s">
        <v>35</v>
      </c>
      <c r="P1275" s="6">
        <f>COUNTIF(Analysis!$M$1:$M$3001,Analysis!$M1275)</f>
        <v>1</v>
      </c>
      <c r="Q1275" s="6" t="str">
        <f>IF(COUNTIF(Analysis!$M$2:$M$3001,Analysis!$M1275)&gt;1,"Duplicate","OK")</f>
        <v>OK</v>
      </c>
      <c r="R1275" s="6" t="str">
        <f t="shared" si="1"/>
        <v>600-1600</v>
      </c>
      <c r="S1275" s="6">
        <f t="shared" si="2"/>
        <v>16</v>
      </c>
      <c r="T1275" s="6" t="str">
        <f t="shared" si="3"/>
        <v>Mid</v>
      </c>
    </row>
    <row r="1276" ht="14.25" customHeight="1">
      <c r="A1276" s="5">
        <v>1451100.0</v>
      </c>
      <c r="B1276" s="6" t="s">
        <v>5143</v>
      </c>
      <c r="C1276" s="6" t="s">
        <v>53</v>
      </c>
      <c r="D1276" s="6">
        <v>88679.0</v>
      </c>
      <c r="E1276" s="6" t="s">
        <v>40</v>
      </c>
      <c r="F1276" s="6" t="s">
        <v>94</v>
      </c>
      <c r="G1276" s="6" t="s">
        <v>100</v>
      </c>
      <c r="H1276" s="7">
        <v>1038.0</v>
      </c>
      <c r="I1276" s="7">
        <v>4292.0</v>
      </c>
      <c r="J1276" s="6">
        <v>1961.0</v>
      </c>
      <c r="K1276" s="6">
        <v>49.0</v>
      </c>
      <c r="L1276" s="6" t="s">
        <v>32</v>
      </c>
      <c r="M1276" s="6" t="s">
        <v>5144</v>
      </c>
      <c r="N1276" s="6" t="s">
        <v>48</v>
      </c>
      <c r="O1276" s="6" t="s">
        <v>25</v>
      </c>
      <c r="P1276" s="6">
        <f>COUNTIF(Analysis!$M$1:$M$3001,Analysis!$M1276)</f>
        <v>1</v>
      </c>
      <c r="Q1276" s="6" t="str">
        <f>IF(COUNTIF(Analysis!$M$2:$M$3001,Analysis!$M1276)&gt;1,"Duplicate","OK")</f>
        <v>OK</v>
      </c>
      <c r="R1276" s="6" t="str">
        <f t="shared" si="1"/>
        <v>600-1600</v>
      </c>
      <c r="S1276" s="6">
        <f t="shared" si="2"/>
        <v>65</v>
      </c>
      <c r="T1276" s="6" t="str">
        <f t="shared" si="3"/>
        <v>Very Old</v>
      </c>
    </row>
    <row r="1277" ht="14.25" customHeight="1">
      <c r="A1277" s="5">
        <v>691218.0</v>
      </c>
      <c r="B1277" s="6" t="s">
        <v>5147</v>
      </c>
      <c r="C1277" s="6" t="s">
        <v>76</v>
      </c>
      <c r="D1277" s="6">
        <v>16383.0</v>
      </c>
      <c r="E1277" s="6" t="s">
        <v>77</v>
      </c>
      <c r="F1277" s="6" t="s">
        <v>46</v>
      </c>
      <c r="G1277" s="6" t="s">
        <v>31</v>
      </c>
      <c r="H1277" s="7">
        <v>2316.0</v>
      </c>
      <c r="I1277" s="7">
        <v>1892.0</v>
      </c>
      <c r="J1277" s="6">
        <v>1959.0</v>
      </c>
      <c r="K1277" s="6">
        <v>59.0</v>
      </c>
      <c r="L1277" s="6" t="s">
        <v>22</v>
      </c>
      <c r="M1277" s="6" t="s">
        <v>5148</v>
      </c>
      <c r="N1277" s="6" t="s">
        <v>24</v>
      </c>
      <c r="O1277" s="6" t="s">
        <v>35</v>
      </c>
      <c r="P1277" s="6">
        <f>COUNTIF(Analysis!$M$1:$M$3001,Analysis!$M1277)</f>
        <v>1</v>
      </c>
      <c r="Q1277" s="6" t="str">
        <f>IF(COUNTIF(Analysis!$M$2:$M$3001,Analysis!$M1277)&gt;1,"Duplicate","OK")</f>
        <v>OK</v>
      </c>
      <c r="R1277" s="6" t="str">
        <f t="shared" si="1"/>
        <v>1600-2600</v>
      </c>
      <c r="S1277" s="6">
        <f t="shared" si="2"/>
        <v>67</v>
      </c>
      <c r="T1277" s="6" t="str">
        <f t="shared" si="3"/>
        <v>Very Old</v>
      </c>
    </row>
    <row r="1278" ht="14.25" customHeight="1">
      <c r="A1278" s="5">
        <v>705960.0</v>
      </c>
      <c r="B1278" s="6" t="s">
        <v>5151</v>
      </c>
      <c r="C1278" s="6" t="s">
        <v>18</v>
      </c>
      <c r="D1278" s="6">
        <v>64880.0</v>
      </c>
      <c r="E1278" s="6" t="s">
        <v>77</v>
      </c>
      <c r="F1278" s="6" t="s">
        <v>54</v>
      </c>
      <c r="G1278" s="6" t="s">
        <v>21</v>
      </c>
      <c r="H1278" s="7">
        <v>1929.0</v>
      </c>
      <c r="I1278" s="7">
        <v>1396.0</v>
      </c>
      <c r="J1278" s="6">
        <v>1971.0</v>
      </c>
      <c r="K1278" s="6">
        <v>18.0</v>
      </c>
      <c r="L1278" s="6" t="s">
        <v>32</v>
      </c>
      <c r="M1278" s="6" t="s">
        <v>5152</v>
      </c>
      <c r="N1278" s="6" t="s">
        <v>43</v>
      </c>
      <c r="O1278" s="6" t="s">
        <v>49</v>
      </c>
      <c r="P1278" s="6">
        <f>COUNTIF(Analysis!$M$1:$M$3001,Analysis!$M1278)</f>
        <v>1</v>
      </c>
      <c r="Q1278" s="6" t="str">
        <f>IF(COUNTIF(Analysis!$M$2:$M$3001,Analysis!$M1278)&gt;1,"Duplicate","OK")</f>
        <v>OK</v>
      </c>
      <c r="R1278" s="6" t="str">
        <f t="shared" si="1"/>
        <v>1600-2600</v>
      </c>
      <c r="S1278" s="6">
        <f t="shared" si="2"/>
        <v>55</v>
      </c>
      <c r="T1278" s="6" t="str">
        <f t="shared" si="3"/>
        <v>Old</v>
      </c>
    </row>
    <row r="1279" ht="14.25" customHeight="1">
      <c r="A1279" s="5">
        <v>1357857.0</v>
      </c>
      <c r="B1279" s="6" t="s">
        <v>5155</v>
      </c>
      <c r="C1279" s="6" t="s">
        <v>53</v>
      </c>
      <c r="D1279" s="6">
        <v>97402.0</v>
      </c>
      <c r="E1279" s="6" t="s">
        <v>77</v>
      </c>
      <c r="F1279" s="6" t="s">
        <v>61</v>
      </c>
      <c r="G1279" s="6" t="s">
        <v>21</v>
      </c>
      <c r="H1279" s="7">
        <v>3750.0</v>
      </c>
      <c r="I1279" s="7">
        <v>9239.0</v>
      </c>
      <c r="J1279" s="6">
        <v>2015.0</v>
      </c>
      <c r="K1279" s="6">
        <v>53.0</v>
      </c>
      <c r="L1279" s="6" t="s">
        <v>32</v>
      </c>
      <c r="M1279" s="6" t="s">
        <v>5156</v>
      </c>
      <c r="N1279" s="6" t="s">
        <v>34</v>
      </c>
      <c r="O1279" s="6" t="s">
        <v>25</v>
      </c>
      <c r="P1279" s="6">
        <f>COUNTIF(Analysis!$M$1:$M$3001,Analysis!$M1279)</f>
        <v>1</v>
      </c>
      <c r="Q1279" s="6" t="str">
        <f>IF(COUNTIF(Analysis!$M$2:$M$3001,Analysis!$M1279)&gt;1,"Duplicate","OK")</f>
        <v>OK</v>
      </c>
      <c r="R1279" s="6" t="str">
        <f t="shared" si="1"/>
        <v>3600+</v>
      </c>
      <c r="S1279" s="6">
        <f t="shared" si="2"/>
        <v>11</v>
      </c>
      <c r="T1279" s="6" t="str">
        <f t="shared" si="3"/>
        <v>Mid</v>
      </c>
    </row>
    <row r="1280" ht="14.25" customHeight="1">
      <c r="A1280" s="5">
        <v>716140.0</v>
      </c>
      <c r="B1280" s="6" t="s">
        <v>10203</v>
      </c>
      <c r="C1280" s="6" t="s">
        <v>29</v>
      </c>
      <c r="D1280" s="6">
        <v>49310.0</v>
      </c>
      <c r="E1280" s="6" t="s">
        <v>30</v>
      </c>
      <c r="F1280" s="6" t="s">
        <v>54</v>
      </c>
      <c r="G1280" s="6" t="s">
        <v>55</v>
      </c>
      <c r="H1280" s="7">
        <v>3940.0</v>
      </c>
      <c r="I1280" s="7">
        <v>7101.0</v>
      </c>
      <c r="J1280" s="6">
        <v>1950.0</v>
      </c>
      <c r="K1280" s="6">
        <v>58.0</v>
      </c>
      <c r="L1280" s="6" t="s">
        <v>62</v>
      </c>
      <c r="M1280" s="6" t="s">
        <v>10204</v>
      </c>
      <c r="N1280" s="6" t="s">
        <v>24</v>
      </c>
      <c r="O1280" s="6" t="s">
        <v>25</v>
      </c>
      <c r="P1280" s="6">
        <f>COUNTIF(Analysis!$M$1:$M$3001,Analysis!$M2542)</f>
        <v>1</v>
      </c>
      <c r="Q1280" s="6" t="str">
        <f>IF(COUNTIF(Analysis!$M$2:$M$3001,Analysis!$M2542)&gt;1,"Duplicate","OK")</f>
        <v>OK</v>
      </c>
      <c r="R1280" s="6" t="str">
        <f t="shared" si="1"/>
        <v>3600+</v>
      </c>
      <c r="S1280" s="6">
        <f t="shared" si="2"/>
        <v>76</v>
      </c>
      <c r="T1280" s="6" t="str">
        <f t="shared" si="3"/>
        <v>Very Old</v>
      </c>
    </row>
    <row r="1281" ht="14.25" customHeight="1">
      <c r="A1281" s="5">
        <v>963039.0</v>
      </c>
      <c r="B1281" s="6" t="s">
        <v>5163</v>
      </c>
      <c r="C1281" s="6" t="s">
        <v>76</v>
      </c>
      <c r="D1281" s="6">
        <v>98928.0</v>
      </c>
      <c r="E1281" s="6" t="s">
        <v>60</v>
      </c>
      <c r="F1281" s="6" t="s">
        <v>20</v>
      </c>
      <c r="G1281" s="6" t="s">
        <v>21</v>
      </c>
      <c r="H1281" s="7">
        <v>2661.0</v>
      </c>
      <c r="I1281" s="7">
        <v>3171.0</v>
      </c>
      <c r="J1281" s="6">
        <v>1981.0</v>
      </c>
      <c r="K1281" s="6">
        <v>87.0</v>
      </c>
      <c r="L1281" s="6" t="s">
        <v>22</v>
      </c>
      <c r="M1281" s="6" t="s">
        <v>5164</v>
      </c>
      <c r="N1281" s="6" t="s">
        <v>34</v>
      </c>
      <c r="O1281" s="6" t="s">
        <v>25</v>
      </c>
      <c r="P1281" s="6">
        <f>COUNTIF(Analysis!$M$1:$M$3001,Analysis!$M1281)</f>
        <v>1</v>
      </c>
      <c r="Q1281" s="6" t="str">
        <f>IF(COUNTIF(Analysis!$M$2:$M$3001,Analysis!$M1281)&gt;1,"Duplicate","OK")</f>
        <v>OK</v>
      </c>
      <c r="R1281" s="6" t="str">
        <f t="shared" si="1"/>
        <v>2600-3600</v>
      </c>
      <c r="S1281" s="6">
        <f t="shared" si="2"/>
        <v>45</v>
      </c>
      <c r="T1281" s="6" t="str">
        <f t="shared" si="3"/>
        <v>Old</v>
      </c>
    </row>
    <row r="1282" ht="14.25" customHeight="1">
      <c r="A1282" s="5">
        <v>183360.0</v>
      </c>
      <c r="B1282" s="6" t="s">
        <v>5167</v>
      </c>
      <c r="C1282" s="6" t="s">
        <v>39</v>
      </c>
      <c r="D1282" s="6">
        <v>28013.0</v>
      </c>
      <c r="E1282" s="6" t="s">
        <v>60</v>
      </c>
      <c r="F1282" s="6" t="s">
        <v>61</v>
      </c>
      <c r="G1282" s="6" t="s">
        <v>100</v>
      </c>
      <c r="H1282" s="7">
        <v>1147.0</v>
      </c>
      <c r="I1282" s="7">
        <v>7857.0</v>
      </c>
      <c r="J1282" s="6">
        <v>1986.0</v>
      </c>
      <c r="K1282" s="6">
        <v>26.0</v>
      </c>
      <c r="L1282" s="6" t="s">
        <v>62</v>
      </c>
      <c r="M1282" s="6" t="s">
        <v>5168</v>
      </c>
      <c r="N1282" s="6" t="s">
        <v>43</v>
      </c>
      <c r="O1282" s="6" t="s">
        <v>25</v>
      </c>
      <c r="P1282" s="6">
        <f>COUNTIF(Analysis!$M$1:$M$3001,Analysis!$M1282)</f>
        <v>1</v>
      </c>
      <c r="Q1282" s="6" t="str">
        <f>IF(COUNTIF(Analysis!$M$2:$M$3001,Analysis!$M1282)&gt;1,"Duplicate","OK")</f>
        <v>OK</v>
      </c>
      <c r="R1282" s="6" t="str">
        <f t="shared" si="1"/>
        <v>600-1600</v>
      </c>
      <c r="S1282" s="6">
        <f t="shared" si="2"/>
        <v>40</v>
      </c>
      <c r="T1282" s="6" t="str">
        <f t="shared" si="3"/>
        <v>Old</v>
      </c>
    </row>
    <row r="1283" ht="14.25" customHeight="1">
      <c r="A1283" s="5">
        <v>1059126.0</v>
      </c>
      <c r="B1283" s="6" t="s">
        <v>5171</v>
      </c>
      <c r="C1283" s="6" t="s">
        <v>53</v>
      </c>
      <c r="D1283" s="6">
        <v>14973.0</v>
      </c>
      <c r="E1283" s="6" t="s">
        <v>60</v>
      </c>
      <c r="F1283" s="6" t="s">
        <v>61</v>
      </c>
      <c r="G1283" s="6" t="s">
        <v>31</v>
      </c>
      <c r="H1283" s="7">
        <v>1089.0</v>
      </c>
      <c r="I1283" s="7">
        <v>6412.0</v>
      </c>
      <c r="J1283" s="6">
        <v>1985.0</v>
      </c>
      <c r="K1283" s="6">
        <v>48.0</v>
      </c>
      <c r="L1283" s="6" t="s">
        <v>95</v>
      </c>
      <c r="M1283" s="6" t="s">
        <v>5172</v>
      </c>
      <c r="N1283" s="6" t="s">
        <v>48</v>
      </c>
      <c r="O1283" s="6" t="s">
        <v>25</v>
      </c>
      <c r="P1283" s="6">
        <f>COUNTIF(Analysis!$M$1:$M$3001,Analysis!$M1283)</f>
        <v>1</v>
      </c>
      <c r="Q1283" s="6" t="str">
        <f>IF(COUNTIF(Analysis!$M$2:$M$3001,Analysis!$M1283)&gt;1,"Duplicate","OK")</f>
        <v>OK</v>
      </c>
      <c r="R1283" s="6" t="str">
        <f t="shared" si="1"/>
        <v>600-1600</v>
      </c>
      <c r="S1283" s="6">
        <f t="shared" si="2"/>
        <v>41</v>
      </c>
      <c r="T1283" s="6" t="str">
        <f t="shared" si="3"/>
        <v>Old</v>
      </c>
    </row>
    <row r="1284" ht="14.25" customHeight="1">
      <c r="A1284" s="5">
        <v>719382.0</v>
      </c>
      <c r="B1284" s="6" t="s">
        <v>1889</v>
      </c>
      <c r="C1284" s="6" t="s">
        <v>29</v>
      </c>
      <c r="D1284" s="6">
        <v>45418.0</v>
      </c>
      <c r="E1284" s="6" t="s">
        <v>77</v>
      </c>
      <c r="F1284" s="6" t="s">
        <v>94</v>
      </c>
      <c r="G1284" s="6" t="s">
        <v>31</v>
      </c>
      <c r="H1284" s="7">
        <v>3654.0</v>
      </c>
      <c r="I1284" s="7">
        <v>9907.0</v>
      </c>
      <c r="J1284" s="6">
        <v>2013.0</v>
      </c>
      <c r="K1284" s="6">
        <v>3.0</v>
      </c>
      <c r="L1284" s="6" t="s">
        <v>32</v>
      </c>
      <c r="M1284" s="6" t="s">
        <v>1890</v>
      </c>
      <c r="N1284" s="6" t="s">
        <v>48</v>
      </c>
      <c r="O1284" s="6" t="s">
        <v>49</v>
      </c>
      <c r="P1284" s="6">
        <f>COUNTIF(Analysis!$M$1:$M$3001,Analysis!$M462)</f>
        <v>1</v>
      </c>
      <c r="Q1284" s="6" t="str">
        <f>IF(COUNTIF(Analysis!$M$2:$M$3001,Analysis!$M462)&gt;1,"Duplicate","OK")</f>
        <v>OK</v>
      </c>
      <c r="R1284" s="6" t="str">
        <f t="shared" si="1"/>
        <v>3600+</v>
      </c>
      <c r="S1284" s="6">
        <f t="shared" si="2"/>
        <v>13</v>
      </c>
      <c r="T1284" s="6" t="str">
        <f t="shared" si="3"/>
        <v>Mid</v>
      </c>
    </row>
    <row r="1285" ht="14.25" customHeight="1">
      <c r="A1285" s="5">
        <v>876296.0</v>
      </c>
      <c r="B1285" s="6" t="s">
        <v>5179</v>
      </c>
      <c r="C1285" s="6" t="s">
        <v>18</v>
      </c>
      <c r="D1285" s="6">
        <v>80624.0</v>
      </c>
      <c r="E1285" s="6" t="s">
        <v>60</v>
      </c>
      <c r="F1285" s="6" t="s">
        <v>46</v>
      </c>
      <c r="G1285" s="6" t="s">
        <v>100</v>
      </c>
      <c r="H1285" s="7">
        <v>1062.0</v>
      </c>
      <c r="I1285" s="7">
        <v>1605.0</v>
      </c>
      <c r="J1285" s="6">
        <v>1974.0</v>
      </c>
      <c r="K1285" s="6">
        <v>38.0</v>
      </c>
      <c r="L1285" s="6" t="s">
        <v>22</v>
      </c>
      <c r="M1285" s="6" t="s">
        <v>5180</v>
      </c>
      <c r="N1285" s="6" t="s">
        <v>48</v>
      </c>
      <c r="O1285" s="6" t="s">
        <v>35</v>
      </c>
      <c r="P1285" s="6">
        <f>COUNTIF(Analysis!$M$1:$M$3001,Analysis!$M1285)</f>
        <v>1</v>
      </c>
      <c r="Q1285" s="6" t="str">
        <f>IF(COUNTIF(Analysis!$M$2:$M$3001,Analysis!$M1285)&gt;1,"Duplicate","OK")</f>
        <v>OK</v>
      </c>
      <c r="R1285" s="6" t="str">
        <f t="shared" si="1"/>
        <v>600-1600</v>
      </c>
      <c r="S1285" s="6">
        <f t="shared" si="2"/>
        <v>52</v>
      </c>
      <c r="T1285" s="6" t="str">
        <f t="shared" si="3"/>
        <v>Old</v>
      </c>
    </row>
    <row r="1286" ht="14.25" customHeight="1">
      <c r="A1286" s="5">
        <v>1414762.0</v>
      </c>
      <c r="B1286" s="6" t="s">
        <v>5183</v>
      </c>
      <c r="C1286" s="6" t="s">
        <v>39</v>
      </c>
      <c r="D1286" s="6">
        <v>60812.0</v>
      </c>
      <c r="E1286" s="6" t="s">
        <v>40</v>
      </c>
      <c r="F1286" s="6" t="s">
        <v>61</v>
      </c>
      <c r="G1286" s="6" t="s">
        <v>100</v>
      </c>
      <c r="H1286" s="7">
        <v>2195.0</v>
      </c>
      <c r="I1286" s="7">
        <v>1688.0</v>
      </c>
      <c r="J1286" s="6">
        <v>1982.0</v>
      </c>
      <c r="K1286" s="6">
        <v>88.0</v>
      </c>
      <c r="L1286" s="6" t="s">
        <v>141</v>
      </c>
      <c r="M1286" s="6" t="s">
        <v>5184</v>
      </c>
      <c r="N1286" s="6" t="s">
        <v>34</v>
      </c>
      <c r="O1286" s="6" t="s">
        <v>25</v>
      </c>
      <c r="P1286" s="6">
        <f>COUNTIF(Analysis!$M$1:$M$3001,Analysis!$M1286)</f>
        <v>1</v>
      </c>
      <c r="Q1286" s="6" t="str">
        <f>IF(COUNTIF(Analysis!$M$2:$M$3001,Analysis!$M1286)&gt;1,"Duplicate","OK")</f>
        <v>OK</v>
      </c>
      <c r="R1286" s="6" t="str">
        <f t="shared" si="1"/>
        <v>1600-2600</v>
      </c>
      <c r="S1286" s="6">
        <f t="shared" si="2"/>
        <v>44</v>
      </c>
      <c r="T1286" s="6" t="str">
        <f t="shared" si="3"/>
        <v>Old</v>
      </c>
    </row>
    <row r="1287" ht="14.25" customHeight="1">
      <c r="A1287" s="5">
        <v>878723.0</v>
      </c>
      <c r="B1287" s="6" t="s">
        <v>5187</v>
      </c>
      <c r="C1287" s="6" t="s">
        <v>53</v>
      </c>
      <c r="D1287" s="6">
        <v>65847.0</v>
      </c>
      <c r="E1287" s="6" t="s">
        <v>77</v>
      </c>
      <c r="F1287" s="6" t="s">
        <v>54</v>
      </c>
      <c r="G1287" s="6" t="s">
        <v>21</v>
      </c>
      <c r="H1287" s="7">
        <v>864.0</v>
      </c>
      <c r="I1287" s="7">
        <v>5419.0</v>
      </c>
      <c r="J1287" s="6">
        <v>1982.0</v>
      </c>
      <c r="K1287" s="6">
        <v>35.0</v>
      </c>
      <c r="L1287" s="6" t="s">
        <v>95</v>
      </c>
      <c r="M1287" s="6" t="s">
        <v>5188</v>
      </c>
      <c r="N1287" s="6" t="s">
        <v>64</v>
      </c>
      <c r="O1287" s="6" t="s">
        <v>25</v>
      </c>
      <c r="P1287" s="6">
        <f>COUNTIF(Analysis!$M$1:$M$3001,Analysis!$M1287)</f>
        <v>1</v>
      </c>
      <c r="Q1287" s="6" t="str">
        <f>IF(COUNTIF(Analysis!$M$2:$M$3001,Analysis!$M1287)&gt;1,"Duplicate","OK")</f>
        <v>OK</v>
      </c>
      <c r="R1287" s="6" t="str">
        <f t="shared" si="1"/>
        <v>600-1600</v>
      </c>
      <c r="S1287" s="6">
        <f t="shared" si="2"/>
        <v>44</v>
      </c>
      <c r="T1287" s="6" t="str">
        <f t="shared" si="3"/>
        <v>Old</v>
      </c>
    </row>
    <row r="1288" ht="14.25" customHeight="1">
      <c r="A1288" s="5">
        <v>679584.0</v>
      </c>
      <c r="B1288" s="6" t="s">
        <v>5191</v>
      </c>
      <c r="C1288" s="6" t="s">
        <v>53</v>
      </c>
      <c r="D1288" s="6">
        <v>67572.0</v>
      </c>
      <c r="E1288" s="6" t="s">
        <v>30</v>
      </c>
      <c r="F1288" s="6" t="s">
        <v>41</v>
      </c>
      <c r="G1288" s="6" t="s">
        <v>55</v>
      </c>
      <c r="H1288" s="7">
        <v>2582.0</v>
      </c>
      <c r="I1288" s="7">
        <v>2240.0</v>
      </c>
      <c r="J1288" s="6">
        <v>1956.0</v>
      </c>
      <c r="K1288" s="6">
        <v>92.0</v>
      </c>
      <c r="L1288" s="6" t="s">
        <v>95</v>
      </c>
      <c r="M1288" s="6" t="s">
        <v>5192</v>
      </c>
      <c r="N1288" s="6" t="s">
        <v>48</v>
      </c>
      <c r="O1288" s="6" t="s">
        <v>49</v>
      </c>
      <c r="P1288" s="6">
        <f>COUNTIF(Analysis!$M$1:$M$3001,Analysis!$M1288)</f>
        <v>1</v>
      </c>
      <c r="Q1288" s="6" t="str">
        <f>IF(COUNTIF(Analysis!$M$2:$M$3001,Analysis!$M1288)&gt;1,"Duplicate","OK")</f>
        <v>OK</v>
      </c>
      <c r="R1288" s="6" t="str">
        <f t="shared" si="1"/>
        <v>1600-2600</v>
      </c>
      <c r="S1288" s="6">
        <f t="shared" si="2"/>
        <v>70</v>
      </c>
      <c r="T1288" s="6" t="str">
        <f t="shared" si="3"/>
        <v>Very Old</v>
      </c>
    </row>
    <row r="1289" ht="14.25" customHeight="1">
      <c r="A1289" s="5">
        <v>1117712.0</v>
      </c>
      <c r="B1289" s="6" t="s">
        <v>5195</v>
      </c>
      <c r="C1289" s="6" t="s">
        <v>39</v>
      </c>
      <c r="D1289" s="6">
        <v>19739.0</v>
      </c>
      <c r="E1289" s="6" t="s">
        <v>30</v>
      </c>
      <c r="F1289" s="6" t="s">
        <v>46</v>
      </c>
      <c r="G1289" s="6" t="s">
        <v>100</v>
      </c>
      <c r="H1289" s="7">
        <v>2851.0</v>
      </c>
      <c r="I1289" s="7">
        <v>5486.0</v>
      </c>
      <c r="J1289" s="6">
        <v>1996.0</v>
      </c>
      <c r="K1289" s="6">
        <v>4.0</v>
      </c>
      <c r="L1289" s="6" t="s">
        <v>32</v>
      </c>
      <c r="M1289" s="6" t="s">
        <v>5196</v>
      </c>
      <c r="N1289" s="6" t="s">
        <v>64</v>
      </c>
      <c r="O1289" s="6" t="s">
        <v>49</v>
      </c>
      <c r="P1289" s="6">
        <f>COUNTIF(Analysis!$M$1:$M$3001,Analysis!$M1289)</f>
        <v>1</v>
      </c>
      <c r="Q1289" s="6" t="str">
        <f>IF(COUNTIF(Analysis!$M$2:$M$3001,Analysis!$M1289)&gt;1,"Duplicate","OK")</f>
        <v>OK</v>
      </c>
      <c r="R1289" s="6" t="str">
        <f t="shared" si="1"/>
        <v>2600-3600</v>
      </c>
      <c r="S1289" s="6">
        <f t="shared" si="2"/>
        <v>30</v>
      </c>
      <c r="T1289" s="6" t="str">
        <f t="shared" si="3"/>
        <v>Mid</v>
      </c>
    </row>
    <row r="1290" ht="14.25" customHeight="1">
      <c r="A1290" s="5">
        <v>1358422.0</v>
      </c>
      <c r="B1290" s="6" t="s">
        <v>5199</v>
      </c>
      <c r="C1290" s="6" t="s">
        <v>53</v>
      </c>
      <c r="D1290" s="6">
        <v>15876.0</v>
      </c>
      <c r="E1290" s="6" t="s">
        <v>30</v>
      </c>
      <c r="F1290" s="6" t="s">
        <v>46</v>
      </c>
      <c r="G1290" s="6" t="s">
        <v>55</v>
      </c>
      <c r="H1290" s="7">
        <v>2713.0</v>
      </c>
      <c r="I1290" s="7">
        <v>7623.0</v>
      </c>
      <c r="J1290" s="6">
        <v>2011.0</v>
      </c>
      <c r="K1290" s="6">
        <v>109.0</v>
      </c>
      <c r="L1290" s="6" t="s">
        <v>22</v>
      </c>
      <c r="M1290" s="6" t="s">
        <v>5200</v>
      </c>
      <c r="N1290" s="6" t="s">
        <v>48</v>
      </c>
      <c r="O1290" s="6" t="s">
        <v>25</v>
      </c>
      <c r="P1290" s="6">
        <f>COUNTIF(Analysis!$M$1:$M$3001,Analysis!$M1290)</f>
        <v>1</v>
      </c>
      <c r="Q1290" s="6" t="str">
        <f>IF(COUNTIF(Analysis!$M$2:$M$3001,Analysis!$M1290)&gt;1,"Duplicate","OK")</f>
        <v>OK</v>
      </c>
      <c r="R1290" s="6" t="str">
        <f t="shared" si="1"/>
        <v>2600-3600</v>
      </c>
      <c r="S1290" s="6">
        <f t="shared" si="2"/>
        <v>15</v>
      </c>
      <c r="T1290" s="6" t="str">
        <f t="shared" si="3"/>
        <v>Mid</v>
      </c>
    </row>
    <row r="1291" ht="14.25" customHeight="1">
      <c r="A1291" s="5">
        <v>262520.0</v>
      </c>
      <c r="B1291" s="6" t="s">
        <v>5203</v>
      </c>
      <c r="C1291" s="6" t="s">
        <v>76</v>
      </c>
      <c r="D1291" s="6">
        <v>65506.0</v>
      </c>
      <c r="E1291" s="6" t="s">
        <v>19</v>
      </c>
      <c r="F1291" s="6" t="s">
        <v>46</v>
      </c>
      <c r="G1291" s="6" t="s">
        <v>100</v>
      </c>
      <c r="H1291" s="7">
        <v>2004.0</v>
      </c>
      <c r="I1291" s="7">
        <v>6301.0</v>
      </c>
      <c r="J1291" s="6">
        <v>2006.0</v>
      </c>
      <c r="K1291" s="6">
        <v>42.0</v>
      </c>
      <c r="L1291" s="6" t="s">
        <v>32</v>
      </c>
      <c r="M1291" s="6" t="s">
        <v>5204</v>
      </c>
      <c r="N1291" s="6" t="s">
        <v>34</v>
      </c>
      <c r="O1291" s="6" t="s">
        <v>25</v>
      </c>
      <c r="P1291" s="6">
        <f>COUNTIF(Analysis!$M$1:$M$3001,Analysis!$M1291)</f>
        <v>1</v>
      </c>
      <c r="Q1291" s="6" t="str">
        <f>IF(COUNTIF(Analysis!$M$2:$M$3001,Analysis!$M1291)&gt;1,"Duplicate","OK")</f>
        <v>OK</v>
      </c>
      <c r="R1291" s="6" t="str">
        <f t="shared" si="1"/>
        <v>1600-2600</v>
      </c>
      <c r="S1291" s="6">
        <f t="shared" si="2"/>
        <v>20</v>
      </c>
      <c r="T1291" s="6" t="str">
        <f t="shared" si="3"/>
        <v>Mid</v>
      </c>
    </row>
    <row r="1292" ht="14.25" customHeight="1">
      <c r="A1292" s="5">
        <v>721359.0</v>
      </c>
      <c r="B1292" s="6" t="s">
        <v>9895</v>
      </c>
      <c r="C1292" s="6" t="s">
        <v>29</v>
      </c>
      <c r="D1292" s="6">
        <v>31513.0</v>
      </c>
      <c r="E1292" s="6" t="s">
        <v>77</v>
      </c>
      <c r="F1292" s="6" t="s">
        <v>20</v>
      </c>
      <c r="G1292" s="6" t="s">
        <v>55</v>
      </c>
      <c r="H1292" s="7">
        <v>985.0</v>
      </c>
      <c r="I1292" s="7">
        <v>8716.0</v>
      </c>
      <c r="J1292" s="6">
        <v>2019.0</v>
      </c>
      <c r="K1292" s="6">
        <v>11.0</v>
      </c>
      <c r="L1292" s="6" t="s">
        <v>141</v>
      </c>
      <c r="M1292" s="6" t="s">
        <v>9896</v>
      </c>
      <c r="N1292" s="6" t="s">
        <v>24</v>
      </c>
      <c r="O1292" s="6" t="s">
        <v>49</v>
      </c>
      <c r="P1292" s="6">
        <f>COUNTIF(Analysis!$M$1:$M$3001,Analysis!$M2465)</f>
        <v>1</v>
      </c>
      <c r="Q1292" s="6" t="str">
        <f>IF(COUNTIF(Analysis!$M$2:$M$3001,Analysis!$M2465)&gt;1,"Duplicate","OK")</f>
        <v>OK</v>
      </c>
      <c r="R1292" s="6" t="str">
        <f t="shared" si="1"/>
        <v>600-1600</v>
      </c>
      <c r="S1292" s="6">
        <f t="shared" si="2"/>
        <v>7</v>
      </c>
      <c r="T1292" s="6" t="str">
        <f t="shared" si="3"/>
        <v>New</v>
      </c>
    </row>
    <row r="1293" ht="14.25" customHeight="1">
      <c r="A1293" s="5">
        <v>1280348.0</v>
      </c>
      <c r="B1293" s="6" t="s">
        <v>5211</v>
      </c>
      <c r="C1293" s="6" t="s">
        <v>18</v>
      </c>
      <c r="D1293" s="6">
        <v>49271.0</v>
      </c>
      <c r="E1293" s="6" t="s">
        <v>19</v>
      </c>
      <c r="F1293" s="6" t="s">
        <v>54</v>
      </c>
      <c r="G1293" s="6" t="s">
        <v>31</v>
      </c>
      <c r="H1293" s="7">
        <v>1854.0</v>
      </c>
      <c r="I1293" s="7">
        <v>4742.0</v>
      </c>
      <c r="J1293" s="6">
        <v>1958.0</v>
      </c>
      <c r="K1293" s="6">
        <v>12.0</v>
      </c>
      <c r="L1293" s="6" t="s">
        <v>32</v>
      </c>
      <c r="M1293" s="6" t="s">
        <v>5212</v>
      </c>
      <c r="N1293" s="6" t="s">
        <v>48</v>
      </c>
      <c r="O1293" s="6" t="s">
        <v>49</v>
      </c>
      <c r="P1293" s="6">
        <f>COUNTIF(Analysis!$M$1:$M$3001,Analysis!$M1293)</f>
        <v>1</v>
      </c>
      <c r="Q1293" s="6" t="str">
        <f>IF(COUNTIF(Analysis!$M$2:$M$3001,Analysis!$M1293)&gt;1,"Duplicate","OK")</f>
        <v>OK</v>
      </c>
      <c r="R1293" s="6" t="str">
        <f t="shared" si="1"/>
        <v>1600-2600</v>
      </c>
      <c r="S1293" s="6">
        <f t="shared" si="2"/>
        <v>68</v>
      </c>
      <c r="T1293" s="6" t="str">
        <f t="shared" si="3"/>
        <v>Very Old</v>
      </c>
    </row>
    <row r="1294" ht="14.25" customHeight="1">
      <c r="A1294" s="5">
        <v>1020459.0</v>
      </c>
      <c r="B1294" s="6" t="s">
        <v>5215</v>
      </c>
      <c r="C1294" s="6" t="s">
        <v>39</v>
      </c>
      <c r="D1294" s="6">
        <v>48167.0</v>
      </c>
      <c r="E1294" s="6" t="s">
        <v>60</v>
      </c>
      <c r="F1294" s="6" t="s">
        <v>54</v>
      </c>
      <c r="G1294" s="6" t="s">
        <v>55</v>
      </c>
      <c r="H1294" s="7">
        <v>3848.0</v>
      </c>
      <c r="I1294" s="7">
        <v>9495.0</v>
      </c>
      <c r="J1294" s="6">
        <v>1986.0</v>
      </c>
      <c r="K1294" s="6">
        <v>24.0</v>
      </c>
      <c r="L1294" s="6" t="s">
        <v>32</v>
      </c>
      <c r="M1294" s="6" t="s">
        <v>5216</v>
      </c>
      <c r="N1294" s="6" t="s">
        <v>64</v>
      </c>
      <c r="O1294" s="6" t="s">
        <v>25</v>
      </c>
      <c r="P1294" s="6">
        <f>COUNTIF(Analysis!$M$1:$M$3001,Analysis!$M1294)</f>
        <v>1</v>
      </c>
      <c r="Q1294" s="6" t="str">
        <f>IF(COUNTIF(Analysis!$M$2:$M$3001,Analysis!$M1294)&gt;1,"Duplicate","OK")</f>
        <v>OK</v>
      </c>
      <c r="R1294" s="6" t="str">
        <f t="shared" si="1"/>
        <v>3600+</v>
      </c>
      <c r="S1294" s="6">
        <f t="shared" si="2"/>
        <v>40</v>
      </c>
      <c r="T1294" s="6" t="str">
        <f t="shared" si="3"/>
        <v>Old</v>
      </c>
    </row>
    <row r="1295" ht="14.25" customHeight="1">
      <c r="A1295" s="5">
        <v>503512.0</v>
      </c>
      <c r="B1295" s="6" t="s">
        <v>5219</v>
      </c>
      <c r="C1295" s="6" t="s">
        <v>76</v>
      </c>
      <c r="D1295" s="6">
        <v>53010.0</v>
      </c>
      <c r="E1295" s="6" t="s">
        <v>60</v>
      </c>
      <c r="F1295" s="6" t="s">
        <v>20</v>
      </c>
      <c r="G1295" s="6" t="s">
        <v>21</v>
      </c>
      <c r="H1295" s="7">
        <v>2445.0</v>
      </c>
      <c r="I1295" s="7">
        <v>9036.0</v>
      </c>
      <c r="J1295" s="6">
        <v>1950.0</v>
      </c>
      <c r="K1295" s="6">
        <v>4.0</v>
      </c>
      <c r="L1295" s="6" t="s">
        <v>32</v>
      </c>
      <c r="M1295" s="6" t="s">
        <v>5220</v>
      </c>
      <c r="N1295" s="6" t="s">
        <v>64</v>
      </c>
      <c r="O1295" s="6" t="s">
        <v>25</v>
      </c>
      <c r="P1295" s="6">
        <f>COUNTIF(Analysis!$M$1:$M$3001,Analysis!$M1295)</f>
        <v>1</v>
      </c>
      <c r="Q1295" s="6" t="str">
        <f>IF(COUNTIF(Analysis!$M$2:$M$3001,Analysis!$M1295)&gt;1,"Duplicate","OK")</f>
        <v>OK</v>
      </c>
      <c r="R1295" s="6" t="str">
        <f t="shared" si="1"/>
        <v>1600-2600</v>
      </c>
      <c r="S1295" s="6">
        <f t="shared" si="2"/>
        <v>76</v>
      </c>
      <c r="T1295" s="6" t="str">
        <f t="shared" si="3"/>
        <v>Very Old</v>
      </c>
    </row>
    <row r="1296" ht="14.25" customHeight="1">
      <c r="A1296" s="5">
        <v>723940.0</v>
      </c>
      <c r="B1296" s="6" t="s">
        <v>5990</v>
      </c>
      <c r="C1296" s="6" t="s">
        <v>29</v>
      </c>
      <c r="D1296" s="6">
        <v>34006.0</v>
      </c>
      <c r="E1296" s="6" t="s">
        <v>60</v>
      </c>
      <c r="F1296" s="6" t="s">
        <v>46</v>
      </c>
      <c r="G1296" s="6" t="s">
        <v>55</v>
      </c>
      <c r="H1296" s="7">
        <v>1417.0</v>
      </c>
      <c r="I1296" s="7">
        <v>2272.0</v>
      </c>
      <c r="J1296" s="6">
        <v>1967.0</v>
      </c>
      <c r="K1296" s="6">
        <v>16.0</v>
      </c>
      <c r="L1296" s="6" t="s">
        <v>22</v>
      </c>
      <c r="M1296" s="6" t="s">
        <v>5991</v>
      </c>
      <c r="N1296" s="6" t="s">
        <v>24</v>
      </c>
      <c r="O1296" s="6" t="s">
        <v>35</v>
      </c>
      <c r="P1296" s="6">
        <f>COUNTIF(Analysis!$M$1:$M$3001,Analysis!$M1488)</f>
        <v>1</v>
      </c>
      <c r="Q1296" s="6" t="str">
        <f>IF(COUNTIF(Analysis!$M$2:$M$3001,Analysis!$M1488)&gt;1,"Duplicate","OK")</f>
        <v>OK</v>
      </c>
      <c r="R1296" s="6" t="str">
        <f t="shared" si="1"/>
        <v>600-1600</v>
      </c>
      <c r="S1296" s="6">
        <f t="shared" si="2"/>
        <v>59</v>
      </c>
      <c r="T1296" s="6" t="str">
        <f t="shared" si="3"/>
        <v>Old</v>
      </c>
    </row>
    <row r="1297" ht="14.25" customHeight="1">
      <c r="A1297" s="5">
        <v>1209761.0</v>
      </c>
      <c r="B1297" s="6" t="s">
        <v>5227</v>
      </c>
      <c r="C1297" s="6" t="s">
        <v>53</v>
      </c>
      <c r="D1297" s="6">
        <v>11524.0</v>
      </c>
      <c r="E1297" s="6" t="s">
        <v>30</v>
      </c>
      <c r="F1297" s="6" t="s">
        <v>54</v>
      </c>
      <c r="G1297" s="6" t="s">
        <v>55</v>
      </c>
      <c r="H1297" s="7">
        <v>3857.0</v>
      </c>
      <c r="I1297" s="7">
        <v>7562.0</v>
      </c>
      <c r="J1297" s="6">
        <v>1981.0</v>
      </c>
      <c r="K1297" s="6">
        <v>71.0</v>
      </c>
      <c r="L1297" s="6" t="s">
        <v>32</v>
      </c>
      <c r="M1297" s="6" t="s">
        <v>5228</v>
      </c>
      <c r="N1297" s="6" t="s">
        <v>43</v>
      </c>
      <c r="O1297" s="6" t="s">
        <v>25</v>
      </c>
      <c r="P1297" s="6">
        <f>COUNTIF(Analysis!$M$1:$M$3001,Analysis!$M1297)</f>
        <v>1</v>
      </c>
      <c r="Q1297" s="6" t="str">
        <f>IF(COUNTIF(Analysis!$M$2:$M$3001,Analysis!$M1297)&gt;1,"Duplicate","OK")</f>
        <v>OK</v>
      </c>
      <c r="R1297" s="6" t="str">
        <f t="shared" si="1"/>
        <v>3600+</v>
      </c>
      <c r="S1297" s="6">
        <f t="shared" si="2"/>
        <v>45</v>
      </c>
      <c r="T1297" s="6" t="str">
        <f t="shared" si="3"/>
        <v>Old</v>
      </c>
    </row>
    <row r="1298" ht="14.25" customHeight="1">
      <c r="A1298" s="5">
        <v>1379446.0</v>
      </c>
      <c r="B1298" s="6" t="s">
        <v>5231</v>
      </c>
      <c r="C1298" s="6" t="s">
        <v>76</v>
      </c>
      <c r="D1298" s="6">
        <v>48164.0</v>
      </c>
      <c r="E1298" s="6" t="s">
        <v>30</v>
      </c>
      <c r="F1298" s="6" t="s">
        <v>20</v>
      </c>
      <c r="G1298" s="6" t="s">
        <v>55</v>
      </c>
      <c r="H1298" s="7">
        <v>1477.0</v>
      </c>
      <c r="I1298" s="7">
        <v>9667.0</v>
      </c>
      <c r="J1298" s="6">
        <v>1983.0</v>
      </c>
      <c r="K1298" s="6">
        <v>48.0</v>
      </c>
      <c r="L1298" s="6" t="s">
        <v>22</v>
      </c>
      <c r="M1298" s="6" t="s">
        <v>5232</v>
      </c>
      <c r="N1298" s="6" t="s">
        <v>34</v>
      </c>
      <c r="O1298" s="6" t="s">
        <v>49</v>
      </c>
      <c r="P1298" s="6">
        <f>COUNTIF(Analysis!$M$1:$M$3001,Analysis!$M1298)</f>
        <v>1</v>
      </c>
      <c r="Q1298" s="6" t="str">
        <f>IF(COUNTIF(Analysis!$M$2:$M$3001,Analysis!$M1298)&gt;1,"Duplicate","OK")</f>
        <v>OK</v>
      </c>
      <c r="R1298" s="6" t="str">
        <f t="shared" si="1"/>
        <v>600-1600</v>
      </c>
      <c r="S1298" s="6">
        <f t="shared" si="2"/>
        <v>43</v>
      </c>
      <c r="T1298" s="6" t="str">
        <f t="shared" si="3"/>
        <v>Old</v>
      </c>
    </row>
    <row r="1299" ht="14.25" customHeight="1">
      <c r="A1299" s="5">
        <v>725022.0</v>
      </c>
      <c r="B1299" s="6" t="s">
        <v>9111</v>
      </c>
      <c r="C1299" s="6" t="s">
        <v>29</v>
      </c>
      <c r="D1299" s="6">
        <v>69172.0</v>
      </c>
      <c r="E1299" s="6" t="s">
        <v>30</v>
      </c>
      <c r="F1299" s="6" t="s">
        <v>54</v>
      </c>
      <c r="G1299" s="6" t="s">
        <v>100</v>
      </c>
      <c r="H1299" s="7">
        <v>1751.0</v>
      </c>
      <c r="I1299" s="7">
        <v>9808.0</v>
      </c>
      <c r="J1299" s="6">
        <v>2020.0</v>
      </c>
      <c r="K1299" s="6">
        <v>39.0</v>
      </c>
      <c r="L1299" s="6" t="s">
        <v>22</v>
      </c>
      <c r="M1299" s="6" t="s">
        <v>9112</v>
      </c>
      <c r="N1299" s="6" t="s">
        <v>24</v>
      </c>
      <c r="O1299" s="6" t="s">
        <v>35</v>
      </c>
      <c r="P1299" s="6">
        <f>COUNTIF(Analysis!$M$1:$M$3001,Analysis!$M2269)</f>
        <v>1</v>
      </c>
      <c r="Q1299" s="6" t="str">
        <f>IF(COUNTIF(Analysis!$M$2:$M$3001,Analysis!$M2269)&gt;1,"Duplicate","OK")</f>
        <v>OK</v>
      </c>
      <c r="R1299" s="6" t="str">
        <f t="shared" si="1"/>
        <v>1600-2600</v>
      </c>
      <c r="S1299" s="6">
        <f t="shared" si="2"/>
        <v>6</v>
      </c>
      <c r="T1299" s="6" t="str">
        <f t="shared" si="3"/>
        <v>New</v>
      </c>
    </row>
    <row r="1300" ht="14.25" customHeight="1">
      <c r="A1300" s="5">
        <v>727665.0</v>
      </c>
      <c r="B1300" s="6" t="s">
        <v>5063</v>
      </c>
      <c r="C1300" s="6" t="s">
        <v>29</v>
      </c>
      <c r="D1300" s="6">
        <v>57242.0</v>
      </c>
      <c r="E1300" s="6" t="s">
        <v>19</v>
      </c>
      <c r="F1300" s="6" t="s">
        <v>41</v>
      </c>
      <c r="G1300" s="6" t="s">
        <v>100</v>
      </c>
      <c r="H1300" s="7">
        <v>3329.0</v>
      </c>
      <c r="I1300" s="7">
        <v>9314.0</v>
      </c>
      <c r="J1300" s="6">
        <v>1971.0</v>
      </c>
      <c r="K1300" s="6">
        <v>72.0</v>
      </c>
      <c r="L1300" s="6" t="s">
        <v>95</v>
      </c>
      <c r="M1300" s="6" t="s">
        <v>5064</v>
      </c>
      <c r="N1300" s="6" t="s">
        <v>43</v>
      </c>
      <c r="O1300" s="6" t="s">
        <v>25</v>
      </c>
      <c r="P1300" s="6">
        <f>COUNTIF(Analysis!$M$1:$M$3001,Analysis!$M1256)</f>
        <v>1</v>
      </c>
      <c r="Q1300" s="6" t="str">
        <f>IF(COUNTIF(Analysis!$M$2:$M$3001,Analysis!$M1256)&gt;1,"Duplicate","OK")</f>
        <v>OK</v>
      </c>
      <c r="R1300" s="6" t="str">
        <f t="shared" si="1"/>
        <v>2600-3600</v>
      </c>
      <c r="S1300" s="6">
        <f t="shared" si="2"/>
        <v>55</v>
      </c>
      <c r="T1300" s="6" t="str">
        <f t="shared" si="3"/>
        <v>Old</v>
      </c>
    </row>
    <row r="1301" ht="14.25" customHeight="1">
      <c r="A1301" s="5">
        <v>1179701.0</v>
      </c>
      <c r="B1301" s="6" t="s">
        <v>5243</v>
      </c>
      <c r="C1301" s="6" t="s">
        <v>76</v>
      </c>
      <c r="D1301" s="6">
        <v>40966.0</v>
      </c>
      <c r="E1301" s="6" t="s">
        <v>30</v>
      </c>
      <c r="F1301" s="6" t="s">
        <v>61</v>
      </c>
      <c r="G1301" s="6" t="s">
        <v>55</v>
      </c>
      <c r="H1301" s="7">
        <v>1558.0</v>
      </c>
      <c r="I1301" s="7">
        <v>4276.0</v>
      </c>
      <c r="J1301" s="6">
        <v>1969.0</v>
      </c>
      <c r="K1301" s="6">
        <v>98.0</v>
      </c>
      <c r="L1301" s="6" t="s">
        <v>95</v>
      </c>
      <c r="M1301" s="6" t="s">
        <v>5244</v>
      </c>
      <c r="N1301" s="6" t="s">
        <v>34</v>
      </c>
      <c r="O1301" s="6" t="s">
        <v>49</v>
      </c>
      <c r="P1301" s="6">
        <f>COUNTIF(Analysis!$M$1:$M$3001,Analysis!$M1301)</f>
        <v>1</v>
      </c>
      <c r="Q1301" s="6" t="str">
        <f>IF(COUNTIF(Analysis!$M$2:$M$3001,Analysis!$M1301)&gt;1,"Duplicate","OK")</f>
        <v>OK</v>
      </c>
      <c r="R1301" s="6" t="str">
        <f t="shared" si="1"/>
        <v>600-1600</v>
      </c>
      <c r="S1301" s="6">
        <f t="shared" si="2"/>
        <v>57</v>
      </c>
      <c r="T1301" s="6" t="str">
        <f t="shared" si="3"/>
        <v>Old</v>
      </c>
    </row>
    <row r="1302" ht="14.25" customHeight="1">
      <c r="A1302" s="5">
        <v>1426326.0</v>
      </c>
      <c r="B1302" s="6" t="s">
        <v>5247</v>
      </c>
      <c r="C1302" s="6" t="s">
        <v>76</v>
      </c>
      <c r="D1302" s="6">
        <v>88991.0</v>
      </c>
      <c r="E1302" s="6" t="s">
        <v>60</v>
      </c>
      <c r="F1302" s="6" t="s">
        <v>54</v>
      </c>
      <c r="G1302" s="6" t="s">
        <v>100</v>
      </c>
      <c r="H1302" s="7">
        <v>3449.0</v>
      </c>
      <c r="I1302" s="7">
        <v>4147.0</v>
      </c>
      <c r="J1302" s="6">
        <v>1959.0</v>
      </c>
      <c r="K1302" s="6">
        <v>59.0</v>
      </c>
      <c r="L1302" s="6" t="s">
        <v>32</v>
      </c>
      <c r="M1302" s="6" t="s">
        <v>5248</v>
      </c>
      <c r="N1302" s="6" t="s">
        <v>43</v>
      </c>
      <c r="O1302" s="6" t="s">
        <v>35</v>
      </c>
      <c r="P1302" s="6">
        <f>COUNTIF(Analysis!$M$1:$M$3001,Analysis!$M1302)</f>
        <v>1</v>
      </c>
      <c r="Q1302" s="6" t="str">
        <f>IF(COUNTIF(Analysis!$M$2:$M$3001,Analysis!$M1302)&gt;1,"Duplicate","OK")</f>
        <v>OK</v>
      </c>
      <c r="R1302" s="6" t="str">
        <f t="shared" si="1"/>
        <v>2600-3600</v>
      </c>
      <c r="S1302" s="6">
        <f t="shared" si="2"/>
        <v>67</v>
      </c>
      <c r="T1302" s="6" t="str">
        <f t="shared" si="3"/>
        <v>Very Old</v>
      </c>
    </row>
    <row r="1303" ht="14.25" customHeight="1">
      <c r="A1303" s="5">
        <v>211750.0</v>
      </c>
      <c r="B1303" s="6" t="s">
        <v>5251</v>
      </c>
      <c r="C1303" s="6" t="s">
        <v>39</v>
      </c>
      <c r="D1303" s="6">
        <v>46838.0</v>
      </c>
      <c r="E1303" s="6" t="s">
        <v>60</v>
      </c>
      <c r="F1303" s="6" t="s">
        <v>46</v>
      </c>
      <c r="G1303" s="6" t="s">
        <v>100</v>
      </c>
      <c r="H1303" s="7">
        <v>3489.0</v>
      </c>
      <c r="I1303" s="7">
        <v>8552.0</v>
      </c>
      <c r="J1303" s="6">
        <v>2019.0</v>
      </c>
      <c r="K1303" s="6">
        <v>109.0</v>
      </c>
      <c r="L1303" s="6" t="s">
        <v>62</v>
      </c>
      <c r="M1303" s="6" t="s">
        <v>5252</v>
      </c>
      <c r="N1303" s="6" t="s">
        <v>64</v>
      </c>
      <c r="O1303" s="6" t="s">
        <v>25</v>
      </c>
      <c r="P1303" s="6">
        <f>COUNTIF(Analysis!$M$1:$M$3001,Analysis!$M1303)</f>
        <v>1</v>
      </c>
      <c r="Q1303" s="6" t="str">
        <f>IF(COUNTIF(Analysis!$M$2:$M$3001,Analysis!$M1303)&gt;1,"Duplicate","OK")</f>
        <v>OK</v>
      </c>
      <c r="R1303" s="6" t="str">
        <f t="shared" si="1"/>
        <v>2600-3600</v>
      </c>
      <c r="S1303" s="6">
        <f t="shared" si="2"/>
        <v>7</v>
      </c>
      <c r="T1303" s="6" t="str">
        <f t="shared" si="3"/>
        <v>New</v>
      </c>
    </row>
    <row r="1304" ht="14.25" customHeight="1">
      <c r="A1304" s="5">
        <v>730201.0</v>
      </c>
      <c r="B1304" s="6" t="s">
        <v>4511</v>
      </c>
      <c r="C1304" s="6" t="s">
        <v>29</v>
      </c>
      <c r="D1304" s="6">
        <v>98952.0</v>
      </c>
      <c r="E1304" s="6" t="s">
        <v>40</v>
      </c>
      <c r="F1304" s="6" t="s">
        <v>94</v>
      </c>
      <c r="G1304" s="6" t="s">
        <v>31</v>
      </c>
      <c r="H1304" s="7">
        <v>1507.0</v>
      </c>
      <c r="I1304" s="7">
        <v>9093.0</v>
      </c>
      <c r="J1304" s="6">
        <v>1964.0</v>
      </c>
      <c r="K1304" s="6">
        <v>24.0</v>
      </c>
      <c r="L1304" s="6" t="s">
        <v>141</v>
      </c>
      <c r="M1304" s="6" t="s">
        <v>4512</v>
      </c>
      <c r="N1304" s="6" t="s">
        <v>34</v>
      </c>
      <c r="O1304" s="6" t="s">
        <v>49</v>
      </c>
      <c r="P1304" s="6">
        <f>COUNTIF(Analysis!$M$1:$M$3001,Analysis!$M1118)</f>
        <v>1</v>
      </c>
      <c r="Q1304" s="6" t="str">
        <f>IF(COUNTIF(Analysis!$M$2:$M$3001,Analysis!$M1118)&gt;1,"Duplicate","OK")</f>
        <v>OK</v>
      </c>
      <c r="R1304" s="6" t="str">
        <f t="shared" si="1"/>
        <v>600-1600</v>
      </c>
      <c r="S1304" s="6">
        <f t="shared" si="2"/>
        <v>62</v>
      </c>
      <c r="T1304" s="6" t="str">
        <f t="shared" si="3"/>
        <v>Very Old</v>
      </c>
    </row>
    <row r="1305" ht="14.25" customHeight="1">
      <c r="A1305" s="5">
        <v>937185.0</v>
      </c>
      <c r="B1305" s="6" t="s">
        <v>5259</v>
      </c>
      <c r="C1305" s="6" t="s">
        <v>53</v>
      </c>
      <c r="D1305" s="6">
        <v>23918.0</v>
      </c>
      <c r="E1305" s="6" t="s">
        <v>30</v>
      </c>
      <c r="F1305" s="6" t="s">
        <v>41</v>
      </c>
      <c r="G1305" s="6" t="s">
        <v>31</v>
      </c>
      <c r="H1305" s="7">
        <v>3726.0</v>
      </c>
      <c r="I1305" s="7">
        <v>9658.0</v>
      </c>
      <c r="J1305" s="6">
        <v>1979.0</v>
      </c>
      <c r="K1305" s="6">
        <v>18.0</v>
      </c>
      <c r="L1305" s="6" t="s">
        <v>62</v>
      </c>
      <c r="M1305" s="6" t="s">
        <v>5260</v>
      </c>
      <c r="N1305" s="6" t="s">
        <v>24</v>
      </c>
      <c r="O1305" s="6" t="s">
        <v>25</v>
      </c>
      <c r="P1305" s="6">
        <f>COUNTIF(Analysis!$M$1:$M$3001,Analysis!$M1305)</f>
        <v>1</v>
      </c>
      <c r="Q1305" s="6" t="str">
        <f>IF(COUNTIF(Analysis!$M$2:$M$3001,Analysis!$M1305)&gt;1,"Duplicate","OK")</f>
        <v>OK</v>
      </c>
      <c r="R1305" s="6" t="str">
        <f t="shared" si="1"/>
        <v>3600+</v>
      </c>
      <c r="S1305" s="6">
        <f t="shared" si="2"/>
        <v>47</v>
      </c>
      <c r="T1305" s="6" t="str">
        <f t="shared" si="3"/>
        <v>Old</v>
      </c>
    </row>
    <row r="1306" ht="14.25" customHeight="1">
      <c r="A1306" s="5">
        <v>191426.0</v>
      </c>
      <c r="B1306" s="6" t="s">
        <v>5263</v>
      </c>
      <c r="C1306" s="6" t="s">
        <v>53</v>
      </c>
      <c r="D1306" s="6">
        <v>82076.0</v>
      </c>
      <c r="E1306" s="6" t="s">
        <v>30</v>
      </c>
      <c r="F1306" s="6" t="s">
        <v>20</v>
      </c>
      <c r="G1306" s="6" t="s">
        <v>100</v>
      </c>
      <c r="H1306" s="7">
        <v>615.0</v>
      </c>
      <c r="I1306" s="7">
        <v>6583.0</v>
      </c>
      <c r="J1306" s="6">
        <v>2003.0</v>
      </c>
      <c r="K1306" s="6">
        <v>106.0</v>
      </c>
      <c r="L1306" s="6" t="s">
        <v>32</v>
      </c>
      <c r="M1306" s="6" t="s">
        <v>5264</v>
      </c>
      <c r="N1306" s="6" t="s">
        <v>34</v>
      </c>
      <c r="O1306" s="6" t="s">
        <v>35</v>
      </c>
      <c r="P1306" s="6">
        <f>COUNTIF(Analysis!$M$1:$M$3001,Analysis!$M1306)</f>
        <v>1</v>
      </c>
      <c r="Q1306" s="6" t="str">
        <f>IF(COUNTIF(Analysis!$M$2:$M$3001,Analysis!$M1306)&gt;1,"Duplicate","OK")</f>
        <v>OK</v>
      </c>
      <c r="R1306" s="6" t="str">
        <f t="shared" si="1"/>
        <v>600-1600</v>
      </c>
      <c r="S1306" s="6">
        <f t="shared" si="2"/>
        <v>23</v>
      </c>
      <c r="T1306" s="6" t="str">
        <f t="shared" si="3"/>
        <v>Mid</v>
      </c>
    </row>
    <row r="1307" ht="14.25" customHeight="1">
      <c r="A1307" s="5">
        <v>706620.0</v>
      </c>
      <c r="B1307" s="6" t="s">
        <v>5267</v>
      </c>
      <c r="C1307" s="6" t="s">
        <v>53</v>
      </c>
      <c r="D1307" s="6">
        <v>14373.0</v>
      </c>
      <c r="E1307" s="6" t="s">
        <v>40</v>
      </c>
      <c r="F1307" s="6" t="s">
        <v>46</v>
      </c>
      <c r="G1307" s="6" t="s">
        <v>31</v>
      </c>
      <c r="H1307" s="7">
        <v>3782.0</v>
      </c>
      <c r="I1307" s="7">
        <v>3790.0</v>
      </c>
      <c r="J1307" s="6">
        <v>2011.0</v>
      </c>
      <c r="K1307" s="6">
        <v>105.0</v>
      </c>
      <c r="L1307" s="6" t="s">
        <v>32</v>
      </c>
      <c r="M1307" s="6" t="s">
        <v>5268</v>
      </c>
      <c r="N1307" s="6" t="s">
        <v>34</v>
      </c>
      <c r="O1307" s="6" t="s">
        <v>25</v>
      </c>
      <c r="P1307" s="6">
        <f>COUNTIF(Analysis!$M$1:$M$3001,Analysis!$M1307)</f>
        <v>1</v>
      </c>
      <c r="Q1307" s="6" t="str">
        <f>IF(COUNTIF(Analysis!$M$2:$M$3001,Analysis!$M1307)&gt;1,"Duplicate","OK")</f>
        <v>OK</v>
      </c>
      <c r="R1307" s="6" t="str">
        <f t="shared" si="1"/>
        <v>3600+</v>
      </c>
      <c r="S1307" s="6">
        <f t="shared" si="2"/>
        <v>15</v>
      </c>
      <c r="T1307" s="6" t="str">
        <f t="shared" si="3"/>
        <v>Mid</v>
      </c>
    </row>
    <row r="1308" ht="14.25" customHeight="1">
      <c r="A1308" s="5">
        <v>730231.0</v>
      </c>
      <c r="B1308" s="6" t="s">
        <v>8472</v>
      </c>
      <c r="C1308" s="6" t="s">
        <v>29</v>
      </c>
      <c r="D1308" s="6">
        <v>22001.0</v>
      </c>
      <c r="E1308" s="6" t="s">
        <v>19</v>
      </c>
      <c r="F1308" s="6" t="s">
        <v>54</v>
      </c>
      <c r="G1308" s="6" t="s">
        <v>100</v>
      </c>
      <c r="H1308" s="7">
        <v>3842.0</v>
      </c>
      <c r="I1308" s="7">
        <v>1098.0</v>
      </c>
      <c r="J1308" s="6">
        <v>1982.0</v>
      </c>
      <c r="K1308" s="6">
        <v>55.0</v>
      </c>
      <c r="L1308" s="6" t="s">
        <v>32</v>
      </c>
      <c r="M1308" s="6" t="s">
        <v>8473</v>
      </c>
      <c r="N1308" s="6" t="s">
        <v>34</v>
      </c>
      <c r="O1308" s="6" t="s">
        <v>25</v>
      </c>
      <c r="P1308" s="6">
        <f>COUNTIF(Analysis!$M$1:$M$3001,Analysis!$M2109)</f>
        <v>1</v>
      </c>
      <c r="Q1308" s="6" t="str">
        <f>IF(COUNTIF(Analysis!$M$2:$M$3001,Analysis!$M2109)&gt;1,"Duplicate","OK")</f>
        <v>OK</v>
      </c>
      <c r="R1308" s="6" t="str">
        <f t="shared" si="1"/>
        <v>3600+</v>
      </c>
      <c r="S1308" s="6">
        <f t="shared" si="2"/>
        <v>44</v>
      </c>
      <c r="T1308" s="6" t="str">
        <f t="shared" si="3"/>
        <v>Old</v>
      </c>
    </row>
    <row r="1309" ht="14.25" customHeight="1">
      <c r="A1309" s="5">
        <v>929559.0</v>
      </c>
      <c r="B1309" s="6" t="s">
        <v>5275</v>
      </c>
      <c r="C1309" s="6" t="s">
        <v>18</v>
      </c>
      <c r="D1309" s="6">
        <v>49755.0</v>
      </c>
      <c r="E1309" s="6" t="s">
        <v>60</v>
      </c>
      <c r="F1309" s="6" t="s">
        <v>20</v>
      </c>
      <c r="G1309" s="6" t="s">
        <v>31</v>
      </c>
      <c r="H1309" s="7">
        <v>3646.0</v>
      </c>
      <c r="I1309" s="7">
        <v>1948.0</v>
      </c>
      <c r="J1309" s="6">
        <v>1978.0</v>
      </c>
      <c r="K1309" s="6">
        <v>58.0</v>
      </c>
      <c r="L1309" s="6" t="s">
        <v>95</v>
      </c>
      <c r="M1309" s="6" t="s">
        <v>5276</v>
      </c>
      <c r="N1309" s="6" t="s">
        <v>48</v>
      </c>
      <c r="O1309" s="6" t="s">
        <v>35</v>
      </c>
      <c r="P1309" s="6">
        <f>COUNTIF(Analysis!$M$1:$M$3001,Analysis!$M1309)</f>
        <v>1</v>
      </c>
      <c r="Q1309" s="6" t="str">
        <f>IF(COUNTIF(Analysis!$M$2:$M$3001,Analysis!$M1309)&gt;1,"Duplicate","OK")</f>
        <v>OK</v>
      </c>
      <c r="R1309" s="6" t="str">
        <f t="shared" si="1"/>
        <v>3600+</v>
      </c>
      <c r="S1309" s="6">
        <f t="shared" si="2"/>
        <v>48</v>
      </c>
      <c r="T1309" s="6" t="str">
        <f t="shared" si="3"/>
        <v>Old</v>
      </c>
    </row>
    <row r="1310" ht="14.25" customHeight="1">
      <c r="A1310" s="5">
        <v>735604.0</v>
      </c>
      <c r="B1310" s="6" t="s">
        <v>1081</v>
      </c>
      <c r="C1310" s="6" t="s">
        <v>29</v>
      </c>
      <c r="D1310" s="6">
        <v>57102.0</v>
      </c>
      <c r="E1310" s="6" t="s">
        <v>60</v>
      </c>
      <c r="F1310" s="6" t="s">
        <v>46</v>
      </c>
      <c r="G1310" s="6" t="s">
        <v>21</v>
      </c>
      <c r="H1310" s="7">
        <v>3951.0</v>
      </c>
      <c r="I1310" s="7">
        <v>3078.0</v>
      </c>
      <c r="J1310" s="6">
        <v>1983.0</v>
      </c>
      <c r="K1310" s="6">
        <v>9.0</v>
      </c>
      <c r="L1310" s="6" t="s">
        <v>141</v>
      </c>
      <c r="M1310" s="6" t="s">
        <v>1082</v>
      </c>
      <c r="N1310" s="6" t="s">
        <v>24</v>
      </c>
      <c r="O1310" s="6" t="s">
        <v>25</v>
      </c>
      <c r="P1310" s="6">
        <f>COUNTIF(Analysis!$M$1:$M$3001,Analysis!$M260)</f>
        <v>1</v>
      </c>
      <c r="Q1310" s="6" t="str">
        <f>IF(COUNTIF(Analysis!$M$2:$M$3001,Analysis!$M260)&gt;1,"Duplicate","OK")</f>
        <v>OK</v>
      </c>
      <c r="R1310" s="6" t="str">
        <f t="shared" si="1"/>
        <v>3600+</v>
      </c>
      <c r="S1310" s="6">
        <f t="shared" si="2"/>
        <v>43</v>
      </c>
      <c r="T1310" s="6" t="str">
        <f t="shared" si="3"/>
        <v>Old</v>
      </c>
    </row>
    <row r="1311" ht="14.25" customHeight="1">
      <c r="A1311" s="5">
        <v>1407926.0</v>
      </c>
      <c r="B1311" s="6" t="s">
        <v>5283</v>
      </c>
      <c r="C1311" s="6" t="s">
        <v>53</v>
      </c>
      <c r="D1311" s="6">
        <v>33637.0</v>
      </c>
      <c r="E1311" s="6" t="s">
        <v>40</v>
      </c>
      <c r="F1311" s="6" t="s">
        <v>94</v>
      </c>
      <c r="G1311" s="6" t="s">
        <v>31</v>
      </c>
      <c r="H1311" s="7">
        <v>774.0</v>
      </c>
      <c r="I1311" s="7">
        <v>1924.0</v>
      </c>
      <c r="J1311" s="6">
        <v>1951.0</v>
      </c>
      <c r="K1311" s="6">
        <v>107.0</v>
      </c>
      <c r="L1311" s="6" t="s">
        <v>62</v>
      </c>
      <c r="M1311" s="6" t="s">
        <v>5284</v>
      </c>
      <c r="N1311" s="6" t="s">
        <v>43</v>
      </c>
      <c r="O1311" s="6" t="s">
        <v>35</v>
      </c>
      <c r="P1311" s="6">
        <f>COUNTIF(Analysis!$M$1:$M$3001,Analysis!$M1311)</f>
        <v>1</v>
      </c>
      <c r="Q1311" s="6" t="str">
        <f>IF(COUNTIF(Analysis!$M$2:$M$3001,Analysis!$M1311)&gt;1,"Duplicate","OK")</f>
        <v>OK</v>
      </c>
      <c r="R1311" s="6" t="str">
        <f t="shared" si="1"/>
        <v>600-1600</v>
      </c>
      <c r="S1311" s="6">
        <f t="shared" si="2"/>
        <v>75</v>
      </c>
      <c r="T1311" s="6" t="str">
        <f t="shared" si="3"/>
        <v>Very Old</v>
      </c>
    </row>
    <row r="1312" ht="14.25" customHeight="1">
      <c r="A1312" s="5">
        <v>1066056.0</v>
      </c>
      <c r="B1312" s="6" t="s">
        <v>5287</v>
      </c>
      <c r="C1312" s="6" t="s">
        <v>39</v>
      </c>
      <c r="D1312" s="6">
        <v>62358.0</v>
      </c>
      <c r="E1312" s="6" t="s">
        <v>60</v>
      </c>
      <c r="F1312" s="6" t="s">
        <v>61</v>
      </c>
      <c r="G1312" s="6" t="s">
        <v>100</v>
      </c>
      <c r="H1312" s="7">
        <v>702.0</v>
      </c>
      <c r="I1312" s="7">
        <v>3901.0</v>
      </c>
      <c r="J1312" s="6">
        <v>2001.0</v>
      </c>
      <c r="K1312" s="6">
        <v>44.0</v>
      </c>
      <c r="L1312" s="6" t="s">
        <v>95</v>
      </c>
      <c r="M1312" s="6" t="s">
        <v>5288</v>
      </c>
      <c r="N1312" s="6" t="s">
        <v>48</v>
      </c>
      <c r="O1312" s="6" t="s">
        <v>49</v>
      </c>
      <c r="P1312" s="6">
        <f>COUNTIF(Analysis!$M$1:$M$3001,Analysis!$M1312)</f>
        <v>1</v>
      </c>
      <c r="Q1312" s="6" t="str">
        <f>IF(COUNTIF(Analysis!$M$2:$M$3001,Analysis!$M1312)&gt;1,"Duplicate","OK")</f>
        <v>OK</v>
      </c>
      <c r="R1312" s="6" t="str">
        <f t="shared" si="1"/>
        <v>600-1600</v>
      </c>
      <c r="S1312" s="6">
        <f t="shared" si="2"/>
        <v>25</v>
      </c>
      <c r="T1312" s="6" t="str">
        <f t="shared" si="3"/>
        <v>Mid</v>
      </c>
    </row>
    <row r="1313" ht="14.25" customHeight="1">
      <c r="A1313" s="5">
        <v>1126603.0</v>
      </c>
      <c r="B1313" s="6" t="s">
        <v>5291</v>
      </c>
      <c r="C1313" s="6" t="s">
        <v>53</v>
      </c>
      <c r="D1313" s="6">
        <v>73560.0</v>
      </c>
      <c r="E1313" s="6" t="s">
        <v>40</v>
      </c>
      <c r="F1313" s="6" t="s">
        <v>61</v>
      </c>
      <c r="G1313" s="6" t="s">
        <v>100</v>
      </c>
      <c r="H1313" s="7">
        <v>2289.0</v>
      </c>
      <c r="I1313" s="7">
        <v>2793.0</v>
      </c>
      <c r="J1313" s="6">
        <v>1957.0</v>
      </c>
      <c r="K1313" s="6">
        <v>22.0</v>
      </c>
      <c r="L1313" s="6" t="s">
        <v>32</v>
      </c>
      <c r="M1313" s="6" t="s">
        <v>5292</v>
      </c>
      <c r="N1313" s="6" t="s">
        <v>24</v>
      </c>
      <c r="O1313" s="6" t="s">
        <v>35</v>
      </c>
      <c r="P1313" s="6">
        <f>COUNTIF(Analysis!$M$1:$M$3001,Analysis!$M1313)</f>
        <v>1</v>
      </c>
      <c r="Q1313" s="6" t="str">
        <f>IF(COUNTIF(Analysis!$M$2:$M$3001,Analysis!$M1313)&gt;1,"Duplicate","OK")</f>
        <v>OK</v>
      </c>
      <c r="R1313" s="6" t="str">
        <f t="shared" si="1"/>
        <v>1600-2600</v>
      </c>
      <c r="S1313" s="6">
        <f t="shared" si="2"/>
        <v>69</v>
      </c>
      <c r="T1313" s="6" t="str">
        <f t="shared" si="3"/>
        <v>Very Old</v>
      </c>
    </row>
    <row r="1314" ht="14.25" customHeight="1">
      <c r="A1314" s="5">
        <v>465265.0</v>
      </c>
      <c r="B1314" s="6" t="s">
        <v>5295</v>
      </c>
      <c r="C1314" s="6" t="s">
        <v>76</v>
      </c>
      <c r="D1314" s="6">
        <v>17440.0</v>
      </c>
      <c r="E1314" s="6" t="s">
        <v>60</v>
      </c>
      <c r="F1314" s="6" t="s">
        <v>94</v>
      </c>
      <c r="G1314" s="6" t="s">
        <v>55</v>
      </c>
      <c r="H1314" s="7">
        <v>1461.0</v>
      </c>
      <c r="I1314" s="7">
        <v>2453.0</v>
      </c>
      <c r="J1314" s="6">
        <v>2001.0</v>
      </c>
      <c r="K1314" s="6">
        <v>62.0</v>
      </c>
      <c r="L1314" s="6" t="s">
        <v>95</v>
      </c>
      <c r="M1314" s="6" t="s">
        <v>5296</v>
      </c>
      <c r="N1314" s="6" t="s">
        <v>43</v>
      </c>
      <c r="O1314" s="6" t="s">
        <v>35</v>
      </c>
      <c r="P1314" s="6">
        <f>COUNTIF(Analysis!$M$1:$M$3001,Analysis!$M1314)</f>
        <v>1</v>
      </c>
      <c r="Q1314" s="6" t="str">
        <f>IF(COUNTIF(Analysis!$M$2:$M$3001,Analysis!$M1314)&gt;1,"Duplicate","OK")</f>
        <v>OK</v>
      </c>
      <c r="R1314" s="6" t="str">
        <f t="shared" si="1"/>
        <v>600-1600</v>
      </c>
      <c r="S1314" s="6">
        <f t="shared" si="2"/>
        <v>25</v>
      </c>
      <c r="T1314" s="6" t="str">
        <f t="shared" si="3"/>
        <v>Mid</v>
      </c>
    </row>
    <row r="1315" ht="14.25" customHeight="1">
      <c r="A1315" s="5">
        <v>737510.0</v>
      </c>
      <c r="B1315" s="6" t="s">
        <v>10683</v>
      </c>
      <c r="C1315" s="6" t="s">
        <v>29</v>
      </c>
      <c r="D1315" s="6">
        <v>24387.0</v>
      </c>
      <c r="E1315" s="6" t="s">
        <v>40</v>
      </c>
      <c r="F1315" s="6" t="s">
        <v>46</v>
      </c>
      <c r="G1315" s="6" t="s">
        <v>100</v>
      </c>
      <c r="H1315" s="7">
        <v>3577.0</v>
      </c>
      <c r="I1315" s="7">
        <v>6712.0</v>
      </c>
      <c r="J1315" s="6">
        <v>2022.0</v>
      </c>
      <c r="K1315" s="6">
        <v>17.0</v>
      </c>
      <c r="L1315" s="6" t="s">
        <v>32</v>
      </c>
      <c r="M1315" s="6" t="s">
        <v>10684</v>
      </c>
      <c r="N1315" s="6" t="s">
        <v>24</v>
      </c>
      <c r="O1315" s="6" t="s">
        <v>25</v>
      </c>
      <c r="P1315" s="6">
        <f>COUNTIF(Analysis!$M$1:$M$3001,Analysis!$M2662)</f>
        <v>1</v>
      </c>
      <c r="Q1315" s="6" t="str">
        <f>IF(COUNTIF(Analysis!$M$2:$M$3001,Analysis!$M2662)&gt;1,"Duplicate","OK")</f>
        <v>OK</v>
      </c>
      <c r="R1315" s="6" t="str">
        <f t="shared" si="1"/>
        <v>2600-3600</v>
      </c>
      <c r="S1315" s="6">
        <f t="shared" si="2"/>
        <v>4</v>
      </c>
      <c r="T1315" s="6" t="str">
        <f t="shared" si="3"/>
        <v>New</v>
      </c>
    </row>
    <row r="1316" ht="14.25" customHeight="1">
      <c r="A1316" s="5">
        <v>1218168.0</v>
      </c>
      <c r="B1316" s="6" t="s">
        <v>5303</v>
      </c>
      <c r="C1316" s="6" t="s">
        <v>76</v>
      </c>
      <c r="D1316" s="6">
        <v>13587.0</v>
      </c>
      <c r="E1316" s="6" t="s">
        <v>30</v>
      </c>
      <c r="F1316" s="6" t="s">
        <v>54</v>
      </c>
      <c r="G1316" s="6" t="s">
        <v>55</v>
      </c>
      <c r="H1316" s="7">
        <v>2764.0</v>
      </c>
      <c r="I1316" s="7">
        <v>6951.0</v>
      </c>
      <c r="J1316" s="6">
        <v>2013.0</v>
      </c>
      <c r="K1316" s="6">
        <v>20.0</v>
      </c>
      <c r="L1316" s="6" t="s">
        <v>22</v>
      </c>
      <c r="M1316" s="6" t="s">
        <v>5304</v>
      </c>
      <c r="N1316" s="6" t="s">
        <v>24</v>
      </c>
      <c r="O1316" s="6" t="s">
        <v>35</v>
      </c>
      <c r="P1316" s="6">
        <f>COUNTIF(Analysis!$M$1:$M$3001,Analysis!$M1316)</f>
        <v>1</v>
      </c>
      <c r="Q1316" s="6" t="str">
        <f>IF(COUNTIF(Analysis!$M$2:$M$3001,Analysis!$M1316)&gt;1,"Duplicate","OK")</f>
        <v>OK</v>
      </c>
      <c r="R1316" s="6" t="str">
        <f t="shared" si="1"/>
        <v>2600-3600</v>
      </c>
      <c r="S1316" s="6">
        <f t="shared" si="2"/>
        <v>13</v>
      </c>
      <c r="T1316" s="6" t="str">
        <f t="shared" si="3"/>
        <v>Mid</v>
      </c>
    </row>
    <row r="1317" ht="14.25" customHeight="1">
      <c r="A1317" s="5">
        <v>715976.0</v>
      </c>
      <c r="B1317" s="6" t="s">
        <v>5307</v>
      </c>
      <c r="C1317" s="6" t="s">
        <v>53</v>
      </c>
      <c r="D1317" s="6">
        <v>95216.0</v>
      </c>
      <c r="E1317" s="6" t="s">
        <v>30</v>
      </c>
      <c r="F1317" s="6" t="s">
        <v>61</v>
      </c>
      <c r="G1317" s="6" t="s">
        <v>100</v>
      </c>
      <c r="H1317" s="7">
        <v>3979.0</v>
      </c>
      <c r="I1317" s="7">
        <v>3457.0</v>
      </c>
      <c r="J1317" s="6">
        <v>1971.0</v>
      </c>
      <c r="K1317" s="6">
        <v>75.0</v>
      </c>
      <c r="L1317" s="6" t="s">
        <v>141</v>
      </c>
      <c r="M1317" s="6" t="s">
        <v>5308</v>
      </c>
      <c r="N1317" s="6" t="s">
        <v>48</v>
      </c>
      <c r="O1317" s="6" t="s">
        <v>25</v>
      </c>
      <c r="P1317" s="6">
        <f>COUNTIF(Analysis!$M$1:$M$3001,Analysis!$M1317)</f>
        <v>1</v>
      </c>
      <c r="Q1317" s="6" t="str">
        <f>IF(COUNTIF(Analysis!$M$2:$M$3001,Analysis!$M1317)&gt;1,"Duplicate","OK")</f>
        <v>OK</v>
      </c>
      <c r="R1317" s="6" t="str">
        <f t="shared" si="1"/>
        <v>3600+</v>
      </c>
      <c r="S1317" s="6">
        <f t="shared" si="2"/>
        <v>55</v>
      </c>
      <c r="T1317" s="6" t="str">
        <f t="shared" si="3"/>
        <v>Old</v>
      </c>
    </row>
    <row r="1318" ht="14.25" customHeight="1">
      <c r="A1318" s="5">
        <v>344668.0</v>
      </c>
      <c r="B1318" s="6" t="s">
        <v>5311</v>
      </c>
      <c r="C1318" s="6" t="s">
        <v>76</v>
      </c>
      <c r="D1318" s="6">
        <v>43522.0</v>
      </c>
      <c r="E1318" s="6" t="s">
        <v>60</v>
      </c>
      <c r="F1318" s="6" t="s">
        <v>94</v>
      </c>
      <c r="G1318" s="6" t="s">
        <v>31</v>
      </c>
      <c r="H1318" s="7">
        <v>1751.0</v>
      </c>
      <c r="I1318" s="7">
        <v>5062.0</v>
      </c>
      <c r="J1318" s="6">
        <v>1956.0</v>
      </c>
      <c r="K1318" s="6">
        <v>71.0</v>
      </c>
      <c r="L1318" s="6" t="s">
        <v>141</v>
      </c>
      <c r="M1318" s="6" t="s">
        <v>5312</v>
      </c>
      <c r="N1318" s="6" t="s">
        <v>43</v>
      </c>
      <c r="O1318" s="6" t="s">
        <v>35</v>
      </c>
      <c r="P1318" s="6">
        <f>COUNTIF(Analysis!$M$1:$M$3001,Analysis!$M1318)</f>
        <v>1</v>
      </c>
      <c r="Q1318" s="6" t="str">
        <f>IF(COUNTIF(Analysis!$M$2:$M$3001,Analysis!$M1318)&gt;1,"Duplicate","OK")</f>
        <v>OK</v>
      </c>
      <c r="R1318" s="6" t="str">
        <f t="shared" si="1"/>
        <v>1600-2600</v>
      </c>
      <c r="S1318" s="6">
        <f t="shared" si="2"/>
        <v>70</v>
      </c>
      <c r="T1318" s="6" t="str">
        <f t="shared" si="3"/>
        <v>Very Old</v>
      </c>
    </row>
    <row r="1319" ht="14.25" customHeight="1">
      <c r="A1319" s="5">
        <v>400744.0</v>
      </c>
      <c r="B1319" s="6" t="s">
        <v>5315</v>
      </c>
      <c r="C1319" s="6" t="s">
        <v>76</v>
      </c>
      <c r="D1319" s="6">
        <v>21785.0</v>
      </c>
      <c r="E1319" s="6" t="s">
        <v>40</v>
      </c>
      <c r="F1319" s="6" t="s">
        <v>41</v>
      </c>
      <c r="G1319" s="6" t="s">
        <v>31</v>
      </c>
      <c r="H1319" s="7">
        <v>885.0</v>
      </c>
      <c r="I1319" s="7">
        <v>2365.0</v>
      </c>
      <c r="J1319" s="6">
        <v>2010.0</v>
      </c>
      <c r="K1319" s="6">
        <v>119.0</v>
      </c>
      <c r="L1319" s="6" t="s">
        <v>32</v>
      </c>
      <c r="M1319" s="6" t="s">
        <v>5316</v>
      </c>
      <c r="N1319" s="6" t="s">
        <v>34</v>
      </c>
      <c r="O1319" s="6" t="s">
        <v>49</v>
      </c>
      <c r="P1319" s="6">
        <f>COUNTIF(Analysis!$M$1:$M$3001,Analysis!$M1319)</f>
        <v>1</v>
      </c>
      <c r="Q1319" s="6" t="str">
        <f>IF(COUNTIF(Analysis!$M$2:$M$3001,Analysis!$M1319)&gt;1,"Duplicate","OK")</f>
        <v>OK</v>
      </c>
      <c r="R1319" s="6" t="str">
        <f t="shared" si="1"/>
        <v>600-1600</v>
      </c>
      <c r="S1319" s="6">
        <f t="shared" si="2"/>
        <v>16</v>
      </c>
      <c r="T1319" s="6" t="str">
        <f t="shared" si="3"/>
        <v>Mid</v>
      </c>
    </row>
    <row r="1320" ht="14.25" customHeight="1">
      <c r="A1320" s="5">
        <v>972477.0</v>
      </c>
      <c r="B1320" s="6" t="s">
        <v>5319</v>
      </c>
      <c r="C1320" s="6" t="s">
        <v>39</v>
      </c>
      <c r="D1320" s="6">
        <v>36100.0</v>
      </c>
      <c r="E1320" s="6" t="s">
        <v>60</v>
      </c>
      <c r="F1320" s="6" t="s">
        <v>54</v>
      </c>
      <c r="G1320" s="6" t="s">
        <v>100</v>
      </c>
      <c r="H1320" s="7">
        <v>3665.0</v>
      </c>
      <c r="I1320" s="7">
        <v>8926.0</v>
      </c>
      <c r="J1320" s="6">
        <v>2001.0</v>
      </c>
      <c r="K1320" s="6">
        <v>12.0</v>
      </c>
      <c r="L1320" s="6" t="s">
        <v>141</v>
      </c>
      <c r="M1320" s="6" t="s">
        <v>5320</v>
      </c>
      <c r="N1320" s="6" t="s">
        <v>34</v>
      </c>
      <c r="O1320" s="6" t="s">
        <v>49</v>
      </c>
      <c r="P1320" s="6">
        <f>COUNTIF(Analysis!$M$1:$M$3001,Analysis!$M1320)</f>
        <v>1</v>
      </c>
      <c r="Q1320" s="6" t="str">
        <f>IF(COUNTIF(Analysis!$M$2:$M$3001,Analysis!$M1320)&gt;1,"Duplicate","OK")</f>
        <v>OK</v>
      </c>
      <c r="R1320" s="6" t="str">
        <f t="shared" si="1"/>
        <v>3600+</v>
      </c>
      <c r="S1320" s="6">
        <f t="shared" si="2"/>
        <v>25</v>
      </c>
      <c r="T1320" s="6" t="str">
        <f t="shared" si="3"/>
        <v>Mid</v>
      </c>
    </row>
    <row r="1321" ht="14.25" customHeight="1">
      <c r="A1321" s="5">
        <v>1089772.0</v>
      </c>
      <c r="B1321" s="6" t="s">
        <v>5323</v>
      </c>
      <c r="C1321" s="6" t="s">
        <v>39</v>
      </c>
      <c r="D1321" s="6">
        <v>65482.0</v>
      </c>
      <c r="E1321" s="6" t="s">
        <v>77</v>
      </c>
      <c r="F1321" s="6" t="s">
        <v>20</v>
      </c>
      <c r="G1321" s="6" t="s">
        <v>100</v>
      </c>
      <c r="H1321" s="7">
        <v>2358.0</v>
      </c>
      <c r="I1321" s="7">
        <v>6575.0</v>
      </c>
      <c r="J1321" s="6">
        <v>1967.0</v>
      </c>
      <c r="K1321" s="6">
        <v>52.0</v>
      </c>
      <c r="L1321" s="6" t="s">
        <v>22</v>
      </c>
      <c r="M1321" s="6" t="s">
        <v>5324</v>
      </c>
      <c r="N1321" s="6" t="s">
        <v>64</v>
      </c>
      <c r="O1321" s="6" t="s">
        <v>49</v>
      </c>
      <c r="P1321" s="6">
        <f>COUNTIF(Analysis!$M$1:$M$3001,Analysis!$M1321)</f>
        <v>1</v>
      </c>
      <c r="Q1321" s="6" t="str">
        <f>IF(COUNTIF(Analysis!$M$2:$M$3001,Analysis!$M1321)&gt;1,"Duplicate","OK")</f>
        <v>OK</v>
      </c>
      <c r="R1321" s="6" t="str">
        <f t="shared" si="1"/>
        <v>1600-2600</v>
      </c>
      <c r="S1321" s="6">
        <f t="shared" si="2"/>
        <v>59</v>
      </c>
      <c r="T1321" s="6" t="str">
        <f t="shared" si="3"/>
        <v>Old</v>
      </c>
    </row>
    <row r="1322" ht="14.25" customHeight="1">
      <c r="A1322" s="5">
        <v>681817.0</v>
      </c>
      <c r="B1322" s="6" t="s">
        <v>5327</v>
      </c>
      <c r="C1322" s="6" t="s">
        <v>39</v>
      </c>
      <c r="D1322" s="6">
        <v>51936.0</v>
      </c>
      <c r="E1322" s="6" t="s">
        <v>40</v>
      </c>
      <c r="F1322" s="6" t="s">
        <v>61</v>
      </c>
      <c r="G1322" s="6" t="s">
        <v>100</v>
      </c>
      <c r="H1322" s="7">
        <v>927.0</v>
      </c>
      <c r="I1322" s="7">
        <v>1536.0</v>
      </c>
      <c r="J1322" s="6">
        <v>2019.0</v>
      </c>
      <c r="K1322" s="6">
        <v>109.0</v>
      </c>
      <c r="L1322" s="6" t="s">
        <v>62</v>
      </c>
      <c r="M1322" s="6" t="s">
        <v>5328</v>
      </c>
      <c r="N1322" s="6" t="s">
        <v>34</v>
      </c>
      <c r="O1322" s="6" t="s">
        <v>35</v>
      </c>
      <c r="P1322" s="6">
        <f>COUNTIF(Analysis!$M$1:$M$3001,Analysis!$M1322)</f>
        <v>1</v>
      </c>
      <c r="Q1322" s="6" t="str">
        <f>IF(COUNTIF(Analysis!$M$2:$M$3001,Analysis!$M1322)&gt;1,"Duplicate","OK")</f>
        <v>OK</v>
      </c>
      <c r="R1322" s="6" t="str">
        <f t="shared" si="1"/>
        <v>600-1600</v>
      </c>
      <c r="S1322" s="6">
        <f t="shared" si="2"/>
        <v>7</v>
      </c>
      <c r="T1322" s="6" t="str">
        <f t="shared" si="3"/>
        <v>New</v>
      </c>
    </row>
    <row r="1323" ht="14.25" customHeight="1">
      <c r="A1323" s="5">
        <v>945467.0</v>
      </c>
      <c r="B1323" s="6" t="s">
        <v>5331</v>
      </c>
      <c r="C1323" s="6" t="s">
        <v>76</v>
      </c>
      <c r="D1323" s="6">
        <v>21798.0</v>
      </c>
      <c r="E1323" s="6" t="s">
        <v>30</v>
      </c>
      <c r="F1323" s="6" t="s">
        <v>20</v>
      </c>
      <c r="G1323" s="6" t="s">
        <v>100</v>
      </c>
      <c r="H1323" s="7">
        <v>1812.0</v>
      </c>
      <c r="I1323" s="7">
        <v>8167.0</v>
      </c>
      <c r="J1323" s="6">
        <v>1955.0</v>
      </c>
      <c r="K1323" s="6">
        <v>2.0</v>
      </c>
      <c r="L1323" s="6" t="s">
        <v>22</v>
      </c>
      <c r="M1323" s="6" t="s">
        <v>5332</v>
      </c>
      <c r="N1323" s="6" t="s">
        <v>43</v>
      </c>
      <c r="O1323" s="6" t="s">
        <v>35</v>
      </c>
      <c r="P1323" s="6">
        <f>COUNTIF(Analysis!$M$1:$M$3001,Analysis!$M1323)</f>
        <v>1</v>
      </c>
      <c r="Q1323" s="6" t="str">
        <f>IF(COUNTIF(Analysis!$M$2:$M$3001,Analysis!$M1323)&gt;1,"Duplicate","OK")</f>
        <v>OK</v>
      </c>
      <c r="R1323" s="6" t="str">
        <f t="shared" si="1"/>
        <v>1600-2600</v>
      </c>
      <c r="S1323" s="6">
        <f t="shared" si="2"/>
        <v>71</v>
      </c>
      <c r="T1323" s="6" t="str">
        <f t="shared" si="3"/>
        <v>Very Old</v>
      </c>
    </row>
    <row r="1324" ht="14.25" customHeight="1">
      <c r="A1324" s="5">
        <v>310781.0</v>
      </c>
      <c r="B1324" s="6" t="s">
        <v>5335</v>
      </c>
      <c r="C1324" s="6" t="s">
        <v>39</v>
      </c>
      <c r="D1324" s="6">
        <v>99327.0</v>
      </c>
      <c r="E1324" s="6" t="s">
        <v>19</v>
      </c>
      <c r="F1324" s="6" t="s">
        <v>46</v>
      </c>
      <c r="G1324" s="6" t="s">
        <v>31</v>
      </c>
      <c r="H1324" s="7">
        <v>3860.0</v>
      </c>
      <c r="I1324" s="7">
        <v>2508.0</v>
      </c>
      <c r="J1324" s="6">
        <v>1984.0</v>
      </c>
      <c r="K1324" s="6">
        <v>27.0</v>
      </c>
      <c r="L1324" s="6" t="s">
        <v>141</v>
      </c>
      <c r="M1324" s="6" t="s">
        <v>5336</v>
      </c>
      <c r="N1324" s="6" t="s">
        <v>43</v>
      </c>
      <c r="O1324" s="6" t="s">
        <v>35</v>
      </c>
      <c r="P1324" s="6">
        <f>COUNTIF(Analysis!$M$1:$M$3001,Analysis!$M1324)</f>
        <v>1</v>
      </c>
      <c r="Q1324" s="6" t="str">
        <f>IF(COUNTIF(Analysis!$M$2:$M$3001,Analysis!$M1324)&gt;1,"Duplicate","OK")</f>
        <v>OK</v>
      </c>
      <c r="R1324" s="6" t="str">
        <f t="shared" si="1"/>
        <v>3600+</v>
      </c>
      <c r="S1324" s="6">
        <f t="shared" si="2"/>
        <v>42</v>
      </c>
      <c r="T1324" s="6" t="str">
        <f t="shared" si="3"/>
        <v>Old</v>
      </c>
    </row>
    <row r="1325" ht="14.25" customHeight="1">
      <c r="A1325" s="5">
        <v>1392133.0</v>
      </c>
      <c r="B1325" s="6" t="s">
        <v>5339</v>
      </c>
      <c r="C1325" s="6" t="s">
        <v>76</v>
      </c>
      <c r="D1325" s="6">
        <v>87961.0</v>
      </c>
      <c r="E1325" s="6" t="s">
        <v>60</v>
      </c>
      <c r="F1325" s="6" t="s">
        <v>94</v>
      </c>
      <c r="G1325" s="6" t="s">
        <v>31</v>
      </c>
      <c r="H1325" s="7">
        <v>2416.0</v>
      </c>
      <c r="I1325" s="7">
        <v>9064.0</v>
      </c>
      <c r="J1325" s="6">
        <v>2018.0</v>
      </c>
      <c r="K1325" s="6">
        <v>16.0</v>
      </c>
      <c r="L1325" s="6" t="s">
        <v>95</v>
      </c>
      <c r="M1325" s="6" t="s">
        <v>5340</v>
      </c>
      <c r="N1325" s="6" t="s">
        <v>64</v>
      </c>
      <c r="O1325" s="6" t="s">
        <v>35</v>
      </c>
      <c r="P1325" s="6">
        <f>COUNTIF(Analysis!$M$1:$M$3001,Analysis!$M1325)</f>
        <v>1</v>
      </c>
      <c r="Q1325" s="6" t="str">
        <f>IF(COUNTIF(Analysis!$M$2:$M$3001,Analysis!$M1325)&gt;1,"Duplicate","OK")</f>
        <v>OK</v>
      </c>
      <c r="R1325" s="6" t="str">
        <f t="shared" si="1"/>
        <v>1600-2600</v>
      </c>
      <c r="S1325" s="6">
        <f t="shared" si="2"/>
        <v>8</v>
      </c>
      <c r="T1325" s="6" t="str">
        <f t="shared" si="3"/>
        <v>New</v>
      </c>
    </row>
    <row r="1326" ht="14.25" customHeight="1">
      <c r="A1326" s="5">
        <v>1226168.0</v>
      </c>
      <c r="B1326" s="6" t="s">
        <v>5343</v>
      </c>
      <c r="C1326" s="6" t="s">
        <v>39</v>
      </c>
      <c r="D1326" s="6">
        <v>39459.0</v>
      </c>
      <c r="E1326" s="6" t="s">
        <v>60</v>
      </c>
      <c r="F1326" s="6" t="s">
        <v>41</v>
      </c>
      <c r="G1326" s="6" t="s">
        <v>21</v>
      </c>
      <c r="H1326" s="7">
        <v>2933.0</v>
      </c>
      <c r="I1326" s="7">
        <v>7195.0</v>
      </c>
      <c r="J1326" s="6">
        <v>1967.0</v>
      </c>
      <c r="K1326" s="6">
        <v>84.0</v>
      </c>
      <c r="L1326" s="6" t="s">
        <v>22</v>
      </c>
      <c r="M1326" s="6" t="s">
        <v>5344</v>
      </c>
      <c r="N1326" s="6" t="s">
        <v>48</v>
      </c>
      <c r="O1326" s="6" t="s">
        <v>35</v>
      </c>
      <c r="P1326" s="6">
        <f>COUNTIF(Analysis!$M$1:$M$3001,Analysis!$M1326)</f>
        <v>1</v>
      </c>
      <c r="Q1326" s="6" t="str">
        <f>IF(COUNTIF(Analysis!$M$2:$M$3001,Analysis!$M1326)&gt;1,"Duplicate","OK")</f>
        <v>OK</v>
      </c>
      <c r="R1326" s="6" t="str">
        <f t="shared" si="1"/>
        <v>2600-3600</v>
      </c>
      <c r="S1326" s="6">
        <f t="shared" si="2"/>
        <v>59</v>
      </c>
      <c r="T1326" s="6" t="str">
        <f t="shared" si="3"/>
        <v>Old</v>
      </c>
    </row>
    <row r="1327" ht="14.25" customHeight="1">
      <c r="A1327" s="5">
        <v>151730.0</v>
      </c>
      <c r="B1327" s="6" t="s">
        <v>5347</v>
      </c>
      <c r="C1327" s="6" t="s">
        <v>18</v>
      </c>
      <c r="D1327" s="6">
        <v>94807.0</v>
      </c>
      <c r="E1327" s="6" t="s">
        <v>77</v>
      </c>
      <c r="F1327" s="6" t="s">
        <v>54</v>
      </c>
      <c r="G1327" s="6" t="s">
        <v>31</v>
      </c>
      <c r="H1327" s="7">
        <v>684.0</v>
      </c>
      <c r="I1327" s="7">
        <v>6466.0</v>
      </c>
      <c r="J1327" s="6">
        <v>1985.0</v>
      </c>
      <c r="K1327" s="6">
        <v>72.0</v>
      </c>
      <c r="L1327" s="6" t="s">
        <v>22</v>
      </c>
      <c r="M1327" s="6" t="s">
        <v>5348</v>
      </c>
      <c r="N1327" s="6" t="s">
        <v>64</v>
      </c>
      <c r="O1327" s="6" t="s">
        <v>49</v>
      </c>
      <c r="P1327" s="6">
        <f>COUNTIF(Analysis!$M$1:$M$3001,Analysis!$M1327)</f>
        <v>1</v>
      </c>
      <c r="Q1327" s="6" t="str">
        <f>IF(COUNTIF(Analysis!$M$2:$M$3001,Analysis!$M1327)&gt;1,"Duplicate","OK")</f>
        <v>OK</v>
      </c>
      <c r="R1327" s="6" t="str">
        <f t="shared" si="1"/>
        <v>600-1600</v>
      </c>
      <c r="S1327" s="6">
        <f t="shared" si="2"/>
        <v>41</v>
      </c>
      <c r="T1327" s="6" t="str">
        <f t="shared" si="3"/>
        <v>Old</v>
      </c>
    </row>
    <row r="1328" ht="14.25" customHeight="1">
      <c r="A1328" s="5">
        <v>1323474.0</v>
      </c>
      <c r="B1328" s="6" t="s">
        <v>5351</v>
      </c>
      <c r="C1328" s="6" t="s">
        <v>76</v>
      </c>
      <c r="D1328" s="6">
        <v>74937.0</v>
      </c>
      <c r="E1328" s="6" t="s">
        <v>40</v>
      </c>
      <c r="F1328" s="6" t="s">
        <v>94</v>
      </c>
      <c r="G1328" s="6" t="s">
        <v>55</v>
      </c>
      <c r="H1328" s="7">
        <v>3874.0</v>
      </c>
      <c r="I1328" s="7">
        <v>3384.0</v>
      </c>
      <c r="J1328" s="6">
        <v>1956.0</v>
      </c>
      <c r="K1328" s="6">
        <v>13.0</v>
      </c>
      <c r="L1328" s="6" t="s">
        <v>141</v>
      </c>
      <c r="M1328" s="6" t="s">
        <v>5352</v>
      </c>
      <c r="N1328" s="6" t="s">
        <v>34</v>
      </c>
      <c r="O1328" s="6" t="s">
        <v>25</v>
      </c>
      <c r="P1328" s="6">
        <f>COUNTIF(Analysis!$M$1:$M$3001,Analysis!$M1328)</f>
        <v>1</v>
      </c>
      <c r="Q1328" s="6" t="str">
        <f>IF(COUNTIF(Analysis!$M$2:$M$3001,Analysis!$M1328)&gt;1,"Duplicate","OK")</f>
        <v>OK</v>
      </c>
      <c r="R1328" s="6" t="str">
        <f t="shared" si="1"/>
        <v>3600+</v>
      </c>
      <c r="S1328" s="6">
        <f t="shared" si="2"/>
        <v>70</v>
      </c>
      <c r="T1328" s="6" t="str">
        <f t="shared" si="3"/>
        <v>Very Old</v>
      </c>
    </row>
    <row r="1329" ht="14.25" customHeight="1">
      <c r="A1329" s="5">
        <v>171171.0</v>
      </c>
      <c r="B1329" s="6" t="s">
        <v>5355</v>
      </c>
      <c r="C1329" s="6" t="s">
        <v>39</v>
      </c>
      <c r="D1329" s="6">
        <v>71653.0</v>
      </c>
      <c r="E1329" s="6" t="s">
        <v>40</v>
      </c>
      <c r="F1329" s="6" t="s">
        <v>54</v>
      </c>
      <c r="G1329" s="6" t="s">
        <v>55</v>
      </c>
      <c r="H1329" s="7">
        <v>1859.0</v>
      </c>
      <c r="I1329" s="7">
        <v>3075.0</v>
      </c>
      <c r="J1329" s="6">
        <v>1988.0</v>
      </c>
      <c r="K1329" s="6">
        <v>104.0</v>
      </c>
      <c r="L1329" s="6" t="s">
        <v>32</v>
      </c>
      <c r="M1329" s="6" t="s">
        <v>5356</v>
      </c>
      <c r="N1329" s="6" t="s">
        <v>24</v>
      </c>
      <c r="O1329" s="6" t="s">
        <v>35</v>
      </c>
      <c r="P1329" s="6">
        <f>COUNTIF(Analysis!$M$1:$M$3001,Analysis!$M1329)</f>
        <v>1</v>
      </c>
      <c r="Q1329" s="6" t="str">
        <f>IF(COUNTIF(Analysis!$M$2:$M$3001,Analysis!$M1329)&gt;1,"Duplicate","OK")</f>
        <v>OK</v>
      </c>
      <c r="R1329" s="6" t="str">
        <f t="shared" si="1"/>
        <v>1600-2600</v>
      </c>
      <c r="S1329" s="6">
        <f t="shared" si="2"/>
        <v>38</v>
      </c>
      <c r="T1329" s="6" t="str">
        <f t="shared" si="3"/>
        <v>Old</v>
      </c>
    </row>
    <row r="1330" ht="14.25" customHeight="1">
      <c r="A1330" s="5">
        <v>576963.0</v>
      </c>
      <c r="B1330" s="6" t="s">
        <v>5359</v>
      </c>
      <c r="C1330" s="6" t="s">
        <v>53</v>
      </c>
      <c r="D1330" s="6">
        <v>72442.0</v>
      </c>
      <c r="E1330" s="6" t="s">
        <v>19</v>
      </c>
      <c r="F1330" s="6" t="s">
        <v>94</v>
      </c>
      <c r="G1330" s="6" t="s">
        <v>21</v>
      </c>
      <c r="H1330" s="7">
        <v>1237.0</v>
      </c>
      <c r="I1330" s="7">
        <v>2093.0</v>
      </c>
      <c r="J1330" s="6">
        <v>1961.0</v>
      </c>
      <c r="K1330" s="6">
        <v>76.0</v>
      </c>
      <c r="L1330" s="6" t="s">
        <v>62</v>
      </c>
      <c r="M1330" s="6" t="s">
        <v>5360</v>
      </c>
      <c r="N1330" s="6" t="s">
        <v>34</v>
      </c>
      <c r="O1330" s="6" t="s">
        <v>49</v>
      </c>
      <c r="P1330" s="6">
        <f>COUNTIF(Analysis!$M$1:$M$3001,Analysis!$M1330)</f>
        <v>1</v>
      </c>
      <c r="Q1330" s="6" t="str">
        <f>IF(COUNTIF(Analysis!$M$2:$M$3001,Analysis!$M1330)&gt;1,"Duplicate","OK")</f>
        <v>OK</v>
      </c>
      <c r="R1330" s="6" t="str">
        <f t="shared" si="1"/>
        <v>600-1600</v>
      </c>
      <c r="S1330" s="6">
        <f t="shared" si="2"/>
        <v>65</v>
      </c>
      <c r="T1330" s="6" t="str">
        <f t="shared" si="3"/>
        <v>Very Old</v>
      </c>
    </row>
    <row r="1331" ht="14.25" customHeight="1">
      <c r="A1331" s="5">
        <v>738847.0</v>
      </c>
      <c r="B1331" s="6" t="s">
        <v>1553</v>
      </c>
      <c r="C1331" s="6" t="s">
        <v>29</v>
      </c>
      <c r="D1331" s="6">
        <v>36357.0</v>
      </c>
      <c r="E1331" s="6" t="s">
        <v>19</v>
      </c>
      <c r="F1331" s="6" t="s">
        <v>94</v>
      </c>
      <c r="G1331" s="6" t="s">
        <v>100</v>
      </c>
      <c r="H1331" s="7">
        <v>2318.0</v>
      </c>
      <c r="I1331" s="7">
        <v>8727.0</v>
      </c>
      <c r="J1331" s="6">
        <v>1977.0</v>
      </c>
      <c r="K1331" s="6">
        <v>26.0</v>
      </c>
      <c r="L1331" s="6" t="s">
        <v>32</v>
      </c>
      <c r="M1331" s="6" t="s">
        <v>1554</v>
      </c>
      <c r="N1331" s="6" t="s">
        <v>34</v>
      </c>
      <c r="O1331" s="6" t="s">
        <v>35</v>
      </c>
      <c r="P1331" s="6">
        <f>COUNTIF(Analysis!$M$1:$M$3001,Analysis!$M378)</f>
        <v>1</v>
      </c>
      <c r="Q1331" s="6" t="str">
        <f>IF(COUNTIF(Analysis!$M$2:$M$3001,Analysis!$M378)&gt;1,"Duplicate","OK")</f>
        <v>OK</v>
      </c>
      <c r="R1331" s="6" t="str">
        <f t="shared" si="1"/>
        <v>1600-2600</v>
      </c>
      <c r="S1331" s="6">
        <f t="shared" si="2"/>
        <v>49</v>
      </c>
      <c r="T1331" s="6" t="str">
        <f t="shared" si="3"/>
        <v>Old</v>
      </c>
    </row>
    <row r="1332" ht="14.25" customHeight="1">
      <c r="A1332" s="5">
        <v>775005.0</v>
      </c>
      <c r="B1332" s="6" t="s">
        <v>5367</v>
      </c>
      <c r="C1332" s="6" t="s">
        <v>76</v>
      </c>
      <c r="D1332" s="6">
        <v>59250.0</v>
      </c>
      <c r="E1332" s="6" t="s">
        <v>40</v>
      </c>
      <c r="F1332" s="6" t="s">
        <v>46</v>
      </c>
      <c r="G1332" s="6" t="s">
        <v>21</v>
      </c>
      <c r="H1332" s="7">
        <v>3118.0</v>
      </c>
      <c r="I1332" s="7">
        <v>8098.0</v>
      </c>
      <c r="J1332" s="6">
        <v>1951.0</v>
      </c>
      <c r="K1332" s="6">
        <v>116.0</v>
      </c>
      <c r="L1332" s="6" t="s">
        <v>141</v>
      </c>
      <c r="M1332" s="6" t="s">
        <v>5368</v>
      </c>
      <c r="N1332" s="6" t="s">
        <v>43</v>
      </c>
      <c r="O1332" s="6" t="s">
        <v>35</v>
      </c>
      <c r="P1332" s="6">
        <f>COUNTIF(Analysis!$M$1:$M$3001,Analysis!$M1332)</f>
        <v>1</v>
      </c>
      <c r="Q1332" s="6" t="str">
        <f>IF(COUNTIF(Analysis!$M$2:$M$3001,Analysis!$M1332)&gt;1,"Duplicate","OK")</f>
        <v>OK</v>
      </c>
      <c r="R1332" s="6" t="str">
        <f t="shared" si="1"/>
        <v>2600-3600</v>
      </c>
      <c r="S1332" s="6">
        <f t="shared" si="2"/>
        <v>75</v>
      </c>
      <c r="T1332" s="6" t="str">
        <f t="shared" si="3"/>
        <v>Very Old</v>
      </c>
    </row>
    <row r="1333" ht="14.25" customHeight="1">
      <c r="A1333" s="5">
        <v>314574.0</v>
      </c>
      <c r="B1333" s="6" t="s">
        <v>5371</v>
      </c>
      <c r="C1333" s="6" t="s">
        <v>53</v>
      </c>
      <c r="D1333" s="6">
        <v>85533.0</v>
      </c>
      <c r="E1333" s="6" t="s">
        <v>60</v>
      </c>
      <c r="F1333" s="6" t="s">
        <v>41</v>
      </c>
      <c r="G1333" s="6" t="s">
        <v>21</v>
      </c>
      <c r="H1333" s="7">
        <v>1466.0</v>
      </c>
      <c r="I1333" s="7">
        <v>9951.0</v>
      </c>
      <c r="J1333" s="6">
        <v>1967.0</v>
      </c>
      <c r="K1333" s="6">
        <v>44.0</v>
      </c>
      <c r="L1333" s="6" t="s">
        <v>141</v>
      </c>
      <c r="M1333" s="6" t="s">
        <v>5372</v>
      </c>
      <c r="N1333" s="6" t="s">
        <v>48</v>
      </c>
      <c r="O1333" s="6" t="s">
        <v>35</v>
      </c>
      <c r="P1333" s="6">
        <f>COUNTIF(Analysis!$M$1:$M$3001,Analysis!$M1333)</f>
        <v>1</v>
      </c>
      <c r="Q1333" s="6" t="str">
        <f>IF(COUNTIF(Analysis!$M$2:$M$3001,Analysis!$M1333)&gt;1,"Duplicate","OK")</f>
        <v>OK</v>
      </c>
      <c r="R1333" s="6" t="str">
        <f t="shared" si="1"/>
        <v>600-1600</v>
      </c>
      <c r="S1333" s="6">
        <f t="shared" si="2"/>
        <v>59</v>
      </c>
      <c r="T1333" s="6" t="str">
        <f t="shared" si="3"/>
        <v>Old</v>
      </c>
    </row>
    <row r="1334" ht="14.25" customHeight="1">
      <c r="A1334" s="5">
        <v>1043558.0</v>
      </c>
      <c r="B1334" s="6" t="s">
        <v>5375</v>
      </c>
      <c r="C1334" s="6" t="s">
        <v>53</v>
      </c>
      <c r="D1334" s="6">
        <v>11630.0</v>
      </c>
      <c r="E1334" s="6" t="s">
        <v>30</v>
      </c>
      <c r="F1334" s="6" t="s">
        <v>41</v>
      </c>
      <c r="G1334" s="6" t="s">
        <v>21</v>
      </c>
      <c r="H1334" s="7">
        <v>1707.0</v>
      </c>
      <c r="I1334" s="7">
        <v>5474.0</v>
      </c>
      <c r="J1334" s="6">
        <v>2005.0</v>
      </c>
      <c r="K1334" s="6">
        <v>82.0</v>
      </c>
      <c r="L1334" s="6" t="s">
        <v>32</v>
      </c>
      <c r="M1334" s="6" t="s">
        <v>5376</v>
      </c>
      <c r="N1334" s="6" t="s">
        <v>24</v>
      </c>
      <c r="O1334" s="6" t="s">
        <v>25</v>
      </c>
      <c r="P1334" s="6">
        <f>COUNTIF(Analysis!$M$1:$M$3001,Analysis!$M1334)</f>
        <v>1</v>
      </c>
      <c r="Q1334" s="6" t="str">
        <f>IF(COUNTIF(Analysis!$M$2:$M$3001,Analysis!$M1334)&gt;1,"Duplicate","OK")</f>
        <v>OK</v>
      </c>
      <c r="R1334" s="6" t="str">
        <f t="shared" si="1"/>
        <v>1600-2600</v>
      </c>
      <c r="S1334" s="6">
        <f t="shared" si="2"/>
        <v>21</v>
      </c>
      <c r="T1334" s="6" t="str">
        <f t="shared" si="3"/>
        <v>Mid</v>
      </c>
    </row>
    <row r="1335" ht="14.25" customHeight="1">
      <c r="A1335" s="5">
        <v>741530.0</v>
      </c>
      <c r="B1335" s="6" t="s">
        <v>11575</v>
      </c>
      <c r="C1335" s="6" t="s">
        <v>29</v>
      </c>
      <c r="D1335" s="6">
        <v>75011.0</v>
      </c>
      <c r="E1335" s="6" t="s">
        <v>40</v>
      </c>
      <c r="F1335" s="6" t="s">
        <v>61</v>
      </c>
      <c r="G1335" s="6" t="s">
        <v>55</v>
      </c>
      <c r="H1335" s="7">
        <v>1116.0</v>
      </c>
      <c r="I1335" s="7">
        <v>2424.0</v>
      </c>
      <c r="J1335" s="6">
        <v>2015.0</v>
      </c>
      <c r="K1335" s="6">
        <v>83.0</v>
      </c>
      <c r="L1335" s="6" t="s">
        <v>141</v>
      </c>
      <c r="M1335" s="6" t="s">
        <v>11576</v>
      </c>
      <c r="N1335" s="6" t="s">
        <v>43</v>
      </c>
      <c r="O1335" s="6" t="s">
        <v>25</v>
      </c>
      <c r="P1335" s="6">
        <f>COUNTIF(Analysis!$M$1:$M$3001,Analysis!$M2885)</f>
        <v>1</v>
      </c>
      <c r="Q1335" s="6" t="str">
        <f>IF(COUNTIF(Analysis!$M$2:$M$3001,Analysis!$M2885)&gt;1,"Duplicate","OK")</f>
        <v>OK</v>
      </c>
      <c r="R1335" s="6" t="str">
        <f t="shared" si="1"/>
        <v>600-1600</v>
      </c>
      <c r="S1335" s="6">
        <f t="shared" si="2"/>
        <v>11</v>
      </c>
      <c r="T1335" s="6" t="str">
        <f t="shared" si="3"/>
        <v>Mid</v>
      </c>
    </row>
    <row r="1336" ht="14.25" customHeight="1">
      <c r="A1336" s="5">
        <v>423192.0</v>
      </c>
      <c r="B1336" s="6" t="s">
        <v>5383</v>
      </c>
      <c r="C1336" s="6" t="s">
        <v>76</v>
      </c>
      <c r="D1336" s="6">
        <v>96180.0</v>
      </c>
      <c r="E1336" s="6" t="s">
        <v>19</v>
      </c>
      <c r="F1336" s="6" t="s">
        <v>20</v>
      </c>
      <c r="G1336" s="6" t="s">
        <v>55</v>
      </c>
      <c r="H1336" s="7">
        <v>891.0</v>
      </c>
      <c r="I1336" s="7">
        <v>9249.0</v>
      </c>
      <c r="J1336" s="6">
        <v>1982.0</v>
      </c>
      <c r="K1336" s="6">
        <v>36.0</v>
      </c>
      <c r="L1336" s="6" t="s">
        <v>32</v>
      </c>
      <c r="M1336" s="6" t="s">
        <v>5384</v>
      </c>
      <c r="N1336" s="6" t="s">
        <v>43</v>
      </c>
      <c r="O1336" s="6" t="s">
        <v>49</v>
      </c>
      <c r="P1336" s="6">
        <f>COUNTIF(Analysis!$M$1:$M$3001,Analysis!$M1336)</f>
        <v>1</v>
      </c>
      <c r="Q1336" s="6" t="str">
        <f>IF(COUNTIF(Analysis!$M$2:$M$3001,Analysis!$M1336)&gt;1,"Duplicate","OK")</f>
        <v>OK</v>
      </c>
      <c r="R1336" s="6" t="str">
        <f t="shared" si="1"/>
        <v>600-1600</v>
      </c>
      <c r="S1336" s="6">
        <f t="shared" si="2"/>
        <v>44</v>
      </c>
      <c r="T1336" s="6" t="str">
        <f t="shared" si="3"/>
        <v>Old</v>
      </c>
    </row>
    <row r="1337" ht="14.25" customHeight="1">
      <c r="A1337" s="5">
        <v>1226639.0</v>
      </c>
      <c r="B1337" s="6" t="s">
        <v>5387</v>
      </c>
      <c r="C1337" s="6" t="s">
        <v>53</v>
      </c>
      <c r="D1337" s="6">
        <v>75773.0</v>
      </c>
      <c r="E1337" s="6" t="s">
        <v>77</v>
      </c>
      <c r="F1337" s="6" t="s">
        <v>41</v>
      </c>
      <c r="G1337" s="6" t="s">
        <v>55</v>
      </c>
      <c r="H1337" s="7">
        <v>2489.0</v>
      </c>
      <c r="I1337" s="7">
        <v>2613.0</v>
      </c>
      <c r="J1337" s="6">
        <v>1967.0</v>
      </c>
      <c r="K1337" s="6">
        <v>7.0</v>
      </c>
      <c r="L1337" s="6" t="s">
        <v>32</v>
      </c>
      <c r="M1337" s="6" t="s">
        <v>5388</v>
      </c>
      <c r="N1337" s="6" t="s">
        <v>34</v>
      </c>
      <c r="O1337" s="6" t="s">
        <v>49</v>
      </c>
      <c r="P1337" s="6">
        <f>COUNTIF(Analysis!$M$1:$M$3001,Analysis!$M1337)</f>
        <v>1</v>
      </c>
      <c r="Q1337" s="6" t="str">
        <f>IF(COUNTIF(Analysis!$M$2:$M$3001,Analysis!$M1337)&gt;1,"Duplicate","OK")</f>
        <v>OK</v>
      </c>
      <c r="R1337" s="6" t="str">
        <f t="shared" si="1"/>
        <v>1600-2600</v>
      </c>
      <c r="S1337" s="6">
        <f t="shared" si="2"/>
        <v>59</v>
      </c>
      <c r="T1337" s="6" t="str">
        <f t="shared" si="3"/>
        <v>Old</v>
      </c>
    </row>
    <row r="1338" ht="14.25" customHeight="1">
      <c r="A1338" s="5">
        <v>499972.0</v>
      </c>
      <c r="B1338" s="6" t="s">
        <v>5391</v>
      </c>
      <c r="C1338" s="6" t="s">
        <v>76</v>
      </c>
      <c r="D1338" s="6">
        <v>83852.0</v>
      </c>
      <c r="E1338" s="6" t="s">
        <v>60</v>
      </c>
      <c r="F1338" s="6" t="s">
        <v>54</v>
      </c>
      <c r="G1338" s="6" t="s">
        <v>21</v>
      </c>
      <c r="H1338" s="7">
        <v>3586.0</v>
      </c>
      <c r="I1338" s="7">
        <v>4806.0</v>
      </c>
      <c r="J1338" s="6">
        <v>1965.0</v>
      </c>
      <c r="K1338" s="6">
        <v>89.0</v>
      </c>
      <c r="L1338" s="6" t="s">
        <v>62</v>
      </c>
      <c r="M1338" s="6" t="s">
        <v>5392</v>
      </c>
      <c r="N1338" s="6" t="s">
        <v>34</v>
      </c>
      <c r="O1338" s="6" t="s">
        <v>49</v>
      </c>
      <c r="P1338" s="6">
        <f>COUNTIF(Analysis!$M$1:$M$3001,Analysis!$M1338)</f>
        <v>1</v>
      </c>
      <c r="Q1338" s="6" t="str">
        <f>IF(COUNTIF(Analysis!$M$2:$M$3001,Analysis!$M1338)&gt;1,"Duplicate","OK")</f>
        <v>OK</v>
      </c>
      <c r="R1338" s="6" t="str">
        <f t="shared" si="1"/>
        <v>2600-3600</v>
      </c>
      <c r="S1338" s="6">
        <f t="shared" si="2"/>
        <v>61</v>
      </c>
      <c r="T1338" s="6" t="str">
        <f t="shared" si="3"/>
        <v>Very Old</v>
      </c>
    </row>
    <row r="1339" ht="14.25" customHeight="1">
      <c r="A1339" s="5">
        <v>743513.0</v>
      </c>
      <c r="B1339" s="6" t="s">
        <v>12030</v>
      </c>
      <c r="C1339" s="6" t="s">
        <v>29</v>
      </c>
      <c r="D1339" s="6">
        <v>62804.0</v>
      </c>
      <c r="E1339" s="6" t="s">
        <v>40</v>
      </c>
      <c r="F1339" s="6" t="s">
        <v>94</v>
      </c>
      <c r="G1339" s="6" t="s">
        <v>21</v>
      </c>
      <c r="H1339" s="7">
        <v>2921.0</v>
      </c>
      <c r="I1339" s="7">
        <v>2041.0</v>
      </c>
      <c r="J1339" s="6">
        <v>2005.0</v>
      </c>
      <c r="K1339" s="6">
        <v>48.0</v>
      </c>
      <c r="L1339" s="6" t="s">
        <v>62</v>
      </c>
      <c r="M1339" s="6" t="s">
        <v>12031</v>
      </c>
      <c r="N1339" s="6" t="s">
        <v>64</v>
      </c>
      <c r="O1339" s="6" t="s">
        <v>35</v>
      </c>
      <c r="P1339" s="6">
        <f>COUNTIF(Analysis!$M$1:$M$3001,Analysis!$M2999)</f>
        <v>1</v>
      </c>
      <c r="Q1339" s="6" t="str">
        <f>IF(COUNTIF(Analysis!$M$2:$M$3001,Analysis!$M2999)&gt;1,"Duplicate","OK")</f>
        <v>OK</v>
      </c>
      <c r="R1339" s="6" t="str">
        <f t="shared" si="1"/>
        <v>2600-3600</v>
      </c>
      <c r="S1339" s="6">
        <f t="shared" si="2"/>
        <v>21</v>
      </c>
      <c r="T1339" s="6" t="str">
        <f t="shared" si="3"/>
        <v>Mid</v>
      </c>
    </row>
    <row r="1340" ht="14.25" customHeight="1">
      <c r="A1340" s="5">
        <v>1223865.0</v>
      </c>
      <c r="B1340" s="6" t="s">
        <v>5399</v>
      </c>
      <c r="C1340" s="6" t="s">
        <v>76</v>
      </c>
      <c r="D1340" s="6">
        <v>62250.0</v>
      </c>
      <c r="E1340" s="6" t="s">
        <v>30</v>
      </c>
      <c r="F1340" s="6" t="s">
        <v>41</v>
      </c>
      <c r="G1340" s="6" t="s">
        <v>31</v>
      </c>
      <c r="H1340" s="7">
        <v>2668.0</v>
      </c>
      <c r="I1340" s="7">
        <v>8563.0</v>
      </c>
      <c r="J1340" s="6">
        <v>1975.0</v>
      </c>
      <c r="K1340" s="6">
        <v>16.0</v>
      </c>
      <c r="L1340" s="6" t="s">
        <v>22</v>
      </c>
      <c r="M1340" s="6" t="s">
        <v>5400</v>
      </c>
      <c r="N1340" s="6" t="s">
        <v>24</v>
      </c>
      <c r="O1340" s="6" t="s">
        <v>49</v>
      </c>
      <c r="P1340" s="6">
        <f>COUNTIF(Analysis!$M$1:$M$3001,Analysis!$M1340)</f>
        <v>1</v>
      </c>
      <c r="Q1340" s="6" t="str">
        <f>IF(COUNTIF(Analysis!$M$2:$M$3001,Analysis!$M1340)&gt;1,"Duplicate","OK")</f>
        <v>OK</v>
      </c>
      <c r="R1340" s="6" t="str">
        <f t="shared" si="1"/>
        <v>2600-3600</v>
      </c>
      <c r="S1340" s="6">
        <f t="shared" si="2"/>
        <v>51</v>
      </c>
      <c r="T1340" s="6" t="str">
        <f t="shared" si="3"/>
        <v>Old</v>
      </c>
    </row>
    <row r="1341" ht="14.25" customHeight="1">
      <c r="A1341" s="5">
        <v>378465.0</v>
      </c>
      <c r="B1341" s="6" t="s">
        <v>5403</v>
      </c>
      <c r="C1341" s="6" t="s">
        <v>53</v>
      </c>
      <c r="D1341" s="6">
        <v>58871.0</v>
      </c>
      <c r="E1341" s="6" t="s">
        <v>77</v>
      </c>
      <c r="F1341" s="6" t="s">
        <v>20</v>
      </c>
      <c r="G1341" s="6" t="s">
        <v>31</v>
      </c>
      <c r="H1341" s="7">
        <v>807.0</v>
      </c>
      <c r="I1341" s="7">
        <v>3442.0</v>
      </c>
      <c r="J1341" s="6">
        <v>2005.0</v>
      </c>
      <c r="K1341" s="6">
        <v>1.0</v>
      </c>
      <c r="L1341" s="6" t="s">
        <v>95</v>
      </c>
      <c r="M1341" s="6" t="s">
        <v>5404</v>
      </c>
      <c r="N1341" s="6" t="s">
        <v>64</v>
      </c>
      <c r="O1341" s="6" t="s">
        <v>25</v>
      </c>
      <c r="P1341" s="6">
        <f>COUNTIF(Analysis!$M$1:$M$3001,Analysis!$M1341)</f>
        <v>1</v>
      </c>
      <c r="Q1341" s="6" t="str">
        <f>IF(COUNTIF(Analysis!$M$2:$M$3001,Analysis!$M1341)&gt;1,"Duplicate","OK")</f>
        <v>OK</v>
      </c>
      <c r="R1341" s="6" t="str">
        <f t="shared" si="1"/>
        <v>600-1600</v>
      </c>
      <c r="S1341" s="6">
        <f t="shared" si="2"/>
        <v>21</v>
      </c>
      <c r="T1341" s="6" t="str">
        <f t="shared" si="3"/>
        <v>Mid</v>
      </c>
    </row>
    <row r="1342" ht="14.25" customHeight="1">
      <c r="A1342" s="5">
        <v>1170279.0</v>
      </c>
      <c r="B1342" s="6" t="s">
        <v>5407</v>
      </c>
      <c r="C1342" s="6" t="s">
        <v>39</v>
      </c>
      <c r="D1342" s="6">
        <v>87611.0</v>
      </c>
      <c r="E1342" s="6" t="s">
        <v>77</v>
      </c>
      <c r="F1342" s="6" t="s">
        <v>41</v>
      </c>
      <c r="G1342" s="6" t="s">
        <v>31</v>
      </c>
      <c r="H1342" s="7">
        <v>788.0</v>
      </c>
      <c r="I1342" s="7">
        <v>7694.0</v>
      </c>
      <c r="J1342" s="6">
        <v>1989.0</v>
      </c>
      <c r="K1342" s="6">
        <v>21.0</v>
      </c>
      <c r="L1342" s="6" t="s">
        <v>62</v>
      </c>
      <c r="M1342" s="6" t="s">
        <v>5408</v>
      </c>
      <c r="N1342" s="6" t="s">
        <v>64</v>
      </c>
      <c r="O1342" s="6" t="s">
        <v>35</v>
      </c>
      <c r="P1342" s="6">
        <f>COUNTIF(Analysis!$M$1:$M$3001,Analysis!$M1342)</f>
        <v>1</v>
      </c>
      <c r="Q1342" s="6" t="str">
        <f>IF(COUNTIF(Analysis!$M$2:$M$3001,Analysis!$M1342)&gt;1,"Duplicate","OK")</f>
        <v>OK</v>
      </c>
      <c r="R1342" s="6" t="str">
        <f t="shared" si="1"/>
        <v>600-1600</v>
      </c>
      <c r="S1342" s="6">
        <f t="shared" si="2"/>
        <v>37</v>
      </c>
      <c r="T1342" s="6" t="str">
        <f t="shared" si="3"/>
        <v>Old</v>
      </c>
    </row>
    <row r="1343" ht="14.25" customHeight="1">
      <c r="A1343" s="5">
        <v>1456218.0</v>
      </c>
      <c r="B1343" s="6" t="s">
        <v>5411</v>
      </c>
      <c r="C1343" s="6" t="s">
        <v>39</v>
      </c>
      <c r="D1343" s="6">
        <v>43034.0</v>
      </c>
      <c r="E1343" s="6" t="s">
        <v>19</v>
      </c>
      <c r="F1343" s="6" t="s">
        <v>41</v>
      </c>
      <c r="G1343" s="6" t="s">
        <v>55</v>
      </c>
      <c r="H1343" s="7">
        <v>715.0</v>
      </c>
      <c r="I1343" s="7">
        <v>7185.0</v>
      </c>
      <c r="J1343" s="6">
        <v>2002.0</v>
      </c>
      <c r="K1343" s="6">
        <v>111.0</v>
      </c>
      <c r="L1343" s="6" t="s">
        <v>141</v>
      </c>
      <c r="M1343" s="6" t="s">
        <v>5412</v>
      </c>
      <c r="N1343" s="6" t="s">
        <v>24</v>
      </c>
      <c r="O1343" s="6" t="s">
        <v>49</v>
      </c>
      <c r="P1343" s="6">
        <f>COUNTIF(Analysis!$M$1:$M$3001,Analysis!$M1343)</f>
        <v>1</v>
      </c>
      <c r="Q1343" s="6" t="str">
        <f>IF(COUNTIF(Analysis!$M$2:$M$3001,Analysis!$M1343)&gt;1,"Duplicate","OK")</f>
        <v>OK</v>
      </c>
      <c r="R1343" s="6" t="str">
        <f t="shared" si="1"/>
        <v>600-1600</v>
      </c>
      <c r="S1343" s="6">
        <f t="shared" si="2"/>
        <v>24</v>
      </c>
      <c r="T1343" s="6" t="str">
        <f t="shared" si="3"/>
        <v>Mid</v>
      </c>
    </row>
    <row r="1344" ht="14.25" customHeight="1">
      <c r="A1344" s="5">
        <v>592771.0</v>
      </c>
      <c r="B1344" s="6" t="s">
        <v>5415</v>
      </c>
      <c r="C1344" s="6" t="s">
        <v>39</v>
      </c>
      <c r="D1344" s="6">
        <v>64106.0</v>
      </c>
      <c r="E1344" s="6" t="s">
        <v>77</v>
      </c>
      <c r="F1344" s="6" t="s">
        <v>94</v>
      </c>
      <c r="G1344" s="6" t="s">
        <v>31</v>
      </c>
      <c r="H1344" s="7">
        <v>1122.0</v>
      </c>
      <c r="I1344" s="7">
        <v>2469.0</v>
      </c>
      <c r="J1344" s="6">
        <v>1995.0</v>
      </c>
      <c r="K1344" s="6">
        <v>79.0</v>
      </c>
      <c r="L1344" s="6" t="s">
        <v>141</v>
      </c>
      <c r="M1344" s="6" t="s">
        <v>5416</v>
      </c>
      <c r="N1344" s="6" t="s">
        <v>43</v>
      </c>
      <c r="O1344" s="6" t="s">
        <v>25</v>
      </c>
      <c r="P1344" s="6">
        <f>COUNTIF(Analysis!$M$1:$M$3001,Analysis!$M1344)</f>
        <v>1</v>
      </c>
      <c r="Q1344" s="6" t="str">
        <f>IF(COUNTIF(Analysis!$M$2:$M$3001,Analysis!$M1344)&gt;1,"Duplicate","OK")</f>
        <v>OK</v>
      </c>
      <c r="R1344" s="6" t="str">
        <f t="shared" si="1"/>
        <v>600-1600</v>
      </c>
      <c r="S1344" s="6">
        <f t="shared" si="2"/>
        <v>31</v>
      </c>
      <c r="T1344" s="6" t="str">
        <f t="shared" si="3"/>
        <v>Old</v>
      </c>
    </row>
    <row r="1345" ht="14.25" customHeight="1">
      <c r="A1345" s="5">
        <v>449429.0</v>
      </c>
      <c r="B1345" s="6" t="s">
        <v>5419</v>
      </c>
      <c r="C1345" s="6" t="s">
        <v>39</v>
      </c>
      <c r="D1345" s="6">
        <v>14444.0</v>
      </c>
      <c r="E1345" s="6" t="s">
        <v>60</v>
      </c>
      <c r="F1345" s="6" t="s">
        <v>94</v>
      </c>
      <c r="G1345" s="6" t="s">
        <v>100</v>
      </c>
      <c r="H1345" s="7">
        <v>1792.0</v>
      </c>
      <c r="I1345" s="7">
        <v>7630.0</v>
      </c>
      <c r="J1345" s="6">
        <v>1975.0</v>
      </c>
      <c r="K1345" s="6">
        <v>49.0</v>
      </c>
      <c r="L1345" s="6" t="s">
        <v>141</v>
      </c>
      <c r="M1345" s="6" t="s">
        <v>5420</v>
      </c>
      <c r="N1345" s="6" t="s">
        <v>64</v>
      </c>
      <c r="O1345" s="6" t="s">
        <v>49</v>
      </c>
      <c r="P1345" s="6">
        <f>COUNTIF(Analysis!$M$1:$M$3001,Analysis!$M1345)</f>
        <v>1</v>
      </c>
      <c r="Q1345" s="6" t="str">
        <f>IF(COUNTIF(Analysis!$M$2:$M$3001,Analysis!$M1345)&gt;1,"Duplicate","OK")</f>
        <v>OK</v>
      </c>
      <c r="R1345" s="6" t="str">
        <f t="shared" si="1"/>
        <v>1600-2600</v>
      </c>
      <c r="S1345" s="6">
        <f t="shared" si="2"/>
        <v>51</v>
      </c>
      <c r="T1345" s="6" t="str">
        <f t="shared" si="3"/>
        <v>Old</v>
      </c>
    </row>
    <row r="1346" ht="14.25" customHeight="1">
      <c r="A1346" s="5">
        <v>1200867.0</v>
      </c>
      <c r="B1346" s="6" t="s">
        <v>5423</v>
      </c>
      <c r="C1346" s="6" t="s">
        <v>76</v>
      </c>
      <c r="D1346" s="6">
        <v>44997.0</v>
      </c>
      <c r="E1346" s="6" t="s">
        <v>40</v>
      </c>
      <c r="F1346" s="6" t="s">
        <v>94</v>
      </c>
      <c r="G1346" s="6" t="s">
        <v>21</v>
      </c>
      <c r="H1346" s="7">
        <v>2006.0</v>
      </c>
      <c r="I1346" s="7">
        <v>1334.0</v>
      </c>
      <c r="J1346" s="6">
        <v>1985.0</v>
      </c>
      <c r="K1346" s="6">
        <v>31.0</v>
      </c>
      <c r="L1346" s="6" t="s">
        <v>22</v>
      </c>
      <c r="M1346" s="6" t="s">
        <v>5424</v>
      </c>
      <c r="N1346" s="6" t="s">
        <v>43</v>
      </c>
      <c r="O1346" s="6" t="s">
        <v>49</v>
      </c>
      <c r="P1346" s="6">
        <f>COUNTIF(Analysis!$M$1:$M$3001,Analysis!$M1346)</f>
        <v>1</v>
      </c>
      <c r="Q1346" s="6" t="str">
        <f>IF(COUNTIF(Analysis!$M$2:$M$3001,Analysis!$M1346)&gt;1,"Duplicate","OK")</f>
        <v>OK</v>
      </c>
      <c r="R1346" s="6" t="str">
        <f t="shared" si="1"/>
        <v>1600-2600</v>
      </c>
      <c r="S1346" s="6">
        <f t="shared" si="2"/>
        <v>41</v>
      </c>
      <c r="T1346" s="6" t="str">
        <f t="shared" si="3"/>
        <v>Old</v>
      </c>
    </row>
    <row r="1347" ht="14.25" customHeight="1">
      <c r="A1347" s="5">
        <v>147111.0</v>
      </c>
      <c r="B1347" s="6" t="s">
        <v>5427</v>
      </c>
      <c r="C1347" s="6" t="s">
        <v>76</v>
      </c>
      <c r="D1347" s="6">
        <v>64978.0</v>
      </c>
      <c r="E1347" s="6" t="s">
        <v>19</v>
      </c>
      <c r="F1347" s="6" t="s">
        <v>41</v>
      </c>
      <c r="G1347" s="6" t="s">
        <v>55</v>
      </c>
      <c r="H1347" s="7">
        <v>2255.0</v>
      </c>
      <c r="I1347" s="7">
        <v>8997.0</v>
      </c>
      <c r="J1347" s="6">
        <v>2006.0</v>
      </c>
      <c r="K1347" s="6">
        <v>70.0</v>
      </c>
      <c r="L1347" s="6" t="s">
        <v>22</v>
      </c>
      <c r="M1347" s="6" t="s">
        <v>5428</v>
      </c>
      <c r="N1347" s="6" t="s">
        <v>34</v>
      </c>
      <c r="O1347" s="6" t="s">
        <v>49</v>
      </c>
      <c r="P1347" s="6">
        <f>COUNTIF(Analysis!$M$1:$M$3001,Analysis!$M1347)</f>
        <v>1</v>
      </c>
      <c r="Q1347" s="6" t="str">
        <f>IF(COUNTIF(Analysis!$M$2:$M$3001,Analysis!$M1347)&gt;1,"Duplicate","OK")</f>
        <v>OK</v>
      </c>
      <c r="R1347" s="6" t="str">
        <f t="shared" si="1"/>
        <v>1600-2600</v>
      </c>
      <c r="S1347" s="6">
        <f t="shared" si="2"/>
        <v>20</v>
      </c>
      <c r="T1347" s="6" t="str">
        <f t="shared" si="3"/>
        <v>Mid</v>
      </c>
    </row>
    <row r="1348" ht="14.25" customHeight="1">
      <c r="A1348" s="5">
        <v>847617.0</v>
      </c>
      <c r="B1348" s="6" t="s">
        <v>5431</v>
      </c>
      <c r="C1348" s="6" t="s">
        <v>76</v>
      </c>
      <c r="D1348" s="6">
        <v>88554.0</v>
      </c>
      <c r="E1348" s="6" t="s">
        <v>77</v>
      </c>
      <c r="F1348" s="6" t="s">
        <v>46</v>
      </c>
      <c r="G1348" s="6" t="s">
        <v>100</v>
      </c>
      <c r="H1348" s="7">
        <v>2503.0</v>
      </c>
      <c r="I1348" s="7">
        <v>2131.0</v>
      </c>
      <c r="J1348" s="6">
        <v>2021.0</v>
      </c>
      <c r="K1348" s="6">
        <v>5.0</v>
      </c>
      <c r="L1348" s="6" t="s">
        <v>95</v>
      </c>
      <c r="M1348" s="6" t="s">
        <v>5432</v>
      </c>
      <c r="N1348" s="6" t="s">
        <v>34</v>
      </c>
      <c r="O1348" s="6" t="s">
        <v>25</v>
      </c>
      <c r="P1348" s="6">
        <f>COUNTIF(Analysis!$M$1:$M$3001,Analysis!$M1348)</f>
        <v>1</v>
      </c>
      <c r="Q1348" s="6" t="str">
        <f>IF(COUNTIF(Analysis!$M$2:$M$3001,Analysis!$M1348)&gt;1,"Duplicate","OK")</f>
        <v>OK</v>
      </c>
      <c r="R1348" s="6" t="str">
        <f t="shared" si="1"/>
        <v>1600-2600</v>
      </c>
      <c r="S1348" s="6">
        <f t="shared" si="2"/>
        <v>5</v>
      </c>
      <c r="T1348" s="6" t="str">
        <f t="shared" si="3"/>
        <v>New</v>
      </c>
    </row>
    <row r="1349" ht="14.25" customHeight="1">
      <c r="A1349" s="5">
        <v>526045.0</v>
      </c>
      <c r="B1349" s="6" t="s">
        <v>5435</v>
      </c>
      <c r="C1349" s="6" t="s">
        <v>39</v>
      </c>
      <c r="D1349" s="6">
        <v>92223.0</v>
      </c>
      <c r="E1349" s="6" t="s">
        <v>30</v>
      </c>
      <c r="F1349" s="6" t="s">
        <v>94</v>
      </c>
      <c r="G1349" s="6" t="s">
        <v>21</v>
      </c>
      <c r="H1349" s="7">
        <v>3095.0</v>
      </c>
      <c r="I1349" s="7">
        <v>6874.0</v>
      </c>
      <c r="J1349" s="6">
        <v>1956.0</v>
      </c>
      <c r="K1349" s="6">
        <v>105.0</v>
      </c>
      <c r="L1349" s="6" t="s">
        <v>95</v>
      </c>
      <c r="M1349" s="6" t="s">
        <v>5436</v>
      </c>
      <c r="N1349" s="6" t="s">
        <v>64</v>
      </c>
      <c r="O1349" s="6" t="s">
        <v>49</v>
      </c>
      <c r="P1349" s="6">
        <f>COUNTIF(Analysis!$M$1:$M$3001,Analysis!$M1349)</f>
        <v>1</v>
      </c>
      <c r="Q1349" s="6" t="str">
        <f>IF(COUNTIF(Analysis!$M$2:$M$3001,Analysis!$M1349)&gt;1,"Duplicate","OK")</f>
        <v>OK</v>
      </c>
      <c r="R1349" s="6" t="str">
        <f t="shared" si="1"/>
        <v>2600-3600</v>
      </c>
      <c r="S1349" s="6">
        <f t="shared" si="2"/>
        <v>70</v>
      </c>
      <c r="T1349" s="6" t="str">
        <f t="shared" si="3"/>
        <v>Very Old</v>
      </c>
    </row>
    <row r="1350" ht="14.25" customHeight="1">
      <c r="A1350" s="5">
        <v>1361056.0</v>
      </c>
      <c r="B1350" s="6" t="s">
        <v>5439</v>
      </c>
      <c r="C1350" s="6" t="s">
        <v>53</v>
      </c>
      <c r="D1350" s="6">
        <v>39637.0</v>
      </c>
      <c r="E1350" s="6" t="s">
        <v>60</v>
      </c>
      <c r="F1350" s="6" t="s">
        <v>94</v>
      </c>
      <c r="G1350" s="6" t="s">
        <v>100</v>
      </c>
      <c r="H1350" s="7">
        <v>965.0</v>
      </c>
      <c r="I1350" s="7">
        <v>6245.0</v>
      </c>
      <c r="J1350" s="6">
        <v>2022.0</v>
      </c>
      <c r="K1350" s="6">
        <v>82.0</v>
      </c>
      <c r="L1350" s="6" t="s">
        <v>32</v>
      </c>
      <c r="M1350" s="6" t="s">
        <v>5440</v>
      </c>
      <c r="N1350" s="6" t="s">
        <v>64</v>
      </c>
      <c r="O1350" s="6" t="s">
        <v>35</v>
      </c>
      <c r="P1350" s="6">
        <f>COUNTIF(Analysis!$M$1:$M$3001,Analysis!$M1350)</f>
        <v>1</v>
      </c>
      <c r="Q1350" s="6" t="str">
        <f>IF(COUNTIF(Analysis!$M$2:$M$3001,Analysis!$M1350)&gt;1,"Duplicate","OK")</f>
        <v>OK</v>
      </c>
      <c r="R1350" s="6" t="str">
        <f t="shared" si="1"/>
        <v>600-1600</v>
      </c>
      <c r="S1350" s="6">
        <f t="shared" si="2"/>
        <v>4</v>
      </c>
      <c r="T1350" s="6" t="str">
        <f t="shared" si="3"/>
        <v>New</v>
      </c>
    </row>
    <row r="1351" ht="14.25" customHeight="1">
      <c r="A1351" s="5">
        <v>782095.0</v>
      </c>
      <c r="B1351" s="6" t="s">
        <v>5443</v>
      </c>
      <c r="C1351" s="6" t="s">
        <v>18</v>
      </c>
      <c r="D1351" s="6">
        <v>49528.0</v>
      </c>
      <c r="E1351" s="6" t="s">
        <v>40</v>
      </c>
      <c r="F1351" s="6" t="s">
        <v>94</v>
      </c>
      <c r="G1351" s="6" t="s">
        <v>55</v>
      </c>
      <c r="H1351" s="7">
        <v>1395.0</v>
      </c>
      <c r="I1351" s="7">
        <v>9537.0</v>
      </c>
      <c r="J1351" s="6">
        <v>2013.0</v>
      </c>
      <c r="K1351" s="6">
        <v>63.0</v>
      </c>
      <c r="L1351" s="6" t="s">
        <v>22</v>
      </c>
      <c r="M1351" s="6" t="s">
        <v>5444</v>
      </c>
      <c r="N1351" s="6" t="s">
        <v>34</v>
      </c>
      <c r="O1351" s="6" t="s">
        <v>25</v>
      </c>
      <c r="P1351" s="6">
        <f>COUNTIF(Analysis!$M$1:$M$3001,Analysis!$M1351)</f>
        <v>1</v>
      </c>
      <c r="Q1351" s="6" t="str">
        <f>IF(COUNTIF(Analysis!$M$2:$M$3001,Analysis!$M1351)&gt;1,"Duplicate","OK")</f>
        <v>OK</v>
      </c>
      <c r="R1351" s="6" t="str">
        <f t="shared" si="1"/>
        <v>600-1600</v>
      </c>
      <c r="S1351" s="6">
        <f t="shared" si="2"/>
        <v>13</v>
      </c>
      <c r="T1351" s="6" t="str">
        <f t="shared" si="3"/>
        <v>Mid</v>
      </c>
    </row>
    <row r="1352" ht="14.25" customHeight="1">
      <c r="A1352" s="5">
        <v>1103146.0</v>
      </c>
      <c r="B1352" s="6" t="s">
        <v>5447</v>
      </c>
      <c r="C1352" s="6" t="s">
        <v>18</v>
      </c>
      <c r="D1352" s="6">
        <v>14744.0</v>
      </c>
      <c r="E1352" s="6" t="s">
        <v>77</v>
      </c>
      <c r="F1352" s="6" t="s">
        <v>61</v>
      </c>
      <c r="G1352" s="6" t="s">
        <v>21</v>
      </c>
      <c r="H1352" s="7">
        <v>1589.0</v>
      </c>
      <c r="I1352" s="7">
        <v>6894.0</v>
      </c>
      <c r="J1352" s="6">
        <v>2019.0</v>
      </c>
      <c r="K1352" s="6">
        <v>50.0</v>
      </c>
      <c r="L1352" s="6" t="s">
        <v>22</v>
      </c>
      <c r="M1352" s="6" t="s">
        <v>5448</v>
      </c>
      <c r="N1352" s="6" t="s">
        <v>24</v>
      </c>
      <c r="O1352" s="6" t="s">
        <v>35</v>
      </c>
      <c r="P1352" s="6">
        <f>COUNTIF(Analysis!$M$1:$M$3001,Analysis!$M1352)</f>
        <v>1</v>
      </c>
      <c r="Q1352" s="6" t="str">
        <f>IF(COUNTIF(Analysis!$M$2:$M$3001,Analysis!$M1352)&gt;1,"Duplicate","OK")</f>
        <v>OK</v>
      </c>
      <c r="R1352" s="6" t="str">
        <f t="shared" si="1"/>
        <v>600-1600</v>
      </c>
      <c r="S1352" s="6">
        <f t="shared" si="2"/>
        <v>7</v>
      </c>
      <c r="T1352" s="6" t="str">
        <f t="shared" si="3"/>
        <v>New</v>
      </c>
    </row>
    <row r="1353" ht="14.25" customHeight="1">
      <c r="A1353" s="5">
        <v>744974.0</v>
      </c>
      <c r="B1353" s="6" t="s">
        <v>9323</v>
      </c>
      <c r="C1353" s="6" t="s">
        <v>29</v>
      </c>
      <c r="D1353" s="6">
        <v>93761.0</v>
      </c>
      <c r="E1353" s="6" t="s">
        <v>19</v>
      </c>
      <c r="F1353" s="6" t="s">
        <v>61</v>
      </c>
      <c r="G1353" s="6" t="s">
        <v>55</v>
      </c>
      <c r="H1353" s="7">
        <v>1130.0</v>
      </c>
      <c r="I1353" s="7">
        <v>6871.0</v>
      </c>
      <c r="J1353" s="6">
        <v>2018.0</v>
      </c>
      <c r="K1353" s="6">
        <v>77.0</v>
      </c>
      <c r="L1353" s="6" t="s">
        <v>141</v>
      </c>
      <c r="M1353" s="6" t="s">
        <v>9324</v>
      </c>
      <c r="N1353" s="6" t="s">
        <v>43</v>
      </c>
      <c r="O1353" s="6" t="s">
        <v>25</v>
      </c>
      <c r="P1353" s="6">
        <f>COUNTIF(Analysis!$M$1:$M$3001,Analysis!$M2322)</f>
        <v>1</v>
      </c>
      <c r="Q1353" s="6" t="str">
        <f>IF(COUNTIF(Analysis!$M$2:$M$3001,Analysis!$M2322)&gt;1,"Duplicate","OK")</f>
        <v>OK</v>
      </c>
      <c r="R1353" s="6" t="str">
        <f t="shared" si="1"/>
        <v>600-1600</v>
      </c>
      <c r="S1353" s="6">
        <f t="shared" si="2"/>
        <v>8</v>
      </c>
      <c r="T1353" s="6" t="str">
        <f t="shared" si="3"/>
        <v>New</v>
      </c>
    </row>
    <row r="1354" ht="14.25" customHeight="1">
      <c r="A1354" s="5">
        <v>268004.0</v>
      </c>
      <c r="B1354" s="6" t="s">
        <v>5455</v>
      </c>
      <c r="C1354" s="6" t="s">
        <v>53</v>
      </c>
      <c r="D1354" s="6">
        <v>84948.0</v>
      </c>
      <c r="E1354" s="6" t="s">
        <v>30</v>
      </c>
      <c r="F1354" s="6" t="s">
        <v>61</v>
      </c>
      <c r="G1354" s="6" t="s">
        <v>55</v>
      </c>
      <c r="H1354" s="7">
        <v>2575.0</v>
      </c>
      <c r="I1354" s="7">
        <v>5928.0</v>
      </c>
      <c r="J1354" s="6">
        <v>1993.0</v>
      </c>
      <c r="K1354" s="6">
        <v>47.0</v>
      </c>
      <c r="L1354" s="6" t="s">
        <v>95</v>
      </c>
      <c r="M1354" s="6" t="s">
        <v>5456</v>
      </c>
      <c r="N1354" s="6" t="s">
        <v>34</v>
      </c>
      <c r="O1354" s="6" t="s">
        <v>49</v>
      </c>
      <c r="P1354" s="6">
        <f>COUNTIF(Analysis!$M$1:$M$3001,Analysis!$M1354)</f>
        <v>1</v>
      </c>
      <c r="Q1354" s="6" t="str">
        <f>IF(COUNTIF(Analysis!$M$2:$M$3001,Analysis!$M1354)&gt;1,"Duplicate","OK")</f>
        <v>OK</v>
      </c>
      <c r="R1354" s="6" t="str">
        <f t="shared" si="1"/>
        <v>1600-2600</v>
      </c>
      <c r="S1354" s="6">
        <f t="shared" si="2"/>
        <v>33</v>
      </c>
      <c r="T1354" s="6" t="str">
        <f t="shared" si="3"/>
        <v>Old</v>
      </c>
    </row>
    <row r="1355" ht="14.25" customHeight="1">
      <c r="A1355" s="5">
        <v>1421337.0</v>
      </c>
      <c r="B1355" s="6" t="s">
        <v>5459</v>
      </c>
      <c r="C1355" s="6" t="s">
        <v>39</v>
      </c>
      <c r="D1355" s="6">
        <v>34535.0</v>
      </c>
      <c r="E1355" s="6" t="s">
        <v>40</v>
      </c>
      <c r="F1355" s="6" t="s">
        <v>20</v>
      </c>
      <c r="G1355" s="6" t="s">
        <v>31</v>
      </c>
      <c r="H1355" s="7">
        <v>1618.0</v>
      </c>
      <c r="I1355" s="7">
        <v>2535.0</v>
      </c>
      <c r="J1355" s="6">
        <v>1992.0</v>
      </c>
      <c r="K1355" s="6">
        <v>103.0</v>
      </c>
      <c r="L1355" s="6" t="s">
        <v>62</v>
      </c>
      <c r="M1355" s="6" t="s">
        <v>5460</v>
      </c>
      <c r="N1355" s="6" t="s">
        <v>64</v>
      </c>
      <c r="O1355" s="6" t="s">
        <v>35</v>
      </c>
      <c r="P1355" s="6">
        <f>COUNTIF(Analysis!$M$1:$M$3001,Analysis!$M1355)</f>
        <v>1</v>
      </c>
      <c r="Q1355" s="6" t="str">
        <f>IF(COUNTIF(Analysis!$M$2:$M$3001,Analysis!$M1355)&gt;1,"Duplicate","OK")</f>
        <v>OK</v>
      </c>
      <c r="R1355" s="6" t="str">
        <f t="shared" si="1"/>
        <v>1600-2600</v>
      </c>
      <c r="S1355" s="6">
        <f t="shared" si="2"/>
        <v>34</v>
      </c>
      <c r="T1355" s="6" t="str">
        <f t="shared" si="3"/>
        <v>Old</v>
      </c>
    </row>
    <row r="1356" ht="14.25" customHeight="1">
      <c r="A1356" s="5">
        <v>977475.0</v>
      </c>
      <c r="B1356" s="6" t="s">
        <v>5463</v>
      </c>
      <c r="C1356" s="6" t="s">
        <v>39</v>
      </c>
      <c r="D1356" s="6">
        <v>74353.0</v>
      </c>
      <c r="E1356" s="6" t="s">
        <v>30</v>
      </c>
      <c r="F1356" s="6" t="s">
        <v>46</v>
      </c>
      <c r="G1356" s="6" t="s">
        <v>55</v>
      </c>
      <c r="H1356" s="7">
        <v>3783.0</v>
      </c>
      <c r="I1356" s="7">
        <v>8122.0</v>
      </c>
      <c r="J1356" s="6">
        <v>1973.0</v>
      </c>
      <c r="K1356" s="6">
        <v>4.0</v>
      </c>
      <c r="L1356" s="6" t="s">
        <v>95</v>
      </c>
      <c r="M1356" s="6" t="s">
        <v>5464</v>
      </c>
      <c r="N1356" s="6" t="s">
        <v>48</v>
      </c>
      <c r="O1356" s="6" t="s">
        <v>49</v>
      </c>
      <c r="P1356" s="6">
        <f>COUNTIF(Analysis!$M$1:$M$3001,Analysis!$M1356)</f>
        <v>1</v>
      </c>
      <c r="Q1356" s="6" t="str">
        <f>IF(COUNTIF(Analysis!$M$2:$M$3001,Analysis!$M1356)&gt;1,"Duplicate","OK")</f>
        <v>OK</v>
      </c>
      <c r="R1356" s="6" t="str">
        <f t="shared" si="1"/>
        <v>3600+</v>
      </c>
      <c r="S1356" s="6">
        <f t="shared" si="2"/>
        <v>53</v>
      </c>
      <c r="T1356" s="6" t="str">
        <f t="shared" si="3"/>
        <v>Old</v>
      </c>
    </row>
    <row r="1357" ht="14.25" customHeight="1">
      <c r="A1357" s="5">
        <v>406192.0</v>
      </c>
      <c r="B1357" s="6" t="s">
        <v>5467</v>
      </c>
      <c r="C1357" s="6" t="s">
        <v>39</v>
      </c>
      <c r="D1357" s="6">
        <v>44554.0</v>
      </c>
      <c r="E1357" s="6" t="s">
        <v>30</v>
      </c>
      <c r="F1357" s="6" t="s">
        <v>20</v>
      </c>
      <c r="G1357" s="6" t="s">
        <v>55</v>
      </c>
      <c r="H1357" s="7">
        <v>3998.0</v>
      </c>
      <c r="I1357" s="7">
        <v>3973.0</v>
      </c>
      <c r="J1357" s="6">
        <v>1955.0</v>
      </c>
      <c r="K1357" s="6">
        <v>51.0</v>
      </c>
      <c r="L1357" s="6" t="s">
        <v>22</v>
      </c>
      <c r="M1357" s="6" t="s">
        <v>5468</v>
      </c>
      <c r="N1357" s="6" t="s">
        <v>43</v>
      </c>
      <c r="O1357" s="6" t="s">
        <v>25</v>
      </c>
      <c r="P1357" s="6">
        <f>COUNTIF(Analysis!$M$1:$M$3001,Analysis!$M1357)</f>
        <v>1</v>
      </c>
      <c r="Q1357" s="6" t="str">
        <f>IF(COUNTIF(Analysis!$M$2:$M$3001,Analysis!$M1357)&gt;1,"Duplicate","OK")</f>
        <v>OK</v>
      </c>
      <c r="R1357" s="6" t="str">
        <f t="shared" si="1"/>
        <v>3600+</v>
      </c>
      <c r="S1357" s="6">
        <f t="shared" si="2"/>
        <v>71</v>
      </c>
      <c r="T1357" s="6" t="str">
        <f t="shared" si="3"/>
        <v>Very Old</v>
      </c>
    </row>
    <row r="1358" ht="14.25" customHeight="1">
      <c r="A1358" s="5">
        <v>145136.0</v>
      </c>
      <c r="B1358" s="6" t="s">
        <v>5471</v>
      </c>
      <c r="C1358" s="6" t="s">
        <v>18</v>
      </c>
      <c r="D1358" s="6">
        <v>37330.0</v>
      </c>
      <c r="E1358" s="6" t="s">
        <v>19</v>
      </c>
      <c r="F1358" s="6" t="s">
        <v>41</v>
      </c>
      <c r="G1358" s="6" t="s">
        <v>100</v>
      </c>
      <c r="H1358" s="7">
        <v>2018.0</v>
      </c>
      <c r="I1358" s="7">
        <v>1269.0</v>
      </c>
      <c r="J1358" s="6">
        <v>1990.0</v>
      </c>
      <c r="K1358" s="6">
        <v>59.0</v>
      </c>
      <c r="L1358" s="6" t="s">
        <v>32</v>
      </c>
      <c r="M1358" s="6" t="s">
        <v>5472</v>
      </c>
      <c r="N1358" s="6" t="s">
        <v>34</v>
      </c>
      <c r="O1358" s="6" t="s">
        <v>35</v>
      </c>
      <c r="P1358" s="6">
        <f>COUNTIF(Analysis!$M$1:$M$3001,Analysis!$M1358)</f>
        <v>1</v>
      </c>
      <c r="Q1358" s="6" t="str">
        <f>IF(COUNTIF(Analysis!$M$2:$M$3001,Analysis!$M1358)&gt;1,"Duplicate","OK")</f>
        <v>OK</v>
      </c>
      <c r="R1358" s="6" t="str">
        <f t="shared" si="1"/>
        <v>1600-2600</v>
      </c>
      <c r="S1358" s="6">
        <f t="shared" si="2"/>
        <v>36</v>
      </c>
      <c r="T1358" s="6" t="str">
        <f t="shared" si="3"/>
        <v>Old</v>
      </c>
    </row>
    <row r="1359" ht="14.25" customHeight="1">
      <c r="A1359" s="5">
        <v>1169326.0</v>
      </c>
      <c r="B1359" s="6" t="s">
        <v>5475</v>
      </c>
      <c r="C1359" s="6" t="s">
        <v>53</v>
      </c>
      <c r="D1359" s="6">
        <v>25727.0</v>
      </c>
      <c r="E1359" s="6" t="s">
        <v>60</v>
      </c>
      <c r="F1359" s="6" t="s">
        <v>20</v>
      </c>
      <c r="G1359" s="6" t="s">
        <v>100</v>
      </c>
      <c r="H1359" s="7">
        <v>1110.0</v>
      </c>
      <c r="I1359" s="7">
        <v>9592.0</v>
      </c>
      <c r="J1359" s="6">
        <v>1982.0</v>
      </c>
      <c r="K1359" s="6">
        <v>78.0</v>
      </c>
      <c r="L1359" s="6" t="s">
        <v>95</v>
      </c>
      <c r="M1359" s="6" t="s">
        <v>5476</v>
      </c>
      <c r="N1359" s="6" t="s">
        <v>24</v>
      </c>
      <c r="O1359" s="6" t="s">
        <v>35</v>
      </c>
      <c r="P1359" s="6">
        <f>COUNTIF(Analysis!$M$1:$M$3001,Analysis!$M1359)</f>
        <v>1</v>
      </c>
      <c r="Q1359" s="6" t="str">
        <f>IF(COUNTIF(Analysis!$M$2:$M$3001,Analysis!$M1359)&gt;1,"Duplicate","OK")</f>
        <v>OK</v>
      </c>
      <c r="R1359" s="6" t="str">
        <f t="shared" si="1"/>
        <v>600-1600</v>
      </c>
      <c r="S1359" s="6">
        <f t="shared" si="2"/>
        <v>44</v>
      </c>
      <c r="T1359" s="6" t="str">
        <f t="shared" si="3"/>
        <v>Old</v>
      </c>
    </row>
    <row r="1360" ht="14.25" customHeight="1">
      <c r="A1360" s="5">
        <v>851439.0</v>
      </c>
      <c r="B1360" s="6" t="s">
        <v>5479</v>
      </c>
      <c r="C1360" s="6" t="s">
        <v>18</v>
      </c>
      <c r="D1360" s="6">
        <v>77829.0</v>
      </c>
      <c r="E1360" s="6" t="s">
        <v>19</v>
      </c>
      <c r="F1360" s="6" t="s">
        <v>94</v>
      </c>
      <c r="G1360" s="6" t="s">
        <v>31</v>
      </c>
      <c r="H1360" s="7">
        <v>3879.0</v>
      </c>
      <c r="I1360" s="7">
        <v>2466.0</v>
      </c>
      <c r="J1360" s="6">
        <v>1992.0</v>
      </c>
      <c r="K1360" s="6">
        <v>109.0</v>
      </c>
      <c r="L1360" s="6" t="s">
        <v>32</v>
      </c>
      <c r="M1360" s="6" t="s">
        <v>5480</v>
      </c>
      <c r="N1360" s="6" t="s">
        <v>48</v>
      </c>
      <c r="O1360" s="6" t="s">
        <v>35</v>
      </c>
      <c r="P1360" s="6">
        <f>COUNTIF(Analysis!$M$1:$M$3001,Analysis!$M1360)</f>
        <v>1</v>
      </c>
      <c r="Q1360" s="6" t="str">
        <f>IF(COUNTIF(Analysis!$M$2:$M$3001,Analysis!$M1360)&gt;1,"Duplicate","OK")</f>
        <v>OK</v>
      </c>
      <c r="R1360" s="6" t="str">
        <f t="shared" si="1"/>
        <v>3600+</v>
      </c>
      <c r="S1360" s="6">
        <f t="shared" si="2"/>
        <v>34</v>
      </c>
      <c r="T1360" s="6" t="str">
        <f t="shared" si="3"/>
        <v>Old</v>
      </c>
    </row>
    <row r="1361" ht="14.25" customHeight="1">
      <c r="A1361" s="5">
        <v>493384.0</v>
      </c>
      <c r="B1361" s="6" t="s">
        <v>5483</v>
      </c>
      <c r="C1361" s="6" t="s">
        <v>39</v>
      </c>
      <c r="D1361" s="6">
        <v>96815.0</v>
      </c>
      <c r="E1361" s="6" t="s">
        <v>77</v>
      </c>
      <c r="F1361" s="6" t="s">
        <v>54</v>
      </c>
      <c r="G1361" s="6" t="s">
        <v>55</v>
      </c>
      <c r="H1361" s="7">
        <v>3951.0</v>
      </c>
      <c r="I1361" s="7">
        <v>2394.0</v>
      </c>
      <c r="J1361" s="6">
        <v>2019.0</v>
      </c>
      <c r="K1361" s="6">
        <v>29.0</v>
      </c>
      <c r="L1361" s="6" t="s">
        <v>62</v>
      </c>
      <c r="M1361" s="6" t="s">
        <v>5484</v>
      </c>
      <c r="N1361" s="6" t="s">
        <v>43</v>
      </c>
      <c r="O1361" s="6" t="s">
        <v>49</v>
      </c>
      <c r="P1361" s="6">
        <f>COUNTIF(Analysis!$M$1:$M$3001,Analysis!$M1361)</f>
        <v>1</v>
      </c>
      <c r="Q1361" s="6" t="str">
        <f>IF(COUNTIF(Analysis!$M$2:$M$3001,Analysis!$M1361)&gt;1,"Duplicate","OK")</f>
        <v>OK</v>
      </c>
      <c r="R1361" s="6" t="str">
        <f t="shared" si="1"/>
        <v>3600+</v>
      </c>
      <c r="S1361" s="6">
        <f t="shared" si="2"/>
        <v>7</v>
      </c>
      <c r="T1361" s="6" t="str">
        <f t="shared" si="3"/>
        <v>New</v>
      </c>
    </row>
    <row r="1362" ht="14.25" customHeight="1">
      <c r="A1362" s="5">
        <v>702616.0</v>
      </c>
      <c r="B1362" s="6" t="s">
        <v>5487</v>
      </c>
      <c r="C1362" s="6" t="s">
        <v>18</v>
      </c>
      <c r="D1362" s="6">
        <v>43982.0</v>
      </c>
      <c r="E1362" s="6" t="s">
        <v>19</v>
      </c>
      <c r="F1362" s="6" t="s">
        <v>41</v>
      </c>
      <c r="G1362" s="6" t="s">
        <v>21</v>
      </c>
      <c r="H1362" s="7">
        <v>1704.0</v>
      </c>
      <c r="I1362" s="7">
        <v>6514.0</v>
      </c>
      <c r="J1362" s="6">
        <v>1968.0</v>
      </c>
      <c r="K1362" s="6">
        <v>34.0</v>
      </c>
      <c r="L1362" s="6" t="s">
        <v>62</v>
      </c>
      <c r="M1362" s="6" t="s">
        <v>5488</v>
      </c>
      <c r="N1362" s="6" t="s">
        <v>48</v>
      </c>
      <c r="O1362" s="6" t="s">
        <v>49</v>
      </c>
      <c r="P1362" s="6">
        <f>COUNTIF(Analysis!$M$1:$M$3001,Analysis!$M1362)</f>
        <v>1</v>
      </c>
      <c r="Q1362" s="6" t="str">
        <f>IF(COUNTIF(Analysis!$M$2:$M$3001,Analysis!$M1362)&gt;1,"Duplicate","OK")</f>
        <v>OK</v>
      </c>
      <c r="R1362" s="6" t="str">
        <f t="shared" si="1"/>
        <v>1600-2600</v>
      </c>
      <c r="S1362" s="6">
        <f t="shared" si="2"/>
        <v>58</v>
      </c>
      <c r="T1362" s="6" t="str">
        <f t="shared" si="3"/>
        <v>Old</v>
      </c>
    </row>
    <row r="1363" ht="14.25" customHeight="1">
      <c r="A1363" s="5">
        <v>1444049.0</v>
      </c>
      <c r="B1363" s="6" t="s">
        <v>5491</v>
      </c>
      <c r="C1363" s="6" t="s">
        <v>39</v>
      </c>
      <c r="D1363" s="6">
        <v>57281.0</v>
      </c>
      <c r="E1363" s="6" t="s">
        <v>30</v>
      </c>
      <c r="F1363" s="6" t="s">
        <v>46</v>
      </c>
      <c r="G1363" s="6" t="s">
        <v>21</v>
      </c>
      <c r="H1363" s="7">
        <v>2531.0</v>
      </c>
      <c r="I1363" s="7">
        <v>6783.0</v>
      </c>
      <c r="J1363" s="6">
        <v>1964.0</v>
      </c>
      <c r="K1363" s="6">
        <v>86.0</v>
      </c>
      <c r="L1363" s="6" t="s">
        <v>141</v>
      </c>
      <c r="M1363" s="6" t="s">
        <v>5492</v>
      </c>
      <c r="N1363" s="6" t="s">
        <v>43</v>
      </c>
      <c r="O1363" s="6" t="s">
        <v>25</v>
      </c>
      <c r="P1363" s="6">
        <f>COUNTIF(Analysis!$M$1:$M$3001,Analysis!$M1363)</f>
        <v>1</v>
      </c>
      <c r="Q1363" s="6" t="str">
        <f>IF(COUNTIF(Analysis!$M$2:$M$3001,Analysis!$M1363)&gt;1,"Duplicate","OK")</f>
        <v>OK</v>
      </c>
      <c r="R1363" s="6" t="str">
        <f t="shared" si="1"/>
        <v>1600-2600</v>
      </c>
      <c r="S1363" s="6">
        <f t="shared" si="2"/>
        <v>62</v>
      </c>
      <c r="T1363" s="6" t="str">
        <f t="shared" si="3"/>
        <v>Very Old</v>
      </c>
    </row>
    <row r="1364" ht="14.25" customHeight="1">
      <c r="A1364" s="5">
        <v>691610.0</v>
      </c>
      <c r="B1364" s="6" t="s">
        <v>5495</v>
      </c>
      <c r="C1364" s="6" t="s">
        <v>76</v>
      </c>
      <c r="D1364" s="6">
        <v>63545.0</v>
      </c>
      <c r="E1364" s="6" t="s">
        <v>77</v>
      </c>
      <c r="F1364" s="6" t="s">
        <v>61</v>
      </c>
      <c r="G1364" s="6" t="s">
        <v>100</v>
      </c>
      <c r="H1364" s="7">
        <v>2969.0</v>
      </c>
      <c r="I1364" s="7">
        <v>3934.0</v>
      </c>
      <c r="J1364" s="6">
        <v>1996.0</v>
      </c>
      <c r="K1364" s="6">
        <v>23.0</v>
      </c>
      <c r="L1364" s="6" t="s">
        <v>22</v>
      </c>
      <c r="M1364" s="6" t="s">
        <v>5496</v>
      </c>
      <c r="N1364" s="6" t="s">
        <v>48</v>
      </c>
      <c r="O1364" s="6" t="s">
        <v>49</v>
      </c>
      <c r="P1364" s="6">
        <f>COUNTIF(Analysis!$M$1:$M$3001,Analysis!$M1364)</f>
        <v>1</v>
      </c>
      <c r="Q1364" s="6" t="str">
        <f>IF(COUNTIF(Analysis!$M$2:$M$3001,Analysis!$M1364)&gt;1,"Duplicate","OK")</f>
        <v>OK</v>
      </c>
      <c r="R1364" s="6" t="str">
        <f t="shared" si="1"/>
        <v>2600-3600</v>
      </c>
      <c r="S1364" s="6">
        <f t="shared" si="2"/>
        <v>30</v>
      </c>
      <c r="T1364" s="6" t="str">
        <f t="shared" si="3"/>
        <v>Mid</v>
      </c>
    </row>
    <row r="1365" ht="14.25" customHeight="1">
      <c r="A1365" s="5">
        <v>745278.0</v>
      </c>
      <c r="B1365" s="6" t="s">
        <v>8971</v>
      </c>
      <c r="C1365" s="6" t="s">
        <v>29</v>
      </c>
      <c r="D1365" s="6">
        <v>63254.0</v>
      </c>
      <c r="E1365" s="6" t="s">
        <v>60</v>
      </c>
      <c r="F1365" s="6" t="s">
        <v>61</v>
      </c>
      <c r="G1365" s="6" t="s">
        <v>55</v>
      </c>
      <c r="H1365" s="7">
        <v>1893.0</v>
      </c>
      <c r="I1365" s="7">
        <v>9315.0</v>
      </c>
      <c r="J1365" s="6">
        <v>1975.0</v>
      </c>
      <c r="K1365" s="6">
        <v>95.0</v>
      </c>
      <c r="L1365" s="6" t="s">
        <v>141</v>
      </c>
      <c r="M1365" s="6" t="s">
        <v>8972</v>
      </c>
      <c r="N1365" s="6" t="s">
        <v>34</v>
      </c>
      <c r="O1365" s="6" t="s">
        <v>35</v>
      </c>
      <c r="P1365" s="6">
        <f>COUNTIF(Analysis!$M$1:$M$3001,Analysis!$M2234)</f>
        <v>1</v>
      </c>
      <c r="Q1365" s="6" t="str">
        <f>IF(COUNTIF(Analysis!$M$2:$M$3001,Analysis!$M2234)&gt;1,"Duplicate","OK")</f>
        <v>OK</v>
      </c>
      <c r="R1365" s="6" t="str">
        <f t="shared" si="1"/>
        <v>1600-2600</v>
      </c>
      <c r="S1365" s="6">
        <f t="shared" si="2"/>
        <v>51</v>
      </c>
      <c r="T1365" s="6" t="str">
        <f t="shared" si="3"/>
        <v>Old</v>
      </c>
    </row>
    <row r="1366" ht="14.25" customHeight="1">
      <c r="A1366" s="5">
        <v>462828.0</v>
      </c>
      <c r="B1366" s="6" t="s">
        <v>5503</v>
      </c>
      <c r="C1366" s="6" t="s">
        <v>18</v>
      </c>
      <c r="D1366" s="6">
        <v>98979.0</v>
      </c>
      <c r="E1366" s="6" t="s">
        <v>40</v>
      </c>
      <c r="F1366" s="6" t="s">
        <v>54</v>
      </c>
      <c r="G1366" s="6" t="s">
        <v>100</v>
      </c>
      <c r="H1366" s="7">
        <v>721.0</v>
      </c>
      <c r="I1366" s="7">
        <v>8803.0</v>
      </c>
      <c r="J1366" s="6">
        <v>2013.0</v>
      </c>
      <c r="K1366" s="6">
        <v>7.0</v>
      </c>
      <c r="L1366" s="6" t="s">
        <v>22</v>
      </c>
      <c r="M1366" s="6" t="s">
        <v>5504</v>
      </c>
      <c r="N1366" s="6" t="s">
        <v>64</v>
      </c>
      <c r="O1366" s="6" t="s">
        <v>49</v>
      </c>
      <c r="P1366" s="6">
        <f>COUNTIF(Analysis!$M$1:$M$3001,Analysis!$M1366)</f>
        <v>1</v>
      </c>
      <c r="Q1366" s="6" t="str">
        <f>IF(COUNTIF(Analysis!$M$2:$M$3001,Analysis!$M1366)&gt;1,"Duplicate","OK")</f>
        <v>OK</v>
      </c>
      <c r="R1366" s="6" t="str">
        <f t="shared" si="1"/>
        <v>600-1600</v>
      </c>
      <c r="S1366" s="6">
        <f t="shared" si="2"/>
        <v>13</v>
      </c>
      <c r="T1366" s="6" t="str">
        <f t="shared" si="3"/>
        <v>Mid</v>
      </c>
    </row>
    <row r="1367" ht="14.25" customHeight="1">
      <c r="A1367" s="5">
        <v>813988.0</v>
      </c>
      <c r="B1367" s="6" t="s">
        <v>5507</v>
      </c>
      <c r="C1367" s="6" t="s">
        <v>39</v>
      </c>
      <c r="D1367" s="6">
        <v>70724.0</v>
      </c>
      <c r="E1367" s="6" t="s">
        <v>40</v>
      </c>
      <c r="F1367" s="6" t="s">
        <v>46</v>
      </c>
      <c r="G1367" s="6" t="s">
        <v>100</v>
      </c>
      <c r="H1367" s="7">
        <v>3737.0</v>
      </c>
      <c r="I1367" s="7">
        <v>6961.0</v>
      </c>
      <c r="J1367" s="6">
        <v>1969.0</v>
      </c>
      <c r="K1367" s="6">
        <v>109.0</v>
      </c>
      <c r="L1367" s="6" t="s">
        <v>32</v>
      </c>
      <c r="M1367" s="6" t="s">
        <v>5508</v>
      </c>
      <c r="N1367" s="6" t="s">
        <v>48</v>
      </c>
      <c r="O1367" s="6" t="s">
        <v>49</v>
      </c>
      <c r="P1367" s="6">
        <f>COUNTIF(Analysis!$M$1:$M$3001,Analysis!$M1367)</f>
        <v>1</v>
      </c>
      <c r="Q1367" s="6" t="str">
        <f>IF(COUNTIF(Analysis!$M$2:$M$3001,Analysis!$M1367)&gt;1,"Duplicate","OK")</f>
        <v>OK</v>
      </c>
      <c r="R1367" s="6" t="str">
        <f t="shared" si="1"/>
        <v>3600+</v>
      </c>
      <c r="S1367" s="6">
        <f t="shared" si="2"/>
        <v>57</v>
      </c>
      <c r="T1367" s="6" t="str">
        <f t="shared" si="3"/>
        <v>Old</v>
      </c>
    </row>
    <row r="1368" ht="14.25" customHeight="1">
      <c r="A1368" s="5">
        <v>1442853.0</v>
      </c>
      <c r="B1368" s="6" t="s">
        <v>5511</v>
      </c>
      <c r="C1368" s="6" t="s">
        <v>18</v>
      </c>
      <c r="D1368" s="6">
        <v>32794.0</v>
      </c>
      <c r="E1368" s="6" t="s">
        <v>30</v>
      </c>
      <c r="F1368" s="6" t="s">
        <v>41</v>
      </c>
      <c r="G1368" s="6" t="s">
        <v>100</v>
      </c>
      <c r="H1368" s="7">
        <v>840.0</v>
      </c>
      <c r="I1368" s="7">
        <v>9605.0</v>
      </c>
      <c r="J1368" s="6">
        <v>1983.0</v>
      </c>
      <c r="K1368" s="6">
        <v>63.0</v>
      </c>
      <c r="L1368" s="6" t="s">
        <v>95</v>
      </c>
      <c r="M1368" s="6" t="s">
        <v>5512</v>
      </c>
      <c r="N1368" s="6" t="s">
        <v>64</v>
      </c>
      <c r="O1368" s="6" t="s">
        <v>35</v>
      </c>
      <c r="P1368" s="6">
        <f>COUNTIF(Analysis!$M$1:$M$3001,Analysis!$M1368)</f>
        <v>1</v>
      </c>
      <c r="Q1368" s="6" t="str">
        <f>IF(COUNTIF(Analysis!$M$2:$M$3001,Analysis!$M1368)&gt;1,"Duplicate","OK")</f>
        <v>OK</v>
      </c>
      <c r="R1368" s="6" t="str">
        <f t="shared" si="1"/>
        <v>600-1600</v>
      </c>
      <c r="S1368" s="6">
        <f t="shared" si="2"/>
        <v>43</v>
      </c>
      <c r="T1368" s="6" t="str">
        <f t="shared" si="3"/>
        <v>Old</v>
      </c>
    </row>
    <row r="1369" ht="14.25" customHeight="1">
      <c r="A1369" s="5">
        <v>1131018.0</v>
      </c>
      <c r="B1369" s="6" t="s">
        <v>5515</v>
      </c>
      <c r="C1369" s="6" t="s">
        <v>18</v>
      </c>
      <c r="D1369" s="6">
        <v>91896.0</v>
      </c>
      <c r="E1369" s="6" t="s">
        <v>77</v>
      </c>
      <c r="F1369" s="6" t="s">
        <v>61</v>
      </c>
      <c r="G1369" s="6" t="s">
        <v>31</v>
      </c>
      <c r="H1369" s="7">
        <v>2762.0</v>
      </c>
      <c r="I1369" s="7">
        <v>7418.0</v>
      </c>
      <c r="J1369" s="6">
        <v>1950.0</v>
      </c>
      <c r="K1369" s="6">
        <v>19.0</v>
      </c>
      <c r="L1369" s="6" t="s">
        <v>32</v>
      </c>
      <c r="M1369" s="6" t="s">
        <v>5516</v>
      </c>
      <c r="N1369" s="6" t="s">
        <v>24</v>
      </c>
      <c r="O1369" s="6" t="s">
        <v>25</v>
      </c>
      <c r="P1369" s="6">
        <f>COUNTIF(Analysis!$M$1:$M$3001,Analysis!$M1369)</f>
        <v>1</v>
      </c>
      <c r="Q1369" s="6" t="str">
        <f>IF(COUNTIF(Analysis!$M$2:$M$3001,Analysis!$M1369)&gt;1,"Duplicate","OK")</f>
        <v>OK</v>
      </c>
      <c r="R1369" s="6" t="str">
        <f t="shared" si="1"/>
        <v>2600-3600</v>
      </c>
      <c r="S1369" s="6">
        <f t="shared" si="2"/>
        <v>76</v>
      </c>
      <c r="T1369" s="6" t="str">
        <f t="shared" si="3"/>
        <v>Very Old</v>
      </c>
    </row>
    <row r="1370" ht="14.25" customHeight="1">
      <c r="A1370" s="5">
        <v>745415.0</v>
      </c>
      <c r="B1370" s="6" t="s">
        <v>9439</v>
      </c>
      <c r="C1370" s="6" t="s">
        <v>29</v>
      </c>
      <c r="D1370" s="6">
        <v>38628.0</v>
      </c>
      <c r="E1370" s="6" t="s">
        <v>77</v>
      </c>
      <c r="F1370" s="6" t="s">
        <v>46</v>
      </c>
      <c r="G1370" s="6" t="s">
        <v>31</v>
      </c>
      <c r="H1370" s="7">
        <v>1195.0</v>
      </c>
      <c r="I1370" s="7">
        <v>4722.0</v>
      </c>
      <c r="J1370" s="6">
        <v>1955.0</v>
      </c>
      <c r="K1370" s="6">
        <v>48.0</v>
      </c>
      <c r="L1370" s="6" t="s">
        <v>95</v>
      </c>
      <c r="M1370" s="6" t="s">
        <v>9440</v>
      </c>
      <c r="N1370" s="6" t="s">
        <v>24</v>
      </c>
      <c r="O1370" s="6" t="s">
        <v>25</v>
      </c>
      <c r="P1370" s="6">
        <f>COUNTIF(Analysis!$M$1:$M$3001,Analysis!$M2351)</f>
        <v>1</v>
      </c>
      <c r="Q1370" s="6" t="str">
        <f>IF(COUNTIF(Analysis!$M$2:$M$3001,Analysis!$M2351)&gt;1,"Duplicate","OK")</f>
        <v>OK</v>
      </c>
      <c r="R1370" s="6" t="str">
        <f t="shared" si="1"/>
        <v>600-1600</v>
      </c>
      <c r="S1370" s="6">
        <f t="shared" si="2"/>
        <v>71</v>
      </c>
      <c r="T1370" s="6" t="str">
        <f t="shared" si="3"/>
        <v>Very Old</v>
      </c>
    </row>
    <row r="1371" ht="14.25" customHeight="1">
      <c r="A1371" s="5">
        <v>419698.0</v>
      </c>
      <c r="B1371" s="6" t="s">
        <v>5523</v>
      </c>
      <c r="C1371" s="6" t="s">
        <v>18</v>
      </c>
      <c r="D1371" s="6">
        <v>11546.0</v>
      </c>
      <c r="E1371" s="6" t="s">
        <v>19</v>
      </c>
      <c r="F1371" s="6" t="s">
        <v>20</v>
      </c>
      <c r="G1371" s="6" t="s">
        <v>31</v>
      </c>
      <c r="H1371" s="7">
        <v>3250.0</v>
      </c>
      <c r="I1371" s="7">
        <v>5601.0</v>
      </c>
      <c r="J1371" s="6">
        <v>1963.0</v>
      </c>
      <c r="K1371" s="6">
        <v>13.0</v>
      </c>
      <c r="L1371" s="6" t="s">
        <v>95</v>
      </c>
      <c r="M1371" s="6" t="s">
        <v>5524</v>
      </c>
      <c r="N1371" s="6" t="s">
        <v>48</v>
      </c>
      <c r="O1371" s="6" t="s">
        <v>35</v>
      </c>
      <c r="P1371" s="6">
        <f>COUNTIF(Analysis!$M$1:$M$3001,Analysis!$M1371)</f>
        <v>1</v>
      </c>
      <c r="Q1371" s="6" t="str">
        <f>IF(COUNTIF(Analysis!$M$2:$M$3001,Analysis!$M1371)&gt;1,"Duplicate","OK")</f>
        <v>OK</v>
      </c>
      <c r="R1371" s="6" t="str">
        <f t="shared" si="1"/>
        <v>2600-3600</v>
      </c>
      <c r="S1371" s="6">
        <f t="shared" si="2"/>
        <v>63</v>
      </c>
      <c r="T1371" s="6" t="str">
        <f t="shared" si="3"/>
        <v>Very Old</v>
      </c>
    </row>
    <row r="1372" ht="14.25" customHeight="1">
      <c r="A1372" s="5">
        <v>745730.0</v>
      </c>
      <c r="B1372" s="6" t="s">
        <v>4687</v>
      </c>
      <c r="C1372" s="6" t="s">
        <v>29</v>
      </c>
      <c r="D1372" s="6">
        <v>16001.0</v>
      </c>
      <c r="E1372" s="6" t="s">
        <v>40</v>
      </c>
      <c r="F1372" s="6" t="s">
        <v>20</v>
      </c>
      <c r="G1372" s="6" t="s">
        <v>31</v>
      </c>
      <c r="H1372" s="7">
        <v>2998.0</v>
      </c>
      <c r="I1372" s="7">
        <v>8133.0</v>
      </c>
      <c r="J1372" s="6">
        <v>1992.0</v>
      </c>
      <c r="K1372" s="6">
        <v>38.0</v>
      </c>
      <c r="L1372" s="6" t="s">
        <v>95</v>
      </c>
      <c r="M1372" s="6" t="s">
        <v>4688</v>
      </c>
      <c r="N1372" s="6" t="s">
        <v>34</v>
      </c>
      <c r="O1372" s="6" t="s">
        <v>49</v>
      </c>
      <c r="P1372" s="6">
        <f>COUNTIF(Analysis!$M$1:$M$3001,Analysis!$M1162)</f>
        <v>1</v>
      </c>
      <c r="Q1372" s="6" t="str">
        <f>IF(COUNTIF(Analysis!$M$2:$M$3001,Analysis!$M1162)&gt;1,"Duplicate","OK")</f>
        <v>OK</v>
      </c>
      <c r="R1372" s="6" t="str">
        <f t="shared" si="1"/>
        <v>2600-3600</v>
      </c>
      <c r="S1372" s="6">
        <f t="shared" si="2"/>
        <v>34</v>
      </c>
      <c r="T1372" s="6" t="str">
        <f t="shared" si="3"/>
        <v>Old</v>
      </c>
    </row>
    <row r="1373" ht="14.25" customHeight="1">
      <c r="A1373" s="5">
        <v>746966.0</v>
      </c>
      <c r="B1373" s="6" t="s">
        <v>1329</v>
      </c>
      <c r="C1373" s="6" t="s">
        <v>29</v>
      </c>
      <c r="D1373" s="6">
        <v>33519.0</v>
      </c>
      <c r="E1373" s="6" t="s">
        <v>40</v>
      </c>
      <c r="F1373" s="6" t="s">
        <v>94</v>
      </c>
      <c r="G1373" s="6" t="s">
        <v>55</v>
      </c>
      <c r="H1373" s="7">
        <v>1714.0</v>
      </c>
      <c r="I1373" s="7">
        <v>9446.0</v>
      </c>
      <c r="J1373" s="6">
        <v>2022.0</v>
      </c>
      <c r="K1373" s="6">
        <v>102.0</v>
      </c>
      <c r="L1373" s="6" t="s">
        <v>95</v>
      </c>
      <c r="M1373" s="6" t="s">
        <v>1330</v>
      </c>
      <c r="N1373" s="6" t="s">
        <v>24</v>
      </c>
      <c r="O1373" s="6" t="s">
        <v>35</v>
      </c>
      <c r="P1373" s="6">
        <f>COUNTIF(Analysis!$M$1:$M$3001,Analysis!$M322)</f>
        <v>1</v>
      </c>
      <c r="Q1373" s="6" t="str">
        <f>IF(COUNTIF(Analysis!$M$2:$M$3001,Analysis!$M322)&gt;1,"Duplicate","OK")</f>
        <v>OK</v>
      </c>
      <c r="R1373" s="6" t="str">
        <f t="shared" si="1"/>
        <v>1600-2600</v>
      </c>
      <c r="S1373" s="6">
        <f t="shared" si="2"/>
        <v>4</v>
      </c>
      <c r="T1373" s="6" t="str">
        <f t="shared" si="3"/>
        <v>New</v>
      </c>
    </row>
    <row r="1374" ht="14.25" customHeight="1">
      <c r="A1374" s="5">
        <v>378449.0</v>
      </c>
      <c r="B1374" s="6" t="s">
        <v>5535</v>
      </c>
      <c r="C1374" s="6" t="s">
        <v>53</v>
      </c>
      <c r="D1374" s="6">
        <v>74325.0</v>
      </c>
      <c r="E1374" s="6" t="s">
        <v>19</v>
      </c>
      <c r="F1374" s="6" t="s">
        <v>41</v>
      </c>
      <c r="G1374" s="6" t="s">
        <v>100</v>
      </c>
      <c r="H1374" s="7">
        <v>1800.0</v>
      </c>
      <c r="I1374" s="7">
        <v>2208.0</v>
      </c>
      <c r="J1374" s="6">
        <v>2001.0</v>
      </c>
      <c r="K1374" s="6">
        <v>13.0</v>
      </c>
      <c r="L1374" s="6" t="s">
        <v>22</v>
      </c>
      <c r="M1374" s="6" t="s">
        <v>5536</v>
      </c>
      <c r="N1374" s="6" t="s">
        <v>48</v>
      </c>
      <c r="O1374" s="6" t="s">
        <v>49</v>
      </c>
      <c r="P1374" s="6">
        <f>COUNTIF(Analysis!$M$1:$M$3001,Analysis!$M1374)</f>
        <v>1</v>
      </c>
      <c r="Q1374" s="6" t="str">
        <f>IF(COUNTIF(Analysis!$M$2:$M$3001,Analysis!$M1374)&gt;1,"Duplicate","OK")</f>
        <v>OK</v>
      </c>
      <c r="R1374" s="6" t="str">
        <f t="shared" si="1"/>
        <v>1600-2600</v>
      </c>
      <c r="S1374" s="6">
        <f t="shared" si="2"/>
        <v>25</v>
      </c>
      <c r="T1374" s="6" t="str">
        <f t="shared" si="3"/>
        <v>Mid</v>
      </c>
    </row>
    <row r="1375" ht="14.25" customHeight="1">
      <c r="A1375" s="5">
        <v>495312.0</v>
      </c>
      <c r="B1375" s="6" t="s">
        <v>5539</v>
      </c>
      <c r="C1375" s="6" t="s">
        <v>39</v>
      </c>
      <c r="D1375" s="6">
        <v>10634.0</v>
      </c>
      <c r="E1375" s="6" t="s">
        <v>60</v>
      </c>
      <c r="F1375" s="6" t="s">
        <v>46</v>
      </c>
      <c r="G1375" s="6" t="s">
        <v>21</v>
      </c>
      <c r="H1375" s="7">
        <v>2124.0</v>
      </c>
      <c r="I1375" s="7">
        <v>9831.0</v>
      </c>
      <c r="J1375" s="6">
        <v>2005.0</v>
      </c>
      <c r="K1375" s="6">
        <v>33.0</v>
      </c>
      <c r="L1375" s="6" t="s">
        <v>22</v>
      </c>
      <c r="M1375" s="6" t="s">
        <v>5540</v>
      </c>
      <c r="N1375" s="6" t="s">
        <v>24</v>
      </c>
      <c r="O1375" s="6" t="s">
        <v>25</v>
      </c>
      <c r="P1375" s="6">
        <f>COUNTIF(Analysis!$M$1:$M$3001,Analysis!$M1375)</f>
        <v>1</v>
      </c>
      <c r="Q1375" s="6" t="str">
        <f>IF(COUNTIF(Analysis!$M$2:$M$3001,Analysis!$M1375)&gt;1,"Duplicate","OK")</f>
        <v>OK</v>
      </c>
      <c r="R1375" s="6" t="str">
        <f t="shared" si="1"/>
        <v>1600-2600</v>
      </c>
      <c r="S1375" s="6">
        <f t="shared" si="2"/>
        <v>21</v>
      </c>
      <c r="T1375" s="6" t="str">
        <f t="shared" si="3"/>
        <v>Mid</v>
      </c>
    </row>
    <row r="1376" ht="14.25" customHeight="1">
      <c r="A1376" s="5">
        <v>662727.0</v>
      </c>
      <c r="B1376" s="6" t="s">
        <v>5543</v>
      </c>
      <c r="C1376" s="6" t="s">
        <v>18</v>
      </c>
      <c r="D1376" s="6">
        <v>96555.0</v>
      </c>
      <c r="E1376" s="6" t="s">
        <v>77</v>
      </c>
      <c r="F1376" s="6" t="s">
        <v>20</v>
      </c>
      <c r="G1376" s="6" t="s">
        <v>31</v>
      </c>
      <c r="H1376" s="7">
        <v>3453.0</v>
      </c>
      <c r="I1376" s="7">
        <v>2386.0</v>
      </c>
      <c r="J1376" s="6">
        <v>2005.0</v>
      </c>
      <c r="K1376" s="6">
        <v>95.0</v>
      </c>
      <c r="L1376" s="6" t="s">
        <v>62</v>
      </c>
      <c r="M1376" s="6" t="s">
        <v>5544</v>
      </c>
      <c r="N1376" s="6" t="s">
        <v>24</v>
      </c>
      <c r="O1376" s="6" t="s">
        <v>35</v>
      </c>
      <c r="P1376" s="6">
        <f>COUNTIF(Analysis!$M$1:$M$3001,Analysis!$M1376)</f>
        <v>1</v>
      </c>
      <c r="Q1376" s="6" t="str">
        <f>IF(COUNTIF(Analysis!$M$2:$M$3001,Analysis!$M1376)&gt;1,"Duplicate","OK")</f>
        <v>OK</v>
      </c>
      <c r="R1376" s="6" t="str">
        <f t="shared" si="1"/>
        <v>2600-3600</v>
      </c>
      <c r="S1376" s="6">
        <f t="shared" si="2"/>
        <v>21</v>
      </c>
      <c r="T1376" s="6" t="str">
        <f t="shared" si="3"/>
        <v>Mid</v>
      </c>
    </row>
    <row r="1377" ht="14.25" customHeight="1">
      <c r="A1377" s="5">
        <v>353584.0</v>
      </c>
      <c r="B1377" s="6" t="s">
        <v>5547</v>
      </c>
      <c r="C1377" s="6" t="s">
        <v>76</v>
      </c>
      <c r="D1377" s="6">
        <v>38222.0</v>
      </c>
      <c r="E1377" s="6" t="s">
        <v>19</v>
      </c>
      <c r="F1377" s="6" t="s">
        <v>54</v>
      </c>
      <c r="G1377" s="6" t="s">
        <v>55</v>
      </c>
      <c r="H1377" s="7">
        <v>883.0</v>
      </c>
      <c r="I1377" s="7">
        <v>2507.0</v>
      </c>
      <c r="J1377" s="6">
        <v>2015.0</v>
      </c>
      <c r="K1377" s="6">
        <v>116.0</v>
      </c>
      <c r="L1377" s="6" t="s">
        <v>62</v>
      </c>
      <c r="M1377" s="6" t="s">
        <v>5548</v>
      </c>
      <c r="N1377" s="6" t="s">
        <v>43</v>
      </c>
      <c r="O1377" s="6" t="s">
        <v>49</v>
      </c>
      <c r="P1377" s="6">
        <f>COUNTIF(Analysis!$M$1:$M$3001,Analysis!$M1377)</f>
        <v>1</v>
      </c>
      <c r="Q1377" s="6" t="str">
        <f>IF(COUNTIF(Analysis!$M$2:$M$3001,Analysis!$M1377)&gt;1,"Duplicate","OK")</f>
        <v>OK</v>
      </c>
      <c r="R1377" s="6" t="str">
        <f t="shared" si="1"/>
        <v>600-1600</v>
      </c>
      <c r="S1377" s="6">
        <f t="shared" si="2"/>
        <v>11</v>
      </c>
      <c r="T1377" s="6" t="str">
        <f t="shared" si="3"/>
        <v>Mid</v>
      </c>
    </row>
    <row r="1378" ht="14.25" customHeight="1">
      <c r="A1378" s="5">
        <v>1442996.0</v>
      </c>
      <c r="B1378" s="6" t="s">
        <v>5551</v>
      </c>
      <c r="C1378" s="6" t="s">
        <v>53</v>
      </c>
      <c r="D1378" s="6">
        <v>21034.0</v>
      </c>
      <c r="E1378" s="6" t="s">
        <v>40</v>
      </c>
      <c r="F1378" s="6" t="s">
        <v>61</v>
      </c>
      <c r="G1378" s="6" t="s">
        <v>31</v>
      </c>
      <c r="H1378" s="7">
        <v>3708.0</v>
      </c>
      <c r="I1378" s="7">
        <v>7568.0</v>
      </c>
      <c r="J1378" s="6">
        <v>2022.0</v>
      </c>
      <c r="K1378" s="6">
        <v>25.0</v>
      </c>
      <c r="L1378" s="6" t="s">
        <v>62</v>
      </c>
      <c r="M1378" s="6" t="s">
        <v>5552</v>
      </c>
      <c r="N1378" s="6" t="s">
        <v>34</v>
      </c>
      <c r="O1378" s="6" t="s">
        <v>25</v>
      </c>
      <c r="P1378" s="6">
        <f>COUNTIF(Analysis!$M$1:$M$3001,Analysis!$M1378)</f>
        <v>1</v>
      </c>
      <c r="Q1378" s="6" t="str">
        <f>IF(COUNTIF(Analysis!$M$2:$M$3001,Analysis!$M1378)&gt;1,"Duplicate","OK")</f>
        <v>OK</v>
      </c>
      <c r="R1378" s="6" t="str">
        <f t="shared" si="1"/>
        <v>3600+</v>
      </c>
      <c r="S1378" s="6">
        <f t="shared" si="2"/>
        <v>4</v>
      </c>
      <c r="T1378" s="6" t="str">
        <f t="shared" si="3"/>
        <v>New</v>
      </c>
    </row>
    <row r="1379" ht="14.25" customHeight="1">
      <c r="A1379" s="5">
        <v>557640.0</v>
      </c>
      <c r="B1379" s="6" t="s">
        <v>5555</v>
      </c>
      <c r="C1379" s="6" t="s">
        <v>39</v>
      </c>
      <c r="D1379" s="6">
        <v>81544.0</v>
      </c>
      <c r="E1379" s="6" t="s">
        <v>19</v>
      </c>
      <c r="F1379" s="6" t="s">
        <v>20</v>
      </c>
      <c r="G1379" s="6" t="s">
        <v>31</v>
      </c>
      <c r="H1379" s="7">
        <v>1487.0</v>
      </c>
      <c r="I1379" s="7">
        <v>7422.0</v>
      </c>
      <c r="J1379" s="6">
        <v>2006.0</v>
      </c>
      <c r="K1379" s="6">
        <v>62.0</v>
      </c>
      <c r="L1379" s="6" t="s">
        <v>62</v>
      </c>
      <c r="M1379" s="6" t="s">
        <v>3384</v>
      </c>
      <c r="N1379" s="6" t="s">
        <v>34</v>
      </c>
      <c r="O1379" s="6" t="s">
        <v>35</v>
      </c>
      <c r="P1379" s="6">
        <f>COUNTIF(Analysis!$M$1:$M$3001,Analysis!$M1379)</f>
        <v>2</v>
      </c>
      <c r="Q1379" s="6" t="str">
        <f>IF(COUNTIF(Analysis!$M$2:$M$3001,Analysis!$M1379)&gt;1,"Duplicate","OK")</f>
        <v>Duplicate</v>
      </c>
      <c r="R1379" s="6" t="str">
        <f t="shared" si="1"/>
        <v>600-1600</v>
      </c>
      <c r="S1379" s="6">
        <f t="shared" si="2"/>
        <v>20</v>
      </c>
      <c r="T1379" s="6" t="str">
        <f t="shared" si="3"/>
        <v>Mid</v>
      </c>
    </row>
    <row r="1380" ht="14.25" customHeight="1">
      <c r="A1380" s="5">
        <v>643639.0</v>
      </c>
      <c r="B1380" s="6" t="s">
        <v>5558</v>
      </c>
      <c r="C1380" s="6" t="s">
        <v>76</v>
      </c>
      <c r="D1380" s="6">
        <v>80401.0</v>
      </c>
      <c r="E1380" s="6" t="s">
        <v>60</v>
      </c>
      <c r="F1380" s="6" t="s">
        <v>94</v>
      </c>
      <c r="G1380" s="6" t="s">
        <v>31</v>
      </c>
      <c r="H1380" s="7">
        <v>1925.0</v>
      </c>
      <c r="I1380" s="7">
        <v>6548.0</v>
      </c>
      <c r="J1380" s="6">
        <v>2010.0</v>
      </c>
      <c r="K1380" s="6">
        <v>111.0</v>
      </c>
      <c r="L1380" s="6" t="s">
        <v>32</v>
      </c>
      <c r="M1380" s="6" t="s">
        <v>5559</v>
      </c>
      <c r="N1380" s="6" t="s">
        <v>43</v>
      </c>
      <c r="O1380" s="6" t="s">
        <v>49</v>
      </c>
      <c r="P1380" s="6">
        <f>COUNTIF(Analysis!$M$1:$M$3001,Analysis!$M1380)</f>
        <v>1</v>
      </c>
      <c r="Q1380" s="6" t="str">
        <f>IF(COUNTIF(Analysis!$M$2:$M$3001,Analysis!$M1380)&gt;1,"Duplicate","OK")</f>
        <v>OK</v>
      </c>
      <c r="R1380" s="6" t="str">
        <f t="shared" si="1"/>
        <v>1600-2600</v>
      </c>
      <c r="S1380" s="6">
        <f t="shared" si="2"/>
        <v>16</v>
      </c>
      <c r="T1380" s="6" t="str">
        <f t="shared" si="3"/>
        <v>Mid</v>
      </c>
    </row>
    <row r="1381" ht="14.25" customHeight="1">
      <c r="A1381" s="5">
        <v>229145.0</v>
      </c>
      <c r="B1381" s="6" t="s">
        <v>5562</v>
      </c>
      <c r="C1381" s="6" t="s">
        <v>53</v>
      </c>
      <c r="D1381" s="6">
        <v>19196.0</v>
      </c>
      <c r="E1381" s="6" t="s">
        <v>77</v>
      </c>
      <c r="F1381" s="6" t="s">
        <v>61</v>
      </c>
      <c r="G1381" s="6" t="s">
        <v>31</v>
      </c>
      <c r="H1381" s="7">
        <v>1184.0</v>
      </c>
      <c r="I1381" s="7">
        <v>4411.0</v>
      </c>
      <c r="J1381" s="6">
        <v>1982.0</v>
      </c>
      <c r="K1381" s="6">
        <v>4.0</v>
      </c>
      <c r="L1381" s="6" t="s">
        <v>95</v>
      </c>
      <c r="M1381" s="6" t="s">
        <v>5563</v>
      </c>
      <c r="N1381" s="6" t="s">
        <v>34</v>
      </c>
      <c r="O1381" s="6" t="s">
        <v>35</v>
      </c>
      <c r="P1381" s="6">
        <f>COUNTIF(Analysis!$M$1:$M$3001,Analysis!$M1381)</f>
        <v>1</v>
      </c>
      <c r="Q1381" s="6" t="str">
        <f>IF(COUNTIF(Analysis!$M$2:$M$3001,Analysis!$M1381)&gt;1,"Duplicate","OK")</f>
        <v>OK</v>
      </c>
      <c r="R1381" s="6" t="str">
        <f t="shared" si="1"/>
        <v>600-1600</v>
      </c>
      <c r="S1381" s="6">
        <f t="shared" si="2"/>
        <v>44</v>
      </c>
      <c r="T1381" s="6" t="str">
        <f t="shared" si="3"/>
        <v>Old</v>
      </c>
    </row>
    <row r="1382" ht="14.25" customHeight="1">
      <c r="A1382" s="5">
        <v>1219813.0</v>
      </c>
      <c r="B1382" s="6" t="s">
        <v>5566</v>
      </c>
      <c r="C1382" s="6" t="s">
        <v>39</v>
      </c>
      <c r="D1382" s="6">
        <v>95536.0</v>
      </c>
      <c r="E1382" s="6" t="s">
        <v>40</v>
      </c>
      <c r="F1382" s="6" t="s">
        <v>94</v>
      </c>
      <c r="G1382" s="6" t="s">
        <v>21</v>
      </c>
      <c r="H1382" s="7">
        <v>2612.0</v>
      </c>
      <c r="I1382" s="7">
        <v>1105.0</v>
      </c>
      <c r="J1382" s="6">
        <v>1978.0</v>
      </c>
      <c r="K1382" s="6">
        <v>88.0</v>
      </c>
      <c r="L1382" s="6" t="s">
        <v>95</v>
      </c>
      <c r="M1382" s="6" t="s">
        <v>5567</v>
      </c>
      <c r="N1382" s="6" t="s">
        <v>48</v>
      </c>
      <c r="O1382" s="6" t="s">
        <v>49</v>
      </c>
      <c r="P1382" s="6">
        <f>COUNTIF(Analysis!$M$1:$M$3001,Analysis!$M1382)</f>
        <v>1</v>
      </c>
      <c r="Q1382" s="6" t="str">
        <f>IF(COUNTIF(Analysis!$M$2:$M$3001,Analysis!$M1382)&gt;1,"Duplicate","OK")</f>
        <v>OK</v>
      </c>
      <c r="R1382" s="6" t="str">
        <f t="shared" si="1"/>
        <v>2600-3600</v>
      </c>
      <c r="S1382" s="6">
        <f t="shared" si="2"/>
        <v>48</v>
      </c>
      <c r="T1382" s="6" t="str">
        <f t="shared" si="3"/>
        <v>Old</v>
      </c>
    </row>
    <row r="1383" ht="14.25" customHeight="1">
      <c r="A1383" s="5">
        <v>940081.0</v>
      </c>
      <c r="B1383" s="6" t="s">
        <v>5570</v>
      </c>
      <c r="C1383" s="6" t="s">
        <v>18</v>
      </c>
      <c r="D1383" s="6">
        <v>90961.0</v>
      </c>
      <c r="E1383" s="6" t="s">
        <v>30</v>
      </c>
      <c r="F1383" s="6" t="s">
        <v>41</v>
      </c>
      <c r="G1383" s="6" t="s">
        <v>31</v>
      </c>
      <c r="H1383" s="7">
        <v>1360.0</v>
      </c>
      <c r="I1383" s="7">
        <v>8848.0</v>
      </c>
      <c r="J1383" s="6">
        <v>2019.0</v>
      </c>
      <c r="K1383" s="6">
        <v>42.0</v>
      </c>
      <c r="L1383" s="6" t="s">
        <v>95</v>
      </c>
      <c r="M1383" s="6" t="s">
        <v>5571</v>
      </c>
      <c r="N1383" s="6" t="s">
        <v>48</v>
      </c>
      <c r="O1383" s="6" t="s">
        <v>35</v>
      </c>
      <c r="P1383" s="6">
        <f>COUNTIF(Analysis!$M$1:$M$3001,Analysis!$M1383)</f>
        <v>1</v>
      </c>
      <c r="Q1383" s="6" t="str">
        <f>IF(COUNTIF(Analysis!$M$2:$M$3001,Analysis!$M1383)&gt;1,"Duplicate","OK")</f>
        <v>OK</v>
      </c>
      <c r="R1383" s="6" t="str">
        <f t="shared" si="1"/>
        <v>600-1600</v>
      </c>
      <c r="S1383" s="6">
        <f t="shared" si="2"/>
        <v>7</v>
      </c>
      <c r="T1383" s="6" t="str">
        <f t="shared" si="3"/>
        <v>New</v>
      </c>
    </row>
    <row r="1384" ht="14.25" customHeight="1">
      <c r="A1384" s="5">
        <v>435007.0</v>
      </c>
      <c r="B1384" s="6" t="s">
        <v>5574</v>
      </c>
      <c r="C1384" s="6" t="s">
        <v>18</v>
      </c>
      <c r="D1384" s="6">
        <v>56099.0</v>
      </c>
      <c r="E1384" s="6" t="s">
        <v>60</v>
      </c>
      <c r="F1384" s="6" t="s">
        <v>20</v>
      </c>
      <c r="G1384" s="6" t="s">
        <v>21</v>
      </c>
      <c r="H1384" s="7">
        <v>1992.0</v>
      </c>
      <c r="I1384" s="7">
        <v>9030.0</v>
      </c>
      <c r="J1384" s="6">
        <v>2012.0</v>
      </c>
      <c r="K1384" s="6">
        <v>108.0</v>
      </c>
      <c r="L1384" s="6" t="s">
        <v>62</v>
      </c>
      <c r="M1384" s="6" t="s">
        <v>5575</v>
      </c>
      <c r="N1384" s="6" t="s">
        <v>34</v>
      </c>
      <c r="O1384" s="6" t="s">
        <v>49</v>
      </c>
      <c r="P1384" s="6">
        <f>COUNTIF(Analysis!$M$1:$M$3001,Analysis!$M1384)</f>
        <v>1</v>
      </c>
      <c r="Q1384" s="6" t="str">
        <f>IF(COUNTIF(Analysis!$M$2:$M$3001,Analysis!$M1384)&gt;1,"Duplicate","OK")</f>
        <v>OK</v>
      </c>
      <c r="R1384" s="6" t="str">
        <f t="shared" si="1"/>
        <v>1600-2600</v>
      </c>
      <c r="S1384" s="6">
        <f t="shared" si="2"/>
        <v>14</v>
      </c>
      <c r="T1384" s="6" t="str">
        <f t="shared" si="3"/>
        <v>Mid</v>
      </c>
    </row>
    <row r="1385" ht="14.25" customHeight="1">
      <c r="A1385" s="5">
        <v>435821.0</v>
      </c>
      <c r="B1385" s="6" t="s">
        <v>5578</v>
      </c>
      <c r="C1385" s="6" t="s">
        <v>18</v>
      </c>
      <c r="D1385" s="6">
        <v>97907.0</v>
      </c>
      <c r="E1385" s="6" t="s">
        <v>30</v>
      </c>
      <c r="F1385" s="6" t="s">
        <v>94</v>
      </c>
      <c r="G1385" s="6" t="s">
        <v>100</v>
      </c>
      <c r="H1385" s="7">
        <v>3076.0</v>
      </c>
      <c r="I1385" s="7">
        <v>2553.0</v>
      </c>
      <c r="J1385" s="6">
        <v>1993.0</v>
      </c>
      <c r="K1385" s="6">
        <v>19.0</v>
      </c>
      <c r="L1385" s="6" t="s">
        <v>32</v>
      </c>
      <c r="M1385" s="6" t="s">
        <v>5579</v>
      </c>
      <c r="N1385" s="6" t="s">
        <v>48</v>
      </c>
      <c r="O1385" s="6" t="s">
        <v>35</v>
      </c>
      <c r="P1385" s="6">
        <f>COUNTIF(Analysis!$M$1:$M$3001,Analysis!$M1385)</f>
        <v>1</v>
      </c>
      <c r="Q1385" s="6" t="str">
        <f>IF(COUNTIF(Analysis!$M$2:$M$3001,Analysis!$M1385)&gt;1,"Duplicate","OK")</f>
        <v>OK</v>
      </c>
      <c r="R1385" s="6" t="str">
        <f t="shared" si="1"/>
        <v>2600-3600</v>
      </c>
      <c r="S1385" s="6">
        <f t="shared" si="2"/>
        <v>33</v>
      </c>
      <c r="T1385" s="6" t="str">
        <f t="shared" si="3"/>
        <v>Old</v>
      </c>
    </row>
    <row r="1386" ht="14.25" customHeight="1">
      <c r="A1386" s="5">
        <v>1105789.0</v>
      </c>
      <c r="B1386" s="6" t="s">
        <v>5582</v>
      </c>
      <c r="C1386" s="6" t="s">
        <v>76</v>
      </c>
      <c r="D1386" s="6">
        <v>12051.0</v>
      </c>
      <c r="E1386" s="6" t="s">
        <v>77</v>
      </c>
      <c r="F1386" s="6" t="s">
        <v>41</v>
      </c>
      <c r="G1386" s="6" t="s">
        <v>100</v>
      </c>
      <c r="H1386" s="7">
        <v>2084.0</v>
      </c>
      <c r="I1386" s="7">
        <v>6688.0</v>
      </c>
      <c r="J1386" s="6">
        <v>2000.0</v>
      </c>
      <c r="K1386" s="6">
        <v>52.0</v>
      </c>
      <c r="L1386" s="6" t="s">
        <v>62</v>
      </c>
      <c r="M1386" s="6" t="s">
        <v>5583</v>
      </c>
      <c r="N1386" s="6" t="s">
        <v>24</v>
      </c>
      <c r="O1386" s="6" t="s">
        <v>49</v>
      </c>
      <c r="P1386" s="6">
        <f>COUNTIF(Analysis!$M$1:$M$3001,Analysis!$M1386)</f>
        <v>1</v>
      </c>
      <c r="Q1386" s="6" t="str">
        <f>IF(COUNTIF(Analysis!$M$2:$M$3001,Analysis!$M1386)&gt;1,"Duplicate","OK")</f>
        <v>OK</v>
      </c>
      <c r="R1386" s="6" t="str">
        <f t="shared" si="1"/>
        <v>1600-2600</v>
      </c>
      <c r="S1386" s="6">
        <f t="shared" si="2"/>
        <v>26</v>
      </c>
      <c r="T1386" s="6" t="str">
        <f t="shared" si="3"/>
        <v>Mid</v>
      </c>
    </row>
    <row r="1387" ht="14.25" customHeight="1">
      <c r="A1387" s="5">
        <v>1456728.0</v>
      </c>
      <c r="B1387" s="6" t="s">
        <v>5586</v>
      </c>
      <c r="C1387" s="6" t="s">
        <v>76</v>
      </c>
      <c r="D1387" s="6">
        <v>17955.0</v>
      </c>
      <c r="E1387" s="6" t="s">
        <v>60</v>
      </c>
      <c r="F1387" s="6" t="s">
        <v>94</v>
      </c>
      <c r="G1387" s="6" t="s">
        <v>31</v>
      </c>
      <c r="H1387" s="7">
        <v>3658.0</v>
      </c>
      <c r="I1387" s="7">
        <v>7861.0</v>
      </c>
      <c r="J1387" s="6">
        <v>1964.0</v>
      </c>
      <c r="K1387" s="6">
        <v>29.0</v>
      </c>
      <c r="L1387" s="6" t="s">
        <v>141</v>
      </c>
      <c r="M1387" s="6" t="s">
        <v>5587</v>
      </c>
      <c r="N1387" s="6" t="s">
        <v>64</v>
      </c>
      <c r="O1387" s="6" t="s">
        <v>49</v>
      </c>
      <c r="P1387" s="6">
        <f>COUNTIF(Analysis!$M$1:$M$3001,Analysis!$M1387)</f>
        <v>1</v>
      </c>
      <c r="Q1387" s="6" t="str">
        <f>IF(COUNTIF(Analysis!$M$2:$M$3001,Analysis!$M1387)&gt;1,"Duplicate","OK")</f>
        <v>OK</v>
      </c>
      <c r="R1387" s="6" t="str">
        <f t="shared" si="1"/>
        <v>3600+</v>
      </c>
      <c r="S1387" s="6">
        <f t="shared" si="2"/>
        <v>62</v>
      </c>
      <c r="T1387" s="6" t="str">
        <f t="shared" si="3"/>
        <v>Very Old</v>
      </c>
    </row>
    <row r="1388" ht="14.25" customHeight="1">
      <c r="A1388" s="5">
        <v>330624.0</v>
      </c>
      <c r="B1388" s="6" t="s">
        <v>5590</v>
      </c>
      <c r="C1388" s="6" t="s">
        <v>53</v>
      </c>
      <c r="D1388" s="6">
        <v>49084.0</v>
      </c>
      <c r="E1388" s="6" t="s">
        <v>30</v>
      </c>
      <c r="F1388" s="6" t="s">
        <v>46</v>
      </c>
      <c r="G1388" s="6" t="s">
        <v>21</v>
      </c>
      <c r="H1388" s="7">
        <v>3649.0</v>
      </c>
      <c r="I1388" s="7">
        <v>2142.0</v>
      </c>
      <c r="J1388" s="6">
        <v>1996.0</v>
      </c>
      <c r="K1388" s="6">
        <v>20.0</v>
      </c>
      <c r="L1388" s="6" t="s">
        <v>141</v>
      </c>
      <c r="M1388" s="6" t="s">
        <v>5591</v>
      </c>
      <c r="N1388" s="6" t="s">
        <v>64</v>
      </c>
      <c r="O1388" s="6" t="s">
        <v>49</v>
      </c>
      <c r="P1388" s="6">
        <f>COUNTIF(Analysis!$M$1:$M$3001,Analysis!$M1388)</f>
        <v>1</v>
      </c>
      <c r="Q1388" s="6" t="str">
        <f>IF(COUNTIF(Analysis!$M$2:$M$3001,Analysis!$M1388)&gt;1,"Duplicate","OK")</f>
        <v>OK</v>
      </c>
      <c r="R1388" s="6" t="str">
        <f t="shared" si="1"/>
        <v>3600+</v>
      </c>
      <c r="S1388" s="6">
        <f t="shared" si="2"/>
        <v>30</v>
      </c>
      <c r="T1388" s="6" t="str">
        <f t="shared" si="3"/>
        <v>Mid</v>
      </c>
    </row>
    <row r="1389" ht="14.25" customHeight="1">
      <c r="A1389" s="5">
        <v>537103.0</v>
      </c>
      <c r="B1389" s="6" t="s">
        <v>5594</v>
      </c>
      <c r="C1389" s="6" t="s">
        <v>18</v>
      </c>
      <c r="D1389" s="6">
        <v>81454.0</v>
      </c>
      <c r="E1389" s="6" t="s">
        <v>60</v>
      </c>
      <c r="F1389" s="6" t="s">
        <v>94</v>
      </c>
      <c r="G1389" s="6" t="s">
        <v>31</v>
      </c>
      <c r="H1389" s="7">
        <v>2670.0</v>
      </c>
      <c r="I1389" s="7">
        <v>4676.0</v>
      </c>
      <c r="J1389" s="6">
        <v>1958.0</v>
      </c>
      <c r="K1389" s="6">
        <v>69.0</v>
      </c>
      <c r="L1389" s="6" t="s">
        <v>62</v>
      </c>
      <c r="M1389" s="6" t="s">
        <v>5595</v>
      </c>
      <c r="N1389" s="6" t="s">
        <v>34</v>
      </c>
      <c r="O1389" s="6" t="s">
        <v>49</v>
      </c>
      <c r="P1389" s="6">
        <f>COUNTIF(Analysis!$M$1:$M$3001,Analysis!$M1389)</f>
        <v>1</v>
      </c>
      <c r="Q1389" s="6" t="str">
        <f>IF(COUNTIF(Analysis!$M$2:$M$3001,Analysis!$M1389)&gt;1,"Duplicate","OK")</f>
        <v>OK</v>
      </c>
      <c r="R1389" s="6" t="str">
        <f t="shared" si="1"/>
        <v>2600-3600</v>
      </c>
      <c r="S1389" s="6">
        <f t="shared" si="2"/>
        <v>68</v>
      </c>
      <c r="T1389" s="6" t="str">
        <f t="shared" si="3"/>
        <v>Very Old</v>
      </c>
    </row>
    <row r="1390" ht="14.25" customHeight="1">
      <c r="A1390" s="5">
        <v>330544.0</v>
      </c>
      <c r="B1390" s="6" t="s">
        <v>5598</v>
      </c>
      <c r="C1390" s="6" t="s">
        <v>18</v>
      </c>
      <c r="D1390" s="6">
        <v>73076.0</v>
      </c>
      <c r="E1390" s="6" t="s">
        <v>77</v>
      </c>
      <c r="F1390" s="6" t="s">
        <v>54</v>
      </c>
      <c r="G1390" s="6" t="s">
        <v>100</v>
      </c>
      <c r="H1390" s="7">
        <v>3596.0</v>
      </c>
      <c r="I1390" s="7">
        <v>8005.0</v>
      </c>
      <c r="J1390" s="6">
        <v>1977.0</v>
      </c>
      <c r="K1390" s="6">
        <v>20.0</v>
      </c>
      <c r="L1390" s="6" t="s">
        <v>32</v>
      </c>
      <c r="M1390" s="6" t="s">
        <v>5599</v>
      </c>
      <c r="N1390" s="6" t="s">
        <v>48</v>
      </c>
      <c r="O1390" s="6" t="s">
        <v>25</v>
      </c>
      <c r="P1390" s="6">
        <f>COUNTIF(Analysis!$M$1:$M$3001,Analysis!$M1390)</f>
        <v>1</v>
      </c>
      <c r="Q1390" s="6" t="str">
        <f>IF(COUNTIF(Analysis!$M$2:$M$3001,Analysis!$M1390)&gt;1,"Duplicate","OK")</f>
        <v>OK</v>
      </c>
      <c r="R1390" s="6" t="str">
        <f t="shared" si="1"/>
        <v>2600-3600</v>
      </c>
      <c r="S1390" s="6">
        <f t="shared" si="2"/>
        <v>49</v>
      </c>
      <c r="T1390" s="6" t="str">
        <f t="shared" si="3"/>
        <v>Old</v>
      </c>
    </row>
    <row r="1391" ht="14.25" customHeight="1">
      <c r="A1391" s="5">
        <v>339064.0</v>
      </c>
      <c r="B1391" s="6" t="s">
        <v>5602</v>
      </c>
      <c r="C1391" s="6" t="s">
        <v>53</v>
      </c>
      <c r="D1391" s="6">
        <v>71720.0</v>
      </c>
      <c r="E1391" s="6" t="s">
        <v>60</v>
      </c>
      <c r="F1391" s="6" t="s">
        <v>94</v>
      </c>
      <c r="G1391" s="6" t="s">
        <v>31</v>
      </c>
      <c r="H1391" s="7">
        <v>1465.0</v>
      </c>
      <c r="I1391" s="7">
        <v>9439.0</v>
      </c>
      <c r="J1391" s="6">
        <v>1994.0</v>
      </c>
      <c r="K1391" s="6">
        <v>74.0</v>
      </c>
      <c r="L1391" s="6" t="s">
        <v>62</v>
      </c>
      <c r="M1391" s="6" t="s">
        <v>5603</v>
      </c>
      <c r="N1391" s="6" t="s">
        <v>64</v>
      </c>
      <c r="O1391" s="6" t="s">
        <v>49</v>
      </c>
      <c r="P1391" s="6">
        <f>COUNTIF(Analysis!$M$1:$M$3001,Analysis!$M1391)</f>
        <v>1</v>
      </c>
      <c r="Q1391" s="6" t="str">
        <f>IF(COUNTIF(Analysis!$M$2:$M$3001,Analysis!$M1391)&gt;1,"Duplicate","OK")</f>
        <v>OK</v>
      </c>
      <c r="R1391" s="6" t="str">
        <f t="shared" si="1"/>
        <v>600-1600</v>
      </c>
      <c r="S1391" s="6">
        <f t="shared" si="2"/>
        <v>32</v>
      </c>
      <c r="T1391" s="6" t="str">
        <f t="shared" si="3"/>
        <v>Old</v>
      </c>
    </row>
    <row r="1392" ht="14.25" customHeight="1">
      <c r="A1392" s="5">
        <v>903893.0</v>
      </c>
      <c r="B1392" s="6" t="s">
        <v>5606</v>
      </c>
      <c r="C1392" s="6" t="s">
        <v>39</v>
      </c>
      <c r="D1392" s="6">
        <v>46598.0</v>
      </c>
      <c r="E1392" s="6" t="s">
        <v>30</v>
      </c>
      <c r="F1392" s="6" t="s">
        <v>41</v>
      </c>
      <c r="G1392" s="6" t="s">
        <v>31</v>
      </c>
      <c r="H1392" s="7">
        <v>1017.0</v>
      </c>
      <c r="I1392" s="7">
        <v>6096.0</v>
      </c>
      <c r="J1392" s="6">
        <v>2016.0</v>
      </c>
      <c r="K1392" s="6">
        <v>76.0</v>
      </c>
      <c r="L1392" s="6" t="s">
        <v>95</v>
      </c>
      <c r="M1392" s="6" t="s">
        <v>5607</v>
      </c>
      <c r="N1392" s="6" t="s">
        <v>24</v>
      </c>
      <c r="O1392" s="6" t="s">
        <v>25</v>
      </c>
      <c r="P1392" s="6">
        <f>COUNTIF(Analysis!$M$1:$M$3001,Analysis!$M1392)</f>
        <v>1</v>
      </c>
      <c r="Q1392" s="6" t="str">
        <f>IF(COUNTIF(Analysis!$M$2:$M$3001,Analysis!$M1392)&gt;1,"Duplicate","OK")</f>
        <v>OK</v>
      </c>
      <c r="R1392" s="6" t="str">
        <f t="shared" si="1"/>
        <v>600-1600</v>
      </c>
      <c r="S1392" s="6">
        <f t="shared" si="2"/>
        <v>10</v>
      </c>
      <c r="T1392" s="6" t="str">
        <f t="shared" si="3"/>
        <v>New</v>
      </c>
    </row>
    <row r="1393" ht="14.25" customHeight="1">
      <c r="A1393" s="5">
        <v>749601.0</v>
      </c>
      <c r="B1393" s="6" t="s">
        <v>8289</v>
      </c>
      <c r="C1393" s="6" t="s">
        <v>29</v>
      </c>
      <c r="D1393" s="6">
        <v>83413.0</v>
      </c>
      <c r="E1393" s="6" t="s">
        <v>60</v>
      </c>
      <c r="F1393" s="6" t="s">
        <v>94</v>
      </c>
      <c r="G1393" s="6" t="s">
        <v>100</v>
      </c>
      <c r="H1393" s="7">
        <v>2383.0</v>
      </c>
      <c r="I1393" s="7">
        <v>6304.0</v>
      </c>
      <c r="J1393" s="6">
        <v>1988.0</v>
      </c>
      <c r="K1393" s="6">
        <v>11.0</v>
      </c>
      <c r="L1393" s="6" t="s">
        <v>95</v>
      </c>
      <c r="M1393" s="6" t="s">
        <v>8290</v>
      </c>
      <c r="N1393" s="6" t="s">
        <v>24</v>
      </c>
      <c r="O1393" s="6" t="s">
        <v>49</v>
      </c>
      <c r="P1393" s="6">
        <f>COUNTIF(Analysis!$M$1:$M$3001,Analysis!$M2063)</f>
        <v>1</v>
      </c>
      <c r="Q1393" s="6" t="str">
        <f>IF(COUNTIF(Analysis!$M$2:$M$3001,Analysis!$M2063)&gt;1,"Duplicate","OK")</f>
        <v>OK</v>
      </c>
      <c r="R1393" s="6" t="str">
        <f t="shared" si="1"/>
        <v>1600-2600</v>
      </c>
      <c r="S1393" s="6">
        <f t="shared" si="2"/>
        <v>38</v>
      </c>
      <c r="T1393" s="6" t="str">
        <f t="shared" si="3"/>
        <v>Old</v>
      </c>
    </row>
    <row r="1394" ht="14.25" customHeight="1">
      <c r="A1394" s="5">
        <v>1301461.0</v>
      </c>
      <c r="B1394" s="6" t="s">
        <v>5614</v>
      </c>
      <c r="C1394" s="6" t="s">
        <v>53</v>
      </c>
      <c r="D1394" s="6">
        <v>73076.0</v>
      </c>
      <c r="E1394" s="6" t="s">
        <v>30</v>
      </c>
      <c r="F1394" s="6" t="s">
        <v>20</v>
      </c>
      <c r="G1394" s="6" t="s">
        <v>55</v>
      </c>
      <c r="H1394" s="7">
        <v>1032.0</v>
      </c>
      <c r="I1394" s="7">
        <v>8275.0</v>
      </c>
      <c r="J1394" s="6">
        <v>2011.0</v>
      </c>
      <c r="K1394" s="6">
        <v>97.0</v>
      </c>
      <c r="L1394" s="6" t="s">
        <v>62</v>
      </c>
      <c r="M1394" s="6" t="s">
        <v>5615</v>
      </c>
      <c r="N1394" s="6" t="s">
        <v>64</v>
      </c>
      <c r="O1394" s="6" t="s">
        <v>25</v>
      </c>
      <c r="P1394" s="6">
        <f>COUNTIF(Analysis!$M$1:$M$3001,Analysis!$M1394)</f>
        <v>1</v>
      </c>
      <c r="Q1394" s="6" t="str">
        <f>IF(COUNTIF(Analysis!$M$2:$M$3001,Analysis!$M1394)&gt;1,"Duplicate","OK")</f>
        <v>OK</v>
      </c>
      <c r="R1394" s="6" t="str">
        <f t="shared" si="1"/>
        <v>600-1600</v>
      </c>
      <c r="S1394" s="6">
        <f t="shared" si="2"/>
        <v>15</v>
      </c>
      <c r="T1394" s="6" t="str">
        <f t="shared" si="3"/>
        <v>Mid</v>
      </c>
    </row>
    <row r="1395" ht="14.25" customHeight="1">
      <c r="A1395" s="5">
        <v>697001.0</v>
      </c>
      <c r="B1395" s="6" t="s">
        <v>5618</v>
      </c>
      <c r="C1395" s="6" t="s">
        <v>53</v>
      </c>
      <c r="D1395" s="6">
        <v>83705.0</v>
      </c>
      <c r="E1395" s="6" t="s">
        <v>30</v>
      </c>
      <c r="F1395" s="6" t="s">
        <v>41</v>
      </c>
      <c r="G1395" s="6" t="s">
        <v>55</v>
      </c>
      <c r="H1395" s="7">
        <v>2611.0</v>
      </c>
      <c r="I1395" s="7">
        <v>6027.0</v>
      </c>
      <c r="J1395" s="6">
        <v>2001.0</v>
      </c>
      <c r="K1395" s="6">
        <v>16.0</v>
      </c>
      <c r="L1395" s="6" t="s">
        <v>22</v>
      </c>
      <c r="M1395" s="6" t="s">
        <v>5619</v>
      </c>
      <c r="N1395" s="6" t="s">
        <v>48</v>
      </c>
      <c r="O1395" s="6" t="s">
        <v>35</v>
      </c>
      <c r="P1395" s="6">
        <f>COUNTIF(Analysis!$M$1:$M$3001,Analysis!$M1395)</f>
        <v>1</v>
      </c>
      <c r="Q1395" s="6" t="str">
        <f>IF(COUNTIF(Analysis!$M$2:$M$3001,Analysis!$M1395)&gt;1,"Duplicate","OK")</f>
        <v>OK</v>
      </c>
      <c r="R1395" s="6" t="str">
        <f t="shared" si="1"/>
        <v>2600-3600</v>
      </c>
      <c r="S1395" s="6">
        <f t="shared" si="2"/>
        <v>25</v>
      </c>
      <c r="T1395" s="6" t="str">
        <f t="shared" si="3"/>
        <v>Mid</v>
      </c>
    </row>
    <row r="1396" ht="14.25" customHeight="1">
      <c r="A1396" s="5">
        <v>1015024.0</v>
      </c>
      <c r="B1396" s="6" t="s">
        <v>5622</v>
      </c>
      <c r="C1396" s="6" t="s">
        <v>39</v>
      </c>
      <c r="D1396" s="6">
        <v>63825.0</v>
      </c>
      <c r="E1396" s="6" t="s">
        <v>30</v>
      </c>
      <c r="F1396" s="6" t="s">
        <v>54</v>
      </c>
      <c r="G1396" s="6" t="s">
        <v>21</v>
      </c>
      <c r="H1396" s="7">
        <v>1983.0</v>
      </c>
      <c r="I1396" s="7">
        <v>2730.0</v>
      </c>
      <c r="J1396" s="6">
        <v>1998.0</v>
      </c>
      <c r="K1396" s="6">
        <v>81.0</v>
      </c>
      <c r="L1396" s="6" t="s">
        <v>32</v>
      </c>
      <c r="M1396" s="6" t="s">
        <v>5623</v>
      </c>
      <c r="N1396" s="6" t="s">
        <v>34</v>
      </c>
      <c r="O1396" s="6" t="s">
        <v>35</v>
      </c>
      <c r="P1396" s="6">
        <f>COUNTIF(Analysis!$M$1:$M$3001,Analysis!$M1396)</f>
        <v>1</v>
      </c>
      <c r="Q1396" s="6" t="str">
        <f>IF(COUNTIF(Analysis!$M$2:$M$3001,Analysis!$M1396)&gt;1,"Duplicate","OK")</f>
        <v>OK</v>
      </c>
      <c r="R1396" s="6" t="str">
        <f t="shared" si="1"/>
        <v>1600-2600</v>
      </c>
      <c r="S1396" s="6">
        <f t="shared" si="2"/>
        <v>28</v>
      </c>
      <c r="T1396" s="6" t="str">
        <f t="shared" si="3"/>
        <v>Mid</v>
      </c>
    </row>
    <row r="1397" ht="14.25" customHeight="1">
      <c r="A1397" s="5">
        <v>1469651.0</v>
      </c>
      <c r="B1397" s="6" t="s">
        <v>5626</v>
      </c>
      <c r="C1397" s="6" t="s">
        <v>18</v>
      </c>
      <c r="D1397" s="6">
        <v>51725.0</v>
      </c>
      <c r="E1397" s="6" t="s">
        <v>30</v>
      </c>
      <c r="F1397" s="6" t="s">
        <v>46</v>
      </c>
      <c r="G1397" s="6" t="s">
        <v>31</v>
      </c>
      <c r="H1397" s="7">
        <v>1760.0</v>
      </c>
      <c r="I1397" s="7">
        <v>5578.0</v>
      </c>
      <c r="J1397" s="6">
        <v>1977.0</v>
      </c>
      <c r="K1397" s="6">
        <v>42.0</v>
      </c>
      <c r="L1397" s="6" t="s">
        <v>141</v>
      </c>
      <c r="M1397" s="6" t="s">
        <v>5627</v>
      </c>
      <c r="N1397" s="6" t="s">
        <v>43</v>
      </c>
      <c r="O1397" s="6" t="s">
        <v>35</v>
      </c>
      <c r="P1397" s="6">
        <f>COUNTIF(Analysis!$M$1:$M$3001,Analysis!$M1397)</f>
        <v>1</v>
      </c>
      <c r="Q1397" s="6" t="str">
        <f>IF(COUNTIF(Analysis!$M$2:$M$3001,Analysis!$M1397)&gt;1,"Duplicate","OK")</f>
        <v>OK</v>
      </c>
      <c r="R1397" s="6" t="str">
        <f t="shared" si="1"/>
        <v>1600-2600</v>
      </c>
      <c r="S1397" s="6">
        <f t="shared" si="2"/>
        <v>49</v>
      </c>
      <c r="T1397" s="6" t="str">
        <f t="shared" si="3"/>
        <v>Old</v>
      </c>
    </row>
    <row r="1398" ht="14.25" customHeight="1">
      <c r="A1398" s="5">
        <v>1449947.0</v>
      </c>
      <c r="B1398" s="6" t="s">
        <v>5630</v>
      </c>
      <c r="C1398" s="6" t="s">
        <v>53</v>
      </c>
      <c r="D1398" s="6">
        <v>31656.0</v>
      </c>
      <c r="E1398" s="6" t="s">
        <v>60</v>
      </c>
      <c r="F1398" s="6" t="s">
        <v>46</v>
      </c>
      <c r="G1398" s="6" t="s">
        <v>31</v>
      </c>
      <c r="H1398" s="7">
        <v>828.0</v>
      </c>
      <c r="I1398" s="7">
        <v>7868.0</v>
      </c>
      <c r="J1398" s="6">
        <v>2006.0</v>
      </c>
      <c r="K1398" s="6">
        <v>41.0</v>
      </c>
      <c r="L1398" s="6" t="s">
        <v>22</v>
      </c>
      <c r="M1398" s="6" t="s">
        <v>5631</v>
      </c>
      <c r="N1398" s="6" t="s">
        <v>24</v>
      </c>
      <c r="O1398" s="6" t="s">
        <v>25</v>
      </c>
      <c r="P1398" s="6">
        <f>COUNTIF(Analysis!$M$1:$M$3001,Analysis!$M1398)</f>
        <v>1</v>
      </c>
      <c r="Q1398" s="6" t="str">
        <f>IF(COUNTIF(Analysis!$M$2:$M$3001,Analysis!$M1398)&gt;1,"Duplicate","OK")</f>
        <v>OK</v>
      </c>
      <c r="R1398" s="6" t="str">
        <f t="shared" si="1"/>
        <v>600-1600</v>
      </c>
      <c r="S1398" s="6">
        <f t="shared" si="2"/>
        <v>20</v>
      </c>
      <c r="T1398" s="6" t="str">
        <f t="shared" si="3"/>
        <v>Mid</v>
      </c>
    </row>
    <row r="1399" ht="14.25" customHeight="1">
      <c r="A1399" s="5">
        <v>1368349.0</v>
      </c>
      <c r="B1399" s="6" t="s">
        <v>5634</v>
      </c>
      <c r="C1399" s="6" t="s">
        <v>39</v>
      </c>
      <c r="D1399" s="6">
        <v>40452.0</v>
      </c>
      <c r="E1399" s="6" t="s">
        <v>40</v>
      </c>
      <c r="F1399" s="6" t="s">
        <v>94</v>
      </c>
      <c r="G1399" s="6" t="s">
        <v>21</v>
      </c>
      <c r="H1399" s="7">
        <v>2888.0</v>
      </c>
      <c r="I1399" s="7">
        <v>5532.0</v>
      </c>
      <c r="J1399" s="6">
        <v>1975.0</v>
      </c>
      <c r="K1399" s="6">
        <v>16.0</v>
      </c>
      <c r="L1399" s="6" t="s">
        <v>62</v>
      </c>
      <c r="M1399" s="6" t="s">
        <v>5635</v>
      </c>
      <c r="N1399" s="6" t="s">
        <v>24</v>
      </c>
      <c r="O1399" s="6" t="s">
        <v>25</v>
      </c>
      <c r="P1399" s="6">
        <f>COUNTIF(Analysis!$M$1:$M$3001,Analysis!$M1399)</f>
        <v>1</v>
      </c>
      <c r="Q1399" s="6" t="str">
        <f>IF(COUNTIF(Analysis!$M$2:$M$3001,Analysis!$M1399)&gt;1,"Duplicate","OK")</f>
        <v>OK</v>
      </c>
      <c r="R1399" s="6" t="str">
        <f t="shared" si="1"/>
        <v>2600-3600</v>
      </c>
      <c r="S1399" s="6">
        <f t="shared" si="2"/>
        <v>51</v>
      </c>
      <c r="T1399" s="6" t="str">
        <f t="shared" si="3"/>
        <v>Old</v>
      </c>
    </row>
    <row r="1400" ht="14.25" customHeight="1">
      <c r="A1400" s="5">
        <v>403326.0</v>
      </c>
      <c r="B1400" s="6" t="s">
        <v>5638</v>
      </c>
      <c r="C1400" s="6" t="s">
        <v>39</v>
      </c>
      <c r="D1400" s="6">
        <v>45299.0</v>
      </c>
      <c r="E1400" s="6" t="s">
        <v>19</v>
      </c>
      <c r="F1400" s="6" t="s">
        <v>61</v>
      </c>
      <c r="G1400" s="6" t="s">
        <v>21</v>
      </c>
      <c r="H1400" s="7">
        <v>3987.0</v>
      </c>
      <c r="I1400" s="7">
        <v>8329.0</v>
      </c>
      <c r="J1400" s="6">
        <v>2001.0</v>
      </c>
      <c r="K1400" s="6">
        <v>112.0</v>
      </c>
      <c r="L1400" s="6" t="s">
        <v>22</v>
      </c>
      <c r="M1400" s="6" t="s">
        <v>5639</v>
      </c>
      <c r="N1400" s="6" t="s">
        <v>24</v>
      </c>
      <c r="O1400" s="6" t="s">
        <v>35</v>
      </c>
      <c r="P1400" s="6">
        <f>COUNTIF(Analysis!$M$1:$M$3001,Analysis!$M1400)</f>
        <v>1</v>
      </c>
      <c r="Q1400" s="6" t="str">
        <f>IF(COUNTIF(Analysis!$M$2:$M$3001,Analysis!$M1400)&gt;1,"Duplicate","OK")</f>
        <v>OK</v>
      </c>
      <c r="R1400" s="6" t="str">
        <f t="shared" si="1"/>
        <v>3600+</v>
      </c>
      <c r="S1400" s="6">
        <f t="shared" si="2"/>
        <v>25</v>
      </c>
      <c r="T1400" s="6" t="str">
        <f t="shared" si="3"/>
        <v>Mid</v>
      </c>
    </row>
    <row r="1401" ht="14.25" customHeight="1">
      <c r="A1401" s="5">
        <v>703004.0</v>
      </c>
      <c r="B1401" s="6" t="s">
        <v>5642</v>
      </c>
      <c r="C1401" s="6" t="s">
        <v>18</v>
      </c>
      <c r="D1401" s="6">
        <v>69638.0</v>
      </c>
      <c r="E1401" s="6" t="s">
        <v>40</v>
      </c>
      <c r="F1401" s="6" t="s">
        <v>94</v>
      </c>
      <c r="G1401" s="6" t="s">
        <v>55</v>
      </c>
      <c r="H1401" s="7">
        <v>2838.0</v>
      </c>
      <c r="I1401" s="7">
        <v>8692.0</v>
      </c>
      <c r="J1401" s="6">
        <v>1986.0</v>
      </c>
      <c r="K1401" s="6">
        <v>93.0</v>
      </c>
      <c r="L1401" s="6" t="s">
        <v>95</v>
      </c>
      <c r="M1401" s="6" t="s">
        <v>5643</v>
      </c>
      <c r="N1401" s="6" t="s">
        <v>43</v>
      </c>
      <c r="O1401" s="6" t="s">
        <v>25</v>
      </c>
      <c r="P1401" s="6">
        <f>COUNTIF(Analysis!$M$1:$M$3001,Analysis!$M1401)</f>
        <v>1</v>
      </c>
      <c r="Q1401" s="6" t="str">
        <f>IF(COUNTIF(Analysis!$M$2:$M$3001,Analysis!$M1401)&gt;1,"Duplicate","OK")</f>
        <v>OK</v>
      </c>
      <c r="R1401" s="6" t="str">
        <f t="shared" si="1"/>
        <v>2600-3600</v>
      </c>
      <c r="S1401" s="6">
        <f t="shared" si="2"/>
        <v>40</v>
      </c>
      <c r="T1401" s="6" t="str">
        <f t="shared" si="3"/>
        <v>Old</v>
      </c>
    </row>
    <row r="1402" ht="14.25" customHeight="1">
      <c r="A1402" s="5">
        <v>1077979.0</v>
      </c>
      <c r="B1402" s="6" t="s">
        <v>5646</v>
      </c>
      <c r="C1402" s="6" t="s">
        <v>53</v>
      </c>
      <c r="D1402" s="6">
        <v>85976.0</v>
      </c>
      <c r="E1402" s="6" t="s">
        <v>19</v>
      </c>
      <c r="F1402" s="6" t="s">
        <v>54</v>
      </c>
      <c r="G1402" s="6" t="s">
        <v>100</v>
      </c>
      <c r="H1402" s="7">
        <v>1067.0</v>
      </c>
      <c r="I1402" s="7">
        <v>8832.0</v>
      </c>
      <c r="J1402" s="6">
        <v>2009.0</v>
      </c>
      <c r="K1402" s="6">
        <v>2.0</v>
      </c>
      <c r="L1402" s="6" t="s">
        <v>22</v>
      </c>
      <c r="M1402" s="6" t="s">
        <v>5647</v>
      </c>
      <c r="N1402" s="6" t="s">
        <v>24</v>
      </c>
      <c r="O1402" s="6" t="s">
        <v>49</v>
      </c>
      <c r="P1402" s="6">
        <f>COUNTIF(Analysis!$M$1:$M$3001,Analysis!$M1402)</f>
        <v>1</v>
      </c>
      <c r="Q1402" s="6" t="str">
        <f>IF(COUNTIF(Analysis!$M$2:$M$3001,Analysis!$M1402)&gt;1,"Duplicate","OK")</f>
        <v>OK</v>
      </c>
      <c r="R1402" s="6" t="str">
        <f t="shared" si="1"/>
        <v>600-1600</v>
      </c>
      <c r="S1402" s="6">
        <f t="shared" si="2"/>
        <v>17</v>
      </c>
      <c r="T1402" s="6" t="str">
        <f t="shared" si="3"/>
        <v>Mid</v>
      </c>
    </row>
    <row r="1403" ht="14.25" customHeight="1">
      <c r="A1403" s="5">
        <v>1377628.0</v>
      </c>
      <c r="B1403" s="6" t="s">
        <v>5650</v>
      </c>
      <c r="C1403" s="6" t="s">
        <v>76</v>
      </c>
      <c r="D1403" s="6">
        <v>15650.0</v>
      </c>
      <c r="E1403" s="6" t="s">
        <v>60</v>
      </c>
      <c r="F1403" s="6" t="s">
        <v>46</v>
      </c>
      <c r="G1403" s="6" t="s">
        <v>55</v>
      </c>
      <c r="H1403" s="7">
        <v>3499.0</v>
      </c>
      <c r="I1403" s="7">
        <v>8593.0</v>
      </c>
      <c r="J1403" s="6">
        <v>1988.0</v>
      </c>
      <c r="K1403" s="6">
        <v>23.0</v>
      </c>
      <c r="L1403" s="6" t="s">
        <v>62</v>
      </c>
      <c r="M1403" s="6" t="s">
        <v>5651</v>
      </c>
      <c r="N1403" s="6" t="s">
        <v>48</v>
      </c>
      <c r="O1403" s="6" t="s">
        <v>49</v>
      </c>
      <c r="P1403" s="6">
        <f>COUNTIF(Analysis!$M$1:$M$3001,Analysis!$M1403)</f>
        <v>1</v>
      </c>
      <c r="Q1403" s="6" t="str">
        <f>IF(COUNTIF(Analysis!$M$2:$M$3001,Analysis!$M1403)&gt;1,"Duplicate","OK")</f>
        <v>OK</v>
      </c>
      <c r="R1403" s="6" t="str">
        <f t="shared" si="1"/>
        <v>2600-3600</v>
      </c>
      <c r="S1403" s="6">
        <f t="shared" si="2"/>
        <v>38</v>
      </c>
      <c r="T1403" s="6" t="str">
        <f t="shared" si="3"/>
        <v>Old</v>
      </c>
    </row>
    <row r="1404" ht="14.25" customHeight="1">
      <c r="A1404" s="5">
        <v>979483.0</v>
      </c>
      <c r="B1404" s="6" t="s">
        <v>5654</v>
      </c>
      <c r="C1404" s="6" t="s">
        <v>76</v>
      </c>
      <c r="D1404" s="6">
        <v>48296.0</v>
      </c>
      <c r="E1404" s="6" t="s">
        <v>19</v>
      </c>
      <c r="F1404" s="6" t="s">
        <v>94</v>
      </c>
      <c r="G1404" s="6" t="s">
        <v>21</v>
      </c>
      <c r="H1404" s="7">
        <v>3181.0</v>
      </c>
      <c r="I1404" s="7">
        <v>4774.0</v>
      </c>
      <c r="J1404" s="6">
        <v>2016.0</v>
      </c>
      <c r="K1404" s="6">
        <v>77.0</v>
      </c>
      <c r="L1404" s="6" t="s">
        <v>22</v>
      </c>
      <c r="M1404" s="6" t="s">
        <v>5655</v>
      </c>
      <c r="N1404" s="6" t="s">
        <v>34</v>
      </c>
      <c r="O1404" s="6" t="s">
        <v>25</v>
      </c>
      <c r="P1404" s="6">
        <f>COUNTIF(Analysis!$M$1:$M$3001,Analysis!$M1404)</f>
        <v>1</v>
      </c>
      <c r="Q1404" s="6" t="str">
        <f>IF(COUNTIF(Analysis!$M$2:$M$3001,Analysis!$M1404)&gt;1,"Duplicate","OK")</f>
        <v>OK</v>
      </c>
      <c r="R1404" s="6" t="str">
        <f t="shared" si="1"/>
        <v>2600-3600</v>
      </c>
      <c r="S1404" s="6">
        <f t="shared" si="2"/>
        <v>10</v>
      </c>
      <c r="T1404" s="6" t="str">
        <f t="shared" si="3"/>
        <v>New</v>
      </c>
    </row>
    <row r="1405" ht="14.25" customHeight="1">
      <c r="A1405" s="5">
        <v>751038.0</v>
      </c>
      <c r="B1405" s="6" t="s">
        <v>5886</v>
      </c>
      <c r="C1405" s="6" t="s">
        <v>29</v>
      </c>
      <c r="D1405" s="6">
        <v>92714.0</v>
      </c>
      <c r="E1405" s="6" t="s">
        <v>40</v>
      </c>
      <c r="F1405" s="6" t="s">
        <v>54</v>
      </c>
      <c r="G1405" s="6" t="s">
        <v>31</v>
      </c>
      <c r="H1405" s="7">
        <v>2787.0</v>
      </c>
      <c r="I1405" s="7">
        <v>1504.0</v>
      </c>
      <c r="J1405" s="6">
        <v>1980.0</v>
      </c>
      <c r="K1405" s="6">
        <v>83.0</v>
      </c>
      <c r="L1405" s="6" t="s">
        <v>95</v>
      </c>
      <c r="M1405" s="6" t="s">
        <v>5887</v>
      </c>
      <c r="N1405" s="6" t="s">
        <v>43</v>
      </c>
      <c r="O1405" s="6" t="s">
        <v>35</v>
      </c>
      <c r="P1405" s="6">
        <f>COUNTIF(Analysis!$M$1:$M$3001,Analysis!$M1462)</f>
        <v>1</v>
      </c>
      <c r="Q1405" s="6" t="str">
        <f>IF(COUNTIF(Analysis!$M$2:$M$3001,Analysis!$M1462)&gt;1,"Duplicate","OK")</f>
        <v>OK</v>
      </c>
      <c r="R1405" s="6" t="str">
        <f t="shared" si="1"/>
        <v>2600-3600</v>
      </c>
      <c r="S1405" s="6">
        <f t="shared" si="2"/>
        <v>46</v>
      </c>
      <c r="T1405" s="6" t="str">
        <f t="shared" si="3"/>
        <v>Old</v>
      </c>
    </row>
    <row r="1406" ht="14.25" customHeight="1">
      <c r="A1406" s="5">
        <v>1112794.0</v>
      </c>
      <c r="B1406" s="6" t="s">
        <v>5662</v>
      </c>
      <c r="C1406" s="6" t="s">
        <v>53</v>
      </c>
      <c r="D1406" s="6">
        <v>83851.0</v>
      </c>
      <c r="E1406" s="6" t="s">
        <v>30</v>
      </c>
      <c r="F1406" s="6" t="s">
        <v>94</v>
      </c>
      <c r="G1406" s="6" t="s">
        <v>100</v>
      </c>
      <c r="H1406" s="7">
        <v>3285.0</v>
      </c>
      <c r="I1406" s="7">
        <v>5456.0</v>
      </c>
      <c r="J1406" s="6">
        <v>1997.0</v>
      </c>
      <c r="K1406" s="6">
        <v>110.0</v>
      </c>
      <c r="L1406" s="6" t="s">
        <v>141</v>
      </c>
      <c r="M1406" s="6" t="s">
        <v>5663</v>
      </c>
      <c r="N1406" s="6" t="s">
        <v>43</v>
      </c>
      <c r="O1406" s="6" t="s">
        <v>35</v>
      </c>
      <c r="P1406" s="6">
        <f>COUNTIF(Analysis!$M$1:$M$3001,Analysis!$M1406)</f>
        <v>1</v>
      </c>
      <c r="Q1406" s="6" t="str">
        <f>IF(COUNTIF(Analysis!$M$2:$M$3001,Analysis!$M1406)&gt;1,"Duplicate","OK")</f>
        <v>OK</v>
      </c>
      <c r="R1406" s="6" t="str">
        <f t="shared" si="1"/>
        <v>2600-3600</v>
      </c>
      <c r="S1406" s="6">
        <f t="shared" si="2"/>
        <v>29</v>
      </c>
      <c r="T1406" s="6" t="str">
        <f t="shared" si="3"/>
        <v>Mid</v>
      </c>
    </row>
    <row r="1407" ht="14.25" customHeight="1">
      <c r="A1407" s="5">
        <v>1012826.0</v>
      </c>
      <c r="B1407" s="6" t="s">
        <v>5666</v>
      </c>
      <c r="C1407" s="6" t="s">
        <v>53</v>
      </c>
      <c r="D1407" s="6">
        <v>46718.0</v>
      </c>
      <c r="E1407" s="6" t="s">
        <v>60</v>
      </c>
      <c r="F1407" s="6" t="s">
        <v>94</v>
      </c>
      <c r="G1407" s="6" t="s">
        <v>31</v>
      </c>
      <c r="H1407" s="7">
        <v>3308.0</v>
      </c>
      <c r="I1407" s="7">
        <v>8436.0</v>
      </c>
      <c r="J1407" s="6">
        <v>1961.0</v>
      </c>
      <c r="K1407" s="6">
        <v>42.0</v>
      </c>
      <c r="L1407" s="6" t="s">
        <v>62</v>
      </c>
      <c r="M1407" s="6" t="s">
        <v>5667</v>
      </c>
      <c r="N1407" s="6" t="s">
        <v>48</v>
      </c>
      <c r="O1407" s="6" t="s">
        <v>49</v>
      </c>
      <c r="P1407" s="6">
        <f>COUNTIF(Analysis!$M$1:$M$3001,Analysis!$M1407)</f>
        <v>1</v>
      </c>
      <c r="Q1407" s="6" t="str">
        <f>IF(COUNTIF(Analysis!$M$2:$M$3001,Analysis!$M1407)&gt;1,"Duplicate","OK")</f>
        <v>OK</v>
      </c>
      <c r="R1407" s="6" t="str">
        <f t="shared" si="1"/>
        <v>2600-3600</v>
      </c>
      <c r="S1407" s="6">
        <f t="shared" si="2"/>
        <v>65</v>
      </c>
      <c r="T1407" s="6" t="str">
        <f t="shared" si="3"/>
        <v>Very Old</v>
      </c>
    </row>
    <row r="1408" ht="14.25" customHeight="1">
      <c r="A1408" s="5">
        <v>572355.0</v>
      </c>
      <c r="B1408" s="6" t="s">
        <v>5670</v>
      </c>
      <c r="C1408" s="6" t="s">
        <v>18</v>
      </c>
      <c r="D1408" s="6">
        <v>37003.0</v>
      </c>
      <c r="E1408" s="6" t="s">
        <v>60</v>
      </c>
      <c r="F1408" s="6" t="s">
        <v>46</v>
      </c>
      <c r="G1408" s="6" t="s">
        <v>21</v>
      </c>
      <c r="H1408" s="7">
        <v>2115.0</v>
      </c>
      <c r="I1408" s="7">
        <v>4347.0</v>
      </c>
      <c r="J1408" s="6">
        <v>1992.0</v>
      </c>
      <c r="K1408" s="6">
        <v>19.0</v>
      </c>
      <c r="L1408" s="6" t="s">
        <v>141</v>
      </c>
      <c r="M1408" s="6" t="s">
        <v>5671</v>
      </c>
      <c r="N1408" s="6" t="s">
        <v>24</v>
      </c>
      <c r="O1408" s="6" t="s">
        <v>49</v>
      </c>
      <c r="P1408" s="6">
        <f>COUNTIF(Analysis!$M$1:$M$3001,Analysis!$M1408)</f>
        <v>1</v>
      </c>
      <c r="Q1408" s="6" t="str">
        <f>IF(COUNTIF(Analysis!$M$2:$M$3001,Analysis!$M1408)&gt;1,"Duplicate","OK")</f>
        <v>OK</v>
      </c>
      <c r="R1408" s="6" t="str">
        <f t="shared" si="1"/>
        <v>1600-2600</v>
      </c>
      <c r="S1408" s="6">
        <f t="shared" si="2"/>
        <v>34</v>
      </c>
      <c r="T1408" s="6" t="str">
        <f t="shared" si="3"/>
        <v>Old</v>
      </c>
    </row>
    <row r="1409" ht="14.25" customHeight="1">
      <c r="A1409" s="5">
        <v>336640.0</v>
      </c>
      <c r="B1409" s="6" t="s">
        <v>5674</v>
      </c>
      <c r="C1409" s="6" t="s">
        <v>39</v>
      </c>
      <c r="D1409" s="6">
        <v>14781.0</v>
      </c>
      <c r="E1409" s="6" t="s">
        <v>60</v>
      </c>
      <c r="F1409" s="6" t="s">
        <v>46</v>
      </c>
      <c r="G1409" s="6" t="s">
        <v>55</v>
      </c>
      <c r="H1409" s="7">
        <v>641.0</v>
      </c>
      <c r="I1409" s="7">
        <v>4291.0</v>
      </c>
      <c r="J1409" s="6">
        <v>1956.0</v>
      </c>
      <c r="K1409" s="6">
        <v>95.0</v>
      </c>
      <c r="L1409" s="6" t="s">
        <v>32</v>
      </c>
      <c r="M1409" s="6" t="s">
        <v>5675</v>
      </c>
      <c r="N1409" s="6" t="s">
        <v>48</v>
      </c>
      <c r="O1409" s="6" t="s">
        <v>49</v>
      </c>
      <c r="P1409" s="6">
        <f>COUNTIF(Analysis!$M$1:$M$3001,Analysis!$M1409)</f>
        <v>1</v>
      </c>
      <c r="Q1409" s="6" t="str">
        <f>IF(COUNTIF(Analysis!$M$2:$M$3001,Analysis!$M1409)&gt;1,"Duplicate","OK")</f>
        <v>OK</v>
      </c>
      <c r="R1409" s="6" t="str">
        <f t="shared" si="1"/>
        <v>600-1600</v>
      </c>
      <c r="S1409" s="6">
        <f t="shared" si="2"/>
        <v>70</v>
      </c>
      <c r="T1409" s="6" t="str">
        <f t="shared" si="3"/>
        <v>Very Old</v>
      </c>
    </row>
    <row r="1410" ht="14.25" customHeight="1">
      <c r="A1410" s="5">
        <v>577795.0</v>
      </c>
      <c r="B1410" s="6" t="s">
        <v>5678</v>
      </c>
      <c r="C1410" s="6" t="s">
        <v>18</v>
      </c>
      <c r="D1410" s="6">
        <v>33178.0</v>
      </c>
      <c r="E1410" s="6" t="s">
        <v>19</v>
      </c>
      <c r="F1410" s="6" t="s">
        <v>46</v>
      </c>
      <c r="G1410" s="6" t="s">
        <v>55</v>
      </c>
      <c r="H1410" s="7">
        <v>1264.0</v>
      </c>
      <c r="I1410" s="7">
        <v>2490.0</v>
      </c>
      <c r="J1410" s="6">
        <v>1971.0</v>
      </c>
      <c r="K1410" s="6">
        <v>49.0</v>
      </c>
      <c r="L1410" s="6" t="s">
        <v>62</v>
      </c>
      <c r="M1410" s="6" t="s">
        <v>5679</v>
      </c>
      <c r="N1410" s="6" t="s">
        <v>24</v>
      </c>
      <c r="O1410" s="6" t="s">
        <v>35</v>
      </c>
      <c r="P1410" s="6">
        <f>COUNTIF(Analysis!$M$1:$M$3001,Analysis!$M1410)</f>
        <v>1</v>
      </c>
      <c r="Q1410" s="6" t="str">
        <f>IF(COUNTIF(Analysis!$M$2:$M$3001,Analysis!$M1410)&gt;1,"Duplicate","OK")</f>
        <v>OK</v>
      </c>
      <c r="R1410" s="6" t="str">
        <f t="shared" si="1"/>
        <v>600-1600</v>
      </c>
      <c r="S1410" s="6">
        <f t="shared" si="2"/>
        <v>55</v>
      </c>
      <c r="T1410" s="6" t="str">
        <f t="shared" si="3"/>
        <v>Old</v>
      </c>
    </row>
    <row r="1411" ht="14.25" customHeight="1">
      <c r="A1411" s="5">
        <v>1455708.0</v>
      </c>
      <c r="B1411" s="6" t="s">
        <v>5682</v>
      </c>
      <c r="C1411" s="6" t="s">
        <v>53</v>
      </c>
      <c r="D1411" s="6">
        <v>21112.0</v>
      </c>
      <c r="E1411" s="6" t="s">
        <v>60</v>
      </c>
      <c r="F1411" s="6" t="s">
        <v>20</v>
      </c>
      <c r="G1411" s="6" t="s">
        <v>55</v>
      </c>
      <c r="H1411" s="7">
        <v>778.0</v>
      </c>
      <c r="I1411" s="7">
        <v>8051.0</v>
      </c>
      <c r="J1411" s="6">
        <v>2009.0</v>
      </c>
      <c r="K1411" s="6">
        <v>63.0</v>
      </c>
      <c r="L1411" s="6" t="s">
        <v>62</v>
      </c>
      <c r="M1411" s="6" t="s">
        <v>5683</v>
      </c>
      <c r="N1411" s="6" t="s">
        <v>24</v>
      </c>
      <c r="O1411" s="6" t="s">
        <v>49</v>
      </c>
      <c r="P1411" s="6">
        <f>COUNTIF(Analysis!$M$1:$M$3001,Analysis!$M1411)</f>
        <v>1</v>
      </c>
      <c r="Q1411" s="6" t="str">
        <f>IF(COUNTIF(Analysis!$M$2:$M$3001,Analysis!$M1411)&gt;1,"Duplicate","OK")</f>
        <v>OK</v>
      </c>
      <c r="R1411" s="6" t="str">
        <f t="shared" si="1"/>
        <v>600-1600</v>
      </c>
      <c r="S1411" s="6">
        <f t="shared" si="2"/>
        <v>17</v>
      </c>
      <c r="T1411" s="6" t="str">
        <f t="shared" si="3"/>
        <v>Mid</v>
      </c>
    </row>
    <row r="1412" ht="14.25" customHeight="1">
      <c r="A1412" s="5">
        <v>1225749.0</v>
      </c>
      <c r="B1412" s="6" t="s">
        <v>5686</v>
      </c>
      <c r="C1412" s="6" t="s">
        <v>39</v>
      </c>
      <c r="D1412" s="6">
        <v>73257.0</v>
      </c>
      <c r="E1412" s="6" t="s">
        <v>19</v>
      </c>
      <c r="F1412" s="6" t="s">
        <v>54</v>
      </c>
      <c r="G1412" s="6" t="s">
        <v>21</v>
      </c>
      <c r="H1412" s="7">
        <v>2850.0</v>
      </c>
      <c r="I1412" s="7">
        <v>5113.0</v>
      </c>
      <c r="J1412" s="6">
        <v>2018.0</v>
      </c>
      <c r="K1412" s="6">
        <v>87.0</v>
      </c>
      <c r="L1412" s="6" t="s">
        <v>62</v>
      </c>
      <c r="M1412" s="6" t="s">
        <v>5687</v>
      </c>
      <c r="N1412" s="6" t="s">
        <v>43</v>
      </c>
      <c r="O1412" s="6" t="s">
        <v>49</v>
      </c>
      <c r="P1412" s="6">
        <f>COUNTIF(Analysis!$M$1:$M$3001,Analysis!$M1412)</f>
        <v>1</v>
      </c>
      <c r="Q1412" s="6" t="str">
        <f>IF(COUNTIF(Analysis!$M$2:$M$3001,Analysis!$M1412)&gt;1,"Duplicate","OK")</f>
        <v>OK</v>
      </c>
      <c r="R1412" s="6" t="str">
        <f t="shared" si="1"/>
        <v>2600-3600</v>
      </c>
      <c r="S1412" s="6">
        <f t="shared" si="2"/>
        <v>8</v>
      </c>
      <c r="T1412" s="6" t="str">
        <f t="shared" si="3"/>
        <v>New</v>
      </c>
    </row>
    <row r="1413" ht="14.25" customHeight="1">
      <c r="A1413" s="5">
        <v>576495.0</v>
      </c>
      <c r="B1413" s="6" t="s">
        <v>5690</v>
      </c>
      <c r="C1413" s="6" t="s">
        <v>18</v>
      </c>
      <c r="D1413" s="6">
        <v>41457.0</v>
      </c>
      <c r="E1413" s="6" t="s">
        <v>40</v>
      </c>
      <c r="F1413" s="6" t="s">
        <v>20</v>
      </c>
      <c r="G1413" s="6" t="s">
        <v>31</v>
      </c>
      <c r="H1413" s="7">
        <v>2330.0</v>
      </c>
      <c r="I1413" s="7">
        <v>2624.0</v>
      </c>
      <c r="J1413" s="6">
        <v>1986.0</v>
      </c>
      <c r="K1413" s="6">
        <v>54.0</v>
      </c>
      <c r="L1413" s="6" t="s">
        <v>95</v>
      </c>
      <c r="M1413" s="6" t="s">
        <v>5691</v>
      </c>
      <c r="N1413" s="6" t="s">
        <v>43</v>
      </c>
      <c r="O1413" s="6" t="s">
        <v>25</v>
      </c>
      <c r="P1413" s="6">
        <f>COUNTIF(Analysis!$M$1:$M$3001,Analysis!$M1413)</f>
        <v>1</v>
      </c>
      <c r="Q1413" s="6" t="str">
        <f>IF(COUNTIF(Analysis!$M$2:$M$3001,Analysis!$M1413)&gt;1,"Duplicate","OK")</f>
        <v>OK</v>
      </c>
      <c r="R1413" s="6" t="str">
        <f t="shared" si="1"/>
        <v>1600-2600</v>
      </c>
      <c r="S1413" s="6">
        <f t="shared" si="2"/>
        <v>40</v>
      </c>
      <c r="T1413" s="6" t="str">
        <f t="shared" si="3"/>
        <v>Old</v>
      </c>
    </row>
    <row r="1414" ht="14.25" customHeight="1">
      <c r="A1414" s="5">
        <v>654485.0</v>
      </c>
      <c r="B1414" s="6" t="s">
        <v>5694</v>
      </c>
      <c r="C1414" s="6" t="s">
        <v>53</v>
      </c>
      <c r="D1414" s="6">
        <v>67605.0</v>
      </c>
      <c r="E1414" s="6" t="s">
        <v>40</v>
      </c>
      <c r="F1414" s="6" t="s">
        <v>54</v>
      </c>
      <c r="G1414" s="6" t="s">
        <v>21</v>
      </c>
      <c r="H1414" s="7">
        <v>2771.0</v>
      </c>
      <c r="I1414" s="7">
        <v>9800.0</v>
      </c>
      <c r="J1414" s="6">
        <v>2002.0</v>
      </c>
      <c r="K1414" s="6">
        <v>63.0</v>
      </c>
      <c r="L1414" s="6" t="s">
        <v>62</v>
      </c>
      <c r="M1414" s="6" t="s">
        <v>5695</v>
      </c>
      <c r="N1414" s="6" t="s">
        <v>64</v>
      </c>
      <c r="O1414" s="6" t="s">
        <v>35</v>
      </c>
      <c r="P1414" s="6">
        <f>COUNTIF(Analysis!$M$1:$M$3001,Analysis!$M1414)</f>
        <v>1</v>
      </c>
      <c r="Q1414" s="6" t="str">
        <f>IF(COUNTIF(Analysis!$M$2:$M$3001,Analysis!$M1414)&gt;1,"Duplicate","OK")</f>
        <v>OK</v>
      </c>
      <c r="R1414" s="6" t="str">
        <f t="shared" si="1"/>
        <v>2600-3600</v>
      </c>
      <c r="S1414" s="6">
        <f t="shared" si="2"/>
        <v>24</v>
      </c>
      <c r="T1414" s="6" t="str">
        <f t="shared" si="3"/>
        <v>Mid</v>
      </c>
    </row>
    <row r="1415" ht="14.25" customHeight="1">
      <c r="A1415" s="5">
        <v>1102154.0</v>
      </c>
      <c r="B1415" s="6" t="s">
        <v>5698</v>
      </c>
      <c r="C1415" s="6" t="s">
        <v>76</v>
      </c>
      <c r="D1415" s="6">
        <v>46426.0</v>
      </c>
      <c r="E1415" s="6" t="s">
        <v>19</v>
      </c>
      <c r="F1415" s="6" t="s">
        <v>41</v>
      </c>
      <c r="G1415" s="6" t="s">
        <v>21</v>
      </c>
      <c r="H1415" s="7">
        <v>3837.0</v>
      </c>
      <c r="I1415" s="7">
        <v>2415.0</v>
      </c>
      <c r="J1415" s="6">
        <v>2002.0</v>
      </c>
      <c r="K1415" s="6">
        <v>65.0</v>
      </c>
      <c r="L1415" s="6" t="s">
        <v>22</v>
      </c>
      <c r="M1415" s="6" t="s">
        <v>5699</v>
      </c>
      <c r="N1415" s="6" t="s">
        <v>24</v>
      </c>
      <c r="O1415" s="6" t="s">
        <v>35</v>
      </c>
      <c r="P1415" s="6">
        <f>COUNTIF(Analysis!$M$1:$M$3001,Analysis!$M1415)</f>
        <v>1</v>
      </c>
      <c r="Q1415" s="6" t="str">
        <f>IF(COUNTIF(Analysis!$M$2:$M$3001,Analysis!$M1415)&gt;1,"Duplicate","OK")</f>
        <v>OK</v>
      </c>
      <c r="R1415" s="6" t="str">
        <f t="shared" si="1"/>
        <v>3600+</v>
      </c>
      <c r="S1415" s="6">
        <f t="shared" si="2"/>
        <v>24</v>
      </c>
      <c r="T1415" s="6" t="str">
        <f t="shared" si="3"/>
        <v>Mid</v>
      </c>
    </row>
    <row r="1416" ht="14.25" customHeight="1">
      <c r="A1416" s="5">
        <v>870466.0</v>
      </c>
      <c r="B1416" s="6" t="s">
        <v>5702</v>
      </c>
      <c r="C1416" s="6" t="s">
        <v>53</v>
      </c>
      <c r="D1416" s="6">
        <v>10094.0</v>
      </c>
      <c r="E1416" s="6" t="s">
        <v>19</v>
      </c>
      <c r="F1416" s="6" t="s">
        <v>20</v>
      </c>
      <c r="G1416" s="6" t="s">
        <v>21</v>
      </c>
      <c r="H1416" s="7">
        <v>3713.0</v>
      </c>
      <c r="I1416" s="7">
        <v>6362.0</v>
      </c>
      <c r="J1416" s="6">
        <v>2010.0</v>
      </c>
      <c r="K1416" s="6">
        <v>32.0</v>
      </c>
      <c r="L1416" s="6" t="s">
        <v>22</v>
      </c>
      <c r="M1416" s="6" t="s">
        <v>5703</v>
      </c>
      <c r="N1416" s="6" t="s">
        <v>34</v>
      </c>
      <c r="O1416" s="6" t="s">
        <v>49</v>
      </c>
      <c r="P1416" s="6">
        <f>COUNTIF(Analysis!$M$1:$M$3001,Analysis!$M1416)</f>
        <v>1</v>
      </c>
      <c r="Q1416" s="6" t="str">
        <f>IF(COUNTIF(Analysis!$M$2:$M$3001,Analysis!$M1416)&gt;1,"Duplicate","OK")</f>
        <v>OK</v>
      </c>
      <c r="R1416" s="6" t="str">
        <f t="shared" si="1"/>
        <v>3600+</v>
      </c>
      <c r="S1416" s="6">
        <f t="shared" si="2"/>
        <v>16</v>
      </c>
      <c r="T1416" s="6" t="str">
        <f t="shared" si="3"/>
        <v>Mid</v>
      </c>
    </row>
    <row r="1417" ht="14.25" customHeight="1">
      <c r="A1417" s="5">
        <v>273995.0</v>
      </c>
      <c r="B1417" s="6" t="s">
        <v>5706</v>
      </c>
      <c r="C1417" s="6" t="s">
        <v>76</v>
      </c>
      <c r="D1417" s="6">
        <v>56441.0</v>
      </c>
      <c r="E1417" s="6" t="s">
        <v>60</v>
      </c>
      <c r="F1417" s="6" t="s">
        <v>46</v>
      </c>
      <c r="G1417" s="6" t="s">
        <v>31</v>
      </c>
      <c r="H1417" s="7">
        <v>1488.0</v>
      </c>
      <c r="I1417" s="7">
        <v>4956.0</v>
      </c>
      <c r="J1417" s="6">
        <v>1971.0</v>
      </c>
      <c r="K1417" s="6">
        <v>37.0</v>
      </c>
      <c r="L1417" s="6" t="s">
        <v>62</v>
      </c>
      <c r="M1417" s="6" t="s">
        <v>5707</v>
      </c>
      <c r="N1417" s="6" t="s">
        <v>34</v>
      </c>
      <c r="O1417" s="6" t="s">
        <v>25</v>
      </c>
      <c r="P1417" s="6">
        <f>COUNTIF(Analysis!$M$1:$M$3001,Analysis!$M1417)</f>
        <v>1</v>
      </c>
      <c r="Q1417" s="6" t="str">
        <f>IF(COUNTIF(Analysis!$M$2:$M$3001,Analysis!$M1417)&gt;1,"Duplicate","OK")</f>
        <v>OK</v>
      </c>
      <c r="R1417" s="6" t="str">
        <f t="shared" si="1"/>
        <v>600-1600</v>
      </c>
      <c r="S1417" s="6">
        <f t="shared" si="2"/>
        <v>55</v>
      </c>
      <c r="T1417" s="6" t="str">
        <f t="shared" si="3"/>
        <v>Old</v>
      </c>
    </row>
    <row r="1418" ht="14.25" customHeight="1">
      <c r="A1418" s="5">
        <v>751425.0</v>
      </c>
      <c r="B1418" s="6" t="s">
        <v>3039</v>
      </c>
      <c r="C1418" s="6" t="s">
        <v>29</v>
      </c>
      <c r="D1418" s="6">
        <v>46647.0</v>
      </c>
      <c r="E1418" s="6" t="s">
        <v>40</v>
      </c>
      <c r="F1418" s="6" t="s">
        <v>94</v>
      </c>
      <c r="G1418" s="6" t="s">
        <v>100</v>
      </c>
      <c r="H1418" s="7">
        <v>2346.0</v>
      </c>
      <c r="I1418" s="7">
        <v>2711.0</v>
      </c>
      <c r="J1418" s="6">
        <v>2015.0</v>
      </c>
      <c r="K1418" s="6">
        <v>53.0</v>
      </c>
      <c r="L1418" s="6" t="s">
        <v>141</v>
      </c>
      <c r="M1418" s="6" t="s">
        <v>3040</v>
      </c>
      <c r="N1418" s="6" t="s">
        <v>34</v>
      </c>
      <c r="O1418" s="6" t="s">
        <v>25</v>
      </c>
      <c r="P1418" s="6">
        <f>COUNTIF(Analysis!$M$1:$M$3001,Analysis!$M750)</f>
        <v>1</v>
      </c>
      <c r="Q1418" s="6" t="str">
        <f>IF(COUNTIF(Analysis!$M$2:$M$3001,Analysis!$M750)&gt;1,"Duplicate","OK")</f>
        <v>OK</v>
      </c>
      <c r="R1418" s="6" t="str">
        <f t="shared" si="1"/>
        <v>1600-2600</v>
      </c>
      <c r="S1418" s="6">
        <f t="shared" si="2"/>
        <v>11</v>
      </c>
      <c r="T1418" s="6" t="str">
        <f t="shared" si="3"/>
        <v>Mid</v>
      </c>
    </row>
    <row r="1419" ht="14.25" customHeight="1">
      <c r="A1419" s="5">
        <v>392020.0</v>
      </c>
      <c r="B1419" s="6" t="s">
        <v>5714</v>
      </c>
      <c r="C1419" s="6" t="s">
        <v>18</v>
      </c>
      <c r="D1419" s="6">
        <v>85892.0</v>
      </c>
      <c r="E1419" s="6" t="s">
        <v>60</v>
      </c>
      <c r="F1419" s="6" t="s">
        <v>61</v>
      </c>
      <c r="G1419" s="6" t="s">
        <v>31</v>
      </c>
      <c r="H1419" s="7">
        <v>3496.0</v>
      </c>
      <c r="I1419" s="7">
        <v>7087.0</v>
      </c>
      <c r="J1419" s="6">
        <v>2017.0</v>
      </c>
      <c r="K1419" s="6">
        <v>68.0</v>
      </c>
      <c r="L1419" s="6" t="s">
        <v>22</v>
      </c>
      <c r="M1419" s="6" t="s">
        <v>5715</v>
      </c>
      <c r="N1419" s="6" t="s">
        <v>34</v>
      </c>
      <c r="O1419" s="6" t="s">
        <v>49</v>
      </c>
      <c r="P1419" s="6">
        <f>COUNTIF(Analysis!$M$1:$M$3001,Analysis!$M1419)</f>
        <v>1</v>
      </c>
      <c r="Q1419" s="6" t="str">
        <f>IF(COUNTIF(Analysis!$M$2:$M$3001,Analysis!$M1419)&gt;1,"Duplicate","OK")</f>
        <v>OK</v>
      </c>
      <c r="R1419" s="6" t="str">
        <f t="shared" si="1"/>
        <v>2600-3600</v>
      </c>
      <c r="S1419" s="6">
        <f t="shared" si="2"/>
        <v>9</v>
      </c>
      <c r="T1419" s="6" t="str">
        <f t="shared" si="3"/>
        <v>New</v>
      </c>
    </row>
    <row r="1420" ht="14.25" customHeight="1">
      <c r="A1420" s="5">
        <v>752795.0</v>
      </c>
      <c r="B1420" s="6" t="s">
        <v>9839</v>
      </c>
      <c r="C1420" s="6" t="s">
        <v>29</v>
      </c>
      <c r="D1420" s="6">
        <v>71418.0</v>
      </c>
      <c r="E1420" s="6" t="s">
        <v>60</v>
      </c>
      <c r="F1420" s="6" t="s">
        <v>20</v>
      </c>
      <c r="G1420" s="6" t="s">
        <v>31</v>
      </c>
      <c r="H1420" s="7">
        <v>2425.0</v>
      </c>
      <c r="I1420" s="7">
        <v>4746.0</v>
      </c>
      <c r="J1420" s="6">
        <v>2010.0</v>
      </c>
      <c r="K1420" s="6">
        <v>41.0</v>
      </c>
      <c r="L1420" s="6" t="s">
        <v>141</v>
      </c>
      <c r="M1420" s="6" t="s">
        <v>9840</v>
      </c>
      <c r="N1420" s="6" t="s">
        <v>64</v>
      </c>
      <c r="O1420" s="6" t="s">
        <v>35</v>
      </c>
      <c r="P1420" s="6">
        <f>COUNTIF(Analysis!$M$1:$M$3001,Analysis!$M2451)</f>
        <v>1</v>
      </c>
      <c r="Q1420" s="6" t="str">
        <f>IF(COUNTIF(Analysis!$M$2:$M$3001,Analysis!$M2451)&gt;1,"Duplicate","OK")</f>
        <v>OK</v>
      </c>
      <c r="R1420" s="6" t="str">
        <f t="shared" si="1"/>
        <v>1600-2600</v>
      </c>
      <c r="S1420" s="6">
        <f t="shared" si="2"/>
        <v>16</v>
      </c>
      <c r="T1420" s="6" t="str">
        <f t="shared" si="3"/>
        <v>Mid</v>
      </c>
    </row>
    <row r="1421" ht="14.25" customHeight="1">
      <c r="A1421" s="5">
        <v>1410174.0</v>
      </c>
      <c r="B1421" s="6" t="s">
        <v>5722</v>
      </c>
      <c r="C1421" s="6" t="s">
        <v>39</v>
      </c>
      <c r="D1421" s="6">
        <v>97181.0</v>
      </c>
      <c r="E1421" s="6" t="s">
        <v>77</v>
      </c>
      <c r="F1421" s="6" t="s">
        <v>61</v>
      </c>
      <c r="G1421" s="6" t="s">
        <v>31</v>
      </c>
      <c r="H1421" s="7">
        <v>944.0</v>
      </c>
      <c r="I1421" s="7">
        <v>8266.0</v>
      </c>
      <c r="J1421" s="6">
        <v>1974.0</v>
      </c>
      <c r="K1421" s="6">
        <v>28.0</v>
      </c>
      <c r="L1421" s="6" t="s">
        <v>32</v>
      </c>
      <c r="M1421" s="6" t="s">
        <v>5723</v>
      </c>
      <c r="N1421" s="6" t="s">
        <v>24</v>
      </c>
      <c r="O1421" s="6" t="s">
        <v>49</v>
      </c>
      <c r="P1421" s="6">
        <f>COUNTIF(Analysis!$M$1:$M$3001,Analysis!$M1421)</f>
        <v>1</v>
      </c>
      <c r="Q1421" s="6" t="str">
        <f>IF(COUNTIF(Analysis!$M$2:$M$3001,Analysis!$M1421)&gt;1,"Duplicate","OK")</f>
        <v>OK</v>
      </c>
      <c r="R1421" s="6" t="str">
        <f t="shared" si="1"/>
        <v>600-1600</v>
      </c>
      <c r="S1421" s="6">
        <f t="shared" si="2"/>
        <v>52</v>
      </c>
      <c r="T1421" s="6" t="str">
        <f t="shared" si="3"/>
        <v>Old</v>
      </c>
    </row>
    <row r="1422" ht="14.25" customHeight="1">
      <c r="A1422" s="5">
        <v>935900.0</v>
      </c>
      <c r="B1422" s="6" t="s">
        <v>5726</v>
      </c>
      <c r="C1422" s="6" t="s">
        <v>18</v>
      </c>
      <c r="D1422" s="6">
        <v>33686.0</v>
      </c>
      <c r="E1422" s="6" t="s">
        <v>40</v>
      </c>
      <c r="F1422" s="6" t="s">
        <v>20</v>
      </c>
      <c r="G1422" s="6" t="s">
        <v>31</v>
      </c>
      <c r="H1422" s="7">
        <v>2817.0</v>
      </c>
      <c r="I1422" s="7">
        <v>2411.0</v>
      </c>
      <c r="J1422" s="6">
        <v>2007.0</v>
      </c>
      <c r="K1422" s="6">
        <v>99.0</v>
      </c>
      <c r="L1422" s="6" t="s">
        <v>141</v>
      </c>
      <c r="M1422" s="6" t="s">
        <v>5727</v>
      </c>
      <c r="N1422" s="6" t="s">
        <v>43</v>
      </c>
      <c r="O1422" s="6" t="s">
        <v>25</v>
      </c>
      <c r="P1422" s="6">
        <f>COUNTIF(Analysis!$M$1:$M$3001,Analysis!$M1422)</f>
        <v>1</v>
      </c>
      <c r="Q1422" s="6" t="str">
        <f>IF(COUNTIF(Analysis!$M$2:$M$3001,Analysis!$M1422)&gt;1,"Duplicate","OK")</f>
        <v>OK</v>
      </c>
      <c r="R1422" s="6" t="str">
        <f t="shared" si="1"/>
        <v>2600-3600</v>
      </c>
      <c r="S1422" s="6">
        <f t="shared" si="2"/>
        <v>19</v>
      </c>
      <c r="T1422" s="6" t="str">
        <f t="shared" si="3"/>
        <v>Mid</v>
      </c>
    </row>
    <row r="1423" ht="14.25" customHeight="1">
      <c r="A1423" s="5">
        <v>792207.0</v>
      </c>
      <c r="B1423" s="6" t="s">
        <v>5730</v>
      </c>
      <c r="C1423" s="6" t="s">
        <v>39</v>
      </c>
      <c r="D1423" s="6">
        <v>91469.0</v>
      </c>
      <c r="E1423" s="6" t="s">
        <v>30</v>
      </c>
      <c r="F1423" s="6" t="s">
        <v>61</v>
      </c>
      <c r="G1423" s="6" t="s">
        <v>31</v>
      </c>
      <c r="H1423" s="7">
        <v>2567.0</v>
      </c>
      <c r="I1423" s="7">
        <v>1291.0</v>
      </c>
      <c r="J1423" s="6">
        <v>2001.0</v>
      </c>
      <c r="K1423" s="6">
        <v>93.0</v>
      </c>
      <c r="L1423" s="6" t="s">
        <v>32</v>
      </c>
      <c r="M1423" s="6" t="s">
        <v>5731</v>
      </c>
      <c r="N1423" s="6" t="s">
        <v>34</v>
      </c>
      <c r="O1423" s="6" t="s">
        <v>49</v>
      </c>
      <c r="P1423" s="6">
        <f>COUNTIF(Analysis!$M$1:$M$3001,Analysis!$M1423)</f>
        <v>1</v>
      </c>
      <c r="Q1423" s="6" t="str">
        <f>IF(COUNTIF(Analysis!$M$2:$M$3001,Analysis!$M1423)&gt;1,"Duplicate","OK")</f>
        <v>OK</v>
      </c>
      <c r="R1423" s="6" t="str">
        <f t="shared" si="1"/>
        <v>1600-2600</v>
      </c>
      <c r="S1423" s="6">
        <f t="shared" si="2"/>
        <v>25</v>
      </c>
      <c r="T1423" s="6" t="str">
        <f t="shared" si="3"/>
        <v>Mid</v>
      </c>
    </row>
    <row r="1424" ht="14.25" customHeight="1">
      <c r="A1424" s="5">
        <v>1034308.0</v>
      </c>
      <c r="B1424" s="6" t="s">
        <v>5734</v>
      </c>
      <c r="C1424" s="6" t="s">
        <v>53</v>
      </c>
      <c r="D1424" s="6">
        <v>78693.0</v>
      </c>
      <c r="E1424" s="6" t="s">
        <v>19</v>
      </c>
      <c r="F1424" s="6" t="s">
        <v>54</v>
      </c>
      <c r="G1424" s="6" t="s">
        <v>31</v>
      </c>
      <c r="H1424" s="7">
        <v>3895.0</v>
      </c>
      <c r="I1424" s="7">
        <v>9438.0</v>
      </c>
      <c r="J1424" s="6">
        <v>2001.0</v>
      </c>
      <c r="K1424" s="6">
        <v>49.0</v>
      </c>
      <c r="L1424" s="6" t="s">
        <v>32</v>
      </c>
      <c r="M1424" s="6" t="s">
        <v>5735</v>
      </c>
      <c r="N1424" s="6" t="s">
        <v>43</v>
      </c>
      <c r="O1424" s="6" t="s">
        <v>25</v>
      </c>
      <c r="P1424" s="6">
        <f>COUNTIF(Analysis!$M$1:$M$3001,Analysis!$M1424)</f>
        <v>1</v>
      </c>
      <c r="Q1424" s="6" t="str">
        <f>IF(COUNTIF(Analysis!$M$2:$M$3001,Analysis!$M1424)&gt;1,"Duplicate","OK")</f>
        <v>OK</v>
      </c>
      <c r="R1424" s="6" t="str">
        <f t="shared" si="1"/>
        <v>3600+</v>
      </c>
      <c r="S1424" s="6">
        <f t="shared" si="2"/>
        <v>25</v>
      </c>
      <c r="T1424" s="6" t="str">
        <f t="shared" si="3"/>
        <v>Mid</v>
      </c>
    </row>
    <row r="1425" ht="14.25" customHeight="1">
      <c r="A1425" s="5">
        <v>754651.0</v>
      </c>
      <c r="B1425" s="6" t="s">
        <v>5035</v>
      </c>
      <c r="C1425" s="6" t="s">
        <v>29</v>
      </c>
      <c r="D1425" s="6">
        <v>45750.0</v>
      </c>
      <c r="E1425" s="6" t="s">
        <v>19</v>
      </c>
      <c r="F1425" s="6" t="s">
        <v>20</v>
      </c>
      <c r="G1425" s="6" t="s">
        <v>21</v>
      </c>
      <c r="H1425" s="7">
        <v>1270.0</v>
      </c>
      <c r="I1425" s="7">
        <v>7033.0</v>
      </c>
      <c r="J1425" s="6">
        <v>2002.0</v>
      </c>
      <c r="K1425" s="6">
        <v>118.0</v>
      </c>
      <c r="L1425" s="6" t="s">
        <v>95</v>
      </c>
      <c r="M1425" s="6" t="s">
        <v>5036</v>
      </c>
      <c r="N1425" s="6" t="s">
        <v>43</v>
      </c>
      <c r="O1425" s="6" t="s">
        <v>49</v>
      </c>
      <c r="P1425" s="6">
        <f>COUNTIF(Analysis!$M$1:$M$3001,Analysis!$M1249)</f>
        <v>1</v>
      </c>
      <c r="Q1425" s="6" t="str">
        <f>IF(COUNTIF(Analysis!$M$2:$M$3001,Analysis!$M1249)&gt;1,"Duplicate","OK")</f>
        <v>OK</v>
      </c>
      <c r="R1425" s="6" t="str">
        <f t="shared" si="1"/>
        <v>600-1600</v>
      </c>
      <c r="S1425" s="6">
        <f t="shared" si="2"/>
        <v>24</v>
      </c>
      <c r="T1425" s="6" t="str">
        <f t="shared" si="3"/>
        <v>Mid</v>
      </c>
    </row>
    <row r="1426" ht="14.25" customHeight="1">
      <c r="A1426" s="5">
        <v>1225062.0</v>
      </c>
      <c r="B1426" s="6" t="s">
        <v>5742</v>
      </c>
      <c r="C1426" s="6" t="s">
        <v>53</v>
      </c>
      <c r="D1426" s="6">
        <v>39917.0</v>
      </c>
      <c r="E1426" s="6" t="s">
        <v>19</v>
      </c>
      <c r="F1426" s="6" t="s">
        <v>41</v>
      </c>
      <c r="G1426" s="6" t="s">
        <v>55</v>
      </c>
      <c r="H1426" s="7">
        <v>1398.0</v>
      </c>
      <c r="I1426" s="7">
        <v>3942.0</v>
      </c>
      <c r="J1426" s="6">
        <v>2019.0</v>
      </c>
      <c r="K1426" s="6">
        <v>112.0</v>
      </c>
      <c r="L1426" s="6" t="s">
        <v>141</v>
      </c>
      <c r="M1426" s="6" t="s">
        <v>5743</v>
      </c>
      <c r="N1426" s="6" t="s">
        <v>24</v>
      </c>
      <c r="O1426" s="6" t="s">
        <v>35</v>
      </c>
      <c r="P1426" s="6">
        <f>COUNTIF(Analysis!$M$1:$M$3001,Analysis!$M1426)</f>
        <v>1</v>
      </c>
      <c r="Q1426" s="6" t="str">
        <f>IF(COUNTIF(Analysis!$M$2:$M$3001,Analysis!$M1426)&gt;1,"Duplicate","OK")</f>
        <v>OK</v>
      </c>
      <c r="R1426" s="6" t="str">
        <f t="shared" si="1"/>
        <v>600-1600</v>
      </c>
      <c r="S1426" s="6">
        <f t="shared" si="2"/>
        <v>7</v>
      </c>
      <c r="T1426" s="6" t="str">
        <f t="shared" si="3"/>
        <v>New</v>
      </c>
    </row>
    <row r="1427" ht="14.25" customHeight="1">
      <c r="A1427" s="5">
        <v>756025.0</v>
      </c>
      <c r="B1427" s="6" t="s">
        <v>10323</v>
      </c>
      <c r="C1427" s="6" t="s">
        <v>29</v>
      </c>
      <c r="D1427" s="6">
        <v>39619.0</v>
      </c>
      <c r="E1427" s="6" t="s">
        <v>40</v>
      </c>
      <c r="F1427" s="6" t="s">
        <v>54</v>
      </c>
      <c r="G1427" s="6" t="s">
        <v>100</v>
      </c>
      <c r="H1427" s="7">
        <v>1824.0</v>
      </c>
      <c r="I1427" s="7">
        <v>2391.0</v>
      </c>
      <c r="J1427" s="6">
        <v>1970.0</v>
      </c>
      <c r="K1427" s="6">
        <v>14.0</v>
      </c>
      <c r="L1427" s="6" t="s">
        <v>32</v>
      </c>
      <c r="M1427" s="6" t="s">
        <v>10324</v>
      </c>
      <c r="N1427" s="6" t="s">
        <v>64</v>
      </c>
      <c r="O1427" s="6" t="s">
        <v>35</v>
      </c>
      <c r="P1427" s="6">
        <f>COUNTIF(Analysis!$M$1:$M$3001,Analysis!$M2572)</f>
        <v>1</v>
      </c>
      <c r="Q1427" s="6" t="str">
        <f>IF(COUNTIF(Analysis!$M$2:$M$3001,Analysis!$M2572)&gt;1,"Duplicate","OK")</f>
        <v>OK</v>
      </c>
      <c r="R1427" s="6" t="str">
        <f t="shared" si="1"/>
        <v>1600-2600</v>
      </c>
      <c r="S1427" s="6">
        <f t="shared" si="2"/>
        <v>56</v>
      </c>
      <c r="T1427" s="6" t="str">
        <f t="shared" si="3"/>
        <v>Old</v>
      </c>
    </row>
    <row r="1428" ht="14.25" customHeight="1">
      <c r="A1428" s="5">
        <v>757274.0</v>
      </c>
      <c r="B1428" s="6" t="s">
        <v>11239</v>
      </c>
      <c r="C1428" s="6" t="s">
        <v>29</v>
      </c>
      <c r="D1428" s="6">
        <v>88709.0</v>
      </c>
      <c r="E1428" s="6" t="s">
        <v>40</v>
      </c>
      <c r="F1428" s="6" t="s">
        <v>46</v>
      </c>
      <c r="G1428" s="6" t="s">
        <v>100</v>
      </c>
      <c r="H1428" s="7">
        <v>3579.0</v>
      </c>
      <c r="I1428" s="7">
        <v>1482.0</v>
      </c>
      <c r="J1428" s="6">
        <v>1956.0</v>
      </c>
      <c r="K1428" s="6">
        <v>23.0</v>
      </c>
      <c r="L1428" s="6" t="s">
        <v>22</v>
      </c>
      <c r="M1428" s="6" t="s">
        <v>11240</v>
      </c>
      <c r="N1428" s="6" t="s">
        <v>48</v>
      </c>
      <c r="O1428" s="6" t="s">
        <v>49</v>
      </c>
      <c r="P1428" s="6">
        <f>COUNTIF(Analysis!$M$1:$M$3001,Analysis!$M2801)</f>
        <v>1</v>
      </c>
      <c r="Q1428" s="6" t="str">
        <f>IF(COUNTIF(Analysis!$M$2:$M$3001,Analysis!$M2801)&gt;1,"Duplicate","OK")</f>
        <v>OK</v>
      </c>
      <c r="R1428" s="6" t="str">
        <f t="shared" si="1"/>
        <v>2600-3600</v>
      </c>
      <c r="S1428" s="6">
        <f t="shared" si="2"/>
        <v>70</v>
      </c>
      <c r="T1428" s="6" t="str">
        <f t="shared" si="3"/>
        <v>Very Old</v>
      </c>
    </row>
    <row r="1429" ht="14.25" customHeight="1">
      <c r="A1429" s="5">
        <v>761390.0</v>
      </c>
      <c r="B1429" s="6" t="s">
        <v>4163</v>
      </c>
      <c r="C1429" s="6" t="s">
        <v>29</v>
      </c>
      <c r="D1429" s="6">
        <v>63752.0</v>
      </c>
      <c r="E1429" s="6" t="s">
        <v>60</v>
      </c>
      <c r="F1429" s="6" t="s">
        <v>61</v>
      </c>
      <c r="G1429" s="6" t="s">
        <v>55</v>
      </c>
      <c r="H1429" s="7">
        <v>3312.0</v>
      </c>
      <c r="I1429" s="7">
        <v>1681.0</v>
      </c>
      <c r="J1429" s="6">
        <v>1984.0</v>
      </c>
      <c r="K1429" s="6">
        <v>17.0</v>
      </c>
      <c r="L1429" s="6" t="s">
        <v>95</v>
      </c>
      <c r="M1429" s="6" t="s">
        <v>4164</v>
      </c>
      <c r="N1429" s="6" t="s">
        <v>34</v>
      </c>
      <c r="O1429" s="6" t="s">
        <v>35</v>
      </c>
      <c r="P1429" s="6">
        <f>COUNTIF(Analysis!$M$1:$M$3001,Analysis!$M1031)</f>
        <v>1</v>
      </c>
      <c r="Q1429" s="6" t="str">
        <f>IF(COUNTIF(Analysis!$M$2:$M$3001,Analysis!$M1031)&gt;1,"Duplicate","OK")</f>
        <v>OK</v>
      </c>
      <c r="R1429" s="6" t="str">
        <f t="shared" si="1"/>
        <v>2600-3600</v>
      </c>
      <c r="S1429" s="6">
        <f t="shared" si="2"/>
        <v>42</v>
      </c>
      <c r="T1429" s="6" t="str">
        <f t="shared" si="3"/>
        <v>Old</v>
      </c>
    </row>
    <row r="1430" ht="14.25" customHeight="1">
      <c r="A1430" s="5">
        <v>975397.0</v>
      </c>
      <c r="B1430" s="6" t="s">
        <v>5758</v>
      </c>
      <c r="C1430" s="6" t="s">
        <v>76</v>
      </c>
      <c r="D1430" s="6">
        <v>33337.0</v>
      </c>
      <c r="E1430" s="6" t="s">
        <v>30</v>
      </c>
      <c r="F1430" s="6" t="s">
        <v>94</v>
      </c>
      <c r="G1430" s="6" t="s">
        <v>55</v>
      </c>
      <c r="H1430" s="7">
        <v>3359.0</v>
      </c>
      <c r="I1430" s="7">
        <v>2155.0</v>
      </c>
      <c r="J1430" s="6">
        <v>2003.0</v>
      </c>
      <c r="K1430" s="6">
        <v>81.0</v>
      </c>
      <c r="L1430" s="6" t="s">
        <v>95</v>
      </c>
      <c r="M1430" s="6" t="s">
        <v>5759</v>
      </c>
      <c r="N1430" s="6" t="s">
        <v>48</v>
      </c>
      <c r="O1430" s="6" t="s">
        <v>49</v>
      </c>
      <c r="P1430" s="6">
        <f>COUNTIF(Analysis!$M$1:$M$3001,Analysis!$M1430)</f>
        <v>1</v>
      </c>
      <c r="Q1430" s="6" t="str">
        <f>IF(COUNTIF(Analysis!$M$2:$M$3001,Analysis!$M1430)&gt;1,"Duplicate","OK")</f>
        <v>OK</v>
      </c>
      <c r="R1430" s="6" t="str">
        <f t="shared" si="1"/>
        <v>2600-3600</v>
      </c>
      <c r="S1430" s="6">
        <f t="shared" si="2"/>
        <v>23</v>
      </c>
      <c r="T1430" s="6" t="str">
        <f t="shared" si="3"/>
        <v>Mid</v>
      </c>
    </row>
    <row r="1431" ht="14.25" customHeight="1">
      <c r="A1431" s="5">
        <v>179425.0</v>
      </c>
      <c r="B1431" s="6" t="s">
        <v>5762</v>
      </c>
      <c r="C1431" s="6" t="s">
        <v>18</v>
      </c>
      <c r="D1431" s="6">
        <v>49965.0</v>
      </c>
      <c r="E1431" s="6" t="s">
        <v>40</v>
      </c>
      <c r="F1431" s="6" t="s">
        <v>54</v>
      </c>
      <c r="G1431" s="6" t="s">
        <v>55</v>
      </c>
      <c r="H1431" s="7">
        <v>2410.0</v>
      </c>
      <c r="I1431" s="7">
        <v>7419.0</v>
      </c>
      <c r="J1431" s="6">
        <v>2017.0</v>
      </c>
      <c r="K1431" s="6">
        <v>2.0</v>
      </c>
      <c r="L1431" s="6" t="s">
        <v>95</v>
      </c>
      <c r="M1431" s="6" t="s">
        <v>5763</v>
      </c>
      <c r="N1431" s="6" t="s">
        <v>43</v>
      </c>
      <c r="O1431" s="6" t="s">
        <v>49</v>
      </c>
      <c r="P1431" s="6">
        <f>COUNTIF(Analysis!$M$1:$M$3001,Analysis!$M1431)</f>
        <v>1</v>
      </c>
      <c r="Q1431" s="6" t="str">
        <f>IF(COUNTIF(Analysis!$M$2:$M$3001,Analysis!$M1431)&gt;1,"Duplicate","OK")</f>
        <v>OK</v>
      </c>
      <c r="R1431" s="6" t="str">
        <f t="shared" si="1"/>
        <v>1600-2600</v>
      </c>
      <c r="S1431" s="6">
        <f t="shared" si="2"/>
        <v>9</v>
      </c>
      <c r="T1431" s="6" t="str">
        <f t="shared" si="3"/>
        <v>New</v>
      </c>
    </row>
    <row r="1432" ht="14.25" customHeight="1">
      <c r="A1432" s="5">
        <v>761820.0</v>
      </c>
      <c r="B1432" s="6" t="s">
        <v>4495</v>
      </c>
      <c r="C1432" s="6" t="s">
        <v>29</v>
      </c>
      <c r="D1432" s="6">
        <v>15369.0</v>
      </c>
      <c r="E1432" s="6" t="s">
        <v>60</v>
      </c>
      <c r="F1432" s="6" t="s">
        <v>61</v>
      </c>
      <c r="G1432" s="6" t="s">
        <v>31</v>
      </c>
      <c r="H1432" s="7">
        <v>3059.0</v>
      </c>
      <c r="I1432" s="7">
        <v>9234.0</v>
      </c>
      <c r="J1432" s="6">
        <v>1975.0</v>
      </c>
      <c r="K1432" s="6">
        <v>15.0</v>
      </c>
      <c r="L1432" s="6" t="s">
        <v>62</v>
      </c>
      <c r="M1432" s="6" t="s">
        <v>4496</v>
      </c>
      <c r="N1432" s="6" t="s">
        <v>34</v>
      </c>
      <c r="O1432" s="6" t="s">
        <v>35</v>
      </c>
      <c r="P1432" s="6">
        <f>COUNTIF(Analysis!$M$1:$M$3001,Analysis!$M1114)</f>
        <v>1</v>
      </c>
      <c r="Q1432" s="6" t="str">
        <f>IF(COUNTIF(Analysis!$M$2:$M$3001,Analysis!$M1114)&gt;1,"Duplicate","OK")</f>
        <v>OK</v>
      </c>
      <c r="R1432" s="6" t="str">
        <f t="shared" si="1"/>
        <v>2600-3600</v>
      </c>
      <c r="S1432" s="6">
        <f t="shared" si="2"/>
        <v>51</v>
      </c>
      <c r="T1432" s="6" t="str">
        <f t="shared" si="3"/>
        <v>Old</v>
      </c>
    </row>
    <row r="1433" ht="14.25" customHeight="1">
      <c r="A1433" s="5">
        <v>1077300.0</v>
      </c>
      <c r="B1433" s="6" t="s">
        <v>5770</v>
      </c>
      <c r="C1433" s="6" t="s">
        <v>76</v>
      </c>
      <c r="D1433" s="6">
        <v>93937.0</v>
      </c>
      <c r="E1433" s="6" t="s">
        <v>60</v>
      </c>
      <c r="F1433" s="6" t="s">
        <v>54</v>
      </c>
      <c r="G1433" s="6" t="s">
        <v>55</v>
      </c>
      <c r="H1433" s="7">
        <v>3725.0</v>
      </c>
      <c r="I1433" s="7">
        <v>4599.0</v>
      </c>
      <c r="J1433" s="6">
        <v>1969.0</v>
      </c>
      <c r="K1433" s="6">
        <v>40.0</v>
      </c>
      <c r="L1433" s="6" t="s">
        <v>62</v>
      </c>
      <c r="M1433" s="6" t="s">
        <v>5771</v>
      </c>
      <c r="N1433" s="6" t="s">
        <v>48</v>
      </c>
      <c r="O1433" s="6" t="s">
        <v>25</v>
      </c>
      <c r="P1433" s="6">
        <f>COUNTIF(Analysis!$M$1:$M$3001,Analysis!$M1433)</f>
        <v>1</v>
      </c>
      <c r="Q1433" s="6" t="str">
        <f>IF(COUNTIF(Analysis!$M$2:$M$3001,Analysis!$M1433)&gt;1,"Duplicate","OK")</f>
        <v>OK</v>
      </c>
      <c r="R1433" s="6" t="str">
        <f t="shared" si="1"/>
        <v>3600+</v>
      </c>
      <c r="S1433" s="6">
        <f t="shared" si="2"/>
        <v>57</v>
      </c>
      <c r="T1433" s="6" t="str">
        <f t="shared" si="3"/>
        <v>Old</v>
      </c>
    </row>
    <row r="1434" ht="14.25" customHeight="1">
      <c r="A1434" s="5">
        <v>765124.0</v>
      </c>
      <c r="B1434" s="6" t="s">
        <v>9535</v>
      </c>
      <c r="C1434" s="6" t="s">
        <v>29</v>
      </c>
      <c r="D1434" s="6">
        <v>45404.0</v>
      </c>
      <c r="E1434" s="6" t="s">
        <v>40</v>
      </c>
      <c r="F1434" s="6" t="s">
        <v>41</v>
      </c>
      <c r="G1434" s="6" t="s">
        <v>100</v>
      </c>
      <c r="H1434" s="7">
        <v>2286.0</v>
      </c>
      <c r="I1434" s="7">
        <v>2669.0</v>
      </c>
      <c r="J1434" s="6">
        <v>1962.0</v>
      </c>
      <c r="K1434" s="6">
        <v>67.0</v>
      </c>
      <c r="L1434" s="6" t="s">
        <v>95</v>
      </c>
      <c r="M1434" s="6" t="s">
        <v>9536</v>
      </c>
      <c r="N1434" s="6" t="s">
        <v>48</v>
      </c>
      <c r="O1434" s="6" t="s">
        <v>25</v>
      </c>
      <c r="P1434" s="6">
        <f>COUNTIF(Analysis!$M$1:$M$3001,Analysis!$M2375)</f>
        <v>1</v>
      </c>
      <c r="Q1434" s="6" t="str">
        <f>IF(COUNTIF(Analysis!$M$2:$M$3001,Analysis!$M2375)&gt;1,"Duplicate","OK")</f>
        <v>OK</v>
      </c>
      <c r="R1434" s="6" t="str">
        <f t="shared" si="1"/>
        <v>1600-2600</v>
      </c>
      <c r="S1434" s="6">
        <f t="shared" si="2"/>
        <v>64</v>
      </c>
      <c r="T1434" s="6" t="str">
        <f t="shared" si="3"/>
        <v>Very Old</v>
      </c>
    </row>
    <row r="1435" ht="14.25" customHeight="1">
      <c r="A1435" s="5">
        <v>765276.0</v>
      </c>
      <c r="B1435" s="6" t="s">
        <v>397</v>
      </c>
      <c r="C1435" s="6" t="s">
        <v>29</v>
      </c>
      <c r="D1435" s="6">
        <v>55038.0</v>
      </c>
      <c r="E1435" s="6" t="s">
        <v>40</v>
      </c>
      <c r="F1435" s="6" t="s">
        <v>61</v>
      </c>
      <c r="G1435" s="6" t="s">
        <v>55</v>
      </c>
      <c r="H1435" s="7">
        <v>2415.0</v>
      </c>
      <c r="I1435" s="7">
        <v>6387.0</v>
      </c>
      <c r="J1435" s="6">
        <v>1950.0</v>
      </c>
      <c r="K1435" s="6">
        <v>50.0</v>
      </c>
      <c r="L1435" s="6" t="s">
        <v>141</v>
      </c>
      <c r="M1435" s="6" t="s">
        <v>398</v>
      </c>
      <c r="N1435" s="6" t="s">
        <v>34</v>
      </c>
      <c r="O1435" s="6" t="s">
        <v>49</v>
      </c>
      <c r="P1435" s="6">
        <f>COUNTIF(Analysis!$M$1:$M$3001,Analysis!$M89)</f>
        <v>1</v>
      </c>
      <c r="Q1435" s="6" t="str">
        <f>IF(COUNTIF(Analysis!$M$2:$M$3001,Analysis!$M89)&gt;1,"Duplicate","OK")</f>
        <v>OK</v>
      </c>
      <c r="R1435" s="6" t="str">
        <f t="shared" si="1"/>
        <v>1600-2600</v>
      </c>
      <c r="S1435" s="6">
        <f t="shared" si="2"/>
        <v>76</v>
      </c>
      <c r="T1435" s="6" t="str">
        <f t="shared" si="3"/>
        <v>Very Old</v>
      </c>
    </row>
    <row r="1436" ht="14.25" customHeight="1">
      <c r="A1436" s="5">
        <v>292506.0</v>
      </c>
      <c r="B1436" s="6" t="s">
        <v>5782</v>
      </c>
      <c r="C1436" s="6" t="s">
        <v>53</v>
      </c>
      <c r="D1436" s="6">
        <v>88468.0</v>
      </c>
      <c r="E1436" s="6" t="s">
        <v>19</v>
      </c>
      <c r="F1436" s="6" t="s">
        <v>61</v>
      </c>
      <c r="G1436" s="6" t="s">
        <v>55</v>
      </c>
      <c r="H1436" s="7">
        <v>675.0</v>
      </c>
      <c r="I1436" s="7">
        <v>4885.0</v>
      </c>
      <c r="J1436" s="6">
        <v>2014.0</v>
      </c>
      <c r="K1436" s="6">
        <v>53.0</v>
      </c>
      <c r="L1436" s="6" t="s">
        <v>22</v>
      </c>
      <c r="M1436" s="6" t="s">
        <v>5783</v>
      </c>
      <c r="N1436" s="6" t="s">
        <v>34</v>
      </c>
      <c r="O1436" s="6" t="s">
        <v>49</v>
      </c>
      <c r="P1436" s="6">
        <f>COUNTIF(Analysis!$M$1:$M$3001,Analysis!$M1436)</f>
        <v>1</v>
      </c>
      <c r="Q1436" s="6" t="str">
        <f>IF(COUNTIF(Analysis!$M$2:$M$3001,Analysis!$M1436)&gt;1,"Duplicate","OK")</f>
        <v>OK</v>
      </c>
      <c r="R1436" s="6" t="str">
        <f t="shared" si="1"/>
        <v>600-1600</v>
      </c>
      <c r="S1436" s="6">
        <f t="shared" si="2"/>
        <v>12</v>
      </c>
      <c r="T1436" s="6" t="str">
        <f t="shared" si="3"/>
        <v>Mid</v>
      </c>
    </row>
    <row r="1437" ht="14.25" customHeight="1">
      <c r="A1437" s="5">
        <v>1334871.0</v>
      </c>
      <c r="B1437" s="6" t="s">
        <v>5786</v>
      </c>
      <c r="C1437" s="6" t="s">
        <v>76</v>
      </c>
      <c r="D1437" s="6">
        <v>33913.0</v>
      </c>
      <c r="E1437" s="6" t="s">
        <v>30</v>
      </c>
      <c r="F1437" s="6" t="s">
        <v>94</v>
      </c>
      <c r="G1437" s="6" t="s">
        <v>21</v>
      </c>
      <c r="H1437" s="7">
        <v>1795.0</v>
      </c>
      <c r="I1437" s="7">
        <v>4696.0</v>
      </c>
      <c r="J1437" s="6">
        <v>1993.0</v>
      </c>
      <c r="K1437" s="6">
        <v>26.0</v>
      </c>
      <c r="L1437" s="6" t="s">
        <v>22</v>
      </c>
      <c r="M1437" s="6" t="s">
        <v>5787</v>
      </c>
      <c r="N1437" s="6" t="s">
        <v>34</v>
      </c>
      <c r="O1437" s="6" t="s">
        <v>25</v>
      </c>
      <c r="P1437" s="6">
        <f>COUNTIF(Analysis!$M$1:$M$3001,Analysis!$M1437)</f>
        <v>1</v>
      </c>
      <c r="Q1437" s="6" t="str">
        <f>IF(COUNTIF(Analysis!$M$2:$M$3001,Analysis!$M1437)&gt;1,"Duplicate","OK")</f>
        <v>OK</v>
      </c>
      <c r="R1437" s="6" t="str">
        <f t="shared" si="1"/>
        <v>1600-2600</v>
      </c>
      <c r="S1437" s="6">
        <f t="shared" si="2"/>
        <v>33</v>
      </c>
      <c r="T1437" s="6" t="str">
        <f t="shared" si="3"/>
        <v>Old</v>
      </c>
    </row>
    <row r="1438" ht="14.25" customHeight="1">
      <c r="A1438" s="5">
        <v>1359613.0</v>
      </c>
      <c r="B1438" s="6" t="s">
        <v>5790</v>
      </c>
      <c r="C1438" s="6" t="s">
        <v>76</v>
      </c>
      <c r="D1438" s="6">
        <v>38037.0</v>
      </c>
      <c r="E1438" s="6" t="s">
        <v>40</v>
      </c>
      <c r="F1438" s="6" t="s">
        <v>61</v>
      </c>
      <c r="G1438" s="6" t="s">
        <v>100</v>
      </c>
      <c r="H1438" s="7">
        <v>3881.0</v>
      </c>
      <c r="I1438" s="7">
        <v>1630.0</v>
      </c>
      <c r="J1438" s="6">
        <v>1975.0</v>
      </c>
      <c r="K1438" s="6">
        <v>84.0</v>
      </c>
      <c r="L1438" s="6" t="s">
        <v>95</v>
      </c>
      <c r="M1438" s="6" t="s">
        <v>5791</v>
      </c>
      <c r="N1438" s="6" t="s">
        <v>48</v>
      </c>
      <c r="O1438" s="6" t="s">
        <v>35</v>
      </c>
      <c r="P1438" s="6">
        <f>COUNTIF(Analysis!$M$1:$M$3001,Analysis!$M1438)</f>
        <v>1</v>
      </c>
      <c r="Q1438" s="6" t="str">
        <f>IF(COUNTIF(Analysis!$M$2:$M$3001,Analysis!$M1438)&gt;1,"Duplicate","OK")</f>
        <v>OK</v>
      </c>
      <c r="R1438" s="6" t="str">
        <f t="shared" si="1"/>
        <v>3600+</v>
      </c>
      <c r="S1438" s="6">
        <f t="shared" si="2"/>
        <v>51</v>
      </c>
      <c r="T1438" s="6" t="str">
        <f t="shared" si="3"/>
        <v>Old</v>
      </c>
    </row>
    <row r="1439" ht="14.25" customHeight="1">
      <c r="A1439" s="5">
        <v>1061821.0</v>
      </c>
      <c r="B1439" s="6" t="s">
        <v>5794</v>
      </c>
      <c r="C1439" s="6" t="s">
        <v>39</v>
      </c>
      <c r="D1439" s="6">
        <v>23444.0</v>
      </c>
      <c r="E1439" s="6" t="s">
        <v>19</v>
      </c>
      <c r="F1439" s="6" t="s">
        <v>41</v>
      </c>
      <c r="G1439" s="6" t="s">
        <v>100</v>
      </c>
      <c r="H1439" s="7">
        <v>3101.0</v>
      </c>
      <c r="I1439" s="7">
        <v>8967.0</v>
      </c>
      <c r="J1439" s="6">
        <v>1990.0</v>
      </c>
      <c r="K1439" s="6">
        <v>92.0</v>
      </c>
      <c r="L1439" s="6" t="s">
        <v>141</v>
      </c>
      <c r="M1439" s="6" t="s">
        <v>5795</v>
      </c>
      <c r="N1439" s="6" t="s">
        <v>34</v>
      </c>
      <c r="O1439" s="6" t="s">
        <v>25</v>
      </c>
      <c r="P1439" s="6">
        <f>COUNTIF(Analysis!$M$1:$M$3001,Analysis!$M1439)</f>
        <v>1</v>
      </c>
      <c r="Q1439" s="6" t="str">
        <f>IF(COUNTIF(Analysis!$M$2:$M$3001,Analysis!$M1439)&gt;1,"Duplicate","OK")</f>
        <v>OK</v>
      </c>
      <c r="R1439" s="6" t="str">
        <f t="shared" si="1"/>
        <v>2600-3600</v>
      </c>
      <c r="S1439" s="6">
        <f t="shared" si="2"/>
        <v>36</v>
      </c>
      <c r="T1439" s="6" t="str">
        <f t="shared" si="3"/>
        <v>Old</v>
      </c>
    </row>
    <row r="1440" ht="14.25" customHeight="1">
      <c r="A1440" s="5">
        <v>630286.0</v>
      </c>
      <c r="B1440" s="6" t="s">
        <v>5798</v>
      </c>
      <c r="C1440" s="6" t="s">
        <v>39</v>
      </c>
      <c r="D1440" s="6">
        <v>75342.0</v>
      </c>
      <c r="E1440" s="6" t="s">
        <v>60</v>
      </c>
      <c r="F1440" s="6" t="s">
        <v>46</v>
      </c>
      <c r="G1440" s="6" t="s">
        <v>31</v>
      </c>
      <c r="H1440" s="7">
        <v>1326.0</v>
      </c>
      <c r="I1440" s="7">
        <v>5711.0</v>
      </c>
      <c r="J1440" s="6">
        <v>1975.0</v>
      </c>
      <c r="K1440" s="6">
        <v>18.0</v>
      </c>
      <c r="L1440" s="6" t="s">
        <v>32</v>
      </c>
      <c r="M1440" s="6" t="s">
        <v>5799</v>
      </c>
      <c r="N1440" s="6" t="s">
        <v>34</v>
      </c>
      <c r="O1440" s="6" t="s">
        <v>35</v>
      </c>
      <c r="P1440" s="6">
        <f>COUNTIF(Analysis!$M$1:$M$3001,Analysis!$M1440)</f>
        <v>1</v>
      </c>
      <c r="Q1440" s="6" t="str">
        <f>IF(COUNTIF(Analysis!$M$2:$M$3001,Analysis!$M1440)&gt;1,"Duplicate","OK")</f>
        <v>OK</v>
      </c>
      <c r="R1440" s="6" t="str">
        <f t="shared" si="1"/>
        <v>600-1600</v>
      </c>
      <c r="S1440" s="6">
        <f t="shared" si="2"/>
        <v>51</v>
      </c>
      <c r="T1440" s="6" t="str">
        <f t="shared" si="3"/>
        <v>Old</v>
      </c>
    </row>
    <row r="1441" ht="14.25" customHeight="1">
      <c r="A1441" s="5">
        <v>766154.0</v>
      </c>
      <c r="B1441" s="6" t="s">
        <v>7617</v>
      </c>
      <c r="C1441" s="6" t="s">
        <v>29</v>
      </c>
      <c r="D1441" s="6">
        <v>41583.0</v>
      </c>
      <c r="E1441" s="6" t="s">
        <v>60</v>
      </c>
      <c r="F1441" s="6" t="s">
        <v>46</v>
      </c>
      <c r="G1441" s="6" t="s">
        <v>31</v>
      </c>
      <c r="H1441" s="7">
        <v>884.0</v>
      </c>
      <c r="I1441" s="7">
        <v>4582.0</v>
      </c>
      <c r="J1441" s="6">
        <v>1953.0</v>
      </c>
      <c r="K1441" s="6">
        <v>12.0</v>
      </c>
      <c r="L1441" s="6" t="s">
        <v>22</v>
      </c>
      <c r="M1441" s="6" t="s">
        <v>7618</v>
      </c>
      <c r="N1441" s="6" t="s">
        <v>34</v>
      </c>
      <c r="O1441" s="6" t="s">
        <v>35</v>
      </c>
      <c r="P1441" s="6">
        <f>COUNTIF(Analysis!$M$1:$M$3001,Analysis!$M1895)</f>
        <v>1</v>
      </c>
      <c r="Q1441" s="6" t="str">
        <f>IF(COUNTIF(Analysis!$M$2:$M$3001,Analysis!$M1895)&gt;1,"Duplicate","OK")</f>
        <v>OK</v>
      </c>
      <c r="R1441" s="6" t="str">
        <f t="shared" si="1"/>
        <v>600-1600</v>
      </c>
      <c r="S1441" s="6">
        <f t="shared" si="2"/>
        <v>73</v>
      </c>
      <c r="T1441" s="6" t="str">
        <f t="shared" si="3"/>
        <v>Very Old</v>
      </c>
    </row>
    <row r="1442" ht="14.25" customHeight="1">
      <c r="A1442" s="5">
        <v>605221.0</v>
      </c>
      <c r="B1442" s="6" t="s">
        <v>5806</v>
      </c>
      <c r="C1442" s="6" t="s">
        <v>39</v>
      </c>
      <c r="D1442" s="6">
        <v>60800.0</v>
      </c>
      <c r="E1442" s="6" t="s">
        <v>60</v>
      </c>
      <c r="F1442" s="6" t="s">
        <v>20</v>
      </c>
      <c r="G1442" s="6" t="s">
        <v>31</v>
      </c>
      <c r="H1442" s="7">
        <v>1737.0</v>
      </c>
      <c r="I1442" s="7">
        <v>5672.0</v>
      </c>
      <c r="J1442" s="6">
        <v>1956.0</v>
      </c>
      <c r="K1442" s="6">
        <v>17.0</v>
      </c>
      <c r="L1442" s="6" t="s">
        <v>32</v>
      </c>
      <c r="M1442" s="6" t="s">
        <v>5807</v>
      </c>
      <c r="N1442" s="6" t="s">
        <v>34</v>
      </c>
      <c r="O1442" s="6" t="s">
        <v>49</v>
      </c>
      <c r="P1442" s="6">
        <f>COUNTIF(Analysis!$M$1:$M$3001,Analysis!$M1442)</f>
        <v>1</v>
      </c>
      <c r="Q1442" s="6" t="str">
        <f>IF(COUNTIF(Analysis!$M$2:$M$3001,Analysis!$M1442)&gt;1,"Duplicate","OK")</f>
        <v>OK</v>
      </c>
      <c r="R1442" s="6" t="str">
        <f t="shared" si="1"/>
        <v>1600-2600</v>
      </c>
      <c r="S1442" s="6">
        <f t="shared" si="2"/>
        <v>70</v>
      </c>
      <c r="T1442" s="6" t="str">
        <f t="shared" si="3"/>
        <v>Very Old</v>
      </c>
    </row>
    <row r="1443" ht="14.25" customHeight="1">
      <c r="A1443" s="5">
        <v>446674.0</v>
      </c>
      <c r="B1443" s="6" t="s">
        <v>5810</v>
      </c>
      <c r="C1443" s="6" t="s">
        <v>53</v>
      </c>
      <c r="D1443" s="6">
        <v>98485.0</v>
      </c>
      <c r="E1443" s="6" t="s">
        <v>40</v>
      </c>
      <c r="F1443" s="6" t="s">
        <v>54</v>
      </c>
      <c r="G1443" s="6" t="s">
        <v>21</v>
      </c>
      <c r="H1443" s="7">
        <v>2460.0</v>
      </c>
      <c r="I1443" s="7">
        <v>9623.0</v>
      </c>
      <c r="J1443" s="6">
        <v>1974.0</v>
      </c>
      <c r="K1443" s="6">
        <v>4.0</v>
      </c>
      <c r="L1443" s="6" t="s">
        <v>141</v>
      </c>
      <c r="M1443" s="6" t="s">
        <v>5811</v>
      </c>
      <c r="N1443" s="6" t="s">
        <v>24</v>
      </c>
      <c r="O1443" s="6" t="s">
        <v>35</v>
      </c>
      <c r="P1443" s="6">
        <f>COUNTIF(Analysis!$M$1:$M$3001,Analysis!$M1443)</f>
        <v>1</v>
      </c>
      <c r="Q1443" s="6" t="str">
        <f>IF(COUNTIF(Analysis!$M$2:$M$3001,Analysis!$M1443)&gt;1,"Duplicate","OK")</f>
        <v>OK</v>
      </c>
      <c r="R1443" s="6" t="str">
        <f t="shared" si="1"/>
        <v>1600-2600</v>
      </c>
      <c r="S1443" s="6">
        <f t="shared" si="2"/>
        <v>52</v>
      </c>
      <c r="T1443" s="6" t="str">
        <f t="shared" si="3"/>
        <v>Old</v>
      </c>
    </row>
    <row r="1444" ht="14.25" customHeight="1">
      <c r="A1444" s="5">
        <v>993686.0</v>
      </c>
      <c r="B1444" s="6" t="s">
        <v>5814</v>
      </c>
      <c r="C1444" s="6" t="s">
        <v>76</v>
      </c>
      <c r="D1444" s="6">
        <v>79458.0</v>
      </c>
      <c r="E1444" s="6" t="s">
        <v>40</v>
      </c>
      <c r="F1444" s="6" t="s">
        <v>41</v>
      </c>
      <c r="G1444" s="6" t="s">
        <v>31</v>
      </c>
      <c r="H1444" s="7">
        <v>2622.0</v>
      </c>
      <c r="I1444" s="7">
        <v>6419.0</v>
      </c>
      <c r="J1444" s="6">
        <v>1952.0</v>
      </c>
      <c r="K1444" s="6">
        <v>101.0</v>
      </c>
      <c r="L1444" s="6" t="s">
        <v>141</v>
      </c>
      <c r="M1444" s="6" t="s">
        <v>5815</v>
      </c>
      <c r="N1444" s="6" t="s">
        <v>24</v>
      </c>
      <c r="O1444" s="6" t="s">
        <v>35</v>
      </c>
      <c r="P1444" s="6">
        <f>COUNTIF(Analysis!$M$1:$M$3001,Analysis!$M1444)</f>
        <v>1</v>
      </c>
      <c r="Q1444" s="6" t="str">
        <f>IF(COUNTIF(Analysis!$M$2:$M$3001,Analysis!$M1444)&gt;1,"Duplicate","OK")</f>
        <v>OK</v>
      </c>
      <c r="R1444" s="6" t="str">
        <f t="shared" si="1"/>
        <v>2600-3600</v>
      </c>
      <c r="S1444" s="6">
        <f t="shared" si="2"/>
        <v>74</v>
      </c>
      <c r="T1444" s="6" t="str">
        <f t="shared" si="3"/>
        <v>Very Old</v>
      </c>
    </row>
    <row r="1445" ht="14.25" customHeight="1">
      <c r="A1445" s="5">
        <v>226693.0</v>
      </c>
      <c r="B1445" s="6" t="s">
        <v>5818</v>
      </c>
      <c r="C1445" s="6" t="s">
        <v>39</v>
      </c>
      <c r="D1445" s="6">
        <v>53695.0</v>
      </c>
      <c r="E1445" s="6" t="s">
        <v>40</v>
      </c>
      <c r="F1445" s="6" t="s">
        <v>41</v>
      </c>
      <c r="G1445" s="6" t="s">
        <v>21</v>
      </c>
      <c r="H1445" s="7">
        <v>1711.0</v>
      </c>
      <c r="I1445" s="7">
        <v>7598.0</v>
      </c>
      <c r="J1445" s="6">
        <v>1963.0</v>
      </c>
      <c r="K1445" s="6">
        <v>104.0</v>
      </c>
      <c r="L1445" s="6" t="s">
        <v>141</v>
      </c>
      <c r="M1445" s="6" t="s">
        <v>5819</v>
      </c>
      <c r="N1445" s="6" t="s">
        <v>34</v>
      </c>
      <c r="O1445" s="6" t="s">
        <v>35</v>
      </c>
      <c r="P1445" s="6">
        <f>COUNTIF(Analysis!$M$1:$M$3001,Analysis!$M1445)</f>
        <v>1</v>
      </c>
      <c r="Q1445" s="6" t="str">
        <f>IF(COUNTIF(Analysis!$M$2:$M$3001,Analysis!$M1445)&gt;1,"Duplicate","OK")</f>
        <v>OK</v>
      </c>
      <c r="R1445" s="6" t="str">
        <f t="shared" si="1"/>
        <v>1600-2600</v>
      </c>
      <c r="S1445" s="6">
        <f t="shared" si="2"/>
        <v>63</v>
      </c>
      <c r="T1445" s="6" t="str">
        <f t="shared" si="3"/>
        <v>Very Old</v>
      </c>
    </row>
    <row r="1446" ht="14.25" customHeight="1">
      <c r="A1446" s="5">
        <v>1319712.0</v>
      </c>
      <c r="B1446" s="6" t="s">
        <v>5822</v>
      </c>
      <c r="C1446" s="6" t="s">
        <v>76</v>
      </c>
      <c r="D1446" s="6">
        <v>31676.0</v>
      </c>
      <c r="E1446" s="6" t="s">
        <v>77</v>
      </c>
      <c r="F1446" s="6" t="s">
        <v>94</v>
      </c>
      <c r="G1446" s="6" t="s">
        <v>100</v>
      </c>
      <c r="H1446" s="7">
        <v>3909.0</v>
      </c>
      <c r="I1446" s="7">
        <v>3685.0</v>
      </c>
      <c r="J1446" s="6">
        <v>1979.0</v>
      </c>
      <c r="K1446" s="6">
        <v>3.0</v>
      </c>
      <c r="L1446" s="6" t="s">
        <v>95</v>
      </c>
      <c r="M1446" s="6" t="s">
        <v>5823</v>
      </c>
      <c r="N1446" s="6" t="s">
        <v>34</v>
      </c>
      <c r="O1446" s="6" t="s">
        <v>49</v>
      </c>
      <c r="P1446" s="6">
        <f>COUNTIF(Analysis!$M$1:$M$3001,Analysis!$M1446)</f>
        <v>1</v>
      </c>
      <c r="Q1446" s="6" t="str">
        <f>IF(COUNTIF(Analysis!$M$2:$M$3001,Analysis!$M1446)&gt;1,"Duplicate","OK")</f>
        <v>OK</v>
      </c>
      <c r="R1446" s="6" t="str">
        <f t="shared" si="1"/>
        <v>3600+</v>
      </c>
      <c r="S1446" s="6">
        <f t="shared" si="2"/>
        <v>47</v>
      </c>
      <c r="T1446" s="6" t="str">
        <f t="shared" si="3"/>
        <v>Old</v>
      </c>
    </row>
    <row r="1447" ht="14.25" customHeight="1">
      <c r="A1447" s="5">
        <v>1288890.0</v>
      </c>
      <c r="B1447" s="6" t="s">
        <v>5826</v>
      </c>
      <c r="C1447" s="6" t="s">
        <v>53</v>
      </c>
      <c r="D1447" s="6">
        <v>72493.0</v>
      </c>
      <c r="E1447" s="6" t="s">
        <v>40</v>
      </c>
      <c r="F1447" s="6" t="s">
        <v>41</v>
      </c>
      <c r="G1447" s="6" t="s">
        <v>55</v>
      </c>
      <c r="H1447" s="7">
        <v>1395.0</v>
      </c>
      <c r="I1447" s="7">
        <v>8559.0</v>
      </c>
      <c r="J1447" s="6">
        <v>1956.0</v>
      </c>
      <c r="K1447" s="6">
        <v>74.0</v>
      </c>
      <c r="L1447" s="6" t="s">
        <v>22</v>
      </c>
      <c r="M1447" s="6" t="s">
        <v>5827</v>
      </c>
      <c r="N1447" s="6" t="s">
        <v>24</v>
      </c>
      <c r="O1447" s="6" t="s">
        <v>49</v>
      </c>
      <c r="P1447" s="6">
        <f>COUNTIF(Analysis!$M$1:$M$3001,Analysis!$M1447)</f>
        <v>1</v>
      </c>
      <c r="Q1447" s="6" t="str">
        <f>IF(COUNTIF(Analysis!$M$2:$M$3001,Analysis!$M1447)&gt;1,"Duplicate","OK")</f>
        <v>OK</v>
      </c>
      <c r="R1447" s="6" t="str">
        <f t="shared" si="1"/>
        <v>600-1600</v>
      </c>
      <c r="S1447" s="6">
        <f t="shared" si="2"/>
        <v>70</v>
      </c>
      <c r="T1447" s="6" t="str">
        <f t="shared" si="3"/>
        <v>Very Old</v>
      </c>
    </row>
    <row r="1448" ht="14.25" customHeight="1">
      <c r="A1448" s="5">
        <v>956034.0</v>
      </c>
      <c r="B1448" s="6" t="s">
        <v>5830</v>
      </c>
      <c r="C1448" s="6" t="s">
        <v>18</v>
      </c>
      <c r="D1448" s="6">
        <v>77866.0</v>
      </c>
      <c r="E1448" s="6" t="s">
        <v>19</v>
      </c>
      <c r="F1448" s="6" t="s">
        <v>20</v>
      </c>
      <c r="G1448" s="6" t="s">
        <v>100</v>
      </c>
      <c r="H1448" s="7">
        <v>674.0</v>
      </c>
      <c r="I1448" s="7">
        <v>6448.0</v>
      </c>
      <c r="J1448" s="6">
        <v>1993.0</v>
      </c>
      <c r="K1448" s="6">
        <v>87.0</v>
      </c>
      <c r="L1448" s="6" t="s">
        <v>62</v>
      </c>
      <c r="M1448" s="6" t="s">
        <v>5831</v>
      </c>
      <c r="N1448" s="6" t="s">
        <v>24</v>
      </c>
      <c r="O1448" s="6" t="s">
        <v>25</v>
      </c>
      <c r="P1448" s="6">
        <f>COUNTIF(Analysis!$M$1:$M$3001,Analysis!$M1448)</f>
        <v>1</v>
      </c>
      <c r="Q1448" s="6" t="str">
        <f>IF(COUNTIF(Analysis!$M$2:$M$3001,Analysis!$M1448)&gt;1,"Duplicate","OK")</f>
        <v>OK</v>
      </c>
      <c r="R1448" s="6" t="str">
        <f t="shared" si="1"/>
        <v>600-1600</v>
      </c>
      <c r="S1448" s="6">
        <f t="shared" si="2"/>
        <v>33</v>
      </c>
      <c r="T1448" s="6" t="str">
        <f t="shared" si="3"/>
        <v>Old</v>
      </c>
    </row>
    <row r="1449" ht="14.25" customHeight="1">
      <c r="A1449" s="5">
        <v>520950.0</v>
      </c>
      <c r="B1449" s="6" t="s">
        <v>5834</v>
      </c>
      <c r="C1449" s="6" t="s">
        <v>76</v>
      </c>
      <c r="D1449" s="6">
        <v>30651.0</v>
      </c>
      <c r="E1449" s="6" t="s">
        <v>19</v>
      </c>
      <c r="F1449" s="6" t="s">
        <v>20</v>
      </c>
      <c r="G1449" s="6" t="s">
        <v>55</v>
      </c>
      <c r="H1449" s="7">
        <v>2231.0</v>
      </c>
      <c r="I1449" s="7">
        <v>3274.0</v>
      </c>
      <c r="J1449" s="6">
        <v>1973.0</v>
      </c>
      <c r="K1449" s="6">
        <v>36.0</v>
      </c>
      <c r="L1449" s="6" t="s">
        <v>62</v>
      </c>
      <c r="M1449" s="6" t="s">
        <v>5835</v>
      </c>
      <c r="N1449" s="6" t="s">
        <v>64</v>
      </c>
      <c r="O1449" s="6" t="s">
        <v>35</v>
      </c>
      <c r="P1449" s="6">
        <f>COUNTIF(Analysis!$M$1:$M$3001,Analysis!$M1449)</f>
        <v>1</v>
      </c>
      <c r="Q1449" s="6" t="str">
        <f>IF(COUNTIF(Analysis!$M$2:$M$3001,Analysis!$M1449)&gt;1,"Duplicate","OK")</f>
        <v>OK</v>
      </c>
      <c r="R1449" s="6" t="str">
        <f t="shared" si="1"/>
        <v>1600-2600</v>
      </c>
      <c r="S1449" s="6">
        <f t="shared" si="2"/>
        <v>53</v>
      </c>
      <c r="T1449" s="6" t="str">
        <f t="shared" si="3"/>
        <v>Old</v>
      </c>
    </row>
    <row r="1450" ht="14.25" customHeight="1">
      <c r="A1450" s="5">
        <v>142594.0</v>
      </c>
      <c r="B1450" s="6" t="s">
        <v>5838</v>
      </c>
      <c r="C1450" s="6" t="s">
        <v>18</v>
      </c>
      <c r="D1450" s="6">
        <v>48533.0</v>
      </c>
      <c r="E1450" s="6" t="s">
        <v>19</v>
      </c>
      <c r="F1450" s="6" t="s">
        <v>46</v>
      </c>
      <c r="G1450" s="6" t="s">
        <v>55</v>
      </c>
      <c r="H1450" s="7">
        <v>1449.0</v>
      </c>
      <c r="I1450" s="7">
        <v>4605.0</v>
      </c>
      <c r="J1450" s="6">
        <v>1995.0</v>
      </c>
      <c r="K1450" s="6">
        <v>80.0</v>
      </c>
      <c r="L1450" s="6" t="s">
        <v>95</v>
      </c>
      <c r="M1450" s="6" t="s">
        <v>5839</v>
      </c>
      <c r="N1450" s="6" t="s">
        <v>24</v>
      </c>
      <c r="O1450" s="6" t="s">
        <v>25</v>
      </c>
      <c r="P1450" s="6">
        <f>COUNTIF(Analysis!$M$1:$M$3001,Analysis!$M1450)</f>
        <v>1</v>
      </c>
      <c r="Q1450" s="6" t="str">
        <f>IF(COUNTIF(Analysis!$M$2:$M$3001,Analysis!$M1450)&gt;1,"Duplicate","OK")</f>
        <v>OK</v>
      </c>
      <c r="R1450" s="6" t="str">
        <f t="shared" si="1"/>
        <v>600-1600</v>
      </c>
      <c r="S1450" s="6">
        <f t="shared" si="2"/>
        <v>31</v>
      </c>
      <c r="T1450" s="6" t="str">
        <f t="shared" si="3"/>
        <v>Old</v>
      </c>
    </row>
    <row r="1451" ht="14.25" customHeight="1">
      <c r="A1451" s="5">
        <v>770157.0</v>
      </c>
      <c r="B1451" s="6" t="s">
        <v>9351</v>
      </c>
      <c r="C1451" s="6" t="s">
        <v>29</v>
      </c>
      <c r="D1451" s="6">
        <v>69983.0</v>
      </c>
      <c r="E1451" s="6" t="s">
        <v>40</v>
      </c>
      <c r="F1451" s="6" t="s">
        <v>94</v>
      </c>
      <c r="G1451" s="6" t="s">
        <v>100</v>
      </c>
      <c r="H1451" s="7">
        <v>2923.0</v>
      </c>
      <c r="I1451" s="7">
        <v>3343.0</v>
      </c>
      <c r="J1451" s="6">
        <v>2011.0</v>
      </c>
      <c r="K1451" s="6">
        <v>68.0</v>
      </c>
      <c r="L1451" s="6" t="s">
        <v>141</v>
      </c>
      <c r="M1451" s="6" t="s">
        <v>9352</v>
      </c>
      <c r="N1451" s="6" t="s">
        <v>24</v>
      </c>
      <c r="O1451" s="6" t="s">
        <v>25</v>
      </c>
      <c r="P1451" s="6">
        <f>COUNTIF(Analysis!$M$1:$M$3001,Analysis!$M2329)</f>
        <v>1</v>
      </c>
      <c r="Q1451" s="6" t="str">
        <f>IF(COUNTIF(Analysis!$M$2:$M$3001,Analysis!$M2329)&gt;1,"Duplicate","OK")</f>
        <v>OK</v>
      </c>
      <c r="R1451" s="6" t="str">
        <f t="shared" si="1"/>
        <v>2600-3600</v>
      </c>
      <c r="S1451" s="6">
        <f t="shared" si="2"/>
        <v>15</v>
      </c>
      <c r="T1451" s="6" t="str">
        <f t="shared" si="3"/>
        <v>Mid</v>
      </c>
    </row>
    <row r="1452" ht="14.25" customHeight="1">
      <c r="A1452" s="5">
        <v>770630.0</v>
      </c>
      <c r="B1452" s="6" t="s">
        <v>7621</v>
      </c>
      <c r="C1452" s="6" t="s">
        <v>29</v>
      </c>
      <c r="D1452" s="6">
        <v>17167.0</v>
      </c>
      <c r="E1452" s="6" t="s">
        <v>30</v>
      </c>
      <c r="F1452" s="6" t="s">
        <v>41</v>
      </c>
      <c r="G1452" s="6" t="s">
        <v>55</v>
      </c>
      <c r="H1452" s="7">
        <v>3143.0</v>
      </c>
      <c r="I1452" s="7">
        <v>1460.0</v>
      </c>
      <c r="J1452" s="6">
        <v>2017.0</v>
      </c>
      <c r="K1452" s="6">
        <v>56.0</v>
      </c>
      <c r="L1452" s="6" t="s">
        <v>32</v>
      </c>
      <c r="M1452" s="6" t="s">
        <v>7622</v>
      </c>
      <c r="N1452" s="6" t="s">
        <v>34</v>
      </c>
      <c r="O1452" s="6" t="s">
        <v>49</v>
      </c>
      <c r="P1452" s="6">
        <f>COUNTIF(Analysis!$M$1:$M$3001,Analysis!$M1896)</f>
        <v>1</v>
      </c>
      <c r="Q1452" s="6" t="str">
        <f>IF(COUNTIF(Analysis!$M$2:$M$3001,Analysis!$M1896)&gt;1,"Duplicate","OK")</f>
        <v>OK</v>
      </c>
      <c r="R1452" s="6" t="str">
        <f t="shared" si="1"/>
        <v>2600-3600</v>
      </c>
      <c r="S1452" s="6">
        <f t="shared" si="2"/>
        <v>9</v>
      </c>
      <c r="T1452" s="6" t="str">
        <f t="shared" si="3"/>
        <v>New</v>
      </c>
    </row>
    <row r="1453" ht="14.25" customHeight="1">
      <c r="A1453" s="5">
        <v>410142.0</v>
      </c>
      <c r="B1453" s="6" t="s">
        <v>5850</v>
      </c>
      <c r="C1453" s="6" t="s">
        <v>53</v>
      </c>
      <c r="D1453" s="6">
        <v>16632.0</v>
      </c>
      <c r="E1453" s="6" t="s">
        <v>60</v>
      </c>
      <c r="F1453" s="6" t="s">
        <v>20</v>
      </c>
      <c r="G1453" s="6" t="s">
        <v>31</v>
      </c>
      <c r="H1453" s="7">
        <v>2881.0</v>
      </c>
      <c r="I1453" s="7">
        <v>3846.0</v>
      </c>
      <c r="J1453" s="6">
        <v>1965.0</v>
      </c>
      <c r="K1453" s="6">
        <v>108.0</v>
      </c>
      <c r="L1453" s="6" t="s">
        <v>32</v>
      </c>
      <c r="M1453" s="6" t="s">
        <v>5851</v>
      </c>
      <c r="N1453" s="6" t="s">
        <v>24</v>
      </c>
      <c r="O1453" s="6" t="s">
        <v>49</v>
      </c>
      <c r="P1453" s="6">
        <f>COUNTIF(Analysis!$M$1:$M$3001,Analysis!$M1453)</f>
        <v>1</v>
      </c>
      <c r="Q1453" s="6" t="str">
        <f>IF(COUNTIF(Analysis!$M$2:$M$3001,Analysis!$M1453)&gt;1,"Duplicate","OK")</f>
        <v>OK</v>
      </c>
      <c r="R1453" s="6" t="str">
        <f t="shared" si="1"/>
        <v>2600-3600</v>
      </c>
      <c r="S1453" s="6">
        <f t="shared" si="2"/>
        <v>61</v>
      </c>
      <c r="T1453" s="6" t="str">
        <f t="shared" si="3"/>
        <v>Very Old</v>
      </c>
    </row>
    <row r="1454" ht="14.25" customHeight="1">
      <c r="A1454" s="5">
        <v>634856.0</v>
      </c>
      <c r="B1454" s="6" t="s">
        <v>5854</v>
      </c>
      <c r="C1454" s="6" t="s">
        <v>39</v>
      </c>
      <c r="D1454" s="6">
        <v>88286.0</v>
      </c>
      <c r="E1454" s="6" t="s">
        <v>19</v>
      </c>
      <c r="F1454" s="6" t="s">
        <v>94</v>
      </c>
      <c r="G1454" s="6" t="s">
        <v>100</v>
      </c>
      <c r="H1454" s="7">
        <v>1051.0</v>
      </c>
      <c r="I1454" s="7">
        <v>2605.0</v>
      </c>
      <c r="J1454" s="6">
        <v>2011.0</v>
      </c>
      <c r="K1454" s="6">
        <v>62.0</v>
      </c>
      <c r="L1454" s="6" t="s">
        <v>22</v>
      </c>
      <c r="M1454" s="6" t="s">
        <v>5855</v>
      </c>
      <c r="N1454" s="6" t="s">
        <v>34</v>
      </c>
      <c r="O1454" s="6" t="s">
        <v>49</v>
      </c>
      <c r="P1454" s="6">
        <f>COUNTIF(Analysis!$M$1:$M$3001,Analysis!$M1454)</f>
        <v>1</v>
      </c>
      <c r="Q1454" s="6" t="str">
        <f>IF(COUNTIF(Analysis!$M$2:$M$3001,Analysis!$M1454)&gt;1,"Duplicate","OK")</f>
        <v>OK</v>
      </c>
      <c r="R1454" s="6" t="str">
        <f t="shared" si="1"/>
        <v>600-1600</v>
      </c>
      <c r="S1454" s="6">
        <f t="shared" si="2"/>
        <v>15</v>
      </c>
      <c r="T1454" s="6" t="str">
        <f t="shared" si="3"/>
        <v>Mid</v>
      </c>
    </row>
    <row r="1455" ht="14.25" customHeight="1">
      <c r="A1455" s="5">
        <v>736810.0</v>
      </c>
      <c r="B1455" s="6" t="s">
        <v>5858</v>
      </c>
      <c r="C1455" s="6" t="s">
        <v>76</v>
      </c>
      <c r="D1455" s="6">
        <v>13831.0</v>
      </c>
      <c r="E1455" s="6" t="s">
        <v>77</v>
      </c>
      <c r="F1455" s="6" t="s">
        <v>41</v>
      </c>
      <c r="G1455" s="6" t="s">
        <v>55</v>
      </c>
      <c r="H1455" s="7">
        <v>705.0</v>
      </c>
      <c r="I1455" s="7">
        <v>4337.0</v>
      </c>
      <c r="J1455" s="6">
        <v>1993.0</v>
      </c>
      <c r="K1455" s="6">
        <v>53.0</v>
      </c>
      <c r="L1455" s="6" t="s">
        <v>32</v>
      </c>
      <c r="M1455" s="6" t="s">
        <v>5859</v>
      </c>
      <c r="N1455" s="6" t="s">
        <v>34</v>
      </c>
      <c r="O1455" s="6" t="s">
        <v>49</v>
      </c>
      <c r="P1455" s="6">
        <f>COUNTIF(Analysis!$M$1:$M$3001,Analysis!$M1455)</f>
        <v>1</v>
      </c>
      <c r="Q1455" s="6" t="str">
        <f>IF(COUNTIF(Analysis!$M$2:$M$3001,Analysis!$M1455)&gt;1,"Duplicate","OK")</f>
        <v>OK</v>
      </c>
      <c r="R1455" s="6" t="str">
        <f t="shared" si="1"/>
        <v>600-1600</v>
      </c>
      <c r="S1455" s="6">
        <f t="shared" si="2"/>
        <v>33</v>
      </c>
      <c r="T1455" s="6" t="str">
        <f t="shared" si="3"/>
        <v>Old</v>
      </c>
    </row>
    <row r="1456" ht="14.25" customHeight="1">
      <c r="A1456" s="5">
        <v>802318.0</v>
      </c>
      <c r="B1456" s="6" t="s">
        <v>5862</v>
      </c>
      <c r="C1456" s="6" t="s">
        <v>76</v>
      </c>
      <c r="D1456" s="6">
        <v>58519.0</v>
      </c>
      <c r="E1456" s="6" t="s">
        <v>19</v>
      </c>
      <c r="F1456" s="6" t="s">
        <v>94</v>
      </c>
      <c r="G1456" s="6" t="s">
        <v>31</v>
      </c>
      <c r="H1456" s="7">
        <v>3854.0</v>
      </c>
      <c r="I1456" s="7">
        <v>1766.0</v>
      </c>
      <c r="J1456" s="6">
        <v>2008.0</v>
      </c>
      <c r="K1456" s="6">
        <v>111.0</v>
      </c>
      <c r="L1456" s="6" t="s">
        <v>62</v>
      </c>
      <c r="M1456" s="6" t="s">
        <v>5863</v>
      </c>
      <c r="N1456" s="6" t="s">
        <v>34</v>
      </c>
      <c r="O1456" s="6" t="s">
        <v>49</v>
      </c>
      <c r="P1456" s="6">
        <f>COUNTIF(Analysis!$M$1:$M$3001,Analysis!$M1456)</f>
        <v>1</v>
      </c>
      <c r="Q1456" s="6" t="str">
        <f>IF(COUNTIF(Analysis!$M$2:$M$3001,Analysis!$M1456)&gt;1,"Duplicate","OK")</f>
        <v>OK</v>
      </c>
      <c r="R1456" s="6" t="str">
        <f t="shared" si="1"/>
        <v>3600+</v>
      </c>
      <c r="S1456" s="6">
        <f t="shared" si="2"/>
        <v>18</v>
      </c>
      <c r="T1456" s="6" t="str">
        <f t="shared" si="3"/>
        <v>Mid</v>
      </c>
    </row>
    <row r="1457" ht="14.25" customHeight="1">
      <c r="A1457" s="5">
        <v>475065.0</v>
      </c>
      <c r="B1457" s="6" t="s">
        <v>5866</v>
      </c>
      <c r="C1457" s="6" t="s">
        <v>53</v>
      </c>
      <c r="D1457" s="6">
        <v>88449.0</v>
      </c>
      <c r="E1457" s="6" t="s">
        <v>30</v>
      </c>
      <c r="F1457" s="6" t="s">
        <v>46</v>
      </c>
      <c r="G1457" s="6" t="s">
        <v>55</v>
      </c>
      <c r="H1457" s="7">
        <v>3341.0</v>
      </c>
      <c r="I1457" s="7">
        <v>3049.0</v>
      </c>
      <c r="J1457" s="6">
        <v>2006.0</v>
      </c>
      <c r="K1457" s="6">
        <v>114.0</v>
      </c>
      <c r="L1457" s="6" t="s">
        <v>95</v>
      </c>
      <c r="M1457" s="6" t="s">
        <v>5867</v>
      </c>
      <c r="N1457" s="6" t="s">
        <v>43</v>
      </c>
      <c r="O1457" s="6" t="s">
        <v>35</v>
      </c>
      <c r="P1457" s="6">
        <f>COUNTIF(Analysis!$M$1:$M$3001,Analysis!$M1457)</f>
        <v>1</v>
      </c>
      <c r="Q1457" s="6" t="str">
        <f>IF(COUNTIF(Analysis!$M$2:$M$3001,Analysis!$M1457)&gt;1,"Duplicate","OK")</f>
        <v>OK</v>
      </c>
      <c r="R1457" s="6" t="str">
        <f t="shared" si="1"/>
        <v>2600-3600</v>
      </c>
      <c r="S1457" s="6">
        <f t="shared" si="2"/>
        <v>20</v>
      </c>
      <c r="T1457" s="6" t="str">
        <f t="shared" si="3"/>
        <v>Mid</v>
      </c>
    </row>
    <row r="1458" ht="14.25" customHeight="1">
      <c r="A1458" s="5">
        <v>851420.0</v>
      </c>
      <c r="B1458" s="6" t="s">
        <v>5870</v>
      </c>
      <c r="C1458" s="6" t="s">
        <v>39</v>
      </c>
      <c r="D1458" s="6">
        <v>20336.0</v>
      </c>
      <c r="E1458" s="6" t="s">
        <v>60</v>
      </c>
      <c r="F1458" s="6" t="s">
        <v>54</v>
      </c>
      <c r="G1458" s="6" t="s">
        <v>55</v>
      </c>
      <c r="H1458" s="7">
        <v>967.0</v>
      </c>
      <c r="I1458" s="7">
        <v>5888.0</v>
      </c>
      <c r="J1458" s="6">
        <v>1955.0</v>
      </c>
      <c r="K1458" s="6">
        <v>47.0</v>
      </c>
      <c r="L1458" s="6" t="s">
        <v>22</v>
      </c>
      <c r="M1458" s="6" t="s">
        <v>5871</v>
      </c>
      <c r="N1458" s="6" t="s">
        <v>43</v>
      </c>
      <c r="O1458" s="6" t="s">
        <v>49</v>
      </c>
      <c r="P1458" s="6">
        <f>COUNTIF(Analysis!$M$1:$M$3001,Analysis!$M1458)</f>
        <v>1</v>
      </c>
      <c r="Q1458" s="6" t="str">
        <f>IF(COUNTIF(Analysis!$M$2:$M$3001,Analysis!$M1458)&gt;1,"Duplicate","OK")</f>
        <v>OK</v>
      </c>
      <c r="R1458" s="6" t="str">
        <f t="shared" si="1"/>
        <v>600-1600</v>
      </c>
      <c r="S1458" s="6">
        <f t="shared" si="2"/>
        <v>71</v>
      </c>
      <c r="T1458" s="6" t="str">
        <f t="shared" si="3"/>
        <v>Very Old</v>
      </c>
    </row>
    <row r="1459" ht="14.25" customHeight="1">
      <c r="A1459" s="5">
        <v>771277.0</v>
      </c>
      <c r="B1459" s="6" t="s">
        <v>10467</v>
      </c>
      <c r="C1459" s="6" t="s">
        <v>29</v>
      </c>
      <c r="D1459" s="6">
        <v>97789.0</v>
      </c>
      <c r="E1459" s="6" t="s">
        <v>30</v>
      </c>
      <c r="F1459" s="6" t="s">
        <v>54</v>
      </c>
      <c r="G1459" s="6" t="s">
        <v>100</v>
      </c>
      <c r="H1459" s="7">
        <v>2942.0</v>
      </c>
      <c r="I1459" s="7">
        <v>1991.0</v>
      </c>
      <c r="J1459" s="6">
        <v>1972.0</v>
      </c>
      <c r="K1459" s="6">
        <v>63.0</v>
      </c>
      <c r="L1459" s="6" t="s">
        <v>32</v>
      </c>
      <c r="M1459" s="6" t="s">
        <v>10468</v>
      </c>
      <c r="N1459" s="6" t="s">
        <v>48</v>
      </c>
      <c r="O1459" s="6" t="s">
        <v>25</v>
      </c>
      <c r="P1459" s="6">
        <f>COUNTIF(Analysis!$M$1:$M$3001,Analysis!$M2608)</f>
        <v>1</v>
      </c>
      <c r="Q1459" s="6" t="str">
        <f>IF(COUNTIF(Analysis!$M$2:$M$3001,Analysis!$M2608)&gt;1,"Duplicate","OK")</f>
        <v>OK</v>
      </c>
      <c r="R1459" s="6" t="str">
        <f t="shared" si="1"/>
        <v>2600-3600</v>
      </c>
      <c r="S1459" s="6">
        <f t="shared" si="2"/>
        <v>54</v>
      </c>
      <c r="T1459" s="6" t="str">
        <f t="shared" si="3"/>
        <v>Old</v>
      </c>
    </row>
    <row r="1460" ht="14.25" customHeight="1">
      <c r="A1460" s="5">
        <v>772844.0</v>
      </c>
      <c r="B1460" s="6" t="s">
        <v>7297</v>
      </c>
      <c r="C1460" s="6" t="s">
        <v>29</v>
      </c>
      <c r="D1460" s="6">
        <v>48506.0</v>
      </c>
      <c r="E1460" s="6" t="s">
        <v>60</v>
      </c>
      <c r="F1460" s="6" t="s">
        <v>94</v>
      </c>
      <c r="G1460" s="6" t="s">
        <v>31</v>
      </c>
      <c r="H1460" s="7">
        <v>2290.0</v>
      </c>
      <c r="I1460" s="7">
        <v>6616.0</v>
      </c>
      <c r="J1460" s="6">
        <v>1981.0</v>
      </c>
      <c r="K1460" s="6">
        <v>93.0</v>
      </c>
      <c r="L1460" s="6" t="s">
        <v>22</v>
      </c>
      <c r="M1460" s="6" t="s">
        <v>7298</v>
      </c>
      <c r="N1460" s="6" t="s">
        <v>64</v>
      </c>
      <c r="O1460" s="6" t="s">
        <v>25</v>
      </c>
      <c r="P1460" s="6">
        <f>COUNTIF(Analysis!$M$1:$M$3001,Analysis!$M1815)</f>
        <v>1</v>
      </c>
      <c r="Q1460" s="6" t="str">
        <f>IF(COUNTIF(Analysis!$M$2:$M$3001,Analysis!$M1815)&gt;1,"Duplicate","OK")</f>
        <v>OK</v>
      </c>
      <c r="R1460" s="6" t="str">
        <f t="shared" si="1"/>
        <v>1600-2600</v>
      </c>
      <c r="S1460" s="6">
        <f t="shared" si="2"/>
        <v>45</v>
      </c>
      <c r="T1460" s="6" t="str">
        <f t="shared" si="3"/>
        <v>Old</v>
      </c>
    </row>
    <row r="1461" ht="14.25" customHeight="1">
      <c r="A1461" s="5">
        <v>550731.0</v>
      </c>
      <c r="B1461" s="6" t="s">
        <v>5882</v>
      </c>
      <c r="C1461" s="6" t="s">
        <v>18</v>
      </c>
      <c r="D1461" s="6">
        <v>43311.0</v>
      </c>
      <c r="E1461" s="6" t="s">
        <v>60</v>
      </c>
      <c r="F1461" s="6" t="s">
        <v>61</v>
      </c>
      <c r="G1461" s="6" t="s">
        <v>55</v>
      </c>
      <c r="H1461" s="7">
        <v>826.0</v>
      </c>
      <c r="I1461" s="7">
        <v>2258.0</v>
      </c>
      <c r="J1461" s="6">
        <v>2021.0</v>
      </c>
      <c r="K1461" s="6">
        <v>46.0</v>
      </c>
      <c r="L1461" s="6" t="s">
        <v>141</v>
      </c>
      <c r="M1461" s="6" t="s">
        <v>5883</v>
      </c>
      <c r="N1461" s="6" t="s">
        <v>64</v>
      </c>
      <c r="O1461" s="6" t="s">
        <v>49</v>
      </c>
      <c r="P1461" s="6">
        <f>COUNTIF(Analysis!$M$1:$M$3001,Analysis!$M1461)</f>
        <v>1</v>
      </c>
      <c r="Q1461" s="6" t="str">
        <f>IF(COUNTIF(Analysis!$M$2:$M$3001,Analysis!$M1461)&gt;1,"Duplicate","OK")</f>
        <v>OK</v>
      </c>
      <c r="R1461" s="6" t="str">
        <f t="shared" si="1"/>
        <v>600-1600</v>
      </c>
      <c r="S1461" s="6">
        <f t="shared" si="2"/>
        <v>5</v>
      </c>
      <c r="T1461" s="6" t="str">
        <f t="shared" si="3"/>
        <v>New</v>
      </c>
    </row>
    <row r="1462" ht="14.25" customHeight="1">
      <c r="A1462" s="5">
        <v>780079.0</v>
      </c>
      <c r="B1462" s="6" t="s">
        <v>6018</v>
      </c>
      <c r="C1462" s="6" t="s">
        <v>29</v>
      </c>
      <c r="D1462" s="6">
        <v>83240.0</v>
      </c>
      <c r="E1462" s="6" t="s">
        <v>40</v>
      </c>
      <c r="F1462" s="6" t="s">
        <v>54</v>
      </c>
      <c r="G1462" s="6" t="s">
        <v>55</v>
      </c>
      <c r="H1462" s="7">
        <v>1946.0</v>
      </c>
      <c r="I1462" s="7">
        <v>5418.0</v>
      </c>
      <c r="J1462" s="6">
        <v>2015.0</v>
      </c>
      <c r="K1462" s="6">
        <v>87.0</v>
      </c>
      <c r="L1462" s="6" t="s">
        <v>22</v>
      </c>
      <c r="M1462" s="6" t="s">
        <v>6019</v>
      </c>
      <c r="N1462" s="6" t="s">
        <v>24</v>
      </c>
      <c r="O1462" s="6" t="s">
        <v>35</v>
      </c>
      <c r="P1462" s="6">
        <f>COUNTIF(Analysis!$M$1:$M$3001,Analysis!$M1495)</f>
        <v>1</v>
      </c>
      <c r="Q1462" s="6" t="str">
        <f>IF(COUNTIF(Analysis!$M$2:$M$3001,Analysis!$M1495)&gt;1,"Duplicate","OK")</f>
        <v>OK</v>
      </c>
      <c r="R1462" s="6" t="str">
        <f t="shared" si="1"/>
        <v>1600-2600</v>
      </c>
      <c r="S1462" s="6">
        <f t="shared" si="2"/>
        <v>11</v>
      </c>
      <c r="T1462" s="6" t="str">
        <f t="shared" si="3"/>
        <v>Mid</v>
      </c>
    </row>
    <row r="1463" ht="14.25" customHeight="1">
      <c r="A1463" s="5">
        <v>1385988.0</v>
      </c>
      <c r="B1463" s="6" t="s">
        <v>5890</v>
      </c>
      <c r="C1463" s="6" t="s">
        <v>53</v>
      </c>
      <c r="D1463" s="6">
        <v>89134.0</v>
      </c>
      <c r="E1463" s="6" t="s">
        <v>40</v>
      </c>
      <c r="F1463" s="6" t="s">
        <v>61</v>
      </c>
      <c r="G1463" s="6" t="s">
        <v>55</v>
      </c>
      <c r="H1463" s="7">
        <v>2575.0</v>
      </c>
      <c r="I1463" s="7">
        <v>6403.0</v>
      </c>
      <c r="J1463" s="6">
        <v>1982.0</v>
      </c>
      <c r="K1463" s="6">
        <v>34.0</v>
      </c>
      <c r="L1463" s="6" t="s">
        <v>95</v>
      </c>
      <c r="M1463" s="6" t="s">
        <v>5891</v>
      </c>
      <c r="N1463" s="6" t="s">
        <v>48</v>
      </c>
      <c r="O1463" s="6" t="s">
        <v>35</v>
      </c>
      <c r="P1463" s="6">
        <f>COUNTIF(Analysis!$M$1:$M$3001,Analysis!$M1463)</f>
        <v>1</v>
      </c>
      <c r="Q1463" s="6" t="str">
        <f>IF(COUNTIF(Analysis!$M$2:$M$3001,Analysis!$M1463)&gt;1,"Duplicate","OK")</f>
        <v>OK</v>
      </c>
      <c r="R1463" s="6" t="str">
        <f t="shared" si="1"/>
        <v>1600-2600</v>
      </c>
      <c r="S1463" s="6">
        <f t="shared" si="2"/>
        <v>44</v>
      </c>
      <c r="T1463" s="6" t="str">
        <f t="shared" si="3"/>
        <v>Old</v>
      </c>
    </row>
    <row r="1464" ht="14.25" customHeight="1">
      <c r="A1464" s="5">
        <v>1490235.0</v>
      </c>
      <c r="B1464" s="6" t="s">
        <v>5894</v>
      </c>
      <c r="C1464" s="6" t="s">
        <v>18</v>
      </c>
      <c r="D1464" s="6">
        <v>83362.0</v>
      </c>
      <c r="E1464" s="6" t="s">
        <v>40</v>
      </c>
      <c r="F1464" s="6" t="s">
        <v>41</v>
      </c>
      <c r="G1464" s="6" t="s">
        <v>21</v>
      </c>
      <c r="H1464" s="7">
        <v>3743.0</v>
      </c>
      <c r="I1464" s="7">
        <v>9326.0</v>
      </c>
      <c r="J1464" s="6">
        <v>1983.0</v>
      </c>
      <c r="K1464" s="6">
        <v>88.0</v>
      </c>
      <c r="L1464" s="6" t="s">
        <v>32</v>
      </c>
      <c r="M1464" s="6" t="s">
        <v>5895</v>
      </c>
      <c r="N1464" s="6" t="s">
        <v>24</v>
      </c>
      <c r="O1464" s="6" t="s">
        <v>49</v>
      </c>
      <c r="P1464" s="6">
        <f>COUNTIF(Analysis!$M$1:$M$3001,Analysis!$M1464)</f>
        <v>1</v>
      </c>
      <c r="Q1464" s="6" t="str">
        <f>IF(COUNTIF(Analysis!$M$2:$M$3001,Analysis!$M1464)&gt;1,"Duplicate","OK")</f>
        <v>OK</v>
      </c>
      <c r="R1464" s="6" t="str">
        <f t="shared" si="1"/>
        <v>3600+</v>
      </c>
      <c r="S1464" s="6">
        <f t="shared" si="2"/>
        <v>43</v>
      </c>
      <c r="T1464" s="6" t="str">
        <f t="shared" si="3"/>
        <v>Old</v>
      </c>
    </row>
    <row r="1465" ht="14.25" customHeight="1">
      <c r="A1465" s="5">
        <v>270055.0</v>
      </c>
      <c r="B1465" s="6" t="s">
        <v>5898</v>
      </c>
      <c r="C1465" s="6" t="s">
        <v>39</v>
      </c>
      <c r="D1465" s="6">
        <v>69720.0</v>
      </c>
      <c r="E1465" s="6" t="s">
        <v>60</v>
      </c>
      <c r="F1465" s="6" t="s">
        <v>41</v>
      </c>
      <c r="G1465" s="6" t="s">
        <v>31</v>
      </c>
      <c r="H1465" s="7">
        <v>2804.0</v>
      </c>
      <c r="I1465" s="7">
        <v>3166.0</v>
      </c>
      <c r="J1465" s="6">
        <v>1974.0</v>
      </c>
      <c r="K1465" s="6">
        <v>41.0</v>
      </c>
      <c r="L1465" s="6" t="s">
        <v>32</v>
      </c>
      <c r="M1465" s="6" t="s">
        <v>5899</v>
      </c>
      <c r="N1465" s="6" t="s">
        <v>43</v>
      </c>
      <c r="O1465" s="6" t="s">
        <v>25</v>
      </c>
      <c r="P1465" s="6">
        <f>COUNTIF(Analysis!$M$1:$M$3001,Analysis!$M1465)</f>
        <v>1</v>
      </c>
      <c r="Q1465" s="6" t="str">
        <f>IF(COUNTIF(Analysis!$M$2:$M$3001,Analysis!$M1465)&gt;1,"Duplicate","OK")</f>
        <v>OK</v>
      </c>
      <c r="R1465" s="6" t="str">
        <f t="shared" si="1"/>
        <v>2600-3600</v>
      </c>
      <c r="S1465" s="6">
        <f t="shared" si="2"/>
        <v>52</v>
      </c>
      <c r="T1465" s="6" t="str">
        <f t="shared" si="3"/>
        <v>Old</v>
      </c>
    </row>
    <row r="1466" ht="14.25" customHeight="1">
      <c r="A1466" s="5">
        <v>550460.0</v>
      </c>
      <c r="B1466" s="6" t="s">
        <v>5902</v>
      </c>
      <c r="C1466" s="6" t="s">
        <v>76</v>
      </c>
      <c r="D1466" s="6">
        <v>93926.0</v>
      </c>
      <c r="E1466" s="6" t="s">
        <v>40</v>
      </c>
      <c r="F1466" s="6" t="s">
        <v>94</v>
      </c>
      <c r="G1466" s="6" t="s">
        <v>55</v>
      </c>
      <c r="H1466" s="7">
        <v>2405.0</v>
      </c>
      <c r="I1466" s="7">
        <v>2752.0</v>
      </c>
      <c r="J1466" s="6">
        <v>1987.0</v>
      </c>
      <c r="K1466" s="6">
        <v>22.0</v>
      </c>
      <c r="L1466" s="6" t="s">
        <v>62</v>
      </c>
      <c r="M1466" s="6" t="s">
        <v>5903</v>
      </c>
      <c r="N1466" s="6" t="s">
        <v>48</v>
      </c>
      <c r="O1466" s="6" t="s">
        <v>25</v>
      </c>
      <c r="P1466" s="6">
        <f>COUNTIF(Analysis!$M$1:$M$3001,Analysis!$M1466)</f>
        <v>1</v>
      </c>
      <c r="Q1466" s="6" t="str">
        <f>IF(COUNTIF(Analysis!$M$2:$M$3001,Analysis!$M1466)&gt;1,"Duplicate","OK")</f>
        <v>OK</v>
      </c>
      <c r="R1466" s="6" t="str">
        <f t="shared" si="1"/>
        <v>1600-2600</v>
      </c>
      <c r="S1466" s="6">
        <f t="shared" si="2"/>
        <v>39</v>
      </c>
      <c r="T1466" s="6" t="str">
        <f t="shared" si="3"/>
        <v>Old</v>
      </c>
    </row>
    <row r="1467" ht="14.25" customHeight="1">
      <c r="A1467" s="5">
        <v>464626.0</v>
      </c>
      <c r="B1467" s="6" t="s">
        <v>5906</v>
      </c>
      <c r="C1467" s="6" t="s">
        <v>39</v>
      </c>
      <c r="D1467" s="6">
        <v>75022.0</v>
      </c>
      <c r="E1467" s="6" t="s">
        <v>40</v>
      </c>
      <c r="F1467" s="6" t="s">
        <v>54</v>
      </c>
      <c r="G1467" s="6" t="s">
        <v>100</v>
      </c>
      <c r="H1467" s="7">
        <v>1178.0</v>
      </c>
      <c r="I1467" s="7">
        <v>2464.0</v>
      </c>
      <c r="J1467" s="6">
        <v>1951.0</v>
      </c>
      <c r="K1467" s="6">
        <v>16.0</v>
      </c>
      <c r="L1467" s="6" t="s">
        <v>62</v>
      </c>
      <c r="M1467" s="6" t="s">
        <v>5907</v>
      </c>
      <c r="N1467" s="6" t="s">
        <v>34</v>
      </c>
      <c r="O1467" s="6" t="s">
        <v>25</v>
      </c>
      <c r="P1467" s="6">
        <f>COUNTIF(Analysis!$M$1:$M$3001,Analysis!$M1467)</f>
        <v>1</v>
      </c>
      <c r="Q1467" s="6" t="str">
        <f>IF(COUNTIF(Analysis!$M$2:$M$3001,Analysis!$M1467)&gt;1,"Duplicate","OK")</f>
        <v>OK</v>
      </c>
      <c r="R1467" s="6" t="str">
        <f t="shared" si="1"/>
        <v>600-1600</v>
      </c>
      <c r="S1467" s="6">
        <f t="shared" si="2"/>
        <v>75</v>
      </c>
      <c r="T1467" s="6" t="str">
        <f t="shared" si="3"/>
        <v>Very Old</v>
      </c>
    </row>
    <row r="1468" ht="14.25" customHeight="1">
      <c r="A1468" s="5">
        <v>564774.0</v>
      </c>
      <c r="B1468" s="6" t="s">
        <v>5910</v>
      </c>
      <c r="C1468" s="6" t="s">
        <v>39</v>
      </c>
      <c r="D1468" s="6">
        <v>13806.0</v>
      </c>
      <c r="E1468" s="6" t="s">
        <v>19</v>
      </c>
      <c r="F1468" s="6" t="s">
        <v>54</v>
      </c>
      <c r="G1468" s="6" t="s">
        <v>31</v>
      </c>
      <c r="H1468" s="7">
        <v>3140.0</v>
      </c>
      <c r="I1468" s="7">
        <v>6463.0</v>
      </c>
      <c r="J1468" s="6">
        <v>2023.0</v>
      </c>
      <c r="K1468" s="6">
        <v>5.0</v>
      </c>
      <c r="L1468" s="6" t="s">
        <v>141</v>
      </c>
      <c r="M1468" s="6" t="s">
        <v>5911</v>
      </c>
      <c r="N1468" s="6" t="s">
        <v>24</v>
      </c>
      <c r="O1468" s="6" t="s">
        <v>25</v>
      </c>
      <c r="P1468" s="6">
        <f>COUNTIF(Analysis!$M$1:$M$3001,Analysis!$M1468)</f>
        <v>1</v>
      </c>
      <c r="Q1468" s="6" t="str">
        <f>IF(COUNTIF(Analysis!$M$2:$M$3001,Analysis!$M1468)&gt;1,"Duplicate","OK")</f>
        <v>OK</v>
      </c>
      <c r="R1468" s="6" t="str">
        <f t="shared" si="1"/>
        <v>2600-3600</v>
      </c>
      <c r="S1468" s="6">
        <f t="shared" si="2"/>
        <v>3</v>
      </c>
      <c r="T1468" s="6" t="str">
        <f t="shared" si="3"/>
        <v>New</v>
      </c>
    </row>
    <row r="1469" ht="14.25" customHeight="1">
      <c r="A1469" s="5">
        <v>780966.0</v>
      </c>
      <c r="B1469" s="6" t="s">
        <v>3795</v>
      </c>
      <c r="C1469" s="6" t="s">
        <v>29</v>
      </c>
      <c r="D1469" s="6">
        <v>82044.0</v>
      </c>
      <c r="E1469" s="6" t="s">
        <v>30</v>
      </c>
      <c r="F1469" s="6" t="s">
        <v>20</v>
      </c>
      <c r="G1469" s="6" t="s">
        <v>100</v>
      </c>
      <c r="H1469" s="7">
        <v>2893.0</v>
      </c>
      <c r="I1469" s="7">
        <v>9681.0</v>
      </c>
      <c r="J1469" s="6">
        <v>2013.0</v>
      </c>
      <c r="K1469" s="6">
        <v>65.0</v>
      </c>
      <c r="L1469" s="6" t="s">
        <v>141</v>
      </c>
      <c r="M1469" s="6" t="s">
        <v>3796</v>
      </c>
      <c r="N1469" s="6" t="s">
        <v>48</v>
      </c>
      <c r="O1469" s="6" t="s">
        <v>35</v>
      </c>
      <c r="P1469" s="6">
        <f>COUNTIF(Analysis!$M$1:$M$3001,Analysis!$M939)</f>
        <v>1</v>
      </c>
      <c r="Q1469" s="6" t="str">
        <f>IF(COUNTIF(Analysis!$M$2:$M$3001,Analysis!$M939)&gt;1,"Duplicate","OK")</f>
        <v>OK</v>
      </c>
      <c r="R1469" s="6" t="str">
        <f t="shared" si="1"/>
        <v>2600-3600</v>
      </c>
      <c r="S1469" s="6">
        <f t="shared" si="2"/>
        <v>13</v>
      </c>
      <c r="T1469" s="6" t="str">
        <f t="shared" si="3"/>
        <v>Mid</v>
      </c>
    </row>
    <row r="1470" ht="14.25" customHeight="1">
      <c r="A1470" s="5">
        <v>438301.0</v>
      </c>
      <c r="B1470" s="6" t="s">
        <v>5918</v>
      </c>
      <c r="C1470" s="6" t="s">
        <v>76</v>
      </c>
      <c r="D1470" s="6">
        <v>46345.0</v>
      </c>
      <c r="E1470" s="6" t="s">
        <v>40</v>
      </c>
      <c r="F1470" s="6" t="s">
        <v>46</v>
      </c>
      <c r="G1470" s="6" t="s">
        <v>21</v>
      </c>
      <c r="H1470" s="7">
        <v>2678.0</v>
      </c>
      <c r="I1470" s="7">
        <v>9618.0</v>
      </c>
      <c r="J1470" s="6">
        <v>2020.0</v>
      </c>
      <c r="K1470" s="6">
        <v>93.0</v>
      </c>
      <c r="L1470" s="6" t="s">
        <v>95</v>
      </c>
      <c r="M1470" s="6" t="s">
        <v>5919</v>
      </c>
      <c r="N1470" s="6" t="s">
        <v>24</v>
      </c>
      <c r="O1470" s="6" t="s">
        <v>25</v>
      </c>
      <c r="P1470" s="6">
        <f>COUNTIF(Analysis!$M$1:$M$3001,Analysis!$M1470)</f>
        <v>1</v>
      </c>
      <c r="Q1470" s="6" t="str">
        <f>IF(COUNTIF(Analysis!$M$2:$M$3001,Analysis!$M1470)&gt;1,"Duplicate","OK")</f>
        <v>OK</v>
      </c>
      <c r="R1470" s="6" t="str">
        <f t="shared" si="1"/>
        <v>2600-3600</v>
      </c>
      <c r="S1470" s="6">
        <f t="shared" si="2"/>
        <v>6</v>
      </c>
      <c r="T1470" s="6" t="str">
        <f t="shared" si="3"/>
        <v>New</v>
      </c>
    </row>
    <row r="1471" ht="14.25" customHeight="1">
      <c r="A1471" s="5">
        <v>1058552.0</v>
      </c>
      <c r="B1471" s="6" t="s">
        <v>5922</v>
      </c>
      <c r="C1471" s="6" t="s">
        <v>39</v>
      </c>
      <c r="D1471" s="6">
        <v>77377.0</v>
      </c>
      <c r="E1471" s="6" t="s">
        <v>30</v>
      </c>
      <c r="F1471" s="6" t="s">
        <v>61</v>
      </c>
      <c r="G1471" s="6" t="s">
        <v>31</v>
      </c>
      <c r="H1471" s="7">
        <v>2881.0</v>
      </c>
      <c r="I1471" s="7">
        <v>3431.0</v>
      </c>
      <c r="J1471" s="6">
        <v>2001.0</v>
      </c>
      <c r="K1471" s="6">
        <v>73.0</v>
      </c>
      <c r="L1471" s="6" t="s">
        <v>95</v>
      </c>
      <c r="M1471" s="6" t="s">
        <v>5923</v>
      </c>
      <c r="N1471" s="6" t="s">
        <v>34</v>
      </c>
      <c r="O1471" s="6" t="s">
        <v>25</v>
      </c>
      <c r="P1471" s="6">
        <f>COUNTIF(Analysis!$M$1:$M$3001,Analysis!$M1471)</f>
        <v>1</v>
      </c>
      <c r="Q1471" s="6" t="str">
        <f>IF(COUNTIF(Analysis!$M$2:$M$3001,Analysis!$M1471)&gt;1,"Duplicate","OK")</f>
        <v>OK</v>
      </c>
      <c r="R1471" s="6" t="str">
        <f t="shared" si="1"/>
        <v>2600-3600</v>
      </c>
      <c r="S1471" s="6">
        <f t="shared" si="2"/>
        <v>25</v>
      </c>
      <c r="T1471" s="6" t="str">
        <f t="shared" si="3"/>
        <v>Mid</v>
      </c>
    </row>
    <row r="1472" ht="14.25" customHeight="1">
      <c r="A1472" s="5">
        <v>1274693.0</v>
      </c>
      <c r="B1472" s="6" t="s">
        <v>5926</v>
      </c>
      <c r="C1472" s="6" t="s">
        <v>18</v>
      </c>
      <c r="D1472" s="6">
        <v>27746.0</v>
      </c>
      <c r="E1472" s="6" t="s">
        <v>30</v>
      </c>
      <c r="F1472" s="6" t="s">
        <v>54</v>
      </c>
      <c r="G1472" s="6" t="s">
        <v>21</v>
      </c>
      <c r="H1472" s="7">
        <v>968.0</v>
      </c>
      <c r="I1472" s="7">
        <v>5001.0</v>
      </c>
      <c r="J1472" s="6">
        <v>1988.0</v>
      </c>
      <c r="K1472" s="6">
        <v>16.0</v>
      </c>
      <c r="L1472" s="6" t="s">
        <v>141</v>
      </c>
      <c r="M1472" s="6" t="s">
        <v>5927</v>
      </c>
      <c r="N1472" s="6" t="s">
        <v>34</v>
      </c>
      <c r="O1472" s="6" t="s">
        <v>49</v>
      </c>
      <c r="P1472" s="6">
        <f>COUNTIF(Analysis!$M$1:$M$3001,Analysis!$M1472)</f>
        <v>2</v>
      </c>
      <c r="Q1472" s="6" t="str">
        <f>IF(COUNTIF(Analysis!$M$2:$M$3001,Analysis!$M1472)&gt;1,"Duplicate","OK")</f>
        <v>Duplicate</v>
      </c>
      <c r="R1472" s="6" t="str">
        <f t="shared" si="1"/>
        <v>600-1600</v>
      </c>
      <c r="S1472" s="6">
        <f t="shared" si="2"/>
        <v>38</v>
      </c>
      <c r="T1472" s="6" t="str">
        <f t="shared" si="3"/>
        <v>Old</v>
      </c>
    </row>
    <row r="1473" ht="14.25" customHeight="1">
      <c r="A1473" s="5">
        <v>591413.0</v>
      </c>
      <c r="B1473" s="6" t="s">
        <v>5930</v>
      </c>
      <c r="C1473" s="6" t="s">
        <v>39</v>
      </c>
      <c r="D1473" s="6">
        <v>29253.0</v>
      </c>
      <c r="E1473" s="6" t="s">
        <v>60</v>
      </c>
      <c r="F1473" s="6" t="s">
        <v>94</v>
      </c>
      <c r="G1473" s="6" t="s">
        <v>55</v>
      </c>
      <c r="H1473" s="7">
        <v>3141.0</v>
      </c>
      <c r="I1473" s="7">
        <v>9189.0</v>
      </c>
      <c r="J1473" s="6">
        <v>1964.0</v>
      </c>
      <c r="K1473" s="6">
        <v>69.0</v>
      </c>
      <c r="L1473" s="6" t="s">
        <v>95</v>
      </c>
      <c r="M1473" s="6" t="s">
        <v>5931</v>
      </c>
      <c r="N1473" s="6" t="s">
        <v>24</v>
      </c>
      <c r="O1473" s="6" t="s">
        <v>49</v>
      </c>
      <c r="P1473" s="6">
        <f>COUNTIF(Analysis!$M$1:$M$3001,Analysis!$M1473)</f>
        <v>1</v>
      </c>
      <c r="Q1473" s="6" t="str">
        <f>IF(COUNTIF(Analysis!$M$2:$M$3001,Analysis!$M1473)&gt;1,"Duplicate","OK")</f>
        <v>OK</v>
      </c>
      <c r="R1473" s="6" t="str">
        <f t="shared" si="1"/>
        <v>2600-3600</v>
      </c>
      <c r="S1473" s="6">
        <f t="shared" si="2"/>
        <v>62</v>
      </c>
      <c r="T1473" s="6" t="str">
        <f t="shared" si="3"/>
        <v>Very Old</v>
      </c>
    </row>
    <row r="1474" ht="14.25" customHeight="1">
      <c r="A1474" s="5">
        <v>202048.0</v>
      </c>
      <c r="B1474" s="6" t="s">
        <v>5934</v>
      </c>
      <c r="C1474" s="6" t="s">
        <v>76</v>
      </c>
      <c r="D1474" s="6">
        <v>50058.0</v>
      </c>
      <c r="E1474" s="6" t="s">
        <v>60</v>
      </c>
      <c r="F1474" s="6" t="s">
        <v>94</v>
      </c>
      <c r="G1474" s="6" t="s">
        <v>21</v>
      </c>
      <c r="H1474" s="7">
        <v>2906.0</v>
      </c>
      <c r="I1474" s="7">
        <v>6784.0</v>
      </c>
      <c r="J1474" s="6">
        <v>2009.0</v>
      </c>
      <c r="K1474" s="6">
        <v>118.0</v>
      </c>
      <c r="L1474" s="6" t="s">
        <v>22</v>
      </c>
      <c r="M1474" s="6" t="s">
        <v>5935</v>
      </c>
      <c r="N1474" s="6" t="s">
        <v>34</v>
      </c>
      <c r="O1474" s="6" t="s">
        <v>35</v>
      </c>
      <c r="P1474" s="6">
        <f>COUNTIF(Analysis!$M$1:$M$3001,Analysis!$M1474)</f>
        <v>1</v>
      </c>
      <c r="Q1474" s="6" t="str">
        <f>IF(COUNTIF(Analysis!$M$2:$M$3001,Analysis!$M1474)&gt;1,"Duplicate","OK")</f>
        <v>OK</v>
      </c>
      <c r="R1474" s="6" t="str">
        <f t="shared" si="1"/>
        <v>2600-3600</v>
      </c>
      <c r="S1474" s="6">
        <f t="shared" si="2"/>
        <v>17</v>
      </c>
      <c r="T1474" s="6" t="str">
        <f t="shared" si="3"/>
        <v>Mid</v>
      </c>
    </row>
    <row r="1475" ht="14.25" customHeight="1">
      <c r="A1475" s="5">
        <v>484824.0</v>
      </c>
      <c r="B1475" s="6" t="s">
        <v>5938</v>
      </c>
      <c r="C1475" s="6" t="s">
        <v>39</v>
      </c>
      <c r="D1475" s="6">
        <v>78417.0</v>
      </c>
      <c r="E1475" s="6" t="s">
        <v>60</v>
      </c>
      <c r="F1475" s="6" t="s">
        <v>54</v>
      </c>
      <c r="G1475" s="6" t="s">
        <v>21</v>
      </c>
      <c r="H1475" s="7">
        <v>3375.0</v>
      </c>
      <c r="I1475" s="7">
        <v>6800.0</v>
      </c>
      <c r="J1475" s="6">
        <v>1959.0</v>
      </c>
      <c r="K1475" s="6">
        <v>99.0</v>
      </c>
      <c r="L1475" s="6" t="s">
        <v>62</v>
      </c>
      <c r="M1475" s="6" t="s">
        <v>5939</v>
      </c>
      <c r="N1475" s="6" t="s">
        <v>24</v>
      </c>
      <c r="O1475" s="6" t="s">
        <v>49</v>
      </c>
      <c r="P1475" s="6">
        <f>COUNTIF(Analysis!$M$1:$M$3001,Analysis!$M1475)</f>
        <v>1</v>
      </c>
      <c r="Q1475" s="6" t="str">
        <f>IF(COUNTIF(Analysis!$M$2:$M$3001,Analysis!$M1475)&gt;1,"Duplicate","OK")</f>
        <v>OK</v>
      </c>
      <c r="R1475" s="6" t="str">
        <f t="shared" si="1"/>
        <v>2600-3600</v>
      </c>
      <c r="S1475" s="6">
        <f t="shared" si="2"/>
        <v>67</v>
      </c>
      <c r="T1475" s="6" t="str">
        <f t="shared" si="3"/>
        <v>Very Old</v>
      </c>
    </row>
    <row r="1476" ht="14.25" customHeight="1">
      <c r="A1476" s="5">
        <v>975639.0</v>
      </c>
      <c r="B1476" s="6" t="s">
        <v>5942</v>
      </c>
      <c r="C1476" s="6" t="s">
        <v>76</v>
      </c>
      <c r="D1476" s="6">
        <v>62236.0</v>
      </c>
      <c r="E1476" s="6" t="s">
        <v>77</v>
      </c>
      <c r="F1476" s="6" t="s">
        <v>20</v>
      </c>
      <c r="G1476" s="6" t="s">
        <v>21</v>
      </c>
      <c r="H1476" s="7">
        <v>1294.0</v>
      </c>
      <c r="I1476" s="7">
        <v>5757.0</v>
      </c>
      <c r="J1476" s="6">
        <v>2003.0</v>
      </c>
      <c r="K1476" s="6">
        <v>12.0</v>
      </c>
      <c r="L1476" s="6" t="s">
        <v>22</v>
      </c>
      <c r="M1476" s="6" t="s">
        <v>5943</v>
      </c>
      <c r="N1476" s="6" t="s">
        <v>34</v>
      </c>
      <c r="O1476" s="6" t="s">
        <v>35</v>
      </c>
      <c r="P1476" s="6">
        <f>COUNTIF(Analysis!$M$1:$M$3001,Analysis!$M1476)</f>
        <v>1</v>
      </c>
      <c r="Q1476" s="6" t="str">
        <f>IF(COUNTIF(Analysis!$M$2:$M$3001,Analysis!$M1476)&gt;1,"Duplicate","OK")</f>
        <v>OK</v>
      </c>
      <c r="R1476" s="6" t="str">
        <f t="shared" si="1"/>
        <v>600-1600</v>
      </c>
      <c r="S1476" s="6">
        <f t="shared" si="2"/>
        <v>23</v>
      </c>
      <c r="T1476" s="6" t="str">
        <f t="shared" si="3"/>
        <v>Mid</v>
      </c>
    </row>
    <row r="1477" ht="14.25" customHeight="1">
      <c r="A1477" s="5">
        <v>375868.0</v>
      </c>
      <c r="B1477" s="6" t="s">
        <v>5946</v>
      </c>
      <c r="C1477" s="6" t="s">
        <v>18</v>
      </c>
      <c r="D1477" s="6">
        <v>76509.0</v>
      </c>
      <c r="E1477" s="6" t="s">
        <v>60</v>
      </c>
      <c r="F1477" s="6" t="s">
        <v>54</v>
      </c>
      <c r="G1477" s="6" t="s">
        <v>21</v>
      </c>
      <c r="H1477" s="7">
        <v>828.0</v>
      </c>
      <c r="I1477" s="7">
        <v>7406.0</v>
      </c>
      <c r="J1477" s="6">
        <v>2009.0</v>
      </c>
      <c r="K1477" s="6">
        <v>29.0</v>
      </c>
      <c r="L1477" s="6" t="s">
        <v>62</v>
      </c>
      <c r="M1477" s="6" t="s">
        <v>5947</v>
      </c>
      <c r="N1477" s="6" t="s">
        <v>24</v>
      </c>
      <c r="O1477" s="6" t="s">
        <v>35</v>
      </c>
      <c r="P1477" s="6">
        <f>COUNTIF(Analysis!$M$1:$M$3001,Analysis!$M1477)</f>
        <v>1</v>
      </c>
      <c r="Q1477" s="6" t="str">
        <f>IF(COUNTIF(Analysis!$M$2:$M$3001,Analysis!$M1477)&gt;1,"Duplicate","OK")</f>
        <v>OK</v>
      </c>
      <c r="R1477" s="6" t="str">
        <f t="shared" si="1"/>
        <v>600-1600</v>
      </c>
      <c r="S1477" s="6">
        <f t="shared" si="2"/>
        <v>17</v>
      </c>
      <c r="T1477" s="6" t="str">
        <f t="shared" si="3"/>
        <v>Mid</v>
      </c>
    </row>
    <row r="1478" ht="14.25" customHeight="1">
      <c r="A1478" s="5">
        <v>1382800.0</v>
      </c>
      <c r="B1478" s="6" t="s">
        <v>5950</v>
      </c>
      <c r="C1478" s="6" t="s">
        <v>18</v>
      </c>
      <c r="D1478" s="6">
        <v>10617.0</v>
      </c>
      <c r="E1478" s="6" t="s">
        <v>30</v>
      </c>
      <c r="F1478" s="6" t="s">
        <v>94</v>
      </c>
      <c r="G1478" s="6" t="s">
        <v>21</v>
      </c>
      <c r="H1478" s="7">
        <v>3690.0</v>
      </c>
      <c r="I1478" s="7">
        <v>4485.0</v>
      </c>
      <c r="J1478" s="6">
        <v>1978.0</v>
      </c>
      <c r="K1478" s="6">
        <v>29.0</v>
      </c>
      <c r="L1478" s="6" t="s">
        <v>95</v>
      </c>
      <c r="M1478" s="6" t="s">
        <v>5951</v>
      </c>
      <c r="N1478" s="6" t="s">
        <v>43</v>
      </c>
      <c r="O1478" s="6" t="s">
        <v>49</v>
      </c>
      <c r="P1478" s="6">
        <f>COUNTIF(Analysis!$M$1:$M$3001,Analysis!$M1478)</f>
        <v>1</v>
      </c>
      <c r="Q1478" s="6" t="str">
        <f>IF(COUNTIF(Analysis!$M$2:$M$3001,Analysis!$M1478)&gt;1,"Duplicate","OK")</f>
        <v>OK</v>
      </c>
      <c r="R1478" s="6" t="str">
        <f t="shared" si="1"/>
        <v>3600+</v>
      </c>
      <c r="S1478" s="6">
        <f t="shared" si="2"/>
        <v>48</v>
      </c>
      <c r="T1478" s="6" t="str">
        <f t="shared" si="3"/>
        <v>Old</v>
      </c>
    </row>
    <row r="1479" ht="14.25" customHeight="1">
      <c r="A1479" s="5">
        <v>926788.0</v>
      </c>
      <c r="B1479" s="6" t="s">
        <v>5954</v>
      </c>
      <c r="C1479" s="6" t="s">
        <v>39</v>
      </c>
      <c r="D1479" s="6">
        <v>39573.0</v>
      </c>
      <c r="E1479" s="6" t="s">
        <v>19</v>
      </c>
      <c r="F1479" s="6" t="s">
        <v>46</v>
      </c>
      <c r="G1479" s="6" t="s">
        <v>21</v>
      </c>
      <c r="H1479" s="7">
        <v>2755.0</v>
      </c>
      <c r="I1479" s="7">
        <v>1797.0</v>
      </c>
      <c r="J1479" s="6">
        <v>2015.0</v>
      </c>
      <c r="K1479" s="6">
        <v>52.0</v>
      </c>
      <c r="L1479" s="6" t="s">
        <v>141</v>
      </c>
      <c r="M1479" s="6" t="s">
        <v>5955</v>
      </c>
      <c r="N1479" s="6" t="s">
        <v>24</v>
      </c>
      <c r="O1479" s="6" t="s">
        <v>49</v>
      </c>
      <c r="P1479" s="6">
        <f>COUNTIF(Analysis!$M$1:$M$3001,Analysis!$M1479)</f>
        <v>1</v>
      </c>
      <c r="Q1479" s="6" t="str">
        <f>IF(COUNTIF(Analysis!$M$2:$M$3001,Analysis!$M1479)&gt;1,"Duplicate","OK")</f>
        <v>OK</v>
      </c>
      <c r="R1479" s="6" t="str">
        <f t="shared" si="1"/>
        <v>2600-3600</v>
      </c>
      <c r="S1479" s="6">
        <f t="shared" si="2"/>
        <v>11</v>
      </c>
      <c r="T1479" s="6" t="str">
        <f t="shared" si="3"/>
        <v>Mid</v>
      </c>
    </row>
    <row r="1480" ht="14.25" customHeight="1">
      <c r="A1480" s="5">
        <v>783550.0</v>
      </c>
      <c r="B1480" s="6" t="s">
        <v>9651</v>
      </c>
      <c r="C1480" s="6" t="s">
        <v>29</v>
      </c>
      <c r="D1480" s="6">
        <v>97823.0</v>
      </c>
      <c r="E1480" s="6" t="s">
        <v>19</v>
      </c>
      <c r="F1480" s="6" t="s">
        <v>94</v>
      </c>
      <c r="G1480" s="6" t="s">
        <v>21</v>
      </c>
      <c r="H1480" s="7">
        <v>1555.0</v>
      </c>
      <c r="I1480" s="7">
        <v>8426.0</v>
      </c>
      <c r="J1480" s="6">
        <v>2023.0</v>
      </c>
      <c r="K1480" s="6">
        <v>57.0</v>
      </c>
      <c r="L1480" s="6" t="s">
        <v>95</v>
      </c>
      <c r="M1480" s="6" t="s">
        <v>9652</v>
      </c>
      <c r="N1480" s="6" t="s">
        <v>34</v>
      </c>
      <c r="O1480" s="6" t="s">
        <v>35</v>
      </c>
      <c r="P1480" s="6">
        <f>COUNTIF(Analysis!$M$1:$M$3001,Analysis!$M2404)</f>
        <v>1</v>
      </c>
      <c r="Q1480" s="6" t="str">
        <f>IF(COUNTIF(Analysis!$M$2:$M$3001,Analysis!$M2404)&gt;1,"Duplicate","OK")</f>
        <v>OK</v>
      </c>
      <c r="R1480" s="6" t="str">
        <f t="shared" si="1"/>
        <v>600-1600</v>
      </c>
      <c r="S1480" s="6">
        <f t="shared" si="2"/>
        <v>3</v>
      </c>
      <c r="T1480" s="6" t="str">
        <f t="shared" si="3"/>
        <v>New</v>
      </c>
    </row>
    <row r="1481" ht="14.25" customHeight="1">
      <c r="A1481" s="5">
        <v>571568.0</v>
      </c>
      <c r="B1481" s="6" t="s">
        <v>5962</v>
      </c>
      <c r="C1481" s="6" t="s">
        <v>18</v>
      </c>
      <c r="D1481" s="6">
        <v>47551.0</v>
      </c>
      <c r="E1481" s="6" t="s">
        <v>77</v>
      </c>
      <c r="F1481" s="6" t="s">
        <v>61</v>
      </c>
      <c r="G1481" s="6" t="s">
        <v>21</v>
      </c>
      <c r="H1481" s="7">
        <v>1816.0</v>
      </c>
      <c r="I1481" s="7">
        <v>9386.0</v>
      </c>
      <c r="J1481" s="6">
        <v>1967.0</v>
      </c>
      <c r="K1481" s="6">
        <v>41.0</v>
      </c>
      <c r="L1481" s="6" t="s">
        <v>141</v>
      </c>
      <c r="M1481" s="6" t="s">
        <v>5963</v>
      </c>
      <c r="N1481" s="6" t="s">
        <v>43</v>
      </c>
      <c r="O1481" s="6" t="s">
        <v>49</v>
      </c>
      <c r="P1481" s="6">
        <f>COUNTIF(Analysis!$M$1:$M$3001,Analysis!$M1481)</f>
        <v>1</v>
      </c>
      <c r="Q1481" s="6" t="str">
        <f>IF(COUNTIF(Analysis!$M$2:$M$3001,Analysis!$M1481)&gt;1,"Duplicate","OK")</f>
        <v>OK</v>
      </c>
      <c r="R1481" s="6" t="str">
        <f t="shared" si="1"/>
        <v>1600-2600</v>
      </c>
      <c r="S1481" s="6">
        <f t="shared" si="2"/>
        <v>59</v>
      </c>
      <c r="T1481" s="6" t="str">
        <f t="shared" si="3"/>
        <v>Old</v>
      </c>
    </row>
    <row r="1482" ht="14.25" customHeight="1">
      <c r="A1482" s="5">
        <v>310835.0</v>
      </c>
      <c r="B1482" s="6" t="s">
        <v>5966</v>
      </c>
      <c r="C1482" s="6" t="s">
        <v>39</v>
      </c>
      <c r="D1482" s="6">
        <v>47857.0</v>
      </c>
      <c r="E1482" s="6" t="s">
        <v>40</v>
      </c>
      <c r="F1482" s="6" t="s">
        <v>46</v>
      </c>
      <c r="G1482" s="6" t="s">
        <v>100</v>
      </c>
      <c r="H1482" s="7">
        <v>3212.0</v>
      </c>
      <c r="I1482" s="7">
        <v>6244.0</v>
      </c>
      <c r="J1482" s="6">
        <v>2005.0</v>
      </c>
      <c r="K1482" s="6">
        <v>58.0</v>
      </c>
      <c r="L1482" s="6" t="s">
        <v>95</v>
      </c>
      <c r="M1482" s="6" t="s">
        <v>5967</v>
      </c>
      <c r="N1482" s="6" t="s">
        <v>48</v>
      </c>
      <c r="O1482" s="6" t="s">
        <v>49</v>
      </c>
      <c r="P1482" s="6">
        <f>COUNTIF(Analysis!$M$1:$M$3001,Analysis!$M1482)</f>
        <v>1</v>
      </c>
      <c r="Q1482" s="6" t="str">
        <f>IF(COUNTIF(Analysis!$M$2:$M$3001,Analysis!$M1482)&gt;1,"Duplicate","OK")</f>
        <v>OK</v>
      </c>
      <c r="R1482" s="6" t="str">
        <f t="shared" si="1"/>
        <v>2600-3600</v>
      </c>
      <c r="S1482" s="6">
        <f t="shared" si="2"/>
        <v>21</v>
      </c>
      <c r="T1482" s="6" t="str">
        <f t="shared" si="3"/>
        <v>Mid</v>
      </c>
    </row>
    <row r="1483" ht="14.25" customHeight="1">
      <c r="A1483" s="5">
        <v>508171.0</v>
      </c>
      <c r="B1483" s="6" t="s">
        <v>5970</v>
      </c>
      <c r="C1483" s="6" t="s">
        <v>76</v>
      </c>
      <c r="D1483" s="6">
        <v>22352.0</v>
      </c>
      <c r="E1483" s="6" t="s">
        <v>40</v>
      </c>
      <c r="F1483" s="6" t="s">
        <v>20</v>
      </c>
      <c r="G1483" s="6" t="s">
        <v>21</v>
      </c>
      <c r="H1483" s="7">
        <v>3282.0</v>
      </c>
      <c r="I1483" s="7">
        <v>4028.0</v>
      </c>
      <c r="J1483" s="6">
        <v>1972.0</v>
      </c>
      <c r="K1483" s="6">
        <v>95.0</v>
      </c>
      <c r="L1483" s="6" t="s">
        <v>95</v>
      </c>
      <c r="M1483" s="6" t="s">
        <v>5971</v>
      </c>
      <c r="N1483" s="6" t="s">
        <v>34</v>
      </c>
      <c r="O1483" s="6" t="s">
        <v>35</v>
      </c>
      <c r="P1483" s="6">
        <f>COUNTIF(Analysis!$M$1:$M$3001,Analysis!$M1483)</f>
        <v>1</v>
      </c>
      <c r="Q1483" s="6" t="str">
        <f>IF(COUNTIF(Analysis!$M$2:$M$3001,Analysis!$M1483)&gt;1,"Duplicate","OK")</f>
        <v>OK</v>
      </c>
      <c r="R1483" s="6" t="str">
        <f t="shared" si="1"/>
        <v>2600-3600</v>
      </c>
      <c r="S1483" s="6">
        <f t="shared" si="2"/>
        <v>54</v>
      </c>
      <c r="T1483" s="6" t="str">
        <f t="shared" si="3"/>
        <v>Old</v>
      </c>
    </row>
    <row r="1484" ht="14.25" customHeight="1">
      <c r="A1484" s="5">
        <v>493637.0</v>
      </c>
      <c r="B1484" s="6" t="s">
        <v>5974</v>
      </c>
      <c r="C1484" s="6" t="s">
        <v>18</v>
      </c>
      <c r="D1484" s="6">
        <v>45350.0</v>
      </c>
      <c r="E1484" s="6" t="s">
        <v>30</v>
      </c>
      <c r="F1484" s="6" t="s">
        <v>54</v>
      </c>
      <c r="G1484" s="6" t="s">
        <v>55</v>
      </c>
      <c r="H1484" s="7">
        <v>2852.0</v>
      </c>
      <c r="I1484" s="7">
        <v>8461.0</v>
      </c>
      <c r="J1484" s="6">
        <v>1953.0</v>
      </c>
      <c r="K1484" s="6">
        <v>67.0</v>
      </c>
      <c r="L1484" s="6" t="s">
        <v>32</v>
      </c>
      <c r="M1484" s="6" t="s">
        <v>5975</v>
      </c>
      <c r="N1484" s="6" t="s">
        <v>48</v>
      </c>
      <c r="O1484" s="6" t="s">
        <v>25</v>
      </c>
      <c r="P1484" s="6">
        <f>COUNTIF(Analysis!$M$1:$M$3001,Analysis!$M1484)</f>
        <v>1</v>
      </c>
      <c r="Q1484" s="6" t="str">
        <f>IF(COUNTIF(Analysis!$M$2:$M$3001,Analysis!$M1484)&gt;1,"Duplicate","OK")</f>
        <v>OK</v>
      </c>
      <c r="R1484" s="6" t="str">
        <f t="shared" si="1"/>
        <v>2600-3600</v>
      </c>
      <c r="S1484" s="6">
        <f t="shared" si="2"/>
        <v>73</v>
      </c>
      <c r="T1484" s="6" t="str">
        <f t="shared" si="3"/>
        <v>Very Old</v>
      </c>
    </row>
    <row r="1485" ht="14.25" customHeight="1">
      <c r="A1485" s="5">
        <v>125582.0</v>
      </c>
      <c r="B1485" s="6" t="s">
        <v>5978</v>
      </c>
      <c r="C1485" s="6" t="s">
        <v>76</v>
      </c>
      <c r="D1485" s="6">
        <v>63682.0</v>
      </c>
      <c r="E1485" s="6" t="s">
        <v>19</v>
      </c>
      <c r="F1485" s="6" t="s">
        <v>46</v>
      </c>
      <c r="G1485" s="6" t="s">
        <v>21</v>
      </c>
      <c r="H1485" s="7">
        <v>1747.0</v>
      </c>
      <c r="I1485" s="7">
        <v>8884.0</v>
      </c>
      <c r="J1485" s="6">
        <v>1971.0</v>
      </c>
      <c r="K1485" s="6">
        <v>4.0</v>
      </c>
      <c r="L1485" s="6" t="s">
        <v>95</v>
      </c>
      <c r="M1485" s="6" t="s">
        <v>5979</v>
      </c>
      <c r="N1485" s="6" t="s">
        <v>48</v>
      </c>
      <c r="O1485" s="6" t="s">
        <v>35</v>
      </c>
      <c r="P1485" s="6">
        <f>COUNTIF(Analysis!$M$1:$M$3001,Analysis!$M1485)</f>
        <v>1</v>
      </c>
      <c r="Q1485" s="6" t="str">
        <f>IF(COUNTIF(Analysis!$M$2:$M$3001,Analysis!$M1485)&gt;1,"Duplicate","OK")</f>
        <v>OK</v>
      </c>
      <c r="R1485" s="6" t="str">
        <f t="shared" si="1"/>
        <v>1600-2600</v>
      </c>
      <c r="S1485" s="6">
        <f t="shared" si="2"/>
        <v>55</v>
      </c>
      <c r="T1485" s="6" t="str">
        <f t="shared" si="3"/>
        <v>Old</v>
      </c>
    </row>
    <row r="1486" ht="14.25" customHeight="1">
      <c r="A1486" s="5">
        <v>358855.0</v>
      </c>
      <c r="B1486" s="6" t="s">
        <v>5982</v>
      </c>
      <c r="C1486" s="6" t="s">
        <v>76</v>
      </c>
      <c r="D1486" s="6">
        <v>14953.0</v>
      </c>
      <c r="E1486" s="6" t="s">
        <v>30</v>
      </c>
      <c r="F1486" s="6" t="s">
        <v>94</v>
      </c>
      <c r="G1486" s="6" t="s">
        <v>100</v>
      </c>
      <c r="H1486" s="7">
        <v>3973.0</v>
      </c>
      <c r="I1486" s="7">
        <v>9351.0</v>
      </c>
      <c r="J1486" s="6">
        <v>2018.0</v>
      </c>
      <c r="K1486" s="6">
        <v>22.0</v>
      </c>
      <c r="L1486" s="6" t="s">
        <v>95</v>
      </c>
      <c r="M1486" s="6" t="s">
        <v>5983</v>
      </c>
      <c r="N1486" s="6" t="s">
        <v>24</v>
      </c>
      <c r="O1486" s="6" t="s">
        <v>35</v>
      </c>
      <c r="P1486" s="6">
        <f>COUNTIF(Analysis!$M$1:$M$3001,Analysis!$M1486)</f>
        <v>1</v>
      </c>
      <c r="Q1486" s="6" t="str">
        <f>IF(COUNTIF(Analysis!$M$2:$M$3001,Analysis!$M1486)&gt;1,"Duplicate","OK")</f>
        <v>OK</v>
      </c>
      <c r="R1486" s="6" t="str">
        <f t="shared" si="1"/>
        <v>3600+</v>
      </c>
      <c r="S1486" s="6">
        <f t="shared" si="2"/>
        <v>8</v>
      </c>
      <c r="T1486" s="6" t="str">
        <f t="shared" si="3"/>
        <v>New</v>
      </c>
    </row>
    <row r="1487" ht="14.25" customHeight="1">
      <c r="A1487" s="5">
        <v>333088.0</v>
      </c>
      <c r="B1487" s="6" t="s">
        <v>5986</v>
      </c>
      <c r="C1487" s="6" t="s">
        <v>53</v>
      </c>
      <c r="D1487" s="6">
        <v>11197.0</v>
      </c>
      <c r="E1487" s="6" t="s">
        <v>77</v>
      </c>
      <c r="F1487" s="6" t="s">
        <v>46</v>
      </c>
      <c r="G1487" s="6" t="s">
        <v>100</v>
      </c>
      <c r="H1487" s="7">
        <v>2471.0</v>
      </c>
      <c r="I1487" s="7">
        <v>3616.0</v>
      </c>
      <c r="J1487" s="6">
        <v>1958.0</v>
      </c>
      <c r="K1487" s="6">
        <v>79.0</v>
      </c>
      <c r="L1487" s="6" t="s">
        <v>95</v>
      </c>
      <c r="M1487" s="6" t="s">
        <v>5987</v>
      </c>
      <c r="N1487" s="6" t="s">
        <v>34</v>
      </c>
      <c r="O1487" s="6" t="s">
        <v>49</v>
      </c>
      <c r="P1487" s="6">
        <f>COUNTIF(Analysis!$M$1:$M$3001,Analysis!$M1487)</f>
        <v>1</v>
      </c>
      <c r="Q1487" s="6" t="str">
        <f>IF(COUNTIF(Analysis!$M$2:$M$3001,Analysis!$M1487)&gt;1,"Duplicate","OK")</f>
        <v>OK</v>
      </c>
      <c r="R1487" s="6" t="str">
        <f t="shared" si="1"/>
        <v>1600-2600</v>
      </c>
      <c r="S1487" s="6">
        <f t="shared" si="2"/>
        <v>68</v>
      </c>
      <c r="T1487" s="6" t="str">
        <f t="shared" si="3"/>
        <v>Very Old</v>
      </c>
    </row>
    <row r="1488" ht="14.25" customHeight="1">
      <c r="A1488" s="5">
        <v>784628.0</v>
      </c>
      <c r="B1488" s="6" t="s">
        <v>6241</v>
      </c>
      <c r="C1488" s="6" t="s">
        <v>29</v>
      </c>
      <c r="D1488" s="6">
        <v>13951.0</v>
      </c>
      <c r="E1488" s="6" t="s">
        <v>77</v>
      </c>
      <c r="F1488" s="6" t="s">
        <v>20</v>
      </c>
      <c r="G1488" s="6" t="s">
        <v>31</v>
      </c>
      <c r="H1488" s="7">
        <v>3511.0</v>
      </c>
      <c r="I1488" s="7">
        <v>6981.0</v>
      </c>
      <c r="J1488" s="6">
        <v>1964.0</v>
      </c>
      <c r="K1488" s="6">
        <v>48.0</v>
      </c>
      <c r="L1488" s="6" t="s">
        <v>32</v>
      </c>
      <c r="M1488" s="6" t="s">
        <v>6242</v>
      </c>
      <c r="N1488" s="6" t="s">
        <v>43</v>
      </c>
      <c r="O1488" s="6" t="s">
        <v>25</v>
      </c>
      <c r="P1488" s="6">
        <f>COUNTIF(Analysis!$M$1:$M$3001,Analysis!$M1551)</f>
        <v>1</v>
      </c>
      <c r="Q1488" s="6" t="str">
        <f>IF(COUNTIF(Analysis!$M$2:$M$3001,Analysis!$M1551)&gt;1,"Duplicate","OK")</f>
        <v>OK</v>
      </c>
      <c r="R1488" s="6" t="str">
        <f t="shared" si="1"/>
        <v>2600-3600</v>
      </c>
      <c r="S1488" s="6">
        <f t="shared" si="2"/>
        <v>62</v>
      </c>
      <c r="T1488" s="6" t="str">
        <f t="shared" si="3"/>
        <v>Very Old</v>
      </c>
    </row>
    <row r="1489" ht="14.25" customHeight="1">
      <c r="A1489" s="5">
        <v>841326.0</v>
      </c>
      <c r="B1489" s="6" t="s">
        <v>5994</v>
      </c>
      <c r="C1489" s="6" t="s">
        <v>53</v>
      </c>
      <c r="D1489" s="6">
        <v>67275.0</v>
      </c>
      <c r="E1489" s="6" t="s">
        <v>77</v>
      </c>
      <c r="F1489" s="6" t="s">
        <v>61</v>
      </c>
      <c r="G1489" s="6" t="s">
        <v>31</v>
      </c>
      <c r="H1489" s="7">
        <v>1165.0</v>
      </c>
      <c r="I1489" s="7">
        <v>2075.0</v>
      </c>
      <c r="J1489" s="6">
        <v>1980.0</v>
      </c>
      <c r="K1489" s="6">
        <v>81.0</v>
      </c>
      <c r="L1489" s="6" t="s">
        <v>62</v>
      </c>
      <c r="M1489" s="6" t="s">
        <v>5995</v>
      </c>
      <c r="N1489" s="6" t="s">
        <v>64</v>
      </c>
      <c r="O1489" s="6" t="s">
        <v>49</v>
      </c>
      <c r="P1489" s="6">
        <f>COUNTIF(Analysis!$M$1:$M$3001,Analysis!$M1489)</f>
        <v>1</v>
      </c>
      <c r="Q1489" s="6" t="str">
        <f>IF(COUNTIF(Analysis!$M$2:$M$3001,Analysis!$M1489)&gt;1,"Duplicate","OK")</f>
        <v>OK</v>
      </c>
      <c r="R1489" s="6" t="str">
        <f t="shared" si="1"/>
        <v>600-1600</v>
      </c>
      <c r="S1489" s="6">
        <f t="shared" si="2"/>
        <v>46</v>
      </c>
      <c r="T1489" s="6" t="str">
        <f t="shared" si="3"/>
        <v>Old</v>
      </c>
    </row>
    <row r="1490" ht="14.25" customHeight="1">
      <c r="A1490" s="5">
        <v>128867.0</v>
      </c>
      <c r="B1490" s="6" t="s">
        <v>5998</v>
      </c>
      <c r="C1490" s="6" t="s">
        <v>76</v>
      </c>
      <c r="D1490" s="6">
        <v>56583.0</v>
      </c>
      <c r="E1490" s="6" t="s">
        <v>30</v>
      </c>
      <c r="F1490" s="6" t="s">
        <v>94</v>
      </c>
      <c r="G1490" s="6" t="s">
        <v>100</v>
      </c>
      <c r="H1490" s="7">
        <v>2837.0</v>
      </c>
      <c r="I1490" s="7">
        <v>8979.0</v>
      </c>
      <c r="J1490" s="6">
        <v>1968.0</v>
      </c>
      <c r="K1490" s="6">
        <v>82.0</v>
      </c>
      <c r="L1490" s="6" t="s">
        <v>95</v>
      </c>
      <c r="M1490" s="6" t="s">
        <v>5999</v>
      </c>
      <c r="N1490" s="6" t="s">
        <v>64</v>
      </c>
      <c r="O1490" s="6" t="s">
        <v>49</v>
      </c>
      <c r="P1490" s="6">
        <f>COUNTIF(Analysis!$M$1:$M$3001,Analysis!$M1490)</f>
        <v>1</v>
      </c>
      <c r="Q1490" s="6" t="str">
        <f>IF(COUNTIF(Analysis!$M$2:$M$3001,Analysis!$M1490)&gt;1,"Duplicate","OK")</f>
        <v>OK</v>
      </c>
      <c r="R1490" s="6" t="str">
        <f t="shared" si="1"/>
        <v>2600-3600</v>
      </c>
      <c r="S1490" s="6">
        <f t="shared" si="2"/>
        <v>58</v>
      </c>
      <c r="T1490" s="6" t="str">
        <f t="shared" si="3"/>
        <v>Old</v>
      </c>
    </row>
    <row r="1491" ht="14.25" customHeight="1">
      <c r="A1491" s="5">
        <v>748777.0</v>
      </c>
      <c r="B1491" s="6" t="s">
        <v>6002</v>
      </c>
      <c r="C1491" s="6" t="s">
        <v>39</v>
      </c>
      <c r="D1491" s="6">
        <v>21455.0</v>
      </c>
      <c r="E1491" s="6" t="s">
        <v>30</v>
      </c>
      <c r="F1491" s="6" t="s">
        <v>46</v>
      </c>
      <c r="G1491" s="6" t="s">
        <v>31</v>
      </c>
      <c r="H1491" s="7">
        <v>2886.0</v>
      </c>
      <c r="I1491" s="7">
        <v>6378.0</v>
      </c>
      <c r="J1491" s="6">
        <v>1975.0</v>
      </c>
      <c r="K1491" s="6">
        <v>9.0</v>
      </c>
      <c r="L1491" s="6" t="s">
        <v>32</v>
      </c>
      <c r="M1491" s="6" t="s">
        <v>6003</v>
      </c>
      <c r="N1491" s="6" t="s">
        <v>43</v>
      </c>
      <c r="O1491" s="6" t="s">
        <v>49</v>
      </c>
      <c r="P1491" s="6">
        <f>COUNTIF(Analysis!$M$1:$M$3001,Analysis!$M1491)</f>
        <v>1</v>
      </c>
      <c r="Q1491" s="6" t="str">
        <f>IF(COUNTIF(Analysis!$M$2:$M$3001,Analysis!$M1491)&gt;1,"Duplicate","OK")</f>
        <v>OK</v>
      </c>
      <c r="R1491" s="6" t="str">
        <f t="shared" si="1"/>
        <v>2600-3600</v>
      </c>
      <c r="S1491" s="6">
        <f t="shared" si="2"/>
        <v>51</v>
      </c>
      <c r="T1491" s="6" t="str">
        <f t="shared" si="3"/>
        <v>Old</v>
      </c>
    </row>
    <row r="1492" ht="14.25" customHeight="1">
      <c r="A1492" s="5">
        <v>221782.0</v>
      </c>
      <c r="B1492" s="6" t="s">
        <v>6006</v>
      </c>
      <c r="C1492" s="6" t="s">
        <v>39</v>
      </c>
      <c r="D1492" s="6">
        <v>38208.0</v>
      </c>
      <c r="E1492" s="6" t="s">
        <v>40</v>
      </c>
      <c r="F1492" s="6" t="s">
        <v>61</v>
      </c>
      <c r="G1492" s="6" t="s">
        <v>31</v>
      </c>
      <c r="H1492" s="7">
        <v>2769.0</v>
      </c>
      <c r="I1492" s="7">
        <v>8859.0</v>
      </c>
      <c r="J1492" s="6">
        <v>1980.0</v>
      </c>
      <c r="K1492" s="6">
        <v>83.0</v>
      </c>
      <c r="L1492" s="6" t="s">
        <v>141</v>
      </c>
      <c r="M1492" s="6" t="s">
        <v>6007</v>
      </c>
      <c r="N1492" s="6" t="s">
        <v>48</v>
      </c>
      <c r="O1492" s="6" t="s">
        <v>25</v>
      </c>
      <c r="P1492" s="6">
        <f>COUNTIF(Analysis!$M$1:$M$3001,Analysis!$M1492)</f>
        <v>1</v>
      </c>
      <c r="Q1492" s="6" t="str">
        <f>IF(COUNTIF(Analysis!$M$2:$M$3001,Analysis!$M1492)&gt;1,"Duplicate","OK")</f>
        <v>OK</v>
      </c>
      <c r="R1492" s="6" t="str">
        <f t="shared" si="1"/>
        <v>2600-3600</v>
      </c>
      <c r="S1492" s="6">
        <f t="shared" si="2"/>
        <v>46</v>
      </c>
      <c r="T1492" s="6" t="str">
        <f t="shared" si="3"/>
        <v>Old</v>
      </c>
    </row>
    <row r="1493" ht="14.25" customHeight="1">
      <c r="A1493" s="5">
        <v>678686.0</v>
      </c>
      <c r="B1493" s="6" t="s">
        <v>6010</v>
      </c>
      <c r="C1493" s="6" t="s">
        <v>53</v>
      </c>
      <c r="D1493" s="6">
        <v>35507.0</v>
      </c>
      <c r="E1493" s="6" t="s">
        <v>30</v>
      </c>
      <c r="F1493" s="6" t="s">
        <v>41</v>
      </c>
      <c r="G1493" s="6" t="s">
        <v>100</v>
      </c>
      <c r="H1493" s="7">
        <v>1822.0</v>
      </c>
      <c r="I1493" s="7">
        <v>3650.0</v>
      </c>
      <c r="J1493" s="6">
        <v>2017.0</v>
      </c>
      <c r="K1493" s="6">
        <v>109.0</v>
      </c>
      <c r="L1493" s="6" t="s">
        <v>22</v>
      </c>
      <c r="M1493" s="6" t="s">
        <v>6011</v>
      </c>
      <c r="N1493" s="6" t="s">
        <v>43</v>
      </c>
      <c r="O1493" s="6" t="s">
        <v>49</v>
      </c>
      <c r="P1493" s="6">
        <f>COUNTIF(Analysis!$M$1:$M$3001,Analysis!$M1493)</f>
        <v>1</v>
      </c>
      <c r="Q1493" s="6" t="str">
        <f>IF(COUNTIF(Analysis!$M$2:$M$3001,Analysis!$M1493)&gt;1,"Duplicate","OK")</f>
        <v>OK</v>
      </c>
      <c r="R1493" s="6" t="str">
        <f t="shared" si="1"/>
        <v>1600-2600</v>
      </c>
      <c r="S1493" s="6">
        <f t="shared" si="2"/>
        <v>9</v>
      </c>
      <c r="T1493" s="6" t="str">
        <f t="shared" si="3"/>
        <v>New</v>
      </c>
    </row>
    <row r="1494" ht="14.25" customHeight="1">
      <c r="A1494" s="5">
        <v>1029713.0</v>
      </c>
      <c r="B1494" s="6" t="s">
        <v>6014</v>
      </c>
      <c r="C1494" s="6" t="s">
        <v>53</v>
      </c>
      <c r="D1494" s="6">
        <v>34696.0</v>
      </c>
      <c r="E1494" s="6" t="s">
        <v>40</v>
      </c>
      <c r="F1494" s="6" t="s">
        <v>94</v>
      </c>
      <c r="G1494" s="6" t="s">
        <v>31</v>
      </c>
      <c r="H1494" s="7">
        <v>2219.0</v>
      </c>
      <c r="I1494" s="7">
        <v>1682.0</v>
      </c>
      <c r="J1494" s="6">
        <v>1993.0</v>
      </c>
      <c r="K1494" s="6">
        <v>104.0</v>
      </c>
      <c r="L1494" s="6" t="s">
        <v>32</v>
      </c>
      <c r="M1494" s="6" t="s">
        <v>6015</v>
      </c>
      <c r="N1494" s="6" t="s">
        <v>48</v>
      </c>
      <c r="O1494" s="6" t="s">
        <v>25</v>
      </c>
      <c r="P1494" s="6">
        <f>COUNTIF(Analysis!$M$1:$M$3001,Analysis!$M1494)</f>
        <v>1</v>
      </c>
      <c r="Q1494" s="6" t="str">
        <f>IF(COUNTIF(Analysis!$M$2:$M$3001,Analysis!$M1494)&gt;1,"Duplicate","OK")</f>
        <v>OK</v>
      </c>
      <c r="R1494" s="6" t="str">
        <f t="shared" si="1"/>
        <v>1600-2600</v>
      </c>
      <c r="S1494" s="6">
        <f t="shared" si="2"/>
        <v>33</v>
      </c>
      <c r="T1494" s="6" t="str">
        <f t="shared" si="3"/>
        <v>Old</v>
      </c>
    </row>
    <row r="1495" ht="14.25" customHeight="1">
      <c r="A1495" s="5">
        <v>792152.0</v>
      </c>
      <c r="B1495" s="6" t="s">
        <v>8532</v>
      </c>
      <c r="C1495" s="6" t="s">
        <v>29</v>
      </c>
      <c r="D1495" s="6">
        <v>20922.0</v>
      </c>
      <c r="E1495" s="6" t="s">
        <v>60</v>
      </c>
      <c r="F1495" s="6" t="s">
        <v>54</v>
      </c>
      <c r="G1495" s="6" t="s">
        <v>31</v>
      </c>
      <c r="H1495" s="7">
        <v>3023.0</v>
      </c>
      <c r="I1495" s="7">
        <v>4813.0</v>
      </c>
      <c r="J1495" s="6">
        <v>2010.0</v>
      </c>
      <c r="K1495" s="6">
        <v>116.0</v>
      </c>
      <c r="L1495" s="6" t="s">
        <v>32</v>
      </c>
      <c r="M1495" s="6" t="s">
        <v>8533</v>
      </c>
      <c r="N1495" s="6" t="s">
        <v>24</v>
      </c>
      <c r="O1495" s="6" t="s">
        <v>35</v>
      </c>
      <c r="P1495" s="6">
        <f>COUNTIF(Analysis!$M$1:$M$3001,Analysis!$M2124)</f>
        <v>1</v>
      </c>
      <c r="Q1495" s="6" t="str">
        <f>IF(COUNTIF(Analysis!$M$2:$M$3001,Analysis!$M2124)&gt;1,"Duplicate","OK")</f>
        <v>OK</v>
      </c>
      <c r="R1495" s="6" t="str">
        <f t="shared" si="1"/>
        <v>2600-3600</v>
      </c>
      <c r="S1495" s="6">
        <f t="shared" si="2"/>
        <v>16</v>
      </c>
      <c r="T1495" s="6" t="str">
        <f t="shared" si="3"/>
        <v>Mid</v>
      </c>
    </row>
    <row r="1496" ht="14.25" customHeight="1">
      <c r="A1496" s="5">
        <v>794121.0</v>
      </c>
      <c r="B1496" s="6" t="s">
        <v>8676</v>
      </c>
      <c r="C1496" s="6" t="s">
        <v>29</v>
      </c>
      <c r="D1496" s="6">
        <v>50273.0</v>
      </c>
      <c r="E1496" s="6" t="s">
        <v>19</v>
      </c>
      <c r="F1496" s="6" t="s">
        <v>41</v>
      </c>
      <c r="G1496" s="6" t="s">
        <v>100</v>
      </c>
      <c r="H1496" s="7">
        <v>3102.0</v>
      </c>
      <c r="I1496" s="7">
        <v>8603.0</v>
      </c>
      <c r="J1496" s="6">
        <v>1953.0</v>
      </c>
      <c r="K1496" s="6">
        <v>114.0</v>
      </c>
      <c r="L1496" s="6" t="s">
        <v>22</v>
      </c>
      <c r="M1496" s="6" t="s">
        <v>8677</v>
      </c>
      <c r="N1496" s="6" t="s">
        <v>48</v>
      </c>
      <c r="O1496" s="6" t="s">
        <v>49</v>
      </c>
      <c r="P1496" s="6">
        <f>COUNTIF(Analysis!$M$1:$M$3001,Analysis!$M2160)</f>
        <v>1</v>
      </c>
      <c r="Q1496" s="6" t="str">
        <f>IF(COUNTIF(Analysis!$M$2:$M$3001,Analysis!$M2160)&gt;1,"Duplicate","OK")</f>
        <v>OK</v>
      </c>
      <c r="R1496" s="6" t="str">
        <f t="shared" si="1"/>
        <v>2600-3600</v>
      </c>
      <c r="S1496" s="6">
        <f t="shared" si="2"/>
        <v>73</v>
      </c>
      <c r="T1496" s="6" t="str">
        <f t="shared" si="3"/>
        <v>Very Old</v>
      </c>
    </row>
    <row r="1497" ht="14.25" customHeight="1">
      <c r="A1497" s="5">
        <v>925095.0</v>
      </c>
      <c r="B1497" s="6" t="s">
        <v>6026</v>
      </c>
      <c r="C1497" s="6" t="s">
        <v>39</v>
      </c>
      <c r="D1497" s="6">
        <v>39262.0</v>
      </c>
      <c r="E1497" s="6" t="s">
        <v>30</v>
      </c>
      <c r="F1497" s="6" t="s">
        <v>46</v>
      </c>
      <c r="G1497" s="6" t="s">
        <v>21</v>
      </c>
      <c r="H1497" s="7">
        <v>929.0</v>
      </c>
      <c r="I1497" s="7">
        <v>5271.0</v>
      </c>
      <c r="J1497" s="6">
        <v>1961.0</v>
      </c>
      <c r="K1497" s="6">
        <v>16.0</v>
      </c>
      <c r="L1497" s="6" t="s">
        <v>95</v>
      </c>
      <c r="M1497" s="6" t="s">
        <v>6027</v>
      </c>
      <c r="N1497" s="6" t="s">
        <v>24</v>
      </c>
      <c r="O1497" s="6" t="s">
        <v>25</v>
      </c>
      <c r="P1497" s="6">
        <f>COUNTIF(Analysis!$M$1:$M$3001,Analysis!$M1497)</f>
        <v>1</v>
      </c>
      <c r="Q1497" s="6" t="str">
        <f>IF(COUNTIF(Analysis!$M$2:$M$3001,Analysis!$M1497)&gt;1,"Duplicate","OK")</f>
        <v>OK</v>
      </c>
      <c r="R1497" s="6" t="str">
        <f t="shared" si="1"/>
        <v>600-1600</v>
      </c>
      <c r="S1497" s="6">
        <f t="shared" si="2"/>
        <v>65</v>
      </c>
      <c r="T1497" s="6" t="str">
        <f t="shared" si="3"/>
        <v>Very Old</v>
      </c>
    </row>
    <row r="1498" ht="14.25" customHeight="1">
      <c r="A1498" s="5">
        <v>581161.0</v>
      </c>
      <c r="B1498" s="6" t="s">
        <v>6030</v>
      </c>
      <c r="C1498" s="6" t="s">
        <v>53</v>
      </c>
      <c r="D1498" s="6">
        <v>13381.0</v>
      </c>
      <c r="E1498" s="6" t="s">
        <v>40</v>
      </c>
      <c r="F1498" s="6" t="s">
        <v>61</v>
      </c>
      <c r="G1498" s="6" t="s">
        <v>55</v>
      </c>
      <c r="H1498" s="7">
        <v>2144.0</v>
      </c>
      <c r="I1498" s="7">
        <v>1888.0</v>
      </c>
      <c r="J1498" s="6">
        <v>2022.0</v>
      </c>
      <c r="K1498" s="6">
        <v>19.0</v>
      </c>
      <c r="L1498" s="6" t="s">
        <v>32</v>
      </c>
      <c r="M1498" s="6" t="s">
        <v>6031</v>
      </c>
      <c r="N1498" s="6" t="s">
        <v>34</v>
      </c>
      <c r="O1498" s="6" t="s">
        <v>49</v>
      </c>
      <c r="P1498" s="6">
        <f>COUNTIF(Analysis!$M$1:$M$3001,Analysis!$M1498)</f>
        <v>1</v>
      </c>
      <c r="Q1498" s="6" t="str">
        <f>IF(COUNTIF(Analysis!$M$2:$M$3001,Analysis!$M1498)&gt;1,"Duplicate","OK")</f>
        <v>OK</v>
      </c>
      <c r="R1498" s="6" t="str">
        <f t="shared" si="1"/>
        <v>1600-2600</v>
      </c>
      <c r="S1498" s="6">
        <f t="shared" si="2"/>
        <v>4</v>
      </c>
      <c r="T1498" s="6" t="str">
        <f t="shared" si="3"/>
        <v>New</v>
      </c>
    </row>
    <row r="1499" ht="14.25" customHeight="1">
      <c r="A1499" s="5">
        <v>795435.0</v>
      </c>
      <c r="B1499" s="6" t="s">
        <v>1253</v>
      </c>
      <c r="C1499" s="6" t="s">
        <v>29</v>
      </c>
      <c r="D1499" s="6">
        <v>99215.0</v>
      </c>
      <c r="E1499" s="6" t="s">
        <v>30</v>
      </c>
      <c r="F1499" s="6" t="s">
        <v>41</v>
      </c>
      <c r="G1499" s="6" t="s">
        <v>31</v>
      </c>
      <c r="H1499" s="7">
        <v>620.0</v>
      </c>
      <c r="I1499" s="7">
        <v>6199.0</v>
      </c>
      <c r="J1499" s="6">
        <v>1991.0</v>
      </c>
      <c r="K1499" s="6">
        <v>62.0</v>
      </c>
      <c r="L1499" s="6" t="s">
        <v>22</v>
      </c>
      <c r="M1499" s="6" t="s">
        <v>1254</v>
      </c>
      <c r="N1499" s="6" t="s">
        <v>64</v>
      </c>
      <c r="O1499" s="6" t="s">
        <v>49</v>
      </c>
      <c r="P1499" s="6">
        <f>COUNTIF(Analysis!$M$1:$M$3001,Analysis!$M303)</f>
        <v>1</v>
      </c>
      <c r="Q1499" s="6" t="str">
        <f>IF(COUNTIF(Analysis!$M$2:$M$3001,Analysis!$M303)&gt;1,"Duplicate","OK")</f>
        <v>OK</v>
      </c>
      <c r="R1499" s="6" t="str">
        <f t="shared" si="1"/>
        <v>600-1600</v>
      </c>
      <c r="S1499" s="6">
        <f t="shared" si="2"/>
        <v>35</v>
      </c>
      <c r="T1499" s="6" t="str">
        <f t="shared" si="3"/>
        <v>Old</v>
      </c>
    </row>
    <row r="1500" ht="14.25" customHeight="1">
      <c r="A1500" s="5">
        <v>795509.0</v>
      </c>
      <c r="B1500" s="6" t="s">
        <v>8097</v>
      </c>
      <c r="C1500" s="6" t="s">
        <v>29</v>
      </c>
      <c r="D1500" s="6">
        <v>42271.0</v>
      </c>
      <c r="E1500" s="6" t="s">
        <v>30</v>
      </c>
      <c r="F1500" s="6" t="s">
        <v>94</v>
      </c>
      <c r="G1500" s="6" t="s">
        <v>31</v>
      </c>
      <c r="H1500" s="7">
        <v>3704.0</v>
      </c>
      <c r="I1500" s="7">
        <v>7253.0</v>
      </c>
      <c r="J1500" s="6">
        <v>1986.0</v>
      </c>
      <c r="K1500" s="6">
        <v>23.0</v>
      </c>
      <c r="L1500" s="6" t="s">
        <v>62</v>
      </c>
      <c r="M1500" s="6" t="s">
        <v>8098</v>
      </c>
      <c r="N1500" s="6" t="s">
        <v>43</v>
      </c>
      <c r="O1500" s="6" t="s">
        <v>49</v>
      </c>
      <c r="P1500" s="6">
        <f>COUNTIF(Analysis!$M$1:$M$3001,Analysis!$M2015)</f>
        <v>1</v>
      </c>
      <c r="Q1500" s="6" t="str">
        <f>IF(COUNTIF(Analysis!$M$2:$M$3001,Analysis!$M2015)&gt;1,"Duplicate","OK")</f>
        <v>OK</v>
      </c>
      <c r="R1500" s="6" t="str">
        <f t="shared" si="1"/>
        <v>3600+</v>
      </c>
      <c r="S1500" s="6">
        <f t="shared" si="2"/>
        <v>40</v>
      </c>
      <c r="T1500" s="6" t="str">
        <f t="shared" si="3"/>
        <v>Old</v>
      </c>
    </row>
    <row r="1501" ht="14.25" customHeight="1">
      <c r="A1501" s="5">
        <v>457327.0</v>
      </c>
      <c r="B1501" s="6" t="s">
        <v>6042</v>
      </c>
      <c r="C1501" s="6" t="s">
        <v>18</v>
      </c>
      <c r="D1501" s="6">
        <v>35494.0</v>
      </c>
      <c r="E1501" s="6" t="s">
        <v>77</v>
      </c>
      <c r="F1501" s="6" t="s">
        <v>46</v>
      </c>
      <c r="G1501" s="6" t="s">
        <v>31</v>
      </c>
      <c r="H1501" s="7">
        <v>3941.0</v>
      </c>
      <c r="I1501" s="7">
        <v>1476.0</v>
      </c>
      <c r="J1501" s="6">
        <v>1989.0</v>
      </c>
      <c r="K1501" s="6">
        <v>85.0</v>
      </c>
      <c r="L1501" s="6" t="s">
        <v>22</v>
      </c>
      <c r="M1501" s="6" t="s">
        <v>6043</v>
      </c>
      <c r="N1501" s="6" t="s">
        <v>48</v>
      </c>
      <c r="O1501" s="6" t="s">
        <v>25</v>
      </c>
      <c r="P1501" s="6">
        <f>COUNTIF(Analysis!$M$1:$M$3001,Analysis!$M1501)</f>
        <v>1</v>
      </c>
      <c r="Q1501" s="6" t="str">
        <f>IF(COUNTIF(Analysis!$M$2:$M$3001,Analysis!$M1501)&gt;1,"Duplicate","OK")</f>
        <v>OK</v>
      </c>
      <c r="R1501" s="6" t="str">
        <f t="shared" si="1"/>
        <v>3600+</v>
      </c>
      <c r="S1501" s="6">
        <f t="shared" si="2"/>
        <v>37</v>
      </c>
      <c r="T1501" s="6" t="str">
        <f t="shared" si="3"/>
        <v>Old</v>
      </c>
    </row>
    <row r="1502" ht="14.25" customHeight="1">
      <c r="A1502" s="5">
        <v>146019.0</v>
      </c>
      <c r="B1502" s="6" t="s">
        <v>6046</v>
      </c>
      <c r="C1502" s="6" t="s">
        <v>76</v>
      </c>
      <c r="D1502" s="6">
        <v>99955.0</v>
      </c>
      <c r="E1502" s="6" t="s">
        <v>30</v>
      </c>
      <c r="F1502" s="6" t="s">
        <v>46</v>
      </c>
      <c r="G1502" s="6" t="s">
        <v>31</v>
      </c>
      <c r="H1502" s="7">
        <v>1212.0</v>
      </c>
      <c r="I1502" s="7">
        <v>2369.0</v>
      </c>
      <c r="J1502" s="6">
        <v>2009.0</v>
      </c>
      <c r="K1502" s="6">
        <v>78.0</v>
      </c>
      <c r="L1502" s="6" t="s">
        <v>62</v>
      </c>
      <c r="M1502" s="6" t="s">
        <v>6047</v>
      </c>
      <c r="N1502" s="6" t="s">
        <v>34</v>
      </c>
      <c r="O1502" s="6" t="s">
        <v>35</v>
      </c>
      <c r="P1502" s="6">
        <f>COUNTIF(Analysis!$M$1:$M$3001,Analysis!$M1502)</f>
        <v>1</v>
      </c>
      <c r="Q1502" s="6" t="str">
        <f>IF(COUNTIF(Analysis!$M$2:$M$3001,Analysis!$M1502)&gt;1,"Duplicate","OK")</f>
        <v>OK</v>
      </c>
      <c r="R1502" s="6" t="str">
        <f t="shared" si="1"/>
        <v>600-1600</v>
      </c>
      <c r="S1502" s="6">
        <f t="shared" si="2"/>
        <v>17</v>
      </c>
      <c r="T1502" s="6" t="str">
        <f t="shared" si="3"/>
        <v>Mid</v>
      </c>
    </row>
    <row r="1503" ht="14.25" customHeight="1">
      <c r="A1503" s="5">
        <v>1282414.0</v>
      </c>
      <c r="B1503" s="6" t="s">
        <v>6050</v>
      </c>
      <c r="C1503" s="6" t="s">
        <v>18</v>
      </c>
      <c r="D1503" s="6">
        <v>70133.0</v>
      </c>
      <c r="E1503" s="6" t="s">
        <v>30</v>
      </c>
      <c r="F1503" s="6" t="s">
        <v>94</v>
      </c>
      <c r="G1503" s="6" t="s">
        <v>55</v>
      </c>
      <c r="H1503" s="7">
        <v>1064.0</v>
      </c>
      <c r="I1503" s="7">
        <v>7253.0</v>
      </c>
      <c r="J1503" s="6">
        <v>2015.0</v>
      </c>
      <c r="K1503" s="6">
        <v>41.0</v>
      </c>
      <c r="L1503" s="6" t="s">
        <v>95</v>
      </c>
      <c r="M1503" s="6" t="s">
        <v>6051</v>
      </c>
      <c r="N1503" s="6" t="s">
        <v>24</v>
      </c>
      <c r="O1503" s="6" t="s">
        <v>25</v>
      </c>
      <c r="P1503" s="6">
        <f>COUNTIF(Analysis!$M$1:$M$3001,Analysis!$M1503)</f>
        <v>1</v>
      </c>
      <c r="Q1503" s="6" t="str">
        <f>IF(COUNTIF(Analysis!$M$2:$M$3001,Analysis!$M1503)&gt;1,"Duplicate","OK")</f>
        <v>OK</v>
      </c>
      <c r="R1503" s="6" t="str">
        <f t="shared" si="1"/>
        <v>600-1600</v>
      </c>
      <c r="S1503" s="6">
        <f t="shared" si="2"/>
        <v>11</v>
      </c>
      <c r="T1503" s="6" t="str">
        <f t="shared" si="3"/>
        <v>Mid</v>
      </c>
    </row>
    <row r="1504" ht="14.25" customHeight="1">
      <c r="A1504" s="5">
        <v>570292.0</v>
      </c>
      <c r="B1504" s="6" t="s">
        <v>6054</v>
      </c>
      <c r="C1504" s="6" t="s">
        <v>53</v>
      </c>
      <c r="D1504" s="6">
        <v>66789.0</v>
      </c>
      <c r="E1504" s="6" t="s">
        <v>19</v>
      </c>
      <c r="F1504" s="6" t="s">
        <v>46</v>
      </c>
      <c r="G1504" s="6" t="s">
        <v>31</v>
      </c>
      <c r="H1504" s="7">
        <v>3160.0</v>
      </c>
      <c r="I1504" s="7">
        <v>9374.0</v>
      </c>
      <c r="J1504" s="6">
        <v>1968.0</v>
      </c>
      <c r="K1504" s="6">
        <v>84.0</v>
      </c>
      <c r="L1504" s="6" t="s">
        <v>32</v>
      </c>
      <c r="M1504" s="6" t="s">
        <v>6055</v>
      </c>
      <c r="N1504" s="6" t="s">
        <v>34</v>
      </c>
      <c r="O1504" s="6" t="s">
        <v>35</v>
      </c>
      <c r="P1504" s="6">
        <f>COUNTIF(Analysis!$M$1:$M$3001,Analysis!$M1504)</f>
        <v>1</v>
      </c>
      <c r="Q1504" s="6" t="str">
        <f>IF(COUNTIF(Analysis!$M$2:$M$3001,Analysis!$M1504)&gt;1,"Duplicate","OK")</f>
        <v>OK</v>
      </c>
      <c r="R1504" s="6" t="str">
        <f t="shared" si="1"/>
        <v>2600-3600</v>
      </c>
      <c r="S1504" s="6">
        <f t="shared" si="2"/>
        <v>58</v>
      </c>
      <c r="T1504" s="6" t="str">
        <f t="shared" si="3"/>
        <v>Old</v>
      </c>
    </row>
    <row r="1505" ht="14.25" customHeight="1">
      <c r="A1505" s="5">
        <v>798012.0</v>
      </c>
      <c r="B1505" s="6" t="s">
        <v>3967</v>
      </c>
      <c r="C1505" s="6" t="s">
        <v>29</v>
      </c>
      <c r="D1505" s="6">
        <v>14788.0</v>
      </c>
      <c r="E1505" s="6" t="s">
        <v>19</v>
      </c>
      <c r="F1505" s="6" t="s">
        <v>94</v>
      </c>
      <c r="G1505" s="6" t="s">
        <v>55</v>
      </c>
      <c r="H1505" s="7">
        <v>2079.0</v>
      </c>
      <c r="I1505" s="7">
        <v>1138.0</v>
      </c>
      <c r="J1505" s="6">
        <v>2017.0</v>
      </c>
      <c r="K1505" s="6">
        <v>110.0</v>
      </c>
      <c r="L1505" s="6" t="s">
        <v>141</v>
      </c>
      <c r="M1505" s="6" t="s">
        <v>3968</v>
      </c>
      <c r="N1505" s="6" t="s">
        <v>64</v>
      </c>
      <c r="O1505" s="6" t="s">
        <v>25</v>
      </c>
      <c r="P1505" s="6">
        <f>COUNTIF(Analysis!$M$1:$M$3001,Analysis!$M982)</f>
        <v>1</v>
      </c>
      <c r="Q1505" s="6" t="str">
        <f>IF(COUNTIF(Analysis!$M$2:$M$3001,Analysis!$M982)&gt;1,"Duplicate","OK")</f>
        <v>OK</v>
      </c>
      <c r="R1505" s="6" t="str">
        <f t="shared" si="1"/>
        <v>1600-2600</v>
      </c>
      <c r="S1505" s="6">
        <f t="shared" si="2"/>
        <v>9</v>
      </c>
      <c r="T1505" s="6" t="str">
        <f t="shared" si="3"/>
        <v>New</v>
      </c>
    </row>
    <row r="1506" ht="14.25" customHeight="1">
      <c r="A1506" s="5">
        <v>728684.0</v>
      </c>
      <c r="B1506" s="6" t="s">
        <v>6062</v>
      </c>
      <c r="C1506" s="6" t="s">
        <v>39</v>
      </c>
      <c r="D1506" s="6">
        <v>41566.0</v>
      </c>
      <c r="E1506" s="6" t="s">
        <v>60</v>
      </c>
      <c r="F1506" s="6" t="s">
        <v>94</v>
      </c>
      <c r="G1506" s="6" t="s">
        <v>31</v>
      </c>
      <c r="H1506" s="7">
        <v>3038.0</v>
      </c>
      <c r="I1506" s="7">
        <v>1481.0</v>
      </c>
      <c r="J1506" s="6">
        <v>2001.0</v>
      </c>
      <c r="K1506" s="6">
        <v>60.0</v>
      </c>
      <c r="L1506" s="6" t="s">
        <v>62</v>
      </c>
      <c r="M1506" s="6" t="s">
        <v>6063</v>
      </c>
      <c r="N1506" s="6" t="s">
        <v>64</v>
      </c>
      <c r="O1506" s="6" t="s">
        <v>25</v>
      </c>
      <c r="P1506" s="6">
        <f>COUNTIF(Analysis!$M$1:$M$3001,Analysis!$M1506)</f>
        <v>1</v>
      </c>
      <c r="Q1506" s="6" t="str">
        <f>IF(COUNTIF(Analysis!$M$2:$M$3001,Analysis!$M1506)&gt;1,"Duplicate","OK")</f>
        <v>OK</v>
      </c>
      <c r="R1506" s="6" t="str">
        <f t="shared" si="1"/>
        <v>2600-3600</v>
      </c>
      <c r="S1506" s="6">
        <f t="shared" si="2"/>
        <v>25</v>
      </c>
      <c r="T1506" s="6" t="str">
        <f t="shared" si="3"/>
        <v>Mid</v>
      </c>
    </row>
    <row r="1507" ht="14.25" customHeight="1">
      <c r="A1507" s="5">
        <v>1404704.0</v>
      </c>
      <c r="B1507" s="6" t="s">
        <v>6066</v>
      </c>
      <c r="C1507" s="6" t="s">
        <v>53</v>
      </c>
      <c r="D1507" s="6">
        <v>54302.0</v>
      </c>
      <c r="E1507" s="6" t="s">
        <v>30</v>
      </c>
      <c r="F1507" s="6" t="s">
        <v>20</v>
      </c>
      <c r="G1507" s="6" t="s">
        <v>21</v>
      </c>
      <c r="H1507" s="7">
        <v>814.0</v>
      </c>
      <c r="I1507" s="7">
        <v>9595.0</v>
      </c>
      <c r="J1507" s="6">
        <v>2015.0</v>
      </c>
      <c r="K1507" s="6">
        <v>47.0</v>
      </c>
      <c r="L1507" s="6" t="s">
        <v>62</v>
      </c>
      <c r="M1507" s="6" t="s">
        <v>6067</v>
      </c>
      <c r="N1507" s="6" t="s">
        <v>24</v>
      </c>
      <c r="O1507" s="6" t="s">
        <v>35</v>
      </c>
      <c r="P1507" s="6">
        <f>COUNTIF(Analysis!$M$1:$M$3001,Analysis!$M1507)</f>
        <v>1</v>
      </c>
      <c r="Q1507" s="6" t="str">
        <f>IF(COUNTIF(Analysis!$M$2:$M$3001,Analysis!$M1507)&gt;1,"Duplicate","OK")</f>
        <v>OK</v>
      </c>
      <c r="R1507" s="6" t="str">
        <f t="shared" si="1"/>
        <v>600-1600</v>
      </c>
      <c r="S1507" s="6">
        <f t="shared" si="2"/>
        <v>11</v>
      </c>
      <c r="T1507" s="6" t="str">
        <f t="shared" si="3"/>
        <v>Mid</v>
      </c>
    </row>
    <row r="1508" ht="14.25" customHeight="1">
      <c r="A1508" s="5">
        <v>837702.0</v>
      </c>
      <c r="B1508" s="6" t="s">
        <v>6070</v>
      </c>
      <c r="C1508" s="6" t="s">
        <v>39</v>
      </c>
      <c r="D1508" s="6">
        <v>93365.0</v>
      </c>
      <c r="E1508" s="6" t="s">
        <v>30</v>
      </c>
      <c r="F1508" s="6" t="s">
        <v>61</v>
      </c>
      <c r="G1508" s="6" t="s">
        <v>31</v>
      </c>
      <c r="H1508" s="7">
        <v>3669.0</v>
      </c>
      <c r="I1508" s="7">
        <v>2090.0</v>
      </c>
      <c r="J1508" s="6">
        <v>1967.0</v>
      </c>
      <c r="K1508" s="6">
        <v>119.0</v>
      </c>
      <c r="L1508" s="6" t="s">
        <v>62</v>
      </c>
      <c r="M1508" s="6" t="s">
        <v>6071</v>
      </c>
      <c r="N1508" s="6" t="s">
        <v>64</v>
      </c>
      <c r="O1508" s="6" t="s">
        <v>25</v>
      </c>
      <c r="P1508" s="6">
        <f>COUNTIF(Analysis!$M$1:$M$3001,Analysis!$M1508)</f>
        <v>1</v>
      </c>
      <c r="Q1508" s="6" t="str">
        <f>IF(COUNTIF(Analysis!$M$2:$M$3001,Analysis!$M1508)&gt;1,"Duplicate","OK")</f>
        <v>OK</v>
      </c>
      <c r="R1508" s="6" t="str">
        <f t="shared" si="1"/>
        <v>3600+</v>
      </c>
      <c r="S1508" s="6">
        <f t="shared" si="2"/>
        <v>59</v>
      </c>
      <c r="T1508" s="6" t="str">
        <f t="shared" si="3"/>
        <v>Old</v>
      </c>
    </row>
    <row r="1509" ht="14.25" customHeight="1">
      <c r="A1509" s="5">
        <v>801696.0</v>
      </c>
      <c r="B1509" s="6" t="s">
        <v>7369</v>
      </c>
      <c r="C1509" s="6" t="s">
        <v>29</v>
      </c>
      <c r="D1509" s="6">
        <v>49816.0</v>
      </c>
      <c r="E1509" s="6" t="s">
        <v>60</v>
      </c>
      <c r="F1509" s="6" t="s">
        <v>41</v>
      </c>
      <c r="G1509" s="6" t="s">
        <v>21</v>
      </c>
      <c r="H1509" s="7">
        <v>3949.0</v>
      </c>
      <c r="I1509" s="7">
        <v>8129.0</v>
      </c>
      <c r="J1509" s="6">
        <v>2008.0</v>
      </c>
      <c r="K1509" s="6">
        <v>70.0</v>
      </c>
      <c r="L1509" s="6" t="s">
        <v>95</v>
      </c>
      <c r="M1509" s="6" t="s">
        <v>7370</v>
      </c>
      <c r="N1509" s="6" t="s">
        <v>48</v>
      </c>
      <c r="O1509" s="6" t="s">
        <v>25</v>
      </c>
      <c r="P1509" s="6">
        <f>COUNTIF(Analysis!$M$1:$M$3001,Analysis!$M1833)</f>
        <v>1</v>
      </c>
      <c r="Q1509" s="6" t="str">
        <f>IF(COUNTIF(Analysis!$M$2:$M$3001,Analysis!$M1833)&gt;1,"Duplicate","OK")</f>
        <v>OK</v>
      </c>
      <c r="R1509" s="6" t="str">
        <f t="shared" si="1"/>
        <v>3600+</v>
      </c>
      <c r="S1509" s="6">
        <f t="shared" si="2"/>
        <v>18</v>
      </c>
      <c r="T1509" s="6" t="str">
        <f t="shared" si="3"/>
        <v>Mid</v>
      </c>
    </row>
    <row r="1510" ht="14.25" customHeight="1">
      <c r="A1510" s="5">
        <v>380705.0</v>
      </c>
      <c r="B1510" s="6" t="s">
        <v>6078</v>
      </c>
      <c r="C1510" s="6" t="s">
        <v>39</v>
      </c>
      <c r="D1510" s="6">
        <v>31364.0</v>
      </c>
      <c r="E1510" s="6" t="s">
        <v>19</v>
      </c>
      <c r="F1510" s="6" t="s">
        <v>61</v>
      </c>
      <c r="G1510" s="6" t="s">
        <v>21</v>
      </c>
      <c r="H1510" s="7">
        <v>3255.0</v>
      </c>
      <c r="I1510" s="7">
        <v>9208.0</v>
      </c>
      <c r="J1510" s="6">
        <v>2022.0</v>
      </c>
      <c r="K1510" s="6">
        <v>96.0</v>
      </c>
      <c r="L1510" s="6" t="s">
        <v>62</v>
      </c>
      <c r="M1510" s="6" t="s">
        <v>6079</v>
      </c>
      <c r="N1510" s="6" t="s">
        <v>48</v>
      </c>
      <c r="O1510" s="6" t="s">
        <v>35</v>
      </c>
      <c r="P1510" s="6">
        <f>COUNTIF(Analysis!$M$1:$M$3001,Analysis!$M1510)</f>
        <v>1</v>
      </c>
      <c r="Q1510" s="6" t="str">
        <f>IF(COUNTIF(Analysis!$M$2:$M$3001,Analysis!$M1510)&gt;1,"Duplicate","OK")</f>
        <v>OK</v>
      </c>
      <c r="R1510" s="6" t="str">
        <f t="shared" si="1"/>
        <v>2600-3600</v>
      </c>
      <c r="S1510" s="6">
        <f t="shared" si="2"/>
        <v>4</v>
      </c>
      <c r="T1510" s="6" t="str">
        <f t="shared" si="3"/>
        <v>New</v>
      </c>
    </row>
    <row r="1511" ht="14.25" customHeight="1">
      <c r="A1511" s="5">
        <v>1444268.0</v>
      </c>
      <c r="B1511" s="6" t="s">
        <v>6082</v>
      </c>
      <c r="C1511" s="6" t="s">
        <v>76</v>
      </c>
      <c r="D1511" s="6">
        <v>84752.0</v>
      </c>
      <c r="E1511" s="6" t="s">
        <v>60</v>
      </c>
      <c r="F1511" s="6" t="s">
        <v>94</v>
      </c>
      <c r="G1511" s="6" t="s">
        <v>100</v>
      </c>
      <c r="H1511" s="7">
        <v>2767.0</v>
      </c>
      <c r="I1511" s="7">
        <v>7204.0</v>
      </c>
      <c r="J1511" s="6">
        <v>1958.0</v>
      </c>
      <c r="K1511" s="6">
        <v>64.0</v>
      </c>
      <c r="L1511" s="6" t="s">
        <v>22</v>
      </c>
      <c r="M1511" s="6" t="s">
        <v>6083</v>
      </c>
      <c r="N1511" s="6" t="s">
        <v>24</v>
      </c>
      <c r="O1511" s="6" t="s">
        <v>35</v>
      </c>
      <c r="P1511" s="6">
        <f>COUNTIF(Analysis!$M$1:$M$3001,Analysis!$M1511)</f>
        <v>1</v>
      </c>
      <c r="Q1511" s="6" t="str">
        <f>IF(COUNTIF(Analysis!$M$2:$M$3001,Analysis!$M1511)&gt;1,"Duplicate","OK")</f>
        <v>OK</v>
      </c>
      <c r="R1511" s="6" t="str">
        <f t="shared" si="1"/>
        <v>2600-3600</v>
      </c>
      <c r="S1511" s="6">
        <f t="shared" si="2"/>
        <v>68</v>
      </c>
      <c r="T1511" s="6" t="str">
        <f t="shared" si="3"/>
        <v>Very Old</v>
      </c>
    </row>
    <row r="1512" ht="14.25" customHeight="1">
      <c r="A1512" s="5">
        <v>810765.0</v>
      </c>
      <c r="B1512" s="6" t="s">
        <v>4059</v>
      </c>
      <c r="C1512" s="6" t="s">
        <v>29</v>
      </c>
      <c r="D1512" s="6">
        <v>32293.0</v>
      </c>
      <c r="E1512" s="6" t="s">
        <v>77</v>
      </c>
      <c r="F1512" s="6" t="s">
        <v>54</v>
      </c>
      <c r="G1512" s="6" t="s">
        <v>100</v>
      </c>
      <c r="H1512" s="7">
        <v>3847.0</v>
      </c>
      <c r="I1512" s="7">
        <v>3841.0</v>
      </c>
      <c r="J1512" s="6">
        <v>2019.0</v>
      </c>
      <c r="K1512" s="6">
        <v>118.0</v>
      </c>
      <c r="L1512" s="6" t="s">
        <v>95</v>
      </c>
      <c r="M1512" s="6" t="s">
        <v>4060</v>
      </c>
      <c r="N1512" s="6" t="s">
        <v>48</v>
      </c>
      <c r="O1512" s="6" t="s">
        <v>25</v>
      </c>
      <c r="P1512" s="6">
        <f>COUNTIF(Analysis!$M$1:$M$3001,Analysis!$M1005)</f>
        <v>1</v>
      </c>
      <c r="Q1512" s="6" t="str">
        <f>IF(COUNTIF(Analysis!$M$2:$M$3001,Analysis!$M1005)&gt;1,"Duplicate","OK")</f>
        <v>OK</v>
      </c>
      <c r="R1512" s="6" t="str">
        <f t="shared" si="1"/>
        <v>3600+</v>
      </c>
      <c r="S1512" s="6">
        <f t="shared" si="2"/>
        <v>7</v>
      </c>
      <c r="T1512" s="6" t="str">
        <f t="shared" si="3"/>
        <v>New</v>
      </c>
    </row>
    <row r="1513" ht="14.25" customHeight="1">
      <c r="A1513" s="5">
        <v>804005.0</v>
      </c>
      <c r="B1513" s="6" t="s">
        <v>6089</v>
      </c>
      <c r="C1513" s="6" t="s">
        <v>39</v>
      </c>
      <c r="D1513" s="6">
        <v>76924.0</v>
      </c>
      <c r="E1513" s="6" t="s">
        <v>19</v>
      </c>
      <c r="F1513" s="6" t="s">
        <v>94</v>
      </c>
      <c r="G1513" s="6" t="s">
        <v>100</v>
      </c>
      <c r="H1513" s="7">
        <v>3360.0</v>
      </c>
      <c r="I1513" s="7">
        <v>3890.0</v>
      </c>
      <c r="J1513" s="6">
        <v>2017.0</v>
      </c>
      <c r="K1513" s="6">
        <v>74.0</v>
      </c>
      <c r="L1513" s="6" t="s">
        <v>95</v>
      </c>
      <c r="M1513" s="6" t="s">
        <v>6090</v>
      </c>
      <c r="N1513" s="6" t="s">
        <v>64</v>
      </c>
      <c r="O1513" s="6" t="s">
        <v>25</v>
      </c>
      <c r="P1513" s="6">
        <f>COUNTIF(Analysis!$M$1:$M$3001,Analysis!$M1513)</f>
        <v>1</v>
      </c>
      <c r="Q1513" s="6" t="str">
        <f>IF(COUNTIF(Analysis!$M$2:$M$3001,Analysis!$M1513)&gt;1,"Duplicate","OK")</f>
        <v>OK</v>
      </c>
      <c r="R1513" s="6" t="str">
        <f t="shared" si="1"/>
        <v>2600-3600</v>
      </c>
      <c r="S1513" s="6">
        <f t="shared" si="2"/>
        <v>9</v>
      </c>
      <c r="T1513" s="6" t="str">
        <f t="shared" si="3"/>
        <v>New</v>
      </c>
    </row>
    <row r="1514" ht="14.25" customHeight="1">
      <c r="A1514" s="5">
        <v>711326.0</v>
      </c>
      <c r="B1514" s="6" t="s">
        <v>6093</v>
      </c>
      <c r="C1514" s="6" t="s">
        <v>53</v>
      </c>
      <c r="D1514" s="6">
        <v>96371.0</v>
      </c>
      <c r="E1514" s="6" t="s">
        <v>77</v>
      </c>
      <c r="F1514" s="6" t="s">
        <v>46</v>
      </c>
      <c r="G1514" s="6" t="s">
        <v>55</v>
      </c>
      <c r="H1514" s="7">
        <v>666.0</v>
      </c>
      <c r="I1514" s="7">
        <v>9673.0</v>
      </c>
      <c r="J1514" s="6">
        <v>1971.0</v>
      </c>
      <c r="K1514" s="6">
        <v>110.0</v>
      </c>
      <c r="L1514" s="6" t="s">
        <v>62</v>
      </c>
      <c r="M1514" s="6" t="s">
        <v>6094</v>
      </c>
      <c r="N1514" s="6" t="s">
        <v>64</v>
      </c>
      <c r="O1514" s="6" t="s">
        <v>35</v>
      </c>
      <c r="P1514" s="6">
        <f>COUNTIF(Analysis!$M$1:$M$3001,Analysis!$M1514)</f>
        <v>1</v>
      </c>
      <c r="Q1514" s="6" t="str">
        <f>IF(COUNTIF(Analysis!$M$2:$M$3001,Analysis!$M1514)&gt;1,"Duplicate","OK")</f>
        <v>OK</v>
      </c>
      <c r="R1514" s="6" t="str">
        <f t="shared" si="1"/>
        <v>600-1600</v>
      </c>
      <c r="S1514" s="6">
        <f t="shared" si="2"/>
        <v>55</v>
      </c>
      <c r="T1514" s="6" t="str">
        <f t="shared" si="3"/>
        <v>Old</v>
      </c>
    </row>
    <row r="1515" ht="14.25" customHeight="1">
      <c r="A1515" s="5">
        <v>810968.0</v>
      </c>
      <c r="B1515" s="6" t="s">
        <v>8265</v>
      </c>
      <c r="C1515" s="6" t="s">
        <v>29</v>
      </c>
      <c r="D1515" s="6">
        <v>62758.0</v>
      </c>
      <c r="E1515" s="6" t="s">
        <v>60</v>
      </c>
      <c r="F1515" s="6" t="s">
        <v>54</v>
      </c>
      <c r="G1515" s="6" t="s">
        <v>55</v>
      </c>
      <c r="H1515" s="7">
        <v>3904.0</v>
      </c>
      <c r="I1515" s="7">
        <v>4219.0</v>
      </c>
      <c r="J1515" s="6">
        <v>1956.0</v>
      </c>
      <c r="K1515" s="6">
        <v>112.0</v>
      </c>
      <c r="L1515" s="6" t="s">
        <v>32</v>
      </c>
      <c r="M1515" s="6" t="s">
        <v>8266</v>
      </c>
      <c r="N1515" s="6" t="s">
        <v>24</v>
      </c>
      <c r="O1515" s="6" t="s">
        <v>35</v>
      </c>
      <c r="P1515" s="6">
        <f>COUNTIF(Analysis!$M$1:$M$3001,Analysis!$M2057)</f>
        <v>1</v>
      </c>
      <c r="Q1515" s="6" t="str">
        <f>IF(COUNTIF(Analysis!$M$2:$M$3001,Analysis!$M2057)&gt;1,"Duplicate","OK")</f>
        <v>OK</v>
      </c>
      <c r="R1515" s="6" t="str">
        <f t="shared" si="1"/>
        <v>3600+</v>
      </c>
      <c r="S1515" s="6">
        <f t="shared" si="2"/>
        <v>70</v>
      </c>
      <c r="T1515" s="6" t="str">
        <f t="shared" si="3"/>
        <v>Very Old</v>
      </c>
    </row>
    <row r="1516" ht="14.25" customHeight="1">
      <c r="A1516" s="5">
        <v>1195807.0</v>
      </c>
      <c r="B1516" s="6" t="s">
        <v>6101</v>
      </c>
      <c r="C1516" s="6" t="s">
        <v>18</v>
      </c>
      <c r="D1516" s="6">
        <v>50834.0</v>
      </c>
      <c r="E1516" s="6" t="s">
        <v>30</v>
      </c>
      <c r="F1516" s="6" t="s">
        <v>46</v>
      </c>
      <c r="G1516" s="6" t="s">
        <v>55</v>
      </c>
      <c r="H1516" s="7">
        <v>1004.0</v>
      </c>
      <c r="I1516" s="7">
        <v>6358.0</v>
      </c>
      <c r="J1516" s="6">
        <v>1979.0</v>
      </c>
      <c r="K1516" s="6">
        <v>5.0</v>
      </c>
      <c r="L1516" s="6" t="s">
        <v>95</v>
      </c>
      <c r="M1516" s="6" t="s">
        <v>6102</v>
      </c>
      <c r="N1516" s="6" t="s">
        <v>64</v>
      </c>
      <c r="O1516" s="6" t="s">
        <v>35</v>
      </c>
      <c r="P1516" s="6">
        <f>COUNTIF(Analysis!$M$1:$M$3001,Analysis!$M1516)</f>
        <v>1</v>
      </c>
      <c r="Q1516" s="6" t="str">
        <f>IF(COUNTIF(Analysis!$M$2:$M$3001,Analysis!$M1516)&gt;1,"Duplicate","OK")</f>
        <v>OK</v>
      </c>
      <c r="R1516" s="6" t="str">
        <f t="shared" si="1"/>
        <v>600-1600</v>
      </c>
      <c r="S1516" s="6">
        <f t="shared" si="2"/>
        <v>47</v>
      </c>
      <c r="T1516" s="6" t="str">
        <f t="shared" si="3"/>
        <v>Old</v>
      </c>
    </row>
    <row r="1517" ht="14.25" customHeight="1">
      <c r="A1517" s="5">
        <v>577577.0</v>
      </c>
      <c r="B1517" s="6" t="s">
        <v>6105</v>
      </c>
      <c r="C1517" s="6" t="s">
        <v>76</v>
      </c>
      <c r="D1517" s="6">
        <v>52705.0</v>
      </c>
      <c r="E1517" s="6" t="s">
        <v>19</v>
      </c>
      <c r="F1517" s="6" t="s">
        <v>54</v>
      </c>
      <c r="G1517" s="6" t="s">
        <v>55</v>
      </c>
      <c r="H1517" s="7">
        <v>2728.0</v>
      </c>
      <c r="I1517" s="7">
        <v>9079.0</v>
      </c>
      <c r="J1517" s="6">
        <v>2019.0</v>
      </c>
      <c r="K1517" s="6">
        <v>113.0</v>
      </c>
      <c r="L1517" s="6" t="s">
        <v>95</v>
      </c>
      <c r="M1517" s="6" t="s">
        <v>6106</v>
      </c>
      <c r="N1517" s="6" t="s">
        <v>48</v>
      </c>
      <c r="O1517" s="6" t="s">
        <v>25</v>
      </c>
      <c r="P1517" s="6">
        <f>COUNTIF(Analysis!$M$1:$M$3001,Analysis!$M1517)</f>
        <v>1</v>
      </c>
      <c r="Q1517" s="6" t="str">
        <f>IF(COUNTIF(Analysis!$M$2:$M$3001,Analysis!$M1517)&gt;1,"Duplicate","OK")</f>
        <v>OK</v>
      </c>
      <c r="R1517" s="6" t="str">
        <f t="shared" si="1"/>
        <v>2600-3600</v>
      </c>
      <c r="S1517" s="6">
        <f t="shared" si="2"/>
        <v>7</v>
      </c>
      <c r="T1517" s="6" t="str">
        <f t="shared" si="3"/>
        <v>New</v>
      </c>
    </row>
    <row r="1518" ht="14.25" customHeight="1">
      <c r="A1518" s="5">
        <v>891336.0</v>
      </c>
      <c r="B1518" s="6" t="s">
        <v>6109</v>
      </c>
      <c r="C1518" s="6" t="s">
        <v>53</v>
      </c>
      <c r="D1518" s="6">
        <v>62063.0</v>
      </c>
      <c r="E1518" s="6" t="s">
        <v>19</v>
      </c>
      <c r="F1518" s="6" t="s">
        <v>61</v>
      </c>
      <c r="G1518" s="6" t="s">
        <v>55</v>
      </c>
      <c r="H1518" s="7">
        <v>3149.0</v>
      </c>
      <c r="I1518" s="7">
        <v>6784.0</v>
      </c>
      <c r="J1518" s="6">
        <v>1962.0</v>
      </c>
      <c r="K1518" s="6">
        <v>88.0</v>
      </c>
      <c r="L1518" s="6" t="s">
        <v>141</v>
      </c>
      <c r="M1518" s="6" t="s">
        <v>6110</v>
      </c>
      <c r="N1518" s="6" t="s">
        <v>34</v>
      </c>
      <c r="O1518" s="6" t="s">
        <v>49</v>
      </c>
      <c r="P1518" s="6">
        <f>COUNTIF(Analysis!$M$1:$M$3001,Analysis!$M1518)</f>
        <v>1</v>
      </c>
      <c r="Q1518" s="6" t="str">
        <f>IF(COUNTIF(Analysis!$M$2:$M$3001,Analysis!$M1518)&gt;1,"Duplicate","OK")</f>
        <v>OK</v>
      </c>
      <c r="R1518" s="6" t="str">
        <f t="shared" si="1"/>
        <v>2600-3600</v>
      </c>
      <c r="S1518" s="6">
        <f t="shared" si="2"/>
        <v>64</v>
      </c>
      <c r="T1518" s="6" t="str">
        <f t="shared" si="3"/>
        <v>Very Old</v>
      </c>
    </row>
    <row r="1519" ht="14.25" customHeight="1">
      <c r="A1519" s="5">
        <v>841531.0</v>
      </c>
      <c r="B1519" s="6" t="s">
        <v>6113</v>
      </c>
      <c r="C1519" s="6" t="s">
        <v>18</v>
      </c>
      <c r="D1519" s="6">
        <v>98726.0</v>
      </c>
      <c r="E1519" s="6" t="s">
        <v>40</v>
      </c>
      <c r="F1519" s="6" t="s">
        <v>54</v>
      </c>
      <c r="G1519" s="6" t="s">
        <v>100</v>
      </c>
      <c r="H1519" s="7">
        <v>2720.0</v>
      </c>
      <c r="I1519" s="7">
        <v>3716.0</v>
      </c>
      <c r="J1519" s="6">
        <v>1967.0</v>
      </c>
      <c r="K1519" s="6">
        <v>118.0</v>
      </c>
      <c r="L1519" s="6" t="s">
        <v>95</v>
      </c>
      <c r="M1519" s="6" t="s">
        <v>6114</v>
      </c>
      <c r="N1519" s="6" t="s">
        <v>43</v>
      </c>
      <c r="O1519" s="6" t="s">
        <v>49</v>
      </c>
      <c r="P1519" s="6">
        <f>COUNTIF(Analysis!$M$1:$M$3001,Analysis!$M1519)</f>
        <v>1</v>
      </c>
      <c r="Q1519" s="6" t="str">
        <f>IF(COUNTIF(Analysis!$M$2:$M$3001,Analysis!$M1519)&gt;1,"Duplicate","OK")</f>
        <v>OK</v>
      </c>
      <c r="R1519" s="6" t="str">
        <f t="shared" si="1"/>
        <v>2600-3600</v>
      </c>
      <c r="S1519" s="6">
        <f t="shared" si="2"/>
        <v>59</v>
      </c>
      <c r="T1519" s="6" t="str">
        <f t="shared" si="3"/>
        <v>Old</v>
      </c>
    </row>
    <row r="1520" ht="14.25" customHeight="1">
      <c r="A1520" s="5">
        <v>1237879.0</v>
      </c>
      <c r="B1520" s="6" t="s">
        <v>6117</v>
      </c>
      <c r="C1520" s="6" t="s">
        <v>18</v>
      </c>
      <c r="D1520" s="6">
        <v>22445.0</v>
      </c>
      <c r="E1520" s="6" t="s">
        <v>30</v>
      </c>
      <c r="F1520" s="6" t="s">
        <v>20</v>
      </c>
      <c r="G1520" s="6" t="s">
        <v>21</v>
      </c>
      <c r="H1520" s="7">
        <v>3633.0</v>
      </c>
      <c r="I1520" s="7">
        <v>3402.0</v>
      </c>
      <c r="J1520" s="6">
        <v>1989.0</v>
      </c>
      <c r="K1520" s="6">
        <v>44.0</v>
      </c>
      <c r="L1520" s="6" t="s">
        <v>95</v>
      </c>
      <c r="M1520" s="6" t="s">
        <v>6118</v>
      </c>
      <c r="N1520" s="6" t="s">
        <v>64</v>
      </c>
      <c r="O1520" s="6" t="s">
        <v>25</v>
      </c>
      <c r="P1520" s="6">
        <f>COUNTIF(Analysis!$M$1:$M$3001,Analysis!$M1520)</f>
        <v>1</v>
      </c>
      <c r="Q1520" s="6" t="str">
        <f>IF(COUNTIF(Analysis!$M$2:$M$3001,Analysis!$M1520)&gt;1,"Duplicate","OK")</f>
        <v>OK</v>
      </c>
      <c r="R1520" s="6" t="str">
        <f t="shared" si="1"/>
        <v>3600+</v>
      </c>
      <c r="S1520" s="6">
        <f t="shared" si="2"/>
        <v>37</v>
      </c>
      <c r="T1520" s="6" t="str">
        <f t="shared" si="3"/>
        <v>Old</v>
      </c>
    </row>
    <row r="1521" ht="14.25" customHeight="1">
      <c r="A1521" s="5">
        <v>464902.0</v>
      </c>
      <c r="B1521" s="6" t="s">
        <v>6121</v>
      </c>
      <c r="C1521" s="6" t="s">
        <v>76</v>
      </c>
      <c r="D1521" s="6">
        <v>51002.0</v>
      </c>
      <c r="E1521" s="6" t="s">
        <v>60</v>
      </c>
      <c r="F1521" s="6" t="s">
        <v>61</v>
      </c>
      <c r="G1521" s="6" t="s">
        <v>21</v>
      </c>
      <c r="H1521" s="7">
        <v>2383.0</v>
      </c>
      <c r="I1521" s="7">
        <v>4232.0</v>
      </c>
      <c r="J1521" s="6">
        <v>1961.0</v>
      </c>
      <c r="K1521" s="6">
        <v>80.0</v>
      </c>
      <c r="L1521" s="6" t="s">
        <v>141</v>
      </c>
      <c r="M1521" s="6" t="s">
        <v>6122</v>
      </c>
      <c r="N1521" s="6" t="s">
        <v>34</v>
      </c>
      <c r="O1521" s="6" t="s">
        <v>25</v>
      </c>
      <c r="P1521" s="6">
        <f>COUNTIF(Analysis!$M$1:$M$3001,Analysis!$M1521)</f>
        <v>1</v>
      </c>
      <c r="Q1521" s="6" t="str">
        <f>IF(COUNTIF(Analysis!$M$2:$M$3001,Analysis!$M1521)&gt;1,"Duplicate","OK")</f>
        <v>OK</v>
      </c>
      <c r="R1521" s="6" t="str">
        <f t="shared" si="1"/>
        <v>1600-2600</v>
      </c>
      <c r="S1521" s="6">
        <f t="shared" si="2"/>
        <v>65</v>
      </c>
      <c r="T1521" s="6" t="str">
        <f t="shared" si="3"/>
        <v>Very Old</v>
      </c>
    </row>
    <row r="1522" ht="14.25" customHeight="1">
      <c r="A1522" s="5">
        <v>978336.0</v>
      </c>
      <c r="B1522" s="6" t="s">
        <v>6125</v>
      </c>
      <c r="C1522" s="6" t="s">
        <v>76</v>
      </c>
      <c r="D1522" s="6">
        <v>41506.0</v>
      </c>
      <c r="E1522" s="6" t="s">
        <v>40</v>
      </c>
      <c r="F1522" s="6" t="s">
        <v>61</v>
      </c>
      <c r="G1522" s="6" t="s">
        <v>100</v>
      </c>
      <c r="H1522" s="7">
        <v>3276.0</v>
      </c>
      <c r="I1522" s="7">
        <v>2421.0</v>
      </c>
      <c r="J1522" s="6">
        <v>2012.0</v>
      </c>
      <c r="K1522" s="6">
        <v>104.0</v>
      </c>
      <c r="L1522" s="6" t="s">
        <v>32</v>
      </c>
      <c r="M1522" s="6" t="s">
        <v>6126</v>
      </c>
      <c r="N1522" s="6" t="s">
        <v>64</v>
      </c>
      <c r="O1522" s="6" t="s">
        <v>35</v>
      </c>
      <c r="P1522" s="6">
        <f>COUNTIF(Analysis!$M$1:$M$3001,Analysis!$M1522)</f>
        <v>1</v>
      </c>
      <c r="Q1522" s="6" t="str">
        <f>IF(COUNTIF(Analysis!$M$2:$M$3001,Analysis!$M1522)&gt;1,"Duplicate","OK")</f>
        <v>OK</v>
      </c>
      <c r="R1522" s="6" t="str">
        <f t="shared" si="1"/>
        <v>2600-3600</v>
      </c>
      <c r="S1522" s="6">
        <f t="shared" si="2"/>
        <v>14</v>
      </c>
      <c r="T1522" s="6" t="str">
        <f t="shared" si="3"/>
        <v>Mid</v>
      </c>
    </row>
    <row r="1523" ht="14.25" customHeight="1">
      <c r="A1523" s="5">
        <v>1009011.0</v>
      </c>
      <c r="B1523" s="6" t="s">
        <v>6129</v>
      </c>
      <c r="C1523" s="6" t="s">
        <v>76</v>
      </c>
      <c r="D1523" s="6">
        <v>92333.0</v>
      </c>
      <c r="E1523" s="6" t="s">
        <v>19</v>
      </c>
      <c r="F1523" s="6" t="s">
        <v>41</v>
      </c>
      <c r="G1523" s="6" t="s">
        <v>21</v>
      </c>
      <c r="H1523" s="7">
        <v>634.0</v>
      </c>
      <c r="I1523" s="7">
        <v>6288.0</v>
      </c>
      <c r="J1523" s="6">
        <v>2020.0</v>
      </c>
      <c r="K1523" s="6">
        <v>104.0</v>
      </c>
      <c r="L1523" s="6" t="s">
        <v>62</v>
      </c>
      <c r="M1523" s="6" t="s">
        <v>6130</v>
      </c>
      <c r="N1523" s="6" t="s">
        <v>34</v>
      </c>
      <c r="O1523" s="6" t="s">
        <v>25</v>
      </c>
      <c r="P1523" s="6">
        <f>COUNTIF(Analysis!$M$1:$M$3001,Analysis!$M1523)</f>
        <v>1</v>
      </c>
      <c r="Q1523" s="6" t="str">
        <f>IF(COUNTIF(Analysis!$M$2:$M$3001,Analysis!$M1523)&gt;1,"Duplicate","OK")</f>
        <v>OK</v>
      </c>
      <c r="R1523" s="6" t="str">
        <f t="shared" si="1"/>
        <v>600-1600</v>
      </c>
      <c r="S1523" s="6">
        <f t="shared" si="2"/>
        <v>6</v>
      </c>
      <c r="T1523" s="6" t="str">
        <f t="shared" si="3"/>
        <v>New</v>
      </c>
    </row>
    <row r="1524" ht="14.25" customHeight="1">
      <c r="A1524" s="5">
        <v>248621.0</v>
      </c>
      <c r="B1524" s="6" t="s">
        <v>6133</v>
      </c>
      <c r="C1524" s="6" t="s">
        <v>39</v>
      </c>
      <c r="D1524" s="6">
        <v>48036.0</v>
      </c>
      <c r="E1524" s="6" t="s">
        <v>60</v>
      </c>
      <c r="F1524" s="6" t="s">
        <v>20</v>
      </c>
      <c r="G1524" s="6" t="s">
        <v>21</v>
      </c>
      <c r="H1524" s="7">
        <v>2714.0</v>
      </c>
      <c r="I1524" s="7">
        <v>7865.0</v>
      </c>
      <c r="J1524" s="6">
        <v>1987.0</v>
      </c>
      <c r="K1524" s="6">
        <v>91.0</v>
      </c>
      <c r="L1524" s="6" t="s">
        <v>95</v>
      </c>
      <c r="M1524" s="6" t="s">
        <v>6134</v>
      </c>
      <c r="N1524" s="6" t="s">
        <v>24</v>
      </c>
      <c r="O1524" s="6" t="s">
        <v>35</v>
      </c>
      <c r="P1524" s="6">
        <f>COUNTIF(Analysis!$M$1:$M$3001,Analysis!$M1524)</f>
        <v>1</v>
      </c>
      <c r="Q1524" s="6" t="str">
        <f>IF(COUNTIF(Analysis!$M$2:$M$3001,Analysis!$M1524)&gt;1,"Duplicate","OK")</f>
        <v>OK</v>
      </c>
      <c r="R1524" s="6" t="str">
        <f t="shared" si="1"/>
        <v>2600-3600</v>
      </c>
      <c r="S1524" s="6">
        <f t="shared" si="2"/>
        <v>39</v>
      </c>
      <c r="T1524" s="6" t="str">
        <f t="shared" si="3"/>
        <v>Old</v>
      </c>
    </row>
    <row r="1525" ht="14.25" customHeight="1">
      <c r="A1525" s="5">
        <v>1037281.0</v>
      </c>
      <c r="B1525" s="6" t="s">
        <v>6137</v>
      </c>
      <c r="C1525" s="6" t="s">
        <v>76</v>
      </c>
      <c r="D1525" s="6">
        <v>45047.0</v>
      </c>
      <c r="E1525" s="6" t="s">
        <v>77</v>
      </c>
      <c r="F1525" s="6" t="s">
        <v>94</v>
      </c>
      <c r="G1525" s="6" t="s">
        <v>31</v>
      </c>
      <c r="H1525" s="7">
        <v>3807.0</v>
      </c>
      <c r="I1525" s="7">
        <v>3790.0</v>
      </c>
      <c r="J1525" s="6">
        <v>1959.0</v>
      </c>
      <c r="K1525" s="6">
        <v>45.0</v>
      </c>
      <c r="L1525" s="6" t="s">
        <v>22</v>
      </c>
      <c r="M1525" s="6" t="s">
        <v>6138</v>
      </c>
      <c r="N1525" s="6" t="s">
        <v>34</v>
      </c>
      <c r="O1525" s="6" t="s">
        <v>49</v>
      </c>
      <c r="P1525" s="6">
        <f>COUNTIF(Analysis!$M$1:$M$3001,Analysis!$M1525)</f>
        <v>1</v>
      </c>
      <c r="Q1525" s="6" t="str">
        <f>IF(COUNTIF(Analysis!$M$2:$M$3001,Analysis!$M1525)&gt;1,"Duplicate","OK")</f>
        <v>OK</v>
      </c>
      <c r="R1525" s="6" t="str">
        <f t="shared" si="1"/>
        <v>3600+</v>
      </c>
      <c r="S1525" s="6">
        <f t="shared" si="2"/>
        <v>67</v>
      </c>
      <c r="T1525" s="6" t="str">
        <f t="shared" si="3"/>
        <v>Very Old</v>
      </c>
    </row>
    <row r="1526" ht="14.25" customHeight="1">
      <c r="A1526" s="5">
        <v>813788.0</v>
      </c>
      <c r="B1526" s="6" t="s">
        <v>3595</v>
      </c>
      <c r="C1526" s="6" t="s">
        <v>29</v>
      </c>
      <c r="D1526" s="6">
        <v>23788.0</v>
      </c>
      <c r="E1526" s="6" t="s">
        <v>40</v>
      </c>
      <c r="F1526" s="6" t="s">
        <v>54</v>
      </c>
      <c r="G1526" s="6" t="s">
        <v>55</v>
      </c>
      <c r="H1526" s="7">
        <v>2716.0</v>
      </c>
      <c r="I1526" s="7">
        <v>6312.0</v>
      </c>
      <c r="J1526" s="6">
        <v>2020.0</v>
      </c>
      <c r="K1526" s="6">
        <v>120.0</v>
      </c>
      <c r="L1526" s="6" t="s">
        <v>32</v>
      </c>
      <c r="M1526" s="6" t="s">
        <v>3596</v>
      </c>
      <c r="N1526" s="6" t="s">
        <v>24</v>
      </c>
      <c r="O1526" s="6" t="s">
        <v>49</v>
      </c>
      <c r="P1526" s="6">
        <f>COUNTIF(Analysis!$M$1:$M$3001,Analysis!$M889)</f>
        <v>1</v>
      </c>
      <c r="Q1526" s="6" t="str">
        <f>IF(COUNTIF(Analysis!$M$2:$M$3001,Analysis!$M889)&gt;1,"Duplicate","OK")</f>
        <v>OK</v>
      </c>
      <c r="R1526" s="6" t="str">
        <f t="shared" si="1"/>
        <v>2600-3600</v>
      </c>
      <c r="S1526" s="6">
        <f t="shared" si="2"/>
        <v>6</v>
      </c>
      <c r="T1526" s="6" t="str">
        <f t="shared" si="3"/>
        <v>New</v>
      </c>
    </row>
    <row r="1527" ht="14.25" customHeight="1">
      <c r="A1527" s="5">
        <v>1132804.0</v>
      </c>
      <c r="B1527" s="6" t="s">
        <v>6145</v>
      </c>
      <c r="C1527" s="6" t="s">
        <v>18</v>
      </c>
      <c r="D1527" s="6">
        <v>35198.0</v>
      </c>
      <c r="E1527" s="6" t="s">
        <v>60</v>
      </c>
      <c r="F1527" s="6" t="s">
        <v>54</v>
      </c>
      <c r="G1527" s="6" t="s">
        <v>31</v>
      </c>
      <c r="H1527" s="7">
        <v>1682.0</v>
      </c>
      <c r="I1527" s="7">
        <v>4028.0</v>
      </c>
      <c r="J1527" s="6">
        <v>2015.0</v>
      </c>
      <c r="K1527" s="6">
        <v>39.0</v>
      </c>
      <c r="L1527" s="6" t="s">
        <v>95</v>
      </c>
      <c r="M1527" s="6" t="s">
        <v>6146</v>
      </c>
      <c r="N1527" s="6" t="s">
        <v>43</v>
      </c>
      <c r="O1527" s="6" t="s">
        <v>49</v>
      </c>
      <c r="P1527" s="6">
        <f>COUNTIF(Analysis!$M$1:$M$3001,Analysis!$M1527)</f>
        <v>1</v>
      </c>
      <c r="Q1527" s="6" t="str">
        <f>IF(COUNTIF(Analysis!$M$2:$M$3001,Analysis!$M1527)&gt;1,"Duplicate","OK")</f>
        <v>OK</v>
      </c>
      <c r="R1527" s="6" t="str">
        <f t="shared" si="1"/>
        <v>1600-2600</v>
      </c>
      <c r="S1527" s="6">
        <f t="shared" si="2"/>
        <v>11</v>
      </c>
      <c r="T1527" s="6" t="str">
        <f t="shared" si="3"/>
        <v>Mid</v>
      </c>
    </row>
    <row r="1528" ht="14.25" customHeight="1">
      <c r="A1528" s="5">
        <v>459734.0</v>
      </c>
      <c r="B1528" s="6" t="s">
        <v>6149</v>
      </c>
      <c r="C1528" s="6" t="s">
        <v>76</v>
      </c>
      <c r="D1528" s="6">
        <v>82428.0</v>
      </c>
      <c r="E1528" s="6" t="s">
        <v>77</v>
      </c>
      <c r="F1528" s="6" t="s">
        <v>61</v>
      </c>
      <c r="G1528" s="6" t="s">
        <v>31</v>
      </c>
      <c r="H1528" s="7">
        <v>3855.0</v>
      </c>
      <c r="I1528" s="7">
        <v>2341.0</v>
      </c>
      <c r="J1528" s="6">
        <v>2023.0</v>
      </c>
      <c r="K1528" s="6">
        <v>71.0</v>
      </c>
      <c r="L1528" s="6" t="s">
        <v>22</v>
      </c>
      <c r="M1528" s="6" t="s">
        <v>6150</v>
      </c>
      <c r="N1528" s="6" t="s">
        <v>24</v>
      </c>
      <c r="O1528" s="6" t="s">
        <v>49</v>
      </c>
      <c r="P1528" s="6">
        <f>COUNTIF(Analysis!$M$1:$M$3001,Analysis!$M1528)</f>
        <v>1</v>
      </c>
      <c r="Q1528" s="6" t="str">
        <f>IF(COUNTIF(Analysis!$M$2:$M$3001,Analysis!$M1528)&gt;1,"Duplicate","OK")</f>
        <v>OK</v>
      </c>
      <c r="R1528" s="6" t="str">
        <f t="shared" si="1"/>
        <v>3600+</v>
      </c>
      <c r="S1528" s="6">
        <f t="shared" si="2"/>
        <v>3</v>
      </c>
      <c r="T1528" s="6" t="str">
        <f t="shared" si="3"/>
        <v>New</v>
      </c>
    </row>
    <row r="1529" ht="14.25" customHeight="1">
      <c r="A1529" s="5">
        <v>796312.0</v>
      </c>
      <c r="B1529" s="6" t="s">
        <v>6153</v>
      </c>
      <c r="C1529" s="6" t="s">
        <v>18</v>
      </c>
      <c r="D1529" s="6">
        <v>66000.0</v>
      </c>
      <c r="E1529" s="6" t="s">
        <v>60</v>
      </c>
      <c r="F1529" s="6" t="s">
        <v>54</v>
      </c>
      <c r="G1529" s="6" t="s">
        <v>31</v>
      </c>
      <c r="H1529" s="7">
        <v>1691.0</v>
      </c>
      <c r="I1529" s="7">
        <v>5223.0</v>
      </c>
      <c r="J1529" s="6">
        <v>2021.0</v>
      </c>
      <c r="K1529" s="6">
        <v>52.0</v>
      </c>
      <c r="L1529" s="6" t="s">
        <v>141</v>
      </c>
      <c r="M1529" s="6" t="s">
        <v>6154</v>
      </c>
      <c r="N1529" s="6" t="s">
        <v>64</v>
      </c>
      <c r="O1529" s="6" t="s">
        <v>49</v>
      </c>
      <c r="P1529" s="6">
        <f>COUNTIF(Analysis!$M$1:$M$3001,Analysis!$M1529)</f>
        <v>1</v>
      </c>
      <c r="Q1529" s="6" t="str">
        <f>IF(COUNTIF(Analysis!$M$2:$M$3001,Analysis!$M1529)&gt;1,"Duplicate","OK")</f>
        <v>OK</v>
      </c>
      <c r="R1529" s="6" t="str">
        <f t="shared" si="1"/>
        <v>1600-2600</v>
      </c>
      <c r="S1529" s="6">
        <f t="shared" si="2"/>
        <v>5</v>
      </c>
      <c r="T1529" s="6" t="str">
        <f t="shared" si="3"/>
        <v>New</v>
      </c>
    </row>
    <row r="1530" ht="14.25" customHeight="1">
      <c r="A1530" s="5">
        <v>1340648.0</v>
      </c>
      <c r="B1530" s="6" t="s">
        <v>6157</v>
      </c>
      <c r="C1530" s="6" t="s">
        <v>39</v>
      </c>
      <c r="D1530" s="6">
        <v>15583.0</v>
      </c>
      <c r="E1530" s="6" t="s">
        <v>60</v>
      </c>
      <c r="F1530" s="6" t="s">
        <v>61</v>
      </c>
      <c r="G1530" s="6" t="s">
        <v>31</v>
      </c>
      <c r="H1530" s="7">
        <v>726.0</v>
      </c>
      <c r="I1530" s="7">
        <v>7912.0</v>
      </c>
      <c r="J1530" s="6">
        <v>2007.0</v>
      </c>
      <c r="K1530" s="6">
        <v>56.0</v>
      </c>
      <c r="L1530" s="6" t="s">
        <v>32</v>
      </c>
      <c r="M1530" s="6" t="s">
        <v>6158</v>
      </c>
      <c r="N1530" s="6" t="s">
        <v>34</v>
      </c>
      <c r="O1530" s="6" t="s">
        <v>35</v>
      </c>
      <c r="P1530" s="6">
        <f>COUNTIF(Analysis!$M$1:$M$3001,Analysis!$M1530)</f>
        <v>1</v>
      </c>
      <c r="Q1530" s="6" t="str">
        <f>IF(COUNTIF(Analysis!$M$2:$M$3001,Analysis!$M1530)&gt;1,"Duplicate","OK")</f>
        <v>OK</v>
      </c>
      <c r="R1530" s="6" t="str">
        <f t="shared" si="1"/>
        <v>600-1600</v>
      </c>
      <c r="S1530" s="6">
        <f t="shared" si="2"/>
        <v>19</v>
      </c>
      <c r="T1530" s="6" t="str">
        <f t="shared" si="3"/>
        <v>Mid</v>
      </c>
    </row>
    <row r="1531" ht="14.25" customHeight="1">
      <c r="A1531" s="5">
        <v>188953.0</v>
      </c>
      <c r="B1531" s="6" t="s">
        <v>6161</v>
      </c>
      <c r="C1531" s="6" t="s">
        <v>39</v>
      </c>
      <c r="D1531" s="6">
        <v>92649.0</v>
      </c>
      <c r="E1531" s="6" t="s">
        <v>77</v>
      </c>
      <c r="F1531" s="6" t="s">
        <v>46</v>
      </c>
      <c r="G1531" s="6" t="s">
        <v>100</v>
      </c>
      <c r="H1531" s="7">
        <v>3922.0</v>
      </c>
      <c r="I1531" s="7">
        <v>7984.0</v>
      </c>
      <c r="J1531" s="6">
        <v>1971.0</v>
      </c>
      <c r="K1531" s="6">
        <v>82.0</v>
      </c>
      <c r="L1531" s="6" t="s">
        <v>141</v>
      </c>
      <c r="M1531" s="6" t="s">
        <v>6162</v>
      </c>
      <c r="N1531" s="6" t="s">
        <v>64</v>
      </c>
      <c r="O1531" s="6" t="s">
        <v>25</v>
      </c>
      <c r="P1531" s="6">
        <f>COUNTIF(Analysis!$M$1:$M$3001,Analysis!$M1531)</f>
        <v>1</v>
      </c>
      <c r="Q1531" s="6" t="str">
        <f>IF(COUNTIF(Analysis!$M$2:$M$3001,Analysis!$M1531)&gt;1,"Duplicate","OK")</f>
        <v>OK</v>
      </c>
      <c r="R1531" s="6" t="str">
        <f t="shared" si="1"/>
        <v>3600+</v>
      </c>
      <c r="S1531" s="6">
        <f t="shared" si="2"/>
        <v>55</v>
      </c>
      <c r="T1531" s="6" t="str">
        <f t="shared" si="3"/>
        <v>Old</v>
      </c>
    </row>
    <row r="1532" ht="14.25" customHeight="1">
      <c r="A1532" s="5">
        <v>1164352.0</v>
      </c>
      <c r="B1532" s="6" t="s">
        <v>6165</v>
      </c>
      <c r="C1532" s="6" t="s">
        <v>18</v>
      </c>
      <c r="D1532" s="6">
        <v>92760.0</v>
      </c>
      <c r="E1532" s="6" t="s">
        <v>60</v>
      </c>
      <c r="F1532" s="6" t="s">
        <v>41</v>
      </c>
      <c r="G1532" s="6" t="s">
        <v>100</v>
      </c>
      <c r="H1532" s="7">
        <v>3865.0</v>
      </c>
      <c r="I1532" s="7">
        <v>2589.0</v>
      </c>
      <c r="J1532" s="6">
        <v>1964.0</v>
      </c>
      <c r="K1532" s="6">
        <v>86.0</v>
      </c>
      <c r="L1532" s="6" t="s">
        <v>32</v>
      </c>
      <c r="M1532" s="6" t="s">
        <v>6166</v>
      </c>
      <c r="N1532" s="6" t="s">
        <v>24</v>
      </c>
      <c r="O1532" s="6" t="s">
        <v>35</v>
      </c>
      <c r="P1532" s="6">
        <f>COUNTIF(Analysis!$M$1:$M$3001,Analysis!$M1532)</f>
        <v>1</v>
      </c>
      <c r="Q1532" s="6" t="str">
        <f>IF(COUNTIF(Analysis!$M$2:$M$3001,Analysis!$M1532)&gt;1,"Duplicate","OK")</f>
        <v>OK</v>
      </c>
      <c r="R1532" s="6" t="str">
        <f t="shared" si="1"/>
        <v>3600+</v>
      </c>
      <c r="S1532" s="6">
        <f t="shared" si="2"/>
        <v>62</v>
      </c>
      <c r="T1532" s="6" t="str">
        <f t="shared" si="3"/>
        <v>Very Old</v>
      </c>
    </row>
    <row r="1533" ht="14.25" customHeight="1">
      <c r="A1533" s="5">
        <v>129652.0</v>
      </c>
      <c r="B1533" s="6" t="s">
        <v>6169</v>
      </c>
      <c r="C1533" s="6" t="s">
        <v>76</v>
      </c>
      <c r="D1533" s="6">
        <v>35662.0</v>
      </c>
      <c r="E1533" s="6" t="s">
        <v>77</v>
      </c>
      <c r="F1533" s="6" t="s">
        <v>94</v>
      </c>
      <c r="G1533" s="6" t="s">
        <v>100</v>
      </c>
      <c r="H1533" s="7">
        <v>1440.0</v>
      </c>
      <c r="I1533" s="7">
        <v>1097.0</v>
      </c>
      <c r="J1533" s="6">
        <v>1962.0</v>
      </c>
      <c r="K1533" s="6">
        <v>7.0</v>
      </c>
      <c r="L1533" s="6" t="s">
        <v>95</v>
      </c>
      <c r="M1533" s="6" t="s">
        <v>6170</v>
      </c>
      <c r="N1533" s="6" t="s">
        <v>34</v>
      </c>
      <c r="O1533" s="6" t="s">
        <v>35</v>
      </c>
      <c r="P1533" s="6">
        <f>COUNTIF(Analysis!$M$1:$M$3001,Analysis!$M1533)</f>
        <v>1</v>
      </c>
      <c r="Q1533" s="6" t="str">
        <f>IF(COUNTIF(Analysis!$M$2:$M$3001,Analysis!$M1533)&gt;1,"Duplicate","OK")</f>
        <v>OK</v>
      </c>
      <c r="R1533" s="6" t="str">
        <f t="shared" si="1"/>
        <v>600-1600</v>
      </c>
      <c r="S1533" s="6">
        <f t="shared" si="2"/>
        <v>64</v>
      </c>
      <c r="T1533" s="6" t="str">
        <f t="shared" si="3"/>
        <v>Very Old</v>
      </c>
    </row>
    <row r="1534" ht="14.25" customHeight="1">
      <c r="A1534" s="5">
        <v>1176035.0</v>
      </c>
      <c r="B1534" s="6" t="s">
        <v>6173</v>
      </c>
      <c r="C1534" s="6" t="s">
        <v>53</v>
      </c>
      <c r="D1534" s="6">
        <v>95565.0</v>
      </c>
      <c r="E1534" s="6" t="s">
        <v>77</v>
      </c>
      <c r="F1534" s="6" t="s">
        <v>94</v>
      </c>
      <c r="G1534" s="6" t="s">
        <v>100</v>
      </c>
      <c r="H1534" s="7">
        <v>3190.0</v>
      </c>
      <c r="I1534" s="7">
        <v>5838.0</v>
      </c>
      <c r="J1534" s="6">
        <v>2018.0</v>
      </c>
      <c r="K1534" s="6">
        <v>62.0</v>
      </c>
      <c r="L1534" s="6" t="s">
        <v>32</v>
      </c>
      <c r="M1534" s="6" t="s">
        <v>6174</v>
      </c>
      <c r="N1534" s="6" t="s">
        <v>64</v>
      </c>
      <c r="O1534" s="6" t="s">
        <v>35</v>
      </c>
      <c r="P1534" s="6">
        <f>COUNTIF(Analysis!$M$1:$M$3001,Analysis!$M1534)</f>
        <v>1</v>
      </c>
      <c r="Q1534" s="6" t="str">
        <f>IF(COUNTIF(Analysis!$M$2:$M$3001,Analysis!$M1534)&gt;1,"Duplicate","OK")</f>
        <v>OK</v>
      </c>
      <c r="R1534" s="6" t="str">
        <f t="shared" si="1"/>
        <v>2600-3600</v>
      </c>
      <c r="S1534" s="6">
        <f t="shared" si="2"/>
        <v>8</v>
      </c>
      <c r="T1534" s="6" t="str">
        <f t="shared" si="3"/>
        <v>New</v>
      </c>
    </row>
    <row r="1535" ht="14.25" customHeight="1">
      <c r="A1535" s="5">
        <v>135966.0</v>
      </c>
      <c r="B1535" s="6" t="s">
        <v>6177</v>
      </c>
      <c r="C1535" s="6" t="s">
        <v>53</v>
      </c>
      <c r="D1535" s="6">
        <v>97508.0</v>
      </c>
      <c r="E1535" s="6" t="s">
        <v>19</v>
      </c>
      <c r="F1535" s="6" t="s">
        <v>41</v>
      </c>
      <c r="G1535" s="6" t="s">
        <v>100</v>
      </c>
      <c r="H1535" s="7">
        <v>3868.0</v>
      </c>
      <c r="I1535" s="7">
        <v>6366.0</v>
      </c>
      <c r="J1535" s="6">
        <v>2010.0</v>
      </c>
      <c r="K1535" s="6">
        <v>13.0</v>
      </c>
      <c r="L1535" s="6" t="s">
        <v>22</v>
      </c>
      <c r="M1535" s="6" t="s">
        <v>6178</v>
      </c>
      <c r="N1535" s="6" t="s">
        <v>34</v>
      </c>
      <c r="O1535" s="6" t="s">
        <v>49</v>
      </c>
      <c r="P1535" s="6">
        <f>COUNTIF(Analysis!$M$1:$M$3001,Analysis!$M1535)</f>
        <v>1</v>
      </c>
      <c r="Q1535" s="6" t="str">
        <f>IF(COUNTIF(Analysis!$M$2:$M$3001,Analysis!$M1535)&gt;1,"Duplicate","OK")</f>
        <v>OK</v>
      </c>
      <c r="R1535" s="6" t="str">
        <f t="shared" si="1"/>
        <v>3600+</v>
      </c>
      <c r="S1535" s="6">
        <f t="shared" si="2"/>
        <v>16</v>
      </c>
      <c r="T1535" s="6" t="str">
        <f t="shared" si="3"/>
        <v>Mid</v>
      </c>
    </row>
    <row r="1536" ht="14.25" customHeight="1">
      <c r="A1536" s="5">
        <v>714070.0</v>
      </c>
      <c r="B1536" s="6" t="s">
        <v>6181</v>
      </c>
      <c r="C1536" s="6" t="s">
        <v>76</v>
      </c>
      <c r="D1536" s="6">
        <v>61959.0</v>
      </c>
      <c r="E1536" s="6" t="s">
        <v>19</v>
      </c>
      <c r="F1536" s="6" t="s">
        <v>61</v>
      </c>
      <c r="G1536" s="6" t="s">
        <v>55</v>
      </c>
      <c r="H1536" s="7">
        <v>677.0</v>
      </c>
      <c r="I1536" s="7">
        <v>9114.0</v>
      </c>
      <c r="J1536" s="6">
        <v>1954.0</v>
      </c>
      <c r="K1536" s="6">
        <v>26.0</v>
      </c>
      <c r="L1536" s="6" t="s">
        <v>22</v>
      </c>
      <c r="M1536" s="6" t="s">
        <v>6182</v>
      </c>
      <c r="N1536" s="6" t="s">
        <v>48</v>
      </c>
      <c r="O1536" s="6" t="s">
        <v>25</v>
      </c>
      <c r="P1536" s="6">
        <f>COUNTIF(Analysis!$M$1:$M$3001,Analysis!$M1536)</f>
        <v>1</v>
      </c>
      <c r="Q1536" s="6" t="str">
        <f>IF(COUNTIF(Analysis!$M$2:$M$3001,Analysis!$M1536)&gt;1,"Duplicate","OK")</f>
        <v>OK</v>
      </c>
      <c r="R1536" s="6" t="str">
        <f t="shared" si="1"/>
        <v>600-1600</v>
      </c>
      <c r="S1536" s="6">
        <f t="shared" si="2"/>
        <v>72</v>
      </c>
      <c r="T1536" s="6" t="str">
        <f t="shared" si="3"/>
        <v>Very Old</v>
      </c>
    </row>
    <row r="1537" ht="14.25" customHeight="1">
      <c r="A1537" s="5">
        <v>1023977.0</v>
      </c>
      <c r="B1537" s="6" t="s">
        <v>6185</v>
      </c>
      <c r="C1537" s="6" t="s">
        <v>76</v>
      </c>
      <c r="D1537" s="6">
        <v>27440.0</v>
      </c>
      <c r="E1537" s="6" t="s">
        <v>40</v>
      </c>
      <c r="F1537" s="6" t="s">
        <v>54</v>
      </c>
      <c r="G1537" s="6" t="s">
        <v>31</v>
      </c>
      <c r="H1537" s="7">
        <v>1682.0</v>
      </c>
      <c r="I1537" s="7">
        <v>7916.0</v>
      </c>
      <c r="J1537" s="6">
        <v>1981.0</v>
      </c>
      <c r="K1537" s="6">
        <v>34.0</v>
      </c>
      <c r="L1537" s="6" t="s">
        <v>22</v>
      </c>
      <c r="M1537" s="6" t="s">
        <v>6186</v>
      </c>
      <c r="N1537" s="6" t="s">
        <v>48</v>
      </c>
      <c r="O1537" s="6" t="s">
        <v>49</v>
      </c>
      <c r="P1537" s="6">
        <f>COUNTIF(Analysis!$M$1:$M$3001,Analysis!$M1537)</f>
        <v>1</v>
      </c>
      <c r="Q1537" s="6" t="str">
        <f>IF(COUNTIF(Analysis!$M$2:$M$3001,Analysis!$M1537)&gt;1,"Duplicate","OK")</f>
        <v>OK</v>
      </c>
      <c r="R1537" s="6" t="str">
        <f t="shared" si="1"/>
        <v>1600-2600</v>
      </c>
      <c r="S1537" s="6">
        <f t="shared" si="2"/>
        <v>45</v>
      </c>
      <c r="T1537" s="6" t="str">
        <f t="shared" si="3"/>
        <v>Old</v>
      </c>
    </row>
    <row r="1538" ht="14.25" customHeight="1">
      <c r="A1538" s="5">
        <v>407981.0</v>
      </c>
      <c r="B1538" s="6" t="s">
        <v>6189</v>
      </c>
      <c r="C1538" s="6" t="s">
        <v>53</v>
      </c>
      <c r="D1538" s="6">
        <v>31427.0</v>
      </c>
      <c r="E1538" s="6" t="s">
        <v>60</v>
      </c>
      <c r="F1538" s="6" t="s">
        <v>20</v>
      </c>
      <c r="G1538" s="6" t="s">
        <v>31</v>
      </c>
      <c r="H1538" s="7">
        <v>3261.0</v>
      </c>
      <c r="I1538" s="7">
        <v>7785.0</v>
      </c>
      <c r="J1538" s="6">
        <v>2008.0</v>
      </c>
      <c r="K1538" s="6">
        <v>100.0</v>
      </c>
      <c r="L1538" s="6" t="s">
        <v>22</v>
      </c>
      <c r="M1538" s="6" t="s">
        <v>6190</v>
      </c>
      <c r="N1538" s="6" t="s">
        <v>24</v>
      </c>
      <c r="O1538" s="6" t="s">
        <v>35</v>
      </c>
      <c r="P1538" s="6">
        <f>COUNTIF(Analysis!$M$1:$M$3001,Analysis!$M1538)</f>
        <v>1</v>
      </c>
      <c r="Q1538" s="6" t="str">
        <f>IF(COUNTIF(Analysis!$M$2:$M$3001,Analysis!$M1538)&gt;1,"Duplicate","OK")</f>
        <v>OK</v>
      </c>
      <c r="R1538" s="6" t="str">
        <f t="shared" si="1"/>
        <v>2600-3600</v>
      </c>
      <c r="S1538" s="6">
        <f t="shared" si="2"/>
        <v>18</v>
      </c>
      <c r="T1538" s="6" t="str">
        <f t="shared" si="3"/>
        <v>Mid</v>
      </c>
    </row>
    <row r="1539" ht="14.25" customHeight="1">
      <c r="A1539" s="5">
        <v>447706.0</v>
      </c>
      <c r="B1539" s="6" t="s">
        <v>6193</v>
      </c>
      <c r="C1539" s="6" t="s">
        <v>76</v>
      </c>
      <c r="D1539" s="6">
        <v>79435.0</v>
      </c>
      <c r="E1539" s="6" t="s">
        <v>30</v>
      </c>
      <c r="F1539" s="6" t="s">
        <v>54</v>
      </c>
      <c r="G1539" s="6" t="s">
        <v>55</v>
      </c>
      <c r="H1539" s="7">
        <v>1006.0</v>
      </c>
      <c r="I1539" s="7">
        <v>8212.0</v>
      </c>
      <c r="J1539" s="6">
        <v>2010.0</v>
      </c>
      <c r="K1539" s="6">
        <v>83.0</v>
      </c>
      <c r="L1539" s="6" t="s">
        <v>141</v>
      </c>
      <c r="M1539" s="6" t="s">
        <v>6194</v>
      </c>
      <c r="N1539" s="6" t="s">
        <v>43</v>
      </c>
      <c r="O1539" s="6" t="s">
        <v>49</v>
      </c>
      <c r="P1539" s="6">
        <f>COUNTIF(Analysis!$M$1:$M$3001,Analysis!$M1539)</f>
        <v>1</v>
      </c>
      <c r="Q1539" s="6" t="str">
        <f>IF(COUNTIF(Analysis!$M$2:$M$3001,Analysis!$M1539)&gt;1,"Duplicate","OK")</f>
        <v>OK</v>
      </c>
      <c r="R1539" s="6" t="str">
        <f t="shared" si="1"/>
        <v>600-1600</v>
      </c>
      <c r="S1539" s="6">
        <f t="shared" si="2"/>
        <v>16</v>
      </c>
      <c r="T1539" s="6" t="str">
        <f t="shared" si="3"/>
        <v>Mid</v>
      </c>
    </row>
    <row r="1540" ht="14.25" customHeight="1">
      <c r="A1540" s="5">
        <v>814836.0</v>
      </c>
      <c r="B1540" s="6" t="s">
        <v>6861</v>
      </c>
      <c r="C1540" s="6" t="s">
        <v>29</v>
      </c>
      <c r="D1540" s="6">
        <v>13916.0</v>
      </c>
      <c r="E1540" s="6" t="s">
        <v>77</v>
      </c>
      <c r="F1540" s="6" t="s">
        <v>41</v>
      </c>
      <c r="G1540" s="6" t="s">
        <v>100</v>
      </c>
      <c r="H1540" s="7">
        <v>782.0</v>
      </c>
      <c r="I1540" s="7">
        <v>5929.0</v>
      </c>
      <c r="J1540" s="6">
        <v>2003.0</v>
      </c>
      <c r="K1540" s="6">
        <v>45.0</v>
      </c>
      <c r="L1540" s="6" t="s">
        <v>32</v>
      </c>
      <c r="M1540" s="6" t="s">
        <v>6862</v>
      </c>
      <c r="N1540" s="6" t="s">
        <v>64</v>
      </c>
      <c r="O1540" s="6" t="s">
        <v>25</v>
      </c>
      <c r="P1540" s="6">
        <f>COUNTIF(Analysis!$M$1:$M$3001,Analysis!$M1706)</f>
        <v>1</v>
      </c>
      <c r="Q1540" s="6" t="str">
        <f>IF(COUNTIF(Analysis!$M$2:$M$3001,Analysis!$M1706)&gt;1,"Duplicate","OK")</f>
        <v>OK</v>
      </c>
      <c r="R1540" s="6" t="str">
        <f t="shared" si="1"/>
        <v>600-1600</v>
      </c>
      <c r="S1540" s="6">
        <f t="shared" si="2"/>
        <v>23</v>
      </c>
      <c r="T1540" s="6" t="str">
        <f t="shared" si="3"/>
        <v>Mid</v>
      </c>
    </row>
    <row r="1541" ht="14.25" customHeight="1">
      <c r="A1541" s="5">
        <v>637069.0</v>
      </c>
      <c r="B1541" s="6" t="s">
        <v>6201</v>
      </c>
      <c r="C1541" s="6" t="s">
        <v>76</v>
      </c>
      <c r="D1541" s="6">
        <v>69412.0</v>
      </c>
      <c r="E1541" s="6" t="s">
        <v>19</v>
      </c>
      <c r="F1541" s="6" t="s">
        <v>46</v>
      </c>
      <c r="G1541" s="6" t="s">
        <v>55</v>
      </c>
      <c r="H1541" s="7">
        <v>1374.0</v>
      </c>
      <c r="I1541" s="7">
        <v>2835.0</v>
      </c>
      <c r="J1541" s="6">
        <v>1995.0</v>
      </c>
      <c r="K1541" s="6">
        <v>120.0</v>
      </c>
      <c r="L1541" s="6" t="s">
        <v>62</v>
      </c>
      <c r="M1541" s="6" t="s">
        <v>6202</v>
      </c>
      <c r="N1541" s="6" t="s">
        <v>64</v>
      </c>
      <c r="O1541" s="6" t="s">
        <v>25</v>
      </c>
      <c r="P1541" s="6">
        <f>COUNTIF(Analysis!$M$1:$M$3001,Analysis!$M1541)</f>
        <v>1</v>
      </c>
      <c r="Q1541" s="6" t="str">
        <f>IF(COUNTIF(Analysis!$M$2:$M$3001,Analysis!$M1541)&gt;1,"Duplicate","OK")</f>
        <v>OK</v>
      </c>
      <c r="R1541" s="6" t="str">
        <f t="shared" si="1"/>
        <v>600-1600</v>
      </c>
      <c r="S1541" s="6">
        <f t="shared" si="2"/>
        <v>31</v>
      </c>
      <c r="T1541" s="6" t="str">
        <f t="shared" si="3"/>
        <v>Old</v>
      </c>
    </row>
    <row r="1542" ht="14.25" customHeight="1">
      <c r="A1542" s="5">
        <v>1481833.0</v>
      </c>
      <c r="B1542" s="6" t="s">
        <v>6205</v>
      </c>
      <c r="C1542" s="6" t="s">
        <v>39</v>
      </c>
      <c r="D1542" s="6">
        <v>53941.0</v>
      </c>
      <c r="E1542" s="6" t="s">
        <v>60</v>
      </c>
      <c r="F1542" s="6" t="s">
        <v>46</v>
      </c>
      <c r="G1542" s="6" t="s">
        <v>31</v>
      </c>
      <c r="H1542" s="7">
        <v>3416.0</v>
      </c>
      <c r="I1542" s="7">
        <v>8818.0</v>
      </c>
      <c r="J1542" s="6">
        <v>1954.0</v>
      </c>
      <c r="K1542" s="6">
        <v>77.0</v>
      </c>
      <c r="L1542" s="6" t="s">
        <v>22</v>
      </c>
      <c r="M1542" s="6" t="s">
        <v>6206</v>
      </c>
      <c r="N1542" s="6" t="s">
        <v>34</v>
      </c>
      <c r="O1542" s="6" t="s">
        <v>49</v>
      </c>
      <c r="P1542" s="6">
        <f>COUNTIF(Analysis!$M$1:$M$3001,Analysis!$M1542)</f>
        <v>1</v>
      </c>
      <c r="Q1542" s="6" t="str">
        <f>IF(COUNTIF(Analysis!$M$2:$M$3001,Analysis!$M1542)&gt;1,"Duplicate","OK")</f>
        <v>OK</v>
      </c>
      <c r="R1542" s="6" t="str">
        <f t="shared" si="1"/>
        <v>2600-3600</v>
      </c>
      <c r="S1542" s="6">
        <f t="shared" si="2"/>
        <v>72</v>
      </c>
      <c r="T1542" s="6" t="str">
        <f t="shared" si="3"/>
        <v>Very Old</v>
      </c>
    </row>
    <row r="1543" ht="14.25" customHeight="1">
      <c r="A1543" s="5">
        <v>1312514.0</v>
      </c>
      <c r="B1543" s="6" t="s">
        <v>6209</v>
      </c>
      <c r="C1543" s="6" t="s">
        <v>18</v>
      </c>
      <c r="D1543" s="6">
        <v>48650.0</v>
      </c>
      <c r="E1543" s="6" t="s">
        <v>77</v>
      </c>
      <c r="F1543" s="6" t="s">
        <v>41</v>
      </c>
      <c r="G1543" s="6" t="s">
        <v>21</v>
      </c>
      <c r="H1543" s="7">
        <v>3965.0</v>
      </c>
      <c r="I1543" s="7">
        <v>3209.0</v>
      </c>
      <c r="J1543" s="6">
        <v>2010.0</v>
      </c>
      <c r="K1543" s="6">
        <v>31.0</v>
      </c>
      <c r="L1543" s="6" t="s">
        <v>62</v>
      </c>
      <c r="M1543" s="6" t="s">
        <v>6210</v>
      </c>
      <c r="N1543" s="6" t="s">
        <v>24</v>
      </c>
      <c r="O1543" s="6" t="s">
        <v>25</v>
      </c>
      <c r="P1543" s="6">
        <f>COUNTIF(Analysis!$M$1:$M$3001,Analysis!$M1543)</f>
        <v>1</v>
      </c>
      <c r="Q1543" s="6" t="str">
        <f>IF(COUNTIF(Analysis!$M$2:$M$3001,Analysis!$M1543)&gt;1,"Duplicate","OK")</f>
        <v>OK</v>
      </c>
      <c r="R1543" s="6" t="str">
        <f t="shared" si="1"/>
        <v>3600+</v>
      </c>
      <c r="S1543" s="6">
        <f t="shared" si="2"/>
        <v>16</v>
      </c>
      <c r="T1543" s="6" t="str">
        <f t="shared" si="3"/>
        <v>Mid</v>
      </c>
    </row>
    <row r="1544" ht="14.25" customHeight="1">
      <c r="A1544" s="5">
        <v>815451.0</v>
      </c>
      <c r="B1544" s="6" t="s">
        <v>6034</v>
      </c>
      <c r="C1544" s="6" t="s">
        <v>29</v>
      </c>
      <c r="D1544" s="6">
        <v>95682.0</v>
      </c>
      <c r="E1544" s="6" t="s">
        <v>19</v>
      </c>
      <c r="F1544" s="6" t="s">
        <v>94</v>
      </c>
      <c r="G1544" s="6" t="s">
        <v>55</v>
      </c>
      <c r="H1544" s="7">
        <v>1178.0</v>
      </c>
      <c r="I1544" s="7">
        <v>6036.0</v>
      </c>
      <c r="J1544" s="6">
        <v>1952.0</v>
      </c>
      <c r="K1544" s="6">
        <v>65.0</v>
      </c>
      <c r="L1544" s="6" t="s">
        <v>95</v>
      </c>
      <c r="M1544" s="6" t="s">
        <v>6035</v>
      </c>
      <c r="N1544" s="6" t="s">
        <v>34</v>
      </c>
      <c r="O1544" s="6" t="s">
        <v>35</v>
      </c>
      <c r="P1544" s="6">
        <f>COUNTIF(Analysis!$M$1:$M$3001,Analysis!$M1499)</f>
        <v>1</v>
      </c>
      <c r="Q1544" s="6" t="str">
        <f>IF(COUNTIF(Analysis!$M$2:$M$3001,Analysis!$M1499)&gt;1,"Duplicate","OK")</f>
        <v>OK</v>
      </c>
      <c r="R1544" s="6" t="str">
        <f t="shared" si="1"/>
        <v>600-1600</v>
      </c>
      <c r="S1544" s="6">
        <f t="shared" si="2"/>
        <v>74</v>
      </c>
      <c r="T1544" s="6" t="str">
        <f t="shared" si="3"/>
        <v>Very Old</v>
      </c>
    </row>
    <row r="1545" ht="14.25" customHeight="1">
      <c r="A1545" s="5">
        <v>822548.0</v>
      </c>
      <c r="B1545" s="6" t="s">
        <v>5958</v>
      </c>
      <c r="C1545" s="6" t="s">
        <v>29</v>
      </c>
      <c r="D1545" s="6">
        <v>59397.0</v>
      </c>
      <c r="E1545" s="6" t="s">
        <v>77</v>
      </c>
      <c r="F1545" s="6" t="s">
        <v>54</v>
      </c>
      <c r="G1545" s="6" t="s">
        <v>100</v>
      </c>
      <c r="H1545" s="7">
        <v>1225.0</v>
      </c>
      <c r="I1545" s="7">
        <v>6527.0</v>
      </c>
      <c r="J1545" s="6">
        <v>2008.0</v>
      </c>
      <c r="K1545" s="6">
        <v>73.0</v>
      </c>
      <c r="L1545" s="6" t="s">
        <v>95</v>
      </c>
      <c r="M1545" s="6" t="s">
        <v>5959</v>
      </c>
      <c r="N1545" s="6" t="s">
        <v>64</v>
      </c>
      <c r="O1545" s="6" t="s">
        <v>25</v>
      </c>
      <c r="P1545" s="6">
        <f>COUNTIF(Analysis!$M$1:$M$3001,Analysis!$M1480)</f>
        <v>1</v>
      </c>
      <c r="Q1545" s="6" t="str">
        <f>IF(COUNTIF(Analysis!$M$2:$M$3001,Analysis!$M1480)&gt;1,"Duplicate","OK")</f>
        <v>OK</v>
      </c>
      <c r="R1545" s="6" t="str">
        <f t="shared" si="1"/>
        <v>600-1600</v>
      </c>
      <c r="S1545" s="6">
        <f t="shared" si="2"/>
        <v>18</v>
      </c>
      <c r="T1545" s="6" t="str">
        <f t="shared" si="3"/>
        <v>Mid</v>
      </c>
    </row>
    <row r="1546" ht="14.25" customHeight="1">
      <c r="A1546" s="5">
        <v>1000752.0</v>
      </c>
      <c r="B1546" s="6" t="s">
        <v>6221</v>
      </c>
      <c r="C1546" s="6" t="s">
        <v>76</v>
      </c>
      <c r="D1546" s="6">
        <v>36860.0</v>
      </c>
      <c r="E1546" s="6" t="s">
        <v>30</v>
      </c>
      <c r="F1546" s="6" t="s">
        <v>41</v>
      </c>
      <c r="G1546" s="6" t="s">
        <v>21</v>
      </c>
      <c r="H1546" s="7">
        <v>660.0</v>
      </c>
      <c r="I1546" s="7">
        <v>1460.0</v>
      </c>
      <c r="J1546" s="6">
        <v>2006.0</v>
      </c>
      <c r="K1546" s="6">
        <v>58.0</v>
      </c>
      <c r="L1546" s="6" t="s">
        <v>141</v>
      </c>
      <c r="M1546" s="6" t="s">
        <v>6222</v>
      </c>
      <c r="N1546" s="6" t="s">
        <v>48</v>
      </c>
      <c r="O1546" s="6" t="s">
        <v>35</v>
      </c>
      <c r="P1546" s="6">
        <f>COUNTIF(Analysis!$M$1:$M$3001,Analysis!$M1546)</f>
        <v>1</v>
      </c>
      <c r="Q1546" s="6" t="str">
        <f>IF(COUNTIF(Analysis!$M$2:$M$3001,Analysis!$M1546)&gt;1,"Duplicate","OK")</f>
        <v>OK</v>
      </c>
      <c r="R1546" s="6" t="str">
        <f t="shared" si="1"/>
        <v>600-1600</v>
      </c>
      <c r="S1546" s="6">
        <f t="shared" si="2"/>
        <v>20</v>
      </c>
      <c r="T1546" s="6" t="str">
        <f t="shared" si="3"/>
        <v>Mid</v>
      </c>
    </row>
    <row r="1547" ht="14.25" customHeight="1">
      <c r="A1547" s="5">
        <v>830496.0</v>
      </c>
      <c r="B1547" s="6" t="s">
        <v>11219</v>
      </c>
      <c r="C1547" s="6" t="s">
        <v>29</v>
      </c>
      <c r="D1547" s="6">
        <v>98607.0</v>
      </c>
      <c r="E1547" s="6" t="s">
        <v>77</v>
      </c>
      <c r="F1547" s="6" t="s">
        <v>94</v>
      </c>
      <c r="G1547" s="6" t="s">
        <v>21</v>
      </c>
      <c r="H1547" s="7">
        <v>2001.0</v>
      </c>
      <c r="I1547" s="7">
        <v>9314.0</v>
      </c>
      <c r="J1547" s="6">
        <v>1977.0</v>
      </c>
      <c r="K1547" s="6">
        <v>96.0</v>
      </c>
      <c r="L1547" s="6" t="s">
        <v>32</v>
      </c>
      <c r="M1547" s="6" t="s">
        <v>11220</v>
      </c>
      <c r="N1547" s="6" t="s">
        <v>64</v>
      </c>
      <c r="O1547" s="6" t="s">
        <v>35</v>
      </c>
      <c r="P1547" s="6">
        <f>COUNTIF(Analysis!$M$1:$M$3001,Analysis!$M2796)</f>
        <v>1</v>
      </c>
      <c r="Q1547" s="6" t="str">
        <f>IF(COUNTIF(Analysis!$M$2:$M$3001,Analysis!$M2796)&gt;1,"Duplicate","OK")</f>
        <v>OK</v>
      </c>
      <c r="R1547" s="6" t="str">
        <f t="shared" si="1"/>
        <v>1600-2600</v>
      </c>
      <c r="S1547" s="6">
        <f t="shared" si="2"/>
        <v>49</v>
      </c>
      <c r="T1547" s="6" t="str">
        <f t="shared" si="3"/>
        <v>Old</v>
      </c>
    </row>
    <row r="1548" ht="14.25" customHeight="1">
      <c r="A1548" s="5">
        <v>833057.0</v>
      </c>
      <c r="B1548" s="6" t="s">
        <v>9179</v>
      </c>
      <c r="C1548" s="6" t="s">
        <v>29</v>
      </c>
      <c r="D1548" s="6">
        <v>88534.0</v>
      </c>
      <c r="E1548" s="6" t="s">
        <v>40</v>
      </c>
      <c r="F1548" s="6" t="s">
        <v>20</v>
      </c>
      <c r="G1548" s="6" t="s">
        <v>31</v>
      </c>
      <c r="H1548" s="7">
        <v>775.0</v>
      </c>
      <c r="I1548" s="7">
        <v>9593.0</v>
      </c>
      <c r="J1548" s="6">
        <v>1999.0</v>
      </c>
      <c r="K1548" s="6">
        <v>17.0</v>
      </c>
      <c r="L1548" s="6" t="s">
        <v>62</v>
      </c>
      <c r="M1548" s="6" t="s">
        <v>9180</v>
      </c>
      <c r="N1548" s="6" t="s">
        <v>48</v>
      </c>
      <c r="O1548" s="6" t="s">
        <v>49</v>
      </c>
      <c r="P1548" s="6">
        <f>COUNTIF(Analysis!$M$1:$M$3001,Analysis!$M2286)</f>
        <v>1</v>
      </c>
      <c r="Q1548" s="6" t="str">
        <f>IF(COUNTIF(Analysis!$M$2:$M$3001,Analysis!$M2286)&gt;1,"Duplicate","OK")</f>
        <v>OK</v>
      </c>
      <c r="R1548" s="6" t="str">
        <f t="shared" si="1"/>
        <v>600-1600</v>
      </c>
      <c r="S1548" s="6">
        <f t="shared" si="2"/>
        <v>27</v>
      </c>
      <c r="T1548" s="6" t="str">
        <f t="shared" si="3"/>
        <v>Mid</v>
      </c>
    </row>
    <row r="1549" ht="14.25" customHeight="1">
      <c r="A1549" s="5">
        <v>835365.0</v>
      </c>
      <c r="B1549" s="6" t="s">
        <v>8871</v>
      </c>
      <c r="C1549" s="6" t="s">
        <v>29</v>
      </c>
      <c r="D1549" s="6">
        <v>19990.0</v>
      </c>
      <c r="E1549" s="6" t="s">
        <v>30</v>
      </c>
      <c r="F1549" s="6" t="s">
        <v>94</v>
      </c>
      <c r="G1549" s="6" t="s">
        <v>31</v>
      </c>
      <c r="H1549" s="7">
        <v>936.0</v>
      </c>
      <c r="I1549" s="7">
        <v>7113.0</v>
      </c>
      <c r="J1549" s="6">
        <v>1996.0</v>
      </c>
      <c r="K1549" s="6">
        <v>77.0</v>
      </c>
      <c r="L1549" s="6" t="s">
        <v>95</v>
      </c>
      <c r="M1549" s="6" t="s">
        <v>8872</v>
      </c>
      <c r="N1549" s="6" t="s">
        <v>43</v>
      </c>
      <c r="O1549" s="6" t="s">
        <v>49</v>
      </c>
      <c r="P1549" s="6">
        <f>COUNTIF(Analysis!$M$1:$M$3001,Analysis!$M2209)</f>
        <v>1</v>
      </c>
      <c r="Q1549" s="6" t="str">
        <f>IF(COUNTIF(Analysis!$M$2:$M$3001,Analysis!$M2209)&gt;1,"Duplicate","OK")</f>
        <v>OK</v>
      </c>
      <c r="R1549" s="6" t="str">
        <f t="shared" si="1"/>
        <v>600-1600</v>
      </c>
      <c r="S1549" s="6">
        <f t="shared" si="2"/>
        <v>30</v>
      </c>
      <c r="T1549" s="6" t="str">
        <f t="shared" si="3"/>
        <v>Mid</v>
      </c>
    </row>
    <row r="1550" ht="14.25" customHeight="1">
      <c r="A1550" s="5">
        <v>878588.0</v>
      </c>
      <c r="B1550" s="6" t="s">
        <v>6237</v>
      </c>
      <c r="C1550" s="6" t="s">
        <v>76</v>
      </c>
      <c r="D1550" s="6">
        <v>17886.0</v>
      </c>
      <c r="E1550" s="6" t="s">
        <v>77</v>
      </c>
      <c r="F1550" s="6" t="s">
        <v>54</v>
      </c>
      <c r="G1550" s="6" t="s">
        <v>100</v>
      </c>
      <c r="H1550" s="7">
        <v>3428.0</v>
      </c>
      <c r="I1550" s="7">
        <v>9567.0</v>
      </c>
      <c r="J1550" s="6">
        <v>1969.0</v>
      </c>
      <c r="K1550" s="6">
        <v>36.0</v>
      </c>
      <c r="L1550" s="6" t="s">
        <v>95</v>
      </c>
      <c r="M1550" s="6" t="s">
        <v>6238</v>
      </c>
      <c r="N1550" s="6" t="s">
        <v>48</v>
      </c>
      <c r="O1550" s="6" t="s">
        <v>35</v>
      </c>
      <c r="P1550" s="6">
        <f>COUNTIF(Analysis!$M$1:$M$3001,Analysis!$M1550)</f>
        <v>1</v>
      </c>
      <c r="Q1550" s="6" t="str">
        <f>IF(COUNTIF(Analysis!$M$2:$M$3001,Analysis!$M1550)&gt;1,"Duplicate","OK")</f>
        <v>OK</v>
      </c>
      <c r="R1550" s="6" t="str">
        <f t="shared" si="1"/>
        <v>2600-3600</v>
      </c>
      <c r="S1550" s="6">
        <f t="shared" si="2"/>
        <v>57</v>
      </c>
      <c r="T1550" s="6" t="str">
        <f t="shared" si="3"/>
        <v>Old</v>
      </c>
    </row>
    <row r="1551" ht="14.25" customHeight="1">
      <c r="A1551" s="5">
        <v>835837.0</v>
      </c>
      <c r="B1551" s="6" t="s">
        <v>7629</v>
      </c>
      <c r="C1551" s="6" t="s">
        <v>29</v>
      </c>
      <c r="D1551" s="6">
        <v>16887.0</v>
      </c>
      <c r="E1551" s="6" t="s">
        <v>30</v>
      </c>
      <c r="F1551" s="6" t="s">
        <v>41</v>
      </c>
      <c r="G1551" s="6" t="s">
        <v>31</v>
      </c>
      <c r="H1551" s="7">
        <v>3140.0</v>
      </c>
      <c r="I1551" s="7">
        <v>5712.0</v>
      </c>
      <c r="J1551" s="6">
        <v>1958.0</v>
      </c>
      <c r="K1551" s="6">
        <v>104.0</v>
      </c>
      <c r="L1551" s="6" t="s">
        <v>62</v>
      </c>
      <c r="M1551" s="6" t="s">
        <v>7630</v>
      </c>
      <c r="N1551" s="6" t="s">
        <v>34</v>
      </c>
      <c r="O1551" s="6" t="s">
        <v>49</v>
      </c>
      <c r="P1551" s="6">
        <f>COUNTIF(Analysis!$M$1:$M$3001,Analysis!$M1898)</f>
        <v>1</v>
      </c>
      <c r="Q1551" s="6" t="str">
        <f>IF(COUNTIF(Analysis!$M$2:$M$3001,Analysis!$M1898)&gt;1,"Duplicate","OK")</f>
        <v>OK</v>
      </c>
      <c r="R1551" s="6" t="str">
        <f t="shared" si="1"/>
        <v>2600-3600</v>
      </c>
      <c r="S1551" s="6">
        <f t="shared" si="2"/>
        <v>68</v>
      </c>
      <c r="T1551" s="6" t="str">
        <f t="shared" si="3"/>
        <v>Very Old</v>
      </c>
    </row>
    <row r="1552" ht="14.25" customHeight="1">
      <c r="A1552" s="5">
        <v>903226.0</v>
      </c>
      <c r="B1552" s="6" t="s">
        <v>6245</v>
      </c>
      <c r="C1552" s="6" t="s">
        <v>76</v>
      </c>
      <c r="D1552" s="6">
        <v>37989.0</v>
      </c>
      <c r="E1552" s="6" t="s">
        <v>60</v>
      </c>
      <c r="F1552" s="6" t="s">
        <v>94</v>
      </c>
      <c r="G1552" s="6" t="s">
        <v>55</v>
      </c>
      <c r="H1552" s="7">
        <v>2535.0</v>
      </c>
      <c r="I1552" s="7">
        <v>2648.0</v>
      </c>
      <c r="J1552" s="6">
        <v>2017.0</v>
      </c>
      <c r="K1552" s="6">
        <v>55.0</v>
      </c>
      <c r="L1552" s="6" t="s">
        <v>22</v>
      </c>
      <c r="M1552" s="6" t="s">
        <v>6246</v>
      </c>
      <c r="N1552" s="6" t="s">
        <v>64</v>
      </c>
      <c r="O1552" s="6" t="s">
        <v>35</v>
      </c>
      <c r="P1552" s="6">
        <f>COUNTIF(Analysis!$M$1:$M$3001,Analysis!$M1552)</f>
        <v>1</v>
      </c>
      <c r="Q1552" s="6" t="str">
        <f>IF(COUNTIF(Analysis!$M$2:$M$3001,Analysis!$M1552)&gt;1,"Duplicate","OK")</f>
        <v>OK</v>
      </c>
      <c r="R1552" s="6" t="str">
        <f t="shared" si="1"/>
        <v>1600-2600</v>
      </c>
      <c r="S1552" s="6">
        <f t="shared" si="2"/>
        <v>9</v>
      </c>
      <c r="T1552" s="6" t="str">
        <f t="shared" si="3"/>
        <v>New</v>
      </c>
    </row>
    <row r="1553" ht="14.25" customHeight="1">
      <c r="A1553" s="5">
        <v>1433590.0</v>
      </c>
      <c r="B1553" s="6" t="s">
        <v>6249</v>
      </c>
      <c r="C1553" s="6" t="s">
        <v>18</v>
      </c>
      <c r="D1553" s="6">
        <v>70384.0</v>
      </c>
      <c r="E1553" s="6" t="s">
        <v>40</v>
      </c>
      <c r="F1553" s="6" t="s">
        <v>94</v>
      </c>
      <c r="G1553" s="6" t="s">
        <v>21</v>
      </c>
      <c r="H1553" s="7">
        <v>1590.0</v>
      </c>
      <c r="I1553" s="7">
        <v>4330.0</v>
      </c>
      <c r="J1553" s="6">
        <v>1985.0</v>
      </c>
      <c r="K1553" s="6">
        <v>3.0</v>
      </c>
      <c r="L1553" s="6" t="s">
        <v>141</v>
      </c>
      <c r="M1553" s="6" t="s">
        <v>6250</v>
      </c>
      <c r="N1553" s="6" t="s">
        <v>64</v>
      </c>
      <c r="O1553" s="6" t="s">
        <v>35</v>
      </c>
      <c r="P1553" s="6">
        <f>COUNTIF(Analysis!$M$1:$M$3001,Analysis!$M1553)</f>
        <v>1</v>
      </c>
      <c r="Q1553" s="6" t="str">
        <f>IF(COUNTIF(Analysis!$M$2:$M$3001,Analysis!$M1553)&gt;1,"Duplicate","OK")</f>
        <v>OK</v>
      </c>
      <c r="R1553" s="6" t="str">
        <f t="shared" si="1"/>
        <v>600-1600</v>
      </c>
      <c r="S1553" s="6">
        <f t="shared" si="2"/>
        <v>41</v>
      </c>
      <c r="T1553" s="6" t="str">
        <f t="shared" si="3"/>
        <v>Old</v>
      </c>
    </row>
    <row r="1554" ht="14.25" customHeight="1">
      <c r="A1554" s="5">
        <v>1244267.0</v>
      </c>
      <c r="B1554" s="6" t="s">
        <v>6253</v>
      </c>
      <c r="C1554" s="6" t="s">
        <v>53</v>
      </c>
      <c r="D1554" s="6">
        <v>13119.0</v>
      </c>
      <c r="E1554" s="6" t="s">
        <v>77</v>
      </c>
      <c r="F1554" s="6" t="s">
        <v>54</v>
      </c>
      <c r="G1554" s="6" t="s">
        <v>100</v>
      </c>
      <c r="H1554" s="7">
        <v>2492.0</v>
      </c>
      <c r="I1554" s="7">
        <v>5586.0</v>
      </c>
      <c r="J1554" s="6">
        <v>1957.0</v>
      </c>
      <c r="K1554" s="6">
        <v>38.0</v>
      </c>
      <c r="L1554" s="6" t="s">
        <v>32</v>
      </c>
      <c r="M1554" s="6" t="s">
        <v>6254</v>
      </c>
      <c r="N1554" s="6" t="s">
        <v>34</v>
      </c>
      <c r="O1554" s="6" t="s">
        <v>35</v>
      </c>
      <c r="P1554" s="6">
        <f>COUNTIF(Analysis!$M$1:$M$3001,Analysis!$M1554)</f>
        <v>1</v>
      </c>
      <c r="Q1554" s="6" t="str">
        <f>IF(COUNTIF(Analysis!$M$2:$M$3001,Analysis!$M1554)&gt;1,"Duplicate","OK")</f>
        <v>OK</v>
      </c>
      <c r="R1554" s="6" t="str">
        <f t="shared" si="1"/>
        <v>1600-2600</v>
      </c>
      <c r="S1554" s="6">
        <f t="shared" si="2"/>
        <v>69</v>
      </c>
      <c r="T1554" s="6" t="str">
        <f t="shared" si="3"/>
        <v>Very Old</v>
      </c>
    </row>
    <row r="1555" ht="14.25" customHeight="1">
      <c r="A1555" s="5">
        <v>837398.0</v>
      </c>
      <c r="B1555" s="6" t="s">
        <v>2803</v>
      </c>
      <c r="C1555" s="6" t="s">
        <v>29</v>
      </c>
      <c r="D1555" s="6">
        <v>90168.0</v>
      </c>
      <c r="E1555" s="6" t="s">
        <v>77</v>
      </c>
      <c r="F1555" s="6" t="s">
        <v>54</v>
      </c>
      <c r="G1555" s="6" t="s">
        <v>31</v>
      </c>
      <c r="H1555" s="7">
        <v>2100.0</v>
      </c>
      <c r="I1555" s="7">
        <v>9768.0</v>
      </c>
      <c r="J1555" s="6">
        <v>1971.0</v>
      </c>
      <c r="K1555" s="6">
        <v>7.0</v>
      </c>
      <c r="L1555" s="6" t="s">
        <v>62</v>
      </c>
      <c r="M1555" s="6" t="s">
        <v>2804</v>
      </c>
      <c r="N1555" s="6" t="s">
        <v>48</v>
      </c>
      <c r="O1555" s="6" t="s">
        <v>49</v>
      </c>
      <c r="P1555" s="6">
        <f>COUNTIF(Analysis!$M$1:$M$3001,Analysis!$M691)</f>
        <v>1</v>
      </c>
      <c r="Q1555" s="6" t="str">
        <f>IF(COUNTIF(Analysis!$M$2:$M$3001,Analysis!$M691)&gt;1,"Duplicate","OK")</f>
        <v>OK</v>
      </c>
      <c r="R1555" s="6" t="str">
        <f t="shared" si="1"/>
        <v>1600-2600</v>
      </c>
      <c r="S1555" s="6">
        <f t="shared" si="2"/>
        <v>55</v>
      </c>
      <c r="T1555" s="6" t="str">
        <f t="shared" si="3"/>
        <v>Old</v>
      </c>
    </row>
    <row r="1556" ht="14.25" customHeight="1">
      <c r="A1556" s="5">
        <v>776904.0</v>
      </c>
      <c r="B1556" s="6" t="s">
        <v>6261</v>
      </c>
      <c r="C1556" s="6" t="s">
        <v>18</v>
      </c>
      <c r="D1556" s="6">
        <v>21066.0</v>
      </c>
      <c r="E1556" s="6" t="s">
        <v>19</v>
      </c>
      <c r="F1556" s="6" t="s">
        <v>54</v>
      </c>
      <c r="G1556" s="6" t="s">
        <v>55</v>
      </c>
      <c r="H1556" s="7">
        <v>1505.0</v>
      </c>
      <c r="I1556" s="7">
        <v>2807.0</v>
      </c>
      <c r="J1556" s="6">
        <v>1973.0</v>
      </c>
      <c r="K1556" s="6">
        <v>39.0</v>
      </c>
      <c r="L1556" s="6" t="s">
        <v>32</v>
      </c>
      <c r="M1556" s="6" t="s">
        <v>6262</v>
      </c>
      <c r="N1556" s="6" t="s">
        <v>24</v>
      </c>
      <c r="O1556" s="6" t="s">
        <v>49</v>
      </c>
      <c r="P1556" s="6">
        <f>COUNTIF(Analysis!$M$1:$M$3001,Analysis!$M1556)</f>
        <v>1</v>
      </c>
      <c r="Q1556" s="6" t="str">
        <f>IF(COUNTIF(Analysis!$M$2:$M$3001,Analysis!$M1556)&gt;1,"Duplicate","OK")</f>
        <v>OK</v>
      </c>
      <c r="R1556" s="6" t="str">
        <f t="shared" si="1"/>
        <v>600-1600</v>
      </c>
      <c r="S1556" s="6">
        <f t="shared" si="2"/>
        <v>53</v>
      </c>
      <c r="T1556" s="6" t="str">
        <f t="shared" si="3"/>
        <v>Old</v>
      </c>
    </row>
    <row r="1557" ht="14.25" customHeight="1">
      <c r="A1557" s="5">
        <v>1076130.0</v>
      </c>
      <c r="B1557" s="6" t="s">
        <v>6265</v>
      </c>
      <c r="C1557" s="6" t="s">
        <v>18</v>
      </c>
      <c r="D1557" s="6">
        <v>56122.0</v>
      </c>
      <c r="E1557" s="6" t="s">
        <v>30</v>
      </c>
      <c r="F1557" s="6" t="s">
        <v>54</v>
      </c>
      <c r="G1557" s="6" t="s">
        <v>55</v>
      </c>
      <c r="H1557" s="7">
        <v>3405.0</v>
      </c>
      <c r="I1557" s="7">
        <v>1435.0</v>
      </c>
      <c r="J1557" s="6">
        <v>1995.0</v>
      </c>
      <c r="K1557" s="6">
        <v>70.0</v>
      </c>
      <c r="L1557" s="6" t="s">
        <v>62</v>
      </c>
      <c r="M1557" s="6" t="s">
        <v>6266</v>
      </c>
      <c r="N1557" s="6" t="s">
        <v>24</v>
      </c>
      <c r="O1557" s="6" t="s">
        <v>49</v>
      </c>
      <c r="P1557" s="6">
        <f>COUNTIF(Analysis!$M$1:$M$3001,Analysis!$M1557)</f>
        <v>1</v>
      </c>
      <c r="Q1557" s="6" t="str">
        <f>IF(COUNTIF(Analysis!$M$2:$M$3001,Analysis!$M1557)&gt;1,"Duplicate","OK")</f>
        <v>OK</v>
      </c>
      <c r="R1557" s="6" t="str">
        <f t="shared" si="1"/>
        <v>2600-3600</v>
      </c>
      <c r="S1557" s="6">
        <f t="shared" si="2"/>
        <v>31</v>
      </c>
      <c r="T1557" s="6" t="str">
        <f t="shared" si="3"/>
        <v>Old</v>
      </c>
    </row>
    <row r="1558" ht="14.25" customHeight="1">
      <c r="A1558" s="5">
        <v>883773.0</v>
      </c>
      <c r="B1558" s="6" t="s">
        <v>6269</v>
      </c>
      <c r="C1558" s="6" t="s">
        <v>53</v>
      </c>
      <c r="D1558" s="6">
        <v>25237.0</v>
      </c>
      <c r="E1558" s="6" t="s">
        <v>60</v>
      </c>
      <c r="F1558" s="6" t="s">
        <v>94</v>
      </c>
      <c r="G1558" s="6" t="s">
        <v>21</v>
      </c>
      <c r="H1558" s="7">
        <v>1840.0</v>
      </c>
      <c r="I1558" s="7">
        <v>6776.0</v>
      </c>
      <c r="J1558" s="6">
        <v>1986.0</v>
      </c>
      <c r="K1558" s="6">
        <v>99.0</v>
      </c>
      <c r="L1558" s="6" t="s">
        <v>95</v>
      </c>
      <c r="M1558" s="6" t="s">
        <v>6270</v>
      </c>
      <c r="N1558" s="6" t="s">
        <v>43</v>
      </c>
      <c r="O1558" s="6" t="s">
        <v>49</v>
      </c>
      <c r="P1558" s="6">
        <f>COUNTIF(Analysis!$M$1:$M$3001,Analysis!$M1558)</f>
        <v>1</v>
      </c>
      <c r="Q1558" s="6" t="str">
        <f>IF(COUNTIF(Analysis!$M$2:$M$3001,Analysis!$M1558)&gt;1,"Duplicate","OK")</f>
        <v>OK</v>
      </c>
      <c r="R1558" s="6" t="str">
        <f t="shared" si="1"/>
        <v>1600-2600</v>
      </c>
      <c r="S1558" s="6">
        <f t="shared" si="2"/>
        <v>40</v>
      </c>
      <c r="T1558" s="6" t="str">
        <f t="shared" si="3"/>
        <v>Old</v>
      </c>
    </row>
    <row r="1559" ht="14.25" customHeight="1">
      <c r="A1559" s="5">
        <v>629929.0</v>
      </c>
      <c r="B1559" s="6" t="s">
        <v>6273</v>
      </c>
      <c r="C1559" s="6" t="s">
        <v>53</v>
      </c>
      <c r="D1559" s="6">
        <v>27691.0</v>
      </c>
      <c r="E1559" s="6" t="s">
        <v>40</v>
      </c>
      <c r="F1559" s="6" t="s">
        <v>20</v>
      </c>
      <c r="G1559" s="6" t="s">
        <v>55</v>
      </c>
      <c r="H1559" s="7">
        <v>3090.0</v>
      </c>
      <c r="I1559" s="7">
        <v>1342.0</v>
      </c>
      <c r="J1559" s="6">
        <v>2011.0</v>
      </c>
      <c r="K1559" s="6">
        <v>30.0</v>
      </c>
      <c r="L1559" s="6" t="s">
        <v>62</v>
      </c>
      <c r="M1559" s="6" t="s">
        <v>6274</v>
      </c>
      <c r="N1559" s="6" t="s">
        <v>24</v>
      </c>
      <c r="O1559" s="6" t="s">
        <v>35</v>
      </c>
      <c r="P1559" s="6">
        <f>COUNTIF(Analysis!$M$1:$M$3001,Analysis!$M1559)</f>
        <v>1</v>
      </c>
      <c r="Q1559" s="6" t="str">
        <f>IF(COUNTIF(Analysis!$M$2:$M$3001,Analysis!$M1559)&gt;1,"Duplicate","OK")</f>
        <v>OK</v>
      </c>
      <c r="R1559" s="6" t="str">
        <f t="shared" si="1"/>
        <v>2600-3600</v>
      </c>
      <c r="S1559" s="6">
        <f t="shared" si="2"/>
        <v>15</v>
      </c>
      <c r="T1559" s="6" t="str">
        <f t="shared" si="3"/>
        <v>Mid</v>
      </c>
    </row>
    <row r="1560" ht="14.25" customHeight="1">
      <c r="A1560" s="5">
        <v>1364814.0</v>
      </c>
      <c r="B1560" s="6" t="s">
        <v>6277</v>
      </c>
      <c r="C1560" s="6" t="s">
        <v>18</v>
      </c>
      <c r="D1560" s="6">
        <v>80943.0</v>
      </c>
      <c r="E1560" s="6" t="s">
        <v>60</v>
      </c>
      <c r="F1560" s="6" t="s">
        <v>94</v>
      </c>
      <c r="G1560" s="6" t="s">
        <v>31</v>
      </c>
      <c r="H1560" s="7">
        <v>3991.0</v>
      </c>
      <c r="I1560" s="7">
        <v>6495.0</v>
      </c>
      <c r="J1560" s="6">
        <v>1957.0</v>
      </c>
      <c r="K1560" s="6">
        <v>95.0</v>
      </c>
      <c r="L1560" s="6" t="s">
        <v>32</v>
      </c>
      <c r="M1560" s="6" t="s">
        <v>6278</v>
      </c>
      <c r="N1560" s="6" t="s">
        <v>48</v>
      </c>
      <c r="O1560" s="6" t="s">
        <v>35</v>
      </c>
      <c r="P1560" s="6">
        <f>COUNTIF(Analysis!$M$1:$M$3001,Analysis!$M1560)</f>
        <v>1</v>
      </c>
      <c r="Q1560" s="6" t="str">
        <f>IF(COUNTIF(Analysis!$M$2:$M$3001,Analysis!$M1560)&gt;1,"Duplicate","OK")</f>
        <v>OK</v>
      </c>
      <c r="R1560" s="6" t="str">
        <f t="shared" si="1"/>
        <v>3600+</v>
      </c>
      <c r="S1560" s="6">
        <f t="shared" si="2"/>
        <v>69</v>
      </c>
      <c r="T1560" s="6" t="str">
        <f t="shared" si="3"/>
        <v>Very Old</v>
      </c>
    </row>
    <row r="1561" ht="14.25" customHeight="1">
      <c r="A1561" s="5">
        <v>1389794.0</v>
      </c>
      <c r="B1561" s="6" t="s">
        <v>6281</v>
      </c>
      <c r="C1561" s="6" t="s">
        <v>76</v>
      </c>
      <c r="D1561" s="6">
        <v>38367.0</v>
      </c>
      <c r="E1561" s="6" t="s">
        <v>19</v>
      </c>
      <c r="F1561" s="6" t="s">
        <v>46</v>
      </c>
      <c r="G1561" s="6" t="s">
        <v>55</v>
      </c>
      <c r="H1561" s="7">
        <v>3487.0</v>
      </c>
      <c r="I1561" s="7">
        <v>6375.0</v>
      </c>
      <c r="J1561" s="6">
        <v>1993.0</v>
      </c>
      <c r="K1561" s="6">
        <v>24.0</v>
      </c>
      <c r="L1561" s="6" t="s">
        <v>95</v>
      </c>
      <c r="M1561" s="6" t="s">
        <v>6282</v>
      </c>
      <c r="N1561" s="6" t="s">
        <v>43</v>
      </c>
      <c r="O1561" s="6" t="s">
        <v>35</v>
      </c>
      <c r="P1561" s="6">
        <f>COUNTIF(Analysis!$M$1:$M$3001,Analysis!$M1561)</f>
        <v>1</v>
      </c>
      <c r="Q1561" s="6" t="str">
        <f>IF(COUNTIF(Analysis!$M$2:$M$3001,Analysis!$M1561)&gt;1,"Duplicate","OK")</f>
        <v>OK</v>
      </c>
      <c r="R1561" s="6" t="str">
        <f t="shared" si="1"/>
        <v>2600-3600</v>
      </c>
      <c r="S1561" s="6">
        <f t="shared" si="2"/>
        <v>33</v>
      </c>
      <c r="T1561" s="6" t="str">
        <f t="shared" si="3"/>
        <v>Old</v>
      </c>
    </row>
    <row r="1562" ht="14.25" customHeight="1">
      <c r="A1562" s="5">
        <v>1380632.0</v>
      </c>
      <c r="B1562" s="6" t="s">
        <v>6285</v>
      </c>
      <c r="C1562" s="6" t="s">
        <v>39</v>
      </c>
      <c r="D1562" s="6">
        <v>14136.0</v>
      </c>
      <c r="E1562" s="6" t="s">
        <v>40</v>
      </c>
      <c r="F1562" s="6" t="s">
        <v>54</v>
      </c>
      <c r="G1562" s="6" t="s">
        <v>21</v>
      </c>
      <c r="H1562" s="7">
        <v>2386.0</v>
      </c>
      <c r="I1562" s="7">
        <v>1172.0</v>
      </c>
      <c r="J1562" s="6">
        <v>1960.0</v>
      </c>
      <c r="K1562" s="6">
        <v>103.0</v>
      </c>
      <c r="L1562" s="6" t="s">
        <v>62</v>
      </c>
      <c r="M1562" s="6" t="s">
        <v>6286</v>
      </c>
      <c r="N1562" s="6" t="s">
        <v>34</v>
      </c>
      <c r="O1562" s="6" t="s">
        <v>35</v>
      </c>
      <c r="P1562" s="6">
        <f>COUNTIF(Analysis!$M$1:$M$3001,Analysis!$M1562)</f>
        <v>1</v>
      </c>
      <c r="Q1562" s="6" t="str">
        <f>IF(COUNTIF(Analysis!$M$2:$M$3001,Analysis!$M1562)&gt;1,"Duplicate","OK")</f>
        <v>OK</v>
      </c>
      <c r="R1562" s="6" t="str">
        <f t="shared" si="1"/>
        <v>1600-2600</v>
      </c>
      <c r="S1562" s="6">
        <f t="shared" si="2"/>
        <v>66</v>
      </c>
      <c r="T1562" s="6" t="str">
        <f t="shared" si="3"/>
        <v>Very Old</v>
      </c>
    </row>
    <row r="1563" ht="14.25" customHeight="1">
      <c r="A1563" s="5">
        <v>621685.0</v>
      </c>
      <c r="B1563" s="6" t="s">
        <v>6289</v>
      </c>
      <c r="C1563" s="6" t="s">
        <v>76</v>
      </c>
      <c r="D1563" s="6">
        <v>18319.0</v>
      </c>
      <c r="E1563" s="6" t="s">
        <v>60</v>
      </c>
      <c r="F1563" s="6" t="s">
        <v>46</v>
      </c>
      <c r="G1563" s="6" t="s">
        <v>31</v>
      </c>
      <c r="H1563" s="7">
        <v>2017.0</v>
      </c>
      <c r="I1563" s="7">
        <v>4873.0</v>
      </c>
      <c r="J1563" s="6">
        <v>2010.0</v>
      </c>
      <c r="K1563" s="6">
        <v>105.0</v>
      </c>
      <c r="L1563" s="6" t="s">
        <v>95</v>
      </c>
      <c r="M1563" s="6" t="s">
        <v>6290</v>
      </c>
      <c r="N1563" s="6" t="s">
        <v>64</v>
      </c>
      <c r="O1563" s="6" t="s">
        <v>35</v>
      </c>
      <c r="P1563" s="6">
        <f>COUNTIF(Analysis!$M$1:$M$3001,Analysis!$M1563)</f>
        <v>1</v>
      </c>
      <c r="Q1563" s="6" t="str">
        <f>IF(COUNTIF(Analysis!$M$2:$M$3001,Analysis!$M1563)&gt;1,"Duplicate","OK")</f>
        <v>OK</v>
      </c>
      <c r="R1563" s="6" t="str">
        <f t="shared" si="1"/>
        <v>1600-2600</v>
      </c>
      <c r="S1563" s="6">
        <f t="shared" si="2"/>
        <v>16</v>
      </c>
      <c r="T1563" s="6" t="str">
        <f t="shared" si="3"/>
        <v>Mid</v>
      </c>
    </row>
    <row r="1564" ht="14.25" customHeight="1">
      <c r="A1564" s="5">
        <v>932923.0</v>
      </c>
      <c r="B1564" s="6" t="s">
        <v>6293</v>
      </c>
      <c r="C1564" s="6" t="s">
        <v>53</v>
      </c>
      <c r="D1564" s="6">
        <v>22124.0</v>
      </c>
      <c r="E1564" s="6" t="s">
        <v>30</v>
      </c>
      <c r="F1564" s="6" t="s">
        <v>46</v>
      </c>
      <c r="G1564" s="6" t="s">
        <v>31</v>
      </c>
      <c r="H1564" s="7">
        <v>2757.0</v>
      </c>
      <c r="I1564" s="7">
        <v>5327.0</v>
      </c>
      <c r="J1564" s="6">
        <v>1997.0</v>
      </c>
      <c r="K1564" s="6">
        <v>19.0</v>
      </c>
      <c r="L1564" s="6" t="s">
        <v>62</v>
      </c>
      <c r="M1564" s="6" t="s">
        <v>6294</v>
      </c>
      <c r="N1564" s="6" t="s">
        <v>48</v>
      </c>
      <c r="O1564" s="6" t="s">
        <v>49</v>
      </c>
      <c r="P1564" s="6">
        <f>COUNTIF(Analysis!$M$1:$M$3001,Analysis!$M1564)</f>
        <v>1</v>
      </c>
      <c r="Q1564" s="6" t="str">
        <f>IF(COUNTIF(Analysis!$M$2:$M$3001,Analysis!$M1564)&gt;1,"Duplicate","OK")</f>
        <v>OK</v>
      </c>
      <c r="R1564" s="6" t="str">
        <f t="shared" si="1"/>
        <v>2600-3600</v>
      </c>
      <c r="S1564" s="6">
        <f t="shared" si="2"/>
        <v>29</v>
      </c>
      <c r="T1564" s="6" t="str">
        <f t="shared" si="3"/>
        <v>Mid</v>
      </c>
    </row>
    <row r="1565" ht="14.25" customHeight="1">
      <c r="A1565" s="5">
        <v>849363.0</v>
      </c>
      <c r="B1565" s="6" t="s">
        <v>6297</v>
      </c>
      <c r="C1565" s="6" t="s">
        <v>53</v>
      </c>
      <c r="D1565" s="6">
        <v>88526.0</v>
      </c>
      <c r="E1565" s="6" t="s">
        <v>30</v>
      </c>
      <c r="F1565" s="6" t="s">
        <v>41</v>
      </c>
      <c r="G1565" s="6" t="s">
        <v>21</v>
      </c>
      <c r="H1565" s="7">
        <v>3490.0</v>
      </c>
      <c r="I1565" s="7">
        <v>9862.0</v>
      </c>
      <c r="J1565" s="6">
        <v>1951.0</v>
      </c>
      <c r="K1565" s="6">
        <v>15.0</v>
      </c>
      <c r="L1565" s="6" t="s">
        <v>62</v>
      </c>
      <c r="M1565" s="6" t="s">
        <v>6298</v>
      </c>
      <c r="N1565" s="6" t="s">
        <v>43</v>
      </c>
      <c r="O1565" s="6" t="s">
        <v>25</v>
      </c>
      <c r="P1565" s="6">
        <f>COUNTIF(Analysis!$M$1:$M$3001,Analysis!$M1565)</f>
        <v>1</v>
      </c>
      <c r="Q1565" s="6" t="str">
        <f>IF(COUNTIF(Analysis!$M$2:$M$3001,Analysis!$M1565)&gt;1,"Duplicate","OK")</f>
        <v>OK</v>
      </c>
      <c r="R1565" s="6" t="str">
        <f t="shared" si="1"/>
        <v>2600-3600</v>
      </c>
      <c r="S1565" s="6">
        <f t="shared" si="2"/>
        <v>75</v>
      </c>
      <c r="T1565" s="6" t="str">
        <f t="shared" si="3"/>
        <v>Very Old</v>
      </c>
    </row>
    <row r="1566" ht="14.25" customHeight="1">
      <c r="A1566" s="5">
        <v>842927.0</v>
      </c>
      <c r="B1566" s="6" t="s">
        <v>5235</v>
      </c>
      <c r="C1566" s="6" t="s">
        <v>29</v>
      </c>
      <c r="D1566" s="6">
        <v>85253.0</v>
      </c>
      <c r="E1566" s="6" t="s">
        <v>40</v>
      </c>
      <c r="F1566" s="6" t="s">
        <v>46</v>
      </c>
      <c r="G1566" s="6" t="s">
        <v>31</v>
      </c>
      <c r="H1566" s="7">
        <v>2862.0</v>
      </c>
      <c r="I1566" s="7">
        <v>1524.0</v>
      </c>
      <c r="J1566" s="6">
        <v>2018.0</v>
      </c>
      <c r="K1566" s="6">
        <v>55.0</v>
      </c>
      <c r="L1566" s="6" t="s">
        <v>32</v>
      </c>
      <c r="M1566" s="6" t="s">
        <v>5236</v>
      </c>
      <c r="N1566" s="6" t="s">
        <v>64</v>
      </c>
      <c r="O1566" s="6" t="s">
        <v>25</v>
      </c>
      <c r="P1566" s="6">
        <f>COUNTIF(Analysis!$M$1:$M$3001,Analysis!$M1299)</f>
        <v>1</v>
      </c>
      <c r="Q1566" s="6" t="str">
        <f>IF(COUNTIF(Analysis!$M$2:$M$3001,Analysis!$M1299)&gt;1,"Duplicate","OK")</f>
        <v>OK</v>
      </c>
      <c r="R1566" s="6" t="str">
        <f t="shared" si="1"/>
        <v>2600-3600</v>
      </c>
      <c r="S1566" s="6">
        <f t="shared" si="2"/>
        <v>8</v>
      </c>
      <c r="T1566" s="6" t="str">
        <f t="shared" si="3"/>
        <v>New</v>
      </c>
    </row>
    <row r="1567" ht="14.25" customHeight="1">
      <c r="A1567" s="5">
        <v>836243.0</v>
      </c>
      <c r="B1567" s="6" t="s">
        <v>6305</v>
      </c>
      <c r="C1567" s="6" t="s">
        <v>18</v>
      </c>
      <c r="D1567" s="6">
        <v>50673.0</v>
      </c>
      <c r="E1567" s="6" t="s">
        <v>77</v>
      </c>
      <c r="F1567" s="6" t="s">
        <v>20</v>
      </c>
      <c r="G1567" s="6" t="s">
        <v>31</v>
      </c>
      <c r="H1567" s="7">
        <v>746.0</v>
      </c>
      <c r="I1567" s="7">
        <v>2428.0</v>
      </c>
      <c r="J1567" s="6">
        <v>2017.0</v>
      </c>
      <c r="K1567" s="6">
        <v>54.0</v>
      </c>
      <c r="L1567" s="6" t="s">
        <v>32</v>
      </c>
      <c r="M1567" s="6" t="s">
        <v>6306</v>
      </c>
      <c r="N1567" s="6" t="s">
        <v>48</v>
      </c>
      <c r="O1567" s="6" t="s">
        <v>35</v>
      </c>
      <c r="P1567" s="6">
        <f>COUNTIF(Analysis!$M$1:$M$3001,Analysis!$M1567)</f>
        <v>1</v>
      </c>
      <c r="Q1567" s="6" t="str">
        <f>IF(COUNTIF(Analysis!$M$2:$M$3001,Analysis!$M1567)&gt;1,"Duplicate","OK")</f>
        <v>OK</v>
      </c>
      <c r="R1567" s="6" t="str">
        <f t="shared" si="1"/>
        <v>600-1600</v>
      </c>
      <c r="S1567" s="6">
        <f t="shared" si="2"/>
        <v>9</v>
      </c>
      <c r="T1567" s="6" t="str">
        <f t="shared" si="3"/>
        <v>New</v>
      </c>
    </row>
    <row r="1568" ht="14.25" customHeight="1">
      <c r="A1568" s="5">
        <v>1038877.0</v>
      </c>
      <c r="B1568" s="6" t="s">
        <v>6309</v>
      </c>
      <c r="C1568" s="6" t="s">
        <v>39</v>
      </c>
      <c r="D1568" s="6">
        <v>79405.0</v>
      </c>
      <c r="E1568" s="6" t="s">
        <v>19</v>
      </c>
      <c r="F1568" s="6" t="s">
        <v>41</v>
      </c>
      <c r="G1568" s="6" t="s">
        <v>21</v>
      </c>
      <c r="H1568" s="7">
        <v>3673.0</v>
      </c>
      <c r="I1568" s="7">
        <v>8567.0</v>
      </c>
      <c r="J1568" s="6">
        <v>1968.0</v>
      </c>
      <c r="K1568" s="6">
        <v>19.0</v>
      </c>
      <c r="L1568" s="6" t="s">
        <v>22</v>
      </c>
      <c r="M1568" s="6" t="s">
        <v>6310</v>
      </c>
      <c r="N1568" s="6" t="s">
        <v>24</v>
      </c>
      <c r="O1568" s="6" t="s">
        <v>35</v>
      </c>
      <c r="P1568" s="6">
        <f>COUNTIF(Analysis!$M$1:$M$3001,Analysis!$M1568)</f>
        <v>1</v>
      </c>
      <c r="Q1568" s="6" t="str">
        <f>IF(COUNTIF(Analysis!$M$2:$M$3001,Analysis!$M1568)&gt;1,"Duplicate","OK")</f>
        <v>OK</v>
      </c>
      <c r="R1568" s="6" t="str">
        <f t="shared" si="1"/>
        <v>3600+</v>
      </c>
      <c r="S1568" s="6">
        <f t="shared" si="2"/>
        <v>58</v>
      </c>
      <c r="T1568" s="6" t="str">
        <f t="shared" si="3"/>
        <v>Old</v>
      </c>
    </row>
    <row r="1569" ht="14.25" customHeight="1">
      <c r="A1569" s="5">
        <v>138456.0</v>
      </c>
      <c r="B1569" s="6" t="s">
        <v>6313</v>
      </c>
      <c r="C1569" s="6" t="s">
        <v>53</v>
      </c>
      <c r="D1569" s="6">
        <v>85999.0</v>
      </c>
      <c r="E1569" s="6" t="s">
        <v>30</v>
      </c>
      <c r="F1569" s="6" t="s">
        <v>41</v>
      </c>
      <c r="G1569" s="6" t="s">
        <v>100</v>
      </c>
      <c r="H1569" s="7">
        <v>1286.0</v>
      </c>
      <c r="I1569" s="7">
        <v>4898.0</v>
      </c>
      <c r="J1569" s="6">
        <v>1996.0</v>
      </c>
      <c r="K1569" s="6">
        <v>48.0</v>
      </c>
      <c r="L1569" s="6" t="s">
        <v>32</v>
      </c>
      <c r="M1569" s="6" t="s">
        <v>6314</v>
      </c>
      <c r="N1569" s="6" t="s">
        <v>24</v>
      </c>
      <c r="O1569" s="6" t="s">
        <v>35</v>
      </c>
      <c r="P1569" s="6">
        <f>COUNTIF(Analysis!$M$1:$M$3001,Analysis!$M1569)</f>
        <v>1</v>
      </c>
      <c r="Q1569" s="6" t="str">
        <f>IF(COUNTIF(Analysis!$M$2:$M$3001,Analysis!$M1569)&gt;1,"Duplicate","OK")</f>
        <v>OK</v>
      </c>
      <c r="R1569" s="6" t="str">
        <f t="shared" si="1"/>
        <v>600-1600</v>
      </c>
      <c r="S1569" s="6">
        <f t="shared" si="2"/>
        <v>30</v>
      </c>
      <c r="T1569" s="6" t="str">
        <f t="shared" si="3"/>
        <v>Mid</v>
      </c>
    </row>
    <row r="1570" ht="14.25" customHeight="1">
      <c r="A1570" s="5">
        <v>1285395.0</v>
      </c>
      <c r="B1570" s="6" t="s">
        <v>6317</v>
      </c>
      <c r="C1570" s="6" t="s">
        <v>53</v>
      </c>
      <c r="D1570" s="6">
        <v>23857.0</v>
      </c>
      <c r="E1570" s="6" t="s">
        <v>77</v>
      </c>
      <c r="F1570" s="6" t="s">
        <v>61</v>
      </c>
      <c r="G1570" s="6" t="s">
        <v>31</v>
      </c>
      <c r="H1570" s="7">
        <v>2085.0</v>
      </c>
      <c r="I1570" s="7">
        <v>4530.0</v>
      </c>
      <c r="J1570" s="6">
        <v>1974.0</v>
      </c>
      <c r="K1570" s="6">
        <v>7.0</v>
      </c>
      <c r="L1570" s="6" t="s">
        <v>22</v>
      </c>
      <c r="M1570" s="6" t="s">
        <v>6318</v>
      </c>
      <c r="N1570" s="6" t="s">
        <v>24</v>
      </c>
      <c r="O1570" s="6" t="s">
        <v>49</v>
      </c>
      <c r="P1570" s="6">
        <f>COUNTIF(Analysis!$M$1:$M$3001,Analysis!$M1570)</f>
        <v>1</v>
      </c>
      <c r="Q1570" s="6" t="str">
        <f>IF(COUNTIF(Analysis!$M$2:$M$3001,Analysis!$M1570)&gt;1,"Duplicate","OK")</f>
        <v>OK</v>
      </c>
      <c r="R1570" s="6" t="str">
        <f t="shared" si="1"/>
        <v>1600-2600</v>
      </c>
      <c r="S1570" s="6">
        <f t="shared" si="2"/>
        <v>52</v>
      </c>
      <c r="T1570" s="6" t="str">
        <f t="shared" si="3"/>
        <v>Old</v>
      </c>
    </row>
    <row r="1571" ht="14.25" customHeight="1">
      <c r="A1571" s="5">
        <v>725098.0</v>
      </c>
      <c r="B1571" s="6" t="s">
        <v>6321</v>
      </c>
      <c r="C1571" s="6" t="s">
        <v>53</v>
      </c>
      <c r="D1571" s="6">
        <v>92240.0</v>
      </c>
      <c r="E1571" s="6" t="s">
        <v>77</v>
      </c>
      <c r="F1571" s="6" t="s">
        <v>54</v>
      </c>
      <c r="G1571" s="6" t="s">
        <v>31</v>
      </c>
      <c r="H1571" s="7">
        <v>2440.0</v>
      </c>
      <c r="I1571" s="7">
        <v>3622.0</v>
      </c>
      <c r="J1571" s="6">
        <v>1976.0</v>
      </c>
      <c r="K1571" s="6">
        <v>14.0</v>
      </c>
      <c r="L1571" s="6" t="s">
        <v>32</v>
      </c>
      <c r="M1571" s="6" t="s">
        <v>6322</v>
      </c>
      <c r="N1571" s="6" t="s">
        <v>48</v>
      </c>
      <c r="O1571" s="6" t="s">
        <v>35</v>
      </c>
      <c r="P1571" s="6">
        <f>COUNTIF(Analysis!$M$1:$M$3001,Analysis!$M1571)</f>
        <v>1</v>
      </c>
      <c r="Q1571" s="6" t="str">
        <f>IF(COUNTIF(Analysis!$M$2:$M$3001,Analysis!$M1571)&gt;1,"Duplicate","OK")</f>
        <v>OK</v>
      </c>
      <c r="R1571" s="6" t="str">
        <f t="shared" si="1"/>
        <v>1600-2600</v>
      </c>
      <c r="S1571" s="6">
        <f t="shared" si="2"/>
        <v>50</v>
      </c>
      <c r="T1571" s="6" t="str">
        <f t="shared" si="3"/>
        <v>Old</v>
      </c>
    </row>
    <row r="1572" ht="14.25" customHeight="1">
      <c r="A1572" s="5">
        <v>1212791.0</v>
      </c>
      <c r="B1572" s="6" t="s">
        <v>6325</v>
      </c>
      <c r="C1572" s="6" t="s">
        <v>18</v>
      </c>
      <c r="D1572" s="6">
        <v>60459.0</v>
      </c>
      <c r="E1572" s="6" t="s">
        <v>40</v>
      </c>
      <c r="F1572" s="6" t="s">
        <v>20</v>
      </c>
      <c r="G1572" s="6" t="s">
        <v>21</v>
      </c>
      <c r="H1572" s="7">
        <v>3007.0</v>
      </c>
      <c r="I1572" s="7">
        <v>9694.0</v>
      </c>
      <c r="J1572" s="6">
        <v>1982.0</v>
      </c>
      <c r="K1572" s="6">
        <v>103.0</v>
      </c>
      <c r="L1572" s="6" t="s">
        <v>22</v>
      </c>
      <c r="M1572" s="6" t="s">
        <v>6326</v>
      </c>
      <c r="N1572" s="6" t="s">
        <v>48</v>
      </c>
      <c r="O1572" s="6" t="s">
        <v>35</v>
      </c>
      <c r="P1572" s="6">
        <f>COUNTIF(Analysis!$M$1:$M$3001,Analysis!$M1572)</f>
        <v>1</v>
      </c>
      <c r="Q1572" s="6" t="str">
        <f>IF(COUNTIF(Analysis!$M$2:$M$3001,Analysis!$M1572)&gt;1,"Duplicate","OK")</f>
        <v>OK</v>
      </c>
      <c r="R1572" s="6" t="str">
        <f t="shared" si="1"/>
        <v>2600-3600</v>
      </c>
      <c r="S1572" s="6">
        <f t="shared" si="2"/>
        <v>44</v>
      </c>
      <c r="T1572" s="6" t="str">
        <f t="shared" si="3"/>
        <v>Old</v>
      </c>
    </row>
    <row r="1573" ht="14.25" customHeight="1">
      <c r="A1573" s="5">
        <v>843419.0</v>
      </c>
      <c r="B1573" s="6" t="s">
        <v>10843</v>
      </c>
      <c r="C1573" s="6" t="s">
        <v>29</v>
      </c>
      <c r="D1573" s="6">
        <v>57885.0</v>
      </c>
      <c r="E1573" s="6" t="s">
        <v>60</v>
      </c>
      <c r="F1573" s="6" t="s">
        <v>54</v>
      </c>
      <c r="G1573" s="6" t="s">
        <v>21</v>
      </c>
      <c r="H1573" s="7">
        <v>1065.0</v>
      </c>
      <c r="I1573" s="7">
        <v>3506.0</v>
      </c>
      <c r="J1573" s="6">
        <v>2012.0</v>
      </c>
      <c r="K1573" s="6">
        <v>87.0</v>
      </c>
      <c r="L1573" s="6" t="s">
        <v>32</v>
      </c>
      <c r="M1573" s="6" t="s">
        <v>10844</v>
      </c>
      <c r="N1573" s="6" t="s">
        <v>64</v>
      </c>
      <c r="O1573" s="6" t="s">
        <v>35</v>
      </c>
      <c r="P1573" s="6">
        <f>COUNTIF(Analysis!$M$1:$M$3001,Analysis!$M2702)</f>
        <v>1</v>
      </c>
      <c r="Q1573" s="6" t="str">
        <f>IF(COUNTIF(Analysis!$M$2:$M$3001,Analysis!$M2702)&gt;1,"Duplicate","OK")</f>
        <v>OK</v>
      </c>
      <c r="R1573" s="6" t="str">
        <f t="shared" si="1"/>
        <v>600-1600</v>
      </c>
      <c r="S1573" s="6">
        <f t="shared" si="2"/>
        <v>14</v>
      </c>
      <c r="T1573" s="6" t="str">
        <f t="shared" si="3"/>
        <v>Mid</v>
      </c>
    </row>
    <row r="1574" ht="14.25" customHeight="1">
      <c r="A1574" s="5">
        <v>611900.0</v>
      </c>
      <c r="B1574" s="6" t="s">
        <v>6333</v>
      </c>
      <c r="C1574" s="6" t="s">
        <v>39</v>
      </c>
      <c r="D1574" s="6">
        <v>88736.0</v>
      </c>
      <c r="E1574" s="6" t="s">
        <v>40</v>
      </c>
      <c r="F1574" s="6" t="s">
        <v>46</v>
      </c>
      <c r="G1574" s="6" t="s">
        <v>31</v>
      </c>
      <c r="H1574" s="7">
        <v>3503.0</v>
      </c>
      <c r="I1574" s="7">
        <v>1584.0</v>
      </c>
      <c r="J1574" s="6">
        <v>2015.0</v>
      </c>
      <c r="K1574" s="6">
        <v>80.0</v>
      </c>
      <c r="L1574" s="6" t="s">
        <v>32</v>
      </c>
      <c r="M1574" s="6" t="s">
        <v>6334</v>
      </c>
      <c r="N1574" s="6" t="s">
        <v>24</v>
      </c>
      <c r="O1574" s="6" t="s">
        <v>25</v>
      </c>
      <c r="P1574" s="6">
        <f>COUNTIF(Analysis!$M$1:$M$3001,Analysis!$M1574)</f>
        <v>1</v>
      </c>
      <c r="Q1574" s="6" t="str">
        <f>IF(COUNTIF(Analysis!$M$2:$M$3001,Analysis!$M1574)&gt;1,"Duplicate","OK")</f>
        <v>OK</v>
      </c>
      <c r="R1574" s="6" t="str">
        <f t="shared" si="1"/>
        <v>2600-3600</v>
      </c>
      <c r="S1574" s="6">
        <f t="shared" si="2"/>
        <v>11</v>
      </c>
      <c r="T1574" s="6" t="str">
        <f t="shared" si="3"/>
        <v>Mid</v>
      </c>
    </row>
    <row r="1575" ht="14.25" customHeight="1">
      <c r="A1575" s="5">
        <v>1088823.0</v>
      </c>
      <c r="B1575" s="6" t="s">
        <v>6337</v>
      </c>
      <c r="C1575" s="6" t="s">
        <v>39</v>
      </c>
      <c r="D1575" s="6">
        <v>71689.0</v>
      </c>
      <c r="E1575" s="6" t="s">
        <v>60</v>
      </c>
      <c r="F1575" s="6" t="s">
        <v>61</v>
      </c>
      <c r="G1575" s="6" t="s">
        <v>21</v>
      </c>
      <c r="H1575" s="7">
        <v>1291.0</v>
      </c>
      <c r="I1575" s="7">
        <v>4423.0</v>
      </c>
      <c r="J1575" s="6">
        <v>1982.0</v>
      </c>
      <c r="K1575" s="6">
        <v>119.0</v>
      </c>
      <c r="L1575" s="6" t="s">
        <v>95</v>
      </c>
      <c r="M1575" s="6" t="s">
        <v>6338</v>
      </c>
      <c r="N1575" s="6" t="s">
        <v>24</v>
      </c>
      <c r="O1575" s="6" t="s">
        <v>49</v>
      </c>
      <c r="P1575" s="6">
        <f>COUNTIF(Analysis!$M$1:$M$3001,Analysis!$M1575)</f>
        <v>1</v>
      </c>
      <c r="Q1575" s="6" t="str">
        <f>IF(COUNTIF(Analysis!$M$2:$M$3001,Analysis!$M1575)&gt;1,"Duplicate","OK")</f>
        <v>OK</v>
      </c>
      <c r="R1575" s="6" t="str">
        <f t="shared" si="1"/>
        <v>600-1600</v>
      </c>
      <c r="S1575" s="6">
        <f t="shared" si="2"/>
        <v>44</v>
      </c>
      <c r="T1575" s="6" t="str">
        <f t="shared" si="3"/>
        <v>Old</v>
      </c>
    </row>
    <row r="1576" ht="14.25" customHeight="1">
      <c r="A1576" s="5">
        <v>214432.0</v>
      </c>
      <c r="B1576" s="6" t="s">
        <v>6341</v>
      </c>
      <c r="C1576" s="6" t="s">
        <v>76</v>
      </c>
      <c r="D1576" s="6">
        <v>23327.0</v>
      </c>
      <c r="E1576" s="6" t="s">
        <v>19</v>
      </c>
      <c r="F1576" s="6" t="s">
        <v>61</v>
      </c>
      <c r="G1576" s="6" t="s">
        <v>31</v>
      </c>
      <c r="H1576" s="7">
        <v>1460.0</v>
      </c>
      <c r="I1576" s="7">
        <v>1207.0</v>
      </c>
      <c r="J1576" s="6">
        <v>1976.0</v>
      </c>
      <c r="K1576" s="6">
        <v>6.0</v>
      </c>
      <c r="L1576" s="6" t="s">
        <v>95</v>
      </c>
      <c r="M1576" s="6" t="s">
        <v>6342</v>
      </c>
      <c r="N1576" s="6" t="s">
        <v>43</v>
      </c>
      <c r="O1576" s="6" t="s">
        <v>25</v>
      </c>
      <c r="P1576" s="6">
        <f>COUNTIF(Analysis!$M$1:$M$3001,Analysis!$M1576)</f>
        <v>1</v>
      </c>
      <c r="Q1576" s="6" t="str">
        <f>IF(COUNTIF(Analysis!$M$2:$M$3001,Analysis!$M1576)&gt;1,"Duplicate","OK")</f>
        <v>OK</v>
      </c>
      <c r="R1576" s="6" t="str">
        <f t="shared" si="1"/>
        <v>600-1600</v>
      </c>
      <c r="S1576" s="6">
        <f t="shared" si="2"/>
        <v>50</v>
      </c>
      <c r="T1576" s="6" t="str">
        <f t="shared" si="3"/>
        <v>Old</v>
      </c>
    </row>
    <row r="1577" ht="14.25" customHeight="1">
      <c r="A1577" s="5">
        <v>843750.0</v>
      </c>
      <c r="B1577" s="6" t="s">
        <v>453</v>
      </c>
      <c r="C1577" s="6" t="s">
        <v>29</v>
      </c>
      <c r="D1577" s="6">
        <v>46631.0</v>
      </c>
      <c r="E1577" s="6" t="s">
        <v>19</v>
      </c>
      <c r="F1577" s="6" t="s">
        <v>20</v>
      </c>
      <c r="G1577" s="6" t="s">
        <v>21</v>
      </c>
      <c r="H1577" s="7">
        <v>1069.0</v>
      </c>
      <c r="I1577" s="7">
        <v>3385.0</v>
      </c>
      <c r="J1577" s="6">
        <v>2010.0</v>
      </c>
      <c r="K1577" s="6">
        <v>43.0</v>
      </c>
      <c r="L1577" s="6" t="s">
        <v>32</v>
      </c>
      <c r="M1577" s="6" t="s">
        <v>454</v>
      </c>
      <c r="N1577" s="6" t="s">
        <v>24</v>
      </c>
      <c r="O1577" s="6" t="s">
        <v>25</v>
      </c>
      <c r="P1577" s="6">
        <f>COUNTIF(Analysis!$M$1:$M$3001,Analysis!$M103)</f>
        <v>1</v>
      </c>
      <c r="Q1577" s="6" t="str">
        <f>IF(COUNTIF(Analysis!$M$2:$M$3001,Analysis!$M103)&gt;1,"Duplicate","OK")</f>
        <v>OK</v>
      </c>
      <c r="R1577" s="6" t="str">
        <f t="shared" si="1"/>
        <v>600-1600</v>
      </c>
      <c r="S1577" s="6">
        <f t="shared" si="2"/>
        <v>16</v>
      </c>
      <c r="T1577" s="6" t="str">
        <f t="shared" si="3"/>
        <v>Mid</v>
      </c>
    </row>
    <row r="1578" ht="14.25" customHeight="1">
      <c r="A1578" s="5">
        <v>846683.0</v>
      </c>
      <c r="B1578" s="6" t="s">
        <v>9591</v>
      </c>
      <c r="C1578" s="6" t="s">
        <v>29</v>
      </c>
      <c r="D1578" s="6">
        <v>76872.0</v>
      </c>
      <c r="E1578" s="6" t="s">
        <v>77</v>
      </c>
      <c r="F1578" s="6" t="s">
        <v>94</v>
      </c>
      <c r="G1578" s="6" t="s">
        <v>55</v>
      </c>
      <c r="H1578" s="7">
        <v>3893.0</v>
      </c>
      <c r="I1578" s="7">
        <v>5673.0</v>
      </c>
      <c r="J1578" s="6">
        <v>1977.0</v>
      </c>
      <c r="K1578" s="6">
        <v>100.0</v>
      </c>
      <c r="L1578" s="6" t="s">
        <v>32</v>
      </c>
      <c r="M1578" s="6" t="s">
        <v>9592</v>
      </c>
      <c r="N1578" s="6" t="s">
        <v>34</v>
      </c>
      <c r="O1578" s="6" t="s">
        <v>49</v>
      </c>
      <c r="P1578" s="6">
        <f>COUNTIF(Analysis!$M$1:$M$3001,Analysis!$M2389)</f>
        <v>1</v>
      </c>
      <c r="Q1578" s="6" t="str">
        <f>IF(COUNTIF(Analysis!$M$2:$M$3001,Analysis!$M2389)&gt;1,"Duplicate","OK")</f>
        <v>OK</v>
      </c>
      <c r="R1578" s="6" t="str">
        <f t="shared" si="1"/>
        <v>3600+</v>
      </c>
      <c r="S1578" s="6">
        <f t="shared" si="2"/>
        <v>49</v>
      </c>
      <c r="T1578" s="6" t="str">
        <f t="shared" si="3"/>
        <v>Old</v>
      </c>
    </row>
    <row r="1579" ht="14.25" customHeight="1">
      <c r="A1579" s="5">
        <v>848850.0</v>
      </c>
      <c r="B1579" s="6" t="s">
        <v>4783</v>
      </c>
      <c r="C1579" s="6" t="s">
        <v>29</v>
      </c>
      <c r="D1579" s="6">
        <v>19834.0</v>
      </c>
      <c r="E1579" s="6" t="s">
        <v>19</v>
      </c>
      <c r="F1579" s="6" t="s">
        <v>20</v>
      </c>
      <c r="G1579" s="6" t="s">
        <v>55</v>
      </c>
      <c r="H1579" s="7">
        <v>3798.0</v>
      </c>
      <c r="I1579" s="7">
        <v>5049.0</v>
      </c>
      <c r="J1579" s="6">
        <v>1966.0</v>
      </c>
      <c r="K1579" s="6">
        <v>73.0</v>
      </c>
      <c r="L1579" s="6" t="s">
        <v>32</v>
      </c>
      <c r="M1579" s="6" t="s">
        <v>4784</v>
      </c>
      <c r="N1579" s="6" t="s">
        <v>48</v>
      </c>
      <c r="O1579" s="6" t="s">
        <v>49</v>
      </c>
      <c r="P1579" s="6">
        <f>COUNTIF(Analysis!$M$1:$M$3001,Analysis!$M1186)</f>
        <v>1</v>
      </c>
      <c r="Q1579" s="6" t="str">
        <f>IF(COUNTIF(Analysis!$M$2:$M$3001,Analysis!$M1186)&gt;1,"Duplicate","OK")</f>
        <v>OK</v>
      </c>
      <c r="R1579" s="6" t="str">
        <f t="shared" si="1"/>
        <v>3600+</v>
      </c>
      <c r="S1579" s="6">
        <f t="shared" si="2"/>
        <v>60</v>
      </c>
      <c r="T1579" s="6" t="str">
        <f t="shared" si="3"/>
        <v>Old</v>
      </c>
    </row>
    <row r="1580" ht="14.25" customHeight="1">
      <c r="A1580" s="5">
        <v>803014.0</v>
      </c>
      <c r="B1580" s="6" t="s">
        <v>6357</v>
      </c>
      <c r="C1580" s="6" t="s">
        <v>53</v>
      </c>
      <c r="D1580" s="6">
        <v>92336.0</v>
      </c>
      <c r="E1580" s="6" t="s">
        <v>40</v>
      </c>
      <c r="F1580" s="6" t="s">
        <v>20</v>
      </c>
      <c r="G1580" s="6" t="s">
        <v>31</v>
      </c>
      <c r="H1580" s="7">
        <v>3037.0</v>
      </c>
      <c r="I1580" s="7">
        <v>9904.0</v>
      </c>
      <c r="J1580" s="6">
        <v>1979.0</v>
      </c>
      <c r="K1580" s="6">
        <v>5.0</v>
      </c>
      <c r="L1580" s="6" t="s">
        <v>62</v>
      </c>
      <c r="M1580" s="6" t="s">
        <v>6358</v>
      </c>
      <c r="N1580" s="6" t="s">
        <v>34</v>
      </c>
      <c r="O1580" s="6" t="s">
        <v>35</v>
      </c>
      <c r="P1580" s="6">
        <f>COUNTIF(Analysis!$M$1:$M$3001,Analysis!$M1580)</f>
        <v>1</v>
      </c>
      <c r="Q1580" s="6" t="str">
        <f>IF(COUNTIF(Analysis!$M$2:$M$3001,Analysis!$M1580)&gt;1,"Duplicate","OK")</f>
        <v>OK</v>
      </c>
      <c r="R1580" s="6" t="str">
        <f t="shared" si="1"/>
        <v>2600-3600</v>
      </c>
      <c r="S1580" s="6">
        <f t="shared" si="2"/>
        <v>47</v>
      </c>
      <c r="T1580" s="6" t="str">
        <f t="shared" si="3"/>
        <v>Old</v>
      </c>
    </row>
    <row r="1581" ht="14.25" customHeight="1">
      <c r="A1581" s="5">
        <v>253568.0</v>
      </c>
      <c r="B1581" s="6" t="s">
        <v>6361</v>
      </c>
      <c r="C1581" s="6" t="s">
        <v>76</v>
      </c>
      <c r="D1581" s="6">
        <v>70025.0</v>
      </c>
      <c r="E1581" s="6" t="s">
        <v>30</v>
      </c>
      <c r="F1581" s="6" t="s">
        <v>61</v>
      </c>
      <c r="G1581" s="6" t="s">
        <v>21</v>
      </c>
      <c r="H1581" s="7">
        <v>3689.0</v>
      </c>
      <c r="I1581" s="7">
        <v>5680.0</v>
      </c>
      <c r="J1581" s="6">
        <v>1951.0</v>
      </c>
      <c r="K1581" s="6">
        <v>9.0</v>
      </c>
      <c r="L1581" s="6" t="s">
        <v>32</v>
      </c>
      <c r="M1581" s="6" t="s">
        <v>6362</v>
      </c>
      <c r="N1581" s="6" t="s">
        <v>34</v>
      </c>
      <c r="O1581" s="6" t="s">
        <v>49</v>
      </c>
      <c r="P1581" s="6">
        <f>COUNTIF(Analysis!$M$1:$M$3001,Analysis!$M1581)</f>
        <v>1</v>
      </c>
      <c r="Q1581" s="6" t="str">
        <f>IF(COUNTIF(Analysis!$M$2:$M$3001,Analysis!$M1581)&gt;1,"Duplicate","OK")</f>
        <v>OK</v>
      </c>
      <c r="R1581" s="6" t="str">
        <f t="shared" si="1"/>
        <v>3600+</v>
      </c>
      <c r="S1581" s="6">
        <f t="shared" si="2"/>
        <v>75</v>
      </c>
      <c r="T1581" s="6" t="str">
        <f t="shared" si="3"/>
        <v>Very Old</v>
      </c>
    </row>
    <row r="1582" ht="14.25" customHeight="1">
      <c r="A1582" s="5">
        <v>964648.0</v>
      </c>
      <c r="B1582" s="6" t="s">
        <v>6365</v>
      </c>
      <c r="C1582" s="6" t="s">
        <v>53</v>
      </c>
      <c r="D1582" s="6">
        <v>48014.0</v>
      </c>
      <c r="E1582" s="6" t="s">
        <v>30</v>
      </c>
      <c r="F1582" s="6" t="s">
        <v>20</v>
      </c>
      <c r="G1582" s="6" t="s">
        <v>55</v>
      </c>
      <c r="H1582" s="7">
        <v>2443.0</v>
      </c>
      <c r="I1582" s="7">
        <v>1147.0</v>
      </c>
      <c r="J1582" s="6">
        <v>1999.0</v>
      </c>
      <c r="K1582" s="6">
        <v>98.0</v>
      </c>
      <c r="L1582" s="6" t="s">
        <v>22</v>
      </c>
      <c r="M1582" s="6" t="s">
        <v>6366</v>
      </c>
      <c r="N1582" s="6" t="s">
        <v>43</v>
      </c>
      <c r="O1582" s="6" t="s">
        <v>25</v>
      </c>
      <c r="P1582" s="6">
        <f>COUNTIF(Analysis!$M$1:$M$3001,Analysis!$M1582)</f>
        <v>1</v>
      </c>
      <c r="Q1582" s="6" t="str">
        <f>IF(COUNTIF(Analysis!$M$2:$M$3001,Analysis!$M1582)&gt;1,"Duplicate","OK")</f>
        <v>OK</v>
      </c>
      <c r="R1582" s="6" t="str">
        <f t="shared" si="1"/>
        <v>1600-2600</v>
      </c>
      <c r="S1582" s="6">
        <f t="shared" si="2"/>
        <v>27</v>
      </c>
      <c r="T1582" s="6" t="str">
        <f t="shared" si="3"/>
        <v>Mid</v>
      </c>
    </row>
    <row r="1583" ht="14.25" customHeight="1">
      <c r="A1583" s="5">
        <v>848974.0</v>
      </c>
      <c r="B1583" s="6" t="s">
        <v>5878</v>
      </c>
      <c r="C1583" s="6" t="s">
        <v>29</v>
      </c>
      <c r="D1583" s="6">
        <v>18987.0</v>
      </c>
      <c r="E1583" s="6" t="s">
        <v>40</v>
      </c>
      <c r="F1583" s="6" t="s">
        <v>54</v>
      </c>
      <c r="G1583" s="6" t="s">
        <v>31</v>
      </c>
      <c r="H1583" s="7">
        <v>2384.0</v>
      </c>
      <c r="I1583" s="7">
        <v>7314.0</v>
      </c>
      <c r="J1583" s="6">
        <v>2008.0</v>
      </c>
      <c r="K1583" s="6">
        <v>20.0</v>
      </c>
      <c r="L1583" s="6" t="s">
        <v>22</v>
      </c>
      <c r="M1583" s="6" t="s">
        <v>5879</v>
      </c>
      <c r="N1583" s="6" t="s">
        <v>64</v>
      </c>
      <c r="O1583" s="6" t="s">
        <v>35</v>
      </c>
      <c r="P1583" s="6">
        <f>COUNTIF(Analysis!$M$1:$M$3001,Analysis!$M1460)</f>
        <v>1</v>
      </c>
      <c r="Q1583" s="6" t="str">
        <f>IF(COUNTIF(Analysis!$M$2:$M$3001,Analysis!$M1460)&gt;1,"Duplicate","OK")</f>
        <v>OK</v>
      </c>
      <c r="R1583" s="6" t="str">
        <f t="shared" si="1"/>
        <v>1600-2600</v>
      </c>
      <c r="S1583" s="6">
        <f t="shared" si="2"/>
        <v>18</v>
      </c>
      <c r="T1583" s="6" t="str">
        <f t="shared" si="3"/>
        <v>Mid</v>
      </c>
    </row>
    <row r="1584" ht="14.25" customHeight="1">
      <c r="A1584" s="5">
        <v>283646.0</v>
      </c>
      <c r="B1584" s="6" t="s">
        <v>6373</v>
      </c>
      <c r="C1584" s="6" t="s">
        <v>53</v>
      </c>
      <c r="D1584" s="6">
        <v>67134.0</v>
      </c>
      <c r="E1584" s="6" t="s">
        <v>40</v>
      </c>
      <c r="F1584" s="6" t="s">
        <v>94</v>
      </c>
      <c r="G1584" s="6" t="s">
        <v>100</v>
      </c>
      <c r="H1584" s="7">
        <v>3608.0</v>
      </c>
      <c r="I1584" s="7">
        <v>2584.0</v>
      </c>
      <c r="J1584" s="6">
        <v>1998.0</v>
      </c>
      <c r="K1584" s="6">
        <v>118.0</v>
      </c>
      <c r="L1584" s="6" t="s">
        <v>141</v>
      </c>
      <c r="M1584" s="6" t="s">
        <v>6374</v>
      </c>
      <c r="N1584" s="6" t="s">
        <v>64</v>
      </c>
      <c r="O1584" s="6" t="s">
        <v>35</v>
      </c>
      <c r="P1584" s="6">
        <f>COUNTIF(Analysis!$M$1:$M$3001,Analysis!$M1584)</f>
        <v>1</v>
      </c>
      <c r="Q1584" s="6" t="str">
        <f>IF(COUNTIF(Analysis!$M$2:$M$3001,Analysis!$M1584)&gt;1,"Duplicate","OK")</f>
        <v>OK</v>
      </c>
      <c r="R1584" s="6" t="str">
        <f t="shared" si="1"/>
        <v>3600+</v>
      </c>
      <c r="S1584" s="6">
        <f t="shared" si="2"/>
        <v>28</v>
      </c>
      <c r="T1584" s="6" t="str">
        <f t="shared" si="3"/>
        <v>Mid</v>
      </c>
    </row>
    <row r="1585" ht="14.25" customHeight="1">
      <c r="A1585" s="5">
        <v>1387108.0</v>
      </c>
      <c r="B1585" s="6" t="s">
        <v>6377</v>
      </c>
      <c r="C1585" s="6" t="s">
        <v>53</v>
      </c>
      <c r="D1585" s="6">
        <v>36541.0</v>
      </c>
      <c r="E1585" s="6" t="s">
        <v>77</v>
      </c>
      <c r="F1585" s="6" t="s">
        <v>54</v>
      </c>
      <c r="G1585" s="6" t="s">
        <v>100</v>
      </c>
      <c r="H1585" s="7">
        <v>2139.0</v>
      </c>
      <c r="I1585" s="7">
        <v>4203.0</v>
      </c>
      <c r="J1585" s="6">
        <v>1976.0</v>
      </c>
      <c r="K1585" s="6">
        <v>46.0</v>
      </c>
      <c r="L1585" s="6" t="s">
        <v>141</v>
      </c>
      <c r="M1585" s="6" t="s">
        <v>6378</v>
      </c>
      <c r="N1585" s="6" t="s">
        <v>24</v>
      </c>
      <c r="O1585" s="6" t="s">
        <v>35</v>
      </c>
      <c r="P1585" s="6">
        <f>COUNTIF(Analysis!$M$1:$M$3001,Analysis!$M1585)</f>
        <v>1</v>
      </c>
      <c r="Q1585" s="6" t="str">
        <f>IF(COUNTIF(Analysis!$M$2:$M$3001,Analysis!$M1585)&gt;1,"Duplicate","OK")</f>
        <v>OK</v>
      </c>
      <c r="R1585" s="6" t="str">
        <f t="shared" si="1"/>
        <v>1600-2600</v>
      </c>
      <c r="S1585" s="6">
        <f t="shared" si="2"/>
        <v>50</v>
      </c>
      <c r="T1585" s="6" t="str">
        <f t="shared" si="3"/>
        <v>Old</v>
      </c>
    </row>
    <row r="1586" ht="14.25" customHeight="1">
      <c r="A1586" s="5">
        <v>851444.0</v>
      </c>
      <c r="B1586" s="6" t="s">
        <v>4739</v>
      </c>
      <c r="C1586" s="6" t="s">
        <v>29</v>
      </c>
      <c r="D1586" s="6">
        <v>63625.0</v>
      </c>
      <c r="E1586" s="6" t="s">
        <v>40</v>
      </c>
      <c r="F1586" s="6" t="s">
        <v>61</v>
      </c>
      <c r="G1586" s="6" t="s">
        <v>21</v>
      </c>
      <c r="H1586" s="7">
        <v>1439.0</v>
      </c>
      <c r="I1586" s="7">
        <v>8488.0</v>
      </c>
      <c r="J1586" s="6">
        <v>1952.0</v>
      </c>
      <c r="K1586" s="6">
        <v>23.0</v>
      </c>
      <c r="L1586" s="6" t="s">
        <v>141</v>
      </c>
      <c r="M1586" s="6" t="s">
        <v>4740</v>
      </c>
      <c r="N1586" s="6" t="s">
        <v>24</v>
      </c>
      <c r="O1586" s="6" t="s">
        <v>35</v>
      </c>
      <c r="P1586" s="6">
        <f>COUNTIF(Analysis!$M$1:$M$3001,Analysis!$M1175)</f>
        <v>1</v>
      </c>
      <c r="Q1586" s="6" t="str">
        <f>IF(COUNTIF(Analysis!$M$2:$M$3001,Analysis!$M1175)&gt;1,"Duplicate","OK")</f>
        <v>OK</v>
      </c>
      <c r="R1586" s="6" t="str">
        <f t="shared" si="1"/>
        <v>600-1600</v>
      </c>
      <c r="S1586" s="6">
        <f t="shared" si="2"/>
        <v>74</v>
      </c>
      <c r="T1586" s="6" t="str">
        <f t="shared" si="3"/>
        <v>Very Old</v>
      </c>
    </row>
    <row r="1587" ht="14.25" customHeight="1">
      <c r="A1587" s="5">
        <v>852100.0</v>
      </c>
      <c r="B1587" s="6" t="s">
        <v>11838</v>
      </c>
      <c r="C1587" s="6" t="s">
        <v>29</v>
      </c>
      <c r="D1587" s="6">
        <v>31282.0</v>
      </c>
      <c r="E1587" s="6" t="s">
        <v>19</v>
      </c>
      <c r="F1587" s="6" t="s">
        <v>20</v>
      </c>
      <c r="G1587" s="6" t="s">
        <v>31</v>
      </c>
      <c r="H1587" s="7">
        <v>3449.0</v>
      </c>
      <c r="I1587" s="7">
        <v>8631.0</v>
      </c>
      <c r="J1587" s="6">
        <v>1979.0</v>
      </c>
      <c r="K1587" s="6">
        <v>90.0</v>
      </c>
      <c r="L1587" s="6" t="s">
        <v>62</v>
      </c>
      <c r="M1587" s="6" t="s">
        <v>11839</v>
      </c>
      <c r="N1587" s="6" t="s">
        <v>34</v>
      </c>
      <c r="O1587" s="6" t="s">
        <v>25</v>
      </c>
      <c r="P1587" s="6">
        <f>COUNTIF(Analysis!$M$1:$M$3001,Analysis!$M2951)</f>
        <v>1</v>
      </c>
      <c r="Q1587" s="6" t="str">
        <f>IF(COUNTIF(Analysis!$M$2:$M$3001,Analysis!$M2951)&gt;1,"Duplicate","OK")</f>
        <v>OK</v>
      </c>
      <c r="R1587" s="6" t="str">
        <f t="shared" si="1"/>
        <v>2600-3600</v>
      </c>
      <c r="S1587" s="6">
        <f t="shared" si="2"/>
        <v>47</v>
      </c>
      <c r="T1587" s="6" t="str">
        <f t="shared" si="3"/>
        <v>Old</v>
      </c>
    </row>
    <row r="1588" ht="14.25" customHeight="1">
      <c r="A1588" s="5">
        <v>854226.0</v>
      </c>
      <c r="B1588" s="6" t="s">
        <v>10995</v>
      </c>
      <c r="C1588" s="6" t="s">
        <v>29</v>
      </c>
      <c r="D1588" s="6">
        <v>56693.0</v>
      </c>
      <c r="E1588" s="6" t="s">
        <v>77</v>
      </c>
      <c r="F1588" s="6" t="s">
        <v>94</v>
      </c>
      <c r="G1588" s="6" t="s">
        <v>100</v>
      </c>
      <c r="H1588" s="7">
        <v>3730.0</v>
      </c>
      <c r="I1588" s="7">
        <v>4614.0</v>
      </c>
      <c r="J1588" s="6">
        <v>1970.0</v>
      </c>
      <c r="K1588" s="6">
        <v>35.0</v>
      </c>
      <c r="L1588" s="6" t="s">
        <v>95</v>
      </c>
      <c r="M1588" s="6" t="s">
        <v>10996</v>
      </c>
      <c r="N1588" s="6" t="s">
        <v>48</v>
      </c>
      <c r="O1588" s="6" t="s">
        <v>25</v>
      </c>
      <c r="P1588" s="6">
        <f>COUNTIF(Analysis!$M$1:$M$3001,Analysis!$M2740)</f>
        <v>1</v>
      </c>
      <c r="Q1588" s="6" t="str">
        <f>IF(COUNTIF(Analysis!$M$2:$M$3001,Analysis!$M2740)&gt;1,"Duplicate","OK")</f>
        <v>OK</v>
      </c>
      <c r="R1588" s="6" t="str">
        <f t="shared" si="1"/>
        <v>3600+</v>
      </c>
      <c r="S1588" s="6">
        <f t="shared" si="2"/>
        <v>56</v>
      </c>
      <c r="T1588" s="6" t="str">
        <f t="shared" si="3"/>
        <v>Old</v>
      </c>
    </row>
    <row r="1589" ht="14.25" customHeight="1">
      <c r="A1589" s="5">
        <v>858707.0</v>
      </c>
      <c r="B1589" s="6" t="s">
        <v>6393</v>
      </c>
      <c r="C1589" s="6" t="s">
        <v>53</v>
      </c>
      <c r="D1589" s="6">
        <v>38181.0</v>
      </c>
      <c r="E1589" s="6" t="s">
        <v>60</v>
      </c>
      <c r="F1589" s="6" t="s">
        <v>20</v>
      </c>
      <c r="G1589" s="6" t="s">
        <v>55</v>
      </c>
      <c r="H1589" s="7">
        <v>3405.0</v>
      </c>
      <c r="I1589" s="7">
        <v>2632.0</v>
      </c>
      <c r="J1589" s="6">
        <v>1989.0</v>
      </c>
      <c r="K1589" s="6">
        <v>116.0</v>
      </c>
      <c r="L1589" s="6" t="s">
        <v>95</v>
      </c>
      <c r="M1589" s="6" t="s">
        <v>6394</v>
      </c>
      <c r="N1589" s="6" t="s">
        <v>48</v>
      </c>
      <c r="O1589" s="6" t="s">
        <v>49</v>
      </c>
      <c r="P1589" s="6">
        <f>COUNTIF(Analysis!$M$1:$M$3001,Analysis!$M1589)</f>
        <v>1</v>
      </c>
      <c r="Q1589" s="6" t="str">
        <f>IF(COUNTIF(Analysis!$M$2:$M$3001,Analysis!$M1589)&gt;1,"Duplicate","OK")</f>
        <v>OK</v>
      </c>
      <c r="R1589" s="6" t="str">
        <f t="shared" si="1"/>
        <v>2600-3600</v>
      </c>
      <c r="S1589" s="6">
        <f t="shared" si="2"/>
        <v>37</v>
      </c>
      <c r="T1589" s="6" t="str">
        <f t="shared" si="3"/>
        <v>Old</v>
      </c>
    </row>
    <row r="1590" ht="14.25" customHeight="1">
      <c r="A1590" s="5">
        <v>554405.0</v>
      </c>
      <c r="B1590" s="6" t="s">
        <v>6397</v>
      </c>
      <c r="C1590" s="6" t="s">
        <v>76</v>
      </c>
      <c r="D1590" s="6">
        <v>61785.0</v>
      </c>
      <c r="E1590" s="6" t="s">
        <v>60</v>
      </c>
      <c r="F1590" s="6" t="s">
        <v>20</v>
      </c>
      <c r="G1590" s="6" t="s">
        <v>100</v>
      </c>
      <c r="H1590" s="7">
        <v>2317.0</v>
      </c>
      <c r="I1590" s="7">
        <v>3509.0</v>
      </c>
      <c r="J1590" s="6">
        <v>1961.0</v>
      </c>
      <c r="K1590" s="6">
        <v>24.0</v>
      </c>
      <c r="L1590" s="6" t="s">
        <v>141</v>
      </c>
      <c r="M1590" s="6" t="s">
        <v>6398</v>
      </c>
      <c r="N1590" s="6" t="s">
        <v>34</v>
      </c>
      <c r="O1590" s="6" t="s">
        <v>25</v>
      </c>
      <c r="P1590" s="6">
        <f>COUNTIF(Analysis!$M$1:$M$3001,Analysis!$M1590)</f>
        <v>1</v>
      </c>
      <c r="Q1590" s="6" t="str">
        <f>IF(COUNTIF(Analysis!$M$2:$M$3001,Analysis!$M1590)&gt;1,"Duplicate","OK")</f>
        <v>OK</v>
      </c>
      <c r="R1590" s="6" t="str">
        <f t="shared" si="1"/>
        <v>1600-2600</v>
      </c>
      <c r="S1590" s="6">
        <f t="shared" si="2"/>
        <v>65</v>
      </c>
      <c r="T1590" s="6" t="str">
        <f t="shared" si="3"/>
        <v>Very Old</v>
      </c>
    </row>
    <row r="1591" ht="14.25" customHeight="1">
      <c r="A1591" s="5">
        <v>1038423.0</v>
      </c>
      <c r="B1591" s="6" t="s">
        <v>6401</v>
      </c>
      <c r="C1591" s="6" t="s">
        <v>18</v>
      </c>
      <c r="D1591" s="6">
        <v>92122.0</v>
      </c>
      <c r="E1591" s="6" t="s">
        <v>19</v>
      </c>
      <c r="F1591" s="6" t="s">
        <v>61</v>
      </c>
      <c r="G1591" s="6" t="s">
        <v>100</v>
      </c>
      <c r="H1591" s="7">
        <v>3642.0</v>
      </c>
      <c r="I1591" s="7">
        <v>1073.0</v>
      </c>
      <c r="J1591" s="6">
        <v>1978.0</v>
      </c>
      <c r="K1591" s="6">
        <v>32.0</v>
      </c>
      <c r="L1591" s="6" t="s">
        <v>22</v>
      </c>
      <c r="M1591" s="6" t="s">
        <v>6402</v>
      </c>
      <c r="N1591" s="6" t="s">
        <v>34</v>
      </c>
      <c r="O1591" s="6" t="s">
        <v>49</v>
      </c>
      <c r="P1591" s="6">
        <f>COUNTIF(Analysis!$M$1:$M$3001,Analysis!$M1591)</f>
        <v>1</v>
      </c>
      <c r="Q1591" s="6" t="str">
        <f>IF(COUNTIF(Analysis!$M$2:$M$3001,Analysis!$M1591)&gt;1,"Duplicate","OK")</f>
        <v>OK</v>
      </c>
      <c r="R1591" s="6" t="str">
        <f t="shared" si="1"/>
        <v>3600+</v>
      </c>
      <c r="S1591" s="6">
        <f t="shared" si="2"/>
        <v>48</v>
      </c>
      <c r="T1591" s="6" t="str">
        <f t="shared" si="3"/>
        <v>Old</v>
      </c>
    </row>
    <row r="1592" ht="14.25" customHeight="1">
      <c r="A1592" s="5">
        <v>856260.0</v>
      </c>
      <c r="B1592" s="6" t="s">
        <v>3395</v>
      </c>
      <c r="C1592" s="6" t="s">
        <v>29</v>
      </c>
      <c r="D1592" s="6">
        <v>98387.0</v>
      </c>
      <c r="E1592" s="6" t="s">
        <v>30</v>
      </c>
      <c r="F1592" s="6" t="s">
        <v>54</v>
      </c>
      <c r="G1592" s="6" t="s">
        <v>100</v>
      </c>
      <c r="H1592" s="7">
        <v>2212.0</v>
      </c>
      <c r="I1592" s="7">
        <v>5551.0</v>
      </c>
      <c r="J1592" s="6">
        <v>2016.0</v>
      </c>
      <c r="K1592" s="6">
        <v>71.0</v>
      </c>
      <c r="L1592" s="6" t="s">
        <v>22</v>
      </c>
      <c r="M1592" s="6" t="s">
        <v>3396</v>
      </c>
      <c r="N1592" s="6" t="s">
        <v>48</v>
      </c>
      <c r="O1592" s="6" t="s">
        <v>35</v>
      </c>
      <c r="P1592" s="6">
        <f>COUNTIF(Analysis!$M$1:$M$3001,Analysis!$M839)</f>
        <v>1</v>
      </c>
      <c r="Q1592" s="6" t="str">
        <f>IF(COUNTIF(Analysis!$M$2:$M$3001,Analysis!$M839)&gt;1,"Duplicate","OK")</f>
        <v>OK</v>
      </c>
      <c r="R1592" s="6" t="str">
        <f t="shared" si="1"/>
        <v>1600-2600</v>
      </c>
      <c r="S1592" s="6">
        <f t="shared" si="2"/>
        <v>10</v>
      </c>
      <c r="T1592" s="6" t="str">
        <f t="shared" si="3"/>
        <v>New</v>
      </c>
    </row>
    <row r="1593" ht="14.25" customHeight="1">
      <c r="A1593" s="5">
        <v>970897.0</v>
      </c>
      <c r="B1593" s="6" t="s">
        <v>6409</v>
      </c>
      <c r="C1593" s="6" t="s">
        <v>39</v>
      </c>
      <c r="D1593" s="6">
        <v>64105.0</v>
      </c>
      <c r="E1593" s="6" t="s">
        <v>60</v>
      </c>
      <c r="F1593" s="6" t="s">
        <v>54</v>
      </c>
      <c r="G1593" s="6" t="s">
        <v>55</v>
      </c>
      <c r="H1593" s="7">
        <v>1723.0</v>
      </c>
      <c r="I1593" s="7">
        <v>5182.0</v>
      </c>
      <c r="J1593" s="6">
        <v>1956.0</v>
      </c>
      <c r="K1593" s="6">
        <v>98.0</v>
      </c>
      <c r="L1593" s="6" t="s">
        <v>141</v>
      </c>
      <c r="M1593" s="6" t="s">
        <v>6410</v>
      </c>
      <c r="N1593" s="6" t="s">
        <v>34</v>
      </c>
      <c r="O1593" s="6" t="s">
        <v>25</v>
      </c>
      <c r="P1593" s="6">
        <f>COUNTIF(Analysis!$M$1:$M$3001,Analysis!$M1593)</f>
        <v>1</v>
      </c>
      <c r="Q1593" s="6" t="str">
        <f>IF(COUNTIF(Analysis!$M$2:$M$3001,Analysis!$M1593)&gt;1,"Duplicate","OK")</f>
        <v>OK</v>
      </c>
      <c r="R1593" s="6" t="str">
        <f t="shared" si="1"/>
        <v>1600-2600</v>
      </c>
      <c r="S1593" s="6">
        <f t="shared" si="2"/>
        <v>70</v>
      </c>
      <c r="T1593" s="6" t="str">
        <f t="shared" si="3"/>
        <v>Very Old</v>
      </c>
    </row>
    <row r="1594" ht="14.25" customHeight="1">
      <c r="A1594" s="5">
        <v>778419.0</v>
      </c>
      <c r="B1594" s="6" t="s">
        <v>6413</v>
      </c>
      <c r="C1594" s="6" t="s">
        <v>53</v>
      </c>
      <c r="D1594" s="6">
        <v>95199.0</v>
      </c>
      <c r="E1594" s="6" t="s">
        <v>77</v>
      </c>
      <c r="F1594" s="6" t="s">
        <v>20</v>
      </c>
      <c r="G1594" s="6" t="s">
        <v>100</v>
      </c>
      <c r="H1594" s="7">
        <v>3881.0</v>
      </c>
      <c r="I1594" s="7">
        <v>6166.0</v>
      </c>
      <c r="J1594" s="6">
        <v>1955.0</v>
      </c>
      <c r="K1594" s="6">
        <v>15.0</v>
      </c>
      <c r="L1594" s="6" t="s">
        <v>141</v>
      </c>
      <c r="M1594" s="6" t="s">
        <v>6414</v>
      </c>
      <c r="N1594" s="6" t="s">
        <v>64</v>
      </c>
      <c r="O1594" s="6" t="s">
        <v>25</v>
      </c>
      <c r="P1594" s="6">
        <f>COUNTIF(Analysis!$M$1:$M$3001,Analysis!$M1594)</f>
        <v>1</v>
      </c>
      <c r="Q1594" s="6" t="str">
        <f>IF(COUNTIF(Analysis!$M$2:$M$3001,Analysis!$M1594)&gt;1,"Duplicate","OK")</f>
        <v>OK</v>
      </c>
      <c r="R1594" s="6" t="str">
        <f t="shared" si="1"/>
        <v>3600+</v>
      </c>
      <c r="S1594" s="6">
        <f t="shared" si="2"/>
        <v>71</v>
      </c>
      <c r="T1594" s="6" t="str">
        <f t="shared" si="3"/>
        <v>Very Old</v>
      </c>
    </row>
    <row r="1595" ht="14.25" customHeight="1">
      <c r="A1595" s="5">
        <v>856876.0</v>
      </c>
      <c r="B1595" s="6" t="s">
        <v>7405</v>
      </c>
      <c r="C1595" s="6" t="s">
        <v>29</v>
      </c>
      <c r="D1595" s="6">
        <v>41561.0</v>
      </c>
      <c r="E1595" s="6" t="s">
        <v>60</v>
      </c>
      <c r="F1595" s="6" t="s">
        <v>20</v>
      </c>
      <c r="G1595" s="6" t="s">
        <v>31</v>
      </c>
      <c r="H1595" s="7">
        <v>3127.0</v>
      </c>
      <c r="I1595" s="7">
        <v>2587.0</v>
      </c>
      <c r="J1595" s="6">
        <v>1962.0</v>
      </c>
      <c r="K1595" s="6">
        <v>50.0</v>
      </c>
      <c r="L1595" s="6" t="s">
        <v>141</v>
      </c>
      <c r="M1595" s="6" t="s">
        <v>7406</v>
      </c>
      <c r="N1595" s="6" t="s">
        <v>34</v>
      </c>
      <c r="O1595" s="6" t="s">
        <v>25</v>
      </c>
      <c r="P1595" s="6">
        <f>COUNTIF(Analysis!$M$1:$M$3001,Analysis!$M1842)</f>
        <v>1</v>
      </c>
      <c r="Q1595" s="6" t="str">
        <f>IF(COUNTIF(Analysis!$M$2:$M$3001,Analysis!$M1842)&gt;1,"Duplicate","OK")</f>
        <v>OK</v>
      </c>
      <c r="R1595" s="6" t="str">
        <f t="shared" si="1"/>
        <v>2600-3600</v>
      </c>
      <c r="S1595" s="6">
        <f t="shared" si="2"/>
        <v>64</v>
      </c>
      <c r="T1595" s="6" t="str">
        <f t="shared" si="3"/>
        <v>Very Old</v>
      </c>
    </row>
    <row r="1596" ht="14.25" customHeight="1">
      <c r="A1596" s="5">
        <v>100283.0</v>
      </c>
      <c r="B1596" s="6" t="s">
        <v>6421</v>
      </c>
      <c r="C1596" s="6" t="s">
        <v>53</v>
      </c>
      <c r="D1596" s="6">
        <v>11684.0</v>
      </c>
      <c r="E1596" s="6" t="s">
        <v>77</v>
      </c>
      <c r="F1596" s="6" t="s">
        <v>54</v>
      </c>
      <c r="G1596" s="6" t="s">
        <v>21</v>
      </c>
      <c r="H1596" s="7">
        <v>3166.0</v>
      </c>
      <c r="I1596" s="7">
        <v>5976.0</v>
      </c>
      <c r="J1596" s="6">
        <v>2021.0</v>
      </c>
      <c r="K1596" s="6">
        <v>80.0</v>
      </c>
      <c r="L1596" s="6" t="s">
        <v>62</v>
      </c>
      <c r="M1596" s="6" t="s">
        <v>6422</v>
      </c>
      <c r="N1596" s="6" t="s">
        <v>48</v>
      </c>
      <c r="O1596" s="6" t="s">
        <v>25</v>
      </c>
      <c r="P1596" s="6">
        <f>COUNTIF(Analysis!$M$1:$M$3001,Analysis!$M1596)</f>
        <v>1</v>
      </c>
      <c r="Q1596" s="6" t="str">
        <f>IF(COUNTIF(Analysis!$M$2:$M$3001,Analysis!$M1596)&gt;1,"Duplicate","OK")</f>
        <v>OK</v>
      </c>
      <c r="R1596" s="6" t="str">
        <f t="shared" si="1"/>
        <v>2600-3600</v>
      </c>
      <c r="S1596" s="6">
        <f t="shared" si="2"/>
        <v>5</v>
      </c>
      <c r="T1596" s="6" t="str">
        <f t="shared" si="3"/>
        <v>New</v>
      </c>
    </row>
    <row r="1597" ht="14.25" customHeight="1">
      <c r="A1597" s="5">
        <v>1091920.0</v>
      </c>
      <c r="B1597" s="6" t="s">
        <v>6425</v>
      </c>
      <c r="C1597" s="6" t="s">
        <v>39</v>
      </c>
      <c r="D1597" s="6">
        <v>39040.0</v>
      </c>
      <c r="E1597" s="6" t="s">
        <v>77</v>
      </c>
      <c r="F1597" s="6" t="s">
        <v>46</v>
      </c>
      <c r="G1597" s="6" t="s">
        <v>55</v>
      </c>
      <c r="H1597" s="7">
        <v>2445.0</v>
      </c>
      <c r="I1597" s="7">
        <v>7181.0</v>
      </c>
      <c r="J1597" s="6">
        <v>1970.0</v>
      </c>
      <c r="K1597" s="6">
        <v>82.0</v>
      </c>
      <c r="L1597" s="6" t="s">
        <v>141</v>
      </c>
      <c r="M1597" s="6" t="s">
        <v>6426</v>
      </c>
      <c r="N1597" s="6" t="s">
        <v>64</v>
      </c>
      <c r="O1597" s="6" t="s">
        <v>49</v>
      </c>
      <c r="P1597" s="6">
        <f>COUNTIF(Analysis!$M$1:$M$3001,Analysis!$M1597)</f>
        <v>1</v>
      </c>
      <c r="Q1597" s="6" t="str">
        <f>IF(COUNTIF(Analysis!$M$2:$M$3001,Analysis!$M1597)&gt;1,"Duplicate","OK")</f>
        <v>OK</v>
      </c>
      <c r="R1597" s="6" t="str">
        <f t="shared" si="1"/>
        <v>1600-2600</v>
      </c>
      <c r="S1597" s="6">
        <f t="shared" si="2"/>
        <v>56</v>
      </c>
      <c r="T1597" s="6" t="str">
        <f t="shared" si="3"/>
        <v>Old</v>
      </c>
    </row>
    <row r="1598" ht="14.25" customHeight="1">
      <c r="A1598" s="5">
        <v>699748.0</v>
      </c>
      <c r="B1598" s="6" t="s">
        <v>6429</v>
      </c>
      <c r="C1598" s="6" t="s">
        <v>39</v>
      </c>
      <c r="D1598" s="6">
        <v>41560.0</v>
      </c>
      <c r="E1598" s="6" t="s">
        <v>19</v>
      </c>
      <c r="F1598" s="6" t="s">
        <v>20</v>
      </c>
      <c r="G1598" s="6" t="s">
        <v>55</v>
      </c>
      <c r="H1598" s="7">
        <v>1637.0</v>
      </c>
      <c r="I1598" s="7">
        <v>9782.0</v>
      </c>
      <c r="J1598" s="6">
        <v>1987.0</v>
      </c>
      <c r="K1598" s="6">
        <v>115.0</v>
      </c>
      <c r="L1598" s="6" t="s">
        <v>62</v>
      </c>
      <c r="M1598" s="6" t="s">
        <v>6430</v>
      </c>
      <c r="N1598" s="6" t="s">
        <v>43</v>
      </c>
      <c r="O1598" s="6" t="s">
        <v>49</v>
      </c>
      <c r="P1598" s="6">
        <f>COUNTIF(Analysis!$M$1:$M$3001,Analysis!$M1598)</f>
        <v>1</v>
      </c>
      <c r="Q1598" s="6" t="str">
        <f>IF(COUNTIF(Analysis!$M$2:$M$3001,Analysis!$M1598)&gt;1,"Duplicate","OK")</f>
        <v>OK</v>
      </c>
      <c r="R1598" s="6" t="str">
        <f t="shared" si="1"/>
        <v>1600-2600</v>
      </c>
      <c r="S1598" s="6">
        <f t="shared" si="2"/>
        <v>39</v>
      </c>
      <c r="T1598" s="6" t="str">
        <f t="shared" si="3"/>
        <v>Old</v>
      </c>
    </row>
    <row r="1599" ht="14.25" customHeight="1">
      <c r="A1599" s="5">
        <v>1446602.0</v>
      </c>
      <c r="B1599" s="6" t="s">
        <v>6433</v>
      </c>
      <c r="C1599" s="6" t="s">
        <v>39</v>
      </c>
      <c r="D1599" s="6">
        <v>94828.0</v>
      </c>
      <c r="E1599" s="6" t="s">
        <v>77</v>
      </c>
      <c r="F1599" s="6" t="s">
        <v>41</v>
      </c>
      <c r="G1599" s="6" t="s">
        <v>21</v>
      </c>
      <c r="H1599" s="7">
        <v>2776.0</v>
      </c>
      <c r="I1599" s="7">
        <v>9705.0</v>
      </c>
      <c r="J1599" s="6">
        <v>1972.0</v>
      </c>
      <c r="K1599" s="6">
        <v>83.0</v>
      </c>
      <c r="L1599" s="6" t="s">
        <v>22</v>
      </c>
      <c r="M1599" s="6" t="s">
        <v>6434</v>
      </c>
      <c r="N1599" s="6" t="s">
        <v>43</v>
      </c>
      <c r="O1599" s="6" t="s">
        <v>25</v>
      </c>
      <c r="P1599" s="6">
        <f>COUNTIF(Analysis!$M$1:$M$3001,Analysis!$M1599)</f>
        <v>1</v>
      </c>
      <c r="Q1599" s="6" t="str">
        <f>IF(COUNTIF(Analysis!$M$2:$M$3001,Analysis!$M1599)&gt;1,"Duplicate","OK")</f>
        <v>OK</v>
      </c>
      <c r="R1599" s="6" t="str">
        <f t="shared" si="1"/>
        <v>2600-3600</v>
      </c>
      <c r="S1599" s="6">
        <f t="shared" si="2"/>
        <v>54</v>
      </c>
      <c r="T1599" s="6" t="str">
        <f t="shared" si="3"/>
        <v>Old</v>
      </c>
    </row>
    <row r="1600" ht="14.25" customHeight="1">
      <c r="A1600" s="5">
        <v>936502.0</v>
      </c>
      <c r="B1600" s="6" t="s">
        <v>6437</v>
      </c>
      <c r="C1600" s="6" t="s">
        <v>76</v>
      </c>
      <c r="D1600" s="6">
        <v>39671.0</v>
      </c>
      <c r="E1600" s="6" t="s">
        <v>60</v>
      </c>
      <c r="F1600" s="6" t="s">
        <v>41</v>
      </c>
      <c r="G1600" s="6" t="s">
        <v>55</v>
      </c>
      <c r="H1600" s="7">
        <v>1671.0</v>
      </c>
      <c r="I1600" s="7">
        <v>5294.0</v>
      </c>
      <c r="J1600" s="6">
        <v>1971.0</v>
      </c>
      <c r="K1600" s="6">
        <v>26.0</v>
      </c>
      <c r="L1600" s="6" t="s">
        <v>95</v>
      </c>
      <c r="M1600" s="6" t="s">
        <v>6438</v>
      </c>
      <c r="N1600" s="6" t="s">
        <v>64</v>
      </c>
      <c r="O1600" s="6" t="s">
        <v>35</v>
      </c>
      <c r="P1600" s="6">
        <f>COUNTIF(Analysis!$M$1:$M$3001,Analysis!$M1600)</f>
        <v>1</v>
      </c>
      <c r="Q1600" s="6" t="str">
        <f>IF(COUNTIF(Analysis!$M$2:$M$3001,Analysis!$M1600)&gt;1,"Duplicate","OK")</f>
        <v>OK</v>
      </c>
      <c r="R1600" s="6" t="str">
        <f t="shared" si="1"/>
        <v>1600-2600</v>
      </c>
      <c r="S1600" s="6">
        <f t="shared" si="2"/>
        <v>55</v>
      </c>
      <c r="T1600" s="6" t="str">
        <f t="shared" si="3"/>
        <v>Old</v>
      </c>
    </row>
    <row r="1601" ht="14.25" customHeight="1">
      <c r="A1601" s="5">
        <v>1419776.0</v>
      </c>
      <c r="B1601" s="6" t="s">
        <v>6441</v>
      </c>
      <c r="C1601" s="6" t="s">
        <v>53</v>
      </c>
      <c r="D1601" s="6">
        <v>12078.0</v>
      </c>
      <c r="E1601" s="6" t="s">
        <v>60</v>
      </c>
      <c r="F1601" s="6" t="s">
        <v>94</v>
      </c>
      <c r="G1601" s="6" t="s">
        <v>55</v>
      </c>
      <c r="H1601" s="7">
        <v>1873.0</v>
      </c>
      <c r="I1601" s="7">
        <v>8384.0</v>
      </c>
      <c r="J1601" s="6">
        <v>2016.0</v>
      </c>
      <c r="K1601" s="6">
        <v>56.0</v>
      </c>
      <c r="L1601" s="6" t="s">
        <v>22</v>
      </c>
      <c r="M1601" s="6" t="s">
        <v>6442</v>
      </c>
      <c r="N1601" s="6" t="s">
        <v>64</v>
      </c>
      <c r="O1601" s="6" t="s">
        <v>25</v>
      </c>
      <c r="P1601" s="6">
        <f>COUNTIF(Analysis!$M$1:$M$3001,Analysis!$M1601)</f>
        <v>1</v>
      </c>
      <c r="Q1601" s="6" t="str">
        <f>IF(COUNTIF(Analysis!$M$2:$M$3001,Analysis!$M1601)&gt;1,"Duplicate","OK")</f>
        <v>OK</v>
      </c>
      <c r="R1601" s="6" t="str">
        <f t="shared" si="1"/>
        <v>1600-2600</v>
      </c>
      <c r="S1601" s="6">
        <f t="shared" si="2"/>
        <v>10</v>
      </c>
      <c r="T1601" s="6" t="str">
        <f t="shared" si="3"/>
        <v>New</v>
      </c>
    </row>
    <row r="1602" ht="14.25" customHeight="1">
      <c r="A1602" s="5">
        <v>865923.0</v>
      </c>
      <c r="B1602" s="6" t="s">
        <v>6445</v>
      </c>
      <c r="C1602" s="6" t="s">
        <v>76</v>
      </c>
      <c r="D1602" s="6">
        <v>81195.0</v>
      </c>
      <c r="E1602" s="6" t="s">
        <v>77</v>
      </c>
      <c r="F1602" s="6" t="s">
        <v>41</v>
      </c>
      <c r="G1602" s="6" t="s">
        <v>55</v>
      </c>
      <c r="H1602" s="7">
        <v>1797.0</v>
      </c>
      <c r="I1602" s="7">
        <v>9019.0</v>
      </c>
      <c r="J1602" s="6">
        <v>1964.0</v>
      </c>
      <c r="K1602" s="6">
        <v>116.0</v>
      </c>
      <c r="L1602" s="6" t="s">
        <v>95</v>
      </c>
      <c r="M1602" s="6" t="s">
        <v>6446</v>
      </c>
      <c r="N1602" s="6" t="s">
        <v>48</v>
      </c>
      <c r="O1602" s="6" t="s">
        <v>25</v>
      </c>
      <c r="P1602" s="6">
        <f>COUNTIF(Analysis!$M$1:$M$3001,Analysis!$M1602)</f>
        <v>1</v>
      </c>
      <c r="Q1602" s="6" t="str">
        <f>IF(COUNTIF(Analysis!$M$2:$M$3001,Analysis!$M1602)&gt;1,"Duplicate","OK")</f>
        <v>OK</v>
      </c>
      <c r="R1602" s="6" t="str">
        <f t="shared" si="1"/>
        <v>1600-2600</v>
      </c>
      <c r="S1602" s="6">
        <f t="shared" si="2"/>
        <v>62</v>
      </c>
      <c r="T1602" s="6" t="str">
        <f t="shared" si="3"/>
        <v>Very Old</v>
      </c>
    </row>
    <row r="1603" ht="14.25" customHeight="1">
      <c r="A1603" s="5">
        <v>556136.0</v>
      </c>
      <c r="B1603" s="6" t="s">
        <v>6449</v>
      </c>
      <c r="C1603" s="6" t="s">
        <v>39</v>
      </c>
      <c r="D1603" s="6">
        <v>18659.0</v>
      </c>
      <c r="E1603" s="6" t="s">
        <v>19</v>
      </c>
      <c r="F1603" s="6" t="s">
        <v>94</v>
      </c>
      <c r="G1603" s="6" t="s">
        <v>55</v>
      </c>
      <c r="H1603" s="7">
        <v>2050.0</v>
      </c>
      <c r="I1603" s="7">
        <v>5927.0</v>
      </c>
      <c r="J1603" s="6">
        <v>1965.0</v>
      </c>
      <c r="K1603" s="6">
        <v>3.0</v>
      </c>
      <c r="L1603" s="6" t="s">
        <v>141</v>
      </c>
      <c r="M1603" s="6" t="s">
        <v>6450</v>
      </c>
      <c r="N1603" s="6" t="s">
        <v>24</v>
      </c>
      <c r="O1603" s="6" t="s">
        <v>25</v>
      </c>
      <c r="P1603" s="6">
        <f>COUNTIF(Analysis!$M$1:$M$3001,Analysis!$M1603)</f>
        <v>1</v>
      </c>
      <c r="Q1603" s="6" t="str">
        <f>IF(COUNTIF(Analysis!$M$2:$M$3001,Analysis!$M1603)&gt;1,"Duplicate","OK")</f>
        <v>OK</v>
      </c>
      <c r="R1603" s="6" t="str">
        <f t="shared" si="1"/>
        <v>1600-2600</v>
      </c>
      <c r="S1603" s="6">
        <f t="shared" si="2"/>
        <v>61</v>
      </c>
      <c r="T1603" s="6" t="str">
        <f t="shared" si="3"/>
        <v>Very Old</v>
      </c>
    </row>
    <row r="1604" ht="14.25" customHeight="1">
      <c r="A1604" s="5">
        <v>857857.0</v>
      </c>
      <c r="B1604" s="6" t="s">
        <v>6553</v>
      </c>
      <c r="C1604" s="6" t="s">
        <v>29</v>
      </c>
      <c r="D1604" s="6">
        <v>96038.0</v>
      </c>
      <c r="E1604" s="6" t="s">
        <v>60</v>
      </c>
      <c r="F1604" s="6" t="s">
        <v>61</v>
      </c>
      <c r="G1604" s="6" t="s">
        <v>100</v>
      </c>
      <c r="H1604" s="7">
        <v>3126.0</v>
      </c>
      <c r="I1604" s="7">
        <v>2569.0</v>
      </c>
      <c r="J1604" s="6">
        <v>1965.0</v>
      </c>
      <c r="K1604" s="6">
        <v>116.0</v>
      </c>
      <c r="L1604" s="6" t="s">
        <v>22</v>
      </c>
      <c r="M1604" s="6" t="s">
        <v>6554</v>
      </c>
      <c r="N1604" s="6" t="s">
        <v>48</v>
      </c>
      <c r="O1604" s="6" t="s">
        <v>35</v>
      </c>
      <c r="P1604" s="6">
        <f>COUNTIF(Analysis!$M$1:$M$3001,Analysis!$M1629)</f>
        <v>1</v>
      </c>
      <c r="Q1604" s="6" t="str">
        <f>IF(COUNTIF(Analysis!$M$2:$M$3001,Analysis!$M1629)&gt;1,"Duplicate","OK")</f>
        <v>OK</v>
      </c>
      <c r="R1604" s="6" t="str">
        <f t="shared" si="1"/>
        <v>2600-3600</v>
      </c>
      <c r="S1604" s="6">
        <f t="shared" si="2"/>
        <v>61</v>
      </c>
      <c r="T1604" s="6" t="str">
        <f t="shared" si="3"/>
        <v>Very Old</v>
      </c>
    </row>
    <row r="1605" ht="14.25" customHeight="1">
      <c r="A1605" s="5">
        <v>329125.0</v>
      </c>
      <c r="B1605" s="6" t="s">
        <v>6457</v>
      </c>
      <c r="C1605" s="6" t="s">
        <v>18</v>
      </c>
      <c r="D1605" s="6">
        <v>81664.0</v>
      </c>
      <c r="E1605" s="6" t="s">
        <v>19</v>
      </c>
      <c r="F1605" s="6" t="s">
        <v>20</v>
      </c>
      <c r="G1605" s="6" t="s">
        <v>100</v>
      </c>
      <c r="H1605" s="7">
        <v>3571.0</v>
      </c>
      <c r="I1605" s="7">
        <v>2151.0</v>
      </c>
      <c r="J1605" s="6">
        <v>1958.0</v>
      </c>
      <c r="K1605" s="6">
        <v>26.0</v>
      </c>
      <c r="L1605" s="6" t="s">
        <v>22</v>
      </c>
      <c r="M1605" s="6" t="s">
        <v>6458</v>
      </c>
      <c r="N1605" s="6" t="s">
        <v>64</v>
      </c>
      <c r="O1605" s="6" t="s">
        <v>25</v>
      </c>
      <c r="P1605" s="6">
        <f>COUNTIF(Analysis!$M$1:$M$3001,Analysis!$M1605)</f>
        <v>1</v>
      </c>
      <c r="Q1605" s="6" t="str">
        <f>IF(COUNTIF(Analysis!$M$2:$M$3001,Analysis!$M1605)&gt;1,"Duplicate","OK")</f>
        <v>OK</v>
      </c>
      <c r="R1605" s="6" t="str">
        <f t="shared" si="1"/>
        <v>2600-3600</v>
      </c>
      <c r="S1605" s="6">
        <f t="shared" si="2"/>
        <v>68</v>
      </c>
      <c r="T1605" s="6" t="str">
        <f t="shared" si="3"/>
        <v>Very Old</v>
      </c>
    </row>
    <row r="1606" ht="14.25" customHeight="1">
      <c r="A1606" s="5">
        <v>858249.0</v>
      </c>
      <c r="B1606" s="6" t="s">
        <v>6349</v>
      </c>
      <c r="C1606" s="6" t="s">
        <v>29</v>
      </c>
      <c r="D1606" s="6">
        <v>27528.0</v>
      </c>
      <c r="E1606" s="6" t="s">
        <v>40</v>
      </c>
      <c r="F1606" s="6" t="s">
        <v>20</v>
      </c>
      <c r="G1606" s="6" t="s">
        <v>31</v>
      </c>
      <c r="H1606" s="7">
        <v>607.0</v>
      </c>
      <c r="I1606" s="7">
        <v>9634.0</v>
      </c>
      <c r="J1606" s="6">
        <v>2007.0</v>
      </c>
      <c r="K1606" s="6">
        <v>39.0</v>
      </c>
      <c r="L1606" s="6" t="s">
        <v>141</v>
      </c>
      <c r="M1606" s="6" t="s">
        <v>6350</v>
      </c>
      <c r="N1606" s="6" t="s">
        <v>24</v>
      </c>
      <c r="O1606" s="6" t="s">
        <v>49</v>
      </c>
      <c r="P1606" s="6">
        <f>COUNTIF(Analysis!$M$1:$M$3001,Analysis!$M1578)</f>
        <v>1</v>
      </c>
      <c r="Q1606" s="6" t="str">
        <f>IF(COUNTIF(Analysis!$M$2:$M$3001,Analysis!$M1578)&gt;1,"Duplicate","OK")</f>
        <v>OK</v>
      </c>
      <c r="R1606" s="6" t="str">
        <f t="shared" si="1"/>
        <v>600-1600</v>
      </c>
      <c r="S1606" s="6">
        <f t="shared" si="2"/>
        <v>19</v>
      </c>
      <c r="T1606" s="6" t="str">
        <f t="shared" si="3"/>
        <v>Mid</v>
      </c>
    </row>
    <row r="1607" ht="14.25" customHeight="1">
      <c r="A1607" s="5">
        <v>520617.0</v>
      </c>
      <c r="B1607" s="6" t="s">
        <v>6465</v>
      </c>
      <c r="C1607" s="6" t="s">
        <v>39</v>
      </c>
      <c r="D1607" s="6">
        <v>99469.0</v>
      </c>
      <c r="E1607" s="6" t="s">
        <v>60</v>
      </c>
      <c r="F1607" s="6" t="s">
        <v>94</v>
      </c>
      <c r="G1607" s="6" t="s">
        <v>21</v>
      </c>
      <c r="H1607" s="7">
        <v>1525.0</v>
      </c>
      <c r="I1607" s="7">
        <v>6307.0</v>
      </c>
      <c r="J1607" s="6">
        <v>1980.0</v>
      </c>
      <c r="K1607" s="6">
        <v>64.0</v>
      </c>
      <c r="L1607" s="6" t="s">
        <v>95</v>
      </c>
      <c r="M1607" s="6" t="s">
        <v>6466</v>
      </c>
      <c r="N1607" s="6" t="s">
        <v>48</v>
      </c>
      <c r="O1607" s="6" t="s">
        <v>49</v>
      </c>
      <c r="P1607" s="6">
        <f>COUNTIF(Analysis!$M$1:$M$3001,Analysis!$M1607)</f>
        <v>1</v>
      </c>
      <c r="Q1607" s="6" t="str">
        <f>IF(COUNTIF(Analysis!$M$2:$M$3001,Analysis!$M1607)&gt;1,"Duplicate","OK")</f>
        <v>OK</v>
      </c>
      <c r="R1607" s="6" t="str">
        <f t="shared" si="1"/>
        <v>600-1600</v>
      </c>
      <c r="S1607" s="6">
        <f t="shared" si="2"/>
        <v>46</v>
      </c>
      <c r="T1607" s="6" t="str">
        <f t="shared" si="3"/>
        <v>Old</v>
      </c>
    </row>
    <row r="1608" ht="14.25" customHeight="1">
      <c r="A1608" s="5">
        <v>858649.0</v>
      </c>
      <c r="B1608" s="6" t="s">
        <v>11962</v>
      </c>
      <c r="C1608" s="6" t="s">
        <v>29</v>
      </c>
      <c r="D1608" s="6">
        <v>88090.0</v>
      </c>
      <c r="E1608" s="6" t="s">
        <v>19</v>
      </c>
      <c r="F1608" s="6" t="s">
        <v>46</v>
      </c>
      <c r="G1608" s="6" t="s">
        <v>21</v>
      </c>
      <c r="H1608" s="7">
        <v>3915.0</v>
      </c>
      <c r="I1608" s="7">
        <v>1747.0</v>
      </c>
      <c r="J1608" s="6">
        <v>1982.0</v>
      </c>
      <c r="K1608" s="6">
        <v>20.0</v>
      </c>
      <c r="L1608" s="6" t="s">
        <v>141</v>
      </c>
      <c r="M1608" s="6" t="s">
        <v>11963</v>
      </c>
      <c r="N1608" s="6" t="s">
        <v>24</v>
      </c>
      <c r="O1608" s="6" t="s">
        <v>49</v>
      </c>
      <c r="P1608" s="6">
        <f>COUNTIF(Analysis!$M$1:$M$3001,Analysis!$M2982)</f>
        <v>1</v>
      </c>
      <c r="Q1608" s="6" t="str">
        <f>IF(COUNTIF(Analysis!$M$2:$M$3001,Analysis!$M2982)&gt;1,"Duplicate","OK")</f>
        <v>OK</v>
      </c>
      <c r="R1608" s="6" t="str">
        <f t="shared" si="1"/>
        <v>3600+</v>
      </c>
      <c r="S1608" s="6">
        <f t="shared" si="2"/>
        <v>44</v>
      </c>
      <c r="T1608" s="6" t="str">
        <f t="shared" si="3"/>
        <v>Old</v>
      </c>
    </row>
    <row r="1609" ht="14.25" customHeight="1">
      <c r="A1609" s="5">
        <v>1417093.0</v>
      </c>
      <c r="B1609" s="6" t="s">
        <v>6473</v>
      </c>
      <c r="C1609" s="6" t="s">
        <v>76</v>
      </c>
      <c r="D1609" s="6">
        <v>89613.0</v>
      </c>
      <c r="E1609" s="6" t="s">
        <v>30</v>
      </c>
      <c r="F1609" s="6" t="s">
        <v>94</v>
      </c>
      <c r="G1609" s="6" t="s">
        <v>21</v>
      </c>
      <c r="H1609" s="7">
        <v>1675.0</v>
      </c>
      <c r="I1609" s="7">
        <v>5038.0</v>
      </c>
      <c r="J1609" s="6">
        <v>1983.0</v>
      </c>
      <c r="K1609" s="6">
        <v>2.0</v>
      </c>
      <c r="L1609" s="6" t="s">
        <v>141</v>
      </c>
      <c r="M1609" s="6" t="s">
        <v>6474</v>
      </c>
      <c r="N1609" s="6" t="s">
        <v>24</v>
      </c>
      <c r="O1609" s="6" t="s">
        <v>35</v>
      </c>
      <c r="P1609" s="6">
        <f>COUNTIF(Analysis!$M$1:$M$3001,Analysis!$M1609)</f>
        <v>1</v>
      </c>
      <c r="Q1609" s="6" t="str">
        <f>IF(COUNTIF(Analysis!$M$2:$M$3001,Analysis!$M1609)&gt;1,"Duplicate","OK")</f>
        <v>OK</v>
      </c>
      <c r="R1609" s="6" t="str">
        <f t="shared" si="1"/>
        <v>1600-2600</v>
      </c>
      <c r="S1609" s="6">
        <f t="shared" si="2"/>
        <v>43</v>
      </c>
      <c r="T1609" s="6" t="str">
        <f t="shared" si="3"/>
        <v>Old</v>
      </c>
    </row>
    <row r="1610" ht="14.25" customHeight="1">
      <c r="A1610" s="5">
        <v>483245.0</v>
      </c>
      <c r="B1610" s="6" t="s">
        <v>6477</v>
      </c>
      <c r="C1610" s="6" t="s">
        <v>76</v>
      </c>
      <c r="D1610" s="6">
        <v>47999.0</v>
      </c>
      <c r="E1610" s="6" t="s">
        <v>60</v>
      </c>
      <c r="F1610" s="6" t="s">
        <v>94</v>
      </c>
      <c r="G1610" s="6" t="s">
        <v>55</v>
      </c>
      <c r="H1610" s="7">
        <v>1687.0</v>
      </c>
      <c r="I1610" s="7">
        <v>1953.0</v>
      </c>
      <c r="J1610" s="6">
        <v>1998.0</v>
      </c>
      <c r="K1610" s="6">
        <v>114.0</v>
      </c>
      <c r="L1610" s="6" t="s">
        <v>95</v>
      </c>
      <c r="M1610" s="6" t="s">
        <v>6478</v>
      </c>
      <c r="N1610" s="6" t="s">
        <v>24</v>
      </c>
      <c r="O1610" s="6" t="s">
        <v>25</v>
      </c>
      <c r="P1610" s="6">
        <f>COUNTIF(Analysis!$M$1:$M$3001,Analysis!$M1610)</f>
        <v>1</v>
      </c>
      <c r="Q1610" s="6" t="str">
        <f>IF(COUNTIF(Analysis!$M$2:$M$3001,Analysis!$M1610)&gt;1,"Duplicate","OK")</f>
        <v>OK</v>
      </c>
      <c r="R1610" s="6" t="str">
        <f t="shared" si="1"/>
        <v>1600-2600</v>
      </c>
      <c r="S1610" s="6">
        <f t="shared" si="2"/>
        <v>28</v>
      </c>
      <c r="T1610" s="6" t="str">
        <f t="shared" si="3"/>
        <v>Mid</v>
      </c>
    </row>
    <row r="1611" ht="14.25" customHeight="1">
      <c r="A1611" s="5">
        <v>431030.0</v>
      </c>
      <c r="B1611" s="6" t="s">
        <v>6481</v>
      </c>
      <c r="C1611" s="6" t="s">
        <v>53</v>
      </c>
      <c r="D1611" s="6">
        <v>84052.0</v>
      </c>
      <c r="E1611" s="6" t="s">
        <v>60</v>
      </c>
      <c r="F1611" s="6" t="s">
        <v>46</v>
      </c>
      <c r="G1611" s="6" t="s">
        <v>55</v>
      </c>
      <c r="H1611" s="7">
        <v>2948.0</v>
      </c>
      <c r="I1611" s="7">
        <v>2138.0</v>
      </c>
      <c r="J1611" s="6">
        <v>1992.0</v>
      </c>
      <c r="K1611" s="6">
        <v>6.0</v>
      </c>
      <c r="L1611" s="6" t="s">
        <v>62</v>
      </c>
      <c r="M1611" s="6" t="s">
        <v>6482</v>
      </c>
      <c r="N1611" s="6" t="s">
        <v>64</v>
      </c>
      <c r="O1611" s="6" t="s">
        <v>25</v>
      </c>
      <c r="P1611" s="6">
        <f>COUNTIF(Analysis!$M$1:$M$3001,Analysis!$M1611)</f>
        <v>1</v>
      </c>
      <c r="Q1611" s="6" t="str">
        <f>IF(COUNTIF(Analysis!$M$2:$M$3001,Analysis!$M1611)&gt;1,"Duplicate","OK")</f>
        <v>OK</v>
      </c>
      <c r="R1611" s="6" t="str">
        <f t="shared" si="1"/>
        <v>2600-3600</v>
      </c>
      <c r="S1611" s="6">
        <f t="shared" si="2"/>
        <v>34</v>
      </c>
      <c r="T1611" s="6" t="str">
        <f t="shared" si="3"/>
        <v>Old</v>
      </c>
    </row>
    <row r="1612" ht="14.25" customHeight="1">
      <c r="A1612" s="5">
        <v>769259.0</v>
      </c>
      <c r="B1612" s="6" t="s">
        <v>6485</v>
      </c>
      <c r="C1612" s="6" t="s">
        <v>76</v>
      </c>
      <c r="D1612" s="6">
        <v>67894.0</v>
      </c>
      <c r="E1612" s="6" t="s">
        <v>19</v>
      </c>
      <c r="F1612" s="6" t="s">
        <v>20</v>
      </c>
      <c r="G1612" s="6" t="s">
        <v>100</v>
      </c>
      <c r="H1612" s="7">
        <v>975.0</v>
      </c>
      <c r="I1612" s="7">
        <v>9552.0</v>
      </c>
      <c r="J1612" s="6">
        <v>1992.0</v>
      </c>
      <c r="K1612" s="6">
        <v>57.0</v>
      </c>
      <c r="L1612" s="6" t="s">
        <v>141</v>
      </c>
      <c r="M1612" s="6" t="s">
        <v>6486</v>
      </c>
      <c r="N1612" s="6" t="s">
        <v>24</v>
      </c>
      <c r="O1612" s="6" t="s">
        <v>49</v>
      </c>
      <c r="P1612" s="6">
        <f>COUNTIF(Analysis!$M$1:$M$3001,Analysis!$M1612)</f>
        <v>1</v>
      </c>
      <c r="Q1612" s="6" t="str">
        <f>IF(COUNTIF(Analysis!$M$2:$M$3001,Analysis!$M1612)&gt;1,"Duplicate","OK")</f>
        <v>OK</v>
      </c>
      <c r="R1612" s="6" t="str">
        <f t="shared" si="1"/>
        <v>600-1600</v>
      </c>
      <c r="S1612" s="6">
        <f t="shared" si="2"/>
        <v>34</v>
      </c>
      <c r="T1612" s="6" t="str">
        <f t="shared" si="3"/>
        <v>Old</v>
      </c>
    </row>
    <row r="1613" ht="14.25" customHeight="1">
      <c r="A1613" s="5">
        <v>508789.0</v>
      </c>
      <c r="B1613" s="6" t="s">
        <v>6489</v>
      </c>
      <c r="C1613" s="6" t="s">
        <v>76</v>
      </c>
      <c r="D1613" s="6">
        <v>78665.0</v>
      </c>
      <c r="E1613" s="6" t="s">
        <v>40</v>
      </c>
      <c r="F1613" s="6" t="s">
        <v>94</v>
      </c>
      <c r="G1613" s="6" t="s">
        <v>55</v>
      </c>
      <c r="H1613" s="7">
        <v>886.0</v>
      </c>
      <c r="I1613" s="7">
        <v>2488.0</v>
      </c>
      <c r="J1613" s="6">
        <v>1974.0</v>
      </c>
      <c r="K1613" s="6">
        <v>78.0</v>
      </c>
      <c r="L1613" s="6" t="s">
        <v>32</v>
      </c>
      <c r="M1613" s="6" t="s">
        <v>6490</v>
      </c>
      <c r="N1613" s="6" t="s">
        <v>64</v>
      </c>
      <c r="O1613" s="6" t="s">
        <v>49</v>
      </c>
      <c r="P1613" s="6">
        <f>COUNTIF(Analysis!$M$1:$M$3001,Analysis!$M1613)</f>
        <v>1</v>
      </c>
      <c r="Q1613" s="6" t="str">
        <f>IF(COUNTIF(Analysis!$M$2:$M$3001,Analysis!$M1613)&gt;1,"Duplicate","OK")</f>
        <v>OK</v>
      </c>
      <c r="R1613" s="6" t="str">
        <f t="shared" si="1"/>
        <v>600-1600</v>
      </c>
      <c r="S1613" s="6">
        <f t="shared" si="2"/>
        <v>52</v>
      </c>
      <c r="T1613" s="6" t="str">
        <f t="shared" si="3"/>
        <v>Old</v>
      </c>
    </row>
    <row r="1614" ht="14.25" customHeight="1">
      <c r="A1614" s="5">
        <v>593887.0</v>
      </c>
      <c r="B1614" s="6" t="s">
        <v>6493</v>
      </c>
      <c r="C1614" s="6" t="s">
        <v>53</v>
      </c>
      <c r="D1614" s="6">
        <v>18513.0</v>
      </c>
      <c r="E1614" s="6" t="s">
        <v>40</v>
      </c>
      <c r="F1614" s="6" t="s">
        <v>54</v>
      </c>
      <c r="G1614" s="6" t="s">
        <v>55</v>
      </c>
      <c r="H1614" s="7">
        <v>3468.0</v>
      </c>
      <c r="I1614" s="7">
        <v>4987.0</v>
      </c>
      <c r="J1614" s="6">
        <v>1989.0</v>
      </c>
      <c r="K1614" s="6">
        <v>118.0</v>
      </c>
      <c r="L1614" s="6" t="s">
        <v>32</v>
      </c>
      <c r="M1614" s="6" t="s">
        <v>6494</v>
      </c>
      <c r="N1614" s="6" t="s">
        <v>24</v>
      </c>
      <c r="O1614" s="6" t="s">
        <v>35</v>
      </c>
      <c r="P1614" s="6">
        <f>COUNTIF(Analysis!$M$1:$M$3001,Analysis!$M1614)</f>
        <v>1</v>
      </c>
      <c r="Q1614" s="6" t="str">
        <f>IF(COUNTIF(Analysis!$M$2:$M$3001,Analysis!$M1614)&gt;1,"Duplicate","OK")</f>
        <v>OK</v>
      </c>
      <c r="R1614" s="6" t="str">
        <f t="shared" si="1"/>
        <v>2600-3600</v>
      </c>
      <c r="S1614" s="6">
        <f t="shared" si="2"/>
        <v>37</v>
      </c>
      <c r="T1614" s="6" t="str">
        <f t="shared" si="3"/>
        <v>Old</v>
      </c>
    </row>
    <row r="1615" ht="14.25" customHeight="1">
      <c r="A1615" s="5">
        <v>497316.0</v>
      </c>
      <c r="B1615" s="6" t="s">
        <v>6497</v>
      </c>
      <c r="C1615" s="6" t="s">
        <v>76</v>
      </c>
      <c r="D1615" s="6">
        <v>23237.0</v>
      </c>
      <c r="E1615" s="6" t="s">
        <v>77</v>
      </c>
      <c r="F1615" s="6" t="s">
        <v>20</v>
      </c>
      <c r="G1615" s="6" t="s">
        <v>31</v>
      </c>
      <c r="H1615" s="7">
        <v>3511.0</v>
      </c>
      <c r="I1615" s="7">
        <v>2623.0</v>
      </c>
      <c r="J1615" s="6">
        <v>2023.0</v>
      </c>
      <c r="K1615" s="6">
        <v>21.0</v>
      </c>
      <c r="L1615" s="6" t="s">
        <v>141</v>
      </c>
      <c r="M1615" s="6" t="s">
        <v>6498</v>
      </c>
      <c r="N1615" s="6" t="s">
        <v>34</v>
      </c>
      <c r="O1615" s="6" t="s">
        <v>25</v>
      </c>
      <c r="P1615" s="6">
        <f>COUNTIF(Analysis!$M$1:$M$3001,Analysis!$M1615)</f>
        <v>1</v>
      </c>
      <c r="Q1615" s="6" t="str">
        <f>IF(COUNTIF(Analysis!$M$2:$M$3001,Analysis!$M1615)&gt;1,"Duplicate","OK")</f>
        <v>OK</v>
      </c>
      <c r="R1615" s="6" t="str">
        <f t="shared" si="1"/>
        <v>2600-3600</v>
      </c>
      <c r="S1615" s="6">
        <f t="shared" si="2"/>
        <v>3</v>
      </c>
      <c r="T1615" s="6" t="str">
        <f t="shared" si="3"/>
        <v>New</v>
      </c>
    </row>
    <row r="1616" ht="14.25" customHeight="1">
      <c r="A1616" s="5">
        <v>1215321.0</v>
      </c>
      <c r="B1616" s="6" t="s">
        <v>6501</v>
      </c>
      <c r="C1616" s="6" t="s">
        <v>76</v>
      </c>
      <c r="D1616" s="6">
        <v>44651.0</v>
      </c>
      <c r="E1616" s="6" t="s">
        <v>19</v>
      </c>
      <c r="F1616" s="6" t="s">
        <v>20</v>
      </c>
      <c r="G1616" s="6" t="s">
        <v>100</v>
      </c>
      <c r="H1616" s="7">
        <v>1345.0</v>
      </c>
      <c r="I1616" s="7">
        <v>5463.0</v>
      </c>
      <c r="J1616" s="6">
        <v>1962.0</v>
      </c>
      <c r="K1616" s="6">
        <v>63.0</v>
      </c>
      <c r="L1616" s="6" t="s">
        <v>62</v>
      </c>
      <c r="M1616" s="6" t="s">
        <v>6502</v>
      </c>
      <c r="N1616" s="6" t="s">
        <v>24</v>
      </c>
      <c r="O1616" s="6" t="s">
        <v>35</v>
      </c>
      <c r="P1616" s="6">
        <f>COUNTIF(Analysis!$M$1:$M$3001,Analysis!$M1616)</f>
        <v>1</v>
      </c>
      <c r="Q1616" s="6" t="str">
        <f>IF(COUNTIF(Analysis!$M$2:$M$3001,Analysis!$M1616)&gt;1,"Duplicate","OK")</f>
        <v>OK</v>
      </c>
      <c r="R1616" s="6" t="str">
        <f t="shared" si="1"/>
        <v>600-1600</v>
      </c>
      <c r="S1616" s="6">
        <f t="shared" si="2"/>
        <v>64</v>
      </c>
      <c r="T1616" s="6" t="str">
        <f t="shared" si="3"/>
        <v>Very Old</v>
      </c>
    </row>
    <row r="1617" ht="14.25" customHeight="1">
      <c r="A1617" s="5">
        <v>1492700.0</v>
      </c>
      <c r="B1617" s="6" t="s">
        <v>6505</v>
      </c>
      <c r="C1617" s="6" t="s">
        <v>39</v>
      </c>
      <c r="D1617" s="6">
        <v>70082.0</v>
      </c>
      <c r="E1617" s="6" t="s">
        <v>19</v>
      </c>
      <c r="F1617" s="6" t="s">
        <v>61</v>
      </c>
      <c r="G1617" s="6" t="s">
        <v>21</v>
      </c>
      <c r="H1617" s="7">
        <v>2371.0</v>
      </c>
      <c r="I1617" s="7">
        <v>4426.0</v>
      </c>
      <c r="J1617" s="6">
        <v>1963.0</v>
      </c>
      <c r="K1617" s="6">
        <v>29.0</v>
      </c>
      <c r="L1617" s="6" t="s">
        <v>62</v>
      </c>
      <c r="M1617" s="6" t="s">
        <v>6506</v>
      </c>
      <c r="N1617" s="6" t="s">
        <v>24</v>
      </c>
      <c r="O1617" s="6" t="s">
        <v>35</v>
      </c>
      <c r="P1617" s="6">
        <f>COUNTIF(Analysis!$M$1:$M$3001,Analysis!$M1617)</f>
        <v>1</v>
      </c>
      <c r="Q1617" s="6" t="str">
        <f>IF(COUNTIF(Analysis!$M$2:$M$3001,Analysis!$M1617)&gt;1,"Duplicate","OK")</f>
        <v>OK</v>
      </c>
      <c r="R1617" s="6" t="str">
        <f t="shared" si="1"/>
        <v>1600-2600</v>
      </c>
      <c r="S1617" s="6">
        <f t="shared" si="2"/>
        <v>63</v>
      </c>
      <c r="T1617" s="6" t="str">
        <f t="shared" si="3"/>
        <v>Very Old</v>
      </c>
    </row>
    <row r="1618" ht="14.25" customHeight="1">
      <c r="A1618" s="5">
        <v>110859.0</v>
      </c>
      <c r="B1618" s="6" t="s">
        <v>6509</v>
      </c>
      <c r="C1618" s="6" t="s">
        <v>76</v>
      </c>
      <c r="D1618" s="6">
        <v>35912.0</v>
      </c>
      <c r="E1618" s="6" t="s">
        <v>40</v>
      </c>
      <c r="F1618" s="6" t="s">
        <v>94</v>
      </c>
      <c r="G1618" s="6" t="s">
        <v>21</v>
      </c>
      <c r="H1618" s="7">
        <v>3652.0</v>
      </c>
      <c r="I1618" s="7">
        <v>7553.0</v>
      </c>
      <c r="J1618" s="6">
        <v>1953.0</v>
      </c>
      <c r="K1618" s="6">
        <v>32.0</v>
      </c>
      <c r="L1618" s="6" t="s">
        <v>32</v>
      </c>
      <c r="M1618" s="6" t="s">
        <v>6510</v>
      </c>
      <c r="N1618" s="6" t="s">
        <v>64</v>
      </c>
      <c r="O1618" s="6" t="s">
        <v>49</v>
      </c>
      <c r="P1618" s="6">
        <f>COUNTIF(Analysis!$M$1:$M$3001,Analysis!$M1618)</f>
        <v>1</v>
      </c>
      <c r="Q1618" s="6" t="str">
        <f>IF(COUNTIF(Analysis!$M$2:$M$3001,Analysis!$M1618)&gt;1,"Duplicate","OK")</f>
        <v>OK</v>
      </c>
      <c r="R1618" s="6" t="str">
        <f t="shared" si="1"/>
        <v>3600+</v>
      </c>
      <c r="S1618" s="6">
        <f t="shared" si="2"/>
        <v>73</v>
      </c>
      <c r="T1618" s="6" t="str">
        <f t="shared" si="3"/>
        <v>Very Old</v>
      </c>
    </row>
    <row r="1619" ht="14.25" customHeight="1">
      <c r="A1619" s="5">
        <v>1410792.0</v>
      </c>
      <c r="B1619" s="6" t="s">
        <v>6513</v>
      </c>
      <c r="C1619" s="6" t="s">
        <v>39</v>
      </c>
      <c r="D1619" s="6">
        <v>20444.0</v>
      </c>
      <c r="E1619" s="6" t="s">
        <v>40</v>
      </c>
      <c r="F1619" s="6" t="s">
        <v>20</v>
      </c>
      <c r="G1619" s="6" t="s">
        <v>21</v>
      </c>
      <c r="H1619" s="7">
        <v>2449.0</v>
      </c>
      <c r="I1619" s="7">
        <v>5802.0</v>
      </c>
      <c r="J1619" s="6">
        <v>2005.0</v>
      </c>
      <c r="K1619" s="6">
        <v>85.0</v>
      </c>
      <c r="L1619" s="6" t="s">
        <v>32</v>
      </c>
      <c r="M1619" s="6" t="s">
        <v>6514</v>
      </c>
      <c r="N1619" s="6" t="s">
        <v>24</v>
      </c>
      <c r="O1619" s="6" t="s">
        <v>49</v>
      </c>
      <c r="P1619" s="6">
        <f>COUNTIF(Analysis!$M$1:$M$3001,Analysis!$M1619)</f>
        <v>1</v>
      </c>
      <c r="Q1619" s="6" t="str">
        <f>IF(COUNTIF(Analysis!$M$2:$M$3001,Analysis!$M1619)&gt;1,"Duplicate","OK")</f>
        <v>OK</v>
      </c>
      <c r="R1619" s="6" t="str">
        <f t="shared" si="1"/>
        <v>1600-2600</v>
      </c>
      <c r="S1619" s="6">
        <f t="shared" si="2"/>
        <v>21</v>
      </c>
      <c r="T1619" s="6" t="str">
        <f t="shared" si="3"/>
        <v>Mid</v>
      </c>
    </row>
    <row r="1620" ht="14.25" customHeight="1">
      <c r="A1620" s="5">
        <v>1362844.0</v>
      </c>
      <c r="B1620" s="6" t="s">
        <v>6517</v>
      </c>
      <c r="C1620" s="6" t="s">
        <v>76</v>
      </c>
      <c r="D1620" s="6">
        <v>28838.0</v>
      </c>
      <c r="E1620" s="6" t="s">
        <v>30</v>
      </c>
      <c r="F1620" s="6" t="s">
        <v>94</v>
      </c>
      <c r="G1620" s="6" t="s">
        <v>100</v>
      </c>
      <c r="H1620" s="7">
        <v>1645.0</v>
      </c>
      <c r="I1620" s="7">
        <v>7159.0</v>
      </c>
      <c r="J1620" s="6">
        <v>2014.0</v>
      </c>
      <c r="K1620" s="6">
        <v>7.0</v>
      </c>
      <c r="L1620" s="6" t="s">
        <v>32</v>
      </c>
      <c r="M1620" s="6" t="s">
        <v>6518</v>
      </c>
      <c r="N1620" s="6" t="s">
        <v>48</v>
      </c>
      <c r="O1620" s="6" t="s">
        <v>25</v>
      </c>
      <c r="P1620" s="6">
        <f>COUNTIF(Analysis!$M$1:$M$3001,Analysis!$M1620)</f>
        <v>1</v>
      </c>
      <c r="Q1620" s="6" t="str">
        <f>IF(COUNTIF(Analysis!$M$2:$M$3001,Analysis!$M1620)&gt;1,"Duplicate","OK")</f>
        <v>OK</v>
      </c>
      <c r="R1620" s="6" t="str">
        <f t="shared" si="1"/>
        <v>1600-2600</v>
      </c>
      <c r="S1620" s="6">
        <f t="shared" si="2"/>
        <v>12</v>
      </c>
      <c r="T1620" s="6" t="str">
        <f t="shared" si="3"/>
        <v>Mid</v>
      </c>
    </row>
    <row r="1621" ht="14.25" customHeight="1">
      <c r="A1621" s="5">
        <v>680842.0</v>
      </c>
      <c r="B1621" s="6" t="s">
        <v>6521</v>
      </c>
      <c r="C1621" s="6" t="s">
        <v>18</v>
      </c>
      <c r="D1621" s="6">
        <v>40598.0</v>
      </c>
      <c r="E1621" s="6" t="s">
        <v>60</v>
      </c>
      <c r="F1621" s="6" t="s">
        <v>54</v>
      </c>
      <c r="G1621" s="6" t="s">
        <v>31</v>
      </c>
      <c r="H1621" s="7">
        <v>1680.0</v>
      </c>
      <c r="I1621" s="7">
        <v>5624.0</v>
      </c>
      <c r="J1621" s="6">
        <v>2006.0</v>
      </c>
      <c r="K1621" s="6">
        <v>76.0</v>
      </c>
      <c r="L1621" s="6" t="s">
        <v>141</v>
      </c>
      <c r="M1621" s="6" t="s">
        <v>6522</v>
      </c>
      <c r="N1621" s="6" t="s">
        <v>43</v>
      </c>
      <c r="O1621" s="6" t="s">
        <v>25</v>
      </c>
      <c r="P1621" s="6">
        <f>COUNTIF(Analysis!$M$1:$M$3001,Analysis!$M1621)</f>
        <v>1</v>
      </c>
      <c r="Q1621" s="6" t="str">
        <f>IF(COUNTIF(Analysis!$M$2:$M$3001,Analysis!$M1621)&gt;1,"Duplicate","OK")</f>
        <v>OK</v>
      </c>
      <c r="R1621" s="6" t="str">
        <f t="shared" si="1"/>
        <v>1600-2600</v>
      </c>
      <c r="S1621" s="6">
        <f t="shared" si="2"/>
        <v>20</v>
      </c>
      <c r="T1621" s="6" t="str">
        <f t="shared" si="3"/>
        <v>Mid</v>
      </c>
    </row>
    <row r="1622" ht="14.25" customHeight="1">
      <c r="A1622" s="5">
        <v>1476212.0</v>
      </c>
      <c r="B1622" s="6" t="s">
        <v>6525</v>
      </c>
      <c r="C1622" s="6" t="s">
        <v>53</v>
      </c>
      <c r="D1622" s="6">
        <v>36915.0</v>
      </c>
      <c r="E1622" s="6" t="s">
        <v>19</v>
      </c>
      <c r="F1622" s="6" t="s">
        <v>46</v>
      </c>
      <c r="G1622" s="6" t="s">
        <v>21</v>
      </c>
      <c r="H1622" s="7">
        <v>1476.0</v>
      </c>
      <c r="I1622" s="7">
        <v>1486.0</v>
      </c>
      <c r="J1622" s="6">
        <v>1979.0</v>
      </c>
      <c r="K1622" s="6">
        <v>71.0</v>
      </c>
      <c r="L1622" s="6" t="s">
        <v>95</v>
      </c>
      <c r="M1622" s="6" t="s">
        <v>6526</v>
      </c>
      <c r="N1622" s="6" t="s">
        <v>24</v>
      </c>
      <c r="O1622" s="6" t="s">
        <v>35</v>
      </c>
      <c r="P1622" s="6">
        <f>COUNTIF(Analysis!$M$1:$M$3001,Analysis!$M1622)</f>
        <v>1</v>
      </c>
      <c r="Q1622" s="6" t="str">
        <f>IF(COUNTIF(Analysis!$M$2:$M$3001,Analysis!$M1622)&gt;1,"Duplicate","OK")</f>
        <v>OK</v>
      </c>
      <c r="R1622" s="6" t="str">
        <f t="shared" si="1"/>
        <v>600-1600</v>
      </c>
      <c r="S1622" s="6">
        <f t="shared" si="2"/>
        <v>47</v>
      </c>
      <c r="T1622" s="6" t="str">
        <f t="shared" si="3"/>
        <v>Old</v>
      </c>
    </row>
    <row r="1623" ht="14.25" customHeight="1">
      <c r="A1623" s="5">
        <v>1329052.0</v>
      </c>
      <c r="B1623" s="6" t="s">
        <v>6529</v>
      </c>
      <c r="C1623" s="6" t="s">
        <v>18</v>
      </c>
      <c r="D1623" s="6">
        <v>84590.0</v>
      </c>
      <c r="E1623" s="6" t="s">
        <v>30</v>
      </c>
      <c r="F1623" s="6" t="s">
        <v>41</v>
      </c>
      <c r="G1623" s="6" t="s">
        <v>55</v>
      </c>
      <c r="H1623" s="7">
        <v>723.0</v>
      </c>
      <c r="I1623" s="7">
        <v>2244.0</v>
      </c>
      <c r="J1623" s="6">
        <v>1977.0</v>
      </c>
      <c r="K1623" s="6">
        <v>5.0</v>
      </c>
      <c r="L1623" s="6" t="s">
        <v>32</v>
      </c>
      <c r="M1623" s="6" t="s">
        <v>6530</v>
      </c>
      <c r="N1623" s="6" t="s">
        <v>43</v>
      </c>
      <c r="O1623" s="6" t="s">
        <v>25</v>
      </c>
      <c r="P1623" s="6">
        <f>COUNTIF(Analysis!$M$1:$M$3001,Analysis!$M1623)</f>
        <v>1</v>
      </c>
      <c r="Q1623" s="6" t="str">
        <f>IF(COUNTIF(Analysis!$M$2:$M$3001,Analysis!$M1623)&gt;1,"Duplicate","OK")</f>
        <v>OK</v>
      </c>
      <c r="R1623" s="6" t="str">
        <f t="shared" si="1"/>
        <v>600-1600</v>
      </c>
      <c r="S1623" s="6">
        <f t="shared" si="2"/>
        <v>49</v>
      </c>
      <c r="T1623" s="6" t="str">
        <f t="shared" si="3"/>
        <v>Old</v>
      </c>
    </row>
    <row r="1624" ht="14.25" customHeight="1">
      <c r="A1624" s="5">
        <v>1148383.0</v>
      </c>
      <c r="B1624" s="6" t="s">
        <v>6533</v>
      </c>
      <c r="C1624" s="6" t="s">
        <v>76</v>
      </c>
      <c r="D1624" s="6">
        <v>51813.0</v>
      </c>
      <c r="E1624" s="6" t="s">
        <v>40</v>
      </c>
      <c r="F1624" s="6" t="s">
        <v>54</v>
      </c>
      <c r="G1624" s="6" t="s">
        <v>31</v>
      </c>
      <c r="H1624" s="7">
        <v>3437.0</v>
      </c>
      <c r="I1624" s="7">
        <v>3735.0</v>
      </c>
      <c r="J1624" s="6">
        <v>1957.0</v>
      </c>
      <c r="K1624" s="6">
        <v>70.0</v>
      </c>
      <c r="L1624" s="6" t="s">
        <v>22</v>
      </c>
      <c r="M1624" s="6" t="s">
        <v>6534</v>
      </c>
      <c r="N1624" s="6" t="s">
        <v>64</v>
      </c>
      <c r="O1624" s="6" t="s">
        <v>49</v>
      </c>
      <c r="P1624" s="6">
        <f>COUNTIF(Analysis!$M$1:$M$3001,Analysis!$M1624)</f>
        <v>1</v>
      </c>
      <c r="Q1624" s="6" t="str">
        <f>IF(COUNTIF(Analysis!$M$2:$M$3001,Analysis!$M1624)&gt;1,"Duplicate","OK")</f>
        <v>OK</v>
      </c>
      <c r="R1624" s="6" t="str">
        <f t="shared" si="1"/>
        <v>2600-3600</v>
      </c>
      <c r="S1624" s="6">
        <f t="shared" si="2"/>
        <v>69</v>
      </c>
      <c r="T1624" s="6" t="str">
        <f t="shared" si="3"/>
        <v>Very Old</v>
      </c>
    </row>
    <row r="1625" ht="14.25" customHeight="1">
      <c r="A1625" s="5">
        <v>140103.0</v>
      </c>
      <c r="B1625" s="6" t="s">
        <v>6537</v>
      </c>
      <c r="C1625" s="6" t="s">
        <v>53</v>
      </c>
      <c r="D1625" s="6">
        <v>49902.0</v>
      </c>
      <c r="E1625" s="6" t="s">
        <v>19</v>
      </c>
      <c r="F1625" s="6" t="s">
        <v>54</v>
      </c>
      <c r="G1625" s="6" t="s">
        <v>55</v>
      </c>
      <c r="H1625" s="7">
        <v>1754.0</v>
      </c>
      <c r="I1625" s="7">
        <v>7511.0</v>
      </c>
      <c r="J1625" s="6">
        <v>1999.0</v>
      </c>
      <c r="K1625" s="6">
        <v>26.0</v>
      </c>
      <c r="L1625" s="6" t="s">
        <v>95</v>
      </c>
      <c r="M1625" s="6" t="s">
        <v>6538</v>
      </c>
      <c r="N1625" s="6" t="s">
        <v>24</v>
      </c>
      <c r="O1625" s="6" t="s">
        <v>49</v>
      </c>
      <c r="P1625" s="6">
        <f>COUNTIF(Analysis!$M$1:$M$3001,Analysis!$M1625)</f>
        <v>1</v>
      </c>
      <c r="Q1625" s="6" t="str">
        <f>IF(COUNTIF(Analysis!$M$2:$M$3001,Analysis!$M1625)&gt;1,"Duplicate","OK")</f>
        <v>OK</v>
      </c>
      <c r="R1625" s="6" t="str">
        <f t="shared" si="1"/>
        <v>1600-2600</v>
      </c>
      <c r="S1625" s="6">
        <f t="shared" si="2"/>
        <v>27</v>
      </c>
      <c r="T1625" s="6" t="str">
        <f t="shared" si="3"/>
        <v>Mid</v>
      </c>
    </row>
    <row r="1626" ht="14.25" customHeight="1">
      <c r="A1626" s="5">
        <v>981879.0</v>
      </c>
      <c r="B1626" s="6" t="s">
        <v>6541</v>
      </c>
      <c r="C1626" s="6" t="s">
        <v>18</v>
      </c>
      <c r="D1626" s="6">
        <v>74657.0</v>
      </c>
      <c r="E1626" s="6" t="s">
        <v>40</v>
      </c>
      <c r="F1626" s="6" t="s">
        <v>46</v>
      </c>
      <c r="G1626" s="6" t="s">
        <v>100</v>
      </c>
      <c r="H1626" s="7">
        <v>1914.0</v>
      </c>
      <c r="I1626" s="7">
        <v>4991.0</v>
      </c>
      <c r="J1626" s="6">
        <v>2021.0</v>
      </c>
      <c r="K1626" s="6">
        <v>27.0</v>
      </c>
      <c r="L1626" s="6" t="s">
        <v>141</v>
      </c>
      <c r="M1626" s="6" t="s">
        <v>6542</v>
      </c>
      <c r="N1626" s="6" t="s">
        <v>43</v>
      </c>
      <c r="O1626" s="6" t="s">
        <v>25</v>
      </c>
      <c r="P1626" s="6">
        <f>COUNTIF(Analysis!$M$1:$M$3001,Analysis!$M1626)</f>
        <v>1</v>
      </c>
      <c r="Q1626" s="6" t="str">
        <f>IF(COUNTIF(Analysis!$M$2:$M$3001,Analysis!$M1626)&gt;1,"Duplicate","OK")</f>
        <v>OK</v>
      </c>
      <c r="R1626" s="6" t="str">
        <f t="shared" si="1"/>
        <v>1600-2600</v>
      </c>
      <c r="S1626" s="6">
        <f t="shared" si="2"/>
        <v>5</v>
      </c>
      <c r="T1626" s="6" t="str">
        <f t="shared" si="3"/>
        <v>New</v>
      </c>
    </row>
    <row r="1627" ht="14.25" customHeight="1">
      <c r="A1627" s="5">
        <v>104321.0</v>
      </c>
      <c r="B1627" s="6" t="s">
        <v>6545</v>
      </c>
      <c r="C1627" s="6" t="s">
        <v>39</v>
      </c>
      <c r="D1627" s="6">
        <v>72702.0</v>
      </c>
      <c r="E1627" s="6" t="s">
        <v>30</v>
      </c>
      <c r="F1627" s="6" t="s">
        <v>20</v>
      </c>
      <c r="G1627" s="6" t="s">
        <v>31</v>
      </c>
      <c r="H1627" s="7">
        <v>1951.0</v>
      </c>
      <c r="I1627" s="7">
        <v>4375.0</v>
      </c>
      <c r="J1627" s="6">
        <v>1985.0</v>
      </c>
      <c r="K1627" s="6">
        <v>42.0</v>
      </c>
      <c r="L1627" s="6" t="s">
        <v>95</v>
      </c>
      <c r="M1627" s="6" t="s">
        <v>6546</v>
      </c>
      <c r="N1627" s="6" t="s">
        <v>24</v>
      </c>
      <c r="O1627" s="6" t="s">
        <v>49</v>
      </c>
      <c r="P1627" s="6">
        <f>COUNTIF(Analysis!$M$1:$M$3001,Analysis!$M1627)</f>
        <v>1</v>
      </c>
      <c r="Q1627" s="6" t="str">
        <f>IF(COUNTIF(Analysis!$M$2:$M$3001,Analysis!$M1627)&gt;1,"Duplicate","OK")</f>
        <v>OK</v>
      </c>
      <c r="R1627" s="6" t="str">
        <f t="shared" si="1"/>
        <v>1600-2600</v>
      </c>
      <c r="S1627" s="6">
        <f t="shared" si="2"/>
        <v>41</v>
      </c>
      <c r="T1627" s="6" t="str">
        <f t="shared" si="3"/>
        <v>Old</v>
      </c>
    </row>
    <row r="1628" ht="14.25" customHeight="1">
      <c r="A1628" s="5">
        <v>865568.0</v>
      </c>
      <c r="B1628" s="6" t="s">
        <v>9731</v>
      </c>
      <c r="C1628" s="6" t="s">
        <v>29</v>
      </c>
      <c r="D1628" s="6">
        <v>14407.0</v>
      </c>
      <c r="E1628" s="6" t="s">
        <v>77</v>
      </c>
      <c r="F1628" s="6" t="s">
        <v>20</v>
      </c>
      <c r="G1628" s="6" t="s">
        <v>100</v>
      </c>
      <c r="H1628" s="7">
        <v>3471.0</v>
      </c>
      <c r="I1628" s="7">
        <v>7008.0</v>
      </c>
      <c r="J1628" s="6">
        <v>1990.0</v>
      </c>
      <c r="K1628" s="6">
        <v>3.0</v>
      </c>
      <c r="L1628" s="6" t="s">
        <v>22</v>
      </c>
      <c r="M1628" s="6" t="s">
        <v>9732</v>
      </c>
      <c r="N1628" s="6" t="s">
        <v>43</v>
      </c>
      <c r="O1628" s="6" t="s">
        <v>25</v>
      </c>
      <c r="P1628" s="6">
        <f>COUNTIF(Analysis!$M$1:$M$3001,Analysis!$M2424)</f>
        <v>1</v>
      </c>
      <c r="Q1628" s="6" t="str">
        <f>IF(COUNTIF(Analysis!$M$2:$M$3001,Analysis!$M2424)&gt;1,"Duplicate","OK")</f>
        <v>OK</v>
      </c>
      <c r="R1628" s="6" t="str">
        <f t="shared" si="1"/>
        <v>2600-3600</v>
      </c>
      <c r="S1628" s="6">
        <f t="shared" si="2"/>
        <v>36</v>
      </c>
      <c r="T1628" s="6" t="str">
        <f t="shared" si="3"/>
        <v>Old</v>
      </c>
    </row>
    <row r="1629" ht="14.25" customHeight="1">
      <c r="A1629" s="5">
        <v>867570.0</v>
      </c>
      <c r="B1629" s="6" t="s">
        <v>4183</v>
      </c>
      <c r="C1629" s="6" t="s">
        <v>29</v>
      </c>
      <c r="D1629" s="6">
        <v>99270.0</v>
      </c>
      <c r="E1629" s="6" t="s">
        <v>40</v>
      </c>
      <c r="F1629" s="6" t="s">
        <v>94</v>
      </c>
      <c r="G1629" s="6" t="s">
        <v>55</v>
      </c>
      <c r="H1629" s="7">
        <v>3140.0</v>
      </c>
      <c r="I1629" s="7">
        <v>9012.0</v>
      </c>
      <c r="J1629" s="6">
        <v>1999.0</v>
      </c>
      <c r="K1629" s="6">
        <v>16.0</v>
      </c>
      <c r="L1629" s="6" t="s">
        <v>32</v>
      </c>
      <c r="M1629" s="6" t="s">
        <v>4184</v>
      </c>
      <c r="N1629" s="6" t="s">
        <v>43</v>
      </c>
      <c r="O1629" s="6" t="s">
        <v>35</v>
      </c>
      <c r="P1629" s="6">
        <f>COUNTIF(Analysis!$M$1:$M$3001,Analysis!$M1036)</f>
        <v>1</v>
      </c>
      <c r="Q1629" s="6" t="str">
        <f>IF(COUNTIF(Analysis!$M$2:$M$3001,Analysis!$M1036)&gt;1,"Duplicate","OK")</f>
        <v>OK</v>
      </c>
      <c r="R1629" s="6" t="str">
        <f t="shared" si="1"/>
        <v>2600-3600</v>
      </c>
      <c r="S1629" s="6">
        <f t="shared" si="2"/>
        <v>27</v>
      </c>
      <c r="T1629" s="6" t="str">
        <f t="shared" si="3"/>
        <v>Mid</v>
      </c>
    </row>
    <row r="1630" ht="14.25" customHeight="1">
      <c r="A1630" s="5">
        <v>868311.0</v>
      </c>
      <c r="B1630" s="6" t="s">
        <v>2639</v>
      </c>
      <c r="C1630" s="6" t="s">
        <v>29</v>
      </c>
      <c r="D1630" s="6">
        <v>22024.0</v>
      </c>
      <c r="E1630" s="6" t="s">
        <v>40</v>
      </c>
      <c r="F1630" s="6" t="s">
        <v>54</v>
      </c>
      <c r="G1630" s="6" t="s">
        <v>100</v>
      </c>
      <c r="H1630" s="7">
        <v>2231.0</v>
      </c>
      <c r="I1630" s="7">
        <v>1667.0</v>
      </c>
      <c r="J1630" s="6">
        <v>1991.0</v>
      </c>
      <c r="K1630" s="6">
        <v>90.0</v>
      </c>
      <c r="L1630" s="6" t="s">
        <v>62</v>
      </c>
      <c r="M1630" s="6" t="s">
        <v>2640</v>
      </c>
      <c r="N1630" s="6" t="s">
        <v>48</v>
      </c>
      <c r="O1630" s="6" t="s">
        <v>35</v>
      </c>
      <c r="P1630" s="6">
        <f>COUNTIF(Analysis!$M$1:$M$3001,Analysis!$M650)</f>
        <v>1</v>
      </c>
      <c r="Q1630" s="6" t="str">
        <f>IF(COUNTIF(Analysis!$M$2:$M$3001,Analysis!$M650)&gt;1,"Duplicate","OK")</f>
        <v>OK</v>
      </c>
      <c r="R1630" s="6" t="str">
        <f t="shared" si="1"/>
        <v>1600-2600</v>
      </c>
      <c r="S1630" s="6">
        <f t="shared" si="2"/>
        <v>35</v>
      </c>
      <c r="T1630" s="6" t="str">
        <f t="shared" si="3"/>
        <v>Old</v>
      </c>
    </row>
    <row r="1631" ht="14.25" customHeight="1">
      <c r="A1631" s="5">
        <v>868546.0</v>
      </c>
      <c r="B1631" s="6" t="s">
        <v>6685</v>
      </c>
      <c r="C1631" s="6" t="s">
        <v>29</v>
      </c>
      <c r="D1631" s="6">
        <v>31004.0</v>
      </c>
      <c r="E1631" s="6" t="s">
        <v>60</v>
      </c>
      <c r="F1631" s="6" t="s">
        <v>94</v>
      </c>
      <c r="G1631" s="6" t="s">
        <v>21</v>
      </c>
      <c r="H1631" s="7">
        <v>1069.0</v>
      </c>
      <c r="I1631" s="7">
        <v>5588.0</v>
      </c>
      <c r="J1631" s="6">
        <v>1999.0</v>
      </c>
      <c r="K1631" s="6">
        <v>78.0</v>
      </c>
      <c r="L1631" s="6" t="s">
        <v>22</v>
      </c>
      <c r="M1631" s="6" t="s">
        <v>6686</v>
      </c>
      <c r="N1631" s="6" t="s">
        <v>24</v>
      </c>
      <c r="O1631" s="6" t="s">
        <v>25</v>
      </c>
      <c r="P1631" s="6">
        <f>COUNTIF(Analysis!$M$1:$M$3001,Analysis!$M1662)</f>
        <v>1</v>
      </c>
      <c r="Q1631" s="6" t="str">
        <f>IF(COUNTIF(Analysis!$M$2:$M$3001,Analysis!$M1662)&gt;1,"Duplicate","OK")</f>
        <v>OK</v>
      </c>
      <c r="R1631" s="6" t="str">
        <f t="shared" si="1"/>
        <v>600-1600</v>
      </c>
      <c r="S1631" s="6">
        <f t="shared" si="2"/>
        <v>27</v>
      </c>
      <c r="T1631" s="6" t="str">
        <f t="shared" si="3"/>
        <v>Mid</v>
      </c>
    </row>
    <row r="1632" ht="14.25" customHeight="1">
      <c r="A1632" s="5">
        <v>1203558.0</v>
      </c>
      <c r="B1632" s="6" t="s">
        <v>6565</v>
      </c>
      <c r="C1632" s="6" t="s">
        <v>76</v>
      </c>
      <c r="D1632" s="6">
        <v>49017.0</v>
      </c>
      <c r="E1632" s="6" t="s">
        <v>19</v>
      </c>
      <c r="F1632" s="6" t="s">
        <v>61</v>
      </c>
      <c r="G1632" s="6" t="s">
        <v>31</v>
      </c>
      <c r="H1632" s="7">
        <v>1617.0</v>
      </c>
      <c r="I1632" s="7">
        <v>1674.0</v>
      </c>
      <c r="J1632" s="6">
        <v>2007.0</v>
      </c>
      <c r="K1632" s="6">
        <v>70.0</v>
      </c>
      <c r="L1632" s="6" t="s">
        <v>32</v>
      </c>
      <c r="M1632" s="6" t="s">
        <v>6566</v>
      </c>
      <c r="N1632" s="6" t="s">
        <v>64</v>
      </c>
      <c r="O1632" s="6" t="s">
        <v>49</v>
      </c>
      <c r="P1632" s="6">
        <f>COUNTIF(Analysis!$M$1:$M$3001,Analysis!$M1632)</f>
        <v>1</v>
      </c>
      <c r="Q1632" s="6" t="str">
        <f>IF(COUNTIF(Analysis!$M$2:$M$3001,Analysis!$M1632)&gt;1,"Duplicate","OK")</f>
        <v>OK</v>
      </c>
      <c r="R1632" s="6" t="str">
        <f t="shared" si="1"/>
        <v>1600-2600</v>
      </c>
      <c r="S1632" s="6">
        <f t="shared" si="2"/>
        <v>19</v>
      </c>
      <c r="T1632" s="6" t="str">
        <f t="shared" si="3"/>
        <v>Mid</v>
      </c>
    </row>
    <row r="1633" ht="14.25" customHeight="1">
      <c r="A1633" s="5">
        <v>1053481.0</v>
      </c>
      <c r="B1633" s="6" t="s">
        <v>6569</v>
      </c>
      <c r="C1633" s="6" t="s">
        <v>76</v>
      </c>
      <c r="D1633" s="6">
        <v>44968.0</v>
      </c>
      <c r="E1633" s="6" t="s">
        <v>77</v>
      </c>
      <c r="F1633" s="6" t="s">
        <v>20</v>
      </c>
      <c r="G1633" s="6" t="s">
        <v>55</v>
      </c>
      <c r="H1633" s="7">
        <v>3142.0</v>
      </c>
      <c r="I1633" s="7">
        <v>5889.0</v>
      </c>
      <c r="J1633" s="6">
        <v>1973.0</v>
      </c>
      <c r="K1633" s="6">
        <v>40.0</v>
      </c>
      <c r="L1633" s="6" t="s">
        <v>95</v>
      </c>
      <c r="M1633" s="6" t="s">
        <v>6570</v>
      </c>
      <c r="N1633" s="6" t="s">
        <v>64</v>
      </c>
      <c r="O1633" s="6" t="s">
        <v>25</v>
      </c>
      <c r="P1633" s="6">
        <f>COUNTIF(Analysis!$M$1:$M$3001,Analysis!$M1633)</f>
        <v>1</v>
      </c>
      <c r="Q1633" s="6" t="str">
        <f>IF(COUNTIF(Analysis!$M$2:$M$3001,Analysis!$M1633)&gt;1,"Duplicate","OK")</f>
        <v>OK</v>
      </c>
      <c r="R1633" s="6" t="str">
        <f t="shared" si="1"/>
        <v>2600-3600</v>
      </c>
      <c r="S1633" s="6">
        <f t="shared" si="2"/>
        <v>53</v>
      </c>
      <c r="T1633" s="6" t="str">
        <f t="shared" si="3"/>
        <v>Old</v>
      </c>
    </row>
    <row r="1634" ht="14.25" customHeight="1">
      <c r="A1634" s="5">
        <v>1116330.0</v>
      </c>
      <c r="B1634" s="6" t="s">
        <v>6573</v>
      </c>
      <c r="C1634" s="6" t="s">
        <v>18</v>
      </c>
      <c r="D1634" s="6">
        <v>46612.0</v>
      </c>
      <c r="E1634" s="6" t="s">
        <v>60</v>
      </c>
      <c r="F1634" s="6" t="s">
        <v>54</v>
      </c>
      <c r="G1634" s="6" t="s">
        <v>55</v>
      </c>
      <c r="H1634" s="7">
        <v>3025.0</v>
      </c>
      <c r="I1634" s="7">
        <v>4857.0</v>
      </c>
      <c r="J1634" s="6">
        <v>1976.0</v>
      </c>
      <c r="K1634" s="6">
        <v>27.0</v>
      </c>
      <c r="L1634" s="6" t="s">
        <v>141</v>
      </c>
      <c r="M1634" s="6" t="s">
        <v>6574</v>
      </c>
      <c r="N1634" s="6" t="s">
        <v>24</v>
      </c>
      <c r="O1634" s="6" t="s">
        <v>49</v>
      </c>
      <c r="P1634" s="6">
        <f>COUNTIF(Analysis!$M$1:$M$3001,Analysis!$M1634)</f>
        <v>1</v>
      </c>
      <c r="Q1634" s="6" t="str">
        <f>IF(COUNTIF(Analysis!$M$2:$M$3001,Analysis!$M1634)&gt;1,"Duplicate","OK")</f>
        <v>OK</v>
      </c>
      <c r="R1634" s="6" t="str">
        <f t="shared" si="1"/>
        <v>2600-3600</v>
      </c>
      <c r="S1634" s="6">
        <f t="shared" si="2"/>
        <v>50</v>
      </c>
      <c r="T1634" s="6" t="str">
        <f t="shared" si="3"/>
        <v>Old</v>
      </c>
    </row>
    <row r="1635" ht="14.25" customHeight="1">
      <c r="A1635" s="5">
        <v>649561.0</v>
      </c>
      <c r="B1635" s="6" t="s">
        <v>6577</v>
      </c>
      <c r="C1635" s="6" t="s">
        <v>39</v>
      </c>
      <c r="D1635" s="6">
        <v>57945.0</v>
      </c>
      <c r="E1635" s="6" t="s">
        <v>60</v>
      </c>
      <c r="F1635" s="6" t="s">
        <v>46</v>
      </c>
      <c r="G1635" s="6" t="s">
        <v>55</v>
      </c>
      <c r="H1635" s="7">
        <v>2982.0</v>
      </c>
      <c r="I1635" s="7">
        <v>2343.0</v>
      </c>
      <c r="J1635" s="6">
        <v>2000.0</v>
      </c>
      <c r="K1635" s="6">
        <v>99.0</v>
      </c>
      <c r="L1635" s="6" t="s">
        <v>22</v>
      </c>
      <c r="M1635" s="6" t="s">
        <v>6578</v>
      </c>
      <c r="N1635" s="6" t="s">
        <v>43</v>
      </c>
      <c r="O1635" s="6" t="s">
        <v>49</v>
      </c>
      <c r="P1635" s="6">
        <f>COUNTIF(Analysis!$M$1:$M$3001,Analysis!$M1635)</f>
        <v>1</v>
      </c>
      <c r="Q1635" s="6" t="str">
        <f>IF(COUNTIF(Analysis!$M$2:$M$3001,Analysis!$M1635)&gt;1,"Duplicate","OK")</f>
        <v>OK</v>
      </c>
      <c r="R1635" s="6" t="str">
        <f t="shared" si="1"/>
        <v>2600-3600</v>
      </c>
      <c r="S1635" s="6">
        <f t="shared" si="2"/>
        <v>26</v>
      </c>
      <c r="T1635" s="6" t="str">
        <f t="shared" si="3"/>
        <v>Mid</v>
      </c>
    </row>
    <row r="1636" ht="14.25" customHeight="1">
      <c r="A1636" s="5">
        <v>1313935.0</v>
      </c>
      <c r="B1636" s="6" t="s">
        <v>6581</v>
      </c>
      <c r="C1636" s="6" t="s">
        <v>18</v>
      </c>
      <c r="D1636" s="6">
        <v>49609.0</v>
      </c>
      <c r="E1636" s="6" t="s">
        <v>40</v>
      </c>
      <c r="F1636" s="6" t="s">
        <v>94</v>
      </c>
      <c r="G1636" s="6" t="s">
        <v>100</v>
      </c>
      <c r="H1636" s="7">
        <v>1988.0</v>
      </c>
      <c r="I1636" s="7">
        <v>3095.0</v>
      </c>
      <c r="J1636" s="6">
        <v>2007.0</v>
      </c>
      <c r="K1636" s="6">
        <v>41.0</v>
      </c>
      <c r="L1636" s="6" t="s">
        <v>22</v>
      </c>
      <c r="M1636" s="6" t="s">
        <v>6582</v>
      </c>
      <c r="N1636" s="6" t="s">
        <v>48</v>
      </c>
      <c r="O1636" s="6" t="s">
        <v>49</v>
      </c>
      <c r="P1636" s="6">
        <f>COUNTIF(Analysis!$M$1:$M$3001,Analysis!$M1636)</f>
        <v>1</v>
      </c>
      <c r="Q1636" s="6" t="str">
        <f>IF(COUNTIF(Analysis!$M$2:$M$3001,Analysis!$M1636)&gt;1,"Duplicate","OK")</f>
        <v>OK</v>
      </c>
      <c r="R1636" s="6" t="str">
        <f t="shared" si="1"/>
        <v>1600-2600</v>
      </c>
      <c r="S1636" s="6">
        <f t="shared" si="2"/>
        <v>19</v>
      </c>
      <c r="T1636" s="6" t="str">
        <f t="shared" si="3"/>
        <v>Mid</v>
      </c>
    </row>
    <row r="1637" ht="14.25" customHeight="1">
      <c r="A1637" s="5">
        <v>1435866.0</v>
      </c>
      <c r="B1637" s="6" t="s">
        <v>6585</v>
      </c>
      <c r="C1637" s="6" t="s">
        <v>39</v>
      </c>
      <c r="D1637" s="6">
        <v>44927.0</v>
      </c>
      <c r="E1637" s="6" t="s">
        <v>30</v>
      </c>
      <c r="F1637" s="6" t="s">
        <v>46</v>
      </c>
      <c r="G1637" s="6" t="s">
        <v>31</v>
      </c>
      <c r="H1637" s="7">
        <v>3074.0</v>
      </c>
      <c r="I1637" s="7">
        <v>6108.0</v>
      </c>
      <c r="J1637" s="6">
        <v>2011.0</v>
      </c>
      <c r="K1637" s="6">
        <v>78.0</v>
      </c>
      <c r="L1637" s="6" t="s">
        <v>32</v>
      </c>
      <c r="M1637" s="6" t="s">
        <v>6586</v>
      </c>
      <c r="N1637" s="6" t="s">
        <v>64</v>
      </c>
      <c r="O1637" s="6" t="s">
        <v>35</v>
      </c>
      <c r="P1637" s="6">
        <f>COUNTIF(Analysis!$M$1:$M$3001,Analysis!$M1637)</f>
        <v>1</v>
      </c>
      <c r="Q1637" s="6" t="str">
        <f>IF(COUNTIF(Analysis!$M$2:$M$3001,Analysis!$M1637)&gt;1,"Duplicate","OK")</f>
        <v>OK</v>
      </c>
      <c r="R1637" s="6" t="str">
        <f t="shared" si="1"/>
        <v>2600-3600</v>
      </c>
      <c r="S1637" s="6">
        <f t="shared" si="2"/>
        <v>15</v>
      </c>
      <c r="T1637" s="6" t="str">
        <f t="shared" si="3"/>
        <v>Mid</v>
      </c>
    </row>
    <row r="1638" ht="14.25" customHeight="1">
      <c r="A1638" s="5">
        <v>523054.0</v>
      </c>
      <c r="B1638" s="6" t="s">
        <v>6589</v>
      </c>
      <c r="C1638" s="6" t="s">
        <v>18</v>
      </c>
      <c r="D1638" s="6">
        <v>21893.0</v>
      </c>
      <c r="E1638" s="6" t="s">
        <v>77</v>
      </c>
      <c r="F1638" s="6" t="s">
        <v>20</v>
      </c>
      <c r="G1638" s="6" t="s">
        <v>100</v>
      </c>
      <c r="H1638" s="7">
        <v>3112.0</v>
      </c>
      <c r="I1638" s="7">
        <v>8342.0</v>
      </c>
      <c r="J1638" s="6">
        <v>2022.0</v>
      </c>
      <c r="K1638" s="6">
        <v>103.0</v>
      </c>
      <c r="L1638" s="6" t="s">
        <v>62</v>
      </c>
      <c r="M1638" s="6" t="s">
        <v>6590</v>
      </c>
      <c r="N1638" s="6" t="s">
        <v>43</v>
      </c>
      <c r="O1638" s="6" t="s">
        <v>25</v>
      </c>
      <c r="P1638" s="6">
        <f>COUNTIF(Analysis!$M$1:$M$3001,Analysis!$M1638)</f>
        <v>1</v>
      </c>
      <c r="Q1638" s="6" t="str">
        <f>IF(COUNTIF(Analysis!$M$2:$M$3001,Analysis!$M1638)&gt;1,"Duplicate","OK")</f>
        <v>OK</v>
      </c>
      <c r="R1638" s="6" t="str">
        <f t="shared" si="1"/>
        <v>2600-3600</v>
      </c>
      <c r="S1638" s="6">
        <f t="shared" si="2"/>
        <v>4</v>
      </c>
      <c r="T1638" s="6" t="str">
        <f t="shared" si="3"/>
        <v>New</v>
      </c>
    </row>
    <row r="1639" ht="14.25" customHeight="1">
      <c r="A1639" s="5">
        <v>1136478.0</v>
      </c>
      <c r="B1639" s="6" t="s">
        <v>6593</v>
      </c>
      <c r="C1639" s="6" t="s">
        <v>39</v>
      </c>
      <c r="D1639" s="6">
        <v>44376.0</v>
      </c>
      <c r="E1639" s="6" t="s">
        <v>77</v>
      </c>
      <c r="F1639" s="6" t="s">
        <v>41</v>
      </c>
      <c r="G1639" s="6" t="s">
        <v>100</v>
      </c>
      <c r="H1639" s="7">
        <v>1190.0</v>
      </c>
      <c r="I1639" s="7">
        <v>9794.0</v>
      </c>
      <c r="J1639" s="6">
        <v>2000.0</v>
      </c>
      <c r="K1639" s="6">
        <v>49.0</v>
      </c>
      <c r="L1639" s="6" t="s">
        <v>32</v>
      </c>
      <c r="M1639" s="6" t="s">
        <v>6594</v>
      </c>
      <c r="N1639" s="6" t="s">
        <v>64</v>
      </c>
      <c r="O1639" s="6" t="s">
        <v>49</v>
      </c>
      <c r="P1639" s="6">
        <f>COUNTIF(Analysis!$M$1:$M$3001,Analysis!$M1639)</f>
        <v>1</v>
      </c>
      <c r="Q1639" s="6" t="str">
        <f>IF(COUNTIF(Analysis!$M$2:$M$3001,Analysis!$M1639)&gt;1,"Duplicate","OK")</f>
        <v>OK</v>
      </c>
      <c r="R1639" s="6" t="str">
        <f t="shared" si="1"/>
        <v>600-1600</v>
      </c>
      <c r="S1639" s="6">
        <f t="shared" si="2"/>
        <v>26</v>
      </c>
      <c r="T1639" s="6" t="str">
        <f t="shared" si="3"/>
        <v>Mid</v>
      </c>
    </row>
    <row r="1640" ht="14.25" customHeight="1">
      <c r="A1640" s="5">
        <v>591497.0</v>
      </c>
      <c r="B1640" s="6" t="s">
        <v>6597</v>
      </c>
      <c r="C1640" s="6" t="s">
        <v>76</v>
      </c>
      <c r="D1640" s="6">
        <v>92847.0</v>
      </c>
      <c r="E1640" s="6" t="s">
        <v>30</v>
      </c>
      <c r="F1640" s="6" t="s">
        <v>46</v>
      </c>
      <c r="G1640" s="6" t="s">
        <v>31</v>
      </c>
      <c r="H1640" s="7">
        <v>2752.0</v>
      </c>
      <c r="I1640" s="7">
        <v>8277.0</v>
      </c>
      <c r="J1640" s="6">
        <v>1968.0</v>
      </c>
      <c r="K1640" s="6">
        <v>16.0</v>
      </c>
      <c r="L1640" s="6" t="s">
        <v>32</v>
      </c>
      <c r="M1640" s="6" t="s">
        <v>6598</v>
      </c>
      <c r="N1640" s="6" t="s">
        <v>34</v>
      </c>
      <c r="O1640" s="6" t="s">
        <v>35</v>
      </c>
      <c r="P1640" s="6">
        <f>COUNTIF(Analysis!$M$1:$M$3001,Analysis!$M1640)</f>
        <v>1</v>
      </c>
      <c r="Q1640" s="6" t="str">
        <f>IF(COUNTIF(Analysis!$M$2:$M$3001,Analysis!$M1640)&gt;1,"Duplicate","OK")</f>
        <v>OK</v>
      </c>
      <c r="R1640" s="6" t="str">
        <f t="shared" si="1"/>
        <v>2600-3600</v>
      </c>
      <c r="S1640" s="6">
        <f t="shared" si="2"/>
        <v>58</v>
      </c>
      <c r="T1640" s="6" t="str">
        <f t="shared" si="3"/>
        <v>Old</v>
      </c>
    </row>
    <row r="1641" ht="14.25" customHeight="1">
      <c r="A1641" s="5">
        <v>868758.0</v>
      </c>
      <c r="B1641" s="6" t="s">
        <v>8652</v>
      </c>
      <c r="C1641" s="6" t="s">
        <v>29</v>
      </c>
      <c r="D1641" s="6">
        <v>64363.0</v>
      </c>
      <c r="E1641" s="6" t="s">
        <v>30</v>
      </c>
      <c r="F1641" s="6" t="s">
        <v>94</v>
      </c>
      <c r="G1641" s="6" t="s">
        <v>55</v>
      </c>
      <c r="H1641" s="7">
        <v>1770.0</v>
      </c>
      <c r="I1641" s="7">
        <v>2786.0</v>
      </c>
      <c r="J1641" s="6">
        <v>1988.0</v>
      </c>
      <c r="K1641" s="6">
        <v>88.0</v>
      </c>
      <c r="L1641" s="6" t="s">
        <v>22</v>
      </c>
      <c r="M1641" s="6" t="s">
        <v>8653</v>
      </c>
      <c r="N1641" s="6" t="s">
        <v>48</v>
      </c>
      <c r="O1641" s="6" t="s">
        <v>25</v>
      </c>
      <c r="P1641" s="6">
        <f>COUNTIF(Analysis!$M$1:$M$3001,Analysis!$M2154)</f>
        <v>1</v>
      </c>
      <c r="Q1641" s="6" t="str">
        <f>IF(COUNTIF(Analysis!$M$2:$M$3001,Analysis!$M2154)&gt;1,"Duplicate","OK")</f>
        <v>OK</v>
      </c>
      <c r="R1641" s="6" t="str">
        <f t="shared" si="1"/>
        <v>1600-2600</v>
      </c>
      <c r="S1641" s="6">
        <f t="shared" si="2"/>
        <v>38</v>
      </c>
      <c r="T1641" s="6" t="str">
        <f t="shared" si="3"/>
        <v>Old</v>
      </c>
    </row>
    <row r="1642" ht="14.25" customHeight="1">
      <c r="A1642" s="5">
        <v>817052.0</v>
      </c>
      <c r="B1642" s="6" t="s">
        <v>6605</v>
      </c>
      <c r="C1642" s="6" t="s">
        <v>18</v>
      </c>
      <c r="D1642" s="6">
        <v>32524.0</v>
      </c>
      <c r="E1642" s="6" t="s">
        <v>60</v>
      </c>
      <c r="F1642" s="6" t="s">
        <v>61</v>
      </c>
      <c r="G1642" s="6" t="s">
        <v>100</v>
      </c>
      <c r="H1642" s="7">
        <v>724.0</v>
      </c>
      <c r="I1642" s="7">
        <v>6714.0</v>
      </c>
      <c r="J1642" s="6">
        <v>2009.0</v>
      </c>
      <c r="K1642" s="6">
        <v>47.0</v>
      </c>
      <c r="L1642" s="6" t="s">
        <v>141</v>
      </c>
      <c r="M1642" s="6" t="s">
        <v>6606</v>
      </c>
      <c r="N1642" s="6" t="s">
        <v>48</v>
      </c>
      <c r="O1642" s="6" t="s">
        <v>49</v>
      </c>
      <c r="P1642" s="6">
        <f>COUNTIF(Analysis!$M$1:$M$3001,Analysis!$M1642)</f>
        <v>1</v>
      </c>
      <c r="Q1642" s="6" t="str">
        <f>IF(COUNTIF(Analysis!$M$2:$M$3001,Analysis!$M1642)&gt;1,"Duplicate","OK")</f>
        <v>OK</v>
      </c>
      <c r="R1642" s="6" t="str">
        <f t="shared" si="1"/>
        <v>600-1600</v>
      </c>
      <c r="S1642" s="6">
        <f t="shared" si="2"/>
        <v>17</v>
      </c>
      <c r="T1642" s="6" t="str">
        <f t="shared" si="3"/>
        <v>Mid</v>
      </c>
    </row>
    <row r="1643" ht="14.25" customHeight="1">
      <c r="A1643" s="5">
        <v>167620.0</v>
      </c>
      <c r="B1643" s="6" t="s">
        <v>6609</v>
      </c>
      <c r="C1643" s="6" t="s">
        <v>76</v>
      </c>
      <c r="D1643" s="6">
        <v>54024.0</v>
      </c>
      <c r="E1643" s="6" t="s">
        <v>77</v>
      </c>
      <c r="F1643" s="6" t="s">
        <v>20</v>
      </c>
      <c r="G1643" s="6" t="s">
        <v>55</v>
      </c>
      <c r="H1643" s="7">
        <v>3184.0</v>
      </c>
      <c r="I1643" s="7">
        <v>3386.0</v>
      </c>
      <c r="J1643" s="6">
        <v>2007.0</v>
      </c>
      <c r="K1643" s="6">
        <v>117.0</v>
      </c>
      <c r="L1643" s="6" t="s">
        <v>141</v>
      </c>
      <c r="M1643" s="6" t="s">
        <v>6610</v>
      </c>
      <c r="N1643" s="6" t="s">
        <v>64</v>
      </c>
      <c r="O1643" s="6" t="s">
        <v>35</v>
      </c>
      <c r="P1643" s="6">
        <f>COUNTIF(Analysis!$M$1:$M$3001,Analysis!$M1643)</f>
        <v>1</v>
      </c>
      <c r="Q1643" s="6" t="str">
        <f>IF(COUNTIF(Analysis!$M$2:$M$3001,Analysis!$M1643)&gt;1,"Duplicate","OK")</f>
        <v>OK</v>
      </c>
      <c r="R1643" s="6" t="str">
        <f t="shared" si="1"/>
        <v>2600-3600</v>
      </c>
      <c r="S1643" s="6">
        <f t="shared" si="2"/>
        <v>19</v>
      </c>
      <c r="T1643" s="6" t="str">
        <f t="shared" si="3"/>
        <v>Mid</v>
      </c>
    </row>
    <row r="1644" ht="14.25" customHeight="1">
      <c r="A1644" s="5">
        <v>286587.0</v>
      </c>
      <c r="B1644" s="6" t="s">
        <v>6613</v>
      </c>
      <c r="C1644" s="6" t="s">
        <v>76</v>
      </c>
      <c r="D1644" s="6">
        <v>68130.0</v>
      </c>
      <c r="E1644" s="6" t="s">
        <v>60</v>
      </c>
      <c r="F1644" s="6" t="s">
        <v>20</v>
      </c>
      <c r="G1644" s="6" t="s">
        <v>31</v>
      </c>
      <c r="H1644" s="7">
        <v>692.0</v>
      </c>
      <c r="I1644" s="7">
        <v>4845.0</v>
      </c>
      <c r="J1644" s="6">
        <v>1993.0</v>
      </c>
      <c r="K1644" s="6">
        <v>98.0</v>
      </c>
      <c r="L1644" s="6" t="s">
        <v>32</v>
      </c>
      <c r="M1644" s="6" t="s">
        <v>6614</v>
      </c>
      <c r="N1644" s="6" t="s">
        <v>64</v>
      </c>
      <c r="O1644" s="6" t="s">
        <v>35</v>
      </c>
      <c r="P1644" s="6">
        <f>COUNTIF(Analysis!$M$1:$M$3001,Analysis!$M1644)</f>
        <v>1</v>
      </c>
      <c r="Q1644" s="6" t="str">
        <f>IF(COUNTIF(Analysis!$M$2:$M$3001,Analysis!$M1644)&gt;1,"Duplicate","OK")</f>
        <v>OK</v>
      </c>
      <c r="R1644" s="6" t="str">
        <f t="shared" si="1"/>
        <v>600-1600</v>
      </c>
      <c r="S1644" s="6">
        <f t="shared" si="2"/>
        <v>33</v>
      </c>
      <c r="T1644" s="6" t="str">
        <f t="shared" si="3"/>
        <v>Old</v>
      </c>
    </row>
    <row r="1645" ht="14.25" customHeight="1">
      <c r="A1645" s="5">
        <v>870333.0</v>
      </c>
      <c r="B1645" s="6" t="s">
        <v>10883</v>
      </c>
      <c r="C1645" s="6" t="s">
        <v>29</v>
      </c>
      <c r="D1645" s="6">
        <v>56087.0</v>
      </c>
      <c r="E1645" s="6" t="s">
        <v>40</v>
      </c>
      <c r="F1645" s="6" t="s">
        <v>46</v>
      </c>
      <c r="G1645" s="6" t="s">
        <v>31</v>
      </c>
      <c r="H1645" s="7">
        <v>906.0</v>
      </c>
      <c r="I1645" s="7">
        <v>5583.0</v>
      </c>
      <c r="J1645" s="6">
        <v>2009.0</v>
      </c>
      <c r="K1645" s="6">
        <v>47.0</v>
      </c>
      <c r="L1645" s="6" t="s">
        <v>141</v>
      </c>
      <c r="M1645" s="6" t="s">
        <v>10884</v>
      </c>
      <c r="N1645" s="6" t="s">
        <v>24</v>
      </c>
      <c r="O1645" s="6" t="s">
        <v>25</v>
      </c>
      <c r="P1645" s="6">
        <f>COUNTIF(Analysis!$M$1:$M$3001,Analysis!$M2712)</f>
        <v>1</v>
      </c>
      <c r="Q1645" s="6" t="str">
        <f>IF(COUNTIF(Analysis!$M$2:$M$3001,Analysis!$M2712)&gt;1,"Duplicate","OK")</f>
        <v>OK</v>
      </c>
      <c r="R1645" s="6" t="str">
        <f t="shared" si="1"/>
        <v>600-1600</v>
      </c>
      <c r="S1645" s="6">
        <f t="shared" si="2"/>
        <v>17</v>
      </c>
      <c r="T1645" s="6" t="str">
        <f t="shared" si="3"/>
        <v>Mid</v>
      </c>
    </row>
    <row r="1646" ht="14.25" customHeight="1">
      <c r="A1646" s="5">
        <v>162524.0</v>
      </c>
      <c r="B1646" s="6" t="s">
        <v>6621</v>
      </c>
      <c r="C1646" s="6" t="s">
        <v>18</v>
      </c>
      <c r="D1646" s="6">
        <v>60440.0</v>
      </c>
      <c r="E1646" s="6" t="s">
        <v>19</v>
      </c>
      <c r="F1646" s="6" t="s">
        <v>94</v>
      </c>
      <c r="G1646" s="6" t="s">
        <v>21</v>
      </c>
      <c r="H1646" s="7">
        <v>2737.0</v>
      </c>
      <c r="I1646" s="7">
        <v>8829.0</v>
      </c>
      <c r="J1646" s="6">
        <v>2018.0</v>
      </c>
      <c r="K1646" s="6">
        <v>8.0</v>
      </c>
      <c r="L1646" s="6" t="s">
        <v>95</v>
      </c>
      <c r="M1646" s="6" t="s">
        <v>6622</v>
      </c>
      <c r="N1646" s="6" t="s">
        <v>24</v>
      </c>
      <c r="O1646" s="6" t="s">
        <v>49</v>
      </c>
      <c r="P1646" s="6">
        <f>COUNTIF(Analysis!$M$1:$M$3001,Analysis!$M1646)</f>
        <v>1</v>
      </c>
      <c r="Q1646" s="6" t="str">
        <f>IF(COUNTIF(Analysis!$M$2:$M$3001,Analysis!$M1646)&gt;1,"Duplicate","OK")</f>
        <v>OK</v>
      </c>
      <c r="R1646" s="6" t="str">
        <f t="shared" si="1"/>
        <v>2600-3600</v>
      </c>
      <c r="S1646" s="6">
        <f t="shared" si="2"/>
        <v>8</v>
      </c>
      <c r="T1646" s="6" t="str">
        <f t="shared" si="3"/>
        <v>New</v>
      </c>
    </row>
    <row r="1647" ht="14.25" customHeight="1">
      <c r="A1647" s="5">
        <v>1359466.0</v>
      </c>
      <c r="B1647" s="6" t="s">
        <v>6625</v>
      </c>
      <c r="C1647" s="6" t="s">
        <v>18</v>
      </c>
      <c r="D1647" s="6">
        <v>56768.0</v>
      </c>
      <c r="E1647" s="6" t="s">
        <v>77</v>
      </c>
      <c r="F1647" s="6" t="s">
        <v>20</v>
      </c>
      <c r="G1647" s="6" t="s">
        <v>55</v>
      </c>
      <c r="H1647" s="7">
        <v>3167.0</v>
      </c>
      <c r="I1647" s="7">
        <v>4021.0</v>
      </c>
      <c r="J1647" s="6">
        <v>1950.0</v>
      </c>
      <c r="K1647" s="6">
        <v>77.0</v>
      </c>
      <c r="L1647" s="6" t="s">
        <v>32</v>
      </c>
      <c r="M1647" s="6" t="s">
        <v>6626</v>
      </c>
      <c r="N1647" s="6" t="s">
        <v>43</v>
      </c>
      <c r="O1647" s="6" t="s">
        <v>35</v>
      </c>
      <c r="P1647" s="6">
        <f>COUNTIF(Analysis!$M$1:$M$3001,Analysis!$M1647)</f>
        <v>1</v>
      </c>
      <c r="Q1647" s="6" t="str">
        <f>IF(COUNTIF(Analysis!$M$2:$M$3001,Analysis!$M1647)&gt;1,"Duplicate","OK")</f>
        <v>OK</v>
      </c>
      <c r="R1647" s="6" t="str">
        <f t="shared" si="1"/>
        <v>2600-3600</v>
      </c>
      <c r="S1647" s="6">
        <f t="shared" si="2"/>
        <v>76</v>
      </c>
      <c r="T1647" s="6" t="str">
        <f t="shared" si="3"/>
        <v>Very Old</v>
      </c>
    </row>
    <row r="1648" ht="14.25" customHeight="1">
      <c r="A1648" s="5">
        <v>181093.0</v>
      </c>
      <c r="B1648" s="6" t="s">
        <v>6629</v>
      </c>
      <c r="C1648" s="6" t="s">
        <v>18</v>
      </c>
      <c r="D1648" s="6">
        <v>21705.0</v>
      </c>
      <c r="E1648" s="6" t="s">
        <v>30</v>
      </c>
      <c r="F1648" s="6" t="s">
        <v>46</v>
      </c>
      <c r="G1648" s="6" t="s">
        <v>100</v>
      </c>
      <c r="H1648" s="7">
        <v>1517.0</v>
      </c>
      <c r="I1648" s="7">
        <v>7456.0</v>
      </c>
      <c r="J1648" s="6">
        <v>1967.0</v>
      </c>
      <c r="K1648" s="6">
        <v>55.0</v>
      </c>
      <c r="L1648" s="6" t="s">
        <v>95</v>
      </c>
      <c r="M1648" s="6" t="s">
        <v>6630</v>
      </c>
      <c r="N1648" s="6" t="s">
        <v>43</v>
      </c>
      <c r="O1648" s="6" t="s">
        <v>25</v>
      </c>
      <c r="P1648" s="6">
        <f>COUNTIF(Analysis!$M$1:$M$3001,Analysis!$M1648)</f>
        <v>1</v>
      </c>
      <c r="Q1648" s="6" t="str">
        <f>IF(COUNTIF(Analysis!$M$2:$M$3001,Analysis!$M1648)&gt;1,"Duplicate","OK")</f>
        <v>OK</v>
      </c>
      <c r="R1648" s="6" t="str">
        <f t="shared" si="1"/>
        <v>600-1600</v>
      </c>
      <c r="S1648" s="6">
        <f t="shared" si="2"/>
        <v>59</v>
      </c>
      <c r="T1648" s="6" t="str">
        <f t="shared" si="3"/>
        <v>Old</v>
      </c>
    </row>
    <row r="1649" ht="14.25" customHeight="1">
      <c r="A1649" s="5">
        <v>781451.0</v>
      </c>
      <c r="B1649" s="6" t="s">
        <v>6633</v>
      </c>
      <c r="C1649" s="6" t="s">
        <v>53</v>
      </c>
      <c r="D1649" s="6">
        <v>35395.0</v>
      </c>
      <c r="E1649" s="6" t="s">
        <v>60</v>
      </c>
      <c r="F1649" s="6" t="s">
        <v>20</v>
      </c>
      <c r="G1649" s="6" t="s">
        <v>100</v>
      </c>
      <c r="H1649" s="7">
        <v>1625.0</v>
      </c>
      <c r="I1649" s="7">
        <v>8067.0</v>
      </c>
      <c r="J1649" s="6">
        <v>2013.0</v>
      </c>
      <c r="K1649" s="6">
        <v>34.0</v>
      </c>
      <c r="L1649" s="6" t="s">
        <v>32</v>
      </c>
      <c r="M1649" s="6" t="s">
        <v>6634</v>
      </c>
      <c r="N1649" s="6" t="s">
        <v>64</v>
      </c>
      <c r="O1649" s="6" t="s">
        <v>49</v>
      </c>
      <c r="P1649" s="6">
        <f>COUNTIF(Analysis!$M$1:$M$3001,Analysis!$M1649)</f>
        <v>1</v>
      </c>
      <c r="Q1649" s="6" t="str">
        <f>IF(COUNTIF(Analysis!$M$2:$M$3001,Analysis!$M1649)&gt;1,"Duplicate","OK")</f>
        <v>OK</v>
      </c>
      <c r="R1649" s="6" t="str">
        <f t="shared" si="1"/>
        <v>1600-2600</v>
      </c>
      <c r="S1649" s="6">
        <f t="shared" si="2"/>
        <v>13</v>
      </c>
      <c r="T1649" s="6" t="str">
        <f t="shared" si="3"/>
        <v>Mid</v>
      </c>
    </row>
    <row r="1650" ht="14.25" customHeight="1">
      <c r="A1650" s="5">
        <v>111428.0</v>
      </c>
      <c r="B1650" s="6" t="s">
        <v>6637</v>
      </c>
      <c r="C1650" s="6" t="s">
        <v>53</v>
      </c>
      <c r="D1650" s="6">
        <v>47236.0</v>
      </c>
      <c r="E1650" s="6" t="s">
        <v>19</v>
      </c>
      <c r="F1650" s="6" t="s">
        <v>94</v>
      </c>
      <c r="G1650" s="6" t="s">
        <v>55</v>
      </c>
      <c r="H1650" s="7">
        <v>2117.0</v>
      </c>
      <c r="I1650" s="7">
        <v>8508.0</v>
      </c>
      <c r="J1650" s="6">
        <v>1980.0</v>
      </c>
      <c r="K1650" s="6">
        <v>111.0</v>
      </c>
      <c r="L1650" s="6" t="s">
        <v>141</v>
      </c>
      <c r="M1650" s="6" t="s">
        <v>6638</v>
      </c>
      <c r="N1650" s="6" t="s">
        <v>64</v>
      </c>
      <c r="O1650" s="6" t="s">
        <v>35</v>
      </c>
      <c r="P1650" s="6">
        <f>COUNTIF(Analysis!$M$1:$M$3001,Analysis!$M1650)</f>
        <v>1</v>
      </c>
      <c r="Q1650" s="6" t="str">
        <f>IF(COUNTIF(Analysis!$M$2:$M$3001,Analysis!$M1650)&gt;1,"Duplicate","OK")</f>
        <v>OK</v>
      </c>
      <c r="R1650" s="6" t="str">
        <f t="shared" si="1"/>
        <v>1600-2600</v>
      </c>
      <c r="S1650" s="6">
        <f t="shared" si="2"/>
        <v>46</v>
      </c>
      <c r="T1650" s="6" t="str">
        <f t="shared" si="3"/>
        <v>Old</v>
      </c>
    </row>
    <row r="1651" ht="14.25" customHeight="1">
      <c r="A1651" s="5">
        <v>704899.0</v>
      </c>
      <c r="B1651" s="6" t="s">
        <v>6641</v>
      </c>
      <c r="C1651" s="6" t="s">
        <v>53</v>
      </c>
      <c r="D1651" s="6">
        <v>59479.0</v>
      </c>
      <c r="E1651" s="6" t="s">
        <v>40</v>
      </c>
      <c r="F1651" s="6" t="s">
        <v>20</v>
      </c>
      <c r="G1651" s="6" t="s">
        <v>21</v>
      </c>
      <c r="H1651" s="7">
        <v>3370.0</v>
      </c>
      <c r="I1651" s="7">
        <v>5055.0</v>
      </c>
      <c r="J1651" s="6">
        <v>1964.0</v>
      </c>
      <c r="K1651" s="6">
        <v>103.0</v>
      </c>
      <c r="L1651" s="6" t="s">
        <v>32</v>
      </c>
      <c r="M1651" s="6" t="s">
        <v>6642</v>
      </c>
      <c r="N1651" s="6" t="s">
        <v>34</v>
      </c>
      <c r="O1651" s="6" t="s">
        <v>49</v>
      </c>
      <c r="P1651" s="6">
        <f>COUNTIF(Analysis!$M$1:$M$3001,Analysis!$M1651)</f>
        <v>1</v>
      </c>
      <c r="Q1651" s="6" t="str">
        <f>IF(COUNTIF(Analysis!$M$2:$M$3001,Analysis!$M1651)&gt;1,"Duplicate","OK")</f>
        <v>OK</v>
      </c>
      <c r="R1651" s="6" t="str">
        <f t="shared" si="1"/>
        <v>2600-3600</v>
      </c>
      <c r="S1651" s="6">
        <f t="shared" si="2"/>
        <v>62</v>
      </c>
      <c r="T1651" s="6" t="str">
        <f t="shared" si="3"/>
        <v>Very Old</v>
      </c>
    </row>
    <row r="1652" ht="14.25" customHeight="1">
      <c r="A1652" s="5">
        <v>1311994.0</v>
      </c>
      <c r="B1652" s="6" t="s">
        <v>6645</v>
      </c>
      <c r="C1652" s="6" t="s">
        <v>18</v>
      </c>
      <c r="D1652" s="6">
        <v>12372.0</v>
      </c>
      <c r="E1652" s="6" t="s">
        <v>60</v>
      </c>
      <c r="F1652" s="6" t="s">
        <v>20</v>
      </c>
      <c r="G1652" s="6" t="s">
        <v>31</v>
      </c>
      <c r="H1652" s="7">
        <v>3602.0</v>
      </c>
      <c r="I1652" s="7">
        <v>7421.0</v>
      </c>
      <c r="J1652" s="6">
        <v>2019.0</v>
      </c>
      <c r="K1652" s="6">
        <v>1.0</v>
      </c>
      <c r="L1652" s="6" t="s">
        <v>22</v>
      </c>
      <c r="M1652" s="6" t="s">
        <v>6646</v>
      </c>
      <c r="N1652" s="6" t="s">
        <v>64</v>
      </c>
      <c r="O1652" s="6" t="s">
        <v>35</v>
      </c>
      <c r="P1652" s="6">
        <f>COUNTIF(Analysis!$M$1:$M$3001,Analysis!$M1652)</f>
        <v>1</v>
      </c>
      <c r="Q1652" s="6" t="str">
        <f>IF(COUNTIF(Analysis!$M$2:$M$3001,Analysis!$M1652)&gt;1,"Duplicate","OK")</f>
        <v>OK</v>
      </c>
      <c r="R1652" s="6" t="str">
        <f t="shared" si="1"/>
        <v>3600+</v>
      </c>
      <c r="S1652" s="6">
        <f t="shared" si="2"/>
        <v>7</v>
      </c>
      <c r="T1652" s="6" t="str">
        <f t="shared" si="3"/>
        <v>New</v>
      </c>
    </row>
    <row r="1653" ht="14.25" customHeight="1">
      <c r="A1653" s="5">
        <v>933573.0</v>
      </c>
      <c r="B1653" s="6" t="s">
        <v>6649</v>
      </c>
      <c r="C1653" s="6" t="s">
        <v>39</v>
      </c>
      <c r="D1653" s="6">
        <v>35223.0</v>
      </c>
      <c r="E1653" s="6" t="s">
        <v>60</v>
      </c>
      <c r="F1653" s="6" t="s">
        <v>46</v>
      </c>
      <c r="G1653" s="6" t="s">
        <v>31</v>
      </c>
      <c r="H1653" s="7">
        <v>1143.0</v>
      </c>
      <c r="I1653" s="7">
        <v>9636.0</v>
      </c>
      <c r="J1653" s="6">
        <v>2019.0</v>
      </c>
      <c r="K1653" s="6">
        <v>98.0</v>
      </c>
      <c r="L1653" s="6" t="s">
        <v>95</v>
      </c>
      <c r="M1653" s="6" t="s">
        <v>6650</v>
      </c>
      <c r="N1653" s="6" t="s">
        <v>34</v>
      </c>
      <c r="O1653" s="6" t="s">
        <v>25</v>
      </c>
      <c r="P1653" s="6">
        <f>COUNTIF(Analysis!$M$1:$M$3001,Analysis!$M1653)</f>
        <v>1</v>
      </c>
      <c r="Q1653" s="6" t="str">
        <f>IF(COUNTIF(Analysis!$M$2:$M$3001,Analysis!$M1653)&gt;1,"Duplicate","OK")</f>
        <v>OK</v>
      </c>
      <c r="R1653" s="6" t="str">
        <f t="shared" si="1"/>
        <v>600-1600</v>
      </c>
      <c r="S1653" s="6">
        <f t="shared" si="2"/>
        <v>7</v>
      </c>
      <c r="T1653" s="6" t="str">
        <f t="shared" si="3"/>
        <v>New</v>
      </c>
    </row>
    <row r="1654" ht="14.25" customHeight="1">
      <c r="A1654" s="5">
        <v>576335.0</v>
      </c>
      <c r="B1654" s="6" t="s">
        <v>6653</v>
      </c>
      <c r="C1654" s="6" t="s">
        <v>53</v>
      </c>
      <c r="D1654" s="6">
        <v>84493.0</v>
      </c>
      <c r="E1654" s="6" t="s">
        <v>19</v>
      </c>
      <c r="F1654" s="6" t="s">
        <v>46</v>
      </c>
      <c r="G1654" s="6" t="s">
        <v>31</v>
      </c>
      <c r="H1654" s="7">
        <v>1898.0</v>
      </c>
      <c r="I1654" s="7">
        <v>9644.0</v>
      </c>
      <c r="J1654" s="6">
        <v>1992.0</v>
      </c>
      <c r="K1654" s="6">
        <v>55.0</v>
      </c>
      <c r="L1654" s="6" t="s">
        <v>32</v>
      </c>
      <c r="M1654" s="6" t="s">
        <v>6654</v>
      </c>
      <c r="N1654" s="6" t="s">
        <v>24</v>
      </c>
      <c r="O1654" s="6" t="s">
        <v>25</v>
      </c>
      <c r="P1654" s="6">
        <f>COUNTIF(Analysis!$M$1:$M$3001,Analysis!$M1654)</f>
        <v>1</v>
      </c>
      <c r="Q1654" s="6" t="str">
        <f>IF(COUNTIF(Analysis!$M$2:$M$3001,Analysis!$M1654)&gt;1,"Duplicate","OK")</f>
        <v>OK</v>
      </c>
      <c r="R1654" s="6" t="str">
        <f t="shared" si="1"/>
        <v>1600-2600</v>
      </c>
      <c r="S1654" s="6">
        <f t="shared" si="2"/>
        <v>34</v>
      </c>
      <c r="T1654" s="6" t="str">
        <f t="shared" si="3"/>
        <v>Old</v>
      </c>
    </row>
    <row r="1655" ht="14.25" customHeight="1">
      <c r="A1655" s="5">
        <v>879570.0</v>
      </c>
      <c r="B1655" s="6" t="s">
        <v>7197</v>
      </c>
      <c r="C1655" s="6" t="s">
        <v>29</v>
      </c>
      <c r="D1655" s="6">
        <v>57121.0</v>
      </c>
      <c r="E1655" s="6" t="s">
        <v>30</v>
      </c>
      <c r="F1655" s="6" t="s">
        <v>41</v>
      </c>
      <c r="G1655" s="6" t="s">
        <v>100</v>
      </c>
      <c r="H1655" s="7">
        <v>3123.0</v>
      </c>
      <c r="I1655" s="7">
        <v>6375.0</v>
      </c>
      <c r="J1655" s="6">
        <v>2008.0</v>
      </c>
      <c r="K1655" s="6">
        <v>11.0</v>
      </c>
      <c r="L1655" s="6" t="s">
        <v>32</v>
      </c>
      <c r="M1655" s="6" t="s">
        <v>7198</v>
      </c>
      <c r="N1655" s="6" t="s">
        <v>34</v>
      </c>
      <c r="O1655" s="6" t="s">
        <v>25</v>
      </c>
      <c r="P1655" s="6">
        <f>COUNTIF(Analysis!$M$1:$M$3001,Analysis!$M1790)</f>
        <v>1</v>
      </c>
      <c r="Q1655" s="6" t="str">
        <f>IF(COUNTIF(Analysis!$M$2:$M$3001,Analysis!$M1790)&gt;1,"Duplicate","OK")</f>
        <v>OK</v>
      </c>
      <c r="R1655" s="6" t="str">
        <f t="shared" si="1"/>
        <v>2600-3600</v>
      </c>
      <c r="S1655" s="6">
        <f t="shared" si="2"/>
        <v>18</v>
      </c>
      <c r="T1655" s="6" t="str">
        <f t="shared" si="3"/>
        <v>Mid</v>
      </c>
    </row>
    <row r="1656" ht="14.25" customHeight="1">
      <c r="A1656" s="5">
        <v>915201.0</v>
      </c>
      <c r="B1656" s="6" t="s">
        <v>6661</v>
      </c>
      <c r="C1656" s="6" t="s">
        <v>76</v>
      </c>
      <c r="D1656" s="6">
        <v>60231.0</v>
      </c>
      <c r="E1656" s="6" t="s">
        <v>77</v>
      </c>
      <c r="F1656" s="6" t="s">
        <v>94</v>
      </c>
      <c r="G1656" s="6" t="s">
        <v>31</v>
      </c>
      <c r="H1656" s="7">
        <v>3886.0</v>
      </c>
      <c r="I1656" s="7">
        <v>6667.0</v>
      </c>
      <c r="J1656" s="6">
        <v>1996.0</v>
      </c>
      <c r="K1656" s="6">
        <v>9.0</v>
      </c>
      <c r="L1656" s="6" t="s">
        <v>32</v>
      </c>
      <c r="M1656" s="6" t="s">
        <v>6662</v>
      </c>
      <c r="N1656" s="6" t="s">
        <v>24</v>
      </c>
      <c r="O1656" s="6" t="s">
        <v>25</v>
      </c>
      <c r="P1656" s="6">
        <f>COUNTIF(Analysis!$M$1:$M$3001,Analysis!$M1656)</f>
        <v>1</v>
      </c>
      <c r="Q1656" s="6" t="str">
        <f>IF(COUNTIF(Analysis!$M$2:$M$3001,Analysis!$M1656)&gt;1,"Duplicate","OK")</f>
        <v>OK</v>
      </c>
      <c r="R1656" s="6" t="str">
        <f t="shared" si="1"/>
        <v>3600+</v>
      </c>
      <c r="S1656" s="6">
        <f t="shared" si="2"/>
        <v>30</v>
      </c>
      <c r="T1656" s="6" t="str">
        <f t="shared" si="3"/>
        <v>Mid</v>
      </c>
    </row>
    <row r="1657" ht="14.25" customHeight="1">
      <c r="A1657" s="5">
        <v>883696.0</v>
      </c>
      <c r="B1657" s="6" t="s">
        <v>11894</v>
      </c>
      <c r="C1657" s="6" t="s">
        <v>29</v>
      </c>
      <c r="D1657" s="6">
        <v>12612.0</v>
      </c>
      <c r="E1657" s="6" t="s">
        <v>30</v>
      </c>
      <c r="F1657" s="6" t="s">
        <v>61</v>
      </c>
      <c r="G1657" s="6" t="s">
        <v>21</v>
      </c>
      <c r="H1657" s="7">
        <v>2003.0</v>
      </c>
      <c r="I1657" s="7">
        <v>5049.0</v>
      </c>
      <c r="J1657" s="6">
        <v>1952.0</v>
      </c>
      <c r="K1657" s="6">
        <v>21.0</v>
      </c>
      <c r="L1657" s="6" t="s">
        <v>141</v>
      </c>
      <c r="M1657" s="6" t="s">
        <v>11895</v>
      </c>
      <c r="N1657" s="6" t="s">
        <v>48</v>
      </c>
      <c r="O1657" s="6" t="s">
        <v>25</v>
      </c>
      <c r="P1657" s="6">
        <f>COUNTIF(Analysis!$M$1:$M$3001,Analysis!$M2965)</f>
        <v>1</v>
      </c>
      <c r="Q1657" s="6" t="str">
        <f>IF(COUNTIF(Analysis!$M$2:$M$3001,Analysis!$M2965)&gt;1,"Duplicate","OK")</f>
        <v>OK</v>
      </c>
      <c r="R1657" s="6" t="str">
        <f t="shared" si="1"/>
        <v>1600-2600</v>
      </c>
      <c r="S1657" s="6">
        <f t="shared" si="2"/>
        <v>74</v>
      </c>
      <c r="T1657" s="6" t="str">
        <f t="shared" si="3"/>
        <v>Very Old</v>
      </c>
    </row>
    <row r="1658" ht="14.25" customHeight="1">
      <c r="A1658" s="5">
        <v>663384.0</v>
      </c>
      <c r="B1658" s="6" t="s">
        <v>6669</v>
      </c>
      <c r="C1658" s="6" t="s">
        <v>53</v>
      </c>
      <c r="D1658" s="6">
        <v>88530.0</v>
      </c>
      <c r="E1658" s="6" t="s">
        <v>77</v>
      </c>
      <c r="F1658" s="6" t="s">
        <v>61</v>
      </c>
      <c r="G1658" s="6" t="s">
        <v>31</v>
      </c>
      <c r="H1658" s="7">
        <v>3985.0</v>
      </c>
      <c r="I1658" s="7">
        <v>1184.0</v>
      </c>
      <c r="J1658" s="6">
        <v>2005.0</v>
      </c>
      <c r="K1658" s="6">
        <v>107.0</v>
      </c>
      <c r="L1658" s="6" t="s">
        <v>22</v>
      </c>
      <c r="M1658" s="6" t="s">
        <v>6670</v>
      </c>
      <c r="N1658" s="6" t="s">
        <v>64</v>
      </c>
      <c r="O1658" s="6" t="s">
        <v>49</v>
      </c>
      <c r="P1658" s="6">
        <f>COUNTIF(Analysis!$M$1:$M$3001,Analysis!$M1658)</f>
        <v>1</v>
      </c>
      <c r="Q1658" s="6" t="str">
        <f>IF(COUNTIF(Analysis!$M$2:$M$3001,Analysis!$M1658)&gt;1,"Duplicate","OK")</f>
        <v>OK</v>
      </c>
      <c r="R1658" s="6" t="str">
        <f t="shared" si="1"/>
        <v>3600+</v>
      </c>
      <c r="S1658" s="6">
        <f t="shared" si="2"/>
        <v>21</v>
      </c>
      <c r="T1658" s="6" t="str">
        <f t="shared" si="3"/>
        <v>Mid</v>
      </c>
    </row>
    <row r="1659" ht="14.25" customHeight="1">
      <c r="A1659" s="5">
        <v>887115.0</v>
      </c>
      <c r="B1659" s="6" t="s">
        <v>3351</v>
      </c>
      <c r="C1659" s="6" t="s">
        <v>29</v>
      </c>
      <c r="D1659" s="6">
        <v>16271.0</v>
      </c>
      <c r="E1659" s="6" t="s">
        <v>19</v>
      </c>
      <c r="F1659" s="6" t="s">
        <v>20</v>
      </c>
      <c r="G1659" s="6" t="s">
        <v>100</v>
      </c>
      <c r="H1659" s="7">
        <v>3669.0</v>
      </c>
      <c r="I1659" s="7">
        <v>1043.0</v>
      </c>
      <c r="J1659" s="6">
        <v>1964.0</v>
      </c>
      <c r="K1659" s="6">
        <v>108.0</v>
      </c>
      <c r="L1659" s="6" t="s">
        <v>141</v>
      </c>
      <c r="M1659" s="6" t="s">
        <v>3352</v>
      </c>
      <c r="N1659" s="6" t="s">
        <v>24</v>
      </c>
      <c r="O1659" s="6" t="s">
        <v>25</v>
      </c>
      <c r="P1659" s="6">
        <f>COUNTIF(Analysis!$M$1:$M$3001,Analysis!$M828)</f>
        <v>1</v>
      </c>
      <c r="Q1659" s="6" t="str">
        <f>IF(COUNTIF(Analysis!$M$2:$M$3001,Analysis!$M828)&gt;1,"Duplicate","OK")</f>
        <v>OK</v>
      </c>
      <c r="R1659" s="6" t="str">
        <f t="shared" si="1"/>
        <v>3600+</v>
      </c>
      <c r="S1659" s="6">
        <f t="shared" si="2"/>
        <v>62</v>
      </c>
      <c r="T1659" s="6" t="str">
        <f t="shared" si="3"/>
        <v>Very Old</v>
      </c>
    </row>
    <row r="1660" ht="14.25" customHeight="1">
      <c r="A1660" s="5">
        <v>1081583.0</v>
      </c>
      <c r="B1660" s="6" t="s">
        <v>6677</v>
      </c>
      <c r="C1660" s="6" t="s">
        <v>53</v>
      </c>
      <c r="D1660" s="6">
        <v>85045.0</v>
      </c>
      <c r="E1660" s="6" t="s">
        <v>40</v>
      </c>
      <c r="F1660" s="6" t="s">
        <v>94</v>
      </c>
      <c r="G1660" s="6" t="s">
        <v>55</v>
      </c>
      <c r="H1660" s="7">
        <v>931.0</v>
      </c>
      <c r="I1660" s="7">
        <v>1462.0</v>
      </c>
      <c r="J1660" s="6">
        <v>1990.0</v>
      </c>
      <c r="K1660" s="6">
        <v>51.0</v>
      </c>
      <c r="L1660" s="6" t="s">
        <v>32</v>
      </c>
      <c r="M1660" s="6" t="s">
        <v>6678</v>
      </c>
      <c r="N1660" s="6" t="s">
        <v>24</v>
      </c>
      <c r="O1660" s="6" t="s">
        <v>49</v>
      </c>
      <c r="P1660" s="6">
        <f>COUNTIF(Analysis!$M$1:$M$3001,Analysis!$M1660)</f>
        <v>1</v>
      </c>
      <c r="Q1660" s="6" t="str">
        <f>IF(COUNTIF(Analysis!$M$2:$M$3001,Analysis!$M1660)&gt;1,"Duplicate","OK")</f>
        <v>OK</v>
      </c>
      <c r="R1660" s="6" t="str">
        <f t="shared" si="1"/>
        <v>600-1600</v>
      </c>
      <c r="S1660" s="6">
        <f t="shared" si="2"/>
        <v>36</v>
      </c>
      <c r="T1660" s="6" t="str">
        <f t="shared" si="3"/>
        <v>Old</v>
      </c>
    </row>
    <row r="1661" ht="14.25" customHeight="1">
      <c r="A1661" s="5">
        <v>147047.0</v>
      </c>
      <c r="B1661" s="6" t="s">
        <v>6681</v>
      </c>
      <c r="C1661" s="6" t="s">
        <v>76</v>
      </c>
      <c r="D1661" s="6">
        <v>55113.0</v>
      </c>
      <c r="E1661" s="6" t="s">
        <v>40</v>
      </c>
      <c r="F1661" s="6" t="s">
        <v>20</v>
      </c>
      <c r="G1661" s="6" t="s">
        <v>100</v>
      </c>
      <c r="H1661" s="7">
        <v>1404.0</v>
      </c>
      <c r="I1661" s="7">
        <v>6978.0</v>
      </c>
      <c r="J1661" s="6">
        <v>1969.0</v>
      </c>
      <c r="K1661" s="6">
        <v>12.0</v>
      </c>
      <c r="L1661" s="6" t="s">
        <v>32</v>
      </c>
      <c r="M1661" s="6" t="s">
        <v>6682</v>
      </c>
      <c r="N1661" s="6" t="s">
        <v>43</v>
      </c>
      <c r="O1661" s="6" t="s">
        <v>25</v>
      </c>
      <c r="P1661" s="6">
        <f>COUNTIF(Analysis!$M$1:$M$3001,Analysis!$M1661)</f>
        <v>1</v>
      </c>
      <c r="Q1661" s="6" t="str">
        <f>IF(COUNTIF(Analysis!$M$2:$M$3001,Analysis!$M1661)&gt;1,"Duplicate","OK")</f>
        <v>OK</v>
      </c>
      <c r="R1661" s="6" t="str">
        <f t="shared" si="1"/>
        <v>600-1600</v>
      </c>
      <c r="S1661" s="6">
        <f t="shared" si="2"/>
        <v>57</v>
      </c>
      <c r="T1661" s="6" t="str">
        <f t="shared" si="3"/>
        <v>Old</v>
      </c>
    </row>
    <row r="1662" ht="14.25" customHeight="1">
      <c r="A1662" s="5">
        <v>894259.0</v>
      </c>
      <c r="B1662" s="6" t="s">
        <v>8432</v>
      </c>
      <c r="C1662" s="6" t="s">
        <v>29</v>
      </c>
      <c r="D1662" s="6">
        <v>12761.0</v>
      </c>
      <c r="E1662" s="6" t="s">
        <v>40</v>
      </c>
      <c r="F1662" s="6" t="s">
        <v>54</v>
      </c>
      <c r="G1662" s="6" t="s">
        <v>31</v>
      </c>
      <c r="H1662" s="7">
        <v>3401.0</v>
      </c>
      <c r="I1662" s="7">
        <v>2796.0</v>
      </c>
      <c r="J1662" s="6">
        <v>1993.0</v>
      </c>
      <c r="K1662" s="6">
        <v>83.0</v>
      </c>
      <c r="L1662" s="6" t="s">
        <v>22</v>
      </c>
      <c r="M1662" s="6" t="s">
        <v>8433</v>
      </c>
      <c r="N1662" s="6" t="s">
        <v>64</v>
      </c>
      <c r="O1662" s="6" t="s">
        <v>35</v>
      </c>
      <c r="P1662" s="6">
        <f>COUNTIF(Analysis!$M$1:$M$3001,Analysis!$M2099)</f>
        <v>1</v>
      </c>
      <c r="Q1662" s="6" t="str">
        <f>IF(COUNTIF(Analysis!$M$2:$M$3001,Analysis!$M2099)&gt;1,"Duplicate","OK")</f>
        <v>OK</v>
      </c>
      <c r="R1662" s="6" t="str">
        <f t="shared" si="1"/>
        <v>2600-3600</v>
      </c>
      <c r="S1662" s="6">
        <f t="shared" si="2"/>
        <v>33</v>
      </c>
      <c r="T1662" s="6" t="str">
        <f t="shared" si="3"/>
        <v>Old</v>
      </c>
    </row>
    <row r="1663" ht="14.25" customHeight="1">
      <c r="A1663" s="5">
        <v>764186.0</v>
      </c>
      <c r="B1663" s="6" t="s">
        <v>6689</v>
      </c>
      <c r="C1663" s="6" t="s">
        <v>76</v>
      </c>
      <c r="D1663" s="6">
        <v>87865.0</v>
      </c>
      <c r="E1663" s="6" t="s">
        <v>40</v>
      </c>
      <c r="F1663" s="6" t="s">
        <v>54</v>
      </c>
      <c r="G1663" s="6" t="s">
        <v>55</v>
      </c>
      <c r="H1663" s="7">
        <v>2695.0</v>
      </c>
      <c r="I1663" s="7">
        <v>6672.0</v>
      </c>
      <c r="J1663" s="6">
        <v>1995.0</v>
      </c>
      <c r="K1663" s="6">
        <v>95.0</v>
      </c>
      <c r="L1663" s="6" t="s">
        <v>141</v>
      </c>
      <c r="M1663" s="6" t="s">
        <v>6690</v>
      </c>
      <c r="N1663" s="6" t="s">
        <v>34</v>
      </c>
      <c r="O1663" s="6" t="s">
        <v>49</v>
      </c>
      <c r="P1663" s="6">
        <f>COUNTIF(Analysis!$M$1:$M$3001,Analysis!$M1663)</f>
        <v>1</v>
      </c>
      <c r="Q1663" s="6" t="str">
        <f>IF(COUNTIF(Analysis!$M$2:$M$3001,Analysis!$M1663)&gt;1,"Duplicate","OK")</f>
        <v>OK</v>
      </c>
      <c r="R1663" s="6" t="str">
        <f t="shared" si="1"/>
        <v>2600-3600</v>
      </c>
      <c r="S1663" s="6">
        <f t="shared" si="2"/>
        <v>31</v>
      </c>
      <c r="T1663" s="6" t="str">
        <f t="shared" si="3"/>
        <v>Old</v>
      </c>
    </row>
    <row r="1664" ht="14.25" customHeight="1">
      <c r="A1664" s="5">
        <v>453512.0</v>
      </c>
      <c r="B1664" s="6" t="s">
        <v>6693</v>
      </c>
      <c r="C1664" s="6" t="s">
        <v>76</v>
      </c>
      <c r="D1664" s="6">
        <v>59792.0</v>
      </c>
      <c r="E1664" s="6" t="s">
        <v>77</v>
      </c>
      <c r="F1664" s="6" t="s">
        <v>54</v>
      </c>
      <c r="G1664" s="6" t="s">
        <v>100</v>
      </c>
      <c r="H1664" s="7">
        <v>3991.0</v>
      </c>
      <c r="I1664" s="7">
        <v>6335.0</v>
      </c>
      <c r="J1664" s="6">
        <v>2014.0</v>
      </c>
      <c r="K1664" s="6">
        <v>86.0</v>
      </c>
      <c r="L1664" s="6" t="s">
        <v>22</v>
      </c>
      <c r="M1664" s="6" t="s">
        <v>6694</v>
      </c>
      <c r="N1664" s="6" t="s">
        <v>48</v>
      </c>
      <c r="O1664" s="6" t="s">
        <v>35</v>
      </c>
      <c r="P1664" s="6">
        <f>COUNTIF(Analysis!$M$1:$M$3001,Analysis!$M1664)</f>
        <v>1</v>
      </c>
      <c r="Q1664" s="6" t="str">
        <f>IF(COUNTIF(Analysis!$M$2:$M$3001,Analysis!$M1664)&gt;1,"Duplicate","OK")</f>
        <v>OK</v>
      </c>
      <c r="R1664" s="6" t="str">
        <f t="shared" si="1"/>
        <v>3600+</v>
      </c>
      <c r="S1664" s="6">
        <f t="shared" si="2"/>
        <v>12</v>
      </c>
      <c r="T1664" s="6" t="str">
        <f t="shared" si="3"/>
        <v>Mid</v>
      </c>
    </row>
    <row r="1665" ht="14.25" customHeight="1">
      <c r="A1665" s="5">
        <v>827388.0</v>
      </c>
      <c r="B1665" s="6" t="s">
        <v>6697</v>
      </c>
      <c r="C1665" s="6" t="s">
        <v>39</v>
      </c>
      <c r="D1665" s="6">
        <v>56988.0</v>
      </c>
      <c r="E1665" s="6" t="s">
        <v>60</v>
      </c>
      <c r="F1665" s="6" t="s">
        <v>41</v>
      </c>
      <c r="G1665" s="6" t="s">
        <v>21</v>
      </c>
      <c r="H1665" s="7">
        <v>3785.0</v>
      </c>
      <c r="I1665" s="7">
        <v>8693.0</v>
      </c>
      <c r="J1665" s="6">
        <v>2006.0</v>
      </c>
      <c r="K1665" s="6">
        <v>53.0</v>
      </c>
      <c r="L1665" s="6" t="s">
        <v>141</v>
      </c>
      <c r="M1665" s="6" t="s">
        <v>6698</v>
      </c>
      <c r="N1665" s="6" t="s">
        <v>48</v>
      </c>
      <c r="O1665" s="6" t="s">
        <v>49</v>
      </c>
      <c r="P1665" s="6">
        <f>COUNTIF(Analysis!$M$1:$M$3001,Analysis!$M1665)</f>
        <v>1</v>
      </c>
      <c r="Q1665" s="6" t="str">
        <f>IF(COUNTIF(Analysis!$M$2:$M$3001,Analysis!$M1665)&gt;1,"Duplicate","OK")</f>
        <v>OK</v>
      </c>
      <c r="R1665" s="6" t="str">
        <f t="shared" si="1"/>
        <v>3600+</v>
      </c>
      <c r="S1665" s="6">
        <f t="shared" si="2"/>
        <v>20</v>
      </c>
      <c r="T1665" s="6" t="str">
        <f t="shared" si="3"/>
        <v>Mid</v>
      </c>
    </row>
    <row r="1666" ht="14.25" customHeight="1">
      <c r="A1666" s="5">
        <v>1310763.0</v>
      </c>
      <c r="B1666" s="6" t="s">
        <v>6701</v>
      </c>
      <c r="C1666" s="6" t="s">
        <v>53</v>
      </c>
      <c r="D1666" s="6">
        <v>77095.0</v>
      </c>
      <c r="E1666" s="6" t="s">
        <v>30</v>
      </c>
      <c r="F1666" s="6" t="s">
        <v>61</v>
      </c>
      <c r="G1666" s="6" t="s">
        <v>21</v>
      </c>
      <c r="H1666" s="7">
        <v>966.0</v>
      </c>
      <c r="I1666" s="7">
        <v>3173.0</v>
      </c>
      <c r="J1666" s="6">
        <v>1964.0</v>
      </c>
      <c r="K1666" s="6">
        <v>86.0</v>
      </c>
      <c r="L1666" s="6" t="s">
        <v>32</v>
      </c>
      <c r="M1666" s="6" t="s">
        <v>6702</v>
      </c>
      <c r="N1666" s="6" t="s">
        <v>64</v>
      </c>
      <c r="O1666" s="6" t="s">
        <v>35</v>
      </c>
      <c r="P1666" s="6">
        <f>COUNTIF(Analysis!$M$1:$M$3001,Analysis!$M1666)</f>
        <v>1</v>
      </c>
      <c r="Q1666" s="6" t="str">
        <f>IF(COUNTIF(Analysis!$M$2:$M$3001,Analysis!$M1666)&gt;1,"Duplicate","OK")</f>
        <v>OK</v>
      </c>
      <c r="R1666" s="6" t="str">
        <f t="shared" si="1"/>
        <v>600-1600</v>
      </c>
      <c r="S1666" s="6">
        <f t="shared" si="2"/>
        <v>62</v>
      </c>
      <c r="T1666" s="6" t="str">
        <f t="shared" si="3"/>
        <v>Very Old</v>
      </c>
    </row>
    <row r="1667" ht="14.25" customHeight="1">
      <c r="A1667" s="5">
        <v>668647.0</v>
      </c>
      <c r="B1667" s="6" t="s">
        <v>6705</v>
      </c>
      <c r="C1667" s="6" t="s">
        <v>76</v>
      </c>
      <c r="D1667" s="6">
        <v>20111.0</v>
      </c>
      <c r="E1667" s="6" t="s">
        <v>19</v>
      </c>
      <c r="F1667" s="6" t="s">
        <v>41</v>
      </c>
      <c r="G1667" s="6" t="s">
        <v>21</v>
      </c>
      <c r="H1667" s="7">
        <v>2843.0</v>
      </c>
      <c r="I1667" s="7">
        <v>6095.0</v>
      </c>
      <c r="J1667" s="6">
        <v>2008.0</v>
      </c>
      <c r="K1667" s="6">
        <v>100.0</v>
      </c>
      <c r="L1667" s="6" t="s">
        <v>32</v>
      </c>
      <c r="M1667" s="6" t="s">
        <v>6706</v>
      </c>
      <c r="N1667" s="6" t="s">
        <v>24</v>
      </c>
      <c r="O1667" s="6" t="s">
        <v>35</v>
      </c>
      <c r="P1667" s="6">
        <f>COUNTIF(Analysis!$M$1:$M$3001,Analysis!$M1667)</f>
        <v>1</v>
      </c>
      <c r="Q1667" s="6" t="str">
        <f>IF(COUNTIF(Analysis!$M$2:$M$3001,Analysis!$M1667)&gt;1,"Duplicate","OK")</f>
        <v>OK</v>
      </c>
      <c r="R1667" s="6" t="str">
        <f t="shared" si="1"/>
        <v>2600-3600</v>
      </c>
      <c r="S1667" s="6">
        <f t="shared" si="2"/>
        <v>18</v>
      </c>
      <c r="T1667" s="6" t="str">
        <f t="shared" si="3"/>
        <v>Mid</v>
      </c>
    </row>
    <row r="1668" ht="14.25" customHeight="1">
      <c r="A1668" s="5">
        <v>900797.0</v>
      </c>
      <c r="B1668" s="6" t="s">
        <v>3527</v>
      </c>
      <c r="C1668" s="6" t="s">
        <v>29</v>
      </c>
      <c r="D1668" s="6">
        <v>18870.0</v>
      </c>
      <c r="E1668" s="6" t="s">
        <v>40</v>
      </c>
      <c r="F1668" s="6" t="s">
        <v>46</v>
      </c>
      <c r="G1668" s="6" t="s">
        <v>100</v>
      </c>
      <c r="H1668" s="7">
        <v>3842.0</v>
      </c>
      <c r="I1668" s="7">
        <v>5839.0</v>
      </c>
      <c r="J1668" s="6">
        <v>1957.0</v>
      </c>
      <c r="K1668" s="6">
        <v>98.0</v>
      </c>
      <c r="L1668" s="6" t="s">
        <v>141</v>
      </c>
      <c r="M1668" s="6" t="s">
        <v>3528</v>
      </c>
      <c r="N1668" s="6" t="s">
        <v>48</v>
      </c>
      <c r="O1668" s="6" t="s">
        <v>49</v>
      </c>
      <c r="P1668" s="6">
        <f>COUNTIF(Analysis!$M$1:$M$3001,Analysis!$M872)</f>
        <v>1</v>
      </c>
      <c r="Q1668" s="6" t="str">
        <f>IF(COUNTIF(Analysis!$M$2:$M$3001,Analysis!$M872)&gt;1,"Duplicate","OK")</f>
        <v>OK</v>
      </c>
      <c r="R1668" s="6" t="str">
        <f t="shared" si="1"/>
        <v>3600+</v>
      </c>
      <c r="S1668" s="6">
        <f t="shared" si="2"/>
        <v>69</v>
      </c>
      <c r="T1668" s="6" t="str">
        <f t="shared" si="3"/>
        <v>Very Old</v>
      </c>
    </row>
    <row r="1669" ht="14.25" customHeight="1">
      <c r="A1669" s="5">
        <v>584306.0</v>
      </c>
      <c r="B1669" s="6" t="s">
        <v>6713</v>
      </c>
      <c r="C1669" s="6" t="s">
        <v>53</v>
      </c>
      <c r="D1669" s="6">
        <v>28585.0</v>
      </c>
      <c r="E1669" s="6" t="s">
        <v>77</v>
      </c>
      <c r="F1669" s="6" t="s">
        <v>94</v>
      </c>
      <c r="G1669" s="6" t="s">
        <v>100</v>
      </c>
      <c r="H1669" s="7">
        <v>2670.0</v>
      </c>
      <c r="I1669" s="7">
        <v>3530.0</v>
      </c>
      <c r="J1669" s="6">
        <v>1991.0</v>
      </c>
      <c r="K1669" s="6">
        <v>38.0</v>
      </c>
      <c r="L1669" s="6" t="s">
        <v>22</v>
      </c>
      <c r="M1669" s="6" t="s">
        <v>6714</v>
      </c>
      <c r="N1669" s="6" t="s">
        <v>48</v>
      </c>
      <c r="O1669" s="6" t="s">
        <v>35</v>
      </c>
      <c r="P1669" s="6">
        <f>COUNTIF(Analysis!$M$1:$M$3001,Analysis!$M1669)</f>
        <v>1</v>
      </c>
      <c r="Q1669" s="6" t="str">
        <f>IF(COUNTIF(Analysis!$M$2:$M$3001,Analysis!$M1669)&gt;1,"Duplicate","OK")</f>
        <v>OK</v>
      </c>
      <c r="R1669" s="6" t="str">
        <f t="shared" si="1"/>
        <v>2600-3600</v>
      </c>
      <c r="S1669" s="6">
        <f t="shared" si="2"/>
        <v>35</v>
      </c>
      <c r="T1669" s="6" t="str">
        <f t="shared" si="3"/>
        <v>Old</v>
      </c>
    </row>
    <row r="1670" ht="14.25" customHeight="1">
      <c r="A1670" s="5">
        <v>1418754.0</v>
      </c>
      <c r="B1670" s="6" t="s">
        <v>6717</v>
      </c>
      <c r="C1670" s="6" t="s">
        <v>39</v>
      </c>
      <c r="D1670" s="6">
        <v>19965.0</v>
      </c>
      <c r="E1670" s="6" t="s">
        <v>60</v>
      </c>
      <c r="F1670" s="6" t="s">
        <v>41</v>
      </c>
      <c r="G1670" s="6" t="s">
        <v>31</v>
      </c>
      <c r="H1670" s="7">
        <v>3467.0</v>
      </c>
      <c r="I1670" s="7">
        <v>4404.0</v>
      </c>
      <c r="J1670" s="6">
        <v>2012.0</v>
      </c>
      <c r="K1670" s="6">
        <v>88.0</v>
      </c>
      <c r="L1670" s="6" t="s">
        <v>22</v>
      </c>
      <c r="M1670" s="6" t="s">
        <v>6718</v>
      </c>
      <c r="N1670" s="6" t="s">
        <v>34</v>
      </c>
      <c r="O1670" s="6" t="s">
        <v>35</v>
      </c>
      <c r="P1670" s="6">
        <f>COUNTIF(Analysis!$M$1:$M$3001,Analysis!$M1670)</f>
        <v>1</v>
      </c>
      <c r="Q1670" s="6" t="str">
        <f>IF(COUNTIF(Analysis!$M$2:$M$3001,Analysis!$M1670)&gt;1,"Duplicate","OK")</f>
        <v>OK</v>
      </c>
      <c r="R1670" s="6" t="str">
        <f t="shared" si="1"/>
        <v>2600-3600</v>
      </c>
      <c r="S1670" s="6">
        <f t="shared" si="2"/>
        <v>14</v>
      </c>
      <c r="T1670" s="6" t="str">
        <f t="shared" si="3"/>
        <v>Mid</v>
      </c>
    </row>
    <row r="1671" ht="14.25" customHeight="1">
      <c r="A1671" s="5">
        <v>618573.0</v>
      </c>
      <c r="B1671" s="6" t="s">
        <v>6721</v>
      </c>
      <c r="C1671" s="6" t="s">
        <v>53</v>
      </c>
      <c r="D1671" s="6">
        <v>16960.0</v>
      </c>
      <c r="E1671" s="6" t="s">
        <v>40</v>
      </c>
      <c r="F1671" s="6" t="s">
        <v>41</v>
      </c>
      <c r="G1671" s="6" t="s">
        <v>100</v>
      </c>
      <c r="H1671" s="7">
        <v>3191.0</v>
      </c>
      <c r="I1671" s="7">
        <v>8450.0</v>
      </c>
      <c r="J1671" s="6">
        <v>1981.0</v>
      </c>
      <c r="K1671" s="6">
        <v>54.0</v>
      </c>
      <c r="L1671" s="6" t="s">
        <v>22</v>
      </c>
      <c r="M1671" s="6" t="s">
        <v>6722</v>
      </c>
      <c r="N1671" s="6" t="s">
        <v>43</v>
      </c>
      <c r="O1671" s="6" t="s">
        <v>35</v>
      </c>
      <c r="P1671" s="6">
        <f>COUNTIF(Analysis!$M$1:$M$3001,Analysis!$M1671)</f>
        <v>1</v>
      </c>
      <c r="Q1671" s="6" t="str">
        <f>IF(COUNTIF(Analysis!$M$2:$M$3001,Analysis!$M1671)&gt;1,"Duplicate","OK")</f>
        <v>OK</v>
      </c>
      <c r="R1671" s="6" t="str">
        <f t="shared" si="1"/>
        <v>2600-3600</v>
      </c>
      <c r="S1671" s="6">
        <f t="shared" si="2"/>
        <v>45</v>
      </c>
      <c r="T1671" s="6" t="str">
        <f t="shared" si="3"/>
        <v>Old</v>
      </c>
    </row>
    <row r="1672" ht="14.25" customHeight="1">
      <c r="A1672" s="5">
        <v>890281.0</v>
      </c>
      <c r="B1672" s="6" t="s">
        <v>6725</v>
      </c>
      <c r="C1672" s="6" t="s">
        <v>53</v>
      </c>
      <c r="D1672" s="6">
        <v>26677.0</v>
      </c>
      <c r="E1672" s="6" t="s">
        <v>19</v>
      </c>
      <c r="F1672" s="6" t="s">
        <v>54</v>
      </c>
      <c r="G1672" s="6" t="s">
        <v>55</v>
      </c>
      <c r="H1672" s="7">
        <v>2578.0</v>
      </c>
      <c r="I1672" s="7">
        <v>8444.0</v>
      </c>
      <c r="J1672" s="6">
        <v>2016.0</v>
      </c>
      <c r="K1672" s="6">
        <v>54.0</v>
      </c>
      <c r="L1672" s="6" t="s">
        <v>32</v>
      </c>
      <c r="M1672" s="6" t="s">
        <v>6726</v>
      </c>
      <c r="N1672" s="6" t="s">
        <v>34</v>
      </c>
      <c r="O1672" s="6" t="s">
        <v>49</v>
      </c>
      <c r="P1672" s="6">
        <f>COUNTIF(Analysis!$M$1:$M$3001,Analysis!$M1672)</f>
        <v>1</v>
      </c>
      <c r="Q1672" s="6" t="str">
        <f>IF(COUNTIF(Analysis!$M$2:$M$3001,Analysis!$M1672)&gt;1,"Duplicate","OK")</f>
        <v>OK</v>
      </c>
      <c r="R1672" s="6" t="str">
        <f t="shared" si="1"/>
        <v>1600-2600</v>
      </c>
      <c r="S1672" s="6">
        <f t="shared" si="2"/>
        <v>10</v>
      </c>
      <c r="T1672" s="6" t="str">
        <f t="shared" si="3"/>
        <v>New</v>
      </c>
    </row>
    <row r="1673" ht="14.25" customHeight="1">
      <c r="A1673" s="5">
        <v>1496209.0</v>
      </c>
      <c r="B1673" s="6" t="s">
        <v>6729</v>
      </c>
      <c r="C1673" s="6" t="s">
        <v>53</v>
      </c>
      <c r="D1673" s="6">
        <v>69486.0</v>
      </c>
      <c r="E1673" s="6" t="s">
        <v>60</v>
      </c>
      <c r="F1673" s="6" t="s">
        <v>20</v>
      </c>
      <c r="G1673" s="6" t="s">
        <v>21</v>
      </c>
      <c r="H1673" s="7">
        <v>1857.0</v>
      </c>
      <c r="I1673" s="7">
        <v>5751.0</v>
      </c>
      <c r="J1673" s="6">
        <v>1990.0</v>
      </c>
      <c r="K1673" s="6">
        <v>83.0</v>
      </c>
      <c r="L1673" s="6" t="s">
        <v>62</v>
      </c>
      <c r="M1673" s="6" t="s">
        <v>6730</v>
      </c>
      <c r="N1673" s="6" t="s">
        <v>64</v>
      </c>
      <c r="O1673" s="6" t="s">
        <v>35</v>
      </c>
      <c r="P1673" s="6">
        <f>COUNTIF(Analysis!$M$1:$M$3001,Analysis!$M1673)</f>
        <v>1</v>
      </c>
      <c r="Q1673" s="6" t="str">
        <f>IF(COUNTIF(Analysis!$M$2:$M$3001,Analysis!$M1673)&gt;1,"Duplicate","OK")</f>
        <v>OK</v>
      </c>
      <c r="R1673" s="6" t="str">
        <f t="shared" si="1"/>
        <v>1600-2600</v>
      </c>
      <c r="S1673" s="6">
        <f t="shared" si="2"/>
        <v>36</v>
      </c>
      <c r="T1673" s="6" t="str">
        <f t="shared" si="3"/>
        <v>Old</v>
      </c>
    </row>
    <row r="1674" ht="14.25" customHeight="1">
      <c r="A1674" s="5">
        <v>352485.0</v>
      </c>
      <c r="B1674" s="6" t="s">
        <v>6733</v>
      </c>
      <c r="C1674" s="6" t="s">
        <v>39</v>
      </c>
      <c r="D1674" s="6">
        <v>42718.0</v>
      </c>
      <c r="E1674" s="6" t="s">
        <v>19</v>
      </c>
      <c r="F1674" s="6" t="s">
        <v>54</v>
      </c>
      <c r="G1674" s="6" t="s">
        <v>21</v>
      </c>
      <c r="H1674" s="7">
        <v>3911.0</v>
      </c>
      <c r="I1674" s="7">
        <v>8802.0</v>
      </c>
      <c r="J1674" s="6">
        <v>1996.0</v>
      </c>
      <c r="K1674" s="6">
        <v>46.0</v>
      </c>
      <c r="L1674" s="6" t="s">
        <v>32</v>
      </c>
      <c r="M1674" s="6" t="s">
        <v>6734</v>
      </c>
      <c r="N1674" s="6" t="s">
        <v>24</v>
      </c>
      <c r="O1674" s="6" t="s">
        <v>49</v>
      </c>
      <c r="P1674" s="6">
        <f>COUNTIF(Analysis!$M$1:$M$3001,Analysis!$M1674)</f>
        <v>1</v>
      </c>
      <c r="Q1674" s="6" t="str">
        <f>IF(COUNTIF(Analysis!$M$2:$M$3001,Analysis!$M1674)&gt;1,"Duplicate","OK")</f>
        <v>OK</v>
      </c>
      <c r="R1674" s="6" t="str">
        <f t="shared" si="1"/>
        <v>3600+</v>
      </c>
      <c r="S1674" s="6">
        <f t="shared" si="2"/>
        <v>30</v>
      </c>
      <c r="T1674" s="6" t="str">
        <f t="shared" si="3"/>
        <v>Mid</v>
      </c>
    </row>
    <row r="1675" ht="14.25" customHeight="1">
      <c r="A1675" s="5">
        <v>742169.0</v>
      </c>
      <c r="B1675" s="6" t="s">
        <v>6737</v>
      </c>
      <c r="C1675" s="6" t="s">
        <v>18</v>
      </c>
      <c r="D1675" s="6">
        <v>10416.0</v>
      </c>
      <c r="E1675" s="6" t="s">
        <v>77</v>
      </c>
      <c r="F1675" s="6" t="s">
        <v>54</v>
      </c>
      <c r="G1675" s="6" t="s">
        <v>21</v>
      </c>
      <c r="H1675" s="7">
        <v>3232.0</v>
      </c>
      <c r="I1675" s="7">
        <v>1687.0</v>
      </c>
      <c r="J1675" s="6">
        <v>1967.0</v>
      </c>
      <c r="K1675" s="6">
        <v>115.0</v>
      </c>
      <c r="L1675" s="6" t="s">
        <v>22</v>
      </c>
      <c r="M1675" s="6" t="s">
        <v>6738</v>
      </c>
      <c r="N1675" s="6" t="s">
        <v>24</v>
      </c>
      <c r="O1675" s="6" t="s">
        <v>25</v>
      </c>
      <c r="P1675" s="6">
        <f>COUNTIF(Analysis!$M$1:$M$3001,Analysis!$M1675)</f>
        <v>1</v>
      </c>
      <c r="Q1675" s="6" t="str">
        <f>IF(COUNTIF(Analysis!$M$2:$M$3001,Analysis!$M1675)&gt;1,"Duplicate","OK")</f>
        <v>OK</v>
      </c>
      <c r="R1675" s="6" t="str">
        <f t="shared" si="1"/>
        <v>2600-3600</v>
      </c>
      <c r="S1675" s="6">
        <f t="shared" si="2"/>
        <v>59</v>
      </c>
      <c r="T1675" s="6" t="str">
        <f t="shared" si="3"/>
        <v>Old</v>
      </c>
    </row>
    <row r="1676" ht="14.25" customHeight="1">
      <c r="A1676" s="5">
        <v>541666.0</v>
      </c>
      <c r="B1676" s="6" t="s">
        <v>6741</v>
      </c>
      <c r="C1676" s="6" t="s">
        <v>76</v>
      </c>
      <c r="D1676" s="6">
        <v>31458.0</v>
      </c>
      <c r="E1676" s="6" t="s">
        <v>60</v>
      </c>
      <c r="F1676" s="6" t="s">
        <v>61</v>
      </c>
      <c r="G1676" s="6" t="s">
        <v>100</v>
      </c>
      <c r="H1676" s="7">
        <v>3556.0</v>
      </c>
      <c r="I1676" s="7">
        <v>1530.0</v>
      </c>
      <c r="J1676" s="6">
        <v>2022.0</v>
      </c>
      <c r="K1676" s="6">
        <v>17.0</v>
      </c>
      <c r="L1676" s="6" t="s">
        <v>22</v>
      </c>
      <c r="M1676" s="6" t="s">
        <v>6742</v>
      </c>
      <c r="N1676" s="6" t="s">
        <v>43</v>
      </c>
      <c r="O1676" s="6" t="s">
        <v>35</v>
      </c>
      <c r="P1676" s="6">
        <f>COUNTIF(Analysis!$M$1:$M$3001,Analysis!$M1676)</f>
        <v>1</v>
      </c>
      <c r="Q1676" s="6" t="str">
        <f>IF(COUNTIF(Analysis!$M$2:$M$3001,Analysis!$M1676)&gt;1,"Duplicate","OK")</f>
        <v>OK</v>
      </c>
      <c r="R1676" s="6" t="str">
        <f t="shared" si="1"/>
        <v>2600-3600</v>
      </c>
      <c r="S1676" s="6">
        <f t="shared" si="2"/>
        <v>4</v>
      </c>
      <c r="T1676" s="6" t="str">
        <f t="shared" si="3"/>
        <v>New</v>
      </c>
    </row>
    <row r="1677" ht="14.25" customHeight="1">
      <c r="A1677" s="5">
        <v>839325.0</v>
      </c>
      <c r="B1677" s="6" t="s">
        <v>6745</v>
      </c>
      <c r="C1677" s="6" t="s">
        <v>76</v>
      </c>
      <c r="D1677" s="6">
        <v>50549.0</v>
      </c>
      <c r="E1677" s="6" t="s">
        <v>30</v>
      </c>
      <c r="F1677" s="6" t="s">
        <v>61</v>
      </c>
      <c r="G1677" s="6" t="s">
        <v>55</v>
      </c>
      <c r="H1677" s="7">
        <v>3763.0</v>
      </c>
      <c r="I1677" s="7">
        <v>9075.0</v>
      </c>
      <c r="J1677" s="6">
        <v>1985.0</v>
      </c>
      <c r="K1677" s="6">
        <v>12.0</v>
      </c>
      <c r="L1677" s="6" t="s">
        <v>141</v>
      </c>
      <c r="M1677" s="6" t="s">
        <v>6746</v>
      </c>
      <c r="N1677" s="6" t="s">
        <v>64</v>
      </c>
      <c r="O1677" s="6" t="s">
        <v>25</v>
      </c>
      <c r="P1677" s="6">
        <f>COUNTIF(Analysis!$M$1:$M$3001,Analysis!$M1677)</f>
        <v>1</v>
      </c>
      <c r="Q1677" s="6" t="str">
        <f>IF(COUNTIF(Analysis!$M$2:$M$3001,Analysis!$M1677)&gt;1,"Duplicate","OK")</f>
        <v>OK</v>
      </c>
      <c r="R1677" s="6" t="str">
        <f t="shared" si="1"/>
        <v>3600+</v>
      </c>
      <c r="S1677" s="6">
        <f t="shared" si="2"/>
        <v>41</v>
      </c>
      <c r="T1677" s="6" t="str">
        <f t="shared" si="3"/>
        <v>Old</v>
      </c>
    </row>
    <row r="1678" ht="14.25" customHeight="1">
      <c r="A1678" s="5">
        <v>1075708.0</v>
      </c>
      <c r="B1678" s="6" t="s">
        <v>6749</v>
      </c>
      <c r="C1678" s="6" t="s">
        <v>53</v>
      </c>
      <c r="D1678" s="6">
        <v>75254.0</v>
      </c>
      <c r="E1678" s="6" t="s">
        <v>77</v>
      </c>
      <c r="F1678" s="6" t="s">
        <v>20</v>
      </c>
      <c r="G1678" s="6" t="s">
        <v>100</v>
      </c>
      <c r="H1678" s="7">
        <v>1764.0</v>
      </c>
      <c r="I1678" s="7">
        <v>9718.0</v>
      </c>
      <c r="J1678" s="6">
        <v>2019.0</v>
      </c>
      <c r="K1678" s="6">
        <v>55.0</v>
      </c>
      <c r="L1678" s="6" t="s">
        <v>62</v>
      </c>
      <c r="M1678" s="6" t="s">
        <v>6750</v>
      </c>
      <c r="N1678" s="6" t="s">
        <v>24</v>
      </c>
      <c r="O1678" s="6" t="s">
        <v>35</v>
      </c>
      <c r="P1678" s="6">
        <f>COUNTIF(Analysis!$M$1:$M$3001,Analysis!$M1678)</f>
        <v>1</v>
      </c>
      <c r="Q1678" s="6" t="str">
        <f>IF(COUNTIF(Analysis!$M$2:$M$3001,Analysis!$M1678)&gt;1,"Duplicate","OK")</f>
        <v>OK</v>
      </c>
      <c r="R1678" s="6" t="str">
        <f t="shared" si="1"/>
        <v>1600-2600</v>
      </c>
      <c r="S1678" s="6">
        <f t="shared" si="2"/>
        <v>7</v>
      </c>
      <c r="T1678" s="6" t="str">
        <f t="shared" si="3"/>
        <v>New</v>
      </c>
    </row>
    <row r="1679" ht="14.25" customHeight="1">
      <c r="A1679" s="5">
        <v>931701.0</v>
      </c>
      <c r="B1679" s="6" t="s">
        <v>6753</v>
      </c>
      <c r="C1679" s="6" t="s">
        <v>53</v>
      </c>
      <c r="D1679" s="6">
        <v>18307.0</v>
      </c>
      <c r="E1679" s="6" t="s">
        <v>77</v>
      </c>
      <c r="F1679" s="6" t="s">
        <v>94</v>
      </c>
      <c r="G1679" s="6" t="s">
        <v>100</v>
      </c>
      <c r="H1679" s="7">
        <v>3349.0</v>
      </c>
      <c r="I1679" s="7">
        <v>8588.0</v>
      </c>
      <c r="J1679" s="6">
        <v>2001.0</v>
      </c>
      <c r="K1679" s="6">
        <v>86.0</v>
      </c>
      <c r="L1679" s="6" t="s">
        <v>95</v>
      </c>
      <c r="M1679" s="6" t="s">
        <v>6754</v>
      </c>
      <c r="N1679" s="6" t="s">
        <v>43</v>
      </c>
      <c r="O1679" s="6" t="s">
        <v>35</v>
      </c>
      <c r="P1679" s="6">
        <f>COUNTIF(Analysis!$M$1:$M$3001,Analysis!$M1679)</f>
        <v>1</v>
      </c>
      <c r="Q1679" s="6" t="str">
        <f>IF(COUNTIF(Analysis!$M$2:$M$3001,Analysis!$M1679)&gt;1,"Duplicate","OK")</f>
        <v>OK</v>
      </c>
      <c r="R1679" s="6" t="str">
        <f t="shared" si="1"/>
        <v>2600-3600</v>
      </c>
      <c r="S1679" s="6">
        <f t="shared" si="2"/>
        <v>25</v>
      </c>
      <c r="T1679" s="6" t="str">
        <f t="shared" si="3"/>
        <v>Mid</v>
      </c>
    </row>
    <row r="1680" ht="14.25" customHeight="1">
      <c r="A1680" s="5">
        <v>1095371.0</v>
      </c>
      <c r="B1680" s="6" t="s">
        <v>6757</v>
      </c>
      <c r="C1680" s="6" t="s">
        <v>53</v>
      </c>
      <c r="D1680" s="6">
        <v>54519.0</v>
      </c>
      <c r="E1680" s="6" t="s">
        <v>60</v>
      </c>
      <c r="F1680" s="6" t="s">
        <v>46</v>
      </c>
      <c r="G1680" s="6" t="s">
        <v>55</v>
      </c>
      <c r="H1680" s="7">
        <v>1446.0</v>
      </c>
      <c r="I1680" s="7">
        <v>2301.0</v>
      </c>
      <c r="J1680" s="6">
        <v>1982.0</v>
      </c>
      <c r="K1680" s="6">
        <v>31.0</v>
      </c>
      <c r="L1680" s="6" t="s">
        <v>32</v>
      </c>
      <c r="M1680" s="6" t="s">
        <v>6758</v>
      </c>
      <c r="N1680" s="6" t="s">
        <v>64</v>
      </c>
      <c r="O1680" s="6" t="s">
        <v>35</v>
      </c>
      <c r="P1680" s="6">
        <f>COUNTIF(Analysis!$M$1:$M$3001,Analysis!$M1680)</f>
        <v>1</v>
      </c>
      <c r="Q1680" s="6" t="str">
        <f>IF(COUNTIF(Analysis!$M$2:$M$3001,Analysis!$M1680)&gt;1,"Duplicate","OK")</f>
        <v>OK</v>
      </c>
      <c r="R1680" s="6" t="str">
        <f t="shared" si="1"/>
        <v>600-1600</v>
      </c>
      <c r="S1680" s="6">
        <f t="shared" si="2"/>
        <v>44</v>
      </c>
      <c r="T1680" s="6" t="str">
        <f t="shared" si="3"/>
        <v>Old</v>
      </c>
    </row>
    <row r="1681" ht="14.25" customHeight="1">
      <c r="A1681" s="5">
        <v>902572.0</v>
      </c>
      <c r="B1681" s="6" t="s">
        <v>8808</v>
      </c>
      <c r="C1681" s="6" t="s">
        <v>29</v>
      </c>
      <c r="D1681" s="6">
        <v>21356.0</v>
      </c>
      <c r="E1681" s="6" t="s">
        <v>77</v>
      </c>
      <c r="F1681" s="6" t="s">
        <v>61</v>
      </c>
      <c r="G1681" s="6" t="s">
        <v>21</v>
      </c>
      <c r="H1681" s="7">
        <v>2708.0</v>
      </c>
      <c r="I1681" s="7">
        <v>7698.0</v>
      </c>
      <c r="J1681" s="6">
        <v>1987.0</v>
      </c>
      <c r="K1681" s="6">
        <v>102.0</v>
      </c>
      <c r="L1681" s="6" t="s">
        <v>95</v>
      </c>
      <c r="M1681" s="6" t="s">
        <v>8809</v>
      </c>
      <c r="N1681" s="6" t="s">
        <v>43</v>
      </c>
      <c r="O1681" s="6" t="s">
        <v>35</v>
      </c>
      <c r="P1681" s="6">
        <f>COUNTIF(Analysis!$M$1:$M$3001,Analysis!$M2193)</f>
        <v>1</v>
      </c>
      <c r="Q1681" s="6" t="str">
        <f>IF(COUNTIF(Analysis!$M$2:$M$3001,Analysis!$M2193)&gt;1,"Duplicate","OK")</f>
        <v>OK</v>
      </c>
      <c r="R1681" s="6" t="str">
        <f t="shared" si="1"/>
        <v>2600-3600</v>
      </c>
      <c r="S1681" s="6">
        <f t="shared" si="2"/>
        <v>39</v>
      </c>
      <c r="T1681" s="6" t="str">
        <f t="shared" si="3"/>
        <v>Old</v>
      </c>
    </row>
    <row r="1682" ht="14.25" customHeight="1">
      <c r="A1682" s="5">
        <v>288123.0</v>
      </c>
      <c r="B1682" s="6" t="s">
        <v>6765</v>
      </c>
      <c r="C1682" s="6" t="s">
        <v>18</v>
      </c>
      <c r="D1682" s="6">
        <v>41233.0</v>
      </c>
      <c r="E1682" s="6" t="s">
        <v>77</v>
      </c>
      <c r="F1682" s="6" t="s">
        <v>46</v>
      </c>
      <c r="G1682" s="6" t="s">
        <v>31</v>
      </c>
      <c r="H1682" s="7">
        <v>1788.0</v>
      </c>
      <c r="I1682" s="7">
        <v>2741.0</v>
      </c>
      <c r="J1682" s="6">
        <v>1963.0</v>
      </c>
      <c r="K1682" s="6">
        <v>1.0</v>
      </c>
      <c r="L1682" s="6" t="s">
        <v>95</v>
      </c>
      <c r="M1682" s="6" t="s">
        <v>6766</v>
      </c>
      <c r="N1682" s="6" t="s">
        <v>64</v>
      </c>
      <c r="O1682" s="6" t="s">
        <v>35</v>
      </c>
      <c r="P1682" s="6">
        <f>COUNTIF(Analysis!$M$1:$M$3001,Analysis!$M1682)</f>
        <v>1</v>
      </c>
      <c r="Q1682" s="6" t="str">
        <f>IF(COUNTIF(Analysis!$M$2:$M$3001,Analysis!$M1682)&gt;1,"Duplicate","OK")</f>
        <v>OK</v>
      </c>
      <c r="R1682" s="6" t="str">
        <f t="shared" si="1"/>
        <v>1600-2600</v>
      </c>
      <c r="S1682" s="6">
        <f t="shared" si="2"/>
        <v>63</v>
      </c>
      <c r="T1682" s="6" t="str">
        <f t="shared" si="3"/>
        <v>Very Old</v>
      </c>
    </row>
    <row r="1683" ht="14.25" customHeight="1">
      <c r="A1683" s="5">
        <v>1227874.0</v>
      </c>
      <c r="B1683" s="6" t="s">
        <v>6769</v>
      </c>
      <c r="C1683" s="6" t="s">
        <v>53</v>
      </c>
      <c r="D1683" s="6">
        <v>10978.0</v>
      </c>
      <c r="E1683" s="6" t="s">
        <v>77</v>
      </c>
      <c r="F1683" s="6" t="s">
        <v>54</v>
      </c>
      <c r="G1683" s="6" t="s">
        <v>100</v>
      </c>
      <c r="H1683" s="7">
        <v>2170.0</v>
      </c>
      <c r="I1683" s="7">
        <v>2529.0</v>
      </c>
      <c r="J1683" s="6">
        <v>2018.0</v>
      </c>
      <c r="K1683" s="6">
        <v>38.0</v>
      </c>
      <c r="L1683" s="6" t="s">
        <v>141</v>
      </c>
      <c r="M1683" s="6" t="s">
        <v>6770</v>
      </c>
      <c r="N1683" s="6" t="s">
        <v>24</v>
      </c>
      <c r="O1683" s="6" t="s">
        <v>49</v>
      </c>
      <c r="P1683" s="6">
        <f>COUNTIF(Analysis!$M$1:$M$3001,Analysis!$M1683)</f>
        <v>1</v>
      </c>
      <c r="Q1683" s="6" t="str">
        <f>IF(COUNTIF(Analysis!$M$2:$M$3001,Analysis!$M1683)&gt;1,"Duplicate","OK")</f>
        <v>OK</v>
      </c>
      <c r="R1683" s="6" t="str">
        <f t="shared" si="1"/>
        <v>1600-2600</v>
      </c>
      <c r="S1683" s="6">
        <f t="shared" si="2"/>
        <v>8</v>
      </c>
      <c r="T1683" s="6" t="str">
        <f t="shared" si="3"/>
        <v>New</v>
      </c>
    </row>
    <row r="1684" ht="14.25" customHeight="1">
      <c r="A1684" s="5">
        <v>868262.0</v>
      </c>
      <c r="B1684" s="6" t="s">
        <v>6773</v>
      </c>
      <c r="C1684" s="6" t="s">
        <v>18</v>
      </c>
      <c r="D1684" s="6">
        <v>99226.0</v>
      </c>
      <c r="E1684" s="6" t="s">
        <v>77</v>
      </c>
      <c r="F1684" s="6" t="s">
        <v>54</v>
      </c>
      <c r="G1684" s="6" t="s">
        <v>21</v>
      </c>
      <c r="H1684" s="7">
        <v>1369.0</v>
      </c>
      <c r="I1684" s="7">
        <v>3948.0</v>
      </c>
      <c r="J1684" s="6">
        <v>1996.0</v>
      </c>
      <c r="K1684" s="6">
        <v>37.0</v>
      </c>
      <c r="L1684" s="6" t="s">
        <v>32</v>
      </c>
      <c r="M1684" s="6" t="s">
        <v>6774</v>
      </c>
      <c r="N1684" s="6" t="s">
        <v>43</v>
      </c>
      <c r="O1684" s="6" t="s">
        <v>35</v>
      </c>
      <c r="P1684" s="6">
        <f>COUNTIF(Analysis!$M$1:$M$3001,Analysis!$M1684)</f>
        <v>1</v>
      </c>
      <c r="Q1684" s="6" t="str">
        <f>IF(COUNTIF(Analysis!$M$2:$M$3001,Analysis!$M1684)&gt;1,"Duplicate","OK")</f>
        <v>OK</v>
      </c>
      <c r="R1684" s="6" t="str">
        <f t="shared" si="1"/>
        <v>600-1600</v>
      </c>
      <c r="S1684" s="6">
        <f t="shared" si="2"/>
        <v>30</v>
      </c>
      <c r="T1684" s="6" t="str">
        <f t="shared" si="3"/>
        <v>Mid</v>
      </c>
    </row>
    <row r="1685" ht="14.25" customHeight="1">
      <c r="A1685" s="5">
        <v>1339463.0</v>
      </c>
      <c r="B1685" s="6" t="s">
        <v>6777</v>
      </c>
      <c r="C1685" s="6" t="s">
        <v>53</v>
      </c>
      <c r="D1685" s="6">
        <v>66023.0</v>
      </c>
      <c r="E1685" s="6" t="s">
        <v>60</v>
      </c>
      <c r="F1685" s="6" t="s">
        <v>94</v>
      </c>
      <c r="G1685" s="6" t="s">
        <v>55</v>
      </c>
      <c r="H1685" s="7">
        <v>1202.0</v>
      </c>
      <c r="I1685" s="7">
        <v>1886.0</v>
      </c>
      <c r="J1685" s="6">
        <v>1958.0</v>
      </c>
      <c r="K1685" s="6">
        <v>54.0</v>
      </c>
      <c r="L1685" s="6" t="s">
        <v>62</v>
      </c>
      <c r="M1685" s="6" t="s">
        <v>6778</v>
      </c>
      <c r="N1685" s="6" t="s">
        <v>34</v>
      </c>
      <c r="O1685" s="6" t="s">
        <v>49</v>
      </c>
      <c r="P1685" s="6">
        <f>COUNTIF(Analysis!$M$1:$M$3001,Analysis!$M1685)</f>
        <v>1</v>
      </c>
      <c r="Q1685" s="6" t="str">
        <f>IF(COUNTIF(Analysis!$M$2:$M$3001,Analysis!$M1685)&gt;1,"Duplicate","OK")</f>
        <v>OK</v>
      </c>
      <c r="R1685" s="6" t="str">
        <f t="shared" si="1"/>
        <v>600-1600</v>
      </c>
      <c r="S1685" s="6">
        <f t="shared" si="2"/>
        <v>68</v>
      </c>
      <c r="T1685" s="6" t="str">
        <f t="shared" si="3"/>
        <v>Very Old</v>
      </c>
    </row>
    <row r="1686" ht="14.25" customHeight="1">
      <c r="A1686" s="5">
        <v>989357.0</v>
      </c>
      <c r="B1686" s="6" t="s">
        <v>6781</v>
      </c>
      <c r="C1686" s="6" t="s">
        <v>18</v>
      </c>
      <c r="D1686" s="6">
        <v>58479.0</v>
      </c>
      <c r="E1686" s="6" t="s">
        <v>30</v>
      </c>
      <c r="F1686" s="6" t="s">
        <v>20</v>
      </c>
      <c r="G1686" s="6" t="s">
        <v>31</v>
      </c>
      <c r="H1686" s="7">
        <v>1720.0</v>
      </c>
      <c r="I1686" s="7">
        <v>6518.0</v>
      </c>
      <c r="J1686" s="6">
        <v>1991.0</v>
      </c>
      <c r="K1686" s="6">
        <v>102.0</v>
      </c>
      <c r="L1686" s="6" t="s">
        <v>32</v>
      </c>
      <c r="M1686" s="6" t="s">
        <v>6782</v>
      </c>
      <c r="N1686" s="6" t="s">
        <v>34</v>
      </c>
      <c r="O1686" s="6" t="s">
        <v>25</v>
      </c>
      <c r="P1686" s="6">
        <f>COUNTIF(Analysis!$M$1:$M$3001,Analysis!$M1686)</f>
        <v>1</v>
      </c>
      <c r="Q1686" s="6" t="str">
        <f>IF(COUNTIF(Analysis!$M$2:$M$3001,Analysis!$M1686)&gt;1,"Duplicate","OK")</f>
        <v>OK</v>
      </c>
      <c r="R1686" s="6" t="str">
        <f t="shared" si="1"/>
        <v>1600-2600</v>
      </c>
      <c r="S1686" s="6">
        <f t="shared" si="2"/>
        <v>35</v>
      </c>
      <c r="T1686" s="6" t="str">
        <f t="shared" si="3"/>
        <v>Old</v>
      </c>
    </row>
    <row r="1687" ht="14.25" customHeight="1">
      <c r="A1687" s="5">
        <v>903149.0</v>
      </c>
      <c r="B1687" s="6" t="s">
        <v>6785</v>
      </c>
      <c r="C1687" s="6" t="s">
        <v>53</v>
      </c>
      <c r="D1687" s="6">
        <v>73605.0</v>
      </c>
      <c r="E1687" s="6" t="s">
        <v>30</v>
      </c>
      <c r="F1687" s="6" t="s">
        <v>46</v>
      </c>
      <c r="G1687" s="6" t="s">
        <v>55</v>
      </c>
      <c r="H1687" s="7">
        <v>1433.0</v>
      </c>
      <c r="I1687" s="7">
        <v>9193.0</v>
      </c>
      <c r="J1687" s="6">
        <v>1998.0</v>
      </c>
      <c r="K1687" s="6">
        <v>102.0</v>
      </c>
      <c r="L1687" s="6" t="s">
        <v>95</v>
      </c>
      <c r="M1687" s="6" t="s">
        <v>6786</v>
      </c>
      <c r="N1687" s="6" t="s">
        <v>43</v>
      </c>
      <c r="O1687" s="6" t="s">
        <v>49</v>
      </c>
      <c r="P1687" s="6">
        <f>COUNTIF(Analysis!$M$1:$M$3001,Analysis!$M1687)</f>
        <v>1</v>
      </c>
      <c r="Q1687" s="6" t="str">
        <f>IF(COUNTIF(Analysis!$M$2:$M$3001,Analysis!$M1687)&gt;1,"Duplicate","OK")</f>
        <v>OK</v>
      </c>
      <c r="R1687" s="6" t="str">
        <f t="shared" si="1"/>
        <v>600-1600</v>
      </c>
      <c r="S1687" s="6">
        <f t="shared" si="2"/>
        <v>28</v>
      </c>
      <c r="T1687" s="6" t="str">
        <f t="shared" si="3"/>
        <v>Mid</v>
      </c>
    </row>
    <row r="1688" ht="14.25" customHeight="1">
      <c r="A1688" s="5">
        <v>630234.0</v>
      </c>
      <c r="B1688" s="6" t="s">
        <v>6789</v>
      </c>
      <c r="C1688" s="6" t="s">
        <v>53</v>
      </c>
      <c r="D1688" s="6">
        <v>47765.0</v>
      </c>
      <c r="E1688" s="6" t="s">
        <v>40</v>
      </c>
      <c r="F1688" s="6" t="s">
        <v>41</v>
      </c>
      <c r="G1688" s="6" t="s">
        <v>21</v>
      </c>
      <c r="H1688" s="7">
        <v>1255.0</v>
      </c>
      <c r="I1688" s="7">
        <v>1888.0</v>
      </c>
      <c r="J1688" s="6">
        <v>2001.0</v>
      </c>
      <c r="K1688" s="6">
        <v>120.0</v>
      </c>
      <c r="L1688" s="6" t="s">
        <v>141</v>
      </c>
      <c r="M1688" s="6" t="s">
        <v>6790</v>
      </c>
      <c r="N1688" s="6" t="s">
        <v>64</v>
      </c>
      <c r="O1688" s="6" t="s">
        <v>35</v>
      </c>
      <c r="P1688" s="6">
        <f>COUNTIF(Analysis!$M$1:$M$3001,Analysis!$M1688)</f>
        <v>1</v>
      </c>
      <c r="Q1688" s="6" t="str">
        <f>IF(COUNTIF(Analysis!$M$2:$M$3001,Analysis!$M1688)&gt;1,"Duplicate","OK")</f>
        <v>OK</v>
      </c>
      <c r="R1688" s="6" t="str">
        <f t="shared" si="1"/>
        <v>600-1600</v>
      </c>
      <c r="S1688" s="6">
        <f t="shared" si="2"/>
        <v>25</v>
      </c>
      <c r="T1688" s="6" t="str">
        <f t="shared" si="3"/>
        <v>Mid</v>
      </c>
    </row>
    <row r="1689" ht="14.25" customHeight="1">
      <c r="A1689" s="5">
        <v>1252974.0</v>
      </c>
      <c r="B1689" s="6" t="s">
        <v>6793</v>
      </c>
      <c r="C1689" s="6" t="s">
        <v>18</v>
      </c>
      <c r="D1689" s="6">
        <v>77508.0</v>
      </c>
      <c r="E1689" s="6" t="s">
        <v>40</v>
      </c>
      <c r="F1689" s="6" t="s">
        <v>46</v>
      </c>
      <c r="G1689" s="6" t="s">
        <v>21</v>
      </c>
      <c r="H1689" s="7">
        <v>2204.0</v>
      </c>
      <c r="I1689" s="7">
        <v>3430.0</v>
      </c>
      <c r="J1689" s="6">
        <v>2002.0</v>
      </c>
      <c r="K1689" s="6">
        <v>49.0</v>
      </c>
      <c r="L1689" s="6" t="s">
        <v>32</v>
      </c>
      <c r="M1689" s="6" t="s">
        <v>6794</v>
      </c>
      <c r="N1689" s="6" t="s">
        <v>48</v>
      </c>
      <c r="O1689" s="6" t="s">
        <v>35</v>
      </c>
      <c r="P1689" s="6">
        <f>COUNTIF(Analysis!$M$1:$M$3001,Analysis!$M1689)</f>
        <v>1</v>
      </c>
      <c r="Q1689" s="6" t="str">
        <f>IF(COUNTIF(Analysis!$M$2:$M$3001,Analysis!$M1689)&gt;1,"Duplicate","OK")</f>
        <v>OK</v>
      </c>
      <c r="R1689" s="6" t="str">
        <f t="shared" si="1"/>
        <v>1600-2600</v>
      </c>
      <c r="S1689" s="6">
        <f t="shared" si="2"/>
        <v>24</v>
      </c>
      <c r="T1689" s="6" t="str">
        <f t="shared" si="3"/>
        <v>Mid</v>
      </c>
    </row>
    <row r="1690" ht="14.25" customHeight="1">
      <c r="A1690" s="5">
        <v>365076.0</v>
      </c>
      <c r="B1690" s="6" t="s">
        <v>6797</v>
      </c>
      <c r="C1690" s="6" t="s">
        <v>18</v>
      </c>
      <c r="D1690" s="6">
        <v>66033.0</v>
      </c>
      <c r="E1690" s="6" t="s">
        <v>60</v>
      </c>
      <c r="F1690" s="6" t="s">
        <v>54</v>
      </c>
      <c r="G1690" s="6" t="s">
        <v>100</v>
      </c>
      <c r="H1690" s="7">
        <v>3810.0</v>
      </c>
      <c r="I1690" s="7">
        <v>6155.0</v>
      </c>
      <c r="J1690" s="6">
        <v>2012.0</v>
      </c>
      <c r="K1690" s="6">
        <v>3.0</v>
      </c>
      <c r="L1690" s="6" t="s">
        <v>22</v>
      </c>
      <c r="M1690" s="6" t="s">
        <v>6798</v>
      </c>
      <c r="N1690" s="6" t="s">
        <v>24</v>
      </c>
      <c r="O1690" s="6" t="s">
        <v>35</v>
      </c>
      <c r="P1690" s="6">
        <f>COUNTIF(Analysis!$M$1:$M$3001,Analysis!$M1690)</f>
        <v>1</v>
      </c>
      <c r="Q1690" s="6" t="str">
        <f>IF(COUNTIF(Analysis!$M$2:$M$3001,Analysis!$M1690)&gt;1,"Duplicate","OK")</f>
        <v>OK</v>
      </c>
      <c r="R1690" s="6" t="str">
        <f t="shared" si="1"/>
        <v>3600+</v>
      </c>
      <c r="S1690" s="6">
        <f t="shared" si="2"/>
        <v>14</v>
      </c>
      <c r="T1690" s="6" t="str">
        <f t="shared" si="3"/>
        <v>Mid</v>
      </c>
    </row>
    <row r="1691" ht="14.25" customHeight="1">
      <c r="A1691" s="5">
        <v>1190951.0</v>
      </c>
      <c r="B1691" s="6" t="s">
        <v>6801</v>
      </c>
      <c r="C1691" s="6" t="s">
        <v>53</v>
      </c>
      <c r="D1691" s="6">
        <v>55291.0</v>
      </c>
      <c r="E1691" s="6" t="s">
        <v>30</v>
      </c>
      <c r="F1691" s="6" t="s">
        <v>54</v>
      </c>
      <c r="G1691" s="6" t="s">
        <v>21</v>
      </c>
      <c r="H1691" s="7">
        <v>2768.0</v>
      </c>
      <c r="I1691" s="7">
        <v>2127.0</v>
      </c>
      <c r="J1691" s="6">
        <v>2009.0</v>
      </c>
      <c r="K1691" s="6">
        <v>93.0</v>
      </c>
      <c r="L1691" s="6" t="s">
        <v>32</v>
      </c>
      <c r="M1691" s="6" t="s">
        <v>6802</v>
      </c>
      <c r="N1691" s="6" t="s">
        <v>24</v>
      </c>
      <c r="O1691" s="6" t="s">
        <v>35</v>
      </c>
      <c r="P1691" s="6">
        <f>COUNTIF(Analysis!$M$1:$M$3001,Analysis!$M1691)</f>
        <v>1</v>
      </c>
      <c r="Q1691" s="6" t="str">
        <f>IF(COUNTIF(Analysis!$M$2:$M$3001,Analysis!$M1691)&gt;1,"Duplicate","OK")</f>
        <v>OK</v>
      </c>
      <c r="R1691" s="6" t="str">
        <f t="shared" si="1"/>
        <v>2600-3600</v>
      </c>
      <c r="S1691" s="6">
        <f t="shared" si="2"/>
        <v>17</v>
      </c>
      <c r="T1691" s="6" t="str">
        <f t="shared" si="3"/>
        <v>Mid</v>
      </c>
    </row>
    <row r="1692" ht="14.25" customHeight="1">
      <c r="A1692" s="5">
        <v>977697.0</v>
      </c>
      <c r="B1692" s="6" t="s">
        <v>6805</v>
      </c>
      <c r="C1692" s="6" t="s">
        <v>39</v>
      </c>
      <c r="D1692" s="6">
        <v>69128.0</v>
      </c>
      <c r="E1692" s="6" t="s">
        <v>77</v>
      </c>
      <c r="F1692" s="6" t="s">
        <v>94</v>
      </c>
      <c r="G1692" s="6" t="s">
        <v>55</v>
      </c>
      <c r="H1692" s="7">
        <v>1574.0</v>
      </c>
      <c r="I1692" s="7">
        <v>1106.0</v>
      </c>
      <c r="J1692" s="6">
        <v>2022.0</v>
      </c>
      <c r="K1692" s="6">
        <v>19.0</v>
      </c>
      <c r="L1692" s="6" t="s">
        <v>22</v>
      </c>
      <c r="M1692" s="6" t="s">
        <v>6806</v>
      </c>
      <c r="N1692" s="6" t="s">
        <v>43</v>
      </c>
      <c r="O1692" s="6" t="s">
        <v>35</v>
      </c>
      <c r="P1692" s="6">
        <f>COUNTIF(Analysis!$M$1:$M$3001,Analysis!$M1692)</f>
        <v>1</v>
      </c>
      <c r="Q1692" s="6" t="str">
        <f>IF(COUNTIF(Analysis!$M$2:$M$3001,Analysis!$M1692)&gt;1,"Duplicate","OK")</f>
        <v>OK</v>
      </c>
      <c r="R1692" s="6" t="str">
        <f t="shared" si="1"/>
        <v>600-1600</v>
      </c>
      <c r="S1692" s="6">
        <f t="shared" si="2"/>
        <v>4</v>
      </c>
      <c r="T1692" s="6" t="str">
        <f t="shared" si="3"/>
        <v>New</v>
      </c>
    </row>
    <row r="1693" ht="14.25" customHeight="1">
      <c r="A1693" s="5">
        <v>903375.0</v>
      </c>
      <c r="B1693" s="6" t="s">
        <v>3679</v>
      </c>
      <c r="C1693" s="6" t="s">
        <v>29</v>
      </c>
      <c r="D1693" s="6">
        <v>74744.0</v>
      </c>
      <c r="E1693" s="6" t="s">
        <v>30</v>
      </c>
      <c r="F1693" s="6" t="s">
        <v>94</v>
      </c>
      <c r="G1693" s="6" t="s">
        <v>21</v>
      </c>
      <c r="H1693" s="7">
        <v>928.0</v>
      </c>
      <c r="I1693" s="7">
        <v>9313.0</v>
      </c>
      <c r="J1693" s="6">
        <v>1963.0</v>
      </c>
      <c r="K1693" s="6">
        <v>87.0</v>
      </c>
      <c r="L1693" s="6" t="s">
        <v>32</v>
      </c>
      <c r="M1693" s="6" t="s">
        <v>3680</v>
      </c>
      <c r="N1693" s="6" t="s">
        <v>34</v>
      </c>
      <c r="O1693" s="6" t="s">
        <v>25</v>
      </c>
      <c r="P1693" s="6">
        <f>COUNTIF(Analysis!$M$1:$M$3001,Analysis!$M910)</f>
        <v>1</v>
      </c>
      <c r="Q1693" s="6" t="str">
        <f>IF(COUNTIF(Analysis!$M$2:$M$3001,Analysis!$M910)&gt;1,"Duplicate","OK")</f>
        <v>OK</v>
      </c>
      <c r="R1693" s="6" t="str">
        <f t="shared" si="1"/>
        <v>600-1600</v>
      </c>
      <c r="S1693" s="6">
        <f t="shared" si="2"/>
        <v>63</v>
      </c>
      <c r="T1693" s="6" t="str">
        <f t="shared" si="3"/>
        <v>Very Old</v>
      </c>
    </row>
    <row r="1694" ht="14.25" customHeight="1">
      <c r="A1694" s="5">
        <v>1404171.0</v>
      </c>
      <c r="B1694" s="6" t="s">
        <v>6813</v>
      </c>
      <c r="C1694" s="6" t="s">
        <v>39</v>
      </c>
      <c r="D1694" s="6">
        <v>52069.0</v>
      </c>
      <c r="E1694" s="6" t="s">
        <v>60</v>
      </c>
      <c r="F1694" s="6" t="s">
        <v>46</v>
      </c>
      <c r="G1694" s="6" t="s">
        <v>21</v>
      </c>
      <c r="H1694" s="7">
        <v>3403.0</v>
      </c>
      <c r="I1694" s="7">
        <v>2352.0</v>
      </c>
      <c r="J1694" s="6">
        <v>1996.0</v>
      </c>
      <c r="K1694" s="6">
        <v>11.0</v>
      </c>
      <c r="L1694" s="6" t="s">
        <v>32</v>
      </c>
      <c r="M1694" s="6" t="s">
        <v>6814</v>
      </c>
      <c r="N1694" s="6" t="s">
        <v>64</v>
      </c>
      <c r="O1694" s="6" t="s">
        <v>49</v>
      </c>
      <c r="P1694" s="6">
        <f>COUNTIF(Analysis!$M$1:$M$3001,Analysis!$M1694)</f>
        <v>1</v>
      </c>
      <c r="Q1694" s="6" t="str">
        <f>IF(COUNTIF(Analysis!$M$2:$M$3001,Analysis!$M1694)&gt;1,"Duplicate","OK")</f>
        <v>OK</v>
      </c>
      <c r="R1694" s="6" t="str">
        <f t="shared" si="1"/>
        <v>2600-3600</v>
      </c>
      <c r="S1694" s="6">
        <f t="shared" si="2"/>
        <v>30</v>
      </c>
      <c r="T1694" s="6" t="str">
        <f t="shared" si="3"/>
        <v>Mid</v>
      </c>
    </row>
    <row r="1695" ht="14.25" customHeight="1">
      <c r="A1695" s="5">
        <v>1362472.0</v>
      </c>
      <c r="B1695" s="6" t="s">
        <v>6817</v>
      </c>
      <c r="C1695" s="6" t="s">
        <v>18</v>
      </c>
      <c r="D1695" s="6">
        <v>62752.0</v>
      </c>
      <c r="E1695" s="6" t="s">
        <v>40</v>
      </c>
      <c r="F1695" s="6" t="s">
        <v>94</v>
      </c>
      <c r="G1695" s="6" t="s">
        <v>55</v>
      </c>
      <c r="H1695" s="7">
        <v>3147.0</v>
      </c>
      <c r="I1695" s="7">
        <v>6466.0</v>
      </c>
      <c r="J1695" s="6">
        <v>1959.0</v>
      </c>
      <c r="K1695" s="6">
        <v>26.0</v>
      </c>
      <c r="L1695" s="6" t="s">
        <v>95</v>
      </c>
      <c r="M1695" s="6" t="s">
        <v>6818</v>
      </c>
      <c r="N1695" s="6" t="s">
        <v>64</v>
      </c>
      <c r="O1695" s="6" t="s">
        <v>25</v>
      </c>
      <c r="P1695" s="6">
        <f>COUNTIF(Analysis!$M$1:$M$3001,Analysis!$M1695)</f>
        <v>1</v>
      </c>
      <c r="Q1695" s="6" t="str">
        <f>IF(COUNTIF(Analysis!$M$2:$M$3001,Analysis!$M1695)&gt;1,"Duplicate","OK")</f>
        <v>OK</v>
      </c>
      <c r="R1695" s="6" t="str">
        <f t="shared" si="1"/>
        <v>2600-3600</v>
      </c>
      <c r="S1695" s="6">
        <f t="shared" si="2"/>
        <v>67</v>
      </c>
      <c r="T1695" s="6" t="str">
        <f t="shared" si="3"/>
        <v>Very Old</v>
      </c>
    </row>
    <row r="1696" ht="14.25" customHeight="1">
      <c r="A1696" s="5">
        <v>903859.0</v>
      </c>
      <c r="B1696" s="6" t="s">
        <v>5527</v>
      </c>
      <c r="C1696" s="6" t="s">
        <v>29</v>
      </c>
      <c r="D1696" s="6">
        <v>23854.0</v>
      </c>
      <c r="E1696" s="6" t="s">
        <v>19</v>
      </c>
      <c r="F1696" s="6" t="s">
        <v>54</v>
      </c>
      <c r="G1696" s="6" t="s">
        <v>31</v>
      </c>
      <c r="H1696" s="7">
        <v>3054.0</v>
      </c>
      <c r="I1696" s="7">
        <v>2959.0</v>
      </c>
      <c r="J1696" s="6">
        <v>1976.0</v>
      </c>
      <c r="K1696" s="6">
        <v>33.0</v>
      </c>
      <c r="L1696" s="6" t="s">
        <v>22</v>
      </c>
      <c r="M1696" s="6" t="s">
        <v>5528</v>
      </c>
      <c r="N1696" s="6" t="s">
        <v>34</v>
      </c>
      <c r="O1696" s="6" t="s">
        <v>25</v>
      </c>
      <c r="P1696" s="6">
        <f>COUNTIF(Analysis!$M$1:$M$3001,Analysis!$M1372)</f>
        <v>1</v>
      </c>
      <c r="Q1696" s="6" t="str">
        <f>IF(COUNTIF(Analysis!$M$2:$M$3001,Analysis!$M1372)&gt;1,"Duplicate","OK")</f>
        <v>OK</v>
      </c>
      <c r="R1696" s="6" t="str">
        <f t="shared" si="1"/>
        <v>2600-3600</v>
      </c>
      <c r="S1696" s="6">
        <f t="shared" si="2"/>
        <v>50</v>
      </c>
      <c r="T1696" s="6" t="str">
        <f t="shared" si="3"/>
        <v>Old</v>
      </c>
    </row>
    <row r="1697" ht="14.25" customHeight="1">
      <c r="A1697" s="5">
        <v>1361614.0</v>
      </c>
      <c r="B1697" s="6" t="s">
        <v>6825</v>
      </c>
      <c r="C1697" s="6" t="s">
        <v>76</v>
      </c>
      <c r="D1697" s="6">
        <v>32256.0</v>
      </c>
      <c r="E1697" s="6" t="s">
        <v>77</v>
      </c>
      <c r="F1697" s="6" t="s">
        <v>20</v>
      </c>
      <c r="G1697" s="6" t="s">
        <v>21</v>
      </c>
      <c r="H1697" s="7">
        <v>3988.0</v>
      </c>
      <c r="I1697" s="7">
        <v>8950.0</v>
      </c>
      <c r="J1697" s="6">
        <v>1960.0</v>
      </c>
      <c r="K1697" s="6">
        <v>84.0</v>
      </c>
      <c r="L1697" s="6" t="s">
        <v>141</v>
      </c>
      <c r="M1697" s="6" t="s">
        <v>6826</v>
      </c>
      <c r="N1697" s="6" t="s">
        <v>48</v>
      </c>
      <c r="O1697" s="6" t="s">
        <v>49</v>
      </c>
      <c r="P1697" s="6">
        <f>COUNTIF(Analysis!$M$1:$M$3001,Analysis!$M1697)</f>
        <v>1</v>
      </c>
      <c r="Q1697" s="6" t="str">
        <f>IF(COUNTIF(Analysis!$M$2:$M$3001,Analysis!$M1697)&gt;1,"Duplicate","OK")</f>
        <v>OK</v>
      </c>
      <c r="R1697" s="6" t="str">
        <f t="shared" si="1"/>
        <v>3600+</v>
      </c>
      <c r="S1697" s="6">
        <f t="shared" si="2"/>
        <v>66</v>
      </c>
      <c r="T1697" s="6" t="str">
        <f t="shared" si="3"/>
        <v>Very Old</v>
      </c>
    </row>
    <row r="1698" ht="14.25" customHeight="1">
      <c r="A1698" s="5">
        <v>1022305.0</v>
      </c>
      <c r="B1698" s="6" t="s">
        <v>6829</v>
      </c>
      <c r="C1698" s="6" t="s">
        <v>39</v>
      </c>
      <c r="D1698" s="6">
        <v>72193.0</v>
      </c>
      <c r="E1698" s="6" t="s">
        <v>19</v>
      </c>
      <c r="F1698" s="6" t="s">
        <v>46</v>
      </c>
      <c r="G1698" s="6" t="s">
        <v>55</v>
      </c>
      <c r="H1698" s="7">
        <v>2241.0</v>
      </c>
      <c r="I1698" s="7">
        <v>9780.0</v>
      </c>
      <c r="J1698" s="6">
        <v>1967.0</v>
      </c>
      <c r="K1698" s="6">
        <v>32.0</v>
      </c>
      <c r="L1698" s="6" t="s">
        <v>32</v>
      </c>
      <c r="M1698" s="6" t="s">
        <v>6830</v>
      </c>
      <c r="N1698" s="6" t="s">
        <v>64</v>
      </c>
      <c r="O1698" s="6" t="s">
        <v>25</v>
      </c>
      <c r="P1698" s="6">
        <f>COUNTIF(Analysis!$M$1:$M$3001,Analysis!$M1698)</f>
        <v>1</v>
      </c>
      <c r="Q1698" s="6" t="str">
        <f>IF(COUNTIF(Analysis!$M$2:$M$3001,Analysis!$M1698)&gt;1,"Duplicate","OK")</f>
        <v>OK</v>
      </c>
      <c r="R1698" s="6" t="str">
        <f t="shared" si="1"/>
        <v>1600-2600</v>
      </c>
      <c r="S1698" s="6">
        <f t="shared" si="2"/>
        <v>59</v>
      </c>
      <c r="T1698" s="6" t="str">
        <f t="shared" si="3"/>
        <v>Old</v>
      </c>
    </row>
    <row r="1699" ht="14.25" customHeight="1">
      <c r="A1699" s="5">
        <v>262341.0</v>
      </c>
      <c r="B1699" s="6" t="s">
        <v>6833</v>
      </c>
      <c r="C1699" s="6" t="s">
        <v>53</v>
      </c>
      <c r="D1699" s="6">
        <v>26032.0</v>
      </c>
      <c r="E1699" s="6" t="s">
        <v>19</v>
      </c>
      <c r="F1699" s="6" t="s">
        <v>41</v>
      </c>
      <c r="G1699" s="6" t="s">
        <v>55</v>
      </c>
      <c r="H1699" s="7">
        <v>2299.0</v>
      </c>
      <c r="I1699" s="7">
        <v>1931.0</v>
      </c>
      <c r="J1699" s="6">
        <v>1987.0</v>
      </c>
      <c r="K1699" s="6">
        <v>67.0</v>
      </c>
      <c r="L1699" s="6" t="s">
        <v>32</v>
      </c>
      <c r="M1699" s="6" t="s">
        <v>6834</v>
      </c>
      <c r="N1699" s="6" t="s">
        <v>48</v>
      </c>
      <c r="O1699" s="6" t="s">
        <v>35</v>
      </c>
      <c r="P1699" s="6">
        <f>COUNTIF(Analysis!$M$1:$M$3001,Analysis!$M1699)</f>
        <v>1</v>
      </c>
      <c r="Q1699" s="6" t="str">
        <f>IF(COUNTIF(Analysis!$M$2:$M$3001,Analysis!$M1699)&gt;1,"Duplicate","OK")</f>
        <v>OK</v>
      </c>
      <c r="R1699" s="6" t="str">
        <f t="shared" si="1"/>
        <v>1600-2600</v>
      </c>
      <c r="S1699" s="6">
        <f t="shared" si="2"/>
        <v>39</v>
      </c>
      <c r="T1699" s="6" t="str">
        <f t="shared" si="3"/>
        <v>Old</v>
      </c>
    </row>
    <row r="1700" ht="14.25" customHeight="1">
      <c r="A1700" s="5">
        <v>1239263.0</v>
      </c>
      <c r="B1700" s="6" t="s">
        <v>6837</v>
      </c>
      <c r="C1700" s="6" t="s">
        <v>76</v>
      </c>
      <c r="D1700" s="6">
        <v>85041.0</v>
      </c>
      <c r="E1700" s="6" t="s">
        <v>19</v>
      </c>
      <c r="F1700" s="6" t="s">
        <v>94</v>
      </c>
      <c r="G1700" s="6" t="s">
        <v>100</v>
      </c>
      <c r="H1700" s="7">
        <v>3253.0</v>
      </c>
      <c r="I1700" s="7">
        <v>7189.0</v>
      </c>
      <c r="J1700" s="6">
        <v>1984.0</v>
      </c>
      <c r="K1700" s="6">
        <v>60.0</v>
      </c>
      <c r="L1700" s="6" t="s">
        <v>22</v>
      </c>
      <c r="M1700" s="6" t="s">
        <v>6838</v>
      </c>
      <c r="N1700" s="6" t="s">
        <v>64</v>
      </c>
      <c r="O1700" s="6" t="s">
        <v>25</v>
      </c>
      <c r="P1700" s="6">
        <f>COUNTIF(Analysis!$M$1:$M$3001,Analysis!$M1700)</f>
        <v>1</v>
      </c>
      <c r="Q1700" s="6" t="str">
        <f>IF(COUNTIF(Analysis!$M$2:$M$3001,Analysis!$M1700)&gt;1,"Duplicate","OK")</f>
        <v>OK</v>
      </c>
      <c r="R1700" s="6" t="str">
        <f t="shared" si="1"/>
        <v>2600-3600</v>
      </c>
      <c r="S1700" s="6">
        <f t="shared" si="2"/>
        <v>42</v>
      </c>
      <c r="T1700" s="6" t="str">
        <f t="shared" si="3"/>
        <v>Old</v>
      </c>
    </row>
    <row r="1701" ht="14.25" customHeight="1">
      <c r="A1701" s="5">
        <v>542776.0</v>
      </c>
      <c r="B1701" s="6" t="s">
        <v>6841</v>
      </c>
      <c r="C1701" s="6" t="s">
        <v>53</v>
      </c>
      <c r="D1701" s="6">
        <v>93184.0</v>
      </c>
      <c r="E1701" s="6" t="s">
        <v>19</v>
      </c>
      <c r="F1701" s="6" t="s">
        <v>20</v>
      </c>
      <c r="G1701" s="6" t="s">
        <v>55</v>
      </c>
      <c r="H1701" s="7">
        <v>2821.0</v>
      </c>
      <c r="I1701" s="7">
        <v>1026.0</v>
      </c>
      <c r="J1701" s="6">
        <v>1952.0</v>
      </c>
      <c r="K1701" s="6">
        <v>18.0</v>
      </c>
      <c r="L1701" s="6" t="s">
        <v>95</v>
      </c>
      <c r="M1701" s="6" t="s">
        <v>6842</v>
      </c>
      <c r="N1701" s="6" t="s">
        <v>34</v>
      </c>
      <c r="O1701" s="6" t="s">
        <v>25</v>
      </c>
      <c r="P1701" s="6">
        <f>COUNTIF(Analysis!$M$1:$M$3001,Analysis!$M1701)</f>
        <v>1</v>
      </c>
      <c r="Q1701" s="6" t="str">
        <f>IF(COUNTIF(Analysis!$M$2:$M$3001,Analysis!$M1701)&gt;1,"Duplicate","OK")</f>
        <v>OK</v>
      </c>
      <c r="R1701" s="6" t="str">
        <f t="shared" si="1"/>
        <v>2600-3600</v>
      </c>
      <c r="S1701" s="6">
        <f t="shared" si="2"/>
        <v>74</v>
      </c>
      <c r="T1701" s="6" t="str">
        <f t="shared" si="3"/>
        <v>Very Old</v>
      </c>
    </row>
    <row r="1702" ht="14.25" customHeight="1">
      <c r="A1702" s="5">
        <v>426337.0</v>
      </c>
      <c r="B1702" s="6" t="s">
        <v>6845</v>
      </c>
      <c r="C1702" s="6" t="s">
        <v>76</v>
      </c>
      <c r="D1702" s="6">
        <v>64707.0</v>
      </c>
      <c r="E1702" s="6" t="s">
        <v>19</v>
      </c>
      <c r="F1702" s="6" t="s">
        <v>54</v>
      </c>
      <c r="G1702" s="6" t="s">
        <v>31</v>
      </c>
      <c r="H1702" s="7">
        <v>3861.0</v>
      </c>
      <c r="I1702" s="7">
        <v>7662.0</v>
      </c>
      <c r="J1702" s="6">
        <v>1968.0</v>
      </c>
      <c r="K1702" s="6">
        <v>115.0</v>
      </c>
      <c r="L1702" s="6" t="s">
        <v>141</v>
      </c>
      <c r="M1702" s="6" t="s">
        <v>6846</v>
      </c>
      <c r="N1702" s="6" t="s">
        <v>34</v>
      </c>
      <c r="O1702" s="6" t="s">
        <v>49</v>
      </c>
      <c r="P1702" s="6">
        <f>COUNTIF(Analysis!$M$1:$M$3001,Analysis!$M1702)</f>
        <v>1</v>
      </c>
      <c r="Q1702" s="6" t="str">
        <f>IF(COUNTIF(Analysis!$M$2:$M$3001,Analysis!$M1702)&gt;1,"Duplicate","OK")</f>
        <v>OK</v>
      </c>
      <c r="R1702" s="6" t="str">
        <f t="shared" si="1"/>
        <v>3600+</v>
      </c>
      <c r="S1702" s="6">
        <f t="shared" si="2"/>
        <v>58</v>
      </c>
      <c r="T1702" s="6" t="str">
        <f t="shared" si="3"/>
        <v>Old</v>
      </c>
    </row>
    <row r="1703" ht="14.25" customHeight="1">
      <c r="A1703" s="5">
        <v>1438956.0</v>
      </c>
      <c r="B1703" s="6" t="s">
        <v>6849</v>
      </c>
      <c r="C1703" s="6" t="s">
        <v>53</v>
      </c>
      <c r="D1703" s="6">
        <v>45798.0</v>
      </c>
      <c r="E1703" s="6" t="s">
        <v>19</v>
      </c>
      <c r="F1703" s="6" t="s">
        <v>54</v>
      </c>
      <c r="G1703" s="6" t="s">
        <v>55</v>
      </c>
      <c r="H1703" s="7">
        <v>3353.0</v>
      </c>
      <c r="I1703" s="7">
        <v>4696.0</v>
      </c>
      <c r="J1703" s="6">
        <v>1970.0</v>
      </c>
      <c r="K1703" s="6">
        <v>48.0</v>
      </c>
      <c r="L1703" s="6" t="s">
        <v>62</v>
      </c>
      <c r="M1703" s="6" t="s">
        <v>6850</v>
      </c>
      <c r="N1703" s="6" t="s">
        <v>43</v>
      </c>
      <c r="O1703" s="6" t="s">
        <v>25</v>
      </c>
      <c r="P1703" s="6">
        <f>COUNTIF(Analysis!$M$1:$M$3001,Analysis!$M1703)</f>
        <v>1</v>
      </c>
      <c r="Q1703" s="6" t="str">
        <f>IF(COUNTIF(Analysis!$M$2:$M$3001,Analysis!$M1703)&gt;1,"Duplicate","OK")</f>
        <v>OK</v>
      </c>
      <c r="R1703" s="6" t="str">
        <f t="shared" si="1"/>
        <v>2600-3600</v>
      </c>
      <c r="S1703" s="6">
        <f t="shared" si="2"/>
        <v>56</v>
      </c>
      <c r="T1703" s="6" t="str">
        <f t="shared" si="3"/>
        <v>Old</v>
      </c>
    </row>
    <row r="1704" ht="14.25" customHeight="1">
      <c r="A1704" s="5">
        <v>429828.0</v>
      </c>
      <c r="B1704" s="6" t="s">
        <v>6853</v>
      </c>
      <c r="C1704" s="6" t="s">
        <v>39</v>
      </c>
      <c r="D1704" s="6">
        <v>98635.0</v>
      </c>
      <c r="E1704" s="6" t="s">
        <v>40</v>
      </c>
      <c r="F1704" s="6" t="s">
        <v>41</v>
      </c>
      <c r="G1704" s="6" t="s">
        <v>100</v>
      </c>
      <c r="H1704" s="7">
        <v>1005.0</v>
      </c>
      <c r="I1704" s="7">
        <v>4662.0</v>
      </c>
      <c r="J1704" s="6">
        <v>1974.0</v>
      </c>
      <c r="K1704" s="6">
        <v>114.0</v>
      </c>
      <c r="L1704" s="6" t="s">
        <v>32</v>
      </c>
      <c r="M1704" s="6" t="s">
        <v>6854</v>
      </c>
      <c r="N1704" s="6" t="s">
        <v>43</v>
      </c>
      <c r="O1704" s="6" t="s">
        <v>35</v>
      </c>
      <c r="P1704" s="6">
        <f>COUNTIF(Analysis!$M$1:$M$3001,Analysis!$M1704)</f>
        <v>1</v>
      </c>
      <c r="Q1704" s="6" t="str">
        <f>IF(COUNTIF(Analysis!$M$2:$M$3001,Analysis!$M1704)&gt;1,"Duplicate","OK")</f>
        <v>OK</v>
      </c>
      <c r="R1704" s="6" t="str">
        <f t="shared" si="1"/>
        <v>600-1600</v>
      </c>
      <c r="S1704" s="6">
        <f t="shared" si="2"/>
        <v>52</v>
      </c>
      <c r="T1704" s="6" t="str">
        <f t="shared" si="3"/>
        <v>Old</v>
      </c>
    </row>
    <row r="1705" ht="14.25" customHeight="1">
      <c r="A1705" s="5">
        <v>357213.0</v>
      </c>
      <c r="B1705" s="6" t="s">
        <v>6857</v>
      </c>
      <c r="C1705" s="6" t="s">
        <v>76</v>
      </c>
      <c r="D1705" s="6">
        <v>47969.0</v>
      </c>
      <c r="E1705" s="6" t="s">
        <v>19</v>
      </c>
      <c r="F1705" s="6" t="s">
        <v>41</v>
      </c>
      <c r="G1705" s="6" t="s">
        <v>21</v>
      </c>
      <c r="H1705" s="7">
        <v>3756.0</v>
      </c>
      <c r="I1705" s="7">
        <v>5274.0</v>
      </c>
      <c r="J1705" s="6">
        <v>1959.0</v>
      </c>
      <c r="K1705" s="6">
        <v>116.0</v>
      </c>
      <c r="L1705" s="6" t="s">
        <v>95</v>
      </c>
      <c r="M1705" s="6" t="s">
        <v>6858</v>
      </c>
      <c r="N1705" s="6" t="s">
        <v>24</v>
      </c>
      <c r="O1705" s="6" t="s">
        <v>35</v>
      </c>
      <c r="P1705" s="6">
        <f>COUNTIF(Analysis!$M$1:$M$3001,Analysis!$M1705)</f>
        <v>2</v>
      </c>
      <c r="Q1705" s="6" t="str">
        <f>IF(COUNTIF(Analysis!$M$2:$M$3001,Analysis!$M1705)&gt;1,"Duplicate","OK")</f>
        <v>Duplicate</v>
      </c>
      <c r="R1705" s="6" t="str">
        <f t="shared" si="1"/>
        <v>3600+</v>
      </c>
      <c r="S1705" s="6">
        <f t="shared" si="2"/>
        <v>67</v>
      </c>
      <c r="T1705" s="6" t="str">
        <f t="shared" si="3"/>
        <v>Very Old</v>
      </c>
    </row>
    <row r="1706" ht="14.25" customHeight="1">
      <c r="A1706" s="5">
        <v>906038.0</v>
      </c>
      <c r="B1706" s="6" t="s">
        <v>2491</v>
      </c>
      <c r="C1706" s="6" t="s">
        <v>29</v>
      </c>
      <c r="D1706" s="6">
        <v>28975.0</v>
      </c>
      <c r="E1706" s="6" t="s">
        <v>30</v>
      </c>
      <c r="F1706" s="6" t="s">
        <v>46</v>
      </c>
      <c r="G1706" s="6" t="s">
        <v>100</v>
      </c>
      <c r="H1706" s="7">
        <v>1516.0</v>
      </c>
      <c r="I1706" s="7">
        <v>4527.0</v>
      </c>
      <c r="J1706" s="6">
        <v>1951.0</v>
      </c>
      <c r="K1706" s="6">
        <v>101.0</v>
      </c>
      <c r="L1706" s="6" t="s">
        <v>62</v>
      </c>
      <c r="M1706" s="6" t="s">
        <v>2492</v>
      </c>
      <c r="N1706" s="6" t="s">
        <v>48</v>
      </c>
      <c r="O1706" s="6" t="s">
        <v>35</v>
      </c>
      <c r="P1706" s="6">
        <f>COUNTIF(Analysis!$M$1:$M$3001,Analysis!$M613)</f>
        <v>1</v>
      </c>
      <c r="Q1706" s="6" t="str">
        <f>IF(COUNTIF(Analysis!$M$2:$M$3001,Analysis!$M613)&gt;1,"Duplicate","OK")</f>
        <v>OK</v>
      </c>
      <c r="R1706" s="6" t="str">
        <f t="shared" si="1"/>
        <v>600-1600</v>
      </c>
      <c r="S1706" s="6">
        <f t="shared" si="2"/>
        <v>75</v>
      </c>
      <c r="T1706" s="6" t="str">
        <f t="shared" si="3"/>
        <v>Very Old</v>
      </c>
    </row>
    <row r="1707" ht="14.25" customHeight="1">
      <c r="A1707" s="5">
        <v>873714.0</v>
      </c>
      <c r="B1707" s="6" t="s">
        <v>6865</v>
      </c>
      <c r="C1707" s="6" t="s">
        <v>76</v>
      </c>
      <c r="D1707" s="6">
        <v>33511.0</v>
      </c>
      <c r="E1707" s="6" t="s">
        <v>77</v>
      </c>
      <c r="F1707" s="6" t="s">
        <v>20</v>
      </c>
      <c r="G1707" s="6" t="s">
        <v>55</v>
      </c>
      <c r="H1707" s="7">
        <v>2896.0</v>
      </c>
      <c r="I1707" s="7">
        <v>8577.0</v>
      </c>
      <c r="J1707" s="6">
        <v>1991.0</v>
      </c>
      <c r="K1707" s="6">
        <v>101.0</v>
      </c>
      <c r="L1707" s="6" t="s">
        <v>141</v>
      </c>
      <c r="M1707" s="6" t="s">
        <v>6866</v>
      </c>
      <c r="N1707" s="6" t="s">
        <v>34</v>
      </c>
      <c r="O1707" s="6" t="s">
        <v>25</v>
      </c>
      <c r="P1707" s="6">
        <f>COUNTIF(Analysis!$M$1:$M$3001,Analysis!$M1707)</f>
        <v>1</v>
      </c>
      <c r="Q1707" s="6" t="str">
        <f>IF(COUNTIF(Analysis!$M$2:$M$3001,Analysis!$M1707)&gt;1,"Duplicate","OK")</f>
        <v>OK</v>
      </c>
      <c r="R1707" s="6" t="str">
        <f t="shared" si="1"/>
        <v>2600-3600</v>
      </c>
      <c r="S1707" s="6">
        <f t="shared" si="2"/>
        <v>35</v>
      </c>
      <c r="T1707" s="6" t="str">
        <f t="shared" si="3"/>
        <v>Old</v>
      </c>
    </row>
    <row r="1708" ht="14.25" customHeight="1">
      <c r="A1708" s="5">
        <v>631293.0</v>
      </c>
      <c r="B1708" s="6" t="s">
        <v>6869</v>
      </c>
      <c r="C1708" s="6" t="s">
        <v>76</v>
      </c>
      <c r="D1708" s="6">
        <v>73137.0</v>
      </c>
      <c r="E1708" s="6" t="s">
        <v>60</v>
      </c>
      <c r="F1708" s="6" t="s">
        <v>94</v>
      </c>
      <c r="G1708" s="6" t="s">
        <v>100</v>
      </c>
      <c r="H1708" s="7">
        <v>2404.0</v>
      </c>
      <c r="I1708" s="7">
        <v>3942.0</v>
      </c>
      <c r="J1708" s="6">
        <v>1955.0</v>
      </c>
      <c r="K1708" s="6">
        <v>102.0</v>
      </c>
      <c r="L1708" s="6" t="s">
        <v>95</v>
      </c>
      <c r="M1708" s="6" t="s">
        <v>6870</v>
      </c>
      <c r="N1708" s="6" t="s">
        <v>48</v>
      </c>
      <c r="O1708" s="6" t="s">
        <v>49</v>
      </c>
      <c r="P1708" s="6">
        <f>COUNTIF(Analysis!$M$1:$M$3001,Analysis!$M1708)</f>
        <v>1</v>
      </c>
      <c r="Q1708" s="6" t="str">
        <f>IF(COUNTIF(Analysis!$M$2:$M$3001,Analysis!$M1708)&gt;1,"Duplicate","OK")</f>
        <v>OK</v>
      </c>
      <c r="R1708" s="6" t="str">
        <f t="shared" si="1"/>
        <v>1600-2600</v>
      </c>
      <c r="S1708" s="6">
        <f t="shared" si="2"/>
        <v>71</v>
      </c>
      <c r="T1708" s="6" t="str">
        <f t="shared" si="3"/>
        <v>Very Old</v>
      </c>
    </row>
    <row r="1709" ht="14.25" customHeight="1">
      <c r="A1709" s="5">
        <v>907603.0</v>
      </c>
      <c r="B1709" s="6" t="s">
        <v>3275</v>
      </c>
      <c r="C1709" s="6" t="s">
        <v>29</v>
      </c>
      <c r="D1709" s="6">
        <v>30523.0</v>
      </c>
      <c r="E1709" s="6" t="s">
        <v>30</v>
      </c>
      <c r="F1709" s="6" t="s">
        <v>41</v>
      </c>
      <c r="G1709" s="6" t="s">
        <v>21</v>
      </c>
      <c r="H1709" s="7">
        <v>969.0</v>
      </c>
      <c r="I1709" s="7">
        <v>7373.0</v>
      </c>
      <c r="J1709" s="6">
        <v>1988.0</v>
      </c>
      <c r="K1709" s="6">
        <v>110.0</v>
      </c>
      <c r="L1709" s="6" t="s">
        <v>32</v>
      </c>
      <c r="M1709" s="6" t="s">
        <v>3276</v>
      </c>
      <c r="N1709" s="6" t="s">
        <v>24</v>
      </c>
      <c r="O1709" s="6" t="s">
        <v>25</v>
      </c>
      <c r="P1709" s="6">
        <f>COUNTIF(Analysis!$M$1:$M$3001,Analysis!$M809)</f>
        <v>1</v>
      </c>
      <c r="Q1709" s="6" t="str">
        <f>IF(COUNTIF(Analysis!$M$2:$M$3001,Analysis!$M809)&gt;1,"Duplicate","OK")</f>
        <v>OK</v>
      </c>
      <c r="R1709" s="6" t="str">
        <f t="shared" si="1"/>
        <v>600-1600</v>
      </c>
      <c r="S1709" s="6">
        <f t="shared" si="2"/>
        <v>38</v>
      </c>
      <c r="T1709" s="6" t="str">
        <f t="shared" si="3"/>
        <v>Old</v>
      </c>
    </row>
    <row r="1710" ht="14.25" customHeight="1">
      <c r="A1710" s="5">
        <v>1188237.0</v>
      </c>
      <c r="B1710" s="6" t="s">
        <v>6877</v>
      </c>
      <c r="C1710" s="6" t="s">
        <v>53</v>
      </c>
      <c r="D1710" s="6">
        <v>21192.0</v>
      </c>
      <c r="E1710" s="6" t="s">
        <v>77</v>
      </c>
      <c r="F1710" s="6" t="s">
        <v>46</v>
      </c>
      <c r="G1710" s="6" t="s">
        <v>55</v>
      </c>
      <c r="H1710" s="7">
        <v>1067.0</v>
      </c>
      <c r="I1710" s="7">
        <v>7604.0</v>
      </c>
      <c r="J1710" s="6">
        <v>2012.0</v>
      </c>
      <c r="K1710" s="6">
        <v>15.0</v>
      </c>
      <c r="L1710" s="6" t="s">
        <v>32</v>
      </c>
      <c r="M1710" s="6" t="s">
        <v>6878</v>
      </c>
      <c r="N1710" s="6" t="s">
        <v>48</v>
      </c>
      <c r="O1710" s="6" t="s">
        <v>25</v>
      </c>
      <c r="P1710" s="6">
        <f>COUNTIF(Analysis!$M$1:$M$3001,Analysis!$M1710)</f>
        <v>1</v>
      </c>
      <c r="Q1710" s="6" t="str">
        <f>IF(COUNTIF(Analysis!$M$2:$M$3001,Analysis!$M1710)&gt;1,"Duplicate","OK")</f>
        <v>OK</v>
      </c>
      <c r="R1710" s="6" t="str">
        <f t="shared" si="1"/>
        <v>600-1600</v>
      </c>
      <c r="S1710" s="6">
        <f t="shared" si="2"/>
        <v>14</v>
      </c>
      <c r="T1710" s="6" t="str">
        <f t="shared" si="3"/>
        <v>Mid</v>
      </c>
    </row>
    <row r="1711" ht="14.25" customHeight="1">
      <c r="A1711" s="5">
        <v>944393.0</v>
      </c>
      <c r="B1711" s="6" t="s">
        <v>6881</v>
      </c>
      <c r="C1711" s="6" t="s">
        <v>76</v>
      </c>
      <c r="D1711" s="6">
        <v>50906.0</v>
      </c>
      <c r="E1711" s="6" t="s">
        <v>30</v>
      </c>
      <c r="F1711" s="6" t="s">
        <v>41</v>
      </c>
      <c r="G1711" s="6" t="s">
        <v>55</v>
      </c>
      <c r="H1711" s="7">
        <v>2246.0</v>
      </c>
      <c r="I1711" s="7">
        <v>7016.0</v>
      </c>
      <c r="J1711" s="6">
        <v>1991.0</v>
      </c>
      <c r="K1711" s="6">
        <v>95.0</v>
      </c>
      <c r="L1711" s="6" t="s">
        <v>141</v>
      </c>
      <c r="M1711" s="6" t="s">
        <v>6882</v>
      </c>
      <c r="N1711" s="6" t="s">
        <v>64</v>
      </c>
      <c r="O1711" s="6" t="s">
        <v>35</v>
      </c>
      <c r="P1711" s="6">
        <f>COUNTIF(Analysis!$M$1:$M$3001,Analysis!$M1711)</f>
        <v>1</v>
      </c>
      <c r="Q1711" s="6" t="str">
        <f>IF(COUNTIF(Analysis!$M$2:$M$3001,Analysis!$M1711)&gt;1,"Duplicate","OK")</f>
        <v>OK</v>
      </c>
      <c r="R1711" s="6" t="str">
        <f t="shared" si="1"/>
        <v>1600-2600</v>
      </c>
      <c r="S1711" s="6">
        <f t="shared" si="2"/>
        <v>35</v>
      </c>
      <c r="T1711" s="6" t="str">
        <f t="shared" si="3"/>
        <v>Old</v>
      </c>
    </row>
    <row r="1712" ht="14.25" customHeight="1">
      <c r="A1712" s="5">
        <v>1153210.0</v>
      </c>
      <c r="B1712" s="6" t="s">
        <v>6885</v>
      </c>
      <c r="C1712" s="6" t="s">
        <v>53</v>
      </c>
      <c r="D1712" s="6">
        <v>62280.0</v>
      </c>
      <c r="E1712" s="6" t="s">
        <v>19</v>
      </c>
      <c r="F1712" s="6" t="s">
        <v>61</v>
      </c>
      <c r="G1712" s="6" t="s">
        <v>55</v>
      </c>
      <c r="H1712" s="7">
        <v>2514.0</v>
      </c>
      <c r="I1712" s="7">
        <v>8087.0</v>
      </c>
      <c r="J1712" s="6">
        <v>1980.0</v>
      </c>
      <c r="K1712" s="6">
        <v>118.0</v>
      </c>
      <c r="L1712" s="6" t="s">
        <v>141</v>
      </c>
      <c r="M1712" s="6" t="s">
        <v>6886</v>
      </c>
      <c r="N1712" s="6" t="s">
        <v>24</v>
      </c>
      <c r="O1712" s="6" t="s">
        <v>35</v>
      </c>
      <c r="P1712" s="6">
        <f>COUNTIF(Analysis!$M$1:$M$3001,Analysis!$M1712)</f>
        <v>1</v>
      </c>
      <c r="Q1712" s="6" t="str">
        <f>IF(COUNTIF(Analysis!$M$2:$M$3001,Analysis!$M1712)&gt;1,"Duplicate","OK")</f>
        <v>OK</v>
      </c>
      <c r="R1712" s="6" t="str">
        <f t="shared" si="1"/>
        <v>1600-2600</v>
      </c>
      <c r="S1712" s="6">
        <f t="shared" si="2"/>
        <v>46</v>
      </c>
      <c r="T1712" s="6" t="str">
        <f t="shared" si="3"/>
        <v>Old</v>
      </c>
    </row>
    <row r="1713" ht="14.25" customHeight="1">
      <c r="A1713" s="5">
        <v>1364608.0</v>
      </c>
      <c r="B1713" s="6" t="s">
        <v>6889</v>
      </c>
      <c r="C1713" s="6" t="s">
        <v>76</v>
      </c>
      <c r="D1713" s="6">
        <v>19447.0</v>
      </c>
      <c r="E1713" s="6" t="s">
        <v>30</v>
      </c>
      <c r="F1713" s="6" t="s">
        <v>20</v>
      </c>
      <c r="G1713" s="6" t="s">
        <v>31</v>
      </c>
      <c r="H1713" s="7">
        <v>3304.0</v>
      </c>
      <c r="I1713" s="7">
        <v>3087.0</v>
      </c>
      <c r="J1713" s="6">
        <v>1989.0</v>
      </c>
      <c r="K1713" s="6">
        <v>83.0</v>
      </c>
      <c r="L1713" s="6" t="s">
        <v>32</v>
      </c>
      <c r="M1713" s="6" t="s">
        <v>6890</v>
      </c>
      <c r="N1713" s="6" t="s">
        <v>43</v>
      </c>
      <c r="O1713" s="6" t="s">
        <v>35</v>
      </c>
      <c r="P1713" s="6">
        <f>COUNTIF(Analysis!$M$1:$M$3001,Analysis!$M1713)</f>
        <v>1</v>
      </c>
      <c r="Q1713" s="6" t="str">
        <f>IF(COUNTIF(Analysis!$M$2:$M$3001,Analysis!$M1713)&gt;1,"Duplicate","OK")</f>
        <v>OK</v>
      </c>
      <c r="R1713" s="6" t="str">
        <f t="shared" si="1"/>
        <v>2600-3600</v>
      </c>
      <c r="S1713" s="6">
        <f t="shared" si="2"/>
        <v>37</v>
      </c>
      <c r="T1713" s="6" t="str">
        <f t="shared" si="3"/>
        <v>Old</v>
      </c>
    </row>
    <row r="1714" ht="14.25" customHeight="1">
      <c r="A1714" s="5">
        <v>993011.0</v>
      </c>
      <c r="B1714" s="6" t="s">
        <v>6893</v>
      </c>
      <c r="C1714" s="6" t="s">
        <v>76</v>
      </c>
      <c r="D1714" s="6">
        <v>89904.0</v>
      </c>
      <c r="E1714" s="6" t="s">
        <v>60</v>
      </c>
      <c r="F1714" s="6" t="s">
        <v>61</v>
      </c>
      <c r="G1714" s="6" t="s">
        <v>31</v>
      </c>
      <c r="H1714" s="7">
        <v>1979.0</v>
      </c>
      <c r="I1714" s="7">
        <v>5449.0</v>
      </c>
      <c r="J1714" s="6">
        <v>1960.0</v>
      </c>
      <c r="K1714" s="6">
        <v>106.0</v>
      </c>
      <c r="L1714" s="6" t="s">
        <v>62</v>
      </c>
      <c r="M1714" s="6" t="s">
        <v>6894</v>
      </c>
      <c r="N1714" s="6" t="s">
        <v>24</v>
      </c>
      <c r="O1714" s="6" t="s">
        <v>25</v>
      </c>
      <c r="P1714" s="6">
        <f>COUNTIF(Analysis!$M$1:$M$3001,Analysis!$M1714)</f>
        <v>1</v>
      </c>
      <c r="Q1714" s="6" t="str">
        <f>IF(COUNTIF(Analysis!$M$2:$M$3001,Analysis!$M1714)&gt;1,"Duplicate","OK")</f>
        <v>OK</v>
      </c>
      <c r="R1714" s="6" t="str">
        <f t="shared" si="1"/>
        <v>1600-2600</v>
      </c>
      <c r="S1714" s="6">
        <f t="shared" si="2"/>
        <v>66</v>
      </c>
      <c r="T1714" s="6" t="str">
        <f t="shared" si="3"/>
        <v>Very Old</v>
      </c>
    </row>
    <row r="1715" ht="14.25" customHeight="1">
      <c r="A1715" s="5">
        <v>1455317.0</v>
      </c>
      <c r="B1715" s="6" t="s">
        <v>6897</v>
      </c>
      <c r="C1715" s="6" t="s">
        <v>39</v>
      </c>
      <c r="D1715" s="6">
        <v>38784.0</v>
      </c>
      <c r="E1715" s="6" t="s">
        <v>30</v>
      </c>
      <c r="F1715" s="6" t="s">
        <v>20</v>
      </c>
      <c r="G1715" s="6" t="s">
        <v>55</v>
      </c>
      <c r="H1715" s="7">
        <v>1022.0</v>
      </c>
      <c r="I1715" s="7">
        <v>9197.0</v>
      </c>
      <c r="J1715" s="6">
        <v>1984.0</v>
      </c>
      <c r="K1715" s="6">
        <v>40.0</v>
      </c>
      <c r="L1715" s="6" t="s">
        <v>95</v>
      </c>
      <c r="M1715" s="6" t="s">
        <v>6898</v>
      </c>
      <c r="N1715" s="6" t="s">
        <v>64</v>
      </c>
      <c r="O1715" s="6" t="s">
        <v>49</v>
      </c>
      <c r="P1715" s="6">
        <f>COUNTIF(Analysis!$M$1:$M$3001,Analysis!$M1715)</f>
        <v>1</v>
      </c>
      <c r="Q1715" s="6" t="str">
        <f>IF(COUNTIF(Analysis!$M$2:$M$3001,Analysis!$M1715)&gt;1,"Duplicate","OK")</f>
        <v>OK</v>
      </c>
      <c r="R1715" s="6" t="str">
        <f t="shared" si="1"/>
        <v>600-1600</v>
      </c>
      <c r="S1715" s="6">
        <f t="shared" si="2"/>
        <v>42</v>
      </c>
      <c r="T1715" s="6" t="str">
        <f t="shared" si="3"/>
        <v>Old</v>
      </c>
    </row>
    <row r="1716" ht="14.25" customHeight="1">
      <c r="A1716" s="5">
        <v>582180.0</v>
      </c>
      <c r="B1716" s="6" t="s">
        <v>6901</v>
      </c>
      <c r="C1716" s="6" t="s">
        <v>53</v>
      </c>
      <c r="D1716" s="6">
        <v>91963.0</v>
      </c>
      <c r="E1716" s="6" t="s">
        <v>30</v>
      </c>
      <c r="F1716" s="6" t="s">
        <v>20</v>
      </c>
      <c r="G1716" s="6" t="s">
        <v>100</v>
      </c>
      <c r="H1716" s="7">
        <v>1819.0</v>
      </c>
      <c r="I1716" s="7">
        <v>6913.0</v>
      </c>
      <c r="J1716" s="6">
        <v>1993.0</v>
      </c>
      <c r="K1716" s="6">
        <v>13.0</v>
      </c>
      <c r="L1716" s="6" t="s">
        <v>62</v>
      </c>
      <c r="M1716" s="6" t="s">
        <v>6902</v>
      </c>
      <c r="N1716" s="6" t="s">
        <v>34</v>
      </c>
      <c r="O1716" s="6" t="s">
        <v>35</v>
      </c>
      <c r="P1716" s="6">
        <f>COUNTIF(Analysis!$M$1:$M$3001,Analysis!$M1716)</f>
        <v>1</v>
      </c>
      <c r="Q1716" s="6" t="str">
        <f>IF(COUNTIF(Analysis!$M$2:$M$3001,Analysis!$M1716)&gt;1,"Duplicate","OK")</f>
        <v>OK</v>
      </c>
      <c r="R1716" s="6" t="str">
        <f t="shared" si="1"/>
        <v>1600-2600</v>
      </c>
      <c r="S1716" s="6">
        <f t="shared" si="2"/>
        <v>33</v>
      </c>
      <c r="T1716" s="6" t="str">
        <f t="shared" si="3"/>
        <v>Old</v>
      </c>
    </row>
    <row r="1717" ht="14.25" customHeight="1">
      <c r="A1717" s="5">
        <v>1394289.0</v>
      </c>
      <c r="B1717" s="6" t="s">
        <v>6905</v>
      </c>
      <c r="C1717" s="6" t="s">
        <v>53</v>
      </c>
      <c r="D1717" s="6">
        <v>47210.0</v>
      </c>
      <c r="E1717" s="6" t="s">
        <v>19</v>
      </c>
      <c r="F1717" s="6" t="s">
        <v>46</v>
      </c>
      <c r="G1717" s="6" t="s">
        <v>31</v>
      </c>
      <c r="H1717" s="7">
        <v>2730.0</v>
      </c>
      <c r="I1717" s="7">
        <v>9045.0</v>
      </c>
      <c r="J1717" s="6">
        <v>1977.0</v>
      </c>
      <c r="K1717" s="6">
        <v>111.0</v>
      </c>
      <c r="L1717" s="6" t="s">
        <v>141</v>
      </c>
      <c r="M1717" s="6" t="s">
        <v>6906</v>
      </c>
      <c r="N1717" s="6" t="s">
        <v>24</v>
      </c>
      <c r="O1717" s="6" t="s">
        <v>25</v>
      </c>
      <c r="P1717" s="6">
        <f>COUNTIF(Analysis!$M$1:$M$3001,Analysis!$M1717)</f>
        <v>1</v>
      </c>
      <c r="Q1717" s="6" t="str">
        <f>IF(COUNTIF(Analysis!$M$2:$M$3001,Analysis!$M1717)&gt;1,"Duplicate","OK")</f>
        <v>OK</v>
      </c>
      <c r="R1717" s="6" t="str">
        <f t="shared" si="1"/>
        <v>2600-3600</v>
      </c>
      <c r="S1717" s="6">
        <f t="shared" si="2"/>
        <v>49</v>
      </c>
      <c r="T1717" s="6" t="str">
        <f t="shared" si="3"/>
        <v>Old</v>
      </c>
    </row>
    <row r="1718" ht="14.25" customHeight="1">
      <c r="A1718" s="5">
        <v>909232.0</v>
      </c>
      <c r="B1718" s="6" t="s">
        <v>2979</v>
      </c>
      <c r="C1718" s="6" t="s">
        <v>29</v>
      </c>
      <c r="D1718" s="6">
        <v>93235.0</v>
      </c>
      <c r="E1718" s="6" t="s">
        <v>40</v>
      </c>
      <c r="F1718" s="6" t="s">
        <v>46</v>
      </c>
      <c r="G1718" s="6" t="s">
        <v>100</v>
      </c>
      <c r="H1718" s="7">
        <v>1044.0</v>
      </c>
      <c r="I1718" s="7">
        <v>8331.0</v>
      </c>
      <c r="J1718" s="6">
        <v>1954.0</v>
      </c>
      <c r="K1718" s="6">
        <v>58.0</v>
      </c>
      <c r="L1718" s="6" t="s">
        <v>32</v>
      </c>
      <c r="M1718" s="6" t="s">
        <v>2980</v>
      </c>
      <c r="N1718" s="6" t="s">
        <v>24</v>
      </c>
      <c r="O1718" s="6" t="s">
        <v>25</v>
      </c>
      <c r="P1718" s="6">
        <f>COUNTIF(Analysis!$M$1:$M$3001,Analysis!$M735)</f>
        <v>1</v>
      </c>
      <c r="Q1718" s="6" t="str">
        <f>IF(COUNTIF(Analysis!$M$2:$M$3001,Analysis!$M735)&gt;1,"Duplicate","OK")</f>
        <v>OK</v>
      </c>
      <c r="R1718" s="6" t="str">
        <f t="shared" si="1"/>
        <v>600-1600</v>
      </c>
      <c r="S1718" s="6">
        <f t="shared" si="2"/>
        <v>72</v>
      </c>
      <c r="T1718" s="6" t="str">
        <f t="shared" si="3"/>
        <v>Very Old</v>
      </c>
    </row>
    <row r="1719" ht="14.25" customHeight="1">
      <c r="A1719" s="5">
        <v>788063.0</v>
      </c>
      <c r="B1719" s="6" t="s">
        <v>6913</v>
      </c>
      <c r="C1719" s="6" t="s">
        <v>39</v>
      </c>
      <c r="D1719" s="6">
        <v>54548.0</v>
      </c>
      <c r="E1719" s="6" t="s">
        <v>30</v>
      </c>
      <c r="F1719" s="6" t="s">
        <v>46</v>
      </c>
      <c r="G1719" s="6" t="s">
        <v>21</v>
      </c>
      <c r="H1719" s="7">
        <v>2405.0</v>
      </c>
      <c r="I1719" s="7">
        <v>9872.0</v>
      </c>
      <c r="J1719" s="6">
        <v>1973.0</v>
      </c>
      <c r="K1719" s="6">
        <v>106.0</v>
      </c>
      <c r="L1719" s="6" t="s">
        <v>22</v>
      </c>
      <c r="M1719" s="6" t="s">
        <v>6914</v>
      </c>
      <c r="N1719" s="6" t="s">
        <v>64</v>
      </c>
      <c r="O1719" s="6" t="s">
        <v>35</v>
      </c>
      <c r="P1719" s="6">
        <f>COUNTIF(Analysis!$M$1:$M$3001,Analysis!$M1719)</f>
        <v>1</v>
      </c>
      <c r="Q1719" s="6" t="str">
        <f>IF(COUNTIF(Analysis!$M$2:$M$3001,Analysis!$M1719)&gt;1,"Duplicate","OK")</f>
        <v>OK</v>
      </c>
      <c r="R1719" s="6" t="str">
        <f t="shared" si="1"/>
        <v>1600-2600</v>
      </c>
      <c r="S1719" s="6">
        <f t="shared" si="2"/>
        <v>53</v>
      </c>
      <c r="T1719" s="6" t="str">
        <f t="shared" si="3"/>
        <v>Old</v>
      </c>
    </row>
    <row r="1720" ht="14.25" customHeight="1">
      <c r="A1720" s="5">
        <v>910254.0</v>
      </c>
      <c r="B1720" s="6" t="s">
        <v>9967</v>
      </c>
      <c r="C1720" s="6" t="s">
        <v>29</v>
      </c>
      <c r="D1720" s="6">
        <v>96969.0</v>
      </c>
      <c r="E1720" s="6" t="s">
        <v>77</v>
      </c>
      <c r="F1720" s="6" t="s">
        <v>20</v>
      </c>
      <c r="G1720" s="6" t="s">
        <v>100</v>
      </c>
      <c r="H1720" s="7">
        <v>1701.0</v>
      </c>
      <c r="I1720" s="7">
        <v>3039.0</v>
      </c>
      <c r="J1720" s="6">
        <v>1955.0</v>
      </c>
      <c r="K1720" s="6">
        <v>6.0</v>
      </c>
      <c r="L1720" s="6" t="s">
        <v>141</v>
      </c>
      <c r="M1720" s="6" t="s">
        <v>9968</v>
      </c>
      <c r="N1720" s="6" t="s">
        <v>24</v>
      </c>
      <c r="O1720" s="6" t="s">
        <v>49</v>
      </c>
      <c r="P1720" s="6">
        <f>COUNTIF(Analysis!$M$1:$M$3001,Analysis!$M2483)</f>
        <v>1</v>
      </c>
      <c r="Q1720" s="6" t="str">
        <f>IF(COUNTIF(Analysis!$M$2:$M$3001,Analysis!$M2483)&gt;1,"Duplicate","OK")</f>
        <v>OK</v>
      </c>
      <c r="R1720" s="6" t="str">
        <f t="shared" si="1"/>
        <v>1600-2600</v>
      </c>
      <c r="S1720" s="6">
        <f t="shared" si="2"/>
        <v>71</v>
      </c>
      <c r="T1720" s="6" t="str">
        <f t="shared" si="3"/>
        <v>Very Old</v>
      </c>
    </row>
    <row r="1721" ht="14.25" customHeight="1">
      <c r="A1721" s="5">
        <v>289224.0</v>
      </c>
      <c r="B1721" s="6" t="s">
        <v>6921</v>
      </c>
      <c r="C1721" s="6" t="s">
        <v>18</v>
      </c>
      <c r="D1721" s="6">
        <v>53067.0</v>
      </c>
      <c r="E1721" s="6" t="s">
        <v>30</v>
      </c>
      <c r="F1721" s="6" t="s">
        <v>61</v>
      </c>
      <c r="G1721" s="6" t="s">
        <v>55</v>
      </c>
      <c r="H1721" s="7">
        <v>3508.0</v>
      </c>
      <c r="I1721" s="7">
        <v>3751.0</v>
      </c>
      <c r="J1721" s="6">
        <v>1974.0</v>
      </c>
      <c r="K1721" s="6">
        <v>113.0</v>
      </c>
      <c r="L1721" s="6" t="s">
        <v>95</v>
      </c>
      <c r="M1721" s="6" t="s">
        <v>6922</v>
      </c>
      <c r="N1721" s="6" t="s">
        <v>24</v>
      </c>
      <c r="O1721" s="6" t="s">
        <v>35</v>
      </c>
      <c r="P1721" s="6">
        <f>COUNTIF(Analysis!$M$1:$M$3001,Analysis!$M1721)</f>
        <v>1</v>
      </c>
      <c r="Q1721" s="6" t="str">
        <f>IF(COUNTIF(Analysis!$M$2:$M$3001,Analysis!$M1721)&gt;1,"Duplicate","OK")</f>
        <v>OK</v>
      </c>
      <c r="R1721" s="6" t="str">
        <f t="shared" si="1"/>
        <v>2600-3600</v>
      </c>
      <c r="S1721" s="6">
        <f t="shared" si="2"/>
        <v>52</v>
      </c>
      <c r="T1721" s="6" t="str">
        <f t="shared" si="3"/>
        <v>Old</v>
      </c>
    </row>
    <row r="1722" ht="14.25" customHeight="1">
      <c r="A1722" s="5">
        <v>304268.0</v>
      </c>
      <c r="B1722" s="6" t="s">
        <v>6925</v>
      </c>
      <c r="C1722" s="6" t="s">
        <v>53</v>
      </c>
      <c r="D1722" s="6">
        <v>75233.0</v>
      </c>
      <c r="E1722" s="6" t="s">
        <v>19</v>
      </c>
      <c r="F1722" s="6" t="s">
        <v>54</v>
      </c>
      <c r="G1722" s="6" t="s">
        <v>31</v>
      </c>
      <c r="H1722" s="7">
        <v>3016.0</v>
      </c>
      <c r="I1722" s="7">
        <v>4168.0</v>
      </c>
      <c r="J1722" s="6">
        <v>1973.0</v>
      </c>
      <c r="K1722" s="6">
        <v>41.0</v>
      </c>
      <c r="L1722" s="6" t="s">
        <v>95</v>
      </c>
      <c r="M1722" s="6" t="s">
        <v>6926</v>
      </c>
      <c r="N1722" s="6" t="s">
        <v>64</v>
      </c>
      <c r="O1722" s="6" t="s">
        <v>49</v>
      </c>
      <c r="P1722" s="6">
        <f>COUNTIF(Analysis!$M$1:$M$3001,Analysis!$M1722)</f>
        <v>1</v>
      </c>
      <c r="Q1722" s="6" t="str">
        <f>IF(COUNTIF(Analysis!$M$2:$M$3001,Analysis!$M1722)&gt;1,"Duplicate","OK")</f>
        <v>OK</v>
      </c>
      <c r="R1722" s="6" t="str">
        <f t="shared" si="1"/>
        <v>2600-3600</v>
      </c>
      <c r="S1722" s="6">
        <f t="shared" si="2"/>
        <v>53</v>
      </c>
      <c r="T1722" s="6" t="str">
        <f t="shared" si="3"/>
        <v>Old</v>
      </c>
    </row>
    <row r="1723" ht="14.25" customHeight="1">
      <c r="A1723" s="5">
        <v>286355.0</v>
      </c>
      <c r="B1723" s="6" t="s">
        <v>6929</v>
      </c>
      <c r="C1723" s="6" t="s">
        <v>18</v>
      </c>
      <c r="D1723" s="6">
        <v>41914.0</v>
      </c>
      <c r="E1723" s="6" t="s">
        <v>40</v>
      </c>
      <c r="F1723" s="6" t="s">
        <v>61</v>
      </c>
      <c r="G1723" s="6" t="s">
        <v>100</v>
      </c>
      <c r="H1723" s="7">
        <v>1746.0</v>
      </c>
      <c r="I1723" s="7">
        <v>6370.0</v>
      </c>
      <c r="J1723" s="6">
        <v>2008.0</v>
      </c>
      <c r="K1723" s="6">
        <v>87.0</v>
      </c>
      <c r="L1723" s="6" t="s">
        <v>141</v>
      </c>
      <c r="M1723" s="6" t="s">
        <v>6930</v>
      </c>
      <c r="N1723" s="6" t="s">
        <v>24</v>
      </c>
      <c r="O1723" s="6" t="s">
        <v>49</v>
      </c>
      <c r="P1723" s="6">
        <f>COUNTIF(Analysis!$M$1:$M$3001,Analysis!$M1723)</f>
        <v>1</v>
      </c>
      <c r="Q1723" s="6" t="str">
        <f>IF(COUNTIF(Analysis!$M$2:$M$3001,Analysis!$M1723)&gt;1,"Duplicate","OK")</f>
        <v>OK</v>
      </c>
      <c r="R1723" s="6" t="str">
        <f t="shared" si="1"/>
        <v>1600-2600</v>
      </c>
      <c r="S1723" s="6">
        <f t="shared" si="2"/>
        <v>18</v>
      </c>
      <c r="T1723" s="6" t="str">
        <f t="shared" si="3"/>
        <v>Mid</v>
      </c>
    </row>
    <row r="1724" ht="14.25" customHeight="1">
      <c r="A1724" s="5">
        <v>912491.0</v>
      </c>
      <c r="B1724" s="6" t="s">
        <v>9479</v>
      </c>
      <c r="C1724" s="6" t="s">
        <v>29</v>
      </c>
      <c r="D1724" s="6">
        <v>76828.0</v>
      </c>
      <c r="E1724" s="6" t="s">
        <v>60</v>
      </c>
      <c r="F1724" s="6" t="s">
        <v>54</v>
      </c>
      <c r="G1724" s="6" t="s">
        <v>21</v>
      </c>
      <c r="H1724" s="7">
        <v>2353.0</v>
      </c>
      <c r="I1724" s="7">
        <v>5835.0</v>
      </c>
      <c r="J1724" s="6">
        <v>1967.0</v>
      </c>
      <c r="K1724" s="6">
        <v>54.0</v>
      </c>
      <c r="L1724" s="6" t="s">
        <v>32</v>
      </c>
      <c r="M1724" s="6" t="s">
        <v>9480</v>
      </c>
      <c r="N1724" s="6" t="s">
        <v>43</v>
      </c>
      <c r="O1724" s="6" t="s">
        <v>35</v>
      </c>
      <c r="P1724" s="6">
        <f>COUNTIF(Analysis!$M$1:$M$3001,Analysis!$M2361)</f>
        <v>1</v>
      </c>
      <c r="Q1724" s="6" t="str">
        <f>IF(COUNTIF(Analysis!$M$2:$M$3001,Analysis!$M2361)&gt;1,"Duplicate","OK")</f>
        <v>OK</v>
      </c>
      <c r="R1724" s="6" t="str">
        <f t="shared" si="1"/>
        <v>1600-2600</v>
      </c>
      <c r="S1724" s="6">
        <f t="shared" si="2"/>
        <v>59</v>
      </c>
      <c r="T1724" s="6" t="str">
        <f t="shared" si="3"/>
        <v>Old</v>
      </c>
    </row>
    <row r="1725" ht="14.25" customHeight="1">
      <c r="A1725" s="5">
        <v>1242314.0</v>
      </c>
      <c r="B1725" s="6" t="s">
        <v>6937</v>
      </c>
      <c r="C1725" s="6" t="s">
        <v>39</v>
      </c>
      <c r="D1725" s="6">
        <v>27579.0</v>
      </c>
      <c r="E1725" s="6" t="s">
        <v>19</v>
      </c>
      <c r="F1725" s="6" t="s">
        <v>41</v>
      </c>
      <c r="G1725" s="6" t="s">
        <v>31</v>
      </c>
      <c r="H1725" s="7">
        <v>935.0</v>
      </c>
      <c r="I1725" s="7">
        <v>7687.0</v>
      </c>
      <c r="J1725" s="6">
        <v>1966.0</v>
      </c>
      <c r="K1725" s="6">
        <v>9.0</v>
      </c>
      <c r="L1725" s="6" t="s">
        <v>32</v>
      </c>
      <c r="M1725" s="6" t="s">
        <v>6938</v>
      </c>
      <c r="N1725" s="6" t="s">
        <v>24</v>
      </c>
      <c r="O1725" s="6" t="s">
        <v>25</v>
      </c>
      <c r="P1725" s="6">
        <f>COUNTIF(Analysis!$M$1:$M$3001,Analysis!$M1725)</f>
        <v>1</v>
      </c>
      <c r="Q1725" s="6" t="str">
        <f>IF(COUNTIF(Analysis!$M$2:$M$3001,Analysis!$M1725)&gt;1,"Duplicate","OK")</f>
        <v>OK</v>
      </c>
      <c r="R1725" s="6" t="str">
        <f t="shared" si="1"/>
        <v>600-1600</v>
      </c>
      <c r="S1725" s="6">
        <f t="shared" si="2"/>
        <v>60</v>
      </c>
      <c r="T1725" s="6" t="str">
        <f t="shared" si="3"/>
        <v>Old</v>
      </c>
    </row>
    <row r="1726" ht="14.25" customHeight="1">
      <c r="A1726" s="5">
        <v>607785.0</v>
      </c>
      <c r="B1726" s="6" t="s">
        <v>6941</v>
      </c>
      <c r="C1726" s="6" t="s">
        <v>39</v>
      </c>
      <c r="D1726" s="6">
        <v>32785.0</v>
      </c>
      <c r="E1726" s="6" t="s">
        <v>40</v>
      </c>
      <c r="F1726" s="6" t="s">
        <v>54</v>
      </c>
      <c r="G1726" s="6" t="s">
        <v>100</v>
      </c>
      <c r="H1726" s="7">
        <v>3065.0</v>
      </c>
      <c r="I1726" s="7">
        <v>8330.0</v>
      </c>
      <c r="J1726" s="6">
        <v>2004.0</v>
      </c>
      <c r="K1726" s="6">
        <v>15.0</v>
      </c>
      <c r="L1726" s="6" t="s">
        <v>22</v>
      </c>
      <c r="M1726" s="6" t="s">
        <v>6942</v>
      </c>
      <c r="N1726" s="6" t="s">
        <v>24</v>
      </c>
      <c r="O1726" s="6" t="s">
        <v>49</v>
      </c>
      <c r="P1726" s="6">
        <f>COUNTIF(Analysis!$M$1:$M$3001,Analysis!$M1726)</f>
        <v>1</v>
      </c>
      <c r="Q1726" s="6" t="str">
        <f>IF(COUNTIF(Analysis!$M$2:$M$3001,Analysis!$M1726)&gt;1,"Duplicate","OK")</f>
        <v>OK</v>
      </c>
      <c r="R1726" s="6" t="str">
        <f t="shared" si="1"/>
        <v>2600-3600</v>
      </c>
      <c r="S1726" s="6">
        <f t="shared" si="2"/>
        <v>22</v>
      </c>
      <c r="T1726" s="6" t="str">
        <f t="shared" si="3"/>
        <v>Mid</v>
      </c>
    </row>
    <row r="1727" ht="14.25" customHeight="1">
      <c r="A1727" s="5">
        <v>1334512.0</v>
      </c>
      <c r="B1727" s="6" t="s">
        <v>6945</v>
      </c>
      <c r="C1727" s="6" t="s">
        <v>18</v>
      </c>
      <c r="D1727" s="6">
        <v>37751.0</v>
      </c>
      <c r="E1727" s="6" t="s">
        <v>77</v>
      </c>
      <c r="F1727" s="6" t="s">
        <v>61</v>
      </c>
      <c r="G1727" s="6" t="s">
        <v>21</v>
      </c>
      <c r="H1727" s="7">
        <v>2277.0</v>
      </c>
      <c r="I1727" s="7">
        <v>7930.0</v>
      </c>
      <c r="J1727" s="6">
        <v>1981.0</v>
      </c>
      <c r="K1727" s="6">
        <v>57.0</v>
      </c>
      <c r="L1727" s="6" t="s">
        <v>141</v>
      </c>
      <c r="M1727" s="6" t="s">
        <v>6946</v>
      </c>
      <c r="N1727" s="6" t="s">
        <v>24</v>
      </c>
      <c r="O1727" s="6" t="s">
        <v>35</v>
      </c>
      <c r="P1727" s="6">
        <f>COUNTIF(Analysis!$M$1:$M$3001,Analysis!$M1727)</f>
        <v>1</v>
      </c>
      <c r="Q1727" s="6" t="str">
        <f>IF(COUNTIF(Analysis!$M$2:$M$3001,Analysis!$M1727)&gt;1,"Duplicate","OK")</f>
        <v>OK</v>
      </c>
      <c r="R1727" s="6" t="str">
        <f t="shared" si="1"/>
        <v>1600-2600</v>
      </c>
      <c r="S1727" s="6">
        <f t="shared" si="2"/>
        <v>45</v>
      </c>
      <c r="T1727" s="6" t="str">
        <f t="shared" si="3"/>
        <v>Old</v>
      </c>
    </row>
    <row r="1728" ht="14.25" customHeight="1">
      <c r="A1728" s="5">
        <v>589344.0</v>
      </c>
      <c r="B1728" s="6" t="s">
        <v>6949</v>
      </c>
      <c r="C1728" s="6" t="s">
        <v>39</v>
      </c>
      <c r="D1728" s="6">
        <v>42099.0</v>
      </c>
      <c r="E1728" s="6" t="s">
        <v>19</v>
      </c>
      <c r="F1728" s="6" t="s">
        <v>20</v>
      </c>
      <c r="G1728" s="6" t="s">
        <v>21</v>
      </c>
      <c r="H1728" s="7">
        <v>3101.0</v>
      </c>
      <c r="I1728" s="7">
        <v>7313.0</v>
      </c>
      <c r="J1728" s="6">
        <v>2008.0</v>
      </c>
      <c r="K1728" s="6">
        <v>44.0</v>
      </c>
      <c r="L1728" s="6" t="s">
        <v>95</v>
      </c>
      <c r="M1728" s="6" t="s">
        <v>6950</v>
      </c>
      <c r="N1728" s="6" t="s">
        <v>64</v>
      </c>
      <c r="O1728" s="6" t="s">
        <v>49</v>
      </c>
      <c r="P1728" s="6">
        <f>COUNTIF(Analysis!$M$1:$M$3001,Analysis!$M1728)</f>
        <v>1</v>
      </c>
      <c r="Q1728" s="6" t="str">
        <f>IF(COUNTIF(Analysis!$M$2:$M$3001,Analysis!$M1728)&gt;1,"Duplicate","OK")</f>
        <v>OK</v>
      </c>
      <c r="R1728" s="6" t="str">
        <f t="shared" si="1"/>
        <v>2600-3600</v>
      </c>
      <c r="S1728" s="6">
        <f t="shared" si="2"/>
        <v>18</v>
      </c>
      <c r="T1728" s="6" t="str">
        <f t="shared" si="3"/>
        <v>Mid</v>
      </c>
    </row>
    <row r="1729" ht="14.25" customHeight="1">
      <c r="A1729" s="5">
        <v>695004.0</v>
      </c>
      <c r="B1729" s="6" t="s">
        <v>6953</v>
      </c>
      <c r="C1729" s="6" t="s">
        <v>39</v>
      </c>
      <c r="D1729" s="6">
        <v>13733.0</v>
      </c>
      <c r="E1729" s="6" t="s">
        <v>19</v>
      </c>
      <c r="F1729" s="6" t="s">
        <v>61</v>
      </c>
      <c r="G1729" s="6" t="s">
        <v>31</v>
      </c>
      <c r="H1729" s="7">
        <v>1176.0</v>
      </c>
      <c r="I1729" s="7">
        <v>5984.0</v>
      </c>
      <c r="J1729" s="6">
        <v>1995.0</v>
      </c>
      <c r="K1729" s="6">
        <v>69.0</v>
      </c>
      <c r="L1729" s="6" t="s">
        <v>141</v>
      </c>
      <c r="M1729" s="6" t="s">
        <v>6954</v>
      </c>
      <c r="N1729" s="6" t="s">
        <v>34</v>
      </c>
      <c r="O1729" s="6" t="s">
        <v>49</v>
      </c>
      <c r="P1729" s="6">
        <f>COUNTIF(Analysis!$M$1:$M$3001,Analysis!$M1729)</f>
        <v>1</v>
      </c>
      <c r="Q1729" s="6" t="str">
        <f>IF(COUNTIF(Analysis!$M$2:$M$3001,Analysis!$M1729)&gt;1,"Duplicate","OK")</f>
        <v>OK</v>
      </c>
      <c r="R1729" s="6" t="str">
        <f t="shared" si="1"/>
        <v>600-1600</v>
      </c>
      <c r="S1729" s="6">
        <f t="shared" si="2"/>
        <v>31</v>
      </c>
      <c r="T1729" s="6" t="str">
        <f t="shared" si="3"/>
        <v>Old</v>
      </c>
    </row>
    <row r="1730" ht="14.25" customHeight="1">
      <c r="A1730" s="5">
        <v>880609.0</v>
      </c>
      <c r="B1730" s="6" t="s">
        <v>6957</v>
      </c>
      <c r="C1730" s="6" t="s">
        <v>76</v>
      </c>
      <c r="D1730" s="6">
        <v>93199.0</v>
      </c>
      <c r="E1730" s="6" t="s">
        <v>40</v>
      </c>
      <c r="F1730" s="6" t="s">
        <v>46</v>
      </c>
      <c r="G1730" s="6" t="s">
        <v>100</v>
      </c>
      <c r="H1730" s="7">
        <v>2508.0</v>
      </c>
      <c r="I1730" s="7">
        <v>1625.0</v>
      </c>
      <c r="J1730" s="6">
        <v>1980.0</v>
      </c>
      <c r="K1730" s="6">
        <v>4.0</v>
      </c>
      <c r="L1730" s="6" t="s">
        <v>62</v>
      </c>
      <c r="M1730" s="6" t="s">
        <v>6958</v>
      </c>
      <c r="N1730" s="6" t="s">
        <v>43</v>
      </c>
      <c r="O1730" s="6" t="s">
        <v>49</v>
      </c>
      <c r="P1730" s="6">
        <f>COUNTIF(Analysis!$M$1:$M$3001,Analysis!$M1730)</f>
        <v>1</v>
      </c>
      <c r="Q1730" s="6" t="str">
        <f>IF(COUNTIF(Analysis!$M$2:$M$3001,Analysis!$M1730)&gt;1,"Duplicate","OK")</f>
        <v>OK</v>
      </c>
      <c r="R1730" s="6" t="str">
        <f t="shared" si="1"/>
        <v>1600-2600</v>
      </c>
      <c r="S1730" s="6">
        <f t="shared" si="2"/>
        <v>46</v>
      </c>
      <c r="T1730" s="6" t="str">
        <f t="shared" si="3"/>
        <v>Old</v>
      </c>
    </row>
    <row r="1731" ht="14.25" customHeight="1">
      <c r="A1731" s="5">
        <v>765589.0</v>
      </c>
      <c r="B1731" s="6" t="s">
        <v>6961</v>
      </c>
      <c r="C1731" s="6" t="s">
        <v>39</v>
      </c>
      <c r="D1731" s="6">
        <v>79873.0</v>
      </c>
      <c r="E1731" s="6" t="s">
        <v>19</v>
      </c>
      <c r="F1731" s="6" t="s">
        <v>41</v>
      </c>
      <c r="G1731" s="6" t="s">
        <v>21</v>
      </c>
      <c r="H1731" s="7">
        <v>3381.0</v>
      </c>
      <c r="I1731" s="7">
        <v>4621.0</v>
      </c>
      <c r="J1731" s="6">
        <v>2019.0</v>
      </c>
      <c r="K1731" s="6">
        <v>27.0</v>
      </c>
      <c r="L1731" s="6" t="s">
        <v>141</v>
      </c>
      <c r="M1731" s="6" t="s">
        <v>6962</v>
      </c>
      <c r="N1731" s="6" t="s">
        <v>43</v>
      </c>
      <c r="O1731" s="6" t="s">
        <v>35</v>
      </c>
      <c r="P1731" s="6">
        <f>COUNTIF(Analysis!$M$1:$M$3001,Analysis!$M1731)</f>
        <v>1</v>
      </c>
      <c r="Q1731" s="6" t="str">
        <f>IF(COUNTIF(Analysis!$M$2:$M$3001,Analysis!$M1731)&gt;1,"Duplicate","OK")</f>
        <v>OK</v>
      </c>
      <c r="R1731" s="6" t="str">
        <f t="shared" si="1"/>
        <v>2600-3600</v>
      </c>
      <c r="S1731" s="6">
        <f t="shared" si="2"/>
        <v>7</v>
      </c>
      <c r="T1731" s="6" t="str">
        <f t="shared" si="3"/>
        <v>New</v>
      </c>
    </row>
    <row r="1732" ht="14.25" customHeight="1">
      <c r="A1732" s="5">
        <v>173195.0</v>
      </c>
      <c r="B1732" s="6" t="s">
        <v>6965</v>
      </c>
      <c r="C1732" s="6" t="s">
        <v>39</v>
      </c>
      <c r="D1732" s="6">
        <v>45292.0</v>
      </c>
      <c r="E1732" s="6" t="s">
        <v>19</v>
      </c>
      <c r="F1732" s="6" t="s">
        <v>61</v>
      </c>
      <c r="G1732" s="6" t="s">
        <v>55</v>
      </c>
      <c r="H1732" s="7">
        <v>2841.0</v>
      </c>
      <c r="I1732" s="7">
        <v>8162.0</v>
      </c>
      <c r="J1732" s="6">
        <v>1987.0</v>
      </c>
      <c r="K1732" s="6">
        <v>83.0</v>
      </c>
      <c r="L1732" s="6" t="s">
        <v>62</v>
      </c>
      <c r="M1732" s="6" t="s">
        <v>6966</v>
      </c>
      <c r="N1732" s="6" t="s">
        <v>64</v>
      </c>
      <c r="O1732" s="6" t="s">
        <v>35</v>
      </c>
      <c r="P1732" s="6">
        <f>COUNTIF(Analysis!$M$1:$M$3001,Analysis!$M1732)</f>
        <v>1</v>
      </c>
      <c r="Q1732" s="6" t="str">
        <f>IF(COUNTIF(Analysis!$M$2:$M$3001,Analysis!$M1732)&gt;1,"Duplicate","OK")</f>
        <v>OK</v>
      </c>
      <c r="R1732" s="6" t="str">
        <f t="shared" si="1"/>
        <v>2600-3600</v>
      </c>
      <c r="S1732" s="6">
        <f t="shared" si="2"/>
        <v>39</v>
      </c>
      <c r="T1732" s="6" t="str">
        <f t="shared" si="3"/>
        <v>Old</v>
      </c>
    </row>
    <row r="1733" ht="14.25" customHeight="1">
      <c r="A1733" s="5">
        <v>914842.0</v>
      </c>
      <c r="B1733" s="6" t="s">
        <v>5279</v>
      </c>
      <c r="C1733" s="6" t="s">
        <v>29</v>
      </c>
      <c r="D1733" s="6">
        <v>59956.0</v>
      </c>
      <c r="E1733" s="6" t="s">
        <v>77</v>
      </c>
      <c r="F1733" s="6" t="s">
        <v>20</v>
      </c>
      <c r="G1733" s="6" t="s">
        <v>31</v>
      </c>
      <c r="H1733" s="7">
        <v>1690.0</v>
      </c>
      <c r="I1733" s="7">
        <v>3441.0</v>
      </c>
      <c r="J1733" s="6">
        <v>1995.0</v>
      </c>
      <c r="K1733" s="6">
        <v>42.0</v>
      </c>
      <c r="L1733" s="6" t="s">
        <v>22</v>
      </c>
      <c r="M1733" s="6" t="s">
        <v>5280</v>
      </c>
      <c r="N1733" s="6" t="s">
        <v>48</v>
      </c>
      <c r="O1733" s="6" t="s">
        <v>25</v>
      </c>
      <c r="P1733" s="6">
        <f>COUNTIF(Analysis!$M$1:$M$3001,Analysis!$M1310)</f>
        <v>1</v>
      </c>
      <c r="Q1733" s="6" t="str">
        <f>IF(COUNTIF(Analysis!$M$2:$M$3001,Analysis!$M1310)&gt;1,"Duplicate","OK")</f>
        <v>OK</v>
      </c>
      <c r="R1733" s="6" t="str">
        <f t="shared" si="1"/>
        <v>1600-2600</v>
      </c>
      <c r="S1733" s="6">
        <f t="shared" si="2"/>
        <v>31</v>
      </c>
      <c r="T1733" s="6" t="str">
        <f t="shared" si="3"/>
        <v>Old</v>
      </c>
    </row>
    <row r="1734" ht="14.25" customHeight="1">
      <c r="A1734" s="5">
        <v>490836.0</v>
      </c>
      <c r="B1734" s="6" t="s">
        <v>6973</v>
      </c>
      <c r="C1734" s="6" t="s">
        <v>76</v>
      </c>
      <c r="D1734" s="6">
        <v>56669.0</v>
      </c>
      <c r="E1734" s="6" t="s">
        <v>30</v>
      </c>
      <c r="F1734" s="6" t="s">
        <v>41</v>
      </c>
      <c r="G1734" s="6" t="s">
        <v>31</v>
      </c>
      <c r="H1734" s="7">
        <v>681.0</v>
      </c>
      <c r="I1734" s="7">
        <v>2821.0</v>
      </c>
      <c r="J1734" s="6">
        <v>2015.0</v>
      </c>
      <c r="K1734" s="6">
        <v>49.0</v>
      </c>
      <c r="L1734" s="6" t="s">
        <v>141</v>
      </c>
      <c r="M1734" s="6" t="s">
        <v>6974</v>
      </c>
      <c r="N1734" s="6" t="s">
        <v>24</v>
      </c>
      <c r="O1734" s="6" t="s">
        <v>35</v>
      </c>
      <c r="P1734" s="6">
        <f>COUNTIF(Analysis!$M$1:$M$3001,Analysis!$M1734)</f>
        <v>1</v>
      </c>
      <c r="Q1734" s="6" t="str">
        <f>IF(COUNTIF(Analysis!$M$2:$M$3001,Analysis!$M1734)&gt;1,"Duplicate","OK")</f>
        <v>OK</v>
      </c>
      <c r="R1734" s="6" t="str">
        <f t="shared" si="1"/>
        <v>600-1600</v>
      </c>
      <c r="S1734" s="6">
        <f t="shared" si="2"/>
        <v>11</v>
      </c>
      <c r="T1734" s="6" t="str">
        <f t="shared" si="3"/>
        <v>Mid</v>
      </c>
    </row>
    <row r="1735" ht="14.25" customHeight="1">
      <c r="A1735" s="5">
        <v>1372278.0</v>
      </c>
      <c r="B1735" s="6" t="s">
        <v>6977</v>
      </c>
      <c r="C1735" s="6" t="s">
        <v>18</v>
      </c>
      <c r="D1735" s="6">
        <v>22444.0</v>
      </c>
      <c r="E1735" s="6" t="s">
        <v>19</v>
      </c>
      <c r="F1735" s="6" t="s">
        <v>54</v>
      </c>
      <c r="G1735" s="6" t="s">
        <v>31</v>
      </c>
      <c r="H1735" s="7">
        <v>1681.0</v>
      </c>
      <c r="I1735" s="7">
        <v>8477.0</v>
      </c>
      <c r="J1735" s="6">
        <v>1984.0</v>
      </c>
      <c r="K1735" s="6">
        <v>76.0</v>
      </c>
      <c r="L1735" s="6" t="s">
        <v>22</v>
      </c>
      <c r="M1735" s="6" t="s">
        <v>6978</v>
      </c>
      <c r="N1735" s="6" t="s">
        <v>64</v>
      </c>
      <c r="O1735" s="6" t="s">
        <v>35</v>
      </c>
      <c r="P1735" s="6">
        <f>COUNTIF(Analysis!$M$1:$M$3001,Analysis!$M1735)</f>
        <v>1</v>
      </c>
      <c r="Q1735" s="6" t="str">
        <f>IF(COUNTIF(Analysis!$M$2:$M$3001,Analysis!$M1735)&gt;1,"Duplicate","OK")</f>
        <v>OK</v>
      </c>
      <c r="R1735" s="6" t="str">
        <f t="shared" si="1"/>
        <v>1600-2600</v>
      </c>
      <c r="S1735" s="6">
        <f t="shared" si="2"/>
        <v>42</v>
      </c>
      <c r="T1735" s="6" t="str">
        <f t="shared" si="3"/>
        <v>Old</v>
      </c>
    </row>
    <row r="1736" ht="14.25" customHeight="1">
      <c r="A1736" s="5">
        <v>924197.0</v>
      </c>
      <c r="B1736" s="6" t="s">
        <v>9463</v>
      </c>
      <c r="C1736" s="6" t="s">
        <v>29</v>
      </c>
      <c r="D1736" s="6">
        <v>57095.0</v>
      </c>
      <c r="E1736" s="6" t="s">
        <v>40</v>
      </c>
      <c r="F1736" s="6" t="s">
        <v>41</v>
      </c>
      <c r="G1736" s="6" t="s">
        <v>31</v>
      </c>
      <c r="H1736" s="7">
        <v>2695.0</v>
      </c>
      <c r="I1736" s="7">
        <v>9472.0</v>
      </c>
      <c r="J1736" s="6">
        <v>1956.0</v>
      </c>
      <c r="K1736" s="6">
        <v>69.0</v>
      </c>
      <c r="L1736" s="6" t="s">
        <v>141</v>
      </c>
      <c r="M1736" s="6" t="s">
        <v>9464</v>
      </c>
      <c r="N1736" s="6" t="s">
        <v>48</v>
      </c>
      <c r="O1736" s="6" t="s">
        <v>49</v>
      </c>
      <c r="P1736" s="6">
        <f>COUNTIF(Analysis!$M$1:$M$3001,Analysis!$M2357)</f>
        <v>1</v>
      </c>
      <c r="Q1736" s="6" t="str">
        <f>IF(COUNTIF(Analysis!$M$2:$M$3001,Analysis!$M2357)&gt;1,"Duplicate","OK")</f>
        <v>OK</v>
      </c>
      <c r="R1736" s="6" t="str">
        <f t="shared" si="1"/>
        <v>2600-3600</v>
      </c>
      <c r="S1736" s="6">
        <f t="shared" si="2"/>
        <v>70</v>
      </c>
      <c r="T1736" s="6" t="str">
        <f t="shared" si="3"/>
        <v>Very Old</v>
      </c>
    </row>
    <row r="1737" ht="14.25" customHeight="1">
      <c r="A1737" s="5">
        <v>735605.0</v>
      </c>
      <c r="B1737" s="6" t="s">
        <v>6985</v>
      </c>
      <c r="C1737" s="6" t="s">
        <v>18</v>
      </c>
      <c r="D1737" s="6">
        <v>59855.0</v>
      </c>
      <c r="E1737" s="6" t="s">
        <v>40</v>
      </c>
      <c r="F1737" s="6" t="s">
        <v>46</v>
      </c>
      <c r="G1737" s="6" t="s">
        <v>55</v>
      </c>
      <c r="H1737" s="7">
        <v>1625.0</v>
      </c>
      <c r="I1737" s="7">
        <v>8321.0</v>
      </c>
      <c r="J1737" s="6">
        <v>2000.0</v>
      </c>
      <c r="K1737" s="6">
        <v>93.0</v>
      </c>
      <c r="L1737" s="6" t="s">
        <v>95</v>
      </c>
      <c r="M1737" s="6" t="s">
        <v>6986</v>
      </c>
      <c r="N1737" s="6" t="s">
        <v>64</v>
      </c>
      <c r="O1737" s="6" t="s">
        <v>49</v>
      </c>
      <c r="P1737" s="6">
        <f>COUNTIF(Analysis!$M$1:$M$3001,Analysis!$M1737)</f>
        <v>1</v>
      </c>
      <c r="Q1737" s="6" t="str">
        <f>IF(COUNTIF(Analysis!$M$2:$M$3001,Analysis!$M1737)&gt;1,"Duplicate","OK")</f>
        <v>OK</v>
      </c>
      <c r="R1737" s="6" t="str">
        <f t="shared" si="1"/>
        <v>1600-2600</v>
      </c>
      <c r="S1737" s="6">
        <f t="shared" si="2"/>
        <v>26</v>
      </c>
      <c r="T1737" s="6" t="str">
        <f t="shared" si="3"/>
        <v>Mid</v>
      </c>
    </row>
    <row r="1738" ht="14.25" customHeight="1">
      <c r="A1738" s="5">
        <v>514584.0</v>
      </c>
      <c r="B1738" s="6" t="s">
        <v>6989</v>
      </c>
      <c r="C1738" s="6" t="s">
        <v>18</v>
      </c>
      <c r="D1738" s="6">
        <v>47734.0</v>
      </c>
      <c r="E1738" s="6" t="s">
        <v>19</v>
      </c>
      <c r="F1738" s="6" t="s">
        <v>46</v>
      </c>
      <c r="G1738" s="6" t="s">
        <v>21</v>
      </c>
      <c r="H1738" s="7">
        <v>3377.0</v>
      </c>
      <c r="I1738" s="7">
        <v>4297.0</v>
      </c>
      <c r="J1738" s="6">
        <v>1975.0</v>
      </c>
      <c r="K1738" s="6">
        <v>54.0</v>
      </c>
      <c r="L1738" s="6" t="s">
        <v>22</v>
      </c>
      <c r="M1738" s="6" t="s">
        <v>6990</v>
      </c>
      <c r="N1738" s="6" t="s">
        <v>48</v>
      </c>
      <c r="O1738" s="6" t="s">
        <v>35</v>
      </c>
      <c r="P1738" s="6">
        <f>COUNTIF(Analysis!$M$1:$M$3001,Analysis!$M1738)</f>
        <v>1</v>
      </c>
      <c r="Q1738" s="6" t="str">
        <f>IF(COUNTIF(Analysis!$M$2:$M$3001,Analysis!$M1738)&gt;1,"Duplicate","OK")</f>
        <v>OK</v>
      </c>
      <c r="R1738" s="6" t="str">
        <f t="shared" si="1"/>
        <v>2600-3600</v>
      </c>
      <c r="S1738" s="6">
        <f t="shared" si="2"/>
        <v>51</v>
      </c>
      <c r="T1738" s="6" t="str">
        <f t="shared" si="3"/>
        <v>Old</v>
      </c>
    </row>
    <row r="1739" ht="14.25" customHeight="1">
      <c r="A1739" s="5">
        <v>1458769.0</v>
      </c>
      <c r="B1739" s="6" t="s">
        <v>6993</v>
      </c>
      <c r="C1739" s="6" t="s">
        <v>76</v>
      </c>
      <c r="D1739" s="6">
        <v>99940.0</v>
      </c>
      <c r="E1739" s="6" t="s">
        <v>77</v>
      </c>
      <c r="F1739" s="6" t="s">
        <v>94</v>
      </c>
      <c r="G1739" s="6" t="s">
        <v>31</v>
      </c>
      <c r="H1739" s="7">
        <v>3387.0</v>
      </c>
      <c r="I1739" s="7">
        <v>8326.0</v>
      </c>
      <c r="J1739" s="6">
        <v>1970.0</v>
      </c>
      <c r="K1739" s="6">
        <v>91.0</v>
      </c>
      <c r="L1739" s="6" t="s">
        <v>95</v>
      </c>
      <c r="M1739" s="6" t="s">
        <v>6994</v>
      </c>
      <c r="N1739" s="6" t="s">
        <v>34</v>
      </c>
      <c r="O1739" s="6" t="s">
        <v>25</v>
      </c>
      <c r="P1739" s="6">
        <f>COUNTIF(Analysis!$M$1:$M$3001,Analysis!$M1739)</f>
        <v>1</v>
      </c>
      <c r="Q1739" s="6" t="str">
        <f>IF(COUNTIF(Analysis!$M$2:$M$3001,Analysis!$M1739)&gt;1,"Duplicate","OK")</f>
        <v>OK</v>
      </c>
      <c r="R1739" s="6" t="str">
        <f t="shared" si="1"/>
        <v>2600-3600</v>
      </c>
      <c r="S1739" s="6">
        <f t="shared" si="2"/>
        <v>56</v>
      </c>
      <c r="T1739" s="6" t="str">
        <f t="shared" si="3"/>
        <v>Old</v>
      </c>
    </row>
    <row r="1740" ht="14.25" customHeight="1">
      <c r="A1740" s="5">
        <v>911593.0</v>
      </c>
      <c r="B1740" s="6" t="s">
        <v>6997</v>
      </c>
      <c r="C1740" s="6" t="s">
        <v>39</v>
      </c>
      <c r="D1740" s="6">
        <v>33519.0</v>
      </c>
      <c r="E1740" s="6" t="s">
        <v>30</v>
      </c>
      <c r="F1740" s="6" t="s">
        <v>61</v>
      </c>
      <c r="G1740" s="6" t="s">
        <v>55</v>
      </c>
      <c r="H1740" s="7">
        <v>1996.0</v>
      </c>
      <c r="I1740" s="7">
        <v>6494.0</v>
      </c>
      <c r="J1740" s="6">
        <v>1986.0</v>
      </c>
      <c r="K1740" s="6">
        <v>60.0</v>
      </c>
      <c r="L1740" s="6" t="s">
        <v>62</v>
      </c>
      <c r="M1740" s="6" t="s">
        <v>6998</v>
      </c>
      <c r="N1740" s="6" t="s">
        <v>48</v>
      </c>
      <c r="O1740" s="6" t="s">
        <v>25</v>
      </c>
      <c r="P1740" s="6">
        <f>COUNTIF(Analysis!$M$1:$M$3001,Analysis!$M1740)</f>
        <v>1</v>
      </c>
      <c r="Q1740" s="6" t="str">
        <f>IF(COUNTIF(Analysis!$M$2:$M$3001,Analysis!$M1740)&gt;1,"Duplicate","OK")</f>
        <v>OK</v>
      </c>
      <c r="R1740" s="6" t="str">
        <f t="shared" si="1"/>
        <v>1600-2600</v>
      </c>
      <c r="S1740" s="6">
        <f t="shared" si="2"/>
        <v>40</v>
      </c>
      <c r="T1740" s="6" t="str">
        <f t="shared" si="3"/>
        <v>Old</v>
      </c>
    </row>
    <row r="1741" ht="14.25" customHeight="1">
      <c r="A1741" s="5">
        <v>882369.0</v>
      </c>
      <c r="B1741" s="6" t="s">
        <v>7001</v>
      </c>
      <c r="C1741" s="6" t="s">
        <v>76</v>
      </c>
      <c r="D1741" s="6">
        <v>45493.0</v>
      </c>
      <c r="E1741" s="6" t="s">
        <v>40</v>
      </c>
      <c r="F1741" s="6" t="s">
        <v>94</v>
      </c>
      <c r="G1741" s="6" t="s">
        <v>55</v>
      </c>
      <c r="H1741" s="7">
        <v>1027.0</v>
      </c>
      <c r="I1741" s="7">
        <v>8698.0</v>
      </c>
      <c r="J1741" s="6">
        <v>1970.0</v>
      </c>
      <c r="K1741" s="6">
        <v>6.0</v>
      </c>
      <c r="L1741" s="6" t="s">
        <v>141</v>
      </c>
      <c r="M1741" s="6" t="s">
        <v>7002</v>
      </c>
      <c r="N1741" s="6" t="s">
        <v>43</v>
      </c>
      <c r="O1741" s="6" t="s">
        <v>49</v>
      </c>
      <c r="P1741" s="6">
        <f>COUNTIF(Analysis!$M$1:$M$3001,Analysis!$M1741)</f>
        <v>1</v>
      </c>
      <c r="Q1741" s="6" t="str">
        <f>IF(COUNTIF(Analysis!$M$2:$M$3001,Analysis!$M1741)&gt;1,"Duplicate","OK")</f>
        <v>OK</v>
      </c>
      <c r="R1741" s="6" t="str">
        <f t="shared" si="1"/>
        <v>600-1600</v>
      </c>
      <c r="S1741" s="6">
        <f t="shared" si="2"/>
        <v>56</v>
      </c>
      <c r="T1741" s="6" t="str">
        <f t="shared" si="3"/>
        <v>Old</v>
      </c>
    </row>
    <row r="1742" ht="14.25" customHeight="1">
      <c r="A1742" s="5">
        <v>523704.0</v>
      </c>
      <c r="B1742" s="6" t="s">
        <v>7005</v>
      </c>
      <c r="C1742" s="6" t="s">
        <v>18</v>
      </c>
      <c r="D1742" s="6">
        <v>17567.0</v>
      </c>
      <c r="E1742" s="6" t="s">
        <v>30</v>
      </c>
      <c r="F1742" s="6" t="s">
        <v>61</v>
      </c>
      <c r="G1742" s="6" t="s">
        <v>21</v>
      </c>
      <c r="H1742" s="7">
        <v>2220.0</v>
      </c>
      <c r="I1742" s="7">
        <v>5105.0</v>
      </c>
      <c r="J1742" s="6">
        <v>2012.0</v>
      </c>
      <c r="K1742" s="6">
        <v>102.0</v>
      </c>
      <c r="L1742" s="6" t="s">
        <v>22</v>
      </c>
      <c r="M1742" s="6" t="s">
        <v>7006</v>
      </c>
      <c r="N1742" s="6" t="s">
        <v>64</v>
      </c>
      <c r="O1742" s="6" t="s">
        <v>49</v>
      </c>
      <c r="P1742" s="6">
        <f>COUNTIF(Analysis!$M$1:$M$3001,Analysis!$M1742)</f>
        <v>1</v>
      </c>
      <c r="Q1742" s="6" t="str">
        <f>IF(COUNTIF(Analysis!$M$2:$M$3001,Analysis!$M1742)&gt;1,"Duplicate","OK")</f>
        <v>OK</v>
      </c>
      <c r="R1742" s="6" t="str">
        <f t="shared" si="1"/>
        <v>1600-2600</v>
      </c>
      <c r="S1742" s="6">
        <f t="shared" si="2"/>
        <v>14</v>
      </c>
      <c r="T1742" s="6" t="str">
        <f t="shared" si="3"/>
        <v>Mid</v>
      </c>
    </row>
    <row r="1743" ht="14.25" customHeight="1">
      <c r="A1743" s="5">
        <v>1156785.0</v>
      </c>
      <c r="B1743" s="6" t="s">
        <v>7009</v>
      </c>
      <c r="C1743" s="6" t="s">
        <v>53</v>
      </c>
      <c r="D1743" s="6">
        <v>80793.0</v>
      </c>
      <c r="E1743" s="6" t="s">
        <v>40</v>
      </c>
      <c r="F1743" s="6" t="s">
        <v>46</v>
      </c>
      <c r="G1743" s="6" t="s">
        <v>31</v>
      </c>
      <c r="H1743" s="7">
        <v>1427.0</v>
      </c>
      <c r="I1743" s="7">
        <v>2122.0</v>
      </c>
      <c r="J1743" s="6">
        <v>1963.0</v>
      </c>
      <c r="K1743" s="6">
        <v>27.0</v>
      </c>
      <c r="L1743" s="6" t="s">
        <v>141</v>
      </c>
      <c r="M1743" s="6" t="s">
        <v>7010</v>
      </c>
      <c r="N1743" s="6" t="s">
        <v>43</v>
      </c>
      <c r="O1743" s="6" t="s">
        <v>25</v>
      </c>
      <c r="P1743" s="6">
        <f>COUNTIF(Analysis!$M$1:$M$3001,Analysis!$M1743)</f>
        <v>1</v>
      </c>
      <c r="Q1743" s="6" t="str">
        <f>IF(COUNTIF(Analysis!$M$2:$M$3001,Analysis!$M1743)&gt;1,"Duplicate","OK")</f>
        <v>OK</v>
      </c>
      <c r="R1743" s="6" t="str">
        <f t="shared" si="1"/>
        <v>600-1600</v>
      </c>
      <c r="S1743" s="6">
        <f t="shared" si="2"/>
        <v>63</v>
      </c>
      <c r="T1743" s="6" t="str">
        <f t="shared" si="3"/>
        <v>Very Old</v>
      </c>
    </row>
    <row r="1744" ht="14.25" customHeight="1">
      <c r="A1744" s="5">
        <v>1426040.0</v>
      </c>
      <c r="B1744" s="6" t="s">
        <v>7013</v>
      </c>
      <c r="C1744" s="6" t="s">
        <v>53</v>
      </c>
      <c r="D1744" s="6">
        <v>53682.0</v>
      </c>
      <c r="E1744" s="6" t="s">
        <v>60</v>
      </c>
      <c r="F1744" s="6" t="s">
        <v>20</v>
      </c>
      <c r="G1744" s="6" t="s">
        <v>31</v>
      </c>
      <c r="H1744" s="7">
        <v>1144.0</v>
      </c>
      <c r="I1744" s="7">
        <v>7089.0</v>
      </c>
      <c r="J1744" s="6">
        <v>1992.0</v>
      </c>
      <c r="K1744" s="6">
        <v>21.0</v>
      </c>
      <c r="L1744" s="6" t="s">
        <v>22</v>
      </c>
      <c r="M1744" s="6" t="s">
        <v>7014</v>
      </c>
      <c r="N1744" s="6" t="s">
        <v>48</v>
      </c>
      <c r="O1744" s="6" t="s">
        <v>49</v>
      </c>
      <c r="P1744" s="6">
        <f>COUNTIF(Analysis!$M$1:$M$3001,Analysis!$M1744)</f>
        <v>1</v>
      </c>
      <c r="Q1744" s="6" t="str">
        <f>IF(COUNTIF(Analysis!$M$2:$M$3001,Analysis!$M1744)&gt;1,"Duplicate","OK")</f>
        <v>OK</v>
      </c>
      <c r="R1744" s="6" t="str">
        <f t="shared" si="1"/>
        <v>600-1600</v>
      </c>
      <c r="S1744" s="6">
        <f t="shared" si="2"/>
        <v>34</v>
      </c>
      <c r="T1744" s="6" t="str">
        <f t="shared" si="3"/>
        <v>Old</v>
      </c>
    </row>
    <row r="1745" ht="14.25" customHeight="1">
      <c r="A1745" s="5">
        <v>933014.0</v>
      </c>
      <c r="B1745" s="6" t="s">
        <v>2132</v>
      </c>
      <c r="C1745" s="6" t="s">
        <v>29</v>
      </c>
      <c r="D1745" s="6">
        <v>49179.0</v>
      </c>
      <c r="E1745" s="6" t="s">
        <v>40</v>
      </c>
      <c r="F1745" s="6" t="s">
        <v>54</v>
      </c>
      <c r="G1745" s="6" t="s">
        <v>100</v>
      </c>
      <c r="H1745" s="7">
        <v>2410.0</v>
      </c>
      <c r="I1745" s="7">
        <v>3470.0</v>
      </c>
      <c r="J1745" s="6">
        <v>2002.0</v>
      </c>
      <c r="K1745" s="6">
        <v>73.0</v>
      </c>
      <c r="L1745" s="6" t="s">
        <v>32</v>
      </c>
      <c r="M1745" s="6" t="s">
        <v>2133</v>
      </c>
      <c r="N1745" s="6" t="s">
        <v>24</v>
      </c>
      <c r="O1745" s="6" t="s">
        <v>35</v>
      </c>
      <c r="P1745" s="6">
        <f>COUNTIF(Analysis!$M$1:$M$3001,Analysis!$M523)</f>
        <v>1</v>
      </c>
      <c r="Q1745" s="6" t="str">
        <f>IF(COUNTIF(Analysis!$M$2:$M$3001,Analysis!$M523)&gt;1,"Duplicate","OK")</f>
        <v>OK</v>
      </c>
      <c r="R1745" s="6" t="str">
        <f t="shared" si="1"/>
        <v>1600-2600</v>
      </c>
      <c r="S1745" s="6">
        <f t="shared" si="2"/>
        <v>24</v>
      </c>
      <c r="T1745" s="6" t="str">
        <f t="shared" si="3"/>
        <v>Mid</v>
      </c>
    </row>
    <row r="1746" ht="14.25" customHeight="1">
      <c r="A1746" s="5">
        <v>933171.0</v>
      </c>
      <c r="B1746" s="6" t="s">
        <v>3371</v>
      </c>
      <c r="C1746" s="6" t="s">
        <v>29</v>
      </c>
      <c r="D1746" s="6">
        <v>46537.0</v>
      </c>
      <c r="E1746" s="6" t="s">
        <v>19</v>
      </c>
      <c r="F1746" s="6" t="s">
        <v>61</v>
      </c>
      <c r="G1746" s="6" t="s">
        <v>100</v>
      </c>
      <c r="H1746" s="7">
        <v>2458.0</v>
      </c>
      <c r="I1746" s="7">
        <v>9760.0</v>
      </c>
      <c r="J1746" s="6">
        <v>1999.0</v>
      </c>
      <c r="K1746" s="6">
        <v>2.0</v>
      </c>
      <c r="L1746" s="6" t="s">
        <v>22</v>
      </c>
      <c r="M1746" s="6" t="s">
        <v>3372</v>
      </c>
      <c r="N1746" s="6" t="s">
        <v>43</v>
      </c>
      <c r="O1746" s="6" t="s">
        <v>25</v>
      </c>
      <c r="P1746" s="6">
        <f>COUNTIF(Analysis!$M$1:$M$3001,Analysis!$M833)</f>
        <v>1</v>
      </c>
      <c r="Q1746" s="6" t="str">
        <f>IF(COUNTIF(Analysis!$M$2:$M$3001,Analysis!$M833)&gt;1,"Duplicate","OK")</f>
        <v>OK</v>
      </c>
      <c r="R1746" s="6" t="str">
        <f t="shared" si="1"/>
        <v>1600-2600</v>
      </c>
      <c r="S1746" s="6">
        <f t="shared" si="2"/>
        <v>27</v>
      </c>
      <c r="T1746" s="6" t="str">
        <f t="shared" si="3"/>
        <v>Mid</v>
      </c>
    </row>
    <row r="1747" ht="14.25" customHeight="1">
      <c r="A1747" s="5">
        <v>935362.0</v>
      </c>
      <c r="B1747" s="6" t="s">
        <v>5159</v>
      </c>
      <c r="C1747" s="6" t="s">
        <v>29</v>
      </c>
      <c r="D1747" s="6">
        <v>71928.0</v>
      </c>
      <c r="E1747" s="6" t="s">
        <v>40</v>
      </c>
      <c r="F1747" s="6" t="s">
        <v>94</v>
      </c>
      <c r="G1747" s="6" t="s">
        <v>31</v>
      </c>
      <c r="H1747" s="7">
        <v>2989.0</v>
      </c>
      <c r="I1747" s="7">
        <v>2188.0</v>
      </c>
      <c r="J1747" s="6">
        <v>1965.0</v>
      </c>
      <c r="K1747" s="6">
        <v>113.0</v>
      </c>
      <c r="L1747" s="6" t="s">
        <v>32</v>
      </c>
      <c r="M1747" s="6" t="s">
        <v>5160</v>
      </c>
      <c r="N1747" s="6" t="s">
        <v>64</v>
      </c>
      <c r="O1747" s="6" t="s">
        <v>49</v>
      </c>
      <c r="P1747" s="6">
        <f>COUNTIF(Analysis!$M$1:$M$3001,Analysis!$M1280)</f>
        <v>1</v>
      </c>
      <c r="Q1747" s="6" t="str">
        <f>IF(COUNTIF(Analysis!$M$2:$M$3001,Analysis!$M1280)&gt;1,"Duplicate","OK")</f>
        <v>OK</v>
      </c>
      <c r="R1747" s="6" t="str">
        <f t="shared" si="1"/>
        <v>2600-3600</v>
      </c>
      <c r="S1747" s="6">
        <f t="shared" si="2"/>
        <v>61</v>
      </c>
      <c r="T1747" s="6" t="str">
        <f t="shared" si="3"/>
        <v>Very Old</v>
      </c>
    </row>
    <row r="1748" ht="14.25" customHeight="1">
      <c r="A1748" s="5">
        <v>1063326.0</v>
      </c>
      <c r="B1748" s="6" t="s">
        <v>7029</v>
      </c>
      <c r="C1748" s="6" t="s">
        <v>39</v>
      </c>
      <c r="D1748" s="6">
        <v>62633.0</v>
      </c>
      <c r="E1748" s="6" t="s">
        <v>19</v>
      </c>
      <c r="F1748" s="6" t="s">
        <v>54</v>
      </c>
      <c r="G1748" s="6" t="s">
        <v>31</v>
      </c>
      <c r="H1748" s="7">
        <v>618.0</v>
      </c>
      <c r="I1748" s="7">
        <v>5582.0</v>
      </c>
      <c r="J1748" s="6">
        <v>1987.0</v>
      </c>
      <c r="K1748" s="6">
        <v>99.0</v>
      </c>
      <c r="L1748" s="6" t="s">
        <v>95</v>
      </c>
      <c r="M1748" s="6" t="s">
        <v>7030</v>
      </c>
      <c r="N1748" s="6" t="s">
        <v>64</v>
      </c>
      <c r="O1748" s="6" t="s">
        <v>35</v>
      </c>
      <c r="P1748" s="6">
        <f>COUNTIF(Analysis!$M$1:$M$3001,Analysis!$M1748)</f>
        <v>1</v>
      </c>
      <c r="Q1748" s="6" t="str">
        <f>IF(COUNTIF(Analysis!$M$2:$M$3001,Analysis!$M1748)&gt;1,"Duplicate","OK")</f>
        <v>OK</v>
      </c>
      <c r="R1748" s="6" t="str">
        <f t="shared" si="1"/>
        <v>600-1600</v>
      </c>
      <c r="S1748" s="6">
        <f t="shared" si="2"/>
        <v>39</v>
      </c>
      <c r="T1748" s="6" t="str">
        <f t="shared" si="3"/>
        <v>Old</v>
      </c>
    </row>
    <row r="1749" ht="14.25" customHeight="1">
      <c r="A1749" s="5">
        <v>892349.0</v>
      </c>
      <c r="B1749" s="6" t="s">
        <v>7033</v>
      </c>
      <c r="C1749" s="6" t="s">
        <v>76</v>
      </c>
      <c r="D1749" s="6">
        <v>96678.0</v>
      </c>
      <c r="E1749" s="6" t="s">
        <v>19</v>
      </c>
      <c r="F1749" s="6" t="s">
        <v>54</v>
      </c>
      <c r="G1749" s="6" t="s">
        <v>31</v>
      </c>
      <c r="H1749" s="7">
        <v>1934.0</v>
      </c>
      <c r="I1749" s="7">
        <v>7011.0</v>
      </c>
      <c r="J1749" s="6">
        <v>1970.0</v>
      </c>
      <c r="K1749" s="6">
        <v>118.0</v>
      </c>
      <c r="L1749" s="6" t="s">
        <v>62</v>
      </c>
      <c r="M1749" s="6" t="s">
        <v>7034</v>
      </c>
      <c r="N1749" s="6" t="s">
        <v>64</v>
      </c>
      <c r="O1749" s="6" t="s">
        <v>25</v>
      </c>
      <c r="P1749" s="6">
        <f>COUNTIF(Analysis!$M$1:$M$3001,Analysis!$M1749)</f>
        <v>1</v>
      </c>
      <c r="Q1749" s="6" t="str">
        <f>IF(COUNTIF(Analysis!$M$2:$M$3001,Analysis!$M1749)&gt;1,"Duplicate","OK")</f>
        <v>OK</v>
      </c>
      <c r="R1749" s="6" t="str">
        <f t="shared" si="1"/>
        <v>1600-2600</v>
      </c>
      <c r="S1749" s="6">
        <f t="shared" si="2"/>
        <v>56</v>
      </c>
      <c r="T1749" s="6" t="str">
        <f t="shared" si="3"/>
        <v>Old</v>
      </c>
    </row>
    <row r="1750" ht="14.25" customHeight="1">
      <c r="A1750" s="5">
        <v>966864.0</v>
      </c>
      <c r="B1750" s="6" t="s">
        <v>7037</v>
      </c>
      <c r="C1750" s="6" t="s">
        <v>76</v>
      </c>
      <c r="D1750" s="6">
        <v>29567.0</v>
      </c>
      <c r="E1750" s="6" t="s">
        <v>30</v>
      </c>
      <c r="F1750" s="6" t="s">
        <v>46</v>
      </c>
      <c r="G1750" s="6" t="s">
        <v>21</v>
      </c>
      <c r="H1750" s="7">
        <v>1546.0</v>
      </c>
      <c r="I1750" s="7">
        <v>9987.0</v>
      </c>
      <c r="J1750" s="6">
        <v>2006.0</v>
      </c>
      <c r="K1750" s="6">
        <v>5.0</v>
      </c>
      <c r="L1750" s="6" t="s">
        <v>22</v>
      </c>
      <c r="M1750" s="6" t="s">
        <v>7038</v>
      </c>
      <c r="N1750" s="6" t="s">
        <v>24</v>
      </c>
      <c r="O1750" s="6" t="s">
        <v>49</v>
      </c>
      <c r="P1750" s="6">
        <f>COUNTIF(Analysis!$M$1:$M$3001,Analysis!$M1750)</f>
        <v>1</v>
      </c>
      <c r="Q1750" s="6" t="str">
        <f>IF(COUNTIF(Analysis!$M$2:$M$3001,Analysis!$M1750)&gt;1,"Duplicate","OK")</f>
        <v>OK</v>
      </c>
      <c r="R1750" s="6" t="str">
        <f t="shared" si="1"/>
        <v>600-1600</v>
      </c>
      <c r="S1750" s="6">
        <f t="shared" si="2"/>
        <v>20</v>
      </c>
      <c r="T1750" s="6" t="str">
        <f t="shared" si="3"/>
        <v>Mid</v>
      </c>
    </row>
    <row r="1751" ht="14.25" customHeight="1">
      <c r="A1751" s="5">
        <v>938789.0</v>
      </c>
      <c r="B1751" s="6" t="s">
        <v>1933</v>
      </c>
      <c r="C1751" s="6" t="s">
        <v>29</v>
      </c>
      <c r="D1751" s="6">
        <v>23436.0</v>
      </c>
      <c r="E1751" s="6" t="s">
        <v>40</v>
      </c>
      <c r="F1751" s="6" t="s">
        <v>41</v>
      </c>
      <c r="G1751" s="6" t="s">
        <v>55</v>
      </c>
      <c r="H1751" s="7">
        <v>2454.0</v>
      </c>
      <c r="I1751" s="7">
        <v>5887.0</v>
      </c>
      <c r="J1751" s="6">
        <v>1989.0</v>
      </c>
      <c r="K1751" s="6">
        <v>50.0</v>
      </c>
      <c r="L1751" s="6" t="s">
        <v>62</v>
      </c>
      <c r="M1751" s="6" t="s">
        <v>1934</v>
      </c>
      <c r="N1751" s="6" t="s">
        <v>48</v>
      </c>
      <c r="O1751" s="6" t="s">
        <v>49</v>
      </c>
      <c r="P1751" s="6">
        <f>COUNTIF(Analysis!$M$1:$M$3001,Analysis!$M473)</f>
        <v>1</v>
      </c>
      <c r="Q1751" s="6" t="str">
        <f>IF(COUNTIF(Analysis!$M$2:$M$3001,Analysis!$M473)&gt;1,"Duplicate","OK")</f>
        <v>OK</v>
      </c>
      <c r="R1751" s="6" t="str">
        <f t="shared" si="1"/>
        <v>1600-2600</v>
      </c>
      <c r="S1751" s="6">
        <f t="shared" si="2"/>
        <v>37</v>
      </c>
      <c r="T1751" s="6" t="str">
        <f t="shared" si="3"/>
        <v>Old</v>
      </c>
    </row>
    <row r="1752" ht="14.25" customHeight="1">
      <c r="A1752" s="5">
        <v>510491.0</v>
      </c>
      <c r="B1752" s="6" t="s">
        <v>7045</v>
      </c>
      <c r="C1752" s="6" t="s">
        <v>39</v>
      </c>
      <c r="D1752" s="6">
        <v>40146.0</v>
      </c>
      <c r="E1752" s="6" t="s">
        <v>19</v>
      </c>
      <c r="F1752" s="6" t="s">
        <v>94</v>
      </c>
      <c r="G1752" s="6" t="s">
        <v>100</v>
      </c>
      <c r="H1752" s="7">
        <v>2115.0</v>
      </c>
      <c r="I1752" s="7">
        <v>5527.0</v>
      </c>
      <c r="J1752" s="6">
        <v>1980.0</v>
      </c>
      <c r="K1752" s="6">
        <v>7.0</v>
      </c>
      <c r="L1752" s="6" t="s">
        <v>95</v>
      </c>
      <c r="M1752" s="6" t="s">
        <v>7046</v>
      </c>
      <c r="N1752" s="6" t="s">
        <v>24</v>
      </c>
      <c r="O1752" s="6" t="s">
        <v>49</v>
      </c>
      <c r="P1752" s="6">
        <f>COUNTIF(Analysis!$M$1:$M$3001,Analysis!$M1752)</f>
        <v>1</v>
      </c>
      <c r="Q1752" s="6" t="str">
        <f>IF(COUNTIF(Analysis!$M$2:$M$3001,Analysis!$M1752)&gt;1,"Duplicate","OK")</f>
        <v>OK</v>
      </c>
      <c r="R1752" s="6" t="str">
        <f t="shared" si="1"/>
        <v>1600-2600</v>
      </c>
      <c r="S1752" s="6">
        <f t="shared" si="2"/>
        <v>46</v>
      </c>
      <c r="T1752" s="6" t="str">
        <f t="shared" si="3"/>
        <v>Old</v>
      </c>
    </row>
    <row r="1753" ht="14.25" customHeight="1">
      <c r="A1753" s="5">
        <v>939995.0</v>
      </c>
      <c r="B1753" s="6" t="s">
        <v>10391</v>
      </c>
      <c r="C1753" s="6" t="s">
        <v>29</v>
      </c>
      <c r="D1753" s="6">
        <v>15004.0</v>
      </c>
      <c r="E1753" s="6" t="s">
        <v>19</v>
      </c>
      <c r="F1753" s="6" t="s">
        <v>41</v>
      </c>
      <c r="G1753" s="6" t="s">
        <v>31</v>
      </c>
      <c r="H1753" s="7">
        <v>3662.0</v>
      </c>
      <c r="I1753" s="7">
        <v>9461.0</v>
      </c>
      <c r="J1753" s="6">
        <v>2012.0</v>
      </c>
      <c r="K1753" s="6">
        <v>68.0</v>
      </c>
      <c r="L1753" s="6" t="s">
        <v>22</v>
      </c>
      <c r="M1753" s="6" t="s">
        <v>10392</v>
      </c>
      <c r="N1753" s="6" t="s">
        <v>64</v>
      </c>
      <c r="O1753" s="6" t="s">
        <v>25</v>
      </c>
      <c r="P1753" s="6">
        <f>COUNTIF(Analysis!$M$1:$M$3001,Analysis!$M2589)</f>
        <v>1</v>
      </c>
      <c r="Q1753" s="6" t="str">
        <f>IF(COUNTIF(Analysis!$M$2:$M$3001,Analysis!$M2589)&gt;1,"Duplicate","OK")</f>
        <v>OK</v>
      </c>
      <c r="R1753" s="6" t="str">
        <f t="shared" si="1"/>
        <v>3600+</v>
      </c>
      <c r="S1753" s="6">
        <f t="shared" si="2"/>
        <v>14</v>
      </c>
      <c r="T1753" s="6" t="str">
        <f t="shared" si="3"/>
        <v>Mid</v>
      </c>
    </row>
    <row r="1754" ht="14.25" customHeight="1">
      <c r="A1754" s="5">
        <v>340762.0</v>
      </c>
      <c r="B1754" s="6" t="s">
        <v>7053</v>
      </c>
      <c r="C1754" s="6" t="s">
        <v>18</v>
      </c>
      <c r="D1754" s="6">
        <v>24650.0</v>
      </c>
      <c r="E1754" s="6" t="s">
        <v>19</v>
      </c>
      <c r="F1754" s="6" t="s">
        <v>94</v>
      </c>
      <c r="G1754" s="6" t="s">
        <v>31</v>
      </c>
      <c r="H1754" s="7">
        <v>953.0</v>
      </c>
      <c r="I1754" s="7">
        <v>6249.0</v>
      </c>
      <c r="J1754" s="6">
        <v>2015.0</v>
      </c>
      <c r="K1754" s="6">
        <v>90.0</v>
      </c>
      <c r="L1754" s="6" t="s">
        <v>62</v>
      </c>
      <c r="M1754" s="6" t="s">
        <v>7054</v>
      </c>
      <c r="N1754" s="6" t="s">
        <v>64</v>
      </c>
      <c r="O1754" s="6" t="s">
        <v>35</v>
      </c>
      <c r="P1754" s="6">
        <f>COUNTIF(Analysis!$M$1:$M$3001,Analysis!$M1754)</f>
        <v>1</v>
      </c>
      <c r="Q1754" s="6" t="str">
        <f>IF(COUNTIF(Analysis!$M$2:$M$3001,Analysis!$M1754)&gt;1,"Duplicate","OK")</f>
        <v>OK</v>
      </c>
      <c r="R1754" s="6" t="str">
        <f t="shared" si="1"/>
        <v>600-1600</v>
      </c>
      <c r="S1754" s="6">
        <f t="shared" si="2"/>
        <v>11</v>
      </c>
      <c r="T1754" s="6" t="str">
        <f t="shared" si="3"/>
        <v>Mid</v>
      </c>
    </row>
    <row r="1755" ht="14.25" customHeight="1">
      <c r="A1755" s="5">
        <v>1423184.0</v>
      </c>
      <c r="B1755" s="6" t="s">
        <v>7057</v>
      </c>
      <c r="C1755" s="6" t="s">
        <v>76</v>
      </c>
      <c r="D1755" s="6">
        <v>83965.0</v>
      </c>
      <c r="E1755" s="6" t="s">
        <v>77</v>
      </c>
      <c r="F1755" s="6" t="s">
        <v>20</v>
      </c>
      <c r="G1755" s="6" t="s">
        <v>21</v>
      </c>
      <c r="H1755" s="7">
        <v>3371.0</v>
      </c>
      <c r="I1755" s="7">
        <v>2475.0</v>
      </c>
      <c r="J1755" s="6">
        <v>1960.0</v>
      </c>
      <c r="K1755" s="6">
        <v>118.0</v>
      </c>
      <c r="L1755" s="6" t="s">
        <v>141</v>
      </c>
      <c r="M1755" s="6" t="s">
        <v>7058</v>
      </c>
      <c r="N1755" s="6" t="s">
        <v>24</v>
      </c>
      <c r="O1755" s="6" t="s">
        <v>35</v>
      </c>
      <c r="P1755" s="6">
        <f>COUNTIF(Analysis!$M$1:$M$3001,Analysis!$M1755)</f>
        <v>1</v>
      </c>
      <c r="Q1755" s="6" t="str">
        <f>IF(COUNTIF(Analysis!$M$2:$M$3001,Analysis!$M1755)&gt;1,"Duplicate","OK")</f>
        <v>OK</v>
      </c>
      <c r="R1755" s="6" t="str">
        <f t="shared" si="1"/>
        <v>2600-3600</v>
      </c>
      <c r="S1755" s="6">
        <f t="shared" si="2"/>
        <v>66</v>
      </c>
      <c r="T1755" s="6" t="str">
        <f t="shared" si="3"/>
        <v>Very Old</v>
      </c>
    </row>
    <row r="1756" ht="14.25" customHeight="1">
      <c r="A1756" s="5">
        <v>404252.0</v>
      </c>
      <c r="B1756" s="6" t="s">
        <v>7061</v>
      </c>
      <c r="C1756" s="6" t="s">
        <v>53</v>
      </c>
      <c r="D1756" s="6">
        <v>90909.0</v>
      </c>
      <c r="E1756" s="6" t="s">
        <v>40</v>
      </c>
      <c r="F1756" s="6" t="s">
        <v>61</v>
      </c>
      <c r="G1756" s="6" t="s">
        <v>55</v>
      </c>
      <c r="H1756" s="7">
        <v>1920.0</v>
      </c>
      <c r="I1756" s="7">
        <v>3215.0</v>
      </c>
      <c r="J1756" s="6">
        <v>1961.0</v>
      </c>
      <c r="K1756" s="6">
        <v>63.0</v>
      </c>
      <c r="L1756" s="6" t="s">
        <v>141</v>
      </c>
      <c r="M1756" s="6" t="s">
        <v>7062</v>
      </c>
      <c r="N1756" s="6" t="s">
        <v>24</v>
      </c>
      <c r="O1756" s="6" t="s">
        <v>25</v>
      </c>
      <c r="P1756" s="6">
        <f>COUNTIF(Analysis!$M$1:$M$3001,Analysis!$M1756)</f>
        <v>1</v>
      </c>
      <c r="Q1756" s="6" t="str">
        <f>IF(COUNTIF(Analysis!$M$2:$M$3001,Analysis!$M1756)&gt;1,"Duplicate","OK")</f>
        <v>OK</v>
      </c>
      <c r="R1756" s="6" t="str">
        <f t="shared" si="1"/>
        <v>1600-2600</v>
      </c>
      <c r="S1756" s="6">
        <f t="shared" si="2"/>
        <v>65</v>
      </c>
      <c r="T1756" s="6" t="str">
        <f t="shared" si="3"/>
        <v>Very Old</v>
      </c>
    </row>
    <row r="1757" ht="14.25" customHeight="1">
      <c r="A1757" s="5">
        <v>940609.0</v>
      </c>
      <c r="B1757" s="6" t="s">
        <v>4127</v>
      </c>
      <c r="C1757" s="6" t="s">
        <v>29</v>
      </c>
      <c r="D1757" s="6">
        <v>32550.0</v>
      </c>
      <c r="E1757" s="6" t="s">
        <v>40</v>
      </c>
      <c r="F1757" s="6" t="s">
        <v>61</v>
      </c>
      <c r="G1757" s="6" t="s">
        <v>55</v>
      </c>
      <c r="H1757" s="7">
        <v>1374.0</v>
      </c>
      <c r="I1757" s="7">
        <v>1646.0</v>
      </c>
      <c r="J1757" s="6">
        <v>1984.0</v>
      </c>
      <c r="K1757" s="6">
        <v>91.0</v>
      </c>
      <c r="L1757" s="6" t="s">
        <v>62</v>
      </c>
      <c r="M1757" s="6" t="s">
        <v>4128</v>
      </c>
      <c r="N1757" s="6" t="s">
        <v>64</v>
      </c>
      <c r="O1757" s="6" t="s">
        <v>35</v>
      </c>
      <c r="P1757" s="6">
        <f>COUNTIF(Analysis!$M$1:$M$3001,Analysis!$M1022)</f>
        <v>1</v>
      </c>
      <c r="Q1757" s="6" t="str">
        <f>IF(COUNTIF(Analysis!$M$2:$M$3001,Analysis!$M1022)&gt;1,"Duplicate","OK")</f>
        <v>OK</v>
      </c>
      <c r="R1757" s="6" t="str">
        <f t="shared" si="1"/>
        <v>600-1600</v>
      </c>
      <c r="S1757" s="6">
        <f t="shared" si="2"/>
        <v>42</v>
      </c>
      <c r="T1757" s="6" t="str">
        <f t="shared" si="3"/>
        <v>Old</v>
      </c>
    </row>
    <row r="1758" ht="14.25" customHeight="1">
      <c r="A1758" s="5">
        <v>941522.0</v>
      </c>
      <c r="B1758" s="6" t="s">
        <v>9003</v>
      </c>
      <c r="C1758" s="6" t="s">
        <v>29</v>
      </c>
      <c r="D1758" s="6">
        <v>58683.0</v>
      </c>
      <c r="E1758" s="6" t="s">
        <v>40</v>
      </c>
      <c r="F1758" s="6" t="s">
        <v>94</v>
      </c>
      <c r="G1758" s="6" t="s">
        <v>55</v>
      </c>
      <c r="H1758" s="7">
        <v>917.0</v>
      </c>
      <c r="I1758" s="7">
        <v>1749.0</v>
      </c>
      <c r="J1758" s="6">
        <v>1963.0</v>
      </c>
      <c r="K1758" s="6">
        <v>61.0</v>
      </c>
      <c r="L1758" s="6" t="s">
        <v>62</v>
      </c>
      <c r="M1758" s="6" t="s">
        <v>9004</v>
      </c>
      <c r="N1758" s="6" t="s">
        <v>64</v>
      </c>
      <c r="O1758" s="6" t="s">
        <v>49</v>
      </c>
      <c r="P1758" s="6">
        <f>COUNTIF(Analysis!$M$1:$M$3001,Analysis!$M2242)</f>
        <v>1</v>
      </c>
      <c r="Q1758" s="6" t="str">
        <f>IF(COUNTIF(Analysis!$M$2:$M$3001,Analysis!$M2242)&gt;1,"Duplicate","OK")</f>
        <v>OK</v>
      </c>
      <c r="R1758" s="6" t="str">
        <f t="shared" si="1"/>
        <v>600-1600</v>
      </c>
      <c r="S1758" s="6">
        <f t="shared" si="2"/>
        <v>63</v>
      </c>
      <c r="T1758" s="6" t="str">
        <f t="shared" si="3"/>
        <v>Very Old</v>
      </c>
    </row>
    <row r="1759" ht="14.25" customHeight="1">
      <c r="A1759" s="5">
        <v>941784.0</v>
      </c>
      <c r="B1759" s="6" t="s">
        <v>4899</v>
      </c>
      <c r="C1759" s="6" t="s">
        <v>29</v>
      </c>
      <c r="D1759" s="6">
        <v>36258.0</v>
      </c>
      <c r="E1759" s="6" t="s">
        <v>19</v>
      </c>
      <c r="F1759" s="6" t="s">
        <v>61</v>
      </c>
      <c r="G1759" s="6" t="s">
        <v>31</v>
      </c>
      <c r="H1759" s="7">
        <v>2131.0</v>
      </c>
      <c r="I1759" s="7">
        <v>8115.0</v>
      </c>
      <c r="J1759" s="6">
        <v>1959.0</v>
      </c>
      <c r="K1759" s="6">
        <v>6.0</v>
      </c>
      <c r="L1759" s="6" t="s">
        <v>22</v>
      </c>
      <c r="M1759" s="6" t="s">
        <v>4900</v>
      </c>
      <c r="N1759" s="6" t="s">
        <v>48</v>
      </c>
      <c r="O1759" s="6" t="s">
        <v>25</v>
      </c>
      <c r="P1759" s="6">
        <f>COUNTIF(Analysis!$M$1:$M$3001,Analysis!$M1215)</f>
        <v>1</v>
      </c>
      <c r="Q1759" s="6" t="str">
        <f>IF(COUNTIF(Analysis!$M$2:$M$3001,Analysis!$M1215)&gt;1,"Duplicate","OK")</f>
        <v>OK</v>
      </c>
      <c r="R1759" s="6" t="str">
        <f t="shared" si="1"/>
        <v>1600-2600</v>
      </c>
      <c r="S1759" s="6">
        <f t="shared" si="2"/>
        <v>67</v>
      </c>
      <c r="T1759" s="6" t="str">
        <f t="shared" si="3"/>
        <v>Very Old</v>
      </c>
    </row>
    <row r="1760" ht="14.25" customHeight="1">
      <c r="A1760" s="5">
        <v>942562.0</v>
      </c>
      <c r="B1760" s="6" t="s">
        <v>7093</v>
      </c>
      <c r="C1760" s="6" t="s">
        <v>29</v>
      </c>
      <c r="D1760" s="6">
        <v>39321.0</v>
      </c>
      <c r="E1760" s="6" t="s">
        <v>77</v>
      </c>
      <c r="F1760" s="6" t="s">
        <v>46</v>
      </c>
      <c r="G1760" s="6" t="s">
        <v>100</v>
      </c>
      <c r="H1760" s="7">
        <v>3339.0</v>
      </c>
      <c r="I1760" s="7">
        <v>3566.0</v>
      </c>
      <c r="J1760" s="6">
        <v>1976.0</v>
      </c>
      <c r="K1760" s="6">
        <v>118.0</v>
      </c>
      <c r="L1760" s="6" t="s">
        <v>95</v>
      </c>
      <c r="M1760" s="6" t="s">
        <v>7094</v>
      </c>
      <c r="N1760" s="6" t="s">
        <v>64</v>
      </c>
      <c r="O1760" s="6" t="s">
        <v>49</v>
      </c>
      <c r="P1760" s="6">
        <f>COUNTIF(Analysis!$M$1:$M$3001,Analysis!$M1764)</f>
        <v>1</v>
      </c>
      <c r="Q1760" s="6" t="str">
        <f>IF(COUNTIF(Analysis!$M$2:$M$3001,Analysis!$M1764)&gt;1,"Duplicate","OK")</f>
        <v>OK</v>
      </c>
      <c r="R1760" s="6" t="str">
        <f t="shared" si="1"/>
        <v>2600-3600</v>
      </c>
      <c r="S1760" s="6">
        <f t="shared" si="2"/>
        <v>50</v>
      </c>
      <c r="T1760" s="6" t="str">
        <f t="shared" si="3"/>
        <v>Old</v>
      </c>
    </row>
    <row r="1761" ht="14.25" customHeight="1">
      <c r="A1761" s="5">
        <v>634518.0</v>
      </c>
      <c r="B1761" s="6" t="s">
        <v>7081</v>
      </c>
      <c r="C1761" s="6" t="s">
        <v>18</v>
      </c>
      <c r="D1761" s="6">
        <v>18795.0</v>
      </c>
      <c r="E1761" s="6" t="s">
        <v>19</v>
      </c>
      <c r="F1761" s="6" t="s">
        <v>46</v>
      </c>
      <c r="G1761" s="6" t="s">
        <v>31</v>
      </c>
      <c r="H1761" s="7">
        <v>621.0</v>
      </c>
      <c r="I1761" s="7">
        <v>5600.0</v>
      </c>
      <c r="J1761" s="6">
        <v>2022.0</v>
      </c>
      <c r="K1761" s="6">
        <v>6.0</v>
      </c>
      <c r="L1761" s="6" t="s">
        <v>62</v>
      </c>
      <c r="M1761" s="6" t="s">
        <v>7082</v>
      </c>
      <c r="N1761" s="6" t="s">
        <v>64</v>
      </c>
      <c r="O1761" s="6" t="s">
        <v>25</v>
      </c>
      <c r="P1761" s="6">
        <f>COUNTIF(Analysis!$M$1:$M$3001,Analysis!$M1761)</f>
        <v>1</v>
      </c>
      <c r="Q1761" s="6" t="str">
        <f>IF(COUNTIF(Analysis!$M$2:$M$3001,Analysis!$M1761)&gt;1,"Duplicate","OK")</f>
        <v>OK</v>
      </c>
      <c r="R1761" s="6" t="str">
        <f t="shared" si="1"/>
        <v>600-1600</v>
      </c>
      <c r="S1761" s="6">
        <f t="shared" si="2"/>
        <v>4</v>
      </c>
      <c r="T1761" s="6" t="str">
        <f t="shared" si="3"/>
        <v>New</v>
      </c>
    </row>
    <row r="1762" ht="14.25" customHeight="1">
      <c r="A1762" s="5">
        <v>942683.0</v>
      </c>
      <c r="B1762" s="6" t="s">
        <v>4411</v>
      </c>
      <c r="C1762" s="6" t="s">
        <v>29</v>
      </c>
      <c r="D1762" s="6">
        <v>18290.0</v>
      </c>
      <c r="E1762" s="6" t="s">
        <v>19</v>
      </c>
      <c r="F1762" s="6" t="s">
        <v>61</v>
      </c>
      <c r="G1762" s="6" t="s">
        <v>31</v>
      </c>
      <c r="H1762" s="7">
        <v>2795.0</v>
      </c>
      <c r="I1762" s="7">
        <v>2712.0</v>
      </c>
      <c r="J1762" s="6">
        <v>1995.0</v>
      </c>
      <c r="K1762" s="6">
        <v>6.0</v>
      </c>
      <c r="L1762" s="6" t="s">
        <v>22</v>
      </c>
      <c r="M1762" s="6" t="s">
        <v>4412</v>
      </c>
      <c r="N1762" s="6" t="s">
        <v>48</v>
      </c>
      <c r="O1762" s="6" t="s">
        <v>35</v>
      </c>
      <c r="P1762" s="6">
        <f>COUNTIF(Analysis!$M$1:$M$3001,Analysis!$M1093)</f>
        <v>1</v>
      </c>
      <c r="Q1762" s="6" t="str">
        <f>IF(COUNTIF(Analysis!$M$2:$M$3001,Analysis!$M1093)&gt;1,"Duplicate","OK")</f>
        <v>OK</v>
      </c>
      <c r="R1762" s="6" t="str">
        <f t="shared" si="1"/>
        <v>2600-3600</v>
      </c>
      <c r="S1762" s="6">
        <f t="shared" si="2"/>
        <v>31</v>
      </c>
      <c r="T1762" s="6" t="str">
        <f t="shared" si="3"/>
        <v>Old</v>
      </c>
    </row>
    <row r="1763" ht="14.25" customHeight="1">
      <c r="A1763" s="5">
        <v>942804.0</v>
      </c>
      <c r="B1763" s="6" t="s">
        <v>3983</v>
      </c>
      <c r="C1763" s="6" t="s">
        <v>29</v>
      </c>
      <c r="D1763" s="6">
        <v>52199.0</v>
      </c>
      <c r="E1763" s="6" t="s">
        <v>77</v>
      </c>
      <c r="F1763" s="6" t="s">
        <v>46</v>
      </c>
      <c r="G1763" s="6" t="s">
        <v>31</v>
      </c>
      <c r="H1763" s="7">
        <v>3079.0</v>
      </c>
      <c r="I1763" s="7">
        <v>5512.0</v>
      </c>
      <c r="J1763" s="6">
        <v>2004.0</v>
      </c>
      <c r="K1763" s="6">
        <v>25.0</v>
      </c>
      <c r="L1763" s="6" t="s">
        <v>141</v>
      </c>
      <c r="M1763" s="6" t="s">
        <v>3984</v>
      </c>
      <c r="N1763" s="6" t="s">
        <v>24</v>
      </c>
      <c r="O1763" s="6" t="s">
        <v>25</v>
      </c>
      <c r="P1763" s="6">
        <f>COUNTIF(Analysis!$M$1:$M$3001,Analysis!$M986)</f>
        <v>1</v>
      </c>
      <c r="Q1763" s="6" t="str">
        <f>IF(COUNTIF(Analysis!$M$2:$M$3001,Analysis!$M986)&gt;1,"Duplicate","OK")</f>
        <v>OK</v>
      </c>
      <c r="R1763" s="6" t="str">
        <f t="shared" si="1"/>
        <v>2600-3600</v>
      </c>
      <c r="S1763" s="6">
        <f t="shared" si="2"/>
        <v>22</v>
      </c>
      <c r="T1763" s="6" t="str">
        <f t="shared" si="3"/>
        <v>Mid</v>
      </c>
    </row>
    <row r="1764" ht="14.25" customHeight="1">
      <c r="A1764" s="5">
        <v>943403.0</v>
      </c>
      <c r="B1764" s="6" t="s">
        <v>1561</v>
      </c>
      <c r="C1764" s="6" t="s">
        <v>29</v>
      </c>
      <c r="D1764" s="6">
        <v>31004.0</v>
      </c>
      <c r="E1764" s="6" t="s">
        <v>60</v>
      </c>
      <c r="F1764" s="6" t="s">
        <v>46</v>
      </c>
      <c r="G1764" s="6" t="s">
        <v>21</v>
      </c>
      <c r="H1764" s="7">
        <v>2514.0</v>
      </c>
      <c r="I1764" s="7">
        <v>8687.0</v>
      </c>
      <c r="J1764" s="6">
        <v>2000.0</v>
      </c>
      <c r="K1764" s="6">
        <v>118.0</v>
      </c>
      <c r="L1764" s="6" t="s">
        <v>32</v>
      </c>
      <c r="M1764" s="6" t="s">
        <v>1562</v>
      </c>
      <c r="N1764" s="6" t="s">
        <v>64</v>
      </c>
      <c r="O1764" s="6" t="s">
        <v>25</v>
      </c>
      <c r="P1764" s="6">
        <f>COUNTIF(Analysis!$M$1:$M$3001,Analysis!$M380)</f>
        <v>1</v>
      </c>
      <c r="Q1764" s="6" t="str">
        <f>IF(COUNTIF(Analysis!$M$2:$M$3001,Analysis!$M380)&gt;1,"Duplicate","OK")</f>
        <v>OK</v>
      </c>
      <c r="R1764" s="6" t="str">
        <f t="shared" si="1"/>
        <v>1600-2600</v>
      </c>
      <c r="S1764" s="6">
        <f t="shared" si="2"/>
        <v>26</v>
      </c>
      <c r="T1764" s="6" t="str">
        <f t="shared" si="3"/>
        <v>Mid</v>
      </c>
    </row>
    <row r="1765" ht="14.25" customHeight="1">
      <c r="A1765" s="5">
        <v>991924.0</v>
      </c>
      <c r="B1765" s="6" t="s">
        <v>7097</v>
      </c>
      <c r="C1765" s="6" t="s">
        <v>53</v>
      </c>
      <c r="D1765" s="6">
        <v>45099.0</v>
      </c>
      <c r="E1765" s="6" t="s">
        <v>19</v>
      </c>
      <c r="F1765" s="6" t="s">
        <v>41</v>
      </c>
      <c r="G1765" s="6" t="s">
        <v>55</v>
      </c>
      <c r="H1765" s="7">
        <v>1850.0</v>
      </c>
      <c r="I1765" s="7">
        <v>1959.0</v>
      </c>
      <c r="J1765" s="6">
        <v>1975.0</v>
      </c>
      <c r="K1765" s="6">
        <v>25.0</v>
      </c>
      <c r="L1765" s="6" t="s">
        <v>62</v>
      </c>
      <c r="M1765" s="6" t="s">
        <v>7098</v>
      </c>
      <c r="N1765" s="6" t="s">
        <v>34</v>
      </c>
      <c r="O1765" s="6" t="s">
        <v>25</v>
      </c>
      <c r="P1765" s="6">
        <f>COUNTIF(Analysis!$M$1:$M$3001,Analysis!$M1765)</f>
        <v>1</v>
      </c>
      <c r="Q1765" s="6" t="str">
        <f>IF(COUNTIF(Analysis!$M$2:$M$3001,Analysis!$M1765)&gt;1,"Duplicate","OK")</f>
        <v>OK</v>
      </c>
      <c r="R1765" s="6" t="str">
        <f t="shared" si="1"/>
        <v>1600-2600</v>
      </c>
      <c r="S1765" s="6">
        <f t="shared" si="2"/>
        <v>51</v>
      </c>
      <c r="T1765" s="6" t="str">
        <f t="shared" si="3"/>
        <v>Old</v>
      </c>
    </row>
    <row r="1766" ht="14.25" customHeight="1">
      <c r="A1766" s="5">
        <v>944010.0</v>
      </c>
      <c r="B1766" s="6" t="s">
        <v>1645</v>
      </c>
      <c r="C1766" s="6" t="s">
        <v>29</v>
      </c>
      <c r="D1766" s="6">
        <v>98894.0</v>
      </c>
      <c r="E1766" s="6" t="s">
        <v>40</v>
      </c>
      <c r="F1766" s="6" t="s">
        <v>41</v>
      </c>
      <c r="G1766" s="6" t="s">
        <v>21</v>
      </c>
      <c r="H1766" s="7">
        <v>1657.0</v>
      </c>
      <c r="I1766" s="7">
        <v>5619.0</v>
      </c>
      <c r="J1766" s="6">
        <v>1979.0</v>
      </c>
      <c r="K1766" s="6">
        <v>5.0</v>
      </c>
      <c r="L1766" s="6" t="s">
        <v>95</v>
      </c>
      <c r="M1766" s="6" t="s">
        <v>1646</v>
      </c>
      <c r="N1766" s="6" t="s">
        <v>64</v>
      </c>
      <c r="O1766" s="6" t="s">
        <v>25</v>
      </c>
      <c r="P1766" s="6">
        <f>COUNTIF(Analysis!$M$1:$M$3001,Analysis!$M401)</f>
        <v>1</v>
      </c>
      <c r="Q1766" s="6" t="str">
        <f>IF(COUNTIF(Analysis!$M$2:$M$3001,Analysis!$M401)&gt;1,"Duplicate","OK")</f>
        <v>OK</v>
      </c>
      <c r="R1766" s="6" t="str">
        <f t="shared" si="1"/>
        <v>1600-2600</v>
      </c>
      <c r="S1766" s="6">
        <f t="shared" si="2"/>
        <v>47</v>
      </c>
      <c r="T1766" s="6" t="str">
        <f t="shared" si="3"/>
        <v>Old</v>
      </c>
    </row>
    <row r="1767" ht="14.25" customHeight="1">
      <c r="A1767" s="5">
        <v>472624.0</v>
      </c>
      <c r="B1767" s="6" t="s">
        <v>7105</v>
      </c>
      <c r="C1767" s="6" t="s">
        <v>39</v>
      </c>
      <c r="D1767" s="6">
        <v>55582.0</v>
      </c>
      <c r="E1767" s="6" t="s">
        <v>60</v>
      </c>
      <c r="F1767" s="6" t="s">
        <v>94</v>
      </c>
      <c r="G1767" s="6" t="s">
        <v>21</v>
      </c>
      <c r="H1767" s="7">
        <v>1455.0</v>
      </c>
      <c r="I1767" s="7">
        <v>2776.0</v>
      </c>
      <c r="J1767" s="6">
        <v>2021.0</v>
      </c>
      <c r="K1767" s="6">
        <v>19.0</v>
      </c>
      <c r="L1767" s="6" t="s">
        <v>95</v>
      </c>
      <c r="M1767" s="6" t="s">
        <v>7106</v>
      </c>
      <c r="N1767" s="6" t="s">
        <v>24</v>
      </c>
      <c r="O1767" s="6" t="s">
        <v>49</v>
      </c>
      <c r="P1767" s="6">
        <f>COUNTIF(Analysis!$M$1:$M$3001,Analysis!$M1767)</f>
        <v>1</v>
      </c>
      <c r="Q1767" s="6" t="str">
        <f>IF(COUNTIF(Analysis!$M$2:$M$3001,Analysis!$M1767)&gt;1,"Duplicate","OK")</f>
        <v>OK</v>
      </c>
      <c r="R1767" s="6" t="str">
        <f t="shared" si="1"/>
        <v>600-1600</v>
      </c>
      <c r="S1767" s="6">
        <f t="shared" si="2"/>
        <v>5</v>
      </c>
      <c r="T1767" s="6" t="str">
        <f t="shared" si="3"/>
        <v>New</v>
      </c>
    </row>
    <row r="1768" ht="14.25" customHeight="1">
      <c r="A1768" s="5">
        <v>779212.0</v>
      </c>
      <c r="B1768" s="6" t="s">
        <v>7109</v>
      </c>
      <c r="C1768" s="6" t="s">
        <v>18</v>
      </c>
      <c r="D1768" s="6">
        <v>74405.0</v>
      </c>
      <c r="E1768" s="6" t="s">
        <v>19</v>
      </c>
      <c r="F1768" s="6" t="s">
        <v>94</v>
      </c>
      <c r="G1768" s="6" t="s">
        <v>55</v>
      </c>
      <c r="H1768" s="7">
        <v>826.0</v>
      </c>
      <c r="I1768" s="7">
        <v>2188.0</v>
      </c>
      <c r="J1768" s="6">
        <v>1981.0</v>
      </c>
      <c r="K1768" s="6">
        <v>99.0</v>
      </c>
      <c r="L1768" s="6" t="s">
        <v>62</v>
      </c>
      <c r="M1768" s="6" t="s">
        <v>7110</v>
      </c>
      <c r="N1768" s="6" t="s">
        <v>43</v>
      </c>
      <c r="O1768" s="6" t="s">
        <v>35</v>
      </c>
      <c r="P1768" s="6">
        <f>COUNTIF(Analysis!$M$1:$M$3001,Analysis!$M1768)</f>
        <v>1</v>
      </c>
      <c r="Q1768" s="6" t="str">
        <f>IF(COUNTIF(Analysis!$M$2:$M$3001,Analysis!$M1768)&gt;1,"Duplicate","OK")</f>
        <v>OK</v>
      </c>
      <c r="R1768" s="6" t="str">
        <f t="shared" si="1"/>
        <v>600-1600</v>
      </c>
      <c r="S1768" s="6">
        <f t="shared" si="2"/>
        <v>45</v>
      </c>
      <c r="T1768" s="6" t="str">
        <f t="shared" si="3"/>
        <v>Old</v>
      </c>
    </row>
    <row r="1769" ht="14.25" customHeight="1">
      <c r="A1769" s="5">
        <v>1464464.0</v>
      </c>
      <c r="B1769" s="6" t="s">
        <v>7113</v>
      </c>
      <c r="C1769" s="6" t="s">
        <v>18</v>
      </c>
      <c r="D1769" s="6">
        <v>67980.0</v>
      </c>
      <c r="E1769" s="6" t="s">
        <v>19</v>
      </c>
      <c r="F1769" s="6" t="s">
        <v>94</v>
      </c>
      <c r="G1769" s="6" t="s">
        <v>31</v>
      </c>
      <c r="H1769" s="7">
        <v>3890.0</v>
      </c>
      <c r="I1769" s="7">
        <v>1016.0</v>
      </c>
      <c r="J1769" s="6">
        <v>2014.0</v>
      </c>
      <c r="K1769" s="6">
        <v>69.0</v>
      </c>
      <c r="L1769" s="6" t="s">
        <v>22</v>
      </c>
      <c r="M1769" s="6" t="s">
        <v>7114</v>
      </c>
      <c r="N1769" s="6" t="s">
        <v>43</v>
      </c>
      <c r="O1769" s="6" t="s">
        <v>25</v>
      </c>
      <c r="P1769" s="6">
        <f>COUNTIF(Analysis!$M$1:$M$3001,Analysis!$M1769)</f>
        <v>1</v>
      </c>
      <c r="Q1769" s="6" t="str">
        <f>IF(COUNTIF(Analysis!$M$2:$M$3001,Analysis!$M1769)&gt;1,"Duplicate","OK")</f>
        <v>OK</v>
      </c>
      <c r="R1769" s="6" t="str">
        <f t="shared" si="1"/>
        <v>3600+</v>
      </c>
      <c r="S1769" s="6">
        <f t="shared" si="2"/>
        <v>12</v>
      </c>
      <c r="T1769" s="6" t="str">
        <f t="shared" si="3"/>
        <v>Mid</v>
      </c>
    </row>
    <row r="1770" ht="14.25" customHeight="1">
      <c r="A1770" s="5">
        <v>455746.0</v>
      </c>
      <c r="B1770" s="6" t="s">
        <v>7117</v>
      </c>
      <c r="C1770" s="6" t="s">
        <v>18</v>
      </c>
      <c r="D1770" s="6">
        <v>24295.0</v>
      </c>
      <c r="E1770" s="6" t="s">
        <v>40</v>
      </c>
      <c r="F1770" s="6" t="s">
        <v>54</v>
      </c>
      <c r="G1770" s="6" t="s">
        <v>31</v>
      </c>
      <c r="H1770" s="7">
        <v>869.0</v>
      </c>
      <c r="I1770" s="7">
        <v>2109.0</v>
      </c>
      <c r="J1770" s="6">
        <v>2006.0</v>
      </c>
      <c r="K1770" s="6">
        <v>117.0</v>
      </c>
      <c r="L1770" s="6" t="s">
        <v>32</v>
      </c>
      <c r="M1770" s="6" t="s">
        <v>7118</v>
      </c>
      <c r="N1770" s="6" t="s">
        <v>34</v>
      </c>
      <c r="O1770" s="6" t="s">
        <v>35</v>
      </c>
      <c r="P1770" s="6">
        <f>COUNTIF(Analysis!$M$1:$M$3001,Analysis!$M1770)</f>
        <v>1</v>
      </c>
      <c r="Q1770" s="6" t="str">
        <f>IF(COUNTIF(Analysis!$M$2:$M$3001,Analysis!$M1770)&gt;1,"Duplicate","OK")</f>
        <v>OK</v>
      </c>
      <c r="R1770" s="6" t="str">
        <f t="shared" si="1"/>
        <v>600-1600</v>
      </c>
      <c r="S1770" s="6">
        <f t="shared" si="2"/>
        <v>20</v>
      </c>
      <c r="T1770" s="6" t="str">
        <f t="shared" si="3"/>
        <v>Mid</v>
      </c>
    </row>
    <row r="1771" ht="14.25" customHeight="1">
      <c r="A1771" s="5">
        <v>1267990.0</v>
      </c>
      <c r="B1771" s="6" t="s">
        <v>7121</v>
      </c>
      <c r="C1771" s="6" t="s">
        <v>53</v>
      </c>
      <c r="D1771" s="6">
        <v>73870.0</v>
      </c>
      <c r="E1771" s="6" t="s">
        <v>60</v>
      </c>
      <c r="F1771" s="6" t="s">
        <v>46</v>
      </c>
      <c r="G1771" s="6" t="s">
        <v>55</v>
      </c>
      <c r="H1771" s="7">
        <v>1636.0</v>
      </c>
      <c r="I1771" s="7">
        <v>9803.0</v>
      </c>
      <c r="J1771" s="6">
        <v>1994.0</v>
      </c>
      <c r="K1771" s="6">
        <v>36.0</v>
      </c>
      <c r="L1771" s="6" t="s">
        <v>32</v>
      </c>
      <c r="M1771" s="6" t="s">
        <v>7122</v>
      </c>
      <c r="N1771" s="6" t="s">
        <v>24</v>
      </c>
      <c r="O1771" s="6" t="s">
        <v>49</v>
      </c>
      <c r="P1771" s="6">
        <f>COUNTIF(Analysis!$M$1:$M$3001,Analysis!$M1771)</f>
        <v>1</v>
      </c>
      <c r="Q1771" s="6" t="str">
        <f>IF(COUNTIF(Analysis!$M$2:$M$3001,Analysis!$M1771)&gt;1,"Duplicate","OK")</f>
        <v>OK</v>
      </c>
      <c r="R1771" s="6" t="str">
        <f t="shared" si="1"/>
        <v>1600-2600</v>
      </c>
      <c r="S1771" s="6">
        <f t="shared" si="2"/>
        <v>32</v>
      </c>
      <c r="T1771" s="6" t="str">
        <f t="shared" si="3"/>
        <v>Old</v>
      </c>
    </row>
    <row r="1772" ht="14.25" customHeight="1">
      <c r="A1772" s="5">
        <v>942400.0</v>
      </c>
      <c r="B1772" s="6" t="s">
        <v>7125</v>
      </c>
      <c r="C1772" s="6" t="s">
        <v>39</v>
      </c>
      <c r="D1772" s="6">
        <v>53719.0</v>
      </c>
      <c r="E1772" s="6" t="s">
        <v>30</v>
      </c>
      <c r="F1772" s="6" t="s">
        <v>54</v>
      </c>
      <c r="G1772" s="6" t="s">
        <v>31</v>
      </c>
      <c r="H1772" s="7">
        <v>1748.0</v>
      </c>
      <c r="I1772" s="7">
        <v>6213.0</v>
      </c>
      <c r="J1772" s="6">
        <v>1995.0</v>
      </c>
      <c r="K1772" s="6">
        <v>88.0</v>
      </c>
      <c r="L1772" s="6" t="s">
        <v>141</v>
      </c>
      <c r="M1772" s="6" t="s">
        <v>7126</v>
      </c>
      <c r="N1772" s="6" t="s">
        <v>43</v>
      </c>
      <c r="O1772" s="6" t="s">
        <v>49</v>
      </c>
      <c r="P1772" s="6">
        <f>COUNTIF(Analysis!$M$1:$M$3001,Analysis!$M1772)</f>
        <v>1</v>
      </c>
      <c r="Q1772" s="6" t="str">
        <f>IF(COUNTIF(Analysis!$M$2:$M$3001,Analysis!$M1772)&gt;1,"Duplicate","OK")</f>
        <v>OK</v>
      </c>
      <c r="R1772" s="6" t="str">
        <f t="shared" si="1"/>
        <v>1600-2600</v>
      </c>
      <c r="S1772" s="6">
        <f t="shared" si="2"/>
        <v>31</v>
      </c>
      <c r="T1772" s="6" t="str">
        <f t="shared" si="3"/>
        <v>Old</v>
      </c>
    </row>
    <row r="1773" ht="14.25" customHeight="1">
      <c r="A1773" s="5">
        <v>948826.0</v>
      </c>
      <c r="B1773" s="6" t="s">
        <v>7129</v>
      </c>
      <c r="C1773" s="6" t="s">
        <v>76</v>
      </c>
      <c r="D1773" s="6">
        <v>94653.0</v>
      </c>
      <c r="E1773" s="6" t="s">
        <v>77</v>
      </c>
      <c r="F1773" s="6" t="s">
        <v>61</v>
      </c>
      <c r="G1773" s="6" t="s">
        <v>21</v>
      </c>
      <c r="H1773" s="7">
        <v>1382.0</v>
      </c>
      <c r="I1773" s="7">
        <v>2005.0</v>
      </c>
      <c r="J1773" s="6">
        <v>1982.0</v>
      </c>
      <c r="K1773" s="6">
        <v>15.0</v>
      </c>
      <c r="L1773" s="6" t="s">
        <v>141</v>
      </c>
      <c r="M1773" s="6" t="s">
        <v>7130</v>
      </c>
      <c r="N1773" s="6" t="s">
        <v>64</v>
      </c>
      <c r="O1773" s="6" t="s">
        <v>25</v>
      </c>
      <c r="P1773" s="6">
        <f>COUNTIF(Analysis!$M$1:$M$3001,Analysis!$M1773)</f>
        <v>1</v>
      </c>
      <c r="Q1773" s="6" t="str">
        <f>IF(COUNTIF(Analysis!$M$2:$M$3001,Analysis!$M1773)&gt;1,"Duplicate","OK")</f>
        <v>OK</v>
      </c>
      <c r="R1773" s="6" t="str">
        <f t="shared" si="1"/>
        <v>600-1600</v>
      </c>
      <c r="S1773" s="6">
        <f t="shared" si="2"/>
        <v>44</v>
      </c>
      <c r="T1773" s="6" t="str">
        <f t="shared" si="3"/>
        <v>Old</v>
      </c>
    </row>
    <row r="1774" ht="14.25" customHeight="1">
      <c r="A1774" s="5">
        <v>323148.0</v>
      </c>
      <c r="B1774" s="6" t="s">
        <v>7133</v>
      </c>
      <c r="C1774" s="6" t="s">
        <v>18</v>
      </c>
      <c r="D1774" s="6">
        <v>11161.0</v>
      </c>
      <c r="E1774" s="6" t="s">
        <v>40</v>
      </c>
      <c r="F1774" s="6" t="s">
        <v>94</v>
      </c>
      <c r="G1774" s="6" t="s">
        <v>100</v>
      </c>
      <c r="H1774" s="7">
        <v>2206.0</v>
      </c>
      <c r="I1774" s="7">
        <v>1872.0</v>
      </c>
      <c r="J1774" s="6">
        <v>1981.0</v>
      </c>
      <c r="K1774" s="6">
        <v>46.0</v>
      </c>
      <c r="L1774" s="6" t="s">
        <v>62</v>
      </c>
      <c r="M1774" s="6" t="s">
        <v>7134</v>
      </c>
      <c r="N1774" s="6" t="s">
        <v>34</v>
      </c>
      <c r="O1774" s="6" t="s">
        <v>35</v>
      </c>
      <c r="P1774" s="6">
        <f>COUNTIF(Analysis!$M$1:$M$3001,Analysis!$M1774)</f>
        <v>1</v>
      </c>
      <c r="Q1774" s="6" t="str">
        <f>IF(COUNTIF(Analysis!$M$2:$M$3001,Analysis!$M1774)&gt;1,"Duplicate","OK")</f>
        <v>OK</v>
      </c>
      <c r="R1774" s="6" t="str">
        <f t="shared" si="1"/>
        <v>1600-2600</v>
      </c>
      <c r="S1774" s="6">
        <f t="shared" si="2"/>
        <v>45</v>
      </c>
      <c r="T1774" s="6" t="str">
        <f t="shared" si="3"/>
        <v>Old</v>
      </c>
    </row>
    <row r="1775" ht="14.25" customHeight="1">
      <c r="A1775" s="5">
        <v>385824.0</v>
      </c>
      <c r="B1775" s="6" t="s">
        <v>7137</v>
      </c>
      <c r="C1775" s="6" t="s">
        <v>76</v>
      </c>
      <c r="D1775" s="6">
        <v>36942.0</v>
      </c>
      <c r="E1775" s="6" t="s">
        <v>77</v>
      </c>
      <c r="F1775" s="6" t="s">
        <v>94</v>
      </c>
      <c r="G1775" s="6" t="s">
        <v>31</v>
      </c>
      <c r="H1775" s="7">
        <v>2132.0</v>
      </c>
      <c r="I1775" s="7">
        <v>1110.0</v>
      </c>
      <c r="J1775" s="6">
        <v>1952.0</v>
      </c>
      <c r="K1775" s="6">
        <v>2.0</v>
      </c>
      <c r="L1775" s="6" t="s">
        <v>95</v>
      </c>
      <c r="M1775" s="6" t="s">
        <v>7138</v>
      </c>
      <c r="N1775" s="6" t="s">
        <v>48</v>
      </c>
      <c r="O1775" s="6" t="s">
        <v>35</v>
      </c>
      <c r="P1775" s="6">
        <f>COUNTIF(Analysis!$M$1:$M$3001,Analysis!$M1775)</f>
        <v>1</v>
      </c>
      <c r="Q1775" s="6" t="str">
        <f>IF(COUNTIF(Analysis!$M$2:$M$3001,Analysis!$M1775)&gt;1,"Duplicate","OK")</f>
        <v>OK</v>
      </c>
      <c r="R1775" s="6" t="str">
        <f t="shared" si="1"/>
        <v>1600-2600</v>
      </c>
      <c r="S1775" s="6">
        <f t="shared" si="2"/>
        <v>74</v>
      </c>
      <c r="T1775" s="6" t="str">
        <f t="shared" si="3"/>
        <v>Very Old</v>
      </c>
    </row>
    <row r="1776" ht="14.25" customHeight="1">
      <c r="A1776" s="5">
        <v>451523.0</v>
      </c>
      <c r="B1776" s="6" t="s">
        <v>7141</v>
      </c>
      <c r="C1776" s="6" t="s">
        <v>18</v>
      </c>
      <c r="D1776" s="6">
        <v>89282.0</v>
      </c>
      <c r="E1776" s="6" t="s">
        <v>40</v>
      </c>
      <c r="F1776" s="6" t="s">
        <v>94</v>
      </c>
      <c r="G1776" s="6" t="s">
        <v>100</v>
      </c>
      <c r="H1776" s="7">
        <v>1188.0</v>
      </c>
      <c r="I1776" s="7">
        <v>7036.0</v>
      </c>
      <c r="J1776" s="6">
        <v>1969.0</v>
      </c>
      <c r="K1776" s="6">
        <v>104.0</v>
      </c>
      <c r="L1776" s="6" t="s">
        <v>141</v>
      </c>
      <c r="M1776" s="6" t="s">
        <v>7142</v>
      </c>
      <c r="N1776" s="6" t="s">
        <v>43</v>
      </c>
      <c r="O1776" s="6" t="s">
        <v>35</v>
      </c>
      <c r="P1776" s="6">
        <f>COUNTIF(Analysis!$M$1:$M$3001,Analysis!$M1776)</f>
        <v>1</v>
      </c>
      <c r="Q1776" s="6" t="str">
        <f>IF(COUNTIF(Analysis!$M$2:$M$3001,Analysis!$M1776)&gt;1,"Duplicate","OK")</f>
        <v>OK</v>
      </c>
      <c r="R1776" s="6" t="str">
        <f t="shared" si="1"/>
        <v>600-1600</v>
      </c>
      <c r="S1776" s="6">
        <f t="shared" si="2"/>
        <v>57</v>
      </c>
      <c r="T1776" s="6" t="str">
        <f t="shared" si="3"/>
        <v>Old</v>
      </c>
    </row>
    <row r="1777" ht="14.25" customHeight="1">
      <c r="A1777" s="5">
        <v>290051.0</v>
      </c>
      <c r="B1777" s="6" t="s">
        <v>7145</v>
      </c>
      <c r="C1777" s="6" t="s">
        <v>18</v>
      </c>
      <c r="D1777" s="6">
        <v>23484.0</v>
      </c>
      <c r="E1777" s="6" t="s">
        <v>77</v>
      </c>
      <c r="F1777" s="6" t="s">
        <v>46</v>
      </c>
      <c r="G1777" s="6" t="s">
        <v>55</v>
      </c>
      <c r="H1777" s="7">
        <v>1802.0</v>
      </c>
      <c r="I1777" s="7">
        <v>8381.0</v>
      </c>
      <c r="J1777" s="6">
        <v>1983.0</v>
      </c>
      <c r="K1777" s="6">
        <v>33.0</v>
      </c>
      <c r="L1777" s="6" t="s">
        <v>32</v>
      </c>
      <c r="M1777" s="6" t="s">
        <v>7146</v>
      </c>
      <c r="N1777" s="6" t="s">
        <v>43</v>
      </c>
      <c r="O1777" s="6" t="s">
        <v>25</v>
      </c>
      <c r="P1777" s="6">
        <f>COUNTIF(Analysis!$M$1:$M$3001,Analysis!$M1777)</f>
        <v>1</v>
      </c>
      <c r="Q1777" s="6" t="str">
        <f>IF(COUNTIF(Analysis!$M$2:$M$3001,Analysis!$M1777)&gt;1,"Duplicate","OK")</f>
        <v>OK</v>
      </c>
      <c r="R1777" s="6" t="str">
        <f t="shared" si="1"/>
        <v>1600-2600</v>
      </c>
      <c r="S1777" s="6">
        <f t="shared" si="2"/>
        <v>43</v>
      </c>
      <c r="T1777" s="6" t="str">
        <f t="shared" si="3"/>
        <v>Old</v>
      </c>
    </row>
    <row r="1778" ht="14.25" customHeight="1">
      <c r="A1778" s="5">
        <v>964260.0</v>
      </c>
      <c r="B1778" s="6" t="s">
        <v>7149</v>
      </c>
      <c r="C1778" s="6" t="s">
        <v>53</v>
      </c>
      <c r="D1778" s="6">
        <v>99833.0</v>
      </c>
      <c r="E1778" s="6" t="s">
        <v>19</v>
      </c>
      <c r="F1778" s="6" t="s">
        <v>94</v>
      </c>
      <c r="G1778" s="6" t="s">
        <v>21</v>
      </c>
      <c r="H1778" s="7">
        <v>3898.0</v>
      </c>
      <c r="I1778" s="7">
        <v>4407.0</v>
      </c>
      <c r="J1778" s="6">
        <v>2004.0</v>
      </c>
      <c r="K1778" s="6">
        <v>8.0</v>
      </c>
      <c r="L1778" s="6" t="s">
        <v>95</v>
      </c>
      <c r="M1778" s="6" t="s">
        <v>7150</v>
      </c>
      <c r="N1778" s="6" t="s">
        <v>43</v>
      </c>
      <c r="O1778" s="6" t="s">
        <v>35</v>
      </c>
      <c r="P1778" s="6">
        <f>COUNTIF(Analysis!$M$1:$M$3001,Analysis!$M1778)</f>
        <v>1</v>
      </c>
      <c r="Q1778" s="6" t="str">
        <f>IF(COUNTIF(Analysis!$M$2:$M$3001,Analysis!$M1778)&gt;1,"Duplicate","OK")</f>
        <v>OK</v>
      </c>
      <c r="R1778" s="6" t="str">
        <f t="shared" si="1"/>
        <v>3600+</v>
      </c>
      <c r="S1778" s="6">
        <f t="shared" si="2"/>
        <v>22</v>
      </c>
      <c r="T1778" s="6" t="str">
        <f t="shared" si="3"/>
        <v>Mid</v>
      </c>
    </row>
    <row r="1779" ht="14.25" customHeight="1">
      <c r="A1779" s="5">
        <v>945815.0</v>
      </c>
      <c r="B1779" s="6" t="s">
        <v>5007</v>
      </c>
      <c r="C1779" s="6" t="s">
        <v>29</v>
      </c>
      <c r="D1779" s="6">
        <v>76958.0</v>
      </c>
      <c r="E1779" s="6" t="s">
        <v>40</v>
      </c>
      <c r="F1779" s="6" t="s">
        <v>46</v>
      </c>
      <c r="G1779" s="6" t="s">
        <v>31</v>
      </c>
      <c r="H1779" s="7">
        <v>3137.0</v>
      </c>
      <c r="I1779" s="7">
        <v>9053.0</v>
      </c>
      <c r="J1779" s="6">
        <v>2008.0</v>
      </c>
      <c r="K1779" s="6">
        <v>1.0</v>
      </c>
      <c r="L1779" s="6" t="s">
        <v>32</v>
      </c>
      <c r="M1779" s="6" t="s">
        <v>5008</v>
      </c>
      <c r="N1779" s="6" t="s">
        <v>24</v>
      </c>
      <c r="O1779" s="6" t="s">
        <v>49</v>
      </c>
      <c r="P1779" s="6">
        <f>COUNTIF(Analysis!$M$1:$M$3001,Analysis!$M1242)</f>
        <v>1</v>
      </c>
      <c r="Q1779" s="6" t="str">
        <f>IF(COUNTIF(Analysis!$M$2:$M$3001,Analysis!$M1242)&gt;1,"Duplicate","OK")</f>
        <v>OK</v>
      </c>
      <c r="R1779" s="6" t="str">
        <f t="shared" si="1"/>
        <v>2600-3600</v>
      </c>
      <c r="S1779" s="6">
        <f t="shared" si="2"/>
        <v>18</v>
      </c>
      <c r="T1779" s="6" t="str">
        <f t="shared" si="3"/>
        <v>Mid</v>
      </c>
    </row>
    <row r="1780" ht="14.25" customHeight="1">
      <c r="A1780" s="5">
        <v>946285.0</v>
      </c>
      <c r="B1780" s="6" t="s">
        <v>8021</v>
      </c>
      <c r="C1780" s="6" t="s">
        <v>29</v>
      </c>
      <c r="D1780" s="6">
        <v>11490.0</v>
      </c>
      <c r="E1780" s="6" t="s">
        <v>30</v>
      </c>
      <c r="F1780" s="6" t="s">
        <v>61</v>
      </c>
      <c r="G1780" s="6" t="s">
        <v>100</v>
      </c>
      <c r="H1780" s="7">
        <v>3392.0</v>
      </c>
      <c r="I1780" s="7">
        <v>1371.0</v>
      </c>
      <c r="J1780" s="6">
        <v>2017.0</v>
      </c>
      <c r="K1780" s="6">
        <v>77.0</v>
      </c>
      <c r="L1780" s="6" t="s">
        <v>32</v>
      </c>
      <c r="M1780" s="6" t="s">
        <v>8022</v>
      </c>
      <c r="N1780" s="6" t="s">
        <v>24</v>
      </c>
      <c r="O1780" s="6" t="s">
        <v>35</v>
      </c>
      <c r="P1780" s="6">
        <f>COUNTIF(Analysis!$M$1:$M$3001,Analysis!$M1996)</f>
        <v>1</v>
      </c>
      <c r="Q1780" s="6" t="str">
        <f>IF(COUNTIF(Analysis!$M$2:$M$3001,Analysis!$M1996)&gt;1,"Duplicate","OK")</f>
        <v>OK</v>
      </c>
      <c r="R1780" s="6" t="str">
        <f t="shared" si="1"/>
        <v>2600-3600</v>
      </c>
      <c r="S1780" s="6">
        <f t="shared" si="2"/>
        <v>9</v>
      </c>
      <c r="T1780" s="6" t="str">
        <f t="shared" si="3"/>
        <v>New</v>
      </c>
    </row>
    <row r="1781" ht="14.25" customHeight="1">
      <c r="A1781" s="5">
        <v>1233537.0</v>
      </c>
      <c r="B1781" s="6" t="s">
        <v>7161</v>
      </c>
      <c r="C1781" s="6" t="s">
        <v>53</v>
      </c>
      <c r="D1781" s="6">
        <v>48649.0</v>
      </c>
      <c r="E1781" s="6" t="s">
        <v>40</v>
      </c>
      <c r="F1781" s="6" t="s">
        <v>94</v>
      </c>
      <c r="G1781" s="6" t="s">
        <v>100</v>
      </c>
      <c r="H1781" s="7">
        <v>2420.0</v>
      </c>
      <c r="I1781" s="7">
        <v>5481.0</v>
      </c>
      <c r="J1781" s="6">
        <v>2005.0</v>
      </c>
      <c r="K1781" s="6">
        <v>109.0</v>
      </c>
      <c r="L1781" s="6" t="s">
        <v>95</v>
      </c>
      <c r="M1781" s="6" t="s">
        <v>7162</v>
      </c>
      <c r="N1781" s="6" t="s">
        <v>43</v>
      </c>
      <c r="O1781" s="6" t="s">
        <v>35</v>
      </c>
      <c r="P1781" s="6">
        <f>COUNTIF(Analysis!$M$1:$M$3001,Analysis!$M1781)</f>
        <v>1</v>
      </c>
      <c r="Q1781" s="6" t="str">
        <f>IF(COUNTIF(Analysis!$M$2:$M$3001,Analysis!$M1781)&gt;1,"Duplicate","OK")</f>
        <v>OK</v>
      </c>
      <c r="R1781" s="6" t="str">
        <f t="shared" si="1"/>
        <v>1600-2600</v>
      </c>
      <c r="S1781" s="6">
        <f t="shared" si="2"/>
        <v>21</v>
      </c>
      <c r="T1781" s="6" t="str">
        <f t="shared" si="3"/>
        <v>Mid</v>
      </c>
    </row>
    <row r="1782" ht="14.25" customHeight="1">
      <c r="A1782" s="5">
        <v>127143.0</v>
      </c>
      <c r="B1782" s="6" t="s">
        <v>7165</v>
      </c>
      <c r="C1782" s="6" t="s">
        <v>39</v>
      </c>
      <c r="D1782" s="6">
        <v>77686.0</v>
      </c>
      <c r="E1782" s="6" t="s">
        <v>30</v>
      </c>
      <c r="F1782" s="6" t="s">
        <v>54</v>
      </c>
      <c r="G1782" s="6" t="s">
        <v>31</v>
      </c>
      <c r="H1782" s="7">
        <v>1796.0</v>
      </c>
      <c r="I1782" s="7">
        <v>3596.0</v>
      </c>
      <c r="J1782" s="6">
        <v>2007.0</v>
      </c>
      <c r="K1782" s="6">
        <v>84.0</v>
      </c>
      <c r="L1782" s="6" t="s">
        <v>22</v>
      </c>
      <c r="M1782" s="6" t="s">
        <v>7166</v>
      </c>
      <c r="N1782" s="6" t="s">
        <v>48</v>
      </c>
      <c r="O1782" s="6" t="s">
        <v>49</v>
      </c>
      <c r="P1782" s="6">
        <f>COUNTIF(Analysis!$M$1:$M$3001,Analysis!$M1782)</f>
        <v>1</v>
      </c>
      <c r="Q1782" s="6" t="str">
        <f>IF(COUNTIF(Analysis!$M$2:$M$3001,Analysis!$M1782)&gt;1,"Duplicate","OK")</f>
        <v>OK</v>
      </c>
      <c r="R1782" s="6" t="str">
        <f t="shared" si="1"/>
        <v>1600-2600</v>
      </c>
      <c r="S1782" s="6">
        <f t="shared" si="2"/>
        <v>19</v>
      </c>
      <c r="T1782" s="6" t="str">
        <f t="shared" si="3"/>
        <v>Mid</v>
      </c>
    </row>
    <row r="1783" ht="14.25" customHeight="1">
      <c r="A1783" s="5">
        <v>935219.0</v>
      </c>
      <c r="B1783" s="6" t="s">
        <v>7169</v>
      </c>
      <c r="C1783" s="6" t="s">
        <v>53</v>
      </c>
      <c r="D1783" s="6">
        <v>87095.0</v>
      </c>
      <c r="E1783" s="6" t="s">
        <v>19</v>
      </c>
      <c r="F1783" s="6" t="s">
        <v>46</v>
      </c>
      <c r="G1783" s="6" t="s">
        <v>31</v>
      </c>
      <c r="H1783" s="7">
        <v>3013.0</v>
      </c>
      <c r="I1783" s="7">
        <v>3985.0</v>
      </c>
      <c r="J1783" s="6">
        <v>1992.0</v>
      </c>
      <c r="K1783" s="6">
        <v>116.0</v>
      </c>
      <c r="L1783" s="6" t="s">
        <v>32</v>
      </c>
      <c r="M1783" s="6" t="s">
        <v>7170</v>
      </c>
      <c r="N1783" s="6" t="s">
        <v>34</v>
      </c>
      <c r="O1783" s="6" t="s">
        <v>49</v>
      </c>
      <c r="P1783" s="6">
        <f>COUNTIF(Analysis!$M$1:$M$3001,Analysis!$M1783)</f>
        <v>1</v>
      </c>
      <c r="Q1783" s="6" t="str">
        <f>IF(COUNTIF(Analysis!$M$2:$M$3001,Analysis!$M1783)&gt;1,"Duplicate","OK")</f>
        <v>OK</v>
      </c>
      <c r="R1783" s="6" t="str">
        <f t="shared" si="1"/>
        <v>2600-3600</v>
      </c>
      <c r="S1783" s="6">
        <f t="shared" si="2"/>
        <v>34</v>
      </c>
      <c r="T1783" s="6" t="str">
        <f t="shared" si="3"/>
        <v>Old</v>
      </c>
    </row>
    <row r="1784" ht="14.25" customHeight="1">
      <c r="A1784" s="5">
        <v>1173683.0</v>
      </c>
      <c r="B1784" s="6" t="s">
        <v>7173</v>
      </c>
      <c r="C1784" s="6" t="s">
        <v>18</v>
      </c>
      <c r="D1784" s="6">
        <v>31733.0</v>
      </c>
      <c r="E1784" s="6" t="s">
        <v>30</v>
      </c>
      <c r="F1784" s="6" t="s">
        <v>54</v>
      </c>
      <c r="G1784" s="6" t="s">
        <v>31</v>
      </c>
      <c r="H1784" s="7">
        <v>1578.0</v>
      </c>
      <c r="I1784" s="7">
        <v>2603.0</v>
      </c>
      <c r="J1784" s="6">
        <v>2014.0</v>
      </c>
      <c r="K1784" s="6">
        <v>25.0</v>
      </c>
      <c r="L1784" s="6" t="s">
        <v>22</v>
      </c>
      <c r="M1784" s="6" t="s">
        <v>7174</v>
      </c>
      <c r="N1784" s="6" t="s">
        <v>64</v>
      </c>
      <c r="O1784" s="6" t="s">
        <v>35</v>
      </c>
      <c r="P1784" s="6">
        <f>COUNTIF(Analysis!$M$1:$M$3001,Analysis!$M1784)</f>
        <v>1</v>
      </c>
      <c r="Q1784" s="6" t="str">
        <f>IF(COUNTIF(Analysis!$M$2:$M$3001,Analysis!$M1784)&gt;1,"Duplicate","OK")</f>
        <v>OK</v>
      </c>
      <c r="R1784" s="6" t="str">
        <f t="shared" si="1"/>
        <v>600-1600</v>
      </c>
      <c r="S1784" s="6">
        <f t="shared" si="2"/>
        <v>12</v>
      </c>
      <c r="T1784" s="6" t="str">
        <f t="shared" si="3"/>
        <v>Mid</v>
      </c>
    </row>
    <row r="1785" ht="14.25" customHeight="1">
      <c r="A1785" s="5">
        <v>1266532.0</v>
      </c>
      <c r="B1785" s="6" t="s">
        <v>7177</v>
      </c>
      <c r="C1785" s="6" t="s">
        <v>76</v>
      </c>
      <c r="D1785" s="6">
        <v>41775.0</v>
      </c>
      <c r="E1785" s="6" t="s">
        <v>19</v>
      </c>
      <c r="F1785" s="6" t="s">
        <v>94</v>
      </c>
      <c r="G1785" s="6" t="s">
        <v>100</v>
      </c>
      <c r="H1785" s="7">
        <v>1475.0</v>
      </c>
      <c r="I1785" s="7">
        <v>9331.0</v>
      </c>
      <c r="J1785" s="6">
        <v>1987.0</v>
      </c>
      <c r="K1785" s="6">
        <v>43.0</v>
      </c>
      <c r="L1785" s="6" t="s">
        <v>22</v>
      </c>
      <c r="M1785" s="6" t="s">
        <v>7178</v>
      </c>
      <c r="N1785" s="6" t="s">
        <v>34</v>
      </c>
      <c r="O1785" s="6" t="s">
        <v>25</v>
      </c>
      <c r="P1785" s="6">
        <f>COUNTIF(Analysis!$M$1:$M$3001,Analysis!$M1785)</f>
        <v>1</v>
      </c>
      <c r="Q1785" s="6" t="str">
        <f>IF(COUNTIF(Analysis!$M$2:$M$3001,Analysis!$M1785)&gt;1,"Duplicate","OK")</f>
        <v>OK</v>
      </c>
      <c r="R1785" s="6" t="str">
        <f t="shared" si="1"/>
        <v>600-1600</v>
      </c>
      <c r="S1785" s="6">
        <f t="shared" si="2"/>
        <v>39</v>
      </c>
      <c r="T1785" s="6" t="str">
        <f t="shared" si="3"/>
        <v>Old</v>
      </c>
    </row>
    <row r="1786" ht="14.25" customHeight="1">
      <c r="A1786" s="5">
        <v>924794.0</v>
      </c>
      <c r="B1786" s="6" t="s">
        <v>7181</v>
      </c>
      <c r="C1786" s="6" t="s">
        <v>76</v>
      </c>
      <c r="D1786" s="6">
        <v>38499.0</v>
      </c>
      <c r="E1786" s="6" t="s">
        <v>60</v>
      </c>
      <c r="F1786" s="6" t="s">
        <v>41</v>
      </c>
      <c r="G1786" s="6" t="s">
        <v>21</v>
      </c>
      <c r="H1786" s="7">
        <v>3579.0</v>
      </c>
      <c r="I1786" s="7">
        <v>4662.0</v>
      </c>
      <c r="J1786" s="6">
        <v>1995.0</v>
      </c>
      <c r="K1786" s="6">
        <v>98.0</v>
      </c>
      <c r="L1786" s="6" t="s">
        <v>22</v>
      </c>
      <c r="M1786" s="6" t="s">
        <v>7182</v>
      </c>
      <c r="N1786" s="6" t="s">
        <v>34</v>
      </c>
      <c r="O1786" s="6" t="s">
        <v>25</v>
      </c>
      <c r="P1786" s="6">
        <f>COUNTIF(Analysis!$M$1:$M$3001,Analysis!$M1786)</f>
        <v>1</v>
      </c>
      <c r="Q1786" s="6" t="str">
        <f>IF(COUNTIF(Analysis!$M$2:$M$3001,Analysis!$M1786)&gt;1,"Duplicate","OK")</f>
        <v>OK</v>
      </c>
      <c r="R1786" s="6" t="str">
        <f t="shared" si="1"/>
        <v>2600-3600</v>
      </c>
      <c r="S1786" s="6">
        <f t="shared" si="2"/>
        <v>31</v>
      </c>
      <c r="T1786" s="6" t="str">
        <f t="shared" si="3"/>
        <v>Old</v>
      </c>
    </row>
    <row r="1787" ht="14.25" customHeight="1">
      <c r="A1787" s="5">
        <v>402250.0</v>
      </c>
      <c r="B1787" s="6" t="s">
        <v>7185</v>
      </c>
      <c r="C1787" s="6" t="s">
        <v>76</v>
      </c>
      <c r="D1787" s="6">
        <v>54158.0</v>
      </c>
      <c r="E1787" s="6" t="s">
        <v>77</v>
      </c>
      <c r="F1787" s="6" t="s">
        <v>54</v>
      </c>
      <c r="G1787" s="6" t="s">
        <v>31</v>
      </c>
      <c r="H1787" s="7">
        <v>3450.0</v>
      </c>
      <c r="I1787" s="7">
        <v>2632.0</v>
      </c>
      <c r="J1787" s="6">
        <v>1962.0</v>
      </c>
      <c r="K1787" s="6">
        <v>93.0</v>
      </c>
      <c r="L1787" s="6" t="s">
        <v>95</v>
      </c>
      <c r="M1787" s="6" t="s">
        <v>7186</v>
      </c>
      <c r="N1787" s="6" t="s">
        <v>43</v>
      </c>
      <c r="O1787" s="6" t="s">
        <v>25</v>
      </c>
      <c r="P1787" s="6">
        <f>COUNTIF(Analysis!$M$1:$M$3001,Analysis!$M1787)</f>
        <v>1</v>
      </c>
      <c r="Q1787" s="6" t="str">
        <f>IF(COUNTIF(Analysis!$M$2:$M$3001,Analysis!$M1787)&gt;1,"Duplicate","OK")</f>
        <v>OK</v>
      </c>
      <c r="R1787" s="6" t="str">
        <f t="shared" si="1"/>
        <v>2600-3600</v>
      </c>
      <c r="S1787" s="6">
        <f t="shared" si="2"/>
        <v>64</v>
      </c>
      <c r="T1787" s="6" t="str">
        <f t="shared" si="3"/>
        <v>Very Old</v>
      </c>
    </row>
    <row r="1788" ht="14.25" customHeight="1">
      <c r="A1788" s="5">
        <v>889745.0</v>
      </c>
      <c r="B1788" s="6" t="s">
        <v>7189</v>
      </c>
      <c r="C1788" s="6" t="s">
        <v>39</v>
      </c>
      <c r="D1788" s="6">
        <v>39086.0</v>
      </c>
      <c r="E1788" s="6" t="s">
        <v>40</v>
      </c>
      <c r="F1788" s="6" t="s">
        <v>46</v>
      </c>
      <c r="G1788" s="6" t="s">
        <v>31</v>
      </c>
      <c r="H1788" s="7">
        <v>1616.0</v>
      </c>
      <c r="I1788" s="7">
        <v>8257.0</v>
      </c>
      <c r="J1788" s="6">
        <v>1994.0</v>
      </c>
      <c r="K1788" s="6">
        <v>91.0</v>
      </c>
      <c r="L1788" s="6" t="s">
        <v>62</v>
      </c>
      <c r="M1788" s="6" t="s">
        <v>7190</v>
      </c>
      <c r="N1788" s="6" t="s">
        <v>64</v>
      </c>
      <c r="O1788" s="6" t="s">
        <v>35</v>
      </c>
      <c r="P1788" s="6">
        <f>COUNTIF(Analysis!$M$1:$M$3001,Analysis!$M1788)</f>
        <v>1</v>
      </c>
      <c r="Q1788" s="6" t="str">
        <f>IF(COUNTIF(Analysis!$M$2:$M$3001,Analysis!$M1788)&gt;1,"Duplicate","OK")</f>
        <v>OK</v>
      </c>
      <c r="R1788" s="6" t="str">
        <f t="shared" si="1"/>
        <v>1600-2600</v>
      </c>
      <c r="S1788" s="6">
        <f t="shared" si="2"/>
        <v>32</v>
      </c>
      <c r="T1788" s="6" t="str">
        <f t="shared" si="3"/>
        <v>Old</v>
      </c>
    </row>
    <row r="1789" ht="14.25" customHeight="1">
      <c r="A1789" s="5">
        <v>1450914.0</v>
      </c>
      <c r="B1789" s="6" t="s">
        <v>7193</v>
      </c>
      <c r="C1789" s="6" t="s">
        <v>18</v>
      </c>
      <c r="D1789" s="6">
        <v>50594.0</v>
      </c>
      <c r="E1789" s="6" t="s">
        <v>77</v>
      </c>
      <c r="F1789" s="6" t="s">
        <v>46</v>
      </c>
      <c r="G1789" s="6" t="s">
        <v>21</v>
      </c>
      <c r="H1789" s="7">
        <v>3565.0</v>
      </c>
      <c r="I1789" s="7">
        <v>1910.0</v>
      </c>
      <c r="J1789" s="6">
        <v>1979.0</v>
      </c>
      <c r="K1789" s="6">
        <v>89.0</v>
      </c>
      <c r="L1789" s="6" t="s">
        <v>22</v>
      </c>
      <c r="M1789" s="6" t="s">
        <v>7194</v>
      </c>
      <c r="N1789" s="6" t="s">
        <v>64</v>
      </c>
      <c r="O1789" s="6" t="s">
        <v>25</v>
      </c>
      <c r="P1789" s="6">
        <f>COUNTIF(Analysis!$M$1:$M$3001,Analysis!$M1789)</f>
        <v>1</v>
      </c>
      <c r="Q1789" s="6" t="str">
        <f>IF(COUNTIF(Analysis!$M$2:$M$3001,Analysis!$M1789)&gt;1,"Duplicate","OK")</f>
        <v>OK</v>
      </c>
      <c r="R1789" s="6" t="str">
        <f t="shared" si="1"/>
        <v>2600-3600</v>
      </c>
      <c r="S1789" s="6">
        <f t="shared" si="2"/>
        <v>47</v>
      </c>
      <c r="T1789" s="6" t="str">
        <f t="shared" si="3"/>
        <v>Old</v>
      </c>
    </row>
    <row r="1790" ht="14.25" customHeight="1">
      <c r="A1790" s="5">
        <v>946472.0</v>
      </c>
      <c r="B1790" s="6" t="s">
        <v>609</v>
      </c>
      <c r="C1790" s="6" t="s">
        <v>29</v>
      </c>
      <c r="D1790" s="6">
        <v>28333.0</v>
      </c>
      <c r="E1790" s="6" t="s">
        <v>19</v>
      </c>
      <c r="F1790" s="6" t="s">
        <v>46</v>
      </c>
      <c r="G1790" s="6" t="s">
        <v>21</v>
      </c>
      <c r="H1790" s="7">
        <v>1009.0</v>
      </c>
      <c r="I1790" s="7">
        <v>8969.0</v>
      </c>
      <c r="J1790" s="6">
        <v>2022.0</v>
      </c>
      <c r="K1790" s="6">
        <v>58.0</v>
      </c>
      <c r="L1790" s="6" t="s">
        <v>95</v>
      </c>
      <c r="M1790" s="6" t="s">
        <v>610</v>
      </c>
      <c r="N1790" s="6" t="s">
        <v>24</v>
      </c>
      <c r="O1790" s="6" t="s">
        <v>35</v>
      </c>
      <c r="P1790" s="6">
        <f>COUNTIF(Analysis!$M$1:$M$3001,Analysis!$M142)</f>
        <v>1</v>
      </c>
      <c r="Q1790" s="6" t="str">
        <f>IF(COUNTIF(Analysis!$M$2:$M$3001,Analysis!$M142)&gt;1,"Duplicate","OK")</f>
        <v>OK</v>
      </c>
      <c r="R1790" s="6" t="str">
        <f t="shared" si="1"/>
        <v>600-1600</v>
      </c>
      <c r="S1790" s="6">
        <f t="shared" si="2"/>
        <v>4</v>
      </c>
      <c r="T1790" s="6" t="str">
        <f t="shared" si="3"/>
        <v>New</v>
      </c>
    </row>
    <row r="1791" ht="14.25" customHeight="1">
      <c r="A1791" s="5">
        <v>1276754.0</v>
      </c>
      <c r="B1791" s="6" t="s">
        <v>7201</v>
      </c>
      <c r="C1791" s="6" t="s">
        <v>53</v>
      </c>
      <c r="D1791" s="6">
        <v>14869.0</v>
      </c>
      <c r="E1791" s="6" t="s">
        <v>19</v>
      </c>
      <c r="F1791" s="6" t="s">
        <v>61</v>
      </c>
      <c r="G1791" s="6" t="s">
        <v>55</v>
      </c>
      <c r="H1791" s="7">
        <v>1281.0</v>
      </c>
      <c r="I1791" s="7">
        <v>5710.0</v>
      </c>
      <c r="J1791" s="6">
        <v>2012.0</v>
      </c>
      <c r="K1791" s="6">
        <v>100.0</v>
      </c>
      <c r="L1791" s="6" t="s">
        <v>32</v>
      </c>
      <c r="M1791" s="6" t="s">
        <v>7202</v>
      </c>
      <c r="N1791" s="6" t="s">
        <v>64</v>
      </c>
      <c r="O1791" s="6" t="s">
        <v>49</v>
      </c>
      <c r="P1791" s="6">
        <f>COUNTIF(Analysis!$M$1:$M$3001,Analysis!$M1791)</f>
        <v>1</v>
      </c>
      <c r="Q1791" s="6" t="str">
        <f>IF(COUNTIF(Analysis!$M$2:$M$3001,Analysis!$M1791)&gt;1,"Duplicate","OK")</f>
        <v>OK</v>
      </c>
      <c r="R1791" s="6" t="str">
        <f t="shared" si="1"/>
        <v>600-1600</v>
      </c>
      <c r="S1791" s="6">
        <f t="shared" si="2"/>
        <v>14</v>
      </c>
      <c r="T1791" s="6" t="str">
        <f t="shared" si="3"/>
        <v>Mid</v>
      </c>
    </row>
    <row r="1792" ht="14.25" customHeight="1">
      <c r="A1792" s="5">
        <v>947510.0</v>
      </c>
      <c r="B1792" s="6" t="s">
        <v>4063</v>
      </c>
      <c r="C1792" s="6" t="s">
        <v>29</v>
      </c>
      <c r="D1792" s="6">
        <v>90863.0</v>
      </c>
      <c r="E1792" s="6" t="s">
        <v>40</v>
      </c>
      <c r="F1792" s="6" t="s">
        <v>20</v>
      </c>
      <c r="G1792" s="6" t="s">
        <v>21</v>
      </c>
      <c r="H1792" s="7">
        <v>1657.0</v>
      </c>
      <c r="I1792" s="7">
        <v>6400.0</v>
      </c>
      <c r="J1792" s="6">
        <v>1950.0</v>
      </c>
      <c r="K1792" s="6">
        <v>48.0</v>
      </c>
      <c r="L1792" s="6" t="s">
        <v>62</v>
      </c>
      <c r="M1792" s="6" t="s">
        <v>4064</v>
      </c>
      <c r="N1792" s="6" t="s">
        <v>43</v>
      </c>
      <c r="O1792" s="6" t="s">
        <v>25</v>
      </c>
      <c r="P1792" s="6">
        <f>COUNTIF(Analysis!$M$1:$M$3001,Analysis!$M1006)</f>
        <v>1</v>
      </c>
      <c r="Q1792" s="6" t="str">
        <f>IF(COUNTIF(Analysis!$M$2:$M$3001,Analysis!$M1006)&gt;1,"Duplicate","OK")</f>
        <v>OK</v>
      </c>
      <c r="R1792" s="6" t="str">
        <f t="shared" si="1"/>
        <v>1600-2600</v>
      </c>
      <c r="S1792" s="6">
        <f t="shared" si="2"/>
        <v>76</v>
      </c>
      <c r="T1792" s="6" t="str">
        <f t="shared" si="3"/>
        <v>Very Old</v>
      </c>
    </row>
    <row r="1793" ht="14.25" customHeight="1">
      <c r="A1793" s="5">
        <v>829817.0</v>
      </c>
      <c r="B1793" s="6" t="s">
        <v>7209</v>
      </c>
      <c r="C1793" s="6" t="s">
        <v>76</v>
      </c>
      <c r="D1793" s="6">
        <v>74559.0</v>
      </c>
      <c r="E1793" s="6" t="s">
        <v>40</v>
      </c>
      <c r="F1793" s="6" t="s">
        <v>20</v>
      </c>
      <c r="G1793" s="6" t="s">
        <v>55</v>
      </c>
      <c r="H1793" s="7">
        <v>3812.0</v>
      </c>
      <c r="I1793" s="7">
        <v>1453.0</v>
      </c>
      <c r="J1793" s="6">
        <v>1963.0</v>
      </c>
      <c r="K1793" s="6">
        <v>120.0</v>
      </c>
      <c r="L1793" s="6" t="s">
        <v>32</v>
      </c>
      <c r="M1793" s="6" t="s">
        <v>7210</v>
      </c>
      <c r="N1793" s="6" t="s">
        <v>64</v>
      </c>
      <c r="O1793" s="6" t="s">
        <v>25</v>
      </c>
      <c r="P1793" s="6">
        <f>COUNTIF(Analysis!$M$1:$M$3001,Analysis!$M1793)</f>
        <v>1</v>
      </c>
      <c r="Q1793" s="6" t="str">
        <f>IF(COUNTIF(Analysis!$M$2:$M$3001,Analysis!$M1793)&gt;1,"Duplicate","OK")</f>
        <v>OK</v>
      </c>
      <c r="R1793" s="6" t="str">
        <f t="shared" si="1"/>
        <v>3600+</v>
      </c>
      <c r="S1793" s="6">
        <f t="shared" si="2"/>
        <v>63</v>
      </c>
      <c r="T1793" s="6" t="str">
        <f t="shared" si="3"/>
        <v>Very Old</v>
      </c>
    </row>
    <row r="1794" ht="14.25" customHeight="1">
      <c r="A1794" s="5">
        <v>250343.0</v>
      </c>
      <c r="B1794" s="6" t="s">
        <v>7213</v>
      </c>
      <c r="C1794" s="6" t="s">
        <v>76</v>
      </c>
      <c r="D1794" s="6">
        <v>59168.0</v>
      </c>
      <c r="E1794" s="6" t="s">
        <v>19</v>
      </c>
      <c r="F1794" s="6" t="s">
        <v>61</v>
      </c>
      <c r="G1794" s="6" t="s">
        <v>55</v>
      </c>
      <c r="H1794" s="7">
        <v>1886.0</v>
      </c>
      <c r="I1794" s="7">
        <v>8226.0</v>
      </c>
      <c r="J1794" s="6">
        <v>2004.0</v>
      </c>
      <c r="K1794" s="6">
        <v>32.0</v>
      </c>
      <c r="L1794" s="6" t="s">
        <v>95</v>
      </c>
      <c r="M1794" s="6" t="s">
        <v>7214</v>
      </c>
      <c r="N1794" s="6" t="s">
        <v>34</v>
      </c>
      <c r="O1794" s="6" t="s">
        <v>49</v>
      </c>
      <c r="P1794" s="6">
        <f>COUNTIF(Analysis!$M$1:$M$3001,Analysis!$M1794)</f>
        <v>1</v>
      </c>
      <c r="Q1794" s="6" t="str">
        <f>IF(COUNTIF(Analysis!$M$2:$M$3001,Analysis!$M1794)&gt;1,"Duplicate","OK")</f>
        <v>OK</v>
      </c>
      <c r="R1794" s="6" t="str">
        <f t="shared" si="1"/>
        <v>1600-2600</v>
      </c>
      <c r="S1794" s="6">
        <f t="shared" si="2"/>
        <v>22</v>
      </c>
      <c r="T1794" s="6" t="str">
        <f t="shared" si="3"/>
        <v>Mid</v>
      </c>
    </row>
    <row r="1795" ht="14.25" customHeight="1">
      <c r="A1795" s="5">
        <v>993426.0</v>
      </c>
      <c r="B1795" s="6" t="s">
        <v>7217</v>
      </c>
      <c r="C1795" s="6" t="s">
        <v>18</v>
      </c>
      <c r="D1795" s="6">
        <v>81788.0</v>
      </c>
      <c r="E1795" s="6" t="s">
        <v>19</v>
      </c>
      <c r="F1795" s="6" t="s">
        <v>20</v>
      </c>
      <c r="G1795" s="6" t="s">
        <v>55</v>
      </c>
      <c r="H1795" s="7">
        <v>1988.0</v>
      </c>
      <c r="I1795" s="7">
        <v>2237.0</v>
      </c>
      <c r="J1795" s="6">
        <v>1999.0</v>
      </c>
      <c r="K1795" s="6">
        <v>83.0</v>
      </c>
      <c r="L1795" s="6" t="s">
        <v>32</v>
      </c>
      <c r="M1795" s="6" t="s">
        <v>7218</v>
      </c>
      <c r="N1795" s="6" t="s">
        <v>24</v>
      </c>
      <c r="O1795" s="6" t="s">
        <v>49</v>
      </c>
      <c r="P1795" s="6">
        <f>COUNTIF(Analysis!$M$1:$M$3001,Analysis!$M1795)</f>
        <v>1</v>
      </c>
      <c r="Q1795" s="6" t="str">
        <f>IF(COUNTIF(Analysis!$M$2:$M$3001,Analysis!$M1795)&gt;1,"Duplicate","OK")</f>
        <v>OK</v>
      </c>
      <c r="R1795" s="6" t="str">
        <f t="shared" si="1"/>
        <v>1600-2600</v>
      </c>
      <c r="S1795" s="6">
        <f t="shared" si="2"/>
        <v>27</v>
      </c>
      <c r="T1795" s="6" t="str">
        <f t="shared" si="3"/>
        <v>Mid</v>
      </c>
    </row>
    <row r="1796" ht="14.25" customHeight="1">
      <c r="A1796" s="5">
        <v>992809.0</v>
      </c>
      <c r="B1796" s="6" t="s">
        <v>7221</v>
      </c>
      <c r="C1796" s="6" t="s">
        <v>39</v>
      </c>
      <c r="D1796" s="6">
        <v>99458.0</v>
      </c>
      <c r="E1796" s="6" t="s">
        <v>30</v>
      </c>
      <c r="F1796" s="6" t="s">
        <v>20</v>
      </c>
      <c r="G1796" s="6" t="s">
        <v>55</v>
      </c>
      <c r="H1796" s="7">
        <v>2551.0</v>
      </c>
      <c r="I1796" s="7">
        <v>2042.0</v>
      </c>
      <c r="J1796" s="6">
        <v>1951.0</v>
      </c>
      <c r="K1796" s="6">
        <v>25.0</v>
      </c>
      <c r="L1796" s="6" t="s">
        <v>95</v>
      </c>
      <c r="M1796" s="6" t="s">
        <v>7222</v>
      </c>
      <c r="N1796" s="6" t="s">
        <v>24</v>
      </c>
      <c r="O1796" s="6" t="s">
        <v>25</v>
      </c>
      <c r="P1796" s="6">
        <f>COUNTIF(Analysis!$M$1:$M$3001,Analysis!$M1796)</f>
        <v>1</v>
      </c>
      <c r="Q1796" s="6" t="str">
        <f>IF(COUNTIF(Analysis!$M$2:$M$3001,Analysis!$M1796)&gt;1,"Duplicate","OK")</f>
        <v>OK</v>
      </c>
      <c r="R1796" s="6" t="str">
        <f t="shared" si="1"/>
        <v>1600-2600</v>
      </c>
      <c r="S1796" s="6">
        <f t="shared" si="2"/>
        <v>75</v>
      </c>
      <c r="T1796" s="6" t="str">
        <f t="shared" si="3"/>
        <v>Very Old</v>
      </c>
    </row>
    <row r="1797" ht="14.25" customHeight="1">
      <c r="A1797" s="5">
        <v>633814.0</v>
      </c>
      <c r="B1797" s="6" t="s">
        <v>7225</v>
      </c>
      <c r="C1797" s="6" t="s">
        <v>76</v>
      </c>
      <c r="D1797" s="6">
        <v>63394.0</v>
      </c>
      <c r="E1797" s="6" t="s">
        <v>40</v>
      </c>
      <c r="F1797" s="6" t="s">
        <v>61</v>
      </c>
      <c r="G1797" s="6" t="s">
        <v>31</v>
      </c>
      <c r="H1797" s="7">
        <v>1999.0</v>
      </c>
      <c r="I1797" s="7">
        <v>4541.0</v>
      </c>
      <c r="J1797" s="6">
        <v>1991.0</v>
      </c>
      <c r="K1797" s="6">
        <v>36.0</v>
      </c>
      <c r="L1797" s="6" t="s">
        <v>141</v>
      </c>
      <c r="M1797" s="6" t="s">
        <v>7226</v>
      </c>
      <c r="N1797" s="6" t="s">
        <v>48</v>
      </c>
      <c r="O1797" s="6" t="s">
        <v>35</v>
      </c>
      <c r="P1797" s="6">
        <f>COUNTIF(Analysis!$M$1:$M$3001,Analysis!$M1797)</f>
        <v>1</v>
      </c>
      <c r="Q1797" s="6" t="str">
        <f>IF(COUNTIF(Analysis!$M$2:$M$3001,Analysis!$M1797)&gt;1,"Duplicate","OK")</f>
        <v>OK</v>
      </c>
      <c r="R1797" s="6" t="str">
        <f t="shared" si="1"/>
        <v>1600-2600</v>
      </c>
      <c r="S1797" s="6">
        <f t="shared" si="2"/>
        <v>35</v>
      </c>
      <c r="T1797" s="6" t="str">
        <f t="shared" si="3"/>
        <v>Old</v>
      </c>
    </row>
    <row r="1798" ht="14.25" customHeight="1">
      <c r="A1798" s="5">
        <v>1174412.0</v>
      </c>
      <c r="B1798" s="6" t="s">
        <v>7229</v>
      </c>
      <c r="C1798" s="6" t="s">
        <v>53</v>
      </c>
      <c r="D1798" s="6">
        <v>54265.0</v>
      </c>
      <c r="E1798" s="6" t="s">
        <v>19</v>
      </c>
      <c r="F1798" s="6" t="s">
        <v>46</v>
      </c>
      <c r="G1798" s="6" t="s">
        <v>100</v>
      </c>
      <c r="H1798" s="7">
        <v>2364.0</v>
      </c>
      <c r="I1798" s="7">
        <v>4964.0</v>
      </c>
      <c r="J1798" s="6">
        <v>1971.0</v>
      </c>
      <c r="K1798" s="6">
        <v>106.0</v>
      </c>
      <c r="L1798" s="6" t="s">
        <v>32</v>
      </c>
      <c r="M1798" s="6" t="s">
        <v>7230</v>
      </c>
      <c r="N1798" s="6" t="s">
        <v>48</v>
      </c>
      <c r="O1798" s="6" t="s">
        <v>25</v>
      </c>
      <c r="P1798" s="6">
        <f>COUNTIF(Analysis!$M$1:$M$3001,Analysis!$M1798)</f>
        <v>1</v>
      </c>
      <c r="Q1798" s="6" t="str">
        <f>IF(COUNTIF(Analysis!$M$2:$M$3001,Analysis!$M1798)&gt;1,"Duplicate","OK")</f>
        <v>OK</v>
      </c>
      <c r="R1798" s="6" t="str">
        <f t="shared" si="1"/>
        <v>1600-2600</v>
      </c>
      <c r="S1798" s="6">
        <f t="shared" si="2"/>
        <v>55</v>
      </c>
      <c r="T1798" s="6" t="str">
        <f t="shared" si="3"/>
        <v>Old</v>
      </c>
    </row>
    <row r="1799" ht="14.25" customHeight="1">
      <c r="A1799" s="5">
        <v>948645.0</v>
      </c>
      <c r="B1799" s="6" t="s">
        <v>2041</v>
      </c>
      <c r="C1799" s="6" t="s">
        <v>29</v>
      </c>
      <c r="D1799" s="6">
        <v>86928.0</v>
      </c>
      <c r="E1799" s="6" t="s">
        <v>30</v>
      </c>
      <c r="F1799" s="6" t="s">
        <v>46</v>
      </c>
      <c r="G1799" s="6" t="s">
        <v>31</v>
      </c>
      <c r="H1799" s="7">
        <v>2113.0</v>
      </c>
      <c r="I1799" s="7">
        <v>3700.0</v>
      </c>
      <c r="J1799" s="6">
        <v>2006.0</v>
      </c>
      <c r="K1799" s="6">
        <v>54.0</v>
      </c>
      <c r="L1799" s="6" t="s">
        <v>32</v>
      </c>
      <c r="M1799" s="6" t="s">
        <v>2042</v>
      </c>
      <c r="N1799" s="6" t="s">
        <v>64</v>
      </c>
      <c r="O1799" s="6" t="s">
        <v>35</v>
      </c>
      <c r="P1799" s="6">
        <f>COUNTIF(Analysis!$M$1:$M$3001,Analysis!$M500)</f>
        <v>1</v>
      </c>
      <c r="Q1799" s="6" t="str">
        <f>IF(COUNTIF(Analysis!$M$2:$M$3001,Analysis!$M500)&gt;1,"Duplicate","OK")</f>
        <v>OK</v>
      </c>
      <c r="R1799" s="6" t="str">
        <f t="shared" si="1"/>
        <v>1600-2600</v>
      </c>
      <c r="S1799" s="6">
        <f t="shared" si="2"/>
        <v>20</v>
      </c>
      <c r="T1799" s="6" t="str">
        <f t="shared" si="3"/>
        <v>Mid</v>
      </c>
    </row>
    <row r="1800" ht="14.25" customHeight="1">
      <c r="A1800" s="5">
        <v>1109257.0</v>
      </c>
      <c r="B1800" s="6" t="s">
        <v>7237</v>
      </c>
      <c r="C1800" s="6" t="s">
        <v>39</v>
      </c>
      <c r="D1800" s="6">
        <v>81002.0</v>
      </c>
      <c r="E1800" s="6" t="s">
        <v>30</v>
      </c>
      <c r="F1800" s="6" t="s">
        <v>20</v>
      </c>
      <c r="G1800" s="6" t="s">
        <v>55</v>
      </c>
      <c r="H1800" s="7">
        <v>3227.0</v>
      </c>
      <c r="I1800" s="7">
        <v>1628.0</v>
      </c>
      <c r="J1800" s="6">
        <v>1973.0</v>
      </c>
      <c r="K1800" s="6">
        <v>67.0</v>
      </c>
      <c r="L1800" s="6" t="s">
        <v>22</v>
      </c>
      <c r="M1800" s="6" t="s">
        <v>7238</v>
      </c>
      <c r="N1800" s="6" t="s">
        <v>34</v>
      </c>
      <c r="O1800" s="6" t="s">
        <v>25</v>
      </c>
      <c r="P1800" s="6">
        <f>COUNTIF(Analysis!$M$1:$M$3001,Analysis!$M1800)</f>
        <v>1</v>
      </c>
      <c r="Q1800" s="6" t="str">
        <f>IF(COUNTIF(Analysis!$M$2:$M$3001,Analysis!$M1800)&gt;1,"Duplicate","OK")</f>
        <v>OK</v>
      </c>
      <c r="R1800" s="6" t="str">
        <f t="shared" si="1"/>
        <v>2600-3600</v>
      </c>
      <c r="S1800" s="6">
        <f t="shared" si="2"/>
        <v>53</v>
      </c>
      <c r="T1800" s="6" t="str">
        <f t="shared" si="3"/>
        <v>Old</v>
      </c>
    </row>
    <row r="1801" ht="14.25" customHeight="1">
      <c r="A1801" s="5">
        <v>423729.0</v>
      </c>
      <c r="B1801" s="6" t="s">
        <v>7241</v>
      </c>
      <c r="C1801" s="6" t="s">
        <v>76</v>
      </c>
      <c r="D1801" s="6">
        <v>60302.0</v>
      </c>
      <c r="E1801" s="6" t="s">
        <v>30</v>
      </c>
      <c r="F1801" s="6" t="s">
        <v>46</v>
      </c>
      <c r="G1801" s="6" t="s">
        <v>31</v>
      </c>
      <c r="H1801" s="7">
        <v>802.0</v>
      </c>
      <c r="I1801" s="7">
        <v>5047.0</v>
      </c>
      <c r="J1801" s="6">
        <v>1988.0</v>
      </c>
      <c r="K1801" s="6">
        <v>48.0</v>
      </c>
      <c r="L1801" s="6" t="s">
        <v>95</v>
      </c>
      <c r="M1801" s="6" t="s">
        <v>7242</v>
      </c>
      <c r="N1801" s="6" t="s">
        <v>24</v>
      </c>
      <c r="O1801" s="6" t="s">
        <v>35</v>
      </c>
      <c r="P1801" s="6">
        <f>COUNTIF(Analysis!$M$1:$M$3001,Analysis!$M1801)</f>
        <v>1</v>
      </c>
      <c r="Q1801" s="6" t="str">
        <f>IF(COUNTIF(Analysis!$M$2:$M$3001,Analysis!$M1801)&gt;1,"Duplicate","OK")</f>
        <v>OK</v>
      </c>
      <c r="R1801" s="6" t="str">
        <f t="shared" si="1"/>
        <v>600-1600</v>
      </c>
      <c r="S1801" s="6">
        <f t="shared" si="2"/>
        <v>38</v>
      </c>
      <c r="T1801" s="6" t="str">
        <f t="shared" si="3"/>
        <v>Old</v>
      </c>
    </row>
    <row r="1802" ht="14.25" customHeight="1">
      <c r="A1802" s="5">
        <v>424673.0</v>
      </c>
      <c r="B1802" s="6" t="s">
        <v>7245</v>
      </c>
      <c r="C1802" s="6" t="s">
        <v>39</v>
      </c>
      <c r="D1802" s="6">
        <v>27614.0</v>
      </c>
      <c r="E1802" s="6" t="s">
        <v>19</v>
      </c>
      <c r="F1802" s="6" t="s">
        <v>94</v>
      </c>
      <c r="G1802" s="6" t="s">
        <v>55</v>
      </c>
      <c r="H1802" s="7">
        <v>2464.0</v>
      </c>
      <c r="I1802" s="7">
        <v>5074.0</v>
      </c>
      <c r="J1802" s="6">
        <v>1956.0</v>
      </c>
      <c r="K1802" s="6">
        <v>20.0</v>
      </c>
      <c r="L1802" s="6" t="s">
        <v>32</v>
      </c>
      <c r="M1802" s="6" t="s">
        <v>7246</v>
      </c>
      <c r="N1802" s="6" t="s">
        <v>48</v>
      </c>
      <c r="O1802" s="6" t="s">
        <v>35</v>
      </c>
      <c r="P1802" s="6">
        <f>COUNTIF(Analysis!$M$1:$M$3001,Analysis!$M1802)</f>
        <v>1</v>
      </c>
      <c r="Q1802" s="6" t="str">
        <f>IF(COUNTIF(Analysis!$M$2:$M$3001,Analysis!$M1802)&gt;1,"Duplicate","OK")</f>
        <v>OK</v>
      </c>
      <c r="R1802" s="6" t="str">
        <f t="shared" si="1"/>
        <v>1600-2600</v>
      </c>
      <c r="S1802" s="6">
        <f t="shared" si="2"/>
        <v>70</v>
      </c>
      <c r="T1802" s="6" t="str">
        <f t="shared" si="3"/>
        <v>Very Old</v>
      </c>
    </row>
    <row r="1803" ht="14.25" customHeight="1">
      <c r="A1803" s="5">
        <v>1192506.0</v>
      </c>
      <c r="B1803" s="6" t="s">
        <v>7249</v>
      </c>
      <c r="C1803" s="6" t="s">
        <v>76</v>
      </c>
      <c r="D1803" s="6">
        <v>24515.0</v>
      </c>
      <c r="E1803" s="6" t="s">
        <v>30</v>
      </c>
      <c r="F1803" s="6" t="s">
        <v>41</v>
      </c>
      <c r="G1803" s="6" t="s">
        <v>31</v>
      </c>
      <c r="H1803" s="7">
        <v>2359.0</v>
      </c>
      <c r="I1803" s="7">
        <v>3646.0</v>
      </c>
      <c r="J1803" s="6">
        <v>1987.0</v>
      </c>
      <c r="K1803" s="6">
        <v>113.0</v>
      </c>
      <c r="L1803" s="6" t="s">
        <v>62</v>
      </c>
      <c r="M1803" s="6" t="s">
        <v>7250</v>
      </c>
      <c r="N1803" s="6" t="s">
        <v>43</v>
      </c>
      <c r="O1803" s="6" t="s">
        <v>25</v>
      </c>
      <c r="P1803" s="6">
        <f>COUNTIF(Analysis!$M$1:$M$3001,Analysis!$M1803)</f>
        <v>1</v>
      </c>
      <c r="Q1803" s="6" t="str">
        <f>IF(COUNTIF(Analysis!$M$2:$M$3001,Analysis!$M1803)&gt;1,"Duplicate","OK")</f>
        <v>OK</v>
      </c>
      <c r="R1803" s="6" t="str">
        <f t="shared" si="1"/>
        <v>1600-2600</v>
      </c>
      <c r="S1803" s="6">
        <f t="shared" si="2"/>
        <v>39</v>
      </c>
      <c r="T1803" s="6" t="str">
        <f t="shared" si="3"/>
        <v>Old</v>
      </c>
    </row>
    <row r="1804" ht="14.25" customHeight="1">
      <c r="A1804" s="5">
        <v>1099602.0</v>
      </c>
      <c r="B1804" s="6" t="s">
        <v>7253</v>
      </c>
      <c r="C1804" s="6" t="s">
        <v>39</v>
      </c>
      <c r="D1804" s="6">
        <v>18166.0</v>
      </c>
      <c r="E1804" s="6" t="s">
        <v>60</v>
      </c>
      <c r="F1804" s="6" t="s">
        <v>41</v>
      </c>
      <c r="G1804" s="6" t="s">
        <v>31</v>
      </c>
      <c r="H1804" s="7">
        <v>1457.0</v>
      </c>
      <c r="I1804" s="7">
        <v>8626.0</v>
      </c>
      <c r="J1804" s="6">
        <v>2014.0</v>
      </c>
      <c r="K1804" s="6">
        <v>18.0</v>
      </c>
      <c r="L1804" s="6" t="s">
        <v>32</v>
      </c>
      <c r="M1804" s="6" t="s">
        <v>7254</v>
      </c>
      <c r="N1804" s="6" t="s">
        <v>48</v>
      </c>
      <c r="O1804" s="6" t="s">
        <v>25</v>
      </c>
      <c r="P1804" s="6">
        <f>COUNTIF(Analysis!$M$1:$M$3001,Analysis!$M1804)</f>
        <v>1</v>
      </c>
      <c r="Q1804" s="6" t="str">
        <f>IF(COUNTIF(Analysis!$M$2:$M$3001,Analysis!$M1804)&gt;1,"Duplicate","OK")</f>
        <v>OK</v>
      </c>
      <c r="R1804" s="6" t="str">
        <f t="shared" si="1"/>
        <v>600-1600</v>
      </c>
      <c r="S1804" s="6">
        <f t="shared" si="2"/>
        <v>12</v>
      </c>
      <c r="T1804" s="6" t="str">
        <f t="shared" si="3"/>
        <v>Mid</v>
      </c>
    </row>
    <row r="1805" ht="14.25" customHeight="1">
      <c r="A1805" s="5">
        <v>206508.0</v>
      </c>
      <c r="B1805" s="6" t="s">
        <v>7257</v>
      </c>
      <c r="C1805" s="6" t="s">
        <v>39</v>
      </c>
      <c r="D1805" s="6">
        <v>73499.0</v>
      </c>
      <c r="E1805" s="6" t="s">
        <v>30</v>
      </c>
      <c r="F1805" s="6" t="s">
        <v>61</v>
      </c>
      <c r="G1805" s="6" t="s">
        <v>21</v>
      </c>
      <c r="H1805" s="7">
        <v>1385.0</v>
      </c>
      <c r="I1805" s="7">
        <v>8648.0</v>
      </c>
      <c r="J1805" s="6">
        <v>2017.0</v>
      </c>
      <c r="K1805" s="6">
        <v>96.0</v>
      </c>
      <c r="L1805" s="6" t="s">
        <v>32</v>
      </c>
      <c r="M1805" s="6" t="s">
        <v>7258</v>
      </c>
      <c r="N1805" s="6" t="s">
        <v>24</v>
      </c>
      <c r="O1805" s="6" t="s">
        <v>35</v>
      </c>
      <c r="P1805" s="6">
        <f>COUNTIF(Analysis!$M$1:$M$3001,Analysis!$M1805)</f>
        <v>1</v>
      </c>
      <c r="Q1805" s="6" t="str">
        <f>IF(COUNTIF(Analysis!$M$2:$M$3001,Analysis!$M1805)&gt;1,"Duplicate","OK")</f>
        <v>OK</v>
      </c>
      <c r="R1805" s="6" t="str">
        <f t="shared" si="1"/>
        <v>600-1600</v>
      </c>
      <c r="S1805" s="6">
        <f t="shared" si="2"/>
        <v>9</v>
      </c>
      <c r="T1805" s="6" t="str">
        <f t="shared" si="3"/>
        <v>New</v>
      </c>
    </row>
    <row r="1806" ht="14.25" customHeight="1">
      <c r="A1806" s="5">
        <v>952028.0</v>
      </c>
      <c r="B1806" s="6" t="s">
        <v>5223</v>
      </c>
      <c r="C1806" s="6" t="s">
        <v>29</v>
      </c>
      <c r="D1806" s="6">
        <v>87814.0</v>
      </c>
      <c r="E1806" s="6" t="s">
        <v>40</v>
      </c>
      <c r="F1806" s="6" t="s">
        <v>54</v>
      </c>
      <c r="G1806" s="6" t="s">
        <v>21</v>
      </c>
      <c r="H1806" s="7">
        <v>3758.0</v>
      </c>
      <c r="I1806" s="7">
        <v>9938.0</v>
      </c>
      <c r="J1806" s="6">
        <v>1982.0</v>
      </c>
      <c r="K1806" s="6">
        <v>96.0</v>
      </c>
      <c r="L1806" s="6" t="s">
        <v>62</v>
      </c>
      <c r="M1806" s="6" t="s">
        <v>5224</v>
      </c>
      <c r="N1806" s="6" t="s">
        <v>34</v>
      </c>
      <c r="O1806" s="6" t="s">
        <v>25</v>
      </c>
      <c r="P1806" s="6">
        <f>COUNTIF(Analysis!$M$1:$M$3001,Analysis!$M1296)</f>
        <v>1</v>
      </c>
      <c r="Q1806" s="6" t="str">
        <f>IF(COUNTIF(Analysis!$M$2:$M$3001,Analysis!$M1296)&gt;1,"Duplicate","OK")</f>
        <v>OK</v>
      </c>
      <c r="R1806" s="6" t="str">
        <f t="shared" si="1"/>
        <v>3600+</v>
      </c>
      <c r="S1806" s="6">
        <f t="shared" si="2"/>
        <v>44</v>
      </c>
      <c r="T1806" s="6" t="str">
        <f t="shared" si="3"/>
        <v>Old</v>
      </c>
    </row>
    <row r="1807" ht="14.25" customHeight="1">
      <c r="A1807" s="5">
        <v>1232947.0</v>
      </c>
      <c r="B1807" s="6" t="s">
        <v>7265</v>
      </c>
      <c r="C1807" s="6" t="s">
        <v>18</v>
      </c>
      <c r="D1807" s="6">
        <v>47585.0</v>
      </c>
      <c r="E1807" s="6" t="s">
        <v>77</v>
      </c>
      <c r="F1807" s="6" t="s">
        <v>61</v>
      </c>
      <c r="G1807" s="6" t="s">
        <v>100</v>
      </c>
      <c r="H1807" s="7">
        <v>2484.0</v>
      </c>
      <c r="I1807" s="7">
        <v>7894.0</v>
      </c>
      <c r="J1807" s="6">
        <v>1970.0</v>
      </c>
      <c r="K1807" s="6">
        <v>83.0</v>
      </c>
      <c r="L1807" s="6" t="s">
        <v>22</v>
      </c>
      <c r="M1807" s="6" t="s">
        <v>7266</v>
      </c>
      <c r="N1807" s="6" t="s">
        <v>48</v>
      </c>
      <c r="O1807" s="6" t="s">
        <v>49</v>
      </c>
      <c r="P1807" s="6">
        <f>COUNTIF(Analysis!$M$1:$M$3001,Analysis!$M1807)</f>
        <v>1</v>
      </c>
      <c r="Q1807" s="6" t="str">
        <f>IF(COUNTIF(Analysis!$M$2:$M$3001,Analysis!$M1807)&gt;1,"Duplicate","OK")</f>
        <v>OK</v>
      </c>
      <c r="R1807" s="6" t="str">
        <f t="shared" si="1"/>
        <v>1600-2600</v>
      </c>
      <c r="S1807" s="6">
        <f t="shared" si="2"/>
        <v>56</v>
      </c>
      <c r="T1807" s="6" t="str">
        <f t="shared" si="3"/>
        <v>Old</v>
      </c>
    </row>
    <row r="1808" ht="14.25" customHeight="1">
      <c r="A1808" s="5">
        <v>952640.0</v>
      </c>
      <c r="B1808" s="6" t="s">
        <v>8895</v>
      </c>
      <c r="C1808" s="6" t="s">
        <v>29</v>
      </c>
      <c r="D1808" s="6">
        <v>91578.0</v>
      </c>
      <c r="E1808" s="6" t="s">
        <v>77</v>
      </c>
      <c r="F1808" s="6" t="s">
        <v>61</v>
      </c>
      <c r="G1808" s="6" t="s">
        <v>31</v>
      </c>
      <c r="H1808" s="7">
        <v>893.0</v>
      </c>
      <c r="I1808" s="7">
        <v>4226.0</v>
      </c>
      <c r="J1808" s="6">
        <v>1951.0</v>
      </c>
      <c r="K1808" s="6">
        <v>94.0</v>
      </c>
      <c r="L1808" s="6" t="s">
        <v>32</v>
      </c>
      <c r="M1808" s="6" t="s">
        <v>8896</v>
      </c>
      <c r="N1808" s="6" t="s">
        <v>34</v>
      </c>
      <c r="O1808" s="6" t="s">
        <v>35</v>
      </c>
      <c r="P1808" s="6">
        <f>COUNTIF(Analysis!$M$1:$M$3001,Analysis!$M2215)</f>
        <v>1</v>
      </c>
      <c r="Q1808" s="6" t="str">
        <f>IF(COUNTIF(Analysis!$M$2:$M$3001,Analysis!$M2215)&gt;1,"Duplicate","OK")</f>
        <v>OK</v>
      </c>
      <c r="R1808" s="6" t="str">
        <f t="shared" si="1"/>
        <v>600-1600</v>
      </c>
      <c r="S1808" s="6">
        <f t="shared" si="2"/>
        <v>75</v>
      </c>
      <c r="T1808" s="6" t="str">
        <f t="shared" si="3"/>
        <v>Very Old</v>
      </c>
    </row>
    <row r="1809" ht="14.25" customHeight="1">
      <c r="A1809" s="5">
        <v>901849.0</v>
      </c>
      <c r="B1809" s="6" t="s">
        <v>7273</v>
      </c>
      <c r="C1809" s="6" t="s">
        <v>76</v>
      </c>
      <c r="D1809" s="6">
        <v>29419.0</v>
      </c>
      <c r="E1809" s="6" t="s">
        <v>77</v>
      </c>
      <c r="F1809" s="6" t="s">
        <v>46</v>
      </c>
      <c r="G1809" s="6" t="s">
        <v>31</v>
      </c>
      <c r="H1809" s="7">
        <v>3687.0</v>
      </c>
      <c r="I1809" s="7">
        <v>4499.0</v>
      </c>
      <c r="J1809" s="6">
        <v>1969.0</v>
      </c>
      <c r="K1809" s="6">
        <v>108.0</v>
      </c>
      <c r="L1809" s="6" t="s">
        <v>22</v>
      </c>
      <c r="M1809" s="6" t="s">
        <v>7274</v>
      </c>
      <c r="N1809" s="6" t="s">
        <v>24</v>
      </c>
      <c r="O1809" s="6" t="s">
        <v>25</v>
      </c>
      <c r="P1809" s="6">
        <f>COUNTIF(Analysis!$M$1:$M$3001,Analysis!$M1809)</f>
        <v>1</v>
      </c>
      <c r="Q1809" s="6" t="str">
        <f>IF(COUNTIF(Analysis!$M$2:$M$3001,Analysis!$M1809)&gt;1,"Duplicate","OK")</f>
        <v>OK</v>
      </c>
      <c r="R1809" s="6" t="str">
        <f t="shared" si="1"/>
        <v>3600+</v>
      </c>
      <c r="S1809" s="6">
        <f t="shared" si="2"/>
        <v>57</v>
      </c>
      <c r="T1809" s="6" t="str">
        <f t="shared" si="3"/>
        <v>Old</v>
      </c>
    </row>
    <row r="1810" ht="14.25" customHeight="1">
      <c r="A1810" s="5">
        <v>957223.0</v>
      </c>
      <c r="B1810" s="6" t="s">
        <v>4147</v>
      </c>
      <c r="C1810" s="6" t="s">
        <v>29</v>
      </c>
      <c r="D1810" s="6">
        <v>75019.0</v>
      </c>
      <c r="E1810" s="6" t="s">
        <v>30</v>
      </c>
      <c r="F1810" s="6" t="s">
        <v>54</v>
      </c>
      <c r="G1810" s="6" t="s">
        <v>55</v>
      </c>
      <c r="H1810" s="7">
        <v>940.0</v>
      </c>
      <c r="I1810" s="7">
        <v>5885.0</v>
      </c>
      <c r="J1810" s="6">
        <v>1987.0</v>
      </c>
      <c r="K1810" s="6">
        <v>35.0</v>
      </c>
      <c r="L1810" s="6" t="s">
        <v>141</v>
      </c>
      <c r="M1810" s="6" t="s">
        <v>4148</v>
      </c>
      <c r="N1810" s="6" t="s">
        <v>43</v>
      </c>
      <c r="O1810" s="6" t="s">
        <v>49</v>
      </c>
      <c r="P1810" s="6">
        <f>COUNTIF(Analysis!$M$1:$M$3001,Analysis!$M1027)</f>
        <v>1</v>
      </c>
      <c r="Q1810" s="6" t="str">
        <f>IF(COUNTIF(Analysis!$M$2:$M$3001,Analysis!$M1027)&gt;1,"Duplicate","OK")</f>
        <v>OK</v>
      </c>
      <c r="R1810" s="6" t="str">
        <f t="shared" si="1"/>
        <v>600-1600</v>
      </c>
      <c r="S1810" s="6">
        <f t="shared" si="2"/>
        <v>39</v>
      </c>
      <c r="T1810" s="6" t="str">
        <f t="shared" si="3"/>
        <v>Old</v>
      </c>
    </row>
    <row r="1811" ht="14.25" customHeight="1">
      <c r="A1811" s="5">
        <v>1462110.0</v>
      </c>
      <c r="B1811" s="6" t="s">
        <v>7281</v>
      </c>
      <c r="C1811" s="6" t="s">
        <v>53</v>
      </c>
      <c r="D1811" s="6">
        <v>74534.0</v>
      </c>
      <c r="E1811" s="6" t="s">
        <v>60</v>
      </c>
      <c r="F1811" s="6" t="s">
        <v>46</v>
      </c>
      <c r="G1811" s="6" t="s">
        <v>100</v>
      </c>
      <c r="H1811" s="7">
        <v>3838.0</v>
      </c>
      <c r="I1811" s="7">
        <v>4678.0</v>
      </c>
      <c r="J1811" s="6">
        <v>2018.0</v>
      </c>
      <c r="K1811" s="6">
        <v>49.0</v>
      </c>
      <c r="L1811" s="6" t="s">
        <v>32</v>
      </c>
      <c r="M1811" s="6" t="s">
        <v>7282</v>
      </c>
      <c r="N1811" s="6" t="s">
        <v>34</v>
      </c>
      <c r="O1811" s="6" t="s">
        <v>35</v>
      </c>
      <c r="P1811" s="6">
        <f>COUNTIF(Analysis!$M$1:$M$3001,Analysis!$M1811)</f>
        <v>1</v>
      </c>
      <c r="Q1811" s="6" t="str">
        <f>IF(COUNTIF(Analysis!$M$2:$M$3001,Analysis!$M1811)&gt;1,"Duplicate","OK")</f>
        <v>OK</v>
      </c>
      <c r="R1811" s="6" t="str">
        <f t="shared" si="1"/>
        <v>3600+</v>
      </c>
      <c r="S1811" s="6">
        <f t="shared" si="2"/>
        <v>8</v>
      </c>
      <c r="T1811" s="6" t="str">
        <f t="shared" si="3"/>
        <v>New</v>
      </c>
    </row>
    <row r="1812" ht="14.25" customHeight="1">
      <c r="A1812" s="5">
        <v>957604.0</v>
      </c>
      <c r="B1812" s="6" t="s">
        <v>4635</v>
      </c>
      <c r="C1812" s="6" t="s">
        <v>29</v>
      </c>
      <c r="D1812" s="6">
        <v>99255.0</v>
      </c>
      <c r="E1812" s="6" t="s">
        <v>60</v>
      </c>
      <c r="F1812" s="6" t="s">
        <v>54</v>
      </c>
      <c r="G1812" s="6" t="s">
        <v>55</v>
      </c>
      <c r="H1812" s="7">
        <v>1236.0</v>
      </c>
      <c r="I1812" s="7">
        <v>8805.0</v>
      </c>
      <c r="J1812" s="6">
        <v>1969.0</v>
      </c>
      <c r="K1812" s="6">
        <v>67.0</v>
      </c>
      <c r="L1812" s="6" t="s">
        <v>62</v>
      </c>
      <c r="M1812" s="6" t="s">
        <v>4636</v>
      </c>
      <c r="N1812" s="6" t="s">
        <v>43</v>
      </c>
      <c r="O1812" s="6" t="s">
        <v>25</v>
      </c>
      <c r="P1812" s="6">
        <f>COUNTIF(Analysis!$M$1:$M$3001,Analysis!$M1149)</f>
        <v>1</v>
      </c>
      <c r="Q1812" s="6" t="str">
        <f>IF(COUNTIF(Analysis!$M$2:$M$3001,Analysis!$M1149)&gt;1,"Duplicate","OK")</f>
        <v>OK</v>
      </c>
      <c r="R1812" s="6" t="str">
        <f t="shared" si="1"/>
        <v>600-1600</v>
      </c>
      <c r="S1812" s="6">
        <f t="shared" si="2"/>
        <v>57</v>
      </c>
      <c r="T1812" s="6" t="str">
        <f t="shared" si="3"/>
        <v>Old</v>
      </c>
    </row>
    <row r="1813" ht="14.25" customHeight="1">
      <c r="A1813" s="5">
        <v>786855.0</v>
      </c>
      <c r="B1813" s="6" t="s">
        <v>7289</v>
      </c>
      <c r="C1813" s="6" t="s">
        <v>39</v>
      </c>
      <c r="D1813" s="6">
        <v>82216.0</v>
      </c>
      <c r="E1813" s="6" t="s">
        <v>77</v>
      </c>
      <c r="F1813" s="6" t="s">
        <v>46</v>
      </c>
      <c r="G1813" s="6" t="s">
        <v>100</v>
      </c>
      <c r="H1813" s="7">
        <v>1173.0</v>
      </c>
      <c r="I1813" s="7">
        <v>8666.0</v>
      </c>
      <c r="J1813" s="6">
        <v>2000.0</v>
      </c>
      <c r="K1813" s="6">
        <v>18.0</v>
      </c>
      <c r="L1813" s="6" t="s">
        <v>95</v>
      </c>
      <c r="M1813" s="6" t="s">
        <v>7290</v>
      </c>
      <c r="N1813" s="6" t="s">
        <v>43</v>
      </c>
      <c r="O1813" s="6" t="s">
        <v>25</v>
      </c>
      <c r="P1813" s="6">
        <f>COUNTIF(Analysis!$M$1:$M$3001,Analysis!$M1813)</f>
        <v>1</v>
      </c>
      <c r="Q1813" s="6" t="str">
        <f>IF(COUNTIF(Analysis!$M$2:$M$3001,Analysis!$M1813)&gt;1,"Duplicate","OK")</f>
        <v>OK</v>
      </c>
      <c r="R1813" s="6" t="str">
        <f t="shared" si="1"/>
        <v>600-1600</v>
      </c>
      <c r="S1813" s="6">
        <f t="shared" si="2"/>
        <v>26</v>
      </c>
      <c r="T1813" s="6" t="str">
        <f t="shared" si="3"/>
        <v>Mid</v>
      </c>
    </row>
    <row r="1814" ht="14.25" customHeight="1">
      <c r="A1814" s="5">
        <v>222555.0</v>
      </c>
      <c r="B1814" s="6" t="s">
        <v>7293</v>
      </c>
      <c r="C1814" s="6" t="s">
        <v>53</v>
      </c>
      <c r="D1814" s="6">
        <v>42151.0</v>
      </c>
      <c r="E1814" s="6" t="s">
        <v>19</v>
      </c>
      <c r="F1814" s="6" t="s">
        <v>46</v>
      </c>
      <c r="G1814" s="6" t="s">
        <v>55</v>
      </c>
      <c r="H1814" s="7">
        <v>2242.0</v>
      </c>
      <c r="I1814" s="7">
        <v>2758.0</v>
      </c>
      <c r="J1814" s="6">
        <v>2002.0</v>
      </c>
      <c r="K1814" s="6">
        <v>85.0</v>
      </c>
      <c r="L1814" s="6" t="s">
        <v>22</v>
      </c>
      <c r="M1814" s="6" t="s">
        <v>7294</v>
      </c>
      <c r="N1814" s="6" t="s">
        <v>24</v>
      </c>
      <c r="O1814" s="6" t="s">
        <v>25</v>
      </c>
      <c r="P1814" s="6">
        <f>COUNTIF(Analysis!$M$1:$M$3001,Analysis!$M1814)</f>
        <v>1</v>
      </c>
      <c r="Q1814" s="6" t="str">
        <f>IF(COUNTIF(Analysis!$M$2:$M$3001,Analysis!$M1814)&gt;1,"Duplicate","OK")</f>
        <v>OK</v>
      </c>
      <c r="R1814" s="6" t="str">
        <f t="shared" si="1"/>
        <v>1600-2600</v>
      </c>
      <c r="S1814" s="6">
        <f t="shared" si="2"/>
        <v>24</v>
      </c>
      <c r="T1814" s="6" t="str">
        <f t="shared" si="3"/>
        <v>Mid</v>
      </c>
    </row>
    <row r="1815" ht="14.25" customHeight="1">
      <c r="A1815" s="5">
        <v>960407.0</v>
      </c>
      <c r="B1815" s="6" t="s">
        <v>1785</v>
      </c>
      <c r="C1815" s="6" t="s">
        <v>29</v>
      </c>
      <c r="D1815" s="6">
        <v>35524.0</v>
      </c>
      <c r="E1815" s="6" t="s">
        <v>77</v>
      </c>
      <c r="F1815" s="6" t="s">
        <v>94</v>
      </c>
      <c r="G1815" s="6" t="s">
        <v>55</v>
      </c>
      <c r="H1815" s="7">
        <v>2467.0</v>
      </c>
      <c r="I1815" s="7">
        <v>2779.0</v>
      </c>
      <c r="J1815" s="6">
        <v>1995.0</v>
      </c>
      <c r="K1815" s="6">
        <v>120.0</v>
      </c>
      <c r="L1815" s="6" t="s">
        <v>22</v>
      </c>
      <c r="M1815" s="6" t="s">
        <v>1786</v>
      </c>
      <c r="N1815" s="6" t="s">
        <v>48</v>
      </c>
      <c r="O1815" s="6" t="s">
        <v>49</v>
      </c>
      <c r="P1815" s="6">
        <f>COUNTIF(Analysis!$M$1:$M$3001,Analysis!$M436)</f>
        <v>1</v>
      </c>
      <c r="Q1815" s="6" t="str">
        <f>IF(COUNTIF(Analysis!$M$2:$M$3001,Analysis!$M436)&gt;1,"Duplicate","OK")</f>
        <v>OK</v>
      </c>
      <c r="R1815" s="6" t="str">
        <f t="shared" si="1"/>
        <v>1600-2600</v>
      </c>
      <c r="S1815" s="6">
        <f t="shared" si="2"/>
        <v>31</v>
      </c>
      <c r="T1815" s="6" t="str">
        <f t="shared" si="3"/>
        <v>Old</v>
      </c>
    </row>
    <row r="1816" ht="14.25" customHeight="1">
      <c r="A1816" s="5">
        <v>781461.0</v>
      </c>
      <c r="B1816" s="6" t="s">
        <v>7301</v>
      </c>
      <c r="C1816" s="6" t="s">
        <v>39</v>
      </c>
      <c r="D1816" s="6">
        <v>99411.0</v>
      </c>
      <c r="E1816" s="6" t="s">
        <v>30</v>
      </c>
      <c r="F1816" s="6" t="s">
        <v>46</v>
      </c>
      <c r="G1816" s="6" t="s">
        <v>31</v>
      </c>
      <c r="H1816" s="7">
        <v>1230.0</v>
      </c>
      <c r="I1816" s="7">
        <v>7208.0</v>
      </c>
      <c r="J1816" s="6">
        <v>1989.0</v>
      </c>
      <c r="K1816" s="6">
        <v>74.0</v>
      </c>
      <c r="L1816" s="6" t="s">
        <v>141</v>
      </c>
      <c r="M1816" s="6" t="s">
        <v>7302</v>
      </c>
      <c r="N1816" s="6" t="s">
        <v>43</v>
      </c>
      <c r="O1816" s="6" t="s">
        <v>35</v>
      </c>
      <c r="P1816" s="6">
        <f>COUNTIF(Analysis!$M$1:$M$3001,Analysis!$M1816)</f>
        <v>1</v>
      </c>
      <c r="Q1816" s="6" t="str">
        <f>IF(COUNTIF(Analysis!$M$2:$M$3001,Analysis!$M1816)&gt;1,"Duplicate","OK")</f>
        <v>OK</v>
      </c>
      <c r="R1816" s="6" t="str">
        <f t="shared" si="1"/>
        <v>600-1600</v>
      </c>
      <c r="S1816" s="6">
        <f t="shared" si="2"/>
        <v>37</v>
      </c>
      <c r="T1816" s="6" t="str">
        <f t="shared" si="3"/>
        <v>Old</v>
      </c>
    </row>
    <row r="1817" ht="14.25" customHeight="1">
      <c r="A1817" s="5">
        <v>672743.0</v>
      </c>
      <c r="B1817" s="6" t="s">
        <v>7305</v>
      </c>
      <c r="C1817" s="6" t="s">
        <v>39</v>
      </c>
      <c r="D1817" s="6">
        <v>75044.0</v>
      </c>
      <c r="E1817" s="6" t="s">
        <v>60</v>
      </c>
      <c r="F1817" s="6" t="s">
        <v>54</v>
      </c>
      <c r="G1817" s="6" t="s">
        <v>31</v>
      </c>
      <c r="H1817" s="7">
        <v>3979.0</v>
      </c>
      <c r="I1817" s="7">
        <v>2797.0</v>
      </c>
      <c r="J1817" s="6">
        <v>1967.0</v>
      </c>
      <c r="K1817" s="6">
        <v>94.0</v>
      </c>
      <c r="L1817" s="6" t="s">
        <v>95</v>
      </c>
      <c r="M1817" s="6" t="s">
        <v>7306</v>
      </c>
      <c r="N1817" s="6" t="s">
        <v>34</v>
      </c>
      <c r="O1817" s="6" t="s">
        <v>49</v>
      </c>
      <c r="P1817" s="6">
        <f>COUNTIF(Analysis!$M$1:$M$3001,Analysis!$M1817)</f>
        <v>1</v>
      </c>
      <c r="Q1817" s="6" t="str">
        <f>IF(COUNTIF(Analysis!$M$2:$M$3001,Analysis!$M1817)&gt;1,"Duplicate","OK")</f>
        <v>OK</v>
      </c>
      <c r="R1817" s="6" t="str">
        <f t="shared" si="1"/>
        <v>3600+</v>
      </c>
      <c r="S1817" s="6">
        <f t="shared" si="2"/>
        <v>59</v>
      </c>
      <c r="T1817" s="6" t="str">
        <f t="shared" si="3"/>
        <v>Old</v>
      </c>
    </row>
    <row r="1818" ht="14.25" customHeight="1">
      <c r="A1818" s="5">
        <v>1183386.0</v>
      </c>
      <c r="B1818" s="6" t="s">
        <v>7309</v>
      </c>
      <c r="C1818" s="6" t="s">
        <v>53</v>
      </c>
      <c r="D1818" s="6">
        <v>64043.0</v>
      </c>
      <c r="E1818" s="6" t="s">
        <v>40</v>
      </c>
      <c r="F1818" s="6" t="s">
        <v>20</v>
      </c>
      <c r="G1818" s="6" t="s">
        <v>100</v>
      </c>
      <c r="H1818" s="7">
        <v>2270.0</v>
      </c>
      <c r="I1818" s="7">
        <v>4520.0</v>
      </c>
      <c r="J1818" s="6">
        <v>1957.0</v>
      </c>
      <c r="K1818" s="6">
        <v>71.0</v>
      </c>
      <c r="L1818" s="6" t="s">
        <v>62</v>
      </c>
      <c r="M1818" s="6" t="s">
        <v>7310</v>
      </c>
      <c r="N1818" s="6" t="s">
        <v>48</v>
      </c>
      <c r="O1818" s="6" t="s">
        <v>35</v>
      </c>
      <c r="P1818" s="6">
        <f>COUNTIF(Analysis!$M$1:$M$3001,Analysis!$M1818)</f>
        <v>1</v>
      </c>
      <c r="Q1818" s="6" t="str">
        <f>IF(COUNTIF(Analysis!$M$2:$M$3001,Analysis!$M1818)&gt;1,"Duplicate","OK")</f>
        <v>OK</v>
      </c>
      <c r="R1818" s="6" t="str">
        <f t="shared" si="1"/>
        <v>1600-2600</v>
      </c>
      <c r="S1818" s="6">
        <f t="shared" si="2"/>
        <v>69</v>
      </c>
      <c r="T1818" s="6" t="str">
        <f t="shared" si="3"/>
        <v>Very Old</v>
      </c>
    </row>
    <row r="1819" ht="14.25" customHeight="1">
      <c r="A1819" s="5">
        <v>963007.0</v>
      </c>
      <c r="B1819" s="6" t="s">
        <v>7861</v>
      </c>
      <c r="C1819" s="6" t="s">
        <v>29</v>
      </c>
      <c r="D1819" s="6">
        <v>83139.0</v>
      </c>
      <c r="E1819" s="6" t="s">
        <v>30</v>
      </c>
      <c r="F1819" s="6" t="s">
        <v>94</v>
      </c>
      <c r="G1819" s="6" t="s">
        <v>31</v>
      </c>
      <c r="H1819" s="7">
        <v>1174.0</v>
      </c>
      <c r="I1819" s="7">
        <v>7019.0</v>
      </c>
      <c r="J1819" s="6">
        <v>1976.0</v>
      </c>
      <c r="K1819" s="6">
        <v>114.0</v>
      </c>
      <c r="L1819" s="6" t="s">
        <v>62</v>
      </c>
      <c r="M1819" s="6" t="s">
        <v>7862</v>
      </c>
      <c r="N1819" s="6" t="s">
        <v>24</v>
      </c>
      <c r="O1819" s="6" t="s">
        <v>35</v>
      </c>
      <c r="P1819" s="6">
        <f>COUNTIF(Analysis!$M$1:$M$3001,Analysis!$M1956)</f>
        <v>1</v>
      </c>
      <c r="Q1819" s="6" t="str">
        <f>IF(COUNTIF(Analysis!$M$2:$M$3001,Analysis!$M1956)&gt;1,"Duplicate","OK")</f>
        <v>OK</v>
      </c>
      <c r="R1819" s="6" t="str">
        <f t="shared" si="1"/>
        <v>600-1600</v>
      </c>
      <c r="S1819" s="6">
        <f t="shared" si="2"/>
        <v>50</v>
      </c>
      <c r="T1819" s="6" t="str">
        <f t="shared" si="3"/>
        <v>Old</v>
      </c>
    </row>
    <row r="1820" ht="14.25" customHeight="1">
      <c r="A1820" s="5">
        <v>1249372.0</v>
      </c>
      <c r="B1820" s="6" t="s">
        <v>7317</v>
      </c>
      <c r="C1820" s="6" t="s">
        <v>53</v>
      </c>
      <c r="D1820" s="6">
        <v>12824.0</v>
      </c>
      <c r="E1820" s="6" t="s">
        <v>19</v>
      </c>
      <c r="F1820" s="6" t="s">
        <v>20</v>
      </c>
      <c r="G1820" s="6" t="s">
        <v>55</v>
      </c>
      <c r="H1820" s="7">
        <v>2646.0</v>
      </c>
      <c r="I1820" s="7">
        <v>4065.0</v>
      </c>
      <c r="J1820" s="6">
        <v>1994.0</v>
      </c>
      <c r="K1820" s="6">
        <v>72.0</v>
      </c>
      <c r="L1820" s="6" t="s">
        <v>22</v>
      </c>
      <c r="M1820" s="6" t="s">
        <v>7318</v>
      </c>
      <c r="N1820" s="6" t="s">
        <v>43</v>
      </c>
      <c r="O1820" s="6" t="s">
        <v>35</v>
      </c>
      <c r="P1820" s="6">
        <f>COUNTIF(Analysis!$M$1:$M$3001,Analysis!$M1820)</f>
        <v>1</v>
      </c>
      <c r="Q1820" s="6" t="str">
        <f>IF(COUNTIF(Analysis!$M$2:$M$3001,Analysis!$M1820)&gt;1,"Duplicate","OK")</f>
        <v>OK</v>
      </c>
      <c r="R1820" s="6" t="str">
        <f t="shared" si="1"/>
        <v>2600-3600</v>
      </c>
      <c r="S1820" s="6">
        <f t="shared" si="2"/>
        <v>32</v>
      </c>
      <c r="T1820" s="6" t="str">
        <f t="shared" si="3"/>
        <v>Old</v>
      </c>
    </row>
    <row r="1821" ht="14.25" customHeight="1">
      <c r="A1821" s="5">
        <v>1491915.0</v>
      </c>
      <c r="B1821" s="6" t="s">
        <v>7321</v>
      </c>
      <c r="C1821" s="6" t="s">
        <v>39</v>
      </c>
      <c r="D1821" s="6">
        <v>24833.0</v>
      </c>
      <c r="E1821" s="6" t="s">
        <v>60</v>
      </c>
      <c r="F1821" s="6" t="s">
        <v>41</v>
      </c>
      <c r="G1821" s="6" t="s">
        <v>100</v>
      </c>
      <c r="H1821" s="7">
        <v>1101.0</v>
      </c>
      <c r="I1821" s="7">
        <v>2980.0</v>
      </c>
      <c r="J1821" s="6">
        <v>1990.0</v>
      </c>
      <c r="K1821" s="6">
        <v>54.0</v>
      </c>
      <c r="L1821" s="6" t="s">
        <v>95</v>
      </c>
      <c r="M1821" s="6" t="s">
        <v>7322</v>
      </c>
      <c r="N1821" s="6" t="s">
        <v>48</v>
      </c>
      <c r="O1821" s="6" t="s">
        <v>35</v>
      </c>
      <c r="P1821" s="6">
        <f>COUNTIF(Analysis!$M$1:$M$3001,Analysis!$M1821)</f>
        <v>1</v>
      </c>
      <c r="Q1821" s="6" t="str">
        <f>IF(COUNTIF(Analysis!$M$2:$M$3001,Analysis!$M1821)&gt;1,"Duplicate","OK")</f>
        <v>OK</v>
      </c>
      <c r="R1821" s="6" t="str">
        <f t="shared" si="1"/>
        <v>600-1600</v>
      </c>
      <c r="S1821" s="6">
        <f t="shared" si="2"/>
        <v>36</v>
      </c>
      <c r="T1821" s="6" t="str">
        <f t="shared" si="3"/>
        <v>Old</v>
      </c>
    </row>
    <row r="1822" ht="14.25" customHeight="1">
      <c r="A1822" s="5">
        <v>841296.0</v>
      </c>
      <c r="B1822" s="6" t="s">
        <v>7325</v>
      </c>
      <c r="C1822" s="6" t="s">
        <v>39</v>
      </c>
      <c r="D1822" s="6">
        <v>74923.0</v>
      </c>
      <c r="E1822" s="6" t="s">
        <v>19</v>
      </c>
      <c r="F1822" s="6" t="s">
        <v>41</v>
      </c>
      <c r="G1822" s="6" t="s">
        <v>100</v>
      </c>
      <c r="H1822" s="7">
        <v>1640.0</v>
      </c>
      <c r="I1822" s="7">
        <v>6607.0</v>
      </c>
      <c r="J1822" s="6">
        <v>1951.0</v>
      </c>
      <c r="K1822" s="6">
        <v>36.0</v>
      </c>
      <c r="L1822" s="6" t="s">
        <v>32</v>
      </c>
      <c r="M1822" s="6" t="s">
        <v>7326</v>
      </c>
      <c r="N1822" s="6" t="s">
        <v>34</v>
      </c>
      <c r="O1822" s="6" t="s">
        <v>35</v>
      </c>
      <c r="P1822" s="6">
        <f>COUNTIF(Analysis!$M$1:$M$3001,Analysis!$M1822)</f>
        <v>1</v>
      </c>
      <c r="Q1822" s="6" t="str">
        <f>IF(COUNTIF(Analysis!$M$2:$M$3001,Analysis!$M1822)&gt;1,"Duplicate","OK")</f>
        <v>OK</v>
      </c>
      <c r="R1822" s="6" t="str">
        <f t="shared" si="1"/>
        <v>1600-2600</v>
      </c>
      <c r="S1822" s="6">
        <f t="shared" si="2"/>
        <v>75</v>
      </c>
      <c r="T1822" s="6" t="str">
        <f t="shared" si="3"/>
        <v>Very Old</v>
      </c>
    </row>
    <row r="1823" ht="14.25" customHeight="1">
      <c r="A1823" s="5">
        <v>967316.0</v>
      </c>
      <c r="B1823" s="6" t="s">
        <v>5710</v>
      </c>
      <c r="C1823" s="6" t="s">
        <v>29</v>
      </c>
      <c r="D1823" s="6">
        <v>80142.0</v>
      </c>
      <c r="E1823" s="6" t="s">
        <v>77</v>
      </c>
      <c r="F1823" s="6" t="s">
        <v>46</v>
      </c>
      <c r="G1823" s="6" t="s">
        <v>55</v>
      </c>
      <c r="H1823" s="7">
        <v>2802.0</v>
      </c>
      <c r="I1823" s="7">
        <v>8955.0</v>
      </c>
      <c r="J1823" s="6">
        <v>2005.0</v>
      </c>
      <c r="K1823" s="6">
        <v>63.0</v>
      </c>
      <c r="L1823" s="6" t="s">
        <v>95</v>
      </c>
      <c r="M1823" s="6" t="s">
        <v>5711</v>
      </c>
      <c r="N1823" s="6" t="s">
        <v>24</v>
      </c>
      <c r="O1823" s="6" t="s">
        <v>25</v>
      </c>
      <c r="P1823" s="6">
        <f>COUNTIF(Analysis!$M$1:$M$3001,Analysis!$M1418)</f>
        <v>1</v>
      </c>
      <c r="Q1823" s="6" t="str">
        <f>IF(COUNTIF(Analysis!$M$2:$M$3001,Analysis!$M1418)&gt;1,"Duplicate","OK")</f>
        <v>OK</v>
      </c>
      <c r="R1823" s="6" t="str">
        <f t="shared" si="1"/>
        <v>2600-3600</v>
      </c>
      <c r="S1823" s="6">
        <f t="shared" si="2"/>
        <v>21</v>
      </c>
      <c r="T1823" s="6" t="str">
        <f t="shared" si="3"/>
        <v>Mid</v>
      </c>
    </row>
    <row r="1824" ht="14.25" customHeight="1">
      <c r="A1824" s="5">
        <v>968615.0</v>
      </c>
      <c r="B1824" s="6" t="s">
        <v>7981</v>
      </c>
      <c r="C1824" s="6" t="s">
        <v>29</v>
      </c>
      <c r="D1824" s="6">
        <v>60175.0</v>
      </c>
      <c r="E1824" s="6" t="s">
        <v>40</v>
      </c>
      <c r="F1824" s="6" t="s">
        <v>41</v>
      </c>
      <c r="G1824" s="6" t="s">
        <v>100</v>
      </c>
      <c r="H1824" s="7">
        <v>1516.0</v>
      </c>
      <c r="I1824" s="7">
        <v>2170.0</v>
      </c>
      <c r="J1824" s="6">
        <v>2006.0</v>
      </c>
      <c r="K1824" s="6">
        <v>81.0</v>
      </c>
      <c r="L1824" s="6" t="s">
        <v>32</v>
      </c>
      <c r="M1824" s="6" t="s">
        <v>7982</v>
      </c>
      <c r="N1824" s="6" t="s">
        <v>48</v>
      </c>
      <c r="O1824" s="6" t="s">
        <v>49</v>
      </c>
      <c r="P1824" s="6">
        <f>COUNTIF(Analysis!$M$1:$M$3001,Analysis!$M1986)</f>
        <v>1</v>
      </c>
      <c r="Q1824" s="6" t="str">
        <f>IF(COUNTIF(Analysis!$M$2:$M$3001,Analysis!$M1986)&gt;1,"Duplicate","OK")</f>
        <v>OK</v>
      </c>
      <c r="R1824" s="6" t="str">
        <f t="shared" si="1"/>
        <v>600-1600</v>
      </c>
      <c r="S1824" s="6">
        <f t="shared" si="2"/>
        <v>20</v>
      </c>
      <c r="T1824" s="6" t="str">
        <f t="shared" si="3"/>
        <v>Mid</v>
      </c>
    </row>
    <row r="1825" ht="14.25" customHeight="1">
      <c r="A1825" s="5">
        <v>908122.0</v>
      </c>
      <c r="B1825" s="6" t="s">
        <v>7337</v>
      </c>
      <c r="C1825" s="6" t="s">
        <v>76</v>
      </c>
      <c r="D1825" s="6">
        <v>98765.0</v>
      </c>
      <c r="E1825" s="6" t="s">
        <v>40</v>
      </c>
      <c r="F1825" s="6" t="s">
        <v>94</v>
      </c>
      <c r="G1825" s="6" t="s">
        <v>31</v>
      </c>
      <c r="H1825" s="7">
        <v>3122.0</v>
      </c>
      <c r="I1825" s="7">
        <v>9721.0</v>
      </c>
      <c r="J1825" s="6">
        <v>1975.0</v>
      </c>
      <c r="K1825" s="6">
        <v>79.0</v>
      </c>
      <c r="L1825" s="6" t="s">
        <v>62</v>
      </c>
      <c r="M1825" s="6" t="s">
        <v>7338</v>
      </c>
      <c r="N1825" s="6" t="s">
        <v>64</v>
      </c>
      <c r="O1825" s="6" t="s">
        <v>25</v>
      </c>
      <c r="P1825" s="6">
        <f>COUNTIF(Analysis!$M$1:$M$3001,Analysis!$M1825)</f>
        <v>1</v>
      </c>
      <c r="Q1825" s="6" t="str">
        <f>IF(COUNTIF(Analysis!$M$2:$M$3001,Analysis!$M1825)&gt;1,"Duplicate","OK")</f>
        <v>OK</v>
      </c>
      <c r="R1825" s="6" t="str">
        <f t="shared" si="1"/>
        <v>2600-3600</v>
      </c>
      <c r="S1825" s="6">
        <f t="shared" si="2"/>
        <v>51</v>
      </c>
      <c r="T1825" s="6" t="str">
        <f t="shared" si="3"/>
        <v>Old</v>
      </c>
    </row>
    <row r="1826" ht="14.25" customHeight="1">
      <c r="A1826" s="5">
        <v>127390.0</v>
      </c>
      <c r="B1826" s="6" t="s">
        <v>7341</v>
      </c>
      <c r="C1826" s="6" t="s">
        <v>76</v>
      </c>
      <c r="D1826" s="6">
        <v>13791.0</v>
      </c>
      <c r="E1826" s="6" t="s">
        <v>60</v>
      </c>
      <c r="F1826" s="6" t="s">
        <v>94</v>
      </c>
      <c r="G1826" s="6" t="s">
        <v>55</v>
      </c>
      <c r="H1826" s="7">
        <v>3213.0</v>
      </c>
      <c r="I1826" s="7">
        <v>1109.0</v>
      </c>
      <c r="J1826" s="6">
        <v>1957.0</v>
      </c>
      <c r="K1826" s="6">
        <v>89.0</v>
      </c>
      <c r="L1826" s="6" t="s">
        <v>62</v>
      </c>
      <c r="M1826" s="6" t="s">
        <v>7342</v>
      </c>
      <c r="N1826" s="6" t="s">
        <v>48</v>
      </c>
      <c r="O1826" s="6" t="s">
        <v>49</v>
      </c>
      <c r="P1826" s="6">
        <f>COUNTIF(Analysis!$M$1:$M$3001,Analysis!$M1826)</f>
        <v>1</v>
      </c>
      <c r="Q1826" s="6" t="str">
        <f>IF(COUNTIF(Analysis!$M$2:$M$3001,Analysis!$M1826)&gt;1,"Duplicate","OK")</f>
        <v>OK</v>
      </c>
      <c r="R1826" s="6" t="str">
        <f t="shared" si="1"/>
        <v>2600-3600</v>
      </c>
      <c r="S1826" s="6">
        <f t="shared" si="2"/>
        <v>69</v>
      </c>
      <c r="T1826" s="6" t="str">
        <f t="shared" si="3"/>
        <v>Very Old</v>
      </c>
    </row>
    <row r="1827" ht="14.25" customHeight="1">
      <c r="A1827" s="5">
        <v>1039105.0</v>
      </c>
      <c r="B1827" s="6" t="s">
        <v>7345</v>
      </c>
      <c r="C1827" s="6" t="s">
        <v>18</v>
      </c>
      <c r="D1827" s="6">
        <v>30020.0</v>
      </c>
      <c r="E1827" s="6" t="s">
        <v>77</v>
      </c>
      <c r="F1827" s="6" t="s">
        <v>94</v>
      </c>
      <c r="G1827" s="6" t="s">
        <v>55</v>
      </c>
      <c r="H1827" s="7">
        <v>1775.0</v>
      </c>
      <c r="I1827" s="7">
        <v>4168.0</v>
      </c>
      <c r="J1827" s="6">
        <v>1989.0</v>
      </c>
      <c r="K1827" s="6">
        <v>51.0</v>
      </c>
      <c r="L1827" s="6" t="s">
        <v>22</v>
      </c>
      <c r="M1827" s="6" t="s">
        <v>7346</v>
      </c>
      <c r="N1827" s="6" t="s">
        <v>24</v>
      </c>
      <c r="O1827" s="6" t="s">
        <v>49</v>
      </c>
      <c r="P1827" s="6">
        <f>COUNTIF(Analysis!$M$1:$M$3001,Analysis!$M1827)</f>
        <v>1</v>
      </c>
      <c r="Q1827" s="6" t="str">
        <f>IF(COUNTIF(Analysis!$M$2:$M$3001,Analysis!$M1827)&gt;1,"Duplicate","OK")</f>
        <v>OK</v>
      </c>
      <c r="R1827" s="6" t="str">
        <f t="shared" si="1"/>
        <v>1600-2600</v>
      </c>
      <c r="S1827" s="6">
        <f t="shared" si="2"/>
        <v>37</v>
      </c>
      <c r="T1827" s="6" t="str">
        <f t="shared" si="3"/>
        <v>Old</v>
      </c>
    </row>
    <row r="1828" ht="14.25" customHeight="1">
      <c r="A1828" s="5">
        <v>831403.0</v>
      </c>
      <c r="B1828" s="6" t="s">
        <v>7349</v>
      </c>
      <c r="C1828" s="6" t="s">
        <v>53</v>
      </c>
      <c r="D1828" s="6">
        <v>10580.0</v>
      </c>
      <c r="E1828" s="6" t="s">
        <v>60</v>
      </c>
      <c r="F1828" s="6" t="s">
        <v>61</v>
      </c>
      <c r="G1828" s="6" t="s">
        <v>21</v>
      </c>
      <c r="H1828" s="7">
        <v>632.0</v>
      </c>
      <c r="I1828" s="7">
        <v>7673.0</v>
      </c>
      <c r="J1828" s="6">
        <v>2010.0</v>
      </c>
      <c r="K1828" s="6">
        <v>89.0</v>
      </c>
      <c r="L1828" s="6" t="s">
        <v>32</v>
      </c>
      <c r="M1828" s="6" t="s">
        <v>7350</v>
      </c>
      <c r="N1828" s="6" t="s">
        <v>34</v>
      </c>
      <c r="O1828" s="6" t="s">
        <v>25</v>
      </c>
      <c r="P1828" s="6">
        <f>COUNTIF(Analysis!$M$1:$M$3001,Analysis!$M1828)</f>
        <v>1</v>
      </c>
      <c r="Q1828" s="6" t="str">
        <f>IF(COUNTIF(Analysis!$M$2:$M$3001,Analysis!$M1828)&gt;1,"Duplicate","OK")</f>
        <v>OK</v>
      </c>
      <c r="R1828" s="6" t="str">
        <f t="shared" si="1"/>
        <v>600-1600</v>
      </c>
      <c r="S1828" s="6">
        <f t="shared" si="2"/>
        <v>16</v>
      </c>
      <c r="T1828" s="6" t="str">
        <f t="shared" si="3"/>
        <v>Mid</v>
      </c>
    </row>
    <row r="1829" ht="14.25" customHeight="1">
      <c r="A1829" s="5">
        <v>716358.0</v>
      </c>
      <c r="B1829" s="6" t="s">
        <v>7353</v>
      </c>
      <c r="C1829" s="6" t="s">
        <v>39</v>
      </c>
      <c r="D1829" s="6">
        <v>90175.0</v>
      </c>
      <c r="E1829" s="6" t="s">
        <v>60</v>
      </c>
      <c r="F1829" s="6" t="s">
        <v>54</v>
      </c>
      <c r="G1829" s="6" t="s">
        <v>100</v>
      </c>
      <c r="H1829" s="7">
        <v>3973.0</v>
      </c>
      <c r="I1829" s="7">
        <v>3348.0</v>
      </c>
      <c r="J1829" s="6">
        <v>2018.0</v>
      </c>
      <c r="K1829" s="6">
        <v>101.0</v>
      </c>
      <c r="L1829" s="6" t="s">
        <v>62</v>
      </c>
      <c r="M1829" s="6" t="s">
        <v>7354</v>
      </c>
      <c r="N1829" s="6" t="s">
        <v>48</v>
      </c>
      <c r="O1829" s="6" t="s">
        <v>25</v>
      </c>
      <c r="P1829" s="6">
        <f>COUNTIF(Analysis!$M$1:$M$3001,Analysis!$M1829)</f>
        <v>1</v>
      </c>
      <c r="Q1829" s="6" t="str">
        <f>IF(COUNTIF(Analysis!$M$2:$M$3001,Analysis!$M1829)&gt;1,"Duplicate","OK")</f>
        <v>OK</v>
      </c>
      <c r="R1829" s="6" t="str">
        <f t="shared" si="1"/>
        <v>3600+</v>
      </c>
      <c r="S1829" s="6">
        <f t="shared" si="2"/>
        <v>8</v>
      </c>
      <c r="T1829" s="6" t="str">
        <f t="shared" si="3"/>
        <v>New</v>
      </c>
    </row>
    <row r="1830" ht="14.25" customHeight="1">
      <c r="A1830" s="5">
        <v>651627.0</v>
      </c>
      <c r="B1830" s="6" t="s">
        <v>7357</v>
      </c>
      <c r="C1830" s="6" t="s">
        <v>53</v>
      </c>
      <c r="D1830" s="6">
        <v>55660.0</v>
      </c>
      <c r="E1830" s="6" t="s">
        <v>19</v>
      </c>
      <c r="F1830" s="6" t="s">
        <v>61</v>
      </c>
      <c r="G1830" s="6" t="s">
        <v>31</v>
      </c>
      <c r="H1830" s="7">
        <v>2412.0</v>
      </c>
      <c r="I1830" s="7">
        <v>7316.0</v>
      </c>
      <c r="J1830" s="6">
        <v>1999.0</v>
      </c>
      <c r="K1830" s="6">
        <v>117.0</v>
      </c>
      <c r="L1830" s="6" t="s">
        <v>22</v>
      </c>
      <c r="M1830" s="6" t="s">
        <v>7358</v>
      </c>
      <c r="N1830" s="6" t="s">
        <v>48</v>
      </c>
      <c r="O1830" s="6" t="s">
        <v>49</v>
      </c>
      <c r="P1830" s="6">
        <f>COUNTIF(Analysis!$M$1:$M$3001,Analysis!$M1830)</f>
        <v>1</v>
      </c>
      <c r="Q1830" s="6" t="str">
        <f>IF(COUNTIF(Analysis!$M$2:$M$3001,Analysis!$M1830)&gt;1,"Duplicate","OK")</f>
        <v>OK</v>
      </c>
      <c r="R1830" s="6" t="str">
        <f t="shared" si="1"/>
        <v>1600-2600</v>
      </c>
      <c r="S1830" s="6">
        <f t="shared" si="2"/>
        <v>27</v>
      </c>
      <c r="T1830" s="6" t="str">
        <f t="shared" si="3"/>
        <v>Mid</v>
      </c>
    </row>
    <row r="1831" ht="14.25" customHeight="1">
      <c r="A1831" s="5">
        <v>981826.0</v>
      </c>
      <c r="B1831" s="6" t="s">
        <v>7361</v>
      </c>
      <c r="C1831" s="6" t="s">
        <v>18</v>
      </c>
      <c r="D1831" s="6">
        <v>80255.0</v>
      </c>
      <c r="E1831" s="6" t="s">
        <v>60</v>
      </c>
      <c r="F1831" s="6" t="s">
        <v>41</v>
      </c>
      <c r="G1831" s="6" t="s">
        <v>100</v>
      </c>
      <c r="H1831" s="7">
        <v>1004.0</v>
      </c>
      <c r="I1831" s="7">
        <v>7193.0</v>
      </c>
      <c r="J1831" s="6">
        <v>1952.0</v>
      </c>
      <c r="K1831" s="6">
        <v>66.0</v>
      </c>
      <c r="L1831" s="6" t="s">
        <v>22</v>
      </c>
      <c r="M1831" s="6" t="s">
        <v>7362</v>
      </c>
      <c r="N1831" s="6" t="s">
        <v>64</v>
      </c>
      <c r="O1831" s="6" t="s">
        <v>25</v>
      </c>
      <c r="P1831" s="6">
        <f>COUNTIF(Analysis!$M$1:$M$3001,Analysis!$M1831)</f>
        <v>1</v>
      </c>
      <c r="Q1831" s="6" t="str">
        <f>IF(COUNTIF(Analysis!$M$2:$M$3001,Analysis!$M1831)&gt;1,"Duplicate","OK")</f>
        <v>OK</v>
      </c>
      <c r="R1831" s="6" t="str">
        <f t="shared" si="1"/>
        <v>600-1600</v>
      </c>
      <c r="S1831" s="6">
        <f t="shared" si="2"/>
        <v>74</v>
      </c>
      <c r="T1831" s="6" t="str">
        <f t="shared" si="3"/>
        <v>Very Old</v>
      </c>
    </row>
    <row r="1832" ht="14.25" customHeight="1">
      <c r="A1832" s="5">
        <v>712624.0</v>
      </c>
      <c r="B1832" s="6" t="s">
        <v>7365</v>
      </c>
      <c r="C1832" s="6" t="s">
        <v>53</v>
      </c>
      <c r="D1832" s="6">
        <v>85304.0</v>
      </c>
      <c r="E1832" s="6" t="s">
        <v>40</v>
      </c>
      <c r="F1832" s="6" t="s">
        <v>61</v>
      </c>
      <c r="G1832" s="6" t="s">
        <v>55</v>
      </c>
      <c r="H1832" s="7">
        <v>812.0</v>
      </c>
      <c r="I1832" s="7">
        <v>9195.0</v>
      </c>
      <c r="J1832" s="6">
        <v>1983.0</v>
      </c>
      <c r="K1832" s="6">
        <v>103.0</v>
      </c>
      <c r="L1832" s="6" t="s">
        <v>62</v>
      </c>
      <c r="M1832" s="6" t="s">
        <v>7366</v>
      </c>
      <c r="N1832" s="6" t="s">
        <v>43</v>
      </c>
      <c r="O1832" s="6" t="s">
        <v>25</v>
      </c>
      <c r="P1832" s="6">
        <f>COUNTIF(Analysis!$M$1:$M$3001,Analysis!$M1832)</f>
        <v>1</v>
      </c>
      <c r="Q1832" s="6" t="str">
        <f>IF(COUNTIF(Analysis!$M$2:$M$3001,Analysis!$M1832)&gt;1,"Duplicate","OK")</f>
        <v>OK</v>
      </c>
      <c r="R1832" s="6" t="str">
        <f t="shared" si="1"/>
        <v>600-1600</v>
      </c>
      <c r="S1832" s="6">
        <f t="shared" si="2"/>
        <v>43</v>
      </c>
      <c r="T1832" s="6" t="str">
        <f t="shared" si="3"/>
        <v>Old</v>
      </c>
    </row>
    <row r="1833" ht="14.25" customHeight="1">
      <c r="A1833" s="5">
        <v>969325.0</v>
      </c>
      <c r="B1833" s="6" t="s">
        <v>7153</v>
      </c>
      <c r="C1833" s="6" t="s">
        <v>29</v>
      </c>
      <c r="D1833" s="6">
        <v>21246.0</v>
      </c>
      <c r="E1833" s="6" t="s">
        <v>77</v>
      </c>
      <c r="F1833" s="6" t="s">
        <v>54</v>
      </c>
      <c r="G1833" s="6" t="s">
        <v>31</v>
      </c>
      <c r="H1833" s="7">
        <v>3227.0</v>
      </c>
      <c r="I1833" s="7">
        <v>8308.0</v>
      </c>
      <c r="J1833" s="6">
        <v>1955.0</v>
      </c>
      <c r="K1833" s="6">
        <v>12.0</v>
      </c>
      <c r="L1833" s="6" t="s">
        <v>95</v>
      </c>
      <c r="M1833" s="6" t="s">
        <v>7154</v>
      </c>
      <c r="N1833" s="6" t="s">
        <v>34</v>
      </c>
      <c r="O1833" s="6" t="s">
        <v>49</v>
      </c>
      <c r="P1833" s="6">
        <f>COUNTIF(Analysis!$M$1:$M$3001,Analysis!$M1779)</f>
        <v>1</v>
      </c>
      <c r="Q1833" s="6" t="str">
        <f>IF(COUNTIF(Analysis!$M$2:$M$3001,Analysis!$M1779)&gt;1,"Duplicate","OK")</f>
        <v>OK</v>
      </c>
      <c r="R1833" s="6" t="str">
        <f t="shared" si="1"/>
        <v>2600-3600</v>
      </c>
      <c r="S1833" s="6">
        <f t="shared" si="2"/>
        <v>71</v>
      </c>
      <c r="T1833" s="6" t="str">
        <f t="shared" si="3"/>
        <v>Very Old</v>
      </c>
    </row>
    <row r="1834" ht="14.25" customHeight="1">
      <c r="A1834" s="5">
        <v>717467.0</v>
      </c>
      <c r="B1834" s="6" t="s">
        <v>7373</v>
      </c>
      <c r="C1834" s="6" t="s">
        <v>76</v>
      </c>
      <c r="D1834" s="6">
        <v>47109.0</v>
      </c>
      <c r="E1834" s="6" t="s">
        <v>77</v>
      </c>
      <c r="F1834" s="6" t="s">
        <v>54</v>
      </c>
      <c r="G1834" s="6" t="s">
        <v>21</v>
      </c>
      <c r="H1834" s="7">
        <v>3444.0</v>
      </c>
      <c r="I1834" s="7">
        <v>2183.0</v>
      </c>
      <c r="J1834" s="6">
        <v>1969.0</v>
      </c>
      <c r="K1834" s="6">
        <v>120.0</v>
      </c>
      <c r="L1834" s="6" t="s">
        <v>32</v>
      </c>
      <c r="M1834" s="6" t="s">
        <v>7374</v>
      </c>
      <c r="N1834" s="6" t="s">
        <v>43</v>
      </c>
      <c r="O1834" s="6" t="s">
        <v>25</v>
      </c>
      <c r="P1834" s="6">
        <f>COUNTIF(Analysis!$M$1:$M$3001,Analysis!$M1834)</f>
        <v>1</v>
      </c>
      <c r="Q1834" s="6" t="str">
        <f>IF(COUNTIF(Analysis!$M$2:$M$3001,Analysis!$M1834)&gt;1,"Duplicate","OK")</f>
        <v>OK</v>
      </c>
      <c r="R1834" s="6" t="str">
        <f t="shared" si="1"/>
        <v>2600-3600</v>
      </c>
      <c r="S1834" s="6">
        <f t="shared" si="2"/>
        <v>57</v>
      </c>
      <c r="T1834" s="6" t="str">
        <f t="shared" si="3"/>
        <v>Old</v>
      </c>
    </row>
    <row r="1835" ht="14.25" customHeight="1">
      <c r="A1835" s="5">
        <v>273905.0</v>
      </c>
      <c r="B1835" s="6" t="s">
        <v>7377</v>
      </c>
      <c r="C1835" s="6" t="s">
        <v>39</v>
      </c>
      <c r="D1835" s="6">
        <v>49587.0</v>
      </c>
      <c r="E1835" s="6" t="s">
        <v>60</v>
      </c>
      <c r="F1835" s="6" t="s">
        <v>54</v>
      </c>
      <c r="G1835" s="6" t="s">
        <v>100</v>
      </c>
      <c r="H1835" s="7">
        <v>1394.0</v>
      </c>
      <c r="I1835" s="7">
        <v>5162.0</v>
      </c>
      <c r="J1835" s="6">
        <v>2018.0</v>
      </c>
      <c r="K1835" s="6">
        <v>8.0</v>
      </c>
      <c r="L1835" s="6" t="s">
        <v>32</v>
      </c>
      <c r="M1835" s="6" t="s">
        <v>7378</v>
      </c>
      <c r="N1835" s="6" t="s">
        <v>48</v>
      </c>
      <c r="O1835" s="6" t="s">
        <v>25</v>
      </c>
      <c r="P1835" s="6">
        <f>COUNTIF(Analysis!$M$1:$M$3001,Analysis!$M1835)</f>
        <v>1</v>
      </c>
      <c r="Q1835" s="6" t="str">
        <f>IF(COUNTIF(Analysis!$M$2:$M$3001,Analysis!$M1835)&gt;1,"Duplicate","OK")</f>
        <v>OK</v>
      </c>
      <c r="R1835" s="6" t="str">
        <f t="shared" si="1"/>
        <v>600-1600</v>
      </c>
      <c r="S1835" s="6">
        <f t="shared" si="2"/>
        <v>8</v>
      </c>
      <c r="T1835" s="6" t="str">
        <f t="shared" si="3"/>
        <v>New</v>
      </c>
    </row>
    <row r="1836" ht="14.25" customHeight="1">
      <c r="A1836" s="5">
        <v>330016.0</v>
      </c>
      <c r="B1836" s="6" t="s">
        <v>7381</v>
      </c>
      <c r="C1836" s="6" t="s">
        <v>39</v>
      </c>
      <c r="D1836" s="6">
        <v>96526.0</v>
      </c>
      <c r="E1836" s="6" t="s">
        <v>77</v>
      </c>
      <c r="F1836" s="6" t="s">
        <v>54</v>
      </c>
      <c r="G1836" s="6" t="s">
        <v>100</v>
      </c>
      <c r="H1836" s="7">
        <v>2660.0</v>
      </c>
      <c r="I1836" s="7">
        <v>8584.0</v>
      </c>
      <c r="J1836" s="6">
        <v>1990.0</v>
      </c>
      <c r="K1836" s="6">
        <v>68.0</v>
      </c>
      <c r="L1836" s="6" t="s">
        <v>32</v>
      </c>
      <c r="M1836" s="6" t="s">
        <v>7382</v>
      </c>
      <c r="N1836" s="6" t="s">
        <v>34</v>
      </c>
      <c r="O1836" s="6" t="s">
        <v>25</v>
      </c>
      <c r="P1836" s="6">
        <f>COUNTIF(Analysis!$M$1:$M$3001,Analysis!$M1836)</f>
        <v>1</v>
      </c>
      <c r="Q1836" s="6" t="str">
        <f>IF(COUNTIF(Analysis!$M$2:$M$3001,Analysis!$M1836)&gt;1,"Duplicate","OK")</f>
        <v>OK</v>
      </c>
      <c r="R1836" s="6" t="str">
        <f t="shared" si="1"/>
        <v>2600-3600</v>
      </c>
      <c r="S1836" s="6">
        <f t="shared" si="2"/>
        <v>36</v>
      </c>
      <c r="T1836" s="6" t="str">
        <f t="shared" si="3"/>
        <v>Old</v>
      </c>
    </row>
    <row r="1837" ht="14.25" customHeight="1">
      <c r="A1837" s="5">
        <v>1020669.0</v>
      </c>
      <c r="B1837" s="6" t="s">
        <v>7385</v>
      </c>
      <c r="C1837" s="6" t="s">
        <v>18</v>
      </c>
      <c r="D1837" s="6">
        <v>38046.0</v>
      </c>
      <c r="E1837" s="6" t="s">
        <v>30</v>
      </c>
      <c r="F1837" s="6" t="s">
        <v>20</v>
      </c>
      <c r="G1837" s="6" t="s">
        <v>55</v>
      </c>
      <c r="H1837" s="7">
        <v>3057.0</v>
      </c>
      <c r="I1837" s="7">
        <v>2530.0</v>
      </c>
      <c r="J1837" s="6">
        <v>1952.0</v>
      </c>
      <c r="K1837" s="6">
        <v>78.0</v>
      </c>
      <c r="L1837" s="6" t="s">
        <v>141</v>
      </c>
      <c r="M1837" s="6" t="s">
        <v>7386</v>
      </c>
      <c r="N1837" s="6" t="s">
        <v>48</v>
      </c>
      <c r="O1837" s="6" t="s">
        <v>35</v>
      </c>
      <c r="P1837" s="6">
        <f>COUNTIF(Analysis!$M$1:$M$3001,Analysis!$M1837)</f>
        <v>1</v>
      </c>
      <c r="Q1837" s="6" t="str">
        <f>IF(COUNTIF(Analysis!$M$2:$M$3001,Analysis!$M1837)&gt;1,"Duplicate","OK")</f>
        <v>OK</v>
      </c>
      <c r="R1837" s="6" t="str">
        <f t="shared" si="1"/>
        <v>2600-3600</v>
      </c>
      <c r="S1837" s="6">
        <f t="shared" si="2"/>
        <v>74</v>
      </c>
      <c r="T1837" s="6" t="str">
        <f t="shared" si="3"/>
        <v>Very Old</v>
      </c>
    </row>
    <row r="1838" ht="14.25" customHeight="1">
      <c r="A1838" s="5">
        <v>824375.0</v>
      </c>
      <c r="B1838" s="6" t="s">
        <v>7389</v>
      </c>
      <c r="C1838" s="6" t="s">
        <v>18</v>
      </c>
      <c r="D1838" s="6">
        <v>60417.0</v>
      </c>
      <c r="E1838" s="6" t="s">
        <v>30</v>
      </c>
      <c r="F1838" s="6" t="s">
        <v>61</v>
      </c>
      <c r="G1838" s="6" t="s">
        <v>21</v>
      </c>
      <c r="H1838" s="7">
        <v>2280.0</v>
      </c>
      <c r="I1838" s="7">
        <v>4091.0</v>
      </c>
      <c r="J1838" s="6">
        <v>1979.0</v>
      </c>
      <c r="K1838" s="6">
        <v>27.0</v>
      </c>
      <c r="L1838" s="6" t="s">
        <v>22</v>
      </c>
      <c r="M1838" s="6" t="s">
        <v>7390</v>
      </c>
      <c r="N1838" s="6" t="s">
        <v>43</v>
      </c>
      <c r="O1838" s="6" t="s">
        <v>49</v>
      </c>
      <c r="P1838" s="6">
        <f>COUNTIF(Analysis!$M$1:$M$3001,Analysis!$M1838)</f>
        <v>1</v>
      </c>
      <c r="Q1838" s="6" t="str">
        <f>IF(COUNTIF(Analysis!$M$2:$M$3001,Analysis!$M1838)&gt;1,"Duplicate","OK")</f>
        <v>OK</v>
      </c>
      <c r="R1838" s="6" t="str">
        <f t="shared" si="1"/>
        <v>1600-2600</v>
      </c>
      <c r="S1838" s="6">
        <f t="shared" si="2"/>
        <v>47</v>
      </c>
      <c r="T1838" s="6" t="str">
        <f t="shared" si="3"/>
        <v>Old</v>
      </c>
    </row>
    <row r="1839" ht="14.25" customHeight="1">
      <c r="A1839" s="5">
        <v>311629.0</v>
      </c>
      <c r="B1839" s="6" t="s">
        <v>7393</v>
      </c>
      <c r="C1839" s="6" t="s">
        <v>39</v>
      </c>
      <c r="D1839" s="6">
        <v>73855.0</v>
      </c>
      <c r="E1839" s="6" t="s">
        <v>40</v>
      </c>
      <c r="F1839" s="6" t="s">
        <v>54</v>
      </c>
      <c r="G1839" s="6" t="s">
        <v>31</v>
      </c>
      <c r="H1839" s="7">
        <v>1924.0</v>
      </c>
      <c r="I1839" s="7">
        <v>5435.0</v>
      </c>
      <c r="J1839" s="6">
        <v>2021.0</v>
      </c>
      <c r="K1839" s="6">
        <v>55.0</v>
      </c>
      <c r="L1839" s="6" t="s">
        <v>32</v>
      </c>
      <c r="M1839" s="6" t="s">
        <v>7394</v>
      </c>
      <c r="N1839" s="6" t="s">
        <v>48</v>
      </c>
      <c r="O1839" s="6" t="s">
        <v>49</v>
      </c>
      <c r="P1839" s="6">
        <f>COUNTIF(Analysis!$M$1:$M$3001,Analysis!$M1839)</f>
        <v>1</v>
      </c>
      <c r="Q1839" s="6" t="str">
        <f>IF(COUNTIF(Analysis!$M$2:$M$3001,Analysis!$M1839)&gt;1,"Duplicate","OK")</f>
        <v>OK</v>
      </c>
      <c r="R1839" s="6" t="str">
        <f t="shared" si="1"/>
        <v>1600-2600</v>
      </c>
      <c r="S1839" s="6">
        <f t="shared" si="2"/>
        <v>5</v>
      </c>
      <c r="T1839" s="6" t="str">
        <f t="shared" si="3"/>
        <v>New</v>
      </c>
    </row>
    <row r="1840" ht="14.25" customHeight="1">
      <c r="A1840" s="5">
        <v>867206.0</v>
      </c>
      <c r="B1840" s="6" t="s">
        <v>7397</v>
      </c>
      <c r="C1840" s="6" t="s">
        <v>53</v>
      </c>
      <c r="D1840" s="6">
        <v>55397.0</v>
      </c>
      <c r="E1840" s="6" t="s">
        <v>40</v>
      </c>
      <c r="F1840" s="6" t="s">
        <v>61</v>
      </c>
      <c r="G1840" s="6" t="s">
        <v>55</v>
      </c>
      <c r="H1840" s="7">
        <v>2862.0</v>
      </c>
      <c r="I1840" s="7">
        <v>9384.0</v>
      </c>
      <c r="J1840" s="6">
        <v>1987.0</v>
      </c>
      <c r="K1840" s="6">
        <v>62.0</v>
      </c>
      <c r="L1840" s="6" t="s">
        <v>95</v>
      </c>
      <c r="M1840" s="6" t="s">
        <v>7398</v>
      </c>
      <c r="N1840" s="6" t="s">
        <v>64</v>
      </c>
      <c r="O1840" s="6" t="s">
        <v>35</v>
      </c>
      <c r="P1840" s="6">
        <f>COUNTIF(Analysis!$M$1:$M$3001,Analysis!$M1840)</f>
        <v>1</v>
      </c>
      <c r="Q1840" s="6" t="str">
        <f>IF(COUNTIF(Analysis!$M$2:$M$3001,Analysis!$M1840)&gt;1,"Duplicate","OK")</f>
        <v>OK</v>
      </c>
      <c r="R1840" s="6" t="str">
        <f t="shared" si="1"/>
        <v>2600-3600</v>
      </c>
      <c r="S1840" s="6">
        <f t="shared" si="2"/>
        <v>39</v>
      </c>
      <c r="T1840" s="6" t="str">
        <f t="shared" si="3"/>
        <v>Old</v>
      </c>
    </row>
    <row r="1841" ht="14.25" customHeight="1">
      <c r="A1841" s="5">
        <v>796329.0</v>
      </c>
      <c r="B1841" s="6" t="s">
        <v>7401</v>
      </c>
      <c r="C1841" s="6" t="s">
        <v>76</v>
      </c>
      <c r="D1841" s="6">
        <v>86142.0</v>
      </c>
      <c r="E1841" s="6" t="s">
        <v>40</v>
      </c>
      <c r="F1841" s="6" t="s">
        <v>54</v>
      </c>
      <c r="G1841" s="6" t="s">
        <v>100</v>
      </c>
      <c r="H1841" s="7">
        <v>1939.0</v>
      </c>
      <c r="I1841" s="7">
        <v>4173.0</v>
      </c>
      <c r="J1841" s="6">
        <v>1964.0</v>
      </c>
      <c r="K1841" s="6">
        <v>84.0</v>
      </c>
      <c r="L1841" s="6" t="s">
        <v>141</v>
      </c>
      <c r="M1841" s="6" t="s">
        <v>7402</v>
      </c>
      <c r="N1841" s="6" t="s">
        <v>43</v>
      </c>
      <c r="O1841" s="6" t="s">
        <v>49</v>
      </c>
      <c r="P1841" s="6">
        <f>COUNTIF(Analysis!$M$1:$M$3001,Analysis!$M1841)</f>
        <v>1</v>
      </c>
      <c r="Q1841" s="6" t="str">
        <f>IF(COUNTIF(Analysis!$M$2:$M$3001,Analysis!$M1841)&gt;1,"Duplicate","OK")</f>
        <v>OK</v>
      </c>
      <c r="R1841" s="6" t="str">
        <f t="shared" si="1"/>
        <v>1600-2600</v>
      </c>
      <c r="S1841" s="6">
        <f t="shared" si="2"/>
        <v>62</v>
      </c>
      <c r="T1841" s="6" t="str">
        <f t="shared" si="3"/>
        <v>Very Old</v>
      </c>
    </row>
    <row r="1842" ht="14.25" customHeight="1">
      <c r="A1842" s="5">
        <v>971258.0</v>
      </c>
      <c r="B1842" s="6" t="s">
        <v>3935</v>
      </c>
      <c r="C1842" s="6" t="s">
        <v>29</v>
      </c>
      <c r="D1842" s="6">
        <v>34761.0</v>
      </c>
      <c r="E1842" s="6" t="s">
        <v>40</v>
      </c>
      <c r="F1842" s="6" t="s">
        <v>94</v>
      </c>
      <c r="G1842" s="6" t="s">
        <v>21</v>
      </c>
      <c r="H1842" s="7">
        <v>1041.0</v>
      </c>
      <c r="I1842" s="7">
        <v>1479.0</v>
      </c>
      <c r="J1842" s="6">
        <v>2009.0</v>
      </c>
      <c r="K1842" s="6">
        <v>29.0</v>
      </c>
      <c r="L1842" s="6" t="s">
        <v>95</v>
      </c>
      <c r="M1842" s="6" t="s">
        <v>3936</v>
      </c>
      <c r="N1842" s="6" t="s">
        <v>48</v>
      </c>
      <c r="O1842" s="6" t="s">
        <v>25</v>
      </c>
      <c r="P1842" s="6">
        <f>COUNTIF(Analysis!$M$1:$M$3001,Analysis!$M974)</f>
        <v>1</v>
      </c>
      <c r="Q1842" s="6" t="str">
        <f>IF(COUNTIF(Analysis!$M$2:$M$3001,Analysis!$M974)&gt;1,"Duplicate","OK")</f>
        <v>OK</v>
      </c>
      <c r="R1842" s="6" t="str">
        <f t="shared" si="1"/>
        <v>600-1600</v>
      </c>
      <c r="S1842" s="6">
        <f t="shared" si="2"/>
        <v>17</v>
      </c>
      <c r="T1842" s="6" t="str">
        <f t="shared" si="3"/>
        <v>Mid</v>
      </c>
    </row>
    <row r="1843" ht="14.25" customHeight="1">
      <c r="A1843" s="5">
        <v>1420675.0</v>
      </c>
      <c r="B1843" s="6" t="s">
        <v>7409</v>
      </c>
      <c r="C1843" s="6" t="s">
        <v>39</v>
      </c>
      <c r="D1843" s="6">
        <v>85564.0</v>
      </c>
      <c r="E1843" s="6" t="s">
        <v>77</v>
      </c>
      <c r="F1843" s="6" t="s">
        <v>54</v>
      </c>
      <c r="G1843" s="6" t="s">
        <v>31</v>
      </c>
      <c r="H1843" s="7">
        <v>2402.0</v>
      </c>
      <c r="I1843" s="7">
        <v>3542.0</v>
      </c>
      <c r="J1843" s="6">
        <v>1971.0</v>
      </c>
      <c r="K1843" s="6">
        <v>33.0</v>
      </c>
      <c r="L1843" s="6" t="s">
        <v>141</v>
      </c>
      <c r="M1843" s="6" t="s">
        <v>7410</v>
      </c>
      <c r="N1843" s="6" t="s">
        <v>43</v>
      </c>
      <c r="O1843" s="6" t="s">
        <v>49</v>
      </c>
      <c r="P1843" s="6">
        <f>COUNTIF(Analysis!$M$1:$M$3001,Analysis!$M1843)</f>
        <v>1</v>
      </c>
      <c r="Q1843" s="6" t="str">
        <f>IF(COUNTIF(Analysis!$M$2:$M$3001,Analysis!$M1843)&gt;1,"Duplicate","OK")</f>
        <v>OK</v>
      </c>
      <c r="R1843" s="6" t="str">
        <f t="shared" si="1"/>
        <v>1600-2600</v>
      </c>
      <c r="S1843" s="6">
        <f t="shared" si="2"/>
        <v>55</v>
      </c>
      <c r="T1843" s="6" t="str">
        <f t="shared" si="3"/>
        <v>Old</v>
      </c>
    </row>
    <row r="1844" ht="14.25" customHeight="1">
      <c r="A1844" s="5">
        <v>617620.0</v>
      </c>
      <c r="B1844" s="6" t="s">
        <v>7413</v>
      </c>
      <c r="C1844" s="6" t="s">
        <v>76</v>
      </c>
      <c r="D1844" s="6">
        <v>79196.0</v>
      </c>
      <c r="E1844" s="6" t="s">
        <v>40</v>
      </c>
      <c r="F1844" s="6" t="s">
        <v>54</v>
      </c>
      <c r="G1844" s="6" t="s">
        <v>100</v>
      </c>
      <c r="H1844" s="7">
        <v>2906.0</v>
      </c>
      <c r="I1844" s="7">
        <v>3840.0</v>
      </c>
      <c r="J1844" s="6">
        <v>2021.0</v>
      </c>
      <c r="K1844" s="6">
        <v>112.0</v>
      </c>
      <c r="L1844" s="6" t="s">
        <v>62</v>
      </c>
      <c r="M1844" s="6" t="s">
        <v>7414</v>
      </c>
      <c r="N1844" s="6" t="s">
        <v>24</v>
      </c>
      <c r="O1844" s="6" t="s">
        <v>35</v>
      </c>
      <c r="P1844" s="6">
        <f>COUNTIF(Analysis!$M$1:$M$3001,Analysis!$M1844)</f>
        <v>1</v>
      </c>
      <c r="Q1844" s="6" t="str">
        <f>IF(COUNTIF(Analysis!$M$2:$M$3001,Analysis!$M1844)&gt;1,"Duplicate","OK")</f>
        <v>OK</v>
      </c>
      <c r="R1844" s="6" t="str">
        <f t="shared" si="1"/>
        <v>2600-3600</v>
      </c>
      <c r="S1844" s="6">
        <f t="shared" si="2"/>
        <v>5</v>
      </c>
      <c r="T1844" s="6" t="str">
        <f t="shared" si="3"/>
        <v>New</v>
      </c>
    </row>
    <row r="1845" ht="14.25" customHeight="1">
      <c r="A1845" s="5">
        <v>971991.0</v>
      </c>
      <c r="B1845" s="6" t="s">
        <v>9815</v>
      </c>
      <c r="C1845" s="6" t="s">
        <v>29</v>
      </c>
      <c r="D1845" s="6">
        <v>48748.0</v>
      </c>
      <c r="E1845" s="6" t="s">
        <v>40</v>
      </c>
      <c r="F1845" s="6" t="s">
        <v>94</v>
      </c>
      <c r="G1845" s="6" t="s">
        <v>21</v>
      </c>
      <c r="H1845" s="7">
        <v>2502.0</v>
      </c>
      <c r="I1845" s="7">
        <v>1715.0</v>
      </c>
      <c r="J1845" s="6">
        <v>1998.0</v>
      </c>
      <c r="K1845" s="6">
        <v>10.0</v>
      </c>
      <c r="L1845" s="6" t="s">
        <v>141</v>
      </c>
      <c r="M1845" s="6" t="s">
        <v>9816</v>
      </c>
      <c r="N1845" s="6" t="s">
        <v>48</v>
      </c>
      <c r="O1845" s="6" t="s">
        <v>35</v>
      </c>
      <c r="P1845" s="6">
        <f>COUNTIF(Analysis!$M$1:$M$3001,Analysis!$M2445)</f>
        <v>1</v>
      </c>
      <c r="Q1845" s="6" t="str">
        <f>IF(COUNTIF(Analysis!$M$2:$M$3001,Analysis!$M2445)&gt;1,"Duplicate","OK")</f>
        <v>OK</v>
      </c>
      <c r="R1845" s="6" t="str">
        <f t="shared" si="1"/>
        <v>1600-2600</v>
      </c>
      <c r="S1845" s="6">
        <f t="shared" si="2"/>
        <v>28</v>
      </c>
      <c r="T1845" s="6" t="str">
        <f t="shared" si="3"/>
        <v>Mid</v>
      </c>
    </row>
    <row r="1846" ht="14.25" customHeight="1">
      <c r="A1846" s="5">
        <v>1470699.0</v>
      </c>
      <c r="B1846" s="6" t="s">
        <v>7421</v>
      </c>
      <c r="C1846" s="6" t="s">
        <v>18</v>
      </c>
      <c r="D1846" s="6">
        <v>29047.0</v>
      </c>
      <c r="E1846" s="6" t="s">
        <v>19</v>
      </c>
      <c r="F1846" s="6" t="s">
        <v>46</v>
      </c>
      <c r="G1846" s="6" t="s">
        <v>100</v>
      </c>
      <c r="H1846" s="7">
        <v>2266.0</v>
      </c>
      <c r="I1846" s="7">
        <v>6534.0</v>
      </c>
      <c r="J1846" s="6">
        <v>2011.0</v>
      </c>
      <c r="K1846" s="6">
        <v>95.0</v>
      </c>
      <c r="L1846" s="6" t="s">
        <v>62</v>
      </c>
      <c r="M1846" s="6" t="s">
        <v>7422</v>
      </c>
      <c r="N1846" s="6" t="s">
        <v>48</v>
      </c>
      <c r="O1846" s="6" t="s">
        <v>35</v>
      </c>
      <c r="P1846" s="6">
        <f>COUNTIF(Analysis!$M$1:$M$3001,Analysis!$M1846)</f>
        <v>1</v>
      </c>
      <c r="Q1846" s="6" t="str">
        <f>IF(COUNTIF(Analysis!$M$2:$M$3001,Analysis!$M1846)&gt;1,"Duplicate","OK")</f>
        <v>OK</v>
      </c>
      <c r="R1846" s="6" t="str">
        <f t="shared" si="1"/>
        <v>1600-2600</v>
      </c>
      <c r="S1846" s="6">
        <f t="shared" si="2"/>
        <v>15</v>
      </c>
      <c r="T1846" s="6" t="str">
        <f t="shared" si="3"/>
        <v>Mid</v>
      </c>
    </row>
    <row r="1847" ht="14.25" customHeight="1">
      <c r="A1847" s="5">
        <v>1254861.0</v>
      </c>
      <c r="B1847" s="6" t="s">
        <v>7425</v>
      </c>
      <c r="C1847" s="6" t="s">
        <v>76</v>
      </c>
      <c r="D1847" s="6">
        <v>52094.0</v>
      </c>
      <c r="E1847" s="6" t="s">
        <v>19</v>
      </c>
      <c r="F1847" s="6" t="s">
        <v>54</v>
      </c>
      <c r="G1847" s="6" t="s">
        <v>55</v>
      </c>
      <c r="H1847" s="7">
        <v>1929.0</v>
      </c>
      <c r="I1847" s="7">
        <v>5887.0</v>
      </c>
      <c r="J1847" s="6">
        <v>1977.0</v>
      </c>
      <c r="K1847" s="6">
        <v>12.0</v>
      </c>
      <c r="L1847" s="6" t="s">
        <v>62</v>
      </c>
      <c r="M1847" s="6" t="s">
        <v>7426</v>
      </c>
      <c r="N1847" s="6" t="s">
        <v>48</v>
      </c>
      <c r="O1847" s="6" t="s">
        <v>35</v>
      </c>
      <c r="P1847" s="6">
        <f>COUNTIF(Analysis!$M$1:$M$3001,Analysis!$M1847)</f>
        <v>1</v>
      </c>
      <c r="Q1847" s="6" t="str">
        <f>IF(COUNTIF(Analysis!$M$2:$M$3001,Analysis!$M1847)&gt;1,"Duplicate","OK")</f>
        <v>OK</v>
      </c>
      <c r="R1847" s="6" t="str">
        <f t="shared" si="1"/>
        <v>1600-2600</v>
      </c>
      <c r="S1847" s="6">
        <f t="shared" si="2"/>
        <v>49</v>
      </c>
      <c r="T1847" s="6" t="str">
        <f t="shared" si="3"/>
        <v>Old</v>
      </c>
    </row>
    <row r="1848" ht="14.25" customHeight="1">
      <c r="A1848" s="5">
        <v>199191.0</v>
      </c>
      <c r="B1848" s="6" t="s">
        <v>7429</v>
      </c>
      <c r="C1848" s="6" t="s">
        <v>76</v>
      </c>
      <c r="D1848" s="6">
        <v>68735.0</v>
      </c>
      <c r="E1848" s="6" t="s">
        <v>30</v>
      </c>
      <c r="F1848" s="6" t="s">
        <v>94</v>
      </c>
      <c r="G1848" s="6" t="s">
        <v>55</v>
      </c>
      <c r="H1848" s="7">
        <v>682.0</v>
      </c>
      <c r="I1848" s="7">
        <v>9103.0</v>
      </c>
      <c r="J1848" s="6">
        <v>1990.0</v>
      </c>
      <c r="K1848" s="6">
        <v>85.0</v>
      </c>
      <c r="L1848" s="6" t="s">
        <v>22</v>
      </c>
      <c r="M1848" s="6" t="s">
        <v>7430</v>
      </c>
      <c r="N1848" s="6" t="s">
        <v>24</v>
      </c>
      <c r="O1848" s="6" t="s">
        <v>35</v>
      </c>
      <c r="P1848" s="6">
        <f>COUNTIF(Analysis!$M$1:$M$3001,Analysis!$M1848)</f>
        <v>1</v>
      </c>
      <c r="Q1848" s="6" t="str">
        <f>IF(COUNTIF(Analysis!$M$2:$M$3001,Analysis!$M1848)&gt;1,"Duplicate","OK")</f>
        <v>OK</v>
      </c>
      <c r="R1848" s="6" t="str">
        <f t="shared" si="1"/>
        <v>600-1600</v>
      </c>
      <c r="S1848" s="6">
        <f t="shared" si="2"/>
        <v>36</v>
      </c>
      <c r="T1848" s="6" t="str">
        <f t="shared" si="3"/>
        <v>Old</v>
      </c>
    </row>
    <row r="1849" ht="14.25" customHeight="1">
      <c r="A1849" s="5">
        <v>973256.0</v>
      </c>
      <c r="B1849" s="6" t="s">
        <v>1389</v>
      </c>
      <c r="C1849" s="6" t="s">
        <v>29</v>
      </c>
      <c r="D1849" s="6">
        <v>42380.0</v>
      </c>
      <c r="E1849" s="6" t="s">
        <v>77</v>
      </c>
      <c r="F1849" s="6" t="s">
        <v>20</v>
      </c>
      <c r="G1849" s="6" t="s">
        <v>100</v>
      </c>
      <c r="H1849" s="7">
        <v>1393.0</v>
      </c>
      <c r="I1849" s="7">
        <v>7622.0</v>
      </c>
      <c r="J1849" s="6">
        <v>1982.0</v>
      </c>
      <c r="K1849" s="6">
        <v>89.0</v>
      </c>
      <c r="L1849" s="6" t="s">
        <v>95</v>
      </c>
      <c r="M1849" s="6" t="s">
        <v>1390</v>
      </c>
      <c r="N1849" s="6" t="s">
        <v>43</v>
      </c>
      <c r="O1849" s="6" t="s">
        <v>25</v>
      </c>
      <c r="P1849" s="6">
        <f>COUNTIF(Analysis!$M$1:$M$3001,Analysis!$M337)</f>
        <v>1</v>
      </c>
      <c r="Q1849" s="6" t="str">
        <f>IF(COUNTIF(Analysis!$M$2:$M$3001,Analysis!$M337)&gt;1,"Duplicate","OK")</f>
        <v>OK</v>
      </c>
      <c r="R1849" s="6" t="str">
        <f t="shared" si="1"/>
        <v>600-1600</v>
      </c>
      <c r="S1849" s="6">
        <f t="shared" si="2"/>
        <v>44</v>
      </c>
      <c r="T1849" s="6" t="str">
        <f t="shared" si="3"/>
        <v>Old</v>
      </c>
    </row>
    <row r="1850" ht="14.25" customHeight="1">
      <c r="A1850" s="5">
        <v>1022640.0</v>
      </c>
      <c r="B1850" s="6" t="s">
        <v>7437</v>
      </c>
      <c r="C1850" s="6" t="s">
        <v>53</v>
      </c>
      <c r="D1850" s="6">
        <v>16519.0</v>
      </c>
      <c r="E1850" s="6" t="s">
        <v>30</v>
      </c>
      <c r="F1850" s="6" t="s">
        <v>94</v>
      </c>
      <c r="G1850" s="6" t="s">
        <v>31</v>
      </c>
      <c r="H1850" s="7">
        <v>3109.0</v>
      </c>
      <c r="I1850" s="7">
        <v>5757.0</v>
      </c>
      <c r="J1850" s="6">
        <v>1985.0</v>
      </c>
      <c r="K1850" s="6">
        <v>46.0</v>
      </c>
      <c r="L1850" s="6" t="s">
        <v>62</v>
      </c>
      <c r="M1850" s="6" t="s">
        <v>7438</v>
      </c>
      <c r="N1850" s="6" t="s">
        <v>48</v>
      </c>
      <c r="O1850" s="6" t="s">
        <v>49</v>
      </c>
      <c r="P1850" s="6">
        <f>COUNTIF(Analysis!$M$1:$M$3001,Analysis!$M1850)</f>
        <v>1</v>
      </c>
      <c r="Q1850" s="6" t="str">
        <f>IF(COUNTIF(Analysis!$M$2:$M$3001,Analysis!$M1850)&gt;1,"Duplicate","OK")</f>
        <v>OK</v>
      </c>
      <c r="R1850" s="6" t="str">
        <f t="shared" si="1"/>
        <v>2600-3600</v>
      </c>
      <c r="S1850" s="6">
        <f t="shared" si="2"/>
        <v>41</v>
      </c>
      <c r="T1850" s="6" t="str">
        <f t="shared" si="3"/>
        <v>Old</v>
      </c>
    </row>
    <row r="1851" ht="14.25" customHeight="1">
      <c r="A1851" s="5">
        <v>271192.0</v>
      </c>
      <c r="B1851" s="6" t="s">
        <v>7441</v>
      </c>
      <c r="C1851" s="6" t="s">
        <v>76</v>
      </c>
      <c r="D1851" s="6">
        <v>91208.0</v>
      </c>
      <c r="E1851" s="6" t="s">
        <v>77</v>
      </c>
      <c r="F1851" s="6" t="s">
        <v>46</v>
      </c>
      <c r="G1851" s="6" t="s">
        <v>100</v>
      </c>
      <c r="H1851" s="7">
        <v>3869.0</v>
      </c>
      <c r="I1851" s="7">
        <v>8315.0</v>
      </c>
      <c r="J1851" s="6">
        <v>2012.0</v>
      </c>
      <c r="K1851" s="6">
        <v>67.0</v>
      </c>
      <c r="L1851" s="6" t="s">
        <v>141</v>
      </c>
      <c r="M1851" s="6" t="s">
        <v>7442</v>
      </c>
      <c r="N1851" s="6" t="s">
        <v>48</v>
      </c>
      <c r="O1851" s="6" t="s">
        <v>25</v>
      </c>
      <c r="P1851" s="6">
        <f>COUNTIF(Analysis!$M$1:$M$3001,Analysis!$M1851)</f>
        <v>1</v>
      </c>
      <c r="Q1851" s="6" t="str">
        <f>IF(COUNTIF(Analysis!$M$2:$M$3001,Analysis!$M1851)&gt;1,"Duplicate","OK")</f>
        <v>OK</v>
      </c>
      <c r="R1851" s="6" t="str">
        <f t="shared" si="1"/>
        <v>3600+</v>
      </c>
      <c r="S1851" s="6">
        <f t="shared" si="2"/>
        <v>14</v>
      </c>
      <c r="T1851" s="6" t="str">
        <f t="shared" si="3"/>
        <v>Mid</v>
      </c>
    </row>
    <row r="1852" ht="14.25" customHeight="1">
      <c r="A1852" s="5">
        <v>976078.0</v>
      </c>
      <c r="B1852" s="6" t="s">
        <v>2723</v>
      </c>
      <c r="C1852" s="6" t="s">
        <v>29</v>
      </c>
      <c r="D1852" s="6">
        <v>47098.0</v>
      </c>
      <c r="E1852" s="6" t="s">
        <v>30</v>
      </c>
      <c r="F1852" s="6" t="s">
        <v>46</v>
      </c>
      <c r="G1852" s="6" t="s">
        <v>21</v>
      </c>
      <c r="H1852" s="7">
        <v>605.0</v>
      </c>
      <c r="I1852" s="7">
        <v>3398.0</v>
      </c>
      <c r="J1852" s="6">
        <v>1950.0</v>
      </c>
      <c r="K1852" s="6">
        <v>49.0</v>
      </c>
      <c r="L1852" s="6" t="s">
        <v>32</v>
      </c>
      <c r="M1852" s="6" t="s">
        <v>2724</v>
      </c>
      <c r="N1852" s="6" t="s">
        <v>64</v>
      </c>
      <c r="O1852" s="6" t="s">
        <v>25</v>
      </c>
      <c r="P1852" s="6">
        <f>COUNTIF(Analysis!$M$1:$M$3001,Analysis!$M671)</f>
        <v>1</v>
      </c>
      <c r="Q1852" s="6" t="str">
        <f>IF(COUNTIF(Analysis!$M$2:$M$3001,Analysis!$M671)&gt;1,"Duplicate","OK")</f>
        <v>OK</v>
      </c>
      <c r="R1852" s="6" t="str">
        <f t="shared" si="1"/>
        <v>600-1600</v>
      </c>
      <c r="S1852" s="6">
        <f t="shared" si="2"/>
        <v>76</v>
      </c>
      <c r="T1852" s="6" t="str">
        <f t="shared" si="3"/>
        <v>Very Old</v>
      </c>
    </row>
    <row r="1853" ht="14.25" customHeight="1">
      <c r="A1853" s="5">
        <v>732123.0</v>
      </c>
      <c r="B1853" s="6" t="s">
        <v>7449</v>
      </c>
      <c r="C1853" s="6" t="s">
        <v>76</v>
      </c>
      <c r="D1853" s="6">
        <v>13564.0</v>
      </c>
      <c r="E1853" s="6" t="s">
        <v>77</v>
      </c>
      <c r="F1853" s="6" t="s">
        <v>61</v>
      </c>
      <c r="G1853" s="6" t="s">
        <v>55</v>
      </c>
      <c r="H1853" s="7">
        <v>1657.0</v>
      </c>
      <c r="I1853" s="7">
        <v>5304.0</v>
      </c>
      <c r="J1853" s="6">
        <v>1998.0</v>
      </c>
      <c r="K1853" s="6">
        <v>27.0</v>
      </c>
      <c r="L1853" s="6" t="s">
        <v>95</v>
      </c>
      <c r="M1853" s="6" t="s">
        <v>7450</v>
      </c>
      <c r="N1853" s="6" t="s">
        <v>48</v>
      </c>
      <c r="O1853" s="6" t="s">
        <v>35</v>
      </c>
      <c r="P1853" s="6">
        <f>COUNTIF(Analysis!$M$1:$M$3001,Analysis!$M1853)</f>
        <v>1</v>
      </c>
      <c r="Q1853" s="6" t="str">
        <f>IF(COUNTIF(Analysis!$M$2:$M$3001,Analysis!$M1853)&gt;1,"Duplicate","OK")</f>
        <v>OK</v>
      </c>
      <c r="R1853" s="6" t="str">
        <f t="shared" si="1"/>
        <v>1600-2600</v>
      </c>
      <c r="S1853" s="6">
        <f t="shared" si="2"/>
        <v>28</v>
      </c>
      <c r="T1853" s="6" t="str">
        <f t="shared" si="3"/>
        <v>Mid</v>
      </c>
    </row>
    <row r="1854" ht="14.25" customHeight="1">
      <c r="A1854" s="5">
        <v>885498.0</v>
      </c>
      <c r="B1854" s="6" t="s">
        <v>7453</v>
      </c>
      <c r="C1854" s="6" t="s">
        <v>53</v>
      </c>
      <c r="D1854" s="6">
        <v>77472.0</v>
      </c>
      <c r="E1854" s="6" t="s">
        <v>77</v>
      </c>
      <c r="F1854" s="6" t="s">
        <v>41</v>
      </c>
      <c r="G1854" s="6" t="s">
        <v>31</v>
      </c>
      <c r="H1854" s="7">
        <v>2755.0</v>
      </c>
      <c r="I1854" s="7">
        <v>4268.0</v>
      </c>
      <c r="J1854" s="6">
        <v>2013.0</v>
      </c>
      <c r="K1854" s="6">
        <v>110.0</v>
      </c>
      <c r="L1854" s="6" t="s">
        <v>62</v>
      </c>
      <c r="M1854" s="6" t="s">
        <v>7454</v>
      </c>
      <c r="N1854" s="6" t="s">
        <v>64</v>
      </c>
      <c r="O1854" s="6" t="s">
        <v>35</v>
      </c>
      <c r="P1854" s="6">
        <f>COUNTIF(Analysis!$M$1:$M$3001,Analysis!$M1854)</f>
        <v>1</v>
      </c>
      <c r="Q1854" s="6" t="str">
        <f>IF(COUNTIF(Analysis!$M$2:$M$3001,Analysis!$M1854)&gt;1,"Duplicate","OK")</f>
        <v>OK</v>
      </c>
      <c r="R1854" s="6" t="str">
        <f t="shared" si="1"/>
        <v>2600-3600</v>
      </c>
      <c r="S1854" s="6">
        <f t="shared" si="2"/>
        <v>13</v>
      </c>
      <c r="T1854" s="6" t="str">
        <f t="shared" si="3"/>
        <v>Mid</v>
      </c>
    </row>
    <row r="1855" ht="14.25" customHeight="1">
      <c r="A1855" s="5">
        <v>778574.0</v>
      </c>
      <c r="B1855" s="6" t="s">
        <v>7457</v>
      </c>
      <c r="C1855" s="6" t="s">
        <v>39</v>
      </c>
      <c r="D1855" s="6">
        <v>94078.0</v>
      </c>
      <c r="E1855" s="6" t="s">
        <v>60</v>
      </c>
      <c r="F1855" s="6" t="s">
        <v>20</v>
      </c>
      <c r="G1855" s="6" t="s">
        <v>31</v>
      </c>
      <c r="H1855" s="7">
        <v>2113.0</v>
      </c>
      <c r="I1855" s="7">
        <v>9966.0</v>
      </c>
      <c r="J1855" s="6">
        <v>1988.0</v>
      </c>
      <c r="K1855" s="6">
        <v>2.0</v>
      </c>
      <c r="L1855" s="6" t="s">
        <v>62</v>
      </c>
      <c r="M1855" s="6" t="s">
        <v>7458</v>
      </c>
      <c r="N1855" s="6" t="s">
        <v>24</v>
      </c>
      <c r="O1855" s="6" t="s">
        <v>25</v>
      </c>
      <c r="P1855" s="6">
        <f>COUNTIF(Analysis!$M$1:$M$3001,Analysis!$M1855)</f>
        <v>1</v>
      </c>
      <c r="Q1855" s="6" t="str">
        <f>IF(COUNTIF(Analysis!$M$2:$M$3001,Analysis!$M1855)&gt;1,"Duplicate","OK")</f>
        <v>OK</v>
      </c>
      <c r="R1855" s="6" t="str">
        <f t="shared" si="1"/>
        <v>1600-2600</v>
      </c>
      <c r="S1855" s="6">
        <f t="shared" si="2"/>
        <v>38</v>
      </c>
      <c r="T1855" s="6" t="str">
        <f t="shared" si="3"/>
        <v>Old</v>
      </c>
    </row>
    <row r="1856" ht="14.25" customHeight="1">
      <c r="A1856" s="5">
        <v>1491852.0</v>
      </c>
      <c r="B1856" s="6" t="s">
        <v>7461</v>
      </c>
      <c r="C1856" s="6" t="s">
        <v>18</v>
      </c>
      <c r="D1856" s="6">
        <v>49251.0</v>
      </c>
      <c r="E1856" s="6" t="s">
        <v>30</v>
      </c>
      <c r="F1856" s="6" t="s">
        <v>41</v>
      </c>
      <c r="G1856" s="6" t="s">
        <v>55</v>
      </c>
      <c r="H1856" s="7">
        <v>3182.0</v>
      </c>
      <c r="I1856" s="7">
        <v>4947.0</v>
      </c>
      <c r="J1856" s="6">
        <v>1969.0</v>
      </c>
      <c r="K1856" s="6">
        <v>36.0</v>
      </c>
      <c r="L1856" s="6" t="s">
        <v>22</v>
      </c>
      <c r="M1856" s="6" t="s">
        <v>7462</v>
      </c>
      <c r="N1856" s="6" t="s">
        <v>48</v>
      </c>
      <c r="O1856" s="6" t="s">
        <v>25</v>
      </c>
      <c r="P1856" s="6">
        <f>COUNTIF(Analysis!$M$1:$M$3001,Analysis!$M1856)</f>
        <v>1</v>
      </c>
      <c r="Q1856" s="6" t="str">
        <f>IF(COUNTIF(Analysis!$M$2:$M$3001,Analysis!$M1856)&gt;1,"Duplicate","OK")</f>
        <v>OK</v>
      </c>
      <c r="R1856" s="6" t="str">
        <f t="shared" si="1"/>
        <v>2600-3600</v>
      </c>
      <c r="S1856" s="6">
        <f t="shared" si="2"/>
        <v>57</v>
      </c>
      <c r="T1856" s="6" t="str">
        <f t="shared" si="3"/>
        <v>Old</v>
      </c>
    </row>
    <row r="1857" ht="14.25" customHeight="1">
      <c r="A1857" s="5">
        <v>976667.0</v>
      </c>
      <c r="B1857" s="6" t="s">
        <v>6074</v>
      </c>
      <c r="C1857" s="6" t="s">
        <v>29</v>
      </c>
      <c r="D1857" s="6">
        <v>13967.0</v>
      </c>
      <c r="E1857" s="6" t="s">
        <v>40</v>
      </c>
      <c r="F1857" s="6" t="s">
        <v>46</v>
      </c>
      <c r="G1857" s="6" t="s">
        <v>21</v>
      </c>
      <c r="H1857" s="7">
        <v>2172.0</v>
      </c>
      <c r="I1857" s="7">
        <v>7021.0</v>
      </c>
      <c r="J1857" s="6">
        <v>1966.0</v>
      </c>
      <c r="K1857" s="6">
        <v>104.0</v>
      </c>
      <c r="L1857" s="6" t="s">
        <v>22</v>
      </c>
      <c r="M1857" s="6" t="s">
        <v>6075</v>
      </c>
      <c r="N1857" s="6" t="s">
        <v>43</v>
      </c>
      <c r="O1857" s="6" t="s">
        <v>25</v>
      </c>
      <c r="P1857" s="6">
        <f>COUNTIF(Analysis!$M$1:$M$3001,Analysis!$M1509)</f>
        <v>1</v>
      </c>
      <c r="Q1857" s="6" t="str">
        <f>IF(COUNTIF(Analysis!$M$2:$M$3001,Analysis!$M1509)&gt;1,"Duplicate","OK")</f>
        <v>OK</v>
      </c>
      <c r="R1857" s="6" t="str">
        <f t="shared" si="1"/>
        <v>1600-2600</v>
      </c>
      <c r="S1857" s="6">
        <f t="shared" si="2"/>
        <v>60</v>
      </c>
      <c r="T1857" s="6" t="str">
        <f t="shared" si="3"/>
        <v>Old</v>
      </c>
    </row>
    <row r="1858" ht="14.25" customHeight="1">
      <c r="A1858" s="5">
        <v>1157118.0</v>
      </c>
      <c r="B1858" s="6" t="s">
        <v>7469</v>
      </c>
      <c r="C1858" s="6" t="s">
        <v>18</v>
      </c>
      <c r="D1858" s="6">
        <v>82020.0</v>
      </c>
      <c r="E1858" s="6" t="s">
        <v>19</v>
      </c>
      <c r="F1858" s="6" t="s">
        <v>54</v>
      </c>
      <c r="G1858" s="6" t="s">
        <v>21</v>
      </c>
      <c r="H1858" s="7">
        <v>2900.0</v>
      </c>
      <c r="I1858" s="7">
        <v>2311.0</v>
      </c>
      <c r="J1858" s="6">
        <v>2016.0</v>
      </c>
      <c r="K1858" s="6">
        <v>112.0</v>
      </c>
      <c r="L1858" s="6" t="s">
        <v>22</v>
      </c>
      <c r="M1858" s="6" t="s">
        <v>7470</v>
      </c>
      <c r="N1858" s="6" t="s">
        <v>24</v>
      </c>
      <c r="O1858" s="6" t="s">
        <v>25</v>
      </c>
      <c r="P1858" s="6">
        <f>COUNTIF(Analysis!$M$1:$M$3001,Analysis!$M1858)</f>
        <v>1</v>
      </c>
      <c r="Q1858" s="6" t="str">
        <f>IF(COUNTIF(Analysis!$M$2:$M$3001,Analysis!$M1858)&gt;1,"Duplicate","OK")</f>
        <v>OK</v>
      </c>
      <c r="R1858" s="6" t="str">
        <f t="shared" si="1"/>
        <v>2600-3600</v>
      </c>
      <c r="S1858" s="6">
        <f t="shared" si="2"/>
        <v>10</v>
      </c>
      <c r="T1858" s="6" t="str">
        <f t="shared" si="3"/>
        <v>New</v>
      </c>
    </row>
    <row r="1859" ht="14.25" customHeight="1">
      <c r="A1859" s="5">
        <v>977721.0</v>
      </c>
      <c r="B1859" s="6" t="s">
        <v>7233</v>
      </c>
      <c r="C1859" s="6" t="s">
        <v>29</v>
      </c>
      <c r="D1859" s="6">
        <v>47215.0</v>
      </c>
      <c r="E1859" s="6" t="s">
        <v>77</v>
      </c>
      <c r="F1859" s="6" t="s">
        <v>94</v>
      </c>
      <c r="G1859" s="6" t="s">
        <v>100</v>
      </c>
      <c r="H1859" s="7">
        <v>2991.0</v>
      </c>
      <c r="I1859" s="7">
        <v>8023.0</v>
      </c>
      <c r="J1859" s="6">
        <v>1984.0</v>
      </c>
      <c r="K1859" s="6">
        <v>31.0</v>
      </c>
      <c r="L1859" s="6" t="s">
        <v>32</v>
      </c>
      <c r="M1859" s="6" t="s">
        <v>7234</v>
      </c>
      <c r="N1859" s="6" t="s">
        <v>48</v>
      </c>
      <c r="O1859" s="6" t="s">
        <v>49</v>
      </c>
      <c r="P1859" s="6">
        <f>COUNTIF(Analysis!$M$1:$M$3001,Analysis!$M1799)</f>
        <v>1</v>
      </c>
      <c r="Q1859" s="6" t="str">
        <f>IF(COUNTIF(Analysis!$M$2:$M$3001,Analysis!$M1799)&gt;1,"Duplicate","OK")</f>
        <v>OK</v>
      </c>
      <c r="R1859" s="6" t="str">
        <f t="shared" si="1"/>
        <v>2600-3600</v>
      </c>
      <c r="S1859" s="6">
        <f t="shared" si="2"/>
        <v>42</v>
      </c>
      <c r="T1859" s="6" t="str">
        <f t="shared" si="3"/>
        <v>Old</v>
      </c>
    </row>
    <row r="1860" ht="14.25" customHeight="1">
      <c r="A1860" s="5">
        <v>978002.0</v>
      </c>
      <c r="B1860" s="6" t="s">
        <v>689</v>
      </c>
      <c r="C1860" s="6" t="s">
        <v>29</v>
      </c>
      <c r="D1860" s="6">
        <v>15623.0</v>
      </c>
      <c r="E1860" s="6" t="s">
        <v>19</v>
      </c>
      <c r="F1860" s="6" t="s">
        <v>54</v>
      </c>
      <c r="G1860" s="6" t="s">
        <v>21</v>
      </c>
      <c r="H1860" s="7">
        <v>2310.0</v>
      </c>
      <c r="I1860" s="7">
        <v>2680.0</v>
      </c>
      <c r="J1860" s="6">
        <v>1968.0</v>
      </c>
      <c r="K1860" s="6">
        <v>108.0</v>
      </c>
      <c r="L1860" s="6" t="s">
        <v>32</v>
      </c>
      <c r="M1860" s="6" t="s">
        <v>690</v>
      </c>
      <c r="N1860" s="6" t="s">
        <v>24</v>
      </c>
      <c r="O1860" s="6" t="s">
        <v>35</v>
      </c>
      <c r="P1860" s="6">
        <f>COUNTIF(Analysis!$M$1:$M$3001,Analysis!$M162)</f>
        <v>1</v>
      </c>
      <c r="Q1860" s="6" t="str">
        <f>IF(COUNTIF(Analysis!$M$2:$M$3001,Analysis!$M162)&gt;1,"Duplicate","OK")</f>
        <v>OK</v>
      </c>
      <c r="R1860" s="6" t="str">
        <f t="shared" si="1"/>
        <v>1600-2600</v>
      </c>
      <c r="S1860" s="6">
        <f t="shared" si="2"/>
        <v>58</v>
      </c>
      <c r="T1860" s="6" t="str">
        <f t="shared" si="3"/>
        <v>Old</v>
      </c>
    </row>
    <row r="1861" ht="14.25" customHeight="1">
      <c r="A1861" s="5">
        <v>958904.0</v>
      </c>
      <c r="B1861" s="6" t="s">
        <v>7481</v>
      </c>
      <c r="C1861" s="6" t="s">
        <v>18</v>
      </c>
      <c r="D1861" s="6">
        <v>38521.0</v>
      </c>
      <c r="E1861" s="6" t="s">
        <v>19</v>
      </c>
      <c r="F1861" s="6" t="s">
        <v>94</v>
      </c>
      <c r="G1861" s="6" t="s">
        <v>21</v>
      </c>
      <c r="H1861" s="7">
        <v>1083.0</v>
      </c>
      <c r="I1861" s="7">
        <v>7167.0</v>
      </c>
      <c r="J1861" s="6">
        <v>1970.0</v>
      </c>
      <c r="K1861" s="6">
        <v>97.0</v>
      </c>
      <c r="L1861" s="6" t="s">
        <v>22</v>
      </c>
      <c r="M1861" s="6" t="s">
        <v>7482</v>
      </c>
      <c r="N1861" s="6" t="s">
        <v>48</v>
      </c>
      <c r="O1861" s="6" t="s">
        <v>49</v>
      </c>
      <c r="P1861" s="6">
        <f>COUNTIF(Analysis!$M$1:$M$3001,Analysis!$M1861)</f>
        <v>1</v>
      </c>
      <c r="Q1861" s="6" t="str">
        <f>IF(COUNTIF(Analysis!$M$2:$M$3001,Analysis!$M1861)&gt;1,"Duplicate","OK")</f>
        <v>OK</v>
      </c>
      <c r="R1861" s="6" t="str">
        <f t="shared" si="1"/>
        <v>600-1600</v>
      </c>
      <c r="S1861" s="6">
        <f t="shared" si="2"/>
        <v>56</v>
      </c>
      <c r="T1861" s="6" t="str">
        <f t="shared" si="3"/>
        <v>Old</v>
      </c>
    </row>
    <row r="1862" ht="14.25" customHeight="1">
      <c r="A1862" s="5">
        <v>1213198.0</v>
      </c>
      <c r="B1862" s="6" t="s">
        <v>7485</v>
      </c>
      <c r="C1862" s="6" t="s">
        <v>18</v>
      </c>
      <c r="D1862" s="6">
        <v>35007.0</v>
      </c>
      <c r="E1862" s="6" t="s">
        <v>40</v>
      </c>
      <c r="F1862" s="6" t="s">
        <v>54</v>
      </c>
      <c r="G1862" s="6" t="s">
        <v>31</v>
      </c>
      <c r="H1862" s="7">
        <v>1022.0</v>
      </c>
      <c r="I1862" s="7">
        <v>9130.0</v>
      </c>
      <c r="J1862" s="6">
        <v>1989.0</v>
      </c>
      <c r="K1862" s="6">
        <v>52.0</v>
      </c>
      <c r="L1862" s="6" t="s">
        <v>141</v>
      </c>
      <c r="M1862" s="6" t="s">
        <v>7486</v>
      </c>
      <c r="N1862" s="6" t="s">
        <v>48</v>
      </c>
      <c r="O1862" s="6" t="s">
        <v>25</v>
      </c>
      <c r="P1862" s="6">
        <f>COUNTIF(Analysis!$M$1:$M$3001,Analysis!$M1862)</f>
        <v>1</v>
      </c>
      <c r="Q1862" s="6" t="str">
        <f>IF(COUNTIF(Analysis!$M$2:$M$3001,Analysis!$M1862)&gt;1,"Duplicate","OK")</f>
        <v>OK</v>
      </c>
      <c r="R1862" s="6" t="str">
        <f t="shared" si="1"/>
        <v>600-1600</v>
      </c>
      <c r="S1862" s="6">
        <f t="shared" si="2"/>
        <v>37</v>
      </c>
      <c r="T1862" s="6" t="str">
        <f t="shared" si="3"/>
        <v>Old</v>
      </c>
    </row>
    <row r="1863" ht="14.25" customHeight="1">
      <c r="A1863" s="5">
        <v>1429416.0</v>
      </c>
      <c r="B1863" s="6" t="s">
        <v>7489</v>
      </c>
      <c r="C1863" s="6" t="s">
        <v>18</v>
      </c>
      <c r="D1863" s="6">
        <v>59418.0</v>
      </c>
      <c r="E1863" s="6" t="s">
        <v>60</v>
      </c>
      <c r="F1863" s="6" t="s">
        <v>94</v>
      </c>
      <c r="G1863" s="6" t="s">
        <v>55</v>
      </c>
      <c r="H1863" s="7">
        <v>1869.0</v>
      </c>
      <c r="I1863" s="7">
        <v>6115.0</v>
      </c>
      <c r="J1863" s="6">
        <v>1979.0</v>
      </c>
      <c r="K1863" s="6">
        <v>66.0</v>
      </c>
      <c r="L1863" s="6" t="s">
        <v>141</v>
      </c>
      <c r="M1863" s="6" t="s">
        <v>7490</v>
      </c>
      <c r="N1863" s="6" t="s">
        <v>64</v>
      </c>
      <c r="O1863" s="6" t="s">
        <v>35</v>
      </c>
      <c r="P1863" s="6">
        <f>COUNTIF(Analysis!$M$1:$M$3001,Analysis!$M1863)</f>
        <v>1</v>
      </c>
      <c r="Q1863" s="6" t="str">
        <f>IF(COUNTIF(Analysis!$M$2:$M$3001,Analysis!$M1863)&gt;1,"Duplicate","OK")</f>
        <v>OK</v>
      </c>
      <c r="R1863" s="6" t="str">
        <f t="shared" si="1"/>
        <v>1600-2600</v>
      </c>
      <c r="S1863" s="6">
        <f t="shared" si="2"/>
        <v>47</v>
      </c>
      <c r="T1863" s="6" t="str">
        <f t="shared" si="3"/>
        <v>Old</v>
      </c>
    </row>
    <row r="1864" ht="14.25" customHeight="1">
      <c r="A1864" s="5">
        <v>1160505.0</v>
      </c>
      <c r="B1864" s="6" t="s">
        <v>7493</v>
      </c>
      <c r="C1864" s="6" t="s">
        <v>53</v>
      </c>
      <c r="D1864" s="6">
        <v>88644.0</v>
      </c>
      <c r="E1864" s="6" t="s">
        <v>60</v>
      </c>
      <c r="F1864" s="6" t="s">
        <v>41</v>
      </c>
      <c r="G1864" s="6" t="s">
        <v>21</v>
      </c>
      <c r="H1864" s="7">
        <v>3033.0</v>
      </c>
      <c r="I1864" s="7">
        <v>3484.0</v>
      </c>
      <c r="J1864" s="6">
        <v>1966.0</v>
      </c>
      <c r="K1864" s="6">
        <v>38.0</v>
      </c>
      <c r="L1864" s="6" t="s">
        <v>95</v>
      </c>
      <c r="M1864" s="6" t="s">
        <v>7494</v>
      </c>
      <c r="N1864" s="6" t="s">
        <v>48</v>
      </c>
      <c r="O1864" s="6" t="s">
        <v>25</v>
      </c>
      <c r="P1864" s="6">
        <f>COUNTIF(Analysis!$M$1:$M$3001,Analysis!$M1864)</f>
        <v>1</v>
      </c>
      <c r="Q1864" s="6" t="str">
        <f>IF(COUNTIF(Analysis!$M$2:$M$3001,Analysis!$M1864)&gt;1,"Duplicate","OK")</f>
        <v>OK</v>
      </c>
      <c r="R1864" s="6" t="str">
        <f t="shared" si="1"/>
        <v>2600-3600</v>
      </c>
      <c r="S1864" s="6">
        <f t="shared" si="2"/>
        <v>60</v>
      </c>
      <c r="T1864" s="6" t="str">
        <f t="shared" si="3"/>
        <v>Old</v>
      </c>
    </row>
    <row r="1865" ht="14.25" customHeight="1">
      <c r="A1865" s="5">
        <v>734444.0</v>
      </c>
      <c r="B1865" s="6" t="s">
        <v>7497</v>
      </c>
      <c r="C1865" s="6" t="s">
        <v>76</v>
      </c>
      <c r="D1865" s="6">
        <v>57158.0</v>
      </c>
      <c r="E1865" s="6" t="s">
        <v>60</v>
      </c>
      <c r="F1865" s="6" t="s">
        <v>94</v>
      </c>
      <c r="G1865" s="6" t="s">
        <v>31</v>
      </c>
      <c r="H1865" s="7">
        <v>1753.0</v>
      </c>
      <c r="I1865" s="7">
        <v>9075.0</v>
      </c>
      <c r="J1865" s="6">
        <v>1968.0</v>
      </c>
      <c r="K1865" s="6">
        <v>63.0</v>
      </c>
      <c r="L1865" s="6" t="s">
        <v>22</v>
      </c>
      <c r="M1865" s="6" t="s">
        <v>7498</v>
      </c>
      <c r="N1865" s="6" t="s">
        <v>43</v>
      </c>
      <c r="O1865" s="6" t="s">
        <v>25</v>
      </c>
      <c r="P1865" s="6">
        <f>COUNTIF(Analysis!$M$1:$M$3001,Analysis!$M1865)</f>
        <v>1</v>
      </c>
      <c r="Q1865" s="6" t="str">
        <f>IF(COUNTIF(Analysis!$M$2:$M$3001,Analysis!$M1865)&gt;1,"Duplicate","OK")</f>
        <v>OK</v>
      </c>
      <c r="R1865" s="6" t="str">
        <f t="shared" si="1"/>
        <v>1600-2600</v>
      </c>
      <c r="S1865" s="6">
        <f t="shared" si="2"/>
        <v>58</v>
      </c>
      <c r="T1865" s="6" t="str">
        <f t="shared" si="3"/>
        <v>Old</v>
      </c>
    </row>
    <row r="1866" ht="14.25" customHeight="1">
      <c r="A1866" s="5">
        <v>981044.0</v>
      </c>
      <c r="B1866" s="6" t="s">
        <v>8029</v>
      </c>
      <c r="C1866" s="6" t="s">
        <v>29</v>
      </c>
      <c r="D1866" s="6">
        <v>54993.0</v>
      </c>
      <c r="E1866" s="6" t="s">
        <v>19</v>
      </c>
      <c r="F1866" s="6" t="s">
        <v>94</v>
      </c>
      <c r="G1866" s="6" t="s">
        <v>21</v>
      </c>
      <c r="H1866" s="7">
        <v>3512.0</v>
      </c>
      <c r="I1866" s="7">
        <v>4318.0</v>
      </c>
      <c r="J1866" s="6">
        <v>2007.0</v>
      </c>
      <c r="K1866" s="6">
        <v>27.0</v>
      </c>
      <c r="L1866" s="6" t="s">
        <v>141</v>
      </c>
      <c r="M1866" s="6" t="s">
        <v>8030</v>
      </c>
      <c r="N1866" s="6" t="s">
        <v>64</v>
      </c>
      <c r="O1866" s="6" t="s">
        <v>49</v>
      </c>
      <c r="P1866" s="6">
        <f>COUNTIF(Analysis!$M$1:$M$3001,Analysis!$M1998)</f>
        <v>1</v>
      </c>
      <c r="Q1866" s="6" t="str">
        <f>IF(COUNTIF(Analysis!$M$2:$M$3001,Analysis!$M1998)&gt;1,"Duplicate","OK")</f>
        <v>OK</v>
      </c>
      <c r="R1866" s="6" t="str">
        <f t="shared" si="1"/>
        <v>2600-3600</v>
      </c>
      <c r="S1866" s="6">
        <f t="shared" si="2"/>
        <v>19</v>
      </c>
      <c r="T1866" s="6" t="str">
        <f t="shared" si="3"/>
        <v>Mid</v>
      </c>
    </row>
    <row r="1867" ht="14.25" customHeight="1">
      <c r="A1867" s="5">
        <v>988161.0</v>
      </c>
      <c r="B1867" s="6" t="s">
        <v>9871</v>
      </c>
      <c r="C1867" s="6" t="s">
        <v>29</v>
      </c>
      <c r="D1867" s="6">
        <v>97897.0</v>
      </c>
      <c r="E1867" s="6" t="s">
        <v>60</v>
      </c>
      <c r="F1867" s="6" t="s">
        <v>41</v>
      </c>
      <c r="G1867" s="6" t="s">
        <v>100</v>
      </c>
      <c r="H1867" s="7">
        <v>1066.0</v>
      </c>
      <c r="I1867" s="7">
        <v>5289.0</v>
      </c>
      <c r="J1867" s="6">
        <v>2005.0</v>
      </c>
      <c r="K1867" s="6">
        <v>105.0</v>
      </c>
      <c r="L1867" s="6" t="s">
        <v>95</v>
      </c>
      <c r="M1867" s="6" t="s">
        <v>9872</v>
      </c>
      <c r="N1867" s="6" t="s">
        <v>34</v>
      </c>
      <c r="O1867" s="6" t="s">
        <v>25</v>
      </c>
      <c r="P1867" s="6">
        <f>COUNTIF(Analysis!$M$1:$M$3001,Analysis!$M2459)</f>
        <v>1</v>
      </c>
      <c r="Q1867" s="6" t="str">
        <f>IF(COUNTIF(Analysis!$M$2:$M$3001,Analysis!$M2459)&gt;1,"Duplicate","OK")</f>
        <v>OK</v>
      </c>
      <c r="R1867" s="6" t="str">
        <f t="shared" si="1"/>
        <v>600-1600</v>
      </c>
      <c r="S1867" s="6">
        <f t="shared" si="2"/>
        <v>21</v>
      </c>
      <c r="T1867" s="6" t="str">
        <f t="shared" si="3"/>
        <v>Mid</v>
      </c>
    </row>
    <row r="1868" ht="14.25" customHeight="1">
      <c r="A1868" s="5">
        <v>287475.0</v>
      </c>
      <c r="B1868" s="6" t="s">
        <v>7509</v>
      </c>
      <c r="C1868" s="6" t="s">
        <v>39</v>
      </c>
      <c r="D1868" s="6">
        <v>53411.0</v>
      </c>
      <c r="E1868" s="6" t="s">
        <v>19</v>
      </c>
      <c r="F1868" s="6" t="s">
        <v>61</v>
      </c>
      <c r="G1868" s="6" t="s">
        <v>100</v>
      </c>
      <c r="H1868" s="7">
        <v>849.0</v>
      </c>
      <c r="I1868" s="7">
        <v>7517.0</v>
      </c>
      <c r="J1868" s="6">
        <v>2022.0</v>
      </c>
      <c r="K1868" s="6">
        <v>97.0</v>
      </c>
      <c r="L1868" s="6" t="s">
        <v>62</v>
      </c>
      <c r="M1868" s="6" t="s">
        <v>7510</v>
      </c>
      <c r="N1868" s="6" t="s">
        <v>43</v>
      </c>
      <c r="O1868" s="6" t="s">
        <v>35</v>
      </c>
      <c r="P1868" s="6">
        <f>COUNTIF(Analysis!$M$1:$M$3001,Analysis!$M1868)</f>
        <v>1</v>
      </c>
      <c r="Q1868" s="6" t="str">
        <f>IF(COUNTIF(Analysis!$M$2:$M$3001,Analysis!$M1868)&gt;1,"Duplicate","OK")</f>
        <v>OK</v>
      </c>
      <c r="R1868" s="6" t="str">
        <f t="shared" si="1"/>
        <v>600-1600</v>
      </c>
      <c r="S1868" s="6">
        <f t="shared" si="2"/>
        <v>4</v>
      </c>
      <c r="T1868" s="6" t="str">
        <f t="shared" si="3"/>
        <v>New</v>
      </c>
    </row>
    <row r="1869" ht="14.25" customHeight="1">
      <c r="A1869" s="5">
        <v>262684.0</v>
      </c>
      <c r="B1869" s="6" t="s">
        <v>7513</v>
      </c>
      <c r="C1869" s="6" t="s">
        <v>76</v>
      </c>
      <c r="D1869" s="6">
        <v>45612.0</v>
      </c>
      <c r="E1869" s="6" t="s">
        <v>19</v>
      </c>
      <c r="F1869" s="6" t="s">
        <v>46</v>
      </c>
      <c r="G1869" s="6" t="s">
        <v>31</v>
      </c>
      <c r="H1869" s="7">
        <v>2851.0</v>
      </c>
      <c r="I1869" s="7">
        <v>4284.0</v>
      </c>
      <c r="J1869" s="6">
        <v>2010.0</v>
      </c>
      <c r="K1869" s="6">
        <v>3.0</v>
      </c>
      <c r="L1869" s="6" t="s">
        <v>32</v>
      </c>
      <c r="M1869" s="6" t="s">
        <v>7514</v>
      </c>
      <c r="N1869" s="6" t="s">
        <v>64</v>
      </c>
      <c r="O1869" s="6" t="s">
        <v>25</v>
      </c>
      <c r="P1869" s="6">
        <f>COUNTIF(Analysis!$M$1:$M$3001,Analysis!$M1869)</f>
        <v>1</v>
      </c>
      <c r="Q1869" s="6" t="str">
        <f>IF(COUNTIF(Analysis!$M$2:$M$3001,Analysis!$M1869)&gt;1,"Duplicate","OK")</f>
        <v>OK</v>
      </c>
      <c r="R1869" s="6" t="str">
        <f t="shared" si="1"/>
        <v>2600-3600</v>
      </c>
      <c r="S1869" s="6">
        <f t="shared" si="2"/>
        <v>16</v>
      </c>
      <c r="T1869" s="6" t="str">
        <f t="shared" si="3"/>
        <v>Mid</v>
      </c>
    </row>
    <row r="1870" ht="14.25" customHeight="1">
      <c r="A1870" s="5">
        <v>1496345.0</v>
      </c>
      <c r="B1870" s="6" t="s">
        <v>7517</v>
      </c>
      <c r="C1870" s="6" t="s">
        <v>18</v>
      </c>
      <c r="D1870" s="6">
        <v>64384.0</v>
      </c>
      <c r="E1870" s="6" t="s">
        <v>77</v>
      </c>
      <c r="F1870" s="6" t="s">
        <v>54</v>
      </c>
      <c r="G1870" s="6" t="s">
        <v>55</v>
      </c>
      <c r="H1870" s="7">
        <v>2570.0</v>
      </c>
      <c r="I1870" s="7">
        <v>8129.0</v>
      </c>
      <c r="J1870" s="6">
        <v>1978.0</v>
      </c>
      <c r="K1870" s="6">
        <v>107.0</v>
      </c>
      <c r="L1870" s="6" t="s">
        <v>22</v>
      </c>
      <c r="M1870" s="6" t="s">
        <v>7518</v>
      </c>
      <c r="N1870" s="6" t="s">
        <v>24</v>
      </c>
      <c r="O1870" s="6" t="s">
        <v>35</v>
      </c>
      <c r="P1870" s="6">
        <f>COUNTIF(Analysis!$M$1:$M$3001,Analysis!$M1870)</f>
        <v>1</v>
      </c>
      <c r="Q1870" s="6" t="str">
        <f>IF(COUNTIF(Analysis!$M$2:$M$3001,Analysis!$M1870)&gt;1,"Duplicate","OK")</f>
        <v>OK</v>
      </c>
      <c r="R1870" s="6" t="str">
        <f t="shared" si="1"/>
        <v>1600-2600</v>
      </c>
      <c r="S1870" s="6">
        <f t="shared" si="2"/>
        <v>48</v>
      </c>
      <c r="T1870" s="6" t="str">
        <f t="shared" si="3"/>
        <v>Old</v>
      </c>
    </row>
    <row r="1871" ht="14.25" customHeight="1">
      <c r="A1871" s="5">
        <v>1322012.0</v>
      </c>
      <c r="B1871" s="6" t="s">
        <v>7521</v>
      </c>
      <c r="C1871" s="6" t="s">
        <v>76</v>
      </c>
      <c r="D1871" s="6">
        <v>57352.0</v>
      </c>
      <c r="E1871" s="6" t="s">
        <v>77</v>
      </c>
      <c r="F1871" s="6" t="s">
        <v>20</v>
      </c>
      <c r="G1871" s="6" t="s">
        <v>100</v>
      </c>
      <c r="H1871" s="7">
        <v>815.0</v>
      </c>
      <c r="I1871" s="7">
        <v>1114.0</v>
      </c>
      <c r="J1871" s="6">
        <v>2016.0</v>
      </c>
      <c r="K1871" s="6">
        <v>26.0</v>
      </c>
      <c r="L1871" s="6" t="s">
        <v>32</v>
      </c>
      <c r="M1871" s="6" t="s">
        <v>7522</v>
      </c>
      <c r="N1871" s="6" t="s">
        <v>24</v>
      </c>
      <c r="O1871" s="6" t="s">
        <v>35</v>
      </c>
      <c r="P1871" s="6">
        <f>COUNTIF(Analysis!$M$1:$M$3001,Analysis!$M1871)</f>
        <v>1</v>
      </c>
      <c r="Q1871" s="6" t="str">
        <f>IF(COUNTIF(Analysis!$M$2:$M$3001,Analysis!$M1871)&gt;1,"Duplicate","OK")</f>
        <v>OK</v>
      </c>
      <c r="R1871" s="6" t="str">
        <f t="shared" si="1"/>
        <v>600-1600</v>
      </c>
      <c r="S1871" s="6">
        <f t="shared" si="2"/>
        <v>10</v>
      </c>
      <c r="T1871" s="6" t="str">
        <f t="shared" si="3"/>
        <v>New</v>
      </c>
    </row>
    <row r="1872" ht="14.25" customHeight="1">
      <c r="A1872" s="5">
        <v>450980.0</v>
      </c>
      <c r="B1872" s="6" t="s">
        <v>7525</v>
      </c>
      <c r="C1872" s="6" t="s">
        <v>39</v>
      </c>
      <c r="D1872" s="6">
        <v>44660.0</v>
      </c>
      <c r="E1872" s="6" t="s">
        <v>60</v>
      </c>
      <c r="F1872" s="6" t="s">
        <v>54</v>
      </c>
      <c r="G1872" s="6" t="s">
        <v>31</v>
      </c>
      <c r="H1872" s="7">
        <v>3967.0</v>
      </c>
      <c r="I1872" s="7">
        <v>9785.0</v>
      </c>
      <c r="J1872" s="6">
        <v>2021.0</v>
      </c>
      <c r="K1872" s="6">
        <v>53.0</v>
      </c>
      <c r="L1872" s="6" t="s">
        <v>141</v>
      </c>
      <c r="M1872" s="6" t="s">
        <v>7526</v>
      </c>
      <c r="N1872" s="6" t="s">
        <v>43</v>
      </c>
      <c r="O1872" s="6" t="s">
        <v>35</v>
      </c>
      <c r="P1872" s="6">
        <f>COUNTIF(Analysis!$M$1:$M$3001,Analysis!$M1872)</f>
        <v>1</v>
      </c>
      <c r="Q1872" s="6" t="str">
        <f>IF(COUNTIF(Analysis!$M$2:$M$3001,Analysis!$M1872)&gt;1,"Duplicate","OK")</f>
        <v>OK</v>
      </c>
      <c r="R1872" s="6" t="str">
        <f t="shared" si="1"/>
        <v>3600+</v>
      </c>
      <c r="S1872" s="6">
        <f t="shared" si="2"/>
        <v>5</v>
      </c>
      <c r="T1872" s="6" t="str">
        <f t="shared" si="3"/>
        <v>New</v>
      </c>
    </row>
    <row r="1873" ht="14.25" customHeight="1">
      <c r="A1873" s="5">
        <v>1041999.0</v>
      </c>
      <c r="B1873" s="6" t="s">
        <v>7529</v>
      </c>
      <c r="C1873" s="6" t="s">
        <v>53</v>
      </c>
      <c r="D1873" s="6">
        <v>14871.0</v>
      </c>
      <c r="E1873" s="6" t="s">
        <v>19</v>
      </c>
      <c r="F1873" s="6" t="s">
        <v>61</v>
      </c>
      <c r="G1873" s="6" t="s">
        <v>31</v>
      </c>
      <c r="H1873" s="7">
        <v>2052.0</v>
      </c>
      <c r="I1873" s="7">
        <v>8704.0</v>
      </c>
      <c r="J1873" s="6">
        <v>1976.0</v>
      </c>
      <c r="K1873" s="6">
        <v>9.0</v>
      </c>
      <c r="L1873" s="6" t="s">
        <v>32</v>
      </c>
      <c r="M1873" s="6" t="s">
        <v>7530</v>
      </c>
      <c r="N1873" s="6" t="s">
        <v>24</v>
      </c>
      <c r="O1873" s="6" t="s">
        <v>49</v>
      </c>
      <c r="P1873" s="6">
        <f>COUNTIF(Analysis!$M$1:$M$3001,Analysis!$M1873)</f>
        <v>1</v>
      </c>
      <c r="Q1873" s="6" t="str">
        <f>IF(COUNTIF(Analysis!$M$2:$M$3001,Analysis!$M1873)&gt;1,"Duplicate","OK")</f>
        <v>OK</v>
      </c>
      <c r="R1873" s="6" t="str">
        <f t="shared" si="1"/>
        <v>1600-2600</v>
      </c>
      <c r="S1873" s="6">
        <f t="shared" si="2"/>
        <v>50</v>
      </c>
      <c r="T1873" s="6" t="str">
        <f t="shared" si="3"/>
        <v>Old</v>
      </c>
    </row>
    <row r="1874" ht="14.25" customHeight="1">
      <c r="A1874" s="5">
        <v>193541.0</v>
      </c>
      <c r="B1874" s="6" t="s">
        <v>7533</v>
      </c>
      <c r="C1874" s="6" t="s">
        <v>18</v>
      </c>
      <c r="D1874" s="6">
        <v>33243.0</v>
      </c>
      <c r="E1874" s="6" t="s">
        <v>30</v>
      </c>
      <c r="F1874" s="6" t="s">
        <v>20</v>
      </c>
      <c r="G1874" s="6" t="s">
        <v>31</v>
      </c>
      <c r="H1874" s="7">
        <v>1094.0</v>
      </c>
      <c r="I1874" s="7">
        <v>6376.0</v>
      </c>
      <c r="J1874" s="6">
        <v>1962.0</v>
      </c>
      <c r="K1874" s="6">
        <v>67.0</v>
      </c>
      <c r="L1874" s="6" t="s">
        <v>141</v>
      </c>
      <c r="M1874" s="6" t="s">
        <v>7534</v>
      </c>
      <c r="N1874" s="6" t="s">
        <v>24</v>
      </c>
      <c r="O1874" s="6" t="s">
        <v>49</v>
      </c>
      <c r="P1874" s="6">
        <f>COUNTIF(Analysis!$M$1:$M$3001,Analysis!$M1874)</f>
        <v>1</v>
      </c>
      <c r="Q1874" s="6" t="str">
        <f>IF(COUNTIF(Analysis!$M$2:$M$3001,Analysis!$M1874)&gt;1,"Duplicate","OK")</f>
        <v>OK</v>
      </c>
      <c r="R1874" s="6" t="str">
        <f t="shared" si="1"/>
        <v>600-1600</v>
      </c>
      <c r="S1874" s="6">
        <f t="shared" si="2"/>
        <v>64</v>
      </c>
      <c r="T1874" s="6" t="str">
        <f t="shared" si="3"/>
        <v>Very Old</v>
      </c>
    </row>
    <row r="1875" ht="14.25" customHeight="1">
      <c r="A1875" s="5">
        <v>816755.0</v>
      </c>
      <c r="B1875" s="6" t="s">
        <v>7537</v>
      </c>
      <c r="C1875" s="6" t="s">
        <v>53</v>
      </c>
      <c r="D1875" s="6">
        <v>31199.0</v>
      </c>
      <c r="E1875" s="6" t="s">
        <v>77</v>
      </c>
      <c r="F1875" s="6" t="s">
        <v>54</v>
      </c>
      <c r="G1875" s="6" t="s">
        <v>100</v>
      </c>
      <c r="H1875" s="7">
        <v>1218.0</v>
      </c>
      <c r="I1875" s="7">
        <v>2965.0</v>
      </c>
      <c r="J1875" s="6">
        <v>1962.0</v>
      </c>
      <c r="K1875" s="6">
        <v>62.0</v>
      </c>
      <c r="L1875" s="6" t="s">
        <v>32</v>
      </c>
      <c r="M1875" s="6" t="s">
        <v>7538</v>
      </c>
      <c r="N1875" s="6" t="s">
        <v>43</v>
      </c>
      <c r="O1875" s="6" t="s">
        <v>49</v>
      </c>
      <c r="P1875" s="6">
        <f>COUNTIF(Analysis!$M$1:$M$3001,Analysis!$M1875)</f>
        <v>1</v>
      </c>
      <c r="Q1875" s="6" t="str">
        <f>IF(COUNTIF(Analysis!$M$2:$M$3001,Analysis!$M1875)&gt;1,"Duplicate","OK")</f>
        <v>OK</v>
      </c>
      <c r="R1875" s="6" t="str">
        <f t="shared" si="1"/>
        <v>600-1600</v>
      </c>
      <c r="S1875" s="6">
        <f t="shared" si="2"/>
        <v>64</v>
      </c>
      <c r="T1875" s="6" t="str">
        <f t="shared" si="3"/>
        <v>Very Old</v>
      </c>
    </row>
    <row r="1876" ht="14.25" customHeight="1">
      <c r="A1876" s="5">
        <v>347514.0</v>
      </c>
      <c r="B1876" s="6" t="s">
        <v>7541</v>
      </c>
      <c r="C1876" s="6" t="s">
        <v>76</v>
      </c>
      <c r="D1876" s="6">
        <v>61889.0</v>
      </c>
      <c r="E1876" s="6" t="s">
        <v>30</v>
      </c>
      <c r="F1876" s="6" t="s">
        <v>54</v>
      </c>
      <c r="G1876" s="6" t="s">
        <v>55</v>
      </c>
      <c r="H1876" s="7">
        <v>1510.0</v>
      </c>
      <c r="I1876" s="7">
        <v>6197.0</v>
      </c>
      <c r="J1876" s="6">
        <v>2001.0</v>
      </c>
      <c r="K1876" s="6">
        <v>77.0</v>
      </c>
      <c r="L1876" s="6" t="s">
        <v>141</v>
      </c>
      <c r="M1876" s="6" t="s">
        <v>7542</v>
      </c>
      <c r="N1876" s="6" t="s">
        <v>24</v>
      </c>
      <c r="O1876" s="6" t="s">
        <v>35</v>
      </c>
      <c r="P1876" s="6">
        <f>COUNTIF(Analysis!$M$1:$M$3001,Analysis!$M1876)</f>
        <v>1</v>
      </c>
      <c r="Q1876" s="6" t="str">
        <f>IF(COUNTIF(Analysis!$M$2:$M$3001,Analysis!$M1876)&gt;1,"Duplicate","OK")</f>
        <v>OK</v>
      </c>
      <c r="R1876" s="6" t="str">
        <f t="shared" si="1"/>
        <v>600-1600</v>
      </c>
      <c r="S1876" s="6">
        <f t="shared" si="2"/>
        <v>25</v>
      </c>
      <c r="T1876" s="6" t="str">
        <f t="shared" si="3"/>
        <v>Mid</v>
      </c>
    </row>
    <row r="1877" ht="14.25" customHeight="1">
      <c r="A1877" s="5">
        <v>112180.0</v>
      </c>
      <c r="B1877" s="6" t="s">
        <v>7545</v>
      </c>
      <c r="C1877" s="6" t="s">
        <v>39</v>
      </c>
      <c r="D1877" s="6">
        <v>93475.0</v>
      </c>
      <c r="E1877" s="6" t="s">
        <v>60</v>
      </c>
      <c r="F1877" s="6" t="s">
        <v>94</v>
      </c>
      <c r="G1877" s="6" t="s">
        <v>31</v>
      </c>
      <c r="H1877" s="7">
        <v>1148.0</v>
      </c>
      <c r="I1877" s="7">
        <v>9249.0</v>
      </c>
      <c r="J1877" s="6">
        <v>2017.0</v>
      </c>
      <c r="K1877" s="6">
        <v>59.0</v>
      </c>
      <c r="L1877" s="6" t="s">
        <v>141</v>
      </c>
      <c r="M1877" s="6" t="s">
        <v>7546</v>
      </c>
      <c r="N1877" s="6" t="s">
        <v>43</v>
      </c>
      <c r="O1877" s="6" t="s">
        <v>25</v>
      </c>
      <c r="P1877" s="6">
        <f>COUNTIF(Analysis!$M$1:$M$3001,Analysis!$M1877)</f>
        <v>1</v>
      </c>
      <c r="Q1877" s="6" t="str">
        <f>IF(COUNTIF(Analysis!$M$2:$M$3001,Analysis!$M1877)&gt;1,"Duplicate","OK")</f>
        <v>OK</v>
      </c>
      <c r="R1877" s="6" t="str">
        <f t="shared" si="1"/>
        <v>600-1600</v>
      </c>
      <c r="S1877" s="6">
        <f t="shared" si="2"/>
        <v>9</v>
      </c>
      <c r="T1877" s="6" t="str">
        <f t="shared" si="3"/>
        <v>New</v>
      </c>
    </row>
    <row r="1878" ht="14.25" customHeight="1">
      <c r="A1878" s="5">
        <v>1184343.0</v>
      </c>
      <c r="B1878" s="6" t="s">
        <v>7549</v>
      </c>
      <c r="C1878" s="6" t="s">
        <v>18</v>
      </c>
      <c r="D1878" s="6">
        <v>94949.0</v>
      </c>
      <c r="E1878" s="6" t="s">
        <v>30</v>
      </c>
      <c r="F1878" s="6" t="s">
        <v>46</v>
      </c>
      <c r="G1878" s="6" t="s">
        <v>100</v>
      </c>
      <c r="H1878" s="7">
        <v>3886.0</v>
      </c>
      <c r="I1878" s="7">
        <v>1489.0</v>
      </c>
      <c r="J1878" s="6">
        <v>1957.0</v>
      </c>
      <c r="K1878" s="6">
        <v>90.0</v>
      </c>
      <c r="L1878" s="6" t="s">
        <v>95</v>
      </c>
      <c r="M1878" s="6" t="s">
        <v>7550</v>
      </c>
      <c r="N1878" s="6" t="s">
        <v>24</v>
      </c>
      <c r="O1878" s="6" t="s">
        <v>49</v>
      </c>
      <c r="P1878" s="6">
        <f>COUNTIF(Analysis!$M$1:$M$3001,Analysis!$M1878)</f>
        <v>1</v>
      </c>
      <c r="Q1878" s="6" t="str">
        <f>IF(COUNTIF(Analysis!$M$2:$M$3001,Analysis!$M1878)&gt;1,"Duplicate","OK")</f>
        <v>OK</v>
      </c>
      <c r="R1878" s="6" t="str">
        <f t="shared" si="1"/>
        <v>3600+</v>
      </c>
      <c r="S1878" s="6">
        <f t="shared" si="2"/>
        <v>69</v>
      </c>
      <c r="T1878" s="6" t="str">
        <f t="shared" si="3"/>
        <v>Very Old</v>
      </c>
    </row>
    <row r="1879" ht="14.25" customHeight="1">
      <c r="A1879" s="5">
        <v>1279191.0</v>
      </c>
      <c r="B1879" s="6" t="s">
        <v>7553</v>
      </c>
      <c r="C1879" s="6" t="s">
        <v>39</v>
      </c>
      <c r="D1879" s="6">
        <v>49155.0</v>
      </c>
      <c r="E1879" s="6" t="s">
        <v>19</v>
      </c>
      <c r="F1879" s="6" t="s">
        <v>61</v>
      </c>
      <c r="G1879" s="6" t="s">
        <v>55</v>
      </c>
      <c r="H1879" s="7">
        <v>3070.0</v>
      </c>
      <c r="I1879" s="7">
        <v>7268.0</v>
      </c>
      <c r="J1879" s="6">
        <v>1957.0</v>
      </c>
      <c r="K1879" s="6">
        <v>11.0</v>
      </c>
      <c r="L1879" s="6" t="s">
        <v>22</v>
      </c>
      <c r="M1879" s="6" t="s">
        <v>7554</v>
      </c>
      <c r="N1879" s="6" t="s">
        <v>34</v>
      </c>
      <c r="O1879" s="6" t="s">
        <v>25</v>
      </c>
      <c r="P1879" s="6">
        <f>COUNTIF(Analysis!$M$1:$M$3001,Analysis!$M1879)</f>
        <v>1</v>
      </c>
      <c r="Q1879" s="6" t="str">
        <f>IF(COUNTIF(Analysis!$M$2:$M$3001,Analysis!$M1879)&gt;1,"Duplicate","OK")</f>
        <v>OK</v>
      </c>
      <c r="R1879" s="6" t="str">
        <f t="shared" si="1"/>
        <v>2600-3600</v>
      </c>
      <c r="S1879" s="6">
        <f t="shared" si="2"/>
        <v>69</v>
      </c>
      <c r="T1879" s="6" t="str">
        <f t="shared" si="3"/>
        <v>Very Old</v>
      </c>
    </row>
    <row r="1880" ht="14.25" customHeight="1">
      <c r="A1880" s="5">
        <v>349997.0</v>
      </c>
      <c r="B1880" s="6" t="s">
        <v>7557</v>
      </c>
      <c r="C1880" s="6" t="s">
        <v>18</v>
      </c>
      <c r="D1880" s="6">
        <v>17898.0</v>
      </c>
      <c r="E1880" s="6" t="s">
        <v>19</v>
      </c>
      <c r="F1880" s="6" t="s">
        <v>54</v>
      </c>
      <c r="G1880" s="6" t="s">
        <v>55</v>
      </c>
      <c r="H1880" s="7">
        <v>1961.0</v>
      </c>
      <c r="I1880" s="7">
        <v>9625.0</v>
      </c>
      <c r="J1880" s="6">
        <v>1969.0</v>
      </c>
      <c r="K1880" s="6">
        <v>45.0</v>
      </c>
      <c r="L1880" s="6" t="s">
        <v>62</v>
      </c>
      <c r="M1880" s="6" t="s">
        <v>7558</v>
      </c>
      <c r="N1880" s="6" t="s">
        <v>48</v>
      </c>
      <c r="O1880" s="6" t="s">
        <v>49</v>
      </c>
      <c r="P1880" s="6">
        <f>COUNTIF(Analysis!$M$1:$M$3001,Analysis!$M1880)</f>
        <v>1</v>
      </c>
      <c r="Q1880" s="6" t="str">
        <f>IF(COUNTIF(Analysis!$M$2:$M$3001,Analysis!$M1880)&gt;1,"Duplicate","OK")</f>
        <v>OK</v>
      </c>
      <c r="R1880" s="6" t="str">
        <f t="shared" si="1"/>
        <v>1600-2600</v>
      </c>
      <c r="S1880" s="6">
        <f t="shared" si="2"/>
        <v>57</v>
      </c>
      <c r="T1880" s="6" t="str">
        <f t="shared" si="3"/>
        <v>Old</v>
      </c>
    </row>
    <row r="1881" ht="14.25" customHeight="1">
      <c r="A1881" s="5">
        <v>911746.0</v>
      </c>
      <c r="B1881" s="6" t="s">
        <v>7561</v>
      </c>
      <c r="C1881" s="6" t="s">
        <v>76</v>
      </c>
      <c r="D1881" s="6">
        <v>85654.0</v>
      </c>
      <c r="E1881" s="6" t="s">
        <v>30</v>
      </c>
      <c r="F1881" s="6" t="s">
        <v>54</v>
      </c>
      <c r="G1881" s="6" t="s">
        <v>100</v>
      </c>
      <c r="H1881" s="7">
        <v>815.0</v>
      </c>
      <c r="I1881" s="7">
        <v>7925.0</v>
      </c>
      <c r="J1881" s="6">
        <v>2017.0</v>
      </c>
      <c r="K1881" s="6">
        <v>39.0</v>
      </c>
      <c r="L1881" s="6" t="s">
        <v>32</v>
      </c>
      <c r="M1881" s="6" t="s">
        <v>7562</v>
      </c>
      <c r="N1881" s="6" t="s">
        <v>64</v>
      </c>
      <c r="O1881" s="6" t="s">
        <v>35</v>
      </c>
      <c r="P1881" s="6">
        <f>COUNTIF(Analysis!$M$1:$M$3001,Analysis!$M1881)</f>
        <v>1</v>
      </c>
      <c r="Q1881" s="6" t="str">
        <f>IF(COUNTIF(Analysis!$M$2:$M$3001,Analysis!$M1881)&gt;1,"Duplicate","OK")</f>
        <v>OK</v>
      </c>
      <c r="R1881" s="6" t="str">
        <f t="shared" si="1"/>
        <v>600-1600</v>
      </c>
      <c r="S1881" s="6">
        <f t="shared" si="2"/>
        <v>9</v>
      </c>
      <c r="T1881" s="6" t="str">
        <f t="shared" si="3"/>
        <v>New</v>
      </c>
    </row>
    <row r="1882" ht="14.25" customHeight="1">
      <c r="A1882" s="5">
        <v>816254.0</v>
      </c>
      <c r="B1882" s="6" t="s">
        <v>7565</v>
      </c>
      <c r="C1882" s="6" t="s">
        <v>76</v>
      </c>
      <c r="D1882" s="6">
        <v>22485.0</v>
      </c>
      <c r="E1882" s="6" t="s">
        <v>77</v>
      </c>
      <c r="F1882" s="6" t="s">
        <v>61</v>
      </c>
      <c r="G1882" s="6" t="s">
        <v>31</v>
      </c>
      <c r="H1882" s="7">
        <v>1655.0</v>
      </c>
      <c r="I1882" s="7">
        <v>1278.0</v>
      </c>
      <c r="J1882" s="6">
        <v>1950.0</v>
      </c>
      <c r="K1882" s="6">
        <v>45.0</v>
      </c>
      <c r="L1882" s="6" t="s">
        <v>141</v>
      </c>
      <c r="M1882" s="6" t="s">
        <v>7566</v>
      </c>
      <c r="N1882" s="6" t="s">
        <v>64</v>
      </c>
      <c r="O1882" s="6" t="s">
        <v>49</v>
      </c>
      <c r="P1882" s="6">
        <f>COUNTIF(Analysis!$M$1:$M$3001,Analysis!$M1882)</f>
        <v>1</v>
      </c>
      <c r="Q1882" s="6" t="str">
        <f>IF(COUNTIF(Analysis!$M$2:$M$3001,Analysis!$M1882)&gt;1,"Duplicate","OK")</f>
        <v>OK</v>
      </c>
      <c r="R1882" s="6" t="str">
        <f t="shared" si="1"/>
        <v>1600-2600</v>
      </c>
      <c r="S1882" s="6">
        <f t="shared" si="2"/>
        <v>76</v>
      </c>
      <c r="T1882" s="6" t="str">
        <f t="shared" si="3"/>
        <v>Very Old</v>
      </c>
    </row>
    <row r="1883" ht="14.25" customHeight="1">
      <c r="A1883" s="5">
        <v>838822.0</v>
      </c>
      <c r="B1883" s="6" t="s">
        <v>7569</v>
      </c>
      <c r="C1883" s="6" t="s">
        <v>39</v>
      </c>
      <c r="D1883" s="6">
        <v>77190.0</v>
      </c>
      <c r="E1883" s="6" t="s">
        <v>40</v>
      </c>
      <c r="F1883" s="6" t="s">
        <v>41</v>
      </c>
      <c r="G1883" s="6" t="s">
        <v>31</v>
      </c>
      <c r="H1883" s="7">
        <v>745.0</v>
      </c>
      <c r="I1883" s="7">
        <v>3375.0</v>
      </c>
      <c r="J1883" s="6">
        <v>1979.0</v>
      </c>
      <c r="K1883" s="6">
        <v>65.0</v>
      </c>
      <c r="L1883" s="6" t="s">
        <v>95</v>
      </c>
      <c r="M1883" s="6" t="s">
        <v>7570</v>
      </c>
      <c r="N1883" s="6" t="s">
        <v>24</v>
      </c>
      <c r="O1883" s="6" t="s">
        <v>49</v>
      </c>
      <c r="P1883" s="6">
        <f>COUNTIF(Analysis!$M$1:$M$3001,Analysis!$M1883)</f>
        <v>1</v>
      </c>
      <c r="Q1883" s="6" t="str">
        <f>IF(COUNTIF(Analysis!$M$2:$M$3001,Analysis!$M1883)&gt;1,"Duplicate","OK")</f>
        <v>OK</v>
      </c>
      <c r="R1883" s="6" t="str">
        <f t="shared" si="1"/>
        <v>600-1600</v>
      </c>
      <c r="S1883" s="6">
        <f t="shared" si="2"/>
        <v>47</v>
      </c>
      <c r="T1883" s="6" t="str">
        <f t="shared" si="3"/>
        <v>Old</v>
      </c>
    </row>
    <row r="1884" ht="14.25" customHeight="1">
      <c r="A1884" s="5">
        <v>393230.0</v>
      </c>
      <c r="B1884" s="6" t="s">
        <v>7573</v>
      </c>
      <c r="C1884" s="6" t="s">
        <v>39</v>
      </c>
      <c r="D1884" s="6">
        <v>74608.0</v>
      </c>
      <c r="E1884" s="6" t="s">
        <v>30</v>
      </c>
      <c r="F1884" s="6" t="s">
        <v>61</v>
      </c>
      <c r="G1884" s="6" t="s">
        <v>21</v>
      </c>
      <c r="H1884" s="7">
        <v>3177.0</v>
      </c>
      <c r="I1884" s="7">
        <v>5099.0</v>
      </c>
      <c r="J1884" s="6">
        <v>1995.0</v>
      </c>
      <c r="K1884" s="6">
        <v>24.0</v>
      </c>
      <c r="L1884" s="6" t="s">
        <v>32</v>
      </c>
      <c r="M1884" s="6" t="s">
        <v>7574</v>
      </c>
      <c r="N1884" s="6" t="s">
        <v>24</v>
      </c>
      <c r="O1884" s="6" t="s">
        <v>25</v>
      </c>
      <c r="P1884" s="6">
        <f>COUNTIF(Analysis!$M$1:$M$3001,Analysis!$M1884)</f>
        <v>1</v>
      </c>
      <c r="Q1884" s="6" t="str">
        <f>IF(COUNTIF(Analysis!$M$2:$M$3001,Analysis!$M1884)&gt;1,"Duplicate","OK")</f>
        <v>OK</v>
      </c>
      <c r="R1884" s="6" t="str">
        <f t="shared" si="1"/>
        <v>2600-3600</v>
      </c>
      <c r="S1884" s="6">
        <f t="shared" si="2"/>
        <v>31</v>
      </c>
      <c r="T1884" s="6" t="str">
        <f t="shared" si="3"/>
        <v>Old</v>
      </c>
    </row>
    <row r="1885" ht="14.25" customHeight="1">
      <c r="A1885" s="5">
        <v>225327.0</v>
      </c>
      <c r="B1885" s="6" t="s">
        <v>7577</v>
      </c>
      <c r="C1885" s="6" t="s">
        <v>76</v>
      </c>
      <c r="D1885" s="6">
        <v>85430.0</v>
      </c>
      <c r="E1885" s="6" t="s">
        <v>40</v>
      </c>
      <c r="F1885" s="6" t="s">
        <v>41</v>
      </c>
      <c r="G1885" s="6" t="s">
        <v>100</v>
      </c>
      <c r="H1885" s="7">
        <v>2722.0</v>
      </c>
      <c r="I1885" s="7">
        <v>1438.0</v>
      </c>
      <c r="J1885" s="6">
        <v>2015.0</v>
      </c>
      <c r="K1885" s="6">
        <v>25.0</v>
      </c>
      <c r="L1885" s="6" t="s">
        <v>22</v>
      </c>
      <c r="M1885" s="6" t="s">
        <v>7578</v>
      </c>
      <c r="N1885" s="6" t="s">
        <v>24</v>
      </c>
      <c r="O1885" s="6" t="s">
        <v>35</v>
      </c>
      <c r="P1885" s="6">
        <f>COUNTIF(Analysis!$M$1:$M$3001,Analysis!$M1885)</f>
        <v>1</v>
      </c>
      <c r="Q1885" s="6" t="str">
        <f>IF(COUNTIF(Analysis!$M$2:$M$3001,Analysis!$M1885)&gt;1,"Duplicate","OK")</f>
        <v>OK</v>
      </c>
      <c r="R1885" s="6" t="str">
        <f t="shared" si="1"/>
        <v>2600-3600</v>
      </c>
      <c r="S1885" s="6">
        <f t="shared" si="2"/>
        <v>11</v>
      </c>
      <c r="T1885" s="6" t="str">
        <f t="shared" si="3"/>
        <v>Mid</v>
      </c>
    </row>
    <row r="1886" ht="14.25" customHeight="1">
      <c r="A1886" s="5">
        <v>118489.0</v>
      </c>
      <c r="B1886" s="6" t="s">
        <v>7581</v>
      </c>
      <c r="C1886" s="6" t="s">
        <v>18</v>
      </c>
      <c r="D1886" s="6">
        <v>75915.0</v>
      </c>
      <c r="E1886" s="6" t="s">
        <v>19</v>
      </c>
      <c r="F1886" s="6" t="s">
        <v>54</v>
      </c>
      <c r="G1886" s="6" t="s">
        <v>100</v>
      </c>
      <c r="H1886" s="7">
        <v>3097.0</v>
      </c>
      <c r="I1886" s="7">
        <v>3307.0</v>
      </c>
      <c r="J1886" s="6">
        <v>2013.0</v>
      </c>
      <c r="K1886" s="6">
        <v>14.0</v>
      </c>
      <c r="L1886" s="6" t="s">
        <v>95</v>
      </c>
      <c r="M1886" s="6" t="s">
        <v>7582</v>
      </c>
      <c r="N1886" s="6" t="s">
        <v>43</v>
      </c>
      <c r="O1886" s="6" t="s">
        <v>35</v>
      </c>
      <c r="P1886" s="6">
        <f>COUNTIF(Analysis!$M$1:$M$3001,Analysis!$M1886)</f>
        <v>1</v>
      </c>
      <c r="Q1886" s="6" t="str">
        <f>IF(COUNTIF(Analysis!$M$2:$M$3001,Analysis!$M1886)&gt;1,"Duplicate","OK")</f>
        <v>OK</v>
      </c>
      <c r="R1886" s="6" t="str">
        <f t="shared" si="1"/>
        <v>2600-3600</v>
      </c>
      <c r="S1886" s="6">
        <f t="shared" si="2"/>
        <v>13</v>
      </c>
      <c r="T1886" s="6" t="str">
        <f t="shared" si="3"/>
        <v>Mid</v>
      </c>
    </row>
    <row r="1887" ht="14.25" customHeight="1">
      <c r="A1887" s="5">
        <v>565668.0</v>
      </c>
      <c r="B1887" s="6" t="s">
        <v>7585</v>
      </c>
      <c r="C1887" s="6" t="s">
        <v>39</v>
      </c>
      <c r="D1887" s="6">
        <v>24761.0</v>
      </c>
      <c r="E1887" s="6" t="s">
        <v>19</v>
      </c>
      <c r="F1887" s="6" t="s">
        <v>20</v>
      </c>
      <c r="G1887" s="6" t="s">
        <v>100</v>
      </c>
      <c r="H1887" s="7">
        <v>2731.0</v>
      </c>
      <c r="I1887" s="7">
        <v>3353.0</v>
      </c>
      <c r="J1887" s="6">
        <v>1968.0</v>
      </c>
      <c r="K1887" s="6">
        <v>88.0</v>
      </c>
      <c r="L1887" s="6" t="s">
        <v>62</v>
      </c>
      <c r="M1887" s="6" t="s">
        <v>7586</v>
      </c>
      <c r="N1887" s="6" t="s">
        <v>43</v>
      </c>
      <c r="O1887" s="6" t="s">
        <v>35</v>
      </c>
      <c r="P1887" s="6">
        <f>COUNTIF(Analysis!$M$1:$M$3001,Analysis!$M1887)</f>
        <v>1</v>
      </c>
      <c r="Q1887" s="6" t="str">
        <f>IF(COUNTIF(Analysis!$M$2:$M$3001,Analysis!$M1887)&gt;1,"Duplicate","OK")</f>
        <v>OK</v>
      </c>
      <c r="R1887" s="6" t="str">
        <f t="shared" si="1"/>
        <v>2600-3600</v>
      </c>
      <c r="S1887" s="6">
        <f t="shared" si="2"/>
        <v>58</v>
      </c>
      <c r="T1887" s="6" t="str">
        <f t="shared" si="3"/>
        <v>Old</v>
      </c>
    </row>
    <row r="1888" ht="14.25" customHeight="1">
      <c r="A1888" s="5">
        <v>980511.0</v>
      </c>
      <c r="B1888" s="6" t="s">
        <v>7589</v>
      </c>
      <c r="C1888" s="6" t="s">
        <v>18</v>
      </c>
      <c r="D1888" s="6">
        <v>72503.0</v>
      </c>
      <c r="E1888" s="6" t="s">
        <v>77</v>
      </c>
      <c r="F1888" s="6" t="s">
        <v>54</v>
      </c>
      <c r="G1888" s="6" t="s">
        <v>31</v>
      </c>
      <c r="H1888" s="7">
        <v>2913.0</v>
      </c>
      <c r="I1888" s="7">
        <v>5963.0</v>
      </c>
      <c r="J1888" s="6">
        <v>1967.0</v>
      </c>
      <c r="K1888" s="6">
        <v>32.0</v>
      </c>
      <c r="L1888" s="6" t="s">
        <v>95</v>
      </c>
      <c r="M1888" s="6" t="s">
        <v>7590</v>
      </c>
      <c r="N1888" s="6" t="s">
        <v>64</v>
      </c>
      <c r="O1888" s="6" t="s">
        <v>25</v>
      </c>
      <c r="P1888" s="6">
        <f>COUNTIF(Analysis!$M$1:$M$3001,Analysis!$M1888)</f>
        <v>1</v>
      </c>
      <c r="Q1888" s="6" t="str">
        <f>IF(COUNTIF(Analysis!$M$2:$M$3001,Analysis!$M1888)&gt;1,"Duplicate","OK")</f>
        <v>OK</v>
      </c>
      <c r="R1888" s="6" t="str">
        <f t="shared" si="1"/>
        <v>2600-3600</v>
      </c>
      <c r="S1888" s="6">
        <f t="shared" si="2"/>
        <v>59</v>
      </c>
      <c r="T1888" s="6" t="str">
        <f t="shared" si="3"/>
        <v>Old</v>
      </c>
    </row>
    <row r="1889" ht="14.25" customHeight="1">
      <c r="A1889" s="5">
        <v>938654.0</v>
      </c>
      <c r="B1889" s="6" t="s">
        <v>7593</v>
      </c>
      <c r="C1889" s="6" t="s">
        <v>18</v>
      </c>
      <c r="D1889" s="6">
        <v>95615.0</v>
      </c>
      <c r="E1889" s="6" t="s">
        <v>60</v>
      </c>
      <c r="F1889" s="6" t="s">
        <v>20</v>
      </c>
      <c r="G1889" s="6" t="s">
        <v>21</v>
      </c>
      <c r="H1889" s="7">
        <v>1083.0</v>
      </c>
      <c r="I1889" s="7">
        <v>6836.0</v>
      </c>
      <c r="J1889" s="6">
        <v>2000.0</v>
      </c>
      <c r="K1889" s="6">
        <v>74.0</v>
      </c>
      <c r="L1889" s="6" t="s">
        <v>32</v>
      </c>
      <c r="M1889" s="6" t="s">
        <v>7594</v>
      </c>
      <c r="N1889" s="6" t="s">
        <v>24</v>
      </c>
      <c r="O1889" s="6" t="s">
        <v>49</v>
      </c>
      <c r="P1889" s="6">
        <f>COUNTIF(Analysis!$M$1:$M$3001,Analysis!$M1889)</f>
        <v>1</v>
      </c>
      <c r="Q1889" s="6" t="str">
        <f>IF(COUNTIF(Analysis!$M$2:$M$3001,Analysis!$M1889)&gt;1,"Duplicate","OK")</f>
        <v>OK</v>
      </c>
      <c r="R1889" s="6" t="str">
        <f t="shared" si="1"/>
        <v>600-1600</v>
      </c>
      <c r="S1889" s="6">
        <f t="shared" si="2"/>
        <v>26</v>
      </c>
      <c r="T1889" s="6" t="str">
        <f t="shared" si="3"/>
        <v>Mid</v>
      </c>
    </row>
    <row r="1890" ht="14.25" customHeight="1">
      <c r="A1890" s="5">
        <v>991560.0</v>
      </c>
      <c r="B1890" s="6" t="s">
        <v>769</v>
      </c>
      <c r="C1890" s="6" t="s">
        <v>29</v>
      </c>
      <c r="D1890" s="6">
        <v>17782.0</v>
      </c>
      <c r="E1890" s="6" t="s">
        <v>19</v>
      </c>
      <c r="F1890" s="6" t="s">
        <v>54</v>
      </c>
      <c r="G1890" s="6" t="s">
        <v>31</v>
      </c>
      <c r="H1890" s="7">
        <v>3594.0</v>
      </c>
      <c r="I1890" s="7">
        <v>8781.0</v>
      </c>
      <c r="J1890" s="6">
        <v>2004.0</v>
      </c>
      <c r="K1890" s="6">
        <v>32.0</v>
      </c>
      <c r="L1890" s="6" t="s">
        <v>95</v>
      </c>
      <c r="M1890" s="6" t="s">
        <v>770</v>
      </c>
      <c r="N1890" s="6" t="s">
        <v>34</v>
      </c>
      <c r="O1890" s="6" t="s">
        <v>25</v>
      </c>
      <c r="P1890" s="6">
        <f>COUNTIF(Analysis!$M$1:$M$3001,Analysis!$M182)</f>
        <v>1</v>
      </c>
      <c r="Q1890" s="6" t="str">
        <f>IF(COUNTIF(Analysis!$M$2:$M$3001,Analysis!$M182)&gt;1,"Duplicate","OK")</f>
        <v>OK</v>
      </c>
      <c r="R1890" s="6" t="str">
        <f t="shared" si="1"/>
        <v>2600-3600</v>
      </c>
      <c r="S1890" s="6">
        <f t="shared" si="2"/>
        <v>22</v>
      </c>
      <c r="T1890" s="6" t="str">
        <f t="shared" si="3"/>
        <v>Mid</v>
      </c>
    </row>
    <row r="1891" ht="14.25" customHeight="1">
      <c r="A1891" s="5">
        <v>1413904.0</v>
      </c>
      <c r="B1891" s="6" t="s">
        <v>7601</v>
      </c>
      <c r="C1891" s="6" t="s">
        <v>18</v>
      </c>
      <c r="D1891" s="6">
        <v>25297.0</v>
      </c>
      <c r="E1891" s="6" t="s">
        <v>40</v>
      </c>
      <c r="F1891" s="6" t="s">
        <v>41</v>
      </c>
      <c r="G1891" s="6" t="s">
        <v>31</v>
      </c>
      <c r="H1891" s="7">
        <v>1532.0</v>
      </c>
      <c r="I1891" s="7">
        <v>3781.0</v>
      </c>
      <c r="J1891" s="6">
        <v>1992.0</v>
      </c>
      <c r="K1891" s="6">
        <v>4.0</v>
      </c>
      <c r="L1891" s="6" t="s">
        <v>62</v>
      </c>
      <c r="M1891" s="6" t="s">
        <v>7602</v>
      </c>
      <c r="N1891" s="6" t="s">
        <v>24</v>
      </c>
      <c r="O1891" s="6" t="s">
        <v>35</v>
      </c>
      <c r="P1891" s="6">
        <f>COUNTIF(Analysis!$M$1:$M$3001,Analysis!$M1891)</f>
        <v>1</v>
      </c>
      <c r="Q1891" s="6" t="str">
        <f>IF(COUNTIF(Analysis!$M$2:$M$3001,Analysis!$M1891)&gt;1,"Duplicate","OK")</f>
        <v>OK</v>
      </c>
      <c r="R1891" s="6" t="str">
        <f t="shared" si="1"/>
        <v>600-1600</v>
      </c>
      <c r="S1891" s="6">
        <f t="shared" si="2"/>
        <v>34</v>
      </c>
      <c r="T1891" s="6" t="str">
        <f t="shared" si="3"/>
        <v>Old</v>
      </c>
    </row>
    <row r="1892" ht="14.25" customHeight="1">
      <c r="A1892" s="5">
        <v>992882.0</v>
      </c>
      <c r="B1892" s="6" t="s">
        <v>8544</v>
      </c>
      <c r="C1892" s="6" t="s">
        <v>29</v>
      </c>
      <c r="D1892" s="6">
        <v>93607.0</v>
      </c>
      <c r="E1892" s="6" t="s">
        <v>30</v>
      </c>
      <c r="F1892" s="6" t="s">
        <v>61</v>
      </c>
      <c r="G1892" s="6" t="s">
        <v>100</v>
      </c>
      <c r="H1892" s="7">
        <v>3628.0</v>
      </c>
      <c r="I1892" s="7">
        <v>6969.0</v>
      </c>
      <c r="J1892" s="6">
        <v>1984.0</v>
      </c>
      <c r="K1892" s="6">
        <v>118.0</v>
      </c>
      <c r="L1892" s="6" t="s">
        <v>95</v>
      </c>
      <c r="M1892" s="6" t="s">
        <v>8545</v>
      </c>
      <c r="N1892" s="6" t="s">
        <v>48</v>
      </c>
      <c r="O1892" s="6" t="s">
        <v>25</v>
      </c>
      <c r="P1892" s="6">
        <f>COUNTIF(Analysis!$M$1:$M$3001,Analysis!$M2127)</f>
        <v>1</v>
      </c>
      <c r="Q1892" s="6" t="str">
        <f>IF(COUNTIF(Analysis!$M$2:$M$3001,Analysis!$M2127)&gt;1,"Duplicate","OK")</f>
        <v>OK</v>
      </c>
      <c r="R1892" s="6" t="str">
        <f t="shared" si="1"/>
        <v>3600+</v>
      </c>
      <c r="S1892" s="6">
        <f t="shared" si="2"/>
        <v>42</v>
      </c>
      <c r="T1892" s="6" t="str">
        <f t="shared" si="3"/>
        <v>Old</v>
      </c>
    </row>
    <row r="1893" ht="14.25" customHeight="1">
      <c r="A1893" s="5">
        <v>254946.0</v>
      </c>
      <c r="B1893" s="6" t="s">
        <v>7609</v>
      </c>
      <c r="C1893" s="6" t="s">
        <v>39</v>
      </c>
      <c r="D1893" s="6">
        <v>25867.0</v>
      </c>
      <c r="E1893" s="6" t="s">
        <v>77</v>
      </c>
      <c r="F1893" s="6" t="s">
        <v>61</v>
      </c>
      <c r="G1893" s="6" t="s">
        <v>31</v>
      </c>
      <c r="H1893" s="7">
        <v>2870.0</v>
      </c>
      <c r="I1893" s="7">
        <v>6069.0</v>
      </c>
      <c r="J1893" s="6">
        <v>2008.0</v>
      </c>
      <c r="K1893" s="6">
        <v>118.0</v>
      </c>
      <c r="L1893" s="6" t="s">
        <v>141</v>
      </c>
      <c r="M1893" s="6" t="s">
        <v>7610</v>
      </c>
      <c r="N1893" s="6" t="s">
        <v>64</v>
      </c>
      <c r="O1893" s="6" t="s">
        <v>25</v>
      </c>
      <c r="P1893" s="6">
        <f>COUNTIF(Analysis!$M$1:$M$3001,Analysis!$M1893)</f>
        <v>1</v>
      </c>
      <c r="Q1893" s="6" t="str">
        <f>IF(COUNTIF(Analysis!$M$2:$M$3001,Analysis!$M1893)&gt;1,"Duplicate","OK")</f>
        <v>OK</v>
      </c>
      <c r="R1893" s="6" t="str">
        <f t="shared" si="1"/>
        <v>2600-3600</v>
      </c>
      <c r="S1893" s="6">
        <f t="shared" si="2"/>
        <v>18</v>
      </c>
      <c r="T1893" s="6" t="str">
        <f t="shared" si="3"/>
        <v>Mid</v>
      </c>
    </row>
    <row r="1894" ht="14.25" customHeight="1">
      <c r="A1894" s="5">
        <v>563319.0</v>
      </c>
      <c r="B1894" s="6" t="s">
        <v>7613</v>
      </c>
      <c r="C1894" s="6" t="s">
        <v>18</v>
      </c>
      <c r="D1894" s="6">
        <v>79585.0</v>
      </c>
      <c r="E1894" s="6" t="s">
        <v>30</v>
      </c>
      <c r="F1894" s="6" t="s">
        <v>20</v>
      </c>
      <c r="G1894" s="6" t="s">
        <v>31</v>
      </c>
      <c r="H1894" s="7">
        <v>1753.0</v>
      </c>
      <c r="I1894" s="7">
        <v>4728.0</v>
      </c>
      <c r="J1894" s="6">
        <v>1954.0</v>
      </c>
      <c r="K1894" s="6">
        <v>2.0</v>
      </c>
      <c r="L1894" s="6" t="s">
        <v>62</v>
      </c>
      <c r="M1894" s="6" t="s">
        <v>7614</v>
      </c>
      <c r="N1894" s="6" t="s">
        <v>24</v>
      </c>
      <c r="O1894" s="6" t="s">
        <v>49</v>
      </c>
      <c r="P1894" s="6">
        <f>COUNTIF(Analysis!$M$1:$M$3001,Analysis!$M1894)</f>
        <v>1</v>
      </c>
      <c r="Q1894" s="6" t="str">
        <f>IF(COUNTIF(Analysis!$M$2:$M$3001,Analysis!$M1894)&gt;1,"Duplicate","OK")</f>
        <v>OK</v>
      </c>
      <c r="R1894" s="6" t="str">
        <f t="shared" si="1"/>
        <v>1600-2600</v>
      </c>
      <c r="S1894" s="6">
        <f t="shared" si="2"/>
        <v>72</v>
      </c>
      <c r="T1894" s="6" t="str">
        <f t="shared" si="3"/>
        <v>Very Old</v>
      </c>
    </row>
    <row r="1895" ht="14.25" customHeight="1">
      <c r="A1895" s="5">
        <v>993237.0</v>
      </c>
      <c r="B1895" s="6" t="s">
        <v>10403</v>
      </c>
      <c r="C1895" s="6" t="s">
        <v>29</v>
      </c>
      <c r="D1895" s="6">
        <v>24550.0</v>
      </c>
      <c r="E1895" s="6" t="s">
        <v>19</v>
      </c>
      <c r="F1895" s="6" t="s">
        <v>46</v>
      </c>
      <c r="G1895" s="6" t="s">
        <v>100</v>
      </c>
      <c r="H1895" s="7">
        <v>3869.0</v>
      </c>
      <c r="I1895" s="7">
        <v>5985.0</v>
      </c>
      <c r="J1895" s="6">
        <v>1966.0</v>
      </c>
      <c r="K1895" s="6">
        <v>89.0</v>
      </c>
      <c r="L1895" s="6" t="s">
        <v>95</v>
      </c>
      <c r="M1895" s="6" t="s">
        <v>10404</v>
      </c>
      <c r="N1895" s="6" t="s">
        <v>34</v>
      </c>
      <c r="O1895" s="6" t="s">
        <v>49</v>
      </c>
      <c r="P1895" s="6">
        <f>COUNTIF(Analysis!$M$1:$M$3001,Analysis!$M2592)</f>
        <v>1</v>
      </c>
      <c r="Q1895" s="6" t="str">
        <f>IF(COUNTIF(Analysis!$M$2:$M$3001,Analysis!$M2592)&gt;1,"Duplicate","OK")</f>
        <v>OK</v>
      </c>
      <c r="R1895" s="6" t="str">
        <f t="shared" si="1"/>
        <v>3600+</v>
      </c>
      <c r="S1895" s="6">
        <f t="shared" si="2"/>
        <v>60</v>
      </c>
      <c r="T1895" s="6" t="str">
        <f t="shared" si="3"/>
        <v>Old</v>
      </c>
    </row>
    <row r="1896" ht="14.25" customHeight="1">
      <c r="A1896" s="5">
        <v>994591.0</v>
      </c>
      <c r="B1896" s="6" t="s">
        <v>6821</v>
      </c>
      <c r="C1896" s="6" t="s">
        <v>29</v>
      </c>
      <c r="D1896" s="6">
        <v>72829.0</v>
      </c>
      <c r="E1896" s="6" t="s">
        <v>30</v>
      </c>
      <c r="F1896" s="6" t="s">
        <v>41</v>
      </c>
      <c r="G1896" s="6" t="s">
        <v>31</v>
      </c>
      <c r="H1896" s="7">
        <v>1351.0</v>
      </c>
      <c r="I1896" s="7">
        <v>4370.0</v>
      </c>
      <c r="J1896" s="6">
        <v>1969.0</v>
      </c>
      <c r="K1896" s="6">
        <v>1.0</v>
      </c>
      <c r="L1896" s="6" t="s">
        <v>62</v>
      </c>
      <c r="M1896" s="6" t="s">
        <v>6822</v>
      </c>
      <c r="N1896" s="6" t="s">
        <v>34</v>
      </c>
      <c r="O1896" s="6" t="s">
        <v>49</v>
      </c>
      <c r="P1896" s="6">
        <f>COUNTIF(Analysis!$M$1:$M$3001,Analysis!$M1696)</f>
        <v>1</v>
      </c>
      <c r="Q1896" s="6" t="str">
        <f>IF(COUNTIF(Analysis!$M$2:$M$3001,Analysis!$M1696)&gt;1,"Duplicate","OK")</f>
        <v>OK</v>
      </c>
      <c r="R1896" s="6" t="str">
        <f t="shared" si="1"/>
        <v>600-1600</v>
      </c>
      <c r="S1896" s="6">
        <f t="shared" si="2"/>
        <v>57</v>
      </c>
      <c r="T1896" s="6" t="str">
        <f t="shared" si="3"/>
        <v>Old</v>
      </c>
    </row>
    <row r="1897" ht="14.25" customHeight="1">
      <c r="A1897" s="5">
        <v>1417864.0</v>
      </c>
      <c r="B1897" s="6" t="s">
        <v>7625</v>
      </c>
      <c r="C1897" s="6" t="s">
        <v>76</v>
      </c>
      <c r="D1897" s="6">
        <v>64492.0</v>
      </c>
      <c r="E1897" s="6" t="s">
        <v>60</v>
      </c>
      <c r="F1897" s="6" t="s">
        <v>46</v>
      </c>
      <c r="G1897" s="6" t="s">
        <v>100</v>
      </c>
      <c r="H1897" s="7">
        <v>2400.0</v>
      </c>
      <c r="I1897" s="7">
        <v>8907.0</v>
      </c>
      <c r="J1897" s="6">
        <v>2013.0</v>
      </c>
      <c r="K1897" s="6">
        <v>107.0</v>
      </c>
      <c r="L1897" s="6" t="s">
        <v>22</v>
      </c>
      <c r="M1897" s="6" t="s">
        <v>7626</v>
      </c>
      <c r="N1897" s="6" t="s">
        <v>64</v>
      </c>
      <c r="O1897" s="6" t="s">
        <v>35</v>
      </c>
      <c r="P1897" s="6">
        <f>COUNTIF(Analysis!$M$1:$M$3001,Analysis!$M1897)</f>
        <v>1</v>
      </c>
      <c r="Q1897" s="6" t="str">
        <f>IF(COUNTIF(Analysis!$M$2:$M$3001,Analysis!$M1897)&gt;1,"Duplicate","OK")</f>
        <v>OK</v>
      </c>
      <c r="R1897" s="6" t="str">
        <f t="shared" si="1"/>
        <v>1600-2600</v>
      </c>
      <c r="S1897" s="6">
        <f t="shared" si="2"/>
        <v>13</v>
      </c>
      <c r="T1897" s="6" t="str">
        <f t="shared" si="3"/>
        <v>Mid</v>
      </c>
    </row>
    <row r="1898" ht="14.25" customHeight="1">
      <c r="A1898" s="5">
        <v>998003.0</v>
      </c>
      <c r="B1898" s="6" t="s">
        <v>8380</v>
      </c>
      <c r="C1898" s="6" t="s">
        <v>29</v>
      </c>
      <c r="D1898" s="6">
        <v>32179.0</v>
      </c>
      <c r="E1898" s="6" t="s">
        <v>30</v>
      </c>
      <c r="F1898" s="6" t="s">
        <v>46</v>
      </c>
      <c r="G1898" s="6" t="s">
        <v>55</v>
      </c>
      <c r="H1898" s="7">
        <v>2480.0</v>
      </c>
      <c r="I1898" s="7">
        <v>9940.0</v>
      </c>
      <c r="J1898" s="6">
        <v>1954.0</v>
      </c>
      <c r="K1898" s="6">
        <v>31.0</v>
      </c>
      <c r="L1898" s="6" t="s">
        <v>141</v>
      </c>
      <c r="M1898" s="6" t="s">
        <v>8381</v>
      </c>
      <c r="N1898" s="6" t="s">
        <v>24</v>
      </c>
      <c r="O1898" s="6" t="s">
        <v>49</v>
      </c>
      <c r="P1898" s="6">
        <f>COUNTIF(Analysis!$M$1:$M$3001,Analysis!$M2086)</f>
        <v>1</v>
      </c>
      <c r="Q1898" s="6" t="str">
        <f>IF(COUNTIF(Analysis!$M$2:$M$3001,Analysis!$M2086)&gt;1,"Duplicate","OK")</f>
        <v>OK</v>
      </c>
      <c r="R1898" s="6" t="str">
        <f t="shared" si="1"/>
        <v>1600-2600</v>
      </c>
      <c r="S1898" s="6">
        <f t="shared" si="2"/>
        <v>72</v>
      </c>
      <c r="T1898" s="6" t="str">
        <f t="shared" si="3"/>
        <v>Very Old</v>
      </c>
    </row>
    <row r="1899" ht="14.25" customHeight="1">
      <c r="A1899" s="5">
        <v>479296.0</v>
      </c>
      <c r="B1899" s="6" t="s">
        <v>7633</v>
      </c>
      <c r="C1899" s="6" t="s">
        <v>76</v>
      </c>
      <c r="D1899" s="6">
        <v>90874.0</v>
      </c>
      <c r="E1899" s="6" t="s">
        <v>19</v>
      </c>
      <c r="F1899" s="6" t="s">
        <v>20</v>
      </c>
      <c r="G1899" s="6" t="s">
        <v>31</v>
      </c>
      <c r="H1899" s="7">
        <v>3716.0</v>
      </c>
      <c r="I1899" s="7">
        <v>1379.0</v>
      </c>
      <c r="J1899" s="6">
        <v>2003.0</v>
      </c>
      <c r="K1899" s="6">
        <v>117.0</v>
      </c>
      <c r="L1899" s="6" t="s">
        <v>32</v>
      </c>
      <c r="M1899" s="6" t="s">
        <v>7634</v>
      </c>
      <c r="N1899" s="6" t="s">
        <v>34</v>
      </c>
      <c r="O1899" s="6" t="s">
        <v>35</v>
      </c>
      <c r="P1899" s="6">
        <f>COUNTIF(Analysis!$M$1:$M$3001,Analysis!$M1899)</f>
        <v>1</v>
      </c>
      <c r="Q1899" s="6" t="str">
        <f>IF(COUNTIF(Analysis!$M$2:$M$3001,Analysis!$M1899)&gt;1,"Duplicate","OK")</f>
        <v>OK</v>
      </c>
      <c r="R1899" s="6" t="str">
        <f t="shared" si="1"/>
        <v>3600+</v>
      </c>
      <c r="S1899" s="6">
        <f t="shared" si="2"/>
        <v>23</v>
      </c>
      <c r="T1899" s="6" t="str">
        <f t="shared" si="3"/>
        <v>Mid</v>
      </c>
    </row>
    <row r="1900" ht="14.25" customHeight="1">
      <c r="A1900" s="5">
        <v>999110.0</v>
      </c>
      <c r="B1900" s="6" t="s">
        <v>11507</v>
      </c>
      <c r="C1900" s="6" t="s">
        <v>29</v>
      </c>
      <c r="D1900" s="6">
        <v>58762.0</v>
      </c>
      <c r="E1900" s="6" t="s">
        <v>19</v>
      </c>
      <c r="F1900" s="6" t="s">
        <v>54</v>
      </c>
      <c r="G1900" s="6" t="s">
        <v>55</v>
      </c>
      <c r="H1900" s="7">
        <v>3588.0</v>
      </c>
      <c r="I1900" s="7">
        <v>6433.0</v>
      </c>
      <c r="J1900" s="6">
        <v>2008.0</v>
      </c>
      <c r="K1900" s="6">
        <v>64.0</v>
      </c>
      <c r="L1900" s="6" t="s">
        <v>141</v>
      </c>
      <c r="M1900" s="6" t="s">
        <v>11508</v>
      </c>
      <c r="N1900" s="6" t="s">
        <v>43</v>
      </c>
      <c r="O1900" s="6" t="s">
        <v>25</v>
      </c>
      <c r="P1900" s="6">
        <f>COUNTIF(Analysis!$M$1:$M$3001,Analysis!$M2868)</f>
        <v>1</v>
      </c>
      <c r="Q1900" s="6" t="str">
        <f>IF(COUNTIF(Analysis!$M$2:$M$3001,Analysis!$M2868)&gt;1,"Duplicate","OK")</f>
        <v>OK</v>
      </c>
      <c r="R1900" s="6" t="str">
        <f t="shared" si="1"/>
        <v>2600-3600</v>
      </c>
      <c r="S1900" s="6">
        <f t="shared" si="2"/>
        <v>18</v>
      </c>
      <c r="T1900" s="6" t="str">
        <f t="shared" si="3"/>
        <v>Mid</v>
      </c>
    </row>
    <row r="1901" ht="14.25" customHeight="1">
      <c r="A1901" s="5">
        <v>333354.0</v>
      </c>
      <c r="B1901" s="6" t="s">
        <v>7641</v>
      </c>
      <c r="C1901" s="6" t="s">
        <v>18</v>
      </c>
      <c r="D1901" s="6">
        <v>28138.0</v>
      </c>
      <c r="E1901" s="6" t="s">
        <v>30</v>
      </c>
      <c r="F1901" s="6" t="s">
        <v>41</v>
      </c>
      <c r="G1901" s="6" t="s">
        <v>21</v>
      </c>
      <c r="H1901" s="7">
        <v>3079.0</v>
      </c>
      <c r="I1901" s="7">
        <v>5682.0</v>
      </c>
      <c r="J1901" s="6">
        <v>2005.0</v>
      </c>
      <c r="K1901" s="6">
        <v>41.0</v>
      </c>
      <c r="L1901" s="6" t="s">
        <v>32</v>
      </c>
      <c r="M1901" s="6" t="s">
        <v>7642</v>
      </c>
      <c r="N1901" s="6" t="s">
        <v>48</v>
      </c>
      <c r="O1901" s="6" t="s">
        <v>35</v>
      </c>
      <c r="P1901" s="6">
        <f>COUNTIF(Analysis!$M$1:$M$3001,Analysis!$M1901)</f>
        <v>1</v>
      </c>
      <c r="Q1901" s="6" t="str">
        <f>IF(COUNTIF(Analysis!$M$2:$M$3001,Analysis!$M1901)&gt;1,"Duplicate","OK")</f>
        <v>OK</v>
      </c>
      <c r="R1901" s="6" t="str">
        <f t="shared" si="1"/>
        <v>2600-3600</v>
      </c>
      <c r="S1901" s="6">
        <f t="shared" si="2"/>
        <v>21</v>
      </c>
      <c r="T1901" s="6" t="str">
        <f t="shared" si="3"/>
        <v>Mid</v>
      </c>
    </row>
    <row r="1902" ht="14.25" customHeight="1">
      <c r="A1902" s="5">
        <v>462942.0</v>
      </c>
      <c r="B1902" s="6" t="s">
        <v>7645</v>
      </c>
      <c r="C1902" s="6" t="s">
        <v>53</v>
      </c>
      <c r="D1902" s="6">
        <v>21056.0</v>
      </c>
      <c r="E1902" s="6" t="s">
        <v>77</v>
      </c>
      <c r="F1902" s="6" t="s">
        <v>41</v>
      </c>
      <c r="G1902" s="6" t="s">
        <v>31</v>
      </c>
      <c r="H1902" s="7">
        <v>1380.0</v>
      </c>
      <c r="I1902" s="7">
        <v>5869.0</v>
      </c>
      <c r="J1902" s="6">
        <v>1996.0</v>
      </c>
      <c r="K1902" s="6">
        <v>31.0</v>
      </c>
      <c r="L1902" s="6" t="s">
        <v>22</v>
      </c>
      <c r="M1902" s="6" t="s">
        <v>7646</v>
      </c>
      <c r="N1902" s="6" t="s">
        <v>64</v>
      </c>
      <c r="O1902" s="6" t="s">
        <v>35</v>
      </c>
      <c r="P1902" s="6">
        <f>COUNTIF(Analysis!$M$1:$M$3001,Analysis!$M1902)</f>
        <v>1</v>
      </c>
      <c r="Q1902" s="6" t="str">
        <f>IF(COUNTIF(Analysis!$M$2:$M$3001,Analysis!$M1902)&gt;1,"Duplicate","OK")</f>
        <v>OK</v>
      </c>
      <c r="R1902" s="6" t="str">
        <f t="shared" si="1"/>
        <v>600-1600</v>
      </c>
      <c r="S1902" s="6">
        <f t="shared" si="2"/>
        <v>30</v>
      </c>
      <c r="T1902" s="6" t="str">
        <f t="shared" si="3"/>
        <v>Mid</v>
      </c>
    </row>
    <row r="1903" ht="14.25" customHeight="1">
      <c r="A1903" s="5">
        <v>100359.0</v>
      </c>
      <c r="B1903" s="6" t="s">
        <v>7649</v>
      </c>
      <c r="C1903" s="6" t="s">
        <v>39</v>
      </c>
      <c r="D1903" s="6">
        <v>70372.0</v>
      </c>
      <c r="E1903" s="6" t="s">
        <v>77</v>
      </c>
      <c r="F1903" s="6" t="s">
        <v>94</v>
      </c>
      <c r="G1903" s="6" t="s">
        <v>21</v>
      </c>
      <c r="H1903" s="7">
        <v>3154.0</v>
      </c>
      <c r="I1903" s="7">
        <v>8288.0</v>
      </c>
      <c r="J1903" s="6">
        <v>1999.0</v>
      </c>
      <c r="K1903" s="6">
        <v>118.0</v>
      </c>
      <c r="L1903" s="6" t="s">
        <v>95</v>
      </c>
      <c r="M1903" s="6" t="s">
        <v>7650</v>
      </c>
      <c r="N1903" s="6" t="s">
        <v>34</v>
      </c>
      <c r="O1903" s="6" t="s">
        <v>25</v>
      </c>
      <c r="P1903" s="6">
        <f>COUNTIF(Analysis!$M$1:$M$3001,Analysis!$M1903)</f>
        <v>1</v>
      </c>
      <c r="Q1903" s="6" t="str">
        <f>IF(COUNTIF(Analysis!$M$2:$M$3001,Analysis!$M1903)&gt;1,"Duplicate","OK")</f>
        <v>OK</v>
      </c>
      <c r="R1903" s="6" t="str">
        <f t="shared" si="1"/>
        <v>2600-3600</v>
      </c>
      <c r="S1903" s="6">
        <f t="shared" si="2"/>
        <v>27</v>
      </c>
      <c r="T1903" s="6" t="str">
        <f t="shared" si="3"/>
        <v>Mid</v>
      </c>
    </row>
    <row r="1904" ht="14.25" customHeight="1">
      <c r="A1904" s="5">
        <v>861114.0</v>
      </c>
      <c r="B1904" s="6" t="s">
        <v>7653</v>
      </c>
      <c r="C1904" s="6" t="s">
        <v>76</v>
      </c>
      <c r="D1904" s="6">
        <v>57003.0</v>
      </c>
      <c r="E1904" s="6" t="s">
        <v>77</v>
      </c>
      <c r="F1904" s="6" t="s">
        <v>61</v>
      </c>
      <c r="G1904" s="6" t="s">
        <v>55</v>
      </c>
      <c r="H1904" s="7">
        <v>2370.0</v>
      </c>
      <c r="I1904" s="7">
        <v>7058.0</v>
      </c>
      <c r="J1904" s="6">
        <v>2010.0</v>
      </c>
      <c r="K1904" s="6">
        <v>59.0</v>
      </c>
      <c r="L1904" s="6" t="s">
        <v>62</v>
      </c>
      <c r="M1904" s="6" t="s">
        <v>7654</v>
      </c>
      <c r="N1904" s="6" t="s">
        <v>48</v>
      </c>
      <c r="O1904" s="6" t="s">
        <v>35</v>
      </c>
      <c r="P1904" s="6">
        <f>COUNTIF(Analysis!$M$1:$M$3001,Analysis!$M1904)</f>
        <v>1</v>
      </c>
      <c r="Q1904" s="6" t="str">
        <f>IF(COUNTIF(Analysis!$M$2:$M$3001,Analysis!$M1904)&gt;1,"Duplicate","OK")</f>
        <v>OK</v>
      </c>
      <c r="R1904" s="6" t="str">
        <f t="shared" si="1"/>
        <v>1600-2600</v>
      </c>
      <c r="S1904" s="6">
        <f t="shared" si="2"/>
        <v>16</v>
      </c>
      <c r="T1904" s="6" t="str">
        <f t="shared" si="3"/>
        <v>Mid</v>
      </c>
    </row>
    <row r="1905" ht="14.25" customHeight="1">
      <c r="A1905" s="5">
        <v>781259.0</v>
      </c>
      <c r="B1905" s="6" t="s">
        <v>7657</v>
      </c>
      <c r="C1905" s="6" t="s">
        <v>53</v>
      </c>
      <c r="D1905" s="6">
        <v>34275.0</v>
      </c>
      <c r="E1905" s="6" t="s">
        <v>77</v>
      </c>
      <c r="F1905" s="6" t="s">
        <v>54</v>
      </c>
      <c r="G1905" s="6" t="s">
        <v>100</v>
      </c>
      <c r="H1905" s="7">
        <v>3946.0</v>
      </c>
      <c r="I1905" s="7">
        <v>4938.0</v>
      </c>
      <c r="J1905" s="6">
        <v>2010.0</v>
      </c>
      <c r="K1905" s="6">
        <v>88.0</v>
      </c>
      <c r="L1905" s="6" t="s">
        <v>95</v>
      </c>
      <c r="M1905" s="6" t="s">
        <v>7658</v>
      </c>
      <c r="N1905" s="6" t="s">
        <v>24</v>
      </c>
      <c r="O1905" s="6" t="s">
        <v>35</v>
      </c>
      <c r="P1905" s="6">
        <f>COUNTIF(Analysis!$M$1:$M$3001,Analysis!$M1905)</f>
        <v>1</v>
      </c>
      <c r="Q1905" s="6" t="str">
        <f>IF(COUNTIF(Analysis!$M$2:$M$3001,Analysis!$M1905)&gt;1,"Duplicate","OK")</f>
        <v>OK</v>
      </c>
      <c r="R1905" s="6" t="str">
        <f t="shared" si="1"/>
        <v>3600+</v>
      </c>
      <c r="S1905" s="6">
        <f t="shared" si="2"/>
        <v>16</v>
      </c>
      <c r="T1905" s="6" t="str">
        <f t="shared" si="3"/>
        <v>Mid</v>
      </c>
    </row>
    <row r="1906" ht="14.25" customHeight="1">
      <c r="A1906" s="5">
        <v>260105.0</v>
      </c>
      <c r="B1906" s="6" t="s">
        <v>7661</v>
      </c>
      <c r="C1906" s="6" t="s">
        <v>18</v>
      </c>
      <c r="D1906" s="6">
        <v>69070.0</v>
      </c>
      <c r="E1906" s="6" t="s">
        <v>77</v>
      </c>
      <c r="F1906" s="6" t="s">
        <v>20</v>
      </c>
      <c r="G1906" s="6" t="s">
        <v>21</v>
      </c>
      <c r="H1906" s="7">
        <v>3188.0</v>
      </c>
      <c r="I1906" s="7">
        <v>1006.0</v>
      </c>
      <c r="J1906" s="6">
        <v>1990.0</v>
      </c>
      <c r="K1906" s="6">
        <v>91.0</v>
      </c>
      <c r="L1906" s="6" t="s">
        <v>95</v>
      </c>
      <c r="M1906" s="6" t="s">
        <v>7662</v>
      </c>
      <c r="N1906" s="6" t="s">
        <v>24</v>
      </c>
      <c r="O1906" s="6" t="s">
        <v>49</v>
      </c>
      <c r="P1906" s="6">
        <f>COUNTIF(Analysis!$M$1:$M$3001,Analysis!$M1906)</f>
        <v>1</v>
      </c>
      <c r="Q1906" s="6" t="str">
        <f>IF(COUNTIF(Analysis!$M$2:$M$3001,Analysis!$M1906)&gt;1,"Duplicate","OK")</f>
        <v>OK</v>
      </c>
      <c r="R1906" s="6" t="str">
        <f t="shared" si="1"/>
        <v>2600-3600</v>
      </c>
      <c r="S1906" s="6">
        <f t="shared" si="2"/>
        <v>36</v>
      </c>
      <c r="T1906" s="6" t="str">
        <f t="shared" si="3"/>
        <v>Old</v>
      </c>
    </row>
    <row r="1907" ht="14.25" customHeight="1">
      <c r="A1907" s="5">
        <v>1002939.0</v>
      </c>
      <c r="B1907" s="6" t="s">
        <v>9599</v>
      </c>
      <c r="C1907" s="6" t="s">
        <v>29</v>
      </c>
      <c r="D1907" s="6">
        <v>64140.0</v>
      </c>
      <c r="E1907" s="6" t="s">
        <v>19</v>
      </c>
      <c r="F1907" s="6" t="s">
        <v>54</v>
      </c>
      <c r="G1907" s="6" t="s">
        <v>21</v>
      </c>
      <c r="H1907" s="7">
        <v>3991.0</v>
      </c>
      <c r="I1907" s="7">
        <v>9816.0</v>
      </c>
      <c r="J1907" s="6">
        <v>1987.0</v>
      </c>
      <c r="K1907" s="6">
        <v>102.0</v>
      </c>
      <c r="L1907" s="6" t="s">
        <v>62</v>
      </c>
      <c r="M1907" s="6" t="s">
        <v>9600</v>
      </c>
      <c r="N1907" s="6" t="s">
        <v>34</v>
      </c>
      <c r="O1907" s="6" t="s">
        <v>35</v>
      </c>
      <c r="P1907" s="6">
        <f>COUNTIF(Analysis!$M$1:$M$3001,Analysis!$M2391)</f>
        <v>1</v>
      </c>
      <c r="Q1907" s="6" t="str">
        <f>IF(COUNTIF(Analysis!$M$2:$M$3001,Analysis!$M2391)&gt;1,"Duplicate","OK")</f>
        <v>OK</v>
      </c>
      <c r="R1907" s="6" t="str">
        <f t="shared" si="1"/>
        <v>3600+</v>
      </c>
      <c r="S1907" s="6">
        <f t="shared" si="2"/>
        <v>39</v>
      </c>
      <c r="T1907" s="6" t="str">
        <f t="shared" si="3"/>
        <v>Old</v>
      </c>
    </row>
    <row r="1908" ht="14.25" customHeight="1">
      <c r="A1908" s="5">
        <v>934181.0</v>
      </c>
      <c r="B1908" s="6" t="s">
        <v>7669</v>
      </c>
      <c r="C1908" s="6" t="s">
        <v>53</v>
      </c>
      <c r="D1908" s="6">
        <v>54344.0</v>
      </c>
      <c r="E1908" s="6" t="s">
        <v>77</v>
      </c>
      <c r="F1908" s="6" t="s">
        <v>41</v>
      </c>
      <c r="G1908" s="6" t="s">
        <v>31</v>
      </c>
      <c r="H1908" s="7">
        <v>3887.0</v>
      </c>
      <c r="I1908" s="7">
        <v>1045.0</v>
      </c>
      <c r="J1908" s="6">
        <v>1976.0</v>
      </c>
      <c r="K1908" s="6">
        <v>100.0</v>
      </c>
      <c r="L1908" s="6" t="s">
        <v>32</v>
      </c>
      <c r="M1908" s="6" t="s">
        <v>7670</v>
      </c>
      <c r="N1908" s="6" t="s">
        <v>48</v>
      </c>
      <c r="O1908" s="6" t="s">
        <v>25</v>
      </c>
      <c r="P1908" s="6">
        <f>COUNTIF(Analysis!$M$1:$M$3001,Analysis!$M1908)</f>
        <v>1</v>
      </c>
      <c r="Q1908" s="6" t="str">
        <f>IF(COUNTIF(Analysis!$M$2:$M$3001,Analysis!$M1908)&gt;1,"Duplicate","OK")</f>
        <v>OK</v>
      </c>
      <c r="R1908" s="6" t="str">
        <f t="shared" si="1"/>
        <v>3600+</v>
      </c>
      <c r="S1908" s="6">
        <f t="shared" si="2"/>
        <v>50</v>
      </c>
      <c r="T1908" s="6" t="str">
        <f t="shared" si="3"/>
        <v>Old</v>
      </c>
    </row>
    <row r="1909" ht="14.25" customHeight="1">
      <c r="A1909" s="5">
        <v>830727.0</v>
      </c>
      <c r="B1909" s="6" t="s">
        <v>7673</v>
      </c>
      <c r="C1909" s="6" t="s">
        <v>76</v>
      </c>
      <c r="D1909" s="6">
        <v>49783.0</v>
      </c>
      <c r="E1909" s="6" t="s">
        <v>77</v>
      </c>
      <c r="F1909" s="6" t="s">
        <v>54</v>
      </c>
      <c r="G1909" s="6" t="s">
        <v>100</v>
      </c>
      <c r="H1909" s="7">
        <v>811.0</v>
      </c>
      <c r="I1909" s="7">
        <v>9209.0</v>
      </c>
      <c r="J1909" s="6">
        <v>1956.0</v>
      </c>
      <c r="K1909" s="6">
        <v>97.0</v>
      </c>
      <c r="L1909" s="6" t="s">
        <v>141</v>
      </c>
      <c r="M1909" s="6" t="s">
        <v>7674</v>
      </c>
      <c r="N1909" s="6" t="s">
        <v>24</v>
      </c>
      <c r="O1909" s="6" t="s">
        <v>25</v>
      </c>
      <c r="P1909" s="6">
        <f>COUNTIF(Analysis!$M$1:$M$3001,Analysis!$M1909)</f>
        <v>1</v>
      </c>
      <c r="Q1909" s="6" t="str">
        <f>IF(COUNTIF(Analysis!$M$2:$M$3001,Analysis!$M1909)&gt;1,"Duplicate","OK")</f>
        <v>OK</v>
      </c>
      <c r="R1909" s="6" t="str">
        <f t="shared" si="1"/>
        <v>600-1600</v>
      </c>
      <c r="S1909" s="6">
        <f t="shared" si="2"/>
        <v>70</v>
      </c>
      <c r="T1909" s="6" t="str">
        <f t="shared" si="3"/>
        <v>Very Old</v>
      </c>
    </row>
    <row r="1910" ht="14.25" customHeight="1">
      <c r="A1910" s="5">
        <v>1003420.0</v>
      </c>
      <c r="B1910" s="6" t="s">
        <v>4619</v>
      </c>
      <c r="C1910" s="6" t="s">
        <v>29</v>
      </c>
      <c r="D1910" s="6">
        <v>32190.0</v>
      </c>
      <c r="E1910" s="6" t="s">
        <v>30</v>
      </c>
      <c r="F1910" s="6" t="s">
        <v>41</v>
      </c>
      <c r="G1910" s="6" t="s">
        <v>21</v>
      </c>
      <c r="H1910" s="7">
        <v>2183.0</v>
      </c>
      <c r="I1910" s="7">
        <v>2733.0</v>
      </c>
      <c r="J1910" s="6">
        <v>1975.0</v>
      </c>
      <c r="K1910" s="6">
        <v>102.0</v>
      </c>
      <c r="L1910" s="6" t="s">
        <v>62</v>
      </c>
      <c r="M1910" s="6" t="s">
        <v>4620</v>
      </c>
      <c r="N1910" s="6" t="s">
        <v>48</v>
      </c>
      <c r="O1910" s="6" t="s">
        <v>49</v>
      </c>
      <c r="P1910" s="6">
        <f>COUNTIF(Analysis!$M$1:$M$3001,Analysis!$M1145)</f>
        <v>1</v>
      </c>
      <c r="Q1910" s="6" t="str">
        <f>IF(COUNTIF(Analysis!$M$2:$M$3001,Analysis!$M1145)&gt;1,"Duplicate","OK")</f>
        <v>OK</v>
      </c>
      <c r="R1910" s="6" t="str">
        <f t="shared" si="1"/>
        <v>1600-2600</v>
      </c>
      <c r="S1910" s="6">
        <f t="shared" si="2"/>
        <v>51</v>
      </c>
      <c r="T1910" s="6" t="str">
        <f t="shared" si="3"/>
        <v>Old</v>
      </c>
    </row>
    <row r="1911" ht="14.25" customHeight="1">
      <c r="A1911" s="5">
        <v>1198238.0</v>
      </c>
      <c r="B1911" s="6" t="s">
        <v>7681</v>
      </c>
      <c r="C1911" s="6" t="s">
        <v>39</v>
      </c>
      <c r="D1911" s="6">
        <v>67646.0</v>
      </c>
      <c r="E1911" s="6" t="s">
        <v>19</v>
      </c>
      <c r="F1911" s="6" t="s">
        <v>46</v>
      </c>
      <c r="G1911" s="6" t="s">
        <v>55</v>
      </c>
      <c r="H1911" s="7">
        <v>3554.0</v>
      </c>
      <c r="I1911" s="7">
        <v>1189.0</v>
      </c>
      <c r="J1911" s="6">
        <v>1971.0</v>
      </c>
      <c r="K1911" s="6">
        <v>28.0</v>
      </c>
      <c r="L1911" s="6" t="s">
        <v>62</v>
      </c>
      <c r="M1911" s="6" t="s">
        <v>7682</v>
      </c>
      <c r="N1911" s="6" t="s">
        <v>43</v>
      </c>
      <c r="O1911" s="6" t="s">
        <v>35</v>
      </c>
      <c r="P1911" s="6">
        <f>COUNTIF(Analysis!$M$1:$M$3001,Analysis!$M1911)</f>
        <v>1</v>
      </c>
      <c r="Q1911" s="6" t="str">
        <f>IF(COUNTIF(Analysis!$M$2:$M$3001,Analysis!$M1911)&gt;1,"Duplicate","OK")</f>
        <v>OK</v>
      </c>
      <c r="R1911" s="6" t="str">
        <f t="shared" si="1"/>
        <v>2600-3600</v>
      </c>
      <c r="S1911" s="6">
        <f t="shared" si="2"/>
        <v>55</v>
      </c>
      <c r="T1911" s="6" t="str">
        <f t="shared" si="3"/>
        <v>Old</v>
      </c>
    </row>
    <row r="1912" ht="14.25" customHeight="1">
      <c r="A1912" s="5">
        <v>1087111.0</v>
      </c>
      <c r="B1912" s="6" t="s">
        <v>7685</v>
      </c>
      <c r="C1912" s="6" t="s">
        <v>53</v>
      </c>
      <c r="D1912" s="6">
        <v>43139.0</v>
      </c>
      <c r="E1912" s="6" t="s">
        <v>77</v>
      </c>
      <c r="F1912" s="6" t="s">
        <v>20</v>
      </c>
      <c r="G1912" s="6" t="s">
        <v>21</v>
      </c>
      <c r="H1912" s="7">
        <v>3575.0</v>
      </c>
      <c r="I1912" s="7">
        <v>6578.0</v>
      </c>
      <c r="J1912" s="6">
        <v>1963.0</v>
      </c>
      <c r="K1912" s="6">
        <v>5.0</v>
      </c>
      <c r="L1912" s="6" t="s">
        <v>62</v>
      </c>
      <c r="M1912" s="6" t="s">
        <v>7686</v>
      </c>
      <c r="N1912" s="6" t="s">
        <v>24</v>
      </c>
      <c r="O1912" s="6" t="s">
        <v>49</v>
      </c>
      <c r="P1912" s="6">
        <f>COUNTIF(Analysis!$M$1:$M$3001,Analysis!$M1912)</f>
        <v>1</v>
      </c>
      <c r="Q1912" s="6" t="str">
        <f>IF(COUNTIF(Analysis!$M$2:$M$3001,Analysis!$M1912)&gt;1,"Duplicate","OK")</f>
        <v>OK</v>
      </c>
      <c r="R1912" s="6" t="str">
        <f t="shared" si="1"/>
        <v>2600-3600</v>
      </c>
      <c r="S1912" s="6">
        <f t="shared" si="2"/>
        <v>63</v>
      </c>
      <c r="T1912" s="6" t="str">
        <f t="shared" si="3"/>
        <v>Very Old</v>
      </c>
    </row>
    <row r="1913" ht="14.25" customHeight="1">
      <c r="A1913" s="5">
        <v>438591.0</v>
      </c>
      <c r="B1913" s="6" t="s">
        <v>7689</v>
      </c>
      <c r="C1913" s="6" t="s">
        <v>39</v>
      </c>
      <c r="D1913" s="6">
        <v>60095.0</v>
      </c>
      <c r="E1913" s="6" t="s">
        <v>19</v>
      </c>
      <c r="F1913" s="6" t="s">
        <v>20</v>
      </c>
      <c r="G1913" s="6" t="s">
        <v>55</v>
      </c>
      <c r="H1913" s="7">
        <v>2724.0</v>
      </c>
      <c r="I1913" s="7">
        <v>5688.0</v>
      </c>
      <c r="J1913" s="6">
        <v>1971.0</v>
      </c>
      <c r="K1913" s="6">
        <v>110.0</v>
      </c>
      <c r="L1913" s="6" t="s">
        <v>95</v>
      </c>
      <c r="M1913" s="6" t="s">
        <v>7690</v>
      </c>
      <c r="N1913" s="6" t="s">
        <v>24</v>
      </c>
      <c r="O1913" s="6" t="s">
        <v>25</v>
      </c>
      <c r="P1913" s="6">
        <f>COUNTIF(Analysis!$M$1:$M$3001,Analysis!$M1913)</f>
        <v>1</v>
      </c>
      <c r="Q1913" s="6" t="str">
        <f>IF(COUNTIF(Analysis!$M$2:$M$3001,Analysis!$M1913)&gt;1,"Duplicate","OK")</f>
        <v>OK</v>
      </c>
      <c r="R1913" s="6" t="str">
        <f t="shared" si="1"/>
        <v>2600-3600</v>
      </c>
      <c r="S1913" s="6">
        <f t="shared" si="2"/>
        <v>55</v>
      </c>
      <c r="T1913" s="6" t="str">
        <f t="shared" si="3"/>
        <v>Old</v>
      </c>
    </row>
    <row r="1914" ht="14.25" customHeight="1">
      <c r="A1914" s="5">
        <v>180214.0</v>
      </c>
      <c r="B1914" s="6" t="s">
        <v>7693</v>
      </c>
      <c r="C1914" s="6" t="s">
        <v>53</v>
      </c>
      <c r="D1914" s="6">
        <v>65504.0</v>
      </c>
      <c r="E1914" s="6" t="s">
        <v>40</v>
      </c>
      <c r="F1914" s="6" t="s">
        <v>61</v>
      </c>
      <c r="G1914" s="6" t="s">
        <v>55</v>
      </c>
      <c r="H1914" s="7">
        <v>2579.0</v>
      </c>
      <c r="I1914" s="7">
        <v>3469.0</v>
      </c>
      <c r="J1914" s="6">
        <v>1979.0</v>
      </c>
      <c r="K1914" s="6">
        <v>108.0</v>
      </c>
      <c r="L1914" s="6" t="s">
        <v>141</v>
      </c>
      <c r="M1914" s="6" t="s">
        <v>7694</v>
      </c>
      <c r="N1914" s="6" t="s">
        <v>34</v>
      </c>
      <c r="O1914" s="6" t="s">
        <v>25</v>
      </c>
      <c r="P1914" s="6">
        <f>COUNTIF(Analysis!$M$1:$M$3001,Analysis!$M1914)</f>
        <v>1</v>
      </c>
      <c r="Q1914" s="6" t="str">
        <f>IF(COUNTIF(Analysis!$M$2:$M$3001,Analysis!$M1914)&gt;1,"Duplicate","OK")</f>
        <v>OK</v>
      </c>
      <c r="R1914" s="6" t="str">
        <f t="shared" si="1"/>
        <v>1600-2600</v>
      </c>
      <c r="S1914" s="6">
        <f t="shared" si="2"/>
        <v>47</v>
      </c>
      <c r="T1914" s="6" t="str">
        <f t="shared" si="3"/>
        <v>Old</v>
      </c>
    </row>
    <row r="1915" ht="14.25" customHeight="1">
      <c r="A1915" s="5">
        <v>1140983.0</v>
      </c>
      <c r="B1915" s="6" t="s">
        <v>7697</v>
      </c>
      <c r="C1915" s="6" t="s">
        <v>76</v>
      </c>
      <c r="D1915" s="6">
        <v>28163.0</v>
      </c>
      <c r="E1915" s="6" t="s">
        <v>30</v>
      </c>
      <c r="F1915" s="6" t="s">
        <v>46</v>
      </c>
      <c r="G1915" s="6" t="s">
        <v>21</v>
      </c>
      <c r="H1915" s="7">
        <v>1615.0</v>
      </c>
      <c r="I1915" s="7">
        <v>2997.0</v>
      </c>
      <c r="J1915" s="6">
        <v>1971.0</v>
      </c>
      <c r="K1915" s="6">
        <v>29.0</v>
      </c>
      <c r="L1915" s="6" t="s">
        <v>32</v>
      </c>
      <c r="M1915" s="6" t="s">
        <v>7698</v>
      </c>
      <c r="N1915" s="6" t="s">
        <v>34</v>
      </c>
      <c r="O1915" s="6" t="s">
        <v>25</v>
      </c>
      <c r="P1915" s="6">
        <f>COUNTIF(Analysis!$M$1:$M$3001,Analysis!$M1915)</f>
        <v>1</v>
      </c>
      <c r="Q1915" s="6" t="str">
        <f>IF(COUNTIF(Analysis!$M$2:$M$3001,Analysis!$M1915)&gt;1,"Duplicate","OK")</f>
        <v>OK</v>
      </c>
      <c r="R1915" s="6" t="str">
        <f t="shared" si="1"/>
        <v>1600-2600</v>
      </c>
      <c r="S1915" s="6">
        <f t="shared" si="2"/>
        <v>55</v>
      </c>
      <c r="T1915" s="6" t="str">
        <f t="shared" si="3"/>
        <v>Old</v>
      </c>
    </row>
    <row r="1916" ht="14.25" customHeight="1">
      <c r="A1916" s="5">
        <v>831489.0</v>
      </c>
      <c r="B1916" s="6" t="s">
        <v>7701</v>
      </c>
      <c r="C1916" s="6" t="s">
        <v>53</v>
      </c>
      <c r="D1916" s="6">
        <v>81107.0</v>
      </c>
      <c r="E1916" s="6" t="s">
        <v>19</v>
      </c>
      <c r="F1916" s="6" t="s">
        <v>46</v>
      </c>
      <c r="G1916" s="6" t="s">
        <v>21</v>
      </c>
      <c r="H1916" s="7">
        <v>2454.0</v>
      </c>
      <c r="I1916" s="7">
        <v>9981.0</v>
      </c>
      <c r="J1916" s="6">
        <v>1992.0</v>
      </c>
      <c r="K1916" s="6">
        <v>3.0</v>
      </c>
      <c r="L1916" s="6" t="s">
        <v>95</v>
      </c>
      <c r="M1916" s="6" t="s">
        <v>7702</v>
      </c>
      <c r="N1916" s="6" t="s">
        <v>24</v>
      </c>
      <c r="O1916" s="6" t="s">
        <v>49</v>
      </c>
      <c r="P1916" s="6">
        <f>COUNTIF(Analysis!$M$1:$M$3001,Analysis!$M1916)</f>
        <v>1</v>
      </c>
      <c r="Q1916" s="6" t="str">
        <f>IF(COUNTIF(Analysis!$M$2:$M$3001,Analysis!$M1916)&gt;1,"Duplicate","OK")</f>
        <v>OK</v>
      </c>
      <c r="R1916" s="6" t="str">
        <f t="shared" si="1"/>
        <v>1600-2600</v>
      </c>
      <c r="S1916" s="6">
        <f t="shared" si="2"/>
        <v>34</v>
      </c>
      <c r="T1916" s="6" t="str">
        <f t="shared" si="3"/>
        <v>Old</v>
      </c>
    </row>
    <row r="1917" ht="14.25" customHeight="1">
      <c r="A1917" s="5">
        <v>137256.0</v>
      </c>
      <c r="B1917" s="6" t="s">
        <v>7705</v>
      </c>
      <c r="C1917" s="6" t="s">
        <v>18</v>
      </c>
      <c r="D1917" s="6">
        <v>53430.0</v>
      </c>
      <c r="E1917" s="6" t="s">
        <v>30</v>
      </c>
      <c r="F1917" s="6" t="s">
        <v>61</v>
      </c>
      <c r="G1917" s="6" t="s">
        <v>21</v>
      </c>
      <c r="H1917" s="7">
        <v>2807.0</v>
      </c>
      <c r="I1917" s="7">
        <v>2721.0</v>
      </c>
      <c r="J1917" s="6">
        <v>1955.0</v>
      </c>
      <c r="K1917" s="6">
        <v>73.0</v>
      </c>
      <c r="L1917" s="6" t="s">
        <v>62</v>
      </c>
      <c r="M1917" s="6" t="s">
        <v>7706</v>
      </c>
      <c r="N1917" s="6" t="s">
        <v>43</v>
      </c>
      <c r="O1917" s="6" t="s">
        <v>25</v>
      </c>
      <c r="P1917" s="6">
        <f>COUNTIF(Analysis!$M$1:$M$3001,Analysis!$M1917)</f>
        <v>1</v>
      </c>
      <c r="Q1917" s="6" t="str">
        <f>IF(COUNTIF(Analysis!$M$2:$M$3001,Analysis!$M1917)&gt;1,"Duplicate","OK")</f>
        <v>OK</v>
      </c>
      <c r="R1917" s="6" t="str">
        <f t="shared" si="1"/>
        <v>2600-3600</v>
      </c>
      <c r="S1917" s="6">
        <f t="shared" si="2"/>
        <v>71</v>
      </c>
      <c r="T1917" s="6" t="str">
        <f t="shared" si="3"/>
        <v>Very Old</v>
      </c>
    </row>
    <row r="1918" ht="14.25" customHeight="1">
      <c r="A1918" s="5">
        <v>919464.0</v>
      </c>
      <c r="B1918" s="6" t="s">
        <v>7709</v>
      </c>
      <c r="C1918" s="6" t="s">
        <v>39</v>
      </c>
      <c r="D1918" s="6">
        <v>67859.0</v>
      </c>
      <c r="E1918" s="6" t="s">
        <v>60</v>
      </c>
      <c r="F1918" s="6" t="s">
        <v>94</v>
      </c>
      <c r="G1918" s="6" t="s">
        <v>55</v>
      </c>
      <c r="H1918" s="7">
        <v>3063.0</v>
      </c>
      <c r="I1918" s="7">
        <v>1184.0</v>
      </c>
      <c r="J1918" s="6">
        <v>1981.0</v>
      </c>
      <c r="K1918" s="6">
        <v>66.0</v>
      </c>
      <c r="L1918" s="6" t="s">
        <v>22</v>
      </c>
      <c r="M1918" s="6" t="s">
        <v>7710</v>
      </c>
      <c r="N1918" s="6" t="s">
        <v>34</v>
      </c>
      <c r="O1918" s="6" t="s">
        <v>35</v>
      </c>
      <c r="P1918" s="6">
        <f>COUNTIF(Analysis!$M$1:$M$3001,Analysis!$M1918)</f>
        <v>1</v>
      </c>
      <c r="Q1918" s="6" t="str">
        <f>IF(COUNTIF(Analysis!$M$2:$M$3001,Analysis!$M1918)&gt;1,"Duplicate","OK")</f>
        <v>OK</v>
      </c>
      <c r="R1918" s="6" t="str">
        <f t="shared" si="1"/>
        <v>2600-3600</v>
      </c>
      <c r="S1918" s="6">
        <f t="shared" si="2"/>
        <v>45</v>
      </c>
      <c r="T1918" s="6" t="str">
        <f t="shared" si="3"/>
        <v>Old</v>
      </c>
    </row>
    <row r="1919" ht="14.25" customHeight="1">
      <c r="A1919" s="5">
        <v>1011604.0</v>
      </c>
      <c r="B1919" s="6" t="s">
        <v>6233</v>
      </c>
      <c r="C1919" s="6" t="s">
        <v>29</v>
      </c>
      <c r="D1919" s="6">
        <v>50137.0</v>
      </c>
      <c r="E1919" s="6" t="s">
        <v>30</v>
      </c>
      <c r="F1919" s="6" t="s">
        <v>46</v>
      </c>
      <c r="G1919" s="6" t="s">
        <v>100</v>
      </c>
      <c r="H1919" s="7">
        <v>3941.0</v>
      </c>
      <c r="I1919" s="7">
        <v>6714.0</v>
      </c>
      <c r="J1919" s="6">
        <v>1955.0</v>
      </c>
      <c r="K1919" s="6">
        <v>72.0</v>
      </c>
      <c r="L1919" s="6" t="s">
        <v>95</v>
      </c>
      <c r="M1919" s="6" t="s">
        <v>6234</v>
      </c>
      <c r="N1919" s="6" t="s">
        <v>64</v>
      </c>
      <c r="O1919" s="6" t="s">
        <v>25</v>
      </c>
      <c r="P1919" s="6">
        <f>COUNTIF(Analysis!$M$1:$M$3001,Analysis!$M1549)</f>
        <v>1</v>
      </c>
      <c r="Q1919" s="6" t="str">
        <f>IF(COUNTIF(Analysis!$M$2:$M$3001,Analysis!$M1549)&gt;1,"Duplicate","OK")</f>
        <v>OK</v>
      </c>
      <c r="R1919" s="6" t="str">
        <f t="shared" si="1"/>
        <v>3600+</v>
      </c>
      <c r="S1919" s="6">
        <f t="shared" si="2"/>
        <v>71</v>
      </c>
      <c r="T1919" s="6" t="str">
        <f t="shared" si="3"/>
        <v>Very Old</v>
      </c>
    </row>
    <row r="1920" ht="14.25" customHeight="1">
      <c r="A1920" s="5">
        <v>1376734.0</v>
      </c>
      <c r="B1920" s="6" t="s">
        <v>7717</v>
      </c>
      <c r="C1920" s="6" t="s">
        <v>18</v>
      </c>
      <c r="D1920" s="6">
        <v>66643.0</v>
      </c>
      <c r="E1920" s="6" t="s">
        <v>60</v>
      </c>
      <c r="F1920" s="6" t="s">
        <v>94</v>
      </c>
      <c r="G1920" s="6" t="s">
        <v>31</v>
      </c>
      <c r="H1920" s="7">
        <v>1414.0</v>
      </c>
      <c r="I1920" s="7">
        <v>7638.0</v>
      </c>
      <c r="J1920" s="6">
        <v>1983.0</v>
      </c>
      <c r="K1920" s="6">
        <v>11.0</v>
      </c>
      <c r="L1920" s="6" t="s">
        <v>32</v>
      </c>
      <c r="M1920" s="6" t="s">
        <v>7718</v>
      </c>
      <c r="N1920" s="6" t="s">
        <v>43</v>
      </c>
      <c r="O1920" s="6" t="s">
        <v>35</v>
      </c>
      <c r="P1920" s="6">
        <f>COUNTIF(Analysis!$M$1:$M$3001,Analysis!$M1920)</f>
        <v>1</v>
      </c>
      <c r="Q1920" s="6" t="str">
        <f>IF(COUNTIF(Analysis!$M$2:$M$3001,Analysis!$M1920)&gt;1,"Duplicate","OK")</f>
        <v>OK</v>
      </c>
      <c r="R1920" s="6" t="str">
        <f t="shared" si="1"/>
        <v>600-1600</v>
      </c>
      <c r="S1920" s="6">
        <f t="shared" si="2"/>
        <v>43</v>
      </c>
      <c r="T1920" s="6" t="str">
        <f t="shared" si="3"/>
        <v>Old</v>
      </c>
    </row>
    <row r="1921" ht="14.25" customHeight="1">
      <c r="A1921" s="5">
        <v>888753.0</v>
      </c>
      <c r="B1921" s="6" t="s">
        <v>7721</v>
      </c>
      <c r="C1921" s="6" t="s">
        <v>76</v>
      </c>
      <c r="D1921" s="6">
        <v>67726.0</v>
      </c>
      <c r="E1921" s="6" t="s">
        <v>19</v>
      </c>
      <c r="F1921" s="6" t="s">
        <v>94</v>
      </c>
      <c r="G1921" s="6" t="s">
        <v>55</v>
      </c>
      <c r="H1921" s="7">
        <v>3862.0</v>
      </c>
      <c r="I1921" s="7">
        <v>4850.0</v>
      </c>
      <c r="J1921" s="6">
        <v>2009.0</v>
      </c>
      <c r="K1921" s="6">
        <v>16.0</v>
      </c>
      <c r="L1921" s="6" t="s">
        <v>22</v>
      </c>
      <c r="M1921" s="6" t="s">
        <v>7722</v>
      </c>
      <c r="N1921" s="6" t="s">
        <v>34</v>
      </c>
      <c r="O1921" s="6" t="s">
        <v>25</v>
      </c>
      <c r="P1921" s="6">
        <f>COUNTIF(Analysis!$M$1:$M$3001,Analysis!$M1921)</f>
        <v>1</v>
      </c>
      <c r="Q1921" s="6" t="str">
        <f>IF(COUNTIF(Analysis!$M$2:$M$3001,Analysis!$M1921)&gt;1,"Duplicate","OK")</f>
        <v>OK</v>
      </c>
      <c r="R1921" s="6" t="str">
        <f t="shared" si="1"/>
        <v>3600+</v>
      </c>
      <c r="S1921" s="6">
        <f t="shared" si="2"/>
        <v>17</v>
      </c>
      <c r="T1921" s="6" t="str">
        <f t="shared" si="3"/>
        <v>Mid</v>
      </c>
    </row>
    <row r="1922" ht="14.25" customHeight="1">
      <c r="A1922" s="5">
        <v>307504.0</v>
      </c>
      <c r="B1922" s="6" t="s">
        <v>7725</v>
      </c>
      <c r="C1922" s="6" t="s">
        <v>76</v>
      </c>
      <c r="D1922" s="6">
        <v>27037.0</v>
      </c>
      <c r="E1922" s="6" t="s">
        <v>77</v>
      </c>
      <c r="F1922" s="6" t="s">
        <v>61</v>
      </c>
      <c r="G1922" s="6" t="s">
        <v>55</v>
      </c>
      <c r="H1922" s="7">
        <v>661.0</v>
      </c>
      <c r="I1922" s="7">
        <v>3863.0</v>
      </c>
      <c r="J1922" s="6">
        <v>2019.0</v>
      </c>
      <c r="K1922" s="6">
        <v>84.0</v>
      </c>
      <c r="L1922" s="6" t="s">
        <v>32</v>
      </c>
      <c r="M1922" s="6" t="s">
        <v>7726</v>
      </c>
      <c r="N1922" s="6" t="s">
        <v>24</v>
      </c>
      <c r="O1922" s="6" t="s">
        <v>35</v>
      </c>
      <c r="P1922" s="6">
        <f>COUNTIF(Analysis!$M$1:$M$3001,Analysis!$M1922)</f>
        <v>1</v>
      </c>
      <c r="Q1922" s="6" t="str">
        <f>IF(COUNTIF(Analysis!$M$2:$M$3001,Analysis!$M1922)&gt;1,"Duplicate","OK")</f>
        <v>OK</v>
      </c>
      <c r="R1922" s="6" t="str">
        <f t="shared" si="1"/>
        <v>600-1600</v>
      </c>
      <c r="S1922" s="6">
        <f t="shared" si="2"/>
        <v>7</v>
      </c>
      <c r="T1922" s="6" t="str">
        <f t="shared" si="3"/>
        <v>New</v>
      </c>
    </row>
    <row r="1923" ht="14.25" customHeight="1">
      <c r="A1923" s="5">
        <v>592036.0</v>
      </c>
      <c r="B1923" s="6" t="s">
        <v>7729</v>
      </c>
      <c r="C1923" s="6" t="s">
        <v>53</v>
      </c>
      <c r="D1923" s="6">
        <v>64507.0</v>
      </c>
      <c r="E1923" s="6" t="s">
        <v>19</v>
      </c>
      <c r="F1923" s="6" t="s">
        <v>94</v>
      </c>
      <c r="G1923" s="6" t="s">
        <v>55</v>
      </c>
      <c r="H1923" s="7">
        <v>1323.0</v>
      </c>
      <c r="I1923" s="7">
        <v>3600.0</v>
      </c>
      <c r="J1923" s="6">
        <v>1952.0</v>
      </c>
      <c r="K1923" s="6">
        <v>62.0</v>
      </c>
      <c r="L1923" s="6" t="s">
        <v>62</v>
      </c>
      <c r="M1923" s="6" t="s">
        <v>7730</v>
      </c>
      <c r="N1923" s="6" t="s">
        <v>34</v>
      </c>
      <c r="O1923" s="6" t="s">
        <v>35</v>
      </c>
      <c r="P1923" s="6">
        <f>COUNTIF(Analysis!$M$1:$M$3001,Analysis!$M1923)</f>
        <v>1</v>
      </c>
      <c r="Q1923" s="6" t="str">
        <f>IF(COUNTIF(Analysis!$M$2:$M$3001,Analysis!$M1923)&gt;1,"Duplicate","OK")</f>
        <v>OK</v>
      </c>
      <c r="R1923" s="6" t="str">
        <f t="shared" si="1"/>
        <v>600-1600</v>
      </c>
      <c r="S1923" s="6">
        <f t="shared" si="2"/>
        <v>74</v>
      </c>
      <c r="T1923" s="6" t="str">
        <f t="shared" si="3"/>
        <v>Very Old</v>
      </c>
    </row>
    <row r="1924" ht="14.25" customHeight="1">
      <c r="A1924" s="5">
        <v>669294.0</v>
      </c>
      <c r="B1924" s="6" t="s">
        <v>7733</v>
      </c>
      <c r="C1924" s="6" t="s">
        <v>39</v>
      </c>
      <c r="D1924" s="6">
        <v>92519.0</v>
      </c>
      <c r="E1924" s="6" t="s">
        <v>19</v>
      </c>
      <c r="F1924" s="6" t="s">
        <v>54</v>
      </c>
      <c r="G1924" s="6" t="s">
        <v>31</v>
      </c>
      <c r="H1924" s="7">
        <v>1800.0</v>
      </c>
      <c r="I1924" s="7">
        <v>2305.0</v>
      </c>
      <c r="J1924" s="6">
        <v>2005.0</v>
      </c>
      <c r="K1924" s="6">
        <v>18.0</v>
      </c>
      <c r="L1924" s="6" t="s">
        <v>95</v>
      </c>
      <c r="M1924" s="6" t="s">
        <v>7734</v>
      </c>
      <c r="N1924" s="6" t="s">
        <v>48</v>
      </c>
      <c r="O1924" s="6" t="s">
        <v>35</v>
      </c>
      <c r="P1924" s="6">
        <f>COUNTIF(Analysis!$M$1:$M$3001,Analysis!$M1924)</f>
        <v>1</v>
      </c>
      <c r="Q1924" s="6" t="str">
        <f>IF(COUNTIF(Analysis!$M$2:$M$3001,Analysis!$M1924)&gt;1,"Duplicate","OK")</f>
        <v>OK</v>
      </c>
      <c r="R1924" s="6" t="str">
        <f t="shared" si="1"/>
        <v>1600-2600</v>
      </c>
      <c r="S1924" s="6">
        <f t="shared" si="2"/>
        <v>21</v>
      </c>
      <c r="T1924" s="6" t="str">
        <f t="shared" si="3"/>
        <v>Mid</v>
      </c>
    </row>
    <row r="1925" ht="14.25" customHeight="1">
      <c r="A1925" s="5">
        <v>1185896.0</v>
      </c>
      <c r="B1925" s="6" t="s">
        <v>7737</v>
      </c>
      <c r="C1925" s="6" t="s">
        <v>39</v>
      </c>
      <c r="D1925" s="6">
        <v>85052.0</v>
      </c>
      <c r="E1925" s="6" t="s">
        <v>77</v>
      </c>
      <c r="F1925" s="6" t="s">
        <v>41</v>
      </c>
      <c r="G1925" s="6" t="s">
        <v>21</v>
      </c>
      <c r="H1925" s="7">
        <v>667.0</v>
      </c>
      <c r="I1925" s="7">
        <v>6216.0</v>
      </c>
      <c r="J1925" s="6">
        <v>1977.0</v>
      </c>
      <c r="K1925" s="6">
        <v>90.0</v>
      </c>
      <c r="L1925" s="6" t="s">
        <v>32</v>
      </c>
      <c r="M1925" s="6" t="s">
        <v>7738</v>
      </c>
      <c r="N1925" s="6" t="s">
        <v>43</v>
      </c>
      <c r="O1925" s="6" t="s">
        <v>35</v>
      </c>
      <c r="P1925" s="6">
        <f>COUNTIF(Analysis!$M$1:$M$3001,Analysis!$M1925)</f>
        <v>1</v>
      </c>
      <c r="Q1925" s="6" t="str">
        <f>IF(COUNTIF(Analysis!$M$2:$M$3001,Analysis!$M1925)&gt;1,"Duplicate","OK")</f>
        <v>OK</v>
      </c>
      <c r="R1925" s="6" t="str">
        <f t="shared" si="1"/>
        <v>600-1600</v>
      </c>
      <c r="S1925" s="6">
        <f t="shared" si="2"/>
        <v>49</v>
      </c>
      <c r="T1925" s="6" t="str">
        <f t="shared" si="3"/>
        <v>Old</v>
      </c>
    </row>
    <row r="1926" ht="14.25" customHeight="1">
      <c r="A1926" s="5">
        <v>728521.0</v>
      </c>
      <c r="B1926" s="6" t="s">
        <v>7741</v>
      </c>
      <c r="C1926" s="6" t="s">
        <v>18</v>
      </c>
      <c r="D1926" s="6">
        <v>91990.0</v>
      </c>
      <c r="E1926" s="6" t="s">
        <v>30</v>
      </c>
      <c r="F1926" s="6" t="s">
        <v>20</v>
      </c>
      <c r="G1926" s="6" t="s">
        <v>31</v>
      </c>
      <c r="H1926" s="7">
        <v>3960.0</v>
      </c>
      <c r="I1926" s="7">
        <v>8959.0</v>
      </c>
      <c r="J1926" s="6">
        <v>1967.0</v>
      </c>
      <c r="K1926" s="6">
        <v>48.0</v>
      </c>
      <c r="L1926" s="6" t="s">
        <v>95</v>
      </c>
      <c r="M1926" s="6" t="s">
        <v>7742</v>
      </c>
      <c r="N1926" s="6" t="s">
        <v>24</v>
      </c>
      <c r="O1926" s="6" t="s">
        <v>25</v>
      </c>
      <c r="P1926" s="6">
        <f>COUNTIF(Analysis!$M$1:$M$3001,Analysis!$M1926)</f>
        <v>1</v>
      </c>
      <c r="Q1926" s="6" t="str">
        <f>IF(COUNTIF(Analysis!$M$2:$M$3001,Analysis!$M1926)&gt;1,"Duplicate","OK")</f>
        <v>OK</v>
      </c>
      <c r="R1926" s="6" t="str">
        <f t="shared" si="1"/>
        <v>3600+</v>
      </c>
      <c r="S1926" s="6">
        <f t="shared" si="2"/>
        <v>59</v>
      </c>
      <c r="T1926" s="6" t="str">
        <f t="shared" si="3"/>
        <v>Old</v>
      </c>
    </row>
    <row r="1927" ht="14.25" customHeight="1">
      <c r="A1927" s="5">
        <v>609946.0</v>
      </c>
      <c r="B1927" s="6" t="s">
        <v>7745</v>
      </c>
      <c r="C1927" s="6" t="s">
        <v>53</v>
      </c>
      <c r="D1927" s="6">
        <v>67992.0</v>
      </c>
      <c r="E1927" s="6" t="s">
        <v>30</v>
      </c>
      <c r="F1927" s="6" t="s">
        <v>61</v>
      </c>
      <c r="G1927" s="6" t="s">
        <v>31</v>
      </c>
      <c r="H1927" s="7">
        <v>3452.0</v>
      </c>
      <c r="I1927" s="7">
        <v>3588.0</v>
      </c>
      <c r="J1927" s="6">
        <v>1980.0</v>
      </c>
      <c r="K1927" s="6">
        <v>92.0</v>
      </c>
      <c r="L1927" s="6" t="s">
        <v>141</v>
      </c>
      <c r="M1927" s="6" t="s">
        <v>7746</v>
      </c>
      <c r="N1927" s="6" t="s">
        <v>48</v>
      </c>
      <c r="O1927" s="6" t="s">
        <v>25</v>
      </c>
      <c r="P1927" s="6">
        <f>COUNTIF(Analysis!$M$1:$M$3001,Analysis!$M1927)</f>
        <v>1</v>
      </c>
      <c r="Q1927" s="6" t="str">
        <f>IF(COUNTIF(Analysis!$M$2:$M$3001,Analysis!$M1927)&gt;1,"Duplicate","OK")</f>
        <v>OK</v>
      </c>
      <c r="R1927" s="6" t="str">
        <f t="shared" si="1"/>
        <v>2600-3600</v>
      </c>
      <c r="S1927" s="6">
        <f t="shared" si="2"/>
        <v>46</v>
      </c>
      <c r="T1927" s="6" t="str">
        <f t="shared" si="3"/>
        <v>Old</v>
      </c>
    </row>
    <row r="1928" ht="14.25" customHeight="1">
      <c r="A1928" s="5">
        <v>311291.0</v>
      </c>
      <c r="B1928" s="6" t="s">
        <v>7749</v>
      </c>
      <c r="C1928" s="6" t="s">
        <v>39</v>
      </c>
      <c r="D1928" s="6">
        <v>93328.0</v>
      </c>
      <c r="E1928" s="6" t="s">
        <v>60</v>
      </c>
      <c r="F1928" s="6" t="s">
        <v>46</v>
      </c>
      <c r="G1928" s="6" t="s">
        <v>31</v>
      </c>
      <c r="H1928" s="7">
        <v>2840.0</v>
      </c>
      <c r="I1928" s="7">
        <v>8445.0</v>
      </c>
      <c r="J1928" s="6">
        <v>1994.0</v>
      </c>
      <c r="K1928" s="6">
        <v>109.0</v>
      </c>
      <c r="L1928" s="6" t="s">
        <v>62</v>
      </c>
      <c r="M1928" s="6" t="s">
        <v>7750</v>
      </c>
      <c r="N1928" s="6" t="s">
        <v>34</v>
      </c>
      <c r="O1928" s="6" t="s">
        <v>25</v>
      </c>
      <c r="P1928" s="6">
        <f>COUNTIF(Analysis!$M$1:$M$3001,Analysis!$M1928)</f>
        <v>1</v>
      </c>
      <c r="Q1928" s="6" t="str">
        <f>IF(COUNTIF(Analysis!$M$2:$M$3001,Analysis!$M1928)&gt;1,"Duplicate","OK")</f>
        <v>OK</v>
      </c>
      <c r="R1928" s="6" t="str">
        <f t="shared" si="1"/>
        <v>2600-3600</v>
      </c>
      <c r="S1928" s="6">
        <f t="shared" si="2"/>
        <v>32</v>
      </c>
      <c r="T1928" s="6" t="str">
        <f t="shared" si="3"/>
        <v>Old</v>
      </c>
    </row>
    <row r="1929" ht="14.25" customHeight="1">
      <c r="A1929" s="5">
        <v>669489.0</v>
      </c>
      <c r="B1929" s="6" t="s">
        <v>7753</v>
      </c>
      <c r="C1929" s="6" t="s">
        <v>76</v>
      </c>
      <c r="D1929" s="6">
        <v>44960.0</v>
      </c>
      <c r="E1929" s="6" t="s">
        <v>19</v>
      </c>
      <c r="F1929" s="6" t="s">
        <v>41</v>
      </c>
      <c r="G1929" s="6" t="s">
        <v>100</v>
      </c>
      <c r="H1929" s="7">
        <v>2555.0</v>
      </c>
      <c r="I1929" s="7">
        <v>5225.0</v>
      </c>
      <c r="J1929" s="6">
        <v>2003.0</v>
      </c>
      <c r="K1929" s="6">
        <v>36.0</v>
      </c>
      <c r="L1929" s="6" t="s">
        <v>22</v>
      </c>
      <c r="M1929" s="6" t="s">
        <v>7754</v>
      </c>
      <c r="N1929" s="6" t="s">
        <v>64</v>
      </c>
      <c r="O1929" s="6" t="s">
        <v>49</v>
      </c>
      <c r="P1929" s="6">
        <f>COUNTIF(Analysis!$M$1:$M$3001,Analysis!$M1929)</f>
        <v>1</v>
      </c>
      <c r="Q1929" s="6" t="str">
        <f>IF(COUNTIF(Analysis!$M$2:$M$3001,Analysis!$M1929)&gt;1,"Duplicate","OK")</f>
        <v>OK</v>
      </c>
      <c r="R1929" s="6" t="str">
        <f t="shared" si="1"/>
        <v>1600-2600</v>
      </c>
      <c r="S1929" s="6">
        <f t="shared" si="2"/>
        <v>23</v>
      </c>
      <c r="T1929" s="6" t="str">
        <f t="shared" si="3"/>
        <v>Mid</v>
      </c>
    </row>
    <row r="1930" ht="14.25" customHeight="1">
      <c r="A1930" s="5">
        <v>906981.0</v>
      </c>
      <c r="B1930" s="6" t="s">
        <v>7757</v>
      </c>
      <c r="C1930" s="6" t="s">
        <v>18</v>
      </c>
      <c r="D1930" s="6">
        <v>85377.0</v>
      </c>
      <c r="E1930" s="6" t="s">
        <v>77</v>
      </c>
      <c r="F1930" s="6" t="s">
        <v>61</v>
      </c>
      <c r="G1930" s="6" t="s">
        <v>31</v>
      </c>
      <c r="H1930" s="7">
        <v>3282.0</v>
      </c>
      <c r="I1930" s="7">
        <v>9275.0</v>
      </c>
      <c r="J1930" s="6">
        <v>1986.0</v>
      </c>
      <c r="K1930" s="6">
        <v>48.0</v>
      </c>
      <c r="L1930" s="6" t="s">
        <v>62</v>
      </c>
      <c r="M1930" s="6" t="s">
        <v>7758</v>
      </c>
      <c r="N1930" s="6" t="s">
        <v>34</v>
      </c>
      <c r="O1930" s="6" t="s">
        <v>25</v>
      </c>
      <c r="P1930" s="6">
        <f>COUNTIF(Analysis!$M$1:$M$3001,Analysis!$M1930)</f>
        <v>1</v>
      </c>
      <c r="Q1930" s="6" t="str">
        <f>IF(COUNTIF(Analysis!$M$2:$M$3001,Analysis!$M1930)&gt;1,"Duplicate","OK")</f>
        <v>OK</v>
      </c>
      <c r="R1930" s="6" t="str">
        <f t="shared" si="1"/>
        <v>2600-3600</v>
      </c>
      <c r="S1930" s="6">
        <f t="shared" si="2"/>
        <v>40</v>
      </c>
      <c r="T1930" s="6" t="str">
        <f t="shared" si="3"/>
        <v>Old</v>
      </c>
    </row>
    <row r="1931" ht="14.25" customHeight="1">
      <c r="A1931" s="5">
        <v>512415.0</v>
      </c>
      <c r="B1931" s="6" t="s">
        <v>7761</v>
      </c>
      <c r="C1931" s="6" t="s">
        <v>53</v>
      </c>
      <c r="D1931" s="6">
        <v>32122.0</v>
      </c>
      <c r="E1931" s="6" t="s">
        <v>60</v>
      </c>
      <c r="F1931" s="6" t="s">
        <v>61</v>
      </c>
      <c r="G1931" s="6" t="s">
        <v>100</v>
      </c>
      <c r="H1931" s="7">
        <v>2444.0</v>
      </c>
      <c r="I1931" s="7">
        <v>2773.0</v>
      </c>
      <c r="J1931" s="6">
        <v>1991.0</v>
      </c>
      <c r="K1931" s="6">
        <v>112.0</v>
      </c>
      <c r="L1931" s="6" t="s">
        <v>32</v>
      </c>
      <c r="M1931" s="6" t="s">
        <v>7762</v>
      </c>
      <c r="N1931" s="6" t="s">
        <v>24</v>
      </c>
      <c r="O1931" s="6" t="s">
        <v>49</v>
      </c>
      <c r="P1931" s="6">
        <f>COUNTIF(Analysis!$M$1:$M$3001,Analysis!$M1931)</f>
        <v>1</v>
      </c>
      <c r="Q1931" s="6" t="str">
        <f>IF(COUNTIF(Analysis!$M$2:$M$3001,Analysis!$M1931)&gt;1,"Duplicate","OK")</f>
        <v>OK</v>
      </c>
      <c r="R1931" s="6" t="str">
        <f t="shared" si="1"/>
        <v>1600-2600</v>
      </c>
      <c r="S1931" s="6">
        <f t="shared" si="2"/>
        <v>35</v>
      </c>
      <c r="T1931" s="6" t="str">
        <f t="shared" si="3"/>
        <v>Old</v>
      </c>
    </row>
    <row r="1932" ht="14.25" customHeight="1">
      <c r="A1932" s="5">
        <v>362598.0</v>
      </c>
      <c r="B1932" s="6" t="s">
        <v>7765</v>
      </c>
      <c r="C1932" s="6" t="s">
        <v>53</v>
      </c>
      <c r="D1932" s="6">
        <v>63109.0</v>
      </c>
      <c r="E1932" s="6" t="s">
        <v>19</v>
      </c>
      <c r="F1932" s="6" t="s">
        <v>46</v>
      </c>
      <c r="G1932" s="6" t="s">
        <v>100</v>
      </c>
      <c r="H1932" s="7">
        <v>635.0</v>
      </c>
      <c r="I1932" s="7">
        <v>4053.0</v>
      </c>
      <c r="J1932" s="6">
        <v>1971.0</v>
      </c>
      <c r="K1932" s="6">
        <v>68.0</v>
      </c>
      <c r="L1932" s="6" t="s">
        <v>32</v>
      </c>
      <c r="M1932" s="6" t="s">
        <v>7766</v>
      </c>
      <c r="N1932" s="6" t="s">
        <v>43</v>
      </c>
      <c r="O1932" s="6" t="s">
        <v>49</v>
      </c>
      <c r="P1932" s="6">
        <f>COUNTIF(Analysis!$M$1:$M$3001,Analysis!$M1932)</f>
        <v>1</v>
      </c>
      <c r="Q1932" s="6" t="str">
        <f>IF(COUNTIF(Analysis!$M$2:$M$3001,Analysis!$M1932)&gt;1,"Duplicate","OK")</f>
        <v>OK</v>
      </c>
      <c r="R1932" s="6" t="str">
        <f t="shared" si="1"/>
        <v>600-1600</v>
      </c>
      <c r="S1932" s="6">
        <f t="shared" si="2"/>
        <v>55</v>
      </c>
      <c r="T1932" s="6" t="str">
        <f t="shared" si="3"/>
        <v>Old</v>
      </c>
    </row>
    <row r="1933" ht="14.25" customHeight="1">
      <c r="A1933" s="5">
        <v>636492.0</v>
      </c>
      <c r="B1933" s="6" t="s">
        <v>7769</v>
      </c>
      <c r="C1933" s="6" t="s">
        <v>39</v>
      </c>
      <c r="D1933" s="6">
        <v>29497.0</v>
      </c>
      <c r="E1933" s="6" t="s">
        <v>30</v>
      </c>
      <c r="F1933" s="6" t="s">
        <v>94</v>
      </c>
      <c r="G1933" s="6" t="s">
        <v>55</v>
      </c>
      <c r="H1933" s="7">
        <v>2221.0</v>
      </c>
      <c r="I1933" s="7">
        <v>2772.0</v>
      </c>
      <c r="J1933" s="6">
        <v>1980.0</v>
      </c>
      <c r="K1933" s="6">
        <v>98.0</v>
      </c>
      <c r="L1933" s="6" t="s">
        <v>62</v>
      </c>
      <c r="M1933" s="6" t="s">
        <v>7770</v>
      </c>
      <c r="N1933" s="6" t="s">
        <v>24</v>
      </c>
      <c r="O1933" s="6" t="s">
        <v>25</v>
      </c>
      <c r="P1933" s="6">
        <f>COUNTIF(Analysis!$M$1:$M$3001,Analysis!$M1933)</f>
        <v>1</v>
      </c>
      <c r="Q1933" s="6" t="str">
        <f>IF(COUNTIF(Analysis!$M$2:$M$3001,Analysis!$M1933)&gt;1,"Duplicate","OK")</f>
        <v>OK</v>
      </c>
      <c r="R1933" s="6" t="str">
        <f t="shared" si="1"/>
        <v>1600-2600</v>
      </c>
      <c r="S1933" s="6">
        <f t="shared" si="2"/>
        <v>46</v>
      </c>
      <c r="T1933" s="6" t="str">
        <f t="shared" si="3"/>
        <v>Old</v>
      </c>
    </row>
    <row r="1934" ht="14.25" customHeight="1">
      <c r="A1934" s="5">
        <v>140316.0</v>
      </c>
      <c r="B1934" s="6" t="s">
        <v>7773</v>
      </c>
      <c r="C1934" s="6" t="s">
        <v>39</v>
      </c>
      <c r="D1934" s="6">
        <v>22614.0</v>
      </c>
      <c r="E1934" s="6" t="s">
        <v>60</v>
      </c>
      <c r="F1934" s="6" t="s">
        <v>20</v>
      </c>
      <c r="G1934" s="6" t="s">
        <v>100</v>
      </c>
      <c r="H1934" s="7">
        <v>1566.0</v>
      </c>
      <c r="I1934" s="7">
        <v>7650.0</v>
      </c>
      <c r="J1934" s="6">
        <v>1956.0</v>
      </c>
      <c r="K1934" s="6">
        <v>19.0</v>
      </c>
      <c r="L1934" s="6" t="s">
        <v>62</v>
      </c>
      <c r="M1934" s="6" t="s">
        <v>7774</v>
      </c>
      <c r="N1934" s="6" t="s">
        <v>64</v>
      </c>
      <c r="O1934" s="6" t="s">
        <v>49</v>
      </c>
      <c r="P1934" s="6">
        <f>COUNTIF(Analysis!$M$1:$M$3001,Analysis!$M1934)</f>
        <v>1</v>
      </c>
      <c r="Q1934" s="6" t="str">
        <f>IF(COUNTIF(Analysis!$M$2:$M$3001,Analysis!$M1934)&gt;1,"Duplicate","OK")</f>
        <v>OK</v>
      </c>
      <c r="R1934" s="6" t="str">
        <f t="shared" si="1"/>
        <v>600-1600</v>
      </c>
      <c r="S1934" s="6">
        <f t="shared" si="2"/>
        <v>70</v>
      </c>
      <c r="T1934" s="6" t="str">
        <f t="shared" si="3"/>
        <v>Very Old</v>
      </c>
    </row>
    <row r="1935" ht="14.25" customHeight="1">
      <c r="A1935" s="5">
        <v>547648.0</v>
      </c>
      <c r="B1935" s="6" t="s">
        <v>7777</v>
      </c>
      <c r="C1935" s="6" t="s">
        <v>18</v>
      </c>
      <c r="D1935" s="6">
        <v>17597.0</v>
      </c>
      <c r="E1935" s="6" t="s">
        <v>30</v>
      </c>
      <c r="F1935" s="6" t="s">
        <v>94</v>
      </c>
      <c r="G1935" s="6" t="s">
        <v>21</v>
      </c>
      <c r="H1935" s="7">
        <v>977.0</v>
      </c>
      <c r="I1935" s="7">
        <v>7248.0</v>
      </c>
      <c r="J1935" s="6">
        <v>1993.0</v>
      </c>
      <c r="K1935" s="6">
        <v>23.0</v>
      </c>
      <c r="L1935" s="6" t="s">
        <v>141</v>
      </c>
      <c r="M1935" s="6" t="s">
        <v>7778</v>
      </c>
      <c r="N1935" s="6" t="s">
        <v>43</v>
      </c>
      <c r="O1935" s="6" t="s">
        <v>25</v>
      </c>
      <c r="P1935" s="6">
        <f>COUNTIF(Analysis!$M$1:$M$3001,Analysis!$M1935)</f>
        <v>1</v>
      </c>
      <c r="Q1935" s="6" t="str">
        <f>IF(COUNTIF(Analysis!$M$2:$M$3001,Analysis!$M1935)&gt;1,"Duplicate","OK")</f>
        <v>OK</v>
      </c>
      <c r="R1935" s="6" t="str">
        <f t="shared" si="1"/>
        <v>600-1600</v>
      </c>
      <c r="S1935" s="6">
        <f t="shared" si="2"/>
        <v>33</v>
      </c>
      <c r="T1935" s="6" t="str">
        <f t="shared" si="3"/>
        <v>Old</v>
      </c>
    </row>
    <row r="1936" ht="14.25" customHeight="1">
      <c r="A1936" s="5">
        <v>889625.0</v>
      </c>
      <c r="B1936" s="6" t="s">
        <v>7781</v>
      </c>
      <c r="C1936" s="6" t="s">
        <v>39</v>
      </c>
      <c r="D1936" s="6">
        <v>50727.0</v>
      </c>
      <c r="E1936" s="6" t="s">
        <v>60</v>
      </c>
      <c r="F1936" s="6" t="s">
        <v>54</v>
      </c>
      <c r="G1936" s="6" t="s">
        <v>21</v>
      </c>
      <c r="H1936" s="7">
        <v>1827.0</v>
      </c>
      <c r="I1936" s="7">
        <v>9471.0</v>
      </c>
      <c r="J1936" s="6">
        <v>2005.0</v>
      </c>
      <c r="K1936" s="6">
        <v>14.0</v>
      </c>
      <c r="L1936" s="6" t="s">
        <v>32</v>
      </c>
      <c r="M1936" s="6" t="s">
        <v>7782</v>
      </c>
      <c r="N1936" s="6" t="s">
        <v>64</v>
      </c>
      <c r="O1936" s="6" t="s">
        <v>35</v>
      </c>
      <c r="P1936" s="6">
        <f>COUNTIF(Analysis!$M$1:$M$3001,Analysis!$M1936)</f>
        <v>1</v>
      </c>
      <c r="Q1936" s="6" t="str">
        <f>IF(COUNTIF(Analysis!$M$2:$M$3001,Analysis!$M1936)&gt;1,"Duplicate","OK")</f>
        <v>OK</v>
      </c>
      <c r="R1936" s="6" t="str">
        <f t="shared" si="1"/>
        <v>1600-2600</v>
      </c>
      <c r="S1936" s="6">
        <f t="shared" si="2"/>
        <v>21</v>
      </c>
      <c r="T1936" s="6" t="str">
        <f t="shared" si="3"/>
        <v>Mid</v>
      </c>
    </row>
    <row r="1937" ht="14.25" customHeight="1">
      <c r="A1937" s="5">
        <v>1432283.0</v>
      </c>
      <c r="B1937" s="6" t="s">
        <v>7785</v>
      </c>
      <c r="C1937" s="6" t="s">
        <v>18</v>
      </c>
      <c r="D1937" s="6">
        <v>22202.0</v>
      </c>
      <c r="E1937" s="6" t="s">
        <v>60</v>
      </c>
      <c r="F1937" s="6" t="s">
        <v>20</v>
      </c>
      <c r="G1937" s="6" t="s">
        <v>21</v>
      </c>
      <c r="H1937" s="7">
        <v>3063.0</v>
      </c>
      <c r="I1937" s="7">
        <v>3574.0</v>
      </c>
      <c r="J1937" s="6">
        <v>1987.0</v>
      </c>
      <c r="K1937" s="6">
        <v>98.0</v>
      </c>
      <c r="L1937" s="6" t="s">
        <v>141</v>
      </c>
      <c r="M1937" s="6" t="s">
        <v>7786</v>
      </c>
      <c r="N1937" s="6" t="s">
        <v>64</v>
      </c>
      <c r="O1937" s="6" t="s">
        <v>35</v>
      </c>
      <c r="P1937" s="6">
        <f>COUNTIF(Analysis!$M$1:$M$3001,Analysis!$M1937)</f>
        <v>1</v>
      </c>
      <c r="Q1937" s="6" t="str">
        <f>IF(COUNTIF(Analysis!$M$2:$M$3001,Analysis!$M1937)&gt;1,"Duplicate","OK")</f>
        <v>OK</v>
      </c>
      <c r="R1937" s="6" t="str">
        <f t="shared" si="1"/>
        <v>2600-3600</v>
      </c>
      <c r="S1937" s="6">
        <f t="shared" si="2"/>
        <v>39</v>
      </c>
      <c r="T1937" s="6" t="str">
        <f t="shared" si="3"/>
        <v>Old</v>
      </c>
    </row>
    <row r="1938" ht="14.25" customHeight="1">
      <c r="A1938" s="5">
        <v>1017089.0</v>
      </c>
      <c r="B1938" s="6" t="s">
        <v>7789</v>
      </c>
      <c r="C1938" s="6" t="s">
        <v>18</v>
      </c>
      <c r="D1938" s="6">
        <v>32625.0</v>
      </c>
      <c r="E1938" s="6" t="s">
        <v>60</v>
      </c>
      <c r="F1938" s="6" t="s">
        <v>20</v>
      </c>
      <c r="G1938" s="6" t="s">
        <v>100</v>
      </c>
      <c r="H1938" s="7">
        <v>3510.0</v>
      </c>
      <c r="I1938" s="7">
        <v>7635.0</v>
      </c>
      <c r="J1938" s="6">
        <v>2012.0</v>
      </c>
      <c r="K1938" s="6">
        <v>116.0</v>
      </c>
      <c r="L1938" s="6" t="s">
        <v>62</v>
      </c>
      <c r="M1938" s="6" t="s">
        <v>7790</v>
      </c>
      <c r="N1938" s="6" t="s">
        <v>48</v>
      </c>
      <c r="O1938" s="6" t="s">
        <v>49</v>
      </c>
      <c r="P1938" s="6">
        <f>COUNTIF(Analysis!$M$1:$M$3001,Analysis!$M1938)</f>
        <v>1</v>
      </c>
      <c r="Q1938" s="6" t="str">
        <f>IF(COUNTIF(Analysis!$M$2:$M$3001,Analysis!$M1938)&gt;1,"Duplicate","OK")</f>
        <v>OK</v>
      </c>
      <c r="R1938" s="6" t="str">
        <f t="shared" si="1"/>
        <v>2600-3600</v>
      </c>
      <c r="S1938" s="6">
        <f t="shared" si="2"/>
        <v>14</v>
      </c>
      <c r="T1938" s="6" t="str">
        <f t="shared" si="3"/>
        <v>Mid</v>
      </c>
    </row>
    <row r="1939" ht="14.25" customHeight="1">
      <c r="A1939" s="5">
        <v>945919.0</v>
      </c>
      <c r="B1939" s="6" t="s">
        <v>7793</v>
      </c>
      <c r="C1939" s="6" t="s">
        <v>18</v>
      </c>
      <c r="D1939" s="6">
        <v>99077.0</v>
      </c>
      <c r="E1939" s="6" t="s">
        <v>30</v>
      </c>
      <c r="F1939" s="6" t="s">
        <v>94</v>
      </c>
      <c r="G1939" s="6" t="s">
        <v>21</v>
      </c>
      <c r="H1939" s="7">
        <v>3461.0</v>
      </c>
      <c r="I1939" s="7">
        <v>8702.0</v>
      </c>
      <c r="J1939" s="6">
        <v>1988.0</v>
      </c>
      <c r="K1939" s="6">
        <v>95.0</v>
      </c>
      <c r="L1939" s="6" t="s">
        <v>62</v>
      </c>
      <c r="M1939" s="6" t="s">
        <v>7794</v>
      </c>
      <c r="N1939" s="6" t="s">
        <v>48</v>
      </c>
      <c r="O1939" s="6" t="s">
        <v>25</v>
      </c>
      <c r="P1939" s="6">
        <f>COUNTIF(Analysis!$M$1:$M$3001,Analysis!$M1939)</f>
        <v>1</v>
      </c>
      <c r="Q1939" s="6" t="str">
        <f>IF(COUNTIF(Analysis!$M$2:$M$3001,Analysis!$M1939)&gt;1,"Duplicate","OK")</f>
        <v>OK</v>
      </c>
      <c r="R1939" s="6" t="str">
        <f t="shared" si="1"/>
        <v>2600-3600</v>
      </c>
      <c r="S1939" s="6">
        <f t="shared" si="2"/>
        <v>38</v>
      </c>
      <c r="T1939" s="6" t="str">
        <f t="shared" si="3"/>
        <v>Old</v>
      </c>
    </row>
    <row r="1940" ht="14.25" customHeight="1">
      <c r="A1940" s="5">
        <v>1312269.0</v>
      </c>
      <c r="B1940" s="6" t="s">
        <v>7797</v>
      </c>
      <c r="C1940" s="6" t="s">
        <v>76</v>
      </c>
      <c r="D1940" s="6">
        <v>31277.0</v>
      </c>
      <c r="E1940" s="6" t="s">
        <v>19</v>
      </c>
      <c r="F1940" s="6" t="s">
        <v>41</v>
      </c>
      <c r="G1940" s="6" t="s">
        <v>31</v>
      </c>
      <c r="H1940" s="7">
        <v>2571.0</v>
      </c>
      <c r="I1940" s="7">
        <v>7284.0</v>
      </c>
      <c r="J1940" s="6">
        <v>2011.0</v>
      </c>
      <c r="K1940" s="6">
        <v>69.0</v>
      </c>
      <c r="L1940" s="6" t="s">
        <v>141</v>
      </c>
      <c r="M1940" s="6" t="s">
        <v>7798</v>
      </c>
      <c r="N1940" s="6" t="s">
        <v>64</v>
      </c>
      <c r="O1940" s="6" t="s">
        <v>25</v>
      </c>
      <c r="P1940" s="6">
        <f>COUNTIF(Analysis!$M$1:$M$3001,Analysis!$M1940)</f>
        <v>1</v>
      </c>
      <c r="Q1940" s="6" t="str">
        <f>IF(COUNTIF(Analysis!$M$2:$M$3001,Analysis!$M1940)&gt;1,"Duplicate","OK")</f>
        <v>OK</v>
      </c>
      <c r="R1940" s="6" t="str">
        <f t="shared" si="1"/>
        <v>1600-2600</v>
      </c>
      <c r="S1940" s="6">
        <f t="shared" si="2"/>
        <v>15</v>
      </c>
      <c r="T1940" s="6" t="str">
        <f t="shared" si="3"/>
        <v>Mid</v>
      </c>
    </row>
    <row r="1941" ht="14.25" customHeight="1">
      <c r="A1941" s="5">
        <v>1012565.0</v>
      </c>
      <c r="B1941" s="6" t="s">
        <v>1025</v>
      </c>
      <c r="C1941" s="6" t="s">
        <v>29</v>
      </c>
      <c r="D1941" s="6">
        <v>15796.0</v>
      </c>
      <c r="E1941" s="6" t="s">
        <v>77</v>
      </c>
      <c r="F1941" s="6" t="s">
        <v>41</v>
      </c>
      <c r="G1941" s="6" t="s">
        <v>100</v>
      </c>
      <c r="H1941" s="7">
        <v>965.0</v>
      </c>
      <c r="I1941" s="7">
        <v>1073.0</v>
      </c>
      <c r="J1941" s="6">
        <v>1970.0</v>
      </c>
      <c r="K1941" s="6">
        <v>95.0</v>
      </c>
      <c r="L1941" s="6" t="s">
        <v>62</v>
      </c>
      <c r="M1941" s="6" t="s">
        <v>1026</v>
      </c>
      <c r="N1941" s="6" t="s">
        <v>64</v>
      </c>
      <c r="O1941" s="6" t="s">
        <v>25</v>
      </c>
      <c r="P1941" s="6">
        <f>COUNTIF(Analysis!$M$1:$M$3001,Analysis!$M246)</f>
        <v>1</v>
      </c>
      <c r="Q1941" s="6" t="str">
        <f>IF(COUNTIF(Analysis!$M$2:$M$3001,Analysis!$M246)&gt;1,"Duplicate","OK")</f>
        <v>OK</v>
      </c>
      <c r="R1941" s="6" t="str">
        <f t="shared" si="1"/>
        <v>600-1600</v>
      </c>
      <c r="S1941" s="6">
        <f t="shared" si="2"/>
        <v>56</v>
      </c>
      <c r="T1941" s="6" t="str">
        <f t="shared" si="3"/>
        <v>Old</v>
      </c>
    </row>
    <row r="1942" ht="14.25" customHeight="1">
      <c r="A1942" s="5">
        <v>1014846.0</v>
      </c>
      <c r="B1942" s="6" t="s">
        <v>8428</v>
      </c>
      <c r="C1942" s="6" t="s">
        <v>29</v>
      </c>
      <c r="D1942" s="6">
        <v>46903.0</v>
      </c>
      <c r="E1942" s="6" t="s">
        <v>77</v>
      </c>
      <c r="F1942" s="6" t="s">
        <v>61</v>
      </c>
      <c r="G1942" s="6" t="s">
        <v>55</v>
      </c>
      <c r="H1942" s="7">
        <v>3385.0</v>
      </c>
      <c r="I1942" s="7">
        <v>7762.0</v>
      </c>
      <c r="J1942" s="6">
        <v>2018.0</v>
      </c>
      <c r="K1942" s="6">
        <v>18.0</v>
      </c>
      <c r="L1942" s="6" t="s">
        <v>62</v>
      </c>
      <c r="M1942" s="6" t="s">
        <v>8429</v>
      </c>
      <c r="N1942" s="6" t="s">
        <v>64</v>
      </c>
      <c r="O1942" s="6" t="s">
        <v>35</v>
      </c>
      <c r="P1942" s="6">
        <f>COUNTIF(Analysis!$M$1:$M$3001,Analysis!$M2098)</f>
        <v>1</v>
      </c>
      <c r="Q1942" s="6" t="str">
        <f>IF(COUNTIF(Analysis!$M$2:$M$3001,Analysis!$M2098)&gt;1,"Duplicate","OK")</f>
        <v>OK</v>
      </c>
      <c r="R1942" s="6" t="str">
        <f t="shared" si="1"/>
        <v>2600-3600</v>
      </c>
      <c r="S1942" s="6">
        <f t="shared" si="2"/>
        <v>8</v>
      </c>
      <c r="T1942" s="6" t="str">
        <f t="shared" si="3"/>
        <v>New</v>
      </c>
    </row>
    <row r="1943" ht="14.25" customHeight="1">
      <c r="A1943" s="5">
        <v>959885.0</v>
      </c>
      <c r="B1943" s="6" t="s">
        <v>7809</v>
      </c>
      <c r="C1943" s="6" t="s">
        <v>53</v>
      </c>
      <c r="D1943" s="6">
        <v>19495.0</v>
      </c>
      <c r="E1943" s="6" t="s">
        <v>19</v>
      </c>
      <c r="F1943" s="6" t="s">
        <v>61</v>
      </c>
      <c r="G1943" s="6" t="s">
        <v>31</v>
      </c>
      <c r="H1943" s="7">
        <v>1809.0</v>
      </c>
      <c r="I1943" s="7">
        <v>4278.0</v>
      </c>
      <c r="J1943" s="6">
        <v>1988.0</v>
      </c>
      <c r="K1943" s="6">
        <v>116.0</v>
      </c>
      <c r="L1943" s="6" t="s">
        <v>95</v>
      </c>
      <c r="M1943" s="6" t="s">
        <v>7810</v>
      </c>
      <c r="N1943" s="6" t="s">
        <v>34</v>
      </c>
      <c r="O1943" s="6" t="s">
        <v>49</v>
      </c>
      <c r="P1943" s="6">
        <f>COUNTIF(Analysis!$M$1:$M$3001,Analysis!$M1943)</f>
        <v>1</v>
      </c>
      <c r="Q1943" s="6" t="str">
        <f>IF(COUNTIF(Analysis!$M$2:$M$3001,Analysis!$M1943)&gt;1,"Duplicate","OK")</f>
        <v>OK</v>
      </c>
      <c r="R1943" s="6" t="str">
        <f t="shared" si="1"/>
        <v>1600-2600</v>
      </c>
      <c r="S1943" s="6">
        <f t="shared" si="2"/>
        <v>38</v>
      </c>
      <c r="T1943" s="6" t="str">
        <f t="shared" si="3"/>
        <v>Old</v>
      </c>
    </row>
    <row r="1944" ht="14.25" customHeight="1">
      <c r="A1944" s="5">
        <v>1155502.0</v>
      </c>
      <c r="B1944" s="6" t="s">
        <v>7813</v>
      </c>
      <c r="C1944" s="6" t="s">
        <v>53</v>
      </c>
      <c r="D1944" s="6">
        <v>91480.0</v>
      </c>
      <c r="E1944" s="6" t="s">
        <v>60</v>
      </c>
      <c r="F1944" s="6" t="s">
        <v>54</v>
      </c>
      <c r="G1944" s="6" t="s">
        <v>55</v>
      </c>
      <c r="H1944" s="7">
        <v>1452.0</v>
      </c>
      <c r="I1944" s="7">
        <v>4743.0</v>
      </c>
      <c r="J1944" s="6">
        <v>2011.0</v>
      </c>
      <c r="K1944" s="6">
        <v>61.0</v>
      </c>
      <c r="L1944" s="6" t="s">
        <v>141</v>
      </c>
      <c r="M1944" s="6" t="s">
        <v>7814</v>
      </c>
      <c r="N1944" s="6" t="s">
        <v>48</v>
      </c>
      <c r="O1944" s="6" t="s">
        <v>35</v>
      </c>
      <c r="P1944" s="6">
        <f>COUNTIF(Analysis!$M$1:$M$3001,Analysis!$M1944)</f>
        <v>1</v>
      </c>
      <c r="Q1944" s="6" t="str">
        <f>IF(COUNTIF(Analysis!$M$2:$M$3001,Analysis!$M1944)&gt;1,"Duplicate","OK")</f>
        <v>OK</v>
      </c>
      <c r="R1944" s="6" t="str">
        <f t="shared" si="1"/>
        <v>600-1600</v>
      </c>
      <c r="S1944" s="6">
        <f t="shared" si="2"/>
        <v>15</v>
      </c>
      <c r="T1944" s="6" t="str">
        <f t="shared" si="3"/>
        <v>Mid</v>
      </c>
    </row>
    <row r="1945" ht="14.25" customHeight="1">
      <c r="A1945" s="5">
        <v>1016112.0</v>
      </c>
      <c r="B1945" s="6" t="s">
        <v>5499</v>
      </c>
      <c r="C1945" s="6" t="s">
        <v>29</v>
      </c>
      <c r="D1945" s="6">
        <v>20382.0</v>
      </c>
      <c r="E1945" s="6" t="s">
        <v>40</v>
      </c>
      <c r="F1945" s="6" t="s">
        <v>20</v>
      </c>
      <c r="G1945" s="6" t="s">
        <v>100</v>
      </c>
      <c r="H1945" s="7">
        <v>1962.0</v>
      </c>
      <c r="I1945" s="7">
        <v>5447.0</v>
      </c>
      <c r="J1945" s="6">
        <v>1982.0</v>
      </c>
      <c r="K1945" s="6">
        <v>56.0</v>
      </c>
      <c r="L1945" s="6" t="s">
        <v>32</v>
      </c>
      <c r="M1945" s="6" t="s">
        <v>5500</v>
      </c>
      <c r="N1945" s="6" t="s">
        <v>24</v>
      </c>
      <c r="O1945" s="6" t="s">
        <v>25</v>
      </c>
      <c r="P1945" s="6">
        <f>COUNTIF(Analysis!$M$1:$M$3001,Analysis!$M1365)</f>
        <v>1</v>
      </c>
      <c r="Q1945" s="6" t="str">
        <f>IF(COUNTIF(Analysis!$M$2:$M$3001,Analysis!$M1365)&gt;1,"Duplicate","OK")</f>
        <v>OK</v>
      </c>
      <c r="R1945" s="6" t="str">
        <f t="shared" si="1"/>
        <v>1600-2600</v>
      </c>
      <c r="S1945" s="6">
        <f t="shared" si="2"/>
        <v>44</v>
      </c>
      <c r="T1945" s="6" t="str">
        <f t="shared" si="3"/>
        <v>Old</v>
      </c>
    </row>
    <row r="1946" ht="14.25" customHeight="1">
      <c r="A1946" s="5">
        <v>279494.0</v>
      </c>
      <c r="B1946" s="6" t="s">
        <v>7821</v>
      </c>
      <c r="C1946" s="6" t="s">
        <v>18</v>
      </c>
      <c r="D1946" s="6">
        <v>36616.0</v>
      </c>
      <c r="E1946" s="6" t="s">
        <v>30</v>
      </c>
      <c r="F1946" s="6" t="s">
        <v>46</v>
      </c>
      <c r="G1946" s="6" t="s">
        <v>55</v>
      </c>
      <c r="H1946" s="7">
        <v>2357.0</v>
      </c>
      <c r="I1946" s="7">
        <v>5185.0</v>
      </c>
      <c r="J1946" s="6">
        <v>1957.0</v>
      </c>
      <c r="K1946" s="6">
        <v>25.0</v>
      </c>
      <c r="L1946" s="6" t="s">
        <v>32</v>
      </c>
      <c r="M1946" s="6" t="s">
        <v>7822</v>
      </c>
      <c r="N1946" s="6" t="s">
        <v>34</v>
      </c>
      <c r="O1946" s="6" t="s">
        <v>35</v>
      </c>
      <c r="P1946" s="6">
        <f>COUNTIF(Analysis!$M$1:$M$3001,Analysis!$M1946)</f>
        <v>1</v>
      </c>
      <c r="Q1946" s="6" t="str">
        <f>IF(COUNTIF(Analysis!$M$2:$M$3001,Analysis!$M1946)&gt;1,"Duplicate","OK")</f>
        <v>OK</v>
      </c>
      <c r="R1946" s="6" t="str">
        <f t="shared" si="1"/>
        <v>1600-2600</v>
      </c>
      <c r="S1946" s="6">
        <f t="shared" si="2"/>
        <v>69</v>
      </c>
      <c r="T1946" s="6" t="str">
        <f t="shared" si="3"/>
        <v>Very Old</v>
      </c>
    </row>
    <row r="1947" ht="14.25" customHeight="1">
      <c r="A1947" s="5">
        <v>165820.0</v>
      </c>
      <c r="B1947" s="6" t="s">
        <v>7825</v>
      </c>
      <c r="C1947" s="6" t="s">
        <v>39</v>
      </c>
      <c r="D1947" s="6">
        <v>53456.0</v>
      </c>
      <c r="E1947" s="6" t="s">
        <v>77</v>
      </c>
      <c r="F1947" s="6" t="s">
        <v>20</v>
      </c>
      <c r="G1947" s="6" t="s">
        <v>21</v>
      </c>
      <c r="H1947" s="7">
        <v>2934.0</v>
      </c>
      <c r="I1947" s="7">
        <v>1484.0</v>
      </c>
      <c r="J1947" s="6">
        <v>2001.0</v>
      </c>
      <c r="K1947" s="6">
        <v>4.0</v>
      </c>
      <c r="L1947" s="6" t="s">
        <v>22</v>
      </c>
      <c r="M1947" s="6" t="s">
        <v>7826</v>
      </c>
      <c r="N1947" s="6" t="s">
        <v>64</v>
      </c>
      <c r="O1947" s="6" t="s">
        <v>49</v>
      </c>
      <c r="P1947" s="6">
        <f>COUNTIF(Analysis!$M$1:$M$3001,Analysis!$M1947)</f>
        <v>1</v>
      </c>
      <c r="Q1947" s="6" t="str">
        <f>IF(COUNTIF(Analysis!$M$2:$M$3001,Analysis!$M1947)&gt;1,"Duplicate","OK")</f>
        <v>OK</v>
      </c>
      <c r="R1947" s="6" t="str">
        <f t="shared" si="1"/>
        <v>2600-3600</v>
      </c>
      <c r="S1947" s="6">
        <f t="shared" si="2"/>
        <v>25</v>
      </c>
      <c r="T1947" s="6" t="str">
        <f t="shared" si="3"/>
        <v>Mid</v>
      </c>
    </row>
    <row r="1948" ht="14.25" customHeight="1">
      <c r="A1948" s="5">
        <v>761374.0</v>
      </c>
      <c r="B1948" s="6" t="s">
        <v>7829</v>
      </c>
      <c r="C1948" s="6" t="s">
        <v>39</v>
      </c>
      <c r="D1948" s="6">
        <v>55641.0</v>
      </c>
      <c r="E1948" s="6" t="s">
        <v>30</v>
      </c>
      <c r="F1948" s="6" t="s">
        <v>41</v>
      </c>
      <c r="G1948" s="6" t="s">
        <v>31</v>
      </c>
      <c r="H1948" s="7">
        <v>2681.0</v>
      </c>
      <c r="I1948" s="7">
        <v>3662.0</v>
      </c>
      <c r="J1948" s="6">
        <v>2013.0</v>
      </c>
      <c r="K1948" s="6">
        <v>115.0</v>
      </c>
      <c r="L1948" s="6" t="s">
        <v>22</v>
      </c>
      <c r="M1948" s="6" t="s">
        <v>7830</v>
      </c>
      <c r="N1948" s="6" t="s">
        <v>64</v>
      </c>
      <c r="O1948" s="6" t="s">
        <v>35</v>
      </c>
      <c r="P1948" s="6">
        <f>COUNTIF(Analysis!$M$1:$M$3001,Analysis!$M1948)</f>
        <v>1</v>
      </c>
      <c r="Q1948" s="6" t="str">
        <f>IF(COUNTIF(Analysis!$M$2:$M$3001,Analysis!$M1948)&gt;1,"Duplicate","OK")</f>
        <v>OK</v>
      </c>
      <c r="R1948" s="6" t="str">
        <f t="shared" si="1"/>
        <v>2600-3600</v>
      </c>
      <c r="S1948" s="6">
        <f t="shared" si="2"/>
        <v>13</v>
      </c>
      <c r="T1948" s="6" t="str">
        <f t="shared" si="3"/>
        <v>Mid</v>
      </c>
    </row>
    <row r="1949" ht="14.25" customHeight="1">
      <c r="A1949" s="5">
        <v>922569.0</v>
      </c>
      <c r="B1949" s="6" t="s">
        <v>7833</v>
      </c>
      <c r="C1949" s="6" t="s">
        <v>18</v>
      </c>
      <c r="D1949" s="6">
        <v>23424.0</v>
      </c>
      <c r="E1949" s="6" t="s">
        <v>77</v>
      </c>
      <c r="F1949" s="6" t="s">
        <v>61</v>
      </c>
      <c r="G1949" s="6" t="s">
        <v>55</v>
      </c>
      <c r="H1949" s="7">
        <v>3202.0</v>
      </c>
      <c r="I1949" s="7">
        <v>1468.0</v>
      </c>
      <c r="J1949" s="6">
        <v>1992.0</v>
      </c>
      <c r="K1949" s="6">
        <v>66.0</v>
      </c>
      <c r="L1949" s="6" t="s">
        <v>95</v>
      </c>
      <c r="M1949" s="6" t="s">
        <v>7834</v>
      </c>
      <c r="N1949" s="6" t="s">
        <v>34</v>
      </c>
      <c r="O1949" s="6" t="s">
        <v>25</v>
      </c>
      <c r="P1949" s="6">
        <f>COUNTIF(Analysis!$M$1:$M$3001,Analysis!$M1949)</f>
        <v>1</v>
      </c>
      <c r="Q1949" s="6" t="str">
        <f>IF(COUNTIF(Analysis!$M$2:$M$3001,Analysis!$M1949)&gt;1,"Duplicate","OK")</f>
        <v>OK</v>
      </c>
      <c r="R1949" s="6" t="str">
        <f t="shared" si="1"/>
        <v>2600-3600</v>
      </c>
      <c r="S1949" s="6">
        <f t="shared" si="2"/>
        <v>34</v>
      </c>
      <c r="T1949" s="6" t="str">
        <f t="shared" si="3"/>
        <v>Old</v>
      </c>
    </row>
    <row r="1950" ht="14.25" customHeight="1">
      <c r="A1950" s="5">
        <v>968119.0</v>
      </c>
      <c r="B1950" s="6" t="s">
        <v>7837</v>
      </c>
      <c r="C1950" s="6" t="s">
        <v>18</v>
      </c>
      <c r="D1950" s="6">
        <v>75241.0</v>
      </c>
      <c r="E1950" s="6" t="s">
        <v>30</v>
      </c>
      <c r="F1950" s="6" t="s">
        <v>54</v>
      </c>
      <c r="G1950" s="6" t="s">
        <v>55</v>
      </c>
      <c r="H1950" s="7">
        <v>1908.0</v>
      </c>
      <c r="I1950" s="7">
        <v>3178.0</v>
      </c>
      <c r="J1950" s="6">
        <v>1970.0</v>
      </c>
      <c r="K1950" s="6">
        <v>64.0</v>
      </c>
      <c r="L1950" s="6" t="s">
        <v>32</v>
      </c>
      <c r="M1950" s="6" t="s">
        <v>7838</v>
      </c>
      <c r="N1950" s="6" t="s">
        <v>64</v>
      </c>
      <c r="O1950" s="6" t="s">
        <v>25</v>
      </c>
      <c r="P1950" s="6">
        <f>COUNTIF(Analysis!$M$1:$M$3001,Analysis!$M1950)</f>
        <v>1</v>
      </c>
      <c r="Q1950" s="6" t="str">
        <f>IF(COUNTIF(Analysis!$M$2:$M$3001,Analysis!$M1950)&gt;1,"Duplicate","OK")</f>
        <v>OK</v>
      </c>
      <c r="R1950" s="6" t="str">
        <f t="shared" si="1"/>
        <v>1600-2600</v>
      </c>
      <c r="S1950" s="6">
        <f t="shared" si="2"/>
        <v>56</v>
      </c>
      <c r="T1950" s="6" t="str">
        <f t="shared" si="3"/>
        <v>Old</v>
      </c>
    </row>
    <row r="1951" ht="14.25" customHeight="1">
      <c r="A1951" s="5">
        <v>1019191.0</v>
      </c>
      <c r="B1951" s="6" t="s">
        <v>7065</v>
      </c>
      <c r="C1951" s="6" t="s">
        <v>29</v>
      </c>
      <c r="D1951" s="6">
        <v>39464.0</v>
      </c>
      <c r="E1951" s="6" t="s">
        <v>19</v>
      </c>
      <c r="F1951" s="6" t="s">
        <v>61</v>
      </c>
      <c r="G1951" s="6" t="s">
        <v>55</v>
      </c>
      <c r="H1951" s="7">
        <v>1139.0</v>
      </c>
      <c r="I1951" s="7">
        <v>5942.0</v>
      </c>
      <c r="J1951" s="6">
        <v>1982.0</v>
      </c>
      <c r="K1951" s="6">
        <v>11.0</v>
      </c>
      <c r="L1951" s="6" t="s">
        <v>95</v>
      </c>
      <c r="M1951" s="6" t="s">
        <v>7066</v>
      </c>
      <c r="N1951" s="6" t="s">
        <v>43</v>
      </c>
      <c r="O1951" s="6" t="s">
        <v>35</v>
      </c>
      <c r="P1951" s="6">
        <f>COUNTIF(Analysis!$M$1:$M$3001,Analysis!$M1757)</f>
        <v>1</v>
      </c>
      <c r="Q1951" s="6" t="str">
        <f>IF(COUNTIF(Analysis!$M$2:$M$3001,Analysis!$M1757)&gt;1,"Duplicate","OK")</f>
        <v>OK</v>
      </c>
      <c r="R1951" s="6" t="str">
        <f t="shared" si="1"/>
        <v>600-1600</v>
      </c>
      <c r="S1951" s="6">
        <f t="shared" si="2"/>
        <v>44</v>
      </c>
      <c r="T1951" s="6" t="str">
        <f t="shared" si="3"/>
        <v>Old</v>
      </c>
    </row>
    <row r="1952" ht="14.25" customHeight="1">
      <c r="A1952" s="5">
        <v>1024477.0</v>
      </c>
      <c r="B1952" s="6" t="s">
        <v>10811</v>
      </c>
      <c r="C1952" s="6" t="s">
        <v>29</v>
      </c>
      <c r="D1952" s="6">
        <v>41345.0</v>
      </c>
      <c r="E1952" s="6" t="s">
        <v>40</v>
      </c>
      <c r="F1952" s="6" t="s">
        <v>46</v>
      </c>
      <c r="G1952" s="6" t="s">
        <v>55</v>
      </c>
      <c r="H1952" s="7">
        <v>2162.0</v>
      </c>
      <c r="I1952" s="7">
        <v>1508.0</v>
      </c>
      <c r="J1952" s="6">
        <v>1977.0</v>
      </c>
      <c r="K1952" s="6">
        <v>13.0</v>
      </c>
      <c r="L1952" s="6" t="s">
        <v>95</v>
      </c>
      <c r="M1952" s="6" t="s">
        <v>10812</v>
      </c>
      <c r="N1952" s="6" t="s">
        <v>64</v>
      </c>
      <c r="O1952" s="6" t="s">
        <v>25</v>
      </c>
      <c r="P1952" s="6">
        <f>COUNTIF(Analysis!$M$1:$M$3001,Analysis!$M2694)</f>
        <v>1</v>
      </c>
      <c r="Q1952" s="6" t="str">
        <f>IF(COUNTIF(Analysis!$M$2:$M$3001,Analysis!$M2694)&gt;1,"Duplicate","OK")</f>
        <v>OK</v>
      </c>
      <c r="R1952" s="6" t="str">
        <f t="shared" si="1"/>
        <v>1600-2600</v>
      </c>
      <c r="S1952" s="6">
        <f t="shared" si="2"/>
        <v>49</v>
      </c>
      <c r="T1952" s="6" t="str">
        <f t="shared" si="3"/>
        <v>Old</v>
      </c>
    </row>
    <row r="1953" ht="14.25" customHeight="1">
      <c r="A1953" s="5">
        <v>409046.0</v>
      </c>
      <c r="B1953" s="6" t="s">
        <v>7849</v>
      </c>
      <c r="C1953" s="6" t="s">
        <v>53</v>
      </c>
      <c r="D1953" s="6">
        <v>10334.0</v>
      </c>
      <c r="E1953" s="6" t="s">
        <v>60</v>
      </c>
      <c r="F1953" s="6" t="s">
        <v>46</v>
      </c>
      <c r="G1953" s="6" t="s">
        <v>55</v>
      </c>
      <c r="H1953" s="7">
        <v>1655.0</v>
      </c>
      <c r="I1953" s="7">
        <v>8013.0</v>
      </c>
      <c r="J1953" s="6">
        <v>1995.0</v>
      </c>
      <c r="K1953" s="6">
        <v>92.0</v>
      </c>
      <c r="L1953" s="6" t="s">
        <v>95</v>
      </c>
      <c r="M1953" s="6" t="s">
        <v>7850</v>
      </c>
      <c r="N1953" s="6" t="s">
        <v>24</v>
      </c>
      <c r="O1953" s="6" t="s">
        <v>35</v>
      </c>
      <c r="P1953" s="6">
        <f>COUNTIF(Analysis!$M$1:$M$3001,Analysis!$M1953)</f>
        <v>1</v>
      </c>
      <c r="Q1953" s="6" t="str">
        <f>IF(COUNTIF(Analysis!$M$2:$M$3001,Analysis!$M1953)&gt;1,"Duplicate","OK")</f>
        <v>OK</v>
      </c>
      <c r="R1953" s="6" t="str">
        <f t="shared" si="1"/>
        <v>1600-2600</v>
      </c>
      <c r="S1953" s="6">
        <f t="shared" si="2"/>
        <v>31</v>
      </c>
      <c r="T1953" s="6" t="str">
        <f t="shared" si="3"/>
        <v>Old</v>
      </c>
    </row>
    <row r="1954" ht="14.25" customHeight="1">
      <c r="A1954" s="5">
        <v>444640.0</v>
      </c>
      <c r="B1954" s="6" t="s">
        <v>7853</v>
      </c>
      <c r="C1954" s="6" t="s">
        <v>18</v>
      </c>
      <c r="D1954" s="6">
        <v>58326.0</v>
      </c>
      <c r="E1954" s="6" t="s">
        <v>19</v>
      </c>
      <c r="F1954" s="6" t="s">
        <v>41</v>
      </c>
      <c r="G1954" s="6" t="s">
        <v>55</v>
      </c>
      <c r="H1954" s="7">
        <v>1714.0</v>
      </c>
      <c r="I1954" s="7">
        <v>2999.0</v>
      </c>
      <c r="J1954" s="6">
        <v>1962.0</v>
      </c>
      <c r="K1954" s="6">
        <v>107.0</v>
      </c>
      <c r="L1954" s="6" t="s">
        <v>141</v>
      </c>
      <c r="M1954" s="6" t="s">
        <v>7854</v>
      </c>
      <c r="N1954" s="6" t="s">
        <v>48</v>
      </c>
      <c r="O1954" s="6" t="s">
        <v>49</v>
      </c>
      <c r="P1954" s="6">
        <f>COUNTIF(Analysis!$M$1:$M$3001,Analysis!$M1954)</f>
        <v>1</v>
      </c>
      <c r="Q1954" s="6" t="str">
        <f>IF(COUNTIF(Analysis!$M$2:$M$3001,Analysis!$M1954)&gt;1,"Duplicate","OK")</f>
        <v>OK</v>
      </c>
      <c r="R1954" s="6" t="str">
        <f t="shared" si="1"/>
        <v>1600-2600</v>
      </c>
      <c r="S1954" s="6">
        <f t="shared" si="2"/>
        <v>64</v>
      </c>
      <c r="T1954" s="6" t="str">
        <f t="shared" si="3"/>
        <v>Very Old</v>
      </c>
    </row>
    <row r="1955" ht="14.25" customHeight="1">
      <c r="A1955" s="5">
        <v>1104138.0</v>
      </c>
      <c r="B1955" s="6" t="s">
        <v>7857</v>
      </c>
      <c r="C1955" s="6" t="s">
        <v>53</v>
      </c>
      <c r="D1955" s="6">
        <v>48435.0</v>
      </c>
      <c r="E1955" s="6" t="s">
        <v>19</v>
      </c>
      <c r="F1955" s="6" t="s">
        <v>46</v>
      </c>
      <c r="G1955" s="6" t="s">
        <v>55</v>
      </c>
      <c r="H1955" s="7">
        <v>2236.0</v>
      </c>
      <c r="I1955" s="7">
        <v>7897.0</v>
      </c>
      <c r="J1955" s="6">
        <v>2005.0</v>
      </c>
      <c r="K1955" s="6">
        <v>39.0</v>
      </c>
      <c r="L1955" s="6" t="s">
        <v>22</v>
      </c>
      <c r="M1955" s="6" t="s">
        <v>7858</v>
      </c>
      <c r="N1955" s="6" t="s">
        <v>48</v>
      </c>
      <c r="O1955" s="6" t="s">
        <v>25</v>
      </c>
      <c r="P1955" s="6">
        <f>COUNTIF(Analysis!$M$1:$M$3001,Analysis!$M1955)</f>
        <v>1</v>
      </c>
      <c r="Q1955" s="6" t="str">
        <f>IF(COUNTIF(Analysis!$M$2:$M$3001,Analysis!$M1955)&gt;1,"Duplicate","OK")</f>
        <v>OK</v>
      </c>
      <c r="R1955" s="6" t="str">
        <f t="shared" si="1"/>
        <v>1600-2600</v>
      </c>
      <c r="S1955" s="6">
        <f t="shared" si="2"/>
        <v>21</v>
      </c>
      <c r="T1955" s="6" t="str">
        <f t="shared" si="3"/>
        <v>Mid</v>
      </c>
    </row>
    <row r="1956" ht="14.25" customHeight="1">
      <c r="A1956" s="5">
        <v>1024884.0</v>
      </c>
      <c r="B1956" s="6" t="s">
        <v>2088</v>
      </c>
      <c r="C1956" s="6" t="s">
        <v>29</v>
      </c>
      <c r="D1956" s="6">
        <v>22793.0</v>
      </c>
      <c r="E1956" s="6" t="s">
        <v>30</v>
      </c>
      <c r="F1956" s="6" t="s">
        <v>41</v>
      </c>
      <c r="G1956" s="6" t="s">
        <v>55</v>
      </c>
      <c r="H1956" s="7">
        <v>1671.0</v>
      </c>
      <c r="I1956" s="7">
        <v>3628.0</v>
      </c>
      <c r="J1956" s="6">
        <v>1955.0</v>
      </c>
      <c r="K1956" s="6">
        <v>60.0</v>
      </c>
      <c r="L1956" s="6" t="s">
        <v>22</v>
      </c>
      <c r="M1956" s="6" t="s">
        <v>2089</v>
      </c>
      <c r="N1956" s="6" t="s">
        <v>24</v>
      </c>
      <c r="O1956" s="6" t="s">
        <v>49</v>
      </c>
      <c r="P1956" s="6">
        <f>COUNTIF(Analysis!$M$1:$M$3001,Analysis!$M512)</f>
        <v>1</v>
      </c>
      <c r="Q1956" s="6" t="str">
        <f>IF(COUNTIF(Analysis!$M$2:$M$3001,Analysis!$M512)&gt;1,"Duplicate","OK")</f>
        <v>OK</v>
      </c>
      <c r="R1956" s="6" t="str">
        <f t="shared" si="1"/>
        <v>1600-2600</v>
      </c>
      <c r="S1956" s="6">
        <f t="shared" si="2"/>
        <v>71</v>
      </c>
      <c r="T1956" s="6" t="str">
        <f t="shared" si="3"/>
        <v>Very Old</v>
      </c>
    </row>
    <row r="1957" ht="14.25" customHeight="1">
      <c r="A1957" s="5">
        <v>1335972.0</v>
      </c>
      <c r="B1957" s="6" t="s">
        <v>7865</v>
      </c>
      <c r="C1957" s="6" t="s">
        <v>39</v>
      </c>
      <c r="D1957" s="6">
        <v>55598.0</v>
      </c>
      <c r="E1957" s="6" t="s">
        <v>60</v>
      </c>
      <c r="F1957" s="6" t="s">
        <v>41</v>
      </c>
      <c r="G1957" s="6" t="s">
        <v>100</v>
      </c>
      <c r="H1957" s="7">
        <v>2936.0</v>
      </c>
      <c r="I1957" s="7">
        <v>5090.0</v>
      </c>
      <c r="J1957" s="6">
        <v>1970.0</v>
      </c>
      <c r="K1957" s="6">
        <v>38.0</v>
      </c>
      <c r="L1957" s="6" t="s">
        <v>62</v>
      </c>
      <c r="M1957" s="6" t="s">
        <v>7866</v>
      </c>
      <c r="N1957" s="6" t="s">
        <v>43</v>
      </c>
      <c r="O1957" s="6" t="s">
        <v>35</v>
      </c>
      <c r="P1957" s="6">
        <f>COUNTIF(Analysis!$M$1:$M$3001,Analysis!$M1957)</f>
        <v>1</v>
      </c>
      <c r="Q1957" s="6" t="str">
        <f>IF(COUNTIF(Analysis!$M$2:$M$3001,Analysis!$M1957)&gt;1,"Duplicate","OK")</f>
        <v>OK</v>
      </c>
      <c r="R1957" s="6" t="str">
        <f t="shared" si="1"/>
        <v>2600-3600</v>
      </c>
      <c r="S1957" s="6">
        <f t="shared" si="2"/>
        <v>56</v>
      </c>
      <c r="T1957" s="6" t="str">
        <f t="shared" si="3"/>
        <v>Old</v>
      </c>
    </row>
    <row r="1958" ht="14.25" customHeight="1">
      <c r="A1958" s="5">
        <v>1030559.0</v>
      </c>
      <c r="B1958" s="6" t="s">
        <v>10675</v>
      </c>
      <c r="C1958" s="6" t="s">
        <v>29</v>
      </c>
      <c r="D1958" s="6">
        <v>63326.0</v>
      </c>
      <c r="E1958" s="6" t="s">
        <v>19</v>
      </c>
      <c r="F1958" s="6" t="s">
        <v>41</v>
      </c>
      <c r="G1958" s="6" t="s">
        <v>31</v>
      </c>
      <c r="H1958" s="7">
        <v>1575.0</v>
      </c>
      <c r="I1958" s="7">
        <v>3011.0</v>
      </c>
      <c r="J1958" s="6">
        <v>1989.0</v>
      </c>
      <c r="K1958" s="6">
        <v>85.0</v>
      </c>
      <c r="L1958" s="6" t="s">
        <v>141</v>
      </c>
      <c r="M1958" s="6" t="s">
        <v>10676</v>
      </c>
      <c r="N1958" s="6" t="s">
        <v>64</v>
      </c>
      <c r="O1958" s="6" t="s">
        <v>35</v>
      </c>
      <c r="P1958" s="6">
        <f>COUNTIF(Analysis!$M$1:$M$3001,Analysis!$M2660)</f>
        <v>1</v>
      </c>
      <c r="Q1958" s="6" t="str">
        <f>IF(COUNTIF(Analysis!$M$2:$M$3001,Analysis!$M2660)&gt;1,"Duplicate","OK")</f>
        <v>OK</v>
      </c>
      <c r="R1958" s="6" t="str">
        <f t="shared" si="1"/>
        <v>600-1600</v>
      </c>
      <c r="S1958" s="6">
        <f t="shared" si="2"/>
        <v>37</v>
      </c>
      <c r="T1958" s="6" t="str">
        <f t="shared" si="3"/>
        <v>Old</v>
      </c>
    </row>
    <row r="1959" ht="14.25" customHeight="1">
      <c r="A1959" s="5">
        <v>892712.0</v>
      </c>
      <c r="B1959" s="6" t="s">
        <v>7873</v>
      </c>
      <c r="C1959" s="6" t="s">
        <v>39</v>
      </c>
      <c r="D1959" s="6">
        <v>97171.0</v>
      </c>
      <c r="E1959" s="6" t="s">
        <v>60</v>
      </c>
      <c r="F1959" s="6" t="s">
        <v>41</v>
      </c>
      <c r="G1959" s="6" t="s">
        <v>55</v>
      </c>
      <c r="H1959" s="7">
        <v>1370.0</v>
      </c>
      <c r="I1959" s="7">
        <v>4487.0</v>
      </c>
      <c r="J1959" s="6">
        <v>1974.0</v>
      </c>
      <c r="K1959" s="6">
        <v>11.0</v>
      </c>
      <c r="L1959" s="6" t="s">
        <v>22</v>
      </c>
      <c r="M1959" s="6" t="s">
        <v>7874</v>
      </c>
      <c r="N1959" s="6" t="s">
        <v>34</v>
      </c>
      <c r="O1959" s="6" t="s">
        <v>49</v>
      </c>
      <c r="P1959" s="6">
        <f>COUNTIF(Analysis!$M$1:$M$3001,Analysis!$M1959)</f>
        <v>1</v>
      </c>
      <c r="Q1959" s="6" t="str">
        <f>IF(COUNTIF(Analysis!$M$2:$M$3001,Analysis!$M1959)&gt;1,"Duplicate","OK")</f>
        <v>OK</v>
      </c>
      <c r="R1959" s="6" t="str">
        <f t="shared" si="1"/>
        <v>600-1600</v>
      </c>
      <c r="S1959" s="6">
        <f t="shared" si="2"/>
        <v>52</v>
      </c>
      <c r="T1959" s="6" t="str">
        <f t="shared" si="3"/>
        <v>Old</v>
      </c>
    </row>
    <row r="1960" ht="14.25" customHeight="1">
      <c r="A1960" s="5">
        <v>1407692.0</v>
      </c>
      <c r="B1960" s="6" t="s">
        <v>7877</v>
      </c>
      <c r="C1960" s="6" t="s">
        <v>18</v>
      </c>
      <c r="D1960" s="6">
        <v>52184.0</v>
      </c>
      <c r="E1960" s="6" t="s">
        <v>40</v>
      </c>
      <c r="F1960" s="6" t="s">
        <v>54</v>
      </c>
      <c r="G1960" s="6" t="s">
        <v>100</v>
      </c>
      <c r="H1960" s="7">
        <v>3929.0</v>
      </c>
      <c r="I1960" s="7">
        <v>9053.0</v>
      </c>
      <c r="J1960" s="6">
        <v>2004.0</v>
      </c>
      <c r="K1960" s="6">
        <v>67.0</v>
      </c>
      <c r="L1960" s="6" t="s">
        <v>32</v>
      </c>
      <c r="M1960" s="6" t="s">
        <v>7878</v>
      </c>
      <c r="N1960" s="6" t="s">
        <v>34</v>
      </c>
      <c r="O1960" s="6" t="s">
        <v>49</v>
      </c>
      <c r="P1960" s="6">
        <f>COUNTIF(Analysis!$M$1:$M$3001,Analysis!$M1960)</f>
        <v>1</v>
      </c>
      <c r="Q1960" s="6" t="str">
        <f>IF(COUNTIF(Analysis!$M$2:$M$3001,Analysis!$M1960)&gt;1,"Duplicate","OK")</f>
        <v>OK</v>
      </c>
      <c r="R1960" s="6" t="str">
        <f t="shared" si="1"/>
        <v>3600+</v>
      </c>
      <c r="S1960" s="6">
        <f t="shared" si="2"/>
        <v>22</v>
      </c>
      <c r="T1960" s="6" t="str">
        <f t="shared" si="3"/>
        <v>Mid</v>
      </c>
    </row>
    <row r="1961" ht="14.25" customHeight="1">
      <c r="A1961" s="5">
        <v>1207592.0</v>
      </c>
      <c r="B1961" s="6" t="s">
        <v>7881</v>
      </c>
      <c r="C1961" s="6" t="s">
        <v>76</v>
      </c>
      <c r="D1961" s="6">
        <v>12658.0</v>
      </c>
      <c r="E1961" s="6" t="s">
        <v>19</v>
      </c>
      <c r="F1961" s="6" t="s">
        <v>20</v>
      </c>
      <c r="G1961" s="6" t="s">
        <v>55</v>
      </c>
      <c r="H1961" s="7">
        <v>1078.0</v>
      </c>
      <c r="I1961" s="7">
        <v>7511.0</v>
      </c>
      <c r="J1961" s="6">
        <v>2021.0</v>
      </c>
      <c r="K1961" s="6">
        <v>82.0</v>
      </c>
      <c r="L1961" s="6" t="s">
        <v>141</v>
      </c>
      <c r="M1961" s="6" t="s">
        <v>7882</v>
      </c>
      <c r="N1961" s="6" t="s">
        <v>34</v>
      </c>
      <c r="O1961" s="6" t="s">
        <v>49</v>
      </c>
      <c r="P1961" s="6">
        <f>COUNTIF(Analysis!$M$1:$M$3001,Analysis!$M1961)</f>
        <v>1</v>
      </c>
      <c r="Q1961" s="6" t="str">
        <f>IF(COUNTIF(Analysis!$M$2:$M$3001,Analysis!$M1961)&gt;1,"Duplicate","OK")</f>
        <v>OK</v>
      </c>
      <c r="R1961" s="6" t="str">
        <f t="shared" si="1"/>
        <v>600-1600</v>
      </c>
      <c r="S1961" s="6">
        <f t="shared" si="2"/>
        <v>5</v>
      </c>
      <c r="T1961" s="6" t="str">
        <f t="shared" si="3"/>
        <v>New</v>
      </c>
    </row>
    <row r="1962" ht="14.25" customHeight="1">
      <c r="A1962" s="5">
        <v>457764.0</v>
      </c>
      <c r="B1962" s="6" t="s">
        <v>7885</v>
      </c>
      <c r="C1962" s="6" t="s">
        <v>53</v>
      </c>
      <c r="D1962" s="6">
        <v>79098.0</v>
      </c>
      <c r="E1962" s="6" t="s">
        <v>77</v>
      </c>
      <c r="F1962" s="6" t="s">
        <v>41</v>
      </c>
      <c r="G1962" s="6" t="s">
        <v>31</v>
      </c>
      <c r="H1962" s="7">
        <v>610.0</v>
      </c>
      <c r="I1962" s="7">
        <v>2830.0</v>
      </c>
      <c r="J1962" s="6">
        <v>2012.0</v>
      </c>
      <c r="K1962" s="6">
        <v>18.0</v>
      </c>
      <c r="L1962" s="6" t="s">
        <v>95</v>
      </c>
      <c r="M1962" s="6" t="s">
        <v>7886</v>
      </c>
      <c r="N1962" s="6" t="s">
        <v>43</v>
      </c>
      <c r="O1962" s="6" t="s">
        <v>35</v>
      </c>
      <c r="P1962" s="6">
        <f>COUNTIF(Analysis!$M$1:$M$3001,Analysis!$M1962)</f>
        <v>1</v>
      </c>
      <c r="Q1962" s="6" t="str">
        <f>IF(COUNTIF(Analysis!$M$2:$M$3001,Analysis!$M1962)&gt;1,"Duplicate","OK")</f>
        <v>OK</v>
      </c>
      <c r="R1962" s="6" t="str">
        <f t="shared" si="1"/>
        <v>600-1600</v>
      </c>
      <c r="S1962" s="6">
        <f t="shared" si="2"/>
        <v>14</v>
      </c>
      <c r="T1962" s="6" t="str">
        <f t="shared" si="3"/>
        <v>Mid</v>
      </c>
    </row>
    <row r="1963" ht="14.25" customHeight="1">
      <c r="A1963" s="5">
        <v>1465859.0</v>
      </c>
      <c r="B1963" s="6" t="s">
        <v>7889</v>
      </c>
      <c r="C1963" s="6" t="s">
        <v>39</v>
      </c>
      <c r="D1963" s="6">
        <v>12670.0</v>
      </c>
      <c r="E1963" s="6" t="s">
        <v>40</v>
      </c>
      <c r="F1963" s="6" t="s">
        <v>41</v>
      </c>
      <c r="G1963" s="6" t="s">
        <v>100</v>
      </c>
      <c r="H1963" s="7">
        <v>1401.0</v>
      </c>
      <c r="I1963" s="7">
        <v>8075.0</v>
      </c>
      <c r="J1963" s="6">
        <v>1978.0</v>
      </c>
      <c r="K1963" s="6">
        <v>10.0</v>
      </c>
      <c r="L1963" s="6" t="s">
        <v>62</v>
      </c>
      <c r="M1963" s="6" t="s">
        <v>7890</v>
      </c>
      <c r="N1963" s="6" t="s">
        <v>48</v>
      </c>
      <c r="O1963" s="6" t="s">
        <v>49</v>
      </c>
      <c r="P1963" s="6">
        <f>COUNTIF(Analysis!$M$1:$M$3001,Analysis!$M1963)</f>
        <v>1</v>
      </c>
      <c r="Q1963" s="6" t="str">
        <f>IF(COUNTIF(Analysis!$M$2:$M$3001,Analysis!$M1963)&gt;1,"Duplicate","OK")</f>
        <v>OK</v>
      </c>
      <c r="R1963" s="6" t="str">
        <f t="shared" si="1"/>
        <v>600-1600</v>
      </c>
      <c r="S1963" s="6">
        <f t="shared" si="2"/>
        <v>48</v>
      </c>
      <c r="T1963" s="6" t="str">
        <f t="shared" si="3"/>
        <v>Old</v>
      </c>
    </row>
    <row r="1964" ht="14.25" customHeight="1">
      <c r="A1964" s="5">
        <v>579088.0</v>
      </c>
      <c r="B1964" s="6" t="s">
        <v>7893</v>
      </c>
      <c r="C1964" s="6" t="s">
        <v>39</v>
      </c>
      <c r="D1964" s="6">
        <v>33000.0</v>
      </c>
      <c r="E1964" s="6" t="s">
        <v>30</v>
      </c>
      <c r="F1964" s="6" t="s">
        <v>46</v>
      </c>
      <c r="G1964" s="6" t="s">
        <v>31</v>
      </c>
      <c r="H1964" s="7">
        <v>771.0</v>
      </c>
      <c r="I1964" s="7">
        <v>1654.0</v>
      </c>
      <c r="J1964" s="6">
        <v>2005.0</v>
      </c>
      <c r="K1964" s="6">
        <v>2.0</v>
      </c>
      <c r="L1964" s="6" t="s">
        <v>32</v>
      </c>
      <c r="M1964" s="6" t="s">
        <v>7894</v>
      </c>
      <c r="N1964" s="6" t="s">
        <v>24</v>
      </c>
      <c r="O1964" s="6" t="s">
        <v>49</v>
      </c>
      <c r="P1964" s="6">
        <f>COUNTIF(Analysis!$M$1:$M$3001,Analysis!$M1964)</f>
        <v>1</v>
      </c>
      <c r="Q1964" s="6" t="str">
        <f>IF(COUNTIF(Analysis!$M$2:$M$3001,Analysis!$M1964)&gt;1,"Duplicate","OK")</f>
        <v>OK</v>
      </c>
      <c r="R1964" s="6" t="str">
        <f t="shared" si="1"/>
        <v>600-1600</v>
      </c>
      <c r="S1964" s="6">
        <f t="shared" si="2"/>
        <v>21</v>
      </c>
      <c r="T1964" s="6" t="str">
        <f t="shared" si="3"/>
        <v>Mid</v>
      </c>
    </row>
    <row r="1965" ht="14.25" customHeight="1">
      <c r="A1965" s="5">
        <v>824024.0</v>
      </c>
      <c r="B1965" s="6" t="s">
        <v>7897</v>
      </c>
      <c r="C1965" s="6" t="s">
        <v>39</v>
      </c>
      <c r="D1965" s="6">
        <v>34584.0</v>
      </c>
      <c r="E1965" s="6" t="s">
        <v>40</v>
      </c>
      <c r="F1965" s="6" t="s">
        <v>61</v>
      </c>
      <c r="G1965" s="6" t="s">
        <v>100</v>
      </c>
      <c r="H1965" s="7">
        <v>3118.0</v>
      </c>
      <c r="I1965" s="7">
        <v>5948.0</v>
      </c>
      <c r="J1965" s="6">
        <v>1992.0</v>
      </c>
      <c r="K1965" s="6">
        <v>48.0</v>
      </c>
      <c r="L1965" s="6" t="s">
        <v>141</v>
      </c>
      <c r="M1965" s="6" t="s">
        <v>7898</v>
      </c>
      <c r="N1965" s="6" t="s">
        <v>34</v>
      </c>
      <c r="O1965" s="6" t="s">
        <v>35</v>
      </c>
      <c r="P1965" s="6">
        <f>COUNTIF(Analysis!$M$1:$M$3001,Analysis!$M1965)</f>
        <v>1</v>
      </c>
      <c r="Q1965" s="6" t="str">
        <f>IF(COUNTIF(Analysis!$M$2:$M$3001,Analysis!$M1965)&gt;1,"Duplicate","OK")</f>
        <v>OK</v>
      </c>
      <c r="R1965" s="6" t="str">
        <f t="shared" si="1"/>
        <v>2600-3600</v>
      </c>
      <c r="S1965" s="6">
        <f t="shared" si="2"/>
        <v>34</v>
      </c>
      <c r="T1965" s="6" t="str">
        <f t="shared" si="3"/>
        <v>Old</v>
      </c>
    </row>
    <row r="1966" ht="14.25" customHeight="1">
      <c r="A1966" s="5">
        <v>886354.0</v>
      </c>
      <c r="B1966" s="6" t="s">
        <v>7901</v>
      </c>
      <c r="C1966" s="6" t="s">
        <v>39</v>
      </c>
      <c r="D1966" s="6">
        <v>14344.0</v>
      </c>
      <c r="E1966" s="6" t="s">
        <v>19</v>
      </c>
      <c r="F1966" s="6" t="s">
        <v>94</v>
      </c>
      <c r="G1966" s="6" t="s">
        <v>100</v>
      </c>
      <c r="H1966" s="7">
        <v>698.0</v>
      </c>
      <c r="I1966" s="7">
        <v>7266.0</v>
      </c>
      <c r="J1966" s="6">
        <v>2004.0</v>
      </c>
      <c r="K1966" s="6">
        <v>48.0</v>
      </c>
      <c r="L1966" s="6" t="s">
        <v>141</v>
      </c>
      <c r="M1966" s="6" t="s">
        <v>7902</v>
      </c>
      <c r="N1966" s="6" t="s">
        <v>48</v>
      </c>
      <c r="O1966" s="6" t="s">
        <v>35</v>
      </c>
      <c r="P1966" s="6">
        <f>COUNTIF(Analysis!$M$1:$M$3001,Analysis!$M1966)</f>
        <v>1</v>
      </c>
      <c r="Q1966" s="6" t="str">
        <f>IF(COUNTIF(Analysis!$M$2:$M$3001,Analysis!$M1966)&gt;1,"Duplicate","OK")</f>
        <v>OK</v>
      </c>
      <c r="R1966" s="6" t="str">
        <f t="shared" si="1"/>
        <v>600-1600</v>
      </c>
      <c r="S1966" s="6">
        <f t="shared" si="2"/>
        <v>22</v>
      </c>
      <c r="T1966" s="6" t="str">
        <f t="shared" si="3"/>
        <v>Mid</v>
      </c>
    </row>
    <row r="1967" ht="14.25" customHeight="1">
      <c r="A1967" s="5">
        <v>357599.0</v>
      </c>
      <c r="B1967" s="6" t="s">
        <v>7905</v>
      </c>
      <c r="C1967" s="6" t="s">
        <v>76</v>
      </c>
      <c r="D1967" s="6">
        <v>21963.0</v>
      </c>
      <c r="E1967" s="6" t="s">
        <v>40</v>
      </c>
      <c r="F1967" s="6" t="s">
        <v>46</v>
      </c>
      <c r="G1967" s="6" t="s">
        <v>31</v>
      </c>
      <c r="H1967" s="7">
        <v>852.0</v>
      </c>
      <c r="I1967" s="7">
        <v>5560.0</v>
      </c>
      <c r="J1967" s="6">
        <v>1950.0</v>
      </c>
      <c r="K1967" s="6">
        <v>75.0</v>
      </c>
      <c r="L1967" s="6" t="s">
        <v>32</v>
      </c>
      <c r="M1967" s="6" t="s">
        <v>7906</v>
      </c>
      <c r="N1967" s="6" t="s">
        <v>24</v>
      </c>
      <c r="O1967" s="6" t="s">
        <v>49</v>
      </c>
      <c r="P1967" s="6">
        <f>COUNTIF(Analysis!$M$1:$M$3001,Analysis!$M1967)</f>
        <v>1</v>
      </c>
      <c r="Q1967" s="6" t="str">
        <f>IF(COUNTIF(Analysis!$M$2:$M$3001,Analysis!$M1967)&gt;1,"Duplicate","OK")</f>
        <v>OK</v>
      </c>
      <c r="R1967" s="6" t="str">
        <f t="shared" si="1"/>
        <v>600-1600</v>
      </c>
      <c r="S1967" s="6">
        <f t="shared" si="2"/>
        <v>76</v>
      </c>
      <c r="T1967" s="6" t="str">
        <f t="shared" si="3"/>
        <v>Very Old</v>
      </c>
    </row>
    <row r="1968" ht="14.25" customHeight="1">
      <c r="A1968" s="5">
        <v>1110404.0</v>
      </c>
      <c r="B1968" s="6" t="s">
        <v>7909</v>
      </c>
      <c r="C1968" s="6" t="s">
        <v>53</v>
      </c>
      <c r="D1968" s="6">
        <v>32546.0</v>
      </c>
      <c r="E1968" s="6" t="s">
        <v>40</v>
      </c>
      <c r="F1968" s="6" t="s">
        <v>54</v>
      </c>
      <c r="G1968" s="6" t="s">
        <v>55</v>
      </c>
      <c r="H1968" s="7">
        <v>1433.0</v>
      </c>
      <c r="I1968" s="7">
        <v>1541.0</v>
      </c>
      <c r="J1968" s="6">
        <v>1968.0</v>
      </c>
      <c r="K1968" s="6">
        <v>76.0</v>
      </c>
      <c r="L1968" s="6" t="s">
        <v>141</v>
      </c>
      <c r="M1968" s="6" t="s">
        <v>7910</v>
      </c>
      <c r="N1968" s="6" t="s">
        <v>43</v>
      </c>
      <c r="O1968" s="6" t="s">
        <v>35</v>
      </c>
      <c r="P1968" s="6">
        <f>COUNTIF(Analysis!$M$1:$M$3001,Analysis!$M1968)</f>
        <v>1</v>
      </c>
      <c r="Q1968" s="6" t="str">
        <f>IF(COUNTIF(Analysis!$M$2:$M$3001,Analysis!$M1968)&gt;1,"Duplicate","OK")</f>
        <v>OK</v>
      </c>
      <c r="R1968" s="6" t="str">
        <f t="shared" si="1"/>
        <v>600-1600</v>
      </c>
      <c r="S1968" s="6">
        <f t="shared" si="2"/>
        <v>58</v>
      </c>
      <c r="T1968" s="6" t="str">
        <f t="shared" si="3"/>
        <v>Old</v>
      </c>
    </row>
    <row r="1969" ht="14.25" customHeight="1">
      <c r="A1969" s="5">
        <v>1031274.0</v>
      </c>
      <c r="B1969" s="6" t="s">
        <v>5738</v>
      </c>
      <c r="C1969" s="6" t="s">
        <v>29</v>
      </c>
      <c r="D1969" s="6">
        <v>48351.0</v>
      </c>
      <c r="E1969" s="6" t="s">
        <v>40</v>
      </c>
      <c r="F1969" s="6" t="s">
        <v>54</v>
      </c>
      <c r="G1969" s="6" t="s">
        <v>55</v>
      </c>
      <c r="H1969" s="7">
        <v>799.0</v>
      </c>
      <c r="I1969" s="7">
        <v>8672.0</v>
      </c>
      <c r="J1969" s="6">
        <v>1973.0</v>
      </c>
      <c r="K1969" s="6">
        <v>79.0</v>
      </c>
      <c r="L1969" s="6" t="s">
        <v>95</v>
      </c>
      <c r="M1969" s="6" t="s">
        <v>5739</v>
      </c>
      <c r="N1969" s="6" t="s">
        <v>24</v>
      </c>
      <c r="O1969" s="6" t="s">
        <v>35</v>
      </c>
      <c r="P1969" s="6">
        <f>COUNTIF(Analysis!$M$1:$M$3001,Analysis!$M1425)</f>
        <v>1</v>
      </c>
      <c r="Q1969" s="6" t="str">
        <f>IF(COUNTIF(Analysis!$M$2:$M$3001,Analysis!$M1425)&gt;1,"Duplicate","OK")</f>
        <v>OK</v>
      </c>
      <c r="R1969" s="6" t="str">
        <f t="shared" si="1"/>
        <v>600-1600</v>
      </c>
      <c r="S1969" s="6">
        <f t="shared" si="2"/>
        <v>53</v>
      </c>
      <c r="T1969" s="6" t="str">
        <f t="shared" si="3"/>
        <v>Old</v>
      </c>
    </row>
    <row r="1970" ht="14.25" customHeight="1">
      <c r="A1970" s="5">
        <v>1209445.0</v>
      </c>
      <c r="B1970" s="6" t="s">
        <v>7917</v>
      </c>
      <c r="C1970" s="6" t="s">
        <v>39</v>
      </c>
      <c r="D1970" s="6">
        <v>16246.0</v>
      </c>
      <c r="E1970" s="6" t="s">
        <v>60</v>
      </c>
      <c r="F1970" s="6" t="s">
        <v>20</v>
      </c>
      <c r="G1970" s="6" t="s">
        <v>31</v>
      </c>
      <c r="H1970" s="7">
        <v>2888.0</v>
      </c>
      <c r="I1970" s="7">
        <v>6119.0</v>
      </c>
      <c r="J1970" s="6">
        <v>1950.0</v>
      </c>
      <c r="K1970" s="6">
        <v>79.0</v>
      </c>
      <c r="L1970" s="6" t="s">
        <v>22</v>
      </c>
      <c r="M1970" s="6" t="s">
        <v>7918</v>
      </c>
      <c r="N1970" s="6" t="s">
        <v>64</v>
      </c>
      <c r="O1970" s="6" t="s">
        <v>35</v>
      </c>
      <c r="P1970" s="6">
        <f>COUNTIF(Analysis!$M$1:$M$3001,Analysis!$M1970)</f>
        <v>1</v>
      </c>
      <c r="Q1970" s="6" t="str">
        <f>IF(COUNTIF(Analysis!$M$2:$M$3001,Analysis!$M1970)&gt;1,"Duplicate","OK")</f>
        <v>OK</v>
      </c>
      <c r="R1970" s="6" t="str">
        <f t="shared" si="1"/>
        <v>2600-3600</v>
      </c>
      <c r="S1970" s="6">
        <f t="shared" si="2"/>
        <v>76</v>
      </c>
      <c r="T1970" s="6" t="str">
        <f t="shared" si="3"/>
        <v>Very Old</v>
      </c>
    </row>
    <row r="1971" ht="14.25" customHeight="1">
      <c r="A1971" s="5">
        <v>469613.0</v>
      </c>
      <c r="B1971" s="6" t="s">
        <v>7921</v>
      </c>
      <c r="C1971" s="6" t="s">
        <v>18</v>
      </c>
      <c r="D1971" s="6">
        <v>35455.0</v>
      </c>
      <c r="E1971" s="6" t="s">
        <v>77</v>
      </c>
      <c r="F1971" s="6" t="s">
        <v>41</v>
      </c>
      <c r="G1971" s="6" t="s">
        <v>100</v>
      </c>
      <c r="H1971" s="7">
        <v>1299.0</v>
      </c>
      <c r="I1971" s="7">
        <v>5533.0</v>
      </c>
      <c r="J1971" s="6">
        <v>2009.0</v>
      </c>
      <c r="K1971" s="6">
        <v>84.0</v>
      </c>
      <c r="L1971" s="6" t="s">
        <v>95</v>
      </c>
      <c r="M1971" s="6" t="s">
        <v>7922</v>
      </c>
      <c r="N1971" s="6" t="s">
        <v>24</v>
      </c>
      <c r="O1971" s="6" t="s">
        <v>35</v>
      </c>
      <c r="P1971" s="6">
        <f>COUNTIF(Analysis!$M$1:$M$3001,Analysis!$M1971)</f>
        <v>1</v>
      </c>
      <c r="Q1971" s="6" t="str">
        <f>IF(COUNTIF(Analysis!$M$2:$M$3001,Analysis!$M1971)&gt;1,"Duplicate","OK")</f>
        <v>OK</v>
      </c>
      <c r="R1971" s="6" t="str">
        <f t="shared" si="1"/>
        <v>600-1600</v>
      </c>
      <c r="S1971" s="6">
        <f t="shared" si="2"/>
        <v>17</v>
      </c>
      <c r="T1971" s="6" t="str">
        <f t="shared" si="3"/>
        <v>Mid</v>
      </c>
    </row>
    <row r="1972" ht="14.25" customHeight="1">
      <c r="A1972" s="5">
        <v>1482350.0</v>
      </c>
      <c r="B1972" s="6" t="s">
        <v>7925</v>
      </c>
      <c r="C1972" s="6" t="s">
        <v>53</v>
      </c>
      <c r="D1972" s="6">
        <v>78192.0</v>
      </c>
      <c r="E1972" s="6" t="s">
        <v>40</v>
      </c>
      <c r="F1972" s="6" t="s">
        <v>41</v>
      </c>
      <c r="G1972" s="6" t="s">
        <v>21</v>
      </c>
      <c r="H1972" s="7">
        <v>3928.0</v>
      </c>
      <c r="I1972" s="7">
        <v>8181.0</v>
      </c>
      <c r="J1972" s="6">
        <v>2009.0</v>
      </c>
      <c r="K1972" s="6">
        <v>86.0</v>
      </c>
      <c r="L1972" s="6" t="s">
        <v>141</v>
      </c>
      <c r="M1972" s="6" t="s">
        <v>7926</v>
      </c>
      <c r="N1972" s="6" t="s">
        <v>64</v>
      </c>
      <c r="O1972" s="6" t="s">
        <v>49</v>
      </c>
      <c r="P1972" s="6">
        <f>COUNTIF(Analysis!$M$1:$M$3001,Analysis!$M1972)</f>
        <v>1</v>
      </c>
      <c r="Q1972" s="6" t="str">
        <f>IF(COUNTIF(Analysis!$M$2:$M$3001,Analysis!$M1972)&gt;1,"Duplicate","OK")</f>
        <v>OK</v>
      </c>
      <c r="R1972" s="6" t="str">
        <f t="shared" si="1"/>
        <v>3600+</v>
      </c>
      <c r="S1972" s="6">
        <f t="shared" si="2"/>
        <v>17</v>
      </c>
      <c r="T1972" s="6" t="str">
        <f t="shared" si="3"/>
        <v>Mid</v>
      </c>
    </row>
    <row r="1973" ht="14.25" customHeight="1">
      <c r="A1973" s="5">
        <v>590041.0</v>
      </c>
      <c r="B1973" s="6" t="s">
        <v>7929</v>
      </c>
      <c r="C1973" s="6" t="s">
        <v>53</v>
      </c>
      <c r="D1973" s="6">
        <v>63105.0</v>
      </c>
      <c r="E1973" s="6" t="s">
        <v>30</v>
      </c>
      <c r="F1973" s="6" t="s">
        <v>54</v>
      </c>
      <c r="G1973" s="6" t="s">
        <v>31</v>
      </c>
      <c r="H1973" s="7">
        <v>3236.0</v>
      </c>
      <c r="I1973" s="7">
        <v>2657.0</v>
      </c>
      <c r="J1973" s="6">
        <v>1953.0</v>
      </c>
      <c r="K1973" s="6">
        <v>17.0</v>
      </c>
      <c r="L1973" s="6" t="s">
        <v>32</v>
      </c>
      <c r="M1973" s="6" t="s">
        <v>7930</v>
      </c>
      <c r="N1973" s="6" t="s">
        <v>24</v>
      </c>
      <c r="O1973" s="6" t="s">
        <v>25</v>
      </c>
      <c r="P1973" s="6">
        <f>COUNTIF(Analysis!$M$1:$M$3001,Analysis!$M1973)</f>
        <v>1</v>
      </c>
      <c r="Q1973" s="6" t="str">
        <f>IF(COUNTIF(Analysis!$M$2:$M$3001,Analysis!$M1973)&gt;1,"Duplicate","OK")</f>
        <v>OK</v>
      </c>
      <c r="R1973" s="6" t="str">
        <f t="shared" si="1"/>
        <v>2600-3600</v>
      </c>
      <c r="S1973" s="6">
        <f t="shared" si="2"/>
        <v>73</v>
      </c>
      <c r="T1973" s="6" t="str">
        <f t="shared" si="3"/>
        <v>Very Old</v>
      </c>
    </row>
    <row r="1974" ht="14.25" customHeight="1">
      <c r="A1974" s="5">
        <v>1259240.0</v>
      </c>
      <c r="B1974" s="6" t="s">
        <v>7933</v>
      </c>
      <c r="C1974" s="6" t="s">
        <v>18</v>
      </c>
      <c r="D1974" s="6">
        <v>57203.0</v>
      </c>
      <c r="E1974" s="6" t="s">
        <v>19</v>
      </c>
      <c r="F1974" s="6" t="s">
        <v>41</v>
      </c>
      <c r="G1974" s="6" t="s">
        <v>55</v>
      </c>
      <c r="H1974" s="7">
        <v>894.0</v>
      </c>
      <c r="I1974" s="7">
        <v>8876.0</v>
      </c>
      <c r="J1974" s="6">
        <v>1974.0</v>
      </c>
      <c r="K1974" s="6">
        <v>68.0</v>
      </c>
      <c r="L1974" s="6" t="s">
        <v>141</v>
      </c>
      <c r="M1974" s="6" t="s">
        <v>7934</v>
      </c>
      <c r="N1974" s="6" t="s">
        <v>43</v>
      </c>
      <c r="O1974" s="6" t="s">
        <v>49</v>
      </c>
      <c r="P1974" s="6">
        <f>COUNTIF(Analysis!$M$1:$M$3001,Analysis!$M1974)</f>
        <v>1</v>
      </c>
      <c r="Q1974" s="6" t="str">
        <f>IF(COUNTIF(Analysis!$M$2:$M$3001,Analysis!$M1974)&gt;1,"Duplicate","OK")</f>
        <v>OK</v>
      </c>
      <c r="R1974" s="6" t="str">
        <f t="shared" si="1"/>
        <v>600-1600</v>
      </c>
      <c r="S1974" s="6">
        <f t="shared" si="2"/>
        <v>52</v>
      </c>
      <c r="T1974" s="6" t="str">
        <f t="shared" si="3"/>
        <v>Old</v>
      </c>
    </row>
    <row r="1975" ht="14.25" customHeight="1">
      <c r="A1975" s="5">
        <v>622890.0</v>
      </c>
      <c r="B1975" s="6" t="s">
        <v>7937</v>
      </c>
      <c r="C1975" s="6" t="s">
        <v>39</v>
      </c>
      <c r="D1975" s="6">
        <v>45847.0</v>
      </c>
      <c r="E1975" s="6" t="s">
        <v>77</v>
      </c>
      <c r="F1975" s="6" t="s">
        <v>54</v>
      </c>
      <c r="G1975" s="6" t="s">
        <v>55</v>
      </c>
      <c r="H1975" s="7">
        <v>944.0</v>
      </c>
      <c r="I1975" s="7">
        <v>3051.0</v>
      </c>
      <c r="J1975" s="6">
        <v>1977.0</v>
      </c>
      <c r="K1975" s="6">
        <v>29.0</v>
      </c>
      <c r="L1975" s="6" t="s">
        <v>22</v>
      </c>
      <c r="M1975" s="6" t="s">
        <v>7938</v>
      </c>
      <c r="N1975" s="6" t="s">
        <v>64</v>
      </c>
      <c r="O1975" s="6" t="s">
        <v>35</v>
      </c>
      <c r="P1975" s="6">
        <f>COUNTIF(Analysis!$M$1:$M$3001,Analysis!$M1975)</f>
        <v>1</v>
      </c>
      <c r="Q1975" s="6" t="str">
        <f>IF(COUNTIF(Analysis!$M$2:$M$3001,Analysis!$M1975)&gt;1,"Duplicate","OK")</f>
        <v>OK</v>
      </c>
      <c r="R1975" s="6" t="str">
        <f t="shared" si="1"/>
        <v>600-1600</v>
      </c>
      <c r="S1975" s="6">
        <f t="shared" si="2"/>
        <v>49</v>
      </c>
      <c r="T1975" s="6" t="str">
        <f t="shared" si="3"/>
        <v>Old</v>
      </c>
    </row>
    <row r="1976" ht="14.25" customHeight="1">
      <c r="A1976" s="5">
        <v>1012943.0</v>
      </c>
      <c r="B1976" s="6" t="s">
        <v>7941</v>
      </c>
      <c r="C1976" s="6" t="s">
        <v>39</v>
      </c>
      <c r="D1976" s="6">
        <v>60641.0</v>
      </c>
      <c r="E1976" s="6" t="s">
        <v>19</v>
      </c>
      <c r="F1976" s="6" t="s">
        <v>20</v>
      </c>
      <c r="G1976" s="6" t="s">
        <v>21</v>
      </c>
      <c r="H1976" s="7">
        <v>2126.0</v>
      </c>
      <c r="I1976" s="7">
        <v>6335.0</v>
      </c>
      <c r="J1976" s="6">
        <v>2017.0</v>
      </c>
      <c r="K1976" s="6">
        <v>18.0</v>
      </c>
      <c r="L1976" s="6" t="s">
        <v>141</v>
      </c>
      <c r="M1976" s="6" t="s">
        <v>7942</v>
      </c>
      <c r="N1976" s="6" t="s">
        <v>43</v>
      </c>
      <c r="O1976" s="6" t="s">
        <v>49</v>
      </c>
      <c r="P1976" s="6">
        <f>COUNTIF(Analysis!$M$1:$M$3001,Analysis!$M1976)</f>
        <v>1</v>
      </c>
      <c r="Q1976" s="6" t="str">
        <f>IF(COUNTIF(Analysis!$M$2:$M$3001,Analysis!$M1976)&gt;1,"Duplicate","OK")</f>
        <v>OK</v>
      </c>
      <c r="R1976" s="6" t="str">
        <f t="shared" si="1"/>
        <v>1600-2600</v>
      </c>
      <c r="S1976" s="6">
        <f t="shared" si="2"/>
        <v>9</v>
      </c>
      <c r="T1976" s="6" t="str">
        <f t="shared" si="3"/>
        <v>New</v>
      </c>
    </row>
    <row r="1977" ht="14.25" customHeight="1">
      <c r="A1977" s="5">
        <v>679034.0</v>
      </c>
      <c r="B1977" s="6" t="s">
        <v>7945</v>
      </c>
      <c r="C1977" s="6" t="s">
        <v>39</v>
      </c>
      <c r="D1977" s="6">
        <v>37566.0</v>
      </c>
      <c r="E1977" s="6" t="s">
        <v>30</v>
      </c>
      <c r="F1977" s="6" t="s">
        <v>20</v>
      </c>
      <c r="G1977" s="6" t="s">
        <v>21</v>
      </c>
      <c r="H1977" s="7">
        <v>2862.0</v>
      </c>
      <c r="I1977" s="7">
        <v>8852.0</v>
      </c>
      <c r="J1977" s="6">
        <v>2016.0</v>
      </c>
      <c r="K1977" s="6">
        <v>69.0</v>
      </c>
      <c r="L1977" s="6" t="s">
        <v>32</v>
      </c>
      <c r="M1977" s="6" t="s">
        <v>7946</v>
      </c>
      <c r="N1977" s="6" t="s">
        <v>48</v>
      </c>
      <c r="O1977" s="6" t="s">
        <v>35</v>
      </c>
      <c r="P1977" s="6">
        <f>COUNTIF(Analysis!$M$1:$M$3001,Analysis!$M1977)</f>
        <v>1</v>
      </c>
      <c r="Q1977" s="6" t="str">
        <f>IF(COUNTIF(Analysis!$M$2:$M$3001,Analysis!$M1977)&gt;1,"Duplicate","OK")</f>
        <v>OK</v>
      </c>
      <c r="R1977" s="6" t="str">
        <f t="shared" si="1"/>
        <v>2600-3600</v>
      </c>
      <c r="S1977" s="6">
        <f t="shared" si="2"/>
        <v>10</v>
      </c>
      <c r="T1977" s="6" t="str">
        <f t="shared" si="3"/>
        <v>New</v>
      </c>
    </row>
    <row r="1978" ht="14.25" customHeight="1">
      <c r="A1978" s="5">
        <v>916544.0</v>
      </c>
      <c r="B1978" s="6" t="s">
        <v>7949</v>
      </c>
      <c r="C1978" s="6" t="s">
        <v>39</v>
      </c>
      <c r="D1978" s="6">
        <v>96591.0</v>
      </c>
      <c r="E1978" s="6" t="s">
        <v>30</v>
      </c>
      <c r="F1978" s="6" t="s">
        <v>61</v>
      </c>
      <c r="G1978" s="6" t="s">
        <v>100</v>
      </c>
      <c r="H1978" s="7">
        <v>3739.0</v>
      </c>
      <c r="I1978" s="7">
        <v>8398.0</v>
      </c>
      <c r="J1978" s="6">
        <v>1997.0</v>
      </c>
      <c r="K1978" s="6">
        <v>52.0</v>
      </c>
      <c r="L1978" s="6" t="s">
        <v>22</v>
      </c>
      <c r="M1978" s="6" t="s">
        <v>7950</v>
      </c>
      <c r="N1978" s="6" t="s">
        <v>43</v>
      </c>
      <c r="O1978" s="6" t="s">
        <v>49</v>
      </c>
      <c r="P1978" s="6">
        <f>COUNTIF(Analysis!$M$1:$M$3001,Analysis!$M1978)</f>
        <v>1</v>
      </c>
      <c r="Q1978" s="6" t="str">
        <f>IF(COUNTIF(Analysis!$M$2:$M$3001,Analysis!$M1978)&gt;1,"Duplicate","OK")</f>
        <v>OK</v>
      </c>
      <c r="R1978" s="6" t="str">
        <f t="shared" si="1"/>
        <v>3600+</v>
      </c>
      <c r="S1978" s="6">
        <f t="shared" si="2"/>
        <v>29</v>
      </c>
      <c r="T1978" s="6" t="str">
        <f t="shared" si="3"/>
        <v>Mid</v>
      </c>
    </row>
    <row r="1979" ht="14.25" customHeight="1">
      <c r="A1979" s="5">
        <v>999564.0</v>
      </c>
      <c r="B1979" s="6" t="s">
        <v>7953</v>
      </c>
      <c r="C1979" s="6" t="s">
        <v>39</v>
      </c>
      <c r="D1979" s="6">
        <v>25541.0</v>
      </c>
      <c r="E1979" s="6" t="s">
        <v>40</v>
      </c>
      <c r="F1979" s="6" t="s">
        <v>46</v>
      </c>
      <c r="G1979" s="6" t="s">
        <v>55</v>
      </c>
      <c r="H1979" s="7">
        <v>2055.0</v>
      </c>
      <c r="I1979" s="7">
        <v>6683.0</v>
      </c>
      <c r="J1979" s="6">
        <v>1984.0</v>
      </c>
      <c r="K1979" s="6">
        <v>104.0</v>
      </c>
      <c r="L1979" s="6" t="s">
        <v>32</v>
      </c>
      <c r="M1979" s="6" t="s">
        <v>7954</v>
      </c>
      <c r="N1979" s="6" t="s">
        <v>34</v>
      </c>
      <c r="O1979" s="6" t="s">
        <v>49</v>
      </c>
      <c r="P1979" s="6">
        <f>COUNTIF(Analysis!$M$1:$M$3001,Analysis!$M1979)</f>
        <v>1</v>
      </c>
      <c r="Q1979" s="6" t="str">
        <f>IF(COUNTIF(Analysis!$M$2:$M$3001,Analysis!$M1979)&gt;1,"Duplicate","OK")</f>
        <v>OK</v>
      </c>
      <c r="R1979" s="6" t="str">
        <f t="shared" si="1"/>
        <v>1600-2600</v>
      </c>
      <c r="S1979" s="6">
        <f t="shared" si="2"/>
        <v>42</v>
      </c>
      <c r="T1979" s="6" t="str">
        <f t="shared" si="3"/>
        <v>Old</v>
      </c>
    </row>
    <row r="1980" ht="14.25" customHeight="1">
      <c r="A1980" s="5">
        <v>969242.0</v>
      </c>
      <c r="B1980" s="6" t="s">
        <v>7957</v>
      </c>
      <c r="C1980" s="6" t="s">
        <v>76</v>
      </c>
      <c r="D1980" s="6">
        <v>69345.0</v>
      </c>
      <c r="E1980" s="6" t="s">
        <v>30</v>
      </c>
      <c r="F1980" s="6" t="s">
        <v>41</v>
      </c>
      <c r="G1980" s="6" t="s">
        <v>100</v>
      </c>
      <c r="H1980" s="7">
        <v>2176.0</v>
      </c>
      <c r="I1980" s="7">
        <v>1436.0</v>
      </c>
      <c r="J1980" s="6">
        <v>1970.0</v>
      </c>
      <c r="K1980" s="6">
        <v>32.0</v>
      </c>
      <c r="L1980" s="6" t="s">
        <v>22</v>
      </c>
      <c r="M1980" s="6" t="s">
        <v>7958</v>
      </c>
      <c r="N1980" s="6" t="s">
        <v>64</v>
      </c>
      <c r="O1980" s="6" t="s">
        <v>49</v>
      </c>
      <c r="P1980" s="6">
        <f>COUNTIF(Analysis!$M$1:$M$3001,Analysis!$M1980)</f>
        <v>1</v>
      </c>
      <c r="Q1980" s="6" t="str">
        <f>IF(COUNTIF(Analysis!$M$2:$M$3001,Analysis!$M1980)&gt;1,"Duplicate","OK")</f>
        <v>OK</v>
      </c>
      <c r="R1980" s="6" t="str">
        <f t="shared" si="1"/>
        <v>1600-2600</v>
      </c>
      <c r="S1980" s="6">
        <f t="shared" si="2"/>
        <v>56</v>
      </c>
      <c r="T1980" s="6" t="str">
        <f t="shared" si="3"/>
        <v>Old</v>
      </c>
    </row>
    <row r="1981" ht="14.25" customHeight="1">
      <c r="A1981" s="5">
        <v>1364134.0</v>
      </c>
      <c r="B1981" s="6" t="s">
        <v>7961</v>
      </c>
      <c r="C1981" s="6" t="s">
        <v>76</v>
      </c>
      <c r="D1981" s="6">
        <v>12385.0</v>
      </c>
      <c r="E1981" s="6" t="s">
        <v>77</v>
      </c>
      <c r="F1981" s="6" t="s">
        <v>46</v>
      </c>
      <c r="G1981" s="6" t="s">
        <v>21</v>
      </c>
      <c r="H1981" s="7">
        <v>1663.0</v>
      </c>
      <c r="I1981" s="7">
        <v>7361.0</v>
      </c>
      <c r="J1981" s="6">
        <v>2015.0</v>
      </c>
      <c r="K1981" s="6">
        <v>75.0</v>
      </c>
      <c r="L1981" s="6" t="s">
        <v>32</v>
      </c>
      <c r="M1981" s="6" t="s">
        <v>7962</v>
      </c>
      <c r="N1981" s="6" t="s">
        <v>34</v>
      </c>
      <c r="O1981" s="6" t="s">
        <v>25</v>
      </c>
      <c r="P1981" s="6">
        <f>COUNTIF(Analysis!$M$1:$M$3001,Analysis!$M1981)</f>
        <v>1</v>
      </c>
      <c r="Q1981" s="6" t="str">
        <f>IF(COUNTIF(Analysis!$M$2:$M$3001,Analysis!$M1981)&gt;1,"Duplicate","OK")</f>
        <v>OK</v>
      </c>
      <c r="R1981" s="6" t="str">
        <f t="shared" si="1"/>
        <v>1600-2600</v>
      </c>
      <c r="S1981" s="6">
        <f t="shared" si="2"/>
        <v>11</v>
      </c>
      <c r="T1981" s="6" t="str">
        <f t="shared" si="3"/>
        <v>Mid</v>
      </c>
    </row>
    <row r="1982" ht="14.25" customHeight="1">
      <c r="A1982" s="5">
        <v>887213.0</v>
      </c>
      <c r="B1982" s="6" t="s">
        <v>7965</v>
      </c>
      <c r="C1982" s="6" t="s">
        <v>53</v>
      </c>
      <c r="D1982" s="6">
        <v>99474.0</v>
      </c>
      <c r="E1982" s="6" t="s">
        <v>77</v>
      </c>
      <c r="F1982" s="6" t="s">
        <v>94</v>
      </c>
      <c r="G1982" s="6" t="s">
        <v>21</v>
      </c>
      <c r="H1982" s="7">
        <v>3458.0</v>
      </c>
      <c r="I1982" s="7">
        <v>2761.0</v>
      </c>
      <c r="J1982" s="6">
        <v>1982.0</v>
      </c>
      <c r="K1982" s="6">
        <v>3.0</v>
      </c>
      <c r="L1982" s="6" t="s">
        <v>32</v>
      </c>
      <c r="M1982" s="6" t="s">
        <v>7966</v>
      </c>
      <c r="N1982" s="6" t="s">
        <v>64</v>
      </c>
      <c r="O1982" s="6" t="s">
        <v>25</v>
      </c>
      <c r="P1982" s="6">
        <f>COUNTIF(Analysis!$M$1:$M$3001,Analysis!$M1982)</f>
        <v>1</v>
      </c>
      <c r="Q1982" s="6" t="str">
        <f>IF(COUNTIF(Analysis!$M$2:$M$3001,Analysis!$M1982)&gt;1,"Duplicate","OK")</f>
        <v>OK</v>
      </c>
      <c r="R1982" s="6" t="str">
        <f t="shared" si="1"/>
        <v>2600-3600</v>
      </c>
      <c r="S1982" s="6">
        <f t="shared" si="2"/>
        <v>44</v>
      </c>
      <c r="T1982" s="6" t="str">
        <f t="shared" si="3"/>
        <v>Old</v>
      </c>
    </row>
    <row r="1983" ht="14.25" customHeight="1">
      <c r="A1983" s="5">
        <v>1284963.0</v>
      </c>
      <c r="B1983" s="6" t="s">
        <v>7969</v>
      </c>
      <c r="C1983" s="6" t="s">
        <v>53</v>
      </c>
      <c r="D1983" s="6">
        <v>78338.0</v>
      </c>
      <c r="E1983" s="6" t="s">
        <v>30</v>
      </c>
      <c r="F1983" s="6" t="s">
        <v>20</v>
      </c>
      <c r="G1983" s="6" t="s">
        <v>21</v>
      </c>
      <c r="H1983" s="7">
        <v>2467.0</v>
      </c>
      <c r="I1983" s="7">
        <v>5508.0</v>
      </c>
      <c r="J1983" s="6">
        <v>1971.0</v>
      </c>
      <c r="K1983" s="6">
        <v>42.0</v>
      </c>
      <c r="L1983" s="6" t="s">
        <v>95</v>
      </c>
      <c r="M1983" s="6" t="s">
        <v>7970</v>
      </c>
      <c r="N1983" s="6" t="s">
        <v>48</v>
      </c>
      <c r="O1983" s="6" t="s">
        <v>49</v>
      </c>
      <c r="P1983" s="6">
        <f>COUNTIF(Analysis!$M$1:$M$3001,Analysis!$M1983)</f>
        <v>1</v>
      </c>
      <c r="Q1983" s="6" t="str">
        <f>IF(COUNTIF(Analysis!$M$2:$M$3001,Analysis!$M1983)&gt;1,"Duplicate","OK")</f>
        <v>OK</v>
      </c>
      <c r="R1983" s="6" t="str">
        <f t="shared" si="1"/>
        <v>1600-2600</v>
      </c>
      <c r="S1983" s="6">
        <f t="shared" si="2"/>
        <v>55</v>
      </c>
      <c r="T1983" s="6" t="str">
        <f t="shared" si="3"/>
        <v>Old</v>
      </c>
    </row>
    <row r="1984" ht="14.25" customHeight="1">
      <c r="A1984" s="5">
        <v>391248.0</v>
      </c>
      <c r="B1984" s="6" t="s">
        <v>7973</v>
      </c>
      <c r="C1984" s="6" t="s">
        <v>53</v>
      </c>
      <c r="D1984" s="6">
        <v>64500.0</v>
      </c>
      <c r="E1984" s="6" t="s">
        <v>60</v>
      </c>
      <c r="F1984" s="6" t="s">
        <v>41</v>
      </c>
      <c r="G1984" s="6" t="s">
        <v>31</v>
      </c>
      <c r="H1984" s="7">
        <v>1326.0</v>
      </c>
      <c r="I1984" s="7">
        <v>9805.0</v>
      </c>
      <c r="J1984" s="6">
        <v>2010.0</v>
      </c>
      <c r="K1984" s="6">
        <v>72.0</v>
      </c>
      <c r="L1984" s="6" t="s">
        <v>22</v>
      </c>
      <c r="M1984" s="6" t="s">
        <v>7974</v>
      </c>
      <c r="N1984" s="6" t="s">
        <v>34</v>
      </c>
      <c r="O1984" s="6" t="s">
        <v>25</v>
      </c>
      <c r="P1984" s="6">
        <f>COUNTIF(Analysis!$M$1:$M$3001,Analysis!$M1984)</f>
        <v>1</v>
      </c>
      <c r="Q1984" s="6" t="str">
        <f>IF(COUNTIF(Analysis!$M$2:$M$3001,Analysis!$M1984)&gt;1,"Duplicate","OK")</f>
        <v>OK</v>
      </c>
      <c r="R1984" s="6" t="str">
        <f t="shared" si="1"/>
        <v>600-1600</v>
      </c>
      <c r="S1984" s="6">
        <f t="shared" si="2"/>
        <v>16</v>
      </c>
      <c r="T1984" s="6" t="str">
        <f t="shared" si="3"/>
        <v>Mid</v>
      </c>
    </row>
    <row r="1985" ht="14.25" customHeight="1">
      <c r="A1985" s="5">
        <v>1288078.0</v>
      </c>
      <c r="B1985" s="6" t="s">
        <v>7977</v>
      </c>
      <c r="C1985" s="6" t="s">
        <v>18</v>
      </c>
      <c r="D1985" s="6">
        <v>29707.0</v>
      </c>
      <c r="E1985" s="6" t="s">
        <v>19</v>
      </c>
      <c r="F1985" s="6" t="s">
        <v>61</v>
      </c>
      <c r="G1985" s="6" t="s">
        <v>21</v>
      </c>
      <c r="H1985" s="7">
        <v>2055.0</v>
      </c>
      <c r="I1985" s="7">
        <v>7958.0</v>
      </c>
      <c r="J1985" s="6">
        <v>1970.0</v>
      </c>
      <c r="K1985" s="6">
        <v>25.0</v>
      </c>
      <c r="L1985" s="6" t="s">
        <v>141</v>
      </c>
      <c r="M1985" s="6" t="s">
        <v>7978</v>
      </c>
      <c r="N1985" s="6" t="s">
        <v>48</v>
      </c>
      <c r="O1985" s="6" t="s">
        <v>35</v>
      </c>
      <c r="P1985" s="6">
        <f>COUNTIF(Analysis!$M$1:$M$3001,Analysis!$M1985)</f>
        <v>1</v>
      </c>
      <c r="Q1985" s="6" t="str">
        <f>IF(COUNTIF(Analysis!$M$2:$M$3001,Analysis!$M1985)&gt;1,"Duplicate","OK")</f>
        <v>OK</v>
      </c>
      <c r="R1985" s="6" t="str">
        <f t="shared" si="1"/>
        <v>1600-2600</v>
      </c>
      <c r="S1985" s="6">
        <f t="shared" si="2"/>
        <v>56</v>
      </c>
      <c r="T1985" s="6" t="str">
        <f t="shared" si="3"/>
        <v>Old</v>
      </c>
    </row>
    <row r="1986" ht="14.25" customHeight="1">
      <c r="A1986" s="5">
        <v>1033041.0</v>
      </c>
      <c r="B1986" s="6" t="s">
        <v>4139</v>
      </c>
      <c r="C1986" s="6" t="s">
        <v>29</v>
      </c>
      <c r="D1986" s="6">
        <v>63203.0</v>
      </c>
      <c r="E1986" s="6" t="s">
        <v>19</v>
      </c>
      <c r="F1986" s="6" t="s">
        <v>94</v>
      </c>
      <c r="G1986" s="6" t="s">
        <v>31</v>
      </c>
      <c r="H1986" s="7">
        <v>2301.0</v>
      </c>
      <c r="I1986" s="7">
        <v>8617.0</v>
      </c>
      <c r="J1986" s="6">
        <v>1981.0</v>
      </c>
      <c r="K1986" s="6">
        <v>65.0</v>
      </c>
      <c r="L1986" s="6" t="s">
        <v>62</v>
      </c>
      <c r="M1986" s="6" t="s">
        <v>4140</v>
      </c>
      <c r="N1986" s="6" t="s">
        <v>34</v>
      </c>
      <c r="O1986" s="6" t="s">
        <v>49</v>
      </c>
      <c r="P1986" s="6">
        <f>COUNTIF(Analysis!$M$1:$M$3001,Analysis!$M1025)</f>
        <v>1</v>
      </c>
      <c r="Q1986" s="6" t="str">
        <f>IF(COUNTIF(Analysis!$M$2:$M$3001,Analysis!$M1025)&gt;1,"Duplicate","OK")</f>
        <v>OK</v>
      </c>
      <c r="R1986" s="6" t="str">
        <f t="shared" si="1"/>
        <v>1600-2600</v>
      </c>
      <c r="S1986" s="6">
        <f t="shared" si="2"/>
        <v>45</v>
      </c>
      <c r="T1986" s="6" t="str">
        <f t="shared" si="3"/>
        <v>Old</v>
      </c>
    </row>
    <row r="1987" ht="14.25" customHeight="1">
      <c r="A1987" s="5">
        <v>1218958.0</v>
      </c>
      <c r="B1987" s="6" t="s">
        <v>7985</v>
      </c>
      <c r="C1987" s="6" t="s">
        <v>39</v>
      </c>
      <c r="D1987" s="6">
        <v>44426.0</v>
      </c>
      <c r="E1987" s="6" t="s">
        <v>19</v>
      </c>
      <c r="F1987" s="6" t="s">
        <v>94</v>
      </c>
      <c r="G1987" s="6" t="s">
        <v>31</v>
      </c>
      <c r="H1987" s="7">
        <v>3699.0</v>
      </c>
      <c r="I1987" s="7">
        <v>1187.0</v>
      </c>
      <c r="J1987" s="6">
        <v>2020.0</v>
      </c>
      <c r="K1987" s="6">
        <v>119.0</v>
      </c>
      <c r="L1987" s="6" t="s">
        <v>22</v>
      </c>
      <c r="M1987" s="6" t="s">
        <v>7986</v>
      </c>
      <c r="N1987" s="6" t="s">
        <v>43</v>
      </c>
      <c r="O1987" s="6" t="s">
        <v>49</v>
      </c>
      <c r="P1987" s="6">
        <f>COUNTIF(Analysis!$M$1:$M$3001,Analysis!$M1987)</f>
        <v>1</v>
      </c>
      <c r="Q1987" s="6" t="str">
        <f>IF(COUNTIF(Analysis!$M$2:$M$3001,Analysis!$M1987)&gt;1,"Duplicate","OK")</f>
        <v>OK</v>
      </c>
      <c r="R1987" s="6" t="str">
        <f t="shared" si="1"/>
        <v>3600+</v>
      </c>
      <c r="S1987" s="6">
        <f t="shared" si="2"/>
        <v>6</v>
      </c>
      <c r="T1987" s="6" t="str">
        <f t="shared" si="3"/>
        <v>New</v>
      </c>
    </row>
    <row r="1988" ht="14.25" customHeight="1">
      <c r="A1988" s="5">
        <v>1492072.0</v>
      </c>
      <c r="B1988" s="6" t="s">
        <v>7989</v>
      </c>
      <c r="C1988" s="6" t="s">
        <v>18</v>
      </c>
      <c r="D1988" s="6">
        <v>62271.0</v>
      </c>
      <c r="E1988" s="6" t="s">
        <v>40</v>
      </c>
      <c r="F1988" s="6" t="s">
        <v>54</v>
      </c>
      <c r="G1988" s="6" t="s">
        <v>100</v>
      </c>
      <c r="H1988" s="7">
        <v>1590.0</v>
      </c>
      <c r="I1988" s="7">
        <v>4301.0</v>
      </c>
      <c r="J1988" s="6">
        <v>1950.0</v>
      </c>
      <c r="K1988" s="6">
        <v>116.0</v>
      </c>
      <c r="L1988" s="6" t="s">
        <v>141</v>
      </c>
      <c r="M1988" s="6" t="s">
        <v>7990</v>
      </c>
      <c r="N1988" s="6" t="s">
        <v>43</v>
      </c>
      <c r="O1988" s="6" t="s">
        <v>35</v>
      </c>
      <c r="P1988" s="6">
        <f>COUNTIF(Analysis!$M$1:$M$3001,Analysis!$M1988)</f>
        <v>1</v>
      </c>
      <c r="Q1988" s="6" t="str">
        <f>IF(COUNTIF(Analysis!$M$2:$M$3001,Analysis!$M1988)&gt;1,"Duplicate","OK")</f>
        <v>OK</v>
      </c>
      <c r="R1988" s="6" t="str">
        <f t="shared" si="1"/>
        <v>600-1600</v>
      </c>
      <c r="S1988" s="6">
        <f t="shared" si="2"/>
        <v>76</v>
      </c>
      <c r="T1988" s="6" t="str">
        <f t="shared" si="3"/>
        <v>Very Old</v>
      </c>
    </row>
    <row r="1989" ht="14.25" customHeight="1">
      <c r="A1989" s="5">
        <v>583720.0</v>
      </c>
      <c r="B1989" s="6" t="s">
        <v>7993</v>
      </c>
      <c r="C1989" s="6" t="s">
        <v>76</v>
      </c>
      <c r="D1989" s="6">
        <v>70050.0</v>
      </c>
      <c r="E1989" s="6" t="s">
        <v>40</v>
      </c>
      <c r="F1989" s="6" t="s">
        <v>46</v>
      </c>
      <c r="G1989" s="6" t="s">
        <v>21</v>
      </c>
      <c r="H1989" s="7">
        <v>1791.0</v>
      </c>
      <c r="I1989" s="7">
        <v>3104.0</v>
      </c>
      <c r="J1989" s="6">
        <v>1993.0</v>
      </c>
      <c r="K1989" s="6">
        <v>79.0</v>
      </c>
      <c r="L1989" s="6" t="s">
        <v>22</v>
      </c>
      <c r="M1989" s="6" t="s">
        <v>7994</v>
      </c>
      <c r="N1989" s="6" t="s">
        <v>43</v>
      </c>
      <c r="O1989" s="6" t="s">
        <v>49</v>
      </c>
      <c r="P1989" s="6">
        <f>COUNTIF(Analysis!$M$1:$M$3001,Analysis!$M1989)</f>
        <v>1</v>
      </c>
      <c r="Q1989" s="6" t="str">
        <f>IF(COUNTIF(Analysis!$M$2:$M$3001,Analysis!$M1989)&gt;1,"Duplicate","OK")</f>
        <v>OK</v>
      </c>
      <c r="R1989" s="6" t="str">
        <f t="shared" si="1"/>
        <v>1600-2600</v>
      </c>
      <c r="S1989" s="6">
        <f t="shared" si="2"/>
        <v>33</v>
      </c>
      <c r="T1989" s="6" t="str">
        <f t="shared" si="3"/>
        <v>Old</v>
      </c>
    </row>
    <row r="1990" ht="14.25" customHeight="1">
      <c r="A1990" s="5">
        <v>627152.0</v>
      </c>
      <c r="B1990" s="6" t="s">
        <v>7997</v>
      </c>
      <c r="C1990" s="6" t="s">
        <v>39</v>
      </c>
      <c r="D1990" s="6">
        <v>19584.0</v>
      </c>
      <c r="E1990" s="6" t="s">
        <v>60</v>
      </c>
      <c r="F1990" s="6" t="s">
        <v>61</v>
      </c>
      <c r="G1990" s="6" t="s">
        <v>100</v>
      </c>
      <c r="H1990" s="7">
        <v>1988.0</v>
      </c>
      <c r="I1990" s="7">
        <v>3003.0</v>
      </c>
      <c r="J1990" s="6">
        <v>1996.0</v>
      </c>
      <c r="K1990" s="6">
        <v>64.0</v>
      </c>
      <c r="L1990" s="6" t="s">
        <v>141</v>
      </c>
      <c r="M1990" s="6" t="s">
        <v>7998</v>
      </c>
      <c r="N1990" s="6" t="s">
        <v>64</v>
      </c>
      <c r="O1990" s="6" t="s">
        <v>35</v>
      </c>
      <c r="P1990" s="6">
        <f>COUNTIF(Analysis!$M$1:$M$3001,Analysis!$M1990)</f>
        <v>1</v>
      </c>
      <c r="Q1990" s="6" t="str">
        <f>IF(COUNTIF(Analysis!$M$2:$M$3001,Analysis!$M1990)&gt;1,"Duplicate","OK")</f>
        <v>OK</v>
      </c>
      <c r="R1990" s="6" t="str">
        <f t="shared" si="1"/>
        <v>1600-2600</v>
      </c>
      <c r="S1990" s="6">
        <f t="shared" si="2"/>
        <v>30</v>
      </c>
      <c r="T1990" s="6" t="str">
        <f t="shared" si="3"/>
        <v>Mid</v>
      </c>
    </row>
    <row r="1991" ht="14.25" customHeight="1">
      <c r="A1991" s="5">
        <v>1060065.0</v>
      </c>
      <c r="B1991" s="6" t="s">
        <v>8001</v>
      </c>
      <c r="C1991" s="6" t="s">
        <v>18</v>
      </c>
      <c r="D1991" s="6">
        <v>13737.0</v>
      </c>
      <c r="E1991" s="6" t="s">
        <v>40</v>
      </c>
      <c r="F1991" s="6" t="s">
        <v>61</v>
      </c>
      <c r="G1991" s="6" t="s">
        <v>31</v>
      </c>
      <c r="H1991" s="7">
        <v>1533.0</v>
      </c>
      <c r="I1991" s="7">
        <v>4105.0</v>
      </c>
      <c r="J1991" s="6">
        <v>1994.0</v>
      </c>
      <c r="K1991" s="6">
        <v>83.0</v>
      </c>
      <c r="L1991" s="6" t="s">
        <v>62</v>
      </c>
      <c r="M1991" s="6" t="s">
        <v>8002</v>
      </c>
      <c r="N1991" s="6" t="s">
        <v>43</v>
      </c>
      <c r="O1991" s="6" t="s">
        <v>35</v>
      </c>
      <c r="P1991" s="6">
        <f>COUNTIF(Analysis!$M$1:$M$3001,Analysis!$M1991)</f>
        <v>1</v>
      </c>
      <c r="Q1991" s="6" t="str">
        <f>IF(COUNTIF(Analysis!$M$2:$M$3001,Analysis!$M1991)&gt;1,"Duplicate","OK")</f>
        <v>OK</v>
      </c>
      <c r="R1991" s="6" t="str">
        <f t="shared" si="1"/>
        <v>600-1600</v>
      </c>
      <c r="S1991" s="6">
        <f t="shared" si="2"/>
        <v>32</v>
      </c>
      <c r="T1991" s="6" t="str">
        <f t="shared" si="3"/>
        <v>Old</v>
      </c>
    </row>
    <row r="1992" ht="14.25" customHeight="1">
      <c r="A1992" s="5">
        <v>781564.0</v>
      </c>
      <c r="B1992" s="6" t="s">
        <v>8005</v>
      </c>
      <c r="C1992" s="6" t="s">
        <v>39</v>
      </c>
      <c r="D1992" s="6">
        <v>12697.0</v>
      </c>
      <c r="E1992" s="6" t="s">
        <v>40</v>
      </c>
      <c r="F1992" s="6" t="s">
        <v>41</v>
      </c>
      <c r="G1992" s="6" t="s">
        <v>21</v>
      </c>
      <c r="H1992" s="7">
        <v>2593.0</v>
      </c>
      <c r="I1992" s="7">
        <v>5638.0</v>
      </c>
      <c r="J1992" s="6">
        <v>1986.0</v>
      </c>
      <c r="K1992" s="6">
        <v>117.0</v>
      </c>
      <c r="L1992" s="6" t="s">
        <v>32</v>
      </c>
      <c r="M1992" s="6" t="s">
        <v>8006</v>
      </c>
      <c r="N1992" s="6" t="s">
        <v>43</v>
      </c>
      <c r="O1992" s="6" t="s">
        <v>25</v>
      </c>
      <c r="P1992" s="6">
        <f>COUNTIF(Analysis!$M$1:$M$3001,Analysis!$M1992)</f>
        <v>1</v>
      </c>
      <c r="Q1992" s="6" t="str">
        <f>IF(COUNTIF(Analysis!$M$2:$M$3001,Analysis!$M1992)&gt;1,"Duplicate","OK")</f>
        <v>OK</v>
      </c>
      <c r="R1992" s="6" t="str">
        <f t="shared" si="1"/>
        <v>1600-2600</v>
      </c>
      <c r="S1992" s="6">
        <f t="shared" si="2"/>
        <v>40</v>
      </c>
      <c r="T1992" s="6" t="str">
        <f t="shared" si="3"/>
        <v>Old</v>
      </c>
    </row>
    <row r="1993" ht="14.25" customHeight="1">
      <c r="A1993" s="5">
        <v>1164379.0</v>
      </c>
      <c r="B1993" s="6" t="s">
        <v>8009</v>
      </c>
      <c r="C1993" s="6" t="s">
        <v>76</v>
      </c>
      <c r="D1993" s="6">
        <v>57058.0</v>
      </c>
      <c r="E1993" s="6" t="s">
        <v>30</v>
      </c>
      <c r="F1993" s="6" t="s">
        <v>61</v>
      </c>
      <c r="G1993" s="6" t="s">
        <v>55</v>
      </c>
      <c r="H1993" s="7">
        <v>2720.0</v>
      </c>
      <c r="I1993" s="7">
        <v>7791.0</v>
      </c>
      <c r="J1993" s="6">
        <v>1964.0</v>
      </c>
      <c r="K1993" s="6">
        <v>44.0</v>
      </c>
      <c r="L1993" s="6" t="s">
        <v>62</v>
      </c>
      <c r="M1993" s="6" t="s">
        <v>8010</v>
      </c>
      <c r="N1993" s="6" t="s">
        <v>43</v>
      </c>
      <c r="O1993" s="6" t="s">
        <v>49</v>
      </c>
      <c r="P1993" s="6">
        <f>COUNTIF(Analysis!$M$1:$M$3001,Analysis!$M1993)</f>
        <v>1</v>
      </c>
      <c r="Q1993" s="6" t="str">
        <f>IF(COUNTIF(Analysis!$M$2:$M$3001,Analysis!$M1993)&gt;1,"Duplicate","OK")</f>
        <v>OK</v>
      </c>
      <c r="R1993" s="6" t="str">
        <f t="shared" si="1"/>
        <v>2600-3600</v>
      </c>
      <c r="S1993" s="6">
        <f t="shared" si="2"/>
        <v>62</v>
      </c>
      <c r="T1993" s="6" t="str">
        <f t="shared" si="3"/>
        <v>Very Old</v>
      </c>
    </row>
    <row r="1994" ht="14.25" customHeight="1">
      <c r="A1994" s="5">
        <v>891896.0</v>
      </c>
      <c r="B1994" s="6" t="s">
        <v>8013</v>
      </c>
      <c r="C1994" s="6" t="s">
        <v>76</v>
      </c>
      <c r="D1994" s="6">
        <v>12184.0</v>
      </c>
      <c r="E1994" s="6" t="s">
        <v>19</v>
      </c>
      <c r="F1994" s="6" t="s">
        <v>41</v>
      </c>
      <c r="G1994" s="6" t="s">
        <v>31</v>
      </c>
      <c r="H1994" s="7">
        <v>998.0</v>
      </c>
      <c r="I1994" s="7">
        <v>9749.0</v>
      </c>
      <c r="J1994" s="6">
        <v>1970.0</v>
      </c>
      <c r="K1994" s="6">
        <v>87.0</v>
      </c>
      <c r="L1994" s="6" t="s">
        <v>95</v>
      </c>
      <c r="M1994" s="6" t="s">
        <v>8014</v>
      </c>
      <c r="N1994" s="6" t="s">
        <v>43</v>
      </c>
      <c r="O1994" s="6" t="s">
        <v>49</v>
      </c>
      <c r="P1994" s="6">
        <f>COUNTIF(Analysis!$M$1:$M$3001,Analysis!$M1994)</f>
        <v>1</v>
      </c>
      <c r="Q1994" s="6" t="str">
        <f>IF(COUNTIF(Analysis!$M$2:$M$3001,Analysis!$M1994)&gt;1,"Duplicate","OK")</f>
        <v>OK</v>
      </c>
      <c r="R1994" s="6" t="str">
        <f t="shared" si="1"/>
        <v>600-1600</v>
      </c>
      <c r="S1994" s="6">
        <f t="shared" si="2"/>
        <v>56</v>
      </c>
      <c r="T1994" s="6" t="str">
        <f t="shared" si="3"/>
        <v>Old</v>
      </c>
    </row>
    <row r="1995" ht="14.25" customHeight="1">
      <c r="A1995" s="5">
        <v>866451.0</v>
      </c>
      <c r="B1995" s="6" t="s">
        <v>8017</v>
      </c>
      <c r="C1995" s="6" t="s">
        <v>76</v>
      </c>
      <c r="D1995" s="6">
        <v>51915.0</v>
      </c>
      <c r="E1995" s="6" t="s">
        <v>19</v>
      </c>
      <c r="F1995" s="6" t="s">
        <v>46</v>
      </c>
      <c r="G1995" s="6" t="s">
        <v>100</v>
      </c>
      <c r="H1995" s="7">
        <v>1471.0</v>
      </c>
      <c r="I1995" s="7">
        <v>5605.0</v>
      </c>
      <c r="J1995" s="6">
        <v>1994.0</v>
      </c>
      <c r="K1995" s="6">
        <v>118.0</v>
      </c>
      <c r="L1995" s="6" t="s">
        <v>22</v>
      </c>
      <c r="M1995" s="6" t="s">
        <v>8018</v>
      </c>
      <c r="N1995" s="6" t="s">
        <v>34</v>
      </c>
      <c r="O1995" s="6" t="s">
        <v>35</v>
      </c>
      <c r="P1995" s="6">
        <f>COUNTIF(Analysis!$M$1:$M$3001,Analysis!$M1995)</f>
        <v>1</v>
      </c>
      <c r="Q1995" s="6" t="str">
        <f>IF(COUNTIF(Analysis!$M$2:$M$3001,Analysis!$M1995)&gt;1,"Duplicate","OK")</f>
        <v>OK</v>
      </c>
      <c r="R1995" s="6" t="str">
        <f t="shared" si="1"/>
        <v>600-1600</v>
      </c>
      <c r="S1995" s="6">
        <f t="shared" si="2"/>
        <v>32</v>
      </c>
      <c r="T1995" s="6" t="str">
        <f t="shared" si="3"/>
        <v>Old</v>
      </c>
    </row>
    <row r="1996" ht="14.25" customHeight="1">
      <c r="A1996" s="5">
        <v>1042458.0</v>
      </c>
      <c r="B1996" s="6" t="s">
        <v>6601</v>
      </c>
      <c r="C1996" s="6" t="s">
        <v>29</v>
      </c>
      <c r="D1996" s="6">
        <v>52312.0</v>
      </c>
      <c r="E1996" s="6" t="s">
        <v>30</v>
      </c>
      <c r="F1996" s="6" t="s">
        <v>94</v>
      </c>
      <c r="G1996" s="6" t="s">
        <v>31</v>
      </c>
      <c r="H1996" s="7">
        <v>1527.0</v>
      </c>
      <c r="I1996" s="7">
        <v>1259.0</v>
      </c>
      <c r="J1996" s="6">
        <v>1997.0</v>
      </c>
      <c r="K1996" s="6">
        <v>110.0</v>
      </c>
      <c r="L1996" s="6" t="s">
        <v>32</v>
      </c>
      <c r="M1996" s="6" t="s">
        <v>6602</v>
      </c>
      <c r="N1996" s="6" t="s">
        <v>48</v>
      </c>
      <c r="O1996" s="6" t="s">
        <v>49</v>
      </c>
      <c r="P1996" s="6">
        <f>COUNTIF(Analysis!$M$1:$M$3001,Analysis!$M1641)</f>
        <v>1</v>
      </c>
      <c r="Q1996" s="6" t="str">
        <f>IF(COUNTIF(Analysis!$M$2:$M$3001,Analysis!$M1641)&gt;1,"Duplicate","OK")</f>
        <v>OK</v>
      </c>
      <c r="R1996" s="6" t="str">
        <f t="shared" si="1"/>
        <v>600-1600</v>
      </c>
      <c r="S1996" s="6">
        <f t="shared" si="2"/>
        <v>29</v>
      </c>
      <c r="T1996" s="6" t="str">
        <f t="shared" si="3"/>
        <v>Mid</v>
      </c>
    </row>
    <row r="1997" ht="14.25" customHeight="1">
      <c r="A1997" s="5">
        <v>913221.0</v>
      </c>
      <c r="B1997" s="6" t="s">
        <v>8025</v>
      </c>
      <c r="C1997" s="6" t="s">
        <v>53</v>
      </c>
      <c r="D1997" s="6">
        <v>29033.0</v>
      </c>
      <c r="E1997" s="6" t="s">
        <v>19</v>
      </c>
      <c r="F1997" s="6" t="s">
        <v>61</v>
      </c>
      <c r="G1997" s="6" t="s">
        <v>31</v>
      </c>
      <c r="H1997" s="7">
        <v>2480.0</v>
      </c>
      <c r="I1997" s="7">
        <v>6351.0</v>
      </c>
      <c r="J1997" s="6">
        <v>1956.0</v>
      </c>
      <c r="K1997" s="6">
        <v>13.0</v>
      </c>
      <c r="L1997" s="6" t="s">
        <v>95</v>
      </c>
      <c r="M1997" s="6" t="s">
        <v>8026</v>
      </c>
      <c r="N1997" s="6" t="s">
        <v>48</v>
      </c>
      <c r="O1997" s="6" t="s">
        <v>49</v>
      </c>
      <c r="P1997" s="6">
        <f>COUNTIF(Analysis!$M$1:$M$3001,Analysis!$M1997)</f>
        <v>1</v>
      </c>
      <c r="Q1997" s="6" t="str">
        <f>IF(COUNTIF(Analysis!$M$2:$M$3001,Analysis!$M1997)&gt;1,"Duplicate","OK")</f>
        <v>OK</v>
      </c>
      <c r="R1997" s="6" t="str">
        <f t="shared" si="1"/>
        <v>1600-2600</v>
      </c>
      <c r="S1997" s="6">
        <f t="shared" si="2"/>
        <v>70</v>
      </c>
      <c r="T1997" s="6" t="str">
        <f t="shared" si="3"/>
        <v>Very Old</v>
      </c>
    </row>
    <row r="1998" ht="14.25" customHeight="1">
      <c r="A1998" s="5">
        <v>1043199.0</v>
      </c>
      <c r="B1998" s="6" t="s">
        <v>7505</v>
      </c>
      <c r="C1998" s="6" t="s">
        <v>29</v>
      </c>
      <c r="D1998" s="6">
        <v>79672.0</v>
      </c>
      <c r="E1998" s="6" t="s">
        <v>30</v>
      </c>
      <c r="F1998" s="6" t="s">
        <v>94</v>
      </c>
      <c r="G1998" s="6" t="s">
        <v>21</v>
      </c>
      <c r="H1998" s="7">
        <v>2729.0</v>
      </c>
      <c r="I1998" s="7">
        <v>4190.0</v>
      </c>
      <c r="J1998" s="6">
        <v>1965.0</v>
      </c>
      <c r="K1998" s="6">
        <v>99.0</v>
      </c>
      <c r="L1998" s="6" t="s">
        <v>141</v>
      </c>
      <c r="M1998" s="6" t="s">
        <v>7506</v>
      </c>
      <c r="N1998" s="6" t="s">
        <v>64</v>
      </c>
      <c r="O1998" s="6" t="s">
        <v>35</v>
      </c>
      <c r="P1998" s="6">
        <f>COUNTIF(Analysis!$M$1:$M$3001,Analysis!$M1867)</f>
        <v>1</v>
      </c>
      <c r="Q1998" s="6" t="str">
        <f>IF(COUNTIF(Analysis!$M$2:$M$3001,Analysis!$M1867)&gt;1,"Duplicate","OK")</f>
        <v>OK</v>
      </c>
      <c r="R1998" s="6" t="str">
        <f t="shared" si="1"/>
        <v>2600-3600</v>
      </c>
      <c r="S1998" s="6">
        <f t="shared" si="2"/>
        <v>61</v>
      </c>
      <c r="T1998" s="6" t="str">
        <f t="shared" si="3"/>
        <v>Very Old</v>
      </c>
    </row>
    <row r="1999" ht="14.25" customHeight="1">
      <c r="A1999" s="5">
        <v>1411056.0</v>
      </c>
      <c r="B1999" s="6" t="s">
        <v>8033</v>
      </c>
      <c r="C1999" s="6" t="s">
        <v>76</v>
      </c>
      <c r="D1999" s="6">
        <v>68667.0</v>
      </c>
      <c r="E1999" s="6" t="s">
        <v>60</v>
      </c>
      <c r="F1999" s="6" t="s">
        <v>41</v>
      </c>
      <c r="G1999" s="6" t="s">
        <v>21</v>
      </c>
      <c r="H1999" s="7">
        <v>1648.0</v>
      </c>
      <c r="I1999" s="7">
        <v>6405.0</v>
      </c>
      <c r="J1999" s="6">
        <v>1990.0</v>
      </c>
      <c r="K1999" s="6">
        <v>65.0</v>
      </c>
      <c r="L1999" s="6" t="s">
        <v>62</v>
      </c>
      <c r="M1999" s="6" t="s">
        <v>8034</v>
      </c>
      <c r="N1999" s="6" t="s">
        <v>24</v>
      </c>
      <c r="O1999" s="6" t="s">
        <v>49</v>
      </c>
      <c r="P1999" s="6">
        <f>COUNTIF(Analysis!$M$1:$M$3001,Analysis!$M1999)</f>
        <v>1</v>
      </c>
      <c r="Q1999" s="6" t="str">
        <f>IF(COUNTIF(Analysis!$M$2:$M$3001,Analysis!$M1999)&gt;1,"Duplicate","OK")</f>
        <v>OK</v>
      </c>
      <c r="R1999" s="6" t="str">
        <f t="shared" si="1"/>
        <v>1600-2600</v>
      </c>
      <c r="S1999" s="6">
        <f t="shared" si="2"/>
        <v>36</v>
      </c>
      <c r="T1999" s="6" t="str">
        <f t="shared" si="3"/>
        <v>Old</v>
      </c>
    </row>
    <row r="2000" ht="14.25" customHeight="1">
      <c r="A2000" s="5">
        <v>1460281.0</v>
      </c>
      <c r="B2000" s="6" t="s">
        <v>8037</v>
      </c>
      <c r="C2000" s="6" t="s">
        <v>18</v>
      </c>
      <c r="D2000" s="6">
        <v>47929.0</v>
      </c>
      <c r="E2000" s="6" t="s">
        <v>60</v>
      </c>
      <c r="F2000" s="6" t="s">
        <v>61</v>
      </c>
      <c r="G2000" s="6" t="s">
        <v>55</v>
      </c>
      <c r="H2000" s="7">
        <v>2900.0</v>
      </c>
      <c r="I2000" s="7">
        <v>7671.0</v>
      </c>
      <c r="J2000" s="6">
        <v>1993.0</v>
      </c>
      <c r="K2000" s="6">
        <v>72.0</v>
      </c>
      <c r="L2000" s="6" t="s">
        <v>95</v>
      </c>
      <c r="M2000" s="6" t="s">
        <v>8038</v>
      </c>
      <c r="N2000" s="6" t="s">
        <v>48</v>
      </c>
      <c r="O2000" s="6" t="s">
        <v>35</v>
      </c>
      <c r="P2000" s="6">
        <f>COUNTIF(Analysis!$M$1:$M$3001,Analysis!$M2000)</f>
        <v>1</v>
      </c>
      <c r="Q2000" s="6" t="str">
        <f>IF(COUNTIF(Analysis!$M$2:$M$3001,Analysis!$M2000)&gt;1,"Duplicate","OK")</f>
        <v>OK</v>
      </c>
      <c r="R2000" s="6" t="str">
        <f t="shared" si="1"/>
        <v>2600-3600</v>
      </c>
      <c r="S2000" s="6">
        <f t="shared" si="2"/>
        <v>33</v>
      </c>
      <c r="T2000" s="6" t="str">
        <f t="shared" si="3"/>
        <v>Old</v>
      </c>
    </row>
    <row r="2001" ht="14.25" customHeight="1">
      <c r="A2001" s="5">
        <v>215543.0</v>
      </c>
      <c r="B2001" s="6" t="s">
        <v>8041</v>
      </c>
      <c r="C2001" s="6" t="s">
        <v>18</v>
      </c>
      <c r="D2001" s="6">
        <v>66456.0</v>
      </c>
      <c r="E2001" s="6" t="s">
        <v>30</v>
      </c>
      <c r="F2001" s="6" t="s">
        <v>41</v>
      </c>
      <c r="G2001" s="6" t="s">
        <v>100</v>
      </c>
      <c r="H2001" s="7">
        <v>2894.0</v>
      </c>
      <c r="I2001" s="7">
        <v>8414.0</v>
      </c>
      <c r="J2001" s="6">
        <v>1959.0</v>
      </c>
      <c r="K2001" s="6">
        <v>30.0</v>
      </c>
      <c r="L2001" s="6" t="s">
        <v>141</v>
      </c>
      <c r="M2001" s="6" t="s">
        <v>8042</v>
      </c>
      <c r="N2001" s="6" t="s">
        <v>43</v>
      </c>
      <c r="O2001" s="6" t="s">
        <v>35</v>
      </c>
      <c r="P2001" s="6">
        <f>COUNTIF(Analysis!$M$1:$M$3001,Analysis!$M2001)</f>
        <v>1</v>
      </c>
      <c r="Q2001" s="6" t="str">
        <f>IF(COUNTIF(Analysis!$M$2:$M$3001,Analysis!$M2001)&gt;1,"Duplicate","OK")</f>
        <v>OK</v>
      </c>
      <c r="R2001" s="6" t="str">
        <f t="shared" si="1"/>
        <v>2600-3600</v>
      </c>
      <c r="S2001" s="6">
        <f t="shared" si="2"/>
        <v>67</v>
      </c>
      <c r="T2001" s="6" t="str">
        <f t="shared" si="3"/>
        <v>Very Old</v>
      </c>
    </row>
    <row r="2002" ht="14.25" customHeight="1">
      <c r="A2002" s="5">
        <v>522250.0</v>
      </c>
      <c r="B2002" s="6" t="s">
        <v>8045</v>
      </c>
      <c r="C2002" s="6" t="s">
        <v>18</v>
      </c>
      <c r="D2002" s="6">
        <v>75023.0</v>
      </c>
      <c r="E2002" s="6" t="s">
        <v>19</v>
      </c>
      <c r="F2002" s="6" t="s">
        <v>94</v>
      </c>
      <c r="G2002" s="6" t="s">
        <v>100</v>
      </c>
      <c r="H2002" s="7">
        <v>2878.0</v>
      </c>
      <c r="I2002" s="7">
        <v>1563.0</v>
      </c>
      <c r="J2002" s="6">
        <v>1983.0</v>
      </c>
      <c r="K2002" s="6">
        <v>68.0</v>
      </c>
      <c r="L2002" s="6" t="s">
        <v>22</v>
      </c>
      <c r="M2002" s="6" t="s">
        <v>8046</v>
      </c>
      <c r="N2002" s="6" t="s">
        <v>43</v>
      </c>
      <c r="O2002" s="6" t="s">
        <v>49</v>
      </c>
      <c r="P2002" s="6">
        <f>COUNTIF(Analysis!$M$1:$M$3001,Analysis!$M2002)</f>
        <v>1</v>
      </c>
      <c r="Q2002" s="6" t="str">
        <f>IF(COUNTIF(Analysis!$M$2:$M$3001,Analysis!$M2002)&gt;1,"Duplicate","OK")</f>
        <v>OK</v>
      </c>
      <c r="R2002" s="6" t="str">
        <f t="shared" si="1"/>
        <v>2600-3600</v>
      </c>
      <c r="S2002" s="6">
        <f t="shared" si="2"/>
        <v>43</v>
      </c>
      <c r="T2002" s="6" t="str">
        <f t="shared" si="3"/>
        <v>Old</v>
      </c>
    </row>
    <row r="2003" ht="14.25" customHeight="1">
      <c r="A2003" s="5">
        <v>1360547.0</v>
      </c>
      <c r="B2003" s="6" t="s">
        <v>8049</v>
      </c>
      <c r="C2003" s="6" t="s">
        <v>39</v>
      </c>
      <c r="D2003" s="6">
        <v>36123.0</v>
      </c>
      <c r="E2003" s="6" t="s">
        <v>30</v>
      </c>
      <c r="F2003" s="6" t="s">
        <v>61</v>
      </c>
      <c r="G2003" s="6" t="s">
        <v>55</v>
      </c>
      <c r="H2003" s="7">
        <v>607.0</v>
      </c>
      <c r="I2003" s="7">
        <v>8745.0</v>
      </c>
      <c r="J2003" s="6">
        <v>1997.0</v>
      </c>
      <c r="K2003" s="6">
        <v>86.0</v>
      </c>
      <c r="L2003" s="6" t="s">
        <v>95</v>
      </c>
      <c r="M2003" s="6" t="s">
        <v>8050</v>
      </c>
      <c r="N2003" s="6" t="s">
        <v>43</v>
      </c>
      <c r="O2003" s="6" t="s">
        <v>49</v>
      </c>
      <c r="P2003" s="6">
        <f>COUNTIF(Analysis!$M$1:$M$3001,Analysis!$M2003)</f>
        <v>1</v>
      </c>
      <c r="Q2003" s="6" t="str">
        <f>IF(COUNTIF(Analysis!$M$2:$M$3001,Analysis!$M2003)&gt;1,"Duplicate","OK")</f>
        <v>OK</v>
      </c>
      <c r="R2003" s="6" t="str">
        <f t="shared" si="1"/>
        <v>600-1600</v>
      </c>
      <c r="S2003" s="6">
        <f t="shared" si="2"/>
        <v>29</v>
      </c>
      <c r="T2003" s="6" t="str">
        <f t="shared" si="3"/>
        <v>Mid</v>
      </c>
    </row>
    <row r="2004" ht="14.25" customHeight="1">
      <c r="A2004" s="5">
        <v>120368.0</v>
      </c>
      <c r="B2004" s="6" t="s">
        <v>8053</v>
      </c>
      <c r="C2004" s="6" t="s">
        <v>76</v>
      </c>
      <c r="D2004" s="6">
        <v>42352.0</v>
      </c>
      <c r="E2004" s="6" t="s">
        <v>30</v>
      </c>
      <c r="F2004" s="6" t="s">
        <v>41</v>
      </c>
      <c r="G2004" s="6" t="s">
        <v>31</v>
      </c>
      <c r="H2004" s="7">
        <v>3817.0</v>
      </c>
      <c r="I2004" s="7">
        <v>1554.0</v>
      </c>
      <c r="J2004" s="6">
        <v>1993.0</v>
      </c>
      <c r="K2004" s="6">
        <v>90.0</v>
      </c>
      <c r="L2004" s="6" t="s">
        <v>141</v>
      </c>
      <c r="M2004" s="6" t="s">
        <v>8054</v>
      </c>
      <c r="N2004" s="6" t="s">
        <v>24</v>
      </c>
      <c r="O2004" s="6" t="s">
        <v>25</v>
      </c>
      <c r="P2004" s="6">
        <f>COUNTIF(Analysis!$M$1:$M$3001,Analysis!$M2004)</f>
        <v>1</v>
      </c>
      <c r="Q2004" s="6" t="str">
        <f>IF(COUNTIF(Analysis!$M$2:$M$3001,Analysis!$M2004)&gt;1,"Duplicate","OK")</f>
        <v>OK</v>
      </c>
      <c r="R2004" s="6" t="str">
        <f t="shared" si="1"/>
        <v>3600+</v>
      </c>
      <c r="S2004" s="6">
        <f t="shared" si="2"/>
        <v>33</v>
      </c>
      <c r="T2004" s="6" t="str">
        <f t="shared" si="3"/>
        <v>Old</v>
      </c>
    </row>
    <row r="2005" ht="14.25" customHeight="1">
      <c r="A2005" s="5">
        <v>817577.0</v>
      </c>
      <c r="B2005" s="6" t="s">
        <v>8057</v>
      </c>
      <c r="C2005" s="6" t="s">
        <v>76</v>
      </c>
      <c r="D2005" s="6">
        <v>70953.0</v>
      </c>
      <c r="E2005" s="6" t="s">
        <v>40</v>
      </c>
      <c r="F2005" s="6" t="s">
        <v>41</v>
      </c>
      <c r="G2005" s="6" t="s">
        <v>21</v>
      </c>
      <c r="H2005" s="7">
        <v>1422.0</v>
      </c>
      <c r="I2005" s="7">
        <v>9790.0</v>
      </c>
      <c r="J2005" s="6">
        <v>1958.0</v>
      </c>
      <c r="K2005" s="6">
        <v>67.0</v>
      </c>
      <c r="L2005" s="6" t="s">
        <v>32</v>
      </c>
      <c r="M2005" s="6" t="s">
        <v>8058</v>
      </c>
      <c r="N2005" s="6" t="s">
        <v>34</v>
      </c>
      <c r="O2005" s="6" t="s">
        <v>25</v>
      </c>
      <c r="P2005" s="6">
        <f>COUNTIF(Analysis!$M$1:$M$3001,Analysis!$M2005)</f>
        <v>1</v>
      </c>
      <c r="Q2005" s="6" t="str">
        <f>IF(COUNTIF(Analysis!$M$2:$M$3001,Analysis!$M2005)&gt;1,"Duplicate","OK")</f>
        <v>OK</v>
      </c>
      <c r="R2005" s="6" t="str">
        <f t="shared" si="1"/>
        <v>600-1600</v>
      </c>
      <c r="S2005" s="6">
        <f t="shared" si="2"/>
        <v>68</v>
      </c>
      <c r="T2005" s="6" t="str">
        <f t="shared" si="3"/>
        <v>Very Old</v>
      </c>
    </row>
    <row r="2006" ht="14.25" customHeight="1">
      <c r="A2006" s="5">
        <v>501201.0</v>
      </c>
      <c r="B2006" s="6" t="s">
        <v>8061</v>
      </c>
      <c r="C2006" s="6" t="s">
        <v>53</v>
      </c>
      <c r="D2006" s="6">
        <v>45081.0</v>
      </c>
      <c r="E2006" s="6" t="s">
        <v>60</v>
      </c>
      <c r="F2006" s="6" t="s">
        <v>20</v>
      </c>
      <c r="G2006" s="6" t="s">
        <v>21</v>
      </c>
      <c r="H2006" s="7">
        <v>3036.0</v>
      </c>
      <c r="I2006" s="7">
        <v>8954.0</v>
      </c>
      <c r="J2006" s="6">
        <v>1967.0</v>
      </c>
      <c r="K2006" s="6">
        <v>78.0</v>
      </c>
      <c r="L2006" s="6" t="s">
        <v>141</v>
      </c>
      <c r="M2006" s="6" t="s">
        <v>8062</v>
      </c>
      <c r="N2006" s="6" t="s">
        <v>34</v>
      </c>
      <c r="O2006" s="6" t="s">
        <v>25</v>
      </c>
      <c r="P2006" s="6">
        <f>COUNTIF(Analysis!$M$1:$M$3001,Analysis!$M2006)</f>
        <v>1</v>
      </c>
      <c r="Q2006" s="6" t="str">
        <f>IF(COUNTIF(Analysis!$M$2:$M$3001,Analysis!$M2006)&gt;1,"Duplicate","OK")</f>
        <v>OK</v>
      </c>
      <c r="R2006" s="6" t="str">
        <f t="shared" si="1"/>
        <v>2600-3600</v>
      </c>
      <c r="S2006" s="6">
        <f t="shared" si="2"/>
        <v>59</v>
      </c>
      <c r="T2006" s="6" t="str">
        <f t="shared" si="3"/>
        <v>Old</v>
      </c>
    </row>
    <row r="2007" ht="14.25" customHeight="1">
      <c r="A2007" s="5">
        <v>136647.0</v>
      </c>
      <c r="B2007" s="6" t="s">
        <v>8065</v>
      </c>
      <c r="C2007" s="6" t="s">
        <v>53</v>
      </c>
      <c r="D2007" s="6">
        <v>83045.0</v>
      </c>
      <c r="E2007" s="6" t="s">
        <v>77</v>
      </c>
      <c r="F2007" s="6" t="s">
        <v>20</v>
      </c>
      <c r="G2007" s="6" t="s">
        <v>21</v>
      </c>
      <c r="H2007" s="7">
        <v>1506.0</v>
      </c>
      <c r="I2007" s="7">
        <v>4183.0</v>
      </c>
      <c r="J2007" s="6">
        <v>1979.0</v>
      </c>
      <c r="K2007" s="6">
        <v>28.0</v>
      </c>
      <c r="L2007" s="6" t="s">
        <v>22</v>
      </c>
      <c r="M2007" s="6" t="s">
        <v>8066</v>
      </c>
      <c r="N2007" s="6" t="s">
        <v>64</v>
      </c>
      <c r="O2007" s="6" t="s">
        <v>49</v>
      </c>
      <c r="P2007" s="6">
        <f>COUNTIF(Analysis!$M$1:$M$3001,Analysis!$M2007)</f>
        <v>1</v>
      </c>
      <c r="Q2007" s="6" t="str">
        <f>IF(COUNTIF(Analysis!$M$2:$M$3001,Analysis!$M2007)&gt;1,"Duplicate","OK")</f>
        <v>OK</v>
      </c>
      <c r="R2007" s="6" t="str">
        <f t="shared" si="1"/>
        <v>600-1600</v>
      </c>
      <c r="S2007" s="6">
        <f t="shared" si="2"/>
        <v>47</v>
      </c>
      <c r="T2007" s="6" t="str">
        <f t="shared" si="3"/>
        <v>Old</v>
      </c>
    </row>
    <row r="2008" ht="14.25" customHeight="1">
      <c r="A2008" s="5">
        <v>634979.0</v>
      </c>
      <c r="B2008" s="6" t="s">
        <v>8069</v>
      </c>
      <c r="C2008" s="6" t="s">
        <v>76</v>
      </c>
      <c r="D2008" s="6">
        <v>29514.0</v>
      </c>
      <c r="E2008" s="6" t="s">
        <v>30</v>
      </c>
      <c r="F2008" s="6" t="s">
        <v>41</v>
      </c>
      <c r="G2008" s="6" t="s">
        <v>31</v>
      </c>
      <c r="H2008" s="7">
        <v>2399.0</v>
      </c>
      <c r="I2008" s="7">
        <v>5002.0</v>
      </c>
      <c r="J2008" s="6">
        <v>2002.0</v>
      </c>
      <c r="K2008" s="6">
        <v>31.0</v>
      </c>
      <c r="L2008" s="6" t="s">
        <v>62</v>
      </c>
      <c r="M2008" s="6" t="s">
        <v>8070</v>
      </c>
      <c r="N2008" s="6" t="s">
        <v>43</v>
      </c>
      <c r="O2008" s="6" t="s">
        <v>25</v>
      </c>
      <c r="P2008" s="6">
        <f>COUNTIF(Analysis!$M$1:$M$3001,Analysis!$M2008)</f>
        <v>1</v>
      </c>
      <c r="Q2008" s="6" t="str">
        <f>IF(COUNTIF(Analysis!$M$2:$M$3001,Analysis!$M2008)&gt;1,"Duplicate","OK")</f>
        <v>OK</v>
      </c>
      <c r="R2008" s="6" t="str">
        <f t="shared" si="1"/>
        <v>1600-2600</v>
      </c>
      <c r="S2008" s="6">
        <f t="shared" si="2"/>
        <v>24</v>
      </c>
      <c r="T2008" s="6" t="str">
        <f t="shared" si="3"/>
        <v>Mid</v>
      </c>
    </row>
    <row r="2009" ht="14.25" customHeight="1">
      <c r="A2009" s="5">
        <v>1013184.0</v>
      </c>
      <c r="B2009" s="6" t="s">
        <v>8073</v>
      </c>
      <c r="C2009" s="6" t="s">
        <v>18</v>
      </c>
      <c r="D2009" s="6">
        <v>84198.0</v>
      </c>
      <c r="E2009" s="6" t="s">
        <v>77</v>
      </c>
      <c r="F2009" s="6" t="s">
        <v>41</v>
      </c>
      <c r="G2009" s="6" t="s">
        <v>21</v>
      </c>
      <c r="H2009" s="7">
        <v>2022.0</v>
      </c>
      <c r="I2009" s="7">
        <v>7868.0</v>
      </c>
      <c r="J2009" s="6">
        <v>1955.0</v>
      </c>
      <c r="K2009" s="6">
        <v>19.0</v>
      </c>
      <c r="L2009" s="6" t="s">
        <v>62</v>
      </c>
      <c r="M2009" s="6" t="s">
        <v>8074</v>
      </c>
      <c r="N2009" s="6" t="s">
        <v>64</v>
      </c>
      <c r="O2009" s="6" t="s">
        <v>49</v>
      </c>
      <c r="P2009" s="6">
        <f>COUNTIF(Analysis!$M$1:$M$3001,Analysis!$M2009)</f>
        <v>1</v>
      </c>
      <c r="Q2009" s="6" t="str">
        <f>IF(COUNTIF(Analysis!$M$2:$M$3001,Analysis!$M2009)&gt;1,"Duplicate","OK")</f>
        <v>OK</v>
      </c>
      <c r="R2009" s="6" t="str">
        <f t="shared" si="1"/>
        <v>1600-2600</v>
      </c>
      <c r="S2009" s="6">
        <f t="shared" si="2"/>
        <v>71</v>
      </c>
      <c r="T2009" s="6" t="str">
        <f t="shared" si="3"/>
        <v>Very Old</v>
      </c>
    </row>
    <row r="2010" ht="14.25" customHeight="1">
      <c r="A2010" s="5">
        <v>119460.0</v>
      </c>
      <c r="B2010" s="6" t="s">
        <v>8077</v>
      </c>
      <c r="C2010" s="6" t="s">
        <v>39</v>
      </c>
      <c r="D2010" s="6">
        <v>77681.0</v>
      </c>
      <c r="E2010" s="6" t="s">
        <v>60</v>
      </c>
      <c r="F2010" s="6" t="s">
        <v>41</v>
      </c>
      <c r="G2010" s="6" t="s">
        <v>21</v>
      </c>
      <c r="H2010" s="7">
        <v>1615.0</v>
      </c>
      <c r="I2010" s="7">
        <v>2049.0</v>
      </c>
      <c r="J2010" s="6">
        <v>1989.0</v>
      </c>
      <c r="K2010" s="6">
        <v>106.0</v>
      </c>
      <c r="L2010" s="6" t="s">
        <v>22</v>
      </c>
      <c r="M2010" s="6" t="s">
        <v>8078</v>
      </c>
      <c r="N2010" s="6" t="s">
        <v>34</v>
      </c>
      <c r="O2010" s="6" t="s">
        <v>49</v>
      </c>
      <c r="P2010" s="6">
        <f>COUNTIF(Analysis!$M$1:$M$3001,Analysis!$M2010)</f>
        <v>1</v>
      </c>
      <c r="Q2010" s="6" t="str">
        <f>IF(COUNTIF(Analysis!$M$2:$M$3001,Analysis!$M2010)&gt;1,"Duplicate","OK")</f>
        <v>OK</v>
      </c>
      <c r="R2010" s="6" t="str">
        <f t="shared" si="1"/>
        <v>1600-2600</v>
      </c>
      <c r="S2010" s="6">
        <f t="shared" si="2"/>
        <v>37</v>
      </c>
      <c r="T2010" s="6" t="str">
        <f t="shared" si="3"/>
        <v>Old</v>
      </c>
    </row>
    <row r="2011" ht="14.25" customHeight="1">
      <c r="A2011" s="5">
        <v>1424590.0</v>
      </c>
      <c r="B2011" s="6" t="s">
        <v>8081</v>
      </c>
      <c r="C2011" s="6" t="s">
        <v>76</v>
      </c>
      <c r="D2011" s="6">
        <v>49105.0</v>
      </c>
      <c r="E2011" s="6" t="s">
        <v>60</v>
      </c>
      <c r="F2011" s="6" t="s">
        <v>54</v>
      </c>
      <c r="G2011" s="6" t="s">
        <v>31</v>
      </c>
      <c r="H2011" s="7">
        <v>3728.0</v>
      </c>
      <c r="I2011" s="7">
        <v>9614.0</v>
      </c>
      <c r="J2011" s="6">
        <v>1990.0</v>
      </c>
      <c r="K2011" s="6">
        <v>106.0</v>
      </c>
      <c r="L2011" s="6" t="s">
        <v>95</v>
      </c>
      <c r="M2011" s="6" t="s">
        <v>8082</v>
      </c>
      <c r="N2011" s="6" t="s">
        <v>34</v>
      </c>
      <c r="O2011" s="6" t="s">
        <v>49</v>
      </c>
      <c r="P2011" s="6">
        <f>COUNTIF(Analysis!$M$1:$M$3001,Analysis!$M2011)</f>
        <v>1</v>
      </c>
      <c r="Q2011" s="6" t="str">
        <f>IF(COUNTIF(Analysis!$M$2:$M$3001,Analysis!$M2011)&gt;1,"Duplicate","OK")</f>
        <v>OK</v>
      </c>
      <c r="R2011" s="6" t="str">
        <f t="shared" si="1"/>
        <v>3600+</v>
      </c>
      <c r="S2011" s="6">
        <f t="shared" si="2"/>
        <v>36</v>
      </c>
      <c r="T2011" s="6" t="str">
        <f t="shared" si="3"/>
        <v>Old</v>
      </c>
    </row>
    <row r="2012" ht="14.25" customHeight="1">
      <c r="A2012" s="5">
        <v>1392483.0</v>
      </c>
      <c r="B2012" s="6" t="s">
        <v>8085</v>
      </c>
      <c r="C2012" s="6" t="s">
        <v>76</v>
      </c>
      <c r="D2012" s="6">
        <v>29839.0</v>
      </c>
      <c r="E2012" s="6" t="s">
        <v>40</v>
      </c>
      <c r="F2012" s="6" t="s">
        <v>94</v>
      </c>
      <c r="G2012" s="6" t="s">
        <v>31</v>
      </c>
      <c r="H2012" s="7">
        <v>1118.0</v>
      </c>
      <c r="I2012" s="7">
        <v>1722.0</v>
      </c>
      <c r="J2012" s="6">
        <v>2012.0</v>
      </c>
      <c r="K2012" s="6">
        <v>57.0</v>
      </c>
      <c r="L2012" s="6" t="s">
        <v>22</v>
      </c>
      <c r="M2012" s="6" t="s">
        <v>8086</v>
      </c>
      <c r="N2012" s="6" t="s">
        <v>24</v>
      </c>
      <c r="O2012" s="6" t="s">
        <v>49</v>
      </c>
      <c r="P2012" s="6">
        <f>COUNTIF(Analysis!$M$1:$M$3001,Analysis!$M2012)</f>
        <v>1</v>
      </c>
      <c r="Q2012" s="6" t="str">
        <f>IF(COUNTIF(Analysis!$M$2:$M$3001,Analysis!$M2012)&gt;1,"Duplicate","OK")</f>
        <v>OK</v>
      </c>
      <c r="R2012" s="6" t="str">
        <f t="shared" si="1"/>
        <v>600-1600</v>
      </c>
      <c r="S2012" s="6">
        <f t="shared" si="2"/>
        <v>14</v>
      </c>
      <c r="T2012" s="6" t="str">
        <f t="shared" si="3"/>
        <v>Mid</v>
      </c>
    </row>
    <row r="2013" ht="14.25" customHeight="1">
      <c r="A2013" s="5">
        <v>1063342.0</v>
      </c>
      <c r="B2013" s="6" t="s">
        <v>8089</v>
      </c>
      <c r="C2013" s="6" t="s">
        <v>39</v>
      </c>
      <c r="D2013" s="6">
        <v>17275.0</v>
      </c>
      <c r="E2013" s="6" t="s">
        <v>77</v>
      </c>
      <c r="F2013" s="6" t="s">
        <v>20</v>
      </c>
      <c r="G2013" s="6" t="s">
        <v>100</v>
      </c>
      <c r="H2013" s="7">
        <v>1355.0</v>
      </c>
      <c r="I2013" s="7">
        <v>2015.0</v>
      </c>
      <c r="J2013" s="6">
        <v>1992.0</v>
      </c>
      <c r="K2013" s="6">
        <v>32.0</v>
      </c>
      <c r="L2013" s="6" t="s">
        <v>62</v>
      </c>
      <c r="M2013" s="6" t="s">
        <v>8090</v>
      </c>
      <c r="N2013" s="6" t="s">
        <v>48</v>
      </c>
      <c r="O2013" s="6" t="s">
        <v>49</v>
      </c>
      <c r="P2013" s="6">
        <f>COUNTIF(Analysis!$M$1:$M$3001,Analysis!$M2013)</f>
        <v>1</v>
      </c>
      <c r="Q2013" s="6" t="str">
        <f>IF(COUNTIF(Analysis!$M$2:$M$3001,Analysis!$M2013)&gt;1,"Duplicate","OK")</f>
        <v>OK</v>
      </c>
      <c r="R2013" s="6" t="str">
        <f t="shared" si="1"/>
        <v>600-1600</v>
      </c>
      <c r="S2013" s="6">
        <f t="shared" si="2"/>
        <v>34</v>
      </c>
      <c r="T2013" s="6" t="str">
        <f t="shared" si="3"/>
        <v>Old</v>
      </c>
    </row>
    <row r="2014" ht="14.25" customHeight="1">
      <c r="A2014" s="5">
        <v>800635.0</v>
      </c>
      <c r="B2014" s="6" t="s">
        <v>8093</v>
      </c>
      <c r="C2014" s="6" t="s">
        <v>18</v>
      </c>
      <c r="D2014" s="6">
        <v>24689.0</v>
      </c>
      <c r="E2014" s="6" t="s">
        <v>30</v>
      </c>
      <c r="F2014" s="6" t="s">
        <v>41</v>
      </c>
      <c r="G2014" s="6" t="s">
        <v>100</v>
      </c>
      <c r="H2014" s="7">
        <v>824.0</v>
      </c>
      <c r="I2014" s="7">
        <v>3403.0</v>
      </c>
      <c r="J2014" s="6">
        <v>1987.0</v>
      </c>
      <c r="K2014" s="6">
        <v>55.0</v>
      </c>
      <c r="L2014" s="6" t="s">
        <v>141</v>
      </c>
      <c r="M2014" s="6" t="s">
        <v>8094</v>
      </c>
      <c r="N2014" s="6" t="s">
        <v>43</v>
      </c>
      <c r="O2014" s="6" t="s">
        <v>25</v>
      </c>
      <c r="P2014" s="6">
        <f>COUNTIF(Analysis!$M$1:$M$3001,Analysis!$M2014)</f>
        <v>1</v>
      </c>
      <c r="Q2014" s="6" t="str">
        <f>IF(COUNTIF(Analysis!$M$2:$M$3001,Analysis!$M2014)&gt;1,"Duplicate","OK")</f>
        <v>OK</v>
      </c>
      <c r="R2014" s="6" t="str">
        <f t="shared" si="1"/>
        <v>600-1600</v>
      </c>
      <c r="S2014" s="6">
        <f t="shared" si="2"/>
        <v>39</v>
      </c>
      <c r="T2014" s="6" t="str">
        <f t="shared" si="3"/>
        <v>Old</v>
      </c>
    </row>
    <row r="2015" ht="14.25" customHeight="1">
      <c r="A2015" s="5">
        <v>1046694.0</v>
      </c>
      <c r="B2015" s="6" t="s">
        <v>5914</v>
      </c>
      <c r="C2015" s="6" t="s">
        <v>29</v>
      </c>
      <c r="D2015" s="6">
        <v>67015.0</v>
      </c>
      <c r="E2015" s="6" t="s">
        <v>19</v>
      </c>
      <c r="F2015" s="6" t="s">
        <v>54</v>
      </c>
      <c r="G2015" s="6" t="s">
        <v>21</v>
      </c>
      <c r="H2015" s="7">
        <v>655.0</v>
      </c>
      <c r="I2015" s="7">
        <v>8495.0</v>
      </c>
      <c r="J2015" s="6">
        <v>2015.0</v>
      </c>
      <c r="K2015" s="6">
        <v>32.0</v>
      </c>
      <c r="L2015" s="6" t="s">
        <v>95</v>
      </c>
      <c r="M2015" s="6" t="s">
        <v>5915</v>
      </c>
      <c r="N2015" s="6" t="s">
        <v>48</v>
      </c>
      <c r="O2015" s="6" t="s">
        <v>35</v>
      </c>
      <c r="P2015" s="6">
        <f>COUNTIF(Analysis!$M$1:$M$3001,Analysis!$M1469)</f>
        <v>1</v>
      </c>
      <c r="Q2015" s="6" t="str">
        <f>IF(COUNTIF(Analysis!$M$2:$M$3001,Analysis!$M1469)&gt;1,"Duplicate","OK")</f>
        <v>OK</v>
      </c>
      <c r="R2015" s="6" t="str">
        <f t="shared" si="1"/>
        <v>600-1600</v>
      </c>
      <c r="S2015" s="6">
        <f t="shared" si="2"/>
        <v>11</v>
      </c>
      <c r="T2015" s="6" t="str">
        <f t="shared" si="3"/>
        <v>Mid</v>
      </c>
    </row>
    <row r="2016" ht="14.25" customHeight="1">
      <c r="A2016" s="5">
        <v>589404.0</v>
      </c>
      <c r="B2016" s="6" t="s">
        <v>8101</v>
      </c>
      <c r="C2016" s="6" t="s">
        <v>18</v>
      </c>
      <c r="D2016" s="6">
        <v>21158.0</v>
      </c>
      <c r="E2016" s="6" t="s">
        <v>30</v>
      </c>
      <c r="F2016" s="6" t="s">
        <v>41</v>
      </c>
      <c r="G2016" s="6" t="s">
        <v>100</v>
      </c>
      <c r="H2016" s="7">
        <v>3082.0</v>
      </c>
      <c r="I2016" s="7">
        <v>9611.0</v>
      </c>
      <c r="J2016" s="6">
        <v>1991.0</v>
      </c>
      <c r="K2016" s="6">
        <v>40.0</v>
      </c>
      <c r="L2016" s="6" t="s">
        <v>62</v>
      </c>
      <c r="M2016" s="6" t="s">
        <v>8102</v>
      </c>
      <c r="N2016" s="6" t="s">
        <v>34</v>
      </c>
      <c r="O2016" s="6" t="s">
        <v>35</v>
      </c>
      <c r="P2016" s="6">
        <f>COUNTIF(Analysis!$M$1:$M$3001,Analysis!$M2016)</f>
        <v>1</v>
      </c>
      <c r="Q2016" s="6" t="str">
        <f>IF(COUNTIF(Analysis!$M$2:$M$3001,Analysis!$M2016)&gt;1,"Duplicate","OK")</f>
        <v>OK</v>
      </c>
      <c r="R2016" s="6" t="str">
        <f t="shared" si="1"/>
        <v>2600-3600</v>
      </c>
      <c r="S2016" s="6">
        <f t="shared" si="2"/>
        <v>35</v>
      </c>
      <c r="T2016" s="6" t="str">
        <f t="shared" si="3"/>
        <v>Old</v>
      </c>
    </row>
    <row r="2017" ht="14.25" customHeight="1">
      <c r="A2017" s="5">
        <v>422841.0</v>
      </c>
      <c r="B2017" s="6" t="s">
        <v>8105</v>
      </c>
      <c r="C2017" s="6" t="s">
        <v>18</v>
      </c>
      <c r="D2017" s="6">
        <v>14696.0</v>
      </c>
      <c r="E2017" s="6" t="s">
        <v>60</v>
      </c>
      <c r="F2017" s="6" t="s">
        <v>54</v>
      </c>
      <c r="G2017" s="6" t="s">
        <v>100</v>
      </c>
      <c r="H2017" s="7">
        <v>1502.0</v>
      </c>
      <c r="I2017" s="7">
        <v>8891.0</v>
      </c>
      <c r="J2017" s="6">
        <v>2002.0</v>
      </c>
      <c r="K2017" s="6">
        <v>72.0</v>
      </c>
      <c r="L2017" s="6" t="s">
        <v>32</v>
      </c>
      <c r="M2017" s="6" t="s">
        <v>8106</v>
      </c>
      <c r="N2017" s="6" t="s">
        <v>48</v>
      </c>
      <c r="O2017" s="6" t="s">
        <v>49</v>
      </c>
      <c r="P2017" s="6">
        <f>COUNTIF(Analysis!$M$1:$M$3001,Analysis!$M2017)</f>
        <v>1</v>
      </c>
      <c r="Q2017" s="6" t="str">
        <f>IF(COUNTIF(Analysis!$M$2:$M$3001,Analysis!$M2017)&gt;1,"Duplicate","OK")</f>
        <v>OK</v>
      </c>
      <c r="R2017" s="6" t="str">
        <f t="shared" si="1"/>
        <v>600-1600</v>
      </c>
      <c r="S2017" s="6">
        <f t="shared" si="2"/>
        <v>24</v>
      </c>
      <c r="T2017" s="6" t="str">
        <f t="shared" si="3"/>
        <v>Mid</v>
      </c>
    </row>
    <row r="2018" ht="14.25" customHeight="1">
      <c r="A2018" s="5">
        <v>301837.0</v>
      </c>
      <c r="B2018" s="6" t="s">
        <v>8109</v>
      </c>
      <c r="C2018" s="6" t="s">
        <v>18</v>
      </c>
      <c r="D2018" s="6">
        <v>34517.0</v>
      </c>
      <c r="E2018" s="6" t="s">
        <v>60</v>
      </c>
      <c r="F2018" s="6" t="s">
        <v>20</v>
      </c>
      <c r="G2018" s="6" t="s">
        <v>100</v>
      </c>
      <c r="H2018" s="7">
        <v>2617.0</v>
      </c>
      <c r="I2018" s="7">
        <v>3030.0</v>
      </c>
      <c r="J2018" s="6">
        <v>2015.0</v>
      </c>
      <c r="K2018" s="6">
        <v>106.0</v>
      </c>
      <c r="L2018" s="6" t="s">
        <v>141</v>
      </c>
      <c r="M2018" s="6" t="s">
        <v>8110</v>
      </c>
      <c r="N2018" s="6" t="s">
        <v>64</v>
      </c>
      <c r="O2018" s="6" t="s">
        <v>49</v>
      </c>
      <c r="P2018" s="6">
        <f>COUNTIF(Analysis!$M$1:$M$3001,Analysis!$M2018)</f>
        <v>1</v>
      </c>
      <c r="Q2018" s="6" t="str">
        <f>IF(COUNTIF(Analysis!$M$2:$M$3001,Analysis!$M2018)&gt;1,"Duplicate","OK")</f>
        <v>OK</v>
      </c>
      <c r="R2018" s="6" t="str">
        <f t="shared" si="1"/>
        <v>2600-3600</v>
      </c>
      <c r="S2018" s="6">
        <f t="shared" si="2"/>
        <v>11</v>
      </c>
      <c r="T2018" s="6" t="str">
        <f t="shared" si="3"/>
        <v>Mid</v>
      </c>
    </row>
    <row r="2019" ht="14.25" customHeight="1">
      <c r="A2019" s="5">
        <v>190609.0</v>
      </c>
      <c r="B2019" s="6" t="s">
        <v>8113</v>
      </c>
      <c r="C2019" s="6" t="s">
        <v>76</v>
      </c>
      <c r="D2019" s="6">
        <v>93066.0</v>
      </c>
      <c r="E2019" s="6" t="s">
        <v>60</v>
      </c>
      <c r="F2019" s="6" t="s">
        <v>41</v>
      </c>
      <c r="G2019" s="6" t="s">
        <v>21</v>
      </c>
      <c r="H2019" s="7">
        <v>3228.0</v>
      </c>
      <c r="I2019" s="7">
        <v>9175.0</v>
      </c>
      <c r="J2019" s="6">
        <v>2004.0</v>
      </c>
      <c r="K2019" s="6">
        <v>13.0</v>
      </c>
      <c r="L2019" s="6" t="s">
        <v>141</v>
      </c>
      <c r="M2019" s="6" t="s">
        <v>8114</v>
      </c>
      <c r="N2019" s="6" t="s">
        <v>24</v>
      </c>
      <c r="O2019" s="6" t="s">
        <v>35</v>
      </c>
      <c r="P2019" s="6">
        <f>COUNTIF(Analysis!$M$1:$M$3001,Analysis!$M2019)</f>
        <v>1</v>
      </c>
      <c r="Q2019" s="6" t="str">
        <f>IF(COUNTIF(Analysis!$M$2:$M$3001,Analysis!$M2019)&gt;1,"Duplicate","OK")</f>
        <v>OK</v>
      </c>
      <c r="R2019" s="6" t="str">
        <f t="shared" si="1"/>
        <v>2600-3600</v>
      </c>
      <c r="S2019" s="6">
        <f t="shared" si="2"/>
        <v>22</v>
      </c>
      <c r="T2019" s="6" t="str">
        <f t="shared" si="3"/>
        <v>Mid</v>
      </c>
    </row>
    <row r="2020" ht="14.25" customHeight="1">
      <c r="A2020" s="5">
        <v>1294331.0</v>
      </c>
      <c r="B2020" s="6" t="s">
        <v>8117</v>
      </c>
      <c r="C2020" s="6" t="s">
        <v>53</v>
      </c>
      <c r="D2020" s="6">
        <v>67228.0</v>
      </c>
      <c r="E2020" s="6" t="s">
        <v>19</v>
      </c>
      <c r="F2020" s="6" t="s">
        <v>20</v>
      </c>
      <c r="G2020" s="6" t="s">
        <v>55</v>
      </c>
      <c r="H2020" s="7">
        <v>3753.0</v>
      </c>
      <c r="I2020" s="7">
        <v>4999.0</v>
      </c>
      <c r="J2020" s="6">
        <v>2003.0</v>
      </c>
      <c r="K2020" s="6">
        <v>118.0</v>
      </c>
      <c r="L2020" s="6" t="s">
        <v>32</v>
      </c>
      <c r="M2020" s="6" t="s">
        <v>8118</v>
      </c>
      <c r="N2020" s="6" t="s">
        <v>64</v>
      </c>
      <c r="O2020" s="6" t="s">
        <v>49</v>
      </c>
      <c r="P2020" s="6">
        <f>COUNTIF(Analysis!$M$1:$M$3001,Analysis!$M2020)</f>
        <v>1</v>
      </c>
      <c r="Q2020" s="6" t="str">
        <f>IF(COUNTIF(Analysis!$M$2:$M$3001,Analysis!$M2020)&gt;1,"Duplicate","OK")</f>
        <v>OK</v>
      </c>
      <c r="R2020" s="6" t="str">
        <f t="shared" si="1"/>
        <v>3600+</v>
      </c>
      <c r="S2020" s="6">
        <f t="shared" si="2"/>
        <v>23</v>
      </c>
      <c r="T2020" s="6" t="str">
        <f t="shared" si="3"/>
        <v>Mid</v>
      </c>
    </row>
    <row r="2021" ht="14.25" customHeight="1">
      <c r="A2021" s="5">
        <v>992302.0</v>
      </c>
      <c r="B2021" s="6" t="s">
        <v>8121</v>
      </c>
      <c r="C2021" s="6" t="s">
        <v>76</v>
      </c>
      <c r="D2021" s="6">
        <v>92828.0</v>
      </c>
      <c r="E2021" s="6" t="s">
        <v>19</v>
      </c>
      <c r="F2021" s="6" t="s">
        <v>61</v>
      </c>
      <c r="G2021" s="6" t="s">
        <v>21</v>
      </c>
      <c r="H2021" s="7">
        <v>3379.0</v>
      </c>
      <c r="I2021" s="7">
        <v>8722.0</v>
      </c>
      <c r="J2021" s="6">
        <v>1982.0</v>
      </c>
      <c r="K2021" s="6">
        <v>32.0</v>
      </c>
      <c r="L2021" s="6" t="s">
        <v>22</v>
      </c>
      <c r="M2021" s="6" t="s">
        <v>8122</v>
      </c>
      <c r="N2021" s="6" t="s">
        <v>48</v>
      </c>
      <c r="O2021" s="6" t="s">
        <v>35</v>
      </c>
      <c r="P2021" s="6">
        <f>COUNTIF(Analysis!$M$1:$M$3001,Analysis!$M2021)</f>
        <v>1</v>
      </c>
      <c r="Q2021" s="6" t="str">
        <f>IF(COUNTIF(Analysis!$M$2:$M$3001,Analysis!$M2021)&gt;1,"Duplicate","OK")</f>
        <v>OK</v>
      </c>
      <c r="R2021" s="6" t="str">
        <f t="shared" si="1"/>
        <v>2600-3600</v>
      </c>
      <c r="S2021" s="6">
        <f t="shared" si="2"/>
        <v>44</v>
      </c>
      <c r="T2021" s="6" t="str">
        <f t="shared" si="3"/>
        <v>Old</v>
      </c>
    </row>
    <row r="2022" ht="14.25" customHeight="1">
      <c r="A2022" s="5">
        <v>109684.0</v>
      </c>
      <c r="B2022" s="6" t="s">
        <v>8125</v>
      </c>
      <c r="C2022" s="6" t="s">
        <v>53</v>
      </c>
      <c r="D2022" s="6">
        <v>54178.0</v>
      </c>
      <c r="E2022" s="6" t="s">
        <v>19</v>
      </c>
      <c r="F2022" s="6" t="s">
        <v>54</v>
      </c>
      <c r="G2022" s="6" t="s">
        <v>21</v>
      </c>
      <c r="H2022" s="7">
        <v>778.0</v>
      </c>
      <c r="I2022" s="7">
        <v>2076.0</v>
      </c>
      <c r="J2022" s="6">
        <v>1956.0</v>
      </c>
      <c r="K2022" s="6">
        <v>26.0</v>
      </c>
      <c r="L2022" s="6" t="s">
        <v>22</v>
      </c>
      <c r="M2022" s="6" t="s">
        <v>8126</v>
      </c>
      <c r="N2022" s="6" t="s">
        <v>34</v>
      </c>
      <c r="O2022" s="6" t="s">
        <v>49</v>
      </c>
      <c r="P2022" s="6">
        <f>COUNTIF(Analysis!$M$1:$M$3001,Analysis!$M2022)</f>
        <v>1</v>
      </c>
      <c r="Q2022" s="6" t="str">
        <f>IF(COUNTIF(Analysis!$M$2:$M$3001,Analysis!$M2022)&gt;1,"Duplicate","OK")</f>
        <v>OK</v>
      </c>
      <c r="R2022" s="6" t="str">
        <f t="shared" si="1"/>
        <v>600-1600</v>
      </c>
      <c r="S2022" s="6">
        <f t="shared" si="2"/>
        <v>70</v>
      </c>
      <c r="T2022" s="6" t="str">
        <f t="shared" si="3"/>
        <v>Very Old</v>
      </c>
    </row>
    <row r="2023" ht="14.25" customHeight="1">
      <c r="A2023" s="5">
        <v>1202188.0</v>
      </c>
      <c r="B2023" s="6" t="s">
        <v>8129</v>
      </c>
      <c r="C2023" s="6" t="s">
        <v>18</v>
      </c>
      <c r="D2023" s="6">
        <v>14862.0</v>
      </c>
      <c r="E2023" s="6" t="s">
        <v>19</v>
      </c>
      <c r="F2023" s="6" t="s">
        <v>20</v>
      </c>
      <c r="G2023" s="6" t="s">
        <v>31</v>
      </c>
      <c r="H2023" s="7">
        <v>965.0</v>
      </c>
      <c r="I2023" s="7">
        <v>2591.0</v>
      </c>
      <c r="J2023" s="6">
        <v>2019.0</v>
      </c>
      <c r="K2023" s="6">
        <v>107.0</v>
      </c>
      <c r="L2023" s="6" t="s">
        <v>141</v>
      </c>
      <c r="M2023" s="6" t="s">
        <v>8130</v>
      </c>
      <c r="N2023" s="6" t="s">
        <v>48</v>
      </c>
      <c r="O2023" s="6" t="s">
        <v>49</v>
      </c>
      <c r="P2023" s="6">
        <f>COUNTIF(Analysis!$M$1:$M$3001,Analysis!$M2023)</f>
        <v>1</v>
      </c>
      <c r="Q2023" s="6" t="str">
        <f>IF(COUNTIF(Analysis!$M$2:$M$3001,Analysis!$M2023)&gt;1,"Duplicate","OK")</f>
        <v>OK</v>
      </c>
      <c r="R2023" s="6" t="str">
        <f t="shared" si="1"/>
        <v>600-1600</v>
      </c>
      <c r="S2023" s="6">
        <f t="shared" si="2"/>
        <v>7</v>
      </c>
      <c r="T2023" s="6" t="str">
        <f t="shared" si="3"/>
        <v>New</v>
      </c>
    </row>
    <row r="2024" ht="14.25" customHeight="1">
      <c r="A2024" s="5">
        <v>1052096.0</v>
      </c>
      <c r="B2024" s="6" t="s">
        <v>1233</v>
      </c>
      <c r="C2024" s="6" t="s">
        <v>29</v>
      </c>
      <c r="D2024" s="6">
        <v>31017.0</v>
      </c>
      <c r="E2024" s="6" t="s">
        <v>30</v>
      </c>
      <c r="F2024" s="6" t="s">
        <v>94</v>
      </c>
      <c r="G2024" s="6" t="s">
        <v>100</v>
      </c>
      <c r="H2024" s="7">
        <v>2604.0</v>
      </c>
      <c r="I2024" s="7">
        <v>1813.0</v>
      </c>
      <c r="J2024" s="6">
        <v>2019.0</v>
      </c>
      <c r="K2024" s="6">
        <v>51.0</v>
      </c>
      <c r="L2024" s="6" t="s">
        <v>62</v>
      </c>
      <c r="M2024" s="6" t="s">
        <v>1234</v>
      </c>
      <c r="N2024" s="6" t="s">
        <v>43</v>
      </c>
      <c r="O2024" s="6" t="s">
        <v>49</v>
      </c>
      <c r="P2024" s="6">
        <f>COUNTIF(Analysis!$M$1:$M$3001,Analysis!$M298)</f>
        <v>1</v>
      </c>
      <c r="Q2024" s="6" t="str">
        <f>IF(COUNTIF(Analysis!$M$2:$M$3001,Analysis!$M298)&gt;1,"Duplicate","OK")</f>
        <v>OK</v>
      </c>
      <c r="R2024" s="6" t="str">
        <f t="shared" si="1"/>
        <v>2600-3600</v>
      </c>
      <c r="S2024" s="6">
        <f t="shared" si="2"/>
        <v>7</v>
      </c>
      <c r="T2024" s="6" t="str">
        <f t="shared" si="3"/>
        <v>New</v>
      </c>
    </row>
    <row r="2025" ht="14.25" customHeight="1">
      <c r="A2025" s="5">
        <v>454587.0</v>
      </c>
      <c r="B2025" s="6" t="s">
        <v>8137</v>
      </c>
      <c r="C2025" s="6" t="s">
        <v>76</v>
      </c>
      <c r="D2025" s="6">
        <v>68312.0</v>
      </c>
      <c r="E2025" s="6" t="s">
        <v>40</v>
      </c>
      <c r="F2025" s="6" t="s">
        <v>61</v>
      </c>
      <c r="G2025" s="6" t="s">
        <v>100</v>
      </c>
      <c r="H2025" s="7">
        <v>2976.0</v>
      </c>
      <c r="I2025" s="7">
        <v>8446.0</v>
      </c>
      <c r="J2025" s="6">
        <v>1980.0</v>
      </c>
      <c r="K2025" s="6">
        <v>63.0</v>
      </c>
      <c r="L2025" s="6" t="s">
        <v>141</v>
      </c>
      <c r="M2025" s="6" t="s">
        <v>8138</v>
      </c>
      <c r="N2025" s="6" t="s">
        <v>34</v>
      </c>
      <c r="O2025" s="6" t="s">
        <v>25</v>
      </c>
      <c r="P2025" s="6">
        <f>COUNTIF(Analysis!$M$1:$M$3001,Analysis!$M2025)</f>
        <v>1</v>
      </c>
      <c r="Q2025" s="6" t="str">
        <f>IF(COUNTIF(Analysis!$M$2:$M$3001,Analysis!$M2025)&gt;1,"Duplicate","OK")</f>
        <v>OK</v>
      </c>
      <c r="R2025" s="6" t="str">
        <f t="shared" si="1"/>
        <v>2600-3600</v>
      </c>
      <c r="S2025" s="6">
        <f t="shared" si="2"/>
        <v>46</v>
      </c>
      <c r="T2025" s="6" t="str">
        <f t="shared" si="3"/>
        <v>Old</v>
      </c>
    </row>
    <row r="2026" ht="14.25" customHeight="1">
      <c r="A2026" s="5">
        <v>793154.0</v>
      </c>
      <c r="B2026" s="6" t="s">
        <v>8141</v>
      </c>
      <c r="C2026" s="6" t="s">
        <v>18</v>
      </c>
      <c r="D2026" s="6">
        <v>96844.0</v>
      </c>
      <c r="E2026" s="6" t="s">
        <v>77</v>
      </c>
      <c r="F2026" s="6" t="s">
        <v>41</v>
      </c>
      <c r="G2026" s="6" t="s">
        <v>55</v>
      </c>
      <c r="H2026" s="7">
        <v>2842.0</v>
      </c>
      <c r="I2026" s="7">
        <v>1409.0</v>
      </c>
      <c r="J2026" s="6">
        <v>1964.0</v>
      </c>
      <c r="K2026" s="6">
        <v>105.0</v>
      </c>
      <c r="L2026" s="6" t="s">
        <v>22</v>
      </c>
      <c r="M2026" s="6" t="s">
        <v>8142</v>
      </c>
      <c r="N2026" s="6" t="s">
        <v>24</v>
      </c>
      <c r="O2026" s="6" t="s">
        <v>49</v>
      </c>
      <c r="P2026" s="6">
        <f>COUNTIF(Analysis!$M$1:$M$3001,Analysis!$M2026)</f>
        <v>1</v>
      </c>
      <c r="Q2026" s="6" t="str">
        <f>IF(COUNTIF(Analysis!$M$2:$M$3001,Analysis!$M2026)&gt;1,"Duplicate","OK")</f>
        <v>OK</v>
      </c>
      <c r="R2026" s="6" t="str">
        <f t="shared" si="1"/>
        <v>2600-3600</v>
      </c>
      <c r="S2026" s="6">
        <f t="shared" si="2"/>
        <v>62</v>
      </c>
      <c r="T2026" s="6" t="str">
        <f t="shared" si="3"/>
        <v>Very Old</v>
      </c>
    </row>
    <row r="2027" ht="14.25" customHeight="1">
      <c r="A2027" s="5">
        <v>1389237.0</v>
      </c>
      <c r="B2027" s="6" t="s">
        <v>8145</v>
      </c>
      <c r="C2027" s="6" t="s">
        <v>39</v>
      </c>
      <c r="D2027" s="6">
        <v>36216.0</v>
      </c>
      <c r="E2027" s="6" t="s">
        <v>60</v>
      </c>
      <c r="F2027" s="6" t="s">
        <v>94</v>
      </c>
      <c r="G2027" s="6" t="s">
        <v>100</v>
      </c>
      <c r="H2027" s="7">
        <v>3554.0</v>
      </c>
      <c r="I2027" s="7">
        <v>8879.0</v>
      </c>
      <c r="J2027" s="6">
        <v>1969.0</v>
      </c>
      <c r="K2027" s="6">
        <v>77.0</v>
      </c>
      <c r="L2027" s="6" t="s">
        <v>141</v>
      </c>
      <c r="M2027" s="6" t="s">
        <v>8146</v>
      </c>
      <c r="N2027" s="6" t="s">
        <v>64</v>
      </c>
      <c r="O2027" s="6" t="s">
        <v>49</v>
      </c>
      <c r="P2027" s="6">
        <f>COUNTIF(Analysis!$M$1:$M$3001,Analysis!$M2027)</f>
        <v>1</v>
      </c>
      <c r="Q2027" s="6" t="str">
        <f>IF(COUNTIF(Analysis!$M$2:$M$3001,Analysis!$M2027)&gt;1,"Duplicate","OK")</f>
        <v>OK</v>
      </c>
      <c r="R2027" s="6" t="str">
        <f t="shared" si="1"/>
        <v>2600-3600</v>
      </c>
      <c r="S2027" s="6">
        <f t="shared" si="2"/>
        <v>57</v>
      </c>
      <c r="T2027" s="6" t="str">
        <f t="shared" si="3"/>
        <v>Old</v>
      </c>
    </row>
    <row r="2028" ht="14.25" customHeight="1">
      <c r="A2028" s="5">
        <v>1223253.0</v>
      </c>
      <c r="B2028" s="6" t="s">
        <v>8149</v>
      </c>
      <c r="C2028" s="6" t="s">
        <v>76</v>
      </c>
      <c r="D2028" s="6">
        <v>76098.0</v>
      </c>
      <c r="E2028" s="6" t="s">
        <v>40</v>
      </c>
      <c r="F2028" s="6" t="s">
        <v>20</v>
      </c>
      <c r="G2028" s="6" t="s">
        <v>31</v>
      </c>
      <c r="H2028" s="7">
        <v>809.0</v>
      </c>
      <c r="I2028" s="7">
        <v>5686.0</v>
      </c>
      <c r="J2028" s="6">
        <v>1997.0</v>
      </c>
      <c r="K2028" s="6">
        <v>99.0</v>
      </c>
      <c r="L2028" s="6" t="s">
        <v>32</v>
      </c>
      <c r="M2028" s="6" t="s">
        <v>8150</v>
      </c>
      <c r="N2028" s="6" t="s">
        <v>43</v>
      </c>
      <c r="O2028" s="6" t="s">
        <v>49</v>
      </c>
      <c r="P2028" s="6">
        <f>COUNTIF(Analysis!$M$1:$M$3001,Analysis!$M2028)</f>
        <v>1</v>
      </c>
      <c r="Q2028" s="6" t="str">
        <f>IF(COUNTIF(Analysis!$M$2:$M$3001,Analysis!$M2028)&gt;1,"Duplicate","OK")</f>
        <v>OK</v>
      </c>
      <c r="R2028" s="6" t="str">
        <f t="shared" si="1"/>
        <v>600-1600</v>
      </c>
      <c r="S2028" s="6">
        <f t="shared" si="2"/>
        <v>29</v>
      </c>
      <c r="T2028" s="6" t="str">
        <f t="shared" si="3"/>
        <v>Mid</v>
      </c>
    </row>
    <row r="2029" ht="14.25" customHeight="1">
      <c r="A2029" s="5">
        <v>1052897.0</v>
      </c>
      <c r="B2029" s="6" t="s">
        <v>7801</v>
      </c>
      <c r="C2029" s="6" t="s">
        <v>29</v>
      </c>
      <c r="D2029" s="6">
        <v>37973.0</v>
      </c>
      <c r="E2029" s="6" t="s">
        <v>60</v>
      </c>
      <c r="F2029" s="6" t="s">
        <v>20</v>
      </c>
      <c r="G2029" s="6" t="s">
        <v>55</v>
      </c>
      <c r="H2029" s="7">
        <v>3832.0</v>
      </c>
      <c r="I2029" s="7">
        <v>9081.0</v>
      </c>
      <c r="J2029" s="6">
        <v>1964.0</v>
      </c>
      <c r="K2029" s="6">
        <v>14.0</v>
      </c>
      <c r="L2029" s="6" t="s">
        <v>32</v>
      </c>
      <c r="M2029" s="6" t="s">
        <v>7802</v>
      </c>
      <c r="N2029" s="6" t="s">
        <v>24</v>
      </c>
      <c r="O2029" s="6" t="s">
        <v>25</v>
      </c>
      <c r="P2029" s="6">
        <f>COUNTIF(Analysis!$M$1:$M$3001,Analysis!$M1941)</f>
        <v>1</v>
      </c>
      <c r="Q2029" s="6" t="str">
        <f>IF(COUNTIF(Analysis!$M$2:$M$3001,Analysis!$M1941)&gt;1,"Duplicate","OK")</f>
        <v>OK</v>
      </c>
      <c r="R2029" s="6" t="str">
        <f t="shared" si="1"/>
        <v>3600+</v>
      </c>
      <c r="S2029" s="6">
        <f t="shared" si="2"/>
        <v>62</v>
      </c>
      <c r="T2029" s="6" t="str">
        <f t="shared" si="3"/>
        <v>Very Old</v>
      </c>
    </row>
    <row r="2030" ht="14.25" customHeight="1">
      <c r="A2030" s="5">
        <v>964953.0</v>
      </c>
      <c r="B2030" s="6" t="s">
        <v>8157</v>
      </c>
      <c r="C2030" s="6" t="s">
        <v>53</v>
      </c>
      <c r="D2030" s="6">
        <v>45712.0</v>
      </c>
      <c r="E2030" s="6" t="s">
        <v>30</v>
      </c>
      <c r="F2030" s="6" t="s">
        <v>20</v>
      </c>
      <c r="G2030" s="6" t="s">
        <v>55</v>
      </c>
      <c r="H2030" s="7">
        <v>1400.0</v>
      </c>
      <c r="I2030" s="7">
        <v>1089.0</v>
      </c>
      <c r="J2030" s="6">
        <v>1974.0</v>
      </c>
      <c r="K2030" s="6">
        <v>61.0</v>
      </c>
      <c r="L2030" s="6" t="s">
        <v>95</v>
      </c>
      <c r="M2030" s="6" t="s">
        <v>8158</v>
      </c>
      <c r="N2030" s="6" t="s">
        <v>64</v>
      </c>
      <c r="O2030" s="6" t="s">
        <v>25</v>
      </c>
      <c r="P2030" s="6">
        <f>COUNTIF(Analysis!$M$1:$M$3001,Analysis!$M2030)</f>
        <v>1</v>
      </c>
      <c r="Q2030" s="6" t="str">
        <f>IF(COUNTIF(Analysis!$M$2:$M$3001,Analysis!$M2030)&gt;1,"Duplicate","OK")</f>
        <v>OK</v>
      </c>
      <c r="R2030" s="6" t="str">
        <f t="shared" si="1"/>
        <v>600-1600</v>
      </c>
      <c r="S2030" s="6">
        <f t="shared" si="2"/>
        <v>52</v>
      </c>
      <c r="T2030" s="6" t="str">
        <f t="shared" si="3"/>
        <v>Old</v>
      </c>
    </row>
    <row r="2031" ht="14.25" customHeight="1">
      <c r="A2031" s="5">
        <v>481357.0</v>
      </c>
      <c r="B2031" s="6" t="s">
        <v>8161</v>
      </c>
      <c r="C2031" s="6" t="s">
        <v>76</v>
      </c>
      <c r="D2031" s="6">
        <v>54997.0</v>
      </c>
      <c r="E2031" s="6" t="s">
        <v>30</v>
      </c>
      <c r="F2031" s="6" t="s">
        <v>54</v>
      </c>
      <c r="G2031" s="6" t="s">
        <v>55</v>
      </c>
      <c r="H2031" s="7">
        <v>627.0</v>
      </c>
      <c r="I2031" s="7">
        <v>9930.0</v>
      </c>
      <c r="J2031" s="6">
        <v>2006.0</v>
      </c>
      <c r="K2031" s="6">
        <v>8.0</v>
      </c>
      <c r="L2031" s="6" t="s">
        <v>32</v>
      </c>
      <c r="M2031" s="6" t="s">
        <v>8162</v>
      </c>
      <c r="N2031" s="6" t="s">
        <v>48</v>
      </c>
      <c r="O2031" s="6" t="s">
        <v>35</v>
      </c>
      <c r="P2031" s="6">
        <f>COUNTIF(Analysis!$M$1:$M$3001,Analysis!$M2031)</f>
        <v>1</v>
      </c>
      <c r="Q2031" s="6" t="str">
        <f>IF(COUNTIF(Analysis!$M$2:$M$3001,Analysis!$M2031)&gt;1,"Duplicate","OK")</f>
        <v>OK</v>
      </c>
      <c r="R2031" s="6" t="str">
        <f t="shared" si="1"/>
        <v>600-1600</v>
      </c>
      <c r="S2031" s="6">
        <f t="shared" si="2"/>
        <v>20</v>
      </c>
      <c r="T2031" s="6" t="str">
        <f t="shared" si="3"/>
        <v>Mid</v>
      </c>
    </row>
    <row r="2032" ht="14.25" customHeight="1">
      <c r="A2032" s="5">
        <v>1056509.0</v>
      </c>
      <c r="B2032" s="6" t="s">
        <v>4287</v>
      </c>
      <c r="C2032" s="6" t="s">
        <v>29</v>
      </c>
      <c r="D2032" s="6">
        <v>50971.0</v>
      </c>
      <c r="E2032" s="6" t="s">
        <v>30</v>
      </c>
      <c r="F2032" s="6" t="s">
        <v>20</v>
      </c>
      <c r="G2032" s="6" t="s">
        <v>100</v>
      </c>
      <c r="H2032" s="7">
        <v>1887.0</v>
      </c>
      <c r="I2032" s="7">
        <v>3822.0</v>
      </c>
      <c r="J2032" s="6">
        <v>2014.0</v>
      </c>
      <c r="K2032" s="6">
        <v>78.0</v>
      </c>
      <c r="L2032" s="6" t="s">
        <v>95</v>
      </c>
      <c r="M2032" s="6" t="s">
        <v>4288</v>
      </c>
      <c r="N2032" s="6" t="s">
        <v>48</v>
      </c>
      <c r="O2032" s="6" t="s">
        <v>49</v>
      </c>
      <c r="P2032" s="6">
        <f>COUNTIF(Analysis!$M$1:$M$3001,Analysis!$M1062)</f>
        <v>1</v>
      </c>
      <c r="Q2032" s="6" t="str">
        <f>IF(COUNTIF(Analysis!$M$2:$M$3001,Analysis!$M1062)&gt;1,"Duplicate","OK")</f>
        <v>OK</v>
      </c>
      <c r="R2032" s="6" t="str">
        <f t="shared" si="1"/>
        <v>1600-2600</v>
      </c>
      <c r="S2032" s="6">
        <f t="shared" si="2"/>
        <v>12</v>
      </c>
      <c r="T2032" s="6" t="str">
        <f t="shared" si="3"/>
        <v>Mid</v>
      </c>
    </row>
    <row r="2033" ht="14.25" customHeight="1">
      <c r="A2033" s="5">
        <v>1147016.0</v>
      </c>
      <c r="B2033" s="6" t="s">
        <v>8169</v>
      </c>
      <c r="C2033" s="6" t="s">
        <v>76</v>
      </c>
      <c r="D2033" s="6">
        <v>65526.0</v>
      </c>
      <c r="E2033" s="6" t="s">
        <v>19</v>
      </c>
      <c r="F2033" s="6" t="s">
        <v>94</v>
      </c>
      <c r="G2033" s="6" t="s">
        <v>31</v>
      </c>
      <c r="H2033" s="7">
        <v>2843.0</v>
      </c>
      <c r="I2033" s="7">
        <v>8340.0</v>
      </c>
      <c r="J2033" s="6">
        <v>1991.0</v>
      </c>
      <c r="K2033" s="6">
        <v>84.0</v>
      </c>
      <c r="L2033" s="6" t="s">
        <v>22</v>
      </c>
      <c r="M2033" s="6" t="s">
        <v>8170</v>
      </c>
      <c r="N2033" s="6" t="s">
        <v>24</v>
      </c>
      <c r="O2033" s="6" t="s">
        <v>25</v>
      </c>
      <c r="P2033" s="6">
        <f>COUNTIF(Analysis!$M$1:$M$3001,Analysis!$M2033)</f>
        <v>1</v>
      </c>
      <c r="Q2033" s="6" t="str">
        <f>IF(COUNTIF(Analysis!$M$2:$M$3001,Analysis!$M2033)&gt;1,"Duplicate","OK")</f>
        <v>OK</v>
      </c>
      <c r="R2033" s="6" t="str">
        <f t="shared" si="1"/>
        <v>2600-3600</v>
      </c>
      <c r="S2033" s="6">
        <f t="shared" si="2"/>
        <v>35</v>
      </c>
      <c r="T2033" s="6" t="str">
        <f t="shared" si="3"/>
        <v>Old</v>
      </c>
    </row>
    <row r="2034" ht="14.25" customHeight="1">
      <c r="A2034" s="5">
        <v>474697.0</v>
      </c>
      <c r="B2034" s="6" t="s">
        <v>8173</v>
      </c>
      <c r="C2034" s="6" t="s">
        <v>39</v>
      </c>
      <c r="D2034" s="6">
        <v>74303.0</v>
      </c>
      <c r="E2034" s="6" t="s">
        <v>60</v>
      </c>
      <c r="F2034" s="6" t="s">
        <v>41</v>
      </c>
      <c r="G2034" s="6" t="s">
        <v>21</v>
      </c>
      <c r="H2034" s="7">
        <v>1098.0</v>
      </c>
      <c r="I2034" s="7">
        <v>4948.0</v>
      </c>
      <c r="J2034" s="6">
        <v>1974.0</v>
      </c>
      <c r="K2034" s="6">
        <v>65.0</v>
      </c>
      <c r="L2034" s="6" t="s">
        <v>62</v>
      </c>
      <c r="M2034" s="6" t="s">
        <v>8174</v>
      </c>
      <c r="N2034" s="6" t="s">
        <v>64</v>
      </c>
      <c r="O2034" s="6" t="s">
        <v>25</v>
      </c>
      <c r="P2034" s="6">
        <f>COUNTIF(Analysis!$M$1:$M$3001,Analysis!$M2034)</f>
        <v>1</v>
      </c>
      <c r="Q2034" s="6" t="str">
        <f>IF(COUNTIF(Analysis!$M$2:$M$3001,Analysis!$M2034)&gt;1,"Duplicate","OK")</f>
        <v>OK</v>
      </c>
      <c r="R2034" s="6" t="str">
        <f t="shared" si="1"/>
        <v>600-1600</v>
      </c>
      <c r="S2034" s="6">
        <f t="shared" si="2"/>
        <v>52</v>
      </c>
      <c r="T2034" s="6" t="str">
        <f t="shared" si="3"/>
        <v>Old</v>
      </c>
    </row>
    <row r="2035" ht="14.25" customHeight="1">
      <c r="A2035" s="5">
        <v>673167.0</v>
      </c>
      <c r="B2035" s="6" t="s">
        <v>8177</v>
      </c>
      <c r="C2035" s="6" t="s">
        <v>76</v>
      </c>
      <c r="D2035" s="6">
        <v>31215.0</v>
      </c>
      <c r="E2035" s="6" t="s">
        <v>40</v>
      </c>
      <c r="F2035" s="6" t="s">
        <v>46</v>
      </c>
      <c r="G2035" s="6" t="s">
        <v>55</v>
      </c>
      <c r="H2035" s="7">
        <v>1231.0</v>
      </c>
      <c r="I2035" s="7">
        <v>5771.0</v>
      </c>
      <c r="J2035" s="6">
        <v>1999.0</v>
      </c>
      <c r="K2035" s="6">
        <v>10.0</v>
      </c>
      <c r="L2035" s="6" t="s">
        <v>62</v>
      </c>
      <c r="M2035" s="6" t="s">
        <v>8178</v>
      </c>
      <c r="N2035" s="6" t="s">
        <v>43</v>
      </c>
      <c r="O2035" s="6" t="s">
        <v>25</v>
      </c>
      <c r="P2035" s="6">
        <f>COUNTIF(Analysis!$M$1:$M$3001,Analysis!$M2035)</f>
        <v>1</v>
      </c>
      <c r="Q2035" s="6" t="str">
        <f>IF(COUNTIF(Analysis!$M$2:$M$3001,Analysis!$M2035)&gt;1,"Duplicate","OK")</f>
        <v>OK</v>
      </c>
      <c r="R2035" s="6" t="str">
        <f t="shared" si="1"/>
        <v>600-1600</v>
      </c>
      <c r="S2035" s="6">
        <f t="shared" si="2"/>
        <v>27</v>
      </c>
      <c r="T2035" s="6" t="str">
        <f t="shared" si="3"/>
        <v>Mid</v>
      </c>
    </row>
    <row r="2036" ht="14.25" customHeight="1">
      <c r="A2036" s="5">
        <v>1177337.0</v>
      </c>
      <c r="B2036" s="6" t="s">
        <v>8181</v>
      </c>
      <c r="C2036" s="6" t="s">
        <v>39</v>
      </c>
      <c r="D2036" s="6">
        <v>52410.0</v>
      </c>
      <c r="E2036" s="6" t="s">
        <v>30</v>
      </c>
      <c r="F2036" s="6" t="s">
        <v>46</v>
      </c>
      <c r="G2036" s="6" t="s">
        <v>100</v>
      </c>
      <c r="H2036" s="7">
        <v>3422.0</v>
      </c>
      <c r="I2036" s="7">
        <v>4496.0</v>
      </c>
      <c r="J2036" s="6">
        <v>1985.0</v>
      </c>
      <c r="K2036" s="6">
        <v>32.0</v>
      </c>
      <c r="L2036" s="6" t="s">
        <v>62</v>
      </c>
      <c r="M2036" s="6" t="s">
        <v>8182</v>
      </c>
      <c r="N2036" s="6" t="s">
        <v>43</v>
      </c>
      <c r="O2036" s="6" t="s">
        <v>49</v>
      </c>
      <c r="P2036" s="6">
        <f>COUNTIF(Analysis!$M$1:$M$3001,Analysis!$M2036)</f>
        <v>1</v>
      </c>
      <c r="Q2036" s="6" t="str">
        <f>IF(COUNTIF(Analysis!$M$2:$M$3001,Analysis!$M2036)&gt;1,"Duplicate","OK")</f>
        <v>OK</v>
      </c>
      <c r="R2036" s="6" t="str">
        <f t="shared" si="1"/>
        <v>2600-3600</v>
      </c>
      <c r="S2036" s="6">
        <f t="shared" si="2"/>
        <v>41</v>
      </c>
      <c r="T2036" s="6" t="str">
        <f t="shared" si="3"/>
        <v>Old</v>
      </c>
    </row>
    <row r="2037" ht="14.25" customHeight="1">
      <c r="A2037" s="5">
        <v>328206.0</v>
      </c>
      <c r="B2037" s="6" t="s">
        <v>8185</v>
      </c>
      <c r="C2037" s="6" t="s">
        <v>76</v>
      </c>
      <c r="D2037" s="6">
        <v>68317.0</v>
      </c>
      <c r="E2037" s="6" t="s">
        <v>19</v>
      </c>
      <c r="F2037" s="6" t="s">
        <v>94</v>
      </c>
      <c r="G2037" s="6" t="s">
        <v>31</v>
      </c>
      <c r="H2037" s="7">
        <v>2224.0</v>
      </c>
      <c r="I2037" s="7">
        <v>3750.0</v>
      </c>
      <c r="J2037" s="6">
        <v>1974.0</v>
      </c>
      <c r="K2037" s="6">
        <v>105.0</v>
      </c>
      <c r="L2037" s="6" t="s">
        <v>95</v>
      </c>
      <c r="M2037" s="6" t="s">
        <v>8186</v>
      </c>
      <c r="N2037" s="6" t="s">
        <v>48</v>
      </c>
      <c r="O2037" s="6" t="s">
        <v>49</v>
      </c>
      <c r="P2037" s="6">
        <f>COUNTIF(Analysis!$M$1:$M$3001,Analysis!$M2037)</f>
        <v>1</v>
      </c>
      <c r="Q2037" s="6" t="str">
        <f>IF(COUNTIF(Analysis!$M$2:$M$3001,Analysis!$M2037)&gt;1,"Duplicate","OK")</f>
        <v>OK</v>
      </c>
      <c r="R2037" s="6" t="str">
        <f t="shared" si="1"/>
        <v>1600-2600</v>
      </c>
      <c r="S2037" s="6">
        <f t="shared" si="2"/>
        <v>52</v>
      </c>
      <c r="T2037" s="6" t="str">
        <f t="shared" si="3"/>
        <v>Old</v>
      </c>
    </row>
    <row r="2038" ht="14.25" customHeight="1">
      <c r="A2038" s="5">
        <v>880890.0</v>
      </c>
      <c r="B2038" s="6" t="s">
        <v>8189</v>
      </c>
      <c r="C2038" s="6" t="s">
        <v>39</v>
      </c>
      <c r="D2038" s="6">
        <v>91711.0</v>
      </c>
      <c r="E2038" s="6" t="s">
        <v>60</v>
      </c>
      <c r="F2038" s="6" t="s">
        <v>54</v>
      </c>
      <c r="G2038" s="6" t="s">
        <v>31</v>
      </c>
      <c r="H2038" s="7">
        <v>2790.0</v>
      </c>
      <c r="I2038" s="7">
        <v>6966.0</v>
      </c>
      <c r="J2038" s="6">
        <v>1986.0</v>
      </c>
      <c r="K2038" s="6">
        <v>43.0</v>
      </c>
      <c r="L2038" s="6" t="s">
        <v>22</v>
      </c>
      <c r="M2038" s="6" t="s">
        <v>8190</v>
      </c>
      <c r="N2038" s="6" t="s">
        <v>48</v>
      </c>
      <c r="O2038" s="6" t="s">
        <v>35</v>
      </c>
      <c r="P2038" s="6">
        <f>COUNTIF(Analysis!$M$1:$M$3001,Analysis!$M2038)</f>
        <v>1</v>
      </c>
      <c r="Q2038" s="6" t="str">
        <f>IF(COUNTIF(Analysis!$M$2:$M$3001,Analysis!$M2038)&gt;1,"Duplicate","OK")</f>
        <v>OK</v>
      </c>
      <c r="R2038" s="6" t="str">
        <f t="shared" si="1"/>
        <v>2600-3600</v>
      </c>
      <c r="S2038" s="6">
        <f t="shared" si="2"/>
        <v>40</v>
      </c>
      <c r="T2038" s="6" t="str">
        <f t="shared" si="3"/>
        <v>Old</v>
      </c>
    </row>
    <row r="2039" ht="14.25" customHeight="1">
      <c r="A2039" s="5">
        <v>1403310.0</v>
      </c>
      <c r="B2039" s="6" t="s">
        <v>8193</v>
      </c>
      <c r="C2039" s="6" t="s">
        <v>53</v>
      </c>
      <c r="D2039" s="6">
        <v>79724.0</v>
      </c>
      <c r="E2039" s="6" t="s">
        <v>77</v>
      </c>
      <c r="F2039" s="6" t="s">
        <v>94</v>
      </c>
      <c r="G2039" s="6" t="s">
        <v>100</v>
      </c>
      <c r="H2039" s="7">
        <v>2690.0</v>
      </c>
      <c r="I2039" s="7">
        <v>2493.0</v>
      </c>
      <c r="J2039" s="6">
        <v>2009.0</v>
      </c>
      <c r="K2039" s="6">
        <v>44.0</v>
      </c>
      <c r="L2039" s="6" t="s">
        <v>62</v>
      </c>
      <c r="M2039" s="6" t="s">
        <v>8194</v>
      </c>
      <c r="N2039" s="6" t="s">
        <v>34</v>
      </c>
      <c r="O2039" s="6" t="s">
        <v>49</v>
      </c>
      <c r="P2039" s="6">
        <f>COUNTIF(Analysis!$M$1:$M$3001,Analysis!$M2039)</f>
        <v>1</v>
      </c>
      <c r="Q2039" s="6" t="str">
        <f>IF(COUNTIF(Analysis!$M$2:$M$3001,Analysis!$M2039)&gt;1,"Duplicate","OK")</f>
        <v>OK</v>
      </c>
      <c r="R2039" s="6" t="str">
        <f t="shared" si="1"/>
        <v>2600-3600</v>
      </c>
      <c r="S2039" s="6">
        <f t="shared" si="2"/>
        <v>17</v>
      </c>
      <c r="T2039" s="6" t="str">
        <f t="shared" si="3"/>
        <v>Mid</v>
      </c>
    </row>
    <row r="2040" ht="14.25" customHeight="1">
      <c r="A2040" s="5">
        <v>869770.0</v>
      </c>
      <c r="B2040" s="6" t="s">
        <v>8197</v>
      </c>
      <c r="C2040" s="6" t="s">
        <v>76</v>
      </c>
      <c r="D2040" s="6">
        <v>56536.0</v>
      </c>
      <c r="E2040" s="6" t="s">
        <v>30</v>
      </c>
      <c r="F2040" s="6" t="s">
        <v>61</v>
      </c>
      <c r="G2040" s="6" t="s">
        <v>31</v>
      </c>
      <c r="H2040" s="7">
        <v>2065.0</v>
      </c>
      <c r="I2040" s="7">
        <v>2677.0</v>
      </c>
      <c r="J2040" s="6">
        <v>1996.0</v>
      </c>
      <c r="K2040" s="6">
        <v>52.0</v>
      </c>
      <c r="L2040" s="6" t="s">
        <v>22</v>
      </c>
      <c r="M2040" s="6" t="s">
        <v>8198</v>
      </c>
      <c r="N2040" s="6" t="s">
        <v>64</v>
      </c>
      <c r="O2040" s="6" t="s">
        <v>49</v>
      </c>
      <c r="P2040" s="6">
        <f>COUNTIF(Analysis!$M$1:$M$3001,Analysis!$M2040)</f>
        <v>1</v>
      </c>
      <c r="Q2040" s="6" t="str">
        <f>IF(COUNTIF(Analysis!$M$2:$M$3001,Analysis!$M2040)&gt;1,"Duplicate","OK")</f>
        <v>OK</v>
      </c>
      <c r="R2040" s="6" t="str">
        <f t="shared" si="1"/>
        <v>1600-2600</v>
      </c>
      <c r="S2040" s="6">
        <f t="shared" si="2"/>
        <v>30</v>
      </c>
      <c r="T2040" s="6" t="str">
        <f t="shared" si="3"/>
        <v>Mid</v>
      </c>
    </row>
    <row r="2041" ht="14.25" customHeight="1">
      <c r="A2041" s="5">
        <v>552081.0</v>
      </c>
      <c r="B2041" s="6" t="s">
        <v>8201</v>
      </c>
      <c r="C2041" s="6" t="s">
        <v>76</v>
      </c>
      <c r="D2041" s="6">
        <v>18648.0</v>
      </c>
      <c r="E2041" s="6" t="s">
        <v>19</v>
      </c>
      <c r="F2041" s="6" t="s">
        <v>54</v>
      </c>
      <c r="G2041" s="6" t="s">
        <v>21</v>
      </c>
      <c r="H2041" s="7">
        <v>3314.0</v>
      </c>
      <c r="I2041" s="7">
        <v>6129.0</v>
      </c>
      <c r="J2041" s="6">
        <v>1964.0</v>
      </c>
      <c r="K2041" s="6">
        <v>57.0</v>
      </c>
      <c r="L2041" s="6" t="s">
        <v>32</v>
      </c>
      <c r="M2041" s="6" t="s">
        <v>8202</v>
      </c>
      <c r="N2041" s="6" t="s">
        <v>64</v>
      </c>
      <c r="O2041" s="6" t="s">
        <v>49</v>
      </c>
      <c r="P2041" s="6">
        <f>COUNTIF(Analysis!$M$1:$M$3001,Analysis!$M2041)</f>
        <v>1</v>
      </c>
      <c r="Q2041" s="6" t="str">
        <f>IF(COUNTIF(Analysis!$M$2:$M$3001,Analysis!$M2041)&gt;1,"Duplicate","OK")</f>
        <v>OK</v>
      </c>
      <c r="R2041" s="6" t="str">
        <f t="shared" si="1"/>
        <v>2600-3600</v>
      </c>
      <c r="S2041" s="6">
        <f t="shared" si="2"/>
        <v>62</v>
      </c>
      <c r="T2041" s="6" t="str">
        <f t="shared" si="3"/>
        <v>Very Old</v>
      </c>
    </row>
    <row r="2042" ht="14.25" customHeight="1">
      <c r="A2042" s="5">
        <v>876517.0</v>
      </c>
      <c r="B2042" s="6" t="s">
        <v>8205</v>
      </c>
      <c r="C2042" s="6" t="s">
        <v>39</v>
      </c>
      <c r="D2042" s="6">
        <v>81929.0</v>
      </c>
      <c r="E2042" s="6" t="s">
        <v>60</v>
      </c>
      <c r="F2042" s="6" t="s">
        <v>41</v>
      </c>
      <c r="G2042" s="6" t="s">
        <v>55</v>
      </c>
      <c r="H2042" s="7">
        <v>3789.0</v>
      </c>
      <c r="I2042" s="7">
        <v>3783.0</v>
      </c>
      <c r="J2042" s="6">
        <v>1977.0</v>
      </c>
      <c r="K2042" s="6">
        <v>54.0</v>
      </c>
      <c r="L2042" s="6" t="s">
        <v>95</v>
      </c>
      <c r="M2042" s="6" t="s">
        <v>8206</v>
      </c>
      <c r="N2042" s="6" t="s">
        <v>24</v>
      </c>
      <c r="O2042" s="6" t="s">
        <v>35</v>
      </c>
      <c r="P2042" s="6">
        <f>COUNTIF(Analysis!$M$1:$M$3001,Analysis!$M2042)</f>
        <v>1</v>
      </c>
      <c r="Q2042" s="6" t="str">
        <f>IF(COUNTIF(Analysis!$M$2:$M$3001,Analysis!$M2042)&gt;1,"Duplicate","OK")</f>
        <v>OK</v>
      </c>
      <c r="R2042" s="6" t="str">
        <f t="shared" si="1"/>
        <v>3600+</v>
      </c>
      <c r="S2042" s="6">
        <f t="shared" si="2"/>
        <v>49</v>
      </c>
      <c r="T2042" s="6" t="str">
        <f t="shared" si="3"/>
        <v>Old</v>
      </c>
    </row>
    <row r="2043" ht="14.25" customHeight="1">
      <c r="A2043" s="5">
        <v>547912.0</v>
      </c>
      <c r="B2043" s="6" t="s">
        <v>8209</v>
      </c>
      <c r="C2043" s="6" t="s">
        <v>53</v>
      </c>
      <c r="D2043" s="6">
        <v>20851.0</v>
      </c>
      <c r="E2043" s="6" t="s">
        <v>77</v>
      </c>
      <c r="F2043" s="6" t="s">
        <v>54</v>
      </c>
      <c r="G2043" s="6" t="s">
        <v>100</v>
      </c>
      <c r="H2043" s="7">
        <v>3622.0</v>
      </c>
      <c r="I2043" s="7">
        <v>2452.0</v>
      </c>
      <c r="J2043" s="6">
        <v>1972.0</v>
      </c>
      <c r="K2043" s="6">
        <v>13.0</v>
      </c>
      <c r="L2043" s="6" t="s">
        <v>32</v>
      </c>
      <c r="M2043" s="6" t="s">
        <v>8210</v>
      </c>
      <c r="N2043" s="6" t="s">
        <v>24</v>
      </c>
      <c r="O2043" s="6" t="s">
        <v>25</v>
      </c>
      <c r="P2043" s="6">
        <f>COUNTIF(Analysis!$M$1:$M$3001,Analysis!$M2043)</f>
        <v>1</v>
      </c>
      <c r="Q2043" s="6" t="str">
        <f>IF(COUNTIF(Analysis!$M$2:$M$3001,Analysis!$M2043)&gt;1,"Duplicate","OK")</f>
        <v>OK</v>
      </c>
      <c r="R2043" s="6" t="str">
        <f t="shared" si="1"/>
        <v>3600+</v>
      </c>
      <c r="S2043" s="6">
        <f t="shared" si="2"/>
        <v>54</v>
      </c>
      <c r="T2043" s="6" t="str">
        <f t="shared" si="3"/>
        <v>Old</v>
      </c>
    </row>
    <row r="2044" ht="14.25" customHeight="1">
      <c r="A2044" s="5">
        <v>154706.0</v>
      </c>
      <c r="B2044" s="6" t="s">
        <v>8213</v>
      </c>
      <c r="C2044" s="6" t="s">
        <v>76</v>
      </c>
      <c r="D2044" s="6">
        <v>72148.0</v>
      </c>
      <c r="E2044" s="6" t="s">
        <v>40</v>
      </c>
      <c r="F2044" s="6" t="s">
        <v>41</v>
      </c>
      <c r="G2044" s="6" t="s">
        <v>55</v>
      </c>
      <c r="H2044" s="7">
        <v>3297.0</v>
      </c>
      <c r="I2044" s="7">
        <v>8824.0</v>
      </c>
      <c r="J2044" s="6">
        <v>2009.0</v>
      </c>
      <c r="K2044" s="6">
        <v>50.0</v>
      </c>
      <c r="L2044" s="6" t="s">
        <v>95</v>
      </c>
      <c r="M2044" s="6" t="s">
        <v>8214</v>
      </c>
      <c r="N2044" s="6" t="s">
        <v>48</v>
      </c>
      <c r="O2044" s="6" t="s">
        <v>35</v>
      </c>
      <c r="P2044" s="6">
        <f>COUNTIF(Analysis!$M$1:$M$3001,Analysis!$M2044)</f>
        <v>1</v>
      </c>
      <c r="Q2044" s="6" t="str">
        <f>IF(COUNTIF(Analysis!$M$2:$M$3001,Analysis!$M2044)&gt;1,"Duplicate","OK")</f>
        <v>OK</v>
      </c>
      <c r="R2044" s="6" t="str">
        <f t="shared" si="1"/>
        <v>2600-3600</v>
      </c>
      <c r="S2044" s="6">
        <f t="shared" si="2"/>
        <v>17</v>
      </c>
      <c r="T2044" s="6" t="str">
        <f t="shared" si="3"/>
        <v>Mid</v>
      </c>
    </row>
    <row r="2045" ht="14.25" customHeight="1">
      <c r="A2045" s="5">
        <v>301157.0</v>
      </c>
      <c r="B2045" s="6" t="s">
        <v>8217</v>
      </c>
      <c r="C2045" s="6" t="s">
        <v>53</v>
      </c>
      <c r="D2045" s="6">
        <v>25999.0</v>
      </c>
      <c r="E2045" s="6" t="s">
        <v>77</v>
      </c>
      <c r="F2045" s="6" t="s">
        <v>20</v>
      </c>
      <c r="G2045" s="6" t="s">
        <v>100</v>
      </c>
      <c r="H2045" s="7">
        <v>3688.0</v>
      </c>
      <c r="I2045" s="7">
        <v>5933.0</v>
      </c>
      <c r="J2045" s="6">
        <v>2006.0</v>
      </c>
      <c r="K2045" s="6">
        <v>93.0</v>
      </c>
      <c r="L2045" s="6" t="s">
        <v>22</v>
      </c>
      <c r="M2045" s="6" t="s">
        <v>8218</v>
      </c>
      <c r="N2045" s="6" t="s">
        <v>34</v>
      </c>
      <c r="O2045" s="6" t="s">
        <v>25</v>
      </c>
      <c r="P2045" s="6">
        <f>COUNTIF(Analysis!$M$1:$M$3001,Analysis!$M2045)</f>
        <v>1</v>
      </c>
      <c r="Q2045" s="6" t="str">
        <f>IF(COUNTIF(Analysis!$M$2:$M$3001,Analysis!$M2045)&gt;1,"Duplicate","OK")</f>
        <v>OK</v>
      </c>
      <c r="R2045" s="6" t="str">
        <f t="shared" si="1"/>
        <v>3600+</v>
      </c>
      <c r="S2045" s="6">
        <f t="shared" si="2"/>
        <v>20</v>
      </c>
      <c r="T2045" s="6" t="str">
        <f t="shared" si="3"/>
        <v>Mid</v>
      </c>
    </row>
    <row r="2046" ht="14.25" customHeight="1">
      <c r="A2046" s="5">
        <v>378010.0</v>
      </c>
      <c r="B2046" s="6" t="s">
        <v>8221</v>
      </c>
      <c r="C2046" s="6" t="s">
        <v>39</v>
      </c>
      <c r="D2046" s="6">
        <v>22975.0</v>
      </c>
      <c r="E2046" s="6" t="s">
        <v>19</v>
      </c>
      <c r="F2046" s="6" t="s">
        <v>20</v>
      </c>
      <c r="G2046" s="6" t="s">
        <v>21</v>
      </c>
      <c r="H2046" s="7">
        <v>3730.0</v>
      </c>
      <c r="I2046" s="7">
        <v>9083.0</v>
      </c>
      <c r="J2046" s="6">
        <v>2006.0</v>
      </c>
      <c r="K2046" s="6">
        <v>78.0</v>
      </c>
      <c r="L2046" s="6" t="s">
        <v>141</v>
      </c>
      <c r="M2046" s="6" t="s">
        <v>8222</v>
      </c>
      <c r="N2046" s="6" t="s">
        <v>48</v>
      </c>
      <c r="O2046" s="6" t="s">
        <v>35</v>
      </c>
      <c r="P2046" s="6">
        <f>COUNTIF(Analysis!$M$1:$M$3001,Analysis!$M2046)</f>
        <v>1</v>
      </c>
      <c r="Q2046" s="6" t="str">
        <f>IF(COUNTIF(Analysis!$M$2:$M$3001,Analysis!$M2046)&gt;1,"Duplicate","OK")</f>
        <v>OK</v>
      </c>
      <c r="R2046" s="6" t="str">
        <f t="shared" si="1"/>
        <v>3600+</v>
      </c>
      <c r="S2046" s="6">
        <f t="shared" si="2"/>
        <v>20</v>
      </c>
      <c r="T2046" s="6" t="str">
        <f t="shared" si="3"/>
        <v>Mid</v>
      </c>
    </row>
    <row r="2047" ht="14.25" customHeight="1">
      <c r="A2047" s="5">
        <v>1058406.0</v>
      </c>
      <c r="B2047" s="6" t="s">
        <v>2380</v>
      </c>
      <c r="C2047" s="6" t="s">
        <v>29</v>
      </c>
      <c r="D2047" s="6">
        <v>62223.0</v>
      </c>
      <c r="E2047" s="6" t="s">
        <v>30</v>
      </c>
      <c r="F2047" s="6" t="s">
        <v>54</v>
      </c>
      <c r="G2047" s="6" t="s">
        <v>21</v>
      </c>
      <c r="H2047" s="7">
        <v>2180.0</v>
      </c>
      <c r="I2047" s="7">
        <v>2279.0</v>
      </c>
      <c r="J2047" s="6">
        <v>1967.0</v>
      </c>
      <c r="K2047" s="6">
        <v>24.0</v>
      </c>
      <c r="L2047" s="6" t="s">
        <v>62</v>
      </c>
      <c r="M2047" s="6" t="s">
        <v>2381</v>
      </c>
      <c r="N2047" s="6" t="s">
        <v>34</v>
      </c>
      <c r="O2047" s="6" t="s">
        <v>25</v>
      </c>
      <c r="P2047" s="6">
        <f>COUNTIF(Analysis!$M$1:$M$3001,Analysis!$M585)</f>
        <v>1</v>
      </c>
      <c r="Q2047" s="6" t="str">
        <f>IF(COUNTIF(Analysis!$M$2:$M$3001,Analysis!$M585)&gt;1,"Duplicate","OK")</f>
        <v>OK</v>
      </c>
      <c r="R2047" s="6" t="str">
        <f t="shared" si="1"/>
        <v>1600-2600</v>
      </c>
      <c r="S2047" s="6">
        <f t="shared" si="2"/>
        <v>59</v>
      </c>
      <c r="T2047" s="6" t="str">
        <f t="shared" si="3"/>
        <v>Old</v>
      </c>
    </row>
    <row r="2048" ht="14.25" customHeight="1">
      <c r="A2048" s="5">
        <v>917243.0</v>
      </c>
      <c r="B2048" s="6" t="s">
        <v>8229</v>
      </c>
      <c r="C2048" s="6" t="s">
        <v>76</v>
      </c>
      <c r="D2048" s="6">
        <v>52206.0</v>
      </c>
      <c r="E2048" s="6" t="s">
        <v>60</v>
      </c>
      <c r="F2048" s="6" t="s">
        <v>61</v>
      </c>
      <c r="G2048" s="6" t="s">
        <v>55</v>
      </c>
      <c r="H2048" s="7">
        <v>2997.0</v>
      </c>
      <c r="I2048" s="7">
        <v>2622.0</v>
      </c>
      <c r="J2048" s="6">
        <v>1996.0</v>
      </c>
      <c r="K2048" s="6">
        <v>89.0</v>
      </c>
      <c r="L2048" s="6" t="s">
        <v>62</v>
      </c>
      <c r="M2048" s="6" t="s">
        <v>8230</v>
      </c>
      <c r="N2048" s="6" t="s">
        <v>43</v>
      </c>
      <c r="O2048" s="6" t="s">
        <v>49</v>
      </c>
      <c r="P2048" s="6">
        <f>COUNTIF(Analysis!$M$1:$M$3001,Analysis!$M2048)</f>
        <v>1</v>
      </c>
      <c r="Q2048" s="6" t="str">
        <f>IF(COUNTIF(Analysis!$M$2:$M$3001,Analysis!$M2048)&gt;1,"Duplicate","OK")</f>
        <v>OK</v>
      </c>
      <c r="R2048" s="6" t="str">
        <f t="shared" si="1"/>
        <v>2600-3600</v>
      </c>
      <c r="S2048" s="6">
        <f t="shared" si="2"/>
        <v>30</v>
      </c>
      <c r="T2048" s="6" t="str">
        <f t="shared" si="3"/>
        <v>Mid</v>
      </c>
    </row>
    <row r="2049" ht="14.25" customHeight="1">
      <c r="A2049" s="5">
        <v>1417682.0</v>
      </c>
      <c r="B2049" s="6" t="s">
        <v>8233</v>
      </c>
      <c r="C2049" s="6" t="s">
        <v>39</v>
      </c>
      <c r="D2049" s="6">
        <v>64667.0</v>
      </c>
      <c r="E2049" s="6" t="s">
        <v>30</v>
      </c>
      <c r="F2049" s="6" t="s">
        <v>94</v>
      </c>
      <c r="G2049" s="6" t="s">
        <v>100</v>
      </c>
      <c r="H2049" s="7">
        <v>628.0</v>
      </c>
      <c r="I2049" s="7">
        <v>9590.0</v>
      </c>
      <c r="J2049" s="6">
        <v>2018.0</v>
      </c>
      <c r="K2049" s="6">
        <v>5.0</v>
      </c>
      <c r="L2049" s="6" t="s">
        <v>141</v>
      </c>
      <c r="M2049" s="6" t="s">
        <v>8234</v>
      </c>
      <c r="N2049" s="6" t="s">
        <v>43</v>
      </c>
      <c r="O2049" s="6" t="s">
        <v>35</v>
      </c>
      <c r="P2049" s="6">
        <f>COUNTIF(Analysis!$M$1:$M$3001,Analysis!$M2049)</f>
        <v>1</v>
      </c>
      <c r="Q2049" s="6" t="str">
        <f>IF(COUNTIF(Analysis!$M$2:$M$3001,Analysis!$M2049)&gt;1,"Duplicate","OK")</f>
        <v>OK</v>
      </c>
      <c r="R2049" s="6" t="str">
        <f t="shared" si="1"/>
        <v>600-1600</v>
      </c>
      <c r="S2049" s="6">
        <f t="shared" si="2"/>
        <v>8</v>
      </c>
      <c r="T2049" s="6" t="str">
        <f t="shared" si="3"/>
        <v>New</v>
      </c>
    </row>
    <row r="2050" ht="14.25" customHeight="1">
      <c r="A2050" s="5">
        <v>1060026.0</v>
      </c>
      <c r="B2050" s="6" t="s">
        <v>4355</v>
      </c>
      <c r="C2050" s="6" t="s">
        <v>29</v>
      </c>
      <c r="D2050" s="6">
        <v>48618.0</v>
      </c>
      <c r="E2050" s="6" t="s">
        <v>19</v>
      </c>
      <c r="F2050" s="6" t="s">
        <v>54</v>
      </c>
      <c r="G2050" s="6" t="s">
        <v>21</v>
      </c>
      <c r="H2050" s="7">
        <v>1106.0</v>
      </c>
      <c r="I2050" s="7">
        <v>6813.0</v>
      </c>
      <c r="J2050" s="6">
        <v>1952.0</v>
      </c>
      <c r="K2050" s="6">
        <v>79.0</v>
      </c>
      <c r="L2050" s="6" t="s">
        <v>32</v>
      </c>
      <c r="M2050" s="6" t="s">
        <v>4356</v>
      </c>
      <c r="N2050" s="6" t="s">
        <v>43</v>
      </c>
      <c r="O2050" s="6" t="s">
        <v>49</v>
      </c>
      <c r="P2050" s="6">
        <f>COUNTIF(Analysis!$M$1:$M$3001,Analysis!$M1079)</f>
        <v>1</v>
      </c>
      <c r="Q2050" s="6" t="str">
        <f>IF(COUNTIF(Analysis!$M$2:$M$3001,Analysis!$M1079)&gt;1,"Duplicate","OK")</f>
        <v>OK</v>
      </c>
      <c r="R2050" s="6" t="str">
        <f t="shared" si="1"/>
        <v>600-1600</v>
      </c>
      <c r="S2050" s="6">
        <f t="shared" si="2"/>
        <v>74</v>
      </c>
      <c r="T2050" s="6" t="str">
        <f t="shared" si="3"/>
        <v>Very Old</v>
      </c>
    </row>
    <row r="2051" ht="14.25" customHeight="1">
      <c r="A2051" s="5">
        <v>1175776.0</v>
      </c>
      <c r="B2051" s="6" t="s">
        <v>8241</v>
      </c>
      <c r="C2051" s="6" t="s">
        <v>18</v>
      </c>
      <c r="D2051" s="6">
        <v>91039.0</v>
      </c>
      <c r="E2051" s="6" t="s">
        <v>60</v>
      </c>
      <c r="F2051" s="6" t="s">
        <v>94</v>
      </c>
      <c r="G2051" s="6" t="s">
        <v>100</v>
      </c>
      <c r="H2051" s="7">
        <v>1572.0</v>
      </c>
      <c r="I2051" s="7">
        <v>5622.0</v>
      </c>
      <c r="J2051" s="6">
        <v>1995.0</v>
      </c>
      <c r="K2051" s="6">
        <v>65.0</v>
      </c>
      <c r="L2051" s="6" t="s">
        <v>32</v>
      </c>
      <c r="M2051" s="6" t="s">
        <v>8242</v>
      </c>
      <c r="N2051" s="6" t="s">
        <v>24</v>
      </c>
      <c r="O2051" s="6" t="s">
        <v>25</v>
      </c>
      <c r="P2051" s="6">
        <f>COUNTIF(Analysis!$M$1:$M$3001,Analysis!$M2051)</f>
        <v>1</v>
      </c>
      <c r="Q2051" s="6" t="str">
        <f>IF(COUNTIF(Analysis!$M$2:$M$3001,Analysis!$M2051)&gt;1,"Duplicate","OK")</f>
        <v>OK</v>
      </c>
      <c r="R2051" s="6" t="str">
        <f t="shared" si="1"/>
        <v>600-1600</v>
      </c>
      <c r="S2051" s="6">
        <f t="shared" si="2"/>
        <v>31</v>
      </c>
      <c r="T2051" s="6" t="str">
        <f t="shared" si="3"/>
        <v>Old</v>
      </c>
    </row>
    <row r="2052" ht="14.25" customHeight="1">
      <c r="A2052" s="5">
        <v>784779.0</v>
      </c>
      <c r="B2052" s="6" t="s">
        <v>8245</v>
      </c>
      <c r="C2052" s="6" t="s">
        <v>76</v>
      </c>
      <c r="D2052" s="6">
        <v>46321.0</v>
      </c>
      <c r="E2052" s="6" t="s">
        <v>60</v>
      </c>
      <c r="F2052" s="6" t="s">
        <v>46</v>
      </c>
      <c r="G2052" s="6" t="s">
        <v>21</v>
      </c>
      <c r="H2052" s="7">
        <v>3777.0</v>
      </c>
      <c r="I2052" s="7">
        <v>9177.0</v>
      </c>
      <c r="J2052" s="6">
        <v>2006.0</v>
      </c>
      <c r="K2052" s="6">
        <v>28.0</v>
      </c>
      <c r="L2052" s="6" t="s">
        <v>22</v>
      </c>
      <c r="M2052" s="6" t="s">
        <v>8246</v>
      </c>
      <c r="N2052" s="6" t="s">
        <v>43</v>
      </c>
      <c r="O2052" s="6" t="s">
        <v>49</v>
      </c>
      <c r="P2052" s="6">
        <f>COUNTIF(Analysis!$M$1:$M$3001,Analysis!$M2052)</f>
        <v>1</v>
      </c>
      <c r="Q2052" s="6" t="str">
        <f>IF(COUNTIF(Analysis!$M$2:$M$3001,Analysis!$M2052)&gt;1,"Duplicate","OK")</f>
        <v>OK</v>
      </c>
      <c r="R2052" s="6" t="str">
        <f t="shared" si="1"/>
        <v>3600+</v>
      </c>
      <c r="S2052" s="6">
        <f t="shared" si="2"/>
        <v>20</v>
      </c>
      <c r="T2052" s="6" t="str">
        <f t="shared" si="3"/>
        <v>Mid</v>
      </c>
    </row>
    <row r="2053" ht="14.25" customHeight="1">
      <c r="A2053" s="5">
        <v>163960.0</v>
      </c>
      <c r="B2053" s="6" t="s">
        <v>8249</v>
      </c>
      <c r="C2053" s="6" t="s">
        <v>53</v>
      </c>
      <c r="D2053" s="6">
        <v>13319.0</v>
      </c>
      <c r="E2053" s="6" t="s">
        <v>19</v>
      </c>
      <c r="F2053" s="6" t="s">
        <v>46</v>
      </c>
      <c r="G2053" s="6" t="s">
        <v>100</v>
      </c>
      <c r="H2053" s="7">
        <v>2765.0</v>
      </c>
      <c r="I2053" s="7">
        <v>8936.0</v>
      </c>
      <c r="J2053" s="6">
        <v>2021.0</v>
      </c>
      <c r="K2053" s="6">
        <v>67.0</v>
      </c>
      <c r="L2053" s="6" t="s">
        <v>22</v>
      </c>
      <c r="M2053" s="6" t="s">
        <v>8250</v>
      </c>
      <c r="N2053" s="6" t="s">
        <v>64</v>
      </c>
      <c r="O2053" s="6" t="s">
        <v>49</v>
      </c>
      <c r="P2053" s="6">
        <f>COUNTIF(Analysis!$M$1:$M$3001,Analysis!$M2053)</f>
        <v>1</v>
      </c>
      <c r="Q2053" s="6" t="str">
        <f>IF(COUNTIF(Analysis!$M$2:$M$3001,Analysis!$M2053)&gt;1,"Duplicate","OK")</f>
        <v>OK</v>
      </c>
      <c r="R2053" s="6" t="str">
        <f t="shared" si="1"/>
        <v>2600-3600</v>
      </c>
      <c r="S2053" s="6">
        <f t="shared" si="2"/>
        <v>5</v>
      </c>
      <c r="T2053" s="6" t="str">
        <f t="shared" si="3"/>
        <v>New</v>
      </c>
    </row>
    <row r="2054" ht="14.25" customHeight="1">
      <c r="A2054" s="5">
        <v>979634.0</v>
      </c>
      <c r="B2054" s="6" t="s">
        <v>8253</v>
      </c>
      <c r="C2054" s="6" t="s">
        <v>39</v>
      </c>
      <c r="D2054" s="6">
        <v>16968.0</v>
      </c>
      <c r="E2054" s="6" t="s">
        <v>77</v>
      </c>
      <c r="F2054" s="6" t="s">
        <v>41</v>
      </c>
      <c r="G2054" s="6" t="s">
        <v>100</v>
      </c>
      <c r="H2054" s="7">
        <v>3494.0</v>
      </c>
      <c r="I2054" s="7">
        <v>4969.0</v>
      </c>
      <c r="J2054" s="6">
        <v>1977.0</v>
      </c>
      <c r="K2054" s="6">
        <v>41.0</v>
      </c>
      <c r="L2054" s="6" t="s">
        <v>141</v>
      </c>
      <c r="M2054" s="6" t="s">
        <v>8254</v>
      </c>
      <c r="N2054" s="6" t="s">
        <v>34</v>
      </c>
      <c r="O2054" s="6" t="s">
        <v>49</v>
      </c>
      <c r="P2054" s="6">
        <f>COUNTIF(Analysis!$M$1:$M$3001,Analysis!$M2054)</f>
        <v>1</v>
      </c>
      <c r="Q2054" s="6" t="str">
        <f>IF(COUNTIF(Analysis!$M$2:$M$3001,Analysis!$M2054)&gt;1,"Duplicate","OK")</f>
        <v>OK</v>
      </c>
      <c r="R2054" s="6" t="str">
        <f t="shared" si="1"/>
        <v>2600-3600</v>
      </c>
      <c r="S2054" s="6">
        <f t="shared" si="2"/>
        <v>49</v>
      </c>
      <c r="T2054" s="6" t="str">
        <f t="shared" si="3"/>
        <v>Old</v>
      </c>
    </row>
    <row r="2055" ht="14.25" customHeight="1">
      <c r="A2055" s="5">
        <v>1061447.0</v>
      </c>
      <c r="B2055" s="6" t="s">
        <v>4683</v>
      </c>
      <c r="C2055" s="6" t="s">
        <v>29</v>
      </c>
      <c r="D2055" s="6">
        <v>59560.0</v>
      </c>
      <c r="E2055" s="6" t="s">
        <v>40</v>
      </c>
      <c r="F2055" s="6" t="s">
        <v>46</v>
      </c>
      <c r="G2055" s="6" t="s">
        <v>100</v>
      </c>
      <c r="H2055" s="7">
        <v>1629.0</v>
      </c>
      <c r="I2055" s="7">
        <v>9020.0</v>
      </c>
      <c r="J2055" s="6">
        <v>1977.0</v>
      </c>
      <c r="K2055" s="6">
        <v>52.0</v>
      </c>
      <c r="L2055" s="6" t="s">
        <v>95</v>
      </c>
      <c r="M2055" s="6" t="s">
        <v>4684</v>
      </c>
      <c r="N2055" s="6" t="s">
        <v>64</v>
      </c>
      <c r="O2055" s="6" t="s">
        <v>35</v>
      </c>
      <c r="P2055" s="6">
        <f>COUNTIF(Analysis!$M$1:$M$3001,Analysis!$M1161)</f>
        <v>1</v>
      </c>
      <c r="Q2055" s="6" t="str">
        <f>IF(COUNTIF(Analysis!$M$2:$M$3001,Analysis!$M1161)&gt;1,"Duplicate","OK")</f>
        <v>OK</v>
      </c>
      <c r="R2055" s="6" t="str">
        <f t="shared" si="1"/>
        <v>1600-2600</v>
      </c>
      <c r="S2055" s="6">
        <f t="shared" si="2"/>
        <v>49</v>
      </c>
      <c r="T2055" s="6" t="str">
        <f t="shared" si="3"/>
        <v>Old</v>
      </c>
    </row>
    <row r="2056" ht="14.25" customHeight="1">
      <c r="A2056" s="5">
        <v>740412.0</v>
      </c>
      <c r="B2056" s="6" t="s">
        <v>8261</v>
      </c>
      <c r="C2056" s="6" t="s">
        <v>18</v>
      </c>
      <c r="D2056" s="6">
        <v>68978.0</v>
      </c>
      <c r="E2056" s="6" t="s">
        <v>19</v>
      </c>
      <c r="F2056" s="6" t="s">
        <v>20</v>
      </c>
      <c r="G2056" s="6" t="s">
        <v>31</v>
      </c>
      <c r="H2056" s="7">
        <v>1490.0</v>
      </c>
      <c r="I2056" s="7">
        <v>5205.0</v>
      </c>
      <c r="J2056" s="6">
        <v>1958.0</v>
      </c>
      <c r="K2056" s="6">
        <v>63.0</v>
      </c>
      <c r="L2056" s="6" t="s">
        <v>141</v>
      </c>
      <c r="M2056" s="6" t="s">
        <v>8262</v>
      </c>
      <c r="N2056" s="6" t="s">
        <v>43</v>
      </c>
      <c r="O2056" s="6" t="s">
        <v>49</v>
      </c>
      <c r="P2056" s="6">
        <f>COUNTIF(Analysis!$M$1:$M$3001,Analysis!$M2056)</f>
        <v>1</v>
      </c>
      <c r="Q2056" s="6" t="str">
        <f>IF(COUNTIF(Analysis!$M$2:$M$3001,Analysis!$M2056)&gt;1,"Duplicate","OK")</f>
        <v>OK</v>
      </c>
      <c r="R2056" s="6" t="str">
        <f t="shared" si="1"/>
        <v>600-1600</v>
      </c>
      <c r="S2056" s="6">
        <f t="shared" si="2"/>
        <v>68</v>
      </c>
      <c r="T2056" s="6" t="str">
        <f t="shared" si="3"/>
        <v>Very Old</v>
      </c>
    </row>
    <row r="2057" ht="14.25" customHeight="1">
      <c r="A2057" s="5">
        <v>1063935.0</v>
      </c>
      <c r="B2057" s="6" t="s">
        <v>10611</v>
      </c>
      <c r="C2057" s="6" t="s">
        <v>29</v>
      </c>
      <c r="D2057" s="6">
        <v>35778.0</v>
      </c>
      <c r="E2057" s="6" t="s">
        <v>60</v>
      </c>
      <c r="F2057" s="6" t="s">
        <v>54</v>
      </c>
      <c r="G2057" s="6" t="s">
        <v>31</v>
      </c>
      <c r="H2057" s="7">
        <v>1387.0</v>
      </c>
      <c r="I2057" s="7">
        <v>4226.0</v>
      </c>
      <c r="J2057" s="6">
        <v>1998.0</v>
      </c>
      <c r="K2057" s="6">
        <v>30.0</v>
      </c>
      <c r="L2057" s="6" t="s">
        <v>32</v>
      </c>
      <c r="M2057" s="6" t="s">
        <v>10612</v>
      </c>
      <c r="N2057" s="6" t="s">
        <v>48</v>
      </c>
      <c r="O2057" s="6" t="s">
        <v>35</v>
      </c>
      <c r="P2057" s="6">
        <f>COUNTIF(Analysis!$M$1:$M$3001,Analysis!$M2644)</f>
        <v>1</v>
      </c>
      <c r="Q2057" s="6" t="str">
        <f>IF(COUNTIF(Analysis!$M$2:$M$3001,Analysis!$M2644)&gt;1,"Duplicate","OK")</f>
        <v>OK</v>
      </c>
      <c r="R2057" s="6" t="str">
        <f t="shared" si="1"/>
        <v>600-1600</v>
      </c>
      <c r="S2057" s="6">
        <f t="shared" si="2"/>
        <v>28</v>
      </c>
      <c r="T2057" s="6" t="str">
        <f t="shared" si="3"/>
        <v>Mid</v>
      </c>
    </row>
    <row r="2058" ht="14.25" customHeight="1">
      <c r="A2058" s="5">
        <v>1291690.0</v>
      </c>
      <c r="B2058" s="6" t="s">
        <v>8269</v>
      </c>
      <c r="C2058" s="6" t="s">
        <v>18</v>
      </c>
      <c r="D2058" s="6">
        <v>19349.0</v>
      </c>
      <c r="E2058" s="6" t="s">
        <v>77</v>
      </c>
      <c r="F2058" s="6" t="s">
        <v>41</v>
      </c>
      <c r="G2058" s="6" t="s">
        <v>100</v>
      </c>
      <c r="H2058" s="7">
        <v>1351.0</v>
      </c>
      <c r="I2058" s="7">
        <v>5582.0</v>
      </c>
      <c r="J2058" s="6">
        <v>1961.0</v>
      </c>
      <c r="K2058" s="6">
        <v>88.0</v>
      </c>
      <c r="L2058" s="6" t="s">
        <v>95</v>
      </c>
      <c r="M2058" s="6" t="s">
        <v>8270</v>
      </c>
      <c r="N2058" s="6" t="s">
        <v>24</v>
      </c>
      <c r="O2058" s="6" t="s">
        <v>35</v>
      </c>
      <c r="P2058" s="6">
        <f>COUNTIF(Analysis!$M$1:$M$3001,Analysis!$M2058)</f>
        <v>1</v>
      </c>
      <c r="Q2058" s="6" t="str">
        <f>IF(COUNTIF(Analysis!$M$2:$M$3001,Analysis!$M2058)&gt;1,"Duplicate","OK")</f>
        <v>OK</v>
      </c>
      <c r="R2058" s="6" t="str">
        <f t="shared" si="1"/>
        <v>600-1600</v>
      </c>
      <c r="S2058" s="6">
        <f t="shared" si="2"/>
        <v>65</v>
      </c>
      <c r="T2058" s="6" t="str">
        <f t="shared" si="3"/>
        <v>Very Old</v>
      </c>
    </row>
    <row r="2059" ht="14.25" customHeight="1">
      <c r="A2059" s="5">
        <v>240229.0</v>
      </c>
      <c r="B2059" s="6" t="s">
        <v>8273</v>
      </c>
      <c r="C2059" s="6" t="s">
        <v>53</v>
      </c>
      <c r="D2059" s="6">
        <v>48055.0</v>
      </c>
      <c r="E2059" s="6" t="s">
        <v>40</v>
      </c>
      <c r="F2059" s="6" t="s">
        <v>41</v>
      </c>
      <c r="G2059" s="6" t="s">
        <v>21</v>
      </c>
      <c r="H2059" s="7">
        <v>1051.0</v>
      </c>
      <c r="I2059" s="7">
        <v>7416.0</v>
      </c>
      <c r="J2059" s="6">
        <v>1974.0</v>
      </c>
      <c r="K2059" s="6">
        <v>69.0</v>
      </c>
      <c r="L2059" s="6" t="s">
        <v>22</v>
      </c>
      <c r="M2059" s="6" t="s">
        <v>8274</v>
      </c>
      <c r="N2059" s="6" t="s">
        <v>64</v>
      </c>
      <c r="O2059" s="6" t="s">
        <v>35</v>
      </c>
      <c r="P2059" s="6">
        <f>COUNTIF(Analysis!$M$1:$M$3001,Analysis!$M2059)</f>
        <v>1</v>
      </c>
      <c r="Q2059" s="6" t="str">
        <f>IF(COUNTIF(Analysis!$M$2:$M$3001,Analysis!$M2059)&gt;1,"Duplicate","OK")</f>
        <v>OK</v>
      </c>
      <c r="R2059" s="6" t="str">
        <f t="shared" si="1"/>
        <v>600-1600</v>
      </c>
      <c r="S2059" s="6">
        <f t="shared" si="2"/>
        <v>52</v>
      </c>
      <c r="T2059" s="6" t="str">
        <f t="shared" si="3"/>
        <v>Old</v>
      </c>
    </row>
    <row r="2060" ht="14.25" customHeight="1">
      <c r="A2060" s="5">
        <v>991672.0</v>
      </c>
      <c r="B2060" s="6" t="s">
        <v>8277</v>
      </c>
      <c r="C2060" s="6" t="s">
        <v>39</v>
      </c>
      <c r="D2060" s="6">
        <v>59736.0</v>
      </c>
      <c r="E2060" s="6" t="s">
        <v>30</v>
      </c>
      <c r="F2060" s="6" t="s">
        <v>20</v>
      </c>
      <c r="G2060" s="6" t="s">
        <v>21</v>
      </c>
      <c r="H2060" s="7">
        <v>602.0</v>
      </c>
      <c r="I2060" s="7">
        <v>9567.0</v>
      </c>
      <c r="J2060" s="6">
        <v>1977.0</v>
      </c>
      <c r="K2060" s="6">
        <v>45.0</v>
      </c>
      <c r="L2060" s="6" t="s">
        <v>62</v>
      </c>
      <c r="M2060" s="6" t="s">
        <v>8278</v>
      </c>
      <c r="N2060" s="6" t="s">
        <v>48</v>
      </c>
      <c r="O2060" s="6" t="s">
        <v>49</v>
      </c>
      <c r="P2060" s="6">
        <f>COUNTIF(Analysis!$M$1:$M$3001,Analysis!$M2060)</f>
        <v>1</v>
      </c>
      <c r="Q2060" s="6" t="str">
        <f>IF(COUNTIF(Analysis!$M$2:$M$3001,Analysis!$M2060)&gt;1,"Duplicate","OK")</f>
        <v>OK</v>
      </c>
      <c r="R2060" s="6" t="str">
        <f t="shared" si="1"/>
        <v>600-1600</v>
      </c>
      <c r="S2060" s="6">
        <f t="shared" si="2"/>
        <v>49</v>
      </c>
      <c r="T2060" s="6" t="str">
        <f t="shared" si="3"/>
        <v>Old</v>
      </c>
    </row>
    <row r="2061" ht="14.25" customHeight="1">
      <c r="A2061" s="5">
        <v>1134606.0</v>
      </c>
      <c r="B2061" s="6" t="s">
        <v>8281</v>
      </c>
      <c r="C2061" s="6" t="s">
        <v>76</v>
      </c>
      <c r="D2061" s="6">
        <v>74766.0</v>
      </c>
      <c r="E2061" s="6" t="s">
        <v>77</v>
      </c>
      <c r="F2061" s="6" t="s">
        <v>54</v>
      </c>
      <c r="G2061" s="6" t="s">
        <v>31</v>
      </c>
      <c r="H2061" s="7">
        <v>2236.0</v>
      </c>
      <c r="I2061" s="7">
        <v>3820.0</v>
      </c>
      <c r="J2061" s="6">
        <v>2016.0</v>
      </c>
      <c r="K2061" s="6">
        <v>88.0</v>
      </c>
      <c r="L2061" s="6" t="s">
        <v>141</v>
      </c>
      <c r="M2061" s="6" t="s">
        <v>8282</v>
      </c>
      <c r="N2061" s="6" t="s">
        <v>24</v>
      </c>
      <c r="O2061" s="6" t="s">
        <v>49</v>
      </c>
      <c r="P2061" s="6">
        <f>COUNTIF(Analysis!$M$1:$M$3001,Analysis!$M2061)</f>
        <v>1</v>
      </c>
      <c r="Q2061" s="6" t="str">
        <f>IF(COUNTIF(Analysis!$M$2:$M$3001,Analysis!$M2061)&gt;1,"Duplicate","OK")</f>
        <v>OK</v>
      </c>
      <c r="R2061" s="6" t="str">
        <f t="shared" si="1"/>
        <v>1600-2600</v>
      </c>
      <c r="S2061" s="6">
        <f t="shared" si="2"/>
        <v>10</v>
      </c>
      <c r="T2061" s="6" t="str">
        <f t="shared" si="3"/>
        <v>New</v>
      </c>
    </row>
    <row r="2062" ht="14.25" customHeight="1">
      <c r="A2062" s="5">
        <v>1065109.0</v>
      </c>
      <c r="B2062" s="6" t="s">
        <v>9335</v>
      </c>
      <c r="C2062" s="6" t="s">
        <v>29</v>
      </c>
      <c r="D2062" s="6">
        <v>90049.0</v>
      </c>
      <c r="E2062" s="6" t="s">
        <v>19</v>
      </c>
      <c r="F2062" s="6" t="s">
        <v>94</v>
      </c>
      <c r="G2062" s="6" t="s">
        <v>31</v>
      </c>
      <c r="H2062" s="7">
        <v>3972.0</v>
      </c>
      <c r="I2062" s="7">
        <v>5149.0</v>
      </c>
      <c r="J2062" s="6">
        <v>1977.0</v>
      </c>
      <c r="K2062" s="6">
        <v>58.0</v>
      </c>
      <c r="L2062" s="6" t="s">
        <v>141</v>
      </c>
      <c r="M2062" s="6" t="s">
        <v>9336</v>
      </c>
      <c r="N2062" s="6" t="s">
        <v>24</v>
      </c>
      <c r="O2062" s="6" t="s">
        <v>35</v>
      </c>
      <c r="P2062" s="6">
        <f>COUNTIF(Analysis!$M$1:$M$3001,Analysis!$M2325)</f>
        <v>1</v>
      </c>
      <c r="Q2062" s="6" t="str">
        <f>IF(COUNTIF(Analysis!$M$2:$M$3001,Analysis!$M2325)&gt;1,"Duplicate","OK")</f>
        <v>OK</v>
      </c>
      <c r="R2062" s="6" t="str">
        <f t="shared" si="1"/>
        <v>3600+</v>
      </c>
      <c r="S2062" s="6">
        <f t="shared" si="2"/>
        <v>49</v>
      </c>
      <c r="T2062" s="6" t="str">
        <f t="shared" si="3"/>
        <v>Old</v>
      </c>
    </row>
    <row r="2063" ht="14.25" customHeight="1">
      <c r="A2063" s="5">
        <v>1065578.0</v>
      </c>
      <c r="B2063" s="6" t="s">
        <v>11998</v>
      </c>
      <c r="C2063" s="6" t="s">
        <v>29</v>
      </c>
      <c r="D2063" s="6">
        <v>12390.0</v>
      </c>
      <c r="E2063" s="6" t="s">
        <v>77</v>
      </c>
      <c r="F2063" s="6" t="s">
        <v>46</v>
      </c>
      <c r="G2063" s="6" t="s">
        <v>100</v>
      </c>
      <c r="H2063" s="7">
        <v>3062.0</v>
      </c>
      <c r="I2063" s="7">
        <v>1885.0</v>
      </c>
      <c r="J2063" s="6">
        <v>2005.0</v>
      </c>
      <c r="K2063" s="6">
        <v>109.0</v>
      </c>
      <c r="L2063" s="6" t="s">
        <v>141</v>
      </c>
      <c r="M2063" s="6" t="s">
        <v>11999</v>
      </c>
      <c r="N2063" s="6" t="s">
        <v>43</v>
      </c>
      <c r="O2063" s="6" t="s">
        <v>35</v>
      </c>
      <c r="P2063" s="6">
        <f>COUNTIF(Analysis!$M$1:$M$3001,Analysis!$M2991)</f>
        <v>1</v>
      </c>
      <c r="Q2063" s="6" t="str">
        <f>IF(COUNTIF(Analysis!$M$2:$M$3001,Analysis!$M2991)&gt;1,"Duplicate","OK")</f>
        <v>OK</v>
      </c>
      <c r="R2063" s="6" t="str">
        <f t="shared" si="1"/>
        <v>2600-3600</v>
      </c>
      <c r="S2063" s="6">
        <f t="shared" si="2"/>
        <v>21</v>
      </c>
      <c r="T2063" s="6" t="str">
        <f t="shared" si="3"/>
        <v>Mid</v>
      </c>
    </row>
    <row r="2064" ht="14.25" customHeight="1">
      <c r="A2064" s="5">
        <v>1327823.0</v>
      </c>
      <c r="B2064" s="6" t="s">
        <v>8293</v>
      </c>
      <c r="C2064" s="6" t="s">
        <v>53</v>
      </c>
      <c r="D2064" s="6">
        <v>41731.0</v>
      </c>
      <c r="E2064" s="6" t="s">
        <v>30</v>
      </c>
      <c r="F2064" s="6" t="s">
        <v>94</v>
      </c>
      <c r="G2064" s="6" t="s">
        <v>31</v>
      </c>
      <c r="H2064" s="7">
        <v>1198.0</v>
      </c>
      <c r="I2064" s="7">
        <v>9580.0</v>
      </c>
      <c r="J2064" s="6">
        <v>1999.0</v>
      </c>
      <c r="K2064" s="6">
        <v>95.0</v>
      </c>
      <c r="L2064" s="6" t="s">
        <v>141</v>
      </c>
      <c r="M2064" s="6" t="s">
        <v>8294</v>
      </c>
      <c r="N2064" s="6" t="s">
        <v>43</v>
      </c>
      <c r="O2064" s="6" t="s">
        <v>35</v>
      </c>
      <c r="P2064" s="6">
        <f>COUNTIF(Analysis!$M$1:$M$3001,Analysis!$M2064)</f>
        <v>1</v>
      </c>
      <c r="Q2064" s="6" t="str">
        <f>IF(COUNTIF(Analysis!$M$2:$M$3001,Analysis!$M2064)&gt;1,"Duplicate","OK")</f>
        <v>OK</v>
      </c>
      <c r="R2064" s="6" t="str">
        <f t="shared" si="1"/>
        <v>600-1600</v>
      </c>
      <c r="S2064" s="6">
        <f t="shared" si="2"/>
        <v>27</v>
      </c>
      <c r="T2064" s="6" t="str">
        <f t="shared" si="3"/>
        <v>Mid</v>
      </c>
    </row>
    <row r="2065" ht="14.25" customHeight="1">
      <c r="A2065" s="5">
        <v>1246677.0</v>
      </c>
      <c r="B2065" s="6" t="s">
        <v>8297</v>
      </c>
      <c r="C2065" s="6" t="s">
        <v>76</v>
      </c>
      <c r="D2065" s="6">
        <v>93817.0</v>
      </c>
      <c r="E2065" s="6" t="s">
        <v>77</v>
      </c>
      <c r="F2065" s="6" t="s">
        <v>54</v>
      </c>
      <c r="G2065" s="6" t="s">
        <v>21</v>
      </c>
      <c r="H2065" s="7">
        <v>766.0</v>
      </c>
      <c r="I2065" s="7">
        <v>6790.0</v>
      </c>
      <c r="J2065" s="6">
        <v>2014.0</v>
      </c>
      <c r="K2065" s="6">
        <v>69.0</v>
      </c>
      <c r="L2065" s="6" t="s">
        <v>141</v>
      </c>
      <c r="M2065" s="6" t="s">
        <v>8298</v>
      </c>
      <c r="N2065" s="6" t="s">
        <v>24</v>
      </c>
      <c r="O2065" s="6" t="s">
        <v>49</v>
      </c>
      <c r="P2065" s="6">
        <f>COUNTIF(Analysis!$M$1:$M$3001,Analysis!$M2065)</f>
        <v>1</v>
      </c>
      <c r="Q2065" s="6" t="str">
        <f>IF(COUNTIF(Analysis!$M$2:$M$3001,Analysis!$M2065)&gt;1,"Duplicate","OK")</f>
        <v>OK</v>
      </c>
      <c r="R2065" s="6" t="str">
        <f t="shared" si="1"/>
        <v>600-1600</v>
      </c>
      <c r="S2065" s="6">
        <f t="shared" si="2"/>
        <v>12</v>
      </c>
      <c r="T2065" s="6" t="str">
        <f t="shared" si="3"/>
        <v>Mid</v>
      </c>
    </row>
    <row r="2066" ht="14.25" customHeight="1">
      <c r="A2066" s="5">
        <v>1065686.0</v>
      </c>
      <c r="B2066" s="6" t="s">
        <v>5846</v>
      </c>
      <c r="C2066" s="6" t="s">
        <v>29</v>
      </c>
      <c r="D2066" s="6">
        <v>92161.0</v>
      </c>
      <c r="E2066" s="6" t="s">
        <v>19</v>
      </c>
      <c r="F2066" s="6" t="s">
        <v>94</v>
      </c>
      <c r="G2066" s="6" t="s">
        <v>55</v>
      </c>
      <c r="H2066" s="7">
        <v>3292.0</v>
      </c>
      <c r="I2066" s="7">
        <v>7374.0</v>
      </c>
      <c r="J2066" s="6">
        <v>1961.0</v>
      </c>
      <c r="K2066" s="6">
        <v>74.0</v>
      </c>
      <c r="L2066" s="6" t="s">
        <v>95</v>
      </c>
      <c r="M2066" s="6" t="s">
        <v>5847</v>
      </c>
      <c r="N2066" s="6" t="s">
        <v>64</v>
      </c>
      <c r="O2066" s="6" t="s">
        <v>35</v>
      </c>
      <c r="P2066" s="6">
        <f>COUNTIF(Analysis!$M$1:$M$3001,Analysis!$M1452)</f>
        <v>1</v>
      </c>
      <c r="Q2066" s="6" t="str">
        <f>IF(COUNTIF(Analysis!$M$2:$M$3001,Analysis!$M1452)&gt;1,"Duplicate","OK")</f>
        <v>OK</v>
      </c>
      <c r="R2066" s="6" t="str">
        <f t="shared" si="1"/>
        <v>2600-3600</v>
      </c>
      <c r="S2066" s="6">
        <f t="shared" si="2"/>
        <v>65</v>
      </c>
      <c r="T2066" s="6" t="str">
        <f t="shared" si="3"/>
        <v>Very Old</v>
      </c>
    </row>
    <row r="2067" ht="14.25" customHeight="1">
      <c r="A2067" s="5">
        <v>1107780.0</v>
      </c>
      <c r="B2067" s="6" t="s">
        <v>8305</v>
      </c>
      <c r="C2067" s="6" t="s">
        <v>53</v>
      </c>
      <c r="D2067" s="6">
        <v>71445.0</v>
      </c>
      <c r="E2067" s="6" t="s">
        <v>77</v>
      </c>
      <c r="F2067" s="6" t="s">
        <v>41</v>
      </c>
      <c r="G2067" s="6" t="s">
        <v>100</v>
      </c>
      <c r="H2067" s="7">
        <v>1147.0</v>
      </c>
      <c r="I2067" s="7">
        <v>3928.0</v>
      </c>
      <c r="J2067" s="6">
        <v>1992.0</v>
      </c>
      <c r="K2067" s="6">
        <v>92.0</v>
      </c>
      <c r="L2067" s="6" t="s">
        <v>22</v>
      </c>
      <c r="M2067" s="6" t="s">
        <v>8306</v>
      </c>
      <c r="N2067" s="6" t="s">
        <v>34</v>
      </c>
      <c r="O2067" s="6" t="s">
        <v>35</v>
      </c>
      <c r="P2067" s="6">
        <f>COUNTIF(Analysis!$M$1:$M$3001,Analysis!$M2067)</f>
        <v>1</v>
      </c>
      <c r="Q2067" s="6" t="str">
        <f>IF(COUNTIF(Analysis!$M$2:$M$3001,Analysis!$M2067)&gt;1,"Duplicate","OK")</f>
        <v>OK</v>
      </c>
      <c r="R2067" s="6" t="str">
        <f t="shared" si="1"/>
        <v>600-1600</v>
      </c>
      <c r="S2067" s="6">
        <f t="shared" si="2"/>
        <v>34</v>
      </c>
      <c r="T2067" s="6" t="str">
        <f t="shared" si="3"/>
        <v>Old</v>
      </c>
    </row>
    <row r="2068" ht="14.25" customHeight="1">
      <c r="A2068" s="5">
        <v>144023.0</v>
      </c>
      <c r="B2068" s="6" t="s">
        <v>8309</v>
      </c>
      <c r="C2068" s="6" t="s">
        <v>18</v>
      </c>
      <c r="D2068" s="6">
        <v>30564.0</v>
      </c>
      <c r="E2068" s="6" t="s">
        <v>40</v>
      </c>
      <c r="F2068" s="6" t="s">
        <v>41</v>
      </c>
      <c r="G2068" s="6" t="s">
        <v>100</v>
      </c>
      <c r="H2068" s="7">
        <v>2855.0</v>
      </c>
      <c r="I2068" s="7">
        <v>6831.0</v>
      </c>
      <c r="J2068" s="6">
        <v>1987.0</v>
      </c>
      <c r="K2068" s="6">
        <v>115.0</v>
      </c>
      <c r="L2068" s="6" t="s">
        <v>32</v>
      </c>
      <c r="M2068" s="6" t="s">
        <v>8310</v>
      </c>
      <c r="N2068" s="6" t="s">
        <v>43</v>
      </c>
      <c r="O2068" s="6" t="s">
        <v>35</v>
      </c>
      <c r="P2068" s="6">
        <f>COUNTIF(Analysis!$M$1:$M$3001,Analysis!$M2068)</f>
        <v>1</v>
      </c>
      <c r="Q2068" s="6" t="str">
        <f>IF(COUNTIF(Analysis!$M$2:$M$3001,Analysis!$M2068)&gt;1,"Duplicate","OK")</f>
        <v>OK</v>
      </c>
      <c r="R2068" s="6" t="str">
        <f t="shared" si="1"/>
        <v>2600-3600</v>
      </c>
      <c r="S2068" s="6">
        <f t="shared" si="2"/>
        <v>39</v>
      </c>
      <c r="T2068" s="6" t="str">
        <f t="shared" si="3"/>
        <v>Old</v>
      </c>
    </row>
    <row r="2069" ht="14.25" customHeight="1">
      <c r="A2069" s="5">
        <v>1387365.0</v>
      </c>
      <c r="B2069" s="6" t="s">
        <v>8312</v>
      </c>
      <c r="C2069" s="6" t="s">
        <v>76</v>
      </c>
      <c r="D2069" s="6">
        <v>76206.0</v>
      </c>
      <c r="E2069" s="6" t="s">
        <v>30</v>
      </c>
      <c r="F2069" s="6" t="s">
        <v>41</v>
      </c>
      <c r="G2069" s="6" t="s">
        <v>100</v>
      </c>
      <c r="H2069" s="7">
        <v>1017.0</v>
      </c>
      <c r="I2069" s="7">
        <v>3635.0</v>
      </c>
      <c r="J2069" s="6">
        <v>2021.0</v>
      </c>
      <c r="K2069" s="6">
        <v>37.0</v>
      </c>
      <c r="L2069" s="6" t="s">
        <v>22</v>
      </c>
      <c r="M2069" s="6" t="s">
        <v>8313</v>
      </c>
      <c r="N2069" s="6" t="s">
        <v>64</v>
      </c>
      <c r="O2069" s="6" t="s">
        <v>35</v>
      </c>
      <c r="P2069" s="6">
        <f>COUNTIF(Analysis!$M$1:$M$3001,Analysis!$M2069)</f>
        <v>1</v>
      </c>
      <c r="Q2069" s="6" t="str">
        <f>IF(COUNTIF(Analysis!$M$2:$M$3001,Analysis!$M2069)&gt;1,"Duplicate","OK")</f>
        <v>OK</v>
      </c>
      <c r="R2069" s="6" t="str">
        <f t="shared" si="1"/>
        <v>600-1600</v>
      </c>
      <c r="S2069" s="6">
        <f t="shared" si="2"/>
        <v>5</v>
      </c>
      <c r="T2069" s="6" t="str">
        <f t="shared" si="3"/>
        <v>New</v>
      </c>
    </row>
    <row r="2070" ht="14.25" customHeight="1">
      <c r="A2070" s="5">
        <v>1305625.0</v>
      </c>
      <c r="B2070" s="6" t="s">
        <v>8316</v>
      </c>
      <c r="C2070" s="6" t="s">
        <v>76</v>
      </c>
      <c r="D2070" s="6">
        <v>71220.0</v>
      </c>
      <c r="E2070" s="6" t="s">
        <v>60</v>
      </c>
      <c r="F2070" s="6" t="s">
        <v>46</v>
      </c>
      <c r="G2070" s="6" t="s">
        <v>55</v>
      </c>
      <c r="H2070" s="7">
        <v>3604.0</v>
      </c>
      <c r="I2070" s="7">
        <v>2479.0</v>
      </c>
      <c r="J2070" s="6">
        <v>1992.0</v>
      </c>
      <c r="K2070" s="6">
        <v>9.0</v>
      </c>
      <c r="L2070" s="6" t="s">
        <v>32</v>
      </c>
      <c r="M2070" s="6" t="s">
        <v>8317</v>
      </c>
      <c r="N2070" s="6" t="s">
        <v>34</v>
      </c>
      <c r="O2070" s="6" t="s">
        <v>49</v>
      </c>
      <c r="P2070" s="6">
        <f>COUNTIF(Analysis!$M$1:$M$3001,Analysis!$M2070)</f>
        <v>1</v>
      </c>
      <c r="Q2070" s="6" t="str">
        <f>IF(COUNTIF(Analysis!$M$2:$M$3001,Analysis!$M2070)&gt;1,"Duplicate","OK")</f>
        <v>OK</v>
      </c>
      <c r="R2070" s="6" t="str">
        <f t="shared" si="1"/>
        <v>3600+</v>
      </c>
      <c r="S2070" s="6">
        <f t="shared" si="2"/>
        <v>34</v>
      </c>
      <c r="T2070" s="6" t="str">
        <f t="shared" si="3"/>
        <v>Old</v>
      </c>
    </row>
    <row r="2071" ht="14.25" customHeight="1">
      <c r="A2071" s="5">
        <v>270245.0</v>
      </c>
      <c r="B2071" s="6" t="s">
        <v>8320</v>
      </c>
      <c r="C2071" s="6" t="s">
        <v>53</v>
      </c>
      <c r="D2071" s="6">
        <v>73252.0</v>
      </c>
      <c r="E2071" s="6" t="s">
        <v>60</v>
      </c>
      <c r="F2071" s="6" t="s">
        <v>61</v>
      </c>
      <c r="G2071" s="6" t="s">
        <v>55</v>
      </c>
      <c r="H2071" s="7">
        <v>3727.0</v>
      </c>
      <c r="I2071" s="7">
        <v>6955.0</v>
      </c>
      <c r="J2071" s="6">
        <v>1951.0</v>
      </c>
      <c r="K2071" s="6">
        <v>55.0</v>
      </c>
      <c r="L2071" s="6" t="s">
        <v>32</v>
      </c>
      <c r="M2071" s="6" t="s">
        <v>8321</v>
      </c>
      <c r="N2071" s="6" t="s">
        <v>24</v>
      </c>
      <c r="O2071" s="6" t="s">
        <v>25</v>
      </c>
      <c r="P2071" s="6">
        <f>COUNTIF(Analysis!$M$1:$M$3001,Analysis!$M2071)</f>
        <v>1</v>
      </c>
      <c r="Q2071" s="6" t="str">
        <f>IF(COUNTIF(Analysis!$M$2:$M$3001,Analysis!$M2071)&gt;1,"Duplicate","OK")</f>
        <v>OK</v>
      </c>
      <c r="R2071" s="6" t="str">
        <f t="shared" si="1"/>
        <v>3600+</v>
      </c>
      <c r="S2071" s="6">
        <f t="shared" si="2"/>
        <v>75</v>
      </c>
      <c r="T2071" s="6" t="str">
        <f t="shared" si="3"/>
        <v>Very Old</v>
      </c>
    </row>
    <row r="2072" ht="14.25" customHeight="1">
      <c r="A2072" s="5">
        <v>1445658.0</v>
      </c>
      <c r="B2072" s="6" t="s">
        <v>8324</v>
      </c>
      <c r="C2072" s="6" t="s">
        <v>39</v>
      </c>
      <c r="D2072" s="6">
        <v>57265.0</v>
      </c>
      <c r="E2072" s="6" t="s">
        <v>30</v>
      </c>
      <c r="F2072" s="6" t="s">
        <v>54</v>
      </c>
      <c r="G2072" s="6" t="s">
        <v>55</v>
      </c>
      <c r="H2072" s="7">
        <v>1424.0</v>
      </c>
      <c r="I2072" s="7">
        <v>1967.0</v>
      </c>
      <c r="J2072" s="6">
        <v>1962.0</v>
      </c>
      <c r="K2072" s="6">
        <v>63.0</v>
      </c>
      <c r="L2072" s="6" t="s">
        <v>32</v>
      </c>
      <c r="M2072" s="6" t="s">
        <v>8325</v>
      </c>
      <c r="N2072" s="6" t="s">
        <v>43</v>
      </c>
      <c r="O2072" s="6" t="s">
        <v>25</v>
      </c>
      <c r="P2072" s="6">
        <f>COUNTIF(Analysis!$M$1:$M$3001,Analysis!$M2072)</f>
        <v>1</v>
      </c>
      <c r="Q2072" s="6" t="str">
        <f>IF(COUNTIF(Analysis!$M$2:$M$3001,Analysis!$M2072)&gt;1,"Duplicate","OK")</f>
        <v>OK</v>
      </c>
      <c r="R2072" s="6" t="str">
        <f t="shared" si="1"/>
        <v>600-1600</v>
      </c>
      <c r="S2072" s="6">
        <f t="shared" si="2"/>
        <v>64</v>
      </c>
      <c r="T2072" s="6" t="str">
        <f t="shared" si="3"/>
        <v>Very Old</v>
      </c>
    </row>
    <row r="2073" ht="14.25" customHeight="1">
      <c r="A2073" s="5">
        <v>341634.0</v>
      </c>
      <c r="B2073" s="6" t="s">
        <v>8328</v>
      </c>
      <c r="C2073" s="6" t="s">
        <v>53</v>
      </c>
      <c r="D2073" s="6">
        <v>54611.0</v>
      </c>
      <c r="E2073" s="6" t="s">
        <v>19</v>
      </c>
      <c r="F2073" s="6" t="s">
        <v>54</v>
      </c>
      <c r="G2073" s="6" t="s">
        <v>55</v>
      </c>
      <c r="H2073" s="7">
        <v>3472.0</v>
      </c>
      <c r="I2073" s="7">
        <v>1393.0</v>
      </c>
      <c r="J2073" s="6">
        <v>1984.0</v>
      </c>
      <c r="K2073" s="6">
        <v>47.0</v>
      </c>
      <c r="L2073" s="6" t="s">
        <v>141</v>
      </c>
      <c r="M2073" s="6" t="s">
        <v>8329</v>
      </c>
      <c r="N2073" s="6" t="s">
        <v>64</v>
      </c>
      <c r="O2073" s="6" t="s">
        <v>25</v>
      </c>
      <c r="P2073" s="6">
        <f>COUNTIF(Analysis!$M$1:$M$3001,Analysis!$M2073)</f>
        <v>1</v>
      </c>
      <c r="Q2073" s="6" t="str">
        <f>IF(COUNTIF(Analysis!$M$2:$M$3001,Analysis!$M2073)&gt;1,"Duplicate","OK")</f>
        <v>OK</v>
      </c>
      <c r="R2073" s="6" t="str">
        <f t="shared" si="1"/>
        <v>2600-3600</v>
      </c>
      <c r="S2073" s="6">
        <f t="shared" si="2"/>
        <v>42</v>
      </c>
      <c r="T2073" s="6" t="str">
        <f t="shared" si="3"/>
        <v>Old</v>
      </c>
    </row>
    <row r="2074" ht="14.25" customHeight="1">
      <c r="A2074" s="5">
        <v>1321533.0</v>
      </c>
      <c r="B2074" s="6" t="s">
        <v>8332</v>
      </c>
      <c r="C2074" s="6" t="s">
        <v>76</v>
      </c>
      <c r="D2074" s="6">
        <v>62332.0</v>
      </c>
      <c r="E2074" s="6" t="s">
        <v>77</v>
      </c>
      <c r="F2074" s="6" t="s">
        <v>46</v>
      </c>
      <c r="G2074" s="6" t="s">
        <v>21</v>
      </c>
      <c r="H2074" s="7">
        <v>2908.0</v>
      </c>
      <c r="I2074" s="7">
        <v>4547.0</v>
      </c>
      <c r="J2074" s="6">
        <v>2022.0</v>
      </c>
      <c r="K2074" s="6">
        <v>43.0</v>
      </c>
      <c r="L2074" s="6" t="s">
        <v>32</v>
      </c>
      <c r="M2074" s="6" t="s">
        <v>8333</v>
      </c>
      <c r="N2074" s="6" t="s">
        <v>48</v>
      </c>
      <c r="O2074" s="6" t="s">
        <v>25</v>
      </c>
      <c r="P2074" s="6">
        <f>COUNTIF(Analysis!$M$1:$M$3001,Analysis!$M2074)</f>
        <v>1</v>
      </c>
      <c r="Q2074" s="6" t="str">
        <f>IF(COUNTIF(Analysis!$M$2:$M$3001,Analysis!$M2074)&gt;1,"Duplicate","OK")</f>
        <v>OK</v>
      </c>
      <c r="R2074" s="6" t="str">
        <f t="shared" si="1"/>
        <v>2600-3600</v>
      </c>
      <c r="S2074" s="6">
        <f t="shared" si="2"/>
        <v>4</v>
      </c>
      <c r="T2074" s="6" t="str">
        <f t="shared" si="3"/>
        <v>New</v>
      </c>
    </row>
    <row r="2075" ht="14.25" customHeight="1">
      <c r="A2075" s="5">
        <v>377258.0</v>
      </c>
      <c r="B2075" s="6" t="s">
        <v>8336</v>
      </c>
      <c r="C2075" s="6" t="s">
        <v>76</v>
      </c>
      <c r="D2075" s="6">
        <v>42736.0</v>
      </c>
      <c r="E2075" s="6" t="s">
        <v>19</v>
      </c>
      <c r="F2075" s="6" t="s">
        <v>41</v>
      </c>
      <c r="G2075" s="6" t="s">
        <v>55</v>
      </c>
      <c r="H2075" s="7">
        <v>3769.0</v>
      </c>
      <c r="I2075" s="7">
        <v>7471.0</v>
      </c>
      <c r="J2075" s="6">
        <v>1965.0</v>
      </c>
      <c r="K2075" s="6">
        <v>11.0</v>
      </c>
      <c r="L2075" s="6" t="s">
        <v>22</v>
      </c>
      <c r="M2075" s="6" t="s">
        <v>8337</v>
      </c>
      <c r="N2075" s="6" t="s">
        <v>43</v>
      </c>
      <c r="O2075" s="6" t="s">
        <v>35</v>
      </c>
      <c r="P2075" s="6">
        <f>COUNTIF(Analysis!$M$1:$M$3001,Analysis!$M2075)</f>
        <v>1</v>
      </c>
      <c r="Q2075" s="6" t="str">
        <f>IF(COUNTIF(Analysis!$M$2:$M$3001,Analysis!$M2075)&gt;1,"Duplicate","OK")</f>
        <v>OK</v>
      </c>
      <c r="R2075" s="6" t="str">
        <f t="shared" si="1"/>
        <v>3600+</v>
      </c>
      <c r="S2075" s="6">
        <f t="shared" si="2"/>
        <v>61</v>
      </c>
      <c r="T2075" s="6" t="str">
        <f t="shared" si="3"/>
        <v>Very Old</v>
      </c>
    </row>
    <row r="2076" ht="14.25" customHeight="1">
      <c r="A2076" s="5">
        <v>581754.0</v>
      </c>
      <c r="B2076" s="6" t="s">
        <v>8340</v>
      </c>
      <c r="C2076" s="6" t="s">
        <v>39</v>
      </c>
      <c r="D2076" s="6">
        <v>37877.0</v>
      </c>
      <c r="E2076" s="6" t="s">
        <v>77</v>
      </c>
      <c r="F2076" s="6" t="s">
        <v>54</v>
      </c>
      <c r="G2076" s="6" t="s">
        <v>55</v>
      </c>
      <c r="H2076" s="7">
        <v>2117.0</v>
      </c>
      <c r="I2076" s="7">
        <v>1249.0</v>
      </c>
      <c r="J2076" s="6">
        <v>1953.0</v>
      </c>
      <c r="K2076" s="6">
        <v>112.0</v>
      </c>
      <c r="L2076" s="6" t="s">
        <v>95</v>
      </c>
      <c r="M2076" s="6" t="s">
        <v>8341</v>
      </c>
      <c r="N2076" s="6" t="s">
        <v>48</v>
      </c>
      <c r="O2076" s="6" t="s">
        <v>25</v>
      </c>
      <c r="P2076" s="6">
        <f>COUNTIF(Analysis!$M$1:$M$3001,Analysis!$M2076)</f>
        <v>1</v>
      </c>
      <c r="Q2076" s="6" t="str">
        <f>IF(COUNTIF(Analysis!$M$2:$M$3001,Analysis!$M2076)&gt;1,"Duplicate","OK")</f>
        <v>OK</v>
      </c>
      <c r="R2076" s="6" t="str">
        <f t="shared" si="1"/>
        <v>1600-2600</v>
      </c>
      <c r="S2076" s="6">
        <f t="shared" si="2"/>
        <v>73</v>
      </c>
      <c r="T2076" s="6" t="str">
        <f t="shared" si="3"/>
        <v>Very Old</v>
      </c>
    </row>
    <row r="2077" ht="14.25" customHeight="1">
      <c r="A2077" s="5">
        <v>1127603.0</v>
      </c>
      <c r="B2077" s="6" t="s">
        <v>8344</v>
      </c>
      <c r="C2077" s="6" t="s">
        <v>39</v>
      </c>
      <c r="D2077" s="6">
        <v>30883.0</v>
      </c>
      <c r="E2077" s="6" t="s">
        <v>40</v>
      </c>
      <c r="F2077" s="6" t="s">
        <v>20</v>
      </c>
      <c r="G2077" s="6" t="s">
        <v>55</v>
      </c>
      <c r="H2077" s="7">
        <v>1817.0</v>
      </c>
      <c r="I2077" s="7">
        <v>5191.0</v>
      </c>
      <c r="J2077" s="6">
        <v>1990.0</v>
      </c>
      <c r="K2077" s="6">
        <v>39.0</v>
      </c>
      <c r="L2077" s="6" t="s">
        <v>22</v>
      </c>
      <c r="M2077" s="6" t="s">
        <v>8345</v>
      </c>
      <c r="N2077" s="6" t="s">
        <v>48</v>
      </c>
      <c r="O2077" s="6" t="s">
        <v>49</v>
      </c>
      <c r="P2077" s="6">
        <f>COUNTIF(Analysis!$M$1:$M$3001,Analysis!$M2077)</f>
        <v>1</v>
      </c>
      <c r="Q2077" s="6" t="str">
        <f>IF(COUNTIF(Analysis!$M$2:$M$3001,Analysis!$M2077)&gt;1,"Duplicate","OK")</f>
        <v>OK</v>
      </c>
      <c r="R2077" s="6" t="str">
        <f t="shared" si="1"/>
        <v>1600-2600</v>
      </c>
      <c r="S2077" s="6">
        <f t="shared" si="2"/>
        <v>36</v>
      </c>
      <c r="T2077" s="6" t="str">
        <f t="shared" si="3"/>
        <v>Old</v>
      </c>
    </row>
    <row r="2078" ht="14.25" customHeight="1">
      <c r="A2078" s="5">
        <v>989898.0</v>
      </c>
      <c r="B2078" s="6" t="s">
        <v>8348</v>
      </c>
      <c r="C2078" s="6" t="s">
        <v>76</v>
      </c>
      <c r="D2078" s="6">
        <v>58605.0</v>
      </c>
      <c r="E2078" s="6" t="s">
        <v>30</v>
      </c>
      <c r="F2078" s="6" t="s">
        <v>54</v>
      </c>
      <c r="G2078" s="6" t="s">
        <v>55</v>
      </c>
      <c r="H2078" s="7">
        <v>1567.0</v>
      </c>
      <c r="I2078" s="7">
        <v>1551.0</v>
      </c>
      <c r="J2078" s="6">
        <v>2011.0</v>
      </c>
      <c r="K2078" s="6">
        <v>118.0</v>
      </c>
      <c r="L2078" s="6" t="s">
        <v>32</v>
      </c>
      <c r="M2078" s="6" t="s">
        <v>8349</v>
      </c>
      <c r="N2078" s="6" t="s">
        <v>34</v>
      </c>
      <c r="O2078" s="6" t="s">
        <v>49</v>
      </c>
      <c r="P2078" s="6">
        <f>COUNTIF(Analysis!$M$1:$M$3001,Analysis!$M2078)</f>
        <v>1</v>
      </c>
      <c r="Q2078" s="6" t="str">
        <f>IF(COUNTIF(Analysis!$M$2:$M$3001,Analysis!$M2078)&gt;1,"Duplicate","OK")</f>
        <v>OK</v>
      </c>
      <c r="R2078" s="6" t="str">
        <f t="shared" si="1"/>
        <v>600-1600</v>
      </c>
      <c r="S2078" s="6">
        <f t="shared" si="2"/>
        <v>15</v>
      </c>
      <c r="T2078" s="6" t="str">
        <f t="shared" si="3"/>
        <v>Mid</v>
      </c>
    </row>
    <row r="2079" ht="14.25" customHeight="1">
      <c r="A2079" s="5">
        <v>1066882.0</v>
      </c>
      <c r="B2079" s="6" t="s">
        <v>9415</v>
      </c>
      <c r="C2079" s="6" t="s">
        <v>29</v>
      </c>
      <c r="D2079" s="6">
        <v>98695.0</v>
      </c>
      <c r="E2079" s="6" t="s">
        <v>19</v>
      </c>
      <c r="F2079" s="6" t="s">
        <v>20</v>
      </c>
      <c r="G2079" s="6" t="s">
        <v>55</v>
      </c>
      <c r="H2079" s="7">
        <v>2398.0</v>
      </c>
      <c r="I2079" s="7">
        <v>9644.0</v>
      </c>
      <c r="J2079" s="6">
        <v>2013.0</v>
      </c>
      <c r="K2079" s="6">
        <v>2.0</v>
      </c>
      <c r="L2079" s="6" t="s">
        <v>141</v>
      </c>
      <c r="M2079" s="6" t="s">
        <v>9416</v>
      </c>
      <c r="N2079" s="6" t="s">
        <v>24</v>
      </c>
      <c r="O2079" s="6" t="s">
        <v>35</v>
      </c>
      <c r="P2079" s="6">
        <f>COUNTIF(Analysis!$M$1:$M$3001,Analysis!$M2345)</f>
        <v>1</v>
      </c>
      <c r="Q2079" s="6" t="str">
        <f>IF(COUNTIF(Analysis!$M$2:$M$3001,Analysis!$M2345)&gt;1,"Duplicate","OK")</f>
        <v>OK</v>
      </c>
      <c r="R2079" s="6" t="str">
        <f t="shared" si="1"/>
        <v>1600-2600</v>
      </c>
      <c r="S2079" s="6">
        <f t="shared" si="2"/>
        <v>13</v>
      </c>
      <c r="T2079" s="6" t="str">
        <f t="shared" si="3"/>
        <v>Mid</v>
      </c>
    </row>
    <row r="2080" ht="14.25" customHeight="1">
      <c r="A2080" s="5">
        <v>264357.0</v>
      </c>
      <c r="B2080" s="6" t="s">
        <v>8356</v>
      </c>
      <c r="C2080" s="6" t="s">
        <v>53</v>
      </c>
      <c r="D2080" s="6">
        <v>75225.0</v>
      </c>
      <c r="E2080" s="6" t="s">
        <v>60</v>
      </c>
      <c r="F2080" s="6" t="s">
        <v>46</v>
      </c>
      <c r="G2080" s="6" t="s">
        <v>31</v>
      </c>
      <c r="H2080" s="7">
        <v>941.0</v>
      </c>
      <c r="I2080" s="7">
        <v>6207.0</v>
      </c>
      <c r="J2080" s="6">
        <v>1984.0</v>
      </c>
      <c r="K2080" s="6">
        <v>60.0</v>
      </c>
      <c r="L2080" s="6" t="s">
        <v>95</v>
      </c>
      <c r="M2080" s="6" t="s">
        <v>8357</v>
      </c>
      <c r="N2080" s="6" t="s">
        <v>24</v>
      </c>
      <c r="O2080" s="6" t="s">
        <v>35</v>
      </c>
      <c r="P2080" s="6">
        <f>COUNTIF(Analysis!$M$1:$M$3001,Analysis!$M2080)</f>
        <v>1</v>
      </c>
      <c r="Q2080" s="6" t="str">
        <f>IF(COUNTIF(Analysis!$M$2:$M$3001,Analysis!$M2080)&gt;1,"Duplicate","OK")</f>
        <v>OK</v>
      </c>
      <c r="R2080" s="6" t="str">
        <f t="shared" si="1"/>
        <v>600-1600</v>
      </c>
      <c r="S2080" s="6">
        <f t="shared" si="2"/>
        <v>42</v>
      </c>
      <c r="T2080" s="6" t="str">
        <f t="shared" si="3"/>
        <v>Old</v>
      </c>
    </row>
    <row r="2081" ht="14.25" customHeight="1">
      <c r="A2081" s="5">
        <v>775233.0</v>
      </c>
      <c r="B2081" s="6" t="s">
        <v>8360</v>
      </c>
      <c r="C2081" s="6" t="s">
        <v>18</v>
      </c>
      <c r="D2081" s="6">
        <v>18089.0</v>
      </c>
      <c r="E2081" s="6" t="s">
        <v>77</v>
      </c>
      <c r="F2081" s="6" t="s">
        <v>46</v>
      </c>
      <c r="G2081" s="6" t="s">
        <v>31</v>
      </c>
      <c r="H2081" s="7">
        <v>2887.0</v>
      </c>
      <c r="I2081" s="7">
        <v>4616.0</v>
      </c>
      <c r="J2081" s="6">
        <v>2015.0</v>
      </c>
      <c r="K2081" s="6">
        <v>10.0</v>
      </c>
      <c r="L2081" s="6" t="s">
        <v>62</v>
      </c>
      <c r="M2081" s="6" t="s">
        <v>8361</v>
      </c>
      <c r="N2081" s="6" t="s">
        <v>43</v>
      </c>
      <c r="O2081" s="6" t="s">
        <v>25</v>
      </c>
      <c r="P2081" s="6">
        <f>COUNTIF(Analysis!$M$1:$M$3001,Analysis!$M2081)</f>
        <v>1</v>
      </c>
      <c r="Q2081" s="6" t="str">
        <f>IF(COUNTIF(Analysis!$M$2:$M$3001,Analysis!$M2081)&gt;1,"Duplicate","OK")</f>
        <v>OK</v>
      </c>
      <c r="R2081" s="6" t="str">
        <f t="shared" si="1"/>
        <v>2600-3600</v>
      </c>
      <c r="S2081" s="6">
        <f t="shared" si="2"/>
        <v>11</v>
      </c>
      <c r="T2081" s="6" t="str">
        <f t="shared" si="3"/>
        <v>Mid</v>
      </c>
    </row>
    <row r="2082" ht="14.25" customHeight="1">
      <c r="A2082" s="5">
        <v>864731.0</v>
      </c>
      <c r="B2082" s="6" t="s">
        <v>8364</v>
      </c>
      <c r="C2082" s="6" t="s">
        <v>39</v>
      </c>
      <c r="D2082" s="6">
        <v>13531.0</v>
      </c>
      <c r="E2082" s="6" t="s">
        <v>19</v>
      </c>
      <c r="F2082" s="6" t="s">
        <v>41</v>
      </c>
      <c r="G2082" s="6" t="s">
        <v>100</v>
      </c>
      <c r="H2082" s="7">
        <v>3706.0</v>
      </c>
      <c r="I2082" s="7">
        <v>1068.0</v>
      </c>
      <c r="J2082" s="6">
        <v>1963.0</v>
      </c>
      <c r="K2082" s="6">
        <v>103.0</v>
      </c>
      <c r="L2082" s="6" t="s">
        <v>141</v>
      </c>
      <c r="M2082" s="6" t="s">
        <v>8365</v>
      </c>
      <c r="N2082" s="6" t="s">
        <v>34</v>
      </c>
      <c r="O2082" s="6" t="s">
        <v>25</v>
      </c>
      <c r="P2082" s="6">
        <f>COUNTIF(Analysis!$M$1:$M$3001,Analysis!$M2082)</f>
        <v>1</v>
      </c>
      <c r="Q2082" s="6" t="str">
        <f>IF(COUNTIF(Analysis!$M$2:$M$3001,Analysis!$M2082)&gt;1,"Duplicate","OK")</f>
        <v>OK</v>
      </c>
      <c r="R2082" s="6" t="str">
        <f t="shared" si="1"/>
        <v>3600+</v>
      </c>
      <c r="S2082" s="6">
        <f t="shared" si="2"/>
        <v>63</v>
      </c>
      <c r="T2082" s="6" t="str">
        <f t="shared" si="3"/>
        <v>Very Old</v>
      </c>
    </row>
    <row r="2083" ht="14.25" customHeight="1">
      <c r="A2083" s="5">
        <v>233598.0</v>
      </c>
      <c r="B2083" s="6" t="s">
        <v>8368</v>
      </c>
      <c r="C2083" s="6" t="s">
        <v>39</v>
      </c>
      <c r="D2083" s="6">
        <v>49878.0</v>
      </c>
      <c r="E2083" s="6" t="s">
        <v>30</v>
      </c>
      <c r="F2083" s="6" t="s">
        <v>94</v>
      </c>
      <c r="G2083" s="6" t="s">
        <v>55</v>
      </c>
      <c r="H2083" s="7">
        <v>1766.0</v>
      </c>
      <c r="I2083" s="7">
        <v>6977.0</v>
      </c>
      <c r="J2083" s="6">
        <v>1991.0</v>
      </c>
      <c r="K2083" s="6">
        <v>27.0</v>
      </c>
      <c r="L2083" s="6" t="s">
        <v>32</v>
      </c>
      <c r="M2083" s="6" t="s">
        <v>8369</v>
      </c>
      <c r="N2083" s="6" t="s">
        <v>64</v>
      </c>
      <c r="O2083" s="6" t="s">
        <v>49</v>
      </c>
      <c r="P2083" s="6">
        <f>COUNTIF(Analysis!$M$1:$M$3001,Analysis!$M2083)</f>
        <v>1</v>
      </c>
      <c r="Q2083" s="6" t="str">
        <f>IF(COUNTIF(Analysis!$M$2:$M$3001,Analysis!$M2083)&gt;1,"Duplicate","OK")</f>
        <v>OK</v>
      </c>
      <c r="R2083" s="6" t="str">
        <f t="shared" si="1"/>
        <v>1600-2600</v>
      </c>
      <c r="S2083" s="6">
        <f t="shared" si="2"/>
        <v>35</v>
      </c>
      <c r="T2083" s="6" t="str">
        <f t="shared" si="3"/>
        <v>Old</v>
      </c>
    </row>
    <row r="2084" ht="14.25" customHeight="1">
      <c r="A2084" s="5">
        <v>1063868.0</v>
      </c>
      <c r="B2084" s="6" t="s">
        <v>8372</v>
      </c>
      <c r="C2084" s="6" t="s">
        <v>76</v>
      </c>
      <c r="D2084" s="6">
        <v>96466.0</v>
      </c>
      <c r="E2084" s="6" t="s">
        <v>40</v>
      </c>
      <c r="F2084" s="6" t="s">
        <v>61</v>
      </c>
      <c r="G2084" s="6" t="s">
        <v>21</v>
      </c>
      <c r="H2084" s="7">
        <v>3750.0</v>
      </c>
      <c r="I2084" s="7">
        <v>3199.0</v>
      </c>
      <c r="J2084" s="6">
        <v>1984.0</v>
      </c>
      <c r="K2084" s="6">
        <v>103.0</v>
      </c>
      <c r="L2084" s="6" t="s">
        <v>95</v>
      </c>
      <c r="M2084" s="6" t="s">
        <v>8373</v>
      </c>
      <c r="N2084" s="6" t="s">
        <v>34</v>
      </c>
      <c r="O2084" s="6" t="s">
        <v>35</v>
      </c>
      <c r="P2084" s="6">
        <f>COUNTIF(Analysis!$M$1:$M$3001,Analysis!$M2084)</f>
        <v>1</v>
      </c>
      <c r="Q2084" s="6" t="str">
        <f>IF(COUNTIF(Analysis!$M$2:$M$3001,Analysis!$M2084)&gt;1,"Duplicate","OK")</f>
        <v>OK</v>
      </c>
      <c r="R2084" s="6" t="str">
        <f t="shared" si="1"/>
        <v>3600+</v>
      </c>
      <c r="S2084" s="6">
        <f t="shared" si="2"/>
        <v>42</v>
      </c>
      <c r="T2084" s="6" t="str">
        <f t="shared" si="3"/>
        <v>Old</v>
      </c>
    </row>
    <row r="2085" ht="14.25" customHeight="1">
      <c r="A2085" s="5">
        <v>1074024.0</v>
      </c>
      <c r="B2085" s="6" t="s">
        <v>6417</v>
      </c>
      <c r="C2085" s="6" t="s">
        <v>29</v>
      </c>
      <c r="D2085" s="6">
        <v>12157.0</v>
      </c>
      <c r="E2085" s="6" t="s">
        <v>60</v>
      </c>
      <c r="F2085" s="6" t="s">
        <v>94</v>
      </c>
      <c r="G2085" s="6" t="s">
        <v>31</v>
      </c>
      <c r="H2085" s="7">
        <v>3719.0</v>
      </c>
      <c r="I2085" s="7">
        <v>9663.0</v>
      </c>
      <c r="J2085" s="6">
        <v>1981.0</v>
      </c>
      <c r="K2085" s="6">
        <v>4.0</v>
      </c>
      <c r="L2085" s="6" t="s">
        <v>22</v>
      </c>
      <c r="M2085" s="6" t="s">
        <v>6418</v>
      </c>
      <c r="N2085" s="6" t="s">
        <v>34</v>
      </c>
      <c r="O2085" s="6" t="s">
        <v>25</v>
      </c>
      <c r="P2085" s="6">
        <f>COUNTIF(Analysis!$M$1:$M$3001,Analysis!$M1595)</f>
        <v>1</v>
      </c>
      <c r="Q2085" s="6" t="str">
        <f>IF(COUNTIF(Analysis!$M$2:$M$3001,Analysis!$M1595)&gt;1,"Duplicate","OK")</f>
        <v>OK</v>
      </c>
      <c r="R2085" s="6" t="str">
        <f t="shared" si="1"/>
        <v>3600+</v>
      </c>
      <c r="S2085" s="6">
        <f t="shared" si="2"/>
        <v>45</v>
      </c>
      <c r="T2085" s="6" t="str">
        <f t="shared" si="3"/>
        <v>Old</v>
      </c>
    </row>
    <row r="2086" ht="14.25" customHeight="1">
      <c r="A2086" s="5">
        <v>1075059.0</v>
      </c>
      <c r="B2086" s="6" t="s">
        <v>245</v>
      </c>
      <c r="C2086" s="6" t="s">
        <v>29</v>
      </c>
      <c r="D2086" s="6">
        <v>26896.0</v>
      </c>
      <c r="E2086" s="6" t="s">
        <v>19</v>
      </c>
      <c r="F2086" s="6" t="s">
        <v>94</v>
      </c>
      <c r="G2086" s="6" t="s">
        <v>55</v>
      </c>
      <c r="H2086" s="7">
        <v>806.0</v>
      </c>
      <c r="I2086" s="7">
        <v>5870.0</v>
      </c>
      <c r="J2086" s="6">
        <v>1990.0</v>
      </c>
      <c r="K2086" s="6">
        <v>22.0</v>
      </c>
      <c r="L2086" s="6" t="s">
        <v>32</v>
      </c>
      <c r="M2086" s="6" t="s">
        <v>246</v>
      </c>
      <c r="N2086" s="6" t="s">
        <v>34</v>
      </c>
      <c r="O2086" s="6" t="s">
        <v>49</v>
      </c>
      <c r="P2086" s="6">
        <f>COUNTIF(Analysis!$M$1:$M$3001,Analysis!$M51)</f>
        <v>1</v>
      </c>
      <c r="Q2086" s="6" t="str">
        <f>IF(COUNTIF(Analysis!$M$2:$M$3001,Analysis!$M51)&gt;1,"Duplicate","OK")</f>
        <v>OK</v>
      </c>
      <c r="R2086" s="6" t="str">
        <f t="shared" si="1"/>
        <v>600-1600</v>
      </c>
      <c r="S2086" s="6">
        <f t="shared" si="2"/>
        <v>36</v>
      </c>
      <c r="T2086" s="6" t="str">
        <f t="shared" si="3"/>
        <v>Old</v>
      </c>
    </row>
    <row r="2087" ht="14.25" customHeight="1">
      <c r="A2087" s="5">
        <v>900787.0</v>
      </c>
      <c r="B2087" s="6" t="s">
        <v>8384</v>
      </c>
      <c r="C2087" s="6" t="s">
        <v>39</v>
      </c>
      <c r="D2087" s="6">
        <v>35096.0</v>
      </c>
      <c r="E2087" s="6" t="s">
        <v>77</v>
      </c>
      <c r="F2087" s="6" t="s">
        <v>61</v>
      </c>
      <c r="G2087" s="6" t="s">
        <v>21</v>
      </c>
      <c r="H2087" s="7">
        <v>3910.0</v>
      </c>
      <c r="I2087" s="7">
        <v>1805.0</v>
      </c>
      <c r="J2087" s="6">
        <v>1970.0</v>
      </c>
      <c r="K2087" s="6">
        <v>21.0</v>
      </c>
      <c r="L2087" s="6" t="s">
        <v>32</v>
      </c>
      <c r="M2087" s="6" t="s">
        <v>8385</v>
      </c>
      <c r="N2087" s="6" t="s">
        <v>43</v>
      </c>
      <c r="O2087" s="6" t="s">
        <v>49</v>
      </c>
      <c r="P2087" s="6">
        <f>COUNTIF(Analysis!$M$1:$M$3001,Analysis!$M2087)</f>
        <v>1</v>
      </c>
      <c r="Q2087" s="6" t="str">
        <f>IF(COUNTIF(Analysis!$M$2:$M$3001,Analysis!$M2087)&gt;1,"Duplicate","OK")</f>
        <v>OK</v>
      </c>
      <c r="R2087" s="6" t="str">
        <f t="shared" si="1"/>
        <v>3600+</v>
      </c>
      <c r="S2087" s="6">
        <f t="shared" si="2"/>
        <v>56</v>
      </c>
      <c r="T2087" s="6" t="str">
        <f t="shared" si="3"/>
        <v>Old</v>
      </c>
    </row>
    <row r="2088" ht="14.25" customHeight="1">
      <c r="A2088" s="5">
        <v>1077526.0</v>
      </c>
      <c r="B2088" s="6" t="s">
        <v>8756</v>
      </c>
      <c r="C2088" s="6" t="s">
        <v>29</v>
      </c>
      <c r="D2088" s="6">
        <v>85014.0</v>
      </c>
      <c r="E2088" s="6" t="s">
        <v>77</v>
      </c>
      <c r="F2088" s="6" t="s">
        <v>94</v>
      </c>
      <c r="G2088" s="6" t="s">
        <v>55</v>
      </c>
      <c r="H2088" s="7">
        <v>3264.0</v>
      </c>
      <c r="I2088" s="7">
        <v>5699.0</v>
      </c>
      <c r="J2088" s="6">
        <v>1990.0</v>
      </c>
      <c r="K2088" s="6">
        <v>87.0</v>
      </c>
      <c r="L2088" s="6" t="s">
        <v>95</v>
      </c>
      <c r="M2088" s="6" t="s">
        <v>8757</v>
      </c>
      <c r="N2088" s="6" t="s">
        <v>43</v>
      </c>
      <c r="O2088" s="6" t="s">
        <v>35</v>
      </c>
      <c r="P2088" s="6">
        <f>COUNTIF(Analysis!$M$1:$M$3001,Analysis!$M2180)</f>
        <v>1</v>
      </c>
      <c r="Q2088" s="6" t="str">
        <f>IF(COUNTIF(Analysis!$M$2:$M$3001,Analysis!$M2180)&gt;1,"Duplicate","OK")</f>
        <v>OK</v>
      </c>
      <c r="R2088" s="6" t="str">
        <f t="shared" si="1"/>
        <v>2600-3600</v>
      </c>
      <c r="S2088" s="6">
        <f t="shared" si="2"/>
        <v>36</v>
      </c>
      <c r="T2088" s="6" t="str">
        <f t="shared" si="3"/>
        <v>Old</v>
      </c>
    </row>
    <row r="2089" ht="14.25" customHeight="1">
      <c r="A2089" s="5">
        <v>572175.0</v>
      </c>
      <c r="B2089" s="6" t="s">
        <v>8392</v>
      </c>
      <c r="C2089" s="6" t="s">
        <v>76</v>
      </c>
      <c r="D2089" s="6">
        <v>90436.0</v>
      </c>
      <c r="E2089" s="6" t="s">
        <v>30</v>
      </c>
      <c r="F2089" s="6" t="s">
        <v>41</v>
      </c>
      <c r="G2089" s="6" t="s">
        <v>55</v>
      </c>
      <c r="H2089" s="7">
        <v>3204.0</v>
      </c>
      <c r="I2089" s="7">
        <v>6527.0</v>
      </c>
      <c r="J2089" s="6">
        <v>2018.0</v>
      </c>
      <c r="K2089" s="6">
        <v>73.0</v>
      </c>
      <c r="L2089" s="6" t="s">
        <v>22</v>
      </c>
      <c r="M2089" s="6" t="s">
        <v>8393</v>
      </c>
      <c r="N2089" s="6" t="s">
        <v>48</v>
      </c>
      <c r="O2089" s="6" t="s">
        <v>49</v>
      </c>
      <c r="P2089" s="6">
        <f>COUNTIF(Analysis!$M$1:$M$3001,Analysis!$M2089)</f>
        <v>1</v>
      </c>
      <c r="Q2089" s="6" t="str">
        <f>IF(COUNTIF(Analysis!$M$2:$M$3001,Analysis!$M2089)&gt;1,"Duplicate","OK")</f>
        <v>OK</v>
      </c>
      <c r="R2089" s="6" t="str">
        <f t="shared" si="1"/>
        <v>2600-3600</v>
      </c>
      <c r="S2089" s="6">
        <f t="shared" si="2"/>
        <v>8</v>
      </c>
      <c r="T2089" s="6" t="str">
        <f t="shared" si="3"/>
        <v>New</v>
      </c>
    </row>
    <row r="2090" ht="14.25" customHeight="1">
      <c r="A2090" s="5">
        <v>517449.0</v>
      </c>
      <c r="B2090" s="6" t="s">
        <v>8396</v>
      </c>
      <c r="C2090" s="6" t="s">
        <v>76</v>
      </c>
      <c r="D2090" s="6">
        <v>80159.0</v>
      </c>
      <c r="E2090" s="6" t="s">
        <v>19</v>
      </c>
      <c r="F2090" s="6" t="s">
        <v>54</v>
      </c>
      <c r="G2090" s="6" t="s">
        <v>21</v>
      </c>
      <c r="H2090" s="7">
        <v>2930.0</v>
      </c>
      <c r="I2090" s="7">
        <v>4969.0</v>
      </c>
      <c r="J2090" s="6">
        <v>1961.0</v>
      </c>
      <c r="K2090" s="6">
        <v>52.0</v>
      </c>
      <c r="L2090" s="6" t="s">
        <v>32</v>
      </c>
      <c r="M2090" s="6" t="s">
        <v>8397</v>
      </c>
      <c r="N2090" s="6" t="s">
        <v>43</v>
      </c>
      <c r="O2090" s="6" t="s">
        <v>25</v>
      </c>
      <c r="P2090" s="6">
        <f>COUNTIF(Analysis!$M$1:$M$3001,Analysis!$M2090)</f>
        <v>1</v>
      </c>
      <c r="Q2090" s="6" t="str">
        <f>IF(COUNTIF(Analysis!$M$2:$M$3001,Analysis!$M2090)&gt;1,"Duplicate","OK")</f>
        <v>OK</v>
      </c>
      <c r="R2090" s="6" t="str">
        <f t="shared" si="1"/>
        <v>2600-3600</v>
      </c>
      <c r="S2090" s="6">
        <f t="shared" si="2"/>
        <v>65</v>
      </c>
      <c r="T2090" s="6" t="str">
        <f t="shared" si="3"/>
        <v>Very Old</v>
      </c>
    </row>
    <row r="2091" ht="14.25" customHeight="1">
      <c r="A2091" s="5">
        <v>1080304.0</v>
      </c>
      <c r="B2091" s="6" t="s">
        <v>3867</v>
      </c>
      <c r="C2091" s="6" t="s">
        <v>29</v>
      </c>
      <c r="D2091" s="6">
        <v>83560.0</v>
      </c>
      <c r="E2091" s="6" t="s">
        <v>30</v>
      </c>
      <c r="F2091" s="6" t="s">
        <v>41</v>
      </c>
      <c r="G2091" s="6" t="s">
        <v>55</v>
      </c>
      <c r="H2091" s="7">
        <v>1808.0</v>
      </c>
      <c r="I2091" s="7">
        <v>2762.0</v>
      </c>
      <c r="J2091" s="6">
        <v>2023.0</v>
      </c>
      <c r="K2091" s="6">
        <v>80.0</v>
      </c>
      <c r="L2091" s="6" t="s">
        <v>62</v>
      </c>
      <c r="M2091" s="6" t="s">
        <v>3868</v>
      </c>
      <c r="N2091" s="6" t="s">
        <v>64</v>
      </c>
      <c r="O2091" s="6" t="s">
        <v>35</v>
      </c>
      <c r="P2091" s="6">
        <f>COUNTIF(Analysis!$M$1:$M$3001,Analysis!$M957)</f>
        <v>1</v>
      </c>
      <c r="Q2091" s="6" t="str">
        <f>IF(COUNTIF(Analysis!$M$2:$M$3001,Analysis!$M957)&gt;1,"Duplicate","OK")</f>
        <v>OK</v>
      </c>
      <c r="R2091" s="6" t="str">
        <f t="shared" si="1"/>
        <v>1600-2600</v>
      </c>
      <c r="S2091" s="6">
        <f t="shared" si="2"/>
        <v>3</v>
      </c>
      <c r="T2091" s="6" t="str">
        <f t="shared" si="3"/>
        <v>New</v>
      </c>
    </row>
    <row r="2092" ht="14.25" customHeight="1">
      <c r="A2092" s="5">
        <v>1084043.0</v>
      </c>
      <c r="B2092" s="6" t="s">
        <v>10999</v>
      </c>
      <c r="C2092" s="6" t="s">
        <v>29</v>
      </c>
      <c r="D2092" s="6">
        <v>36849.0</v>
      </c>
      <c r="E2092" s="6" t="s">
        <v>77</v>
      </c>
      <c r="F2092" s="6" t="s">
        <v>61</v>
      </c>
      <c r="G2092" s="6" t="s">
        <v>100</v>
      </c>
      <c r="H2092" s="7">
        <v>2978.0</v>
      </c>
      <c r="I2092" s="7">
        <v>3300.0</v>
      </c>
      <c r="J2092" s="6">
        <v>2012.0</v>
      </c>
      <c r="K2092" s="6">
        <v>28.0</v>
      </c>
      <c r="L2092" s="6" t="s">
        <v>95</v>
      </c>
      <c r="M2092" s="6" t="s">
        <v>11000</v>
      </c>
      <c r="N2092" s="6" t="s">
        <v>24</v>
      </c>
      <c r="O2092" s="6" t="s">
        <v>35</v>
      </c>
      <c r="P2092" s="6">
        <f>COUNTIF(Analysis!$M$1:$M$3001,Analysis!$M2741)</f>
        <v>1</v>
      </c>
      <c r="Q2092" s="6" t="str">
        <f>IF(COUNTIF(Analysis!$M$2:$M$3001,Analysis!$M2741)&gt;1,"Duplicate","OK")</f>
        <v>OK</v>
      </c>
      <c r="R2092" s="6" t="str">
        <f t="shared" si="1"/>
        <v>2600-3600</v>
      </c>
      <c r="S2092" s="6">
        <f t="shared" si="2"/>
        <v>14</v>
      </c>
      <c r="T2092" s="6" t="str">
        <f t="shared" si="3"/>
        <v>Mid</v>
      </c>
    </row>
    <row r="2093" ht="14.25" customHeight="1">
      <c r="A2093" s="5">
        <v>748347.0</v>
      </c>
      <c r="B2093" s="6" t="s">
        <v>8408</v>
      </c>
      <c r="C2093" s="6" t="s">
        <v>39</v>
      </c>
      <c r="D2093" s="6">
        <v>60507.0</v>
      </c>
      <c r="E2093" s="6" t="s">
        <v>77</v>
      </c>
      <c r="F2093" s="6" t="s">
        <v>54</v>
      </c>
      <c r="G2093" s="6" t="s">
        <v>21</v>
      </c>
      <c r="H2093" s="7">
        <v>2530.0</v>
      </c>
      <c r="I2093" s="7">
        <v>6060.0</v>
      </c>
      <c r="J2093" s="6">
        <v>1976.0</v>
      </c>
      <c r="K2093" s="6">
        <v>100.0</v>
      </c>
      <c r="L2093" s="6" t="s">
        <v>32</v>
      </c>
      <c r="M2093" s="6" t="s">
        <v>8409</v>
      </c>
      <c r="N2093" s="6" t="s">
        <v>48</v>
      </c>
      <c r="O2093" s="6" t="s">
        <v>49</v>
      </c>
      <c r="P2093" s="6">
        <f>COUNTIF(Analysis!$M$1:$M$3001,Analysis!$M2093)</f>
        <v>1</v>
      </c>
      <c r="Q2093" s="6" t="str">
        <f>IF(COUNTIF(Analysis!$M$2:$M$3001,Analysis!$M2093)&gt;1,"Duplicate","OK")</f>
        <v>OK</v>
      </c>
      <c r="R2093" s="6" t="str">
        <f t="shared" si="1"/>
        <v>1600-2600</v>
      </c>
      <c r="S2093" s="6">
        <f t="shared" si="2"/>
        <v>50</v>
      </c>
      <c r="T2093" s="6" t="str">
        <f t="shared" si="3"/>
        <v>Old</v>
      </c>
    </row>
    <row r="2094" ht="14.25" customHeight="1">
      <c r="A2094" s="5">
        <v>1492926.0</v>
      </c>
      <c r="B2094" s="6" t="s">
        <v>8412</v>
      </c>
      <c r="C2094" s="6" t="s">
        <v>18</v>
      </c>
      <c r="D2094" s="6">
        <v>62447.0</v>
      </c>
      <c r="E2094" s="6" t="s">
        <v>40</v>
      </c>
      <c r="F2094" s="6" t="s">
        <v>20</v>
      </c>
      <c r="G2094" s="6" t="s">
        <v>55</v>
      </c>
      <c r="H2094" s="7">
        <v>2575.0</v>
      </c>
      <c r="I2094" s="7">
        <v>3936.0</v>
      </c>
      <c r="J2094" s="6">
        <v>2022.0</v>
      </c>
      <c r="K2094" s="6">
        <v>115.0</v>
      </c>
      <c r="L2094" s="6" t="s">
        <v>32</v>
      </c>
      <c r="M2094" s="6" t="s">
        <v>8413</v>
      </c>
      <c r="N2094" s="6" t="s">
        <v>64</v>
      </c>
      <c r="O2094" s="6" t="s">
        <v>35</v>
      </c>
      <c r="P2094" s="6">
        <f>COUNTIF(Analysis!$M$1:$M$3001,Analysis!$M2094)</f>
        <v>1</v>
      </c>
      <c r="Q2094" s="6" t="str">
        <f>IF(COUNTIF(Analysis!$M$2:$M$3001,Analysis!$M2094)&gt;1,"Duplicate","OK")</f>
        <v>OK</v>
      </c>
      <c r="R2094" s="6" t="str">
        <f t="shared" si="1"/>
        <v>1600-2600</v>
      </c>
      <c r="S2094" s="6">
        <f t="shared" si="2"/>
        <v>4</v>
      </c>
      <c r="T2094" s="6" t="str">
        <f t="shared" si="3"/>
        <v>New</v>
      </c>
    </row>
    <row r="2095" ht="14.25" customHeight="1">
      <c r="A2095" s="5">
        <v>1376673.0</v>
      </c>
      <c r="B2095" s="6" t="s">
        <v>8416</v>
      </c>
      <c r="C2095" s="6" t="s">
        <v>53</v>
      </c>
      <c r="D2095" s="6">
        <v>25054.0</v>
      </c>
      <c r="E2095" s="6" t="s">
        <v>19</v>
      </c>
      <c r="F2095" s="6" t="s">
        <v>41</v>
      </c>
      <c r="G2095" s="6" t="s">
        <v>31</v>
      </c>
      <c r="H2095" s="7">
        <v>2808.0</v>
      </c>
      <c r="I2095" s="7">
        <v>2102.0</v>
      </c>
      <c r="J2095" s="6">
        <v>1975.0</v>
      </c>
      <c r="K2095" s="6">
        <v>104.0</v>
      </c>
      <c r="L2095" s="6" t="s">
        <v>32</v>
      </c>
      <c r="M2095" s="6" t="s">
        <v>8417</v>
      </c>
      <c r="N2095" s="6" t="s">
        <v>34</v>
      </c>
      <c r="O2095" s="6" t="s">
        <v>25</v>
      </c>
      <c r="P2095" s="6">
        <f>COUNTIF(Analysis!$M$1:$M$3001,Analysis!$M2095)</f>
        <v>1</v>
      </c>
      <c r="Q2095" s="6" t="str">
        <f>IF(COUNTIF(Analysis!$M$2:$M$3001,Analysis!$M2095)&gt;1,"Duplicate","OK")</f>
        <v>OK</v>
      </c>
      <c r="R2095" s="6" t="str">
        <f t="shared" si="1"/>
        <v>2600-3600</v>
      </c>
      <c r="S2095" s="6">
        <f t="shared" si="2"/>
        <v>51</v>
      </c>
      <c r="T2095" s="6" t="str">
        <f t="shared" si="3"/>
        <v>Old</v>
      </c>
    </row>
    <row r="2096" ht="14.25" customHeight="1">
      <c r="A2096" s="5">
        <v>554163.0</v>
      </c>
      <c r="B2096" s="6" t="s">
        <v>8420</v>
      </c>
      <c r="C2096" s="6" t="s">
        <v>53</v>
      </c>
      <c r="D2096" s="6">
        <v>66487.0</v>
      </c>
      <c r="E2096" s="6" t="s">
        <v>60</v>
      </c>
      <c r="F2096" s="6" t="s">
        <v>41</v>
      </c>
      <c r="G2096" s="6" t="s">
        <v>31</v>
      </c>
      <c r="H2096" s="7">
        <v>3338.0</v>
      </c>
      <c r="I2096" s="7">
        <v>1279.0</v>
      </c>
      <c r="J2096" s="6">
        <v>2009.0</v>
      </c>
      <c r="K2096" s="6">
        <v>90.0</v>
      </c>
      <c r="L2096" s="6" t="s">
        <v>141</v>
      </c>
      <c r="M2096" s="6" t="s">
        <v>8421</v>
      </c>
      <c r="N2096" s="6" t="s">
        <v>43</v>
      </c>
      <c r="O2096" s="6" t="s">
        <v>25</v>
      </c>
      <c r="P2096" s="6">
        <f>COUNTIF(Analysis!$M$1:$M$3001,Analysis!$M2096)</f>
        <v>1</v>
      </c>
      <c r="Q2096" s="6" t="str">
        <f>IF(COUNTIF(Analysis!$M$2:$M$3001,Analysis!$M2096)&gt;1,"Duplicate","OK")</f>
        <v>OK</v>
      </c>
      <c r="R2096" s="6" t="str">
        <f t="shared" si="1"/>
        <v>2600-3600</v>
      </c>
      <c r="S2096" s="6">
        <f t="shared" si="2"/>
        <v>17</v>
      </c>
      <c r="T2096" s="6" t="str">
        <f t="shared" si="3"/>
        <v>Mid</v>
      </c>
    </row>
    <row r="2097" ht="14.25" customHeight="1">
      <c r="A2097" s="5">
        <v>752210.0</v>
      </c>
      <c r="B2097" s="6" t="s">
        <v>8424</v>
      </c>
      <c r="C2097" s="6" t="s">
        <v>39</v>
      </c>
      <c r="D2097" s="6">
        <v>42611.0</v>
      </c>
      <c r="E2097" s="6" t="s">
        <v>60</v>
      </c>
      <c r="F2097" s="6" t="s">
        <v>41</v>
      </c>
      <c r="G2097" s="6" t="s">
        <v>100</v>
      </c>
      <c r="H2097" s="7">
        <v>1950.0</v>
      </c>
      <c r="I2097" s="7">
        <v>3558.0</v>
      </c>
      <c r="J2097" s="6">
        <v>1990.0</v>
      </c>
      <c r="K2097" s="6">
        <v>80.0</v>
      </c>
      <c r="L2097" s="6" t="s">
        <v>141</v>
      </c>
      <c r="M2097" s="6" t="s">
        <v>8425</v>
      </c>
      <c r="N2097" s="6" t="s">
        <v>48</v>
      </c>
      <c r="O2097" s="6" t="s">
        <v>35</v>
      </c>
      <c r="P2097" s="6">
        <f>COUNTIF(Analysis!$M$1:$M$3001,Analysis!$M2097)</f>
        <v>1</v>
      </c>
      <c r="Q2097" s="6" t="str">
        <f>IF(COUNTIF(Analysis!$M$2:$M$3001,Analysis!$M2097)&gt;1,"Duplicate","OK")</f>
        <v>OK</v>
      </c>
      <c r="R2097" s="6" t="str">
        <f t="shared" si="1"/>
        <v>1600-2600</v>
      </c>
      <c r="S2097" s="6">
        <f t="shared" si="2"/>
        <v>36</v>
      </c>
      <c r="T2097" s="6" t="str">
        <f t="shared" si="3"/>
        <v>Old</v>
      </c>
    </row>
    <row r="2098" ht="14.25" customHeight="1">
      <c r="A2098" s="5">
        <v>1086792.0</v>
      </c>
      <c r="B2098" s="6" t="s">
        <v>11395</v>
      </c>
      <c r="C2098" s="6" t="s">
        <v>29</v>
      </c>
      <c r="D2098" s="6">
        <v>44378.0</v>
      </c>
      <c r="E2098" s="6" t="s">
        <v>77</v>
      </c>
      <c r="F2098" s="6" t="s">
        <v>20</v>
      </c>
      <c r="G2098" s="6" t="s">
        <v>21</v>
      </c>
      <c r="H2098" s="7">
        <v>2484.0</v>
      </c>
      <c r="I2098" s="7">
        <v>1315.0</v>
      </c>
      <c r="J2098" s="6">
        <v>1994.0</v>
      </c>
      <c r="K2098" s="6">
        <v>88.0</v>
      </c>
      <c r="L2098" s="6" t="s">
        <v>62</v>
      </c>
      <c r="M2098" s="6" t="s">
        <v>11396</v>
      </c>
      <c r="N2098" s="6" t="s">
        <v>34</v>
      </c>
      <c r="O2098" s="6" t="s">
        <v>35</v>
      </c>
      <c r="P2098" s="6">
        <f>COUNTIF(Analysis!$M$1:$M$3001,Analysis!$M2840)</f>
        <v>1</v>
      </c>
      <c r="Q2098" s="6" t="str">
        <f>IF(COUNTIF(Analysis!$M$2:$M$3001,Analysis!$M2840)&gt;1,"Duplicate","OK")</f>
        <v>OK</v>
      </c>
      <c r="R2098" s="6" t="str">
        <f t="shared" si="1"/>
        <v>1600-2600</v>
      </c>
      <c r="S2098" s="6">
        <f t="shared" si="2"/>
        <v>32</v>
      </c>
      <c r="T2098" s="6" t="str">
        <f t="shared" si="3"/>
        <v>Old</v>
      </c>
    </row>
    <row r="2099" ht="14.25" customHeight="1">
      <c r="A2099" s="5">
        <v>1091840.0</v>
      </c>
      <c r="B2099" s="6" t="s">
        <v>10935</v>
      </c>
      <c r="C2099" s="6" t="s">
        <v>29</v>
      </c>
      <c r="D2099" s="6">
        <v>91456.0</v>
      </c>
      <c r="E2099" s="6" t="s">
        <v>77</v>
      </c>
      <c r="F2099" s="6" t="s">
        <v>41</v>
      </c>
      <c r="G2099" s="6" t="s">
        <v>31</v>
      </c>
      <c r="H2099" s="7">
        <v>3244.0</v>
      </c>
      <c r="I2099" s="7">
        <v>1799.0</v>
      </c>
      <c r="J2099" s="6">
        <v>2011.0</v>
      </c>
      <c r="K2099" s="6">
        <v>14.0</v>
      </c>
      <c r="L2099" s="6" t="s">
        <v>32</v>
      </c>
      <c r="M2099" s="6" t="s">
        <v>10936</v>
      </c>
      <c r="N2099" s="6" t="s">
        <v>34</v>
      </c>
      <c r="O2099" s="6" t="s">
        <v>25</v>
      </c>
      <c r="P2099" s="6">
        <f>COUNTIF(Analysis!$M$1:$M$3001,Analysis!$M2725)</f>
        <v>1</v>
      </c>
      <c r="Q2099" s="6" t="str">
        <f>IF(COUNTIF(Analysis!$M$2:$M$3001,Analysis!$M2725)&gt;1,"Duplicate","OK")</f>
        <v>OK</v>
      </c>
      <c r="R2099" s="6" t="str">
        <f t="shared" si="1"/>
        <v>2600-3600</v>
      </c>
      <c r="S2099" s="6">
        <f t="shared" si="2"/>
        <v>15</v>
      </c>
      <c r="T2099" s="6" t="str">
        <f t="shared" si="3"/>
        <v>Mid</v>
      </c>
    </row>
    <row r="2100" ht="14.25" customHeight="1">
      <c r="A2100" s="5">
        <v>850639.0</v>
      </c>
      <c r="B2100" s="6" t="s">
        <v>8436</v>
      </c>
      <c r="C2100" s="6" t="s">
        <v>76</v>
      </c>
      <c r="D2100" s="6">
        <v>80491.0</v>
      </c>
      <c r="E2100" s="6" t="s">
        <v>40</v>
      </c>
      <c r="F2100" s="6" t="s">
        <v>46</v>
      </c>
      <c r="G2100" s="6" t="s">
        <v>100</v>
      </c>
      <c r="H2100" s="7">
        <v>2580.0</v>
      </c>
      <c r="I2100" s="7">
        <v>3554.0</v>
      </c>
      <c r="J2100" s="6">
        <v>1991.0</v>
      </c>
      <c r="K2100" s="6">
        <v>103.0</v>
      </c>
      <c r="L2100" s="6" t="s">
        <v>22</v>
      </c>
      <c r="M2100" s="6" t="s">
        <v>8437</v>
      </c>
      <c r="N2100" s="6" t="s">
        <v>48</v>
      </c>
      <c r="O2100" s="6" t="s">
        <v>49</v>
      </c>
      <c r="P2100" s="6">
        <f>COUNTIF(Analysis!$M$1:$M$3001,Analysis!$M2100)</f>
        <v>1</v>
      </c>
      <c r="Q2100" s="6" t="str">
        <f>IF(COUNTIF(Analysis!$M$2:$M$3001,Analysis!$M2100)&gt;1,"Duplicate","OK")</f>
        <v>OK</v>
      </c>
      <c r="R2100" s="6" t="str">
        <f t="shared" si="1"/>
        <v>1600-2600</v>
      </c>
      <c r="S2100" s="6">
        <f t="shared" si="2"/>
        <v>35</v>
      </c>
      <c r="T2100" s="6" t="str">
        <f t="shared" si="3"/>
        <v>Old</v>
      </c>
    </row>
    <row r="2101" ht="14.25" customHeight="1">
      <c r="A2101" s="5">
        <v>446902.0</v>
      </c>
      <c r="B2101" s="6" t="s">
        <v>8440</v>
      </c>
      <c r="C2101" s="6" t="s">
        <v>76</v>
      </c>
      <c r="D2101" s="6">
        <v>66081.0</v>
      </c>
      <c r="E2101" s="6" t="s">
        <v>77</v>
      </c>
      <c r="F2101" s="6" t="s">
        <v>94</v>
      </c>
      <c r="G2101" s="6" t="s">
        <v>100</v>
      </c>
      <c r="H2101" s="7">
        <v>1644.0</v>
      </c>
      <c r="I2101" s="7">
        <v>8549.0</v>
      </c>
      <c r="J2101" s="6">
        <v>2022.0</v>
      </c>
      <c r="K2101" s="6">
        <v>40.0</v>
      </c>
      <c r="L2101" s="6" t="s">
        <v>95</v>
      </c>
      <c r="M2101" s="6" t="s">
        <v>8441</v>
      </c>
      <c r="N2101" s="6" t="s">
        <v>43</v>
      </c>
      <c r="O2101" s="6" t="s">
        <v>35</v>
      </c>
      <c r="P2101" s="6">
        <f>COUNTIF(Analysis!$M$1:$M$3001,Analysis!$M2101)</f>
        <v>1</v>
      </c>
      <c r="Q2101" s="6" t="str">
        <f>IF(COUNTIF(Analysis!$M$2:$M$3001,Analysis!$M2101)&gt;1,"Duplicate","OK")</f>
        <v>OK</v>
      </c>
      <c r="R2101" s="6" t="str">
        <f t="shared" si="1"/>
        <v>1600-2600</v>
      </c>
      <c r="S2101" s="6">
        <f t="shared" si="2"/>
        <v>4</v>
      </c>
      <c r="T2101" s="6" t="str">
        <f t="shared" si="3"/>
        <v>New</v>
      </c>
    </row>
    <row r="2102" ht="14.25" customHeight="1">
      <c r="A2102" s="5">
        <v>957764.0</v>
      </c>
      <c r="B2102" s="6" t="s">
        <v>8444</v>
      </c>
      <c r="C2102" s="6" t="s">
        <v>53</v>
      </c>
      <c r="D2102" s="6">
        <v>16392.0</v>
      </c>
      <c r="E2102" s="6" t="s">
        <v>19</v>
      </c>
      <c r="F2102" s="6" t="s">
        <v>20</v>
      </c>
      <c r="G2102" s="6" t="s">
        <v>100</v>
      </c>
      <c r="H2102" s="7">
        <v>1526.0</v>
      </c>
      <c r="I2102" s="7">
        <v>8865.0</v>
      </c>
      <c r="J2102" s="6">
        <v>1979.0</v>
      </c>
      <c r="K2102" s="6">
        <v>45.0</v>
      </c>
      <c r="L2102" s="6" t="s">
        <v>62</v>
      </c>
      <c r="M2102" s="6" t="s">
        <v>8445</v>
      </c>
      <c r="N2102" s="6" t="s">
        <v>64</v>
      </c>
      <c r="O2102" s="6" t="s">
        <v>25</v>
      </c>
      <c r="P2102" s="6">
        <f>COUNTIF(Analysis!$M$1:$M$3001,Analysis!$M2102)</f>
        <v>1</v>
      </c>
      <c r="Q2102" s="6" t="str">
        <f>IF(COUNTIF(Analysis!$M$2:$M$3001,Analysis!$M2102)&gt;1,"Duplicate","OK")</f>
        <v>OK</v>
      </c>
      <c r="R2102" s="6" t="str">
        <f t="shared" si="1"/>
        <v>600-1600</v>
      </c>
      <c r="S2102" s="6">
        <f t="shared" si="2"/>
        <v>47</v>
      </c>
      <c r="T2102" s="6" t="str">
        <f t="shared" si="3"/>
        <v>Old</v>
      </c>
    </row>
    <row r="2103" ht="14.25" customHeight="1">
      <c r="A2103" s="5">
        <v>1450619.0</v>
      </c>
      <c r="B2103" s="6" t="s">
        <v>8448</v>
      </c>
      <c r="C2103" s="6" t="s">
        <v>39</v>
      </c>
      <c r="D2103" s="6">
        <v>62413.0</v>
      </c>
      <c r="E2103" s="6" t="s">
        <v>60</v>
      </c>
      <c r="F2103" s="6" t="s">
        <v>54</v>
      </c>
      <c r="G2103" s="6" t="s">
        <v>100</v>
      </c>
      <c r="H2103" s="7">
        <v>3104.0</v>
      </c>
      <c r="I2103" s="7">
        <v>5719.0</v>
      </c>
      <c r="J2103" s="6">
        <v>1980.0</v>
      </c>
      <c r="K2103" s="6">
        <v>82.0</v>
      </c>
      <c r="L2103" s="6" t="s">
        <v>141</v>
      </c>
      <c r="M2103" s="6" t="s">
        <v>8449</v>
      </c>
      <c r="N2103" s="6" t="s">
        <v>34</v>
      </c>
      <c r="O2103" s="6" t="s">
        <v>25</v>
      </c>
      <c r="P2103" s="6">
        <f>COUNTIF(Analysis!$M$1:$M$3001,Analysis!$M2103)</f>
        <v>1</v>
      </c>
      <c r="Q2103" s="6" t="str">
        <f>IF(COUNTIF(Analysis!$M$2:$M$3001,Analysis!$M2103)&gt;1,"Duplicate","OK")</f>
        <v>OK</v>
      </c>
      <c r="R2103" s="6" t="str">
        <f t="shared" si="1"/>
        <v>2600-3600</v>
      </c>
      <c r="S2103" s="6">
        <f t="shared" si="2"/>
        <v>46</v>
      </c>
      <c r="T2103" s="6" t="str">
        <f t="shared" si="3"/>
        <v>Old</v>
      </c>
    </row>
    <row r="2104" ht="14.25" customHeight="1">
      <c r="A2104" s="5">
        <v>556635.0</v>
      </c>
      <c r="B2104" s="6" t="s">
        <v>8452</v>
      </c>
      <c r="C2104" s="6" t="s">
        <v>18</v>
      </c>
      <c r="D2104" s="6">
        <v>81825.0</v>
      </c>
      <c r="E2104" s="6" t="s">
        <v>19</v>
      </c>
      <c r="F2104" s="6" t="s">
        <v>20</v>
      </c>
      <c r="G2104" s="6" t="s">
        <v>21</v>
      </c>
      <c r="H2104" s="7">
        <v>3984.0</v>
      </c>
      <c r="I2104" s="7">
        <v>6750.0</v>
      </c>
      <c r="J2104" s="6">
        <v>2008.0</v>
      </c>
      <c r="K2104" s="6">
        <v>62.0</v>
      </c>
      <c r="L2104" s="6" t="s">
        <v>62</v>
      </c>
      <c r="M2104" s="6" t="s">
        <v>8453</v>
      </c>
      <c r="N2104" s="6" t="s">
        <v>24</v>
      </c>
      <c r="O2104" s="6" t="s">
        <v>25</v>
      </c>
      <c r="P2104" s="6">
        <f>COUNTIF(Analysis!$M$1:$M$3001,Analysis!$M2104)</f>
        <v>1</v>
      </c>
      <c r="Q2104" s="6" t="str">
        <f>IF(COUNTIF(Analysis!$M$2:$M$3001,Analysis!$M2104)&gt;1,"Duplicate","OK")</f>
        <v>OK</v>
      </c>
      <c r="R2104" s="6" t="str">
        <f t="shared" si="1"/>
        <v>3600+</v>
      </c>
      <c r="S2104" s="6">
        <f t="shared" si="2"/>
        <v>18</v>
      </c>
      <c r="T2104" s="6" t="str">
        <f t="shared" si="3"/>
        <v>Mid</v>
      </c>
    </row>
    <row r="2105" ht="14.25" customHeight="1">
      <c r="A2105" s="5">
        <v>925973.0</v>
      </c>
      <c r="B2105" s="6" t="s">
        <v>8456</v>
      </c>
      <c r="C2105" s="6" t="s">
        <v>39</v>
      </c>
      <c r="D2105" s="6">
        <v>92292.0</v>
      </c>
      <c r="E2105" s="6" t="s">
        <v>77</v>
      </c>
      <c r="F2105" s="6" t="s">
        <v>94</v>
      </c>
      <c r="G2105" s="6" t="s">
        <v>21</v>
      </c>
      <c r="H2105" s="7">
        <v>1407.0</v>
      </c>
      <c r="I2105" s="7">
        <v>4888.0</v>
      </c>
      <c r="J2105" s="6">
        <v>1993.0</v>
      </c>
      <c r="K2105" s="6">
        <v>87.0</v>
      </c>
      <c r="L2105" s="6" t="s">
        <v>141</v>
      </c>
      <c r="M2105" s="6" t="s">
        <v>8457</v>
      </c>
      <c r="N2105" s="6" t="s">
        <v>24</v>
      </c>
      <c r="O2105" s="6" t="s">
        <v>49</v>
      </c>
      <c r="P2105" s="6">
        <f>COUNTIF(Analysis!$M$1:$M$3001,Analysis!$M2105)</f>
        <v>1</v>
      </c>
      <c r="Q2105" s="6" t="str">
        <f>IF(COUNTIF(Analysis!$M$2:$M$3001,Analysis!$M2105)&gt;1,"Duplicate","OK")</f>
        <v>OK</v>
      </c>
      <c r="R2105" s="6" t="str">
        <f t="shared" si="1"/>
        <v>600-1600</v>
      </c>
      <c r="S2105" s="6">
        <f t="shared" si="2"/>
        <v>33</v>
      </c>
      <c r="T2105" s="6" t="str">
        <f t="shared" si="3"/>
        <v>Old</v>
      </c>
    </row>
    <row r="2106" ht="14.25" customHeight="1">
      <c r="A2106" s="5">
        <v>1347555.0</v>
      </c>
      <c r="B2106" s="6" t="s">
        <v>8460</v>
      </c>
      <c r="C2106" s="6" t="s">
        <v>76</v>
      </c>
      <c r="D2106" s="6">
        <v>85224.0</v>
      </c>
      <c r="E2106" s="6" t="s">
        <v>19</v>
      </c>
      <c r="F2106" s="6" t="s">
        <v>94</v>
      </c>
      <c r="G2106" s="6" t="s">
        <v>21</v>
      </c>
      <c r="H2106" s="7">
        <v>3489.0</v>
      </c>
      <c r="I2106" s="7">
        <v>6783.0</v>
      </c>
      <c r="J2106" s="6">
        <v>1998.0</v>
      </c>
      <c r="K2106" s="6">
        <v>21.0</v>
      </c>
      <c r="L2106" s="6" t="s">
        <v>62</v>
      </c>
      <c r="M2106" s="6" t="s">
        <v>8461</v>
      </c>
      <c r="N2106" s="6" t="s">
        <v>64</v>
      </c>
      <c r="O2106" s="6" t="s">
        <v>35</v>
      </c>
      <c r="P2106" s="6">
        <f>COUNTIF(Analysis!$M$1:$M$3001,Analysis!$M2106)</f>
        <v>1</v>
      </c>
      <c r="Q2106" s="6" t="str">
        <f>IF(COUNTIF(Analysis!$M$2:$M$3001,Analysis!$M2106)&gt;1,"Duplicate","OK")</f>
        <v>OK</v>
      </c>
      <c r="R2106" s="6" t="str">
        <f t="shared" si="1"/>
        <v>2600-3600</v>
      </c>
      <c r="S2106" s="6">
        <f t="shared" si="2"/>
        <v>28</v>
      </c>
      <c r="T2106" s="6" t="str">
        <f t="shared" si="3"/>
        <v>Mid</v>
      </c>
    </row>
    <row r="2107" ht="14.25" customHeight="1">
      <c r="A2107" s="5">
        <v>402637.0</v>
      </c>
      <c r="B2107" s="6" t="s">
        <v>8464</v>
      </c>
      <c r="C2107" s="6" t="s">
        <v>76</v>
      </c>
      <c r="D2107" s="6">
        <v>59545.0</v>
      </c>
      <c r="E2107" s="6" t="s">
        <v>30</v>
      </c>
      <c r="F2107" s="6" t="s">
        <v>41</v>
      </c>
      <c r="G2107" s="6" t="s">
        <v>21</v>
      </c>
      <c r="H2107" s="7">
        <v>3647.0</v>
      </c>
      <c r="I2107" s="7">
        <v>1557.0</v>
      </c>
      <c r="J2107" s="6">
        <v>1976.0</v>
      </c>
      <c r="K2107" s="6">
        <v>108.0</v>
      </c>
      <c r="L2107" s="6" t="s">
        <v>62</v>
      </c>
      <c r="M2107" s="6" t="s">
        <v>8465</v>
      </c>
      <c r="N2107" s="6" t="s">
        <v>24</v>
      </c>
      <c r="O2107" s="6" t="s">
        <v>25</v>
      </c>
      <c r="P2107" s="6">
        <f>COUNTIF(Analysis!$M$1:$M$3001,Analysis!$M2107)</f>
        <v>1</v>
      </c>
      <c r="Q2107" s="6" t="str">
        <f>IF(COUNTIF(Analysis!$M$2:$M$3001,Analysis!$M2107)&gt;1,"Duplicate","OK")</f>
        <v>OK</v>
      </c>
      <c r="R2107" s="6" t="str">
        <f t="shared" si="1"/>
        <v>3600+</v>
      </c>
      <c r="S2107" s="6">
        <f t="shared" si="2"/>
        <v>50</v>
      </c>
      <c r="T2107" s="6" t="str">
        <f t="shared" si="3"/>
        <v>Old</v>
      </c>
    </row>
    <row r="2108" ht="14.25" customHeight="1">
      <c r="A2108" s="5">
        <v>1185143.0</v>
      </c>
      <c r="B2108" s="6" t="s">
        <v>8468</v>
      </c>
      <c r="C2108" s="6" t="s">
        <v>53</v>
      </c>
      <c r="D2108" s="6">
        <v>69880.0</v>
      </c>
      <c r="E2108" s="6" t="s">
        <v>30</v>
      </c>
      <c r="F2108" s="6" t="s">
        <v>20</v>
      </c>
      <c r="G2108" s="6" t="s">
        <v>100</v>
      </c>
      <c r="H2108" s="7">
        <v>2484.0</v>
      </c>
      <c r="I2108" s="7">
        <v>6400.0</v>
      </c>
      <c r="J2108" s="6">
        <v>1951.0</v>
      </c>
      <c r="K2108" s="6">
        <v>23.0</v>
      </c>
      <c r="L2108" s="6" t="s">
        <v>141</v>
      </c>
      <c r="M2108" s="6" t="s">
        <v>8469</v>
      </c>
      <c r="N2108" s="6" t="s">
        <v>34</v>
      </c>
      <c r="O2108" s="6" t="s">
        <v>35</v>
      </c>
      <c r="P2108" s="6">
        <f>COUNTIF(Analysis!$M$1:$M$3001,Analysis!$M2108)</f>
        <v>1</v>
      </c>
      <c r="Q2108" s="6" t="str">
        <f>IF(COUNTIF(Analysis!$M$2:$M$3001,Analysis!$M2108)&gt;1,"Duplicate","OK")</f>
        <v>OK</v>
      </c>
      <c r="R2108" s="6" t="str">
        <f t="shared" si="1"/>
        <v>1600-2600</v>
      </c>
      <c r="S2108" s="6">
        <f t="shared" si="2"/>
        <v>75</v>
      </c>
      <c r="T2108" s="6" t="str">
        <f t="shared" si="3"/>
        <v>Very Old</v>
      </c>
    </row>
    <row r="2109" ht="14.25" customHeight="1">
      <c r="A2109" s="5">
        <v>1093409.0</v>
      </c>
      <c r="B2109" s="6" t="s">
        <v>2439</v>
      </c>
      <c r="C2109" s="6" t="s">
        <v>29</v>
      </c>
      <c r="D2109" s="6">
        <v>17323.0</v>
      </c>
      <c r="E2109" s="6" t="s">
        <v>30</v>
      </c>
      <c r="F2109" s="6" t="s">
        <v>46</v>
      </c>
      <c r="G2109" s="6" t="s">
        <v>31</v>
      </c>
      <c r="H2109" s="7">
        <v>2144.0</v>
      </c>
      <c r="I2109" s="7">
        <v>6434.0</v>
      </c>
      <c r="J2109" s="6">
        <v>1996.0</v>
      </c>
      <c r="K2109" s="6">
        <v>102.0</v>
      </c>
      <c r="L2109" s="6" t="s">
        <v>62</v>
      </c>
      <c r="M2109" s="6" t="s">
        <v>2440</v>
      </c>
      <c r="N2109" s="6" t="s">
        <v>24</v>
      </c>
      <c r="O2109" s="6" t="s">
        <v>35</v>
      </c>
      <c r="P2109" s="6">
        <f>COUNTIF(Analysis!$M$1:$M$3001,Analysis!$M600)</f>
        <v>1</v>
      </c>
      <c r="Q2109" s="6" t="str">
        <f>IF(COUNTIF(Analysis!$M$2:$M$3001,Analysis!$M600)&gt;1,"Duplicate","OK")</f>
        <v>OK</v>
      </c>
      <c r="R2109" s="6" t="str">
        <f t="shared" si="1"/>
        <v>1600-2600</v>
      </c>
      <c r="S2109" s="6">
        <f t="shared" si="2"/>
        <v>30</v>
      </c>
      <c r="T2109" s="6" t="str">
        <f t="shared" si="3"/>
        <v>Mid</v>
      </c>
    </row>
    <row r="2110" ht="14.25" customHeight="1">
      <c r="A2110" s="5">
        <v>1257066.0</v>
      </c>
      <c r="B2110" s="6" t="s">
        <v>8476</v>
      </c>
      <c r="C2110" s="6" t="s">
        <v>53</v>
      </c>
      <c r="D2110" s="6">
        <v>14171.0</v>
      </c>
      <c r="E2110" s="6" t="s">
        <v>30</v>
      </c>
      <c r="F2110" s="6" t="s">
        <v>20</v>
      </c>
      <c r="G2110" s="6" t="s">
        <v>21</v>
      </c>
      <c r="H2110" s="7">
        <v>1389.0</v>
      </c>
      <c r="I2110" s="7">
        <v>3200.0</v>
      </c>
      <c r="J2110" s="6">
        <v>2009.0</v>
      </c>
      <c r="K2110" s="6">
        <v>110.0</v>
      </c>
      <c r="L2110" s="6" t="s">
        <v>95</v>
      </c>
      <c r="M2110" s="6" t="s">
        <v>8477</v>
      </c>
      <c r="N2110" s="6" t="s">
        <v>43</v>
      </c>
      <c r="O2110" s="6" t="s">
        <v>35</v>
      </c>
      <c r="P2110" s="6">
        <f>COUNTIF(Analysis!$M$1:$M$3001,Analysis!$M2110)</f>
        <v>1</v>
      </c>
      <c r="Q2110" s="6" t="str">
        <f>IF(COUNTIF(Analysis!$M$2:$M$3001,Analysis!$M2110)&gt;1,"Duplicate","OK")</f>
        <v>OK</v>
      </c>
      <c r="R2110" s="6" t="str">
        <f t="shared" si="1"/>
        <v>600-1600</v>
      </c>
      <c r="S2110" s="6">
        <f t="shared" si="2"/>
        <v>17</v>
      </c>
      <c r="T2110" s="6" t="str">
        <f t="shared" si="3"/>
        <v>Mid</v>
      </c>
    </row>
    <row r="2111" ht="14.25" customHeight="1">
      <c r="A2111" s="5">
        <v>230868.0</v>
      </c>
      <c r="B2111" s="6" t="s">
        <v>8480</v>
      </c>
      <c r="C2111" s="6" t="s">
        <v>39</v>
      </c>
      <c r="D2111" s="6">
        <v>81379.0</v>
      </c>
      <c r="E2111" s="6" t="s">
        <v>60</v>
      </c>
      <c r="F2111" s="6" t="s">
        <v>61</v>
      </c>
      <c r="G2111" s="6" t="s">
        <v>100</v>
      </c>
      <c r="H2111" s="7">
        <v>2402.0</v>
      </c>
      <c r="I2111" s="7">
        <v>6454.0</v>
      </c>
      <c r="J2111" s="6">
        <v>1996.0</v>
      </c>
      <c r="K2111" s="6">
        <v>92.0</v>
      </c>
      <c r="L2111" s="6" t="s">
        <v>95</v>
      </c>
      <c r="M2111" s="6" t="s">
        <v>8481</v>
      </c>
      <c r="N2111" s="6" t="s">
        <v>64</v>
      </c>
      <c r="O2111" s="6" t="s">
        <v>25</v>
      </c>
      <c r="P2111" s="6">
        <f>COUNTIF(Analysis!$M$1:$M$3001,Analysis!$M2111)</f>
        <v>1</v>
      </c>
      <c r="Q2111" s="6" t="str">
        <f>IF(COUNTIF(Analysis!$M$2:$M$3001,Analysis!$M2111)&gt;1,"Duplicate","OK")</f>
        <v>OK</v>
      </c>
      <c r="R2111" s="6" t="str">
        <f t="shared" si="1"/>
        <v>1600-2600</v>
      </c>
      <c r="S2111" s="6">
        <f t="shared" si="2"/>
        <v>30</v>
      </c>
      <c r="T2111" s="6" t="str">
        <f t="shared" si="3"/>
        <v>Mid</v>
      </c>
    </row>
    <row r="2112" ht="14.25" customHeight="1">
      <c r="A2112" s="5">
        <v>734091.0</v>
      </c>
      <c r="B2112" s="6" t="s">
        <v>8484</v>
      </c>
      <c r="C2112" s="6" t="s">
        <v>18</v>
      </c>
      <c r="D2112" s="6">
        <v>28912.0</v>
      </c>
      <c r="E2112" s="6" t="s">
        <v>40</v>
      </c>
      <c r="F2112" s="6" t="s">
        <v>94</v>
      </c>
      <c r="G2112" s="6" t="s">
        <v>31</v>
      </c>
      <c r="H2112" s="7">
        <v>3877.0</v>
      </c>
      <c r="I2112" s="7">
        <v>8330.0</v>
      </c>
      <c r="J2112" s="6">
        <v>1978.0</v>
      </c>
      <c r="K2112" s="6">
        <v>60.0</v>
      </c>
      <c r="L2112" s="6" t="s">
        <v>32</v>
      </c>
      <c r="M2112" s="6" t="s">
        <v>8485</v>
      </c>
      <c r="N2112" s="6" t="s">
        <v>43</v>
      </c>
      <c r="O2112" s="6" t="s">
        <v>35</v>
      </c>
      <c r="P2112" s="6">
        <f>COUNTIF(Analysis!$M$1:$M$3001,Analysis!$M2112)</f>
        <v>1</v>
      </c>
      <c r="Q2112" s="6" t="str">
        <f>IF(COUNTIF(Analysis!$M$2:$M$3001,Analysis!$M2112)&gt;1,"Duplicate","OK")</f>
        <v>OK</v>
      </c>
      <c r="R2112" s="6" t="str">
        <f t="shared" si="1"/>
        <v>3600+</v>
      </c>
      <c r="S2112" s="6">
        <f t="shared" si="2"/>
        <v>48</v>
      </c>
      <c r="T2112" s="6" t="str">
        <f t="shared" si="3"/>
        <v>Old</v>
      </c>
    </row>
    <row r="2113" ht="14.25" customHeight="1">
      <c r="A2113" s="5">
        <v>1144014.0</v>
      </c>
      <c r="B2113" s="6" t="s">
        <v>8488</v>
      </c>
      <c r="C2113" s="6" t="s">
        <v>53</v>
      </c>
      <c r="D2113" s="6">
        <v>91991.0</v>
      </c>
      <c r="E2113" s="6" t="s">
        <v>30</v>
      </c>
      <c r="F2113" s="6" t="s">
        <v>20</v>
      </c>
      <c r="G2113" s="6" t="s">
        <v>21</v>
      </c>
      <c r="H2113" s="7">
        <v>3340.0</v>
      </c>
      <c r="I2113" s="7">
        <v>2973.0</v>
      </c>
      <c r="J2113" s="6">
        <v>1989.0</v>
      </c>
      <c r="K2113" s="6">
        <v>82.0</v>
      </c>
      <c r="L2113" s="6" t="s">
        <v>95</v>
      </c>
      <c r="M2113" s="6" t="s">
        <v>8489</v>
      </c>
      <c r="N2113" s="6" t="s">
        <v>34</v>
      </c>
      <c r="O2113" s="6" t="s">
        <v>25</v>
      </c>
      <c r="P2113" s="6">
        <f>COUNTIF(Analysis!$M$1:$M$3001,Analysis!$M2113)</f>
        <v>1</v>
      </c>
      <c r="Q2113" s="6" t="str">
        <f>IF(COUNTIF(Analysis!$M$2:$M$3001,Analysis!$M2113)&gt;1,"Duplicate","OK")</f>
        <v>OK</v>
      </c>
      <c r="R2113" s="6" t="str">
        <f t="shared" si="1"/>
        <v>2600-3600</v>
      </c>
      <c r="S2113" s="6">
        <f t="shared" si="2"/>
        <v>37</v>
      </c>
      <c r="T2113" s="6" t="str">
        <f t="shared" si="3"/>
        <v>Old</v>
      </c>
    </row>
    <row r="2114" ht="14.25" customHeight="1">
      <c r="A2114" s="5">
        <v>449307.0</v>
      </c>
      <c r="B2114" s="6" t="s">
        <v>8492</v>
      </c>
      <c r="C2114" s="6" t="s">
        <v>53</v>
      </c>
      <c r="D2114" s="6">
        <v>69470.0</v>
      </c>
      <c r="E2114" s="6" t="s">
        <v>60</v>
      </c>
      <c r="F2114" s="6" t="s">
        <v>54</v>
      </c>
      <c r="G2114" s="6" t="s">
        <v>21</v>
      </c>
      <c r="H2114" s="7">
        <v>2959.0</v>
      </c>
      <c r="I2114" s="7">
        <v>8347.0</v>
      </c>
      <c r="J2114" s="6">
        <v>2023.0</v>
      </c>
      <c r="K2114" s="6">
        <v>88.0</v>
      </c>
      <c r="L2114" s="6" t="s">
        <v>62</v>
      </c>
      <c r="M2114" s="6" t="s">
        <v>8493</v>
      </c>
      <c r="N2114" s="6" t="s">
        <v>24</v>
      </c>
      <c r="O2114" s="6" t="s">
        <v>49</v>
      </c>
      <c r="P2114" s="6">
        <f>COUNTIF(Analysis!$M$1:$M$3001,Analysis!$M2114)</f>
        <v>1</v>
      </c>
      <c r="Q2114" s="6" t="str">
        <f>IF(COUNTIF(Analysis!$M$2:$M$3001,Analysis!$M2114)&gt;1,"Duplicate","OK")</f>
        <v>OK</v>
      </c>
      <c r="R2114" s="6" t="str">
        <f t="shared" si="1"/>
        <v>2600-3600</v>
      </c>
      <c r="S2114" s="6">
        <f t="shared" si="2"/>
        <v>3</v>
      </c>
      <c r="T2114" s="6" t="str">
        <f t="shared" si="3"/>
        <v>New</v>
      </c>
    </row>
    <row r="2115" ht="14.25" customHeight="1">
      <c r="A2115" s="5">
        <v>1094698.0</v>
      </c>
      <c r="B2115" s="6" t="s">
        <v>8552</v>
      </c>
      <c r="C2115" s="6" t="s">
        <v>29</v>
      </c>
      <c r="D2115" s="6">
        <v>21097.0</v>
      </c>
      <c r="E2115" s="6" t="s">
        <v>19</v>
      </c>
      <c r="F2115" s="6" t="s">
        <v>94</v>
      </c>
      <c r="G2115" s="6" t="s">
        <v>100</v>
      </c>
      <c r="H2115" s="7">
        <v>1540.0</v>
      </c>
      <c r="I2115" s="7">
        <v>6068.0</v>
      </c>
      <c r="J2115" s="6">
        <v>2017.0</v>
      </c>
      <c r="K2115" s="6">
        <v>47.0</v>
      </c>
      <c r="L2115" s="6" t="s">
        <v>141</v>
      </c>
      <c r="M2115" s="6" t="s">
        <v>8553</v>
      </c>
      <c r="N2115" s="6" t="s">
        <v>24</v>
      </c>
      <c r="O2115" s="6" t="s">
        <v>49</v>
      </c>
      <c r="P2115" s="6">
        <f>COUNTIF(Analysis!$M$1:$M$3001,Analysis!$M2129)</f>
        <v>1</v>
      </c>
      <c r="Q2115" s="6" t="str">
        <f>IF(COUNTIF(Analysis!$M$2:$M$3001,Analysis!$M2129)&gt;1,"Duplicate","OK")</f>
        <v>OK</v>
      </c>
      <c r="R2115" s="6" t="str">
        <f t="shared" si="1"/>
        <v>600-1600</v>
      </c>
      <c r="S2115" s="6">
        <f t="shared" si="2"/>
        <v>9</v>
      </c>
      <c r="T2115" s="6" t="str">
        <f t="shared" si="3"/>
        <v>New</v>
      </c>
    </row>
    <row r="2116" ht="14.25" customHeight="1">
      <c r="A2116" s="5">
        <v>245230.0</v>
      </c>
      <c r="B2116" s="6" t="s">
        <v>8500</v>
      </c>
      <c r="C2116" s="6" t="s">
        <v>18</v>
      </c>
      <c r="D2116" s="6">
        <v>84305.0</v>
      </c>
      <c r="E2116" s="6" t="s">
        <v>77</v>
      </c>
      <c r="F2116" s="6" t="s">
        <v>54</v>
      </c>
      <c r="G2116" s="6" t="s">
        <v>55</v>
      </c>
      <c r="H2116" s="7">
        <v>3163.0</v>
      </c>
      <c r="I2116" s="7">
        <v>8284.0</v>
      </c>
      <c r="J2116" s="6">
        <v>1989.0</v>
      </c>
      <c r="K2116" s="6">
        <v>94.0</v>
      </c>
      <c r="L2116" s="6" t="s">
        <v>62</v>
      </c>
      <c r="M2116" s="6" t="s">
        <v>8501</v>
      </c>
      <c r="N2116" s="6" t="s">
        <v>48</v>
      </c>
      <c r="O2116" s="6" t="s">
        <v>25</v>
      </c>
      <c r="P2116" s="6">
        <f>COUNTIF(Analysis!$M$1:$M$3001,Analysis!$M2116)</f>
        <v>1</v>
      </c>
      <c r="Q2116" s="6" t="str">
        <f>IF(COUNTIF(Analysis!$M$2:$M$3001,Analysis!$M2116)&gt;1,"Duplicate","OK")</f>
        <v>OK</v>
      </c>
      <c r="R2116" s="6" t="str">
        <f t="shared" si="1"/>
        <v>2600-3600</v>
      </c>
      <c r="S2116" s="6">
        <f t="shared" si="2"/>
        <v>37</v>
      </c>
      <c r="T2116" s="6" t="str">
        <f t="shared" si="3"/>
        <v>Old</v>
      </c>
    </row>
    <row r="2117" ht="14.25" customHeight="1">
      <c r="A2117" s="5">
        <v>549210.0</v>
      </c>
      <c r="B2117" s="6" t="s">
        <v>8504</v>
      </c>
      <c r="C2117" s="6" t="s">
        <v>18</v>
      </c>
      <c r="D2117" s="6">
        <v>84314.0</v>
      </c>
      <c r="E2117" s="6" t="s">
        <v>30</v>
      </c>
      <c r="F2117" s="6" t="s">
        <v>46</v>
      </c>
      <c r="G2117" s="6" t="s">
        <v>21</v>
      </c>
      <c r="H2117" s="7">
        <v>1041.0</v>
      </c>
      <c r="I2117" s="7">
        <v>7976.0</v>
      </c>
      <c r="J2117" s="6">
        <v>1950.0</v>
      </c>
      <c r="K2117" s="6">
        <v>7.0</v>
      </c>
      <c r="L2117" s="6" t="s">
        <v>62</v>
      </c>
      <c r="M2117" s="6" t="s">
        <v>8505</v>
      </c>
      <c r="N2117" s="6" t="s">
        <v>64</v>
      </c>
      <c r="O2117" s="6" t="s">
        <v>35</v>
      </c>
      <c r="P2117" s="6">
        <f>COUNTIF(Analysis!$M$1:$M$3001,Analysis!$M2117)</f>
        <v>1</v>
      </c>
      <c r="Q2117" s="6" t="str">
        <f>IF(COUNTIF(Analysis!$M$2:$M$3001,Analysis!$M2117)&gt;1,"Duplicate","OK")</f>
        <v>OK</v>
      </c>
      <c r="R2117" s="6" t="str">
        <f t="shared" si="1"/>
        <v>600-1600</v>
      </c>
      <c r="S2117" s="6">
        <f t="shared" si="2"/>
        <v>76</v>
      </c>
      <c r="T2117" s="6" t="str">
        <f t="shared" si="3"/>
        <v>Very Old</v>
      </c>
    </row>
    <row r="2118" ht="14.25" customHeight="1">
      <c r="A2118" s="5">
        <v>458215.0</v>
      </c>
      <c r="B2118" s="6" t="s">
        <v>8508</v>
      </c>
      <c r="C2118" s="6" t="s">
        <v>18</v>
      </c>
      <c r="D2118" s="6">
        <v>51208.0</v>
      </c>
      <c r="E2118" s="6" t="s">
        <v>19</v>
      </c>
      <c r="F2118" s="6" t="s">
        <v>46</v>
      </c>
      <c r="G2118" s="6" t="s">
        <v>31</v>
      </c>
      <c r="H2118" s="7">
        <v>1941.0</v>
      </c>
      <c r="I2118" s="7">
        <v>4142.0</v>
      </c>
      <c r="J2118" s="6">
        <v>2022.0</v>
      </c>
      <c r="K2118" s="6">
        <v>107.0</v>
      </c>
      <c r="L2118" s="6" t="s">
        <v>22</v>
      </c>
      <c r="M2118" s="6" t="s">
        <v>8509</v>
      </c>
      <c r="N2118" s="6" t="s">
        <v>48</v>
      </c>
      <c r="O2118" s="6" t="s">
        <v>49</v>
      </c>
      <c r="P2118" s="6">
        <f>COUNTIF(Analysis!$M$1:$M$3001,Analysis!$M2118)</f>
        <v>1</v>
      </c>
      <c r="Q2118" s="6" t="str">
        <f>IF(COUNTIF(Analysis!$M$2:$M$3001,Analysis!$M2118)&gt;1,"Duplicate","OK")</f>
        <v>OK</v>
      </c>
      <c r="R2118" s="6" t="str">
        <f t="shared" si="1"/>
        <v>1600-2600</v>
      </c>
      <c r="S2118" s="6">
        <f t="shared" si="2"/>
        <v>4</v>
      </c>
      <c r="T2118" s="6" t="str">
        <f t="shared" si="3"/>
        <v>New</v>
      </c>
    </row>
    <row r="2119" ht="14.25" customHeight="1">
      <c r="A2119" s="5">
        <v>567245.0</v>
      </c>
      <c r="B2119" s="6" t="s">
        <v>8512</v>
      </c>
      <c r="C2119" s="6" t="s">
        <v>53</v>
      </c>
      <c r="D2119" s="6">
        <v>73045.0</v>
      </c>
      <c r="E2119" s="6" t="s">
        <v>40</v>
      </c>
      <c r="F2119" s="6" t="s">
        <v>54</v>
      </c>
      <c r="G2119" s="6" t="s">
        <v>100</v>
      </c>
      <c r="H2119" s="7">
        <v>2194.0</v>
      </c>
      <c r="I2119" s="7">
        <v>5588.0</v>
      </c>
      <c r="J2119" s="6">
        <v>2006.0</v>
      </c>
      <c r="K2119" s="6">
        <v>33.0</v>
      </c>
      <c r="L2119" s="6" t="s">
        <v>22</v>
      </c>
      <c r="M2119" s="6" t="s">
        <v>8513</v>
      </c>
      <c r="N2119" s="6" t="s">
        <v>34</v>
      </c>
      <c r="O2119" s="6" t="s">
        <v>25</v>
      </c>
      <c r="P2119" s="6">
        <f>COUNTIF(Analysis!$M$1:$M$3001,Analysis!$M2119)</f>
        <v>1</v>
      </c>
      <c r="Q2119" s="6" t="str">
        <f>IF(COUNTIF(Analysis!$M$2:$M$3001,Analysis!$M2119)&gt;1,"Duplicate","OK")</f>
        <v>OK</v>
      </c>
      <c r="R2119" s="6" t="str">
        <f t="shared" si="1"/>
        <v>1600-2600</v>
      </c>
      <c r="S2119" s="6">
        <f t="shared" si="2"/>
        <v>20</v>
      </c>
      <c r="T2119" s="6" t="str">
        <f t="shared" si="3"/>
        <v>Mid</v>
      </c>
    </row>
    <row r="2120" ht="14.25" customHeight="1">
      <c r="A2120" s="5">
        <v>1342248.0</v>
      </c>
      <c r="B2120" s="6" t="s">
        <v>8516</v>
      </c>
      <c r="C2120" s="6" t="s">
        <v>18</v>
      </c>
      <c r="D2120" s="6">
        <v>72249.0</v>
      </c>
      <c r="E2120" s="6" t="s">
        <v>30</v>
      </c>
      <c r="F2120" s="6" t="s">
        <v>54</v>
      </c>
      <c r="G2120" s="6" t="s">
        <v>55</v>
      </c>
      <c r="H2120" s="7">
        <v>1668.0</v>
      </c>
      <c r="I2120" s="7">
        <v>7798.0</v>
      </c>
      <c r="J2120" s="6">
        <v>1963.0</v>
      </c>
      <c r="K2120" s="6">
        <v>12.0</v>
      </c>
      <c r="L2120" s="6" t="s">
        <v>141</v>
      </c>
      <c r="M2120" s="6" t="s">
        <v>8517</v>
      </c>
      <c r="N2120" s="6" t="s">
        <v>34</v>
      </c>
      <c r="O2120" s="6" t="s">
        <v>49</v>
      </c>
      <c r="P2120" s="6">
        <f>COUNTIF(Analysis!$M$1:$M$3001,Analysis!$M2120)</f>
        <v>1</v>
      </c>
      <c r="Q2120" s="6" t="str">
        <f>IF(COUNTIF(Analysis!$M$2:$M$3001,Analysis!$M2120)&gt;1,"Duplicate","OK")</f>
        <v>OK</v>
      </c>
      <c r="R2120" s="6" t="str">
        <f t="shared" si="1"/>
        <v>1600-2600</v>
      </c>
      <c r="S2120" s="6">
        <f t="shared" si="2"/>
        <v>63</v>
      </c>
      <c r="T2120" s="6" t="str">
        <f t="shared" si="3"/>
        <v>Very Old</v>
      </c>
    </row>
    <row r="2121" ht="14.25" customHeight="1">
      <c r="A2121" s="5">
        <v>1368329.0</v>
      </c>
      <c r="B2121" s="6" t="s">
        <v>8520</v>
      </c>
      <c r="C2121" s="6" t="s">
        <v>76</v>
      </c>
      <c r="D2121" s="6">
        <v>57861.0</v>
      </c>
      <c r="E2121" s="6" t="s">
        <v>30</v>
      </c>
      <c r="F2121" s="6" t="s">
        <v>41</v>
      </c>
      <c r="G2121" s="6" t="s">
        <v>55</v>
      </c>
      <c r="H2121" s="7">
        <v>3127.0</v>
      </c>
      <c r="I2121" s="7">
        <v>1874.0</v>
      </c>
      <c r="J2121" s="6">
        <v>1986.0</v>
      </c>
      <c r="K2121" s="6">
        <v>85.0</v>
      </c>
      <c r="L2121" s="6" t="s">
        <v>32</v>
      </c>
      <c r="M2121" s="6" t="s">
        <v>8521</v>
      </c>
      <c r="N2121" s="6" t="s">
        <v>48</v>
      </c>
      <c r="O2121" s="6" t="s">
        <v>25</v>
      </c>
      <c r="P2121" s="6">
        <f>COUNTIF(Analysis!$M$1:$M$3001,Analysis!$M2121)</f>
        <v>1</v>
      </c>
      <c r="Q2121" s="6" t="str">
        <f>IF(COUNTIF(Analysis!$M$2:$M$3001,Analysis!$M2121)&gt;1,"Duplicate","OK")</f>
        <v>OK</v>
      </c>
      <c r="R2121" s="6" t="str">
        <f t="shared" si="1"/>
        <v>2600-3600</v>
      </c>
      <c r="S2121" s="6">
        <f t="shared" si="2"/>
        <v>40</v>
      </c>
      <c r="T2121" s="6" t="str">
        <f t="shared" si="3"/>
        <v>Old</v>
      </c>
    </row>
    <row r="2122" ht="14.25" customHeight="1">
      <c r="A2122" s="5">
        <v>963301.0</v>
      </c>
      <c r="B2122" s="6" t="s">
        <v>8524</v>
      </c>
      <c r="C2122" s="6" t="s">
        <v>39</v>
      </c>
      <c r="D2122" s="6">
        <v>60157.0</v>
      </c>
      <c r="E2122" s="6" t="s">
        <v>30</v>
      </c>
      <c r="F2122" s="6" t="s">
        <v>54</v>
      </c>
      <c r="G2122" s="6" t="s">
        <v>55</v>
      </c>
      <c r="H2122" s="7">
        <v>3396.0</v>
      </c>
      <c r="I2122" s="7">
        <v>5199.0</v>
      </c>
      <c r="J2122" s="6">
        <v>1963.0</v>
      </c>
      <c r="K2122" s="6">
        <v>60.0</v>
      </c>
      <c r="L2122" s="6" t="s">
        <v>141</v>
      </c>
      <c r="M2122" s="6" t="s">
        <v>8525</v>
      </c>
      <c r="N2122" s="6" t="s">
        <v>43</v>
      </c>
      <c r="O2122" s="6" t="s">
        <v>25</v>
      </c>
      <c r="P2122" s="6">
        <f>COUNTIF(Analysis!$M$1:$M$3001,Analysis!$M2122)</f>
        <v>1</v>
      </c>
      <c r="Q2122" s="6" t="str">
        <f>IF(COUNTIF(Analysis!$M$2:$M$3001,Analysis!$M2122)&gt;1,"Duplicate","OK")</f>
        <v>OK</v>
      </c>
      <c r="R2122" s="6" t="str">
        <f t="shared" si="1"/>
        <v>2600-3600</v>
      </c>
      <c r="S2122" s="6">
        <f t="shared" si="2"/>
        <v>63</v>
      </c>
      <c r="T2122" s="6" t="str">
        <f t="shared" si="3"/>
        <v>Very Old</v>
      </c>
    </row>
    <row r="2123" ht="14.25" customHeight="1">
      <c r="A2123" s="5">
        <v>502165.0</v>
      </c>
      <c r="B2123" s="6" t="s">
        <v>8528</v>
      </c>
      <c r="C2123" s="6" t="s">
        <v>39</v>
      </c>
      <c r="D2123" s="6">
        <v>41797.0</v>
      </c>
      <c r="E2123" s="6" t="s">
        <v>19</v>
      </c>
      <c r="F2123" s="6" t="s">
        <v>54</v>
      </c>
      <c r="G2123" s="6" t="s">
        <v>55</v>
      </c>
      <c r="H2123" s="7">
        <v>2169.0</v>
      </c>
      <c r="I2123" s="7">
        <v>1344.0</v>
      </c>
      <c r="J2123" s="6">
        <v>1957.0</v>
      </c>
      <c r="K2123" s="6">
        <v>36.0</v>
      </c>
      <c r="L2123" s="6" t="s">
        <v>62</v>
      </c>
      <c r="M2123" s="6" t="s">
        <v>8529</v>
      </c>
      <c r="N2123" s="6" t="s">
        <v>34</v>
      </c>
      <c r="O2123" s="6" t="s">
        <v>35</v>
      </c>
      <c r="P2123" s="6">
        <f>COUNTIF(Analysis!$M$1:$M$3001,Analysis!$M2123)</f>
        <v>1</v>
      </c>
      <c r="Q2123" s="6" t="str">
        <f>IF(COUNTIF(Analysis!$M$2:$M$3001,Analysis!$M2123)&gt;1,"Duplicate","OK")</f>
        <v>OK</v>
      </c>
      <c r="R2123" s="6" t="str">
        <f t="shared" si="1"/>
        <v>1600-2600</v>
      </c>
      <c r="S2123" s="6">
        <f t="shared" si="2"/>
        <v>69</v>
      </c>
      <c r="T2123" s="6" t="str">
        <f t="shared" si="3"/>
        <v>Very Old</v>
      </c>
    </row>
    <row r="2124" ht="14.25" customHeight="1">
      <c r="A2124" s="5">
        <v>1099863.0</v>
      </c>
      <c r="B2124" s="6" t="s">
        <v>11503</v>
      </c>
      <c r="C2124" s="6" t="s">
        <v>29</v>
      </c>
      <c r="D2124" s="6">
        <v>77711.0</v>
      </c>
      <c r="E2124" s="6" t="s">
        <v>77</v>
      </c>
      <c r="F2124" s="6" t="s">
        <v>61</v>
      </c>
      <c r="G2124" s="6" t="s">
        <v>31</v>
      </c>
      <c r="H2124" s="7">
        <v>2219.0</v>
      </c>
      <c r="I2124" s="7">
        <v>5893.0</v>
      </c>
      <c r="J2124" s="6">
        <v>2001.0</v>
      </c>
      <c r="K2124" s="6">
        <v>106.0</v>
      </c>
      <c r="L2124" s="6" t="s">
        <v>32</v>
      </c>
      <c r="M2124" s="6" t="s">
        <v>11504</v>
      </c>
      <c r="N2124" s="6" t="s">
        <v>43</v>
      </c>
      <c r="O2124" s="6" t="s">
        <v>25</v>
      </c>
      <c r="P2124" s="6">
        <f>COUNTIF(Analysis!$M$1:$M$3001,Analysis!$M2867)</f>
        <v>1</v>
      </c>
      <c r="Q2124" s="6" t="str">
        <f>IF(COUNTIF(Analysis!$M$2:$M$3001,Analysis!$M2867)&gt;1,"Duplicate","OK")</f>
        <v>OK</v>
      </c>
      <c r="R2124" s="6" t="str">
        <f t="shared" si="1"/>
        <v>1600-2600</v>
      </c>
      <c r="S2124" s="6">
        <f t="shared" si="2"/>
        <v>25</v>
      </c>
      <c r="T2124" s="6" t="str">
        <f t="shared" si="3"/>
        <v>Mid</v>
      </c>
    </row>
    <row r="2125" ht="14.25" customHeight="1">
      <c r="A2125" s="5">
        <v>1482167.0</v>
      </c>
      <c r="B2125" s="6" t="s">
        <v>8536</v>
      </c>
      <c r="C2125" s="6" t="s">
        <v>76</v>
      </c>
      <c r="D2125" s="6">
        <v>84600.0</v>
      </c>
      <c r="E2125" s="6" t="s">
        <v>40</v>
      </c>
      <c r="F2125" s="6" t="s">
        <v>46</v>
      </c>
      <c r="G2125" s="6" t="s">
        <v>31</v>
      </c>
      <c r="H2125" s="7">
        <v>652.0</v>
      </c>
      <c r="I2125" s="7">
        <v>6031.0</v>
      </c>
      <c r="J2125" s="6">
        <v>1967.0</v>
      </c>
      <c r="K2125" s="6">
        <v>87.0</v>
      </c>
      <c r="L2125" s="6" t="s">
        <v>22</v>
      </c>
      <c r="M2125" s="6" t="s">
        <v>8537</v>
      </c>
      <c r="N2125" s="6" t="s">
        <v>64</v>
      </c>
      <c r="O2125" s="6" t="s">
        <v>35</v>
      </c>
      <c r="P2125" s="6">
        <f>COUNTIF(Analysis!$M$1:$M$3001,Analysis!$M2125)</f>
        <v>1</v>
      </c>
      <c r="Q2125" s="6" t="str">
        <f>IF(COUNTIF(Analysis!$M$2:$M$3001,Analysis!$M2125)&gt;1,"Duplicate","OK")</f>
        <v>OK</v>
      </c>
      <c r="R2125" s="6" t="str">
        <f t="shared" si="1"/>
        <v>600-1600</v>
      </c>
      <c r="S2125" s="6">
        <f t="shared" si="2"/>
        <v>59</v>
      </c>
      <c r="T2125" s="6" t="str">
        <f t="shared" si="3"/>
        <v>Old</v>
      </c>
    </row>
    <row r="2126" ht="14.25" customHeight="1">
      <c r="A2126" s="5">
        <v>683910.0</v>
      </c>
      <c r="B2126" s="6" t="s">
        <v>8540</v>
      </c>
      <c r="C2126" s="6" t="s">
        <v>39</v>
      </c>
      <c r="D2126" s="6">
        <v>79056.0</v>
      </c>
      <c r="E2126" s="6" t="s">
        <v>30</v>
      </c>
      <c r="F2126" s="6" t="s">
        <v>46</v>
      </c>
      <c r="G2126" s="6" t="s">
        <v>21</v>
      </c>
      <c r="H2126" s="7">
        <v>747.0</v>
      </c>
      <c r="I2126" s="7">
        <v>8973.0</v>
      </c>
      <c r="J2126" s="6">
        <v>1995.0</v>
      </c>
      <c r="K2126" s="6">
        <v>107.0</v>
      </c>
      <c r="L2126" s="6" t="s">
        <v>32</v>
      </c>
      <c r="M2126" s="6" t="s">
        <v>8541</v>
      </c>
      <c r="N2126" s="6" t="s">
        <v>24</v>
      </c>
      <c r="O2126" s="6" t="s">
        <v>35</v>
      </c>
      <c r="P2126" s="6">
        <f>COUNTIF(Analysis!$M$1:$M$3001,Analysis!$M2126)</f>
        <v>1</v>
      </c>
      <c r="Q2126" s="6" t="str">
        <f>IF(COUNTIF(Analysis!$M$2:$M$3001,Analysis!$M2126)&gt;1,"Duplicate","OK")</f>
        <v>OK</v>
      </c>
      <c r="R2126" s="6" t="str">
        <f t="shared" si="1"/>
        <v>600-1600</v>
      </c>
      <c r="S2126" s="6">
        <f t="shared" si="2"/>
        <v>31</v>
      </c>
      <c r="T2126" s="6" t="str">
        <f t="shared" si="3"/>
        <v>Old</v>
      </c>
    </row>
    <row r="2127" ht="14.25" customHeight="1">
      <c r="A2127" s="5">
        <v>1101382.0</v>
      </c>
      <c r="B2127" s="6" t="s">
        <v>11663</v>
      </c>
      <c r="C2127" s="6" t="s">
        <v>29</v>
      </c>
      <c r="D2127" s="6">
        <v>85461.0</v>
      </c>
      <c r="E2127" s="6" t="s">
        <v>30</v>
      </c>
      <c r="F2127" s="6" t="s">
        <v>54</v>
      </c>
      <c r="G2127" s="6" t="s">
        <v>21</v>
      </c>
      <c r="H2127" s="7">
        <v>2388.0</v>
      </c>
      <c r="I2127" s="7">
        <v>6640.0</v>
      </c>
      <c r="J2127" s="6">
        <v>1981.0</v>
      </c>
      <c r="K2127" s="6">
        <v>46.0</v>
      </c>
      <c r="L2127" s="6" t="s">
        <v>32</v>
      </c>
      <c r="M2127" s="6" t="s">
        <v>11664</v>
      </c>
      <c r="N2127" s="6" t="s">
        <v>64</v>
      </c>
      <c r="O2127" s="6" t="s">
        <v>25</v>
      </c>
      <c r="P2127" s="6">
        <f>COUNTIF(Analysis!$M$1:$M$3001,Analysis!$M2907)</f>
        <v>1</v>
      </c>
      <c r="Q2127" s="6" t="str">
        <f>IF(COUNTIF(Analysis!$M$2:$M$3001,Analysis!$M2907)&gt;1,"Duplicate","OK")</f>
        <v>OK</v>
      </c>
      <c r="R2127" s="6" t="str">
        <f t="shared" si="1"/>
        <v>1600-2600</v>
      </c>
      <c r="S2127" s="6">
        <f t="shared" si="2"/>
        <v>45</v>
      </c>
      <c r="T2127" s="6" t="str">
        <f t="shared" si="3"/>
        <v>Old</v>
      </c>
    </row>
    <row r="2128" ht="14.25" customHeight="1">
      <c r="A2128" s="5">
        <v>254470.0</v>
      </c>
      <c r="B2128" s="6" t="s">
        <v>8548</v>
      </c>
      <c r="C2128" s="6" t="s">
        <v>18</v>
      </c>
      <c r="D2128" s="6">
        <v>60875.0</v>
      </c>
      <c r="E2128" s="6" t="s">
        <v>19</v>
      </c>
      <c r="F2128" s="6" t="s">
        <v>54</v>
      </c>
      <c r="G2128" s="6" t="s">
        <v>55</v>
      </c>
      <c r="H2128" s="7">
        <v>2293.0</v>
      </c>
      <c r="I2128" s="7">
        <v>4954.0</v>
      </c>
      <c r="J2128" s="6">
        <v>1993.0</v>
      </c>
      <c r="K2128" s="6">
        <v>4.0</v>
      </c>
      <c r="L2128" s="6" t="s">
        <v>95</v>
      </c>
      <c r="M2128" s="6" t="s">
        <v>8549</v>
      </c>
      <c r="N2128" s="6" t="s">
        <v>43</v>
      </c>
      <c r="O2128" s="6" t="s">
        <v>25</v>
      </c>
      <c r="P2128" s="6">
        <f>COUNTIF(Analysis!$M$1:$M$3001,Analysis!$M2128)</f>
        <v>1</v>
      </c>
      <c r="Q2128" s="6" t="str">
        <f>IF(COUNTIF(Analysis!$M$2:$M$3001,Analysis!$M2128)&gt;1,"Duplicate","OK")</f>
        <v>OK</v>
      </c>
      <c r="R2128" s="6" t="str">
        <f t="shared" si="1"/>
        <v>1600-2600</v>
      </c>
      <c r="S2128" s="6">
        <f t="shared" si="2"/>
        <v>33</v>
      </c>
      <c r="T2128" s="6" t="str">
        <f t="shared" si="3"/>
        <v>Old</v>
      </c>
    </row>
    <row r="2129" ht="14.25" customHeight="1">
      <c r="A2129" s="5">
        <v>1102017.0</v>
      </c>
      <c r="B2129" s="6" t="s">
        <v>6197</v>
      </c>
      <c r="C2129" s="6" t="s">
        <v>29</v>
      </c>
      <c r="D2129" s="6">
        <v>22468.0</v>
      </c>
      <c r="E2129" s="6" t="s">
        <v>60</v>
      </c>
      <c r="F2129" s="6" t="s">
        <v>46</v>
      </c>
      <c r="G2129" s="6" t="s">
        <v>31</v>
      </c>
      <c r="H2129" s="7">
        <v>3078.0</v>
      </c>
      <c r="I2129" s="7">
        <v>4530.0</v>
      </c>
      <c r="J2129" s="6">
        <v>2004.0</v>
      </c>
      <c r="K2129" s="6">
        <v>30.0</v>
      </c>
      <c r="L2129" s="6" t="s">
        <v>141</v>
      </c>
      <c r="M2129" s="6" t="s">
        <v>6198</v>
      </c>
      <c r="N2129" s="6" t="s">
        <v>34</v>
      </c>
      <c r="O2129" s="6" t="s">
        <v>35</v>
      </c>
      <c r="P2129" s="6">
        <f>COUNTIF(Analysis!$M$1:$M$3001,Analysis!$M1540)</f>
        <v>1</v>
      </c>
      <c r="Q2129" s="6" t="str">
        <f>IF(COUNTIF(Analysis!$M$2:$M$3001,Analysis!$M1540)&gt;1,"Duplicate","OK")</f>
        <v>OK</v>
      </c>
      <c r="R2129" s="6" t="str">
        <f t="shared" si="1"/>
        <v>2600-3600</v>
      </c>
      <c r="S2129" s="6">
        <f t="shared" si="2"/>
        <v>22</v>
      </c>
      <c r="T2129" s="6" t="str">
        <f t="shared" si="3"/>
        <v>Mid</v>
      </c>
    </row>
    <row r="2130" ht="14.25" customHeight="1">
      <c r="A2130" s="5">
        <v>541873.0</v>
      </c>
      <c r="B2130" s="6" t="s">
        <v>8556</v>
      </c>
      <c r="C2130" s="6" t="s">
        <v>76</v>
      </c>
      <c r="D2130" s="6">
        <v>79825.0</v>
      </c>
      <c r="E2130" s="6" t="s">
        <v>30</v>
      </c>
      <c r="F2130" s="6" t="s">
        <v>20</v>
      </c>
      <c r="G2130" s="6" t="s">
        <v>21</v>
      </c>
      <c r="H2130" s="7">
        <v>3224.0</v>
      </c>
      <c r="I2130" s="7">
        <v>1128.0</v>
      </c>
      <c r="J2130" s="6">
        <v>1965.0</v>
      </c>
      <c r="K2130" s="6">
        <v>100.0</v>
      </c>
      <c r="L2130" s="6" t="s">
        <v>62</v>
      </c>
      <c r="M2130" s="6" t="s">
        <v>8557</v>
      </c>
      <c r="N2130" s="6" t="s">
        <v>24</v>
      </c>
      <c r="O2130" s="6" t="s">
        <v>49</v>
      </c>
      <c r="P2130" s="6">
        <f>COUNTIF(Analysis!$M$1:$M$3001,Analysis!$M2130)</f>
        <v>1</v>
      </c>
      <c r="Q2130" s="6" t="str">
        <f>IF(COUNTIF(Analysis!$M$2:$M$3001,Analysis!$M2130)&gt;1,"Duplicate","OK")</f>
        <v>OK</v>
      </c>
      <c r="R2130" s="6" t="str">
        <f t="shared" si="1"/>
        <v>2600-3600</v>
      </c>
      <c r="S2130" s="6">
        <f t="shared" si="2"/>
        <v>61</v>
      </c>
      <c r="T2130" s="6" t="str">
        <f t="shared" si="3"/>
        <v>Very Old</v>
      </c>
    </row>
    <row r="2131" ht="14.25" customHeight="1">
      <c r="A2131" s="5">
        <v>1328262.0</v>
      </c>
      <c r="B2131" s="6" t="s">
        <v>8560</v>
      </c>
      <c r="C2131" s="6" t="s">
        <v>18</v>
      </c>
      <c r="D2131" s="6">
        <v>99660.0</v>
      </c>
      <c r="E2131" s="6" t="s">
        <v>60</v>
      </c>
      <c r="F2131" s="6" t="s">
        <v>46</v>
      </c>
      <c r="G2131" s="6" t="s">
        <v>100</v>
      </c>
      <c r="H2131" s="7">
        <v>925.0</v>
      </c>
      <c r="I2131" s="7">
        <v>1975.0</v>
      </c>
      <c r="J2131" s="6">
        <v>2013.0</v>
      </c>
      <c r="K2131" s="6">
        <v>69.0</v>
      </c>
      <c r="L2131" s="6" t="s">
        <v>95</v>
      </c>
      <c r="M2131" s="6" t="s">
        <v>8561</v>
      </c>
      <c r="N2131" s="6" t="s">
        <v>24</v>
      </c>
      <c r="O2131" s="6" t="s">
        <v>35</v>
      </c>
      <c r="P2131" s="6">
        <f>COUNTIF(Analysis!$M$1:$M$3001,Analysis!$M2131)</f>
        <v>1</v>
      </c>
      <c r="Q2131" s="6" t="str">
        <f>IF(COUNTIF(Analysis!$M$2:$M$3001,Analysis!$M2131)&gt;1,"Duplicate","OK")</f>
        <v>OK</v>
      </c>
      <c r="R2131" s="6" t="str">
        <f t="shared" si="1"/>
        <v>600-1600</v>
      </c>
      <c r="S2131" s="6">
        <f t="shared" si="2"/>
        <v>13</v>
      </c>
      <c r="T2131" s="6" t="str">
        <f t="shared" si="3"/>
        <v>Mid</v>
      </c>
    </row>
    <row r="2132" ht="14.25" customHeight="1">
      <c r="A2132" s="5">
        <v>1380476.0</v>
      </c>
      <c r="B2132" s="6" t="s">
        <v>8564</v>
      </c>
      <c r="C2132" s="6" t="s">
        <v>39</v>
      </c>
      <c r="D2132" s="6">
        <v>51838.0</v>
      </c>
      <c r="E2132" s="6" t="s">
        <v>40</v>
      </c>
      <c r="F2132" s="6" t="s">
        <v>94</v>
      </c>
      <c r="G2132" s="6" t="s">
        <v>100</v>
      </c>
      <c r="H2132" s="7">
        <v>1395.0</v>
      </c>
      <c r="I2132" s="7">
        <v>2554.0</v>
      </c>
      <c r="J2132" s="6">
        <v>1960.0</v>
      </c>
      <c r="K2132" s="6">
        <v>67.0</v>
      </c>
      <c r="L2132" s="6" t="s">
        <v>22</v>
      </c>
      <c r="M2132" s="6" t="s">
        <v>8565</v>
      </c>
      <c r="N2132" s="6" t="s">
        <v>34</v>
      </c>
      <c r="O2132" s="6" t="s">
        <v>49</v>
      </c>
      <c r="P2132" s="6">
        <f>COUNTIF(Analysis!$M$1:$M$3001,Analysis!$M2132)</f>
        <v>1</v>
      </c>
      <c r="Q2132" s="6" t="str">
        <f>IF(COUNTIF(Analysis!$M$2:$M$3001,Analysis!$M2132)&gt;1,"Duplicate","OK")</f>
        <v>OK</v>
      </c>
      <c r="R2132" s="6" t="str">
        <f t="shared" si="1"/>
        <v>600-1600</v>
      </c>
      <c r="S2132" s="6">
        <f t="shared" si="2"/>
        <v>66</v>
      </c>
      <c r="T2132" s="6" t="str">
        <f t="shared" si="3"/>
        <v>Very Old</v>
      </c>
    </row>
    <row r="2133" ht="14.25" customHeight="1">
      <c r="A2133" s="5">
        <v>1095716.0</v>
      </c>
      <c r="B2133" s="6" t="s">
        <v>8568</v>
      </c>
      <c r="C2133" s="6" t="s">
        <v>39</v>
      </c>
      <c r="D2133" s="6">
        <v>52087.0</v>
      </c>
      <c r="E2133" s="6" t="s">
        <v>19</v>
      </c>
      <c r="F2133" s="6" t="s">
        <v>94</v>
      </c>
      <c r="G2133" s="6" t="s">
        <v>31</v>
      </c>
      <c r="H2133" s="7">
        <v>1476.0</v>
      </c>
      <c r="I2133" s="7">
        <v>9187.0</v>
      </c>
      <c r="J2133" s="6">
        <v>2000.0</v>
      </c>
      <c r="K2133" s="6">
        <v>22.0</v>
      </c>
      <c r="L2133" s="6" t="s">
        <v>32</v>
      </c>
      <c r="M2133" s="6" t="s">
        <v>8569</v>
      </c>
      <c r="N2133" s="6" t="s">
        <v>64</v>
      </c>
      <c r="O2133" s="6" t="s">
        <v>35</v>
      </c>
      <c r="P2133" s="6">
        <f>COUNTIF(Analysis!$M$1:$M$3001,Analysis!$M2133)</f>
        <v>1</v>
      </c>
      <c r="Q2133" s="6" t="str">
        <f>IF(COUNTIF(Analysis!$M$2:$M$3001,Analysis!$M2133)&gt;1,"Duplicate","OK")</f>
        <v>OK</v>
      </c>
      <c r="R2133" s="6" t="str">
        <f t="shared" si="1"/>
        <v>600-1600</v>
      </c>
      <c r="S2133" s="6">
        <f t="shared" si="2"/>
        <v>26</v>
      </c>
      <c r="T2133" s="6" t="str">
        <f t="shared" si="3"/>
        <v>Mid</v>
      </c>
    </row>
    <row r="2134" ht="14.25" customHeight="1">
      <c r="A2134" s="5">
        <v>998749.0</v>
      </c>
      <c r="B2134" s="6" t="s">
        <v>8572</v>
      </c>
      <c r="C2134" s="6" t="s">
        <v>18</v>
      </c>
      <c r="D2134" s="6">
        <v>35530.0</v>
      </c>
      <c r="E2134" s="6" t="s">
        <v>60</v>
      </c>
      <c r="F2134" s="6" t="s">
        <v>41</v>
      </c>
      <c r="G2134" s="6" t="s">
        <v>21</v>
      </c>
      <c r="H2134" s="7">
        <v>2905.0</v>
      </c>
      <c r="I2134" s="7">
        <v>7062.0</v>
      </c>
      <c r="J2134" s="6">
        <v>1964.0</v>
      </c>
      <c r="K2134" s="6">
        <v>66.0</v>
      </c>
      <c r="L2134" s="6" t="s">
        <v>22</v>
      </c>
      <c r="M2134" s="6" t="s">
        <v>8573</v>
      </c>
      <c r="N2134" s="6" t="s">
        <v>24</v>
      </c>
      <c r="O2134" s="6" t="s">
        <v>49</v>
      </c>
      <c r="P2134" s="6">
        <f>COUNTIF(Analysis!$M$1:$M$3001,Analysis!$M2134)</f>
        <v>1</v>
      </c>
      <c r="Q2134" s="6" t="str">
        <f>IF(COUNTIF(Analysis!$M$2:$M$3001,Analysis!$M2134)&gt;1,"Duplicate","OK")</f>
        <v>OK</v>
      </c>
      <c r="R2134" s="6" t="str">
        <f t="shared" si="1"/>
        <v>2600-3600</v>
      </c>
      <c r="S2134" s="6">
        <f t="shared" si="2"/>
        <v>62</v>
      </c>
      <c r="T2134" s="6" t="str">
        <f t="shared" si="3"/>
        <v>Very Old</v>
      </c>
    </row>
    <row r="2135" ht="14.25" customHeight="1">
      <c r="A2135" s="5">
        <v>1102499.0</v>
      </c>
      <c r="B2135" s="6" t="s">
        <v>8576</v>
      </c>
      <c r="C2135" s="6" t="s">
        <v>18</v>
      </c>
      <c r="D2135" s="6">
        <v>13222.0</v>
      </c>
      <c r="E2135" s="6" t="s">
        <v>30</v>
      </c>
      <c r="F2135" s="6" t="s">
        <v>41</v>
      </c>
      <c r="G2135" s="6" t="s">
        <v>100</v>
      </c>
      <c r="H2135" s="7">
        <v>2538.0</v>
      </c>
      <c r="I2135" s="7">
        <v>4510.0</v>
      </c>
      <c r="J2135" s="6">
        <v>1984.0</v>
      </c>
      <c r="K2135" s="6">
        <v>35.0</v>
      </c>
      <c r="L2135" s="6" t="s">
        <v>95</v>
      </c>
      <c r="M2135" s="6" t="s">
        <v>8577</v>
      </c>
      <c r="N2135" s="6" t="s">
        <v>24</v>
      </c>
      <c r="O2135" s="6" t="s">
        <v>35</v>
      </c>
      <c r="P2135" s="6">
        <f>COUNTIF(Analysis!$M$1:$M$3001,Analysis!$M2135)</f>
        <v>1</v>
      </c>
      <c r="Q2135" s="6" t="str">
        <f>IF(COUNTIF(Analysis!$M$2:$M$3001,Analysis!$M2135)&gt;1,"Duplicate","OK")</f>
        <v>OK</v>
      </c>
      <c r="R2135" s="6" t="str">
        <f t="shared" si="1"/>
        <v>1600-2600</v>
      </c>
      <c r="S2135" s="6">
        <f t="shared" si="2"/>
        <v>42</v>
      </c>
      <c r="T2135" s="6" t="str">
        <f t="shared" si="3"/>
        <v>Old</v>
      </c>
    </row>
    <row r="2136" ht="14.25" customHeight="1">
      <c r="A2136" s="5">
        <v>1064819.0</v>
      </c>
      <c r="B2136" s="6" t="s">
        <v>8580</v>
      </c>
      <c r="C2136" s="6" t="s">
        <v>53</v>
      </c>
      <c r="D2136" s="6">
        <v>38613.0</v>
      </c>
      <c r="E2136" s="6" t="s">
        <v>77</v>
      </c>
      <c r="F2136" s="6" t="s">
        <v>46</v>
      </c>
      <c r="G2136" s="6" t="s">
        <v>31</v>
      </c>
      <c r="H2136" s="7">
        <v>1335.0</v>
      </c>
      <c r="I2136" s="7">
        <v>4113.0</v>
      </c>
      <c r="J2136" s="6">
        <v>1982.0</v>
      </c>
      <c r="K2136" s="6">
        <v>71.0</v>
      </c>
      <c r="L2136" s="6" t="s">
        <v>32</v>
      </c>
      <c r="M2136" s="6" t="s">
        <v>8581</v>
      </c>
      <c r="N2136" s="6" t="s">
        <v>43</v>
      </c>
      <c r="O2136" s="6" t="s">
        <v>25</v>
      </c>
      <c r="P2136" s="6">
        <f>COUNTIF(Analysis!$M$1:$M$3001,Analysis!$M2136)</f>
        <v>1</v>
      </c>
      <c r="Q2136" s="6" t="str">
        <f>IF(COUNTIF(Analysis!$M$2:$M$3001,Analysis!$M2136)&gt;1,"Duplicate","OK")</f>
        <v>OK</v>
      </c>
      <c r="R2136" s="6" t="str">
        <f t="shared" si="1"/>
        <v>600-1600</v>
      </c>
      <c r="S2136" s="6">
        <f t="shared" si="2"/>
        <v>44</v>
      </c>
      <c r="T2136" s="6" t="str">
        <f t="shared" si="3"/>
        <v>Old</v>
      </c>
    </row>
    <row r="2137" ht="14.25" customHeight="1">
      <c r="A2137" s="5">
        <v>1106308.0</v>
      </c>
      <c r="B2137" s="6" t="s">
        <v>10235</v>
      </c>
      <c r="C2137" s="6" t="s">
        <v>29</v>
      </c>
      <c r="D2137" s="6">
        <v>72704.0</v>
      </c>
      <c r="E2137" s="6" t="s">
        <v>77</v>
      </c>
      <c r="F2137" s="6" t="s">
        <v>61</v>
      </c>
      <c r="G2137" s="6" t="s">
        <v>21</v>
      </c>
      <c r="H2137" s="7">
        <v>2527.0</v>
      </c>
      <c r="I2137" s="7">
        <v>8377.0</v>
      </c>
      <c r="J2137" s="6">
        <v>1973.0</v>
      </c>
      <c r="K2137" s="6">
        <v>32.0</v>
      </c>
      <c r="L2137" s="6" t="s">
        <v>141</v>
      </c>
      <c r="M2137" s="6" t="s">
        <v>10236</v>
      </c>
      <c r="N2137" s="6" t="s">
        <v>24</v>
      </c>
      <c r="O2137" s="6" t="s">
        <v>35</v>
      </c>
      <c r="P2137" s="6">
        <f>COUNTIF(Analysis!$M$1:$M$3001,Analysis!$M2550)</f>
        <v>1</v>
      </c>
      <c r="Q2137" s="6" t="str">
        <f>IF(COUNTIF(Analysis!$M$2:$M$3001,Analysis!$M2550)&gt;1,"Duplicate","OK")</f>
        <v>OK</v>
      </c>
      <c r="R2137" s="6" t="str">
        <f t="shared" si="1"/>
        <v>1600-2600</v>
      </c>
      <c r="S2137" s="6">
        <f t="shared" si="2"/>
        <v>53</v>
      </c>
      <c r="T2137" s="6" t="str">
        <f t="shared" si="3"/>
        <v>Old</v>
      </c>
    </row>
    <row r="2138" ht="14.25" customHeight="1">
      <c r="A2138" s="5">
        <v>507209.0</v>
      </c>
      <c r="B2138" s="6" t="s">
        <v>8588</v>
      </c>
      <c r="C2138" s="6" t="s">
        <v>76</v>
      </c>
      <c r="D2138" s="6">
        <v>95350.0</v>
      </c>
      <c r="E2138" s="6" t="s">
        <v>77</v>
      </c>
      <c r="F2138" s="6" t="s">
        <v>94</v>
      </c>
      <c r="G2138" s="6" t="s">
        <v>55</v>
      </c>
      <c r="H2138" s="7">
        <v>1126.0</v>
      </c>
      <c r="I2138" s="7">
        <v>3093.0</v>
      </c>
      <c r="J2138" s="6">
        <v>1959.0</v>
      </c>
      <c r="K2138" s="6">
        <v>97.0</v>
      </c>
      <c r="L2138" s="6" t="s">
        <v>22</v>
      </c>
      <c r="M2138" s="6" t="s">
        <v>8589</v>
      </c>
      <c r="N2138" s="6" t="s">
        <v>34</v>
      </c>
      <c r="O2138" s="6" t="s">
        <v>49</v>
      </c>
      <c r="P2138" s="6">
        <f>COUNTIF(Analysis!$M$1:$M$3001,Analysis!$M2138)</f>
        <v>1</v>
      </c>
      <c r="Q2138" s="6" t="str">
        <f>IF(COUNTIF(Analysis!$M$2:$M$3001,Analysis!$M2138)&gt;1,"Duplicate","OK")</f>
        <v>OK</v>
      </c>
      <c r="R2138" s="6" t="str">
        <f t="shared" si="1"/>
        <v>600-1600</v>
      </c>
      <c r="S2138" s="6">
        <f t="shared" si="2"/>
        <v>67</v>
      </c>
      <c r="T2138" s="6" t="str">
        <f t="shared" si="3"/>
        <v>Very Old</v>
      </c>
    </row>
    <row r="2139" ht="14.25" customHeight="1">
      <c r="A2139" s="5">
        <v>664032.0</v>
      </c>
      <c r="B2139" s="6" t="s">
        <v>8592</v>
      </c>
      <c r="C2139" s="6" t="s">
        <v>53</v>
      </c>
      <c r="D2139" s="6">
        <v>62583.0</v>
      </c>
      <c r="E2139" s="6" t="s">
        <v>60</v>
      </c>
      <c r="F2139" s="6" t="s">
        <v>20</v>
      </c>
      <c r="G2139" s="6" t="s">
        <v>21</v>
      </c>
      <c r="H2139" s="7">
        <v>670.0</v>
      </c>
      <c r="I2139" s="7">
        <v>4921.0</v>
      </c>
      <c r="J2139" s="6">
        <v>1996.0</v>
      </c>
      <c r="K2139" s="6">
        <v>17.0</v>
      </c>
      <c r="L2139" s="6" t="s">
        <v>22</v>
      </c>
      <c r="M2139" s="6" t="s">
        <v>8593</v>
      </c>
      <c r="N2139" s="6" t="s">
        <v>24</v>
      </c>
      <c r="O2139" s="6" t="s">
        <v>35</v>
      </c>
      <c r="P2139" s="6">
        <f>COUNTIF(Analysis!$M$1:$M$3001,Analysis!$M2139)</f>
        <v>1</v>
      </c>
      <c r="Q2139" s="6" t="str">
        <f>IF(COUNTIF(Analysis!$M$2:$M$3001,Analysis!$M2139)&gt;1,"Duplicate","OK")</f>
        <v>OK</v>
      </c>
      <c r="R2139" s="6" t="str">
        <f t="shared" si="1"/>
        <v>600-1600</v>
      </c>
      <c r="S2139" s="6">
        <f t="shared" si="2"/>
        <v>30</v>
      </c>
      <c r="T2139" s="6" t="str">
        <f t="shared" si="3"/>
        <v>Mid</v>
      </c>
    </row>
    <row r="2140" ht="14.25" customHeight="1">
      <c r="A2140" s="5">
        <v>824851.0</v>
      </c>
      <c r="B2140" s="6" t="s">
        <v>8596</v>
      </c>
      <c r="C2140" s="6" t="s">
        <v>18</v>
      </c>
      <c r="D2140" s="6">
        <v>66109.0</v>
      </c>
      <c r="E2140" s="6" t="s">
        <v>30</v>
      </c>
      <c r="F2140" s="6" t="s">
        <v>54</v>
      </c>
      <c r="G2140" s="6" t="s">
        <v>100</v>
      </c>
      <c r="H2140" s="7">
        <v>2566.0</v>
      </c>
      <c r="I2140" s="7">
        <v>4783.0</v>
      </c>
      <c r="J2140" s="6">
        <v>1968.0</v>
      </c>
      <c r="K2140" s="6">
        <v>59.0</v>
      </c>
      <c r="L2140" s="6" t="s">
        <v>22</v>
      </c>
      <c r="M2140" s="6" t="s">
        <v>8597</v>
      </c>
      <c r="N2140" s="6" t="s">
        <v>34</v>
      </c>
      <c r="O2140" s="6" t="s">
        <v>25</v>
      </c>
      <c r="P2140" s="6">
        <f>COUNTIF(Analysis!$M$1:$M$3001,Analysis!$M2140)</f>
        <v>1</v>
      </c>
      <c r="Q2140" s="6" t="str">
        <f>IF(COUNTIF(Analysis!$M$2:$M$3001,Analysis!$M2140)&gt;1,"Duplicate","OK")</f>
        <v>OK</v>
      </c>
      <c r="R2140" s="6" t="str">
        <f t="shared" si="1"/>
        <v>1600-2600</v>
      </c>
      <c r="S2140" s="6">
        <f t="shared" si="2"/>
        <v>58</v>
      </c>
      <c r="T2140" s="6" t="str">
        <f t="shared" si="3"/>
        <v>Old</v>
      </c>
    </row>
    <row r="2141" ht="14.25" customHeight="1">
      <c r="A2141" s="5">
        <v>345717.0</v>
      </c>
      <c r="B2141" s="6" t="s">
        <v>8600</v>
      </c>
      <c r="C2141" s="6" t="s">
        <v>76</v>
      </c>
      <c r="D2141" s="6">
        <v>87803.0</v>
      </c>
      <c r="E2141" s="6" t="s">
        <v>40</v>
      </c>
      <c r="F2141" s="6" t="s">
        <v>54</v>
      </c>
      <c r="G2141" s="6" t="s">
        <v>100</v>
      </c>
      <c r="H2141" s="7">
        <v>1243.0</v>
      </c>
      <c r="I2141" s="7">
        <v>6073.0</v>
      </c>
      <c r="J2141" s="6">
        <v>2008.0</v>
      </c>
      <c r="K2141" s="6">
        <v>36.0</v>
      </c>
      <c r="L2141" s="6" t="s">
        <v>141</v>
      </c>
      <c r="M2141" s="6" t="s">
        <v>8601</v>
      </c>
      <c r="N2141" s="6" t="s">
        <v>24</v>
      </c>
      <c r="O2141" s="6" t="s">
        <v>49</v>
      </c>
      <c r="P2141" s="6">
        <f>COUNTIF(Analysis!$M$1:$M$3001,Analysis!$M2141)</f>
        <v>1</v>
      </c>
      <c r="Q2141" s="6" t="str">
        <f>IF(COUNTIF(Analysis!$M$2:$M$3001,Analysis!$M2141)&gt;1,"Duplicate","OK")</f>
        <v>OK</v>
      </c>
      <c r="R2141" s="6" t="str">
        <f t="shared" si="1"/>
        <v>600-1600</v>
      </c>
      <c r="S2141" s="6">
        <f t="shared" si="2"/>
        <v>18</v>
      </c>
      <c r="T2141" s="6" t="str">
        <f t="shared" si="3"/>
        <v>Mid</v>
      </c>
    </row>
    <row r="2142" ht="14.25" customHeight="1">
      <c r="A2142" s="5">
        <v>1012634.0</v>
      </c>
      <c r="B2142" s="6" t="s">
        <v>8604</v>
      </c>
      <c r="C2142" s="6" t="s">
        <v>39</v>
      </c>
      <c r="D2142" s="6">
        <v>16022.0</v>
      </c>
      <c r="E2142" s="6" t="s">
        <v>19</v>
      </c>
      <c r="F2142" s="6" t="s">
        <v>54</v>
      </c>
      <c r="G2142" s="6" t="s">
        <v>100</v>
      </c>
      <c r="H2142" s="7">
        <v>3224.0</v>
      </c>
      <c r="I2142" s="7">
        <v>4508.0</v>
      </c>
      <c r="J2142" s="6">
        <v>1952.0</v>
      </c>
      <c r="K2142" s="6">
        <v>22.0</v>
      </c>
      <c r="L2142" s="6" t="s">
        <v>95</v>
      </c>
      <c r="M2142" s="6" t="s">
        <v>8605</v>
      </c>
      <c r="N2142" s="6" t="s">
        <v>64</v>
      </c>
      <c r="O2142" s="6" t="s">
        <v>35</v>
      </c>
      <c r="P2142" s="6">
        <f>COUNTIF(Analysis!$M$1:$M$3001,Analysis!$M2142)</f>
        <v>1</v>
      </c>
      <c r="Q2142" s="6" t="str">
        <f>IF(COUNTIF(Analysis!$M$2:$M$3001,Analysis!$M2142)&gt;1,"Duplicate","OK")</f>
        <v>OK</v>
      </c>
      <c r="R2142" s="6" t="str">
        <f t="shared" si="1"/>
        <v>2600-3600</v>
      </c>
      <c r="S2142" s="6">
        <f t="shared" si="2"/>
        <v>74</v>
      </c>
      <c r="T2142" s="6" t="str">
        <f t="shared" si="3"/>
        <v>Very Old</v>
      </c>
    </row>
    <row r="2143" ht="14.25" customHeight="1">
      <c r="A2143" s="5">
        <v>175100.0</v>
      </c>
      <c r="B2143" s="6" t="s">
        <v>8608</v>
      </c>
      <c r="C2143" s="6" t="s">
        <v>53</v>
      </c>
      <c r="D2143" s="6">
        <v>97674.0</v>
      </c>
      <c r="E2143" s="6" t="s">
        <v>30</v>
      </c>
      <c r="F2143" s="6" t="s">
        <v>54</v>
      </c>
      <c r="G2143" s="6" t="s">
        <v>55</v>
      </c>
      <c r="H2143" s="7">
        <v>1511.0</v>
      </c>
      <c r="I2143" s="7">
        <v>3608.0</v>
      </c>
      <c r="J2143" s="6">
        <v>1956.0</v>
      </c>
      <c r="K2143" s="6">
        <v>66.0</v>
      </c>
      <c r="L2143" s="6" t="s">
        <v>141</v>
      </c>
      <c r="M2143" s="6" t="s">
        <v>8609</v>
      </c>
      <c r="N2143" s="6" t="s">
        <v>48</v>
      </c>
      <c r="O2143" s="6" t="s">
        <v>49</v>
      </c>
      <c r="P2143" s="6">
        <f>COUNTIF(Analysis!$M$1:$M$3001,Analysis!$M2143)</f>
        <v>1</v>
      </c>
      <c r="Q2143" s="6" t="str">
        <f>IF(COUNTIF(Analysis!$M$2:$M$3001,Analysis!$M2143)&gt;1,"Duplicate","OK")</f>
        <v>OK</v>
      </c>
      <c r="R2143" s="6" t="str">
        <f t="shared" si="1"/>
        <v>600-1600</v>
      </c>
      <c r="S2143" s="6">
        <f t="shared" si="2"/>
        <v>70</v>
      </c>
      <c r="T2143" s="6" t="str">
        <f t="shared" si="3"/>
        <v>Very Old</v>
      </c>
    </row>
    <row r="2144" ht="14.25" customHeight="1">
      <c r="A2144" s="5">
        <v>911898.0</v>
      </c>
      <c r="B2144" s="6" t="s">
        <v>8612</v>
      </c>
      <c r="C2144" s="6" t="s">
        <v>18</v>
      </c>
      <c r="D2144" s="6">
        <v>62559.0</v>
      </c>
      <c r="E2144" s="6" t="s">
        <v>77</v>
      </c>
      <c r="F2144" s="6" t="s">
        <v>46</v>
      </c>
      <c r="G2144" s="6" t="s">
        <v>21</v>
      </c>
      <c r="H2144" s="7">
        <v>920.0</v>
      </c>
      <c r="I2144" s="7">
        <v>4728.0</v>
      </c>
      <c r="J2144" s="6">
        <v>1989.0</v>
      </c>
      <c r="K2144" s="6">
        <v>12.0</v>
      </c>
      <c r="L2144" s="6" t="s">
        <v>62</v>
      </c>
      <c r="M2144" s="6" t="s">
        <v>8613</v>
      </c>
      <c r="N2144" s="6" t="s">
        <v>24</v>
      </c>
      <c r="O2144" s="6" t="s">
        <v>25</v>
      </c>
      <c r="P2144" s="6">
        <f>COUNTIF(Analysis!$M$1:$M$3001,Analysis!$M2144)</f>
        <v>1</v>
      </c>
      <c r="Q2144" s="6" t="str">
        <f>IF(COUNTIF(Analysis!$M$2:$M$3001,Analysis!$M2144)&gt;1,"Duplicate","OK")</f>
        <v>OK</v>
      </c>
      <c r="R2144" s="6" t="str">
        <f t="shared" si="1"/>
        <v>600-1600</v>
      </c>
      <c r="S2144" s="6">
        <f t="shared" si="2"/>
        <v>37</v>
      </c>
      <c r="T2144" s="6" t="str">
        <f t="shared" si="3"/>
        <v>Old</v>
      </c>
    </row>
    <row r="2145" ht="14.25" customHeight="1">
      <c r="A2145" s="5">
        <v>507926.0</v>
      </c>
      <c r="B2145" s="6" t="s">
        <v>8616</v>
      </c>
      <c r="C2145" s="6" t="s">
        <v>39</v>
      </c>
      <c r="D2145" s="6">
        <v>98562.0</v>
      </c>
      <c r="E2145" s="6" t="s">
        <v>60</v>
      </c>
      <c r="F2145" s="6" t="s">
        <v>61</v>
      </c>
      <c r="G2145" s="6" t="s">
        <v>21</v>
      </c>
      <c r="H2145" s="7">
        <v>815.0</v>
      </c>
      <c r="I2145" s="7">
        <v>2426.0</v>
      </c>
      <c r="J2145" s="6">
        <v>2006.0</v>
      </c>
      <c r="K2145" s="6">
        <v>50.0</v>
      </c>
      <c r="L2145" s="6" t="s">
        <v>95</v>
      </c>
      <c r="M2145" s="6" t="s">
        <v>8617</v>
      </c>
      <c r="N2145" s="6" t="s">
        <v>64</v>
      </c>
      <c r="O2145" s="6" t="s">
        <v>35</v>
      </c>
      <c r="P2145" s="6">
        <f>COUNTIF(Analysis!$M$1:$M$3001,Analysis!$M2145)</f>
        <v>1</v>
      </c>
      <c r="Q2145" s="6" t="str">
        <f>IF(COUNTIF(Analysis!$M$2:$M$3001,Analysis!$M2145)&gt;1,"Duplicate","OK")</f>
        <v>OK</v>
      </c>
      <c r="R2145" s="6" t="str">
        <f t="shared" si="1"/>
        <v>600-1600</v>
      </c>
      <c r="S2145" s="6">
        <f t="shared" si="2"/>
        <v>20</v>
      </c>
      <c r="T2145" s="6" t="str">
        <f t="shared" si="3"/>
        <v>Mid</v>
      </c>
    </row>
    <row r="2146" ht="14.25" customHeight="1">
      <c r="A2146" s="5">
        <v>551347.0</v>
      </c>
      <c r="B2146" s="6" t="s">
        <v>8620</v>
      </c>
      <c r="C2146" s="6" t="s">
        <v>39</v>
      </c>
      <c r="D2146" s="6">
        <v>18019.0</v>
      </c>
      <c r="E2146" s="6" t="s">
        <v>60</v>
      </c>
      <c r="F2146" s="6" t="s">
        <v>46</v>
      </c>
      <c r="G2146" s="6" t="s">
        <v>100</v>
      </c>
      <c r="H2146" s="7">
        <v>2567.0</v>
      </c>
      <c r="I2146" s="7">
        <v>5847.0</v>
      </c>
      <c r="J2146" s="6">
        <v>2002.0</v>
      </c>
      <c r="K2146" s="6">
        <v>42.0</v>
      </c>
      <c r="L2146" s="6" t="s">
        <v>32</v>
      </c>
      <c r="M2146" s="6" t="s">
        <v>8621</v>
      </c>
      <c r="N2146" s="6" t="s">
        <v>48</v>
      </c>
      <c r="O2146" s="6" t="s">
        <v>49</v>
      </c>
      <c r="P2146" s="6">
        <f>COUNTIF(Analysis!$M$1:$M$3001,Analysis!$M2146)</f>
        <v>1</v>
      </c>
      <c r="Q2146" s="6" t="str">
        <f>IF(COUNTIF(Analysis!$M$2:$M$3001,Analysis!$M2146)&gt;1,"Duplicate","OK")</f>
        <v>OK</v>
      </c>
      <c r="R2146" s="6" t="str">
        <f t="shared" si="1"/>
        <v>1600-2600</v>
      </c>
      <c r="S2146" s="6">
        <f t="shared" si="2"/>
        <v>24</v>
      </c>
      <c r="T2146" s="6" t="str">
        <f t="shared" si="3"/>
        <v>Mid</v>
      </c>
    </row>
    <row r="2147" ht="14.25" customHeight="1">
      <c r="A2147" s="5">
        <v>1108587.0</v>
      </c>
      <c r="B2147" s="6" t="s">
        <v>8624</v>
      </c>
      <c r="C2147" s="6" t="s">
        <v>76</v>
      </c>
      <c r="D2147" s="6">
        <v>89641.0</v>
      </c>
      <c r="E2147" s="6" t="s">
        <v>40</v>
      </c>
      <c r="F2147" s="6" t="s">
        <v>46</v>
      </c>
      <c r="G2147" s="6" t="s">
        <v>55</v>
      </c>
      <c r="H2147" s="7">
        <v>3297.0</v>
      </c>
      <c r="I2147" s="7">
        <v>6952.0</v>
      </c>
      <c r="J2147" s="6">
        <v>2020.0</v>
      </c>
      <c r="K2147" s="6">
        <v>84.0</v>
      </c>
      <c r="L2147" s="6" t="s">
        <v>62</v>
      </c>
      <c r="M2147" s="6" t="s">
        <v>8625</v>
      </c>
      <c r="N2147" s="6" t="s">
        <v>43</v>
      </c>
      <c r="O2147" s="6" t="s">
        <v>35</v>
      </c>
      <c r="P2147" s="6">
        <f>COUNTIF(Analysis!$M$1:$M$3001,Analysis!$M2147)</f>
        <v>1</v>
      </c>
      <c r="Q2147" s="6" t="str">
        <f>IF(COUNTIF(Analysis!$M$2:$M$3001,Analysis!$M2147)&gt;1,"Duplicate","OK")</f>
        <v>OK</v>
      </c>
      <c r="R2147" s="6" t="str">
        <f t="shared" si="1"/>
        <v>2600-3600</v>
      </c>
      <c r="S2147" s="6">
        <f t="shared" si="2"/>
        <v>6</v>
      </c>
      <c r="T2147" s="6" t="str">
        <f t="shared" si="3"/>
        <v>New</v>
      </c>
    </row>
    <row r="2148" ht="14.25" customHeight="1">
      <c r="A2148" s="5">
        <v>1339653.0</v>
      </c>
      <c r="B2148" s="6" t="s">
        <v>8628</v>
      </c>
      <c r="C2148" s="6" t="s">
        <v>18</v>
      </c>
      <c r="D2148" s="6">
        <v>44504.0</v>
      </c>
      <c r="E2148" s="6" t="s">
        <v>77</v>
      </c>
      <c r="F2148" s="6" t="s">
        <v>61</v>
      </c>
      <c r="G2148" s="6" t="s">
        <v>21</v>
      </c>
      <c r="H2148" s="7">
        <v>1610.0</v>
      </c>
      <c r="I2148" s="7">
        <v>1096.0</v>
      </c>
      <c r="J2148" s="6">
        <v>1953.0</v>
      </c>
      <c r="K2148" s="6">
        <v>13.0</v>
      </c>
      <c r="L2148" s="6" t="s">
        <v>95</v>
      </c>
      <c r="M2148" s="6" t="s">
        <v>8629</v>
      </c>
      <c r="N2148" s="6" t="s">
        <v>34</v>
      </c>
      <c r="O2148" s="6" t="s">
        <v>25</v>
      </c>
      <c r="P2148" s="6">
        <f>COUNTIF(Analysis!$M$1:$M$3001,Analysis!$M2148)</f>
        <v>1</v>
      </c>
      <c r="Q2148" s="6" t="str">
        <f>IF(COUNTIF(Analysis!$M$2:$M$3001,Analysis!$M2148)&gt;1,"Duplicate","OK")</f>
        <v>OK</v>
      </c>
      <c r="R2148" s="6" t="str">
        <f t="shared" si="1"/>
        <v>1600-2600</v>
      </c>
      <c r="S2148" s="6">
        <f t="shared" si="2"/>
        <v>73</v>
      </c>
      <c r="T2148" s="6" t="str">
        <f t="shared" si="3"/>
        <v>Very Old</v>
      </c>
    </row>
    <row r="2149" ht="14.25" customHeight="1">
      <c r="A2149" s="5">
        <v>698605.0</v>
      </c>
      <c r="B2149" s="6" t="s">
        <v>8632</v>
      </c>
      <c r="C2149" s="6" t="s">
        <v>53</v>
      </c>
      <c r="D2149" s="6">
        <v>44449.0</v>
      </c>
      <c r="E2149" s="6" t="s">
        <v>30</v>
      </c>
      <c r="F2149" s="6" t="s">
        <v>46</v>
      </c>
      <c r="G2149" s="6" t="s">
        <v>55</v>
      </c>
      <c r="H2149" s="7">
        <v>603.0</v>
      </c>
      <c r="I2149" s="7">
        <v>7069.0</v>
      </c>
      <c r="J2149" s="6">
        <v>1959.0</v>
      </c>
      <c r="K2149" s="6">
        <v>90.0</v>
      </c>
      <c r="L2149" s="6" t="s">
        <v>22</v>
      </c>
      <c r="M2149" s="6" t="s">
        <v>8633</v>
      </c>
      <c r="N2149" s="6" t="s">
        <v>64</v>
      </c>
      <c r="O2149" s="6" t="s">
        <v>35</v>
      </c>
      <c r="P2149" s="6">
        <f>COUNTIF(Analysis!$M$1:$M$3001,Analysis!$M2149)</f>
        <v>1</v>
      </c>
      <c r="Q2149" s="6" t="str">
        <f>IF(COUNTIF(Analysis!$M$2:$M$3001,Analysis!$M2149)&gt;1,"Duplicate","OK")</f>
        <v>OK</v>
      </c>
      <c r="R2149" s="6" t="str">
        <f t="shared" si="1"/>
        <v>600-1600</v>
      </c>
      <c r="S2149" s="6">
        <f t="shared" si="2"/>
        <v>67</v>
      </c>
      <c r="T2149" s="6" t="str">
        <f t="shared" si="3"/>
        <v>Very Old</v>
      </c>
    </row>
    <row r="2150" ht="14.25" customHeight="1">
      <c r="A2150" s="5">
        <v>153639.0</v>
      </c>
      <c r="B2150" s="6" t="s">
        <v>8636</v>
      </c>
      <c r="C2150" s="6" t="s">
        <v>76</v>
      </c>
      <c r="D2150" s="6">
        <v>37560.0</v>
      </c>
      <c r="E2150" s="6" t="s">
        <v>30</v>
      </c>
      <c r="F2150" s="6" t="s">
        <v>61</v>
      </c>
      <c r="G2150" s="6" t="s">
        <v>55</v>
      </c>
      <c r="H2150" s="7">
        <v>1109.0</v>
      </c>
      <c r="I2150" s="7">
        <v>1425.0</v>
      </c>
      <c r="J2150" s="6">
        <v>1967.0</v>
      </c>
      <c r="K2150" s="6">
        <v>30.0</v>
      </c>
      <c r="L2150" s="6" t="s">
        <v>141</v>
      </c>
      <c r="M2150" s="6" t="s">
        <v>8637</v>
      </c>
      <c r="N2150" s="6" t="s">
        <v>43</v>
      </c>
      <c r="O2150" s="6" t="s">
        <v>25</v>
      </c>
      <c r="P2150" s="6">
        <f>COUNTIF(Analysis!$M$1:$M$3001,Analysis!$M2150)</f>
        <v>1</v>
      </c>
      <c r="Q2150" s="6" t="str">
        <f>IF(COUNTIF(Analysis!$M$2:$M$3001,Analysis!$M2150)&gt;1,"Duplicate","OK")</f>
        <v>OK</v>
      </c>
      <c r="R2150" s="6" t="str">
        <f t="shared" si="1"/>
        <v>600-1600</v>
      </c>
      <c r="S2150" s="6">
        <f t="shared" si="2"/>
        <v>59</v>
      </c>
      <c r="T2150" s="6" t="str">
        <f t="shared" si="3"/>
        <v>Old</v>
      </c>
    </row>
    <row r="2151" ht="14.25" customHeight="1">
      <c r="A2151" s="5">
        <v>1110522.0</v>
      </c>
      <c r="B2151" s="6" t="s">
        <v>8704</v>
      </c>
      <c r="C2151" s="6" t="s">
        <v>29</v>
      </c>
      <c r="D2151" s="6">
        <v>69272.0</v>
      </c>
      <c r="E2151" s="6" t="s">
        <v>40</v>
      </c>
      <c r="F2151" s="6" t="s">
        <v>61</v>
      </c>
      <c r="G2151" s="6" t="s">
        <v>21</v>
      </c>
      <c r="H2151" s="7">
        <v>3052.0</v>
      </c>
      <c r="I2151" s="7">
        <v>4381.0</v>
      </c>
      <c r="J2151" s="6">
        <v>2018.0</v>
      </c>
      <c r="K2151" s="6">
        <v>81.0</v>
      </c>
      <c r="L2151" s="6" t="s">
        <v>141</v>
      </c>
      <c r="M2151" s="6" t="s">
        <v>8705</v>
      </c>
      <c r="N2151" s="6" t="s">
        <v>43</v>
      </c>
      <c r="O2151" s="6" t="s">
        <v>49</v>
      </c>
      <c r="P2151" s="6">
        <f>COUNTIF(Analysis!$M$1:$M$3001,Analysis!$M2167)</f>
        <v>1</v>
      </c>
      <c r="Q2151" s="6" t="str">
        <f>IF(COUNTIF(Analysis!$M$2:$M$3001,Analysis!$M2167)&gt;1,"Duplicate","OK")</f>
        <v>OK</v>
      </c>
      <c r="R2151" s="6" t="str">
        <f t="shared" si="1"/>
        <v>2600-3600</v>
      </c>
      <c r="S2151" s="6">
        <f t="shared" si="2"/>
        <v>8</v>
      </c>
      <c r="T2151" s="6" t="str">
        <f t="shared" si="3"/>
        <v>New</v>
      </c>
    </row>
    <row r="2152" ht="14.25" customHeight="1">
      <c r="A2152" s="5">
        <v>799196.0</v>
      </c>
      <c r="B2152" s="6" t="s">
        <v>8644</v>
      </c>
      <c r="C2152" s="6" t="s">
        <v>18</v>
      </c>
      <c r="D2152" s="6">
        <v>97723.0</v>
      </c>
      <c r="E2152" s="6" t="s">
        <v>40</v>
      </c>
      <c r="F2152" s="6" t="s">
        <v>41</v>
      </c>
      <c r="G2152" s="6" t="s">
        <v>21</v>
      </c>
      <c r="H2152" s="7">
        <v>3769.0</v>
      </c>
      <c r="I2152" s="7">
        <v>1397.0</v>
      </c>
      <c r="J2152" s="6">
        <v>2007.0</v>
      </c>
      <c r="K2152" s="6">
        <v>73.0</v>
      </c>
      <c r="L2152" s="6" t="s">
        <v>95</v>
      </c>
      <c r="M2152" s="6" t="s">
        <v>8645</v>
      </c>
      <c r="N2152" s="6" t="s">
        <v>24</v>
      </c>
      <c r="O2152" s="6" t="s">
        <v>35</v>
      </c>
      <c r="P2152" s="6">
        <f>COUNTIF(Analysis!$M$1:$M$3001,Analysis!$M2152)</f>
        <v>1</v>
      </c>
      <c r="Q2152" s="6" t="str">
        <f>IF(COUNTIF(Analysis!$M$2:$M$3001,Analysis!$M2152)&gt;1,"Duplicate","OK")</f>
        <v>OK</v>
      </c>
      <c r="R2152" s="6" t="str">
        <f t="shared" si="1"/>
        <v>3600+</v>
      </c>
      <c r="S2152" s="6">
        <f t="shared" si="2"/>
        <v>19</v>
      </c>
      <c r="T2152" s="6" t="str">
        <f t="shared" si="3"/>
        <v>Mid</v>
      </c>
    </row>
    <row r="2153" ht="14.25" customHeight="1">
      <c r="A2153" s="5">
        <v>1115403.0</v>
      </c>
      <c r="B2153" s="6" t="s">
        <v>6097</v>
      </c>
      <c r="C2153" s="6" t="s">
        <v>29</v>
      </c>
      <c r="D2153" s="6">
        <v>65768.0</v>
      </c>
      <c r="E2153" s="6" t="s">
        <v>30</v>
      </c>
      <c r="F2153" s="6" t="s">
        <v>61</v>
      </c>
      <c r="G2153" s="6" t="s">
        <v>100</v>
      </c>
      <c r="H2153" s="7">
        <v>1457.0</v>
      </c>
      <c r="I2153" s="7">
        <v>7949.0</v>
      </c>
      <c r="J2153" s="6">
        <v>2004.0</v>
      </c>
      <c r="K2153" s="6">
        <v>64.0</v>
      </c>
      <c r="L2153" s="6" t="s">
        <v>22</v>
      </c>
      <c r="M2153" s="6" t="s">
        <v>6098</v>
      </c>
      <c r="N2153" s="6" t="s">
        <v>24</v>
      </c>
      <c r="O2153" s="6" t="s">
        <v>49</v>
      </c>
      <c r="P2153" s="6">
        <f>COUNTIF(Analysis!$M$1:$M$3001,Analysis!$M1515)</f>
        <v>1</v>
      </c>
      <c r="Q2153" s="6" t="str">
        <f>IF(COUNTIF(Analysis!$M$2:$M$3001,Analysis!$M1515)&gt;1,"Duplicate","OK")</f>
        <v>OK</v>
      </c>
      <c r="R2153" s="6" t="str">
        <f t="shared" si="1"/>
        <v>600-1600</v>
      </c>
      <c r="S2153" s="6">
        <f t="shared" si="2"/>
        <v>22</v>
      </c>
      <c r="T2153" s="6" t="str">
        <f t="shared" si="3"/>
        <v>Mid</v>
      </c>
    </row>
    <row r="2154" ht="14.25" customHeight="1">
      <c r="A2154" s="5">
        <v>1117002.0</v>
      </c>
      <c r="B2154" s="6" t="s">
        <v>7277</v>
      </c>
      <c r="C2154" s="6" t="s">
        <v>29</v>
      </c>
      <c r="D2154" s="6">
        <v>48794.0</v>
      </c>
      <c r="E2154" s="6" t="s">
        <v>30</v>
      </c>
      <c r="F2154" s="6" t="s">
        <v>41</v>
      </c>
      <c r="G2154" s="6" t="s">
        <v>100</v>
      </c>
      <c r="H2154" s="7">
        <v>1080.0</v>
      </c>
      <c r="I2154" s="7">
        <v>7567.0</v>
      </c>
      <c r="J2154" s="6">
        <v>2015.0</v>
      </c>
      <c r="K2154" s="6">
        <v>15.0</v>
      </c>
      <c r="L2154" s="6" t="s">
        <v>95</v>
      </c>
      <c r="M2154" s="6" t="s">
        <v>7278</v>
      </c>
      <c r="N2154" s="6" t="s">
        <v>64</v>
      </c>
      <c r="O2154" s="6" t="s">
        <v>25</v>
      </c>
      <c r="P2154" s="6">
        <f>COUNTIF(Analysis!$M$1:$M$3001,Analysis!$M1810)</f>
        <v>1</v>
      </c>
      <c r="Q2154" s="6" t="str">
        <f>IF(COUNTIF(Analysis!$M$2:$M$3001,Analysis!$M1810)&gt;1,"Duplicate","OK")</f>
        <v>OK</v>
      </c>
      <c r="R2154" s="6" t="str">
        <f t="shared" si="1"/>
        <v>600-1600</v>
      </c>
      <c r="S2154" s="6">
        <f t="shared" si="2"/>
        <v>11</v>
      </c>
      <c r="T2154" s="6" t="str">
        <f t="shared" si="3"/>
        <v>Mid</v>
      </c>
    </row>
    <row r="2155" ht="14.25" customHeight="1">
      <c r="A2155" s="5">
        <v>1477408.0</v>
      </c>
      <c r="B2155" s="6" t="s">
        <v>8656</v>
      </c>
      <c r="C2155" s="6" t="s">
        <v>18</v>
      </c>
      <c r="D2155" s="6">
        <v>18958.0</v>
      </c>
      <c r="E2155" s="6" t="s">
        <v>40</v>
      </c>
      <c r="F2155" s="6" t="s">
        <v>20</v>
      </c>
      <c r="G2155" s="6" t="s">
        <v>100</v>
      </c>
      <c r="H2155" s="7">
        <v>1737.0</v>
      </c>
      <c r="I2155" s="7">
        <v>7580.0</v>
      </c>
      <c r="J2155" s="6">
        <v>1980.0</v>
      </c>
      <c r="K2155" s="6">
        <v>110.0</v>
      </c>
      <c r="L2155" s="6" t="s">
        <v>95</v>
      </c>
      <c r="M2155" s="6" t="s">
        <v>8657</v>
      </c>
      <c r="N2155" s="6" t="s">
        <v>64</v>
      </c>
      <c r="O2155" s="6" t="s">
        <v>25</v>
      </c>
      <c r="P2155" s="6">
        <f>COUNTIF(Analysis!$M$1:$M$3001,Analysis!$M2155)</f>
        <v>1</v>
      </c>
      <c r="Q2155" s="6" t="str">
        <f>IF(COUNTIF(Analysis!$M$2:$M$3001,Analysis!$M2155)&gt;1,"Duplicate","OK")</f>
        <v>OK</v>
      </c>
      <c r="R2155" s="6" t="str">
        <f t="shared" si="1"/>
        <v>1600-2600</v>
      </c>
      <c r="S2155" s="6">
        <f t="shared" si="2"/>
        <v>46</v>
      </c>
      <c r="T2155" s="6" t="str">
        <f t="shared" si="3"/>
        <v>Old</v>
      </c>
    </row>
    <row r="2156" ht="14.25" customHeight="1">
      <c r="A2156" s="5">
        <v>766178.0</v>
      </c>
      <c r="B2156" s="6" t="s">
        <v>8660</v>
      </c>
      <c r="C2156" s="6" t="s">
        <v>39</v>
      </c>
      <c r="D2156" s="6">
        <v>82125.0</v>
      </c>
      <c r="E2156" s="6" t="s">
        <v>19</v>
      </c>
      <c r="F2156" s="6" t="s">
        <v>54</v>
      </c>
      <c r="G2156" s="6" t="s">
        <v>21</v>
      </c>
      <c r="H2156" s="7">
        <v>3053.0</v>
      </c>
      <c r="I2156" s="7">
        <v>7488.0</v>
      </c>
      <c r="J2156" s="6">
        <v>2018.0</v>
      </c>
      <c r="K2156" s="6">
        <v>9.0</v>
      </c>
      <c r="L2156" s="6" t="s">
        <v>62</v>
      </c>
      <c r="M2156" s="6" t="s">
        <v>8661</v>
      </c>
      <c r="N2156" s="6" t="s">
        <v>48</v>
      </c>
      <c r="O2156" s="6" t="s">
        <v>49</v>
      </c>
      <c r="P2156" s="6">
        <f>COUNTIF(Analysis!$M$1:$M$3001,Analysis!$M2156)</f>
        <v>1</v>
      </c>
      <c r="Q2156" s="6" t="str">
        <f>IF(COUNTIF(Analysis!$M$2:$M$3001,Analysis!$M2156)&gt;1,"Duplicate","OK")</f>
        <v>OK</v>
      </c>
      <c r="R2156" s="6" t="str">
        <f t="shared" si="1"/>
        <v>2600-3600</v>
      </c>
      <c r="S2156" s="6">
        <f t="shared" si="2"/>
        <v>8</v>
      </c>
      <c r="T2156" s="6" t="str">
        <f t="shared" si="3"/>
        <v>New</v>
      </c>
    </row>
    <row r="2157" ht="14.25" customHeight="1">
      <c r="A2157" s="5">
        <v>959249.0</v>
      </c>
      <c r="B2157" s="6" t="s">
        <v>8664</v>
      </c>
      <c r="C2157" s="6" t="s">
        <v>53</v>
      </c>
      <c r="D2157" s="6">
        <v>56664.0</v>
      </c>
      <c r="E2157" s="6" t="s">
        <v>19</v>
      </c>
      <c r="F2157" s="6" t="s">
        <v>54</v>
      </c>
      <c r="G2157" s="6" t="s">
        <v>55</v>
      </c>
      <c r="H2157" s="7">
        <v>2122.0</v>
      </c>
      <c r="I2157" s="7">
        <v>6716.0</v>
      </c>
      <c r="J2157" s="6">
        <v>2008.0</v>
      </c>
      <c r="K2157" s="6">
        <v>8.0</v>
      </c>
      <c r="L2157" s="6" t="s">
        <v>95</v>
      </c>
      <c r="M2157" s="6" t="s">
        <v>8665</v>
      </c>
      <c r="N2157" s="6" t="s">
        <v>24</v>
      </c>
      <c r="O2157" s="6" t="s">
        <v>49</v>
      </c>
      <c r="P2157" s="6">
        <f>COUNTIF(Analysis!$M$1:$M$3001,Analysis!$M2157)</f>
        <v>1</v>
      </c>
      <c r="Q2157" s="6" t="str">
        <f>IF(COUNTIF(Analysis!$M$2:$M$3001,Analysis!$M2157)&gt;1,"Duplicate","OK")</f>
        <v>OK</v>
      </c>
      <c r="R2157" s="6" t="str">
        <f t="shared" si="1"/>
        <v>1600-2600</v>
      </c>
      <c r="S2157" s="6">
        <f t="shared" si="2"/>
        <v>18</v>
      </c>
      <c r="T2157" s="6" t="str">
        <f t="shared" si="3"/>
        <v>Mid</v>
      </c>
    </row>
    <row r="2158" ht="14.25" customHeight="1">
      <c r="A2158" s="5">
        <v>238077.0</v>
      </c>
      <c r="B2158" s="6" t="s">
        <v>8668</v>
      </c>
      <c r="C2158" s="6" t="s">
        <v>18</v>
      </c>
      <c r="D2158" s="6">
        <v>23062.0</v>
      </c>
      <c r="E2158" s="6" t="s">
        <v>77</v>
      </c>
      <c r="F2158" s="6" t="s">
        <v>20</v>
      </c>
      <c r="G2158" s="6" t="s">
        <v>55</v>
      </c>
      <c r="H2158" s="7">
        <v>3368.0</v>
      </c>
      <c r="I2158" s="7">
        <v>9679.0</v>
      </c>
      <c r="J2158" s="6">
        <v>1965.0</v>
      </c>
      <c r="K2158" s="6">
        <v>83.0</v>
      </c>
      <c r="L2158" s="6" t="s">
        <v>22</v>
      </c>
      <c r="M2158" s="6" t="s">
        <v>8669</v>
      </c>
      <c r="N2158" s="6" t="s">
        <v>24</v>
      </c>
      <c r="O2158" s="6" t="s">
        <v>25</v>
      </c>
      <c r="P2158" s="6">
        <f>COUNTIF(Analysis!$M$1:$M$3001,Analysis!$M2158)</f>
        <v>1</v>
      </c>
      <c r="Q2158" s="6" t="str">
        <f>IF(COUNTIF(Analysis!$M$2:$M$3001,Analysis!$M2158)&gt;1,"Duplicate","OK")</f>
        <v>OK</v>
      </c>
      <c r="R2158" s="6" t="str">
        <f t="shared" si="1"/>
        <v>2600-3600</v>
      </c>
      <c r="S2158" s="6">
        <f t="shared" si="2"/>
        <v>61</v>
      </c>
      <c r="T2158" s="6" t="str">
        <f t="shared" si="3"/>
        <v>Very Old</v>
      </c>
    </row>
    <row r="2159" ht="14.25" customHeight="1">
      <c r="A2159" s="5">
        <v>1403108.0</v>
      </c>
      <c r="B2159" s="6" t="s">
        <v>8672</v>
      </c>
      <c r="C2159" s="6" t="s">
        <v>76</v>
      </c>
      <c r="D2159" s="6">
        <v>20961.0</v>
      </c>
      <c r="E2159" s="6" t="s">
        <v>60</v>
      </c>
      <c r="F2159" s="6" t="s">
        <v>20</v>
      </c>
      <c r="G2159" s="6" t="s">
        <v>55</v>
      </c>
      <c r="H2159" s="7">
        <v>1706.0</v>
      </c>
      <c r="I2159" s="7">
        <v>2820.0</v>
      </c>
      <c r="J2159" s="6">
        <v>2016.0</v>
      </c>
      <c r="K2159" s="6">
        <v>90.0</v>
      </c>
      <c r="L2159" s="6" t="s">
        <v>62</v>
      </c>
      <c r="M2159" s="6" t="s">
        <v>8673</v>
      </c>
      <c r="N2159" s="6" t="s">
        <v>43</v>
      </c>
      <c r="O2159" s="6" t="s">
        <v>35</v>
      </c>
      <c r="P2159" s="6">
        <f>COUNTIF(Analysis!$M$1:$M$3001,Analysis!$M2159)</f>
        <v>1</v>
      </c>
      <c r="Q2159" s="6" t="str">
        <f>IF(COUNTIF(Analysis!$M$2:$M$3001,Analysis!$M2159)&gt;1,"Duplicate","OK")</f>
        <v>OK</v>
      </c>
      <c r="R2159" s="6" t="str">
        <f t="shared" si="1"/>
        <v>1600-2600</v>
      </c>
      <c r="S2159" s="6">
        <f t="shared" si="2"/>
        <v>10</v>
      </c>
      <c r="T2159" s="6" t="str">
        <f t="shared" si="3"/>
        <v>New</v>
      </c>
    </row>
    <row r="2160" ht="14.25" customHeight="1">
      <c r="A2160" s="5">
        <v>1120934.0</v>
      </c>
      <c r="B2160" s="6" t="s">
        <v>4151</v>
      </c>
      <c r="C2160" s="6" t="s">
        <v>29</v>
      </c>
      <c r="D2160" s="6">
        <v>97237.0</v>
      </c>
      <c r="E2160" s="6" t="s">
        <v>77</v>
      </c>
      <c r="F2160" s="6" t="s">
        <v>54</v>
      </c>
      <c r="G2160" s="6" t="s">
        <v>21</v>
      </c>
      <c r="H2160" s="7">
        <v>3922.0</v>
      </c>
      <c r="I2160" s="7">
        <v>2239.0</v>
      </c>
      <c r="J2160" s="6">
        <v>2012.0</v>
      </c>
      <c r="K2160" s="6">
        <v>36.0</v>
      </c>
      <c r="L2160" s="6" t="s">
        <v>62</v>
      </c>
      <c r="M2160" s="6" t="s">
        <v>4152</v>
      </c>
      <c r="N2160" s="6" t="s">
        <v>43</v>
      </c>
      <c r="O2160" s="6" t="s">
        <v>49</v>
      </c>
      <c r="P2160" s="6">
        <f>COUNTIF(Analysis!$M$1:$M$3001,Analysis!$M1028)</f>
        <v>1</v>
      </c>
      <c r="Q2160" s="6" t="str">
        <f>IF(COUNTIF(Analysis!$M$2:$M$3001,Analysis!$M1028)&gt;1,"Duplicate","OK")</f>
        <v>OK</v>
      </c>
      <c r="R2160" s="6" t="str">
        <f t="shared" si="1"/>
        <v>3600+</v>
      </c>
      <c r="S2160" s="6">
        <f t="shared" si="2"/>
        <v>14</v>
      </c>
      <c r="T2160" s="6" t="str">
        <f t="shared" si="3"/>
        <v>Mid</v>
      </c>
    </row>
    <row r="2161" ht="14.25" customHeight="1">
      <c r="A2161" s="5">
        <v>1465314.0</v>
      </c>
      <c r="B2161" s="6" t="s">
        <v>8680</v>
      </c>
      <c r="C2161" s="6" t="s">
        <v>18</v>
      </c>
      <c r="D2161" s="6">
        <v>43420.0</v>
      </c>
      <c r="E2161" s="6" t="s">
        <v>30</v>
      </c>
      <c r="F2161" s="6" t="s">
        <v>54</v>
      </c>
      <c r="G2161" s="6" t="s">
        <v>100</v>
      </c>
      <c r="H2161" s="7">
        <v>1093.0</v>
      </c>
      <c r="I2161" s="7">
        <v>3089.0</v>
      </c>
      <c r="J2161" s="6">
        <v>1970.0</v>
      </c>
      <c r="K2161" s="6">
        <v>42.0</v>
      </c>
      <c r="L2161" s="6" t="s">
        <v>141</v>
      </c>
      <c r="M2161" s="6" t="s">
        <v>8681</v>
      </c>
      <c r="N2161" s="6" t="s">
        <v>34</v>
      </c>
      <c r="O2161" s="6" t="s">
        <v>35</v>
      </c>
      <c r="P2161" s="6">
        <f>COUNTIF(Analysis!$M$1:$M$3001,Analysis!$M2161)</f>
        <v>1</v>
      </c>
      <c r="Q2161" s="6" t="str">
        <f>IF(COUNTIF(Analysis!$M$2:$M$3001,Analysis!$M2161)&gt;1,"Duplicate","OK")</f>
        <v>OK</v>
      </c>
      <c r="R2161" s="6" t="str">
        <f t="shared" si="1"/>
        <v>600-1600</v>
      </c>
      <c r="S2161" s="6">
        <f t="shared" si="2"/>
        <v>56</v>
      </c>
      <c r="T2161" s="6" t="str">
        <f t="shared" si="3"/>
        <v>Old</v>
      </c>
    </row>
    <row r="2162" ht="14.25" customHeight="1">
      <c r="A2162" s="5">
        <v>493055.0</v>
      </c>
      <c r="B2162" s="6" t="s">
        <v>8684</v>
      </c>
      <c r="C2162" s="6" t="s">
        <v>53</v>
      </c>
      <c r="D2162" s="6">
        <v>92407.0</v>
      </c>
      <c r="E2162" s="6" t="s">
        <v>60</v>
      </c>
      <c r="F2162" s="6" t="s">
        <v>61</v>
      </c>
      <c r="G2162" s="6" t="s">
        <v>31</v>
      </c>
      <c r="H2162" s="7">
        <v>825.0</v>
      </c>
      <c r="I2162" s="7">
        <v>7352.0</v>
      </c>
      <c r="J2162" s="6">
        <v>1965.0</v>
      </c>
      <c r="K2162" s="6">
        <v>24.0</v>
      </c>
      <c r="L2162" s="6" t="s">
        <v>95</v>
      </c>
      <c r="M2162" s="6" t="s">
        <v>8685</v>
      </c>
      <c r="N2162" s="6" t="s">
        <v>48</v>
      </c>
      <c r="O2162" s="6" t="s">
        <v>49</v>
      </c>
      <c r="P2162" s="6">
        <f>COUNTIF(Analysis!$M$1:$M$3001,Analysis!$M2162)</f>
        <v>1</v>
      </c>
      <c r="Q2162" s="6" t="str">
        <f>IF(COUNTIF(Analysis!$M$2:$M$3001,Analysis!$M2162)&gt;1,"Duplicate","OK")</f>
        <v>OK</v>
      </c>
      <c r="R2162" s="6" t="str">
        <f t="shared" si="1"/>
        <v>600-1600</v>
      </c>
      <c r="S2162" s="6">
        <f t="shared" si="2"/>
        <v>61</v>
      </c>
      <c r="T2162" s="6" t="str">
        <f t="shared" si="3"/>
        <v>Very Old</v>
      </c>
    </row>
    <row r="2163" ht="14.25" customHeight="1">
      <c r="A2163" s="5">
        <v>1126190.0</v>
      </c>
      <c r="B2163" s="6" t="s">
        <v>10515</v>
      </c>
      <c r="C2163" s="6" t="s">
        <v>29</v>
      </c>
      <c r="D2163" s="6">
        <v>52034.0</v>
      </c>
      <c r="E2163" s="6" t="s">
        <v>30</v>
      </c>
      <c r="F2163" s="6" t="s">
        <v>61</v>
      </c>
      <c r="G2163" s="6" t="s">
        <v>55</v>
      </c>
      <c r="H2163" s="7">
        <v>2069.0</v>
      </c>
      <c r="I2163" s="7">
        <v>1317.0</v>
      </c>
      <c r="J2163" s="6">
        <v>1976.0</v>
      </c>
      <c r="K2163" s="6">
        <v>74.0</v>
      </c>
      <c r="L2163" s="6" t="s">
        <v>95</v>
      </c>
      <c r="M2163" s="6" t="s">
        <v>10516</v>
      </c>
      <c r="N2163" s="6" t="s">
        <v>24</v>
      </c>
      <c r="O2163" s="6" t="s">
        <v>49</v>
      </c>
      <c r="P2163" s="6">
        <f>COUNTIF(Analysis!$M$1:$M$3001,Analysis!$M2620)</f>
        <v>1</v>
      </c>
      <c r="Q2163" s="6" t="str">
        <f>IF(COUNTIF(Analysis!$M$2:$M$3001,Analysis!$M2620)&gt;1,"Duplicate","OK")</f>
        <v>OK</v>
      </c>
      <c r="R2163" s="6" t="str">
        <f t="shared" si="1"/>
        <v>1600-2600</v>
      </c>
      <c r="S2163" s="6">
        <f t="shared" si="2"/>
        <v>50</v>
      </c>
      <c r="T2163" s="6" t="str">
        <f t="shared" si="3"/>
        <v>Old</v>
      </c>
    </row>
    <row r="2164" ht="14.25" customHeight="1">
      <c r="A2164" s="5">
        <v>1010631.0</v>
      </c>
      <c r="B2164" s="6" t="s">
        <v>8692</v>
      </c>
      <c r="C2164" s="6" t="s">
        <v>53</v>
      </c>
      <c r="D2164" s="6">
        <v>87356.0</v>
      </c>
      <c r="E2164" s="6" t="s">
        <v>60</v>
      </c>
      <c r="F2164" s="6" t="s">
        <v>41</v>
      </c>
      <c r="G2164" s="6" t="s">
        <v>31</v>
      </c>
      <c r="H2164" s="7">
        <v>997.0</v>
      </c>
      <c r="I2164" s="7">
        <v>1478.0</v>
      </c>
      <c r="J2164" s="6">
        <v>2003.0</v>
      </c>
      <c r="K2164" s="6">
        <v>73.0</v>
      </c>
      <c r="L2164" s="6" t="s">
        <v>22</v>
      </c>
      <c r="M2164" s="6" t="s">
        <v>8693</v>
      </c>
      <c r="N2164" s="6" t="s">
        <v>43</v>
      </c>
      <c r="O2164" s="6" t="s">
        <v>35</v>
      </c>
      <c r="P2164" s="6">
        <f>COUNTIF(Analysis!$M$1:$M$3001,Analysis!$M2164)</f>
        <v>1</v>
      </c>
      <c r="Q2164" s="6" t="str">
        <f>IF(COUNTIF(Analysis!$M$2:$M$3001,Analysis!$M2164)&gt;1,"Duplicate","OK")</f>
        <v>OK</v>
      </c>
      <c r="R2164" s="6" t="str">
        <f t="shared" si="1"/>
        <v>600-1600</v>
      </c>
      <c r="S2164" s="6">
        <f t="shared" si="2"/>
        <v>23</v>
      </c>
      <c r="T2164" s="6" t="str">
        <f t="shared" si="3"/>
        <v>Mid</v>
      </c>
    </row>
    <row r="2165" ht="14.25" customHeight="1">
      <c r="A2165" s="5">
        <v>639426.0</v>
      </c>
      <c r="B2165" s="6" t="s">
        <v>8696</v>
      </c>
      <c r="C2165" s="6" t="s">
        <v>39</v>
      </c>
      <c r="D2165" s="6">
        <v>75868.0</v>
      </c>
      <c r="E2165" s="6" t="s">
        <v>19</v>
      </c>
      <c r="F2165" s="6" t="s">
        <v>54</v>
      </c>
      <c r="G2165" s="6" t="s">
        <v>31</v>
      </c>
      <c r="H2165" s="7">
        <v>2496.0</v>
      </c>
      <c r="I2165" s="7">
        <v>6790.0</v>
      </c>
      <c r="J2165" s="6">
        <v>2007.0</v>
      </c>
      <c r="K2165" s="6">
        <v>71.0</v>
      </c>
      <c r="L2165" s="6" t="s">
        <v>32</v>
      </c>
      <c r="M2165" s="6" t="s">
        <v>8697</v>
      </c>
      <c r="N2165" s="6" t="s">
        <v>64</v>
      </c>
      <c r="O2165" s="6" t="s">
        <v>35</v>
      </c>
      <c r="P2165" s="6">
        <f>COUNTIF(Analysis!$M$1:$M$3001,Analysis!$M2165)</f>
        <v>1</v>
      </c>
      <c r="Q2165" s="6" t="str">
        <f>IF(COUNTIF(Analysis!$M$2:$M$3001,Analysis!$M2165)&gt;1,"Duplicate","OK")</f>
        <v>OK</v>
      </c>
      <c r="R2165" s="6" t="str">
        <f t="shared" si="1"/>
        <v>1600-2600</v>
      </c>
      <c r="S2165" s="6">
        <f t="shared" si="2"/>
        <v>19</v>
      </c>
      <c r="T2165" s="6" t="str">
        <f t="shared" si="3"/>
        <v>Mid</v>
      </c>
    </row>
    <row r="2166" ht="14.25" customHeight="1">
      <c r="A2166" s="5">
        <v>485523.0</v>
      </c>
      <c r="B2166" s="6" t="s">
        <v>8700</v>
      </c>
      <c r="C2166" s="6" t="s">
        <v>39</v>
      </c>
      <c r="D2166" s="6">
        <v>65166.0</v>
      </c>
      <c r="E2166" s="6" t="s">
        <v>40</v>
      </c>
      <c r="F2166" s="6" t="s">
        <v>41</v>
      </c>
      <c r="G2166" s="6" t="s">
        <v>100</v>
      </c>
      <c r="H2166" s="7">
        <v>2857.0</v>
      </c>
      <c r="I2166" s="7">
        <v>2065.0</v>
      </c>
      <c r="J2166" s="6">
        <v>1999.0</v>
      </c>
      <c r="K2166" s="6">
        <v>54.0</v>
      </c>
      <c r="L2166" s="6" t="s">
        <v>62</v>
      </c>
      <c r="M2166" s="6" t="s">
        <v>8701</v>
      </c>
      <c r="N2166" s="6" t="s">
        <v>34</v>
      </c>
      <c r="O2166" s="6" t="s">
        <v>49</v>
      </c>
      <c r="P2166" s="6">
        <f>COUNTIF(Analysis!$M$1:$M$3001,Analysis!$M2166)</f>
        <v>1</v>
      </c>
      <c r="Q2166" s="6" t="str">
        <f>IF(COUNTIF(Analysis!$M$2:$M$3001,Analysis!$M2166)&gt;1,"Duplicate","OK")</f>
        <v>OK</v>
      </c>
      <c r="R2166" s="6" t="str">
        <f t="shared" si="1"/>
        <v>2600-3600</v>
      </c>
      <c r="S2166" s="6">
        <f t="shared" si="2"/>
        <v>27</v>
      </c>
      <c r="T2166" s="6" t="str">
        <f t="shared" si="3"/>
        <v>Mid</v>
      </c>
    </row>
    <row r="2167" ht="14.25" customHeight="1">
      <c r="A2167" s="5">
        <v>1131618.0</v>
      </c>
      <c r="B2167" s="6" t="s">
        <v>2184</v>
      </c>
      <c r="C2167" s="6" t="s">
        <v>29</v>
      </c>
      <c r="D2167" s="6">
        <v>77679.0</v>
      </c>
      <c r="E2167" s="6" t="s">
        <v>40</v>
      </c>
      <c r="F2167" s="6" t="s">
        <v>54</v>
      </c>
      <c r="G2167" s="6" t="s">
        <v>100</v>
      </c>
      <c r="H2167" s="7">
        <v>2415.0</v>
      </c>
      <c r="I2167" s="7">
        <v>6096.0</v>
      </c>
      <c r="J2167" s="6">
        <v>2011.0</v>
      </c>
      <c r="K2167" s="6">
        <v>106.0</v>
      </c>
      <c r="L2167" s="6" t="s">
        <v>95</v>
      </c>
      <c r="M2167" s="6" t="s">
        <v>2185</v>
      </c>
      <c r="N2167" s="6" t="s">
        <v>43</v>
      </c>
      <c r="O2167" s="6" t="s">
        <v>35</v>
      </c>
      <c r="P2167" s="6">
        <f>COUNTIF(Analysis!$M$1:$M$3001,Analysis!$M536)</f>
        <v>1</v>
      </c>
      <c r="Q2167" s="6" t="str">
        <f>IF(COUNTIF(Analysis!$M$2:$M$3001,Analysis!$M536)&gt;1,"Duplicate","OK")</f>
        <v>OK</v>
      </c>
      <c r="R2167" s="6" t="str">
        <f t="shared" si="1"/>
        <v>1600-2600</v>
      </c>
      <c r="S2167" s="6">
        <f t="shared" si="2"/>
        <v>15</v>
      </c>
      <c r="T2167" s="6" t="str">
        <f t="shared" si="3"/>
        <v>Mid</v>
      </c>
    </row>
    <row r="2168" ht="14.25" customHeight="1">
      <c r="A2168" s="5">
        <v>550158.0</v>
      </c>
      <c r="B2168" s="6" t="s">
        <v>8708</v>
      </c>
      <c r="C2168" s="6" t="s">
        <v>39</v>
      </c>
      <c r="D2168" s="6">
        <v>88216.0</v>
      </c>
      <c r="E2168" s="6" t="s">
        <v>77</v>
      </c>
      <c r="F2168" s="6" t="s">
        <v>41</v>
      </c>
      <c r="G2168" s="6" t="s">
        <v>55</v>
      </c>
      <c r="H2168" s="7">
        <v>3444.0</v>
      </c>
      <c r="I2168" s="7">
        <v>2503.0</v>
      </c>
      <c r="J2168" s="6">
        <v>1954.0</v>
      </c>
      <c r="K2168" s="6">
        <v>106.0</v>
      </c>
      <c r="L2168" s="6" t="s">
        <v>22</v>
      </c>
      <c r="M2168" s="6" t="s">
        <v>8709</v>
      </c>
      <c r="N2168" s="6" t="s">
        <v>34</v>
      </c>
      <c r="O2168" s="6" t="s">
        <v>35</v>
      </c>
      <c r="P2168" s="6">
        <f>COUNTIF(Analysis!$M$1:$M$3001,Analysis!$M2168)</f>
        <v>1</v>
      </c>
      <c r="Q2168" s="6" t="str">
        <f>IF(COUNTIF(Analysis!$M$2:$M$3001,Analysis!$M2168)&gt;1,"Duplicate","OK")</f>
        <v>OK</v>
      </c>
      <c r="R2168" s="6" t="str">
        <f t="shared" si="1"/>
        <v>2600-3600</v>
      </c>
      <c r="S2168" s="6">
        <f t="shared" si="2"/>
        <v>72</v>
      </c>
      <c r="T2168" s="6" t="str">
        <f t="shared" si="3"/>
        <v>Very Old</v>
      </c>
    </row>
    <row r="2169" ht="14.25" customHeight="1">
      <c r="A2169" s="5">
        <v>1050654.0</v>
      </c>
      <c r="B2169" s="6" t="s">
        <v>8712</v>
      </c>
      <c r="C2169" s="6" t="s">
        <v>18</v>
      </c>
      <c r="D2169" s="6">
        <v>90147.0</v>
      </c>
      <c r="E2169" s="6" t="s">
        <v>77</v>
      </c>
      <c r="F2169" s="6" t="s">
        <v>20</v>
      </c>
      <c r="G2169" s="6" t="s">
        <v>21</v>
      </c>
      <c r="H2169" s="7">
        <v>2429.0</v>
      </c>
      <c r="I2169" s="7">
        <v>4992.0</v>
      </c>
      <c r="J2169" s="6">
        <v>1971.0</v>
      </c>
      <c r="K2169" s="6">
        <v>64.0</v>
      </c>
      <c r="L2169" s="6" t="s">
        <v>22</v>
      </c>
      <c r="M2169" s="6" t="s">
        <v>8713</v>
      </c>
      <c r="N2169" s="6" t="s">
        <v>34</v>
      </c>
      <c r="O2169" s="6" t="s">
        <v>49</v>
      </c>
      <c r="P2169" s="6">
        <f>COUNTIF(Analysis!$M$1:$M$3001,Analysis!$M2169)</f>
        <v>1</v>
      </c>
      <c r="Q2169" s="6" t="str">
        <f>IF(COUNTIF(Analysis!$M$2:$M$3001,Analysis!$M2169)&gt;1,"Duplicate","OK")</f>
        <v>OK</v>
      </c>
      <c r="R2169" s="6" t="str">
        <f t="shared" si="1"/>
        <v>1600-2600</v>
      </c>
      <c r="S2169" s="6">
        <f t="shared" si="2"/>
        <v>55</v>
      </c>
      <c r="T2169" s="6" t="str">
        <f t="shared" si="3"/>
        <v>Old</v>
      </c>
    </row>
    <row r="2170" ht="14.25" customHeight="1">
      <c r="A2170" s="5">
        <v>512547.0</v>
      </c>
      <c r="B2170" s="6" t="s">
        <v>8716</v>
      </c>
      <c r="C2170" s="6" t="s">
        <v>39</v>
      </c>
      <c r="D2170" s="6">
        <v>91809.0</v>
      </c>
      <c r="E2170" s="6" t="s">
        <v>77</v>
      </c>
      <c r="F2170" s="6" t="s">
        <v>94</v>
      </c>
      <c r="G2170" s="6" t="s">
        <v>55</v>
      </c>
      <c r="H2170" s="7">
        <v>1297.0</v>
      </c>
      <c r="I2170" s="7">
        <v>3698.0</v>
      </c>
      <c r="J2170" s="6">
        <v>1956.0</v>
      </c>
      <c r="K2170" s="6">
        <v>113.0</v>
      </c>
      <c r="L2170" s="6" t="s">
        <v>22</v>
      </c>
      <c r="M2170" s="6" t="s">
        <v>8717</v>
      </c>
      <c r="N2170" s="6" t="s">
        <v>43</v>
      </c>
      <c r="O2170" s="6" t="s">
        <v>49</v>
      </c>
      <c r="P2170" s="6">
        <f>COUNTIF(Analysis!$M$1:$M$3001,Analysis!$M2170)</f>
        <v>1</v>
      </c>
      <c r="Q2170" s="6" t="str">
        <f>IF(COUNTIF(Analysis!$M$2:$M$3001,Analysis!$M2170)&gt;1,"Duplicate","OK")</f>
        <v>OK</v>
      </c>
      <c r="R2170" s="6" t="str">
        <f t="shared" si="1"/>
        <v>600-1600</v>
      </c>
      <c r="S2170" s="6">
        <f t="shared" si="2"/>
        <v>70</v>
      </c>
      <c r="T2170" s="6" t="str">
        <f t="shared" si="3"/>
        <v>Very Old</v>
      </c>
    </row>
    <row r="2171" ht="14.25" customHeight="1">
      <c r="A2171" s="5">
        <v>729920.0</v>
      </c>
      <c r="B2171" s="6" t="s">
        <v>8720</v>
      </c>
      <c r="C2171" s="6" t="s">
        <v>53</v>
      </c>
      <c r="D2171" s="6">
        <v>20151.0</v>
      </c>
      <c r="E2171" s="6" t="s">
        <v>77</v>
      </c>
      <c r="F2171" s="6" t="s">
        <v>41</v>
      </c>
      <c r="G2171" s="6" t="s">
        <v>21</v>
      </c>
      <c r="H2171" s="7">
        <v>2181.0</v>
      </c>
      <c r="I2171" s="7">
        <v>4515.0</v>
      </c>
      <c r="J2171" s="6">
        <v>2015.0</v>
      </c>
      <c r="K2171" s="6">
        <v>3.0</v>
      </c>
      <c r="L2171" s="6" t="s">
        <v>95</v>
      </c>
      <c r="M2171" s="6" t="s">
        <v>8721</v>
      </c>
      <c r="N2171" s="6" t="s">
        <v>43</v>
      </c>
      <c r="O2171" s="6" t="s">
        <v>25</v>
      </c>
      <c r="P2171" s="6">
        <f>COUNTIF(Analysis!$M$1:$M$3001,Analysis!$M2171)</f>
        <v>1</v>
      </c>
      <c r="Q2171" s="6" t="str">
        <f>IF(COUNTIF(Analysis!$M$2:$M$3001,Analysis!$M2171)&gt;1,"Duplicate","OK")</f>
        <v>OK</v>
      </c>
      <c r="R2171" s="6" t="str">
        <f t="shared" si="1"/>
        <v>1600-2600</v>
      </c>
      <c r="S2171" s="6">
        <f t="shared" si="2"/>
        <v>11</v>
      </c>
      <c r="T2171" s="6" t="str">
        <f t="shared" si="3"/>
        <v>Mid</v>
      </c>
    </row>
    <row r="2172" ht="14.25" customHeight="1">
      <c r="A2172" s="5">
        <v>1136535.0</v>
      </c>
      <c r="B2172" s="6" t="s">
        <v>7841</v>
      </c>
      <c r="C2172" s="6" t="s">
        <v>29</v>
      </c>
      <c r="D2172" s="6">
        <v>37778.0</v>
      </c>
      <c r="E2172" s="6" t="s">
        <v>30</v>
      </c>
      <c r="F2172" s="6" t="s">
        <v>54</v>
      </c>
      <c r="G2172" s="6" t="s">
        <v>21</v>
      </c>
      <c r="H2172" s="7">
        <v>3716.0</v>
      </c>
      <c r="I2172" s="7">
        <v>1646.0</v>
      </c>
      <c r="J2172" s="6">
        <v>1967.0</v>
      </c>
      <c r="K2172" s="6">
        <v>47.0</v>
      </c>
      <c r="L2172" s="6" t="s">
        <v>95</v>
      </c>
      <c r="M2172" s="6" t="s">
        <v>7842</v>
      </c>
      <c r="N2172" s="6" t="s">
        <v>43</v>
      </c>
      <c r="O2172" s="6" t="s">
        <v>35</v>
      </c>
      <c r="P2172" s="6">
        <f>COUNTIF(Analysis!$M$1:$M$3001,Analysis!$M1951)</f>
        <v>1</v>
      </c>
      <c r="Q2172" s="6" t="str">
        <f>IF(COUNTIF(Analysis!$M$2:$M$3001,Analysis!$M1951)&gt;1,"Duplicate","OK")</f>
        <v>OK</v>
      </c>
      <c r="R2172" s="6" t="str">
        <f t="shared" si="1"/>
        <v>3600+</v>
      </c>
      <c r="S2172" s="6">
        <f t="shared" si="2"/>
        <v>59</v>
      </c>
      <c r="T2172" s="6" t="str">
        <f t="shared" si="3"/>
        <v>Old</v>
      </c>
    </row>
    <row r="2173" ht="14.25" customHeight="1">
      <c r="A2173" s="5">
        <v>888455.0</v>
      </c>
      <c r="B2173" s="6" t="s">
        <v>8728</v>
      </c>
      <c r="C2173" s="6" t="s">
        <v>18</v>
      </c>
      <c r="D2173" s="6">
        <v>39067.0</v>
      </c>
      <c r="E2173" s="6" t="s">
        <v>30</v>
      </c>
      <c r="F2173" s="6" t="s">
        <v>41</v>
      </c>
      <c r="G2173" s="6" t="s">
        <v>55</v>
      </c>
      <c r="H2173" s="7">
        <v>3898.0</v>
      </c>
      <c r="I2173" s="7">
        <v>2000.0</v>
      </c>
      <c r="J2173" s="6">
        <v>1955.0</v>
      </c>
      <c r="K2173" s="6">
        <v>16.0</v>
      </c>
      <c r="L2173" s="6" t="s">
        <v>62</v>
      </c>
      <c r="M2173" s="6" t="s">
        <v>8729</v>
      </c>
      <c r="N2173" s="6" t="s">
        <v>48</v>
      </c>
      <c r="O2173" s="6" t="s">
        <v>49</v>
      </c>
      <c r="P2173" s="6">
        <f>COUNTIF(Analysis!$M$1:$M$3001,Analysis!$M2173)</f>
        <v>1</v>
      </c>
      <c r="Q2173" s="6" t="str">
        <f>IF(COUNTIF(Analysis!$M$2:$M$3001,Analysis!$M2173)&gt;1,"Duplicate","OK")</f>
        <v>OK</v>
      </c>
      <c r="R2173" s="6" t="str">
        <f t="shared" si="1"/>
        <v>3600+</v>
      </c>
      <c r="S2173" s="6">
        <f t="shared" si="2"/>
        <v>71</v>
      </c>
      <c r="T2173" s="6" t="str">
        <f t="shared" si="3"/>
        <v>Very Old</v>
      </c>
    </row>
    <row r="2174" ht="14.25" customHeight="1">
      <c r="A2174" s="5">
        <v>867045.0</v>
      </c>
      <c r="B2174" s="6" t="s">
        <v>8732</v>
      </c>
      <c r="C2174" s="6" t="s">
        <v>53</v>
      </c>
      <c r="D2174" s="6">
        <v>49782.0</v>
      </c>
      <c r="E2174" s="6" t="s">
        <v>77</v>
      </c>
      <c r="F2174" s="6" t="s">
        <v>20</v>
      </c>
      <c r="G2174" s="6" t="s">
        <v>55</v>
      </c>
      <c r="H2174" s="7">
        <v>3257.0</v>
      </c>
      <c r="I2174" s="7">
        <v>7096.0</v>
      </c>
      <c r="J2174" s="6">
        <v>1998.0</v>
      </c>
      <c r="K2174" s="6">
        <v>39.0</v>
      </c>
      <c r="L2174" s="6" t="s">
        <v>141</v>
      </c>
      <c r="M2174" s="6" t="s">
        <v>8733</v>
      </c>
      <c r="N2174" s="6" t="s">
        <v>64</v>
      </c>
      <c r="O2174" s="6" t="s">
        <v>35</v>
      </c>
      <c r="P2174" s="6">
        <f>COUNTIF(Analysis!$M$1:$M$3001,Analysis!$M2174)</f>
        <v>1</v>
      </c>
      <c r="Q2174" s="6" t="str">
        <f>IF(COUNTIF(Analysis!$M$2:$M$3001,Analysis!$M2174)&gt;1,"Duplicate","OK")</f>
        <v>OK</v>
      </c>
      <c r="R2174" s="6" t="str">
        <f t="shared" si="1"/>
        <v>2600-3600</v>
      </c>
      <c r="S2174" s="6">
        <f t="shared" si="2"/>
        <v>28</v>
      </c>
      <c r="T2174" s="6" t="str">
        <f t="shared" si="3"/>
        <v>Mid</v>
      </c>
    </row>
    <row r="2175" ht="14.25" customHeight="1">
      <c r="A2175" s="5">
        <v>388016.0</v>
      </c>
      <c r="B2175" s="6" t="s">
        <v>8736</v>
      </c>
      <c r="C2175" s="6" t="s">
        <v>76</v>
      </c>
      <c r="D2175" s="6">
        <v>12037.0</v>
      </c>
      <c r="E2175" s="6" t="s">
        <v>40</v>
      </c>
      <c r="F2175" s="6" t="s">
        <v>46</v>
      </c>
      <c r="G2175" s="6" t="s">
        <v>100</v>
      </c>
      <c r="H2175" s="7">
        <v>3064.0</v>
      </c>
      <c r="I2175" s="7">
        <v>5829.0</v>
      </c>
      <c r="J2175" s="6">
        <v>2002.0</v>
      </c>
      <c r="K2175" s="6">
        <v>53.0</v>
      </c>
      <c r="L2175" s="6" t="s">
        <v>22</v>
      </c>
      <c r="M2175" s="6" t="s">
        <v>8737</v>
      </c>
      <c r="N2175" s="6" t="s">
        <v>64</v>
      </c>
      <c r="O2175" s="6" t="s">
        <v>49</v>
      </c>
      <c r="P2175" s="6">
        <f>COUNTIF(Analysis!$M$1:$M$3001,Analysis!$M2175)</f>
        <v>1</v>
      </c>
      <c r="Q2175" s="6" t="str">
        <f>IF(COUNTIF(Analysis!$M$2:$M$3001,Analysis!$M2175)&gt;1,"Duplicate","OK")</f>
        <v>OK</v>
      </c>
      <c r="R2175" s="6" t="str">
        <f t="shared" si="1"/>
        <v>2600-3600</v>
      </c>
      <c r="S2175" s="6">
        <f t="shared" si="2"/>
        <v>24</v>
      </c>
      <c r="T2175" s="6" t="str">
        <f t="shared" si="3"/>
        <v>Mid</v>
      </c>
    </row>
    <row r="2176" ht="14.25" customHeight="1">
      <c r="A2176" s="5">
        <v>277024.0</v>
      </c>
      <c r="B2176" s="6" t="s">
        <v>8740</v>
      </c>
      <c r="C2176" s="6" t="s">
        <v>39</v>
      </c>
      <c r="D2176" s="6">
        <v>72224.0</v>
      </c>
      <c r="E2176" s="6" t="s">
        <v>19</v>
      </c>
      <c r="F2176" s="6" t="s">
        <v>54</v>
      </c>
      <c r="G2176" s="6" t="s">
        <v>55</v>
      </c>
      <c r="H2176" s="7">
        <v>1723.0</v>
      </c>
      <c r="I2176" s="7">
        <v>4001.0</v>
      </c>
      <c r="J2176" s="6">
        <v>2012.0</v>
      </c>
      <c r="K2176" s="6">
        <v>21.0</v>
      </c>
      <c r="L2176" s="6" t="s">
        <v>95</v>
      </c>
      <c r="M2176" s="6" t="s">
        <v>8741</v>
      </c>
      <c r="N2176" s="6" t="s">
        <v>64</v>
      </c>
      <c r="O2176" s="6" t="s">
        <v>25</v>
      </c>
      <c r="P2176" s="6">
        <f>COUNTIF(Analysis!$M$1:$M$3001,Analysis!$M2176)</f>
        <v>1</v>
      </c>
      <c r="Q2176" s="6" t="str">
        <f>IF(COUNTIF(Analysis!$M$2:$M$3001,Analysis!$M2176)&gt;1,"Duplicate","OK")</f>
        <v>OK</v>
      </c>
      <c r="R2176" s="6" t="str">
        <f t="shared" si="1"/>
        <v>1600-2600</v>
      </c>
      <c r="S2176" s="6">
        <f t="shared" si="2"/>
        <v>14</v>
      </c>
      <c r="T2176" s="6" t="str">
        <f t="shared" si="3"/>
        <v>Mid</v>
      </c>
    </row>
    <row r="2177" ht="14.25" customHeight="1">
      <c r="A2177" s="5">
        <v>643713.0</v>
      </c>
      <c r="B2177" s="6" t="s">
        <v>8744</v>
      </c>
      <c r="C2177" s="6" t="s">
        <v>53</v>
      </c>
      <c r="D2177" s="6">
        <v>34706.0</v>
      </c>
      <c r="E2177" s="6" t="s">
        <v>19</v>
      </c>
      <c r="F2177" s="6" t="s">
        <v>54</v>
      </c>
      <c r="G2177" s="6" t="s">
        <v>100</v>
      </c>
      <c r="H2177" s="7">
        <v>651.0</v>
      </c>
      <c r="I2177" s="7">
        <v>8974.0</v>
      </c>
      <c r="J2177" s="6">
        <v>1999.0</v>
      </c>
      <c r="K2177" s="6">
        <v>18.0</v>
      </c>
      <c r="L2177" s="6" t="s">
        <v>95</v>
      </c>
      <c r="M2177" s="6" t="s">
        <v>8745</v>
      </c>
      <c r="N2177" s="6" t="s">
        <v>43</v>
      </c>
      <c r="O2177" s="6" t="s">
        <v>35</v>
      </c>
      <c r="P2177" s="6">
        <f>COUNTIF(Analysis!$M$1:$M$3001,Analysis!$M2177)</f>
        <v>1</v>
      </c>
      <c r="Q2177" s="6" t="str">
        <f>IF(COUNTIF(Analysis!$M$2:$M$3001,Analysis!$M2177)&gt;1,"Duplicate","OK")</f>
        <v>OK</v>
      </c>
      <c r="R2177" s="6" t="str">
        <f t="shared" si="1"/>
        <v>600-1600</v>
      </c>
      <c r="S2177" s="6">
        <f t="shared" si="2"/>
        <v>27</v>
      </c>
      <c r="T2177" s="6" t="str">
        <f t="shared" si="3"/>
        <v>Mid</v>
      </c>
    </row>
    <row r="2178" ht="14.25" customHeight="1">
      <c r="A2178" s="5">
        <v>1309159.0</v>
      </c>
      <c r="B2178" s="6" t="s">
        <v>8748</v>
      </c>
      <c r="C2178" s="6" t="s">
        <v>53</v>
      </c>
      <c r="D2178" s="6">
        <v>16982.0</v>
      </c>
      <c r="E2178" s="6" t="s">
        <v>77</v>
      </c>
      <c r="F2178" s="6" t="s">
        <v>54</v>
      </c>
      <c r="G2178" s="6" t="s">
        <v>21</v>
      </c>
      <c r="H2178" s="7">
        <v>3933.0</v>
      </c>
      <c r="I2178" s="7">
        <v>1000.0</v>
      </c>
      <c r="J2178" s="6">
        <v>1981.0</v>
      </c>
      <c r="K2178" s="6">
        <v>28.0</v>
      </c>
      <c r="L2178" s="6" t="s">
        <v>62</v>
      </c>
      <c r="M2178" s="6" t="s">
        <v>8749</v>
      </c>
      <c r="N2178" s="6" t="s">
        <v>24</v>
      </c>
      <c r="O2178" s="6" t="s">
        <v>35</v>
      </c>
      <c r="P2178" s="6">
        <f>COUNTIF(Analysis!$M$1:$M$3001,Analysis!$M2178)</f>
        <v>1</v>
      </c>
      <c r="Q2178" s="6" t="str">
        <f>IF(COUNTIF(Analysis!$M$2:$M$3001,Analysis!$M2178)&gt;1,"Duplicate","OK")</f>
        <v>OK</v>
      </c>
      <c r="R2178" s="6" t="str">
        <f t="shared" si="1"/>
        <v>3600+</v>
      </c>
      <c r="S2178" s="6">
        <f t="shared" si="2"/>
        <v>45</v>
      </c>
      <c r="T2178" s="6" t="str">
        <f t="shared" si="3"/>
        <v>Old</v>
      </c>
    </row>
    <row r="2179" ht="14.25" customHeight="1">
      <c r="A2179" s="5">
        <v>767118.0</v>
      </c>
      <c r="B2179" s="6" t="s">
        <v>8752</v>
      </c>
      <c r="C2179" s="6" t="s">
        <v>76</v>
      </c>
      <c r="D2179" s="6">
        <v>35549.0</v>
      </c>
      <c r="E2179" s="6" t="s">
        <v>30</v>
      </c>
      <c r="F2179" s="6" t="s">
        <v>61</v>
      </c>
      <c r="G2179" s="6" t="s">
        <v>21</v>
      </c>
      <c r="H2179" s="7">
        <v>885.0</v>
      </c>
      <c r="I2179" s="7">
        <v>8073.0</v>
      </c>
      <c r="J2179" s="6">
        <v>1957.0</v>
      </c>
      <c r="K2179" s="6">
        <v>89.0</v>
      </c>
      <c r="L2179" s="6" t="s">
        <v>141</v>
      </c>
      <c r="M2179" s="6" t="s">
        <v>8753</v>
      </c>
      <c r="N2179" s="6" t="s">
        <v>43</v>
      </c>
      <c r="O2179" s="6" t="s">
        <v>35</v>
      </c>
      <c r="P2179" s="6">
        <f>COUNTIF(Analysis!$M$1:$M$3001,Analysis!$M2179)</f>
        <v>1</v>
      </c>
      <c r="Q2179" s="6" t="str">
        <f>IF(COUNTIF(Analysis!$M$2:$M$3001,Analysis!$M2179)&gt;1,"Duplicate","OK")</f>
        <v>OK</v>
      </c>
      <c r="R2179" s="6" t="str">
        <f t="shared" si="1"/>
        <v>600-1600</v>
      </c>
      <c r="S2179" s="6">
        <f t="shared" si="2"/>
        <v>69</v>
      </c>
      <c r="T2179" s="6" t="str">
        <f t="shared" si="3"/>
        <v>Very Old</v>
      </c>
    </row>
    <row r="2180" ht="14.25" customHeight="1">
      <c r="A2180" s="5">
        <v>1140029.0</v>
      </c>
      <c r="B2180" s="6" t="s">
        <v>1605</v>
      </c>
      <c r="C2180" s="6" t="s">
        <v>29</v>
      </c>
      <c r="D2180" s="6">
        <v>57838.0</v>
      </c>
      <c r="E2180" s="6" t="s">
        <v>60</v>
      </c>
      <c r="F2180" s="6" t="s">
        <v>46</v>
      </c>
      <c r="G2180" s="6" t="s">
        <v>21</v>
      </c>
      <c r="H2180" s="7">
        <v>1487.0</v>
      </c>
      <c r="I2180" s="7">
        <v>9438.0</v>
      </c>
      <c r="J2180" s="6">
        <v>2023.0</v>
      </c>
      <c r="K2180" s="6">
        <v>5.0</v>
      </c>
      <c r="L2180" s="6" t="s">
        <v>22</v>
      </c>
      <c r="M2180" s="6" t="s">
        <v>1606</v>
      </c>
      <c r="N2180" s="6" t="s">
        <v>48</v>
      </c>
      <c r="O2180" s="6" t="s">
        <v>49</v>
      </c>
      <c r="P2180" s="6">
        <f>COUNTIF(Analysis!$M$1:$M$3001,Analysis!$M391)</f>
        <v>1</v>
      </c>
      <c r="Q2180" s="6" t="str">
        <f>IF(COUNTIF(Analysis!$M$2:$M$3001,Analysis!$M391)&gt;1,"Duplicate","OK")</f>
        <v>OK</v>
      </c>
      <c r="R2180" s="6" t="str">
        <f t="shared" si="1"/>
        <v>600-1600</v>
      </c>
      <c r="S2180" s="6">
        <f t="shared" si="2"/>
        <v>3</v>
      </c>
      <c r="T2180" s="6" t="str">
        <f t="shared" si="3"/>
        <v>New</v>
      </c>
    </row>
    <row r="2181" ht="14.25" customHeight="1">
      <c r="A2181" s="5">
        <v>1142398.0</v>
      </c>
      <c r="B2181" s="6" t="s">
        <v>4239</v>
      </c>
      <c r="C2181" s="6" t="s">
        <v>29</v>
      </c>
      <c r="D2181" s="6">
        <v>74946.0</v>
      </c>
      <c r="E2181" s="6" t="s">
        <v>77</v>
      </c>
      <c r="F2181" s="6" t="s">
        <v>41</v>
      </c>
      <c r="G2181" s="6" t="s">
        <v>100</v>
      </c>
      <c r="H2181" s="7">
        <v>2139.0</v>
      </c>
      <c r="I2181" s="7">
        <v>1266.0</v>
      </c>
      <c r="J2181" s="6">
        <v>2011.0</v>
      </c>
      <c r="K2181" s="6">
        <v>22.0</v>
      </c>
      <c r="L2181" s="6" t="s">
        <v>141</v>
      </c>
      <c r="M2181" s="6" t="s">
        <v>4240</v>
      </c>
      <c r="N2181" s="6" t="s">
        <v>24</v>
      </c>
      <c r="O2181" s="6" t="s">
        <v>25</v>
      </c>
      <c r="P2181" s="6">
        <f>COUNTIF(Analysis!$M$1:$M$3001,Analysis!$M1050)</f>
        <v>1</v>
      </c>
      <c r="Q2181" s="6" t="str">
        <f>IF(COUNTIF(Analysis!$M$2:$M$3001,Analysis!$M1050)&gt;1,"Duplicate","OK")</f>
        <v>OK</v>
      </c>
      <c r="R2181" s="6" t="str">
        <f t="shared" si="1"/>
        <v>1600-2600</v>
      </c>
      <c r="S2181" s="6">
        <f t="shared" si="2"/>
        <v>15</v>
      </c>
      <c r="T2181" s="6" t="str">
        <f t="shared" si="3"/>
        <v>Mid</v>
      </c>
    </row>
    <row r="2182" ht="14.25" customHeight="1">
      <c r="A2182" s="5">
        <v>1143189.0</v>
      </c>
      <c r="B2182" s="6" t="s">
        <v>9483</v>
      </c>
      <c r="C2182" s="6" t="s">
        <v>29</v>
      </c>
      <c r="D2182" s="6">
        <v>35115.0</v>
      </c>
      <c r="E2182" s="6" t="s">
        <v>60</v>
      </c>
      <c r="F2182" s="6" t="s">
        <v>41</v>
      </c>
      <c r="G2182" s="6" t="s">
        <v>21</v>
      </c>
      <c r="H2182" s="7">
        <v>1883.0</v>
      </c>
      <c r="I2182" s="7">
        <v>4819.0</v>
      </c>
      <c r="J2182" s="6">
        <v>1998.0</v>
      </c>
      <c r="K2182" s="6">
        <v>44.0</v>
      </c>
      <c r="L2182" s="6" t="s">
        <v>141</v>
      </c>
      <c r="M2182" s="6" t="s">
        <v>9484</v>
      </c>
      <c r="N2182" s="6" t="s">
        <v>34</v>
      </c>
      <c r="O2182" s="6" t="s">
        <v>35</v>
      </c>
      <c r="P2182" s="6">
        <f>COUNTIF(Analysis!$M$1:$M$3001,Analysis!$M2362)</f>
        <v>1</v>
      </c>
      <c r="Q2182" s="6" t="str">
        <f>IF(COUNTIF(Analysis!$M$2:$M$3001,Analysis!$M2362)&gt;1,"Duplicate","OK")</f>
        <v>OK</v>
      </c>
      <c r="R2182" s="6" t="str">
        <f t="shared" si="1"/>
        <v>1600-2600</v>
      </c>
      <c r="S2182" s="6">
        <f t="shared" si="2"/>
        <v>28</v>
      </c>
      <c r="T2182" s="6" t="str">
        <f t="shared" si="3"/>
        <v>Mid</v>
      </c>
    </row>
    <row r="2183" ht="14.25" customHeight="1">
      <c r="A2183" s="5">
        <v>402339.0</v>
      </c>
      <c r="B2183" s="6" t="s">
        <v>8768</v>
      </c>
      <c r="C2183" s="6" t="s">
        <v>18</v>
      </c>
      <c r="D2183" s="6">
        <v>93478.0</v>
      </c>
      <c r="E2183" s="6" t="s">
        <v>19</v>
      </c>
      <c r="F2183" s="6" t="s">
        <v>20</v>
      </c>
      <c r="G2183" s="6" t="s">
        <v>100</v>
      </c>
      <c r="H2183" s="7">
        <v>3585.0</v>
      </c>
      <c r="I2183" s="7">
        <v>6337.0</v>
      </c>
      <c r="J2183" s="6">
        <v>1977.0</v>
      </c>
      <c r="K2183" s="6">
        <v>56.0</v>
      </c>
      <c r="L2183" s="6" t="s">
        <v>62</v>
      </c>
      <c r="M2183" s="6" t="s">
        <v>8769</v>
      </c>
      <c r="N2183" s="6" t="s">
        <v>43</v>
      </c>
      <c r="O2183" s="6" t="s">
        <v>35</v>
      </c>
      <c r="P2183" s="6">
        <f>COUNTIF(Analysis!$M$1:$M$3001,Analysis!$M2183)</f>
        <v>1</v>
      </c>
      <c r="Q2183" s="6" t="str">
        <f>IF(COUNTIF(Analysis!$M$2:$M$3001,Analysis!$M2183)&gt;1,"Duplicate","OK")</f>
        <v>OK</v>
      </c>
      <c r="R2183" s="6" t="str">
        <f t="shared" si="1"/>
        <v>2600-3600</v>
      </c>
      <c r="S2183" s="6">
        <f t="shared" si="2"/>
        <v>49</v>
      </c>
      <c r="T2183" s="6" t="str">
        <f t="shared" si="3"/>
        <v>Old</v>
      </c>
    </row>
    <row r="2184" ht="14.25" customHeight="1">
      <c r="A2184" s="5">
        <v>1144956.0</v>
      </c>
      <c r="B2184" s="6" t="s">
        <v>1117</v>
      </c>
      <c r="C2184" s="6" t="s">
        <v>29</v>
      </c>
      <c r="D2184" s="6">
        <v>57975.0</v>
      </c>
      <c r="E2184" s="6" t="s">
        <v>19</v>
      </c>
      <c r="F2184" s="6" t="s">
        <v>41</v>
      </c>
      <c r="G2184" s="6" t="s">
        <v>31</v>
      </c>
      <c r="H2184" s="7">
        <v>1783.0</v>
      </c>
      <c r="I2184" s="7">
        <v>6138.0</v>
      </c>
      <c r="J2184" s="6">
        <v>1966.0</v>
      </c>
      <c r="K2184" s="6">
        <v>78.0</v>
      </c>
      <c r="L2184" s="6" t="s">
        <v>32</v>
      </c>
      <c r="M2184" s="6" t="s">
        <v>1118</v>
      </c>
      <c r="N2184" s="6" t="s">
        <v>43</v>
      </c>
      <c r="O2184" s="6" t="s">
        <v>35</v>
      </c>
      <c r="P2184" s="6">
        <f>COUNTIF(Analysis!$M$1:$M$3001,Analysis!$M269)</f>
        <v>1</v>
      </c>
      <c r="Q2184" s="6" t="str">
        <f>IF(COUNTIF(Analysis!$M$2:$M$3001,Analysis!$M269)&gt;1,"Duplicate","OK")</f>
        <v>OK</v>
      </c>
      <c r="R2184" s="6" t="str">
        <f t="shared" si="1"/>
        <v>1600-2600</v>
      </c>
      <c r="S2184" s="6">
        <f t="shared" si="2"/>
        <v>60</v>
      </c>
      <c r="T2184" s="6" t="str">
        <f t="shared" si="3"/>
        <v>Old</v>
      </c>
    </row>
    <row r="2185" ht="14.25" customHeight="1">
      <c r="A2185" s="5">
        <v>561390.0</v>
      </c>
      <c r="B2185" s="6" t="s">
        <v>8776</v>
      </c>
      <c r="C2185" s="6" t="s">
        <v>39</v>
      </c>
      <c r="D2185" s="6">
        <v>88464.0</v>
      </c>
      <c r="E2185" s="6" t="s">
        <v>19</v>
      </c>
      <c r="F2185" s="6" t="s">
        <v>20</v>
      </c>
      <c r="G2185" s="6" t="s">
        <v>100</v>
      </c>
      <c r="H2185" s="7">
        <v>3335.0</v>
      </c>
      <c r="I2185" s="7">
        <v>5930.0</v>
      </c>
      <c r="J2185" s="6">
        <v>1991.0</v>
      </c>
      <c r="K2185" s="6">
        <v>78.0</v>
      </c>
      <c r="L2185" s="6" t="s">
        <v>22</v>
      </c>
      <c r="M2185" s="6" t="s">
        <v>8777</v>
      </c>
      <c r="N2185" s="6" t="s">
        <v>64</v>
      </c>
      <c r="O2185" s="6" t="s">
        <v>49</v>
      </c>
      <c r="P2185" s="6">
        <f>COUNTIF(Analysis!$M$1:$M$3001,Analysis!$M2185)</f>
        <v>1</v>
      </c>
      <c r="Q2185" s="6" t="str">
        <f>IF(COUNTIF(Analysis!$M$2:$M$3001,Analysis!$M2185)&gt;1,"Duplicate","OK")</f>
        <v>OK</v>
      </c>
      <c r="R2185" s="6" t="str">
        <f t="shared" si="1"/>
        <v>2600-3600</v>
      </c>
      <c r="S2185" s="6">
        <f t="shared" si="2"/>
        <v>35</v>
      </c>
      <c r="T2185" s="6" t="str">
        <f t="shared" si="3"/>
        <v>Old</v>
      </c>
    </row>
    <row r="2186" ht="14.25" customHeight="1">
      <c r="A2186" s="5">
        <v>1376066.0</v>
      </c>
      <c r="B2186" s="6" t="s">
        <v>8780</v>
      </c>
      <c r="C2186" s="6" t="s">
        <v>39</v>
      </c>
      <c r="D2186" s="6">
        <v>36185.0</v>
      </c>
      <c r="E2186" s="6" t="s">
        <v>60</v>
      </c>
      <c r="F2186" s="6" t="s">
        <v>20</v>
      </c>
      <c r="G2186" s="6" t="s">
        <v>55</v>
      </c>
      <c r="H2186" s="7">
        <v>2856.0</v>
      </c>
      <c r="I2186" s="7">
        <v>3603.0</v>
      </c>
      <c r="J2186" s="6">
        <v>2005.0</v>
      </c>
      <c r="K2186" s="6">
        <v>25.0</v>
      </c>
      <c r="L2186" s="6" t="s">
        <v>62</v>
      </c>
      <c r="M2186" s="6" t="s">
        <v>8781</v>
      </c>
      <c r="N2186" s="6" t="s">
        <v>34</v>
      </c>
      <c r="O2186" s="6" t="s">
        <v>35</v>
      </c>
      <c r="P2186" s="6">
        <f>COUNTIF(Analysis!$M$1:$M$3001,Analysis!$M2186)</f>
        <v>1</v>
      </c>
      <c r="Q2186" s="6" t="str">
        <f>IF(COUNTIF(Analysis!$M$2:$M$3001,Analysis!$M2186)&gt;1,"Duplicate","OK")</f>
        <v>OK</v>
      </c>
      <c r="R2186" s="6" t="str">
        <f t="shared" si="1"/>
        <v>2600-3600</v>
      </c>
      <c r="S2186" s="6">
        <f t="shared" si="2"/>
        <v>21</v>
      </c>
      <c r="T2186" s="6" t="str">
        <f t="shared" si="3"/>
        <v>Mid</v>
      </c>
    </row>
    <row r="2187" ht="14.25" customHeight="1">
      <c r="A2187" s="5">
        <v>154749.0</v>
      </c>
      <c r="B2187" s="6" t="s">
        <v>8784</v>
      </c>
      <c r="C2187" s="6" t="s">
        <v>53</v>
      </c>
      <c r="D2187" s="6">
        <v>35075.0</v>
      </c>
      <c r="E2187" s="6" t="s">
        <v>60</v>
      </c>
      <c r="F2187" s="6" t="s">
        <v>20</v>
      </c>
      <c r="G2187" s="6" t="s">
        <v>31</v>
      </c>
      <c r="H2187" s="7">
        <v>3967.0</v>
      </c>
      <c r="I2187" s="7">
        <v>5193.0</v>
      </c>
      <c r="J2187" s="6">
        <v>1962.0</v>
      </c>
      <c r="K2187" s="6">
        <v>100.0</v>
      </c>
      <c r="L2187" s="6" t="s">
        <v>62</v>
      </c>
      <c r="M2187" s="6" t="s">
        <v>8785</v>
      </c>
      <c r="N2187" s="6" t="s">
        <v>64</v>
      </c>
      <c r="O2187" s="6" t="s">
        <v>49</v>
      </c>
      <c r="P2187" s="6">
        <f>COUNTIF(Analysis!$M$1:$M$3001,Analysis!$M2187)</f>
        <v>1</v>
      </c>
      <c r="Q2187" s="6" t="str">
        <f>IF(COUNTIF(Analysis!$M$2:$M$3001,Analysis!$M2187)&gt;1,"Duplicate","OK")</f>
        <v>OK</v>
      </c>
      <c r="R2187" s="6" t="str">
        <f t="shared" si="1"/>
        <v>3600+</v>
      </c>
      <c r="S2187" s="6">
        <f t="shared" si="2"/>
        <v>64</v>
      </c>
      <c r="T2187" s="6" t="str">
        <f t="shared" si="3"/>
        <v>Very Old</v>
      </c>
    </row>
    <row r="2188" ht="14.25" customHeight="1">
      <c r="A2188" s="5">
        <v>600024.0</v>
      </c>
      <c r="B2188" s="6" t="s">
        <v>8788</v>
      </c>
      <c r="C2188" s="6" t="s">
        <v>76</v>
      </c>
      <c r="D2188" s="6">
        <v>82166.0</v>
      </c>
      <c r="E2188" s="6" t="s">
        <v>30</v>
      </c>
      <c r="F2188" s="6" t="s">
        <v>94</v>
      </c>
      <c r="G2188" s="6" t="s">
        <v>55</v>
      </c>
      <c r="H2188" s="7">
        <v>2753.0</v>
      </c>
      <c r="I2188" s="7">
        <v>7661.0</v>
      </c>
      <c r="J2188" s="6">
        <v>2004.0</v>
      </c>
      <c r="K2188" s="6">
        <v>118.0</v>
      </c>
      <c r="L2188" s="6" t="s">
        <v>141</v>
      </c>
      <c r="M2188" s="6" t="s">
        <v>8789</v>
      </c>
      <c r="N2188" s="6" t="s">
        <v>34</v>
      </c>
      <c r="O2188" s="6" t="s">
        <v>35</v>
      </c>
      <c r="P2188" s="6">
        <f>COUNTIF(Analysis!$M$1:$M$3001,Analysis!$M2188)</f>
        <v>1</v>
      </c>
      <c r="Q2188" s="6" t="str">
        <f>IF(COUNTIF(Analysis!$M$2:$M$3001,Analysis!$M2188)&gt;1,"Duplicate","OK")</f>
        <v>OK</v>
      </c>
      <c r="R2188" s="6" t="str">
        <f t="shared" si="1"/>
        <v>2600-3600</v>
      </c>
      <c r="S2188" s="6">
        <f t="shared" si="2"/>
        <v>22</v>
      </c>
      <c r="T2188" s="6" t="str">
        <f t="shared" si="3"/>
        <v>Mid</v>
      </c>
    </row>
    <row r="2189" ht="14.25" customHeight="1">
      <c r="A2189" s="5">
        <v>732661.0</v>
      </c>
      <c r="B2189" s="6" t="s">
        <v>8792</v>
      </c>
      <c r="C2189" s="6" t="s">
        <v>53</v>
      </c>
      <c r="D2189" s="6">
        <v>19992.0</v>
      </c>
      <c r="E2189" s="6" t="s">
        <v>40</v>
      </c>
      <c r="F2189" s="6" t="s">
        <v>41</v>
      </c>
      <c r="G2189" s="6" t="s">
        <v>31</v>
      </c>
      <c r="H2189" s="7">
        <v>3060.0</v>
      </c>
      <c r="I2189" s="7">
        <v>9324.0</v>
      </c>
      <c r="J2189" s="6">
        <v>1990.0</v>
      </c>
      <c r="K2189" s="6">
        <v>109.0</v>
      </c>
      <c r="L2189" s="6" t="s">
        <v>62</v>
      </c>
      <c r="M2189" s="6" t="s">
        <v>8793</v>
      </c>
      <c r="N2189" s="6" t="s">
        <v>24</v>
      </c>
      <c r="O2189" s="6" t="s">
        <v>49</v>
      </c>
      <c r="P2189" s="6">
        <f>COUNTIF(Analysis!$M$1:$M$3001,Analysis!$M2189)</f>
        <v>1</v>
      </c>
      <c r="Q2189" s="6" t="str">
        <f>IF(COUNTIF(Analysis!$M$2:$M$3001,Analysis!$M2189)&gt;1,"Duplicate","OK")</f>
        <v>OK</v>
      </c>
      <c r="R2189" s="6" t="str">
        <f t="shared" si="1"/>
        <v>2600-3600</v>
      </c>
      <c r="S2189" s="6">
        <f t="shared" si="2"/>
        <v>36</v>
      </c>
      <c r="T2189" s="6" t="str">
        <f t="shared" si="3"/>
        <v>Old</v>
      </c>
    </row>
    <row r="2190" ht="14.25" customHeight="1">
      <c r="A2190" s="5">
        <v>1242489.0</v>
      </c>
      <c r="B2190" s="6" t="s">
        <v>8796</v>
      </c>
      <c r="C2190" s="6" t="s">
        <v>53</v>
      </c>
      <c r="D2190" s="6">
        <v>40319.0</v>
      </c>
      <c r="E2190" s="6" t="s">
        <v>77</v>
      </c>
      <c r="F2190" s="6" t="s">
        <v>46</v>
      </c>
      <c r="G2190" s="6" t="s">
        <v>31</v>
      </c>
      <c r="H2190" s="7">
        <v>2271.0</v>
      </c>
      <c r="I2190" s="7">
        <v>9042.0</v>
      </c>
      <c r="J2190" s="6">
        <v>2001.0</v>
      </c>
      <c r="K2190" s="6">
        <v>115.0</v>
      </c>
      <c r="L2190" s="6" t="s">
        <v>141</v>
      </c>
      <c r="M2190" s="6" t="s">
        <v>8797</v>
      </c>
      <c r="N2190" s="6" t="s">
        <v>24</v>
      </c>
      <c r="O2190" s="6" t="s">
        <v>25</v>
      </c>
      <c r="P2190" s="6">
        <f>COUNTIF(Analysis!$M$1:$M$3001,Analysis!$M2190)</f>
        <v>1</v>
      </c>
      <c r="Q2190" s="6" t="str">
        <f>IF(COUNTIF(Analysis!$M$2:$M$3001,Analysis!$M2190)&gt;1,"Duplicate","OK")</f>
        <v>OK</v>
      </c>
      <c r="R2190" s="6" t="str">
        <f t="shared" si="1"/>
        <v>1600-2600</v>
      </c>
      <c r="S2190" s="6">
        <f t="shared" si="2"/>
        <v>25</v>
      </c>
      <c r="T2190" s="6" t="str">
        <f t="shared" si="3"/>
        <v>Mid</v>
      </c>
    </row>
    <row r="2191" ht="14.25" customHeight="1">
      <c r="A2191" s="5">
        <v>992014.0</v>
      </c>
      <c r="B2191" s="6" t="s">
        <v>8800</v>
      </c>
      <c r="C2191" s="6" t="s">
        <v>76</v>
      </c>
      <c r="D2191" s="6">
        <v>85572.0</v>
      </c>
      <c r="E2191" s="6" t="s">
        <v>77</v>
      </c>
      <c r="F2191" s="6" t="s">
        <v>94</v>
      </c>
      <c r="G2191" s="6" t="s">
        <v>55</v>
      </c>
      <c r="H2191" s="7">
        <v>1485.0</v>
      </c>
      <c r="I2191" s="7">
        <v>2501.0</v>
      </c>
      <c r="J2191" s="6">
        <v>1994.0</v>
      </c>
      <c r="K2191" s="6">
        <v>105.0</v>
      </c>
      <c r="L2191" s="6" t="s">
        <v>62</v>
      </c>
      <c r="M2191" s="6" t="s">
        <v>8801</v>
      </c>
      <c r="N2191" s="6" t="s">
        <v>34</v>
      </c>
      <c r="O2191" s="6" t="s">
        <v>49</v>
      </c>
      <c r="P2191" s="6">
        <f>COUNTIF(Analysis!$M$1:$M$3001,Analysis!$M2191)</f>
        <v>1</v>
      </c>
      <c r="Q2191" s="6" t="str">
        <f>IF(COUNTIF(Analysis!$M$2:$M$3001,Analysis!$M2191)&gt;1,"Duplicate","OK")</f>
        <v>OK</v>
      </c>
      <c r="R2191" s="6" t="str">
        <f t="shared" si="1"/>
        <v>600-1600</v>
      </c>
      <c r="S2191" s="6">
        <f t="shared" si="2"/>
        <v>32</v>
      </c>
      <c r="T2191" s="6" t="str">
        <f t="shared" si="3"/>
        <v>Old</v>
      </c>
    </row>
    <row r="2192" ht="14.25" customHeight="1">
      <c r="A2192" s="5">
        <v>323406.0</v>
      </c>
      <c r="B2192" s="6" t="s">
        <v>8804</v>
      </c>
      <c r="C2192" s="6" t="s">
        <v>53</v>
      </c>
      <c r="D2192" s="6">
        <v>61427.0</v>
      </c>
      <c r="E2192" s="6" t="s">
        <v>19</v>
      </c>
      <c r="F2192" s="6" t="s">
        <v>41</v>
      </c>
      <c r="G2192" s="6" t="s">
        <v>21</v>
      </c>
      <c r="H2192" s="7">
        <v>642.0</v>
      </c>
      <c r="I2192" s="7">
        <v>7982.0</v>
      </c>
      <c r="J2192" s="6">
        <v>1974.0</v>
      </c>
      <c r="K2192" s="6">
        <v>109.0</v>
      </c>
      <c r="L2192" s="6" t="s">
        <v>141</v>
      </c>
      <c r="M2192" s="6" t="s">
        <v>8805</v>
      </c>
      <c r="N2192" s="6" t="s">
        <v>34</v>
      </c>
      <c r="O2192" s="6" t="s">
        <v>35</v>
      </c>
      <c r="P2192" s="6">
        <f>COUNTIF(Analysis!$M$1:$M$3001,Analysis!$M2192)</f>
        <v>1</v>
      </c>
      <c r="Q2192" s="6" t="str">
        <f>IF(COUNTIF(Analysis!$M$2:$M$3001,Analysis!$M2192)&gt;1,"Duplicate","OK")</f>
        <v>OK</v>
      </c>
      <c r="R2192" s="6" t="str">
        <f t="shared" si="1"/>
        <v>600-1600</v>
      </c>
      <c r="S2192" s="6">
        <f t="shared" si="2"/>
        <v>52</v>
      </c>
      <c r="T2192" s="6" t="str">
        <f t="shared" si="3"/>
        <v>Old</v>
      </c>
    </row>
    <row r="2193" ht="14.25" customHeight="1">
      <c r="A2193" s="5">
        <v>1146308.0</v>
      </c>
      <c r="B2193" s="6" t="s">
        <v>7913</v>
      </c>
      <c r="C2193" s="6" t="s">
        <v>29</v>
      </c>
      <c r="D2193" s="6">
        <v>39951.0</v>
      </c>
      <c r="E2193" s="6" t="s">
        <v>30</v>
      </c>
      <c r="F2193" s="6" t="s">
        <v>46</v>
      </c>
      <c r="G2193" s="6" t="s">
        <v>100</v>
      </c>
      <c r="H2193" s="7">
        <v>856.0</v>
      </c>
      <c r="I2193" s="7">
        <v>6238.0</v>
      </c>
      <c r="J2193" s="6">
        <v>1952.0</v>
      </c>
      <c r="K2193" s="6">
        <v>102.0</v>
      </c>
      <c r="L2193" s="6" t="s">
        <v>62</v>
      </c>
      <c r="M2193" s="6" t="s">
        <v>7914</v>
      </c>
      <c r="N2193" s="6" t="s">
        <v>48</v>
      </c>
      <c r="O2193" s="6" t="s">
        <v>35</v>
      </c>
      <c r="P2193" s="6">
        <f>COUNTIF(Analysis!$M$1:$M$3001,Analysis!$M1969)</f>
        <v>1</v>
      </c>
      <c r="Q2193" s="6" t="str">
        <f>IF(COUNTIF(Analysis!$M$2:$M$3001,Analysis!$M1969)&gt;1,"Duplicate","OK")</f>
        <v>OK</v>
      </c>
      <c r="R2193" s="6" t="str">
        <f t="shared" si="1"/>
        <v>600-1600</v>
      </c>
      <c r="S2193" s="6">
        <f t="shared" si="2"/>
        <v>74</v>
      </c>
      <c r="T2193" s="6" t="str">
        <f t="shared" si="3"/>
        <v>Very Old</v>
      </c>
    </row>
    <row r="2194" ht="14.25" customHeight="1">
      <c r="A2194" s="5">
        <v>1488630.0</v>
      </c>
      <c r="B2194" s="6" t="s">
        <v>8812</v>
      </c>
      <c r="C2194" s="6" t="s">
        <v>53</v>
      </c>
      <c r="D2194" s="6">
        <v>11595.0</v>
      </c>
      <c r="E2194" s="6" t="s">
        <v>77</v>
      </c>
      <c r="F2194" s="6" t="s">
        <v>20</v>
      </c>
      <c r="G2194" s="6" t="s">
        <v>55</v>
      </c>
      <c r="H2194" s="7">
        <v>2507.0</v>
      </c>
      <c r="I2194" s="7">
        <v>6876.0</v>
      </c>
      <c r="J2194" s="6">
        <v>1960.0</v>
      </c>
      <c r="K2194" s="6">
        <v>2.0</v>
      </c>
      <c r="L2194" s="6" t="s">
        <v>141</v>
      </c>
      <c r="M2194" s="6" t="s">
        <v>8813</v>
      </c>
      <c r="N2194" s="6" t="s">
        <v>64</v>
      </c>
      <c r="O2194" s="6" t="s">
        <v>25</v>
      </c>
      <c r="P2194" s="6">
        <f>COUNTIF(Analysis!$M$1:$M$3001,Analysis!$M2194)</f>
        <v>1</v>
      </c>
      <c r="Q2194" s="6" t="str">
        <f>IF(COUNTIF(Analysis!$M$2:$M$3001,Analysis!$M2194)&gt;1,"Duplicate","OK")</f>
        <v>OK</v>
      </c>
      <c r="R2194" s="6" t="str">
        <f t="shared" si="1"/>
        <v>1600-2600</v>
      </c>
      <c r="S2194" s="6">
        <f t="shared" si="2"/>
        <v>66</v>
      </c>
      <c r="T2194" s="6" t="str">
        <f t="shared" si="3"/>
        <v>Very Old</v>
      </c>
    </row>
    <row r="2195" ht="14.25" customHeight="1">
      <c r="A2195" s="5">
        <v>1251747.0</v>
      </c>
      <c r="B2195" s="6" t="s">
        <v>8816</v>
      </c>
      <c r="C2195" s="6" t="s">
        <v>18</v>
      </c>
      <c r="D2195" s="6">
        <v>70713.0</v>
      </c>
      <c r="E2195" s="6" t="s">
        <v>77</v>
      </c>
      <c r="F2195" s="6" t="s">
        <v>94</v>
      </c>
      <c r="G2195" s="6" t="s">
        <v>31</v>
      </c>
      <c r="H2195" s="7">
        <v>3590.0</v>
      </c>
      <c r="I2195" s="7">
        <v>1269.0</v>
      </c>
      <c r="J2195" s="6">
        <v>2007.0</v>
      </c>
      <c r="K2195" s="6">
        <v>108.0</v>
      </c>
      <c r="L2195" s="6" t="s">
        <v>141</v>
      </c>
      <c r="M2195" s="6" t="s">
        <v>8817</v>
      </c>
      <c r="N2195" s="6" t="s">
        <v>48</v>
      </c>
      <c r="O2195" s="6" t="s">
        <v>25</v>
      </c>
      <c r="P2195" s="6">
        <f>COUNTIF(Analysis!$M$1:$M$3001,Analysis!$M2195)</f>
        <v>1</v>
      </c>
      <c r="Q2195" s="6" t="str">
        <f>IF(COUNTIF(Analysis!$M$2:$M$3001,Analysis!$M2195)&gt;1,"Duplicate","OK")</f>
        <v>OK</v>
      </c>
      <c r="R2195" s="6" t="str">
        <f t="shared" si="1"/>
        <v>2600-3600</v>
      </c>
      <c r="S2195" s="6">
        <f t="shared" si="2"/>
        <v>19</v>
      </c>
      <c r="T2195" s="6" t="str">
        <f t="shared" si="3"/>
        <v>Mid</v>
      </c>
    </row>
    <row r="2196" ht="14.25" customHeight="1">
      <c r="A2196" s="5">
        <v>1330718.0</v>
      </c>
      <c r="B2196" s="6" t="s">
        <v>8820</v>
      </c>
      <c r="C2196" s="6" t="s">
        <v>18</v>
      </c>
      <c r="D2196" s="6">
        <v>42092.0</v>
      </c>
      <c r="E2196" s="6" t="s">
        <v>19</v>
      </c>
      <c r="F2196" s="6" t="s">
        <v>94</v>
      </c>
      <c r="G2196" s="6" t="s">
        <v>31</v>
      </c>
      <c r="H2196" s="7">
        <v>2280.0</v>
      </c>
      <c r="I2196" s="7">
        <v>7286.0</v>
      </c>
      <c r="J2196" s="6">
        <v>1956.0</v>
      </c>
      <c r="K2196" s="6">
        <v>119.0</v>
      </c>
      <c r="L2196" s="6" t="s">
        <v>95</v>
      </c>
      <c r="M2196" s="6" t="s">
        <v>8821</v>
      </c>
      <c r="N2196" s="6" t="s">
        <v>24</v>
      </c>
      <c r="O2196" s="6" t="s">
        <v>35</v>
      </c>
      <c r="P2196" s="6">
        <f>COUNTIF(Analysis!$M$1:$M$3001,Analysis!$M2196)</f>
        <v>1</v>
      </c>
      <c r="Q2196" s="6" t="str">
        <f>IF(COUNTIF(Analysis!$M$2:$M$3001,Analysis!$M2196)&gt;1,"Duplicate","OK")</f>
        <v>OK</v>
      </c>
      <c r="R2196" s="6" t="str">
        <f t="shared" si="1"/>
        <v>1600-2600</v>
      </c>
      <c r="S2196" s="6">
        <f t="shared" si="2"/>
        <v>70</v>
      </c>
      <c r="T2196" s="6" t="str">
        <f t="shared" si="3"/>
        <v>Very Old</v>
      </c>
    </row>
    <row r="2197" ht="14.25" customHeight="1">
      <c r="A2197" s="5">
        <v>1022516.0</v>
      </c>
      <c r="B2197" s="6" t="s">
        <v>8824</v>
      </c>
      <c r="C2197" s="6" t="s">
        <v>53</v>
      </c>
      <c r="D2197" s="6">
        <v>17336.0</v>
      </c>
      <c r="E2197" s="6" t="s">
        <v>60</v>
      </c>
      <c r="F2197" s="6" t="s">
        <v>54</v>
      </c>
      <c r="G2197" s="6" t="s">
        <v>100</v>
      </c>
      <c r="H2197" s="7">
        <v>832.0</v>
      </c>
      <c r="I2197" s="7">
        <v>8827.0</v>
      </c>
      <c r="J2197" s="6">
        <v>1973.0</v>
      </c>
      <c r="K2197" s="6">
        <v>58.0</v>
      </c>
      <c r="L2197" s="6" t="s">
        <v>141</v>
      </c>
      <c r="M2197" s="6" t="s">
        <v>8825</v>
      </c>
      <c r="N2197" s="6" t="s">
        <v>64</v>
      </c>
      <c r="O2197" s="6" t="s">
        <v>49</v>
      </c>
      <c r="P2197" s="6">
        <f>COUNTIF(Analysis!$M$1:$M$3001,Analysis!$M2197)</f>
        <v>1</v>
      </c>
      <c r="Q2197" s="6" t="str">
        <f>IF(COUNTIF(Analysis!$M$2:$M$3001,Analysis!$M2197)&gt;1,"Duplicate","OK")</f>
        <v>OK</v>
      </c>
      <c r="R2197" s="6" t="str">
        <f t="shared" si="1"/>
        <v>600-1600</v>
      </c>
      <c r="S2197" s="6">
        <f t="shared" si="2"/>
        <v>53</v>
      </c>
      <c r="T2197" s="6" t="str">
        <f t="shared" si="3"/>
        <v>Old</v>
      </c>
    </row>
    <row r="2198" ht="14.25" customHeight="1">
      <c r="A2198" s="5">
        <v>816399.0</v>
      </c>
      <c r="B2198" s="6" t="s">
        <v>8828</v>
      </c>
      <c r="C2198" s="6" t="s">
        <v>53</v>
      </c>
      <c r="D2198" s="6">
        <v>13336.0</v>
      </c>
      <c r="E2198" s="6" t="s">
        <v>77</v>
      </c>
      <c r="F2198" s="6" t="s">
        <v>54</v>
      </c>
      <c r="G2198" s="6" t="s">
        <v>21</v>
      </c>
      <c r="H2198" s="7">
        <v>2882.0</v>
      </c>
      <c r="I2198" s="7">
        <v>3887.0</v>
      </c>
      <c r="J2198" s="6">
        <v>1989.0</v>
      </c>
      <c r="K2198" s="6">
        <v>74.0</v>
      </c>
      <c r="L2198" s="6" t="s">
        <v>32</v>
      </c>
      <c r="M2198" s="6" t="s">
        <v>8829</v>
      </c>
      <c r="N2198" s="6" t="s">
        <v>43</v>
      </c>
      <c r="O2198" s="6" t="s">
        <v>25</v>
      </c>
      <c r="P2198" s="6">
        <f>COUNTIF(Analysis!$M$1:$M$3001,Analysis!$M2198)</f>
        <v>1</v>
      </c>
      <c r="Q2198" s="6" t="str">
        <f>IF(COUNTIF(Analysis!$M$2:$M$3001,Analysis!$M2198)&gt;1,"Duplicate","OK")</f>
        <v>OK</v>
      </c>
      <c r="R2198" s="6" t="str">
        <f t="shared" si="1"/>
        <v>2600-3600</v>
      </c>
      <c r="S2198" s="6">
        <f t="shared" si="2"/>
        <v>37</v>
      </c>
      <c r="T2198" s="6" t="str">
        <f t="shared" si="3"/>
        <v>Old</v>
      </c>
    </row>
    <row r="2199" ht="14.25" customHeight="1">
      <c r="A2199" s="5">
        <v>1151819.0</v>
      </c>
      <c r="B2199" s="6" t="s">
        <v>11243</v>
      </c>
      <c r="C2199" s="6" t="s">
        <v>29</v>
      </c>
      <c r="D2199" s="6">
        <v>26810.0</v>
      </c>
      <c r="E2199" s="6" t="s">
        <v>40</v>
      </c>
      <c r="F2199" s="6" t="s">
        <v>61</v>
      </c>
      <c r="G2199" s="6" t="s">
        <v>100</v>
      </c>
      <c r="H2199" s="7">
        <v>1032.0</v>
      </c>
      <c r="I2199" s="7">
        <v>2944.0</v>
      </c>
      <c r="J2199" s="6">
        <v>1985.0</v>
      </c>
      <c r="K2199" s="6">
        <v>28.0</v>
      </c>
      <c r="L2199" s="6" t="s">
        <v>22</v>
      </c>
      <c r="M2199" s="6" t="s">
        <v>11244</v>
      </c>
      <c r="N2199" s="6" t="s">
        <v>43</v>
      </c>
      <c r="O2199" s="6" t="s">
        <v>35</v>
      </c>
      <c r="P2199" s="6">
        <f>COUNTIF(Analysis!$M$1:$M$3001,Analysis!$M2802)</f>
        <v>1</v>
      </c>
      <c r="Q2199" s="6" t="str">
        <f>IF(COUNTIF(Analysis!$M$2:$M$3001,Analysis!$M2802)&gt;1,"Duplicate","OK")</f>
        <v>OK</v>
      </c>
      <c r="R2199" s="6" t="str">
        <f t="shared" si="1"/>
        <v>600-1600</v>
      </c>
      <c r="S2199" s="6">
        <f t="shared" si="2"/>
        <v>41</v>
      </c>
      <c r="T2199" s="6" t="str">
        <f t="shared" si="3"/>
        <v>Old</v>
      </c>
    </row>
    <row r="2200" ht="14.25" customHeight="1">
      <c r="A2200" s="5">
        <v>1056968.0</v>
      </c>
      <c r="B2200" s="6" t="s">
        <v>8836</v>
      </c>
      <c r="C2200" s="6" t="s">
        <v>18</v>
      </c>
      <c r="D2200" s="6">
        <v>71107.0</v>
      </c>
      <c r="E2200" s="6" t="s">
        <v>30</v>
      </c>
      <c r="F2200" s="6" t="s">
        <v>94</v>
      </c>
      <c r="G2200" s="6" t="s">
        <v>55</v>
      </c>
      <c r="H2200" s="7">
        <v>1973.0</v>
      </c>
      <c r="I2200" s="7">
        <v>3867.0</v>
      </c>
      <c r="J2200" s="6">
        <v>1968.0</v>
      </c>
      <c r="K2200" s="6">
        <v>33.0</v>
      </c>
      <c r="L2200" s="6" t="s">
        <v>141</v>
      </c>
      <c r="M2200" s="6" t="s">
        <v>8837</v>
      </c>
      <c r="N2200" s="6" t="s">
        <v>34</v>
      </c>
      <c r="O2200" s="6" t="s">
        <v>35</v>
      </c>
      <c r="P2200" s="6">
        <f>COUNTIF(Analysis!$M$1:$M$3001,Analysis!$M2200)</f>
        <v>1</v>
      </c>
      <c r="Q2200" s="6" t="str">
        <f>IF(COUNTIF(Analysis!$M$2:$M$3001,Analysis!$M2200)&gt;1,"Duplicate","OK")</f>
        <v>OK</v>
      </c>
      <c r="R2200" s="6" t="str">
        <f t="shared" si="1"/>
        <v>1600-2600</v>
      </c>
      <c r="S2200" s="6">
        <f t="shared" si="2"/>
        <v>58</v>
      </c>
      <c r="T2200" s="6" t="str">
        <f t="shared" si="3"/>
        <v>Old</v>
      </c>
    </row>
    <row r="2201" ht="14.25" customHeight="1">
      <c r="A2201" s="5">
        <v>1153736.0</v>
      </c>
      <c r="B2201" s="6" t="s">
        <v>10207</v>
      </c>
      <c r="C2201" s="6" t="s">
        <v>29</v>
      </c>
      <c r="D2201" s="6">
        <v>11392.0</v>
      </c>
      <c r="E2201" s="6" t="s">
        <v>77</v>
      </c>
      <c r="F2201" s="6" t="s">
        <v>41</v>
      </c>
      <c r="G2201" s="6" t="s">
        <v>55</v>
      </c>
      <c r="H2201" s="7">
        <v>913.0</v>
      </c>
      <c r="I2201" s="7">
        <v>7685.0</v>
      </c>
      <c r="J2201" s="6">
        <v>2005.0</v>
      </c>
      <c r="K2201" s="6">
        <v>65.0</v>
      </c>
      <c r="L2201" s="6" t="s">
        <v>95</v>
      </c>
      <c r="M2201" s="6" t="s">
        <v>10208</v>
      </c>
      <c r="N2201" s="6" t="s">
        <v>48</v>
      </c>
      <c r="O2201" s="6" t="s">
        <v>35</v>
      </c>
      <c r="P2201" s="6">
        <f>COUNTIF(Analysis!$M$1:$M$3001,Analysis!$M2543)</f>
        <v>1</v>
      </c>
      <c r="Q2201" s="6" t="str">
        <f>IF(COUNTIF(Analysis!$M$2:$M$3001,Analysis!$M2543)&gt;1,"Duplicate","OK")</f>
        <v>OK</v>
      </c>
      <c r="R2201" s="6" t="str">
        <f t="shared" si="1"/>
        <v>600-1600</v>
      </c>
      <c r="S2201" s="6">
        <f t="shared" si="2"/>
        <v>21</v>
      </c>
      <c r="T2201" s="6" t="str">
        <f t="shared" si="3"/>
        <v>Mid</v>
      </c>
    </row>
    <row r="2202" ht="14.25" customHeight="1">
      <c r="A2202" s="5">
        <v>174311.0</v>
      </c>
      <c r="B2202" s="6" t="s">
        <v>8843</v>
      </c>
      <c r="C2202" s="6" t="s">
        <v>18</v>
      </c>
      <c r="D2202" s="6">
        <v>17198.0</v>
      </c>
      <c r="E2202" s="6" t="s">
        <v>30</v>
      </c>
      <c r="F2202" s="6" t="s">
        <v>54</v>
      </c>
      <c r="G2202" s="6" t="s">
        <v>100</v>
      </c>
      <c r="H2202" s="7">
        <v>1025.0</v>
      </c>
      <c r="I2202" s="7">
        <v>9244.0</v>
      </c>
      <c r="J2202" s="6">
        <v>1997.0</v>
      </c>
      <c r="K2202" s="6">
        <v>1.0</v>
      </c>
      <c r="L2202" s="6" t="s">
        <v>141</v>
      </c>
      <c r="M2202" s="6" t="s">
        <v>8844</v>
      </c>
      <c r="N2202" s="6" t="s">
        <v>48</v>
      </c>
      <c r="O2202" s="6" t="s">
        <v>35</v>
      </c>
      <c r="P2202" s="6">
        <f>COUNTIF(Analysis!$M$1:$M$3001,Analysis!$M2202)</f>
        <v>1</v>
      </c>
      <c r="Q2202" s="6" t="str">
        <f>IF(COUNTIF(Analysis!$M$2:$M$3001,Analysis!$M2202)&gt;1,"Duplicate","OK")</f>
        <v>OK</v>
      </c>
      <c r="R2202" s="6" t="str">
        <f t="shared" si="1"/>
        <v>600-1600</v>
      </c>
      <c r="S2202" s="6">
        <f t="shared" si="2"/>
        <v>29</v>
      </c>
      <c r="T2202" s="6" t="str">
        <f t="shared" si="3"/>
        <v>Mid</v>
      </c>
    </row>
    <row r="2203" ht="14.25" customHeight="1">
      <c r="A2203" s="5">
        <v>1164086.0</v>
      </c>
      <c r="B2203" s="6" t="s">
        <v>8847</v>
      </c>
      <c r="C2203" s="6" t="s">
        <v>39</v>
      </c>
      <c r="D2203" s="6">
        <v>48480.0</v>
      </c>
      <c r="E2203" s="6" t="s">
        <v>40</v>
      </c>
      <c r="F2203" s="6" t="s">
        <v>46</v>
      </c>
      <c r="G2203" s="6" t="s">
        <v>21</v>
      </c>
      <c r="H2203" s="7">
        <v>2842.0</v>
      </c>
      <c r="I2203" s="7">
        <v>1614.0</v>
      </c>
      <c r="J2203" s="6">
        <v>1954.0</v>
      </c>
      <c r="K2203" s="6">
        <v>17.0</v>
      </c>
      <c r="L2203" s="6" t="s">
        <v>62</v>
      </c>
      <c r="M2203" s="6" t="s">
        <v>8848</v>
      </c>
      <c r="N2203" s="6" t="s">
        <v>64</v>
      </c>
      <c r="O2203" s="6" t="s">
        <v>35</v>
      </c>
      <c r="P2203" s="6">
        <f>COUNTIF(Analysis!$M$1:$M$3001,Analysis!$M2203)</f>
        <v>1</v>
      </c>
      <c r="Q2203" s="6" t="str">
        <f>IF(COUNTIF(Analysis!$M$2:$M$3001,Analysis!$M2203)&gt;1,"Duplicate","OK")</f>
        <v>OK</v>
      </c>
      <c r="R2203" s="6" t="str">
        <f t="shared" si="1"/>
        <v>2600-3600</v>
      </c>
      <c r="S2203" s="6">
        <f t="shared" si="2"/>
        <v>72</v>
      </c>
      <c r="T2203" s="6" t="str">
        <f t="shared" si="3"/>
        <v>Very Old</v>
      </c>
    </row>
    <row r="2204" ht="14.25" customHeight="1">
      <c r="A2204" s="5">
        <v>1154452.0</v>
      </c>
      <c r="B2204" s="6" t="s">
        <v>2671</v>
      </c>
      <c r="C2204" s="6" t="s">
        <v>29</v>
      </c>
      <c r="D2204" s="6">
        <v>29174.0</v>
      </c>
      <c r="E2204" s="6" t="s">
        <v>19</v>
      </c>
      <c r="F2204" s="6" t="s">
        <v>61</v>
      </c>
      <c r="G2204" s="6" t="s">
        <v>21</v>
      </c>
      <c r="H2204" s="7">
        <v>3509.0</v>
      </c>
      <c r="I2204" s="7">
        <v>7396.0</v>
      </c>
      <c r="J2204" s="6">
        <v>2014.0</v>
      </c>
      <c r="K2204" s="6">
        <v>73.0</v>
      </c>
      <c r="L2204" s="6" t="s">
        <v>141</v>
      </c>
      <c r="M2204" s="6" t="s">
        <v>2672</v>
      </c>
      <c r="N2204" s="6" t="s">
        <v>24</v>
      </c>
      <c r="O2204" s="6" t="s">
        <v>25</v>
      </c>
      <c r="P2204" s="6">
        <f>COUNTIF(Analysis!$M$1:$M$3001,Analysis!$M658)</f>
        <v>1</v>
      </c>
      <c r="Q2204" s="6" t="str">
        <f>IF(COUNTIF(Analysis!$M$2:$M$3001,Analysis!$M658)&gt;1,"Duplicate","OK")</f>
        <v>OK</v>
      </c>
      <c r="R2204" s="6" t="str">
        <f t="shared" si="1"/>
        <v>2600-3600</v>
      </c>
      <c r="S2204" s="6">
        <f t="shared" si="2"/>
        <v>12</v>
      </c>
      <c r="T2204" s="6" t="str">
        <f t="shared" si="3"/>
        <v>Mid</v>
      </c>
    </row>
    <row r="2205" ht="14.25" customHeight="1">
      <c r="A2205" s="5">
        <v>859477.0</v>
      </c>
      <c r="B2205" s="6" t="s">
        <v>8855</v>
      </c>
      <c r="C2205" s="6" t="s">
        <v>53</v>
      </c>
      <c r="D2205" s="6">
        <v>88270.0</v>
      </c>
      <c r="E2205" s="6" t="s">
        <v>40</v>
      </c>
      <c r="F2205" s="6" t="s">
        <v>61</v>
      </c>
      <c r="G2205" s="6" t="s">
        <v>31</v>
      </c>
      <c r="H2205" s="7">
        <v>1402.0</v>
      </c>
      <c r="I2205" s="7">
        <v>8264.0</v>
      </c>
      <c r="J2205" s="6">
        <v>1993.0</v>
      </c>
      <c r="K2205" s="6">
        <v>25.0</v>
      </c>
      <c r="L2205" s="6" t="s">
        <v>95</v>
      </c>
      <c r="M2205" s="6" t="s">
        <v>8856</v>
      </c>
      <c r="N2205" s="6" t="s">
        <v>24</v>
      </c>
      <c r="O2205" s="6" t="s">
        <v>49</v>
      </c>
      <c r="P2205" s="6">
        <f>COUNTIF(Analysis!$M$1:$M$3001,Analysis!$M2205)</f>
        <v>1</v>
      </c>
      <c r="Q2205" s="6" t="str">
        <f>IF(COUNTIF(Analysis!$M$2:$M$3001,Analysis!$M2205)&gt;1,"Duplicate","OK")</f>
        <v>OK</v>
      </c>
      <c r="R2205" s="6" t="str">
        <f t="shared" si="1"/>
        <v>600-1600</v>
      </c>
      <c r="S2205" s="6">
        <f t="shared" si="2"/>
        <v>33</v>
      </c>
      <c r="T2205" s="6" t="str">
        <f t="shared" si="3"/>
        <v>Old</v>
      </c>
    </row>
    <row r="2206" ht="14.25" customHeight="1">
      <c r="A2206" s="5">
        <v>581016.0</v>
      </c>
      <c r="B2206" s="6" t="s">
        <v>8859</v>
      </c>
      <c r="C2206" s="6" t="s">
        <v>39</v>
      </c>
      <c r="D2206" s="6">
        <v>87952.0</v>
      </c>
      <c r="E2206" s="6" t="s">
        <v>30</v>
      </c>
      <c r="F2206" s="6" t="s">
        <v>54</v>
      </c>
      <c r="G2206" s="6" t="s">
        <v>21</v>
      </c>
      <c r="H2206" s="7">
        <v>3853.0</v>
      </c>
      <c r="I2206" s="7">
        <v>7652.0</v>
      </c>
      <c r="J2206" s="6">
        <v>1991.0</v>
      </c>
      <c r="K2206" s="6">
        <v>77.0</v>
      </c>
      <c r="L2206" s="6" t="s">
        <v>95</v>
      </c>
      <c r="M2206" s="6" t="s">
        <v>8860</v>
      </c>
      <c r="N2206" s="6" t="s">
        <v>64</v>
      </c>
      <c r="O2206" s="6" t="s">
        <v>25</v>
      </c>
      <c r="P2206" s="6">
        <f>COUNTIF(Analysis!$M$1:$M$3001,Analysis!$M2206)</f>
        <v>1</v>
      </c>
      <c r="Q2206" s="6" t="str">
        <f>IF(COUNTIF(Analysis!$M$2:$M$3001,Analysis!$M2206)&gt;1,"Duplicate","OK")</f>
        <v>OK</v>
      </c>
      <c r="R2206" s="6" t="str">
        <f t="shared" si="1"/>
        <v>3600+</v>
      </c>
      <c r="S2206" s="6">
        <f t="shared" si="2"/>
        <v>35</v>
      </c>
      <c r="T2206" s="6" t="str">
        <f t="shared" si="3"/>
        <v>Old</v>
      </c>
    </row>
    <row r="2207" ht="14.25" customHeight="1">
      <c r="A2207" s="5">
        <v>207646.0</v>
      </c>
      <c r="B2207" s="6" t="s">
        <v>8863</v>
      </c>
      <c r="C2207" s="6" t="s">
        <v>18</v>
      </c>
      <c r="D2207" s="6">
        <v>74961.0</v>
      </c>
      <c r="E2207" s="6" t="s">
        <v>19</v>
      </c>
      <c r="F2207" s="6" t="s">
        <v>41</v>
      </c>
      <c r="G2207" s="6" t="s">
        <v>100</v>
      </c>
      <c r="H2207" s="7">
        <v>2675.0</v>
      </c>
      <c r="I2207" s="7">
        <v>3186.0</v>
      </c>
      <c r="J2207" s="6">
        <v>2018.0</v>
      </c>
      <c r="K2207" s="6">
        <v>65.0</v>
      </c>
      <c r="L2207" s="6" t="s">
        <v>22</v>
      </c>
      <c r="M2207" s="6" t="s">
        <v>8864</v>
      </c>
      <c r="N2207" s="6" t="s">
        <v>64</v>
      </c>
      <c r="O2207" s="6" t="s">
        <v>25</v>
      </c>
      <c r="P2207" s="6">
        <f>COUNTIF(Analysis!$M$1:$M$3001,Analysis!$M2207)</f>
        <v>1</v>
      </c>
      <c r="Q2207" s="6" t="str">
        <f>IF(COUNTIF(Analysis!$M$2:$M$3001,Analysis!$M2207)&gt;1,"Duplicate","OK")</f>
        <v>OK</v>
      </c>
      <c r="R2207" s="6" t="str">
        <f t="shared" si="1"/>
        <v>2600-3600</v>
      </c>
      <c r="S2207" s="6">
        <f t="shared" si="2"/>
        <v>8</v>
      </c>
      <c r="T2207" s="6" t="str">
        <f t="shared" si="3"/>
        <v>New</v>
      </c>
    </row>
    <row r="2208" ht="14.25" customHeight="1">
      <c r="A2208" s="5">
        <v>772904.0</v>
      </c>
      <c r="B2208" s="6" t="s">
        <v>8867</v>
      </c>
      <c r="C2208" s="6" t="s">
        <v>76</v>
      </c>
      <c r="D2208" s="6">
        <v>26090.0</v>
      </c>
      <c r="E2208" s="6" t="s">
        <v>40</v>
      </c>
      <c r="F2208" s="6" t="s">
        <v>54</v>
      </c>
      <c r="G2208" s="6" t="s">
        <v>100</v>
      </c>
      <c r="H2208" s="7">
        <v>3443.0</v>
      </c>
      <c r="I2208" s="7">
        <v>6406.0</v>
      </c>
      <c r="J2208" s="6">
        <v>1959.0</v>
      </c>
      <c r="K2208" s="6">
        <v>71.0</v>
      </c>
      <c r="L2208" s="6" t="s">
        <v>32</v>
      </c>
      <c r="M2208" s="6" t="s">
        <v>8868</v>
      </c>
      <c r="N2208" s="6" t="s">
        <v>34</v>
      </c>
      <c r="O2208" s="6" t="s">
        <v>49</v>
      </c>
      <c r="P2208" s="6">
        <f>COUNTIF(Analysis!$M$1:$M$3001,Analysis!$M2208)</f>
        <v>1</v>
      </c>
      <c r="Q2208" s="6" t="str">
        <f>IF(COUNTIF(Analysis!$M$2:$M$3001,Analysis!$M2208)&gt;1,"Duplicate","OK")</f>
        <v>OK</v>
      </c>
      <c r="R2208" s="6" t="str">
        <f t="shared" si="1"/>
        <v>2600-3600</v>
      </c>
      <c r="S2208" s="6">
        <f t="shared" si="2"/>
        <v>67</v>
      </c>
      <c r="T2208" s="6" t="str">
        <f t="shared" si="3"/>
        <v>Very Old</v>
      </c>
    </row>
    <row r="2209" ht="14.25" customHeight="1">
      <c r="A2209" s="5">
        <v>1157354.0</v>
      </c>
      <c r="B2209" s="6" t="s">
        <v>8764</v>
      </c>
      <c r="C2209" s="6" t="s">
        <v>29</v>
      </c>
      <c r="D2209" s="6">
        <v>21860.0</v>
      </c>
      <c r="E2209" s="6" t="s">
        <v>19</v>
      </c>
      <c r="F2209" s="6" t="s">
        <v>54</v>
      </c>
      <c r="G2209" s="6" t="s">
        <v>31</v>
      </c>
      <c r="H2209" s="7">
        <v>2179.0</v>
      </c>
      <c r="I2209" s="7">
        <v>9052.0</v>
      </c>
      <c r="J2209" s="6">
        <v>1979.0</v>
      </c>
      <c r="K2209" s="6">
        <v>100.0</v>
      </c>
      <c r="L2209" s="6" t="s">
        <v>141</v>
      </c>
      <c r="M2209" s="6" t="s">
        <v>8765</v>
      </c>
      <c r="N2209" s="6" t="s">
        <v>34</v>
      </c>
      <c r="O2209" s="6" t="s">
        <v>49</v>
      </c>
      <c r="P2209" s="6">
        <f>COUNTIF(Analysis!$M$1:$M$3001,Analysis!$M2182)</f>
        <v>1</v>
      </c>
      <c r="Q2209" s="6" t="str">
        <f>IF(COUNTIF(Analysis!$M$2:$M$3001,Analysis!$M2182)&gt;1,"Duplicate","OK")</f>
        <v>OK</v>
      </c>
      <c r="R2209" s="6" t="str">
        <f t="shared" si="1"/>
        <v>1600-2600</v>
      </c>
      <c r="S2209" s="6">
        <f t="shared" si="2"/>
        <v>47</v>
      </c>
      <c r="T2209" s="6" t="str">
        <f t="shared" si="3"/>
        <v>Old</v>
      </c>
    </row>
    <row r="2210" ht="14.25" customHeight="1">
      <c r="A2210" s="5">
        <v>664054.0</v>
      </c>
      <c r="B2210" s="6" t="s">
        <v>8875</v>
      </c>
      <c r="C2210" s="6" t="s">
        <v>18</v>
      </c>
      <c r="D2210" s="6">
        <v>59100.0</v>
      </c>
      <c r="E2210" s="6" t="s">
        <v>60</v>
      </c>
      <c r="F2210" s="6" t="s">
        <v>94</v>
      </c>
      <c r="G2210" s="6" t="s">
        <v>55</v>
      </c>
      <c r="H2210" s="7">
        <v>2984.0</v>
      </c>
      <c r="I2210" s="7">
        <v>3811.0</v>
      </c>
      <c r="J2210" s="6">
        <v>1955.0</v>
      </c>
      <c r="K2210" s="6">
        <v>105.0</v>
      </c>
      <c r="L2210" s="6" t="s">
        <v>95</v>
      </c>
      <c r="M2210" s="6" t="s">
        <v>8876</v>
      </c>
      <c r="N2210" s="6" t="s">
        <v>34</v>
      </c>
      <c r="O2210" s="6" t="s">
        <v>25</v>
      </c>
      <c r="P2210" s="6">
        <f>COUNTIF(Analysis!$M$1:$M$3001,Analysis!$M2210)</f>
        <v>1</v>
      </c>
      <c r="Q2210" s="6" t="str">
        <f>IF(COUNTIF(Analysis!$M$2:$M$3001,Analysis!$M2210)&gt;1,"Duplicate","OK")</f>
        <v>OK</v>
      </c>
      <c r="R2210" s="6" t="str">
        <f t="shared" si="1"/>
        <v>2600-3600</v>
      </c>
      <c r="S2210" s="6">
        <f t="shared" si="2"/>
        <v>71</v>
      </c>
      <c r="T2210" s="6" t="str">
        <f t="shared" si="3"/>
        <v>Very Old</v>
      </c>
    </row>
    <row r="2211" ht="14.25" customHeight="1">
      <c r="A2211" s="5">
        <v>751994.0</v>
      </c>
      <c r="B2211" s="6" t="s">
        <v>8879</v>
      </c>
      <c r="C2211" s="6" t="s">
        <v>18</v>
      </c>
      <c r="D2211" s="6">
        <v>69433.0</v>
      </c>
      <c r="E2211" s="6" t="s">
        <v>60</v>
      </c>
      <c r="F2211" s="6" t="s">
        <v>94</v>
      </c>
      <c r="G2211" s="6" t="s">
        <v>100</v>
      </c>
      <c r="H2211" s="7">
        <v>1019.0</v>
      </c>
      <c r="I2211" s="7">
        <v>7710.0</v>
      </c>
      <c r="J2211" s="6">
        <v>2012.0</v>
      </c>
      <c r="K2211" s="6">
        <v>56.0</v>
      </c>
      <c r="L2211" s="6" t="s">
        <v>95</v>
      </c>
      <c r="M2211" s="6" t="s">
        <v>8880</v>
      </c>
      <c r="N2211" s="6" t="s">
        <v>34</v>
      </c>
      <c r="O2211" s="6" t="s">
        <v>25</v>
      </c>
      <c r="P2211" s="6">
        <f>COUNTIF(Analysis!$M$1:$M$3001,Analysis!$M2211)</f>
        <v>1</v>
      </c>
      <c r="Q2211" s="6" t="str">
        <f>IF(COUNTIF(Analysis!$M$2:$M$3001,Analysis!$M2211)&gt;1,"Duplicate","OK")</f>
        <v>OK</v>
      </c>
      <c r="R2211" s="6" t="str">
        <f t="shared" si="1"/>
        <v>600-1600</v>
      </c>
      <c r="S2211" s="6">
        <f t="shared" si="2"/>
        <v>14</v>
      </c>
      <c r="T2211" s="6" t="str">
        <f t="shared" si="3"/>
        <v>Mid</v>
      </c>
    </row>
    <row r="2212" ht="14.25" customHeight="1">
      <c r="A2212" s="5">
        <v>1496434.0</v>
      </c>
      <c r="B2212" s="6" t="s">
        <v>8883</v>
      </c>
      <c r="C2212" s="6" t="s">
        <v>76</v>
      </c>
      <c r="D2212" s="6">
        <v>52565.0</v>
      </c>
      <c r="E2212" s="6" t="s">
        <v>30</v>
      </c>
      <c r="F2212" s="6" t="s">
        <v>41</v>
      </c>
      <c r="G2212" s="6" t="s">
        <v>100</v>
      </c>
      <c r="H2212" s="7">
        <v>3189.0</v>
      </c>
      <c r="I2212" s="7">
        <v>8223.0</v>
      </c>
      <c r="J2212" s="6">
        <v>1966.0</v>
      </c>
      <c r="K2212" s="6">
        <v>108.0</v>
      </c>
      <c r="L2212" s="6" t="s">
        <v>141</v>
      </c>
      <c r="M2212" s="6" t="s">
        <v>8884</v>
      </c>
      <c r="N2212" s="6" t="s">
        <v>64</v>
      </c>
      <c r="O2212" s="6" t="s">
        <v>35</v>
      </c>
      <c r="P2212" s="6">
        <f>COUNTIF(Analysis!$M$1:$M$3001,Analysis!$M2212)</f>
        <v>1</v>
      </c>
      <c r="Q2212" s="6" t="str">
        <f>IF(COUNTIF(Analysis!$M$2:$M$3001,Analysis!$M2212)&gt;1,"Duplicate","OK")</f>
        <v>OK</v>
      </c>
      <c r="R2212" s="6" t="str">
        <f t="shared" si="1"/>
        <v>2600-3600</v>
      </c>
      <c r="S2212" s="6">
        <f t="shared" si="2"/>
        <v>60</v>
      </c>
      <c r="T2212" s="6" t="str">
        <f t="shared" si="3"/>
        <v>Old</v>
      </c>
    </row>
    <row r="2213" ht="14.25" customHeight="1">
      <c r="A2213" s="5">
        <v>801645.0</v>
      </c>
      <c r="B2213" s="6" t="s">
        <v>8887</v>
      </c>
      <c r="C2213" s="6" t="s">
        <v>76</v>
      </c>
      <c r="D2213" s="6">
        <v>89150.0</v>
      </c>
      <c r="E2213" s="6" t="s">
        <v>40</v>
      </c>
      <c r="F2213" s="6" t="s">
        <v>20</v>
      </c>
      <c r="G2213" s="6" t="s">
        <v>31</v>
      </c>
      <c r="H2213" s="7">
        <v>2574.0</v>
      </c>
      <c r="I2213" s="7">
        <v>5978.0</v>
      </c>
      <c r="J2213" s="6">
        <v>2006.0</v>
      </c>
      <c r="K2213" s="6">
        <v>89.0</v>
      </c>
      <c r="L2213" s="6" t="s">
        <v>22</v>
      </c>
      <c r="M2213" s="6" t="s">
        <v>8888</v>
      </c>
      <c r="N2213" s="6" t="s">
        <v>64</v>
      </c>
      <c r="O2213" s="6" t="s">
        <v>35</v>
      </c>
      <c r="P2213" s="6">
        <f>COUNTIF(Analysis!$M$1:$M$3001,Analysis!$M2213)</f>
        <v>1</v>
      </c>
      <c r="Q2213" s="6" t="str">
        <f>IF(COUNTIF(Analysis!$M$2:$M$3001,Analysis!$M2213)&gt;1,"Duplicate","OK")</f>
        <v>OK</v>
      </c>
      <c r="R2213" s="6" t="str">
        <f t="shared" si="1"/>
        <v>1600-2600</v>
      </c>
      <c r="S2213" s="6">
        <f t="shared" si="2"/>
        <v>20</v>
      </c>
      <c r="T2213" s="6" t="str">
        <f t="shared" si="3"/>
        <v>Mid</v>
      </c>
    </row>
    <row r="2214" ht="14.25" customHeight="1">
      <c r="A2214" s="5">
        <v>1160990.0</v>
      </c>
      <c r="B2214" s="6" t="s">
        <v>4503</v>
      </c>
      <c r="C2214" s="6" t="s">
        <v>29</v>
      </c>
      <c r="D2214" s="6">
        <v>32159.0</v>
      </c>
      <c r="E2214" s="6" t="s">
        <v>40</v>
      </c>
      <c r="F2214" s="6" t="s">
        <v>46</v>
      </c>
      <c r="G2214" s="6" t="s">
        <v>21</v>
      </c>
      <c r="H2214" s="7">
        <v>3824.0</v>
      </c>
      <c r="I2214" s="7">
        <v>1780.0</v>
      </c>
      <c r="J2214" s="6">
        <v>1981.0</v>
      </c>
      <c r="K2214" s="6">
        <v>26.0</v>
      </c>
      <c r="L2214" s="6" t="s">
        <v>32</v>
      </c>
      <c r="M2214" s="6" t="s">
        <v>4504</v>
      </c>
      <c r="N2214" s="6" t="s">
        <v>43</v>
      </c>
      <c r="O2214" s="6" t="s">
        <v>25</v>
      </c>
      <c r="P2214" s="6">
        <f>COUNTIF(Analysis!$M$1:$M$3001,Analysis!$M1116)</f>
        <v>1</v>
      </c>
      <c r="Q2214" s="6" t="str">
        <f>IF(COUNTIF(Analysis!$M$2:$M$3001,Analysis!$M1116)&gt;1,"Duplicate","OK")</f>
        <v>OK</v>
      </c>
      <c r="R2214" s="6" t="str">
        <f t="shared" si="1"/>
        <v>3600+</v>
      </c>
      <c r="S2214" s="6">
        <f t="shared" si="2"/>
        <v>45</v>
      </c>
      <c r="T2214" s="6" t="str">
        <f t="shared" si="3"/>
        <v>Old</v>
      </c>
    </row>
    <row r="2215" ht="14.25" customHeight="1">
      <c r="A2215" s="5">
        <v>1161136.0</v>
      </c>
      <c r="B2215" s="6" t="s">
        <v>897</v>
      </c>
      <c r="C2215" s="6" t="s">
        <v>29</v>
      </c>
      <c r="D2215" s="6">
        <v>61835.0</v>
      </c>
      <c r="E2215" s="6" t="s">
        <v>40</v>
      </c>
      <c r="F2215" s="6" t="s">
        <v>61</v>
      </c>
      <c r="G2215" s="6" t="s">
        <v>100</v>
      </c>
      <c r="H2215" s="7">
        <v>1576.0</v>
      </c>
      <c r="I2215" s="7">
        <v>3947.0</v>
      </c>
      <c r="J2215" s="6">
        <v>1983.0</v>
      </c>
      <c r="K2215" s="6">
        <v>4.0</v>
      </c>
      <c r="L2215" s="6" t="s">
        <v>22</v>
      </c>
      <c r="M2215" s="6" t="s">
        <v>898</v>
      </c>
      <c r="N2215" s="6" t="s">
        <v>34</v>
      </c>
      <c r="O2215" s="6" t="s">
        <v>49</v>
      </c>
      <c r="P2215" s="6">
        <f>COUNTIF(Analysis!$M$1:$M$3001,Analysis!$M214)</f>
        <v>1</v>
      </c>
      <c r="Q2215" s="6" t="str">
        <f>IF(COUNTIF(Analysis!$M$2:$M$3001,Analysis!$M214)&gt;1,"Duplicate","OK")</f>
        <v>OK</v>
      </c>
      <c r="R2215" s="6" t="str">
        <f t="shared" si="1"/>
        <v>600-1600</v>
      </c>
      <c r="S2215" s="6">
        <f t="shared" si="2"/>
        <v>43</v>
      </c>
      <c r="T2215" s="6" t="str">
        <f t="shared" si="3"/>
        <v>Old</v>
      </c>
    </row>
    <row r="2216" ht="14.25" customHeight="1">
      <c r="A2216" s="5">
        <v>1167277.0</v>
      </c>
      <c r="B2216" s="6" t="s">
        <v>8688</v>
      </c>
      <c r="C2216" s="6" t="s">
        <v>29</v>
      </c>
      <c r="D2216" s="6">
        <v>34454.0</v>
      </c>
      <c r="E2216" s="6" t="s">
        <v>30</v>
      </c>
      <c r="F2216" s="6" t="s">
        <v>54</v>
      </c>
      <c r="G2216" s="6" t="s">
        <v>100</v>
      </c>
      <c r="H2216" s="7">
        <v>2439.0</v>
      </c>
      <c r="I2216" s="7">
        <v>5763.0</v>
      </c>
      <c r="J2216" s="6">
        <v>1979.0</v>
      </c>
      <c r="K2216" s="6">
        <v>111.0</v>
      </c>
      <c r="L2216" s="6" t="s">
        <v>141</v>
      </c>
      <c r="M2216" s="6" t="s">
        <v>8689</v>
      </c>
      <c r="N2216" s="6" t="s">
        <v>43</v>
      </c>
      <c r="O2216" s="6" t="s">
        <v>35</v>
      </c>
      <c r="P2216" s="6">
        <f>COUNTIF(Analysis!$M$1:$M$3001,Analysis!$M2163)</f>
        <v>1</v>
      </c>
      <c r="Q2216" s="6" t="str">
        <f>IF(COUNTIF(Analysis!$M$2:$M$3001,Analysis!$M2163)&gt;1,"Duplicate","OK")</f>
        <v>OK</v>
      </c>
      <c r="R2216" s="6" t="str">
        <f t="shared" si="1"/>
        <v>1600-2600</v>
      </c>
      <c r="S2216" s="6">
        <f t="shared" si="2"/>
        <v>47</v>
      </c>
      <c r="T2216" s="6" t="str">
        <f t="shared" si="3"/>
        <v>Old</v>
      </c>
    </row>
    <row r="2217" ht="14.25" customHeight="1">
      <c r="A2217" s="5">
        <v>690617.0</v>
      </c>
      <c r="B2217" s="6" t="s">
        <v>8903</v>
      </c>
      <c r="C2217" s="6" t="s">
        <v>76</v>
      </c>
      <c r="D2217" s="6">
        <v>37461.0</v>
      </c>
      <c r="E2217" s="6" t="s">
        <v>40</v>
      </c>
      <c r="F2217" s="6" t="s">
        <v>54</v>
      </c>
      <c r="G2217" s="6" t="s">
        <v>21</v>
      </c>
      <c r="H2217" s="7">
        <v>2754.0</v>
      </c>
      <c r="I2217" s="7">
        <v>2212.0</v>
      </c>
      <c r="J2217" s="6">
        <v>2004.0</v>
      </c>
      <c r="K2217" s="6">
        <v>84.0</v>
      </c>
      <c r="L2217" s="6" t="s">
        <v>141</v>
      </c>
      <c r="M2217" s="6" t="s">
        <v>8904</v>
      </c>
      <c r="N2217" s="6" t="s">
        <v>48</v>
      </c>
      <c r="O2217" s="6" t="s">
        <v>25</v>
      </c>
      <c r="P2217" s="6">
        <f>COUNTIF(Analysis!$M$1:$M$3001,Analysis!$M2217)</f>
        <v>1</v>
      </c>
      <c r="Q2217" s="6" t="str">
        <f>IF(COUNTIF(Analysis!$M$2:$M$3001,Analysis!$M2217)&gt;1,"Duplicate","OK")</f>
        <v>OK</v>
      </c>
      <c r="R2217" s="6" t="str">
        <f t="shared" si="1"/>
        <v>2600-3600</v>
      </c>
      <c r="S2217" s="6">
        <f t="shared" si="2"/>
        <v>22</v>
      </c>
      <c r="T2217" s="6" t="str">
        <f t="shared" si="3"/>
        <v>Mid</v>
      </c>
    </row>
    <row r="2218" ht="14.25" customHeight="1">
      <c r="A2218" s="5">
        <v>740207.0</v>
      </c>
      <c r="B2218" s="6" t="s">
        <v>8907</v>
      </c>
      <c r="C2218" s="6" t="s">
        <v>76</v>
      </c>
      <c r="D2218" s="6">
        <v>68470.0</v>
      </c>
      <c r="E2218" s="6" t="s">
        <v>30</v>
      </c>
      <c r="F2218" s="6" t="s">
        <v>41</v>
      </c>
      <c r="G2218" s="6" t="s">
        <v>21</v>
      </c>
      <c r="H2218" s="7">
        <v>3973.0</v>
      </c>
      <c r="I2218" s="7">
        <v>4380.0</v>
      </c>
      <c r="J2218" s="6">
        <v>1969.0</v>
      </c>
      <c r="K2218" s="6">
        <v>118.0</v>
      </c>
      <c r="L2218" s="6" t="s">
        <v>22</v>
      </c>
      <c r="M2218" s="6" t="s">
        <v>8908</v>
      </c>
      <c r="N2218" s="6" t="s">
        <v>34</v>
      </c>
      <c r="O2218" s="6" t="s">
        <v>35</v>
      </c>
      <c r="P2218" s="6">
        <f>COUNTIF(Analysis!$M$1:$M$3001,Analysis!$M2218)</f>
        <v>1</v>
      </c>
      <c r="Q2218" s="6" t="str">
        <f>IF(COUNTIF(Analysis!$M$2:$M$3001,Analysis!$M2218)&gt;1,"Duplicate","OK")</f>
        <v>OK</v>
      </c>
      <c r="R2218" s="6" t="str">
        <f t="shared" si="1"/>
        <v>3600+</v>
      </c>
      <c r="S2218" s="6">
        <f t="shared" si="2"/>
        <v>57</v>
      </c>
      <c r="T2218" s="6" t="str">
        <f t="shared" si="3"/>
        <v>Old</v>
      </c>
    </row>
    <row r="2219" ht="14.25" customHeight="1">
      <c r="A2219" s="5">
        <v>1363873.0</v>
      </c>
      <c r="B2219" s="6" t="s">
        <v>8911</v>
      </c>
      <c r="C2219" s="6" t="s">
        <v>53</v>
      </c>
      <c r="D2219" s="6">
        <v>19011.0</v>
      </c>
      <c r="E2219" s="6" t="s">
        <v>60</v>
      </c>
      <c r="F2219" s="6" t="s">
        <v>94</v>
      </c>
      <c r="G2219" s="6" t="s">
        <v>31</v>
      </c>
      <c r="H2219" s="7">
        <v>2006.0</v>
      </c>
      <c r="I2219" s="7">
        <v>9486.0</v>
      </c>
      <c r="J2219" s="6">
        <v>1992.0</v>
      </c>
      <c r="K2219" s="6">
        <v>112.0</v>
      </c>
      <c r="L2219" s="6" t="s">
        <v>95</v>
      </c>
      <c r="M2219" s="6" t="s">
        <v>8912</v>
      </c>
      <c r="N2219" s="6" t="s">
        <v>24</v>
      </c>
      <c r="O2219" s="6" t="s">
        <v>35</v>
      </c>
      <c r="P2219" s="6">
        <f>COUNTIF(Analysis!$M$1:$M$3001,Analysis!$M2219)</f>
        <v>1</v>
      </c>
      <c r="Q2219" s="6" t="str">
        <f>IF(COUNTIF(Analysis!$M$2:$M$3001,Analysis!$M2219)&gt;1,"Duplicate","OK")</f>
        <v>OK</v>
      </c>
      <c r="R2219" s="6" t="str">
        <f t="shared" si="1"/>
        <v>1600-2600</v>
      </c>
      <c r="S2219" s="6">
        <f t="shared" si="2"/>
        <v>34</v>
      </c>
      <c r="T2219" s="6" t="str">
        <f t="shared" si="3"/>
        <v>Old</v>
      </c>
    </row>
    <row r="2220" ht="14.25" customHeight="1">
      <c r="A2220" s="5">
        <v>812147.0</v>
      </c>
      <c r="B2220" s="6" t="s">
        <v>8915</v>
      </c>
      <c r="C2220" s="6" t="s">
        <v>53</v>
      </c>
      <c r="D2220" s="6">
        <v>47488.0</v>
      </c>
      <c r="E2220" s="6" t="s">
        <v>77</v>
      </c>
      <c r="F2220" s="6" t="s">
        <v>54</v>
      </c>
      <c r="G2220" s="6" t="s">
        <v>55</v>
      </c>
      <c r="H2220" s="7">
        <v>3975.0</v>
      </c>
      <c r="I2220" s="7">
        <v>5472.0</v>
      </c>
      <c r="J2220" s="6">
        <v>2000.0</v>
      </c>
      <c r="K2220" s="6">
        <v>102.0</v>
      </c>
      <c r="L2220" s="6" t="s">
        <v>95</v>
      </c>
      <c r="M2220" s="6" t="s">
        <v>8916</v>
      </c>
      <c r="N2220" s="6" t="s">
        <v>48</v>
      </c>
      <c r="O2220" s="6" t="s">
        <v>25</v>
      </c>
      <c r="P2220" s="6">
        <f>COUNTIF(Analysis!$M$1:$M$3001,Analysis!$M2220)</f>
        <v>1</v>
      </c>
      <c r="Q2220" s="6" t="str">
        <f>IF(COUNTIF(Analysis!$M$2:$M$3001,Analysis!$M2220)&gt;1,"Duplicate","OK")</f>
        <v>OK</v>
      </c>
      <c r="R2220" s="6" t="str">
        <f t="shared" si="1"/>
        <v>3600+</v>
      </c>
      <c r="S2220" s="6">
        <f t="shared" si="2"/>
        <v>26</v>
      </c>
      <c r="T2220" s="6" t="str">
        <f t="shared" si="3"/>
        <v>Mid</v>
      </c>
    </row>
    <row r="2221" ht="14.25" customHeight="1">
      <c r="A2221" s="5">
        <v>543914.0</v>
      </c>
      <c r="B2221" s="6" t="s">
        <v>8919</v>
      </c>
      <c r="C2221" s="6" t="s">
        <v>53</v>
      </c>
      <c r="D2221" s="6">
        <v>50049.0</v>
      </c>
      <c r="E2221" s="6" t="s">
        <v>40</v>
      </c>
      <c r="F2221" s="6" t="s">
        <v>41</v>
      </c>
      <c r="G2221" s="6" t="s">
        <v>21</v>
      </c>
      <c r="H2221" s="7">
        <v>1023.0</v>
      </c>
      <c r="I2221" s="7">
        <v>5966.0</v>
      </c>
      <c r="J2221" s="6">
        <v>1989.0</v>
      </c>
      <c r="K2221" s="6">
        <v>39.0</v>
      </c>
      <c r="L2221" s="6" t="s">
        <v>95</v>
      </c>
      <c r="M2221" s="6" t="s">
        <v>8920</v>
      </c>
      <c r="N2221" s="6" t="s">
        <v>43</v>
      </c>
      <c r="O2221" s="6" t="s">
        <v>49</v>
      </c>
      <c r="P2221" s="6">
        <f>COUNTIF(Analysis!$M$1:$M$3001,Analysis!$M2221)</f>
        <v>1</v>
      </c>
      <c r="Q2221" s="6" t="str">
        <f>IF(COUNTIF(Analysis!$M$2:$M$3001,Analysis!$M2221)&gt;1,"Duplicate","OK")</f>
        <v>OK</v>
      </c>
      <c r="R2221" s="6" t="str">
        <f t="shared" si="1"/>
        <v>600-1600</v>
      </c>
      <c r="S2221" s="6">
        <f t="shared" si="2"/>
        <v>37</v>
      </c>
      <c r="T2221" s="6" t="str">
        <f t="shared" si="3"/>
        <v>Old</v>
      </c>
    </row>
    <row r="2222" ht="14.25" customHeight="1">
      <c r="A2222" s="5">
        <v>502220.0</v>
      </c>
      <c r="B2222" s="6" t="s">
        <v>8923</v>
      </c>
      <c r="C2222" s="6" t="s">
        <v>39</v>
      </c>
      <c r="D2222" s="6">
        <v>52654.0</v>
      </c>
      <c r="E2222" s="6" t="s">
        <v>30</v>
      </c>
      <c r="F2222" s="6" t="s">
        <v>46</v>
      </c>
      <c r="G2222" s="6" t="s">
        <v>100</v>
      </c>
      <c r="H2222" s="7">
        <v>3877.0</v>
      </c>
      <c r="I2222" s="7">
        <v>2422.0</v>
      </c>
      <c r="J2222" s="6">
        <v>2014.0</v>
      </c>
      <c r="K2222" s="6">
        <v>84.0</v>
      </c>
      <c r="L2222" s="6" t="s">
        <v>95</v>
      </c>
      <c r="M2222" s="6" t="s">
        <v>8924</v>
      </c>
      <c r="N2222" s="6" t="s">
        <v>24</v>
      </c>
      <c r="O2222" s="6" t="s">
        <v>35</v>
      </c>
      <c r="P2222" s="6">
        <f>COUNTIF(Analysis!$M$1:$M$3001,Analysis!$M2222)</f>
        <v>1</v>
      </c>
      <c r="Q2222" s="6" t="str">
        <f>IF(COUNTIF(Analysis!$M$2:$M$3001,Analysis!$M2222)&gt;1,"Duplicate","OK")</f>
        <v>OK</v>
      </c>
      <c r="R2222" s="6" t="str">
        <f t="shared" si="1"/>
        <v>3600+</v>
      </c>
      <c r="S2222" s="6">
        <f t="shared" si="2"/>
        <v>12</v>
      </c>
      <c r="T2222" s="6" t="str">
        <f t="shared" si="3"/>
        <v>Mid</v>
      </c>
    </row>
    <row r="2223" ht="14.25" customHeight="1">
      <c r="A2223" s="5">
        <v>145267.0</v>
      </c>
      <c r="B2223" s="6" t="s">
        <v>8927</v>
      </c>
      <c r="C2223" s="6" t="s">
        <v>39</v>
      </c>
      <c r="D2223" s="6">
        <v>67674.0</v>
      </c>
      <c r="E2223" s="6" t="s">
        <v>40</v>
      </c>
      <c r="F2223" s="6" t="s">
        <v>61</v>
      </c>
      <c r="G2223" s="6" t="s">
        <v>55</v>
      </c>
      <c r="H2223" s="7">
        <v>600.0</v>
      </c>
      <c r="I2223" s="7">
        <v>8315.0</v>
      </c>
      <c r="J2223" s="6">
        <v>1964.0</v>
      </c>
      <c r="K2223" s="6">
        <v>63.0</v>
      </c>
      <c r="L2223" s="6" t="s">
        <v>95</v>
      </c>
      <c r="M2223" s="6" t="s">
        <v>8928</v>
      </c>
      <c r="N2223" s="6" t="s">
        <v>34</v>
      </c>
      <c r="O2223" s="6" t="s">
        <v>49</v>
      </c>
      <c r="P2223" s="6">
        <f>COUNTIF(Analysis!$M$1:$M$3001,Analysis!$M2223)</f>
        <v>1</v>
      </c>
      <c r="Q2223" s="6" t="str">
        <f>IF(COUNTIF(Analysis!$M$2:$M$3001,Analysis!$M2223)&gt;1,"Duplicate","OK")</f>
        <v>OK</v>
      </c>
      <c r="R2223" s="6" t="str">
        <f t="shared" si="1"/>
        <v>600-1600</v>
      </c>
      <c r="S2223" s="6">
        <f t="shared" si="2"/>
        <v>62</v>
      </c>
      <c r="T2223" s="6" t="str">
        <f t="shared" si="3"/>
        <v>Very Old</v>
      </c>
    </row>
    <row r="2224" ht="14.25" customHeight="1">
      <c r="A2224" s="5">
        <v>1425188.0</v>
      </c>
      <c r="B2224" s="6" t="s">
        <v>8931</v>
      </c>
      <c r="C2224" s="6" t="s">
        <v>18</v>
      </c>
      <c r="D2224" s="6">
        <v>81946.0</v>
      </c>
      <c r="E2224" s="6" t="s">
        <v>40</v>
      </c>
      <c r="F2224" s="6" t="s">
        <v>94</v>
      </c>
      <c r="G2224" s="6" t="s">
        <v>55</v>
      </c>
      <c r="H2224" s="7">
        <v>2935.0</v>
      </c>
      <c r="I2224" s="7">
        <v>3470.0</v>
      </c>
      <c r="J2224" s="6">
        <v>1967.0</v>
      </c>
      <c r="K2224" s="6">
        <v>98.0</v>
      </c>
      <c r="L2224" s="6" t="s">
        <v>141</v>
      </c>
      <c r="M2224" s="6" t="s">
        <v>8932</v>
      </c>
      <c r="N2224" s="6" t="s">
        <v>48</v>
      </c>
      <c r="O2224" s="6" t="s">
        <v>49</v>
      </c>
      <c r="P2224" s="6">
        <f>COUNTIF(Analysis!$M$1:$M$3001,Analysis!$M2224)</f>
        <v>1</v>
      </c>
      <c r="Q2224" s="6" t="str">
        <f>IF(COUNTIF(Analysis!$M$2:$M$3001,Analysis!$M2224)&gt;1,"Duplicate","OK")</f>
        <v>OK</v>
      </c>
      <c r="R2224" s="6" t="str">
        <f t="shared" si="1"/>
        <v>2600-3600</v>
      </c>
      <c r="S2224" s="6">
        <f t="shared" si="2"/>
        <v>59</v>
      </c>
      <c r="T2224" s="6" t="str">
        <f t="shared" si="3"/>
        <v>Old</v>
      </c>
    </row>
    <row r="2225" ht="14.25" customHeight="1">
      <c r="A2225" s="5">
        <v>1092255.0</v>
      </c>
      <c r="B2225" s="6" t="s">
        <v>8935</v>
      </c>
      <c r="C2225" s="6" t="s">
        <v>18</v>
      </c>
      <c r="D2225" s="6">
        <v>31872.0</v>
      </c>
      <c r="E2225" s="6" t="s">
        <v>60</v>
      </c>
      <c r="F2225" s="6" t="s">
        <v>41</v>
      </c>
      <c r="G2225" s="6" t="s">
        <v>31</v>
      </c>
      <c r="H2225" s="7">
        <v>1000.0</v>
      </c>
      <c r="I2225" s="7">
        <v>5090.0</v>
      </c>
      <c r="J2225" s="6">
        <v>2008.0</v>
      </c>
      <c r="K2225" s="6">
        <v>104.0</v>
      </c>
      <c r="L2225" s="6" t="s">
        <v>62</v>
      </c>
      <c r="M2225" s="6" t="s">
        <v>8936</v>
      </c>
      <c r="N2225" s="6" t="s">
        <v>24</v>
      </c>
      <c r="O2225" s="6" t="s">
        <v>25</v>
      </c>
      <c r="P2225" s="6">
        <f>COUNTIF(Analysis!$M$1:$M$3001,Analysis!$M2225)</f>
        <v>1</v>
      </c>
      <c r="Q2225" s="6" t="str">
        <f>IF(COUNTIF(Analysis!$M$2:$M$3001,Analysis!$M2225)&gt;1,"Duplicate","OK")</f>
        <v>OK</v>
      </c>
      <c r="R2225" s="6" t="str">
        <f t="shared" si="1"/>
        <v>600-1600</v>
      </c>
      <c r="S2225" s="6">
        <f t="shared" si="2"/>
        <v>18</v>
      </c>
      <c r="T2225" s="6" t="str">
        <f t="shared" si="3"/>
        <v>Mid</v>
      </c>
    </row>
    <row r="2226" ht="14.25" customHeight="1">
      <c r="A2226" s="5">
        <v>744075.0</v>
      </c>
      <c r="B2226" s="6" t="s">
        <v>8939</v>
      </c>
      <c r="C2226" s="6" t="s">
        <v>39</v>
      </c>
      <c r="D2226" s="6">
        <v>19965.0</v>
      </c>
      <c r="E2226" s="6" t="s">
        <v>77</v>
      </c>
      <c r="F2226" s="6" t="s">
        <v>54</v>
      </c>
      <c r="G2226" s="6" t="s">
        <v>21</v>
      </c>
      <c r="H2226" s="7">
        <v>1866.0</v>
      </c>
      <c r="I2226" s="7">
        <v>9073.0</v>
      </c>
      <c r="J2226" s="6">
        <v>2002.0</v>
      </c>
      <c r="K2226" s="6">
        <v>116.0</v>
      </c>
      <c r="L2226" s="6" t="s">
        <v>32</v>
      </c>
      <c r="M2226" s="6" t="s">
        <v>8940</v>
      </c>
      <c r="N2226" s="6" t="s">
        <v>24</v>
      </c>
      <c r="O2226" s="6" t="s">
        <v>49</v>
      </c>
      <c r="P2226" s="6">
        <f>COUNTIF(Analysis!$M$1:$M$3001,Analysis!$M2226)</f>
        <v>1</v>
      </c>
      <c r="Q2226" s="6" t="str">
        <f>IF(COUNTIF(Analysis!$M$2:$M$3001,Analysis!$M2226)&gt;1,"Duplicate","OK")</f>
        <v>OK</v>
      </c>
      <c r="R2226" s="6" t="str">
        <f t="shared" si="1"/>
        <v>1600-2600</v>
      </c>
      <c r="S2226" s="6">
        <f t="shared" si="2"/>
        <v>24</v>
      </c>
      <c r="T2226" s="6" t="str">
        <f t="shared" si="3"/>
        <v>Mid</v>
      </c>
    </row>
    <row r="2227" ht="14.25" customHeight="1">
      <c r="A2227" s="5">
        <v>643235.0</v>
      </c>
      <c r="B2227" s="6" t="s">
        <v>8943</v>
      </c>
      <c r="C2227" s="6" t="s">
        <v>76</v>
      </c>
      <c r="D2227" s="6">
        <v>66268.0</v>
      </c>
      <c r="E2227" s="6" t="s">
        <v>60</v>
      </c>
      <c r="F2227" s="6" t="s">
        <v>54</v>
      </c>
      <c r="G2227" s="6" t="s">
        <v>100</v>
      </c>
      <c r="H2227" s="7">
        <v>1750.0</v>
      </c>
      <c r="I2227" s="7">
        <v>9129.0</v>
      </c>
      <c r="J2227" s="6">
        <v>2012.0</v>
      </c>
      <c r="K2227" s="6">
        <v>41.0</v>
      </c>
      <c r="L2227" s="6" t="s">
        <v>32</v>
      </c>
      <c r="M2227" s="6" t="s">
        <v>8944</v>
      </c>
      <c r="N2227" s="6" t="s">
        <v>34</v>
      </c>
      <c r="O2227" s="6" t="s">
        <v>49</v>
      </c>
      <c r="P2227" s="6">
        <f>COUNTIF(Analysis!$M$1:$M$3001,Analysis!$M2227)</f>
        <v>1</v>
      </c>
      <c r="Q2227" s="6" t="str">
        <f>IF(COUNTIF(Analysis!$M$2:$M$3001,Analysis!$M2227)&gt;1,"Duplicate","OK")</f>
        <v>OK</v>
      </c>
      <c r="R2227" s="6" t="str">
        <f t="shared" si="1"/>
        <v>1600-2600</v>
      </c>
      <c r="S2227" s="6">
        <f t="shared" si="2"/>
        <v>14</v>
      </c>
      <c r="T2227" s="6" t="str">
        <f t="shared" si="3"/>
        <v>Mid</v>
      </c>
    </row>
    <row r="2228" ht="14.25" customHeight="1">
      <c r="A2228" s="5">
        <v>1449986.0</v>
      </c>
      <c r="B2228" s="6" t="s">
        <v>8947</v>
      </c>
      <c r="C2228" s="6" t="s">
        <v>53</v>
      </c>
      <c r="D2228" s="6">
        <v>27879.0</v>
      </c>
      <c r="E2228" s="6" t="s">
        <v>30</v>
      </c>
      <c r="F2228" s="6" t="s">
        <v>46</v>
      </c>
      <c r="G2228" s="6" t="s">
        <v>31</v>
      </c>
      <c r="H2228" s="7">
        <v>3213.0</v>
      </c>
      <c r="I2228" s="7">
        <v>5703.0</v>
      </c>
      <c r="J2228" s="6">
        <v>1962.0</v>
      </c>
      <c r="K2228" s="6">
        <v>119.0</v>
      </c>
      <c r="L2228" s="6" t="s">
        <v>32</v>
      </c>
      <c r="M2228" s="6" t="s">
        <v>8948</v>
      </c>
      <c r="N2228" s="6" t="s">
        <v>24</v>
      </c>
      <c r="O2228" s="6" t="s">
        <v>49</v>
      </c>
      <c r="P2228" s="6">
        <f>COUNTIF(Analysis!$M$1:$M$3001,Analysis!$M2228)</f>
        <v>1</v>
      </c>
      <c r="Q2228" s="6" t="str">
        <f>IF(COUNTIF(Analysis!$M$2:$M$3001,Analysis!$M2228)&gt;1,"Duplicate","OK")</f>
        <v>OK</v>
      </c>
      <c r="R2228" s="6" t="str">
        <f t="shared" si="1"/>
        <v>2600-3600</v>
      </c>
      <c r="S2228" s="6">
        <f t="shared" si="2"/>
        <v>64</v>
      </c>
      <c r="T2228" s="6" t="str">
        <f t="shared" si="3"/>
        <v>Very Old</v>
      </c>
    </row>
    <row r="2229" ht="14.25" customHeight="1">
      <c r="A2229" s="5">
        <v>792699.0</v>
      </c>
      <c r="B2229" s="6" t="s">
        <v>8951</v>
      </c>
      <c r="C2229" s="6" t="s">
        <v>39</v>
      </c>
      <c r="D2229" s="6">
        <v>55823.0</v>
      </c>
      <c r="E2229" s="6" t="s">
        <v>19</v>
      </c>
      <c r="F2229" s="6" t="s">
        <v>54</v>
      </c>
      <c r="G2229" s="6" t="s">
        <v>21</v>
      </c>
      <c r="H2229" s="7">
        <v>2952.0</v>
      </c>
      <c r="I2229" s="7">
        <v>7959.0</v>
      </c>
      <c r="J2229" s="6">
        <v>1994.0</v>
      </c>
      <c r="K2229" s="6">
        <v>40.0</v>
      </c>
      <c r="L2229" s="6" t="s">
        <v>62</v>
      </c>
      <c r="M2229" s="6" t="s">
        <v>8952</v>
      </c>
      <c r="N2229" s="6" t="s">
        <v>24</v>
      </c>
      <c r="O2229" s="6" t="s">
        <v>25</v>
      </c>
      <c r="P2229" s="6">
        <f>COUNTIF(Analysis!$M$1:$M$3001,Analysis!$M2229)</f>
        <v>1</v>
      </c>
      <c r="Q2229" s="6" t="str">
        <f>IF(COUNTIF(Analysis!$M$2:$M$3001,Analysis!$M2229)&gt;1,"Duplicate","OK")</f>
        <v>OK</v>
      </c>
      <c r="R2229" s="6" t="str">
        <f t="shared" si="1"/>
        <v>2600-3600</v>
      </c>
      <c r="S2229" s="6">
        <f t="shared" si="2"/>
        <v>32</v>
      </c>
      <c r="T2229" s="6" t="str">
        <f t="shared" si="3"/>
        <v>Old</v>
      </c>
    </row>
    <row r="2230" ht="14.25" customHeight="1">
      <c r="A2230" s="5">
        <v>526692.0</v>
      </c>
      <c r="B2230" s="6" t="s">
        <v>8955</v>
      </c>
      <c r="C2230" s="6" t="s">
        <v>39</v>
      </c>
      <c r="D2230" s="6">
        <v>11175.0</v>
      </c>
      <c r="E2230" s="6" t="s">
        <v>77</v>
      </c>
      <c r="F2230" s="6" t="s">
        <v>20</v>
      </c>
      <c r="G2230" s="6" t="s">
        <v>21</v>
      </c>
      <c r="H2230" s="7">
        <v>1372.0</v>
      </c>
      <c r="I2230" s="7">
        <v>1551.0</v>
      </c>
      <c r="J2230" s="6">
        <v>2009.0</v>
      </c>
      <c r="K2230" s="6">
        <v>23.0</v>
      </c>
      <c r="L2230" s="6" t="s">
        <v>95</v>
      </c>
      <c r="M2230" s="6" t="s">
        <v>8956</v>
      </c>
      <c r="N2230" s="6" t="s">
        <v>34</v>
      </c>
      <c r="O2230" s="6" t="s">
        <v>49</v>
      </c>
      <c r="P2230" s="6">
        <f>COUNTIF(Analysis!$M$1:$M$3001,Analysis!$M2230)</f>
        <v>1</v>
      </c>
      <c r="Q2230" s="6" t="str">
        <f>IF(COUNTIF(Analysis!$M$2:$M$3001,Analysis!$M2230)&gt;1,"Duplicate","OK")</f>
        <v>OK</v>
      </c>
      <c r="R2230" s="6" t="str">
        <f t="shared" si="1"/>
        <v>600-1600</v>
      </c>
      <c r="S2230" s="6">
        <f t="shared" si="2"/>
        <v>17</v>
      </c>
      <c r="T2230" s="6" t="str">
        <f t="shared" si="3"/>
        <v>Mid</v>
      </c>
    </row>
    <row r="2231" ht="14.25" customHeight="1">
      <c r="A2231" s="5">
        <v>839428.0</v>
      </c>
      <c r="B2231" s="6" t="s">
        <v>8959</v>
      </c>
      <c r="C2231" s="6" t="s">
        <v>18</v>
      </c>
      <c r="D2231" s="6">
        <v>82188.0</v>
      </c>
      <c r="E2231" s="6" t="s">
        <v>77</v>
      </c>
      <c r="F2231" s="6" t="s">
        <v>94</v>
      </c>
      <c r="G2231" s="6" t="s">
        <v>100</v>
      </c>
      <c r="H2231" s="7">
        <v>1586.0</v>
      </c>
      <c r="I2231" s="7">
        <v>8177.0</v>
      </c>
      <c r="J2231" s="6">
        <v>1980.0</v>
      </c>
      <c r="K2231" s="6">
        <v>52.0</v>
      </c>
      <c r="L2231" s="6" t="s">
        <v>22</v>
      </c>
      <c r="M2231" s="6" t="s">
        <v>8960</v>
      </c>
      <c r="N2231" s="6" t="s">
        <v>48</v>
      </c>
      <c r="O2231" s="6" t="s">
        <v>25</v>
      </c>
      <c r="P2231" s="6">
        <f>COUNTIF(Analysis!$M$1:$M$3001,Analysis!$M2231)</f>
        <v>1</v>
      </c>
      <c r="Q2231" s="6" t="str">
        <f>IF(COUNTIF(Analysis!$M$2:$M$3001,Analysis!$M2231)&gt;1,"Duplicate","OK")</f>
        <v>OK</v>
      </c>
      <c r="R2231" s="6" t="str">
        <f t="shared" si="1"/>
        <v>600-1600</v>
      </c>
      <c r="S2231" s="6">
        <f t="shared" si="2"/>
        <v>46</v>
      </c>
      <c r="T2231" s="6" t="str">
        <f t="shared" si="3"/>
        <v>Old</v>
      </c>
    </row>
    <row r="2232" ht="14.25" customHeight="1">
      <c r="A2232" s="5">
        <v>223608.0</v>
      </c>
      <c r="B2232" s="6" t="s">
        <v>8963</v>
      </c>
      <c r="C2232" s="6" t="s">
        <v>53</v>
      </c>
      <c r="D2232" s="6">
        <v>49745.0</v>
      </c>
      <c r="E2232" s="6" t="s">
        <v>77</v>
      </c>
      <c r="F2232" s="6" t="s">
        <v>54</v>
      </c>
      <c r="G2232" s="6" t="s">
        <v>21</v>
      </c>
      <c r="H2232" s="7">
        <v>2726.0</v>
      </c>
      <c r="I2232" s="7">
        <v>9685.0</v>
      </c>
      <c r="J2232" s="6">
        <v>2012.0</v>
      </c>
      <c r="K2232" s="6">
        <v>72.0</v>
      </c>
      <c r="L2232" s="6" t="s">
        <v>141</v>
      </c>
      <c r="M2232" s="6" t="s">
        <v>8964</v>
      </c>
      <c r="N2232" s="6" t="s">
        <v>64</v>
      </c>
      <c r="O2232" s="6" t="s">
        <v>49</v>
      </c>
      <c r="P2232" s="6">
        <f>COUNTIF(Analysis!$M$1:$M$3001,Analysis!$M2232)</f>
        <v>1</v>
      </c>
      <c r="Q2232" s="6" t="str">
        <f>IF(COUNTIF(Analysis!$M$2:$M$3001,Analysis!$M2232)&gt;1,"Duplicate","OK")</f>
        <v>OK</v>
      </c>
      <c r="R2232" s="6" t="str">
        <f t="shared" si="1"/>
        <v>2600-3600</v>
      </c>
      <c r="S2232" s="6">
        <f t="shared" si="2"/>
        <v>14</v>
      </c>
      <c r="T2232" s="6" t="str">
        <f t="shared" si="3"/>
        <v>Mid</v>
      </c>
    </row>
    <row r="2233" ht="14.25" customHeight="1">
      <c r="A2233" s="5">
        <v>734661.0</v>
      </c>
      <c r="B2233" s="6" t="s">
        <v>8967</v>
      </c>
      <c r="C2233" s="6" t="s">
        <v>76</v>
      </c>
      <c r="D2233" s="6">
        <v>54762.0</v>
      </c>
      <c r="E2233" s="6" t="s">
        <v>77</v>
      </c>
      <c r="F2233" s="6" t="s">
        <v>46</v>
      </c>
      <c r="G2233" s="6" t="s">
        <v>21</v>
      </c>
      <c r="H2233" s="7">
        <v>1695.0</v>
      </c>
      <c r="I2233" s="7">
        <v>7194.0</v>
      </c>
      <c r="J2233" s="6">
        <v>1960.0</v>
      </c>
      <c r="K2233" s="6">
        <v>96.0</v>
      </c>
      <c r="L2233" s="6" t="s">
        <v>32</v>
      </c>
      <c r="M2233" s="6" t="s">
        <v>8968</v>
      </c>
      <c r="N2233" s="6" t="s">
        <v>48</v>
      </c>
      <c r="O2233" s="6" t="s">
        <v>35</v>
      </c>
      <c r="P2233" s="6">
        <f>COUNTIF(Analysis!$M$1:$M$3001,Analysis!$M2233)</f>
        <v>1</v>
      </c>
      <c r="Q2233" s="6" t="str">
        <f>IF(COUNTIF(Analysis!$M$2:$M$3001,Analysis!$M2233)&gt;1,"Duplicate","OK")</f>
        <v>OK</v>
      </c>
      <c r="R2233" s="6" t="str">
        <f t="shared" si="1"/>
        <v>1600-2600</v>
      </c>
      <c r="S2233" s="6">
        <f t="shared" si="2"/>
        <v>66</v>
      </c>
      <c r="T2233" s="6" t="str">
        <f t="shared" si="3"/>
        <v>Very Old</v>
      </c>
    </row>
    <row r="2234" ht="14.25" customHeight="1">
      <c r="A2234" s="5">
        <v>1167370.0</v>
      </c>
      <c r="B2234" s="6" t="s">
        <v>485</v>
      </c>
      <c r="C2234" s="6" t="s">
        <v>29</v>
      </c>
      <c r="D2234" s="6">
        <v>26151.0</v>
      </c>
      <c r="E2234" s="6" t="s">
        <v>30</v>
      </c>
      <c r="F2234" s="6" t="s">
        <v>61</v>
      </c>
      <c r="G2234" s="6" t="s">
        <v>31</v>
      </c>
      <c r="H2234" s="7">
        <v>823.0</v>
      </c>
      <c r="I2234" s="7">
        <v>4310.0</v>
      </c>
      <c r="J2234" s="6">
        <v>2021.0</v>
      </c>
      <c r="K2234" s="6">
        <v>88.0</v>
      </c>
      <c r="L2234" s="6" t="s">
        <v>22</v>
      </c>
      <c r="M2234" s="6" t="s">
        <v>486</v>
      </c>
      <c r="N2234" s="6" t="s">
        <v>48</v>
      </c>
      <c r="O2234" s="6" t="s">
        <v>25</v>
      </c>
      <c r="P2234" s="6">
        <f>COUNTIF(Analysis!$M$1:$M$3001,Analysis!$M111)</f>
        <v>1</v>
      </c>
      <c r="Q2234" s="6" t="str">
        <f>IF(COUNTIF(Analysis!$M$2:$M$3001,Analysis!$M111)&gt;1,"Duplicate","OK")</f>
        <v>OK</v>
      </c>
      <c r="R2234" s="6" t="str">
        <f t="shared" si="1"/>
        <v>600-1600</v>
      </c>
      <c r="S2234" s="6">
        <f t="shared" si="2"/>
        <v>5</v>
      </c>
      <c r="T2234" s="6" t="str">
        <f t="shared" si="3"/>
        <v>New</v>
      </c>
    </row>
    <row r="2235" ht="14.25" customHeight="1">
      <c r="A2235" s="5">
        <v>1381863.0</v>
      </c>
      <c r="B2235" s="6" t="s">
        <v>8975</v>
      </c>
      <c r="C2235" s="6" t="s">
        <v>76</v>
      </c>
      <c r="D2235" s="6">
        <v>48888.0</v>
      </c>
      <c r="E2235" s="6" t="s">
        <v>30</v>
      </c>
      <c r="F2235" s="6" t="s">
        <v>20</v>
      </c>
      <c r="G2235" s="6" t="s">
        <v>100</v>
      </c>
      <c r="H2235" s="7">
        <v>2775.0</v>
      </c>
      <c r="I2235" s="7">
        <v>1100.0</v>
      </c>
      <c r="J2235" s="6">
        <v>1979.0</v>
      </c>
      <c r="K2235" s="6">
        <v>119.0</v>
      </c>
      <c r="L2235" s="6" t="s">
        <v>62</v>
      </c>
      <c r="M2235" s="6" t="s">
        <v>8976</v>
      </c>
      <c r="N2235" s="6" t="s">
        <v>34</v>
      </c>
      <c r="O2235" s="6" t="s">
        <v>49</v>
      </c>
      <c r="P2235" s="6">
        <f>COUNTIF(Analysis!$M$1:$M$3001,Analysis!$M2235)</f>
        <v>1</v>
      </c>
      <c r="Q2235" s="6" t="str">
        <f>IF(COUNTIF(Analysis!$M$2:$M$3001,Analysis!$M2235)&gt;1,"Duplicate","OK")</f>
        <v>OK</v>
      </c>
      <c r="R2235" s="6" t="str">
        <f t="shared" si="1"/>
        <v>2600-3600</v>
      </c>
      <c r="S2235" s="6">
        <f t="shared" si="2"/>
        <v>47</v>
      </c>
      <c r="T2235" s="6" t="str">
        <f t="shared" si="3"/>
        <v>Old</v>
      </c>
    </row>
    <row r="2236" ht="14.25" customHeight="1">
      <c r="A2236" s="5">
        <v>1172082.0</v>
      </c>
      <c r="B2236" s="6" t="s">
        <v>10439</v>
      </c>
      <c r="C2236" s="6" t="s">
        <v>29</v>
      </c>
      <c r="D2236" s="6">
        <v>61689.0</v>
      </c>
      <c r="E2236" s="6" t="s">
        <v>77</v>
      </c>
      <c r="F2236" s="6" t="s">
        <v>61</v>
      </c>
      <c r="G2236" s="6" t="s">
        <v>100</v>
      </c>
      <c r="H2236" s="7">
        <v>2449.0</v>
      </c>
      <c r="I2236" s="7">
        <v>9375.0</v>
      </c>
      <c r="J2236" s="6">
        <v>1984.0</v>
      </c>
      <c r="K2236" s="6">
        <v>36.0</v>
      </c>
      <c r="L2236" s="6" t="s">
        <v>22</v>
      </c>
      <c r="M2236" s="6" t="s">
        <v>10440</v>
      </c>
      <c r="N2236" s="6" t="s">
        <v>24</v>
      </c>
      <c r="O2236" s="6" t="s">
        <v>49</v>
      </c>
      <c r="P2236" s="6">
        <f>COUNTIF(Analysis!$M$1:$M$3001,Analysis!$M2601)</f>
        <v>1</v>
      </c>
      <c r="Q2236" s="6" t="str">
        <f>IF(COUNTIF(Analysis!$M$2:$M$3001,Analysis!$M2601)&gt;1,"Duplicate","OK")</f>
        <v>OK</v>
      </c>
      <c r="R2236" s="6" t="str">
        <f t="shared" si="1"/>
        <v>1600-2600</v>
      </c>
      <c r="S2236" s="6">
        <f t="shared" si="2"/>
        <v>42</v>
      </c>
      <c r="T2236" s="6" t="str">
        <f t="shared" si="3"/>
        <v>Old</v>
      </c>
    </row>
    <row r="2237" ht="14.25" customHeight="1">
      <c r="A2237" s="5">
        <v>679223.0</v>
      </c>
      <c r="B2237" s="6" t="s">
        <v>8983</v>
      </c>
      <c r="C2237" s="6" t="s">
        <v>53</v>
      </c>
      <c r="D2237" s="6">
        <v>49328.0</v>
      </c>
      <c r="E2237" s="6" t="s">
        <v>60</v>
      </c>
      <c r="F2237" s="6" t="s">
        <v>61</v>
      </c>
      <c r="G2237" s="6" t="s">
        <v>21</v>
      </c>
      <c r="H2237" s="7">
        <v>2933.0</v>
      </c>
      <c r="I2237" s="7">
        <v>9856.0</v>
      </c>
      <c r="J2237" s="6">
        <v>1958.0</v>
      </c>
      <c r="K2237" s="6">
        <v>14.0</v>
      </c>
      <c r="L2237" s="6" t="s">
        <v>62</v>
      </c>
      <c r="M2237" s="6" t="s">
        <v>8984</v>
      </c>
      <c r="N2237" s="6" t="s">
        <v>43</v>
      </c>
      <c r="O2237" s="6" t="s">
        <v>35</v>
      </c>
      <c r="P2237" s="6">
        <f>COUNTIF(Analysis!$M$1:$M$3001,Analysis!$M2237)</f>
        <v>1</v>
      </c>
      <c r="Q2237" s="6" t="str">
        <f>IF(COUNTIF(Analysis!$M$2:$M$3001,Analysis!$M2237)&gt;1,"Duplicate","OK")</f>
        <v>OK</v>
      </c>
      <c r="R2237" s="6" t="str">
        <f t="shared" si="1"/>
        <v>2600-3600</v>
      </c>
      <c r="S2237" s="6">
        <f t="shared" si="2"/>
        <v>68</v>
      </c>
      <c r="T2237" s="6" t="str">
        <f t="shared" si="3"/>
        <v>Very Old</v>
      </c>
    </row>
    <row r="2238" ht="14.25" customHeight="1">
      <c r="A2238" s="5">
        <v>299090.0</v>
      </c>
      <c r="B2238" s="6" t="s">
        <v>8987</v>
      </c>
      <c r="C2238" s="6" t="s">
        <v>53</v>
      </c>
      <c r="D2238" s="6">
        <v>33353.0</v>
      </c>
      <c r="E2238" s="6" t="s">
        <v>19</v>
      </c>
      <c r="F2238" s="6" t="s">
        <v>94</v>
      </c>
      <c r="G2238" s="6" t="s">
        <v>55</v>
      </c>
      <c r="H2238" s="7">
        <v>1266.0</v>
      </c>
      <c r="I2238" s="7">
        <v>6775.0</v>
      </c>
      <c r="J2238" s="6">
        <v>2020.0</v>
      </c>
      <c r="K2238" s="6">
        <v>115.0</v>
      </c>
      <c r="L2238" s="6" t="s">
        <v>62</v>
      </c>
      <c r="M2238" s="6" t="s">
        <v>8988</v>
      </c>
      <c r="N2238" s="6" t="s">
        <v>48</v>
      </c>
      <c r="O2238" s="6" t="s">
        <v>49</v>
      </c>
      <c r="P2238" s="6">
        <f>COUNTIF(Analysis!$M$1:$M$3001,Analysis!$M2238)</f>
        <v>1</v>
      </c>
      <c r="Q2238" s="6" t="str">
        <f>IF(COUNTIF(Analysis!$M$2:$M$3001,Analysis!$M2238)&gt;1,"Duplicate","OK")</f>
        <v>OK</v>
      </c>
      <c r="R2238" s="6" t="str">
        <f t="shared" si="1"/>
        <v>600-1600</v>
      </c>
      <c r="S2238" s="6">
        <f t="shared" si="2"/>
        <v>6</v>
      </c>
      <c r="T2238" s="6" t="str">
        <f t="shared" si="3"/>
        <v>New</v>
      </c>
    </row>
    <row r="2239" ht="14.25" customHeight="1">
      <c r="A2239" s="5">
        <v>147625.0</v>
      </c>
      <c r="B2239" s="6" t="s">
        <v>8991</v>
      </c>
      <c r="C2239" s="6" t="s">
        <v>76</v>
      </c>
      <c r="D2239" s="6">
        <v>82956.0</v>
      </c>
      <c r="E2239" s="6" t="s">
        <v>40</v>
      </c>
      <c r="F2239" s="6" t="s">
        <v>54</v>
      </c>
      <c r="G2239" s="6" t="s">
        <v>31</v>
      </c>
      <c r="H2239" s="7">
        <v>3034.0</v>
      </c>
      <c r="I2239" s="7">
        <v>1184.0</v>
      </c>
      <c r="J2239" s="6">
        <v>1981.0</v>
      </c>
      <c r="K2239" s="6">
        <v>101.0</v>
      </c>
      <c r="L2239" s="6" t="s">
        <v>32</v>
      </c>
      <c r="M2239" s="6" t="s">
        <v>8992</v>
      </c>
      <c r="N2239" s="6" t="s">
        <v>48</v>
      </c>
      <c r="O2239" s="6" t="s">
        <v>35</v>
      </c>
      <c r="P2239" s="6">
        <f>COUNTIF(Analysis!$M$1:$M$3001,Analysis!$M2239)</f>
        <v>1</v>
      </c>
      <c r="Q2239" s="6" t="str">
        <f>IF(COUNTIF(Analysis!$M$2:$M$3001,Analysis!$M2239)&gt;1,"Duplicate","OK")</f>
        <v>OK</v>
      </c>
      <c r="R2239" s="6" t="str">
        <f t="shared" si="1"/>
        <v>2600-3600</v>
      </c>
      <c r="S2239" s="6">
        <f t="shared" si="2"/>
        <v>45</v>
      </c>
      <c r="T2239" s="6" t="str">
        <f t="shared" si="3"/>
        <v>Old</v>
      </c>
    </row>
    <row r="2240" ht="14.25" customHeight="1">
      <c r="A2240" s="5">
        <v>399361.0</v>
      </c>
      <c r="B2240" s="6" t="s">
        <v>8995</v>
      </c>
      <c r="C2240" s="6" t="s">
        <v>18</v>
      </c>
      <c r="D2240" s="6">
        <v>53119.0</v>
      </c>
      <c r="E2240" s="6" t="s">
        <v>19</v>
      </c>
      <c r="F2240" s="6" t="s">
        <v>41</v>
      </c>
      <c r="G2240" s="6" t="s">
        <v>55</v>
      </c>
      <c r="H2240" s="7">
        <v>1302.0</v>
      </c>
      <c r="I2240" s="7">
        <v>5463.0</v>
      </c>
      <c r="J2240" s="6">
        <v>1963.0</v>
      </c>
      <c r="K2240" s="6">
        <v>47.0</v>
      </c>
      <c r="L2240" s="6" t="s">
        <v>62</v>
      </c>
      <c r="M2240" s="6" t="s">
        <v>8996</v>
      </c>
      <c r="N2240" s="6" t="s">
        <v>24</v>
      </c>
      <c r="O2240" s="6" t="s">
        <v>35</v>
      </c>
      <c r="P2240" s="6">
        <f>COUNTIF(Analysis!$M$1:$M$3001,Analysis!$M2240)</f>
        <v>1</v>
      </c>
      <c r="Q2240" s="6" t="str">
        <f>IF(COUNTIF(Analysis!$M$2:$M$3001,Analysis!$M2240)&gt;1,"Duplicate","OK")</f>
        <v>OK</v>
      </c>
      <c r="R2240" s="6" t="str">
        <f t="shared" si="1"/>
        <v>600-1600</v>
      </c>
      <c r="S2240" s="6">
        <f t="shared" si="2"/>
        <v>63</v>
      </c>
      <c r="T2240" s="6" t="str">
        <f t="shared" si="3"/>
        <v>Very Old</v>
      </c>
    </row>
    <row r="2241" ht="14.25" customHeight="1">
      <c r="A2241" s="5">
        <v>267346.0</v>
      </c>
      <c r="B2241" s="6" t="s">
        <v>8999</v>
      </c>
      <c r="C2241" s="6" t="s">
        <v>53</v>
      </c>
      <c r="D2241" s="6">
        <v>36720.0</v>
      </c>
      <c r="E2241" s="6" t="s">
        <v>30</v>
      </c>
      <c r="F2241" s="6" t="s">
        <v>94</v>
      </c>
      <c r="G2241" s="6" t="s">
        <v>21</v>
      </c>
      <c r="H2241" s="7">
        <v>946.0</v>
      </c>
      <c r="I2241" s="7">
        <v>4067.0</v>
      </c>
      <c r="J2241" s="6">
        <v>2003.0</v>
      </c>
      <c r="K2241" s="6">
        <v>60.0</v>
      </c>
      <c r="L2241" s="6" t="s">
        <v>95</v>
      </c>
      <c r="M2241" s="6" t="s">
        <v>9000</v>
      </c>
      <c r="N2241" s="6" t="s">
        <v>48</v>
      </c>
      <c r="O2241" s="6" t="s">
        <v>49</v>
      </c>
      <c r="P2241" s="6">
        <f>COUNTIF(Analysis!$M$1:$M$3001,Analysis!$M2241)</f>
        <v>1</v>
      </c>
      <c r="Q2241" s="6" t="str">
        <f>IF(COUNTIF(Analysis!$M$2:$M$3001,Analysis!$M2241)&gt;1,"Duplicate","OK")</f>
        <v>OK</v>
      </c>
      <c r="R2241" s="6" t="str">
        <f t="shared" si="1"/>
        <v>600-1600</v>
      </c>
      <c r="S2241" s="6">
        <f t="shared" si="2"/>
        <v>23</v>
      </c>
      <c r="T2241" s="6" t="str">
        <f t="shared" si="3"/>
        <v>Mid</v>
      </c>
    </row>
    <row r="2242" ht="14.25" customHeight="1">
      <c r="A2242" s="5">
        <v>1173967.0</v>
      </c>
      <c r="B2242" s="6" t="s">
        <v>6981</v>
      </c>
      <c r="C2242" s="6" t="s">
        <v>29</v>
      </c>
      <c r="D2242" s="6">
        <v>22268.0</v>
      </c>
      <c r="E2242" s="6" t="s">
        <v>30</v>
      </c>
      <c r="F2242" s="6" t="s">
        <v>61</v>
      </c>
      <c r="G2242" s="6" t="s">
        <v>21</v>
      </c>
      <c r="H2242" s="7">
        <v>1760.0</v>
      </c>
      <c r="I2242" s="7">
        <v>4882.0</v>
      </c>
      <c r="J2242" s="6">
        <v>1959.0</v>
      </c>
      <c r="K2242" s="6">
        <v>90.0</v>
      </c>
      <c r="L2242" s="6" t="s">
        <v>141</v>
      </c>
      <c r="M2242" s="6" t="s">
        <v>6982</v>
      </c>
      <c r="N2242" s="6" t="s">
        <v>34</v>
      </c>
      <c r="O2242" s="6" t="s">
        <v>49</v>
      </c>
      <c r="P2242" s="6">
        <f>COUNTIF(Analysis!$M$1:$M$3001,Analysis!$M1736)</f>
        <v>1</v>
      </c>
      <c r="Q2242" s="6" t="str">
        <f>IF(COUNTIF(Analysis!$M$2:$M$3001,Analysis!$M1736)&gt;1,"Duplicate","OK")</f>
        <v>OK</v>
      </c>
      <c r="R2242" s="6" t="str">
        <f t="shared" si="1"/>
        <v>1600-2600</v>
      </c>
      <c r="S2242" s="6">
        <f t="shared" si="2"/>
        <v>67</v>
      </c>
      <c r="T2242" s="6" t="str">
        <f t="shared" si="3"/>
        <v>Very Old</v>
      </c>
    </row>
    <row r="2243" ht="14.25" customHeight="1">
      <c r="A2243" s="5">
        <v>762080.0</v>
      </c>
      <c r="B2243" s="6" t="s">
        <v>9007</v>
      </c>
      <c r="C2243" s="6" t="s">
        <v>53</v>
      </c>
      <c r="D2243" s="6">
        <v>53835.0</v>
      </c>
      <c r="E2243" s="6" t="s">
        <v>19</v>
      </c>
      <c r="F2243" s="6" t="s">
        <v>94</v>
      </c>
      <c r="G2243" s="6" t="s">
        <v>100</v>
      </c>
      <c r="H2243" s="7">
        <v>1581.0</v>
      </c>
      <c r="I2243" s="7">
        <v>8211.0</v>
      </c>
      <c r="J2243" s="6">
        <v>1997.0</v>
      </c>
      <c r="K2243" s="6">
        <v>9.0</v>
      </c>
      <c r="L2243" s="6" t="s">
        <v>32</v>
      </c>
      <c r="M2243" s="6" t="s">
        <v>9008</v>
      </c>
      <c r="N2243" s="6" t="s">
        <v>24</v>
      </c>
      <c r="O2243" s="6" t="s">
        <v>25</v>
      </c>
      <c r="P2243" s="6">
        <f>COUNTIF(Analysis!$M$1:$M$3001,Analysis!$M2243)</f>
        <v>1</v>
      </c>
      <c r="Q2243" s="6" t="str">
        <f>IF(COUNTIF(Analysis!$M$2:$M$3001,Analysis!$M2243)&gt;1,"Duplicate","OK")</f>
        <v>OK</v>
      </c>
      <c r="R2243" s="6" t="str">
        <f t="shared" si="1"/>
        <v>600-1600</v>
      </c>
      <c r="S2243" s="6">
        <f t="shared" si="2"/>
        <v>29</v>
      </c>
      <c r="T2243" s="6" t="str">
        <f t="shared" si="3"/>
        <v>Mid</v>
      </c>
    </row>
    <row r="2244" ht="14.25" customHeight="1">
      <c r="A2244" s="5">
        <v>812703.0</v>
      </c>
      <c r="B2244" s="6" t="s">
        <v>9011</v>
      </c>
      <c r="C2244" s="6" t="s">
        <v>39</v>
      </c>
      <c r="D2244" s="6">
        <v>25265.0</v>
      </c>
      <c r="E2244" s="6" t="s">
        <v>19</v>
      </c>
      <c r="F2244" s="6" t="s">
        <v>41</v>
      </c>
      <c r="G2244" s="6" t="s">
        <v>21</v>
      </c>
      <c r="H2244" s="7">
        <v>2841.0</v>
      </c>
      <c r="I2244" s="7">
        <v>2988.0</v>
      </c>
      <c r="J2244" s="6">
        <v>1963.0</v>
      </c>
      <c r="K2244" s="6">
        <v>81.0</v>
      </c>
      <c r="L2244" s="6" t="s">
        <v>32</v>
      </c>
      <c r="M2244" s="6" t="s">
        <v>9012</v>
      </c>
      <c r="N2244" s="6" t="s">
        <v>43</v>
      </c>
      <c r="O2244" s="6" t="s">
        <v>35</v>
      </c>
      <c r="P2244" s="6">
        <f>COUNTIF(Analysis!$M$1:$M$3001,Analysis!$M2244)</f>
        <v>1</v>
      </c>
      <c r="Q2244" s="6" t="str">
        <f>IF(COUNTIF(Analysis!$M$2:$M$3001,Analysis!$M2244)&gt;1,"Duplicate","OK")</f>
        <v>OK</v>
      </c>
      <c r="R2244" s="6" t="str">
        <f t="shared" si="1"/>
        <v>2600-3600</v>
      </c>
      <c r="S2244" s="6">
        <f t="shared" si="2"/>
        <v>63</v>
      </c>
      <c r="T2244" s="6" t="str">
        <f t="shared" si="3"/>
        <v>Very Old</v>
      </c>
    </row>
    <row r="2245" ht="14.25" customHeight="1">
      <c r="A2245" s="5">
        <v>825032.0</v>
      </c>
      <c r="B2245" s="6" t="s">
        <v>9015</v>
      </c>
      <c r="C2245" s="6" t="s">
        <v>76</v>
      </c>
      <c r="D2245" s="6">
        <v>41817.0</v>
      </c>
      <c r="E2245" s="6" t="s">
        <v>77</v>
      </c>
      <c r="F2245" s="6" t="s">
        <v>61</v>
      </c>
      <c r="G2245" s="6" t="s">
        <v>100</v>
      </c>
      <c r="H2245" s="7">
        <v>3838.0</v>
      </c>
      <c r="I2245" s="7">
        <v>1292.0</v>
      </c>
      <c r="J2245" s="6">
        <v>1983.0</v>
      </c>
      <c r="K2245" s="6">
        <v>43.0</v>
      </c>
      <c r="L2245" s="6" t="s">
        <v>22</v>
      </c>
      <c r="M2245" s="6" t="s">
        <v>9016</v>
      </c>
      <c r="N2245" s="6" t="s">
        <v>43</v>
      </c>
      <c r="O2245" s="6" t="s">
        <v>35</v>
      </c>
      <c r="P2245" s="6">
        <f>COUNTIF(Analysis!$M$1:$M$3001,Analysis!$M2245)</f>
        <v>1</v>
      </c>
      <c r="Q2245" s="6" t="str">
        <f>IF(COUNTIF(Analysis!$M$2:$M$3001,Analysis!$M2245)&gt;1,"Duplicate","OK")</f>
        <v>OK</v>
      </c>
      <c r="R2245" s="6" t="str">
        <f t="shared" si="1"/>
        <v>3600+</v>
      </c>
      <c r="S2245" s="6">
        <f t="shared" si="2"/>
        <v>43</v>
      </c>
      <c r="T2245" s="6" t="str">
        <f t="shared" si="3"/>
        <v>Old</v>
      </c>
    </row>
    <row r="2246" ht="14.25" customHeight="1">
      <c r="A2246" s="5">
        <v>1175183.0</v>
      </c>
      <c r="B2246" s="6" t="s">
        <v>9167</v>
      </c>
      <c r="C2246" s="6" t="s">
        <v>29</v>
      </c>
      <c r="D2246" s="6">
        <v>81440.0</v>
      </c>
      <c r="E2246" s="6" t="s">
        <v>40</v>
      </c>
      <c r="F2246" s="6" t="s">
        <v>61</v>
      </c>
      <c r="G2246" s="6" t="s">
        <v>100</v>
      </c>
      <c r="H2246" s="7">
        <v>3653.0</v>
      </c>
      <c r="I2246" s="7">
        <v>4837.0</v>
      </c>
      <c r="J2246" s="6">
        <v>2003.0</v>
      </c>
      <c r="K2246" s="6">
        <v>108.0</v>
      </c>
      <c r="L2246" s="6" t="s">
        <v>95</v>
      </c>
      <c r="M2246" s="6" t="s">
        <v>9168</v>
      </c>
      <c r="N2246" s="6" t="s">
        <v>64</v>
      </c>
      <c r="O2246" s="6" t="s">
        <v>49</v>
      </c>
      <c r="P2246" s="6">
        <f>COUNTIF(Analysis!$M$1:$M$3001,Analysis!$M2283)</f>
        <v>1</v>
      </c>
      <c r="Q2246" s="6" t="str">
        <f>IF(COUNTIF(Analysis!$M$2:$M$3001,Analysis!$M2283)&gt;1,"Duplicate","OK")</f>
        <v>OK</v>
      </c>
      <c r="R2246" s="6" t="str">
        <f t="shared" si="1"/>
        <v>3600+</v>
      </c>
      <c r="S2246" s="6">
        <f t="shared" si="2"/>
        <v>23</v>
      </c>
      <c r="T2246" s="6" t="str">
        <f t="shared" si="3"/>
        <v>Mid</v>
      </c>
    </row>
    <row r="2247" ht="14.25" customHeight="1">
      <c r="A2247" s="5">
        <v>1177942.0</v>
      </c>
      <c r="B2247" s="6" t="s">
        <v>9943</v>
      </c>
      <c r="C2247" s="6" t="s">
        <v>29</v>
      </c>
      <c r="D2247" s="6">
        <v>71836.0</v>
      </c>
      <c r="E2247" s="6" t="s">
        <v>19</v>
      </c>
      <c r="F2247" s="6" t="s">
        <v>20</v>
      </c>
      <c r="G2247" s="6" t="s">
        <v>100</v>
      </c>
      <c r="H2247" s="7">
        <v>3781.0</v>
      </c>
      <c r="I2247" s="7">
        <v>5150.0</v>
      </c>
      <c r="J2247" s="6">
        <v>2016.0</v>
      </c>
      <c r="K2247" s="6">
        <v>48.0</v>
      </c>
      <c r="L2247" s="6" t="s">
        <v>95</v>
      </c>
      <c r="M2247" s="6" t="s">
        <v>9944</v>
      </c>
      <c r="N2247" s="6" t="s">
        <v>48</v>
      </c>
      <c r="O2247" s="6" t="s">
        <v>35</v>
      </c>
      <c r="P2247" s="6">
        <f>COUNTIF(Analysis!$M$1:$M$3001,Analysis!$M2477)</f>
        <v>1</v>
      </c>
      <c r="Q2247" s="6" t="str">
        <f>IF(COUNTIF(Analysis!$M$2:$M$3001,Analysis!$M2477)&gt;1,"Duplicate","OK")</f>
        <v>OK</v>
      </c>
      <c r="R2247" s="6" t="str">
        <f t="shared" si="1"/>
        <v>3600+</v>
      </c>
      <c r="S2247" s="6">
        <f t="shared" si="2"/>
        <v>10</v>
      </c>
      <c r="T2247" s="6" t="str">
        <f t="shared" si="3"/>
        <v>New</v>
      </c>
    </row>
    <row r="2248" ht="14.25" customHeight="1">
      <c r="A2248" s="5">
        <v>276658.0</v>
      </c>
      <c r="B2248" s="6" t="s">
        <v>9027</v>
      </c>
      <c r="C2248" s="6" t="s">
        <v>39</v>
      </c>
      <c r="D2248" s="6">
        <v>75619.0</v>
      </c>
      <c r="E2248" s="6" t="s">
        <v>19</v>
      </c>
      <c r="F2248" s="6" t="s">
        <v>94</v>
      </c>
      <c r="G2248" s="6" t="s">
        <v>100</v>
      </c>
      <c r="H2248" s="7">
        <v>1117.0</v>
      </c>
      <c r="I2248" s="7">
        <v>7459.0</v>
      </c>
      <c r="J2248" s="6">
        <v>1968.0</v>
      </c>
      <c r="K2248" s="6">
        <v>112.0</v>
      </c>
      <c r="L2248" s="6" t="s">
        <v>62</v>
      </c>
      <c r="M2248" s="6" t="s">
        <v>9028</v>
      </c>
      <c r="N2248" s="6" t="s">
        <v>48</v>
      </c>
      <c r="O2248" s="6" t="s">
        <v>49</v>
      </c>
      <c r="P2248" s="6">
        <f>COUNTIF(Analysis!$M$1:$M$3001,Analysis!$M2248)</f>
        <v>1</v>
      </c>
      <c r="Q2248" s="6" t="str">
        <f>IF(COUNTIF(Analysis!$M$2:$M$3001,Analysis!$M2248)&gt;1,"Duplicate","OK")</f>
        <v>OK</v>
      </c>
      <c r="R2248" s="6" t="str">
        <f t="shared" si="1"/>
        <v>600-1600</v>
      </c>
      <c r="S2248" s="6">
        <f t="shared" si="2"/>
        <v>58</v>
      </c>
      <c r="T2248" s="6" t="str">
        <f t="shared" si="3"/>
        <v>Old</v>
      </c>
    </row>
    <row r="2249" ht="14.25" customHeight="1">
      <c r="A2249" s="5">
        <v>678162.0</v>
      </c>
      <c r="B2249" s="6" t="s">
        <v>9031</v>
      </c>
      <c r="C2249" s="6" t="s">
        <v>39</v>
      </c>
      <c r="D2249" s="6">
        <v>80466.0</v>
      </c>
      <c r="E2249" s="6" t="s">
        <v>60</v>
      </c>
      <c r="F2249" s="6" t="s">
        <v>46</v>
      </c>
      <c r="G2249" s="6" t="s">
        <v>55</v>
      </c>
      <c r="H2249" s="7">
        <v>897.0</v>
      </c>
      <c r="I2249" s="7">
        <v>3165.0</v>
      </c>
      <c r="J2249" s="6">
        <v>1992.0</v>
      </c>
      <c r="K2249" s="6">
        <v>102.0</v>
      </c>
      <c r="L2249" s="6" t="s">
        <v>22</v>
      </c>
      <c r="M2249" s="6" t="s">
        <v>9032</v>
      </c>
      <c r="N2249" s="6" t="s">
        <v>48</v>
      </c>
      <c r="O2249" s="6" t="s">
        <v>49</v>
      </c>
      <c r="P2249" s="6">
        <f>COUNTIF(Analysis!$M$1:$M$3001,Analysis!$M2249)</f>
        <v>1</v>
      </c>
      <c r="Q2249" s="6" t="str">
        <f>IF(COUNTIF(Analysis!$M$2:$M$3001,Analysis!$M2249)&gt;1,"Duplicate","OK")</f>
        <v>OK</v>
      </c>
      <c r="R2249" s="6" t="str">
        <f t="shared" si="1"/>
        <v>600-1600</v>
      </c>
      <c r="S2249" s="6">
        <f t="shared" si="2"/>
        <v>34</v>
      </c>
      <c r="T2249" s="6" t="str">
        <f t="shared" si="3"/>
        <v>Old</v>
      </c>
    </row>
    <row r="2250" ht="14.25" customHeight="1">
      <c r="A2250" s="5">
        <v>517208.0</v>
      </c>
      <c r="B2250" s="6" t="s">
        <v>9035</v>
      </c>
      <c r="C2250" s="6" t="s">
        <v>18</v>
      </c>
      <c r="D2250" s="6">
        <v>18625.0</v>
      </c>
      <c r="E2250" s="6" t="s">
        <v>40</v>
      </c>
      <c r="F2250" s="6" t="s">
        <v>20</v>
      </c>
      <c r="G2250" s="6" t="s">
        <v>21</v>
      </c>
      <c r="H2250" s="7">
        <v>1427.0</v>
      </c>
      <c r="I2250" s="7">
        <v>5638.0</v>
      </c>
      <c r="J2250" s="6">
        <v>2017.0</v>
      </c>
      <c r="K2250" s="6">
        <v>108.0</v>
      </c>
      <c r="L2250" s="6" t="s">
        <v>62</v>
      </c>
      <c r="M2250" s="6" t="s">
        <v>9036</v>
      </c>
      <c r="N2250" s="6" t="s">
        <v>24</v>
      </c>
      <c r="O2250" s="6" t="s">
        <v>49</v>
      </c>
      <c r="P2250" s="6">
        <f>COUNTIF(Analysis!$M$1:$M$3001,Analysis!$M2250)</f>
        <v>1</v>
      </c>
      <c r="Q2250" s="6" t="str">
        <f>IF(COUNTIF(Analysis!$M$2:$M$3001,Analysis!$M2250)&gt;1,"Duplicate","OK")</f>
        <v>OK</v>
      </c>
      <c r="R2250" s="6" t="str">
        <f t="shared" si="1"/>
        <v>600-1600</v>
      </c>
      <c r="S2250" s="6">
        <f t="shared" si="2"/>
        <v>9</v>
      </c>
      <c r="T2250" s="6" t="str">
        <f t="shared" si="3"/>
        <v>New</v>
      </c>
    </row>
    <row r="2251" ht="14.25" customHeight="1">
      <c r="A2251" s="5">
        <v>1495902.0</v>
      </c>
      <c r="B2251" s="6" t="s">
        <v>9039</v>
      </c>
      <c r="C2251" s="6" t="s">
        <v>76</v>
      </c>
      <c r="D2251" s="6">
        <v>21054.0</v>
      </c>
      <c r="E2251" s="6" t="s">
        <v>40</v>
      </c>
      <c r="F2251" s="6" t="s">
        <v>61</v>
      </c>
      <c r="G2251" s="6" t="s">
        <v>21</v>
      </c>
      <c r="H2251" s="7">
        <v>915.0</v>
      </c>
      <c r="I2251" s="7">
        <v>9654.0</v>
      </c>
      <c r="J2251" s="6">
        <v>1973.0</v>
      </c>
      <c r="K2251" s="6">
        <v>56.0</v>
      </c>
      <c r="L2251" s="6" t="s">
        <v>22</v>
      </c>
      <c r="M2251" s="6" t="s">
        <v>9040</v>
      </c>
      <c r="N2251" s="6" t="s">
        <v>64</v>
      </c>
      <c r="O2251" s="6" t="s">
        <v>49</v>
      </c>
      <c r="P2251" s="6">
        <f>COUNTIF(Analysis!$M$1:$M$3001,Analysis!$M2251)</f>
        <v>1</v>
      </c>
      <c r="Q2251" s="6" t="str">
        <f>IF(COUNTIF(Analysis!$M$2:$M$3001,Analysis!$M2251)&gt;1,"Duplicate","OK")</f>
        <v>OK</v>
      </c>
      <c r="R2251" s="6" t="str">
        <f t="shared" si="1"/>
        <v>600-1600</v>
      </c>
      <c r="S2251" s="6">
        <f t="shared" si="2"/>
        <v>53</v>
      </c>
      <c r="T2251" s="6" t="str">
        <f t="shared" si="3"/>
        <v>Old</v>
      </c>
    </row>
    <row r="2252" ht="14.25" customHeight="1">
      <c r="A2252" s="5">
        <v>816304.0</v>
      </c>
      <c r="B2252" s="6" t="s">
        <v>9043</v>
      </c>
      <c r="C2252" s="6" t="s">
        <v>18</v>
      </c>
      <c r="D2252" s="6">
        <v>11517.0</v>
      </c>
      <c r="E2252" s="6" t="s">
        <v>40</v>
      </c>
      <c r="F2252" s="6" t="s">
        <v>94</v>
      </c>
      <c r="G2252" s="6" t="s">
        <v>31</v>
      </c>
      <c r="H2252" s="7">
        <v>2423.0</v>
      </c>
      <c r="I2252" s="7">
        <v>4676.0</v>
      </c>
      <c r="J2252" s="6">
        <v>1970.0</v>
      </c>
      <c r="K2252" s="6">
        <v>68.0</v>
      </c>
      <c r="L2252" s="6" t="s">
        <v>95</v>
      </c>
      <c r="M2252" s="6" t="s">
        <v>9044</v>
      </c>
      <c r="N2252" s="6" t="s">
        <v>43</v>
      </c>
      <c r="O2252" s="6" t="s">
        <v>35</v>
      </c>
      <c r="P2252" s="6">
        <f>COUNTIF(Analysis!$M$1:$M$3001,Analysis!$M2252)</f>
        <v>1</v>
      </c>
      <c r="Q2252" s="6" t="str">
        <f>IF(COUNTIF(Analysis!$M$2:$M$3001,Analysis!$M2252)&gt;1,"Duplicate","OK")</f>
        <v>OK</v>
      </c>
      <c r="R2252" s="6" t="str">
        <f t="shared" si="1"/>
        <v>1600-2600</v>
      </c>
      <c r="S2252" s="6">
        <f t="shared" si="2"/>
        <v>56</v>
      </c>
      <c r="T2252" s="6" t="str">
        <f t="shared" si="3"/>
        <v>Old</v>
      </c>
    </row>
    <row r="2253" ht="14.25" customHeight="1">
      <c r="A2253" s="5">
        <v>847501.0</v>
      </c>
      <c r="B2253" s="6" t="s">
        <v>9047</v>
      </c>
      <c r="C2253" s="6" t="s">
        <v>53</v>
      </c>
      <c r="D2253" s="6">
        <v>23456.0</v>
      </c>
      <c r="E2253" s="6" t="s">
        <v>30</v>
      </c>
      <c r="F2253" s="6" t="s">
        <v>54</v>
      </c>
      <c r="G2253" s="6" t="s">
        <v>55</v>
      </c>
      <c r="H2253" s="7">
        <v>1470.0</v>
      </c>
      <c r="I2253" s="7">
        <v>2755.0</v>
      </c>
      <c r="J2253" s="6">
        <v>1952.0</v>
      </c>
      <c r="K2253" s="6">
        <v>27.0</v>
      </c>
      <c r="L2253" s="6" t="s">
        <v>95</v>
      </c>
      <c r="M2253" s="6" t="s">
        <v>9048</v>
      </c>
      <c r="N2253" s="6" t="s">
        <v>24</v>
      </c>
      <c r="O2253" s="6" t="s">
        <v>25</v>
      </c>
      <c r="P2253" s="6">
        <f>COUNTIF(Analysis!$M$1:$M$3001,Analysis!$M2253)</f>
        <v>1</v>
      </c>
      <c r="Q2253" s="6" t="str">
        <f>IF(COUNTIF(Analysis!$M$2:$M$3001,Analysis!$M2253)&gt;1,"Duplicate","OK")</f>
        <v>OK</v>
      </c>
      <c r="R2253" s="6" t="str">
        <f t="shared" si="1"/>
        <v>600-1600</v>
      </c>
      <c r="S2253" s="6">
        <f t="shared" si="2"/>
        <v>74</v>
      </c>
      <c r="T2253" s="6" t="str">
        <f t="shared" si="3"/>
        <v>Very Old</v>
      </c>
    </row>
    <row r="2254" ht="14.25" customHeight="1">
      <c r="A2254" s="5">
        <v>450515.0</v>
      </c>
      <c r="B2254" s="6" t="s">
        <v>9051</v>
      </c>
      <c r="C2254" s="6" t="s">
        <v>18</v>
      </c>
      <c r="D2254" s="6">
        <v>56617.0</v>
      </c>
      <c r="E2254" s="6" t="s">
        <v>60</v>
      </c>
      <c r="F2254" s="6" t="s">
        <v>54</v>
      </c>
      <c r="G2254" s="6" t="s">
        <v>100</v>
      </c>
      <c r="H2254" s="7">
        <v>3040.0</v>
      </c>
      <c r="I2254" s="7">
        <v>5352.0</v>
      </c>
      <c r="J2254" s="6">
        <v>1965.0</v>
      </c>
      <c r="K2254" s="6">
        <v>73.0</v>
      </c>
      <c r="L2254" s="6" t="s">
        <v>22</v>
      </c>
      <c r="M2254" s="6" t="s">
        <v>9052</v>
      </c>
      <c r="N2254" s="6" t="s">
        <v>34</v>
      </c>
      <c r="O2254" s="6" t="s">
        <v>49</v>
      </c>
      <c r="P2254" s="6">
        <f>COUNTIF(Analysis!$M$1:$M$3001,Analysis!$M2254)</f>
        <v>1</v>
      </c>
      <c r="Q2254" s="6" t="str">
        <f>IF(COUNTIF(Analysis!$M$2:$M$3001,Analysis!$M2254)&gt;1,"Duplicate","OK")</f>
        <v>OK</v>
      </c>
      <c r="R2254" s="6" t="str">
        <f t="shared" si="1"/>
        <v>2600-3600</v>
      </c>
      <c r="S2254" s="6">
        <f t="shared" si="2"/>
        <v>61</v>
      </c>
      <c r="T2254" s="6" t="str">
        <f t="shared" si="3"/>
        <v>Very Old</v>
      </c>
    </row>
    <row r="2255" ht="14.25" customHeight="1">
      <c r="A2255" s="5">
        <v>625007.0</v>
      </c>
      <c r="B2255" s="6" t="s">
        <v>9055</v>
      </c>
      <c r="C2255" s="6" t="s">
        <v>18</v>
      </c>
      <c r="D2255" s="6">
        <v>92002.0</v>
      </c>
      <c r="E2255" s="6" t="s">
        <v>30</v>
      </c>
      <c r="F2255" s="6" t="s">
        <v>54</v>
      </c>
      <c r="G2255" s="6" t="s">
        <v>55</v>
      </c>
      <c r="H2255" s="7">
        <v>1959.0</v>
      </c>
      <c r="I2255" s="7">
        <v>2374.0</v>
      </c>
      <c r="J2255" s="6">
        <v>1958.0</v>
      </c>
      <c r="K2255" s="6">
        <v>33.0</v>
      </c>
      <c r="L2255" s="6" t="s">
        <v>22</v>
      </c>
      <c r="M2255" s="6" t="s">
        <v>9056</v>
      </c>
      <c r="N2255" s="6" t="s">
        <v>24</v>
      </c>
      <c r="O2255" s="6" t="s">
        <v>25</v>
      </c>
      <c r="P2255" s="6">
        <f>COUNTIF(Analysis!$M$1:$M$3001,Analysis!$M2255)</f>
        <v>1</v>
      </c>
      <c r="Q2255" s="6" t="str">
        <f>IF(COUNTIF(Analysis!$M$2:$M$3001,Analysis!$M2255)&gt;1,"Duplicate","OK")</f>
        <v>OK</v>
      </c>
      <c r="R2255" s="6" t="str">
        <f t="shared" si="1"/>
        <v>1600-2600</v>
      </c>
      <c r="S2255" s="6">
        <f t="shared" si="2"/>
        <v>68</v>
      </c>
      <c r="T2255" s="6" t="str">
        <f t="shared" si="3"/>
        <v>Very Old</v>
      </c>
    </row>
    <row r="2256" ht="14.25" customHeight="1">
      <c r="A2256" s="5">
        <v>1348396.0</v>
      </c>
      <c r="B2256" s="6" t="s">
        <v>9059</v>
      </c>
      <c r="C2256" s="6" t="s">
        <v>53</v>
      </c>
      <c r="D2256" s="6">
        <v>73223.0</v>
      </c>
      <c r="E2256" s="6" t="s">
        <v>40</v>
      </c>
      <c r="F2256" s="6" t="s">
        <v>41</v>
      </c>
      <c r="G2256" s="6" t="s">
        <v>55</v>
      </c>
      <c r="H2256" s="7">
        <v>3736.0</v>
      </c>
      <c r="I2256" s="7">
        <v>4449.0</v>
      </c>
      <c r="J2256" s="6">
        <v>1957.0</v>
      </c>
      <c r="K2256" s="6">
        <v>107.0</v>
      </c>
      <c r="L2256" s="6" t="s">
        <v>95</v>
      </c>
      <c r="M2256" s="6" t="s">
        <v>9060</v>
      </c>
      <c r="N2256" s="6" t="s">
        <v>43</v>
      </c>
      <c r="O2256" s="6" t="s">
        <v>49</v>
      </c>
      <c r="P2256" s="6">
        <f>COUNTIF(Analysis!$M$1:$M$3001,Analysis!$M2256)</f>
        <v>1</v>
      </c>
      <c r="Q2256" s="6" t="str">
        <f>IF(COUNTIF(Analysis!$M$2:$M$3001,Analysis!$M2256)&gt;1,"Duplicate","OK")</f>
        <v>OK</v>
      </c>
      <c r="R2256" s="6" t="str">
        <f t="shared" si="1"/>
        <v>3600+</v>
      </c>
      <c r="S2256" s="6">
        <f t="shared" si="2"/>
        <v>69</v>
      </c>
      <c r="T2256" s="6" t="str">
        <f t="shared" si="3"/>
        <v>Very Old</v>
      </c>
    </row>
    <row r="2257" ht="14.25" customHeight="1">
      <c r="A2257" s="5">
        <v>1195827.0</v>
      </c>
      <c r="B2257" s="6" t="s">
        <v>9063</v>
      </c>
      <c r="C2257" s="6" t="s">
        <v>76</v>
      </c>
      <c r="D2257" s="6">
        <v>84862.0</v>
      </c>
      <c r="E2257" s="6" t="s">
        <v>77</v>
      </c>
      <c r="F2257" s="6" t="s">
        <v>46</v>
      </c>
      <c r="G2257" s="6" t="s">
        <v>21</v>
      </c>
      <c r="H2257" s="7">
        <v>2815.0</v>
      </c>
      <c r="I2257" s="7">
        <v>8689.0</v>
      </c>
      <c r="J2257" s="6">
        <v>2000.0</v>
      </c>
      <c r="K2257" s="6">
        <v>11.0</v>
      </c>
      <c r="L2257" s="6" t="s">
        <v>141</v>
      </c>
      <c r="M2257" s="6" t="s">
        <v>9064</v>
      </c>
      <c r="N2257" s="6" t="s">
        <v>34</v>
      </c>
      <c r="O2257" s="6" t="s">
        <v>35</v>
      </c>
      <c r="P2257" s="6">
        <f>COUNTIF(Analysis!$M$1:$M$3001,Analysis!$M2257)</f>
        <v>1</v>
      </c>
      <c r="Q2257" s="6" t="str">
        <f>IF(COUNTIF(Analysis!$M$2:$M$3001,Analysis!$M2257)&gt;1,"Duplicate","OK")</f>
        <v>OK</v>
      </c>
      <c r="R2257" s="6" t="str">
        <f t="shared" si="1"/>
        <v>2600-3600</v>
      </c>
      <c r="S2257" s="6">
        <f t="shared" si="2"/>
        <v>26</v>
      </c>
      <c r="T2257" s="6" t="str">
        <f t="shared" si="3"/>
        <v>Mid</v>
      </c>
    </row>
    <row r="2258" ht="14.25" customHeight="1">
      <c r="A2258" s="5">
        <v>378020.0</v>
      </c>
      <c r="B2258" s="6" t="s">
        <v>9067</v>
      </c>
      <c r="C2258" s="6" t="s">
        <v>39</v>
      </c>
      <c r="D2258" s="6">
        <v>62364.0</v>
      </c>
      <c r="E2258" s="6" t="s">
        <v>77</v>
      </c>
      <c r="F2258" s="6" t="s">
        <v>94</v>
      </c>
      <c r="G2258" s="6" t="s">
        <v>100</v>
      </c>
      <c r="H2258" s="7">
        <v>1318.0</v>
      </c>
      <c r="I2258" s="7">
        <v>7683.0</v>
      </c>
      <c r="J2258" s="6">
        <v>1987.0</v>
      </c>
      <c r="K2258" s="6">
        <v>66.0</v>
      </c>
      <c r="L2258" s="6" t="s">
        <v>95</v>
      </c>
      <c r="M2258" s="6" t="s">
        <v>9068</v>
      </c>
      <c r="N2258" s="6" t="s">
        <v>64</v>
      </c>
      <c r="O2258" s="6" t="s">
        <v>25</v>
      </c>
      <c r="P2258" s="6">
        <f>COUNTIF(Analysis!$M$1:$M$3001,Analysis!$M2258)</f>
        <v>1</v>
      </c>
      <c r="Q2258" s="6" t="str">
        <f>IF(COUNTIF(Analysis!$M$2:$M$3001,Analysis!$M2258)&gt;1,"Duplicate","OK")</f>
        <v>OK</v>
      </c>
      <c r="R2258" s="6" t="str">
        <f t="shared" si="1"/>
        <v>600-1600</v>
      </c>
      <c r="S2258" s="6">
        <f t="shared" si="2"/>
        <v>39</v>
      </c>
      <c r="T2258" s="6" t="str">
        <f t="shared" si="3"/>
        <v>Old</v>
      </c>
    </row>
    <row r="2259" ht="14.25" customHeight="1">
      <c r="A2259" s="5">
        <v>420770.0</v>
      </c>
      <c r="B2259" s="6" t="s">
        <v>9071</v>
      </c>
      <c r="C2259" s="6" t="s">
        <v>18</v>
      </c>
      <c r="D2259" s="6">
        <v>13373.0</v>
      </c>
      <c r="E2259" s="6" t="s">
        <v>77</v>
      </c>
      <c r="F2259" s="6" t="s">
        <v>61</v>
      </c>
      <c r="G2259" s="6" t="s">
        <v>55</v>
      </c>
      <c r="H2259" s="7">
        <v>2852.0</v>
      </c>
      <c r="I2259" s="7">
        <v>5892.0</v>
      </c>
      <c r="J2259" s="6">
        <v>1950.0</v>
      </c>
      <c r="K2259" s="6">
        <v>110.0</v>
      </c>
      <c r="L2259" s="6" t="s">
        <v>95</v>
      </c>
      <c r="M2259" s="6" t="s">
        <v>9072</v>
      </c>
      <c r="N2259" s="6" t="s">
        <v>64</v>
      </c>
      <c r="O2259" s="6" t="s">
        <v>49</v>
      </c>
      <c r="P2259" s="6">
        <f>COUNTIF(Analysis!$M$1:$M$3001,Analysis!$M2259)</f>
        <v>1</v>
      </c>
      <c r="Q2259" s="6" t="str">
        <f>IF(COUNTIF(Analysis!$M$2:$M$3001,Analysis!$M2259)&gt;1,"Duplicate","OK")</f>
        <v>OK</v>
      </c>
      <c r="R2259" s="6" t="str">
        <f t="shared" si="1"/>
        <v>2600-3600</v>
      </c>
      <c r="S2259" s="6">
        <f t="shared" si="2"/>
        <v>76</v>
      </c>
      <c r="T2259" s="6" t="str">
        <f t="shared" si="3"/>
        <v>Very Old</v>
      </c>
    </row>
    <row r="2260" ht="14.25" customHeight="1">
      <c r="A2260" s="5">
        <v>472743.0</v>
      </c>
      <c r="B2260" s="6" t="s">
        <v>9075</v>
      </c>
      <c r="C2260" s="6" t="s">
        <v>18</v>
      </c>
      <c r="D2260" s="6">
        <v>36566.0</v>
      </c>
      <c r="E2260" s="6" t="s">
        <v>30</v>
      </c>
      <c r="F2260" s="6" t="s">
        <v>20</v>
      </c>
      <c r="G2260" s="6" t="s">
        <v>100</v>
      </c>
      <c r="H2260" s="7">
        <v>764.0</v>
      </c>
      <c r="I2260" s="7">
        <v>7932.0</v>
      </c>
      <c r="J2260" s="6">
        <v>1965.0</v>
      </c>
      <c r="K2260" s="6">
        <v>102.0</v>
      </c>
      <c r="L2260" s="6" t="s">
        <v>95</v>
      </c>
      <c r="M2260" s="6" t="s">
        <v>9076</v>
      </c>
      <c r="N2260" s="6" t="s">
        <v>34</v>
      </c>
      <c r="O2260" s="6" t="s">
        <v>49</v>
      </c>
      <c r="P2260" s="6">
        <f>COUNTIF(Analysis!$M$1:$M$3001,Analysis!$M2260)</f>
        <v>1</v>
      </c>
      <c r="Q2260" s="6" t="str">
        <f>IF(COUNTIF(Analysis!$M$2:$M$3001,Analysis!$M2260)&gt;1,"Duplicate","OK")</f>
        <v>OK</v>
      </c>
      <c r="R2260" s="6" t="str">
        <f t="shared" si="1"/>
        <v>600-1600</v>
      </c>
      <c r="S2260" s="6">
        <f t="shared" si="2"/>
        <v>61</v>
      </c>
      <c r="T2260" s="6" t="str">
        <f t="shared" si="3"/>
        <v>Very Old</v>
      </c>
    </row>
    <row r="2261" ht="14.25" customHeight="1">
      <c r="A2261" s="5">
        <v>687480.0</v>
      </c>
      <c r="B2261" s="6" t="s">
        <v>9079</v>
      </c>
      <c r="C2261" s="6" t="s">
        <v>39</v>
      </c>
      <c r="D2261" s="6">
        <v>57743.0</v>
      </c>
      <c r="E2261" s="6" t="s">
        <v>30</v>
      </c>
      <c r="F2261" s="6" t="s">
        <v>20</v>
      </c>
      <c r="G2261" s="6" t="s">
        <v>55</v>
      </c>
      <c r="H2261" s="7">
        <v>1629.0</v>
      </c>
      <c r="I2261" s="7">
        <v>9192.0</v>
      </c>
      <c r="J2261" s="6">
        <v>2010.0</v>
      </c>
      <c r="K2261" s="6">
        <v>77.0</v>
      </c>
      <c r="L2261" s="6" t="s">
        <v>22</v>
      </c>
      <c r="M2261" s="6" t="s">
        <v>9080</v>
      </c>
      <c r="N2261" s="6" t="s">
        <v>43</v>
      </c>
      <c r="O2261" s="6" t="s">
        <v>35</v>
      </c>
      <c r="P2261" s="6">
        <f>COUNTIF(Analysis!$M$1:$M$3001,Analysis!$M2261)</f>
        <v>1</v>
      </c>
      <c r="Q2261" s="6" t="str">
        <f>IF(COUNTIF(Analysis!$M$2:$M$3001,Analysis!$M2261)&gt;1,"Duplicate","OK")</f>
        <v>OK</v>
      </c>
      <c r="R2261" s="6" t="str">
        <f t="shared" si="1"/>
        <v>1600-2600</v>
      </c>
      <c r="S2261" s="6">
        <f t="shared" si="2"/>
        <v>16</v>
      </c>
      <c r="T2261" s="6" t="str">
        <f t="shared" si="3"/>
        <v>Mid</v>
      </c>
    </row>
    <row r="2262" ht="14.25" customHeight="1">
      <c r="A2262" s="5">
        <v>761495.0</v>
      </c>
      <c r="B2262" s="6" t="s">
        <v>9083</v>
      </c>
      <c r="C2262" s="6" t="s">
        <v>18</v>
      </c>
      <c r="D2262" s="6">
        <v>85988.0</v>
      </c>
      <c r="E2262" s="6" t="s">
        <v>40</v>
      </c>
      <c r="F2262" s="6" t="s">
        <v>61</v>
      </c>
      <c r="G2262" s="6" t="s">
        <v>21</v>
      </c>
      <c r="H2262" s="7">
        <v>3719.0</v>
      </c>
      <c r="I2262" s="7">
        <v>7688.0</v>
      </c>
      <c r="J2262" s="6">
        <v>1959.0</v>
      </c>
      <c r="K2262" s="6">
        <v>52.0</v>
      </c>
      <c r="L2262" s="6" t="s">
        <v>62</v>
      </c>
      <c r="M2262" s="6" t="s">
        <v>9084</v>
      </c>
      <c r="N2262" s="6" t="s">
        <v>48</v>
      </c>
      <c r="O2262" s="6" t="s">
        <v>35</v>
      </c>
      <c r="P2262" s="6">
        <f>COUNTIF(Analysis!$M$1:$M$3001,Analysis!$M2262)</f>
        <v>1</v>
      </c>
      <c r="Q2262" s="6" t="str">
        <f>IF(COUNTIF(Analysis!$M$2:$M$3001,Analysis!$M2262)&gt;1,"Duplicate","OK")</f>
        <v>OK</v>
      </c>
      <c r="R2262" s="6" t="str">
        <f t="shared" si="1"/>
        <v>3600+</v>
      </c>
      <c r="S2262" s="6">
        <f t="shared" si="2"/>
        <v>67</v>
      </c>
      <c r="T2262" s="6" t="str">
        <f t="shared" si="3"/>
        <v>Very Old</v>
      </c>
    </row>
    <row r="2263" ht="14.25" customHeight="1">
      <c r="A2263" s="5">
        <v>665695.0</v>
      </c>
      <c r="B2263" s="6" t="s">
        <v>9087</v>
      </c>
      <c r="C2263" s="6" t="s">
        <v>18</v>
      </c>
      <c r="D2263" s="6">
        <v>60251.0</v>
      </c>
      <c r="E2263" s="6" t="s">
        <v>30</v>
      </c>
      <c r="F2263" s="6" t="s">
        <v>41</v>
      </c>
      <c r="G2263" s="6" t="s">
        <v>31</v>
      </c>
      <c r="H2263" s="7">
        <v>2447.0</v>
      </c>
      <c r="I2263" s="7">
        <v>2798.0</v>
      </c>
      <c r="J2263" s="6">
        <v>2020.0</v>
      </c>
      <c r="K2263" s="6">
        <v>66.0</v>
      </c>
      <c r="L2263" s="6" t="s">
        <v>141</v>
      </c>
      <c r="M2263" s="6" t="s">
        <v>9088</v>
      </c>
      <c r="N2263" s="6" t="s">
        <v>48</v>
      </c>
      <c r="O2263" s="6" t="s">
        <v>35</v>
      </c>
      <c r="P2263" s="6">
        <f>COUNTIF(Analysis!$M$1:$M$3001,Analysis!$M2263)</f>
        <v>1</v>
      </c>
      <c r="Q2263" s="6" t="str">
        <f>IF(COUNTIF(Analysis!$M$2:$M$3001,Analysis!$M2263)&gt;1,"Duplicate","OK")</f>
        <v>OK</v>
      </c>
      <c r="R2263" s="6" t="str">
        <f t="shared" si="1"/>
        <v>1600-2600</v>
      </c>
      <c r="S2263" s="6">
        <f t="shared" si="2"/>
        <v>6</v>
      </c>
      <c r="T2263" s="6" t="str">
        <f t="shared" si="3"/>
        <v>New</v>
      </c>
    </row>
    <row r="2264" ht="14.25" customHeight="1">
      <c r="A2264" s="5">
        <v>589177.0</v>
      </c>
      <c r="B2264" s="6" t="s">
        <v>9091</v>
      </c>
      <c r="C2264" s="6" t="s">
        <v>39</v>
      </c>
      <c r="D2264" s="6">
        <v>45058.0</v>
      </c>
      <c r="E2264" s="6" t="s">
        <v>40</v>
      </c>
      <c r="F2264" s="6" t="s">
        <v>94</v>
      </c>
      <c r="G2264" s="6" t="s">
        <v>21</v>
      </c>
      <c r="H2264" s="7">
        <v>610.0</v>
      </c>
      <c r="I2264" s="7">
        <v>5225.0</v>
      </c>
      <c r="J2264" s="6">
        <v>2019.0</v>
      </c>
      <c r="K2264" s="6">
        <v>57.0</v>
      </c>
      <c r="L2264" s="6" t="s">
        <v>95</v>
      </c>
      <c r="M2264" s="6" t="s">
        <v>9092</v>
      </c>
      <c r="N2264" s="6" t="s">
        <v>48</v>
      </c>
      <c r="O2264" s="6" t="s">
        <v>25</v>
      </c>
      <c r="P2264" s="6">
        <f>COUNTIF(Analysis!$M$1:$M$3001,Analysis!$M2264)</f>
        <v>1</v>
      </c>
      <c r="Q2264" s="6" t="str">
        <f>IF(COUNTIF(Analysis!$M$2:$M$3001,Analysis!$M2264)&gt;1,"Duplicate","OK")</f>
        <v>OK</v>
      </c>
      <c r="R2264" s="6" t="str">
        <f t="shared" si="1"/>
        <v>600-1600</v>
      </c>
      <c r="S2264" s="6">
        <f t="shared" si="2"/>
        <v>7</v>
      </c>
      <c r="T2264" s="6" t="str">
        <f t="shared" si="3"/>
        <v>New</v>
      </c>
    </row>
    <row r="2265" ht="14.25" customHeight="1">
      <c r="A2265" s="5">
        <v>1187392.0</v>
      </c>
      <c r="B2265" s="6" t="s">
        <v>1317</v>
      </c>
      <c r="C2265" s="6" t="s">
        <v>29</v>
      </c>
      <c r="D2265" s="6">
        <v>40666.0</v>
      </c>
      <c r="E2265" s="6" t="s">
        <v>60</v>
      </c>
      <c r="F2265" s="6" t="s">
        <v>46</v>
      </c>
      <c r="G2265" s="6" t="s">
        <v>55</v>
      </c>
      <c r="H2265" s="7">
        <v>949.0</v>
      </c>
      <c r="I2265" s="7">
        <v>1361.0</v>
      </c>
      <c r="J2265" s="6">
        <v>2004.0</v>
      </c>
      <c r="K2265" s="6">
        <v>76.0</v>
      </c>
      <c r="L2265" s="6" t="s">
        <v>141</v>
      </c>
      <c r="M2265" s="6" t="s">
        <v>1318</v>
      </c>
      <c r="N2265" s="6" t="s">
        <v>43</v>
      </c>
      <c r="O2265" s="6" t="s">
        <v>49</v>
      </c>
      <c r="P2265" s="6">
        <f>COUNTIF(Analysis!$M$1:$M$3001,Analysis!$M319)</f>
        <v>1</v>
      </c>
      <c r="Q2265" s="6" t="str">
        <f>IF(COUNTIF(Analysis!$M$2:$M$3001,Analysis!$M319)&gt;1,"Duplicate","OK")</f>
        <v>OK</v>
      </c>
      <c r="R2265" s="6" t="str">
        <f t="shared" si="1"/>
        <v>600-1600</v>
      </c>
      <c r="S2265" s="6">
        <f t="shared" si="2"/>
        <v>22</v>
      </c>
      <c r="T2265" s="6" t="str">
        <f t="shared" si="3"/>
        <v>Mid</v>
      </c>
    </row>
    <row r="2266" ht="14.25" customHeight="1">
      <c r="A2266" s="5">
        <v>886105.0</v>
      </c>
      <c r="B2266" s="6" t="s">
        <v>9099</v>
      </c>
      <c r="C2266" s="6" t="s">
        <v>18</v>
      </c>
      <c r="D2266" s="6">
        <v>86716.0</v>
      </c>
      <c r="E2266" s="6" t="s">
        <v>60</v>
      </c>
      <c r="F2266" s="6" t="s">
        <v>41</v>
      </c>
      <c r="G2266" s="6" t="s">
        <v>55</v>
      </c>
      <c r="H2266" s="7">
        <v>1773.0</v>
      </c>
      <c r="I2266" s="7">
        <v>6571.0</v>
      </c>
      <c r="J2266" s="6">
        <v>2014.0</v>
      </c>
      <c r="K2266" s="6">
        <v>115.0</v>
      </c>
      <c r="L2266" s="6" t="s">
        <v>22</v>
      </c>
      <c r="M2266" s="6" t="s">
        <v>9100</v>
      </c>
      <c r="N2266" s="6" t="s">
        <v>48</v>
      </c>
      <c r="O2266" s="6" t="s">
        <v>35</v>
      </c>
      <c r="P2266" s="6">
        <f>COUNTIF(Analysis!$M$1:$M$3001,Analysis!$M2266)</f>
        <v>1</v>
      </c>
      <c r="Q2266" s="6" t="str">
        <f>IF(COUNTIF(Analysis!$M$2:$M$3001,Analysis!$M2266)&gt;1,"Duplicate","OK")</f>
        <v>OK</v>
      </c>
      <c r="R2266" s="6" t="str">
        <f t="shared" si="1"/>
        <v>1600-2600</v>
      </c>
      <c r="S2266" s="6">
        <f t="shared" si="2"/>
        <v>12</v>
      </c>
      <c r="T2266" s="6" t="str">
        <f t="shared" si="3"/>
        <v>Mid</v>
      </c>
    </row>
    <row r="2267" ht="14.25" customHeight="1">
      <c r="A2267" s="5">
        <v>1190241.0</v>
      </c>
      <c r="B2267" s="6" t="s">
        <v>11139</v>
      </c>
      <c r="C2267" s="6" t="s">
        <v>29</v>
      </c>
      <c r="D2267" s="6">
        <v>99876.0</v>
      </c>
      <c r="E2267" s="6" t="s">
        <v>60</v>
      </c>
      <c r="F2267" s="6" t="s">
        <v>61</v>
      </c>
      <c r="G2267" s="6" t="s">
        <v>31</v>
      </c>
      <c r="H2267" s="7">
        <v>2273.0</v>
      </c>
      <c r="I2267" s="7">
        <v>2504.0</v>
      </c>
      <c r="J2267" s="6">
        <v>1997.0</v>
      </c>
      <c r="K2267" s="6">
        <v>72.0</v>
      </c>
      <c r="L2267" s="6" t="s">
        <v>32</v>
      </c>
      <c r="M2267" s="6" t="s">
        <v>11140</v>
      </c>
      <c r="N2267" s="6" t="s">
        <v>34</v>
      </c>
      <c r="O2267" s="6" t="s">
        <v>35</v>
      </c>
      <c r="P2267" s="6">
        <f>COUNTIF(Analysis!$M$1:$M$3001,Analysis!$M2776)</f>
        <v>1</v>
      </c>
      <c r="Q2267" s="6" t="str">
        <f>IF(COUNTIF(Analysis!$M$2:$M$3001,Analysis!$M2776)&gt;1,"Duplicate","OK")</f>
        <v>OK</v>
      </c>
      <c r="R2267" s="6" t="str">
        <f t="shared" si="1"/>
        <v>1600-2600</v>
      </c>
      <c r="S2267" s="6">
        <f t="shared" si="2"/>
        <v>29</v>
      </c>
      <c r="T2267" s="6" t="str">
        <f t="shared" si="3"/>
        <v>Mid</v>
      </c>
    </row>
    <row r="2268" ht="14.25" customHeight="1">
      <c r="A2268" s="5">
        <v>1303490.0</v>
      </c>
      <c r="B2268" s="6" t="s">
        <v>9107</v>
      </c>
      <c r="C2268" s="6" t="s">
        <v>39</v>
      </c>
      <c r="D2268" s="6">
        <v>96802.0</v>
      </c>
      <c r="E2268" s="6" t="s">
        <v>60</v>
      </c>
      <c r="F2268" s="6" t="s">
        <v>94</v>
      </c>
      <c r="G2268" s="6" t="s">
        <v>21</v>
      </c>
      <c r="H2268" s="7">
        <v>3497.0</v>
      </c>
      <c r="I2268" s="7">
        <v>8061.0</v>
      </c>
      <c r="J2268" s="6">
        <v>2015.0</v>
      </c>
      <c r="K2268" s="6">
        <v>109.0</v>
      </c>
      <c r="L2268" s="6" t="s">
        <v>95</v>
      </c>
      <c r="M2268" s="6" t="s">
        <v>9108</v>
      </c>
      <c r="N2268" s="6" t="s">
        <v>24</v>
      </c>
      <c r="O2268" s="6" t="s">
        <v>49</v>
      </c>
      <c r="P2268" s="6">
        <f>COUNTIF(Analysis!$M$1:$M$3001,Analysis!$M2268)</f>
        <v>1</v>
      </c>
      <c r="Q2268" s="6" t="str">
        <f>IF(COUNTIF(Analysis!$M$2:$M$3001,Analysis!$M2268)&gt;1,"Duplicate","OK")</f>
        <v>OK</v>
      </c>
      <c r="R2268" s="6" t="str">
        <f t="shared" si="1"/>
        <v>2600-3600</v>
      </c>
      <c r="S2268" s="6">
        <f t="shared" si="2"/>
        <v>11</v>
      </c>
      <c r="T2268" s="6" t="str">
        <f t="shared" si="3"/>
        <v>Mid</v>
      </c>
    </row>
    <row r="2269" ht="14.25" customHeight="1">
      <c r="A2269" s="5">
        <v>1191472.0</v>
      </c>
      <c r="B2269" s="6" t="s">
        <v>6353</v>
      </c>
      <c r="C2269" s="6" t="s">
        <v>29</v>
      </c>
      <c r="D2269" s="6">
        <v>63939.0</v>
      </c>
      <c r="E2269" s="6" t="s">
        <v>77</v>
      </c>
      <c r="F2269" s="6" t="s">
        <v>94</v>
      </c>
      <c r="G2269" s="6" t="s">
        <v>31</v>
      </c>
      <c r="H2269" s="7">
        <v>1322.0</v>
      </c>
      <c r="I2269" s="7">
        <v>9721.0</v>
      </c>
      <c r="J2269" s="6">
        <v>1955.0</v>
      </c>
      <c r="K2269" s="6">
        <v>33.0</v>
      </c>
      <c r="L2269" s="6" t="s">
        <v>22</v>
      </c>
      <c r="M2269" s="6" t="s">
        <v>6354</v>
      </c>
      <c r="N2269" s="6" t="s">
        <v>48</v>
      </c>
      <c r="O2269" s="6" t="s">
        <v>49</v>
      </c>
      <c r="P2269" s="6">
        <f>COUNTIF(Analysis!$M$1:$M$3001,Analysis!$M1579)</f>
        <v>1</v>
      </c>
      <c r="Q2269" s="6" t="str">
        <f>IF(COUNTIF(Analysis!$M$2:$M$3001,Analysis!$M1579)&gt;1,"Duplicate","OK")</f>
        <v>OK</v>
      </c>
      <c r="R2269" s="6" t="str">
        <f t="shared" si="1"/>
        <v>600-1600</v>
      </c>
      <c r="S2269" s="6">
        <f t="shared" si="2"/>
        <v>71</v>
      </c>
      <c r="T2269" s="6" t="str">
        <f t="shared" si="3"/>
        <v>Very Old</v>
      </c>
    </row>
    <row r="2270" ht="14.25" customHeight="1">
      <c r="A2270" s="5">
        <v>749878.0</v>
      </c>
      <c r="B2270" s="6" t="s">
        <v>9115</v>
      </c>
      <c r="C2270" s="6" t="s">
        <v>39</v>
      </c>
      <c r="D2270" s="6">
        <v>52085.0</v>
      </c>
      <c r="E2270" s="6" t="s">
        <v>40</v>
      </c>
      <c r="F2270" s="6" t="s">
        <v>41</v>
      </c>
      <c r="G2270" s="6" t="s">
        <v>100</v>
      </c>
      <c r="H2270" s="7">
        <v>1054.0</v>
      </c>
      <c r="I2270" s="7">
        <v>9111.0</v>
      </c>
      <c r="J2270" s="6">
        <v>1973.0</v>
      </c>
      <c r="K2270" s="6">
        <v>4.0</v>
      </c>
      <c r="L2270" s="6" t="s">
        <v>141</v>
      </c>
      <c r="M2270" s="6" t="s">
        <v>9116</v>
      </c>
      <c r="N2270" s="6" t="s">
        <v>43</v>
      </c>
      <c r="O2270" s="6" t="s">
        <v>49</v>
      </c>
      <c r="P2270" s="6">
        <f>COUNTIF(Analysis!$M$1:$M$3001,Analysis!$M2270)</f>
        <v>1</v>
      </c>
      <c r="Q2270" s="6" t="str">
        <f>IF(COUNTIF(Analysis!$M$2:$M$3001,Analysis!$M2270)&gt;1,"Duplicate","OK")</f>
        <v>OK</v>
      </c>
      <c r="R2270" s="6" t="str">
        <f t="shared" si="1"/>
        <v>600-1600</v>
      </c>
      <c r="S2270" s="6">
        <f t="shared" si="2"/>
        <v>53</v>
      </c>
      <c r="T2270" s="6" t="str">
        <f t="shared" si="3"/>
        <v>Old</v>
      </c>
    </row>
    <row r="2271" ht="14.25" customHeight="1">
      <c r="A2271" s="5">
        <v>1145357.0</v>
      </c>
      <c r="B2271" s="6" t="s">
        <v>9119</v>
      </c>
      <c r="C2271" s="6" t="s">
        <v>18</v>
      </c>
      <c r="D2271" s="6">
        <v>86478.0</v>
      </c>
      <c r="E2271" s="6" t="s">
        <v>40</v>
      </c>
      <c r="F2271" s="6" t="s">
        <v>94</v>
      </c>
      <c r="G2271" s="6" t="s">
        <v>21</v>
      </c>
      <c r="H2271" s="7">
        <v>2680.0</v>
      </c>
      <c r="I2271" s="7">
        <v>8167.0</v>
      </c>
      <c r="J2271" s="6">
        <v>2021.0</v>
      </c>
      <c r="K2271" s="6">
        <v>117.0</v>
      </c>
      <c r="L2271" s="6" t="s">
        <v>32</v>
      </c>
      <c r="M2271" s="6" t="s">
        <v>9120</v>
      </c>
      <c r="N2271" s="6" t="s">
        <v>43</v>
      </c>
      <c r="O2271" s="6" t="s">
        <v>35</v>
      </c>
      <c r="P2271" s="6">
        <f>COUNTIF(Analysis!$M$1:$M$3001,Analysis!$M2271)</f>
        <v>1</v>
      </c>
      <c r="Q2271" s="6" t="str">
        <f>IF(COUNTIF(Analysis!$M$2:$M$3001,Analysis!$M2271)&gt;1,"Duplicate","OK")</f>
        <v>OK</v>
      </c>
      <c r="R2271" s="6" t="str">
        <f t="shared" si="1"/>
        <v>2600-3600</v>
      </c>
      <c r="S2271" s="6">
        <f t="shared" si="2"/>
        <v>5</v>
      </c>
      <c r="T2271" s="6" t="str">
        <f t="shared" si="3"/>
        <v>New</v>
      </c>
    </row>
    <row r="2272" ht="14.25" customHeight="1">
      <c r="A2272" s="5">
        <v>1164190.0</v>
      </c>
      <c r="B2272" s="6" t="s">
        <v>9123</v>
      </c>
      <c r="C2272" s="6" t="s">
        <v>53</v>
      </c>
      <c r="D2272" s="6">
        <v>49058.0</v>
      </c>
      <c r="E2272" s="6" t="s">
        <v>30</v>
      </c>
      <c r="F2272" s="6" t="s">
        <v>46</v>
      </c>
      <c r="G2272" s="6" t="s">
        <v>21</v>
      </c>
      <c r="H2272" s="7">
        <v>2460.0</v>
      </c>
      <c r="I2272" s="7">
        <v>1358.0</v>
      </c>
      <c r="J2272" s="6">
        <v>2010.0</v>
      </c>
      <c r="K2272" s="6">
        <v>26.0</v>
      </c>
      <c r="L2272" s="6" t="s">
        <v>141</v>
      </c>
      <c r="M2272" s="6" t="s">
        <v>9124</v>
      </c>
      <c r="N2272" s="6" t="s">
        <v>48</v>
      </c>
      <c r="O2272" s="6" t="s">
        <v>49</v>
      </c>
      <c r="P2272" s="6">
        <f>COUNTIF(Analysis!$M$1:$M$3001,Analysis!$M2272)</f>
        <v>1</v>
      </c>
      <c r="Q2272" s="6" t="str">
        <f>IF(COUNTIF(Analysis!$M$2:$M$3001,Analysis!$M2272)&gt;1,"Duplicate","OK")</f>
        <v>OK</v>
      </c>
      <c r="R2272" s="6" t="str">
        <f t="shared" si="1"/>
        <v>1600-2600</v>
      </c>
      <c r="S2272" s="6">
        <f t="shared" si="2"/>
        <v>16</v>
      </c>
      <c r="T2272" s="6" t="str">
        <f t="shared" si="3"/>
        <v>Mid</v>
      </c>
    </row>
    <row r="2273" ht="14.25" customHeight="1">
      <c r="A2273" s="5">
        <v>233884.0</v>
      </c>
      <c r="B2273" s="6" t="s">
        <v>9127</v>
      </c>
      <c r="C2273" s="6" t="s">
        <v>76</v>
      </c>
      <c r="D2273" s="6">
        <v>44868.0</v>
      </c>
      <c r="E2273" s="6" t="s">
        <v>77</v>
      </c>
      <c r="F2273" s="6" t="s">
        <v>46</v>
      </c>
      <c r="G2273" s="6" t="s">
        <v>55</v>
      </c>
      <c r="H2273" s="7">
        <v>942.0</v>
      </c>
      <c r="I2273" s="7">
        <v>8026.0</v>
      </c>
      <c r="J2273" s="6">
        <v>2007.0</v>
      </c>
      <c r="K2273" s="6">
        <v>49.0</v>
      </c>
      <c r="L2273" s="6" t="s">
        <v>22</v>
      </c>
      <c r="M2273" s="6" t="s">
        <v>9128</v>
      </c>
      <c r="N2273" s="6" t="s">
        <v>24</v>
      </c>
      <c r="O2273" s="6" t="s">
        <v>49</v>
      </c>
      <c r="P2273" s="6">
        <f>COUNTIF(Analysis!$M$1:$M$3001,Analysis!$M2273)</f>
        <v>1</v>
      </c>
      <c r="Q2273" s="6" t="str">
        <f>IF(COUNTIF(Analysis!$M$2:$M$3001,Analysis!$M2273)&gt;1,"Duplicate","OK")</f>
        <v>OK</v>
      </c>
      <c r="R2273" s="6" t="str">
        <f t="shared" si="1"/>
        <v>600-1600</v>
      </c>
      <c r="S2273" s="6">
        <f t="shared" si="2"/>
        <v>19</v>
      </c>
      <c r="T2273" s="6" t="str">
        <f t="shared" si="3"/>
        <v>Mid</v>
      </c>
    </row>
    <row r="2274" ht="14.25" customHeight="1">
      <c r="A2274" s="5">
        <v>229333.0</v>
      </c>
      <c r="B2274" s="6" t="s">
        <v>9131</v>
      </c>
      <c r="C2274" s="6" t="s">
        <v>18</v>
      </c>
      <c r="D2274" s="6">
        <v>58644.0</v>
      </c>
      <c r="E2274" s="6" t="s">
        <v>40</v>
      </c>
      <c r="F2274" s="6" t="s">
        <v>41</v>
      </c>
      <c r="G2274" s="6" t="s">
        <v>31</v>
      </c>
      <c r="H2274" s="7">
        <v>1443.0</v>
      </c>
      <c r="I2274" s="7">
        <v>1918.0</v>
      </c>
      <c r="J2274" s="6">
        <v>1951.0</v>
      </c>
      <c r="K2274" s="6">
        <v>99.0</v>
      </c>
      <c r="L2274" s="6" t="s">
        <v>32</v>
      </c>
      <c r="M2274" s="6" t="s">
        <v>9132</v>
      </c>
      <c r="N2274" s="6" t="s">
        <v>34</v>
      </c>
      <c r="O2274" s="6" t="s">
        <v>49</v>
      </c>
      <c r="P2274" s="6">
        <f>COUNTIF(Analysis!$M$1:$M$3001,Analysis!$M2274)</f>
        <v>1</v>
      </c>
      <c r="Q2274" s="6" t="str">
        <f>IF(COUNTIF(Analysis!$M$2:$M$3001,Analysis!$M2274)&gt;1,"Duplicate","OK")</f>
        <v>OK</v>
      </c>
      <c r="R2274" s="6" t="str">
        <f t="shared" si="1"/>
        <v>600-1600</v>
      </c>
      <c r="S2274" s="6">
        <f t="shared" si="2"/>
        <v>75</v>
      </c>
      <c r="T2274" s="6" t="str">
        <f t="shared" si="3"/>
        <v>Very Old</v>
      </c>
    </row>
    <row r="2275" ht="14.25" customHeight="1">
      <c r="A2275" s="5">
        <v>374532.0</v>
      </c>
      <c r="B2275" s="6" t="s">
        <v>9135</v>
      </c>
      <c r="C2275" s="6" t="s">
        <v>39</v>
      </c>
      <c r="D2275" s="6">
        <v>80992.0</v>
      </c>
      <c r="E2275" s="6" t="s">
        <v>40</v>
      </c>
      <c r="F2275" s="6" t="s">
        <v>54</v>
      </c>
      <c r="G2275" s="6" t="s">
        <v>100</v>
      </c>
      <c r="H2275" s="7">
        <v>2762.0</v>
      </c>
      <c r="I2275" s="7">
        <v>5940.0</v>
      </c>
      <c r="J2275" s="6">
        <v>1990.0</v>
      </c>
      <c r="K2275" s="6">
        <v>30.0</v>
      </c>
      <c r="L2275" s="6" t="s">
        <v>95</v>
      </c>
      <c r="M2275" s="6" t="s">
        <v>9136</v>
      </c>
      <c r="N2275" s="6" t="s">
        <v>34</v>
      </c>
      <c r="O2275" s="6" t="s">
        <v>35</v>
      </c>
      <c r="P2275" s="6">
        <f>COUNTIF(Analysis!$M$1:$M$3001,Analysis!$M2275)</f>
        <v>1</v>
      </c>
      <c r="Q2275" s="6" t="str">
        <f>IF(COUNTIF(Analysis!$M$2:$M$3001,Analysis!$M2275)&gt;1,"Duplicate","OK")</f>
        <v>OK</v>
      </c>
      <c r="R2275" s="6" t="str">
        <f t="shared" si="1"/>
        <v>2600-3600</v>
      </c>
      <c r="S2275" s="6">
        <f t="shared" si="2"/>
        <v>36</v>
      </c>
      <c r="T2275" s="6" t="str">
        <f t="shared" si="3"/>
        <v>Old</v>
      </c>
    </row>
    <row r="2276" ht="14.25" customHeight="1">
      <c r="A2276" s="5">
        <v>1392019.0</v>
      </c>
      <c r="B2276" s="6" t="s">
        <v>9139</v>
      </c>
      <c r="C2276" s="6" t="s">
        <v>18</v>
      </c>
      <c r="D2276" s="6">
        <v>23325.0</v>
      </c>
      <c r="E2276" s="6" t="s">
        <v>30</v>
      </c>
      <c r="F2276" s="6" t="s">
        <v>54</v>
      </c>
      <c r="G2276" s="6" t="s">
        <v>31</v>
      </c>
      <c r="H2276" s="7">
        <v>715.0</v>
      </c>
      <c r="I2276" s="7">
        <v>4919.0</v>
      </c>
      <c r="J2276" s="6">
        <v>2018.0</v>
      </c>
      <c r="K2276" s="6">
        <v>68.0</v>
      </c>
      <c r="L2276" s="6" t="s">
        <v>32</v>
      </c>
      <c r="M2276" s="6" t="s">
        <v>9140</v>
      </c>
      <c r="N2276" s="6" t="s">
        <v>48</v>
      </c>
      <c r="O2276" s="6" t="s">
        <v>35</v>
      </c>
      <c r="P2276" s="6">
        <f>COUNTIF(Analysis!$M$1:$M$3001,Analysis!$M2276)</f>
        <v>1</v>
      </c>
      <c r="Q2276" s="6" t="str">
        <f>IF(COUNTIF(Analysis!$M$2:$M$3001,Analysis!$M2276)&gt;1,"Duplicate","OK")</f>
        <v>OK</v>
      </c>
      <c r="R2276" s="6" t="str">
        <f t="shared" si="1"/>
        <v>600-1600</v>
      </c>
      <c r="S2276" s="6">
        <f t="shared" si="2"/>
        <v>8</v>
      </c>
      <c r="T2276" s="6" t="str">
        <f t="shared" si="3"/>
        <v>New</v>
      </c>
    </row>
    <row r="2277" ht="14.25" customHeight="1">
      <c r="A2277" s="5">
        <v>1395917.0</v>
      </c>
      <c r="B2277" s="6" t="s">
        <v>9143</v>
      </c>
      <c r="C2277" s="6" t="s">
        <v>76</v>
      </c>
      <c r="D2277" s="6">
        <v>66767.0</v>
      </c>
      <c r="E2277" s="6" t="s">
        <v>19</v>
      </c>
      <c r="F2277" s="6" t="s">
        <v>54</v>
      </c>
      <c r="G2277" s="6" t="s">
        <v>31</v>
      </c>
      <c r="H2277" s="7">
        <v>693.0</v>
      </c>
      <c r="I2277" s="7">
        <v>5724.0</v>
      </c>
      <c r="J2277" s="6">
        <v>1991.0</v>
      </c>
      <c r="K2277" s="6">
        <v>12.0</v>
      </c>
      <c r="L2277" s="6" t="s">
        <v>141</v>
      </c>
      <c r="M2277" s="6" t="s">
        <v>9144</v>
      </c>
      <c r="N2277" s="6" t="s">
        <v>48</v>
      </c>
      <c r="O2277" s="6" t="s">
        <v>49</v>
      </c>
      <c r="P2277" s="6">
        <f>COUNTIF(Analysis!$M$1:$M$3001,Analysis!$M2277)</f>
        <v>1</v>
      </c>
      <c r="Q2277" s="6" t="str">
        <f>IF(COUNTIF(Analysis!$M$2:$M$3001,Analysis!$M2277)&gt;1,"Duplicate","OK")</f>
        <v>OK</v>
      </c>
      <c r="R2277" s="6" t="str">
        <f t="shared" si="1"/>
        <v>600-1600</v>
      </c>
      <c r="S2277" s="6">
        <f t="shared" si="2"/>
        <v>35</v>
      </c>
      <c r="T2277" s="6" t="str">
        <f t="shared" si="3"/>
        <v>Old</v>
      </c>
    </row>
    <row r="2278" ht="14.25" customHeight="1">
      <c r="A2278" s="5">
        <v>650733.0</v>
      </c>
      <c r="B2278" s="6" t="s">
        <v>9147</v>
      </c>
      <c r="C2278" s="6" t="s">
        <v>18</v>
      </c>
      <c r="D2278" s="6">
        <v>98218.0</v>
      </c>
      <c r="E2278" s="6" t="s">
        <v>30</v>
      </c>
      <c r="F2278" s="6" t="s">
        <v>54</v>
      </c>
      <c r="G2278" s="6" t="s">
        <v>31</v>
      </c>
      <c r="H2278" s="7">
        <v>2425.0</v>
      </c>
      <c r="I2278" s="7">
        <v>9622.0</v>
      </c>
      <c r="J2278" s="6">
        <v>1958.0</v>
      </c>
      <c r="K2278" s="6">
        <v>102.0</v>
      </c>
      <c r="L2278" s="6" t="s">
        <v>141</v>
      </c>
      <c r="M2278" s="6" t="s">
        <v>9148</v>
      </c>
      <c r="N2278" s="6" t="s">
        <v>43</v>
      </c>
      <c r="O2278" s="6" t="s">
        <v>25</v>
      </c>
      <c r="P2278" s="6">
        <f>COUNTIF(Analysis!$M$1:$M$3001,Analysis!$M2278)</f>
        <v>1</v>
      </c>
      <c r="Q2278" s="6" t="str">
        <f>IF(COUNTIF(Analysis!$M$2:$M$3001,Analysis!$M2278)&gt;1,"Duplicate","OK")</f>
        <v>OK</v>
      </c>
      <c r="R2278" s="6" t="str">
        <f t="shared" si="1"/>
        <v>1600-2600</v>
      </c>
      <c r="S2278" s="6">
        <f t="shared" si="2"/>
        <v>68</v>
      </c>
      <c r="T2278" s="6" t="str">
        <f t="shared" si="3"/>
        <v>Very Old</v>
      </c>
    </row>
    <row r="2279" ht="14.25" customHeight="1">
      <c r="A2279" s="5">
        <v>765584.0</v>
      </c>
      <c r="B2279" s="6" t="s">
        <v>9151</v>
      </c>
      <c r="C2279" s="6" t="s">
        <v>18</v>
      </c>
      <c r="D2279" s="6">
        <v>60212.0</v>
      </c>
      <c r="E2279" s="6" t="s">
        <v>60</v>
      </c>
      <c r="F2279" s="6" t="s">
        <v>61</v>
      </c>
      <c r="G2279" s="6" t="s">
        <v>100</v>
      </c>
      <c r="H2279" s="7">
        <v>909.0</v>
      </c>
      <c r="I2279" s="7">
        <v>5990.0</v>
      </c>
      <c r="J2279" s="6">
        <v>1953.0</v>
      </c>
      <c r="K2279" s="6">
        <v>70.0</v>
      </c>
      <c r="L2279" s="6" t="s">
        <v>141</v>
      </c>
      <c r="M2279" s="6" t="s">
        <v>9152</v>
      </c>
      <c r="N2279" s="6" t="s">
        <v>24</v>
      </c>
      <c r="O2279" s="6" t="s">
        <v>49</v>
      </c>
      <c r="P2279" s="6">
        <f>COUNTIF(Analysis!$M$1:$M$3001,Analysis!$M2279)</f>
        <v>1</v>
      </c>
      <c r="Q2279" s="6" t="str">
        <f>IF(COUNTIF(Analysis!$M$2:$M$3001,Analysis!$M2279)&gt;1,"Duplicate","OK")</f>
        <v>OK</v>
      </c>
      <c r="R2279" s="6" t="str">
        <f t="shared" si="1"/>
        <v>600-1600</v>
      </c>
      <c r="S2279" s="6">
        <f t="shared" si="2"/>
        <v>73</v>
      </c>
      <c r="T2279" s="6" t="str">
        <f t="shared" si="3"/>
        <v>Very Old</v>
      </c>
    </row>
    <row r="2280" ht="14.25" customHeight="1">
      <c r="A2280" s="5">
        <v>792693.0</v>
      </c>
      <c r="B2280" s="6" t="s">
        <v>9155</v>
      </c>
      <c r="C2280" s="6" t="s">
        <v>53</v>
      </c>
      <c r="D2280" s="6">
        <v>88981.0</v>
      </c>
      <c r="E2280" s="6" t="s">
        <v>60</v>
      </c>
      <c r="F2280" s="6" t="s">
        <v>20</v>
      </c>
      <c r="G2280" s="6" t="s">
        <v>31</v>
      </c>
      <c r="H2280" s="7">
        <v>3868.0</v>
      </c>
      <c r="I2280" s="7">
        <v>2315.0</v>
      </c>
      <c r="J2280" s="6">
        <v>1989.0</v>
      </c>
      <c r="K2280" s="6">
        <v>5.0</v>
      </c>
      <c r="L2280" s="6" t="s">
        <v>141</v>
      </c>
      <c r="M2280" s="6" t="s">
        <v>9156</v>
      </c>
      <c r="N2280" s="6" t="s">
        <v>48</v>
      </c>
      <c r="O2280" s="6" t="s">
        <v>49</v>
      </c>
      <c r="P2280" s="6">
        <f>COUNTIF(Analysis!$M$1:$M$3001,Analysis!$M2280)</f>
        <v>1</v>
      </c>
      <c r="Q2280" s="6" t="str">
        <f>IF(COUNTIF(Analysis!$M$2:$M$3001,Analysis!$M2280)&gt;1,"Duplicate","OK")</f>
        <v>OK</v>
      </c>
      <c r="R2280" s="6" t="str">
        <f t="shared" si="1"/>
        <v>3600+</v>
      </c>
      <c r="S2280" s="6">
        <f t="shared" si="2"/>
        <v>37</v>
      </c>
      <c r="T2280" s="6" t="str">
        <f t="shared" si="3"/>
        <v>Old</v>
      </c>
    </row>
    <row r="2281" ht="14.25" customHeight="1">
      <c r="A2281" s="5">
        <v>628319.0</v>
      </c>
      <c r="B2281" s="6" t="s">
        <v>9159</v>
      </c>
      <c r="C2281" s="6" t="s">
        <v>39</v>
      </c>
      <c r="D2281" s="6">
        <v>56656.0</v>
      </c>
      <c r="E2281" s="6" t="s">
        <v>77</v>
      </c>
      <c r="F2281" s="6" t="s">
        <v>41</v>
      </c>
      <c r="G2281" s="6" t="s">
        <v>31</v>
      </c>
      <c r="H2281" s="7">
        <v>2522.0</v>
      </c>
      <c r="I2281" s="7">
        <v>9661.0</v>
      </c>
      <c r="J2281" s="6">
        <v>1970.0</v>
      </c>
      <c r="K2281" s="6">
        <v>58.0</v>
      </c>
      <c r="L2281" s="6" t="s">
        <v>141</v>
      </c>
      <c r="M2281" s="6" t="s">
        <v>9160</v>
      </c>
      <c r="N2281" s="6" t="s">
        <v>64</v>
      </c>
      <c r="O2281" s="6" t="s">
        <v>49</v>
      </c>
      <c r="P2281" s="6">
        <f>COUNTIF(Analysis!$M$1:$M$3001,Analysis!$M2281)</f>
        <v>1</v>
      </c>
      <c r="Q2281" s="6" t="str">
        <f>IF(COUNTIF(Analysis!$M$2:$M$3001,Analysis!$M2281)&gt;1,"Duplicate","OK")</f>
        <v>OK</v>
      </c>
      <c r="R2281" s="6" t="str">
        <f t="shared" si="1"/>
        <v>1600-2600</v>
      </c>
      <c r="S2281" s="6">
        <f t="shared" si="2"/>
        <v>56</v>
      </c>
      <c r="T2281" s="6" t="str">
        <f t="shared" si="3"/>
        <v>Old</v>
      </c>
    </row>
    <row r="2282" ht="14.25" customHeight="1">
      <c r="A2282" s="5">
        <v>924682.0</v>
      </c>
      <c r="B2282" s="6" t="s">
        <v>9163</v>
      </c>
      <c r="C2282" s="6" t="s">
        <v>53</v>
      </c>
      <c r="D2282" s="6">
        <v>53119.0</v>
      </c>
      <c r="E2282" s="6" t="s">
        <v>77</v>
      </c>
      <c r="F2282" s="6" t="s">
        <v>46</v>
      </c>
      <c r="G2282" s="6" t="s">
        <v>100</v>
      </c>
      <c r="H2282" s="7">
        <v>3006.0</v>
      </c>
      <c r="I2282" s="7">
        <v>6315.0</v>
      </c>
      <c r="J2282" s="6">
        <v>1990.0</v>
      </c>
      <c r="K2282" s="6">
        <v>55.0</v>
      </c>
      <c r="L2282" s="6" t="s">
        <v>22</v>
      </c>
      <c r="M2282" s="6" t="s">
        <v>9164</v>
      </c>
      <c r="N2282" s="6" t="s">
        <v>48</v>
      </c>
      <c r="O2282" s="6" t="s">
        <v>25</v>
      </c>
      <c r="P2282" s="6">
        <f>COUNTIF(Analysis!$M$1:$M$3001,Analysis!$M2282)</f>
        <v>1</v>
      </c>
      <c r="Q2282" s="6" t="str">
        <f>IF(COUNTIF(Analysis!$M$2:$M$3001,Analysis!$M2282)&gt;1,"Duplicate","OK")</f>
        <v>OK</v>
      </c>
      <c r="R2282" s="6" t="str">
        <f t="shared" si="1"/>
        <v>2600-3600</v>
      </c>
      <c r="S2282" s="6">
        <f t="shared" si="2"/>
        <v>36</v>
      </c>
      <c r="T2282" s="6" t="str">
        <f t="shared" si="3"/>
        <v>Old</v>
      </c>
    </row>
    <row r="2283" ht="14.25" customHeight="1">
      <c r="A2283" s="5">
        <v>1191840.0</v>
      </c>
      <c r="B2283" s="6" t="s">
        <v>6461</v>
      </c>
      <c r="C2283" s="6" t="s">
        <v>29</v>
      </c>
      <c r="D2283" s="6">
        <v>67080.0</v>
      </c>
      <c r="E2283" s="6" t="s">
        <v>30</v>
      </c>
      <c r="F2283" s="6" t="s">
        <v>94</v>
      </c>
      <c r="G2283" s="6" t="s">
        <v>21</v>
      </c>
      <c r="H2283" s="7">
        <v>1355.0</v>
      </c>
      <c r="I2283" s="7">
        <v>6414.0</v>
      </c>
      <c r="J2283" s="6">
        <v>2017.0</v>
      </c>
      <c r="K2283" s="6">
        <v>19.0</v>
      </c>
      <c r="L2283" s="6" t="s">
        <v>22</v>
      </c>
      <c r="M2283" s="6" t="s">
        <v>6462</v>
      </c>
      <c r="N2283" s="6" t="s">
        <v>43</v>
      </c>
      <c r="O2283" s="6" t="s">
        <v>49</v>
      </c>
      <c r="P2283" s="6">
        <f>COUNTIF(Analysis!$M$1:$M$3001,Analysis!$M1606)</f>
        <v>1</v>
      </c>
      <c r="Q2283" s="6" t="str">
        <f>IF(COUNTIF(Analysis!$M$2:$M$3001,Analysis!$M1606)&gt;1,"Duplicate","OK")</f>
        <v>OK</v>
      </c>
      <c r="R2283" s="6" t="str">
        <f t="shared" si="1"/>
        <v>600-1600</v>
      </c>
      <c r="S2283" s="6">
        <f t="shared" si="2"/>
        <v>9</v>
      </c>
      <c r="T2283" s="6" t="str">
        <f t="shared" si="3"/>
        <v>New</v>
      </c>
    </row>
    <row r="2284" ht="14.25" customHeight="1">
      <c r="A2284" s="5">
        <v>1193460.0</v>
      </c>
      <c r="B2284" s="6" t="s">
        <v>921</v>
      </c>
      <c r="C2284" s="6" t="s">
        <v>29</v>
      </c>
      <c r="D2284" s="6">
        <v>82157.0</v>
      </c>
      <c r="E2284" s="6" t="s">
        <v>30</v>
      </c>
      <c r="F2284" s="6" t="s">
        <v>41</v>
      </c>
      <c r="G2284" s="6" t="s">
        <v>55</v>
      </c>
      <c r="H2284" s="7">
        <v>1775.0</v>
      </c>
      <c r="I2284" s="7">
        <v>3631.0</v>
      </c>
      <c r="J2284" s="6">
        <v>1952.0</v>
      </c>
      <c r="K2284" s="6">
        <v>93.0</v>
      </c>
      <c r="L2284" s="6" t="s">
        <v>62</v>
      </c>
      <c r="M2284" s="6" t="s">
        <v>922</v>
      </c>
      <c r="N2284" s="6" t="s">
        <v>64</v>
      </c>
      <c r="O2284" s="6" t="s">
        <v>25</v>
      </c>
      <c r="P2284" s="6">
        <f>COUNTIF(Analysis!$M$1:$M$3001,Analysis!$M220)</f>
        <v>1</v>
      </c>
      <c r="Q2284" s="6" t="str">
        <f>IF(COUNTIF(Analysis!$M$2:$M$3001,Analysis!$M220)&gt;1,"Duplicate","OK")</f>
        <v>OK</v>
      </c>
      <c r="R2284" s="6" t="str">
        <f t="shared" si="1"/>
        <v>1600-2600</v>
      </c>
      <c r="S2284" s="6">
        <f t="shared" si="2"/>
        <v>74</v>
      </c>
      <c r="T2284" s="6" t="str">
        <f t="shared" si="3"/>
        <v>Very Old</v>
      </c>
    </row>
    <row r="2285" ht="14.25" customHeight="1">
      <c r="A2285" s="5">
        <v>1315724.0</v>
      </c>
      <c r="B2285" s="6" t="s">
        <v>9175</v>
      </c>
      <c r="C2285" s="6" t="s">
        <v>18</v>
      </c>
      <c r="D2285" s="6">
        <v>65088.0</v>
      </c>
      <c r="E2285" s="6" t="s">
        <v>19</v>
      </c>
      <c r="F2285" s="6" t="s">
        <v>94</v>
      </c>
      <c r="G2285" s="6" t="s">
        <v>100</v>
      </c>
      <c r="H2285" s="7">
        <v>3325.0</v>
      </c>
      <c r="I2285" s="7">
        <v>1493.0</v>
      </c>
      <c r="J2285" s="6">
        <v>2001.0</v>
      </c>
      <c r="K2285" s="6">
        <v>103.0</v>
      </c>
      <c r="L2285" s="6" t="s">
        <v>22</v>
      </c>
      <c r="M2285" s="6" t="s">
        <v>9176</v>
      </c>
      <c r="N2285" s="6" t="s">
        <v>34</v>
      </c>
      <c r="O2285" s="6" t="s">
        <v>35</v>
      </c>
      <c r="P2285" s="6">
        <f>COUNTIF(Analysis!$M$1:$M$3001,Analysis!$M2285)</f>
        <v>1</v>
      </c>
      <c r="Q2285" s="6" t="str">
        <f>IF(COUNTIF(Analysis!$M$2:$M$3001,Analysis!$M2285)&gt;1,"Duplicate","OK")</f>
        <v>OK</v>
      </c>
      <c r="R2285" s="6" t="str">
        <f t="shared" si="1"/>
        <v>2600-3600</v>
      </c>
      <c r="S2285" s="6">
        <f t="shared" si="2"/>
        <v>25</v>
      </c>
      <c r="T2285" s="6" t="str">
        <f t="shared" si="3"/>
        <v>Mid</v>
      </c>
    </row>
    <row r="2286" ht="14.25" customHeight="1">
      <c r="A2286" s="5">
        <v>1194017.0</v>
      </c>
      <c r="B2286" s="6" t="s">
        <v>6761</v>
      </c>
      <c r="C2286" s="6" t="s">
        <v>29</v>
      </c>
      <c r="D2286" s="6">
        <v>62786.0</v>
      </c>
      <c r="E2286" s="6" t="s">
        <v>60</v>
      </c>
      <c r="F2286" s="6" t="s">
        <v>46</v>
      </c>
      <c r="G2286" s="6" t="s">
        <v>55</v>
      </c>
      <c r="H2286" s="7">
        <v>3553.0</v>
      </c>
      <c r="I2286" s="7">
        <v>4917.0</v>
      </c>
      <c r="J2286" s="6">
        <v>1970.0</v>
      </c>
      <c r="K2286" s="6">
        <v>90.0</v>
      </c>
      <c r="L2286" s="6" t="s">
        <v>141</v>
      </c>
      <c r="M2286" s="6" t="s">
        <v>6762</v>
      </c>
      <c r="N2286" s="6" t="s">
        <v>48</v>
      </c>
      <c r="O2286" s="6" t="s">
        <v>35</v>
      </c>
      <c r="P2286" s="6">
        <f>COUNTIF(Analysis!$M$1:$M$3001,Analysis!$M1681)</f>
        <v>1</v>
      </c>
      <c r="Q2286" s="6" t="str">
        <f>IF(COUNTIF(Analysis!$M$2:$M$3001,Analysis!$M1681)&gt;1,"Duplicate","OK")</f>
        <v>OK</v>
      </c>
      <c r="R2286" s="6" t="str">
        <f t="shared" si="1"/>
        <v>2600-3600</v>
      </c>
      <c r="S2286" s="6">
        <f t="shared" si="2"/>
        <v>56</v>
      </c>
      <c r="T2286" s="6" t="str">
        <f t="shared" si="3"/>
        <v>Old</v>
      </c>
    </row>
    <row r="2287" ht="14.25" customHeight="1">
      <c r="A2287" s="5">
        <v>1239159.0</v>
      </c>
      <c r="B2287" s="6" t="s">
        <v>9183</v>
      </c>
      <c r="C2287" s="6" t="s">
        <v>76</v>
      </c>
      <c r="D2287" s="6">
        <v>20246.0</v>
      </c>
      <c r="E2287" s="6" t="s">
        <v>19</v>
      </c>
      <c r="F2287" s="6" t="s">
        <v>94</v>
      </c>
      <c r="G2287" s="6" t="s">
        <v>31</v>
      </c>
      <c r="H2287" s="7">
        <v>3852.0</v>
      </c>
      <c r="I2287" s="7">
        <v>2748.0</v>
      </c>
      <c r="J2287" s="6">
        <v>1991.0</v>
      </c>
      <c r="K2287" s="6">
        <v>62.0</v>
      </c>
      <c r="L2287" s="6" t="s">
        <v>32</v>
      </c>
      <c r="M2287" s="6" t="s">
        <v>9184</v>
      </c>
      <c r="N2287" s="6" t="s">
        <v>48</v>
      </c>
      <c r="O2287" s="6" t="s">
        <v>49</v>
      </c>
      <c r="P2287" s="6">
        <f>COUNTIF(Analysis!$M$1:$M$3001,Analysis!$M2287)</f>
        <v>1</v>
      </c>
      <c r="Q2287" s="6" t="str">
        <f>IF(COUNTIF(Analysis!$M$2:$M$3001,Analysis!$M2287)&gt;1,"Duplicate","OK")</f>
        <v>OK</v>
      </c>
      <c r="R2287" s="6" t="str">
        <f t="shared" si="1"/>
        <v>3600+</v>
      </c>
      <c r="S2287" s="6">
        <f t="shared" si="2"/>
        <v>35</v>
      </c>
      <c r="T2287" s="6" t="str">
        <f t="shared" si="3"/>
        <v>Old</v>
      </c>
    </row>
    <row r="2288" ht="14.25" customHeight="1">
      <c r="A2288" s="5">
        <v>611479.0</v>
      </c>
      <c r="B2288" s="6" t="s">
        <v>9187</v>
      </c>
      <c r="C2288" s="6" t="s">
        <v>18</v>
      </c>
      <c r="D2288" s="6">
        <v>14992.0</v>
      </c>
      <c r="E2288" s="6" t="s">
        <v>19</v>
      </c>
      <c r="F2288" s="6" t="s">
        <v>41</v>
      </c>
      <c r="G2288" s="6" t="s">
        <v>21</v>
      </c>
      <c r="H2288" s="7">
        <v>2139.0</v>
      </c>
      <c r="I2288" s="7">
        <v>9931.0</v>
      </c>
      <c r="J2288" s="6">
        <v>1998.0</v>
      </c>
      <c r="K2288" s="6">
        <v>83.0</v>
      </c>
      <c r="L2288" s="6" t="s">
        <v>32</v>
      </c>
      <c r="M2288" s="6" t="s">
        <v>9188</v>
      </c>
      <c r="N2288" s="6" t="s">
        <v>24</v>
      </c>
      <c r="O2288" s="6" t="s">
        <v>35</v>
      </c>
      <c r="P2288" s="6">
        <f>COUNTIF(Analysis!$M$1:$M$3001,Analysis!$M2288)</f>
        <v>1</v>
      </c>
      <c r="Q2288" s="6" t="str">
        <f>IF(COUNTIF(Analysis!$M$2:$M$3001,Analysis!$M2288)&gt;1,"Duplicate","OK")</f>
        <v>OK</v>
      </c>
      <c r="R2288" s="6" t="str">
        <f t="shared" si="1"/>
        <v>1600-2600</v>
      </c>
      <c r="S2288" s="6">
        <f t="shared" si="2"/>
        <v>28</v>
      </c>
      <c r="T2288" s="6" t="str">
        <f t="shared" si="3"/>
        <v>Mid</v>
      </c>
    </row>
    <row r="2289" ht="14.25" customHeight="1">
      <c r="A2289" s="5">
        <v>805633.0</v>
      </c>
      <c r="B2289" s="6" t="s">
        <v>9191</v>
      </c>
      <c r="C2289" s="6" t="s">
        <v>39</v>
      </c>
      <c r="D2289" s="6">
        <v>28763.0</v>
      </c>
      <c r="E2289" s="6" t="s">
        <v>40</v>
      </c>
      <c r="F2289" s="6" t="s">
        <v>61</v>
      </c>
      <c r="G2289" s="6" t="s">
        <v>100</v>
      </c>
      <c r="H2289" s="7">
        <v>3224.0</v>
      </c>
      <c r="I2289" s="7">
        <v>6335.0</v>
      </c>
      <c r="J2289" s="6">
        <v>2023.0</v>
      </c>
      <c r="K2289" s="6">
        <v>7.0</v>
      </c>
      <c r="L2289" s="6" t="s">
        <v>32</v>
      </c>
      <c r="M2289" s="6" t="s">
        <v>9192</v>
      </c>
      <c r="N2289" s="6" t="s">
        <v>34</v>
      </c>
      <c r="O2289" s="6" t="s">
        <v>49</v>
      </c>
      <c r="P2289" s="6">
        <f>COUNTIF(Analysis!$M$1:$M$3001,Analysis!$M2289)</f>
        <v>1</v>
      </c>
      <c r="Q2289" s="6" t="str">
        <f>IF(COUNTIF(Analysis!$M$2:$M$3001,Analysis!$M2289)&gt;1,"Duplicate","OK")</f>
        <v>OK</v>
      </c>
      <c r="R2289" s="6" t="str">
        <f t="shared" si="1"/>
        <v>2600-3600</v>
      </c>
      <c r="S2289" s="6">
        <f t="shared" si="2"/>
        <v>3</v>
      </c>
      <c r="T2289" s="6" t="str">
        <f t="shared" si="3"/>
        <v>New</v>
      </c>
    </row>
    <row r="2290" ht="14.25" customHeight="1">
      <c r="A2290" s="5">
        <v>131883.0</v>
      </c>
      <c r="B2290" s="6" t="s">
        <v>9195</v>
      </c>
      <c r="C2290" s="6" t="s">
        <v>18</v>
      </c>
      <c r="D2290" s="6">
        <v>44519.0</v>
      </c>
      <c r="E2290" s="6" t="s">
        <v>40</v>
      </c>
      <c r="F2290" s="6" t="s">
        <v>41</v>
      </c>
      <c r="G2290" s="6" t="s">
        <v>55</v>
      </c>
      <c r="H2290" s="7">
        <v>2454.0</v>
      </c>
      <c r="I2290" s="7">
        <v>7445.0</v>
      </c>
      <c r="J2290" s="6">
        <v>1971.0</v>
      </c>
      <c r="K2290" s="6">
        <v>26.0</v>
      </c>
      <c r="L2290" s="6" t="s">
        <v>141</v>
      </c>
      <c r="M2290" s="6" t="s">
        <v>9196</v>
      </c>
      <c r="N2290" s="6" t="s">
        <v>34</v>
      </c>
      <c r="O2290" s="6" t="s">
        <v>35</v>
      </c>
      <c r="P2290" s="6">
        <f>COUNTIF(Analysis!$M$1:$M$3001,Analysis!$M2290)</f>
        <v>1</v>
      </c>
      <c r="Q2290" s="6" t="str">
        <f>IF(COUNTIF(Analysis!$M$2:$M$3001,Analysis!$M2290)&gt;1,"Duplicate","OK")</f>
        <v>OK</v>
      </c>
      <c r="R2290" s="6" t="str">
        <f t="shared" si="1"/>
        <v>1600-2600</v>
      </c>
      <c r="S2290" s="6">
        <f t="shared" si="2"/>
        <v>55</v>
      </c>
      <c r="T2290" s="6" t="str">
        <f t="shared" si="3"/>
        <v>Old</v>
      </c>
    </row>
    <row r="2291" ht="14.25" customHeight="1">
      <c r="A2291" s="5">
        <v>1195037.0</v>
      </c>
      <c r="B2291" s="6" t="s">
        <v>5119</v>
      </c>
      <c r="C2291" s="6" t="s">
        <v>29</v>
      </c>
      <c r="D2291" s="6">
        <v>73698.0</v>
      </c>
      <c r="E2291" s="6" t="s">
        <v>30</v>
      </c>
      <c r="F2291" s="6" t="s">
        <v>54</v>
      </c>
      <c r="G2291" s="6" t="s">
        <v>31</v>
      </c>
      <c r="H2291" s="7">
        <v>3999.0</v>
      </c>
      <c r="I2291" s="7">
        <v>1037.0</v>
      </c>
      <c r="J2291" s="6">
        <v>1991.0</v>
      </c>
      <c r="K2291" s="6">
        <v>81.0</v>
      </c>
      <c r="L2291" s="6" t="s">
        <v>22</v>
      </c>
      <c r="M2291" s="6" t="s">
        <v>5120</v>
      </c>
      <c r="N2291" s="6" t="s">
        <v>43</v>
      </c>
      <c r="O2291" s="6" t="s">
        <v>49</v>
      </c>
      <c r="P2291" s="6">
        <f>COUNTIF(Analysis!$M$1:$M$3001,Analysis!$M1270)</f>
        <v>1</v>
      </c>
      <c r="Q2291" s="6" t="str">
        <f>IF(COUNTIF(Analysis!$M$2:$M$3001,Analysis!$M1270)&gt;1,"Duplicate","OK")</f>
        <v>OK</v>
      </c>
      <c r="R2291" s="6" t="str">
        <f t="shared" si="1"/>
        <v>3600+</v>
      </c>
      <c r="S2291" s="6">
        <f t="shared" si="2"/>
        <v>35</v>
      </c>
      <c r="T2291" s="6" t="str">
        <f t="shared" si="3"/>
        <v>Old</v>
      </c>
    </row>
    <row r="2292" ht="14.25" customHeight="1">
      <c r="A2292" s="5">
        <v>609804.0</v>
      </c>
      <c r="B2292" s="6" t="s">
        <v>9203</v>
      </c>
      <c r="C2292" s="6" t="s">
        <v>76</v>
      </c>
      <c r="D2292" s="6">
        <v>41619.0</v>
      </c>
      <c r="E2292" s="6" t="s">
        <v>60</v>
      </c>
      <c r="F2292" s="6" t="s">
        <v>61</v>
      </c>
      <c r="G2292" s="6" t="s">
        <v>31</v>
      </c>
      <c r="H2292" s="7">
        <v>2389.0</v>
      </c>
      <c r="I2292" s="7">
        <v>1362.0</v>
      </c>
      <c r="J2292" s="6">
        <v>1976.0</v>
      </c>
      <c r="K2292" s="6">
        <v>57.0</v>
      </c>
      <c r="L2292" s="6" t="s">
        <v>62</v>
      </c>
      <c r="M2292" s="6" t="s">
        <v>9204</v>
      </c>
      <c r="N2292" s="6" t="s">
        <v>64</v>
      </c>
      <c r="O2292" s="6" t="s">
        <v>35</v>
      </c>
      <c r="P2292" s="6">
        <f>COUNTIF(Analysis!$M$1:$M$3001,Analysis!$M2292)</f>
        <v>1</v>
      </c>
      <c r="Q2292" s="6" t="str">
        <f>IF(COUNTIF(Analysis!$M$2:$M$3001,Analysis!$M2292)&gt;1,"Duplicate","OK")</f>
        <v>OK</v>
      </c>
      <c r="R2292" s="6" t="str">
        <f t="shared" si="1"/>
        <v>1600-2600</v>
      </c>
      <c r="S2292" s="6">
        <f t="shared" si="2"/>
        <v>50</v>
      </c>
      <c r="T2292" s="6" t="str">
        <f t="shared" si="3"/>
        <v>Old</v>
      </c>
    </row>
    <row r="2293" ht="14.25" customHeight="1">
      <c r="A2293" s="5">
        <v>1224375.0</v>
      </c>
      <c r="B2293" s="6" t="s">
        <v>9207</v>
      </c>
      <c r="C2293" s="6" t="s">
        <v>39</v>
      </c>
      <c r="D2293" s="6">
        <v>24576.0</v>
      </c>
      <c r="E2293" s="6" t="s">
        <v>77</v>
      </c>
      <c r="F2293" s="6" t="s">
        <v>94</v>
      </c>
      <c r="G2293" s="6" t="s">
        <v>31</v>
      </c>
      <c r="H2293" s="7">
        <v>2572.0</v>
      </c>
      <c r="I2293" s="7">
        <v>1621.0</v>
      </c>
      <c r="J2293" s="6">
        <v>2002.0</v>
      </c>
      <c r="K2293" s="6">
        <v>68.0</v>
      </c>
      <c r="L2293" s="6" t="s">
        <v>141</v>
      </c>
      <c r="M2293" s="6" t="s">
        <v>9208</v>
      </c>
      <c r="N2293" s="6" t="s">
        <v>64</v>
      </c>
      <c r="O2293" s="6" t="s">
        <v>25</v>
      </c>
      <c r="P2293" s="6">
        <f>COUNTIF(Analysis!$M$1:$M$3001,Analysis!$M2293)</f>
        <v>1</v>
      </c>
      <c r="Q2293" s="6" t="str">
        <f>IF(COUNTIF(Analysis!$M$2:$M$3001,Analysis!$M2293)&gt;1,"Duplicate","OK")</f>
        <v>OK</v>
      </c>
      <c r="R2293" s="6" t="str">
        <f t="shared" si="1"/>
        <v>1600-2600</v>
      </c>
      <c r="S2293" s="6">
        <f t="shared" si="2"/>
        <v>24</v>
      </c>
      <c r="T2293" s="6" t="str">
        <f t="shared" si="3"/>
        <v>Mid</v>
      </c>
    </row>
    <row r="2294" ht="14.25" customHeight="1">
      <c r="A2294" s="5">
        <v>606489.0</v>
      </c>
      <c r="B2294" s="6" t="s">
        <v>9211</v>
      </c>
      <c r="C2294" s="6" t="s">
        <v>18</v>
      </c>
      <c r="D2294" s="6">
        <v>43051.0</v>
      </c>
      <c r="E2294" s="6" t="s">
        <v>60</v>
      </c>
      <c r="F2294" s="6" t="s">
        <v>54</v>
      </c>
      <c r="G2294" s="6" t="s">
        <v>31</v>
      </c>
      <c r="H2294" s="7">
        <v>2776.0</v>
      </c>
      <c r="I2294" s="7">
        <v>4498.0</v>
      </c>
      <c r="J2294" s="6">
        <v>1965.0</v>
      </c>
      <c r="K2294" s="6">
        <v>59.0</v>
      </c>
      <c r="L2294" s="6" t="s">
        <v>62</v>
      </c>
      <c r="M2294" s="6" t="s">
        <v>9212</v>
      </c>
      <c r="N2294" s="6" t="s">
        <v>34</v>
      </c>
      <c r="O2294" s="6" t="s">
        <v>35</v>
      </c>
      <c r="P2294" s="6">
        <f>COUNTIF(Analysis!$M$1:$M$3001,Analysis!$M2294)</f>
        <v>1</v>
      </c>
      <c r="Q2294" s="6" t="str">
        <f>IF(COUNTIF(Analysis!$M$2:$M$3001,Analysis!$M2294)&gt;1,"Duplicate","OK")</f>
        <v>OK</v>
      </c>
      <c r="R2294" s="6" t="str">
        <f t="shared" si="1"/>
        <v>2600-3600</v>
      </c>
      <c r="S2294" s="6">
        <f t="shared" si="2"/>
        <v>61</v>
      </c>
      <c r="T2294" s="6" t="str">
        <f t="shared" si="3"/>
        <v>Very Old</v>
      </c>
    </row>
    <row r="2295" ht="14.25" customHeight="1">
      <c r="A2295" s="5">
        <v>983296.0</v>
      </c>
      <c r="B2295" s="6" t="s">
        <v>9215</v>
      </c>
      <c r="C2295" s="6" t="s">
        <v>18</v>
      </c>
      <c r="D2295" s="6">
        <v>55020.0</v>
      </c>
      <c r="E2295" s="6" t="s">
        <v>77</v>
      </c>
      <c r="F2295" s="6" t="s">
        <v>46</v>
      </c>
      <c r="G2295" s="6" t="s">
        <v>100</v>
      </c>
      <c r="H2295" s="7">
        <v>3321.0</v>
      </c>
      <c r="I2295" s="7">
        <v>6287.0</v>
      </c>
      <c r="J2295" s="6">
        <v>1991.0</v>
      </c>
      <c r="K2295" s="6">
        <v>13.0</v>
      </c>
      <c r="L2295" s="6" t="s">
        <v>32</v>
      </c>
      <c r="M2295" s="6" t="s">
        <v>9216</v>
      </c>
      <c r="N2295" s="6" t="s">
        <v>48</v>
      </c>
      <c r="O2295" s="6" t="s">
        <v>25</v>
      </c>
      <c r="P2295" s="6">
        <f>COUNTIF(Analysis!$M$1:$M$3001,Analysis!$M2295)</f>
        <v>1</v>
      </c>
      <c r="Q2295" s="6" t="str">
        <f>IF(COUNTIF(Analysis!$M$2:$M$3001,Analysis!$M2295)&gt;1,"Duplicate","OK")</f>
        <v>OK</v>
      </c>
      <c r="R2295" s="6" t="str">
        <f t="shared" si="1"/>
        <v>2600-3600</v>
      </c>
      <c r="S2295" s="6">
        <f t="shared" si="2"/>
        <v>35</v>
      </c>
      <c r="T2295" s="6" t="str">
        <f t="shared" si="3"/>
        <v>Old</v>
      </c>
    </row>
    <row r="2296" ht="14.25" customHeight="1">
      <c r="A2296" s="5">
        <v>1120178.0</v>
      </c>
      <c r="B2296" s="6" t="s">
        <v>9219</v>
      </c>
      <c r="C2296" s="6" t="s">
        <v>53</v>
      </c>
      <c r="D2296" s="6">
        <v>32456.0</v>
      </c>
      <c r="E2296" s="6" t="s">
        <v>19</v>
      </c>
      <c r="F2296" s="6" t="s">
        <v>94</v>
      </c>
      <c r="G2296" s="6" t="s">
        <v>55</v>
      </c>
      <c r="H2296" s="7">
        <v>3094.0</v>
      </c>
      <c r="I2296" s="7">
        <v>3518.0</v>
      </c>
      <c r="J2296" s="6">
        <v>1995.0</v>
      </c>
      <c r="K2296" s="6">
        <v>86.0</v>
      </c>
      <c r="L2296" s="6" t="s">
        <v>32</v>
      </c>
      <c r="M2296" s="6" t="s">
        <v>9220</v>
      </c>
      <c r="N2296" s="6" t="s">
        <v>34</v>
      </c>
      <c r="O2296" s="6" t="s">
        <v>35</v>
      </c>
      <c r="P2296" s="6">
        <f>COUNTIF(Analysis!$M$1:$M$3001,Analysis!$M2296)</f>
        <v>1</v>
      </c>
      <c r="Q2296" s="6" t="str">
        <f>IF(COUNTIF(Analysis!$M$2:$M$3001,Analysis!$M2296)&gt;1,"Duplicate","OK")</f>
        <v>OK</v>
      </c>
      <c r="R2296" s="6" t="str">
        <f t="shared" si="1"/>
        <v>2600-3600</v>
      </c>
      <c r="S2296" s="6">
        <f t="shared" si="2"/>
        <v>31</v>
      </c>
      <c r="T2296" s="6" t="str">
        <f t="shared" si="3"/>
        <v>Old</v>
      </c>
    </row>
    <row r="2297" ht="14.25" customHeight="1">
      <c r="A2297" s="5">
        <v>637526.0</v>
      </c>
      <c r="B2297" s="6" t="s">
        <v>9223</v>
      </c>
      <c r="C2297" s="6" t="s">
        <v>53</v>
      </c>
      <c r="D2297" s="6">
        <v>43647.0</v>
      </c>
      <c r="E2297" s="6" t="s">
        <v>40</v>
      </c>
      <c r="F2297" s="6" t="s">
        <v>54</v>
      </c>
      <c r="G2297" s="6" t="s">
        <v>31</v>
      </c>
      <c r="H2297" s="7">
        <v>3228.0</v>
      </c>
      <c r="I2297" s="7">
        <v>2324.0</v>
      </c>
      <c r="J2297" s="6">
        <v>1954.0</v>
      </c>
      <c r="K2297" s="6">
        <v>96.0</v>
      </c>
      <c r="L2297" s="6" t="s">
        <v>95</v>
      </c>
      <c r="M2297" s="6" t="s">
        <v>9224</v>
      </c>
      <c r="N2297" s="6" t="s">
        <v>43</v>
      </c>
      <c r="O2297" s="6" t="s">
        <v>49</v>
      </c>
      <c r="P2297" s="6">
        <f>COUNTIF(Analysis!$M$1:$M$3001,Analysis!$M2297)</f>
        <v>1</v>
      </c>
      <c r="Q2297" s="6" t="str">
        <f>IF(COUNTIF(Analysis!$M$2:$M$3001,Analysis!$M2297)&gt;1,"Duplicate","OK")</f>
        <v>OK</v>
      </c>
      <c r="R2297" s="6" t="str">
        <f t="shared" si="1"/>
        <v>2600-3600</v>
      </c>
      <c r="S2297" s="6">
        <f t="shared" si="2"/>
        <v>72</v>
      </c>
      <c r="T2297" s="6" t="str">
        <f t="shared" si="3"/>
        <v>Very Old</v>
      </c>
    </row>
    <row r="2298" ht="14.25" customHeight="1">
      <c r="A2298" s="5">
        <v>489344.0</v>
      </c>
      <c r="B2298" s="6" t="s">
        <v>9227</v>
      </c>
      <c r="C2298" s="6" t="s">
        <v>39</v>
      </c>
      <c r="D2298" s="6">
        <v>42121.0</v>
      </c>
      <c r="E2298" s="6" t="s">
        <v>40</v>
      </c>
      <c r="F2298" s="6" t="s">
        <v>41</v>
      </c>
      <c r="G2298" s="6" t="s">
        <v>100</v>
      </c>
      <c r="H2298" s="7">
        <v>1280.0</v>
      </c>
      <c r="I2298" s="7">
        <v>5850.0</v>
      </c>
      <c r="J2298" s="6">
        <v>1976.0</v>
      </c>
      <c r="K2298" s="6">
        <v>39.0</v>
      </c>
      <c r="L2298" s="6" t="s">
        <v>62</v>
      </c>
      <c r="M2298" s="6" t="s">
        <v>9228</v>
      </c>
      <c r="N2298" s="6" t="s">
        <v>64</v>
      </c>
      <c r="O2298" s="6" t="s">
        <v>35</v>
      </c>
      <c r="P2298" s="6">
        <f>COUNTIF(Analysis!$M$1:$M$3001,Analysis!$M2298)</f>
        <v>1</v>
      </c>
      <c r="Q2298" s="6" t="str">
        <f>IF(COUNTIF(Analysis!$M$2:$M$3001,Analysis!$M2298)&gt;1,"Duplicate","OK")</f>
        <v>OK</v>
      </c>
      <c r="R2298" s="6" t="str">
        <f t="shared" si="1"/>
        <v>600-1600</v>
      </c>
      <c r="S2298" s="6">
        <f t="shared" si="2"/>
        <v>50</v>
      </c>
      <c r="T2298" s="6" t="str">
        <f t="shared" si="3"/>
        <v>Old</v>
      </c>
    </row>
    <row r="2299" ht="14.25" customHeight="1">
      <c r="A2299" s="5">
        <v>1135740.0</v>
      </c>
      <c r="B2299" s="6" t="s">
        <v>9231</v>
      </c>
      <c r="C2299" s="6" t="s">
        <v>76</v>
      </c>
      <c r="D2299" s="6">
        <v>38871.0</v>
      </c>
      <c r="E2299" s="6" t="s">
        <v>30</v>
      </c>
      <c r="F2299" s="6" t="s">
        <v>61</v>
      </c>
      <c r="G2299" s="6" t="s">
        <v>21</v>
      </c>
      <c r="H2299" s="7">
        <v>1229.0</v>
      </c>
      <c r="I2299" s="7">
        <v>8658.0</v>
      </c>
      <c r="J2299" s="6">
        <v>1997.0</v>
      </c>
      <c r="K2299" s="6">
        <v>9.0</v>
      </c>
      <c r="L2299" s="6" t="s">
        <v>141</v>
      </c>
      <c r="M2299" s="6" t="s">
        <v>9232</v>
      </c>
      <c r="N2299" s="6" t="s">
        <v>48</v>
      </c>
      <c r="O2299" s="6" t="s">
        <v>49</v>
      </c>
      <c r="P2299" s="6">
        <f>COUNTIF(Analysis!$M$1:$M$3001,Analysis!$M2299)</f>
        <v>1</v>
      </c>
      <c r="Q2299" s="6" t="str">
        <f>IF(COUNTIF(Analysis!$M$2:$M$3001,Analysis!$M2299)&gt;1,"Duplicate","OK")</f>
        <v>OK</v>
      </c>
      <c r="R2299" s="6" t="str">
        <f t="shared" si="1"/>
        <v>600-1600</v>
      </c>
      <c r="S2299" s="6">
        <f t="shared" si="2"/>
        <v>29</v>
      </c>
      <c r="T2299" s="6" t="str">
        <f t="shared" si="3"/>
        <v>Mid</v>
      </c>
    </row>
    <row r="2300" ht="14.25" customHeight="1">
      <c r="A2300" s="5">
        <v>947387.0</v>
      </c>
      <c r="B2300" s="6" t="s">
        <v>9235</v>
      </c>
      <c r="C2300" s="6" t="s">
        <v>18</v>
      </c>
      <c r="D2300" s="6">
        <v>81109.0</v>
      </c>
      <c r="E2300" s="6" t="s">
        <v>40</v>
      </c>
      <c r="F2300" s="6" t="s">
        <v>41</v>
      </c>
      <c r="G2300" s="6" t="s">
        <v>31</v>
      </c>
      <c r="H2300" s="7">
        <v>3855.0</v>
      </c>
      <c r="I2300" s="7">
        <v>9872.0</v>
      </c>
      <c r="J2300" s="6">
        <v>2014.0</v>
      </c>
      <c r="K2300" s="6">
        <v>35.0</v>
      </c>
      <c r="L2300" s="6" t="s">
        <v>95</v>
      </c>
      <c r="M2300" s="6" t="s">
        <v>9236</v>
      </c>
      <c r="N2300" s="6" t="s">
        <v>43</v>
      </c>
      <c r="O2300" s="6" t="s">
        <v>35</v>
      </c>
      <c r="P2300" s="6">
        <f>COUNTIF(Analysis!$M$1:$M$3001,Analysis!$M2300)</f>
        <v>1</v>
      </c>
      <c r="Q2300" s="6" t="str">
        <f>IF(COUNTIF(Analysis!$M$2:$M$3001,Analysis!$M2300)&gt;1,"Duplicate","OK")</f>
        <v>OK</v>
      </c>
      <c r="R2300" s="6" t="str">
        <f t="shared" si="1"/>
        <v>3600+</v>
      </c>
      <c r="S2300" s="6">
        <f t="shared" si="2"/>
        <v>12</v>
      </c>
      <c r="T2300" s="6" t="str">
        <f t="shared" si="3"/>
        <v>Mid</v>
      </c>
    </row>
    <row r="2301" ht="14.25" customHeight="1">
      <c r="A2301" s="5">
        <v>943840.0</v>
      </c>
      <c r="B2301" s="6" t="s">
        <v>9239</v>
      </c>
      <c r="C2301" s="6" t="s">
        <v>53</v>
      </c>
      <c r="D2301" s="6">
        <v>75220.0</v>
      </c>
      <c r="E2301" s="6" t="s">
        <v>60</v>
      </c>
      <c r="F2301" s="6" t="s">
        <v>54</v>
      </c>
      <c r="G2301" s="6" t="s">
        <v>31</v>
      </c>
      <c r="H2301" s="7">
        <v>2965.0</v>
      </c>
      <c r="I2301" s="7">
        <v>1422.0</v>
      </c>
      <c r="J2301" s="6">
        <v>1955.0</v>
      </c>
      <c r="K2301" s="6">
        <v>9.0</v>
      </c>
      <c r="L2301" s="6" t="s">
        <v>95</v>
      </c>
      <c r="M2301" s="6" t="s">
        <v>9240</v>
      </c>
      <c r="N2301" s="6" t="s">
        <v>43</v>
      </c>
      <c r="O2301" s="6" t="s">
        <v>49</v>
      </c>
      <c r="P2301" s="6">
        <f>COUNTIF(Analysis!$M$1:$M$3001,Analysis!$M2301)</f>
        <v>1</v>
      </c>
      <c r="Q2301" s="6" t="str">
        <f>IF(COUNTIF(Analysis!$M$2:$M$3001,Analysis!$M2301)&gt;1,"Duplicate","OK")</f>
        <v>OK</v>
      </c>
      <c r="R2301" s="6" t="str">
        <f t="shared" si="1"/>
        <v>2600-3600</v>
      </c>
      <c r="S2301" s="6">
        <f t="shared" si="2"/>
        <v>71</v>
      </c>
      <c r="T2301" s="6" t="str">
        <f t="shared" si="3"/>
        <v>Very Old</v>
      </c>
    </row>
    <row r="2302" ht="14.25" customHeight="1">
      <c r="A2302" s="5">
        <v>599922.0</v>
      </c>
      <c r="B2302" s="6" t="s">
        <v>9243</v>
      </c>
      <c r="C2302" s="6" t="s">
        <v>76</v>
      </c>
      <c r="D2302" s="6">
        <v>43019.0</v>
      </c>
      <c r="E2302" s="6" t="s">
        <v>30</v>
      </c>
      <c r="F2302" s="6" t="s">
        <v>41</v>
      </c>
      <c r="G2302" s="6" t="s">
        <v>21</v>
      </c>
      <c r="H2302" s="7">
        <v>1557.0</v>
      </c>
      <c r="I2302" s="7">
        <v>1265.0</v>
      </c>
      <c r="J2302" s="6">
        <v>1980.0</v>
      </c>
      <c r="K2302" s="6">
        <v>20.0</v>
      </c>
      <c r="L2302" s="6" t="s">
        <v>32</v>
      </c>
      <c r="M2302" s="6" t="s">
        <v>9244</v>
      </c>
      <c r="N2302" s="6" t="s">
        <v>24</v>
      </c>
      <c r="O2302" s="6" t="s">
        <v>49</v>
      </c>
      <c r="P2302" s="6">
        <f>COUNTIF(Analysis!$M$1:$M$3001,Analysis!$M2302)</f>
        <v>1</v>
      </c>
      <c r="Q2302" s="6" t="str">
        <f>IF(COUNTIF(Analysis!$M$2:$M$3001,Analysis!$M2302)&gt;1,"Duplicate","OK")</f>
        <v>OK</v>
      </c>
      <c r="R2302" s="6" t="str">
        <f t="shared" si="1"/>
        <v>600-1600</v>
      </c>
      <c r="S2302" s="6">
        <f t="shared" si="2"/>
        <v>46</v>
      </c>
      <c r="T2302" s="6" t="str">
        <f t="shared" si="3"/>
        <v>Old</v>
      </c>
    </row>
    <row r="2303" ht="14.25" customHeight="1">
      <c r="A2303" s="5">
        <v>765935.0</v>
      </c>
      <c r="B2303" s="6" t="s">
        <v>9247</v>
      </c>
      <c r="C2303" s="6" t="s">
        <v>53</v>
      </c>
      <c r="D2303" s="6">
        <v>83809.0</v>
      </c>
      <c r="E2303" s="6" t="s">
        <v>40</v>
      </c>
      <c r="F2303" s="6" t="s">
        <v>46</v>
      </c>
      <c r="G2303" s="6" t="s">
        <v>55</v>
      </c>
      <c r="H2303" s="7">
        <v>3527.0</v>
      </c>
      <c r="I2303" s="7">
        <v>7278.0</v>
      </c>
      <c r="J2303" s="6">
        <v>2013.0</v>
      </c>
      <c r="K2303" s="6">
        <v>56.0</v>
      </c>
      <c r="L2303" s="6" t="s">
        <v>22</v>
      </c>
      <c r="M2303" s="6" t="s">
        <v>9248</v>
      </c>
      <c r="N2303" s="6" t="s">
        <v>34</v>
      </c>
      <c r="O2303" s="6" t="s">
        <v>35</v>
      </c>
      <c r="P2303" s="6">
        <f>COUNTIF(Analysis!$M$1:$M$3001,Analysis!$M2303)</f>
        <v>1</v>
      </c>
      <c r="Q2303" s="6" t="str">
        <f>IF(COUNTIF(Analysis!$M$2:$M$3001,Analysis!$M2303)&gt;1,"Duplicate","OK")</f>
        <v>OK</v>
      </c>
      <c r="R2303" s="6" t="str">
        <f t="shared" si="1"/>
        <v>2600-3600</v>
      </c>
      <c r="S2303" s="6">
        <f t="shared" si="2"/>
        <v>13</v>
      </c>
      <c r="T2303" s="6" t="str">
        <f t="shared" si="3"/>
        <v>Mid</v>
      </c>
    </row>
    <row r="2304" ht="14.25" customHeight="1">
      <c r="A2304" s="5">
        <v>702190.0</v>
      </c>
      <c r="B2304" s="6" t="s">
        <v>9251</v>
      </c>
      <c r="C2304" s="6" t="s">
        <v>53</v>
      </c>
      <c r="D2304" s="6">
        <v>63376.0</v>
      </c>
      <c r="E2304" s="6" t="s">
        <v>30</v>
      </c>
      <c r="F2304" s="6" t="s">
        <v>46</v>
      </c>
      <c r="G2304" s="6" t="s">
        <v>55</v>
      </c>
      <c r="H2304" s="7">
        <v>1083.0</v>
      </c>
      <c r="I2304" s="7">
        <v>3160.0</v>
      </c>
      <c r="J2304" s="6">
        <v>2007.0</v>
      </c>
      <c r="K2304" s="6">
        <v>65.0</v>
      </c>
      <c r="L2304" s="6" t="s">
        <v>141</v>
      </c>
      <c r="M2304" s="6" t="s">
        <v>9252</v>
      </c>
      <c r="N2304" s="6" t="s">
        <v>24</v>
      </c>
      <c r="O2304" s="6" t="s">
        <v>25</v>
      </c>
      <c r="P2304" s="6">
        <f>COUNTIF(Analysis!$M$1:$M$3001,Analysis!$M2304)</f>
        <v>1</v>
      </c>
      <c r="Q2304" s="6" t="str">
        <f>IF(COUNTIF(Analysis!$M$2:$M$3001,Analysis!$M2304)&gt;1,"Duplicate","OK")</f>
        <v>OK</v>
      </c>
      <c r="R2304" s="6" t="str">
        <f t="shared" si="1"/>
        <v>600-1600</v>
      </c>
      <c r="S2304" s="6">
        <f t="shared" si="2"/>
        <v>19</v>
      </c>
      <c r="T2304" s="6" t="str">
        <f t="shared" si="3"/>
        <v>Mid</v>
      </c>
    </row>
    <row r="2305" ht="14.25" customHeight="1">
      <c r="A2305" s="5">
        <v>442330.0</v>
      </c>
      <c r="B2305" s="6" t="s">
        <v>9255</v>
      </c>
      <c r="C2305" s="6" t="s">
        <v>76</v>
      </c>
      <c r="D2305" s="6">
        <v>36990.0</v>
      </c>
      <c r="E2305" s="6" t="s">
        <v>40</v>
      </c>
      <c r="F2305" s="6" t="s">
        <v>61</v>
      </c>
      <c r="G2305" s="6" t="s">
        <v>55</v>
      </c>
      <c r="H2305" s="7">
        <v>2237.0</v>
      </c>
      <c r="I2305" s="7">
        <v>9194.0</v>
      </c>
      <c r="J2305" s="6">
        <v>2016.0</v>
      </c>
      <c r="K2305" s="6">
        <v>50.0</v>
      </c>
      <c r="L2305" s="6" t="s">
        <v>62</v>
      </c>
      <c r="M2305" s="6" t="s">
        <v>9256</v>
      </c>
      <c r="N2305" s="6" t="s">
        <v>48</v>
      </c>
      <c r="O2305" s="6" t="s">
        <v>49</v>
      </c>
      <c r="P2305" s="6">
        <f>COUNTIF(Analysis!$M$1:$M$3001,Analysis!$M2305)</f>
        <v>1</v>
      </c>
      <c r="Q2305" s="6" t="str">
        <f>IF(COUNTIF(Analysis!$M$2:$M$3001,Analysis!$M2305)&gt;1,"Duplicate","OK")</f>
        <v>OK</v>
      </c>
      <c r="R2305" s="6" t="str">
        <f t="shared" si="1"/>
        <v>1600-2600</v>
      </c>
      <c r="S2305" s="6">
        <f t="shared" si="2"/>
        <v>10</v>
      </c>
      <c r="T2305" s="6" t="str">
        <f t="shared" si="3"/>
        <v>New</v>
      </c>
    </row>
    <row r="2306" ht="14.25" customHeight="1">
      <c r="A2306" s="5">
        <v>249161.0</v>
      </c>
      <c r="B2306" s="6" t="s">
        <v>9259</v>
      </c>
      <c r="C2306" s="6" t="s">
        <v>76</v>
      </c>
      <c r="D2306" s="6">
        <v>44583.0</v>
      </c>
      <c r="E2306" s="6" t="s">
        <v>77</v>
      </c>
      <c r="F2306" s="6" t="s">
        <v>94</v>
      </c>
      <c r="G2306" s="6" t="s">
        <v>100</v>
      </c>
      <c r="H2306" s="7">
        <v>1605.0</v>
      </c>
      <c r="I2306" s="7">
        <v>6754.0</v>
      </c>
      <c r="J2306" s="6">
        <v>1973.0</v>
      </c>
      <c r="K2306" s="6">
        <v>17.0</v>
      </c>
      <c r="L2306" s="6" t="s">
        <v>32</v>
      </c>
      <c r="M2306" s="6" t="s">
        <v>9260</v>
      </c>
      <c r="N2306" s="6" t="s">
        <v>24</v>
      </c>
      <c r="O2306" s="6" t="s">
        <v>49</v>
      </c>
      <c r="P2306" s="6">
        <f>COUNTIF(Analysis!$M$1:$M$3001,Analysis!$M2306)</f>
        <v>1</v>
      </c>
      <c r="Q2306" s="6" t="str">
        <f>IF(COUNTIF(Analysis!$M$2:$M$3001,Analysis!$M2306)&gt;1,"Duplicate","OK")</f>
        <v>OK</v>
      </c>
      <c r="R2306" s="6" t="str">
        <f t="shared" si="1"/>
        <v>1600-2600</v>
      </c>
      <c r="S2306" s="6">
        <f t="shared" si="2"/>
        <v>53</v>
      </c>
      <c r="T2306" s="6" t="str">
        <f t="shared" si="3"/>
        <v>Old</v>
      </c>
    </row>
    <row r="2307" ht="14.25" customHeight="1">
      <c r="A2307" s="5">
        <v>1233217.0</v>
      </c>
      <c r="B2307" s="6" t="s">
        <v>9263</v>
      </c>
      <c r="C2307" s="6" t="s">
        <v>53</v>
      </c>
      <c r="D2307" s="6">
        <v>40751.0</v>
      </c>
      <c r="E2307" s="6" t="s">
        <v>19</v>
      </c>
      <c r="F2307" s="6" t="s">
        <v>20</v>
      </c>
      <c r="G2307" s="6" t="s">
        <v>100</v>
      </c>
      <c r="H2307" s="7">
        <v>2416.0</v>
      </c>
      <c r="I2307" s="7">
        <v>4111.0</v>
      </c>
      <c r="J2307" s="6">
        <v>2018.0</v>
      </c>
      <c r="K2307" s="6">
        <v>4.0</v>
      </c>
      <c r="L2307" s="6" t="s">
        <v>32</v>
      </c>
      <c r="M2307" s="6" t="s">
        <v>9264</v>
      </c>
      <c r="N2307" s="6" t="s">
        <v>43</v>
      </c>
      <c r="O2307" s="6" t="s">
        <v>25</v>
      </c>
      <c r="P2307" s="6">
        <f>COUNTIF(Analysis!$M$1:$M$3001,Analysis!$M2307)</f>
        <v>1</v>
      </c>
      <c r="Q2307" s="6" t="str">
        <f>IF(COUNTIF(Analysis!$M$2:$M$3001,Analysis!$M2307)&gt;1,"Duplicate","OK")</f>
        <v>OK</v>
      </c>
      <c r="R2307" s="6" t="str">
        <f t="shared" si="1"/>
        <v>1600-2600</v>
      </c>
      <c r="S2307" s="6">
        <f t="shared" si="2"/>
        <v>8</v>
      </c>
      <c r="T2307" s="6" t="str">
        <f t="shared" si="3"/>
        <v>New</v>
      </c>
    </row>
    <row r="2308" ht="14.25" customHeight="1">
      <c r="A2308" s="5">
        <v>232222.0</v>
      </c>
      <c r="B2308" s="6" t="s">
        <v>9267</v>
      </c>
      <c r="C2308" s="6" t="s">
        <v>18</v>
      </c>
      <c r="D2308" s="6">
        <v>97190.0</v>
      </c>
      <c r="E2308" s="6" t="s">
        <v>40</v>
      </c>
      <c r="F2308" s="6" t="s">
        <v>41</v>
      </c>
      <c r="G2308" s="6" t="s">
        <v>31</v>
      </c>
      <c r="H2308" s="7">
        <v>788.0</v>
      </c>
      <c r="I2308" s="7">
        <v>2149.0</v>
      </c>
      <c r="J2308" s="6">
        <v>2005.0</v>
      </c>
      <c r="K2308" s="6">
        <v>108.0</v>
      </c>
      <c r="L2308" s="6" t="s">
        <v>32</v>
      </c>
      <c r="M2308" s="6" t="s">
        <v>9268</v>
      </c>
      <c r="N2308" s="6" t="s">
        <v>64</v>
      </c>
      <c r="O2308" s="6" t="s">
        <v>49</v>
      </c>
      <c r="P2308" s="6">
        <f>COUNTIF(Analysis!$M$1:$M$3001,Analysis!$M2308)</f>
        <v>1</v>
      </c>
      <c r="Q2308" s="6" t="str">
        <f>IF(COUNTIF(Analysis!$M$2:$M$3001,Analysis!$M2308)&gt;1,"Duplicate","OK")</f>
        <v>OK</v>
      </c>
      <c r="R2308" s="6" t="str">
        <f t="shared" si="1"/>
        <v>600-1600</v>
      </c>
      <c r="S2308" s="6">
        <f t="shared" si="2"/>
        <v>21</v>
      </c>
      <c r="T2308" s="6" t="str">
        <f t="shared" si="3"/>
        <v>Mid</v>
      </c>
    </row>
    <row r="2309" ht="14.25" customHeight="1">
      <c r="A2309" s="5">
        <v>1216422.0</v>
      </c>
      <c r="B2309" s="6" t="s">
        <v>9271</v>
      </c>
      <c r="C2309" s="6" t="s">
        <v>39</v>
      </c>
      <c r="D2309" s="6">
        <v>21289.0</v>
      </c>
      <c r="E2309" s="6" t="s">
        <v>19</v>
      </c>
      <c r="F2309" s="6" t="s">
        <v>61</v>
      </c>
      <c r="G2309" s="6" t="s">
        <v>55</v>
      </c>
      <c r="H2309" s="7">
        <v>1412.0</v>
      </c>
      <c r="I2309" s="7">
        <v>8249.0</v>
      </c>
      <c r="J2309" s="6">
        <v>1983.0</v>
      </c>
      <c r="K2309" s="6">
        <v>73.0</v>
      </c>
      <c r="L2309" s="6" t="s">
        <v>22</v>
      </c>
      <c r="M2309" s="6" t="s">
        <v>9272</v>
      </c>
      <c r="N2309" s="6" t="s">
        <v>64</v>
      </c>
      <c r="O2309" s="6" t="s">
        <v>35</v>
      </c>
      <c r="P2309" s="6">
        <f>COUNTIF(Analysis!$M$1:$M$3001,Analysis!$M2309)</f>
        <v>1</v>
      </c>
      <c r="Q2309" s="6" t="str">
        <f>IF(COUNTIF(Analysis!$M$2:$M$3001,Analysis!$M2309)&gt;1,"Duplicate","OK")</f>
        <v>OK</v>
      </c>
      <c r="R2309" s="6" t="str">
        <f t="shared" si="1"/>
        <v>600-1600</v>
      </c>
      <c r="S2309" s="6">
        <f t="shared" si="2"/>
        <v>43</v>
      </c>
      <c r="T2309" s="6" t="str">
        <f t="shared" si="3"/>
        <v>Old</v>
      </c>
    </row>
    <row r="2310" ht="14.25" customHeight="1">
      <c r="A2310" s="5">
        <v>1367331.0</v>
      </c>
      <c r="B2310" s="6" t="s">
        <v>9275</v>
      </c>
      <c r="C2310" s="6" t="s">
        <v>18</v>
      </c>
      <c r="D2310" s="6">
        <v>39662.0</v>
      </c>
      <c r="E2310" s="6" t="s">
        <v>60</v>
      </c>
      <c r="F2310" s="6" t="s">
        <v>61</v>
      </c>
      <c r="G2310" s="6" t="s">
        <v>31</v>
      </c>
      <c r="H2310" s="7">
        <v>3456.0</v>
      </c>
      <c r="I2310" s="7">
        <v>2115.0</v>
      </c>
      <c r="J2310" s="6">
        <v>1960.0</v>
      </c>
      <c r="K2310" s="6">
        <v>69.0</v>
      </c>
      <c r="L2310" s="6" t="s">
        <v>141</v>
      </c>
      <c r="M2310" s="6" t="s">
        <v>9276</v>
      </c>
      <c r="N2310" s="6" t="s">
        <v>48</v>
      </c>
      <c r="O2310" s="6" t="s">
        <v>35</v>
      </c>
      <c r="P2310" s="6">
        <f>COUNTIF(Analysis!$M$1:$M$3001,Analysis!$M2310)</f>
        <v>1</v>
      </c>
      <c r="Q2310" s="6" t="str">
        <f>IF(COUNTIF(Analysis!$M$2:$M$3001,Analysis!$M2310)&gt;1,"Duplicate","OK")</f>
        <v>OK</v>
      </c>
      <c r="R2310" s="6" t="str">
        <f t="shared" si="1"/>
        <v>2600-3600</v>
      </c>
      <c r="S2310" s="6">
        <f t="shared" si="2"/>
        <v>66</v>
      </c>
      <c r="T2310" s="6" t="str">
        <f t="shared" si="3"/>
        <v>Very Old</v>
      </c>
    </row>
    <row r="2311" ht="14.25" customHeight="1">
      <c r="A2311" s="5">
        <v>463948.0</v>
      </c>
      <c r="B2311" s="6" t="s">
        <v>9279</v>
      </c>
      <c r="C2311" s="6" t="s">
        <v>39</v>
      </c>
      <c r="D2311" s="6">
        <v>44461.0</v>
      </c>
      <c r="E2311" s="6" t="s">
        <v>19</v>
      </c>
      <c r="F2311" s="6" t="s">
        <v>54</v>
      </c>
      <c r="G2311" s="6" t="s">
        <v>31</v>
      </c>
      <c r="H2311" s="7">
        <v>2632.0</v>
      </c>
      <c r="I2311" s="7">
        <v>1613.0</v>
      </c>
      <c r="J2311" s="6">
        <v>1995.0</v>
      </c>
      <c r="K2311" s="6">
        <v>35.0</v>
      </c>
      <c r="L2311" s="6" t="s">
        <v>95</v>
      </c>
      <c r="M2311" s="6" t="s">
        <v>9280</v>
      </c>
      <c r="N2311" s="6" t="s">
        <v>43</v>
      </c>
      <c r="O2311" s="6" t="s">
        <v>35</v>
      </c>
      <c r="P2311" s="6">
        <f>COUNTIF(Analysis!$M$1:$M$3001,Analysis!$M2311)</f>
        <v>1</v>
      </c>
      <c r="Q2311" s="6" t="str">
        <f>IF(COUNTIF(Analysis!$M$2:$M$3001,Analysis!$M2311)&gt;1,"Duplicate","OK")</f>
        <v>OK</v>
      </c>
      <c r="R2311" s="6" t="str">
        <f t="shared" si="1"/>
        <v>2600-3600</v>
      </c>
      <c r="S2311" s="6">
        <f t="shared" si="2"/>
        <v>31</v>
      </c>
      <c r="T2311" s="6" t="str">
        <f t="shared" si="3"/>
        <v>Old</v>
      </c>
    </row>
    <row r="2312" ht="14.25" customHeight="1">
      <c r="A2312" s="5">
        <v>1197720.0</v>
      </c>
      <c r="B2312" s="6" t="s">
        <v>4099</v>
      </c>
      <c r="C2312" s="6" t="s">
        <v>29</v>
      </c>
      <c r="D2312" s="6">
        <v>51510.0</v>
      </c>
      <c r="E2312" s="6" t="s">
        <v>77</v>
      </c>
      <c r="F2312" s="6" t="s">
        <v>41</v>
      </c>
      <c r="G2312" s="6" t="s">
        <v>21</v>
      </c>
      <c r="H2312" s="7">
        <v>1287.0</v>
      </c>
      <c r="I2312" s="7">
        <v>8517.0</v>
      </c>
      <c r="J2312" s="6">
        <v>1990.0</v>
      </c>
      <c r="K2312" s="6">
        <v>109.0</v>
      </c>
      <c r="L2312" s="6" t="s">
        <v>62</v>
      </c>
      <c r="M2312" s="6" t="s">
        <v>4100</v>
      </c>
      <c r="N2312" s="6" t="s">
        <v>43</v>
      </c>
      <c r="O2312" s="6" t="s">
        <v>25</v>
      </c>
      <c r="P2312" s="6">
        <f>COUNTIF(Analysis!$M$1:$M$3001,Analysis!$M1015)</f>
        <v>1</v>
      </c>
      <c r="Q2312" s="6" t="str">
        <f>IF(COUNTIF(Analysis!$M$2:$M$3001,Analysis!$M1015)&gt;1,"Duplicate","OK")</f>
        <v>OK</v>
      </c>
      <c r="R2312" s="6" t="str">
        <f t="shared" si="1"/>
        <v>600-1600</v>
      </c>
      <c r="S2312" s="6">
        <f t="shared" si="2"/>
        <v>36</v>
      </c>
      <c r="T2312" s="6" t="str">
        <f t="shared" si="3"/>
        <v>Old</v>
      </c>
    </row>
    <row r="2313" ht="14.25" customHeight="1">
      <c r="A2313" s="5">
        <v>1110300.0</v>
      </c>
      <c r="B2313" s="6" t="s">
        <v>9287</v>
      </c>
      <c r="C2313" s="6" t="s">
        <v>39</v>
      </c>
      <c r="D2313" s="6">
        <v>86614.0</v>
      </c>
      <c r="E2313" s="6" t="s">
        <v>60</v>
      </c>
      <c r="F2313" s="6" t="s">
        <v>41</v>
      </c>
      <c r="G2313" s="6" t="s">
        <v>55</v>
      </c>
      <c r="H2313" s="7">
        <v>2674.0</v>
      </c>
      <c r="I2313" s="7">
        <v>5344.0</v>
      </c>
      <c r="J2313" s="6">
        <v>2011.0</v>
      </c>
      <c r="K2313" s="6">
        <v>44.0</v>
      </c>
      <c r="L2313" s="6" t="s">
        <v>95</v>
      </c>
      <c r="M2313" s="6" t="s">
        <v>9288</v>
      </c>
      <c r="N2313" s="6" t="s">
        <v>64</v>
      </c>
      <c r="O2313" s="6" t="s">
        <v>35</v>
      </c>
      <c r="P2313" s="6">
        <f>COUNTIF(Analysis!$M$1:$M$3001,Analysis!$M2313)</f>
        <v>1</v>
      </c>
      <c r="Q2313" s="6" t="str">
        <f>IF(COUNTIF(Analysis!$M$2:$M$3001,Analysis!$M2313)&gt;1,"Duplicate","OK")</f>
        <v>OK</v>
      </c>
      <c r="R2313" s="6" t="str">
        <f t="shared" si="1"/>
        <v>2600-3600</v>
      </c>
      <c r="S2313" s="6">
        <f t="shared" si="2"/>
        <v>15</v>
      </c>
      <c r="T2313" s="6" t="str">
        <f t="shared" si="3"/>
        <v>Mid</v>
      </c>
    </row>
    <row r="2314" ht="14.25" customHeight="1">
      <c r="A2314" s="5">
        <v>936790.0</v>
      </c>
      <c r="B2314" s="6" t="s">
        <v>9291</v>
      </c>
      <c r="C2314" s="6" t="s">
        <v>53</v>
      </c>
      <c r="D2314" s="6">
        <v>90761.0</v>
      </c>
      <c r="E2314" s="6" t="s">
        <v>60</v>
      </c>
      <c r="F2314" s="6" t="s">
        <v>46</v>
      </c>
      <c r="G2314" s="6" t="s">
        <v>21</v>
      </c>
      <c r="H2314" s="7">
        <v>3077.0</v>
      </c>
      <c r="I2314" s="7">
        <v>4217.0</v>
      </c>
      <c r="J2314" s="6">
        <v>2007.0</v>
      </c>
      <c r="K2314" s="6">
        <v>26.0</v>
      </c>
      <c r="L2314" s="6" t="s">
        <v>95</v>
      </c>
      <c r="M2314" s="6" t="s">
        <v>9292</v>
      </c>
      <c r="N2314" s="6" t="s">
        <v>43</v>
      </c>
      <c r="O2314" s="6" t="s">
        <v>49</v>
      </c>
      <c r="P2314" s="6">
        <f>COUNTIF(Analysis!$M$1:$M$3001,Analysis!$M2314)</f>
        <v>1</v>
      </c>
      <c r="Q2314" s="6" t="str">
        <f>IF(COUNTIF(Analysis!$M$2:$M$3001,Analysis!$M2314)&gt;1,"Duplicate","OK")</f>
        <v>OK</v>
      </c>
      <c r="R2314" s="6" t="str">
        <f t="shared" si="1"/>
        <v>2600-3600</v>
      </c>
      <c r="S2314" s="6">
        <f t="shared" si="2"/>
        <v>19</v>
      </c>
      <c r="T2314" s="6" t="str">
        <f t="shared" si="3"/>
        <v>Mid</v>
      </c>
    </row>
    <row r="2315" ht="14.25" customHeight="1">
      <c r="A2315" s="5">
        <v>168943.0</v>
      </c>
      <c r="B2315" s="6" t="s">
        <v>9295</v>
      </c>
      <c r="C2315" s="6" t="s">
        <v>39</v>
      </c>
      <c r="D2315" s="6">
        <v>36868.0</v>
      </c>
      <c r="E2315" s="6" t="s">
        <v>19</v>
      </c>
      <c r="F2315" s="6" t="s">
        <v>94</v>
      </c>
      <c r="G2315" s="6" t="s">
        <v>31</v>
      </c>
      <c r="H2315" s="7">
        <v>1441.0</v>
      </c>
      <c r="I2315" s="7">
        <v>9793.0</v>
      </c>
      <c r="J2315" s="6">
        <v>1993.0</v>
      </c>
      <c r="K2315" s="6">
        <v>9.0</v>
      </c>
      <c r="L2315" s="6" t="s">
        <v>141</v>
      </c>
      <c r="M2315" s="6" t="s">
        <v>9296</v>
      </c>
      <c r="N2315" s="6" t="s">
        <v>64</v>
      </c>
      <c r="O2315" s="6" t="s">
        <v>49</v>
      </c>
      <c r="P2315" s="6">
        <f>COUNTIF(Analysis!$M$1:$M$3001,Analysis!$M2315)</f>
        <v>1</v>
      </c>
      <c r="Q2315" s="6" t="str">
        <f>IF(COUNTIF(Analysis!$M$2:$M$3001,Analysis!$M2315)&gt;1,"Duplicate","OK")</f>
        <v>OK</v>
      </c>
      <c r="R2315" s="6" t="str">
        <f t="shared" si="1"/>
        <v>600-1600</v>
      </c>
      <c r="S2315" s="6">
        <f t="shared" si="2"/>
        <v>33</v>
      </c>
      <c r="T2315" s="6" t="str">
        <f t="shared" si="3"/>
        <v>Old</v>
      </c>
    </row>
    <row r="2316" ht="14.25" customHeight="1">
      <c r="A2316" s="5">
        <v>1485781.0</v>
      </c>
      <c r="B2316" s="6" t="s">
        <v>9299</v>
      </c>
      <c r="C2316" s="6" t="s">
        <v>76</v>
      </c>
      <c r="D2316" s="6">
        <v>43832.0</v>
      </c>
      <c r="E2316" s="6" t="s">
        <v>19</v>
      </c>
      <c r="F2316" s="6" t="s">
        <v>61</v>
      </c>
      <c r="G2316" s="6" t="s">
        <v>55</v>
      </c>
      <c r="H2316" s="7">
        <v>3969.0</v>
      </c>
      <c r="I2316" s="7">
        <v>5832.0</v>
      </c>
      <c r="J2316" s="6">
        <v>1956.0</v>
      </c>
      <c r="K2316" s="6">
        <v>9.0</v>
      </c>
      <c r="L2316" s="6" t="s">
        <v>62</v>
      </c>
      <c r="M2316" s="6" t="s">
        <v>9300</v>
      </c>
      <c r="N2316" s="6" t="s">
        <v>43</v>
      </c>
      <c r="O2316" s="6" t="s">
        <v>35</v>
      </c>
      <c r="P2316" s="6">
        <f>COUNTIF(Analysis!$M$1:$M$3001,Analysis!$M2316)</f>
        <v>1</v>
      </c>
      <c r="Q2316" s="6" t="str">
        <f>IF(COUNTIF(Analysis!$M$2:$M$3001,Analysis!$M2316)&gt;1,"Duplicate","OK")</f>
        <v>OK</v>
      </c>
      <c r="R2316" s="6" t="str">
        <f t="shared" si="1"/>
        <v>3600+</v>
      </c>
      <c r="S2316" s="6">
        <f t="shared" si="2"/>
        <v>70</v>
      </c>
      <c r="T2316" s="6" t="str">
        <f t="shared" si="3"/>
        <v>Very Old</v>
      </c>
    </row>
    <row r="2317" ht="14.25" customHeight="1">
      <c r="A2317" s="5">
        <v>256040.0</v>
      </c>
      <c r="B2317" s="6" t="s">
        <v>9303</v>
      </c>
      <c r="C2317" s="6" t="s">
        <v>18</v>
      </c>
      <c r="D2317" s="6">
        <v>79772.0</v>
      </c>
      <c r="E2317" s="6" t="s">
        <v>19</v>
      </c>
      <c r="F2317" s="6" t="s">
        <v>46</v>
      </c>
      <c r="G2317" s="6" t="s">
        <v>100</v>
      </c>
      <c r="H2317" s="7">
        <v>3039.0</v>
      </c>
      <c r="I2317" s="7">
        <v>5444.0</v>
      </c>
      <c r="J2317" s="6">
        <v>1981.0</v>
      </c>
      <c r="K2317" s="6">
        <v>109.0</v>
      </c>
      <c r="L2317" s="6" t="s">
        <v>32</v>
      </c>
      <c r="M2317" s="6" t="s">
        <v>9304</v>
      </c>
      <c r="N2317" s="6" t="s">
        <v>48</v>
      </c>
      <c r="O2317" s="6" t="s">
        <v>49</v>
      </c>
      <c r="P2317" s="6">
        <f>COUNTIF(Analysis!$M$1:$M$3001,Analysis!$M2317)</f>
        <v>1</v>
      </c>
      <c r="Q2317" s="6" t="str">
        <f>IF(COUNTIF(Analysis!$M$2:$M$3001,Analysis!$M2317)&gt;1,"Duplicate","OK")</f>
        <v>OK</v>
      </c>
      <c r="R2317" s="6" t="str">
        <f t="shared" si="1"/>
        <v>2600-3600</v>
      </c>
      <c r="S2317" s="6">
        <f t="shared" si="2"/>
        <v>45</v>
      </c>
      <c r="T2317" s="6" t="str">
        <f t="shared" si="3"/>
        <v>Old</v>
      </c>
    </row>
    <row r="2318" ht="14.25" customHeight="1">
      <c r="A2318" s="5">
        <v>1193957.0</v>
      </c>
      <c r="B2318" s="6" t="s">
        <v>9307</v>
      </c>
      <c r="C2318" s="6" t="s">
        <v>39</v>
      </c>
      <c r="D2318" s="6">
        <v>72455.0</v>
      </c>
      <c r="E2318" s="6" t="s">
        <v>77</v>
      </c>
      <c r="F2318" s="6" t="s">
        <v>61</v>
      </c>
      <c r="G2318" s="6" t="s">
        <v>31</v>
      </c>
      <c r="H2318" s="7">
        <v>1665.0</v>
      </c>
      <c r="I2318" s="7">
        <v>3519.0</v>
      </c>
      <c r="J2318" s="6">
        <v>1983.0</v>
      </c>
      <c r="K2318" s="6">
        <v>41.0</v>
      </c>
      <c r="L2318" s="6" t="s">
        <v>95</v>
      </c>
      <c r="M2318" s="6" t="s">
        <v>9308</v>
      </c>
      <c r="N2318" s="6" t="s">
        <v>48</v>
      </c>
      <c r="O2318" s="6" t="s">
        <v>35</v>
      </c>
      <c r="P2318" s="6">
        <f>COUNTIF(Analysis!$M$1:$M$3001,Analysis!$M2318)</f>
        <v>1</v>
      </c>
      <c r="Q2318" s="6" t="str">
        <f>IF(COUNTIF(Analysis!$M$2:$M$3001,Analysis!$M2318)&gt;1,"Duplicate","OK")</f>
        <v>OK</v>
      </c>
      <c r="R2318" s="6" t="str">
        <f t="shared" si="1"/>
        <v>1600-2600</v>
      </c>
      <c r="S2318" s="6">
        <f t="shared" si="2"/>
        <v>43</v>
      </c>
      <c r="T2318" s="6" t="str">
        <f t="shared" si="3"/>
        <v>Old</v>
      </c>
    </row>
    <row r="2319" ht="14.25" customHeight="1">
      <c r="A2319" s="5">
        <v>1064784.0</v>
      </c>
      <c r="B2319" s="6" t="s">
        <v>9311</v>
      </c>
      <c r="C2319" s="6" t="s">
        <v>53</v>
      </c>
      <c r="D2319" s="6">
        <v>72490.0</v>
      </c>
      <c r="E2319" s="6" t="s">
        <v>60</v>
      </c>
      <c r="F2319" s="6" t="s">
        <v>41</v>
      </c>
      <c r="G2319" s="6" t="s">
        <v>100</v>
      </c>
      <c r="H2319" s="7">
        <v>1694.0</v>
      </c>
      <c r="I2319" s="7">
        <v>8847.0</v>
      </c>
      <c r="J2319" s="6">
        <v>2009.0</v>
      </c>
      <c r="K2319" s="6">
        <v>98.0</v>
      </c>
      <c r="L2319" s="6" t="s">
        <v>22</v>
      </c>
      <c r="M2319" s="6" t="s">
        <v>9312</v>
      </c>
      <c r="N2319" s="6" t="s">
        <v>43</v>
      </c>
      <c r="O2319" s="6" t="s">
        <v>49</v>
      </c>
      <c r="P2319" s="6">
        <f>COUNTIF(Analysis!$M$1:$M$3001,Analysis!$M2319)</f>
        <v>1</v>
      </c>
      <c r="Q2319" s="6" t="str">
        <f>IF(COUNTIF(Analysis!$M$2:$M$3001,Analysis!$M2319)&gt;1,"Duplicate","OK")</f>
        <v>OK</v>
      </c>
      <c r="R2319" s="6" t="str">
        <f t="shared" si="1"/>
        <v>1600-2600</v>
      </c>
      <c r="S2319" s="6">
        <f t="shared" si="2"/>
        <v>17</v>
      </c>
      <c r="T2319" s="6" t="str">
        <f t="shared" si="3"/>
        <v>Mid</v>
      </c>
    </row>
    <row r="2320" ht="14.25" customHeight="1">
      <c r="A2320" s="5">
        <v>1200171.0</v>
      </c>
      <c r="B2320" s="6" t="s">
        <v>11591</v>
      </c>
      <c r="C2320" s="6" t="s">
        <v>29</v>
      </c>
      <c r="D2320" s="6">
        <v>40800.0</v>
      </c>
      <c r="E2320" s="6" t="s">
        <v>30</v>
      </c>
      <c r="F2320" s="6" t="s">
        <v>94</v>
      </c>
      <c r="G2320" s="6" t="s">
        <v>31</v>
      </c>
      <c r="H2320" s="7">
        <v>2705.0</v>
      </c>
      <c r="I2320" s="7">
        <v>3351.0</v>
      </c>
      <c r="J2320" s="6">
        <v>1958.0</v>
      </c>
      <c r="K2320" s="6">
        <v>8.0</v>
      </c>
      <c r="L2320" s="6" t="s">
        <v>32</v>
      </c>
      <c r="M2320" s="6" t="s">
        <v>11592</v>
      </c>
      <c r="N2320" s="6" t="s">
        <v>34</v>
      </c>
      <c r="O2320" s="6" t="s">
        <v>49</v>
      </c>
      <c r="P2320" s="6">
        <f>COUNTIF(Analysis!$M$1:$M$3001,Analysis!$M2889)</f>
        <v>1</v>
      </c>
      <c r="Q2320" s="6" t="str">
        <f>IF(COUNTIF(Analysis!$M$2:$M$3001,Analysis!$M2889)&gt;1,"Duplicate","OK")</f>
        <v>OK</v>
      </c>
      <c r="R2320" s="6" t="str">
        <f t="shared" si="1"/>
        <v>2600-3600</v>
      </c>
      <c r="S2320" s="6">
        <f t="shared" si="2"/>
        <v>68</v>
      </c>
      <c r="T2320" s="6" t="str">
        <f t="shared" si="3"/>
        <v>Very Old</v>
      </c>
    </row>
    <row r="2321" ht="14.25" customHeight="1">
      <c r="A2321" s="5">
        <v>937423.0</v>
      </c>
      <c r="B2321" s="6" t="s">
        <v>9319</v>
      </c>
      <c r="C2321" s="6" t="s">
        <v>53</v>
      </c>
      <c r="D2321" s="6">
        <v>64486.0</v>
      </c>
      <c r="E2321" s="6" t="s">
        <v>77</v>
      </c>
      <c r="F2321" s="6" t="s">
        <v>54</v>
      </c>
      <c r="G2321" s="6" t="s">
        <v>31</v>
      </c>
      <c r="H2321" s="7">
        <v>2825.0</v>
      </c>
      <c r="I2321" s="7">
        <v>6422.0</v>
      </c>
      <c r="J2321" s="6">
        <v>2018.0</v>
      </c>
      <c r="K2321" s="6">
        <v>10.0</v>
      </c>
      <c r="L2321" s="6" t="s">
        <v>95</v>
      </c>
      <c r="M2321" s="6" t="s">
        <v>9320</v>
      </c>
      <c r="N2321" s="6" t="s">
        <v>48</v>
      </c>
      <c r="O2321" s="6" t="s">
        <v>49</v>
      </c>
      <c r="P2321" s="6">
        <f>COUNTIF(Analysis!$M$1:$M$3001,Analysis!$M2321)</f>
        <v>1</v>
      </c>
      <c r="Q2321" s="6" t="str">
        <f>IF(COUNTIF(Analysis!$M$2:$M$3001,Analysis!$M2321)&gt;1,"Duplicate","OK")</f>
        <v>OK</v>
      </c>
      <c r="R2321" s="6" t="str">
        <f t="shared" si="1"/>
        <v>2600-3600</v>
      </c>
      <c r="S2321" s="6">
        <f t="shared" si="2"/>
        <v>8</v>
      </c>
      <c r="T2321" s="6" t="str">
        <f t="shared" si="3"/>
        <v>New</v>
      </c>
    </row>
    <row r="2322" ht="14.25" customHeight="1">
      <c r="A2322" s="5">
        <v>1202180.0</v>
      </c>
      <c r="B2322" s="6" t="s">
        <v>9363</v>
      </c>
      <c r="C2322" s="6" t="s">
        <v>29</v>
      </c>
      <c r="D2322" s="6">
        <v>86255.0</v>
      </c>
      <c r="E2322" s="6" t="s">
        <v>60</v>
      </c>
      <c r="F2322" s="6" t="s">
        <v>54</v>
      </c>
      <c r="G2322" s="6" t="s">
        <v>55</v>
      </c>
      <c r="H2322" s="7">
        <v>1606.0</v>
      </c>
      <c r="I2322" s="7">
        <v>8191.0</v>
      </c>
      <c r="J2322" s="6">
        <v>1970.0</v>
      </c>
      <c r="K2322" s="6">
        <v>38.0</v>
      </c>
      <c r="L2322" s="6" t="s">
        <v>141</v>
      </c>
      <c r="M2322" s="6" t="s">
        <v>9364</v>
      </c>
      <c r="N2322" s="6" t="s">
        <v>34</v>
      </c>
      <c r="O2322" s="6" t="s">
        <v>25</v>
      </c>
      <c r="P2322" s="6">
        <f>COUNTIF(Analysis!$M$1:$M$3001,Analysis!$M2332)</f>
        <v>1</v>
      </c>
      <c r="Q2322" s="6" t="str">
        <f>IF(COUNTIF(Analysis!$M$2:$M$3001,Analysis!$M2332)&gt;1,"Duplicate","OK")</f>
        <v>OK</v>
      </c>
      <c r="R2322" s="6" t="str">
        <f t="shared" si="1"/>
        <v>1600-2600</v>
      </c>
      <c r="S2322" s="6">
        <f t="shared" si="2"/>
        <v>56</v>
      </c>
      <c r="T2322" s="6" t="str">
        <f t="shared" si="3"/>
        <v>Old</v>
      </c>
    </row>
    <row r="2323" ht="14.25" customHeight="1">
      <c r="A2323" s="5">
        <v>221570.0</v>
      </c>
      <c r="B2323" s="6" t="s">
        <v>9327</v>
      </c>
      <c r="C2323" s="6" t="s">
        <v>53</v>
      </c>
      <c r="D2323" s="6">
        <v>22560.0</v>
      </c>
      <c r="E2323" s="6" t="s">
        <v>30</v>
      </c>
      <c r="F2323" s="6" t="s">
        <v>94</v>
      </c>
      <c r="G2323" s="6" t="s">
        <v>100</v>
      </c>
      <c r="H2323" s="7">
        <v>1801.0</v>
      </c>
      <c r="I2323" s="7">
        <v>8114.0</v>
      </c>
      <c r="J2323" s="6">
        <v>1957.0</v>
      </c>
      <c r="K2323" s="6">
        <v>102.0</v>
      </c>
      <c r="L2323" s="6" t="s">
        <v>32</v>
      </c>
      <c r="M2323" s="6" t="s">
        <v>9328</v>
      </c>
      <c r="N2323" s="6" t="s">
        <v>48</v>
      </c>
      <c r="O2323" s="6" t="s">
        <v>25</v>
      </c>
      <c r="P2323" s="6">
        <f>COUNTIF(Analysis!$M$1:$M$3001,Analysis!$M2323)</f>
        <v>1</v>
      </c>
      <c r="Q2323" s="6" t="str">
        <f>IF(COUNTIF(Analysis!$M$2:$M$3001,Analysis!$M2323)&gt;1,"Duplicate","OK")</f>
        <v>OK</v>
      </c>
      <c r="R2323" s="6" t="str">
        <f t="shared" si="1"/>
        <v>1600-2600</v>
      </c>
      <c r="S2323" s="6">
        <f t="shared" si="2"/>
        <v>69</v>
      </c>
      <c r="T2323" s="6" t="str">
        <f t="shared" si="3"/>
        <v>Very Old</v>
      </c>
    </row>
    <row r="2324" ht="14.25" customHeight="1">
      <c r="A2324" s="5">
        <v>739335.0</v>
      </c>
      <c r="B2324" s="6" t="s">
        <v>9331</v>
      </c>
      <c r="C2324" s="6" t="s">
        <v>53</v>
      </c>
      <c r="D2324" s="6">
        <v>39553.0</v>
      </c>
      <c r="E2324" s="6" t="s">
        <v>19</v>
      </c>
      <c r="F2324" s="6" t="s">
        <v>61</v>
      </c>
      <c r="G2324" s="6" t="s">
        <v>100</v>
      </c>
      <c r="H2324" s="7">
        <v>2768.0</v>
      </c>
      <c r="I2324" s="7">
        <v>1054.0</v>
      </c>
      <c r="J2324" s="6">
        <v>2003.0</v>
      </c>
      <c r="K2324" s="6">
        <v>9.0</v>
      </c>
      <c r="L2324" s="6" t="s">
        <v>22</v>
      </c>
      <c r="M2324" s="6" t="s">
        <v>9332</v>
      </c>
      <c r="N2324" s="6" t="s">
        <v>64</v>
      </c>
      <c r="O2324" s="6" t="s">
        <v>25</v>
      </c>
      <c r="P2324" s="6">
        <f>COUNTIF(Analysis!$M$1:$M$3001,Analysis!$M2324)</f>
        <v>1</v>
      </c>
      <c r="Q2324" s="6" t="str">
        <f>IF(COUNTIF(Analysis!$M$2:$M$3001,Analysis!$M2324)&gt;1,"Duplicate","OK")</f>
        <v>OK</v>
      </c>
      <c r="R2324" s="6" t="str">
        <f t="shared" si="1"/>
        <v>2600-3600</v>
      </c>
      <c r="S2324" s="6">
        <f t="shared" si="2"/>
        <v>23</v>
      </c>
      <c r="T2324" s="6" t="str">
        <f t="shared" si="3"/>
        <v>Mid</v>
      </c>
    </row>
    <row r="2325" ht="14.25" customHeight="1">
      <c r="A2325" s="5">
        <v>1207235.0</v>
      </c>
      <c r="B2325" s="6" t="s">
        <v>6665</v>
      </c>
      <c r="C2325" s="6" t="s">
        <v>29</v>
      </c>
      <c r="D2325" s="6">
        <v>82632.0</v>
      </c>
      <c r="E2325" s="6" t="s">
        <v>30</v>
      </c>
      <c r="F2325" s="6" t="s">
        <v>94</v>
      </c>
      <c r="G2325" s="6" t="s">
        <v>55</v>
      </c>
      <c r="H2325" s="7">
        <v>1745.0</v>
      </c>
      <c r="I2325" s="7">
        <v>2778.0</v>
      </c>
      <c r="J2325" s="6">
        <v>1958.0</v>
      </c>
      <c r="K2325" s="6">
        <v>9.0</v>
      </c>
      <c r="L2325" s="6" t="s">
        <v>22</v>
      </c>
      <c r="M2325" s="6" t="s">
        <v>6666</v>
      </c>
      <c r="N2325" s="6" t="s">
        <v>43</v>
      </c>
      <c r="O2325" s="6" t="s">
        <v>49</v>
      </c>
      <c r="P2325" s="6">
        <f>COUNTIF(Analysis!$M$1:$M$3001,Analysis!$M1657)</f>
        <v>1</v>
      </c>
      <c r="Q2325" s="6" t="str">
        <f>IF(COUNTIF(Analysis!$M$2:$M$3001,Analysis!$M1657)&gt;1,"Duplicate","OK")</f>
        <v>OK</v>
      </c>
      <c r="R2325" s="6" t="str">
        <f t="shared" si="1"/>
        <v>1600-2600</v>
      </c>
      <c r="S2325" s="6">
        <f t="shared" si="2"/>
        <v>68</v>
      </c>
      <c r="T2325" s="6" t="str">
        <f t="shared" si="3"/>
        <v>Very Old</v>
      </c>
    </row>
    <row r="2326" ht="14.25" customHeight="1">
      <c r="A2326" s="5">
        <v>1207523.0</v>
      </c>
      <c r="B2326" s="6" t="s">
        <v>9315</v>
      </c>
      <c r="C2326" s="6" t="s">
        <v>29</v>
      </c>
      <c r="D2326" s="6">
        <v>50553.0</v>
      </c>
      <c r="E2326" s="6" t="s">
        <v>60</v>
      </c>
      <c r="F2326" s="6" t="s">
        <v>20</v>
      </c>
      <c r="G2326" s="6" t="s">
        <v>100</v>
      </c>
      <c r="H2326" s="7">
        <v>2863.0</v>
      </c>
      <c r="I2326" s="7">
        <v>3998.0</v>
      </c>
      <c r="J2326" s="6">
        <v>1958.0</v>
      </c>
      <c r="K2326" s="6">
        <v>15.0</v>
      </c>
      <c r="L2326" s="6" t="s">
        <v>62</v>
      </c>
      <c r="M2326" s="6" t="s">
        <v>9316</v>
      </c>
      <c r="N2326" s="6" t="s">
        <v>34</v>
      </c>
      <c r="O2326" s="6" t="s">
        <v>49</v>
      </c>
      <c r="P2326" s="6">
        <f>COUNTIF(Analysis!$M$1:$M$3001,Analysis!$M2320)</f>
        <v>1</v>
      </c>
      <c r="Q2326" s="6" t="str">
        <f>IF(COUNTIF(Analysis!$M$2:$M$3001,Analysis!$M2320)&gt;1,"Duplicate","OK")</f>
        <v>OK</v>
      </c>
      <c r="R2326" s="6" t="str">
        <f t="shared" si="1"/>
        <v>2600-3600</v>
      </c>
      <c r="S2326" s="6">
        <f t="shared" si="2"/>
        <v>68</v>
      </c>
      <c r="T2326" s="6" t="str">
        <f t="shared" si="3"/>
        <v>Very Old</v>
      </c>
    </row>
    <row r="2327" ht="14.25" customHeight="1">
      <c r="A2327" s="5">
        <v>287042.0</v>
      </c>
      <c r="B2327" s="6" t="s">
        <v>9343</v>
      </c>
      <c r="C2327" s="6" t="s">
        <v>39</v>
      </c>
      <c r="D2327" s="6">
        <v>38728.0</v>
      </c>
      <c r="E2327" s="6" t="s">
        <v>19</v>
      </c>
      <c r="F2327" s="6" t="s">
        <v>54</v>
      </c>
      <c r="G2327" s="6" t="s">
        <v>31</v>
      </c>
      <c r="H2327" s="7">
        <v>2100.0</v>
      </c>
      <c r="I2327" s="7">
        <v>7081.0</v>
      </c>
      <c r="J2327" s="6">
        <v>1995.0</v>
      </c>
      <c r="K2327" s="6">
        <v>77.0</v>
      </c>
      <c r="L2327" s="6" t="s">
        <v>62</v>
      </c>
      <c r="M2327" s="6" t="s">
        <v>9344</v>
      </c>
      <c r="N2327" s="6" t="s">
        <v>34</v>
      </c>
      <c r="O2327" s="6" t="s">
        <v>35</v>
      </c>
      <c r="P2327" s="6">
        <f>COUNTIF(Analysis!$M$1:$M$3001,Analysis!$M2327)</f>
        <v>1</v>
      </c>
      <c r="Q2327" s="6" t="str">
        <f>IF(COUNTIF(Analysis!$M$2:$M$3001,Analysis!$M2327)&gt;1,"Duplicate","OK")</f>
        <v>OK</v>
      </c>
      <c r="R2327" s="6" t="str">
        <f t="shared" si="1"/>
        <v>1600-2600</v>
      </c>
      <c r="S2327" s="6">
        <f t="shared" si="2"/>
        <v>31</v>
      </c>
      <c r="T2327" s="6" t="str">
        <f t="shared" si="3"/>
        <v>Old</v>
      </c>
    </row>
    <row r="2328" ht="14.25" customHeight="1">
      <c r="A2328" s="5">
        <v>1318906.0</v>
      </c>
      <c r="B2328" s="6" t="s">
        <v>9347</v>
      </c>
      <c r="C2328" s="6" t="s">
        <v>76</v>
      </c>
      <c r="D2328" s="6">
        <v>43032.0</v>
      </c>
      <c r="E2328" s="6" t="s">
        <v>19</v>
      </c>
      <c r="F2328" s="6" t="s">
        <v>94</v>
      </c>
      <c r="G2328" s="6" t="s">
        <v>55</v>
      </c>
      <c r="H2328" s="7">
        <v>1809.0</v>
      </c>
      <c r="I2328" s="7">
        <v>1985.0</v>
      </c>
      <c r="J2328" s="6">
        <v>2015.0</v>
      </c>
      <c r="K2328" s="6">
        <v>90.0</v>
      </c>
      <c r="L2328" s="6" t="s">
        <v>95</v>
      </c>
      <c r="M2328" s="6" t="s">
        <v>9348</v>
      </c>
      <c r="N2328" s="6" t="s">
        <v>34</v>
      </c>
      <c r="O2328" s="6" t="s">
        <v>25</v>
      </c>
      <c r="P2328" s="6">
        <f>COUNTIF(Analysis!$M$1:$M$3001,Analysis!$M2328)</f>
        <v>1</v>
      </c>
      <c r="Q2328" s="6" t="str">
        <f>IF(COUNTIF(Analysis!$M$2:$M$3001,Analysis!$M2328)&gt;1,"Duplicate","OK")</f>
        <v>OK</v>
      </c>
      <c r="R2328" s="6" t="str">
        <f t="shared" si="1"/>
        <v>1600-2600</v>
      </c>
      <c r="S2328" s="6">
        <f t="shared" si="2"/>
        <v>11</v>
      </c>
      <c r="T2328" s="6" t="str">
        <f t="shared" si="3"/>
        <v>Mid</v>
      </c>
    </row>
    <row r="2329" ht="14.25" customHeight="1">
      <c r="A2329" s="5">
        <v>1208371.0</v>
      </c>
      <c r="B2329" s="6" t="s">
        <v>4791</v>
      </c>
      <c r="C2329" s="6" t="s">
        <v>29</v>
      </c>
      <c r="D2329" s="6">
        <v>60086.0</v>
      </c>
      <c r="E2329" s="6" t="s">
        <v>30</v>
      </c>
      <c r="F2329" s="6" t="s">
        <v>54</v>
      </c>
      <c r="G2329" s="6" t="s">
        <v>31</v>
      </c>
      <c r="H2329" s="7">
        <v>875.0</v>
      </c>
      <c r="I2329" s="7">
        <v>8738.0</v>
      </c>
      <c r="J2329" s="6">
        <v>1996.0</v>
      </c>
      <c r="K2329" s="6">
        <v>46.0</v>
      </c>
      <c r="L2329" s="6" t="s">
        <v>22</v>
      </c>
      <c r="M2329" s="6" t="s">
        <v>4792</v>
      </c>
      <c r="N2329" s="6" t="s">
        <v>48</v>
      </c>
      <c r="O2329" s="6" t="s">
        <v>49</v>
      </c>
      <c r="P2329" s="6">
        <f>COUNTIF(Analysis!$M$1:$M$3001,Analysis!$M1188)</f>
        <v>1</v>
      </c>
      <c r="Q2329" s="6" t="str">
        <f>IF(COUNTIF(Analysis!$M$2:$M$3001,Analysis!$M1188)&gt;1,"Duplicate","OK")</f>
        <v>OK</v>
      </c>
      <c r="R2329" s="6" t="str">
        <f t="shared" si="1"/>
        <v>600-1600</v>
      </c>
      <c r="S2329" s="6">
        <f t="shared" si="2"/>
        <v>30</v>
      </c>
      <c r="T2329" s="6" t="str">
        <f t="shared" si="3"/>
        <v>Mid</v>
      </c>
    </row>
    <row r="2330" ht="14.25" customHeight="1">
      <c r="A2330" s="5">
        <v>418426.0</v>
      </c>
      <c r="B2330" s="6" t="s">
        <v>9355</v>
      </c>
      <c r="C2330" s="6" t="s">
        <v>18</v>
      </c>
      <c r="D2330" s="6">
        <v>93305.0</v>
      </c>
      <c r="E2330" s="6" t="s">
        <v>19</v>
      </c>
      <c r="F2330" s="6" t="s">
        <v>46</v>
      </c>
      <c r="G2330" s="6" t="s">
        <v>31</v>
      </c>
      <c r="H2330" s="7">
        <v>1217.0</v>
      </c>
      <c r="I2330" s="7">
        <v>7906.0</v>
      </c>
      <c r="J2330" s="6">
        <v>1969.0</v>
      </c>
      <c r="K2330" s="6">
        <v>73.0</v>
      </c>
      <c r="L2330" s="6" t="s">
        <v>22</v>
      </c>
      <c r="M2330" s="6" t="s">
        <v>9356</v>
      </c>
      <c r="N2330" s="6" t="s">
        <v>34</v>
      </c>
      <c r="O2330" s="6" t="s">
        <v>49</v>
      </c>
      <c r="P2330" s="6">
        <f>COUNTIF(Analysis!$M$1:$M$3001,Analysis!$M2330)</f>
        <v>1</v>
      </c>
      <c r="Q2330" s="6" t="str">
        <f>IF(COUNTIF(Analysis!$M$2:$M$3001,Analysis!$M2330)&gt;1,"Duplicate","OK")</f>
        <v>OK</v>
      </c>
      <c r="R2330" s="6" t="str">
        <f t="shared" si="1"/>
        <v>600-1600</v>
      </c>
      <c r="S2330" s="6">
        <f t="shared" si="2"/>
        <v>57</v>
      </c>
      <c r="T2330" s="6" t="str">
        <f t="shared" si="3"/>
        <v>Old</v>
      </c>
    </row>
    <row r="2331" ht="14.25" customHeight="1">
      <c r="A2331" s="5">
        <v>1330162.0</v>
      </c>
      <c r="B2331" s="6" t="s">
        <v>9359</v>
      </c>
      <c r="C2331" s="6" t="s">
        <v>76</v>
      </c>
      <c r="D2331" s="6">
        <v>63758.0</v>
      </c>
      <c r="E2331" s="6" t="s">
        <v>60</v>
      </c>
      <c r="F2331" s="6" t="s">
        <v>41</v>
      </c>
      <c r="G2331" s="6" t="s">
        <v>31</v>
      </c>
      <c r="H2331" s="7">
        <v>1942.0</v>
      </c>
      <c r="I2331" s="7">
        <v>7187.0</v>
      </c>
      <c r="J2331" s="6">
        <v>2002.0</v>
      </c>
      <c r="K2331" s="6">
        <v>12.0</v>
      </c>
      <c r="L2331" s="6" t="s">
        <v>141</v>
      </c>
      <c r="M2331" s="6" t="s">
        <v>9360</v>
      </c>
      <c r="N2331" s="6" t="s">
        <v>43</v>
      </c>
      <c r="O2331" s="6" t="s">
        <v>35</v>
      </c>
      <c r="P2331" s="6">
        <f>COUNTIF(Analysis!$M$1:$M$3001,Analysis!$M2331)</f>
        <v>1</v>
      </c>
      <c r="Q2331" s="6" t="str">
        <f>IF(COUNTIF(Analysis!$M$2:$M$3001,Analysis!$M2331)&gt;1,"Duplicate","OK")</f>
        <v>OK</v>
      </c>
      <c r="R2331" s="6" t="str">
        <f t="shared" si="1"/>
        <v>1600-2600</v>
      </c>
      <c r="S2331" s="6">
        <f t="shared" si="2"/>
        <v>24</v>
      </c>
      <c r="T2331" s="6" t="str">
        <f t="shared" si="3"/>
        <v>Mid</v>
      </c>
    </row>
    <row r="2332" ht="14.25" customHeight="1">
      <c r="A2332" s="5">
        <v>1208849.0</v>
      </c>
      <c r="B2332" s="6" t="s">
        <v>3563</v>
      </c>
      <c r="C2332" s="6" t="s">
        <v>29</v>
      </c>
      <c r="D2332" s="6">
        <v>64153.0</v>
      </c>
      <c r="E2332" s="6" t="s">
        <v>77</v>
      </c>
      <c r="F2332" s="6" t="s">
        <v>41</v>
      </c>
      <c r="G2332" s="6" t="s">
        <v>21</v>
      </c>
      <c r="H2332" s="7">
        <v>3270.0</v>
      </c>
      <c r="I2332" s="7">
        <v>1074.0</v>
      </c>
      <c r="J2332" s="6">
        <v>1953.0</v>
      </c>
      <c r="K2332" s="6">
        <v>52.0</v>
      </c>
      <c r="L2332" s="6" t="s">
        <v>62</v>
      </c>
      <c r="M2332" s="6" t="s">
        <v>3564</v>
      </c>
      <c r="N2332" s="6" t="s">
        <v>43</v>
      </c>
      <c r="O2332" s="6" t="s">
        <v>25</v>
      </c>
      <c r="P2332" s="6">
        <f>COUNTIF(Analysis!$M$1:$M$3001,Analysis!$M881)</f>
        <v>1</v>
      </c>
      <c r="Q2332" s="6" t="str">
        <f>IF(COUNTIF(Analysis!$M$2:$M$3001,Analysis!$M881)&gt;1,"Duplicate","OK")</f>
        <v>OK</v>
      </c>
      <c r="R2332" s="6" t="str">
        <f t="shared" si="1"/>
        <v>2600-3600</v>
      </c>
      <c r="S2332" s="6">
        <f t="shared" si="2"/>
        <v>73</v>
      </c>
      <c r="T2332" s="6" t="str">
        <f t="shared" si="3"/>
        <v>Very Old</v>
      </c>
    </row>
    <row r="2333" ht="14.25" customHeight="1">
      <c r="A2333" s="5">
        <v>1360197.0</v>
      </c>
      <c r="B2333" s="6" t="s">
        <v>9367</v>
      </c>
      <c r="C2333" s="6" t="s">
        <v>53</v>
      </c>
      <c r="D2333" s="6">
        <v>86392.0</v>
      </c>
      <c r="E2333" s="6" t="s">
        <v>40</v>
      </c>
      <c r="F2333" s="6" t="s">
        <v>46</v>
      </c>
      <c r="G2333" s="6" t="s">
        <v>100</v>
      </c>
      <c r="H2333" s="7">
        <v>2236.0</v>
      </c>
      <c r="I2333" s="7">
        <v>2697.0</v>
      </c>
      <c r="J2333" s="6">
        <v>1969.0</v>
      </c>
      <c r="K2333" s="6">
        <v>103.0</v>
      </c>
      <c r="L2333" s="6" t="s">
        <v>22</v>
      </c>
      <c r="M2333" s="6" t="s">
        <v>9368</v>
      </c>
      <c r="N2333" s="6" t="s">
        <v>64</v>
      </c>
      <c r="O2333" s="6" t="s">
        <v>25</v>
      </c>
      <c r="P2333" s="6">
        <f>COUNTIF(Analysis!$M$1:$M$3001,Analysis!$M2333)</f>
        <v>1</v>
      </c>
      <c r="Q2333" s="6" t="str">
        <f>IF(COUNTIF(Analysis!$M$2:$M$3001,Analysis!$M2333)&gt;1,"Duplicate","OK")</f>
        <v>OK</v>
      </c>
      <c r="R2333" s="6" t="str">
        <f t="shared" si="1"/>
        <v>1600-2600</v>
      </c>
      <c r="S2333" s="6">
        <f t="shared" si="2"/>
        <v>57</v>
      </c>
      <c r="T2333" s="6" t="str">
        <f t="shared" si="3"/>
        <v>Old</v>
      </c>
    </row>
    <row r="2334" ht="14.25" customHeight="1">
      <c r="A2334" s="5">
        <v>585846.0</v>
      </c>
      <c r="B2334" s="6" t="s">
        <v>9371</v>
      </c>
      <c r="C2334" s="6" t="s">
        <v>39</v>
      </c>
      <c r="D2334" s="6">
        <v>87872.0</v>
      </c>
      <c r="E2334" s="6" t="s">
        <v>30</v>
      </c>
      <c r="F2334" s="6" t="s">
        <v>94</v>
      </c>
      <c r="G2334" s="6" t="s">
        <v>21</v>
      </c>
      <c r="H2334" s="7">
        <v>1860.0</v>
      </c>
      <c r="I2334" s="7">
        <v>6006.0</v>
      </c>
      <c r="J2334" s="6">
        <v>2021.0</v>
      </c>
      <c r="K2334" s="6">
        <v>7.0</v>
      </c>
      <c r="L2334" s="6" t="s">
        <v>62</v>
      </c>
      <c r="M2334" s="6" t="s">
        <v>9372</v>
      </c>
      <c r="N2334" s="6" t="s">
        <v>64</v>
      </c>
      <c r="O2334" s="6" t="s">
        <v>49</v>
      </c>
      <c r="P2334" s="6">
        <f>COUNTIF(Analysis!$M$1:$M$3001,Analysis!$M2334)</f>
        <v>1</v>
      </c>
      <c r="Q2334" s="6" t="str">
        <f>IF(COUNTIF(Analysis!$M$2:$M$3001,Analysis!$M2334)&gt;1,"Duplicate","OK")</f>
        <v>OK</v>
      </c>
      <c r="R2334" s="6" t="str">
        <f t="shared" si="1"/>
        <v>1600-2600</v>
      </c>
      <c r="S2334" s="6">
        <f t="shared" si="2"/>
        <v>5</v>
      </c>
      <c r="T2334" s="6" t="str">
        <f t="shared" si="3"/>
        <v>New</v>
      </c>
    </row>
    <row r="2335" ht="14.25" customHeight="1">
      <c r="A2335" s="5">
        <v>1210031.0</v>
      </c>
      <c r="B2335" s="6" t="s">
        <v>7025</v>
      </c>
      <c r="C2335" s="6" t="s">
        <v>29</v>
      </c>
      <c r="D2335" s="6">
        <v>58935.0</v>
      </c>
      <c r="E2335" s="6" t="s">
        <v>60</v>
      </c>
      <c r="F2335" s="6" t="s">
        <v>46</v>
      </c>
      <c r="G2335" s="6" t="s">
        <v>100</v>
      </c>
      <c r="H2335" s="7">
        <v>919.0</v>
      </c>
      <c r="I2335" s="7">
        <v>5625.0</v>
      </c>
      <c r="J2335" s="6">
        <v>1994.0</v>
      </c>
      <c r="K2335" s="6">
        <v>54.0</v>
      </c>
      <c r="L2335" s="6" t="s">
        <v>22</v>
      </c>
      <c r="M2335" s="6" t="s">
        <v>7026</v>
      </c>
      <c r="N2335" s="6" t="s">
        <v>34</v>
      </c>
      <c r="O2335" s="6" t="s">
        <v>25</v>
      </c>
      <c r="P2335" s="6">
        <f>COUNTIF(Analysis!$M$1:$M$3001,Analysis!$M1747)</f>
        <v>1</v>
      </c>
      <c r="Q2335" s="6" t="str">
        <f>IF(COUNTIF(Analysis!$M$2:$M$3001,Analysis!$M1747)&gt;1,"Duplicate","OK")</f>
        <v>OK</v>
      </c>
      <c r="R2335" s="6" t="str">
        <f t="shared" si="1"/>
        <v>600-1600</v>
      </c>
      <c r="S2335" s="6">
        <f t="shared" si="2"/>
        <v>32</v>
      </c>
      <c r="T2335" s="6" t="str">
        <f t="shared" si="3"/>
        <v>Old</v>
      </c>
    </row>
    <row r="2336" ht="14.25" customHeight="1">
      <c r="A2336" s="5">
        <v>1378973.0</v>
      </c>
      <c r="B2336" s="6" t="s">
        <v>9379</v>
      </c>
      <c r="C2336" s="6" t="s">
        <v>53</v>
      </c>
      <c r="D2336" s="6">
        <v>39632.0</v>
      </c>
      <c r="E2336" s="6" t="s">
        <v>19</v>
      </c>
      <c r="F2336" s="6" t="s">
        <v>20</v>
      </c>
      <c r="G2336" s="6" t="s">
        <v>55</v>
      </c>
      <c r="H2336" s="7">
        <v>1933.0</v>
      </c>
      <c r="I2336" s="7">
        <v>5909.0</v>
      </c>
      <c r="J2336" s="6">
        <v>1977.0</v>
      </c>
      <c r="K2336" s="6">
        <v>45.0</v>
      </c>
      <c r="L2336" s="6" t="s">
        <v>32</v>
      </c>
      <c r="M2336" s="6" t="s">
        <v>9380</v>
      </c>
      <c r="N2336" s="6" t="s">
        <v>34</v>
      </c>
      <c r="O2336" s="6" t="s">
        <v>35</v>
      </c>
      <c r="P2336" s="6">
        <f>COUNTIF(Analysis!$M$1:$M$3001,Analysis!$M2336)</f>
        <v>1</v>
      </c>
      <c r="Q2336" s="6" t="str">
        <f>IF(COUNTIF(Analysis!$M$2:$M$3001,Analysis!$M2336)&gt;1,"Duplicate","OK")</f>
        <v>OK</v>
      </c>
      <c r="R2336" s="6" t="str">
        <f t="shared" si="1"/>
        <v>1600-2600</v>
      </c>
      <c r="S2336" s="6">
        <f t="shared" si="2"/>
        <v>49</v>
      </c>
      <c r="T2336" s="6" t="str">
        <f t="shared" si="3"/>
        <v>Old</v>
      </c>
    </row>
    <row r="2337" ht="14.25" customHeight="1">
      <c r="A2337" s="5">
        <v>121372.0</v>
      </c>
      <c r="B2337" s="6" t="s">
        <v>9383</v>
      </c>
      <c r="C2337" s="6" t="s">
        <v>39</v>
      </c>
      <c r="D2337" s="6">
        <v>91711.0</v>
      </c>
      <c r="E2337" s="6" t="s">
        <v>30</v>
      </c>
      <c r="F2337" s="6" t="s">
        <v>94</v>
      </c>
      <c r="G2337" s="6" t="s">
        <v>31</v>
      </c>
      <c r="H2337" s="7">
        <v>1410.0</v>
      </c>
      <c r="I2337" s="7">
        <v>5158.0</v>
      </c>
      <c r="J2337" s="6">
        <v>1993.0</v>
      </c>
      <c r="K2337" s="6">
        <v>118.0</v>
      </c>
      <c r="L2337" s="6" t="s">
        <v>32</v>
      </c>
      <c r="M2337" s="6" t="s">
        <v>9384</v>
      </c>
      <c r="N2337" s="6" t="s">
        <v>43</v>
      </c>
      <c r="O2337" s="6" t="s">
        <v>49</v>
      </c>
      <c r="P2337" s="6">
        <f>COUNTIF(Analysis!$M$1:$M$3001,Analysis!$M2337)</f>
        <v>1</v>
      </c>
      <c r="Q2337" s="6" t="str">
        <f>IF(COUNTIF(Analysis!$M$2:$M$3001,Analysis!$M2337)&gt;1,"Duplicate","OK")</f>
        <v>OK</v>
      </c>
      <c r="R2337" s="6" t="str">
        <f t="shared" si="1"/>
        <v>600-1600</v>
      </c>
      <c r="S2337" s="6">
        <f t="shared" si="2"/>
        <v>33</v>
      </c>
      <c r="T2337" s="6" t="str">
        <f t="shared" si="3"/>
        <v>Old</v>
      </c>
    </row>
    <row r="2338" ht="14.25" customHeight="1">
      <c r="A2338" s="5">
        <v>110130.0</v>
      </c>
      <c r="B2338" s="6" t="s">
        <v>9387</v>
      </c>
      <c r="C2338" s="6" t="s">
        <v>39</v>
      </c>
      <c r="D2338" s="6">
        <v>19611.0</v>
      </c>
      <c r="E2338" s="6" t="s">
        <v>60</v>
      </c>
      <c r="F2338" s="6" t="s">
        <v>41</v>
      </c>
      <c r="G2338" s="6" t="s">
        <v>100</v>
      </c>
      <c r="H2338" s="7">
        <v>882.0</v>
      </c>
      <c r="I2338" s="7">
        <v>7084.0</v>
      </c>
      <c r="J2338" s="6">
        <v>1993.0</v>
      </c>
      <c r="K2338" s="6">
        <v>39.0</v>
      </c>
      <c r="L2338" s="6" t="s">
        <v>95</v>
      </c>
      <c r="M2338" s="6" t="s">
        <v>9388</v>
      </c>
      <c r="N2338" s="6" t="s">
        <v>64</v>
      </c>
      <c r="O2338" s="6" t="s">
        <v>25</v>
      </c>
      <c r="P2338" s="6">
        <f>COUNTIF(Analysis!$M$1:$M$3001,Analysis!$M2338)</f>
        <v>1</v>
      </c>
      <c r="Q2338" s="6" t="str">
        <f>IF(COUNTIF(Analysis!$M$2:$M$3001,Analysis!$M2338)&gt;1,"Duplicate","OK")</f>
        <v>OK</v>
      </c>
      <c r="R2338" s="6" t="str">
        <f t="shared" si="1"/>
        <v>600-1600</v>
      </c>
      <c r="S2338" s="6">
        <f t="shared" si="2"/>
        <v>33</v>
      </c>
      <c r="T2338" s="6" t="str">
        <f t="shared" si="3"/>
        <v>Old</v>
      </c>
    </row>
    <row r="2339" ht="14.25" customHeight="1">
      <c r="A2339" s="5">
        <v>1201650.0</v>
      </c>
      <c r="B2339" s="6" t="s">
        <v>9391</v>
      </c>
      <c r="C2339" s="6" t="s">
        <v>53</v>
      </c>
      <c r="D2339" s="6">
        <v>30850.0</v>
      </c>
      <c r="E2339" s="6" t="s">
        <v>77</v>
      </c>
      <c r="F2339" s="6" t="s">
        <v>41</v>
      </c>
      <c r="G2339" s="6" t="s">
        <v>100</v>
      </c>
      <c r="H2339" s="7">
        <v>1466.0</v>
      </c>
      <c r="I2339" s="7">
        <v>5493.0</v>
      </c>
      <c r="J2339" s="6">
        <v>1989.0</v>
      </c>
      <c r="K2339" s="6">
        <v>61.0</v>
      </c>
      <c r="L2339" s="6" t="s">
        <v>22</v>
      </c>
      <c r="M2339" s="6" t="s">
        <v>9392</v>
      </c>
      <c r="N2339" s="6" t="s">
        <v>24</v>
      </c>
      <c r="O2339" s="6" t="s">
        <v>49</v>
      </c>
      <c r="P2339" s="6">
        <f>COUNTIF(Analysis!$M$1:$M$3001,Analysis!$M2339)</f>
        <v>1</v>
      </c>
      <c r="Q2339" s="6" t="str">
        <f>IF(COUNTIF(Analysis!$M$2:$M$3001,Analysis!$M2339)&gt;1,"Duplicate","OK")</f>
        <v>OK</v>
      </c>
      <c r="R2339" s="6" t="str">
        <f t="shared" si="1"/>
        <v>600-1600</v>
      </c>
      <c r="S2339" s="6">
        <f t="shared" si="2"/>
        <v>37</v>
      </c>
      <c r="T2339" s="6" t="str">
        <f t="shared" si="3"/>
        <v>Old</v>
      </c>
    </row>
    <row r="2340" ht="14.25" customHeight="1">
      <c r="A2340" s="5">
        <v>1277550.0</v>
      </c>
      <c r="B2340" s="6" t="s">
        <v>9395</v>
      </c>
      <c r="C2340" s="6" t="s">
        <v>39</v>
      </c>
      <c r="D2340" s="6">
        <v>87329.0</v>
      </c>
      <c r="E2340" s="6" t="s">
        <v>30</v>
      </c>
      <c r="F2340" s="6" t="s">
        <v>94</v>
      </c>
      <c r="G2340" s="6" t="s">
        <v>100</v>
      </c>
      <c r="H2340" s="7">
        <v>3797.0</v>
      </c>
      <c r="I2340" s="7">
        <v>4841.0</v>
      </c>
      <c r="J2340" s="6">
        <v>1962.0</v>
      </c>
      <c r="K2340" s="6">
        <v>89.0</v>
      </c>
      <c r="L2340" s="6" t="s">
        <v>141</v>
      </c>
      <c r="M2340" s="6" t="s">
        <v>9396</v>
      </c>
      <c r="N2340" s="6" t="s">
        <v>43</v>
      </c>
      <c r="O2340" s="6" t="s">
        <v>35</v>
      </c>
      <c r="P2340" s="6">
        <f>COUNTIF(Analysis!$M$1:$M$3001,Analysis!$M2340)</f>
        <v>1</v>
      </c>
      <c r="Q2340" s="6" t="str">
        <f>IF(COUNTIF(Analysis!$M$2:$M$3001,Analysis!$M2340)&gt;1,"Duplicate","OK")</f>
        <v>OK</v>
      </c>
      <c r="R2340" s="6" t="str">
        <f t="shared" si="1"/>
        <v>3600+</v>
      </c>
      <c r="S2340" s="6">
        <f t="shared" si="2"/>
        <v>64</v>
      </c>
      <c r="T2340" s="6" t="str">
        <f t="shared" si="3"/>
        <v>Very Old</v>
      </c>
    </row>
    <row r="2341" ht="14.25" customHeight="1">
      <c r="A2341" s="5">
        <v>1213359.0</v>
      </c>
      <c r="B2341" s="6" t="s">
        <v>2971</v>
      </c>
      <c r="C2341" s="6" t="s">
        <v>29</v>
      </c>
      <c r="D2341" s="6">
        <v>73207.0</v>
      </c>
      <c r="E2341" s="6" t="s">
        <v>30</v>
      </c>
      <c r="F2341" s="6" t="s">
        <v>46</v>
      </c>
      <c r="G2341" s="6" t="s">
        <v>100</v>
      </c>
      <c r="H2341" s="7">
        <v>2936.0</v>
      </c>
      <c r="I2341" s="7">
        <v>6369.0</v>
      </c>
      <c r="J2341" s="6">
        <v>1987.0</v>
      </c>
      <c r="K2341" s="6">
        <v>47.0</v>
      </c>
      <c r="L2341" s="6" t="s">
        <v>32</v>
      </c>
      <c r="M2341" s="6" t="s">
        <v>2972</v>
      </c>
      <c r="N2341" s="6" t="s">
        <v>64</v>
      </c>
      <c r="O2341" s="6" t="s">
        <v>49</v>
      </c>
      <c r="P2341" s="6">
        <f>COUNTIF(Analysis!$M$1:$M$3001,Analysis!$M733)</f>
        <v>1</v>
      </c>
      <c r="Q2341" s="6" t="str">
        <f>IF(COUNTIF(Analysis!$M$2:$M$3001,Analysis!$M733)&gt;1,"Duplicate","OK")</f>
        <v>OK</v>
      </c>
      <c r="R2341" s="6" t="str">
        <f t="shared" si="1"/>
        <v>2600-3600</v>
      </c>
      <c r="S2341" s="6">
        <f t="shared" si="2"/>
        <v>39</v>
      </c>
      <c r="T2341" s="6" t="str">
        <f t="shared" si="3"/>
        <v>Old</v>
      </c>
    </row>
    <row r="2342" ht="14.25" customHeight="1">
      <c r="A2342" s="5">
        <v>893945.0</v>
      </c>
      <c r="B2342" s="6" t="s">
        <v>9403</v>
      </c>
      <c r="C2342" s="6" t="s">
        <v>53</v>
      </c>
      <c r="D2342" s="6">
        <v>55515.0</v>
      </c>
      <c r="E2342" s="6" t="s">
        <v>30</v>
      </c>
      <c r="F2342" s="6" t="s">
        <v>61</v>
      </c>
      <c r="G2342" s="6" t="s">
        <v>55</v>
      </c>
      <c r="H2342" s="7">
        <v>1460.0</v>
      </c>
      <c r="I2342" s="7">
        <v>8369.0</v>
      </c>
      <c r="J2342" s="6">
        <v>1987.0</v>
      </c>
      <c r="K2342" s="6">
        <v>118.0</v>
      </c>
      <c r="L2342" s="6" t="s">
        <v>62</v>
      </c>
      <c r="M2342" s="6" t="s">
        <v>9404</v>
      </c>
      <c r="N2342" s="6" t="s">
        <v>43</v>
      </c>
      <c r="O2342" s="6" t="s">
        <v>25</v>
      </c>
      <c r="P2342" s="6">
        <f>COUNTIF(Analysis!$M$1:$M$3001,Analysis!$M2342)</f>
        <v>1</v>
      </c>
      <c r="Q2342" s="6" t="str">
        <f>IF(COUNTIF(Analysis!$M$2:$M$3001,Analysis!$M2342)&gt;1,"Duplicate","OK")</f>
        <v>OK</v>
      </c>
      <c r="R2342" s="6" t="str">
        <f t="shared" si="1"/>
        <v>600-1600</v>
      </c>
      <c r="S2342" s="6">
        <f t="shared" si="2"/>
        <v>39</v>
      </c>
      <c r="T2342" s="6" t="str">
        <f t="shared" si="3"/>
        <v>Old</v>
      </c>
    </row>
    <row r="2343" ht="14.25" customHeight="1">
      <c r="A2343" s="5">
        <v>264387.0</v>
      </c>
      <c r="B2343" s="6" t="s">
        <v>9407</v>
      </c>
      <c r="C2343" s="6" t="s">
        <v>76</v>
      </c>
      <c r="D2343" s="6">
        <v>92035.0</v>
      </c>
      <c r="E2343" s="6" t="s">
        <v>60</v>
      </c>
      <c r="F2343" s="6" t="s">
        <v>61</v>
      </c>
      <c r="G2343" s="6" t="s">
        <v>100</v>
      </c>
      <c r="H2343" s="7">
        <v>2552.0</v>
      </c>
      <c r="I2343" s="7">
        <v>4652.0</v>
      </c>
      <c r="J2343" s="6">
        <v>2006.0</v>
      </c>
      <c r="K2343" s="6">
        <v>49.0</v>
      </c>
      <c r="L2343" s="6" t="s">
        <v>22</v>
      </c>
      <c r="M2343" s="6" t="s">
        <v>9408</v>
      </c>
      <c r="N2343" s="6" t="s">
        <v>24</v>
      </c>
      <c r="O2343" s="6" t="s">
        <v>25</v>
      </c>
      <c r="P2343" s="6">
        <f>COUNTIF(Analysis!$M$1:$M$3001,Analysis!$M2343)</f>
        <v>1</v>
      </c>
      <c r="Q2343" s="6" t="str">
        <f>IF(COUNTIF(Analysis!$M$2:$M$3001,Analysis!$M2343)&gt;1,"Duplicate","OK")</f>
        <v>OK</v>
      </c>
      <c r="R2343" s="6" t="str">
        <f t="shared" si="1"/>
        <v>1600-2600</v>
      </c>
      <c r="S2343" s="6">
        <f t="shared" si="2"/>
        <v>20</v>
      </c>
      <c r="T2343" s="6" t="str">
        <f t="shared" si="3"/>
        <v>Mid</v>
      </c>
    </row>
    <row r="2344" ht="14.25" customHeight="1">
      <c r="A2344" s="5">
        <v>324554.0</v>
      </c>
      <c r="B2344" s="6" t="s">
        <v>9411</v>
      </c>
      <c r="C2344" s="6" t="s">
        <v>53</v>
      </c>
      <c r="D2344" s="6">
        <v>83930.0</v>
      </c>
      <c r="E2344" s="6" t="s">
        <v>77</v>
      </c>
      <c r="F2344" s="6" t="s">
        <v>46</v>
      </c>
      <c r="G2344" s="6" t="s">
        <v>100</v>
      </c>
      <c r="H2344" s="7">
        <v>3512.0</v>
      </c>
      <c r="I2344" s="7">
        <v>7003.0</v>
      </c>
      <c r="J2344" s="6">
        <v>1965.0</v>
      </c>
      <c r="K2344" s="6">
        <v>92.0</v>
      </c>
      <c r="L2344" s="6" t="s">
        <v>95</v>
      </c>
      <c r="M2344" s="6" t="s">
        <v>9412</v>
      </c>
      <c r="N2344" s="6" t="s">
        <v>24</v>
      </c>
      <c r="O2344" s="6" t="s">
        <v>49</v>
      </c>
      <c r="P2344" s="6">
        <f>COUNTIF(Analysis!$M$1:$M$3001,Analysis!$M2344)</f>
        <v>1</v>
      </c>
      <c r="Q2344" s="6" t="str">
        <f>IF(COUNTIF(Analysis!$M$2:$M$3001,Analysis!$M2344)&gt;1,"Duplicate","OK")</f>
        <v>OK</v>
      </c>
      <c r="R2344" s="6" t="str">
        <f t="shared" si="1"/>
        <v>2600-3600</v>
      </c>
      <c r="S2344" s="6">
        <f t="shared" si="2"/>
        <v>61</v>
      </c>
      <c r="T2344" s="6" t="str">
        <f t="shared" si="3"/>
        <v>Very Old</v>
      </c>
    </row>
    <row r="2345" ht="14.25" customHeight="1">
      <c r="A2345" s="5">
        <v>1216751.0</v>
      </c>
      <c r="B2345" s="6" t="s">
        <v>4647</v>
      </c>
      <c r="C2345" s="6" t="s">
        <v>29</v>
      </c>
      <c r="D2345" s="6">
        <v>67919.0</v>
      </c>
      <c r="E2345" s="6" t="s">
        <v>77</v>
      </c>
      <c r="F2345" s="6" t="s">
        <v>41</v>
      </c>
      <c r="G2345" s="6" t="s">
        <v>31</v>
      </c>
      <c r="H2345" s="7">
        <v>2288.0</v>
      </c>
      <c r="I2345" s="7">
        <v>9197.0</v>
      </c>
      <c r="J2345" s="6">
        <v>1974.0</v>
      </c>
      <c r="K2345" s="6">
        <v>110.0</v>
      </c>
      <c r="L2345" s="6" t="s">
        <v>62</v>
      </c>
      <c r="M2345" s="6" t="s">
        <v>4648</v>
      </c>
      <c r="N2345" s="6" t="s">
        <v>34</v>
      </c>
      <c r="O2345" s="6" t="s">
        <v>49</v>
      </c>
      <c r="P2345" s="6">
        <f>COUNTIF(Analysis!$M$1:$M$3001,Analysis!$M1152)</f>
        <v>1</v>
      </c>
      <c r="Q2345" s="6" t="str">
        <f>IF(COUNTIF(Analysis!$M$2:$M$3001,Analysis!$M1152)&gt;1,"Duplicate","OK")</f>
        <v>OK</v>
      </c>
      <c r="R2345" s="6" t="str">
        <f t="shared" si="1"/>
        <v>1600-2600</v>
      </c>
      <c r="S2345" s="6">
        <f t="shared" si="2"/>
        <v>52</v>
      </c>
      <c r="T2345" s="6" t="str">
        <f t="shared" si="3"/>
        <v>Old</v>
      </c>
    </row>
    <row r="2346" ht="14.25" customHeight="1">
      <c r="A2346" s="5">
        <v>1418824.0</v>
      </c>
      <c r="B2346" s="6" t="s">
        <v>9419</v>
      </c>
      <c r="C2346" s="6" t="s">
        <v>18</v>
      </c>
      <c r="D2346" s="6">
        <v>96081.0</v>
      </c>
      <c r="E2346" s="6" t="s">
        <v>40</v>
      </c>
      <c r="F2346" s="6" t="s">
        <v>54</v>
      </c>
      <c r="G2346" s="6" t="s">
        <v>31</v>
      </c>
      <c r="H2346" s="7">
        <v>3578.0</v>
      </c>
      <c r="I2346" s="7">
        <v>9553.0</v>
      </c>
      <c r="J2346" s="6">
        <v>2011.0</v>
      </c>
      <c r="K2346" s="6">
        <v>13.0</v>
      </c>
      <c r="L2346" s="6" t="s">
        <v>22</v>
      </c>
      <c r="M2346" s="6" t="s">
        <v>9420</v>
      </c>
      <c r="N2346" s="6" t="s">
        <v>48</v>
      </c>
      <c r="O2346" s="6" t="s">
        <v>25</v>
      </c>
      <c r="P2346" s="6">
        <f>COUNTIF(Analysis!$M$1:$M$3001,Analysis!$M2346)</f>
        <v>1</v>
      </c>
      <c r="Q2346" s="6" t="str">
        <f>IF(COUNTIF(Analysis!$M$2:$M$3001,Analysis!$M2346)&gt;1,"Duplicate","OK")</f>
        <v>OK</v>
      </c>
      <c r="R2346" s="6" t="str">
        <f t="shared" si="1"/>
        <v>2600-3600</v>
      </c>
      <c r="S2346" s="6">
        <f t="shared" si="2"/>
        <v>15</v>
      </c>
      <c r="T2346" s="6" t="str">
        <f t="shared" si="3"/>
        <v>Mid</v>
      </c>
    </row>
    <row r="2347" ht="14.25" customHeight="1">
      <c r="A2347" s="5">
        <v>124837.0</v>
      </c>
      <c r="B2347" s="6" t="s">
        <v>9423</v>
      </c>
      <c r="C2347" s="6" t="s">
        <v>39</v>
      </c>
      <c r="D2347" s="6">
        <v>92484.0</v>
      </c>
      <c r="E2347" s="6" t="s">
        <v>19</v>
      </c>
      <c r="F2347" s="6" t="s">
        <v>54</v>
      </c>
      <c r="G2347" s="6" t="s">
        <v>31</v>
      </c>
      <c r="H2347" s="7">
        <v>2183.0</v>
      </c>
      <c r="I2347" s="7">
        <v>5809.0</v>
      </c>
      <c r="J2347" s="6">
        <v>2020.0</v>
      </c>
      <c r="K2347" s="6">
        <v>65.0</v>
      </c>
      <c r="L2347" s="6" t="s">
        <v>95</v>
      </c>
      <c r="M2347" s="6" t="s">
        <v>9424</v>
      </c>
      <c r="N2347" s="6" t="s">
        <v>24</v>
      </c>
      <c r="O2347" s="6" t="s">
        <v>25</v>
      </c>
      <c r="P2347" s="6">
        <f>COUNTIF(Analysis!$M$1:$M$3001,Analysis!$M2347)</f>
        <v>1</v>
      </c>
      <c r="Q2347" s="6" t="str">
        <f>IF(COUNTIF(Analysis!$M$2:$M$3001,Analysis!$M2347)&gt;1,"Duplicate","OK")</f>
        <v>OK</v>
      </c>
      <c r="R2347" s="6" t="str">
        <f t="shared" si="1"/>
        <v>1600-2600</v>
      </c>
      <c r="S2347" s="6">
        <f t="shared" si="2"/>
        <v>6</v>
      </c>
      <c r="T2347" s="6" t="str">
        <f t="shared" si="3"/>
        <v>New</v>
      </c>
    </row>
    <row r="2348" ht="14.25" customHeight="1">
      <c r="A2348" s="5">
        <v>302039.0</v>
      </c>
      <c r="B2348" s="6" t="s">
        <v>9427</v>
      </c>
      <c r="C2348" s="6" t="s">
        <v>39</v>
      </c>
      <c r="D2348" s="6">
        <v>93008.0</v>
      </c>
      <c r="E2348" s="6" t="s">
        <v>19</v>
      </c>
      <c r="F2348" s="6" t="s">
        <v>46</v>
      </c>
      <c r="G2348" s="6" t="s">
        <v>55</v>
      </c>
      <c r="H2348" s="7">
        <v>1392.0</v>
      </c>
      <c r="I2348" s="7">
        <v>8342.0</v>
      </c>
      <c r="J2348" s="6">
        <v>1958.0</v>
      </c>
      <c r="K2348" s="6">
        <v>59.0</v>
      </c>
      <c r="L2348" s="6" t="s">
        <v>32</v>
      </c>
      <c r="M2348" s="6" t="s">
        <v>9428</v>
      </c>
      <c r="N2348" s="6" t="s">
        <v>24</v>
      </c>
      <c r="O2348" s="6" t="s">
        <v>49</v>
      </c>
      <c r="P2348" s="6">
        <f>COUNTIF(Analysis!$M$1:$M$3001,Analysis!$M2348)</f>
        <v>1</v>
      </c>
      <c r="Q2348" s="6" t="str">
        <f>IF(COUNTIF(Analysis!$M$2:$M$3001,Analysis!$M2348)&gt;1,"Duplicate","OK")</f>
        <v>OK</v>
      </c>
      <c r="R2348" s="6" t="str">
        <f t="shared" si="1"/>
        <v>600-1600</v>
      </c>
      <c r="S2348" s="6">
        <f t="shared" si="2"/>
        <v>68</v>
      </c>
      <c r="T2348" s="6" t="str">
        <f t="shared" si="3"/>
        <v>Very Old</v>
      </c>
    </row>
    <row r="2349" ht="14.25" customHeight="1">
      <c r="A2349" s="5">
        <v>493579.0</v>
      </c>
      <c r="B2349" s="6" t="s">
        <v>9431</v>
      </c>
      <c r="C2349" s="6" t="s">
        <v>39</v>
      </c>
      <c r="D2349" s="6">
        <v>61576.0</v>
      </c>
      <c r="E2349" s="6" t="s">
        <v>40</v>
      </c>
      <c r="F2349" s="6" t="s">
        <v>54</v>
      </c>
      <c r="G2349" s="6" t="s">
        <v>31</v>
      </c>
      <c r="H2349" s="7">
        <v>1187.0</v>
      </c>
      <c r="I2349" s="7">
        <v>8603.0</v>
      </c>
      <c r="J2349" s="6">
        <v>1953.0</v>
      </c>
      <c r="K2349" s="6">
        <v>76.0</v>
      </c>
      <c r="L2349" s="6" t="s">
        <v>141</v>
      </c>
      <c r="M2349" s="6" t="s">
        <v>9432</v>
      </c>
      <c r="N2349" s="6" t="s">
        <v>34</v>
      </c>
      <c r="O2349" s="6" t="s">
        <v>49</v>
      </c>
      <c r="P2349" s="6">
        <f>COUNTIF(Analysis!$M$1:$M$3001,Analysis!$M2349)</f>
        <v>1</v>
      </c>
      <c r="Q2349" s="6" t="str">
        <f>IF(COUNTIF(Analysis!$M$2:$M$3001,Analysis!$M2349)&gt;1,"Duplicate","OK")</f>
        <v>OK</v>
      </c>
      <c r="R2349" s="6" t="str">
        <f t="shared" si="1"/>
        <v>600-1600</v>
      </c>
      <c r="S2349" s="6">
        <f t="shared" si="2"/>
        <v>73</v>
      </c>
      <c r="T2349" s="6" t="str">
        <f t="shared" si="3"/>
        <v>Very Old</v>
      </c>
    </row>
    <row r="2350" ht="14.25" customHeight="1">
      <c r="A2350" s="5">
        <v>382647.0</v>
      </c>
      <c r="B2350" s="6" t="s">
        <v>9435</v>
      </c>
      <c r="C2350" s="6" t="s">
        <v>76</v>
      </c>
      <c r="D2350" s="6">
        <v>75902.0</v>
      </c>
      <c r="E2350" s="6" t="s">
        <v>40</v>
      </c>
      <c r="F2350" s="6" t="s">
        <v>54</v>
      </c>
      <c r="G2350" s="6" t="s">
        <v>100</v>
      </c>
      <c r="H2350" s="7">
        <v>1848.0</v>
      </c>
      <c r="I2350" s="7">
        <v>4632.0</v>
      </c>
      <c r="J2350" s="6">
        <v>2012.0</v>
      </c>
      <c r="K2350" s="6">
        <v>3.0</v>
      </c>
      <c r="L2350" s="6" t="s">
        <v>32</v>
      </c>
      <c r="M2350" s="6" t="s">
        <v>9436</v>
      </c>
      <c r="N2350" s="6" t="s">
        <v>48</v>
      </c>
      <c r="O2350" s="6" t="s">
        <v>49</v>
      </c>
      <c r="P2350" s="6">
        <f>COUNTIF(Analysis!$M$1:$M$3001,Analysis!$M2350)</f>
        <v>1</v>
      </c>
      <c r="Q2350" s="6" t="str">
        <f>IF(COUNTIF(Analysis!$M$2:$M$3001,Analysis!$M2350)&gt;1,"Duplicate","OK")</f>
        <v>OK</v>
      </c>
      <c r="R2350" s="6" t="str">
        <f t="shared" si="1"/>
        <v>1600-2600</v>
      </c>
      <c r="S2350" s="6">
        <f t="shared" si="2"/>
        <v>14</v>
      </c>
      <c r="T2350" s="6" t="str">
        <f t="shared" si="3"/>
        <v>Mid</v>
      </c>
    </row>
    <row r="2351" ht="14.25" customHeight="1">
      <c r="A2351" s="5">
        <v>1217073.0</v>
      </c>
      <c r="B2351" s="6" t="s">
        <v>1869</v>
      </c>
      <c r="C2351" s="6" t="s">
        <v>29</v>
      </c>
      <c r="D2351" s="6">
        <v>33023.0</v>
      </c>
      <c r="E2351" s="6" t="s">
        <v>30</v>
      </c>
      <c r="F2351" s="6" t="s">
        <v>94</v>
      </c>
      <c r="G2351" s="6" t="s">
        <v>21</v>
      </c>
      <c r="H2351" s="7">
        <v>3217.0</v>
      </c>
      <c r="I2351" s="7">
        <v>8739.0</v>
      </c>
      <c r="J2351" s="6">
        <v>1976.0</v>
      </c>
      <c r="K2351" s="6">
        <v>49.0</v>
      </c>
      <c r="L2351" s="6" t="s">
        <v>62</v>
      </c>
      <c r="M2351" s="6" t="s">
        <v>1870</v>
      </c>
      <c r="N2351" s="6" t="s">
        <v>34</v>
      </c>
      <c r="O2351" s="6" t="s">
        <v>35</v>
      </c>
      <c r="P2351" s="6">
        <f>COUNTIF(Analysis!$M$1:$M$3001,Analysis!$M457)</f>
        <v>1</v>
      </c>
      <c r="Q2351" s="6" t="str">
        <f>IF(COUNTIF(Analysis!$M$2:$M$3001,Analysis!$M457)&gt;1,"Duplicate","OK")</f>
        <v>OK</v>
      </c>
      <c r="R2351" s="6" t="str">
        <f t="shared" si="1"/>
        <v>2600-3600</v>
      </c>
      <c r="S2351" s="6">
        <f t="shared" si="2"/>
        <v>50</v>
      </c>
      <c r="T2351" s="6" t="str">
        <f t="shared" si="3"/>
        <v>Old</v>
      </c>
    </row>
    <row r="2352" ht="14.25" customHeight="1">
      <c r="A2352" s="5">
        <v>128786.0</v>
      </c>
      <c r="B2352" s="6" t="s">
        <v>9443</v>
      </c>
      <c r="C2352" s="6" t="s">
        <v>76</v>
      </c>
      <c r="D2352" s="6">
        <v>60225.0</v>
      </c>
      <c r="E2352" s="6" t="s">
        <v>77</v>
      </c>
      <c r="F2352" s="6" t="s">
        <v>54</v>
      </c>
      <c r="G2352" s="6" t="s">
        <v>21</v>
      </c>
      <c r="H2352" s="7">
        <v>3828.0</v>
      </c>
      <c r="I2352" s="7">
        <v>4647.0</v>
      </c>
      <c r="J2352" s="6">
        <v>2019.0</v>
      </c>
      <c r="K2352" s="6">
        <v>65.0</v>
      </c>
      <c r="L2352" s="6" t="s">
        <v>22</v>
      </c>
      <c r="M2352" s="6" t="s">
        <v>9444</v>
      </c>
      <c r="N2352" s="6" t="s">
        <v>24</v>
      </c>
      <c r="O2352" s="6" t="s">
        <v>35</v>
      </c>
      <c r="P2352" s="6">
        <f>COUNTIF(Analysis!$M$1:$M$3001,Analysis!$M2352)</f>
        <v>1</v>
      </c>
      <c r="Q2352" s="6" t="str">
        <f>IF(COUNTIF(Analysis!$M$2:$M$3001,Analysis!$M2352)&gt;1,"Duplicate","OK")</f>
        <v>OK</v>
      </c>
      <c r="R2352" s="6" t="str">
        <f t="shared" si="1"/>
        <v>3600+</v>
      </c>
      <c r="S2352" s="6">
        <f t="shared" si="2"/>
        <v>7</v>
      </c>
      <c r="T2352" s="6" t="str">
        <f t="shared" si="3"/>
        <v>New</v>
      </c>
    </row>
    <row r="2353" ht="14.25" customHeight="1">
      <c r="A2353" s="5">
        <v>1186905.0</v>
      </c>
      <c r="B2353" s="6" t="s">
        <v>9447</v>
      </c>
      <c r="C2353" s="6" t="s">
        <v>76</v>
      </c>
      <c r="D2353" s="6">
        <v>56905.0</v>
      </c>
      <c r="E2353" s="6" t="s">
        <v>40</v>
      </c>
      <c r="F2353" s="6" t="s">
        <v>94</v>
      </c>
      <c r="G2353" s="6" t="s">
        <v>21</v>
      </c>
      <c r="H2353" s="7">
        <v>2329.0</v>
      </c>
      <c r="I2353" s="7">
        <v>2596.0</v>
      </c>
      <c r="J2353" s="6">
        <v>2006.0</v>
      </c>
      <c r="K2353" s="6">
        <v>53.0</v>
      </c>
      <c r="L2353" s="6" t="s">
        <v>22</v>
      </c>
      <c r="M2353" s="6" t="s">
        <v>9448</v>
      </c>
      <c r="N2353" s="6" t="s">
        <v>43</v>
      </c>
      <c r="O2353" s="6" t="s">
        <v>25</v>
      </c>
      <c r="P2353" s="6">
        <f>COUNTIF(Analysis!$M$1:$M$3001,Analysis!$M2353)</f>
        <v>1</v>
      </c>
      <c r="Q2353" s="6" t="str">
        <f>IF(COUNTIF(Analysis!$M$2:$M$3001,Analysis!$M2353)&gt;1,"Duplicate","OK")</f>
        <v>OK</v>
      </c>
      <c r="R2353" s="6" t="str">
        <f t="shared" si="1"/>
        <v>1600-2600</v>
      </c>
      <c r="S2353" s="6">
        <f t="shared" si="2"/>
        <v>20</v>
      </c>
      <c r="T2353" s="6" t="str">
        <f t="shared" si="3"/>
        <v>Mid</v>
      </c>
    </row>
    <row r="2354" ht="14.25" customHeight="1">
      <c r="A2354" s="5">
        <v>1025387.0</v>
      </c>
      <c r="B2354" s="6" t="s">
        <v>9451</v>
      </c>
      <c r="C2354" s="6" t="s">
        <v>76</v>
      </c>
      <c r="D2354" s="6">
        <v>33634.0</v>
      </c>
      <c r="E2354" s="6" t="s">
        <v>19</v>
      </c>
      <c r="F2354" s="6" t="s">
        <v>54</v>
      </c>
      <c r="G2354" s="6" t="s">
        <v>21</v>
      </c>
      <c r="H2354" s="7">
        <v>1254.0</v>
      </c>
      <c r="I2354" s="7">
        <v>1160.0</v>
      </c>
      <c r="J2354" s="6">
        <v>1964.0</v>
      </c>
      <c r="K2354" s="6">
        <v>72.0</v>
      </c>
      <c r="L2354" s="6" t="s">
        <v>22</v>
      </c>
      <c r="M2354" s="6" t="s">
        <v>9452</v>
      </c>
      <c r="N2354" s="6" t="s">
        <v>34</v>
      </c>
      <c r="O2354" s="6" t="s">
        <v>35</v>
      </c>
      <c r="P2354" s="6">
        <f>COUNTIF(Analysis!$M$1:$M$3001,Analysis!$M2354)</f>
        <v>1</v>
      </c>
      <c r="Q2354" s="6" t="str">
        <f>IF(COUNTIF(Analysis!$M$2:$M$3001,Analysis!$M2354)&gt;1,"Duplicate","OK")</f>
        <v>OK</v>
      </c>
      <c r="R2354" s="6" t="str">
        <f t="shared" si="1"/>
        <v>600-1600</v>
      </c>
      <c r="S2354" s="6">
        <f t="shared" si="2"/>
        <v>62</v>
      </c>
      <c r="T2354" s="6" t="str">
        <f t="shared" si="3"/>
        <v>Very Old</v>
      </c>
    </row>
    <row r="2355" ht="14.25" customHeight="1">
      <c r="A2355" s="5">
        <v>1209671.0</v>
      </c>
      <c r="B2355" s="6" t="s">
        <v>9455</v>
      </c>
      <c r="C2355" s="6" t="s">
        <v>39</v>
      </c>
      <c r="D2355" s="6">
        <v>85240.0</v>
      </c>
      <c r="E2355" s="6" t="s">
        <v>77</v>
      </c>
      <c r="F2355" s="6" t="s">
        <v>94</v>
      </c>
      <c r="G2355" s="6" t="s">
        <v>21</v>
      </c>
      <c r="H2355" s="7">
        <v>3074.0</v>
      </c>
      <c r="I2355" s="7">
        <v>1832.0</v>
      </c>
      <c r="J2355" s="6">
        <v>2015.0</v>
      </c>
      <c r="K2355" s="6">
        <v>84.0</v>
      </c>
      <c r="L2355" s="6" t="s">
        <v>62</v>
      </c>
      <c r="M2355" s="6" t="s">
        <v>9456</v>
      </c>
      <c r="N2355" s="6" t="s">
        <v>48</v>
      </c>
      <c r="O2355" s="6" t="s">
        <v>49</v>
      </c>
      <c r="P2355" s="6">
        <f>COUNTIF(Analysis!$M$1:$M$3001,Analysis!$M2355)</f>
        <v>1</v>
      </c>
      <c r="Q2355" s="6" t="str">
        <f>IF(COUNTIF(Analysis!$M$2:$M$3001,Analysis!$M2355)&gt;1,"Duplicate","OK")</f>
        <v>OK</v>
      </c>
      <c r="R2355" s="6" t="str">
        <f t="shared" si="1"/>
        <v>2600-3600</v>
      </c>
      <c r="S2355" s="6">
        <f t="shared" si="2"/>
        <v>11</v>
      </c>
      <c r="T2355" s="6" t="str">
        <f t="shared" si="3"/>
        <v>Mid</v>
      </c>
    </row>
    <row r="2356" ht="14.25" customHeight="1">
      <c r="A2356" s="5">
        <v>1219024.0</v>
      </c>
      <c r="B2356" s="6" t="s">
        <v>3415</v>
      </c>
      <c r="C2356" s="6" t="s">
        <v>29</v>
      </c>
      <c r="D2356" s="6">
        <v>11818.0</v>
      </c>
      <c r="E2356" s="6" t="s">
        <v>30</v>
      </c>
      <c r="F2356" s="6" t="s">
        <v>20</v>
      </c>
      <c r="G2356" s="6" t="s">
        <v>100</v>
      </c>
      <c r="H2356" s="7">
        <v>1580.0</v>
      </c>
      <c r="I2356" s="7">
        <v>1047.0</v>
      </c>
      <c r="J2356" s="6">
        <v>1998.0</v>
      </c>
      <c r="K2356" s="6">
        <v>69.0</v>
      </c>
      <c r="L2356" s="6" t="s">
        <v>141</v>
      </c>
      <c r="M2356" s="6" t="s">
        <v>3416</v>
      </c>
      <c r="N2356" s="6" t="s">
        <v>43</v>
      </c>
      <c r="O2356" s="6" t="s">
        <v>25</v>
      </c>
      <c r="P2356" s="6">
        <f>COUNTIF(Analysis!$M$1:$M$3001,Analysis!$M844)</f>
        <v>1</v>
      </c>
      <c r="Q2356" s="6" t="str">
        <f>IF(COUNTIF(Analysis!$M$2:$M$3001,Analysis!$M844)&gt;1,"Duplicate","OK")</f>
        <v>OK</v>
      </c>
      <c r="R2356" s="6" t="str">
        <f t="shared" si="1"/>
        <v>600-1600</v>
      </c>
      <c r="S2356" s="6">
        <f t="shared" si="2"/>
        <v>28</v>
      </c>
      <c r="T2356" s="6" t="str">
        <f t="shared" si="3"/>
        <v>Mid</v>
      </c>
    </row>
    <row r="2357" ht="14.25" customHeight="1">
      <c r="A2357" s="5">
        <v>1219561.0</v>
      </c>
      <c r="B2357" s="6" t="s">
        <v>10779</v>
      </c>
      <c r="C2357" s="6" t="s">
        <v>29</v>
      </c>
      <c r="D2357" s="6">
        <v>20224.0</v>
      </c>
      <c r="E2357" s="6" t="s">
        <v>19</v>
      </c>
      <c r="F2357" s="6" t="s">
        <v>94</v>
      </c>
      <c r="G2357" s="6" t="s">
        <v>100</v>
      </c>
      <c r="H2357" s="7">
        <v>2361.0</v>
      </c>
      <c r="I2357" s="7">
        <v>4893.0</v>
      </c>
      <c r="J2357" s="6">
        <v>1999.0</v>
      </c>
      <c r="K2357" s="6">
        <v>49.0</v>
      </c>
      <c r="L2357" s="6" t="s">
        <v>22</v>
      </c>
      <c r="M2357" s="6" t="s">
        <v>10780</v>
      </c>
      <c r="N2357" s="6" t="s">
        <v>48</v>
      </c>
      <c r="O2357" s="6" t="s">
        <v>35</v>
      </c>
      <c r="P2357" s="6">
        <f>COUNTIF(Analysis!$M$1:$M$3001,Analysis!$M2686)</f>
        <v>1</v>
      </c>
      <c r="Q2357" s="6" t="str">
        <f>IF(COUNTIF(Analysis!$M$2:$M$3001,Analysis!$M2686)&gt;1,"Duplicate","OK")</f>
        <v>OK</v>
      </c>
      <c r="R2357" s="6" t="str">
        <f t="shared" si="1"/>
        <v>1600-2600</v>
      </c>
      <c r="S2357" s="6">
        <f t="shared" si="2"/>
        <v>27</v>
      </c>
      <c r="T2357" s="6" t="str">
        <f t="shared" si="3"/>
        <v>Mid</v>
      </c>
    </row>
    <row r="2358" ht="14.25" customHeight="1">
      <c r="A2358" s="5">
        <v>728894.0</v>
      </c>
      <c r="B2358" s="6" t="s">
        <v>9467</v>
      </c>
      <c r="C2358" s="6" t="s">
        <v>53</v>
      </c>
      <c r="D2358" s="6">
        <v>12662.0</v>
      </c>
      <c r="E2358" s="6" t="s">
        <v>60</v>
      </c>
      <c r="F2358" s="6" t="s">
        <v>61</v>
      </c>
      <c r="G2358" s="6" t="s">
        <v>31</v>
      </c>
      <c r="H2358" s="7">
        <v>1275.0</v>
      </c>
      <c r="I2358" s="7">
        <v>9678.0</v>
      </c>
      <c r="J2358" s="6">
        <v>1993.0</v>
      </c>
      <c r="K2358" s="6">
        <v>81.0</v>
      </c>
      <c r="L2358" s="6" t="s">
        <v>62</v>
      </c>
      <c r="M2358" s="6" t="s">
        <v>9468</v>
      </c>
      <c r="N2358" s="6" t="s">
        <v>48</v>
      </c>
      <c r="O2358" s="6" t="s">
        <v>49</v>
      </c>
      <c r="P2358" s="6">
        <f>COUNTIF(Analysis!$M$1:$M$3001,Analysis!$M2358)</f>
        <v>1</v>
      </c>
      <c r="Q2358" s="6" t="str">
        <f>IF(COUNTIF(Analysis!$M$2:$M$3001,Analysis!$M2358)&gt;1,"Duplicate","OK")</f>
        <v>OK</v>
      </c>
      <c r="R2358" s="6" t="str">
        <f t="shared" si="1"/>
        <v>600-1600</v>
      </c>
      <c r="S2358" s="6">
        <f t="shared" si="2"/>
        <v>33</v>
      </c>
      <c r="T2358" s="6" t="str">
        <f t="shared" si="3"/>
        <v>Old</v>
      </c>
    </row>
    <row r="2359" ht="14.25" customHeight="1">
      <c r="A2359" s="5">
        <v>527252.0</v>
      </c>
      <c r="B2359" s="6" t="s">
        <v>9471</v>
      </c>
      <c r="C2359" s="6" t="s">
        <v>53</v>
      </c>
      <c r="D2359" s="6">
        <v>95297.0</v>
      </c>
      <c r="E2359" s="6" t="s">
        <v>60</v>
      </c>
      <c r="F2359" s="6" t="s">
        <v>54</v>
      </c>
      <c r="G2359" s="6" t="s">
        <v>31</v>
      </c>
      <c r="H2359" s="7">
        <v>932.0</v>
      </c>
      <c r="I2359" s="7">
        <v>9842.0</v>
      </c>
      <c r="J2359" s="6">
        <v>1966.0</v>
      </c>
      <c r="K2359" s="6">
        <v>47.0</v>
      </c>
      <c r="L2359" s="6" t="s">
        <v>141</v>
      </c>
      <c r="M2359" s="6" t="s">
        <v>9472</v>
      </c>
      <c r="N2359" s="6" t="s">
        <v>48</v>
      </c>
      <c r="O2359" s="6" t="s">
        <v>49</v>
      </c>
      <c r="P2359" s="6">
        <f>COUNTIF(Analysis!$M$1:$M$3001,Analysis!$M2359)</f>
        <v>1</v>
      </c>
      <c r="Q2359" s="6" t="str">
        <f>IF(COUNTIF(Analysis!$M$2:$M$3001,Analysis!$M2359)&gt;1,"Duplicate","OK")</f>
        <v>OK</v>
      </c>
      <c r="R2359" s="6" t="str">
        <f t="shared" si="1"/>
        <v>600-1600</v>
      </c>
      <c r="S2359" s="6">
        <f t="shared" si="2"/>
        <v>60</v>
      </c>
      <c r="T2359" s="6" t="str">
        <f t="shared" si="3"/>
        <v>Old</v>
      </c>
    </row>
    <row r="2360" ht="14.25" customHeight="1">
      <c r="A2360" s="5">
        <v>760732.0</v>
      </c>
      <c r="B2360" s="6" t="s">
        <v>9475</v>
      </c>
      <c r="C2360" s="6" t="s">
        <v>39</v>
      </c>
      <c r="D2360" s="6">
        <v>24915.0</v>
      </c>
      <c r="E2360" s="6" t="s">
        <v>60</v>
      </c>
      <c r="F2360" s="6" t="s">
        <v>20</v>
      </c>
      <c r="G2360" s="6" t="s">
        <v>100</v>
      </c>
      <c r="H2360" s="7">
        <v>1703.0</v>
      </c>
      <c r="I2360" s="7">
        <v>9188.0</v>
      </c>
      <c r="J2360" s="6">
        <v>1986.0</v>
      </c>
      <c r="K2360" s="6">
        <v>10.0</v>
      </c>
      <c r="L2360" s="6" t="s">
        <v>141</v>
      </c>
      <c r="M2360" s="6" t="s">
        <v>9476</v>
      </c>
      <c r="N2360" s="6" t="s">
        <v>48</v>
      </c>
      <c r="O2360" s="6" t="s">
        <v>35</v>
      </c>
      <c r="P2360" s="6">
        <f>COUNTIF(Analysis!$M$1:$M$3001,Analysis!$M2360)</f>
        <v>1</v>
      </c>
      <c r="Q2360" s="6" t="str">
        <f>IF(COUNTIF(Analysis!$M$2:$M$3001,Analysis!$M2360)&gt;1,"Duplicate","OK")</f>
        <v>OK</v>
      </c>
      <c r="R2360" s="6" t="str">
        <f t="shared" si="1"/>
        <v>1600-2600</v>
      </c>
      <c r="S2360" s="6">
        <f t="shared" si="2"/>
        <v>40</v>
      </c>
      <c r="T2360" s="6" t="str">
        <f t="shared" si="3"/>
        <v>Old</v>
      </c>
    </row>
    <row r="2361" ht="14.25" customHeight="1">
      <c r="A2361" s="5">
        <v>1225786.0</v>
      </c>
      <c r="B2361" s="6" t="s">
        <v>7041</v>
      </c>
      <c r="C2361" s="6" t="s">
        <v>29</v>
      </c>
      <c r="D2361" s="6">
        <v>71486.0</v>
      </c>
      <c r="E2361" s="6" t="s">
        <v>77</v>
      </c>
      <c r="F2361" s="6" t="s">
        <v>20</v>
      </c>
      <c r="G2361" s="6" t="s">
        <v>100</v>
      </c>
      <c r="H2361" s="7">
        <v>751.0</v>
      </c>
      <c r="I2361" s="7">
        <v>7400.0</v>
      </c>
      <c r="J2361" s="6">
        <v>2021.0</v>
      </c>
      <c r="K2361" s="6">
        <v>1.0</v>
      </c>
      <c r="L2361" s="6" t="s">
        <v>32</v>
      </c>
      <c r="M2361" s="6" t="s">
        <v>7042</v>
      </c>
      <c r="N2361" s="6" t="s">
        <v>64</v>
      </c>
      <c r="O2361" s="6" t="s">
        <v>35</v>
      </c>
      <c r="P2361" s="6">
        <f>COUNTIF(Analysis!$M$1:$M$3001,Analysis!$M1751)</f>
        <v>1</v>
      </c>
      <c r="Q2361" s="6" t="str">
        <f>IF(COUNTIF(Analysis!$M$2:$M$3001,Analysis!$M1751)&gt;1,"Duplicate","OK")</f>
        <v>OK</v>
      </c>
      <c r="R2361" s="6" t="str">
        <f t="shared" si="1"/>
        <v>600-1600</v>
      </c>
      <c r="S2361" s="6">
        <f t="shared" si="2"/>
        <v>5</v>
      </c>
      <c r="T2361" s="6" t="str">
        <f t="shared" si="3"/>
        <v>New</v>
      </c>
    </row>
    <row r="2362" ht="14.25" customHeight="1">
      <c r="A2362" s="5">
        <v>1228208.0</v>
      </c>
      <c r="B2362" s="6" t="s">
        <v>3507</v>
      </c>
      <c r="C2362" s="6" t="s">
        <v>29</v>
      </c>
      <c r="D2362" s="6">
        <v>30014.0</v>
      </c>
      <c r="E2362" s="6" t="s">
        <v>60</v>
      </c>
      <c r="F2362" s="6" t="s">
        <v>41</v>
      </c>
      <c r="G2362" s="6" t="s">
        <v>31</v>
      </c>
      <c r="H2362" s="7">
        <v>3370.0</v>
      </c>
      <c r="I2362" s="7">
        <v>4176.0</v>
      </c>
      <c r="J2362" s="6">
        <v>1981.0</v>
      </c>
      <c r="K2362" s="6">
        <v>87.0</v>
      </c>
      <c r="L2362" s="6" t="s">
        <v>62</v>
      </c>
      <c r="M2362" s="6" t="s">
        <v>3508</v>
      </c>
      <c r="N2362" s="6" t="s">
        <v>24</v>
      </c>
      <c r="O2362" s="6" t="s">
        <v>35</v>
      </c>
      <c r="P2362" s="6">
        <f>COUNTIF(Analysis!$M$1:$M$3001,Analysis!$M867)</f>
        <v>1</v>
      </c>
      <c r="Q2362" s="6" t="str">
        <f>IF(COUNTIF(Analysis!$M$2:$M$3001,Analysis!$M867)&gt;1,"Duplicate","OK")</f>
        <v>OK</v>
      </c>
      <c r="R2362" s="6" t="str">
        <f t="shared" si="1"/>
        <v>2600-3600</v>
      </c>
      <c r="S2362" s="6">
        <f t="shared" si="2"/>
        <v>45</v>
      </c>
      <c r="T2362" s="6" t="str">
        <f t="shared" si="3"/>
        <v>Old</v>
      </c>
    </row>
    <row r="2363" ht="14.25" customHeight="1">
      <c r="A2363" s="5">
        <v>1386972.0</v>
      </c>
      <c r="B2363" s="6" t="s">
        <v>9487</v>
      </c>
      <c r="C2363" s="6" t="s">
        <v>39</v>
      </c>
      <c r="D2363" s="6">
        <v>37203.0</v>
      </c>
      <c r="E2363" s="6" t="s">
        <v>60</v>
      </c>
      <c r="F2363" s="6" t="s">
        <v>94</v>
      </c>
      <c r="G2363" s="6" t="s">
        <v>21</v>
      </c>
      <c r="H2363" s="7">
        <v>2042.0</v>
      </c>
      <c r="I2363" s="7">
        <v>1284.0</v>
      </c>
      <c r="J2363" s="6">
        <v>2010.0</v>
      </c>
      <c r="K2363" s="6">
        <v>45.0</v>
      </c>
      <c r="L2363" s="6" t="s">
        <v>62</v>
      </c>
      <c r="M2363" s="6" t="s">
        <v>9488</v>
      </c>
      <c r="N2363" s="6" t="s">
        <v>34</v>
      </c>
      <c r="O2363" s="6" t="s">
        <v>49</v>
      </c>
      <c r="P2363" s="6">
        <f>COUNTIF(Analysis!$M$1:$M$3001,Analysis!$M2363)</f>
        <v>1</v>
      </c>
      <c r="Q2363" s="6" t="str">
        <f>IF(COUNTIF(Analysis!$M$2:$M$3001,Analysis!$M2363)&gt;1,"Duplicate","OK")</f>
        <v>OK</v>
      </c>
      <c r="R2363" s="6" t="str">
        <f t="shared" si="1"/>
        <v>1600-2600</v>
      </c>
      <c r="S2363" s="6">
        <f t="shared" si="2"/>
        <v>16</v>
      </c>
      <c r="T2363" s="6" t="str">
        <f t="shared" si="3"/>
        <v>Mid</v>
      </c>
    </row>
    <row r="2364" ht="14.25" customHeight="1">
      <c r="A2364" s="5">
        <v>631500.0</v>
      </c>
      <c r="B2364" s="6" t="s">
        <v>9491</v>
      </c>
      <c r="C2364" s="6" t="s">
        <v>53</v>
      </c>
      <c r="D2364" s="6">
        <v>53697.0</v>
      </c>
      <c r="E2364" s="6" t="s">
        <v>30</v>
      </c>
      <c r="F2364" s="6" t="s">
        <v>46</v>
      </c>
      <c r="G2364" s="6" t="s">
        <v>21</v>
      </c>
      <c r="H2364" s="7">
        <v>3672.0</v>
      </c>
      <c r="I2364" s="7">
        <v>7279.0</v>
      </c>
      <c r="J2364" s="6">
        <v>1951.0</v>
      </c>
      <c r="K2364" s="6">
        <v>86.0</v>
      </c>
      <c r="L2364" s="6" t="s">
        <v>32</v>
      </c>
      <c r="M2364" s="6" t="s">
        <v>9492</v>
      </c>
      <c r="N2364" s="6" t="s">
        <v>24</v>
      </c>
      <c r="O2364" s="6" t="s">
        <v>49</v>
      </c>
      <c r="P2364" s="6">
        <f>COUNTIF(Analysis!$M$1:$M$3001,Analysis!$M2364)</f>
        <v>1</v>
      </c>
      <c r="Q2364" s="6" t="str">
        <f>IF(COUNTIF(Analysis!$M$2:$M$3001,Analysis!$M2364)&gt;1,"Duplicate","OK")</f>
        <v>OK</v>
      </c>
      <c r="R2364" s="6" t="str">
        <f t="shared" si="1"/>
        <v>3600+</v>
      </c>
      <c r="S2364" s="6">
        <f t="shared" si="2"/>
        <v>75</v>
      </c>
      <c r="T2364" s="6" t="str">
        <f t="shared" si="3"/>
        <v>Very Old</v>
      </c>
    </row>
    <row r="2365" ht="14.25" customHeight="1">
      <c r="A2365" s="5">
        <v>1482609.0</v>
      </c>
      <c r="B2365" s="6" t="s">
        <v>9495</v>
      </c>
      <c r="C2365" s="6" t="s">
        <v>53</v>
      </c>
      <c r="D2365" s="6">
        <v>27588.0</v>
      </c>
      <c r="E2365" s="6" t="s">
        <v>77</v>
      </c>
      <c r="F2365" s="6" t="s">
        <v>41</v>
      </c>
      <c r="G2365" s="6" t="s">
        <v>55</v>
      </c>
      <c r="H2365" s="7">
        <v>1993.0</v>
      </c>
      <c r="I2365" s="7">
        <v>7426.0</v>
      </c>
      <c r="J2365" s="6">
        <v>1952.0</v>
      </c>
      <c r="K2365" s="6">
        <v>83.0</v>
      </c>
      <c r="L2365" s="6" t="s">
        <v>95</v>
      </c>
      <c r="M2365" s="6" t="s">
        <v>9496</v>
      </c>
      <c r="N2365" s="6" t="s">
        <v>34</v>
      </c>
      <c r="O2365" s="6" t="s">
        <v>35</v>
      </c>
      <c r="P2365" s="6">
        <f>COUNTIF(Analysis!$M$1:$M$3001,Analysis!$M2365)</f>
        <v>1</v>
      </c>
      <c r="Q2365" s="6" t="str">
        <f>IF(COUNTIF(Analysis!$M$2:$M$3001,Analysis!$M2365)&gt;1,"Duplicate","OK")</f>
        <v>OK</v>
      </c>
      <c r="R2365" s="6" t="str">
        <f t="shared" si="1"/>
        <v>1600-2600</v>
      </c>
      <c r="S2365" s="6">
        <f t="shared" si="2"/>
        <v>74</v>
      </c>
      <c r="T2365" s="6" t="str">
        <f t="shared" si="3"/>
        <v>Very Old</v>
      </c>
    </row>
    <row r="2366" ht="14.25" customHeight="1">
      <c r="A2366" s="5">
        <v>949364.0</v>
      </c>
      <c r="B2366" s="6" t="s">
        <v>9499</v>
      </c>
      <c r="C2366" s="6" t="s">
        <v>39</v>
      </c>
      <c r="D2366" s="6">
        <v>65857.0</v>
      </c>
      <c r="E2366" s="6" t="s">
        <v>30</v>
      </c>
      <c r="F2366" s="6" t="s">
        <v>20</v>
      </c>
      <c r="G2366" s="6" t="s">
        <v>100</v>
      </c>
      <c r="H2366" s="7">
        <v>2731.0</v>
      </c>
      <c r="I2366" s="7">
        <v>2153.0</v>
      </c>
      <c r="J2366" s="6">
        <v>2017.0</v>
      </c>
      <c r="K2366" s="6">
        <v>104.0</v>
      </c>
      <c r="L2366" s="6" t="s">
        <v>141</v>
      </c>
      <c r="M2366" s="6" t="s">
        <v>9500</v>
      </c>
      <c r="N2366" s="6" t="s">
        <v>34</v>
      </c>
      <c r="O2366" s="6" t="s">
        <v>25</v>
      </c>
      <c r="P2366" s="6">
        <f>COUNTIF(Analysis!$M$1:$M$3001,Analysis!$M2366)</f>
        <v>1</v>
      </c>
      <c r="Q2366" s="6" t="str">
        <f>IF(COUNTIF(Analysis!$M$2:$M$3001,Analysis!$M2366)&gt;1,"Duplicate","OK")</f>
        <v>OK</v>
      </c>
      <c r="R2366" s="6" t="str">
        <f t="shared" si="1"/>
        <v>2600-3600</v>
      </c>
      <c r="S2366" s="6">
        <f t="shared" si="2"/>
        <v>9</v>
      </c>
      <c r="T2366" s="6" t="str">
        <f t="shared" si="3"/>
        <v>New</v>
      </c>
    </row>
    <row r="2367" ht="14.25" customHeight="1">
      <c r="A2367" s="5">
        <v>1396812.0</v>
      </c>
      <c r="B2367" s="6" t="s">
        <v>9503</v>
      </c>
      <c r="C2367" s="6" t="s">
        <v>39</v>
      </c>
      <c r="D2367" s="6">
        <v>41371.0</v>
      </c>
      <c r="E2367" s="6" t="s">
        <v>40</v>
      </c>
      <c r="F2367" s="6" t="s">
        <v>46</v>
      </c>
      <c r="G2367" s="6" t="s">
        <v>21</v>
      </c>
      <c r="H2367" s="7">
        <v>2146.0</v>
      </c>
      <c r="I2367" s="7">
        <v>9709.0</v>
      </c>
      <c r="J2367" s="6">
        <v>2013.0</v>
      </c>
      <c r="K2367" s="6">
        <v>36.0</v>
      </c>
      <c r="L2367" s="6" t="s">
        <v>141</v>
      </c>
      <c r="M2367" s="6" t="s">
        <v>9504</v>
      </c>
      <c r="N2367" s="6" t="s">
        <v>24</v>
      </c>
      <c r="O2367" s="6" t="s">
        <v>49</v>
      </c>
      <c r="P2367" s="6">
        <f>COUNTIF(Analysis!$M$1:$M$3001,Analysis!$M2367)</f>
        <v>1</v>
      </c>
      <c r="Q2367" s="6" t="str">
        <f>IF(COUNTIF(Analysis!$M$2:$M$3001,Analysis!$M2367)&gt;1,"Duplicate","OK")</f>
        <v>OK</v>
      </c>
      <c r="R2367" s="6" t="str">
        <f t="shared" si="1"/>
        <v>1600-2600</v>
      </c>
      <c r="S2367" s="6">
        <f t="shared" si="2"/>
        <v>13</v>
      </c>
      <c r="T2367" s="6" t="str">
        <f t="shared" si="3"/>
        <v>Mid</v>
      </c>
    </row>
    <row r="2368" ht="14.25" customHeight="1">
      <c r="A2368" s="5">
        <v>727860.0</v>
      </c>
      <c r="B2368" s="6" t="s">
        <v>9507</v>
      </c>
      <c r="C2368" s="6" t="s">
        <v>39</v>
      </c>
      <c r="D2368" s="6">
        <v>84496.0</v>
      </c>
      <c r="E2368" s="6" t="s">
        <v>30</v>
      </c>
      <c r="F2368" s="6" t="s">
        <v>20</v>
      </c>
      <c r="G2368" s="6" t="s">
        <v>21</v>
      </c>
      <c r="H2368" s="7">
        <v>2724.0</v>
      </c>
      <c r="I2368" s="7">
        <v>4041.0</v>
      </c>
      <c r="J2368" s="6">
        <v>1968.0</v>
      </c>
      <c r="K2368" s="6">
        <v>49.0</v>
      </c>
      <c r="L2368" s="6" t="s">
        <v>62</v>
      </c>
      <c r="M2368" s="6" t="s">
        <v>9508</v>
      </c>
      <c r="N2368" s="6" t="s">
        <v>43</v>
      </c>
      <c r="O2368" s="6" t="s">
        <v>35</v>
      </c>
      <c r="P2368" s="6">
        <f>COUNTIF(Analysis!$M$1:$M$3001,Analysis!$M2368)</f>
        <v>1</v>
      </c>
      <c r="Q2368" s="6" t="str">
        <f>IF(COUNTIF(Analysis!$M$2:$M$3001,Analysis!$M2368)&gt;1,"Duplicate","OK")</f>
        <v>OK</v>
      </c>
      <c r="R2368" s="6" t="str">
        <f t="shared" si="1"/>
        <v>2600-3600</v>
      </c>
      <c r="S2368" s="6">
        <f t="shared" si="2"/>
        <v>58</v>
      </c>
      <c r="T2368" s="6" t="str">
        <f t="shared" si="3"/>
        <v>Old</v>
      </c>
    </row>
    <row r="2369" ht="14.25" customHeight="1">
      <c r="A2369" s="5">
        <v>1186246.0</v>
      </c>
      <c r="B2369" s="6" t="s">
        <v>9511</v>
      </c>
      <c r="C2369" s="6" t="s">
        <v>53</v>
      </c>
      <c r="D2369" s="6">
        <v>87781.0</v>
      </c>
      <c r="E2369" s="6" t="s">
        <v>19</v>
      </c>
      <c r="F2369" s="6" t="s">
        <v>41</v>
      </c>
      <c r="G2369" s="6" t="s">
        <v>31</v>
      </c>
      <c r="H2369" s="7">
        <v>2508.0</v>
      </c>
      <c r="I2369" s="7">
        <v>9105.0</v>
      </c>
      <c r="J2369" s="6">
        <v>1978.0</v>
      </c>
      <c r="K2369" s="6">
        <v>41.0</v>
      </c>
      <c r="L2369" s="6" t="s">
        <v>95</v>
      </c>
      <c r="M2369" s="6" t="s">
        <v>9512</v>
      </c>
      <c r="N2369" s="6" t="s">
        <v>43</v>
      </c>
      <c r="O2369" s="6" t="s">
        <v>49</v>
      </c>
      <c r="P2369" s="6">
        <f>COUNTIF(Analysis!$M$1:$M$3001,Analysis!$M2369)</f>
        <v>1</v>
      </c>
      <c r="Q2369" s="6" t="str">
        <f>IF(COUNTIF(Analysis!$M$2:$M$3001,Analysis!$M2369)&gt;1,"Duplicate","OK")</f>
        <v>OK</v>
      </c>
      <c r="R2369" s="6" t="str">
        <f t="shared" si="1"/>
        <v>1600-2600</v>
      </c>
      <c r="S2369" s="6">
        <f t="shared" si="2"/>
        <v>48</v>
      </c>
      <c r="T2369" s="6" t="str">
        <f t="shared" si="3"/>
        <v>Old</v>
      </c>
    </row>
    <row r="2370" ht="14.25" customHeight="1">
      <c r="A2370" s="5">
        <v>1053954.0</v>
      </c>
      <c r="B2370" s="6" t="s">
        <v>9515</v>
      </c>
      <c r="C2370" s="6" t="s">
        <v>53</v>
      </c>
      <c r="D2370" s="6">
        <v>99258.0</v>
      </c>
      <c r="E2370" s="6" t="s">
        <v>60</v>
      </c>
      <c r="F2370" s="6" t="s">
        <v>41</v>
      </c>
      <c r="G2370" s="6" t="s">
        <v>55</v>
      </c>
      <c r="H2370" s="7">
        <v>1612.0</v>
      </c>
      <c r="I2370" s="7">
        <v>2858.0</v>
      </c>
      <c r="J2370" s="6">
        <v>2003.0</v>
      </c>
      <c r="K2370" s="6">
        <v>100.0</v>
      </c>
      <c r="L2370" s="6" t="s">
        <v>62</v>
      </c>
      <c r="M2370" s="6" t="s">
        <v>9516</v>
      </c>
      <c r="N2370" s="6" t="s">
        <v>64</v>
      </c>
      <c r="O2370" s="6" t="s">
        <v>35</v>
      </c>
      <c r="P2370" s="6">
        <f>COUNTIF(Analysis!$M$1:$M$3001,Analysis!$M2370)</f>
        <v>1</v>
      </c>
      <c r="Q2370" s="6" t="str">
        <f>IF(COUNTIF(Analysis!$M$2:$M$3001,Analysis!$M2370)&gt;1,"Duplicate","OK")</f>
        <v>OK</v>
      </c>
      <c r="R2370" s="6" t="str">
        <f t="shared" si="1"/>
        <v>1600-2600</v>
      </c>
      <c r="S2370" s="6">
        <f t="shared" si="2"/>
        <v>23</v>
      </c>
      <c r="T2370" s="6" t="str">
        <f t="shared" si="3"/>
        <v>Mid</v>
      </c>
    </row>
    <row r="2371" ht="14.25" customHeight="1">
      <c r="A2371" s="5">
        <v>1228673.0</v>
      </c>
      <c r="B2371" s="6" t="s">
        <v>7605</v>
      </c>
      <c r="C2371" s="6" t="s">
        <v>29</v>
      </c>
      <c r="D2371" s="6">
        <v>49968.0</v>
      </c>
      <c r="E2371" s="6" t="s">
        <v>19</v>
      </c>
      <c r="F2371" s="6" t="s">
        <v>54</v>
      </c>
      <c r="G2371" s="6" t="s">
        <v>55</v>
      </c>
      <c r="H2371" s="7">
        <v>3216.0</v>
      </c>
      <c r="I2371" s="7">
        <v>4235.0</v>
      </c>
      <c r="J2371" s="6">
        <v>2009.0</v>
      </c>
      <c r="K2371" s="6">
        <v>20.0</v>
      </c>
      <c r="L2371" s="6" t="s">
        <v>95</v>
      </c>
      <c r="M2371" s="6" t="s">
        <v>7606</v>
      </c>
      <c r="N2371" s="6" t="s">
        <v>48</v>
      </c>
      <c r="O2371" s="6" t="s">
        <v>35</v>
      </c>
      <c r="P2371" s="6">
        <f>COUNTIF(Analysis!$M$1:$M$3001,Analysis!$M1892)</f>
        <v>1</v>
      </c>
      <c r="Q2371" s="6" t="str">
        <f>IF(COUNTIF(Analysis!$M$2:$M$3001,Analysis!$M1892)&gt;1,"Duplicate","OK")</f>
        <v>OK</v>
      </c>
      <c r="R2371" s="6" t="str">
        <f t="shared" si="1"/>
        <v>2600-3600</v>
      </c>
      <c r="S2371" s="6">
        <f t="shared" si="2"/>
        <v>17</v>
      </c>
      <c r="T2371" s="6" t="str">
        <f t="shared" si="3"/>
        <v>Mid</v>
      </c>
    </row>
    <row r="2372" ht="14.25" customHeight="1">
      <c r="A2372" s="5">
        <v>125978.0</v>
      </c>
      <c r="B2372" s="6" t="s">
        <v>9523</v>
      </c>
      <c r="C2372" s="6" t="s">
        <v>39</v>
      </c>
      <c r="D2372" s="6">
        <v>16961.0</v>
      </c>
      <c r="E2372" s="6" t="s">
        <v>19</v>
      </c>
      <c r="F2372" s="6" t="s">
        <v>46</v>
      </c>
      <c r="G2372" s="6" t="s">
        <v>21</v>
      </c>
      <c r="H2372" s="7">
        <v>3898.0</v>
      </c>
      <c r="I2372" s="7">
        <v>2020.0</v>
      </c>
      <c r="J2372" s="6">
        <v>2014.0</v>
      </c>
      <c r="K2372" s="6">
        <v>31.0</v>
      </c>
      <c r="L2372" s="6" t="s">
        <v>32</v>
      </c>
      <c r="M2372" s="6" t="s">
        <v>9524</v>
      </c>
      <c r="N2372" s="6" t="s">
        <v>24</v>
      </c>
      <c r="O2372" s="6" t="s">
        <v>49</v>
      </c>
      <c r="P2372" s="6">
        <f>COUNTIF(Analysis!$M$1:$M$3001,Analysis!$M2372)</f>
        <v>1</v>
      </c>
      <c r="Q2372" s="6" t="str">
        <f>IF(COUNTIF(Analysis!$M$2:$M$3001,Analysis!$M2372)&gt;1,"Duplicate","OK")</f>
        <v>OK</v>
      </c>
      <c r="R2372" s="6" t="str">
        <f t="shared" si="1"/>
        <v>3600+</v>
      </c>
      <c r="S2372" s="6">
        <f t="shared" si="2"/>
        <v>12</v>
      </c>
      <c r="T2372" s="6" t="str">
        <f t="shared" si="3"/>
        <v>Mid</v>
      </c>
    </row>
    <row r="2373" ht="14.25" customHeight="1">
      <c r="A2373" s="5">
        <v>916065.0</v>
      </c>
      <c r="B2373" s="6" t="s">
        <v>9527</v>
      </c>
      <c r="C2373" s="6" t="s">
        <v>39</v>
      </c>
      <c r="D2373" s="6">
        <v>76660.0</v>
      </c>
      <c r="E2373" s="6" t="s">
        <v>30</v>
      </c>
      <c r="F2373" s="6" t="s">
        <v>46</v>
      </c>
      <c r="G2373" s="6" t="s">
        <v>31</v>
      </c>
      <c r="H2373" s="7">
        <v>997.0</v>
      </c>
      <c r="I2373" s="7">
        <v>6985.0</v>
      </c>
      <c r="J2373" s="6">
        <v>1988.0</v>
      </c>
      <c r="K2373" s="6">
        <v>24.0</v>
      </c>
      <c r="L2373" s="6" t="s">
        <v>62</v>
      </c>
      <c r="M2373" s="6" t="s">
        <v>9528</v>
      </c>
      <c r="N2373" s="6" t="s">
        <v>48</v>
      </c>
      <c r="O2373" s="6" t="s">
        <v>25</v>
      </c>
      <c r="P2373" s="6">
        <f>COUNTIF(Analysis!$M$1:$M$3001,Analysis!$M2373)</f>
        <v>1</v>
      </c>
      <c r="Q2373" s="6" t="str">
        <f>IF(COUNTIF(Analysis!$M$2:$M$3001,Analysis!$M2373)&gt;1,"Duplicate","OK")</f>
        <v>OK</v>
      </c>
      <c r="R2373" s="6" t="str">
        <f t="shared" si="1"/>
        <v>600-1600</v>
      </c>
      <c r="S2373" s="6">
        <f t="shared" si="2"/>
        <v>38</v>
      </c>
      <c r="T2373" s="6" t="str">
        <f t="shared" si="3"/>
        <v>Old</v>
      </c>
    </row>
    <row r="2374" ht="14.25" customHeight="1">
      <c r="A2374" s="5">
        <v>156731.0</v>
      </c>
      <c r="B2374" s="6" t="s">
        <v>9531</v>
      </c>
      <c r="C2374" s="6" t="s">
        <v>53</v>
      </c>
      <c r="D2374" s="6">
        <v>44822.0</v>
      </c>
      <c r="E2374" s="6" t="s">
        <v>60</v>
      </c>
      <c r="F2374" s="6" t="s">
        <v>46</v>
      </c>
      <c r="G2374" s="6" t="s">
        <v>55</v>
      </c>
      <c r="H2374" s="7">
        <v>1872.0</v>
      </c>
      <c r="I2374" s="7">
        <v>9203.0</v>
      </c>
      <c r="J2374" s="6">
        <v>1980.0</v>
      </c>
      <c r="K2374" s="6">
        <v>32.0</v>
      </c>
      <c r="L2374" s="6" t="s">
        <v>32</v>
      </c>
      <c r="M2374" s="6" t="s">
        <v>9532</v>
      </c>
      <c r="N2374" s="6" t="s">
        <v>24</v>
      </c>
      <c r="O2374" s="6" t="s">
        <v>35</v>
      </c>
      <c r="P2374" s="6">
        <f>COUNTIF(Analysis!$M$1:$M$3001,Analysis!$M2374)</f>
        <v>1</v>
      </c>
      <c r="Q2374" s="6" t="str">
        <f>IF(COUNTIF(Analysis!$M$2:$M$3001,Analysis!$M2374)&gt;1,"Duplicate","OK")</f>
        <v>OK</v>
      </c>
      <c r="R2374" s="6" t="str">
        <f t="shared" si="1"/>
        <v>1600-2600</v>
      </c>
      <c r="S2374" s="6">
        <f t="shared" si="2"/>
        <v>46</v>
      </c>
      <c r="T2374" s="6" t="str">
        <f t="shared" si="3"/>
        <v>Old</v>
      </c>
    </row>
    <row r="2375" ht="14.25" customHeight="1">
      <c r="A2375" s="5">
        <v>1229258.0</v>
      </c>
      <c r="B2375" s="6" t="s">
        <v>673</v>
      </c>
      <c r="C2375" s="6" t="s">
        <v>29</v>
      </c>
      <c r="D2375" s="6">
        <v>41174.0</v>
      </c>
      <c r="E2375" s="6" t="s">
        <v>60</v>
      </c>
      <c r="F2375" s="6" t="s">
        <v>46</v>
      </c>
      <c r="G2375" s="6" t="s">
        <v>31</v>
      </c>
      <c r="H2375" s="7">
        <v>2690.0</v>
      </c>
      <c r="I2375" s="7">
        <v>3636.0</v>
      </c>
      <c r="J2375" s="6">
        <v>1955.0</v>
      </c>
      <c r="K2375" s="6">
        <v>56.0</v>
      </c>
      <c r="L2375" s="6" t="s">
        <v>95</v>
      </c>
      <c r="M2375" s="6" t="s">
        <v>674</v>
      </c>
      <c r="N2375" s="6" t="s">
        <v>34</v>
      </c>
      <c r="O2375" s="6" t="s">
        <v>35</v>
      </c>
      <c r="P2375" s="6">
        <f>COUNTIF(Analysis!$M$1:$M$3001,Analysis!$M158)</f>
        <v>1</v>
      </c>
      <c r="Q2375" s="6" t="str">
        <f>IF(COUNTIF(Analysis!$M$2:$M$3001,Analysis!$M158)&gt;1,"Duplicate","OK")</f>
        <v>OK</v>
      </c>
      <c r="R2375" s="6" t="str">
        <f t="shared" si="1"/>
        <v>2600-3600</v>
      </c>
      <c r="S2375" s="6">
        <f t="shared" si="2"/>
        <v>71</v>
      </c>
      <c r="T2375" s="6" t="str">
        <f t="shared" si="3"/>
        <v>Very Old</v>
      </c>
    </row>
    <row r="2376" ht="14.25" customHeight="1">
      <c r="A2376" s="5">
        <v>522443.0</v>
      </c>
      <c r="B2376" s="6" t="s">
        <v>9539</v>
      </c>
      <c r="C2376" s="6" t="s">
        <v>53</v>
      </c>
      <c r="D2376" s="6">
        <v>86034.0</v>
      </c>
      <c r="E2376" s="6" t="s">
        <v>77</v>
      </c>
      <c r="F2376" s="6" t="s">
        <v>94</v>
      </c>
      <c r="G2376" s="6" t="s">
        <v>55</v>
      </c>
      <c r="H2376" s="7">
        <v>752.0</v>
      </c>
      <c r="I2376" s="7">
        <v>9155.0</v>
      </c>
      <c r="J2376" s="6">
        <v>2007.0</v>
      </c>
      <c r="K2376" s="6">
        <v>39.0</v>
      </c>
      <c r="L2376" s="6" t="s">
        <v>62</v>
      </c>
      <c r="M2376" s="6" t="s">
        <v>9540</v>
      </c>
      <c r="N2376" s="6" t="s">
        <v>43</v>
      </c>
      <c r="O2376" s="6" t="s">
        <v>35</v>
      </c>
      <c r="P2376" s="6">
        <f>COUNTIF(Analysis!$M$1:$M$3001,Analysis!$M2376)</f>
        <v>1</v>
      </c>
      <c r="Q2376" s="6" t="str">
        <f>IF(COUNTIF(Analysis!$M$2:$M$3001,Analysis!$M2376)&gt;1,"Duplicate","OK")</f>
        <v>OK</v>
      </c>
      <c r="R2376" s="6" t="str">
        <f t="shared" si="1"/>
        <v>600-1600</v>
      </c>
      <c r="S2376" s="6">
        <f t="shared" si="2"/>
        <v>19</v>
      </c>
      <c r="T2376" s="6" t="str">
        <f t="shared" si="3"/>
        <v>Mid</v>
      </c>
    </row>
    <row r="2377" ht="14.25" customHeight="1">
      <c r="A2377" s="5">
        <v>773068.0</v>
      </c>
      <c r="B2377" s="6" t="s">
        <v>9543</v>
      </c>
      <c r="C2377" s="6" t="s">
        <v>76</v>
      </c>
      <c r="D2377" s="6">
        <v>15276.0</v>
      </c>
      <c r="E2377" s="6" t="s">
        <v>19</v>
      </c>
      <c r="F2377" s="6" t="s">
        <v>94</v>
      </c>
      <c r="G2377" s="6" t="s">
        <v>21</v>
      </c>
      <c r="H2377" s="7">
        <v>913.0</v>
      </c>
      <c r="I2377" s="7">
        <v>8805.0</v>
      </c>
      <c r="J2377" s="6">
        <v>1965.0</v>
      </c>
      <c r="K2377" s="6">
        <v>117.0</v>
      </c>
      <c r="L2377" s="6" t="s">
        <v>141</v>
      </c>
      <c r="M2377" s="6" t="s">
        <v>9544</v>
      </c>
      <c r="N2377" s="6" t="s">
        <v>24</v>
      </c>
      <c r="O2377" s="6" t="s">
        <v>25</v>
      </c>
      <c r="P2377" s="6">
        <f>COUNTIF(Analysis!$M$1:$M$3001,Analysis!$M2377)</f>
        <v>1</v>
      </c>
      <c r="Q2377" s="6" t="str">
        <f>IF(COUNTIF(Analysis!$M$2:$M$3001,Analysis!$M2377)&gt;1,"Duplicate","OK")</f>
        <v>OK</v>
      </c>
      <c r="R2377" s="6" t="str">
        <f t="shared" si="1"/>
        <v>600-1600</v>
      </c>
      <c r="S2377" s="6">
        <f t="shared" si="2"/>
        <v>61</v>
      </c>
      <c r="T2377" s="6" t="str">
        <f t="shared" si="3"/>
        <v>Very Old</v>
      </c>
    </row>
    <row r="2378" ht="14.25" customHeight="1">
      <c r="A2378" s="5">
        <v>1233616.0</v>
      </c>
      <c r="B2378" s="6" t="s">
        <v>10279</v>
      </c>
      <c r="C2378" s="6" t="s">
        <v>29</v>
      </c>
      <c r="D2378" s="6">
        <v>71049.0</v>
      </c>
      <c r="E2378" s="6" t="s">
        <v>77</v>
      </c>
      <c r="F2378" s="6" t="s">
        <v>20</v>
      </c>
      <c r="G2378" s="6" t="s">
        <v>21</v>
      </c>
      <c r="H2378" s="7">
        <v>1686.0</v>
      </c>
      <c r="I2378" s="7">
        <v>2945.0</v>
      </c>
      <c r="J2378" s="6">
        <v>1984.0</v>
      </c>
      <c r="K2378" s="6">
        <v>85.0</v>
      </c>
      <c r="L2378" s="6" t="s">
        <v>22</v>
      </c>
      <c r="M2378" s="6" t="s">
        <v>10280</v>
      </c>
      <c r="N2378" s="6" t="s">
        <v>43</v>
      </c>
      <c r="O2378" s="6" t="s">
        <v>25</v>
      </c>
      <c r="P2378" s="6">
        <f>COUNTIF(Analysis!$M$1:$M$3001,Analysis!$M2561)</f>
        <v>1</v>
      </c>
      <c r="Q2378" s="6" t="str">
        <f>IF(COUNTIF(Analysis!$M$2:$M$3001,Analysis!$M2561)&gt;1,"Duplicate","OK")</f>
        <v>OK</v>
      </c>
      <c r="R2378" s="6" t="str">
        <f t="shared" si="1"/>
        <v>1600-2600</v>
      </c>
      <c r="S2378" s="6">
        <f t="shared" si="2"/>
        <v>42</v>
      </c>
      <c r="T2378" s="6" t="str">
        <f t="shared" si="3"/>
        <v>Old</v>
      </c>
    </row>
    <row r="2379" ht="14.25" customHeight="1">
      <c r="A2379" s="5">
        <v>1255210.0</v>
      </c>
      <c r="B2379" s="6" t="s">
        <v>9551</v>
      </c>
      <c r="C2379" s="6" t="s">
        <v>18</v>
      </c>
      <c r="D2379" s="6">
        <v>63640.0</v>
      </c>
      <c r="E2379" s="6" t="s">
        <v>19</v>
      </c>
      <c r="F2379" s="6" t="s">
        <v>46</v>
      </c>
      <c r="G2379" s="6" t="s">
        <v>21</v>
      </c>
      <c r="H2379" s="7">
        <v>850.0</v>
      </c>
      <c r="I2379" s="7">
        <v>8047.0</v>
      </c>
      <c r="J2379" s="6">
        <v>1956.0</v>
      </c>
      <c r="K2379" s="6">
        <v>99.0</v>
      </c>
      <c r="L2379" s="6" t="s">
        <v>95</v>
      </c>
      <c r="M2379" s="6" t="s">
        <v>9552</v>
      </c>
      <c r="N2379" s="6" t="s">
        <v>48</v>
      </c>
      <c r="O2379" s="6" t="s">
        <v>49</v>
      </c>
      <c r="P2379" s="6">
        <f>COUNTIF(Analysis!$M$1:$M$3001,Analysis!$M2379)</f>
        <v>1</v>
      </c>
      <c r="Q2379" s="6" t="str">
        <f>IF(COUNTIF(Analysis!$M$2:$M$3001,Analysis!$M2379)&gt;1,"Duplicate","OK")</f>
        <v>OK</v>
      </c>
      <c r="R2379" s="6" t="str">
        <f t="shared" si="1"/>
        <v>600-1600</v>
      </c>
      <c r="S2379" s="6">
        <f t="shared" si="2"/>
        <v>70</v>
      </c>
      <c r="T2379" s="6" t="str">
        <f t="shared" si="3"/>
        <v>Very Old</v>
      </c>
    </row>
    <row r="2380" ht="14.25" customHeight="1">
      <c r="A2380" s="5">
        <v>176979.0</v>
      </c>
      <c r="B2380" s="6" t="s">
        <v>9555</v>
      </c>
      <c r="C2380" s="6" t="s">
        <v>76</v>
      </c>
      <c r="D2380" s="6">
        <v>64916.0</v>
      </c>
      <c r="E2380" s="6" t="s">
        <v>40</v>
      </c>
      <c r="F2380" s="6" t="s">
        <v>54</v>
      </c>
      <c r="G2380" s="6" t="s">
        <v>100</v>
      </c>
      <c r="H2380" s="7">
        <v>1825.0</v>
      </c>
      <c r="I2380" s="7">
        <v>5394.0</v>
      </c>
      <c r="J2380" s="6">
        <v>2012.0</v>
      </c>
      <c r="K2380" s="6">
        <v>32.0</v>
      </c>
      <c r="L2380" s="6" t="s">
        <v>32</v>
      </c>
      <c r="M2380" s="6" t="s">
        <v>9556</v>
      </c>
      <c r="N2380" s="6" t="s">
        <v>34</v>
      </c>
      <c r="O2380" s="6" t="s">
        <v>35</v>
      </c>
      <c r="P2380" s="6">
        <f>COUNTIF(Analysis!$M$1:$M$3001,Analysis!$M2380)</f>
        <v>1</v>
      </c>
      <c r="Q2380" s="6" t="str">
        <f>IF(COUNTIF(Analysis!$M$2:$M$3001,Analysis!$M2380)&gt;1,"Duplicate","OK")</f>
        <v>OK</v>
      </c>
      <c r="R2380" s="6" t="str">
        <f t="shared" si="1"/>
        <v>1600-2600</v>
      </c>
      <c r="S2380" s="6">
        <f t="shared" si="2"/>
        <v>14</v>
      </c>
      <c r="T2380" s="6" t="str">
        <f t="shared" si="3"/>
        <v>Mid</v>
      </c>
    </row>
    <row r="2381" ht="14.25" customHeight="1">
      <c r="A2381" s="5">
        <v>570510.0</v>
      </c>
      <c r="B2381" s="6" t="s">
        <v>9559</v>
      </c>
      <c r="C2381" s="6" t="s">
        <v>18</v>
      </c>
      <c r="D2381" s="6">
        <v>78460.0</v>
      </c>
      <c r="E2381" s="6" t="s">
        <v>30</v>
      </c>
      <c r="F2381" s="6" t="s">
        <v>61</v>
      </c>
      <c r="G2381" s="6" t="s">
        <v>55</v>
      </c>
      <c r="H2381" s="7">
        <v>843.0</v>
      </c>
      <c r="I2381" s="7">
        <v>3451.0</v>
      </c>
      <c r="J2381" s="6">
        <v>2010.0</v>
      </c>
      <c r="K2381" s="6">
        <v>96.0</v>
      </c>
      <c r="L2381" s="6" t="s">
        <v>22</v>
      </c>
      <c r="M2381" s="6" t="s">
        <v>9560</v>
      </c>
      <c r="N2381" s="6" t="s">
        <v>64</v>
      </c>
      <c r="O2381" s="6" t="s">
        <v>25</v>
      </c>
      <c r="P2381" s="6">
        <f>COUNTIF(Analysis!$M$1:$M$3001,Analysis!$M2381)</f>
        <v>1</v>
      </c>
      <c r="Q2381" s="6" t="str">
        <f>IF(COUNTIF(Analysis!$M$2:$M$3001,Analysis!$M2381)&gt;1,"Duplicate","OK")</f>
        <v>OK</v>
      </c>
      <c r="R2381" s="6" t="str">
        <f t="shared" si="1"/>
        <v>600-1600</v>
      </c>
      <c r="S2381" s="6">
        <f t="shared" si="2"/>
        <v>16</v>
      </c>
      <c r="T2381" s="6" t="str">
        <f t="shared" si="3"/>
        <v>Mid</v>
      </c>
    </row>
    <row r="2382" ht="14.25" customHeight="1">
      <c r="A2382" s="5">
        <v>638912.0</v>
      </c>
      <c r="B2382" s="6" t="s">
        <v>9563</v>
      </c>
      <c r="C2382" s="6" t="s">
        <v>53</v>
      </c>
      <c r="D2382" s="6">
        <v>42734.0</v>
      </c>
      <c r="E2382" s="6" t="s">
        <v>77</v>
      </c>
      <c r="F2382" s="6" t="s">
        <v>20</v>
      </c>
      <c r="G2382" s="6" t="s">
        <v>31</v>
      </c>
      <c r="H2382" s="7">
        <v>1930.0</v>
      </c>
      <c r="I2382" s="7">
        <v>2188.0</v>
      </c>
      <c r="J2382" s="6">
        <v>1993.0</v>
      </c>
      <c r="K2382" s="6">
        <v>74.0</v>
      </c>
      <c r="L2382" s="6" t="s">
        <v>95</v>
      </c>
      <c r="M2382" s="6" t="s">
        <v>9564</v>
      </c>
      <c r="N2382" s="6" t="s">
        <v>24</v>
      </c>
      <c r="O2382" s="6" t="s">
        <v>49</v>
      </c>
      <c r="P2382" s="6">
        <f>COUNTIF(Analysis!$M$1:$M$3001,Analysis!$M2382)</f>
        <v>1</v>
      </c>
      <c r="Q2382" s="6" t="str">
        <f>IF(COUNTIF(Analysis!$M$2:$M$3001,Analysis!$M2382)&gt;1,"Duplicate","OK")</f>
        <v>OK</v>
      </c>
      <c r="R2382" s="6" t="str">
        <f t="shared" si="1"/>
        <v>1600-2600</v>
      </c>
      <c r="S2382" s="6">
        <f t="shared" si="2"/>
        <v>33</v>
      </c>
      <c r="T2382" s="6" t="str">
        <f t="shared" si="3"/>
        <v>Old</v>
      </c>
    </row>
    <row r="2383" ht="14.25" customHeight="1">
      <c r="A2383" s="5">
        <v>1238285.0</v>
      </c>
      <c r="B2383" s="6" t="s">
        <v>11974</v>
      </c>
      <c r="C2383" s="6" t="s">
        <v>29</v>
      </c>
      <c r="D2383" s="6">
        <v>35039.0</v>
      </c>
      <c r="E2383" s="6" t="s">
        <v>19</v>
      </c>
      <c r="F2383" s="6" t="s">
        <v>46</v>
      </c>
      <c r="G2383" s="6" t="s">
        <v>100</v>
      </c>
      <c r="H2383" s="7">
        <v>3303.0</v>
      </c>
      <c r="I2383" s="7">
        <v>2373.0</v>
      </c>
      <c r="J2383" s="6">
        <v>1963.0</v>
      </c>
      <c r="K2383" s="6">
        <v>97.0</v>
      </c>
      <c r="L2383" s="6" t="s">
        <v>32</v>
      </c>
      <c r="M2383" s="6" t="s">
        <v>11975</v>
      </c>
      <c r="N2383" s="6" t="s">
        <v>24</v>
      </c>
      <c r="O2383" s="6" t="s">
        <v>49</v>
      </c>
      <c r="P2383" s="6">
        <f>COUNTIF(Analysis!$M$1:$M$3001,Analysis!$M2985)</f>
        <v>1</v>
      </c>
      <c r="Q2383" s="6" t="str">
        <f>IF(COUNTIF(Analysis!$M$2:$M$3001,Analysis!$M2985)&gt;1,"Duplicate","OK")</f>
        <v>OK</v>
      </c>
      <c r="R2383" s="6" t="str">
        <f t="shared" si="1"/>
        <v>2600-3600</v>
      </c>
      <c r="S2383" s="6">
        <f t="shared" si="2"/>
        <v>63</v>
      </c>
      <c r="T2383" s="6" t="str">
        <f t="shared" si="3"/>
        <v>Very Old</v>
      </c>
    </row>
    <row r="2384" ht="14.25" customHeight="1">
      <c r="A2384" s="5">
        <v>355436.0</v>
      </c>
      <c r="B2384" s="6" t="s">
        <v>9571</v>
      </c>
      <c r="C2384" s="6" t="s">
        <v>53</v>
      </c>
      <c r="D2384" s="6">
        <v>63071.0</v>
      </c>
      <c r="E2384" s="6" t="s">
        <v>19</v>
      </c>
      <c r="F2384" s="6" t="s">
        <v>94</v>
      </c>
      <c r="G2384" s="6" t="s">
        <v>21</v>
      </c>
      <c r="H2384" s="7">
        <v>2816.0</v>
      </c>
      <c r="I2384" s="7">
        <v>8981.0</v>
      </c>
      <c r="J2384" s="6">
        <v>2008.0</v>
      </c>
      <c r="K2384" s="6">
        <v>79.0</v>
      </c>
      <c r="L2384" s="6" t="s">
        <v>22</v>
      </c>
      <c r="M2384" s="6" t="s">
        <v>9572</v>
      </c>
      <c r="N2384" s="6" t="s">
        <v>48</v>
      </c>
      <c r="O2384" s="6" t="s">
        <v>49</v>
      </c>
      <c r="P2384" s="6">
        <f>COUNTIF(Analysis!$M$1:$M$3001,Analysis!$M2384)</f>
        <v>1</v>
      </c>
      <c r="Q2384" s="6" t="str">
        <f>IF(COUNTIF(Analysis!$M$2:$M$3001,Analysis!$M2384)&gt;1,"Duplicate","OK")</f>
        <v>OK</v>
      </c>
      <c r="R2384" s="6" t="str">
        <f t="shared" si="1"/>
        <v>2600-3600</v>
      </c>
      <c r="S2384" s="6">
        <f t="shared" si="2"/>
        <v>18</v>
      </c>
      <c r="T2384" s="6" t="str">
        <f t="shared" si="3"/>
        <v>Mid</v>
      </c>
    </row>
    <row r="2385" ht="14.25" customHeight="1">
      <c r="A2385" s="5">
        <v>745981.0</v>
      </c>
      <c r="B2385" s="6" t="s">
        <v>9575</v>
      </c>
      <c r="C2385" s="6" t="s">
        <v>76</v>
      </c>
      <c r="D2385" s="6">
        <v>21233.0</v>
      </c>
      <c r="E2385" s="6" t="s">
        <v>77</v>
      </c>
      <c r="F2385" s="6" t="s">
        <v>94</v>
      </c>
      <c r="G2385" s="6" t="s">
        <v>55</v>
      </c>
      <c r="H2385" s="7">
        <v>735.0</v>
      </c>
      <c r="I2385" s="7">
        <v>4447.0</v>
      </c>
      <c r="J2385" s="6">
        <v>1992.0</v>
      </c>
      <c r="K2385" s="6">
        <v>69.0</v>
      </c>
      <c r="L2385" s="6" t="s">
        <v>32</v>
      </c>
      <c r="M2385" s="6" t="s">
        <v>9576</v>
      </c>
      <c r="N2385" s="6" t="s">
        <v>34</v>
      </c>
      <c r="O2385" s="6" t="s">
        <v>49</v>
      </c>
      <c r="P2385" s="6">
        <f>COUNTIF(Analysis!$M$1:$M$3001,Analysis!$M2385)</f>
        <v>1</v>
      </c>
      <c r="Q2385" s="6" t="str">
        <f>IF(COUNTIF(Analysis!$M$2:$M$3001,Analysis!$M2385)&gt;1,"Duplicate","OK")</f>
        <v>OK</v>
      </c>
      <c r="R2385" s="6" t="str">
        <f t="shared" si="1"/>
        <v>600-1600</v>
      </c>
      <c r="S2385" s="6">
        <f t="shared" si="2"/>
        <v>34</v>
      </c>
      <c r="T2385" s="6" t="str">
        <f t="shared" si="3"/>
        <v>Old</v>
      </c>
    </row>
    <row r="2386" ht="14.25" customHeight="1">
      <c r="A2386" s="5">
        <v>1309732.0</v>
      </c>
      <c r="B2386" s="6" t="s">
        <v>9579</v>
      </c>
      <c r="C2386" s="6" t="s">
        <v>76</v>
      </c>
      <c r="D2386" s="6">
        <v>13360.0</v>
      </c>
      <c r="E2386" s="6" t="s">
        <v>77</v>
      </c>
      <c r="F2386" s="6" t="s">
        <v>41</v>
      </c>
      <c r="G2386" s="6" t="s">
        <v>31</v>
      </c>
      <c r="H2386" s="7">
        <v>3541.0</v>
      </c>
      <c r="I2386" s="7">
        <v>3253.0</v>
      </c>
      <c r="J2386" s="6">
        <v>1959.0</v>
      </c>
      <c r="K2386" s="6">
        <v>11.0</v>
      </c>
      <c r="L2386" s="6" t="s">
        <v>62</v>
      </c>
      <c r="M2386" s="6" t="s">
        <v>9580</v>
      </c>
      <c r="N2386" s="6" t="s">
        <v>24</v>
      </c>
      <c r="O2386" s="6" t="s">
        <v>35</v>
      </c>
      <c r="P2386" s="6">
        <f>COUNTIF(Analysis!$M$1:$M$3001,Analysis!$M2386)</f>
        <v>1</v>
      </c>
      <c r="Q2386" s="6" t="str">
        <f>IF(COUNTIF(Analysis!$M$2:$M$3001,Analysis!$M2386)&gt;1,"Duplicate","OK")</f>
        <v>OK</v>
      </c>
      <c r="R2386" s="6" t="str">
        <f t="shared" si="1"/>
        <v>2600-3600</v>
      </c>
      <c r="S2386" s="6">
        <f t="shared" si="2"/>
        <v>67</v>
      </c>
      <c r="T2386" s="6" t="str">
        <f t="shared" si="3"/>
        <v>Very Old</v>
      </c>
    </row>
    <row r="2387" ht="14.25" customHeight="1">
      <c r="A2387" s="5">
        <v>316268.0</v>
      </c>
      <c r="B2387" s="6" t="s">
        <v>9583</v>
      </c>
      <c r="C2387" s="6" t="s">
        <v>76</v>
      </c>
      <c r="D2387" s="6">
        <v>37047.0</v>
      </c>
      <c r="E2387" s="6" t="s">
        <v>60</v>
      </c>
      <c r="F2387" s="6" t="s">
        <v>20</v>
      </c>
      <c r="G2387" s="6" t="s">
        <v>55</v>
      </c>
      <c r="H2387" s="7">
        <v>3228.0</v>
      </c>
      <c r="I2387" s="7">
        <v>8158.0</v>
      </c>
      <c r="J2387" s="6">
        <v>1987.0</v>
      </c>
      <c r="K2387" s="6">
        <v>4.0</v>
      </c>
      <c r="L2387" s="6" t="s">
        <v>32</v>
      </c>
      <c r="M2387" s="6" t="s">
        <v>9584</v>
      </c>
      <c r="N2387" s="6" t="s">
        <v>64</v>
      </c>
      <c r="O2387" s="6" t="s">
        <v>35</v>
      </c>
      <c r="P2387" s="6">
        <f>COUNTIF(Analysis!$M$1:$M$3001,Analysis!$M2387)</f>
        <v>1</v>
      </c>
      <c r="Q2387" s="6" t="str">
        <f>IF(COUNTIF(Analysis!$M$2:$M$3001,Analysis!$M2387)&gt;1,"Duplicate","OK")</f>
        <v>OK</v>
      </c>
      <c r="R2387" s="6" t="str">
        <f t="shared" si="1"/>
        <v>2600-3600</v>
      </c>
      <c r="S2387" s="6">
        <f t="shared" si="2"/>
        <v>39</v>
      </c>
      <c r="T2387" s="6" t="str">
        <f t="shared" si="3"/>
        <v>Old</v>
      </c>
    </row>
    <row r="2388" ht="14.25" customHeight="1">
      <c r="A2388" s="5">
        <v>1044769.0</v>
      </c>
      <c r="B2388" s="6" t="s">
        <v>9587</v>
      </c>
      <c r="C2388" s="6" t="s">
        <v>39</v>
      </c>
      <c r="D2388" s="6">
        <v>30852.0</v>
      </c>
      <c r="E2388" s="6" t="s">
        <v>19</v>
      </c>
      <c r="F2388" s="6" t="s">
        <v>94</v>
      </c>
      <c r="G2388" s="6" t="s">
        <v>100</v>
      </c>
      <c r="H2388" s="7">
        <v>3046.0</v>
      </c>
      <c r="I2388" s="7">
        <v>2281.0</v>
      </c>
      <c r="J2388" s="6">
        <v>2018.0</v>
      </c>
      <c r="K2388" s="6">
        <v>38.0</v>
      </c>
      <c r="L2388" s="6" t="s">
        <v>141</v>
      </c>
      <c r="M2388" s="6" t="s">
        <v>9588</v>
      </c>
      <c r="N2388" s="6" t="s">
        <v>34</v>
      </c>
      <c r="O2388" s="6" t="s">
        <v>35</v>
      </c>
      <c r="P2388" s="6">
        <f>COUNTIF(Analysis!$M$1:$M$3001,Analysis!$M2388)</f>
        <v>1</v>
      </c>
      <c r="Q2388" s="6" t="str">
        <f>IF(COUNTIF(Analysis!$M$2:$M$3001,Analysis!$M2388)&gt;1,"Duplicate","OK")</f>
        <v>OK</v>
      </c>
      <c r="R2388" s="6" t="str">
        <f t="shared" si="1"/>
        <v>2600-3600</v>
      </c>
      <c r="S2388" s="6">
        <f t="shared" si="2"/>
        <v>8</v>
      </c>
      <c r="T2388" s="6" t="str">
        <f t="shared" si="3"/>
        <v>New</v>
      </c>
    </row>
    <row r="2389" ht="14.25" customHeight="1">
      <c r="A2389" s="5">
        <v>1247702.0</v>
      </c>
      <c r="B2389" s="6" t="s">
        <v>10027</v>
      </c>
      <c r="C2389" s="6" t="s">
        <v>29</v>
      </c>
      <c r="D2389" s="6">
        <v>14649.0</v>
      </c>
      <c r="E2389" s="6" t="s">
        <v>30</v>
      </c>
      <c r="F2389" s="6" t="s">
        <v>20</v>
      </c>
      <c r="G2389" s="6" t="s">
        <v>31</v>
      </c>
      <c r="H2389" s="7">
        <v>1142.0</v>
      </c>
      <c r="I2389" s="7">
        <v>9094.0</v>
      </c>
      <c r="J2389" s="6">
        <v>1971.0</v>
      </c>
      <c r="K2389" s="6">
        <v>31.0</v>
      </c>
      <c r="L2389" s="6" t="s">
        <v>32</v>
      </c>
      <c r="M2389" s="6" t="s">
        <v>10028</v>
      </c>
      <c r="N2389" s="6" t="s">
        <v>24</v>
      </c>
      <c r="O2389" s="6" t="s">
        <v>25</v>
      </c>
      <c r="P2389" s="6">
        <f>COUNTIF(Analysis!$M$1:$M$3001,Analysis!$M2498)</f>
        <v>1</v>
      </c>
      <c r="Q2389" s="6" t="str">
        <f>IF(COUNTIF(Analysis!$M$2:$M$3001,Analysis!$M2498)&gt;1,"Duplicate","OK")</f>
        <v>OK</v>
      </c>
      <c r="R2389" s="6" t="str">
        <f t="shared" si="1"/>
        <v>600-1600</v>
      </c>
      <c r="S2389" s="6">
        <f t="shared" si="2"/>
        <v>55</v>
      </c>
      <c r="T2389" s="6" t="str">
        <f t="shared" si="3"/>
        <v>Old</v>
      </c>
    </row>
    <row r="2390" ht="14.25" customHeight="1">
      <c r="A2390" s="5">
        <v>1107286.0</v>
      </c>
      <c r="B2390" s="6" t="s">
        <v>9595</v>
      </c>
      <c r="C2390" s="6" t="s">
        <v>76</v>
      </c>
      <c r="D2390" s="6">
        <v>98660.0</v>
      </c>
      <c r="E2390" s="6" t="s">
        <v>30</v>
      </c>
      <c r="F2390" s="6" t="s">
        <v>94</v>
      </c>
      <c r="G2390" s="6" t="s">
        <v>31</v>
      </c>
      <c r="H2390" s="7">
        <v>921.0</v>
      </c>
      <c r="I2390" s="7">
        <v>4769.0</v>
      </c>
      <c r="J2390" s="6">
        <v>2014.0</v>
      </c>
      <c r="K2390" s="6">
        <v>92.0</v>
      </c>
      <c r="L2390" s="6" t="s">
        <v>62</v>
      </c>
      <c r="M2390" s="6" t="s">
        <v>9596</v>
      </c>
      <c r="N2390" s="6" t="s">
        <v>64</v>
      </c>
      <c r="O2390" s="6" t="s">
        <v>35</v>
      </c>
      <c r="P2390" s="6">
        <f>COUNTIF(Analysis!$M$1:$M$3001,Analysis!$M2390)</f>
        <v>1</v>
      </c>
      <c r="Q2390" s="6" t="str">
        <f>IF(COUNTIF(Analysis!$M$2:$M$3001,Analysis!$M2390)&gt;1,"Duplicate","OK")</f>
        <v>OK</v>
      </c>
      <c r="R2390" s="6" t="str">
        <f t="shared" si="1"/>
        <v>600-1600</v>
      </c>
      <c r="S2390" s="6">
        <f t="shared" si="2"/>
        <v>12</v>
      </c>
      <c r="T2390" s="6" t="str">
        <f t="shared" si="3"/>
        <v>Mid</v>
      </c>
    </row>
    <row r="2391" ht="14.25" customHeight="1">
      <c r="A2391" s="5">
        <v>1251781.0</v>
      </c>
      <c r="B2391" s="6" t="s">
        <v>4767</v>
      </c>
      <c r="C2391" s="6" t="s">
        <v>29</v>
      </c>
      <c r="D2391" s="6">
        <v>74293.0</v>
      </c>
      <c r="E2391" s="6" t="s">
        <v>40</v>
      </c>
      <c r="F2391" s="6" t="s">
        <v>41</v>
      </c>
      <c r="G2391" s="6" t="s">
        <v>100</v>
      </c>
      <c r="H2391" s="7">
        <v>1419.0</v>
      </c>
      <c r="I2391" s="7">
        <v>3954.0</v>
      </c>
      <c r="J2391" s="6">
        <v>1985.0</v>
      </c>
      <c r="K2391" s="6">
        <v>32.0</v>
      </c>
      <c r="L2391" s="6" t="s">
        <v>32</v>
      </c>
      <c r="M2391" s="6" t="s">
        <v>4768</v>
      </c>
      <c r="N2391" s="6" t="s">
        <v>64</v>
      </c>
      <c r="O2391" s="6" t="s">
        <v>35</v>
      </c>
      <c r="P2391" s="6">
        <f>COUNTIF(Analysis!$M$1:$M$3001,Analysis!$M1182)</f>
        <v>1</v>
      </c>
      <c r="Q2391" s="6" t="str">
        <f>IF(COUNTIF(Analysis!$M$2:$M$3001,Analysis!$M1182)&gt;1,"Duplicate","OK")</f>
        <v>OK</v>
      </c>
      <c r="R2391" s="6" t="str">
        <f t="shared" si="1"/>
        <v>600-1600</v>
      </c>
      <c r="S2391" s="6">
        <f t="shared" si="2"/>
        <v>41</v>
      </c>
      <c r="T2391" s="6" t="str">
        <f t="shared" si="3"/>
        <v>Old</v>
      </c>
    </row>
    <row r="2392" ht="14.25" customHeight="1">
      <c r="A2392" s="5">
        <v>1252631.0</v>
      </c>
      <c r="B2392" s="6" t="s">
        <v>8640</v>
      </c>
      <c r="C2392" s="6" t="s">
        <v>29</v>
      </c>
      <c r="D2392" s="6">
        <v>92901.0</v>
      </c>
      <c r="E2392" s="6" t="s">
        <v>40</v>
      </c>
      <c r="F2392" s="6" t="s">
        <v>20</v>
      </c>
      <c r="G2392" s="6" t="s">
        <v>100</v>
      </c>
      <c r="H2392" s="7">
        <v>1560.0</v>
      </c>
      <c r="I2392" s="7">
        <v>8607.0</v>
      </c>
      <c r="J2392" s="6">
        <v>1989.0</v>
      </c>
      <c r="K2392" s="6">
        <v>62.0</v>
      </c>
      <c r="L2392" s="6" t="s">
        <v>32</v>
      </c>
      <c r="M2392" s="6" t="s">
        <v>8641</v>
      </c>
      <c r="N2392" s="6" t="s">
        <v>24</v>
      </c>
      <c r="O2392" s="6" t="s">
        <v>49</v>
      </c>
      <c r="P2392" s="6">
        <f>COUNTIF(Analysis!$M$1:$M$3001,Analysis!$M2151)</f>
        <v>1</v>
      </c>
      <c r="Q2392" s="6" t="str">
        <f>IF(COUNTIF(Analysis!$M$2:$M$3001,Analysis!$M2151)&gt;1,"Duplicate","OK")</f>
        <v>OK</v>
      </c>
      <c r="R2392" s="6" t="str">
        <f t="shared" si="1"/>
        <v>600-1600</v>
      </c>
      <c r="S2392" s="6">
        <f t="shared" si="2"/>
        <v>37</v>
      </c>
      <c r="T2392" s="6" t="str">
        <f t="shared" si="3"/>
        <v>Old</v>
      </c>
    </row>
    <row r="2393" ht="14.25" customHeight="1">
      <c r="A2393" s="5">
        <v>1193022.0</v>
      </c>
      <c r="B2393" s="6" t="s">
        <v>9607</v>
      </c>
      <c r="C2393" s="6" t="s">
        <v>39</v>
      </c>
      <c r="D2393" s="6">
        <v>66680.0</v>
      </c>
      <c r="E2393" s="6" t="s">
        <v>40</v>
      </c>
      <c r="F2393" s="6" t="s">
        <v>20</v>
      </c>
      <c r="G2393" s="6" t="s">
        <v>100</v>
      </c>
      <c r="H2393" s="7">
        <v>1482.0</v>
      </c>
      <c r="I2393" s="7">
        <v>2746.0</v>
      </c>
      <c r="J2393" s="6">
        <v>1950.0</v>
      </c>
      <c r="K2393" s="6">
        <v>12.0</v>
      </c>
      <c r="L2393" s="6" t="s">
        <v>141</v>
      </c>
      <c r="M2393" s="6" t="s">
        <v>9608</v>
      </c>
      <c r="N2393" s="6" t="s">
        <v>48</v>
      </c>
      <c r="O2393" s="6" t="s">
        <v>35</v>
      </c>
      <c r="P2393" s="6">
        <f>COUNTIF(Analysis!$M$1:$M$3001,Analysis!$M2393)</f>
        <v>1</v>
      </c>
      <c r="Q2393" s="6" t="str">
        <f>IF(COUNTIF(Analysis!$M$2:$M$3001,Analysis!$M2393)&gt;1,"Duplicate","OK")</f>
        <v>OK</v>
      </c>
      <c r="R2393" s="6" t="str">
        <f t="shared" si="1"/>
        <v>600-1600</v>
      </c>
      <c r="S2393" s="6">
        <f t="shared" si="2"/>
        <v>76</v>
      </c>
      <c r="T2393" s="6" t="str">
        <f t="shared" si="3"/>
        <v>Very Old</v>
      </c>
    </row>
    <row r="2394" ht="14.25" customHeight="1">
      <c r="A2394" s="5">
        <v>173956.0</v>
      </c>
      <c r="B2394" s="6" t="s">
        <v>9611</v>
      </c>
      <c r="C2394" s="6" t="s">
        <v>39</v>
      </c>
      <c r="D2394" s="6">
        <v>56610.0</v>
      </c>
      <c r="E2394" s="6" t="s">
        <v>19</v>
      </c>
      <c r="F2394" s="6" t="s">
        <v>94</v>
      </c>
      <c r="G2394" s="6" t="s">
        <v>55</v>
      </c>
      <c r="H2394" s="7">
        <v>2086.0</v>
      </c>
      <c r="I2394" s="7">
        <v>5795.0</v>
      </c>
      <c r="J2394" s="6">
        <v>1990.0</v>
      </c>
      <c r="K2394" s="6">
        <v>98.0</v>
      </c>
      <c r="L2394" s="6" t="s">
        <v>95</v>
      </c>
      <c r="M2394" s="6" t="s">
        <v>9612</v>
      </c>
      <c r="N2394" s="6" t="s">
        <v>24</v>
      </c>
      <c r="O2394" s="6" t="s">
        <v>49</v>
      </c>
      <c r="P2394" s="6">
        <f>COUNTIF(Analysis!$M$1:$M$3001,Analysis!$M2394)</f>
        <v>1</v>
      </c>
      <c r="Q2394" s="6" t="str">
        <f>IF(COUNTIF(Analysis!$M$2:$M$3001,Analysis!$M2394)&gt;1,"Duplicate","OK")</f>
        <v>OK</v>
      </c>
      <c r="R2394" s="6" t="str">
        <f t="shared" si="1"/>
        <v>1600-2600</v>
      </c>
      <c r="S2394" s="6">
        <f t="shared" si="2"/>
        <v>36</v>
      </c>
      <c r="T2394" s="6" t="str">
        <f t="shared" si="3"/>
        <v>Old</v>
      </c>
    </row>
    <row r="2395" ht="14.25" customHeight="1">
      <c r="A2395" s="5">
        <v>1257567.0</v>
      </c>
      <c r="B2395" s="6" t="s">
        <v>361</v>
      </c>
      <c r="C2395" s="6" t="s">
        <v>29</v>
      </c>
      <c r="D2395" s="6">
        <v>66989.0</v>
      </c>
      <c r="E2395" s="6" t="s">
        <v>30</v>
      </c>
      <c r="F2395" s="6" t="s">
        <v>46</v>
      </c>
      <c r="G2395" s="6" t="s">
        <v>31</v>
      </c>
      <c r="H2395" s="7">
        <v>3887.0</v>
      </c>
      <c r="I2395" s="7">
        <v>8829.0</v>
      </c>
      <c r="J2395" s="6">
        <v>1957.0</v>
      </c>
      <c r="K2395" s="6">
        <v>43.0</v>
      </c>
      <c r="L2395" s="6" t="s">
        <v>95</v>
      </c>
      <c r="M2395" s="6" t="s">
        <v>362</v>
      </c>
      <c r="N2395" s="6" t="s">
        <v>24</v>
      </c>
      <c r="O2395" s="6" t="s">
        <v>35</v>
      </c>
      <c r="P2395" s="6">
        <f>COUNTIF(Analysis!$M$1:$M$3001,Analysis!$M80)</f>
        <v>1</v>
      </c>
      <c r="Q2395" s="6" t="str">
        <f>IF(COUNTIF(Analysis!$M$2:$M$3001,Analysis!$M80)&gt;1,"Duplicate","OK")</f>
        <v>OK</v>
      </c>
      <c r="R2395" s="6" t="str">
        <f t="shared" si="1"/>
        <v>3600+</v>
      </c>
      <c r="S2395" s="6">
        <f t="shared" si="2"/>
        <v>69</v>
      </c>
      <c r="T2395" s="6" t="str">
        <f t="shared" si="3"/>
        <v>Very Old</v>
      </c>
    </row>
    <row r="2396" ht="14.25" customHeight="1">
      <c r="A2396" s="5">
        <v>391792.0</v>
      </c>
      <c r="B2396" s="6" t="s">
        <v>9619</v>
      </c>
      <c r="C2396" s="6" t="s">
        <v>53</v>
      </c>
      <c r="D2396" s="6">
        <v>28238.0</v>
      </c>
      <c r="E2396" s="6" t="s">
        <v>40</v>
      </c>
      <c r="F2396" s="6" t="s">
        <v>20</v>
      </c>
      <c r="G2396" s="6" t="s">
        <v>31</v>
      </c>
      <c r="H2396" s="7">
        <v>1817.0</v>
      </c>
      <c r="I2396" s="7">
        <v>9868.0</v>
      </c>
      <c r="J2396" s="6">
        <v>2001.0</v>
      </c>
      <c r="K2396" s="6">
        <v>104.0</v>
      </c>
      <c r="L2396" s="6" t="s">
        <v>141</v>
      </c>
      <c r="M2396" s="6" t="s">
        <v>9620</v>
      </c>
      <c r="N2396" s="6" t="s">
        <v>43</v>
      </c>
      <c r="O2396" s="6" t="s">
        <v>35</v>
      </c>
      <c r="P2396" s="6">
        <f>COUNTIF(Analysis!$M$1:$M$3001,Analysis!$M2396)</f>
        <v>1</v>
      </c>
      <c r="Q2396" s="6" t="str">
        <f>IF(COUNTIF(Analysis!$M$2:$M$3001,Analysis!$M2396)&gt;1,"Duplicate","OK")</f>
        <v>OK</v>
      </c>
      <c r="R2396" s="6" t="str">
        <f t="shared" si="1"/>
        <v>1600-2600</v>
      </c>
      <c r="S2396" s="6">
        <f t="shared" si="2"/>
        <v>25</v>
      </c>
      <c r="T2396" s="6" t="str">
        <f t="shared" si="3"/>
        <v>Mid</v>
      </c>
    </row>
    <row r="2397" ht="14.25" customHeight="1">
      <c r="A2397" s="5">
        <v>249625.0</v>
      </c>
      <c r="B2397" s="6" t="s">
        <v>9623</v>
      </c>
      <c r="C2397" s="6" t="s">
        <v>53</v>
      </c>
      <c r="D2397" s="6">
        <v>47247.0</v>
      </c>
      <c r="E2397" s="6" t="s">
        <v>40</v>
      </c>
      <c r="F2397" s="6" t="s">
        <v>61</v>
      </c>
      <c r="G2397" s="6" t="s">
        <v>31</v>
      </c>
      <c r="H2397" s="7">
        <v>1415.0</v>
      </c>
      <c r="I2397" s="7">
        <v>5897.0</v>
      </c>
      <c r="J2397" s="6">
        <v>2000.0</v>
      </c>
      <c r="K2397" s="6">
        <v>89.0</v>
      </c>
      <c r="L2397" s="6" t="s">
        <v>62</v>
      </c>
      <c r="M2397" s="6" t="s">
        <v>9624</v>
      </c>
      <c r="N2397" s="6" t="s">
        <v>34</v>
      </c>
      <c r="O2397" s="6" t="s">
        <v>35</v>
      </c>
      <c r="P2397" s="6">
        <f>COUNTIF(Analysis!$M$1:$M$3001,Analysis!$M2397)</f>
        <v>1</v>
      </c>
      <c r="Q2397" s="6" t="str">
        <f>IF(COUNTIF(Analysis!$M$2:$M$3001,Analysis!$M2397)&gt;1,"Duplicate","OK")</f>
        <v>OK</v>
      </c>
      <c r="R2397" s="6" t="str">
        <f t="shared" si="1"/>
        <v>600-1600</v>
      </c>
      <c r="S2397" s="6">
        <f t="shared" si="2"/>
        <v>26</v>
      </c>
      <c r="T2397" s="6" t="str">
        <f t="shared" si="3"/>
        <v>Mid</v>
      </c>
    </row>
    <row r="2398" ht="14.25" customHeight="1">
      <c r="A2398" s="5">
        <v>1120001.0</v>
      </c>
      <c r="B2398" s="6" t="s">
        <v>9627</v>
      </c>
      <c r="C2398" s="6" t="s">
        <v>76</v>
      </c>
      <c r="D2398" s="6">
        <v>82843.0</v>
      </c>
      <c r="E2398" s="6" t="s">
        <v>77</v>
      </c>
      <c r="F2398" s="6" t="s">
        <v>54</v>
      </c>
      <c r="G2398" s="6" t="s">
        <v>55</v>
      </c>
      <c r="H2398" s="7">
        <v>2727.0</v>
      </c>
      <c r="I2398" s="7">
        <v>4914.0</v>
      </c>
      <c r="J2398" s="6">
        <v>1997.0</v>
      </c>
      <c r="K2398" s="6">
        <v>49.0</v>
      </c>
      <c r="L2398" s="6" t="s">
        <v>95</v>
      </c>
      <c r="M2398" s="6" t="s">
        <v>9628</v>
      </c>
      <c r="N2398" s="6" t="s">
        <v>64</v>
      </c>
      <c r="O2398" s="6" t="s">
        <v>35</v>
      </c>
      <c r="P2398" s="6">
        <f>COUNTIF(Analysis!$M$1:$M$3001,Analysis!$M2398)</f>
        <v>1</v>
      </c>
      <c r="Q2398" s="6" t="str">
        <f>IF(COUNTIF(Analysis!$M$2:$M$3001,Analysis!$M2398)&gt;1,"Duplicate","OK")</f>
        <v>OK</v>
      </c>
      <c r="R2398" s="6" t="str">
        <f t="shared" si="1"/>
        <v>2600-3600</v>
      </c>
      <c r="S2398" s="6">
        <f t="shared" si="2"/>
        <v>29</v>
      </c>
      <c r="T2398" s="6" t="str">
        <f t="shared" si="3"/>
        <v>Mid</v>
      </c>
    </row>
    <row r="2399" ht="14.25" customHeight="1">
      <c r="A2399" s="5">
        <v>996851.0</v>
      </c>
      <c r="B2399" s="6" t="s">
        <v>9631</v>
      </c>
      <c r="C2399" s="6" t="s">
        <v>53</v>
      </c>
      <c r="D2399" s="6">
        <v>64566.0</v>
      </c>
      <c r="E2399" s="6" t="s">
        <v>60</v>
      </c>
      <c r="F2399" s="6" t="s">
        <v>54</v>
      </c>
      <c r="G2399" s="6" t="s">
        <v>31</v>
      </c>
      <c r="H2399" s="7">
        <v>2866.0</v>
      </c>
      <c r="I2399" s="7">
        <v>1004.0</v>
      </c>
      <c r="J2399" s="6">
        <v>2017.0</v>
      </c>
      <c r="K2399" s="6">
        <v>1.0</v>
      </c>
      <c r="L2399" s="6" t="s">
        <v>141</v>
      </c>
      <c r="M2399" s="6" t="s">
        <v>9632</v>
      </c>
      <c r="N2399" s="6" t="s">
        <v>64</v>
      </c>
      <c r="O2399" s="6" t="s">
        <v>35</v>
      </c>
      <c r="P2399" s="6">
        <f>COUNTIF(Analysis!$M$1:$M$3001,Analysis!$M2399)</f>
        <v>1</v>
      </c>
      <c r="Q2399" s="6" t="str">
        <f>IF(COUNTIF(Analysis!$M$2:$M$3001,Analysis!$M2399)&gt;1,"Duplicate","OK")</f>
        <v>OK</v>
      </c>
      <c r="R2399" s="6" t="str">
        <f t="shared" si="1"/>
        <v>2600-3600</v>
      </c>
      <c r="S2399" s="6">
        <f t="shared" si="2"/>
        <v>9</v>
      </c>
      <c r="T2399" s="6" t="str">
        <f t="shared" si="3"/>
        <v>New</v>
      </c>
    </row>
    <row r="2400" ht="14.25" customHeight="1">
      <c r="A2400" s="5">
        <v>1039764.0</v>
      </c>
      <c r="B2400" s="6" t="s">
        <v>9635</v>
      </c>
      <c r="C2400" s="6" t="s">
        <v>53</v>
      </c>
      <c r="D2400" s="6">
        <v>41219.0</v>
      </c>
      <c r="E2400" s="6" t="s">
        <v>30</v>
      </c>
      <c r="F2400" s="6" t="s">
        <v>20</v>
      </c>
      <c r="G2400" s="6" t="s">
        <v>55</v>
      </c>
      <c r="H2400" s="7">
        <v>3894.0</v>
      </c>
      <c r="I2400" s="7">
        <v>8616.0</v>
      </c>
      <c r="J2400" s="6">
        <v>2000.0</v>
      </c>
      <c r="K2400" s="6">
        <v>97.0</v>
      </c>
      <c r="L2400" s="6" t="s">
        <v>141</v>
      </c>
      <c r="M2400" s="6" t="s">
        <v>9636</v>
      </c>
      <c r="N2400" s="6" t="s">
        <v>64</v>
      </c>
      <c r="O2400" s="6" t="s">
        <v>25</v>
      </c>
      <c r="P2400" s="6">
        <f>COUNTIF(Analysis!$M$1:$M$3001,Analysis!$M2400)</f>
        <v>1</v>
      </c>
      <c r="Q2400" s="6" t="str">
        <f>IF(COUNTIF(Analysis!$M$2:$M$3001,Analysis!$M2400)&gt;1,"Duplicate","OK")</f>
        <v>OK</v>
      </c>
      <c r="R2400" s="6" t="str">
        <f t="shared" si="1"/>
        <v>3600+</v>
      </c>
      <c r="S2400" s="6">
        <f t="shared" si="2"/>
        <v>26</v>
      </c>
      <c r="T2400" s="6" t="str">
        <f t="shared" si="3"/>
        <v>Mid</v>
      </c>
    </row>
    <row r="2401" ht="14.25" customHeight="1">
      <c r="A2401" s="5">
        <v>722724.0</v>
      </c>
      <c r="B2401" s="6" t="s">
        <v>9639</v>
      </c>
      <c r="C2401" s="6" t="s">
        <v>39</v>
      </c>
      <c r="D2401" s="6">
        <v>49352.0</v>
      </c>
      <c r="E2401" s="6" t="s">
        <v>40</v>
      </c>
      <c r="F2401" s="6" t="s">
        <v>20</v>
      </c>
      <c r="G2401" s="6" t="s">
        <v>55</v>
      </c>
      <c r="H2401" s="7">
        <v>1567.0</v>
      </c>
      <c r="I2401" s="7">
        <v>9813.0</v>
      </c>
      <c r="J2401" s="6">
        <v>1975.0</v>
      </c>
      <c r="K2401" s="6">
        <v>44.0</v>
      </c>
      <c r="L2401" s="6" t="s">
        <v>32</v>
      </c>
      <c r="M2401" s="6" t="s">
        <v>9640</v>
      </c>
      <c r="N2401" s="6" t="s">
        <v>43</v>
      </c>
      <c r="O2401" s="6" t="s">
        <v>25</v>
      </c>
      <c r="P2401" s="6">
        <f>COUNTIF(Analysis!$M$1:$M$3001,Analysis!$M2401)</f>
        <v>1</v>
      </c>
      <c r="Q2401" s="6" t="str">
        <f>IF(COUNTIF(Analysis!$M$2:$M$3001,Analysis!$M2401)&gt;1,"Duplicate","OK")</f>
        <v>OK</v>
      </c>
      <c r="R2401" s="6" t="str">
        <f t="shared" si="1"/>
        <v>600-1600</v>
      </c>
      <c r="S2401" s="6">
        <f t="shared" si="2"/>
        <v>51</v>
      </c>
      <c r="T2401" s="6" t="str">
        <f t="shared" si="3"/>
        <v>Old</v>
      </c>
    </row>
    <row r="2402" ht="14.25" customHeight="1">
      <c r="A2402" s="5">
        <v>387750.0</v>
      </c>
      <c r="B2402" s="6" t="s">
        <v>9643</v>
      </c>
      <c r="C2402" s="6" t="s">
        <v>53</v>
      </c>
      <c r="D2402" s="6">
        <v>47133.0</v>
      </c>
      <c r="E2402" s="6" t="s">
        <v>19</v>
      </c>
      <c r="F2402" s="6" t="s">
        <v>94</v>
      </c>
      <c r="G2402" s="6" t="s">
        <v>100</v>
      </c>
      <c r="H2402" s="7">
        <v>2628.0</v>
      </c>
      <c r="I2402" s="7">
        <v>1738.0</v>
      </c>
      <c r="J2402" s="6">
        <v>1958.0</v>
      </c>
      <c r="K2402" s="6">
        <v>87.0</v>
      </c>
      <c r="L2402" s="6" t="s">
        <v>62</v>
      </c>
      <c r="M2402" s="6" t="s">
        <v>9644</v>
      </c>
      <c r="N2402" s="6" t="s">
        <v>24</v>
      </c>
      <c r="O2402" s="6" t="s">
        <v>25</v>
      </c>
      <c r="P2402" s="6">
        <f>COUNTIF(Analysis!$M$1:$M$3001,Analysis!$M2402)</f>
        <v>1</v>
      </c>
      <c r="Q2402" s="6" t="str">
        <f>IF(COUNTIF(Analysis!$M$2:$M$3001,Analysis!$M2402)&gt;1,"Duplicate","OK")</f>
        <v>OK</v>
      </c>
      <c r="R2402" s="6" t="str">
        <f t="shared" si="1"/>
        <v>2600-3600</v>
      </c>
      <c r="S2402" s="6">
        <f t="shared" si="2"/>
        <v>68</v>
      </c>
      <c r="T2402" s="6" t="str">
        <f t="shared" si="3"/>
        <v>Very Old</v>
      </c>
    </row>
    <row r="2403" ht="14.25" customHeight="1">
      <c r="A2403" s="5">
        <v>369280.0</v>
      </c>
      <c r="B2403" s="6" t="s">
        <v>9647</v>
      </c>
      <c r="C2403" s="6" t="s">
        <v>76</v>
      </c>
      <c r="D2403" s="6">
        <v>79829.0</v>
      </c>
      <c r="E2403" s="6" t="s">
        <v>19</v>
      </c>
      <c r="F2403" s="6" t="s">
        <v>46</v>
      </c>
      <c r="G2403" s="6" t="s">
        <v>55</v>
      </c>
      <c r="H2403" s="7">
        <v>3815.0</v>
      </c>
      <c r="I2403" s="7">
        <v>6795.0</v>
      </c>
      <c r="J2403" s="6">
        <v>1966.0</v>
      </c>
      <c r="K2403" s="6">
        <v>9.0</v>
      </c>
      <c r="L2403" s="6" t="s">
        <v>22</v>
      </c>
      <c r="M2403" s="6" t="s">
        <v>9648</v>
      </c>
      <c r="N2403" s="6" t="s">
        <v>34</v>
      </c>
      <c r="O2403" s="6" t="s">
        <v>35</v>
      </c>
      <c r="P2403" s="6">
        <f>COUNTIF(Analysis!$M$1:$M$3001,Analysis!$M2403)</f>
        <v>1</v>
      </c>
      <c r="Q2403" s="6" t="str">
        <f>IF(COUNTIF(Analysis!$M$2:$M$3001,Analysis!$M2403)&gt;1,"Duplicate","OK")</f>
        <v>OK</v>
      </c>
      <c r="R2403" s="6" t="str">
        <f t="shared" si="1"/>
        <v>3600+</v>
      </c>
      <c r="S2403" s="6">
        <f t="shared" si="2"/>
        <v>60</v>
      </c>
      <c r="T2403" s="6" t="str">
        <f t="shared" si="3"/>
        <v>Old</v>
      </c>
    </row>
    <row r="2404" ht="14.25" customHeight="1">
      <c r="A2404" s="5">
        <v>1257749.0</v>
      </c>
      <c r="B2404" s="6" t="s">
        <v>3899</v>
      </c>
      <c r="C2404" s="6" t="s">
        <v>29</v>
      </c>
      <c r="D2404" s="6">
        <v>64765.0</v>
      </c>
      <c r="E2404" s="6" t="s">
        <v>30</v>
      </c>
      <c r="F2404" s="6" t="s">
        <v>41</v>
      </c>
      <c r="G2404" s="6" t="s">
        <v>55</v>
      </c>
      <c r="H2404" s="7">
        <v>2824.0</v>
      </c>
      <c r="I2404" s="7">
        <v>5114.0</v>
      </c>
      <c r="J2404" s="6">
        <v>1988.0</v>
      </c>
      <c r="K2404" s="6">
        <v>42.0</v>
      </c>
      <c r="L2404" s="6" t="s">
        <v>22</v>
      </c>
      <c r="M2404" s="6" t="s">
        <v>3900</v>
      </c>
      <c r="N2404" s="6" t="s">
        <v>24</v>
      </c>
      <c r="O2404" s="6" t="s">
        <v>25</v>
      </c>
      <c r="P2404" s="6">
        <f>COUNTIF(Analysis!$M$1:$M$3001,Analysis!$M965)</f>
        <v>1</v>
      </c>
      <c r="Q2404" s="6" t="str">
        <f>IF(COUNTIF(Analysis!$M$2:$M$3001,Analysis!$M965)&gt;1,"Duplicate","OK")</f>
        <v>OK</v>
      </c>
      <c r="R2404" s="6" t="str">
        <f t="shared" si="1"/>
        <v>2600-3600</v>
      </c>
      <c r="S2404" s="6">
        <f t="shared" si="2"/>
        <v>38</v>
      </c>
      <c r="T2404" s="6" t="str">
        <f t="shared" si="3"/>
        <v>Old</v>
      </c>
    </row>
    <row r="2405" ht="14.25" customHeight="1">
      <c r="A2405" s="5">
        <v>1431844.0</v>
      </c>
      <c r="B2405" s="6" t="s">
        <v>9655</v>
      </c>
      <c r="C2405" s="6" t="s">
        <v>53</v>
      </c>
      <c r="D2405" s="6">
        <v>55537.0</v>
      </c>
      <c r="E2405" s="6" t="s">
        <v>77</v>
      </c>
      <c r="F2405" s="6" t="s">
        <v>20</v>
      </c>
      <c r="G2405" s="6" t="s">
        <v>100</v>
      </c>
      <c r="H2405" s="7">
        <v>3280.0</v>
      </c>
      <c r="I2405" s="7">
        <v>8832.0</v>
      </c>
      <c r="J2405" s="6">
        <v>2012.0</v>
      </c>
      <c r="K2405" s="6">
        <v>62.0</v>
      </c>
      <c r="L2405" s="6" t="s">
        <v>32</v>
      </c>
      <c r="M2405" s="6" t="s">
        <v>9656</v>
      </c>
      <c r="N2405" s="6" t="s">
        <v>64</v>
      </c>
      <c r="O2405" s="6" t="s">
        <v>25</v>
      </c>
      <c r="P2405" s="6">
        <f>COUNTIF(Analysis!$M$1:$M$3001,Analysis!$M2405)</f>
        <v>1</v>
      </c>
      <c r="Q2405" s="6" t="str">
        <f>IF(COUNTIF(Analysis!$M$2:$M$3001,Analysis!$M2405)&gt;1,"Duplicate","OK")</f>
        <v>OK</v>
      </c>
      <c r="R2405" s="6" t="str">
        <f t="shared" si="1"/>
        <v>2600-3600</v>
      </c>
      <c r="S2405" s="6">
        <f t="shared" si="2"/>
        <v>14</v>
      </c>
      <c r="T2405" s="6" t="str">
        <f t="shared" si="3"/>
        <v>Mid</v>
      </c>
    </row>
    <row r="2406" ht="14.25" customHeight="1">
      <c r="A2406" s="5">
        <v>961677.0</v>
      </c>
      <c r="B2406" s="6" t="s">
        <v>9659</v>
      </c>
      <c r="C2406" s="6" t="s">
        <v>39</v>
      </c>
      <c r="D2406" s="6">
        <v>38529.0</v>
      </c>
      <c r="E2406" s="6" t="s">
        <v>60</v>
      </c>
      <c r="F2406" s="6" t="s">
        <v>61</v>
      </c>
      <c r="G2406" s="6" t="s">
        <v>21</v>
      </c>
      <c r="H2406" s="7">
        <v>1988.0</v>
      </c>
      <c r="I2406" s="7">
        <v>6701.0</v>
      </c>
      <c r="J2406" s="6">
        <v>1987.0</v>
      </c>
      <c r="K2406" s="6">
        <v>79.0</v>
      </c>
      <c r="L2406" s="6" t="s">
        <v>22</v>
      </c>
      <c r="M2406" s="6" t="s">
        <v>9660</v>
      </c>
      <c r="N2406" s="6" t="s">
        <v>64</v>
      </c>
      <c r="O2406" s="6" t="s">
        <v>25</v>
      </c>
      <c r="P2406" s="6">
        <f>COUNTIF(Analysis!$M$1:$M$3001,Analysis!$M2406)</f>
        <v>1</v>
      </c>
      <c r="Q2406" s="6" t="str">
        <f>IF(COUNTIF(Analysis!$M$2:$M$3001,Analysis!$M2406)&gt;1,"Duplicate","OK")</f>
        <v>OK</v>
      </c>
      <c r="R2406" s="6" t="str">
        <f t="shared" si="1"/>
        <v>1600-2600</v>
      </c>
      <c r="S2406" s="6">
        <f t="shared" si="2"/>
        <v>39</v>
      </c>
      <c r="T2406" s="6" t="str">
        <f t="shared" si="3"/>
        <v>Old</v>
      </c>
    </row>
    <row r="2407" ht="14.25" customHeight="1">
      <c r="A2407" s="5">
        <v>1159314.0</v>
      </c>
      <c r="B2407" s="6" t="s">
        <v>9663</v>
      </c>
      <c r="C2407" s="6" t="s">
        <v>76</v>
      </c>
      <c r="D2407" s="6">
        <v>31671.0</v>
      </c>
      <c r="E2407" s="6" t="s">
        <v>77</v>
      </c>
      <c r="F2407" s="6" t="s">
        <v>46</v>
      </c>
      <c r="G2407" s="6" t="s">
        <v>31</v>
      </c>
      <c r="H2407" s="7">
        <v>3872.0</v>
      </c>
      <c r="I2407" s="7">
        <v>1960.0</v>
      </c>
      <c r="J2407" s="6">
        <v>2005.0</v>
      </c>
      <c r="K2407" s="6">
        <v>97.0</v>
      </c>
      <c r="L2407" s="6" t="s">
        <v>62</v>
      </c>
      <c r="M2407" s="6" t="s">
        <v>9664</v>
      </c>
      <c r="N2407" s="6" t="s">
        <v>64</v>
      </c>
      <c r="O2407" s="6" t="s">
        <v>49</v>
      </c>
      <c r="P2407" s="6">
        <f>COUNTIF(Analysis!$M$1:$M$3001,Analysis!$M2407)</f>
        <v>1</v>
      </c>
      <c r="Q2407" s="6" t="str">
        <f>IF(COUNTIF(Analysis!$M$2:$M$3001,Analysis!$M2407)&gt;1,"Duplicate","OK")</f>
        <v>OK</v>
      </c>
      <c r="R2407" s="6" t="str">
        <f t="shared" si="1"/>
        <v>3600+</v>
      </c>
      <c r="S2407" s="6">
        <f t="shared" si="2"/>
        <v>21</v>
      </c>
      <c r="T2407" s="6" t="str">
        <f t="shared" si="3"/>
        <v>Mid</v>
      </c>
    </row>
    <row r="2408" ht="14.25" customHeight="1">
      <c r="A2408" s="5">
        <v>1130200.0</v>
      </c>
      <c r="B2408" s="6" t="s">
        <v>9667</v>
      </c>
      <c r="C2408" s="6" t="s">
        <v>76</v>
      </c>
      <c r="D2408" s="6">
        <v>35368.0</v>
      </c>
      <c r="E2408" s="6" t="s">
        <v>19</v>
      </c>
      <c r="F2408" s="6" t="s">
        <v>94</v>
      </c>
      <c r="G2408" s="6" t="s">
        <v>31</v>
      </c>
      <c r="H2408" s="7">
        <v>2546.0</v>
      </c>
      <c r="I2408" s="7">
        <v>2645.0</v>
      </c>
      <c r="J2408" s="6">
        <v>1975.0</v>
      </c>
      <c r="K2408" s="6">
        <v>46.0</v>
      </c>
      <c r="L2408" s="6" t="s">
        <v>62</v>
      </c>
      <c r="M2408" s="6" t="s">
        <v>9668</v>
      </c>
      <c r="N2408" s="6" t="s">
        <v>64</v>
      </c>
      <c r="O2408" s="6" t="s">
        <v>35</v>
      </c>
      <c r="P2408" s="6">
        <f>COUNTIF(Analysis!$M$1:$M$3001,Analysis!$M2408)</f>
        <v>1</v>
      </c>
      <c r="Q2408" s="6" t="str">
        <f>IF(COUNTIF(Analysis!$M$2:$M$3001,Analysis!$M2408)&gt;1,"Duplicate","OK")</f>
        <v>OK</v>
      </c>
      <c r="R2408" s="6" t="str">
        <f t="shared" si="1"/>
        <v>1600-2600</v>
      </c>
      <c r="S2408" s="6">
        <f t="shared" si="2"/>
        <v>51</v>
      </c>
      <c r="T2408" s="6" t="str">
        <f t="shared" si="3"/>
        <v>Old</v>
      </c>
    </row>
    <row r="2409" ht="14.25" customHeight="1">
      <c r="A2409" s="5">
        <v>183053.0</v>
      </c>
      <c r="B2409" s="6" t="s">
        <v>9671</v>
      </c>
      <c r="C2409" s="6" t="s">
        <v>53</v>
      </c>
      <c r="D2409" s="6">
        <v>37017.0</v>
      </c>
      <c r="E2409" s="6" t="s">
        <v>19</v>
      </c>
      <c r="F2409" s="6" t="s">
        <v>61</v>
      </c>
      <c r="G2409" s="6" t="s">
        <v>55</v>
      </c>
      <c r="H2409" s="7">
        <v>3663.0</v>
      </c>
      <c r="I2409" s="7">
        <v>6570.0</v>
      </c>
      <c r="J2409" s="6">
        <v>2015.0</v>
      </c>
      <c r="K2409" s="6">
        <v>38.0</v>
      </c>
      <c r="L2409" s="6" t="s">
        <v>22</v>
      </c>
      <c r="M2409" s="6" t="s">
        <v>9672</v>
      </c>
      <c r="N2409" s="6" t="s">
        <v>43</v>
      </c>
      <c r="O2409" s="6" t="s">
        <v>35</v>
      </c>
      <c r="P2409" s="6">
        <f>COUNTIF(Analysis!$M$1:$M$3001,Analysis!$M2409)</f>
        <v>1</v>
      </c>
      <c r="Q2409" s="6" t="str">
        <f>IF(COUNTIF(Analysis!$M$2:$M$3001,Analysis!$M2409)&gt;1,"Duplicate","OK")</f>
        <v>OK</v>
      </c>
      <c r="R2409" s="6" t="str">
        <f t="shared" si="1"/>
        <v>3600+</v>
      </c>
      <c r="S2409" s="6">
        <f t="shared" si="2"/>
        <v>11</v>
      </c>
      <c r="T2409" s="6" t="str">
        <f t="shared" si="3"/>
        <v>Mid</v>
      </c>
    </row>
    <row r="2410" ht="14.25" customHeight="1">
      <c r="A2410" s="5">
        <v>910544.0</v>
      </c>
      <c r="B2410" s="6" t="s">
        <v>9675</v>
      </c>
      <c r="C2410" s="6" t="s">
        <v>53</v>
      </c>
      <c r="D2410" s="6">
        <v>47278.0</v>
      </c>
      <c r="E2410" s="6" t="s">
        <v>77</v>
      </c>
      <c r="F2410" s="6" t="s">
        <v>20</v>
      </c>
      <c r="G2410" s="6" t="s">
        <v>100</v>
      </c>
      <c r="H2410" s="7">
        <v>3522.0</v>
      </c>
      <c r="I2410" s="7">
        <v>4583.0</v>
      </c>
      <c r="J2410" s="6">
        <v>2011.0</v>
      </c>
      <c r="K2410" s="6">
        <v>45.0</v>
      </c>
      <c r="L2410" s="6" t="s">
        <v>32</v>
      </c>
      <c r="M2410" s="6" t="s">
        <v>9676</v>
      </c>
      <c r="N2410" s="6" t="s">
        <v>64</v>
      </c>
      <c r="O2410" s="6" t="s">
        <v>35</v>
      </c>
      <c r="P2410" s="6">
        <f>COUNTIF(Analysis!$M$1:$M$3001,Analysis!$M2410)</f>
        <v>1</v>
      </c>
      <c r="Q2410" s="6" t="str">
        <f>IF(COUNTIF(Analysis!$M$2:$M$3001,Analysis!$M2410)&gt;1,"Duplicate","OK")</f>
        <v>OK</v>
      </c>
      <c r="R2410" s="6" t="str">
        <f t="shared" si="1"/>
        <v>2600-3600</v>
      </c>
      <c r="S2410" s="6">
        <f t="shared" si="2"/>
        <v>15</v>
      </c>
      <c r="T2410" s="6" t="str">
        <f t="shared" si="3"/>
        <v>Mid</v>
      </c>
    </row>
    <row r="2411" ht="14.25" customHeight="1">
      <c r="A2411" s="5">
        <v>421366.0</v>
      </c>
      <c r="B2411" s="6" t="s">
        <v>9679</v>
      </c>
      <c r="C2411" s="6" t="s">
        <v>18</v>
      </c>
      <c r="D2411" s="6">
        <v>34088.0</v>
      </c>
      <c r="E2411" s="6" t="s">
        <v>40</v>
      </c>
      <c r="F2411" s="6" t="s">
        <v>54</v>
      </c>
      <c r="G2411" s="6" t="s">
        <v>100</v>
      </c>
      <c r="H2411" s="7">
        <v>698.0</v>
      </c>
      <c r="I2411" s="7">
        <v>8122.0</v>
      </c>
      <c r="J2411" s="6">
        <v>1992.0</v>
      </c>
      <c r="K2411" s="6">
        <v>99.0</v>
      </c>
      <c r="L2411" s="6" t="s">
        <v>22</v>
      </c>
      <c r="M2411" s="6" t="s">
        <v>9680</v>
      </c>
      <c r="N2411" s="6" t="s">
        <v>43</v>
      </c>
      <c r="O2411" s="6" t="s">
        <v>25</v>
      </c>
      <c r="P2411" s="6">
        <f>COUNTIF(Analysis!$M$1:$M$3001,Analysis!$M2411)</f>
        <v>1</v>
      </c>
      <c r="Q2411" s="6" t="str">
        <f>IF(COUNTIF(Analysis!$M$2:$M$3001,Analysis!$M2411)&gt;1,"Duplicate","OK")</f>
        <v>OK</v>
      </c>
      <c r="R2411" s="6" t="str">
        <f t="shared" si="1"/>
        <v>600-1600</v>
      </c>
      <c r="S2411" s="6">
        <f t="shared" si="2"/>
        <v>34</v>
      </c>
      <c r="T2411" s="6" t="str">
        <f t="shared" si="3"/>
        <v>Old</v>
      </c>
    </row>
    <row r="2412" ht="14.25" customHeight="1">
      <c r="A2412" s="5">
        <v>159757.0</v>
      </c>
      <c r="B2412" s="6" t="s">
        <v>9683</v>
      </c>
      <c r="C2412" s="6" t="s">
        <v>18</v>
      </c>
      <c r="D2412" s="6">
        <v>24971.0</v>
      </c>
      <c r="E2412" s="6" t="s">
        <v>40</v>
      </c>
      <c r="F2412" s="6" t="s">
        <v>41</v>
      </c>
      <c r="G2412" s="6" t="s">
        <v>31</v>
      </c>
      <c r="H2412" s="7">
        <v>2078.0</v>
      </c>
      <c r="I2412" s="7">
        <v>7945.0</v>
      </c>
      <c r="J2412" s="6">
        <v>2001.0</v>
      </c>
      <c r="K2412" s="6">
        <v>1.0</v>
      </c>
      <c r="L2412" s="6" t="s">
        <v>32</v>
      </c>
      <c r="M2412" s="6" t="s">
        <v>9684</v>
      </c>
      <c r="N2412" s="6" t="s">
        <v>48</v>
      </c>
      <c r="O2412" s="6" t="s">
        <v>25</v>
      </c>
      <c r="P2412" s="6">
        <f>COUNTIF(Analysis!$M$1:$M$3001,Analysis!$M2412)</f>
        <v>1</v>
      </c>
      <c r="Q2412" s="6" t="str">
        <f>IF(COUNTIF(Analysis!$M$2:$M$3001,Analysis!$M2412)&gt;1,"Duplicate","OK")</f>
        <v>OK</v>
      </c>
      <c r="R2412" s="6" t="str">
        <f t="shared" si="1"/>
        <v>1600-2600</v>
      </c>
      <c r="S2412" s="6">
        <f t="shared" si="2"/>
        <v>25</v>
      </c>
      <c r="T2412" s="6" t="str">
        <f t="shared" si="3"/>
        <v>Mid</v>
      </c>
    </row>
    <row r="2413" ht="14.25" customHeight="1">
      <c r="A2413" s="5">
        <v>216289.0</v>
      </c>
      <c r="B2413" s="6" t="s">
        <v>9687</v>
      </c>
      <c r="C2413" s="6" t="s">
        <v>39</v>
      </c>
      <c r="D2413" s="6">
        <v>51838.0</v>
      </c>
      <c r="E2413" s="6" t="s">
        <v>40</v>
      </c>
      <c r="F2413" s="6" t="s">
        <v>61</v>
      </c>
      <c r="G2413" s="6" t="s">
        <v>55</v>
      </c>
      <c r="H2413" s="7">
        <v>3650.0</v>
      </c>
      <c r="I2413" s="7">
        <v>2092.0</v>
      </c>
      <c r="J2413" s="6">
        <v>1970.0</v>
      </c>
      <c r="K2413" s="6">
        <v>11.0</v>
      </c>
      <c r="L2413" s="6" t="s">
        <v>95</v>
      </c>
      <c r="M2413" s="6" t="s">
        <v>9688</v>
      </c>
      <c r="N2413" s="6" t="s">
        <v>43</v>
      </c>
      <c r="O2413" s="6" t="s">
        <v>25</v>
      </c>
      <c r="P2413" s="6">
        <f>COUNTIF(Analysis!$M$1:$M$3001,Analysis!$M2413)</f>
        <v>1</v>
      </c>
      <c r="Q2413" s="6" t="str">
        <f>IF(COUNTIF(Analysis!$M$2:$M$3001,Analysis!$M2413)&gt;1,"Duplicate","OK")</f>
        <v>OK</v>
      </c>
      <c r="R2413" s="6" t="str">
        <f t="shared" si="1"/>
        <v>3600+</v>
      </c>
      <c r="S2413" s="6">
        <f t="shared" si="2"/>
        <v>56</v>
      </c>
      <c r="T2413" s="6" t="str">
        <f t="shared" si="3"/>
        <v>Old</v>
      </c>
    </row>
    <row r="2414" ht="14.25" customHeight="1">
      <c r="A2414" s="5">
        <v>322412.0</v>
      </c>
      <c r="B2414" s="6" t="s">
        <v>9691</v>
      </c>
      <c r="C2414" s="6" t="s">
        <v>39</v>
      </c>
      <c r="D2414" s="6">
        <v>17843.0</v>
      </c>
      <c r="E2414" s="6" t="s">
        <v>30</v>
      </c>
      <c r="F2414" s="6" t="s">
        <v>61</v>
      </c>
      <c r="G2414" s="6" t="s">
        <v>100</v>
      </c>
      <c r="H2414" s="7">
        <v>3753.0</v>
      </c>
      <c r="I2414" s="7">
        <v>8524.0</v>
      </c>
      <c r="J2414" s="6">
        <v>2004.0</v>
      </c>
      <c r="K2414" s="6">
        <v>3.0</v>
      </c>
      <c r="L2414" s="6" t="s">
        <v>22</v>
      </c>
      <c r="M2414" s="6" t="s">
        <v>9692</v>
      </c>
      <c r="N2414" s="6" t="s">
        <v>24</v>
      </c>
      <c r="O2414" s="6" t="s">
        <v>49</v>
      </c>
      <c r="P2414" s="6">
        <f>COUNTIF(Analysis!$M$1:$M$3001,Analysis!$M2414)</f>
        <v>1</v>
      </c>
      <c r="Q2414" s="6" t="str">
        <f>IF(COUNTIF(Analysis!$M$2:$M$3001,Analysis!$M2414)&gt;1,"Duplicate","OK")</f>
        <v>OK</v>
      </c>
      <c r="R2414" s="6" t="str">
        <f t="shared" si="1"/>
        <v>3600+</v>
      </c>
      <c r="S2414" s="6">
        <f t="shared" si="2"/>
        <v>22</v>
      </c>
      <c r="T2414" s="6" t="str">
        <f t="shared" si="3"/>
        <v>Mid</v>
      </c>
    </row>
    <row r="2415" ht="14.25" customHeight="1">
      <c r="A2415" s="5">
        <v>210952.0</v>
      </c>
      <c r="B2415" s="6" t="s">
        <v>9695</v>
      </c>
      <c r="C2415" s="6" t="s">
        <v>53</v>
      </c>
      <c r="D2415" s="6">
        <v>32705.0</v>
      </c>
      <c r="E2415" s="6" t="s">
        <v>77</v>
      </c>
      <c r="F2415" s="6" t="s">
        <v>61</v>
      </c>
      <c r="G2415" s="6" t="s">
        <v>31</v>
      </c>
      <c r="H2415" s="7">
        <v>959.0</v>
      </c>
      <c r="I2415" s="7">
        <v>9348.0</v>
      </c>
      <c r="J2415" s="6">
        <v>1969.0</v>
      </c>
      <c r="K2415" s="6">
        <v>62.0</v>
      </c>
      <c r="L2415" s="6" t="s">
        <v>62</v>
      </c>
      <c r="M2415" s="6" t="s">
        <v>9696</v>
      </c>
      <c r="N2415" s="6" t="s">
        <v>48</v>
      </c>
      <c r="O2415" s="6" t="s">
        <v>35</v>
      </c>
      <c r="P2415" s="6">
        <f>COUNTIF(Analysis!$M$1:$M$3001,Analysis!$M2415)</f>
        <v>1</v>
      </c>
      <c r="Q2415" s="6" t="str">
        <f>IF(COUNTIF(Analysis!$M$2:$M$3001,Analysis!$M2415)&gt;1,"Duplicate","OK")</f>
        <v>OK</v>
      </c>
      <c r="R2415" s="6" t="str">
        <f t="shared" si="1"/>
        <v>600-1600</v>
      </c>
      <c r="S2415" s="6">
        <f t="shared" si="2"/>
        <v>57</v>
      </c>
      <c r="T2415" s="6" t="str">
        <f t="shared" si="3"/>
        <v>Old</v>
      </c>
    </row>
    <row r="2416" ht="14.25" customHeight="1">
      <c r="A2416" s="5">
        <v>1247795.0</v>
      </c>
      <c r="B2416" s="6" t="s">
        <v>9699</v>
      </c>
      <c r="C2416" s="6" t="s">
        <v>53</v>
      </c>
      <c r="D2416" s="6">
        <v>84254.0</v>
      </c>
      <c r="E2416" s="6" t="s">
        <v>19</v>
      </c>
      <c r="F2416" s="6" t="s">
        <v>20</v>
      </c>
      <c r="G2416" s="6" t="s">
        <v>100</v>
      </c>
      <c r="H2416" s="7">
        <v>2538.0</v>
      </c>
      <c r="I2416" s="7">
        <v>6282.0</v>
      </c>
      <c r="J2416" s="6">
        <v>1968.0</v>
      </c>
      <c r="K2416" s="6">
        <v>28.0</v>
      </c>
      <c r="L2416" s="6" t="s">
        <v>95</v>
      </c>
      <c r="M2416" s="6" t="s">
        <v>9700</v>
      </c>
      <c r="N2416" s="6" t="s">
        <v>34</v>
      </c>
      <c r="O2416" s="6" t="s">
        <v>35</v>
      </c>
      <c r="P2416" s="6">
        <f>COUNTIF(Analysis!$M$1:$M$3001,Analysis!$M2416)</f>
        <v>1</v>
      </c>
      <c r="Q2416" s="6" t="str">
        <f>IF(COUNTIF(Analysis!$M$2:$M$3001,Analysis!$M2416)&gt;1,"Duplicate","OK")</f>
        <v>OK</v>
      </c>
      <c r="R2416" s="6" t="str">
        <f t="shared" si="1"/>
        <v>1600-2600</v>
      </c>
      <c r="S2416" s="6">
        <f t="shared" si="2"/>
        <v>58</v>
      </c>
      <c r="T2416" s="6" t="str">
        <f t="shared" si="3"/>
        <v>Old</v>
      </c>
    </row>
    <row r="2417" ht="14.25" customHeight="1">
      <c r="A2417" s="5">
        <v>1258068.0</v>
      </c>
      <c r="B2417" s="6" t="s">
        <v>2284</v>
      </c>
      <c r="C2417" s="6" t="s">
        <v>29</v>
      </c>
      <c r="D2417" s="6">
        <v>27071.0</v>
      </c>
      <c r="E2417" s="6" t="s">
        <v>77</v>
      </c>
      <c r="F2417" s="6" t="s">
        <v>94</v>
      </c>
      <c r="G2417" s="6" t="s">
        <v>21</v>
      </c>
      <c r="H2417" s="7">
        <v>3350.0</v>
      </c>
      <c r="I2417" s="7">
        <v>5339.0</v>
      </c>
      <c r="J2417" s="6">
        <v>1993.0</v>
      </c>
      <c r="K2417" s="6">
        <v>23.0</v>
      </c>
      <c r="L2417" s="6" t="s">
        <v>32</v>
      </c>
      <c r="M2417" s="6" t="s">
        <v>2285</v>
      </c>
      <c r="N2417" s="6" t="s">
        <v>64</v>
      </c>
      <c r="O2417" s="6" t="s">
        <v>25</v>
      </c>
      <c r="P2417" s="6">
        <f>COUNTIF(Analysis!$M$1:$M$3001,Analysis!$M561)</f>
        <v>1</v>
      </c>
      <c r="Q2417" s="6" t="str">
        <f>IF(COUNTIF(Analysis!$M$2:$M$3001,Analysis!$M561)&gt;1,"Duplicate","OK")</f>
        <v>OK</v>
      </c>
      <c r="R2417" s="6" t="str">
        <f t="shared" si="1"/>
        <v>2600-3600</v>
      </c>
      <c r="S2417" s="6">
        <f t="shared" si="2"/>
        <v>33</v>
      </c>
      <c r="T2417" s="6" t="str">
        <f t="shared" si="3"/>
        <v>Old</v>
      </c>
    </row>
    <row r="2418" ht="14.25" customHeight="1">
      <c r="A2418" s="5">
        <v>1082966.0</v>
      </c>
      <c r="B2418" s="6" t="s">
        <v>9707</v>
      </c>
      <c r="C2418" s="6" t="s">
        <v>39</v>
      </c>
      <c r="D2418" s="6">
        <v>35774.0</v>
      </c>
      <c r="E2418" s="6" t="s">
        <v>60</v>
      </c>
      <c r="F2418" s="6" t="s">
        <v>20</v>
      </c>
      <c r="G2418" s="6" t="s">
        <v>55</v>
      </c>
      <c r="H2418" s="7">
        <v>2435.0</v>
      </c>
      <c r="I2418" s="7">
        <v>4973.0</v>
      </c>
      <c r="J2418" s="6">
        <v>1967.0</v>
      </c>
      <c r="K2418" s="6">
        <v>18.0</v>
      </c>
      <c r="L2418" s="6" t="s">
        <v>95</v>
      </c>
      <c r="M2418" s="6" t="s">
        <v>9708</v>
      </c>
      <c r="N2418" s="6" t="s">
        <v>43</v>
      </c>
      <c r="O2418" s="6" t="s">
        <v>49</v>
      </c>
      <c r="P2418" s="6">
        <f>COUNTIF(Analysis!$M$1:$M$3001,Analysis!$M2418)</f>
        <v>1</v>
      </c>
      <c r="Q2418" s="6" t="str">
        <f>IF(COUNTIF(Analysis!$M$2:$M$3001,Analysis!$M2418)&gt;1,"Duplicate","OK")</f>
        <v>OK</v>
      </c>
      <c r="R2418" s="6" t="str">
        <f t="shared" si="1"/>
        <v>1600-2600</v>
      </c>
      <c r="S2418" s="6">
        <f t="shared" si="2"/>
        <v>59</v>
      </c>
      <c r="T2418" s="6" t="str">
        <f t="shared" si="3"/>
        <v>Old</v>
      </c>
    </row>
    <row r="2419" ht="14.25" customHeight="1">
      <c r="A2419" s="5">
        <v>1164095.0</v>
      </c>
      <c r="B2419" s="6" t="s">
        <v>9711</v>
      </c>
      <c r="C2419" s="6" t="s">
        <v>18</v>
      </c>
      <c r="D2419" s="6">
        <v>96515.0</v>
      </c>
      <c r="E2419" s="6" t="s">
        <v>77</v>
      </c>
      <c r="F2419" s="6" t="s">
        <v>41</v>
      </c>
      <c r="G2419" s="6" t="s">
        <v>21</v>
      </c>
      <c r="H2419" s="7">
        <v>1430.0</v>
      </c>
      <c r="I2419" s="7">
        <v>9425.0</v>
      </c>
      <c r="J2419" s="6">
        <v>1993.0</v>
      </c>
      <c r="K2419" s="6">
        <v>112.0</v>
      </c>
      <c r="L2419" s="6" t="s">
        <v>32</v>
      </c>
      <c r="M2419" s="6" t="s">
        <v>9712</v>
      </c>
      <c r="N2419" s="6" t="s">
        <v>43</v>
      </c>
      <c r="O2419" s="6" t="s">
        <v>35</v>
      </c>
      <c r="P2419" s="6">
        <f>COUNTIF(Analysis!$M$1:$M$3001,Analysis!$M2419)</f>
        <v>1</v>
      </c>
      <c r="Q2419" s="6" t="str">
        <f>IF(COUNTIF(Analysis!$M$2:$M$3001,Analysis!$M2419)&gt;1,"Duplicate","OK")</f>
        <v>OK</v>
      </c>
      <c r="R2419" s="6" t="str">
        <f t="shared" si="1"/>
        <v>600-1600</v>
      </c>
      <c r="S2419" s="6">
        <f t="shared" si="2"/>
        <v>33</v>
      </c>
      <c r="T2419" s="6" t="str">
        <f t="shared" si="3"/>
        <v>Old</v>
      </c>
    </row>
    <row r="2420" ht="14.25" customHeight="1">
      <c r="A2420" s="5">
        <v>169640.0</v>
      </c>
      <c r="B2420" s="6" t="s">
        <v>9715</v>
      </c>
      <c r="C2420" s="6" t="s">
        <v>18</v>
      </c>
      <c r="D2420" s="6">
        <v>61427.0</v>
      </c>
      <c r="E2420" s="6" t="s">
        <v>30</v>
      </c>
      <c r="F2420" s="6" t="s">
        <v>46</v>
      </c>
      <c r="G2420" s="6" t="s">
        <v>55</v>
      </c>
      <c r="H2420" s="7">
        <v>3305.0</v>
      </c>
      <c r="I2420" s="7">
        <v>8199.0</v>
      </c>
      <c r="J2420" s="6">
        <v>1972.0</v>
      </c>
      <c r="K2420" s="6">
        <v>119.0</v>
      </c>
      <c r="L2420" s="6" t="s">
        <v>95</v>
      </c>
      <c r="M2420" s="6" t="s">
        <v>9716</v>
      </c>
      <c r="N2420" s="6" t="s">
        <v>24</v>
      </c>
      <c r="O2420" s="6" t="s">
        <v>25</v>
      </c>
      <c r="P2420" s="6">
        <f>COUNTIF(Analysis!$M$1:$M$3001,Analysis!$M2420)</f>
        <v>1</v>
      </c>
      <c r="Q2420" s="6" t="str">
        <f>IF(COUNTIF(Analysis!$M$2:$M$3001,Analysis!$M2420)&gt;1,"Duplicate","OK")</f>
        <v>OK</v>
      </c>
      <c r="R2420" s="6" t="str">
        <f t="shared" si="1"/>
        <v>2600-3600</v>
      </c>
      <c r="S2420" s="6">
        <f t="shared" si="2"/>
        <v>54</v>
      </c>
      <c r="T2420" s="6" t="str">
        <f t="shared" si="3"/>
        <v>Old</v>
      </c>
    </row>
    <row r="2421" ht="14.25" customHeight="1">
      <c r="A2421" s="5">
        <v>617862.0</v>
      </c>
      <c r="B2421" s="6" t="s">
        <v>9719</v>
      </c>
      <c r="C2421" s="6" t="s">
        <v>53</v>
      </c>
      <c r="D2421" s="6">
        <v>42468.0</v>
      </c>
      <c r="E2421" s="6" t="s">
        <v>19</v>
      </c>
      <c r="F2421" s="6" t="s">
        <v>20</v>
      </c>
      <c r="G2421" s="6" t="s">
        <v>21</v>
      </c>
      <c r="H2421" s="7">
        <v>3136.0</v>
      </c>
      <c r="I2421" s="7">
        <v>7264.0</v>
      </c>
      <c r="J2421" s="6">
        <v>1987.0</v>
      </c>
      <c r="K2421" s="6">
        <v>98.0</v>
      </c>
      <c r="L2421" s="6" t="s">
        <v>22</v>
      </c>
      <c r="M2421" s="6" t="s">
        <v>9720</v>
      </c>
      <c r="N2421" s="6" t="s">
        <v>34</v>
      </c>
      <c r="O2421" s="6" t="s">
        <v>35</v>
      </c>
      <c r="P2421" s="6">
        <f>COUNTIF(Analysis!$M$1:$M$3001,Analysis!$M2421)</f>
        <v>1</v>
      </c>
      <c r="Q2421" s="6" t="str">
        <f>IF(COUNTIF(Analysis!$M$2:$M$3001,Analysis!$M2421)&gt;1,"Duplicate","OK")</f>
        <v>OK</v>
      </c>
      <c r="R2421" s="6" t="str">
        <f t="shared" si="1"/>
        <v>2600-3600</v>
      </c>
      <c r="S2421" s="6">
        <f t="shared" si="2"/>
        <v>39</v>
      </c>
      <c r="T2421" s="6" t="str">
        <f t="shared" si="3"/>
        <v>Old</v>
      </c>
    </row>
    <row r="2422" ht="14.25" customHeight="1">
      <c r="A2422" s="5">
        <v>1066163.0</v>
      </c>
      <c r="B2422" s="6" t="s">
        <v>9723</v>
      </c>
      <c r="C2422" s="6" t="s">
        <v>53</v>
      </c>
      <c r="D2422" s="6">
        <v>33549.0</v>
      </c>
      <c r="E2422" s="6" t="s">
        <v>19</v>
      </c>
      <c r="F2422" s="6" t="s">
        <v>61</v>
      </c>
      <c r="G2422" s="6" t="s">
        <v>55</v>
      </c>
      <c r="H2422" s="7">
        <v>1243.0</v>
      </c>
      <c r="I2422" s="7">
        <v>2670.0</v>
      </c>
      <c r="J2422" s="6">
        <v>2005.0</v>
      </c>
      <c r="K2422" s="6">
        <v>110.0</v>
      </c>
      <c r="L2422" s="6" t="s">
        <v>62</v>
      </c>
      <c r="M2422" s="6" t="s">
        <v>9724</v>
      </c>
      <c r="N2422" s="6" t="s">
        <v>64</v>
      </c>
      <c r="O2422" s="6" t="s">
        <v>49</v>
      </c>
      <c r="P2422" s="6">
        <f>COUNTIF(Analysis!$M$1:$M$3001,Analysis!$M2422)</f>
        <v>1</v>
      </c>
      <c r="Q2422" s="6" t="str">
        <f>IF(COUNTIF(Analysis!$M$2:$M$3001,Analysis!$M2422)&gt;1,"Duplicate","OK")</f>
        <v>OK</v>
      </c>
      <c r="R2422" s="6" t="str">
        <f t="shared" si="1"/>
        <v>600-1600</v>
      </c>
      <c r="S2422" s="6">
        <f t="shared" si="2"/>
        <v>21</v>
      </c>
      <c r="T2422" s="6" t="str">
        <f t="shared" si="3"/>
        <v>Mid</v>
      </c>
    </row>
    <row r="2423" ht="14.25" customHeight="1">
      <c r="A2423" s="5">
        <v>1258915.0</v>
      </c>
      <c r="B2423" s="6" t="s">
        <v>10839</v>
      </c>
      <c r="C2423" s="6" t="s">
        <v>29</v>
      </c>
      <c r="D2423" s="6">
        <v>90226.0</v>
      </c>
      <c r="E2423" s="6" t="s">
        <v>19</v>
      </c>
      <c r="F2423" s="6" t="s">
        <v>94</v>
      </c>
      <c r="G2423" s="6" t="s">
        <v>55</v>
      </c>
      <c r="H2423" s="7">
        <v>3952.0</v>
      </c>
      <c r="I2423" s="7">
        <v>3347.0</v>
      </c>
      <c r="J2423" s="6">
        <v>1973.0</v>
      </c>
      <c r="K2423" s="6">
        <v>114.0</v>
      </c>
      <c r="L2423" s="6" t="s">
        <v>32</v>
      </c>
      <c r="M2423" s="6" t="s">
        <v>10840</v>
      </c>
      <c r="N2423" s="6" t="s">
        <v>34</v>
      </c>
      <c r="O2423" s="6" t="s">
        <v>35</v>
      </c>
      <c r="P2423" s="6">
        <f>COUNTIF(Analysis!$M$1:$M$3001,Analysis!$M2701)</f>
        <v>1</v>
      </c>
      <c r="Q2423" s="6" t="str">
        <f>IF(COUNTIF(Analysis!$M$2:$M$3001,Analysis!$M2701)&gt;1,"Duplicate","OK")</f>
        <v>OK</v>
      </c>
      <c r="R2423" s="6" t="str">
        <f t="shared" si="1"/>
        <v>3600+</v>
      </c>
      <c r="S2423" s="6">
        <f t="shared" si="2"/>
        <v>53</v>
      </c>
      <c r="T2423" s="6" t="str">
        <f t="shared" si="3"/>
        <v>Old</v>
      </c>
    </row>
    <row r="2424" ht="14.25" customHeight="1">
      <c r="A2424" s="5">
        <v>1260045.0</v>
      </c>
      <c r="B2424" s="6" t="s">
        <v>10875</v>
      </c>
      <c r="C2424" s="6" t="s">
        <v>29</v>
      </c>
      <c r="D2424" s="6">
        <v>63613.0</v>
      </c>
      <c r="E2424" s="6" t="s">
        <v>30</v>
      </c>
      <c r="F2424" s="6" t="s">
        <v>41</v>
      </c>
      <c r="G2424" s="6" t="s">
        <v>100</v>
      </c>
      <c r="H2424" s="7">
        <v>3037.0</v>
      </c>
      <c r="I2424" s="7">
        <v>2133.0</v>
      </c>
      <c r="J2424" s="6">
        <v>2017.0</v>
      </c>
      <c r="K2424" s="6">
        <v>68.0</v>
      </c>
      <c r="L2424" s="6" t="s">
        <v>62</v>
      </c>
      <c r="M2424" s="6" t="s">
        <v>10876</v>
      </c>
      <c r="N2424" s="6" t="s">
        <v>64</v>
      </c>
      <c r="O2424" s="6" t="s">
        <v>49</v>
      </c>
      <c r="P2424" s="6">
        <f>COUNTIF(Analysis!$M$1:$M$3001,Analysis!$M2710)</f>
        <v>1</v>
      </c>
      <c r="Q2424" s="6" t="str">
        <f>IF(COUNTIF(Analysis!$M$2:$M$3001,Analysis!$M2710)&gt;1,"Duplicate","OK")</f>
        <v>OK</v>
      </c>
      <c r="R2424" s="6" t="str">
        <f t="shared" si="1"/>
        <v>2600-3600</v>
      </c>
      <c r="S2424" s="6">
        <f t="shared" si="2"/>
        <v>9</v>
      </c>
      <c r="T2424" s="6" t="str">
        <f t="shared" si="3"/>
        <v>New</v>
      </c>
    </row>
    <row r="2425" ht="14.25" customHeight="1">
      <c r="A2425" s="5">
        <v>292070.0</v>
      </c>
      <c r="B2425" s="6" t="s">
        <v>9735</v>
      </c>
      <c r="C2425" s="6" t="s">
        <v>53</v>
      </c>
      <c r="D2425" s="6">
        <v>41858.0</v>
      </c>
      <c r="E2425" s="6" t="s">
        <v>19</v>
      </c>
      <c r="F2425" s="6" t="s">
        <v>41</v>
      </c>
      <c r="G2425" s="6" t="s">
        <v>55</v>
      </c>
      <c r="H2425" s="7">
        <v>2155.0</v>
      </c>
      <c r="I2425" s="7">
        <v>9159.0</v>
      </c>
      <c r="J2425" s="6">
        <v>2008.0</v>
      </c>
      <c r="K2425" s="6">
        <v>62.0</v>
      </c>
      <c r="L2425" s="6" t="s">
        <v>62</v>
      </c>
      <c r="M2425" s="6" t="s">
        <v>9736</v>
      </c>
      <c r="N2425" s="6" t="s">
        <v>64</v>
      </c>
      <c r="O2425" s="6" t="s">
        <v>25</v>
      </c>
      <c r="P2425" s="6">
        <f>COUNTIF(Analysis!$M$1:$M$3001,Analysis!$M2425)</f>
        <v>1</v>
      </c>
      <c r="Q2425" s="6" t="str">
        <f>IF(COUNTIF(Analysis!$M$2:$M$3001,Analysis!$M2425)&gt;1,"Duplicate","OK")</f>
        <v>OK</v>
      </c>
      <c r="R2425" s="6" t="str">
        <f t="shared" si="1"/>
        <v>1600-2600</v>
      </c>
      <c r="S2425" s="6">
        <f t="shared" si="2"/>
        <v>18</v>
      </c>
      <c r="T2425" s="6" t="str">
        <f t="shared" si="3"/>
        <v>Mid</v>
      </c>
    </row>
    <row r="2426" ht="14.25" customHeight="1">
      <c r="A2426" s="5">
        <v>1001321.0</v>
      </c>
      <c r="B2426" s="6" t="s">
        <v>9739</v>
      </c>
      <c r="C2426" s="6" t="s">
        <v>53</v>
      </c>
      <c r="D2426" s="6">
        <v>57304.0</v>
      </c>
      <c r="E2426" s="6" t="s">
        <v>77</v>
      </c>
      <c r="F2426" s="6" t="s">
        <v>41</v>
      </c>
      <c r="G2426" s="6" t="s">
        <v>100</v>
      </c>
      <c r="H2426" s="7">
        <v>1874.0</v>
      </c>
      <c r="I2426" s="7">
        <v>1458.0</v>
      </c>
      <c r="J2426" s="6">
        <v>1993.0</v>
      </c>
      <c r="K2426" s="6">
        <v>88.0</v>
      </c>
      <c r="L2426" s="6" t="s">
        <v>141</v>
      </c>
      <c r="M2426" s="6" t="s">
        <v>9740</v>
      </c>
      <c r="N2426" s="6" t="s">
        <v>48</v>
      </c>
      <c r="O2426" s="6" t="s">
        <v>35</v>
      </c>
      <c r="P2426" s="6">
        <f>COUNTIF(Analysis!$M$1:$M$3001,Analysis!$M2426)</f>
        <v>1</v>
      </c>
      <c r="Q2426" s="6" t="str">
        <f>IF(COUNTIF(Analysis!$M$2:$M$3001,Analysis!$M2426)&gt;1,"Duplicate","OK")</f>
        <v>OK</v>
      </c>
      <c r="R2426" s="6" t="str">
        <f t="shared" si="1"/>
        <v>1600-2600</v>
      </c>
      <c r="S2426" s="6">
        <f t="shared" si="2"/>
        <v>33</v>
      </c>
      <c r="T2426" s="6" t="str">
        <f t="shared" si="3"/>
        <v>Old</v>
      </c>
    </row>
    <row r="2427" ht="14.25" customHeight="1">
      <c r="A2427" s="5">
        <v>1262355.0</v>
      </c>
      <c r="B2427" s="6" t="s">
        <v>7869</v>
      </c>
      <c r="C2427" s="6" t="s">
        <v>29</v>
      </c>
      <c r="D2427" s="6">
        <v>49075.0</v>
      </c>
      <c r="E2427" s="6" t="s">
        <v>60</v>
      </c>
      <c r="F2427" s="6" t="s">
        <v>46</v>
      </c>
      <c r="G2427" s="6" t="s">
        <v>55</v>
      </c>
      <c r="H2427" s="7">
        <v>2387.0</v>
      </c>
      <c r="I2427" s="7">
        <v>4993.0</v>
      </c>
      <c r="J2427" s="6">
        <v>1974.0</v>
      </c>
      <c r="K2427" s="6">
        <v>13.0</v>
      </c>
      <c r="L2427" s="6" t="s">
        <v>32</v>
      </c>
      <c r="M2427" s="6" t="s">
        <v>7870</v>
      </c>
      <c r="N2427" s="6" t="s">
        <v>64</v>
      </c>
      <c r="O2427" s="6" t="s">
        <v>25</v>
      </c>
      <c r="P2427" s="6">
        <f>COUNTIF(Analysis!$M$1:$M$3001,Analysis!$M1958)</f>
        <v>1</v>
      </c>
      <c r="Q2427" s="6" t="str">
        <f>IF(COUNTIF(Analysis!$M$2:$M$3001,Analysis!$M1958)&gt;1,"Duplicate","OK")</f>
        <v>OK</v>
      </c>
      <c r="R2427" s="6" t="str">
        <f t="shared" si="1"/>
        <v>1600-2600</v>
      </c>
      <c r="S2427" s="6">
        <f t="shared" si="2"/>
        <v>52</v>
      </c>
      <c r="T2427" s="6" t="str">
        <f t="shared" si="3"/>
        <v>Old</v>
      </c>
    </row>
    <row r="2428" ht="14.25" customHeight="1">
      <c r="A2428" s="5">
        <v>476404.0</v>
      </c>
      <c r="B2428" s="6" t="s">
        <v>9747</v>
      </c>
      <c r="C2428" s="6" t="s">
        <v>18</v>
      </c>
      <c r="D2428" s="6">
        <v>63703.0</v>
      </c>
      <c r="E2428" s="6" t="s">
        <v>30</v>
      </c>
      <c r="F2428" s="6" t="s">
        <v>46</v>
      </c>
      <c r="G2428" s="6" t="s">
        <v>21</v>
      </c>
      <c r="H2428" s="7">
        <v>1444.0</v>
      </c>
      <c r="I2428" s="7">
        <v>9707.0</v>
      </c>
      <c r="J2428" s="6">
        <v>2009.0</v>
      </c>
      <c r="K2428" s="6">
        <v>83.0</v>
      </c>
      <c r="L2428" s="6" t="s">
        <v>62</v>
      </c>
      <c r="M2428" s="6" t="s">
        <v>9748</v>
      </c>
      <c r="N2428" s="6" t="s">
        <v>24</v>
      </c>
      <c r="O2428" s="6" t="s">
        <v>35</v>
      </c>
      <c r="P2428" s="6">
        <f>COUNTIF(Analysis!$M$1:$M$3001,Analysis!$M2428)</f>
        <v>1</v>
      </c>
      <c r="Q2428" s="6" t="str">
        <f>IF(COUNTIF(Analysis!$M$2:$M$3001,Analysis!$M2428)&gt;1,"Duplicate","OK")</f>
        <v>OK</v>
      </c>
      <c r="R2428" s="6" t="str">
        <f t="shared" si="1"/>
        <v>600-1600</v>
      </c>
      <c r="S2428" s="6">
        <f t="shared" si="2"/>
        <v>17</v>
      </c>
      <c r="T2428" s="6" t="str">
        <f t="shared" si="3"/>
        <v>Mid</v>
      </c>
    </row>
    <row r="2429" ht="14.25" customHeight="1">
      <c r="A2429" s="5">
        <v>1260866.0</v>
      </c>
      <c r="B2429" s="6" t="s">
        <v>9751</v>
      </c>
      <c r="C2429" s="6" t="s">
        <v>53</v>
      </c>
      <c r="D2429" s="6">
        <v>84873.0</v>
      </c>
      <c r="E2429" s="6" t="s">
        <v>19</v>
      </c>
      <c r="F2429" s="6" t="s">
        <v>94</v>
      </c>
      <c r="G2429" s="6" t="s">
        <v>55</v>
      </c>
      <c r="H2429" s="7">
        <v>736.0</v>
      </c>
      <c r="I2429" s="7">
        <v>1647.0</v>
      </c>
      <c r="J2429" s="6">
        <v>1979.0</v>
      </c>
      <c r="K2429" s="6">
        <v>6.0</v>
      </c>
      <c r="L2429" s="6" t="s">
        <v>95</v>
      </c>
      <c r="M2429" s="6" t="s">
        <v>9752</v>
      </c>
      <c r="N2429" s="6" t="s">
        <v>64</v>
      </c>
      <c r="O2429" s="6" t="s">
        <v>25</v>
      </c>
      <c r="P2429" s="6">
        <f>COUNTIF(Analysis!$M$1:$M$3001,Analysis!$M2429)</f>
        <v>1</v>
      </c>
      <c r="Q2429" s="6" t="str">
        <f>IF(COUNTIF(Analysis!$M$2:$M$3001,Analysis!$M2429)&gt;1,"Duplicate","OK")</f>
        <v>OK</v>
      </c>
      <c r="R2429" s="6" t="str">
        <f t="shared" si="1"/>
        <v>600-1600</v>
      </c>
      <c r="S2429" s="6">
        <f t="shared" si="2"/>
        <v>47</v>
      </c>
      <c r="T2429" s="6" t="str">
        <f t="shared" si="3"/>
        <v>Old</v>
      </c>
    </row>
    <row r="2430" ht="14.25" customHeight="1">
      <c r="A2430" s="5">
        <v>1263035.0</v>
      </c>
      <c r="B2430" s="6" t="s">
        <v>9615</v>
      </c>
      <c r="C2430" s="6" t="s">
        <v>29</v>
      </c>
      <c r="D2430" s="6">
        <v>94589.0</v>
      </c>
      <c r="E2430" s="6" t="s">
        <v>77</v>
      </c>
      <c r="F2430" s="6" t="s">
        <v>54</v>
      </c>
      <c r="G2430" s="6" t="s">
        <v>55</v>
      </c>
      <c r="H2430" s="7">
        <v>3158.0</v>
      </c>
      <c r="I2430" s="7">
        <v>2927.0</v>
      </c>
      <c r="J2430" s="6">
        <v>1970.0</v>
      </c>
      <c r="K2430" s="6">
        <v>116.0</v>
      </c>
      <c r="L2430" s="6" t="s">
        <v>141</v>
      </c>
      <c r="M2430" s="6" t="s">
        <v>9616</v>
      </c>
      <c r="N2430" s="6" t="s">
        <v>43</v>
      </c>
      <c r="O2430" s="6" t="s">
        <v>25</v>
      </c>
      <c r="P2430" s="6">
        <f>COUNTIF(Analysis!$M$1:$M$3001,Analysis!$M2395)</f>
        <v>1</v>
      </c>
      <c r="Q2430" s="6" t="str">
        <f>IF(COUNTIF(Analysis!$M$2:$M$3001,Analysis!$M2395)&gt;1,"Duplicate","OK")</f>
        <v>OK</v>
      </c>
      <c r="R2430" s="6" t="str">
        <f t="shared" si="1"/>
        <v>2600-3600</v>
      </c>
      <c r="S2430" s="6">
        <f t="shared" si="2"/>
        <v>56</v>
      </c>
      <c r="T2430" s="6" t="str">
        <f t="shared" si="3"/>
        <v>Old</v>
      </c>
    </row>
    <row r="2431" ht="14.25" customHeight="1">
      <c r="A2431" s="5">
        <v>581471.0</v>
      </c>
      <c r="B2431" s="6" t="s">
        <v>9759</v>
      </c>
      <c r="C2431" s="6" t="s">
        <v>53</v>
      </c>
      <c r="D2431" s="6">
        <v>30522.0</v>
      </c>
      <c r="E2431" s="6" t="s">
        <v>40</v>
      </c>
      <c r="F2431" s="6" t="s">
        <v>41</v>
      </c>
      <c r="G2431" s="6" t="s">
        <v>21</v>
      </c>
      <c r="H2431" s="7">
        <v>1508.0</v>
      </c>
      <c r="I2431" s="7">
        <v>1660.0</v>
      </c>
      <c r="J2431" s="6">
        <v>1963.0</v>
      </c>
      <c r="K2431" s="6">
        <v>30.0</v>
      </c>
      <c r="L2431" s="6" t="s">
        <v>62</v>
      </c>
      <c r="M2431" s="6" t="s">
        <v>9760</v>
      </c>
      <c r="N2431" s="6" t="s">
        <v>24</v>
      </c>
      <c r="O2431" s="6" t="s">
        <v>35</v>
      </c>
      <c r="P2431" s="6">
        <f>COUNTIF(Analysis!$M$1:$M$3001,Analysis!$M2431)</f>
        <v>1</v>
      </c>
      <c r="Q2431" s="6" t="str">
        <f>IF(COUNTIF(Analysis!$M$2:$M$3001,Analysis!$M2431)&gt;1,"Duplicate","OK")</f>
        <v>OK</v>
      </c>
      <c r="R2431" s="6" t="str">
        <f t="shared" si="1"/>
        <v>600-1600</v>
      </c>
      <c r="S2431" s="6">
        <f t="shared" si="2"/>
        <v>63</v>
      </c>
      <c r="T2431" s="6" t="str">
        <f t="shared" si="3"/>
        <v>Very Old</v>
      </c>
    </row>
    <row r="2432" ht="14.25" customHeight="1">
      <c r="A2432" s="5">
        <v>413748.0</v>
      </c>
      <c r="B2432" s="6" t="s">
        <v>9763</v>
      </c>
      <c r="C2432" s="6" t="s">
        <v>53</v>
      </c>
      <c r="D2432" s="6">
        <v>54046.0</v>
      </c>
      <c r="E2432" s="6" t="s">
        <v>60</v>
      </c>
      <c r="F2432" s="6" t="s">
        <v>94</v>
      </c>
      <c r="G2432" s="6" t="s">
        <v>100</v>
      </c>
      <c r="H2432" s="7">
        <v>1770.0</v>
      </c>
      <c r="I2432" s="7">
        <v>7185.0</v>
      </c>
      <c r="J2432" s="6">
        <v>1983.0</v>
      </c>
      <c r="K2432" s="6">
        <v>75.0</v>
      </c>
      <c r="L2432" s="6" t="s">
        <v>62</v>
      </c>
      <c r="M2432" s="6" t="s">
        <v>9764</v>
      </c>
      <c r="N2432" s="6" t="s">
        <v>48</v>
      </c>
      <c r="O2432" s="6" t="s">
        <v>35</v>
      </c>
      <c r="P2432" s="6">
        <f>COUNTIF(Analysis!$M$1:$M$3001,Analysis!$M2432)</f>
        <v>1</v>
      </c>
      <c r="Q2432" s="6" t="str">
        <f>IF(COUNTIF(Analysis!$M$2:$M$3001,Analysis!$M2432)&gt;1,"Duplicate","OK")</f>
        <v>OK</v>
      </c>
      <c r="R2432" s="6" t="str">
        <f t="shared" si="1"/>
        <v>1600-2600</v>
      </c>
      <c r="S2432" s="6">
        <f t="shared" si="2"/>
        <v>43</v>
      </c>
      <c r="T2432" s="6" t="str">
        <f t="shared" si="3"/>
        <v>Old</v>
      </c>
    </row>
    <row r="2433" ht="14.25" customHeight="1">
      <c r="A2433" s="5">
        <v>341523.0</v>
      </c>
      <c r="B2433" s="6" t="s">
        <v>9767</v>
      </c>
      <c r="C2433" s="6" t="s">
        <v>53</v>
      </c>
      <c r="D2433" s="6">
        <v>57914.0</v>
      </c>
      <c r="E2433" s="6" t="s">
        <v>60</v>
      </c>
      <c r="F2433" s="6" t="s">
        <v>41</v>
      </c>
      <c r="G2433" s="6" t="s">
        <v>100</v>
      </c>
      <c r="H2433" s="7">
        <v>3968.0</v>
      </c>
      <c r="I2433" s="7">
        <v>6777.0</v>
      </c>
      <c r="J2433" s="6">
        <v>2019.0</v>
      </c>
      <c r="K2433" s="6">
        <v>50.0</v>
      </c>
      <c r="L2433" s="6" t="s">
        <v>62</v>
      </c>
      <c r="M2433" s="6" t="s">
        <v>9768</v>
      </c>
      <c r="N2433" s="6" t="s">
        <v>64</v>
      </c>
      <c r="O2433" s="6" t="s">
        <v>35</v>
      </c>
      <c r="P2433" s="6">
        <f>COUNTIF(Analysis!$M$1:$M$3001,Analysis!$M2433)</f>
        <v>1</v>
      </c>
      <c r="Q2433" s="6" t="str">
        <f>IF(COUNTIF(Analysis!$M$2:$M$3001,Analysis!$M2433)&gt;1,"Duplicate","OK")</f>
        <v>OK</v>
      </c>
      <c r="R2433" s="6" t="str">
        <f t="shared" si="1"/>
        <v>3600+</v>
      </c>
      <c r="S2433" s="6">
        <f t="shared" si="2"/>
        <v>7</v>
      </c>
      <c r="T2433" s="6" t="str">
        <f t="shared" si="3"/>
        <v>New</v>
      </c>
    </row>
    <row r="2434" ht="14.25" customHeight="1">
      <c r="A2434" s="5">
        <v>1263497.0</v>
      </c>
      <c r="B2434" s="6" t="s">
        <v>1837</v>
      </c>
      <c r="C2434" s="6" t="s">
        <v>29</v>
      </c>
      <c r="D2434" s="6">
        <v>86690.0</v>
      </c>
      <c r="E2434" s="6" t="s">
        <v>40</v>
      </c>
      <c r="F2434" s="6" t="s">
        <v>46</v>
      </c>
      <c r="G2434" s="6" t="s">
        <v>31</v>
      </c>
      <c r="H2434" s="7">
        <v>1430.0</v>
      </c>
      <c r="I2434" s="7">
        <v>3729.0</v>
      </c>
      <c r="J2434" s="6">
        <v>1992.0</v>
      </c>
      <c r="K2434" s="6">
        <v>111.0</v>
      </c>
      <c r="L2434" s="6" t="s">
        <v>95</v>
      </c>
      <c r="M2434" s="6" t="s">
        <v>1838</v>
      </c>
      <c r="N2434" s="6" t="s">
        <v>43</v>
      </c>
      <c r="O2434" s="6" t="s">
        <v>49</v>
      </c>
      <c r="P2434" s="6">
        <f>COUNTIF(Analysis!$M$1:$M$3001,Analysis!$M449)</f>
        <v>1</v>
      </c>
      <c r="Q2434" s="6" t="str">
        <f>IF(COUNTIF(Analysis!$M$2:$M$3001,Analysis!$M449)&gt;1,"Duplicate","OK")</f>
        <v>OK</v>
      </c>
      <c r="R2434" s="6" t="str">
        <f t="shared" si="1"/>
        <v>600-1600</v>
      </c>
      <c r="S2434" s="6">
        <f t="shared" si="2"/>
        <v>34</v>
      </c>
      <c r="T2434" s="6" t="str">
        <f t="shared" si="3"/>
        <v>Old</v>
      </c>
    </row>
    <row r="2435" ht="14.25" customHeight="1">
      <c r="A2435" s="5">
        <v>808953.0</v>
      </c>
      <c r="B2435" s="6" t="s">
        <v>9775</v>
      </c>
      <c r="C2435" s="6" t="s">
        <v>39</v>
      </c>
      <c r="D2435" s="6">
        <v>54592.0</v>
      </c>
      <c r="E2435" s="6" t="s">
        <v>30</v>
      </c>
      <c r="F2435" s="6" t="s">
        <v>61</v>
      </c>
      <c r="G2435" s="6" t="s">
        <v>21</v>
      </c>
      <c r="H2435" s="7">
        <v>2672.0</v>
      </c>
      <c r="I2435" s="7">
        <v>2777.0</v>
      </c>
      <c r="J2435" s="6">
        <v>1982.0</v>
      </c>
      <c r="K2435" s="6">
        <v>104.0</v>
      </c>
      <c r="L2435" s="6" t="s">
        <v>32</v>
      </c>
      <c r="M2435" s="6" t="s">
        <v>9776</v>
      </c>
      <c r="N2435" s="6" t="s">
        <v>24</v>
      </c>
      <c r="O2435" s="6" t="s">
        <v>25</v>
      </c>
      <c r="P2435" s="6">
        <f>COUNTIF(Analysis!$M$1:$M$3001,Analysis!$M2435)</f>
        <v>1</v>
      </c>
      <c r="Q2435" s="6" t="str">
        <f>IF(COUNTIF(Analysis!$M$2:$M$3001,Analysis!$M2435)&gt;1,"Duplicate","OK")</f>
        <v>OK</v>
      </c>
      <c r="R2435" s="6" t="str">
        <f t="shared" si="1"/>
        <v>2600-3600</v>
      </c>
      <c r="S2435" s="6">
        <f t="shared" si="2"/>
        <v>44</v>
      </c>
      <c r="T2435" s="6" t="str">
        <f t="shared" si="3"/>
        <v>Old</v>
      </c>
    </row>
    <row r="2436" ht="14.25" customHeight="1">
      <c r="A2436" s="5">
        <v>780267.0</v>
      </c>
      <c r="B2436" s="6" t="s">
        <v>9779</v>
      </c>
      <c r="C2436" s="6" t="s">
        <v>53</v>
      </c>
      <c r="D2436" s="6">
        <v>21619.0</v>
      </c>
      <c r="E2436" s="6" t="s">
        <v>40</v>
      </c>
      <c r="F2436" s="6" t="s">
        <v>41</v>
      </c>
      <c r="G2436" s="6" t="s">
        <v>21</v>
      </c>
      <c r="H2436" s="7">
        <v>2441.0</v>
      </c>
      <c r="I2436" s="7">
        <v>3137.0</v>
      </c>
      <c r="J2436" s="6">
        <v>1990.0</v>
      </c>
      <c r="K2436" s="6">
        <v>120.0</v>
      </c>
      <c r="L2436" s="6" t="s">
        <v>32</v>
      </c>
      <c r="M2436" s="6" t="s">
        <v>9780</v>
      </c>
      <c r="N2436" s="6" t="s">
        <v>24</v>
      </c>
      <c r="O2436" s="6" t="s">
        <v>25</v>
      </c>
      <c r="P2436" s="6">
        <f>COUNTIF(Analysis!$M$1:$M$3001,Analysis!$M2436)</f>
        <v>1</v>
      </c>
      <c r="Q2436" s="6" t="str">
        <f>IF(COUNTIF(Analysis!$M$2:$M$3001,Analysis!$M2436)&gt;1,"Duplicate","OK")</f>
        <v>OK</v>
      </c>
      <c r="R2436" s="6" t="str">
        <f t="shared" si="1"/>
        <v>1600-2600</v>
      </c>
      <c r="S2436" s="6">
        <f t="shared" si="2"/>
        <v>36</v>
      </c>
      <c r="T2436" s="6" t="str">
        <f t="shared" si="3"/>
        <v>Old</v>
      </c>
    </row>
    <row r="2437" ht="14.25" customHeight="1">
      <c r="A2437" s="5">
        <v>1083676.0</v>
      </c>
      <c r="B2437" s="6" t="s">
        <v>9783</v>
      </c>
      <c r="C2437" s="6" t="s">
        <v>76</v>
      </c>
      <c r="D2437" s="6">
        <v>30494.0</v>
      </c>
      <c r="E2437" s="6" t="s">
        <v>19</v>
      </c>
      <c r="F2437" s="6" t="s">
        <v>94</v>
      </c>
      <c r="G2437" s="6" t="s">
        <v>100</v>
      </c>
      <c r="H2437" s="7">
        <v>1413.0</v>
      </c>
      <c r="I2437" s="7">
        <v>4633.0</v>
      </c>
      <c r="J2437" s="6">
        <v>1982.0</v>
      </c>
      <c r="K2437" s="6">
        <v>35.0</v>
      </c>
      <c r="L2437" s="6" t="s">
        <v>95</v>
      </c>
      <c r="M2437" s="6" t="s">
        <v>9784</v>
      </c>
      <c r="N2437" s="6" t="s">
        <v>43</v>
      </c>
      <c r="O2437" s="6" t="s">
        <v>25</v>
      </c>
      <c r="P2437" s="6">
        <f>COUNTIF(Analysis!$M$1:$M$3001,Analysis!$M2437)</f>
        <v>1</v>
      </c>
      <c r="Q2437" s="6" t="str">
        <f>IF(COUNTIF(Analysis!$M$2:$M$3001,Analysis!$M2437)&gt;1,"Duplicate","OK")</f>
        <v>OK</v>
      </c>
      <c r="R2437" s="6" t="str">
        <f t="shared" si="1"/>
        <v>600-1600</v>
      </c>
      <c r="S2437" s="6">
        <f t="shared" si="2"/>
        <v>44</v>
      </c>
      <c r="T2437" s="6" t="str">
        <f t="shared" si="3"/>
        <v>Old</v>
      </c>
    </row>
    <row r="2438" ht="14.25" customHeight="1">
      <c r="A2438" s="5">
        <v>982214.0</v>
      </c>
      <c r="B2438" s="6" t="s">
        <v>9787</v>
      </c>
      <c r="C2438" s="6" t="s">
        <v>76</v>
      </c>
      <c r="D2438" s="6">
        <v>45954.0</v>
      </c>
      <c r="E2438" s="6" t="s">
        <v>60</v>
      </c>
      <c r="F2438" s="6" t="s">
        <v>61</v>
      </c>
      <c r="G2438" s="6" t="s">
        <v>55</v>
      </c>
      <c r="H2438" s="7">
        <v>2597.0</v>
      </c>
      <c r="I2438" s="7">
        <v>7103.0</v>
      </c>
      <c r="J2438" s="6">
        <v>1960.0</v>
      </c>
      <c r="K2438" s="6">
        <v>13.0</v>
      </c>
      <c r="L2438" s="6" t="s">
        <v>22</v>
      </c>
      <c r="M2438" s="6" t="s">
        <v>9788</v>
      </c>
      <c r="N2438" s="6" t="s">
        <v>24</v>
      </c>
      <c r="O2438" s="6" t="s">
        <v>35</v>
      </c>
      <c r="P2438" s="6">
        <f>COUNTIF(Analysis!$M$1:$M$3001,Analysis!$M2438)</f>
        <v>1</v>
      </c>
      <c r="Q2438" s="6" t="str">
        <f>IF(COUNTIF(Analysis!$M$2:$M$3001,Analysis!$M2438)&gt;1,"Duplicate","OK")</f>
        <v>OK</v>
      </c>
      <c r="R2438" s="6" t="str">
        <f t="shared" si="1"/>
        <v>1600-2600</v>
      </c>
      <c r="S2438" s="6">
        <f t="shared" si="2"/>
        <v>66</v>
      </c>
      <c r="T2438" s="6" t="str">
        <f t="shared" si="3"/>
        <v>Very Old</v>
      </c>
    </row>
    <row r="2439" ht="14.25" customHeight="1">
      <c r="A2439" s="5">
        <v>1226738.0</v>
      </c>
      <c r="B2439" s="6" t="s">
        <v>9791</v>
      </c>
      <c r="C2439" s="6" t="s">
        <v>53</v>
      </c>
      <c r="D2439" s="6">
        <v>82694.0</v>
      </c>
      <c r="E2439" s="6" t="s">
        <v>77</v>
      </c>
      <c r="F2439" s="6" t="s">
        <v>61</v>
      </c>
      <c r="G2439" s="6" t="s">
        <v>21</v>
      </c>
      <c r="H2439" s="7">
        <v>2974.0</v>
      </c>
      <c r="I2439" s="7">
        <v>8712.0</v>
      </c>
      <c r="J2439" s="6">
        <v>1996.0</v>
      </c>
      <c r="K2439" s="6">
        <v>120.0</v>
      </c>
      <c r="L2439" s="6" t="s">
        <v>95</v>
      </c>
      <c r="M2439" s="6" t="s">
        <v>9792</v>
      </c>
      <c r="N2439" s="6" t="s">
        <v>34</v>
      </c>
      <c r="O2439" s="6" t="s">
        <v>25</v>
      </c>
      <c r="P2439" s="6">
        <f>COUNTIF(Analysis!$M$1:$M$3001,Analysis!$M2439)</f>
        <v>1</v>
      </c>
      <c r="Q2439" s="6" t="str">
        <f>IF(COUNTIF(Analysis!$M$2:$M$3001,Analysis!$M2439)&gt;1,"Duplicate","OK")</f>
        <v>OK</v>
      </c>
      <c r="R2439" s="6" t="str">
        <f t="shared" si="1"/>
        <v>2600-3600</v>
      </c>
      <c r="S2439" s="6">
        <f t="shared" si="2"/>
        <v>30</v>
      </c>
      <c r="T2439" s="6" t="str">
        <f t="shared" si="3"/>
        <v>Mid</v>
      </c>
    </row>
    <row r="2440" ht="14.25" customHeight="1">
      <c r="A2440" s="5">
        <v>1048224.0</v>
      </c>
      <c r="B2440" s="6" t="s">
        <v>9795</v>
      </c>
      <c r="C2440" s="6" t="s">
        <v>53</v>
      </c>
      <c r="D2440" s="6">
        <v>47247.0</v>
      </c>
      <c r="E2440" s="6" t="s">
        <v>40</v>
      </c>
      <c r="F2440" s="6" t="s">
        <v>46</v>
      </c>
      <c r="G2440" s="6" t="s">
        <v>31</v>
      </c>
      <c r="H2440" s="7">
        <v>2399.0</v>
      </c>
      <c r="I2440" s="7">
        <v>2256.0</v>
      </c>
      <c r="J2440" s="6">
        <v>1985.0</v>
      </c>
      <c r="K2440" s="6">
        <v>70.0</v>
      </c>
      <c r="L2440" s="6" t="s">
        <v>22</v>
      </c>
      <c r="M2440" s="6" t="s">
        <v>9796</v>
      </c>
      <c r="N2440" s="6" t="s">
        <v>64</v>
      </c>
      <c r="O2440" s="6" t="s">
        <v>35</v>
      </c>
      <c r="P2440" s="6">
        <f>COUNTIF(Analysis!$M$1:$M$3001,Analysis!$M2440)</f>
        <v>1</v>
      </c>
      <c r="Q2440" s="6" t="str">
        <f>IF(COUNTIF(Analysis!$M$2:$M$3001,Analysis!$M2440)&gt;1,"Duplicate","OK")</f>
        <v>OK</v>
      </c>
      <c r="R2440" s="6" t="str">
        <f t="shared" si="1"/>
        <v>1600-2600</v>
      </c>
      <c r="S2440" s="6">
        <f t="shared" si="2"/>
        <v>41</v>
      </c>
      <c r="T2440" s="6" t="str">
        <f t="shared" si="3"/>
        <v>Old</v>
      </c>
    </row>
    <row r="2441" ht="14.25" customHeight="1">
      <c r="A2441" s="5">
        <v>1357543.0</v>
      </c>
      <c r="B2441" s="6" t="s">
        <v>9799</v>
      </c>
      <c r="C2441" s="6" t="s">
        <v>39</v>
      </c>
      <c r="D2441" s="6">
        <v>21178.0</v>
      </c>
      <c r="E2441" s="6" t="s">
        <v>40</v>
      </c>
      <c r="F2441" s="6" t="s">
        <v>61</v>
      </c>
      <c r="G2441" s="6" t="s">
        <v>55</v>
      </c>
      <c r="H2441" s="7">
        <v>1965.0</v>
      </c>
      <c r="I2441" s="7">
        <v>3349.0</v>
      </c>
      <c r="J2441" s="6">
        <v>2010.0</v>
      </c>
      <c r="K2441" s="6">
        <v>76.0</v>
      </c>
      <c r="L2441" s="6" t="s">
        <v>32</v>
      </c>
      <c r="M2441" s="6" t="s">
        <v>9800</v>
      </c>
      <c r="N2441" s="6" t="s">
        <v>64</v>
      </c>
      <c r="O2441" s="6" t="s">
        <v>49</v>
      </c>
      <c r="P2441" s="6">
        <f>COUNTIF(Analysis!$M$1:$M$3001,Analysis!$M2441)</f>
        <v>1</v>
      </c>
      <c r="Q2441" s="6" t="str">
        <f>IF(COUNTIF(Analysis!$M$2:$M$3001,Analysis!$M2441)&gt;1,"Duplicate","OK")</f>
        <v>OK</v>
      </c>
      <c r="R2441" s="6" t="str">
        <f t="shared" si="1"/>
        <v>1600-2600</v>
      </c>
      <c r="S2441" s="6">
        <f t="shared" si="2"/>
        <v>16</v>
      </c>
      <c r="T2441" s="6" t="str">
        <f t="shared" si="3"/>
        <v>Mid</v>
      </c>
    </row>
    <row r="2442" ht="14.25" customHeight="1">
      <c r="A2442" s="5">
        <v>501380.0</v>
      </c>
      <c r="B2442" s="6" t="s">
        <v>9803</v>
      </c>
      <c r="C2442" s="6" t="s">
        <v>76</v>
      </c>
      <c r="D2442" s="6">
        <v>94550.0</v>
      </c>
      <c r="E2442" s="6" t="s">
        <v>40</v>
      </c>
      <c r="F2442" s="6" t="s">
        <v>20</v>
      </c>
      <c r="G2442" s="6" t="s">
        <v>100</v>
      </c>
      <c r="H2442" s="7">
        <v>1630.0</v>
      </c>
      <c r="I2442" s="7">
        <v>5717.0</v>
      </c>
      <c r="J2442" s="6">
        <v>2023.0</v>
      </c>
      <c r="K2442" s="6">
        <v>89.0</v>
      </c>
      <c r="L2442" s="6" t="s">
        <v>141</v>
      </c>
      <c r="M2442" s="6" t="s">
        <v>9804</v>
      </c>
      <c r="N2442" s="6" t="s">
        <v>43</v>
      </c>
      <c r="O2442" s="6" t="s">
        <v>35</v>
      </c>
      <c r="P2442" s="6">
        <f>COUNTIF(Analysis!$M$1:$M$3001,Analysis!$M2442)</f>
        <v>1</v>
      </c>
      <c r="Q2442" s="6" t="str">
        <f>IF(COUNTIF(Analysis!$M$2:$M$3001,Analysis!$M2442)&gt;1,"Duplicate","OK")</f>
        <v>OK</v>
      </c>
      <c r="R2442" s="6" t="str">
        <f t="shared" si="1"/>
        <v>1600-2600</v>
      </c>
      <c r="S2442" s="6">
        <f t="shared" si="2"/>
        <v>3</v>
      </c>
      <c r="T2442" s="6" t="str">
        <f t="shared" si="3"/>
        <v>New</v>
      </c>
    </row>
    <row r="2443" ht="14.25" customHeight="1">
      <c r="A2443" s="5">
        <v>154069.0</v>
      </c>
      <c r="B2443" s="6" t="s">
        <v>9807</v>
      </c>
      <c r="C2443" s="6" t="s">
        <v>18</v>
      </c>
      <c r="D2443" s="6">
        <v>22902.0</v>
      </c>
      <c r="E2443" s="6" t="s">
        <v>60</v>
      </c>
      <c r="F2443" s="6" t="s">
        <v>94</v>
      </c>
      <c r="G2443" s="6" t="s">
        <v>31</v>
      </c>
      <c r="H2443" s="7">
        <v>2261.0</v>
      </c>
      <c r="I2443" s="7">
        <v>1673.0</v>
      </c>
      <c r="J2443" s="6">
        <v>2022.0</v>
      </c>
      <c r="K2443" s="6">
        <v>19.0</v>
      </c>
      <c r="L2443" s="6" t="s">
        <v>32</v>
      </c>
      <c r="M2443" s="6" t="s">
        <v>9808</v>
      </c>
      <c r="N2443" s="6" t="s">
        <v>64</v>
      </c>
      <c r="O2443" s="6" t="s">
        <v>49</v>
      </c>
      <c r="P2443" s="6">
        <f>COUNTIF(Analysis!$M$1:$M$3001,Analysis!$M2443)</f>
        <v>1</v>
      </c>
      <c r="Q2443" s="6" t="str">
        <f>IF(COUNTIF(Analysis!$M$2:$M$3001,Analysis!$M2443)&gt;1,"Duplicate","OK")</f>
        <v>OK</v>
      </c>
      <c r="R2443" s="6" t="str">
        <f t="shared" si="1"/>
        <v>1600-2600</v>
      </c>
      <c r="S2443" s="6">
        <f t="shared" si="2"/>
        <v>4</v>
      </c>
      <c r="T2443" s="6" t="str">
        <f t="shared" si="3"/>
        <v>New</v>
      </c>
    </row>
    <row r="2444" ht="14.25" customHeight="1">
      <c r="A2444" s="5">
        <v>591776.0</v>
      </c>
      <c r="B2444" s="6" t="s">
        <v>9811</v>
      </c>
      <c r="C2444" s="6" t="s">
        <v>18</v>
      </c>
      <c r="D2444" s="6">
        <v>57259.0</v>
      </c>
      <c r="E2444" s="6" t="s">
        <v>40</v>
      </c>
      <c r="F2444" s="6" t="s">
        <v>41</v>
      </c>
      <c r="G2444" s="6" t="s">
        <v>55</v>
      </c>
      <c r="H2444" s="7">
        <v>1289.0</v>
      </c>
      <c r="I2444" s="7">
        <v>3845.0</v>
      </c>
      <c r="J2444" s="6">
        <v>1976.0</v>
      </c>
      <c r="K2444" s="6">
        <v>19.0</v>
      </c>
      <c r="L2444" s="6" t="s">
        <v>22</v>
      </c>
      <c r="M2444" s="6" t="s">
        <v>9812</v>
      </c>
      <c r="N2444" s="6" t="s">
        <v>34</v>
      </c>
      <c r="O2444" s="6" t="s">
        <v>49</v>
      </c>
      <c r="P2444" s="6">
        <f>COUNTIF(Analysis!$M$1:$M$3001,Analysis!$M2444)</f>
        <v>1</v>
      </c>
      <c r="Q2444" s="6" t="str">
        <f>IF(COUNTIF(Analysis!$M$2:$M$3001,Analysis!$M2444)&gt;1,"Duplicate","OK")</f>
        <v>OK</v>
      </c>
      <c r="R2444" s="6" t="str">
        <f t="shared" si="1"/>
        <v>600-1600</v>
      </c>
      <c r="S2444" s="6">
        <f t="shared" si="2"/>
        <v>50</v>
      </c>
      <c r="T2444" s="6" t="str">
        <f t="shared" si="3"/>
        <v>Old</v>
      </c>
    </row>
    <row r="2445" ht="14.25" customHeight="1">
      <c r="A2445" s="5">
        <v>1263891.0</v>
      </c>
      <c r="B2445" s="6" t="s">
        <v>6329</v>
      </c>
      <c r="C2445" s="6" t="s">
        <v>29</v>
      </c>
      <c r="D2445" s="6">
        <v>60012.0</v>
      </c>
      <c r="E2445" s="6" t="s">
        <v>30</v>
      </c>
      <c r="F2445" s="6" t="s">
        <v>20</v>
      </c>
      <c r="G2445" s="6" t="s">
        <v>100</v>
      </c>
      <c r="H2445" s="7">
        <v>1834.0</v>
      </c>
      <c r="I2445" s="7">
        <v>4014.0</v>
      </c>
      <c r="J2445" s="6">
        <v>1964.0</v>
      </c>
      <c r="K2445" s="6">
        <v>73.0</v>
      </c>
      <c r="L2445" s="6" t="s">
        <v>95</v>
      </c>
      <c r="M2445" s="6" t="s">
        <v>6330</v>
      </c>
      <c r="N2445" s="6" t="s">
        <v>43</v>
      </c>
      <c r="O2445" s="6" t="s">
        <v>49</v>
      </c>
      <c r="P2445" s="6">
        <f>COUNTIF(Analysis!$M$1:$M$3001,Analysis!$M1573)</f>
        <v>1</v>
      </c>
      <c r="Q2445" s="6" t="str">
        <f>IF(COUNTIF(Analysis!$M$2:$M$3001,Analysis!$M1573)&gt;1,"Duplicate","OK")</f>
        <v>OK</v>
      </c>
      <c r="R2445" s="6" t="str">
        <f t="shared" si="1"/>
        <v>1600-2600</v>
      </c>
      <c r="S2445" s="6">
        <f t="shared" si="2"/>
        <v>62</v>
      </c>
      <c r="T2445" s="6" t="str">
        <f t="shared" si="3"/>
        <v>Very Old</v>
      </c>
    </row>
    <row r="2446" ht="14.25" customHeight="1">
      <c r="A2446" s="5">
        <v>632379.0</v>
      </c>
      <c r="B2446" s="6" t="s">
        <v>9819</v>
      </c>
      <c r="C2446" s="6" t="s">
        <v>53</v>
      </c>
      <c r="D2446" s="6">
        <v>38144.0</v>
      </c>
      <c r="E2446" s="6" t="s">
        <v>77</v>
      </c>
      <c r="F2446" s="6" t="s">
        <v>20</v>
      </c>
      <c r="G2446" s="6" t="s">
        <v>31</v>
      </c>
      <c r="H2446" s="7">
        <v>1222.0</v>
      </c>
      <c r="I2446" s="7">
        <v>9288.0</v>
      </c>
      <c r="J2446" s="6">
        <v>2004.0</v>
      </c>
      <c r="K2446" s="6">
        <v>39.0</v>
      </c>
      <c r="L2446" s="6" t="s">
        <v>141</v>
      </c>
      <c r="M2446" s="6" t="s">
        <v>9820</v>
      </c>
      <c r="N2446" s="6" t="s">
        <v>24</v>
      </c>
      <c r="O2446" s="6" t="s">
        <v>35</v>
      </c>
      <c r="P2446" s="6">
        <f>COUNTIF(Analysis!$M$1:$M$3001,Analysis!$M2446)</f>
        <v>1</v>
      </c>
      <c r="Q2446" s="6" t="str">
        <f>IF(COUNTIF(Analysis!$M$2:$M$3001,Analysis!$M2446)&gt;1,"Duplicate","OK")</f>
        <v>OK</v>
      </c>
      <c r="R2446" s="6" t="str">
        <f t="shared" si="1"/>
        <v>600-1600</v>
      </c>
      <c r="S2446" s="6">
        <f t="shared" si="2"/>
        <v>22</v>
      </c>
      <c r="T2446" s="6" t="str">
        <f t="shared" si="3"/>
        <v>Mid</v>
      </c>
    </row>
    <row r="2447" ht="14.25" customHeight="1">
      <c r="A2447" s="5">
        <v>1277609.0</v>
      </c>
      <c r="B2447" s="6" t="s">
        <v>9823</v>
      </c>
      <c r="C2447" s="6" t="s">
        <v>18</v>
      </c>
      <c r="D2447" s="6">
        <v>14783.0</v>
      </c>
      <c r="E2447" s="6" t="s">
        <v>30</v>
      </c>
      <c r="F2447" s="6" t="s">
        <v>94</v>
      </c>
      <c r="G2447" s="6" t="s">
        <v>100</v>
      </c>
      <c r="H2447" s="7">
        <v>3952.0</v>
      </c>
      <c r="I2447" s="7">
        <v>9538.0</v>
      </c>
      <c r="J2447" s="6">
        <v>1994.0</v>
      </c>
      <c r="K2447" s="6">
        <v>84.0</v>
      </c>
      <c r="L2447" s="6" t="s">
        <v>22</v>
      </c>
      <c r="M2447" s="6" t="s">
        <v>9824</v>
      </c>
      <c r="N2447" s="6" t="s">
        <v>64</v>
      </c>
      <c r="O2447" s="6" t="s">
        <v>25</v>
      </c>
      <c r="P2447" s="6">
        <f>COUNTIF(Analysis!$M$1:$M$3001,Analysis!$M2447)</f>
        <v>1</v>
      </c>
      <c r="Q2447" s="6" t="str">
        <f>IF(COUNTIF(Analysis!$M$2:$M$3001,Analysis!$M2447)&gt;1,"Duplicate","OK")</f>
        <v>OK</v>
      </c>
      <c r="R2447" s="6" t="str">
        <f t="shared" si="1"/>
        <v>3600+</v>
      </c>
      <c r="S2447" s="6">
        <f t="shared" si="2"/>
        <v>32</v>
      </c>
      <c r="T2447" s="6" t="str">
        <f t="shared" si="3"/>
        <v>Old</v>
      </c>
    </row>
    <row r="2448" ht="14.25" customHeight="1">
      <c r="A2448" s="5">
        <v>1264468.0</v>
      </c>
      <c r="B2448" s="6" t="s">
        <v>9375</v>
      </c>
      <c r="C2448" s="6" t="s">
        <v>29</v>
      </c>
      <c r="D2448" s="6">
        <v>10536.0</v>
      </c>
      <c r="E2448" s="6" t="s">
        <v>40</v>
      </c>
      <c r="F2448" s="6" t="s">
        <v>20</v>
      </c>
      <c r="G2448" s="6" t="s">
        <v>31</v>
      </c>
      <c r="H2448" s="7">
        <v>3332.0</v>
      </c>
      <c r="I2448" s="7">
        <v>2777.0</v>
      </c>
      <c r="J2448" s="6">
        <v>2017.0</v>
      </c>
      <c r="K2448" s="6">
        <v>96.0</v>
      </c>
      <c r="L2448" s="6" t="s">
        <v>95</v>
      </c>
      <c r="M2448" s="6" t="s">
        <v>9376</v>
      </c>
      <c r="N2448" s="6" t="s">
        <v>48</v>
      </c>
      <c r="O2448" s="6" t="s">
        <v>25</v>
      </c>
      <c r="P2448" s="6">
        <f>COUNTIF(Analysis!$M$1:$M$3001,Analysis!$M2335)</f>
        <v>1</v>
      </c>
      <c r="Q2448" s="6" t="str">
        <f>IF(COUNTIF(Analysis!$M$2:$M$3001,Analysis!$M2335)&gt;1,"Duplicate","OK")</f>
        <v>OK</v>
      </c>
      <c r="R2448" s="6" t="str">
        <f t="shared" si="1"/>
        <v>2600-3600</v>
      </c>
      <c r="S2448" s="6">
        <f t="shared" si="2"/>
        <v>9</v>
      </c>
      <c r="T2448" s="6" t="str">
        <f t="shared" si="3"/>
        <v>New</v>
      </c>
    </row>
    <row r="2449" ht="14.25" customHeight="1">
      <c r="A2449" s="5">
        <v>692880.0</v>
      </c>
      <c r="B2449" s="6" t="s">
        <v>9831</v>
      </c>
      <c r="C2449" s="6" t="s">
        <v>76</v>
      </c>
      <c r="D2449" s="6">
        <v>75630.0</v>
      </c>
      <c r="E2449" s="6" t="s">
        <v>30</v>
      </c>
      <c r="F2449" s="6" t="s">
        <v>61</v>
      </c>
      <c r="G2449" s="6" t="s">
        <v>31</v>
      </c>
      <c r="H2449" s="7">
        <v>3246.0</v>
      </c>
      <c r="I2449" s="7">
        <v>9897.0</v>
      </c>
      <c r="J2449" s="6">
        <v>1958.0</v>
      </c>
      <c r="K2449" s="6">
        <v>65.0</v>
      </c>
      <c r="L2449" s="6" t="s">
        <v>141</v>
      </c>
      <c r="M2449" s="6" t="s">
        <v>9832</v>
      </c>
      <c r="N2449" s="6" t="s">
        <v>34</v>
      </c>
      <c r="O2449" s="6" t="s">
        <v>49</v>
      </c>
      <c r="P2449" s="6">
        <f>COUNTIF(Analysis!$M$1:$M$3001,Analysis!$M2449)</f>
        <v>1</v>
      </c>
      <c r="Q2449" s="6" t="str">
        <f>IF(COUNTIF(Analysis!$M$2:$M$3001,Analysis!$M2449)&gt;1,"Duplicate","OK")</f>
        <v>OK</v>
      </c>
      <c r="R2449" s="6" t="str">
        <f t="shared" si="1"/>
        <v>2600-3600</v>
      </c>
      <c r="S2449" s="6">
        <f t="shared" si="2"/>
        <v>68</v>
      </c>
      <c r="T2449" s="6" t="str">
        <f t="shared" si="3"/>
        <v>Very Old</v>
      </c>
    </row>
    <row r="2450" ht="14.25" customHeight="1">
      <c r="A2450" s="5">
        <v>251432.0</v>
      </c>
      <c r="B2450" s="6" t="s">
        <v>9835</v>
      </c>
      <c r="C2450" s="6" t="s">
        <v>18</v>
      </c>
      <c r="D2450" s="6">
        <v>42031.0</v>
      </c>
      <c r="E2450" s="6" t="s">
        <v>19</v>
      </c>
      <c r="F2450" s="6" t="s">
        <v>41</v>
      </c>
      <c r="G2450" s="6" t="s">
        <v>31</v>
      </c>
      <c r="H2450" s="7">
        <v>2136.0</v>
      </c>
      <c r="I2450" s="7">
        <v>9116.0</v>
      </c>
      <c r="J2450" s="6">
        <v>2014.0</v>
      </c>
      <c r="K2450" s="6">
        <v>66.0</v>
      </c>
      <c r="L2450" s="6" t="s">
        <v>32</v>
      </c>
      <c r="M2450" s="6" t="s">
        <v>9836</v>
      </c>
      <c r="N2450" s="6" t="s">
        <v>64</v>
      </c>
      <c r="O2450" s="6" t="s">
        <v>35</v>
      </c>
      <c r="P2450" s="6">
        <f>COUNTIF(Analysis!$M$1:$M$3001,Analysis!$M2450)</f>
        <v>1</v>
      </c>
      <c r="Q2450" s="6" t="str">
        <f>IF(COUNTIF(Analysis!$M$2:$M$3001,Analysis!$M2450)&gt;1,"Duplicate","OK")</f>
        <v>OK</v>
      </c>
      <c r="R2450" s="6" t="str">
        <f t="shared" si="1"/>
        <v>1600-2600</v>
      </c>
      <c r="S2450" s="6">
        <f t="shared" si="2"/>
        <v>12</v>
      </c>
      <c r="T2450" s="6" t="str">
        <f t="shared" si="3"/>
        <v>Mid</v>
      </c>
    </row>
    <row r="2451" ht="14.25" customHeight="1">
      <c r="A2451" s="5">
        <v>1264833.0</v>
      </c>
      <c r="B2451" s="6" t="s">
        <v>4999</v>
      </c>
      <c r="C2451" s="6" t="s">
        <v>29</v>
      </c>
      <c r="D2451" s="6">
        <v>49505.0</v>
      </c>
      <c r="E2451" s="6" t="s">
        <v>40</v>
      </c>
      <c r="F2451" s="6" t="s">
        <v>61</v>
      </c>
      <c r="G2451" s="6" t="s">
        <v>31</v>
      </c>
      <c r="H2451" s="7">
        <v>2570.0</v>
      </c>
      <c r="I2451" s="7">
        <v>1038.0</v>
      </c>
      <c r="J2451" s="6">
        <v>1981.0</v>
      </c>
      <c r="K2451" s="6">
        <v>96.0</v>
      </c>
      <c r="L2451" s="6" t="s">
        <v>95</v>
      </c>
      <c r="M2451" s="6" t="s">
        <v>5000</v>
      </c>
      <c r="N2451" s="6" t="s">
        <v>24</v>
      </c>
      <c r="O2451" s="6" t="s">
        <v>25</v>
      </c>
      <c r="P2451" s="6">
        <f>COUNTIF(Analysis!$M$1:$M$3001,Analysis!$M1240)</f>
        <v>1</v>
      </c>
      <c r="Q2451" s="6" t="str">
        <f>IF(COUNTIF(Analysis!$M$2:$M$3001,Analysis!$M1240)&gt;1,"Duplicate","OK")</f>
        <v>OK</v>
      </c>
      <c r="R2451" s="6" t="str">
        <f t="shared" si="1"/>
        <v>1600-2600</v>
      </c>
      <c r="S2451" s="6">
        <f t="shared" si="2"/>
        <v>45</v>
      </c>
      <c r="T2451" s="6" t="str">
        <f t="shared" si="3"/>
        <v>Old</v>
      </c>
    </row>
    <row r="2452" ht="14.25" customHeight="1">
      <c r="A2452" s="5">
        <v>319210.0</v>
      </c>
      <c r="B2452" s="6" t="s">
        <v>9843</v>
      </c>
      <c r="C2452" s="6" t="s">
        <v>18</v>
      </c>
      <c r="D2452" s="6">
        <v>10015.0</v>
      </c>
      <c r="E2452" s="6" t="s">
        <v>60</v>
      </c>
      <c r="F2452" s="6" t="s">
        <v>94</v>
      </c>
      <c r="G2452" s="6" t="s">
        <v>21</v>
      </c>
      <c r="H2452" s="7">
        <v>656.0</v>
      </c>
      <c r="I2452" s="7">
        <v>4490.0</v>
      </c>
      <c r="J2452" s="6">
        <v>1993.0</v>
      </c>
      <c r="K2452" s="6">
        <v>86.0</v>
      </c>
      <c r="L2452" s="6" t="s">
        <v>62</v>
      </c>
      <c r="M2452" s="6" t="s">
        <v>9844</v>
      </c>
      <c r="N2452" s="6" t="s">
        <v>24</v>
      </c>
      <c r="O2452" s="6" t="s">
        <v>25</v>
      </c>
      <c r="P2452" s="6">
        <f>COUNTIF(Analysis!$M$1:$M$3001,Analysis!$M2452)</f>
        <v>1</v>
      </c>
      <c r="Q2452" s="6" t="str">
        <f>IF(COUNTIF(Analysis!$M$2:$M$3001,Analysis!$M2452)&gt;1,"Duplicate","OK")</f>
        <v>OK</v>
      </c>
      <c r="R2452" s="6" t="str">
        <f t="shared" si="1"/>
        <v>600-1600</v>
      </c>
      <c r="S2452" s="6">
        <f t="shared" si="2"/>
        <v>33</v>
      </c>
      <c r="T2452" s="6" t="str">
        <f t="shared" si="3"/>
        <v>Old</v>
      </c>
    </row>
    <row r="2453" ht="14.25" customHeight="1">
      <c r="A2453" s="5">
        <v>693672.0</v>
      </c>
      <c r="B2453" s="6" t="s">
        <v>9847</v>
      </c>
      <c r="C2453" s="6" t="s">
        <v>18</v>
      </c>
      <c r="D2453" s="6">
        <v>39622.0</v>
      </c>
      <c r="E2453" s="6" t="s">
        <v>77</v>
      </c>
      <c r="F2453" s="6" t="s">
        <v>94</v>
      </c>
      <c r="G2453" s="6" t="s">
        <v>55</v>
      </c>
      <c r="H2453" s="7">
        <v>2033.0</v>
      </c>
      <c r="I2453" s="7">
        <v>4505.0</v>
      </c>
      <c r="J2453" s="6">
        <v>1963.0</v>
      </c>
      <c r="K2453" s="6">
        <v>49.0</v>
      </c>
      <c r="L2453" s="6" t="s">
        <v>141</v>
      </c>
      <c r="M2453" s="6" t="s">
        <v>9848</v>
      </c>
      <c r="N2453" s="6" t="s">
        <v>24</v>
      </c>
      <c r="O2453" s="6" t="s">
        <v>35</v>
      </c>
      <c r="P2453" s="6">
        <f>COUNTIF(Analysis!$M$1:$M$3001,Analysis!$M2453)</f>
        <v>1</v>
      </c>
      <c r="Q2453" s="6" t="str">
        <f>IF(COUNTIF(Analysis!$M$2:$M$3001,Analysis!$M2453)&gt;1,"Duplicate","OK")</f>
        <v>OK</v>
      </c>
      <c r="R2453" s="6" t="str">
        <f t="shared" si="1"/>
        <v>1600-2600</v>
      </c>
      <c r="S2453" s="6">
        <f t="shared" si="2"/>
        <v>63</v>
      </c>
      <c r="T2453" s="6" t="str">
        <f t="shared" si="3"/>
        <v>Very Old</v>
      </c>
    </row>
    <row r="2454" ht="14.25" customHeight="1">
      <c r="A2454" s="5">
        <v>549690.0</v>
      </c>
      <c r="B2454" s="6" t="s">
        <v>9851</v>
      </c>
      <c r="C2454" s="6" t="s">
        <v>53</v>
      </c>
      <c r="D2454" s="6">
        <v>10068.0</v>
      </c>
      <c r="E2454" s="6" t="s">
        <v>40</v>
      </c>
      <c r="F2454" s="6" t="s">
        <v>20</v>
      </c>
      <c r="G2454" s="6" t="s">
        <v>100</v>
      </c>
      <c r="H2454" s="7">
        <v>3947.0</v>
      </c>
      <c r="I2454" s="7">
        <v>9510.0</v>
      </c>
      <c r="J2454" s="6">
        <v>1991.0</v>
      </c>
      <c r="K2454" s="6">
        <v>13.0</v>
      </c>
      <c r="L2454" s="6" t="s">
        <v>62</v>
      </c>
      <c r="M2454" s="6" t="s">
        <v>9852</v>
      </c>
      <c r="N2454" s="6" t="s">
        <v>43</v>
      </c>
      <c r="O2454" s="6" t="s">
        <v>49</v>
      </c>
      <c r="P2454" s="6">
        <f>COUNTIF(Analysis!$M$1:$M$3001,Analysis!$M2454)</f>
        <v>1</v>
      </c>
      <c r="Q2454" s="6" t="str">
        <f>IF(COUNTIF(Analysis!$M$2:$M$3001,Analysis!$M2454)&gt;1,"Duplicate","OK")</f>
        <v>OK</v>
      </c>
      <c r="R2454" s="6" t="str">
        <f t="shared" si="1"/>
        <v>3600+</v>
      </c>
      <c r="S2454" s="6">
        <f t="shared" si="2"/>
        <v>35</v>
      </c>
      <c r="T2454" s="6" t="str">
        <f t="shared" si="3"/>
        <v>Old</v>
      </c>
    </row>
    <row r="2455" ht="14.25" customHeight="1">
      <c r="A2455" s="5">
        <v>1264926.0</v>
      </c>
      <c r="B2455" s="6" t="s">
        <v>89</v>
      </c>
      <c r="C2455" s="6" t="s">
        <v>29</v>
      </c>
      <c r="D2455" s="6">
        <v>57401.0</v>
      </c>
      <c r="E2455" s="6" t="s">
        <v>19</v>
      </c>
      <c r="F2455" s="6" t="s">
        <v>54</v>
      </c>
      <c r="G2455" s="6" t="s">
        <v>31</v>
      </c>
      <c r="H2455" s="7">
        <v>2407.0</v>
      </c>
      <c r="I2455" s="7">
        <v>2609.0</v>
      </c>
      <c r="J2455" s="6">
        <v>1989.0</v>
      </c>
      <c r="K2455" s="6">
        <v>79.0</v>
      </c>
      <c r="L2455" s="6" t="s">
        <v>32</v>
      </c>
      <c r="M2455" s="6" t="s">
        <v>90</v>
      </c>
      <c r="N2455" s="6" t="s">
        <v>34</v>
      </c>
      <c r="O2455" s="6" t="s">
        <v>35</v>
      </c>
      <c r="P2455" s="6">
        <f>COUNTIF(Analysis!$M$1:$M$3001,Analysis!$M13)</f>
        <v>1</v>
      </c>
      <c r="Q2455" s="6" t="str">
        <f>IF(COUNTIF(Analysis!$M$2:$M$3001,Analysis!$M13)&gt;1,"Duplicate","OK")</f>
        <v>OK</v>
      </c>
      <c r="R2455" s="6" t="str">
        <f t="shared" si="1"/>
        <v>1600-2600</v>
      </c>
      <c r="S2455" s="6">
        <f t="shared" si="2"/>
        <v>37</v>
      </c>
      <c r="T2455" s="6" t="str">
        <f t="shared" si="3"/>
        <v>Old</v>
      </c>
    </row>
    <row r="2456" ht="14.25" customHeight="1">
      <c r="A2456" s="5">
        <v>1275120.0</v>
      </c>
      <c r="B2456" s="6" t="s">
        <v>9859</v>
      </c>
      <c r="C2456" s="6" t="s">
        <v>76</v>
      </c>
      <c r="D2456" s="6">
        <v>16675.0</v>
      </c>
      <c r="E2456" s="6" t="s">
        <v>19</v>
      </c>
      <c r="F2456" s="6" t="s">
        <v>41</v>
      </c>
      <c r="G2456" s="6" t="s">
        <v>55</v>
      </c>
      <c r="H2456" s="7">
        <v>1564.0</v>
      </c>
      <c r="I2456" s="7">
        <v>4303.0</v>
      </c>
      <c r="J2456" s="6">
        <v>1976.0</v>
      </c>
      <c r="K2456" s="6">
        <v>85.0</v>
      </c>
      <c r="L2456" s="6" t="s">
        <v>95</v>
      </c>
      <c r="M2456" s="6" t="s">
        <v>9860</v>
      </c>
      <c r="N2456" s="6" t="s">
        <v>48</v>
      </c>
      <c r="O2456" s="6" t="s">
        <v>25</v>
      </c>
      <c r="P2456" s="6">
        <f>COUNTIF(Analysis!$M$1:$M$3001,Analysis!$M2456)</f>
        <v>1</v>
      </c>
      <c r="Q2456" s="6" t="str">
        <f>IF(COUNTIF(Analysis!$M$2:$M$3001,Analysis!$M2456)&gt;1,"Duplicate","OK")</f>
        <v>OK</v>
      </c>
      <c r="R2456" s="6" t="str">
        <f t="shared" si="1"/>
        <v>600-1600</v>
      </c>
      <c r="S2456" s="6">
        <f t="shared" si="2"/>
        <v>50</v>
      </c>
      <c r="T2456" s="6" t="str">
        <f t="shared" si="3"/>
        <v>Old</v>
      </c>
    </row>
    <row r="2457" ht="14.25" customHeight="1">
      <c r="A2457" s="5">
        <v>802518.0</v>
      </c>
      <c r="B2457" s="6" t="s">
        <v>9863</v>
      </c>
      <c r="C2457" s="6" t="s">
        <v>39</v>
      </c>
      <c r="D2457" s="6">
        <v>73131.0</v>
      </c>
      <c r="E2457" s="6" t="s">
        <v>19</v>
      </c>
      <c r="F2457" s="6" t="s">
        <v>54</v>
      </c>
      <c r="G2457" s="6" t="s">
        <v>31</v>
      </c>
      <c r="H2457" s="7">
        <v>2761.0</v>
      </c>
      <c r="I2457" s="7">
        <v>3226.0</v>
      </c>
      <c r="J2457" s="6">
        <v>1994.0</v>
      </c>
      <c r="K2457" s="6">
        <v>98.0</v>
      </c>
      <c r="L2457" s="6" t="s">
        <v>141</v>
      </c>
      <c r="M2457" s="6" t="s">
        <v>9864</v>
      </c>
      <c r="N2457" s="6" t="s">
        <v>43</v>
      </c>
      <c r="O2457" s="6" t="s">
        <v>35</v>
      </c>
      <c r="P2457" s="6">
        <f>COUNTIF(Analysis!$M$1:$M$3001,Analysis!$M2457)</f>
        <v>1</v>
      </c>
      <c r="Q2457" s="6" t="str">
        <f>IF(COUNTIF(Analysis!$M$2:$M$3001,Analysis!$M2457)&gt;1,"Duplicate","OK")</f>
        <v>OK</v>
      </c>
      <c r="R2457" s="6" t="str">
        <f t="shared" si="1"/>
        <v>2600-3600</v>
      </c>
      <c r="S2457" s="6">
        <f t="shared" si="2"/>
        <v>32</v>
      </c>
      <c r="T2457" s="6" t="str">
        <f t="shared" si="3"/>
        <v>Old</v>
      </c>
    </row>
    <row r="2458" ht="14.25" customHeight="1">
      <c r="A2458" s="5">
        <v>1265734.0</v>
      </c>
      <c r="B2458" s="6" t="s">
        <v>10007</v>
      </c>
      <c r="C2458" s="6" t="s">
        <v>29</v>
      </c>
      <c r="D2458" s="6">
        <v>99071.0</v>
      </c>
      <c r="E2458" s="6" t="s">
        <v>40</v>
      </c>
      <c r="F2458" s="6" t="s">
        <v>61</v>
      </c>
      <c r="G2458" s="6" t="s">
        <v>21</v>
      </c>
      <c r="H2458" s="7">
        <v>3752.0</v>
      </c>
      <c r="I2458" s="7">
        <v>5990.0</v>
      </c>
      <c r="J2458" s="6">
        <v>2023.0</v>
      </c>
      <c r="K2458" s="6">
        <v>45.0</v>
      </c>
      <c r="L2458" s="6" t="s">
        <v>32</v>
      </c>
      <c r="M2458" s="6" t="s">
        <v>10008</v>
      </c>
      <c r="N2458" s="6" t="s">
        <v>24</v>
      </c>
      <c r="O2458" s="6" t="s">
        <v>25</v>
      </c>
      <c r="P2458" s="6">
        <f>COUNTIF(Analysis!$M$1:$M$3001,Analysis!$M2493)</f>
        <v>1</v>
      </c>
      <c r="Q2458" s="6" t="str">
        <f>IF(COUNTIF(Analysis!$M$2:$M$3001,Analysis!$M2493)&gt;1,"Duplicate","OK")</f>
        <v>OK</v>
      </c>
      <c r="R2458" s="6" t="str">
        <f t="shared" si="1"/>
        <v>3600+</v>
      </c>
      <c r="S2458" s="6">
        <f t="shared" si="2"/>
        <v>3</v>
      </c>
      <c r="T2458" s="6" t="str">
        <f t="shared" si="3"/>
        <v>New</v>
      </c>
    </row>
    <row r="2459" ht="14.25" customHeight="1">
      <c r="A2459" s="5">
        <v>1268317.0</v>
      </c>
      <c r="B2459" s="6" t="s">
        <v>6381</v>
      </c>
      <c r="C2459" s="6" t="s">
        <v>29</v>
      </c>
      <c r="D2459" s="6">
        <v>75950.0</v>
      </c>
      <c r="E2459" s="6" t="s">
        <v>40</v>
      </c>
      <c r="F2459" s="6" t="s">
        <v>94</v>
      </c>
      <c r="G2459" s="6" t="s">
        <v>100</v>
      </c>
      <c r="H2459" s="7">
        <v>1077.0</v>
      </c>
      <c r="I2459" s="7">
        <v>5731.0</v>
      </c>
      <c r="J2459" s="6">
        <v>1980.0</v>
      </c>
      <c r="K2459" s="6">
        <v>77.0</v>
      </c>
      <c r="L2459" s="6" t="s">
        <v>62</v>
      </c>
      <c r="M2459" s="6" t="s">
        <v>6382</v>
      </c>
      <c r="N2459" s="6" t="s">
        <v>34</v>
      </c>
      <c r="O2459" s="6" t="s">
        <v>35</v>
      </c>
      <c r="P2459" s="6">
        <f>COUNTIF(Analysis!$M$1:$M$3001,Analysis!$M1586)</f>
        <v>1</v>
      </c>
      <c r="Q2459" s="6" t="str">
        <f>IF(COUNTIF(Analysis!$M$2:$M$3001,Analysis!$M1586)&gt;1,"Duplicate","OK")</f>
        <v>OK</v>
      </c>
      <c r="R2459" s="6" t="str">
        <f t="shared" si="1"/>
        <v>600-1600</v>
      </c>
      <c r="S2459" s="6">
        <f t="shared" si="2"/>
        <v>46</v>
      </c>
      <c r="T2459" s="6" t="str">
        <f t="shared" si="3"/>
        <v>Old</v>
      </c>
    </row>
    <row r="2460" ht="14.25" customHeight="1">
      <c r="A2460" s="5">
        <v>103832.0</v>
      </c>
      <c r="B2460" s="6" t="s">
        <v>9875</v>
      </c>
      <c r="C2460" s="6" t="s">
        <v>76</v>
      </c>
      <c r="D2460" s="6">
        <v>20397.0</v>
      </c>
      <c r="E2460" s="6" t="s">
        <v>40</v>
      </c>
      <c r="F2460" s="6" t="s">
        <v>46</v>
      </c>
      <c r="G2460" s="6" t="s">
        <v>55</v>
      </c>
      <c r="H2460" s="7">
        <v>1977.0</v>
      </c>
      <c r="I2460" s="7">
        <v>7338.0</v>
      </c>
      <c r="J2460" s="6">
        <v>1959.0</v>
      </c>
      <c r="K2460" s="6">
        <v>52.0</v>
      </c>
      <c r="L2460" s="6" t="s">
        <v>22</v>
      </c>
      <c r="M2460" s="6" t="s">
        <v>9876</v>
      </c>
      <c r="N2460" s="6" t="s">
        <v>34</v>
      </c>
      <c r="O2460" s="6" t="s">
        <v>49</v>
      </c>
      <c r="P2460" s="6">
        <f>COUNTIF(Analysis!$M$1:$M$3001,Analysis!$M2460)</f>
        <v>1</v>
      </c>
      <c r="Q2460" s="6" t="str">
        <f>IF(COUNTIF(Analysis!$M$2:$M$3001,Analysis!$M2460)&gt;1,"Duplicate","OK")</f>
        <v>OK</v>
      </c>
      <c r="R2460" s="6" t="str">
        <f t="shared" si="1"/>
        <v>1600-2600</v>
      </c>
      <c r="S2460" s="6">
        <f t="shared" si="2"/>
        <v>67</v>
      </c>
      <c r="T2460" s="6" t="str">
        <f t="shared" si="3"/>
        <v>Very Old</v>
      </c>
    </row>
    <row r="2461" ht="14.25" customHeight="1">
      <c r="A2461" s="5">
        <v>768400.0</v>
      </c>
      <c r="B2461" s="6" t="s">
        <v>9879</v>
      </c>
      <c r="C2461" s="6" t="s">
        <v>53</v>
      </c>
      <c r="D2461" s="6">
        <v>13028.0</v>
      </c>
      <c r="E2461" s="6" t="s">
        <v>60</v>
      </c>
      <c r="F2461" s="6" t="s">
        <v>94</v>
      </c>
      <c r="G2461" s="6" t="s">
        <v>21</v>
      </c>
      <c r="H2461" s="7">
        <v>2583.0</v>
      </c>
      <c r="I2461" s="7">
        <v>7414.0</v>
      </c>
      <c r="J2461" s="6">
        <v>1988.0</v>
      </c>
      <c r="K2461" s="6">
        <v>105.0</v>
      </c>
      <c r="L2461" s="6" t="s">
        <v>141</v>
      </c>
      <c r="M2461" s="6" t="s">
        <v>9880</v>
      </c>
      <c r="N2461" s="6" t="s">
        <v>34</v>
      </c>
      <c r="O2461" s="6" t="s">
        <v>35</v>
      </c>
      <c r="P2461" s="6">
        <f>COUNTIF(Analysis!$M$1:$M$3001,Analysis!$M2461)</f>
        <v>1</v>
      </c>
      <c r="Q2461" s="6" t="str">
        <f>IF(COUNTIF(Analysis!$M$2:$M$3001,Analysis!$M2461)&gt;1,"Duplicate","OK")</f>
        <v>OK</v>
      </c>
      <c r="R2461" s="6" t="str">
        <f t="shared" si="1"/>
        <v>1600-2600</v>
      </c>
      <c r="S2461" s="6">
        <f t="shared" si="2"/>
        <v>38</v>
      </c>
      <c r="T2461" s="6" t="str">
        <f t="shared" si="3"/>
        <v>Old</v>
      </c>
    </row>
    <row r="2462" ht="14.25" customHeight="1">
      <c r="A2462" s="5">
        <v>1365874.0</v>
      </c>
      <c r="B2462" s="6" t="s">
        <v>9883</v>
      </c>
      <c r="C2462" s="6" t="s">
        <v>76</v>
      </c>
      <c r="D2462" s="6">
        <v>24068.0</v>
      </c>
      <c r="E2462" s="6" t="s">
        <v>40</v>
      </c>
      <c r="F2462" s="6" t="s">
        <v>61</v>
      </c>
      <c r="G2462" s="6" t="s">
        <v>21</v>
      </c>
      <c r="H2462" s="7">
        <v>1476.0</v>
      </c>
      <c r="I2462" s="7">
        <v>4790.0</v>
      </c>
      <c r="J2462" s="6">
        <v>2011.0</v>
      </c>
      <c r="K2462" s="6">
        <v>45.0</v>
      </c>
      <c r="L2462" s="6" t="s">
        <v>62</v>
      </c>
      <c r="M2462" s="6" t="s">
        <v>9884</v>
      </c>
      <c r="N2462" s="6" t="s">
        <v>34</v>
      </c>
      <c r="O2462" s="6" t="s">
        <v>25</v>
      </c>
      <c r="P2462" s="6">
        <f>COUNTIF(Analysis!$M$1:$M$3001,Analysis!$M2462)</f>
        <v>1</v>
      </c>
      <c r="Q2462" s="6" t="str">
        <f>IF(COUNTIF(Analysis!$M$2:$M$3001,Analysis!$M2462)&gt;1,"Duplicate","OK")</f>
        <v>OK</v>
      </c>
      <c r="R2462" s="6" t="str">
        <f t="shared" si="1"/>
        <v>600-1600</v>
      </c>
      <c r="S2462" s="6">
        <f t="shared" si="2"/>
        <v>15</v>
      </c>
      <c r="T2462" s="6" t="str">
        <f t="shared" si="3"/>
        <v>Mid</v>
      </c>
    </row>
    <row r="2463" ht="14.25" customHeight="1">
      <c r="A2463" s="5">
        <v>530558.0</v>
      </c>
      <c r="B2463" s="6" t="s">
        <v>9887</v>
      </c>
      <c r="C2463" s="6" t="s">
        <v>76</v>
      </c>
      <c r="D2463" s="6">
        <v>88717.0</v>
      </c>
      <c r="E2463" s="6" t="s">
        <v>30</v>
      </c>
      <c r="F2463" s="6" t="s">
        <v>46</v>
      </c>
      <c r="G2463" s="6" t="s">
        <v>100</v>
      </c>
      <c r="H2463" s="7">
        <v>1097.0</v>
      </c>
      <c r="I2463" s="7">
        <v>1263.0</v>
      </c>
      <c r="J2463" s="6">
        <v>1964.0</v>
      </c>
      <c r="K2463" s="6">
        <v>82.0</v>
      </c>
      <c r="L2463" s="6" t="s">
        <v>62</v>
      </c>
      <c r="M2463" s="6" t="s">
        <v>9888</v>
      </c>
      <c r="N2463" s="6" t="s">
        <v>24</v>
      </c>
      <c r="O2463" s="6" t="s">
        <v>25</v>
      </c>
      <c r="P2463" s="6">
        <f>COUNTIF(Analysis!$M$1:$M$3001,Analysis!$M2463)</f>
        <v>1</v>
      </c>
      <c r="Q2463" s="6" t="str">
        <f>IF(COUNTIF(Analysis!$M$2:$M$3001,Analysis!$M2463)&gt;1,"Duplicate","OK")</f>
        <v>OK</v>
      </c>
      <c r="R2463" s="6" t="str">
        <f t="shared" si="1"/>
        <v>600-1600</v>
      </c>
      <c r="S2463" s="6">
        <f t="shared" si="2"/>
        <v>62</v>
      </c>
      <c r="T2463" s="6" t="str">
        <f t="shared" si="3"/>
        <v>Very Old</v>
      </c>
    </row>
    <row r="2464" ht="14.25" customHeight="1">
      <c r="A2464" s="5">
        <v>1269682.0</v>
      </c>
      <c r="B2464" s="6" t="s">
        <v>6038</v>
      </c>
      <c r="C2464" s="6" t="s">
        <v>29</v>
      </c>
      <c r="D2464" s="6">
        <v>49064.0</v>
      </c>
      <c r="E2464" s="6" t="s">
        <v>19</v>
      </c>
      <c r="F2464" s="6" t="s">
        <v>46</v>
      </c>
      <c r="G2464" s="6" t="s">
        <v>21</v>
      </c>
      <c r="H2464" s="7">
        <v>1618.0</v>
      </c>
      <c r="I2464" s="7">
        <v>1231.0</v>
      </c>
      <c r="J2464" s="6">
        <v>2006.0</v>
      </c>
      <c r="K2464" s="6">
        <v>40.0</v>
      </c>
      <c r="L2464" s="6" t="s">
        <v>95</v>
      </c>
      <c r="M2464" s="6" t="s">
        <v>6039</v>
      </c>
      <c r="N2464" s="6" t="s">
        <v>64</v>
      </c>
      <c r="O2464" s="6" t="s">
        <v>25</v>
      </c>
      <c r="P2464" s="6">
        <f>COUNTIF(Analysis!$M$1:$M$3001,Analysis!$M1500)</f>
        <v>1</v>
      </c>
      <c r="Q2464" s="6" t="str">
        <f>IF(COUNTIF(Analysis!$M$2:$M$3001,Analysis!$M1500)&gt;1,"Duplicate","OK")</f>
        <v>OK</v>
      </c>
      <c r="R2464" s="6" t="str">
        <f t="shared" si="1"/>
        <v>1600-2600</v>
      </c>
      <c r="S2464" s="6">
        <f t="shared" si="2"/>
        <v>20</v>
      </c>
      <c r="T2464" s="6" t="str">
        <f t="shared" si="3"/>
        <v>Mid</v>
      </c>
    </row>
    <row r="2465" ht="14.25" customHeight="1">
      <c r="A2465" s="5">
        <v>1270604.0</v>
      </c>
      <c r="B2465" s="6" t="s">
        <v>7805</v>
      </c>
      <c r="C2465" s="6" t="s">
        <v>29</v>
      </c>
      <c r="D2465" s="6">
        <v>78518.0</v>
      </c>
      <c r="E2465" s="6" t="s">
        <v>60</v>
      </c>
      <c r="F2465" s="6" t="s">
        <v>61</v>
      </c>
      <c r="G2465" s="6" t="s">
        <v>21</v>
      </c>
      <c r="H2465" s="7">
        <v>1201.0</v>
      </c>
      <c r="I2465" s="7">
        <v>1993.0</v>
      </c>
      <c r="J2465" s="6">
        <v>1963.0</v>
      </c>
      <c r="K2465" s="6">
        <v>86.0</v>
      </c>
      <c r="L2465" s="6" t="s">
        <v>141</v>
      </c>
      <c r="M2465" s="6" t="s">
        <v>7806</v>
      </c>
      <c r="N2465" s="6" t="s">
        <v>34</v>
      </c>
      <c r="O2465" s="6" t="s">
        <v>35</v>
      </c>
      <c r="P2465" s="6">
        <f>COUNTIF(Analysis!$M$1:$M$3001,Analysis!$M1942)</f>
        <v>1</v>
      </c>
      <c r="Q2465" s="6" t="str">
        <f>IF(COUNTIF(Analysis!$M$2:$M$3001,Analysis!$M1942)&gt;1,"Duplicate","OK")</f>
        <v>OK</v>
      </c>
      <c r="R2465" s="6" t="str">
        <f t="shared" si="1"/>
        <v>600-1600</v>
      </c>
      <c r="S2465" s="6">
        <f t="shared" si="2"/>
        <v>63</v>
      </c>
      <c r="T2465" s="6" t="str">
        <f t="shared" si="3"/>
        <v>Very Old</v>
      </c>
    </row>
    <row r="2466" ht="14.25" customHeight="1">
      <c r="A2466" s="5">
        <v>1277005.0</v>
      </c>
      <c r="B2466" s="6" t="s">
        <v>525</v>
      </c>
      <c r="C2466" s="6" t="s">
        <v>29</v>
      </c>
      <c r="D2466" s="6">
        <v>69229.0</v>
      </c>
      <c r="E2466" s="6" t="s">
        <v>30</v>
      </c>
      <c r="F2466" s="6" t="s">
        <v>61</v>
      </c>
      <c r="G2466" s="6" t="s">
        <v>21</v>
      </c>
      <c r="H2466" s="7">
        <v>3518.0</v>
      </c>
      <c r="I2466" s="7">
        <v>5620.0</v>
      </c>
      <c r="J2466" s="6">
        <v>2002.0</v>
      </c>
      <c r="K2466" s="6">
        <v>12.0</v>
      </c>
      <c r="L2466" s="6" t="s">
        <v>22</v>
      </c>
      <c r="M2466" s="6" t="s">
        <v>526</v>
      </c>
      <c r="N2466" s="6" t="s">
        <v>24</v>
      </c>
      <c r="O2466" s="6" t="s">
        <v>49</v>
      </c>
      <c r="P2466" s="6">
        <f>COUNTIF(Analysis!$M$1:$M$3001,Analysis!$M121)</f>
        <v>1</v>
      </c>
      <c r="Q2466" s="6" t="str">
        <f>IF(COUNTIF(Analysis!$M$2:$M$3001,Analysis!$M121)&gt;1,"Duplicate","OK")</f>
        <v>OK</v>
      </c>
      <c r="R2466" s="6" t="str">
        <f t="shared" si="1"/>
        <v>2600-3600</v>
      </c>
      <c r="S2466" s="6">
        <f t="shared" si="2"/>
        <v>24</v>
      </c>
      <c r="T2466" s="6" t="str">
        <f t="shared" si="3"/>
        <v>Mid</v>
      </c>
    </row>
    <row r="2467" ht="14.25" customHeight="1">
      <c r="A2467" s="5">
        <v>1178273.0</v>
      </c>
      <c r="B2467" s="6" t="s">
        <v>9903</v>
      </c>
      <c r="C2467" s="6" t="s">
        <v>53</v>
      </c>
      <c r="D2467" s="6">
        <v>40641.0</v>
      </c>
      <c r="E2467" s="6" t="s">
        <v>19</v>
      </c>
      <c r="F2467" s="6" t="s">
        <v>46</v>
      </c>
      <c r="G2467" s="6" t="s">
        <v>31</v>
      </c>
      <c r="H2467" s="7">
        <v>2769.0</v>
      </c>
      <c r="I2467" s="7">
        <v>1747.0</v>
      </c>
      <c r="J2467" s="6">
        <v>1967.0</v>
      </c>
      <c r="K2467" s="6">
        <v>55.0</v>
      </c>
      <c r="L2467" s="6" t="s">
        <v>95</v>
      </c>
      <c r="M2467" s="6" t="s">
        <v>9904</v>
      </c>
      <c r="N2467" s="6" t="s">
        <v>43</v>
      </c>
      <c r="O2467" s="6" t="s">
        <v>25</v>
      </c>
      <c r="P2467" s="6">
        <f>COUNTIF(Analysis!$M$1:$M$3001,Analysis!$M2467)</f>
        <v>1</v>
      </c>
      <c r="Q2467" s="6" t="str">
        <f>IF(COUNTIF(Analysis!$M$2:$M$3001,Analysis!$M2467)&gt;1,"Duplicate","OK")</f>
        <v>OK</v>
      </c>
      <c r="R2467" s="6" t="str">
        <f t="shared" si="1"/>
        <v>2600-3600</v>
      </c>
      <c r="S2467" s="6">
        <f t="shared" si="2"/>
        <v>59</v>
      </c>
      <c r="T2467" s="6" t="str">
        <f t="shared" si="3"/>
        <v>Old</v>
      </c>
    </row>
    <row r="2468" ht="14.25" customHeight="1">
      <c r="A2468" s="5">
        <v>703641.0</v>
      </c>
      <c r="B2468" s="6" t="s">
        <v>9907</v>
      </c>
      <c r="C2468" s="6" t="s">
        <v>39</v>
      </c>
      <c r="D2468" s="6">
        <v>28063.0</v>
      </c>
      <c r="E2468" s="6" t="s">
        <v>77</v>
      </c>
      <c r="F2468" s="6" t="s">
        <v>41</v>
      </c>
      <c r="G2468" s="6" t="s">
        <v>55</v>
      </c>
      <c r="H2468" s="7">
        <v>2835.0</v>
      </c>
      <c r="I2468" s="7">
        <v>1428.0</v>
      </c>
      <c r="J2468" s="6">
        <v>1956.0</v>
      </c>
      <c r="K2468" s="6">
        <v>92.0</v>
      </c>
      <c r="L2468" s="6" t="s">
        <v>32</v>
      </c>
      <c r="M2468" s="6" t="s">
        <v>9908</v>
      </c>
      <c r="N2468" s="6" t="s">
        <v>34</v>
      </c>
      <c r="O2468" s="6" t="s">
        <v>25</v>
      </c>
      <c r="P2468" s="6">
        <f>COUNTIF(Analysis!$M$1:$M$3001,Analysis!$M2468)</f>
        <v>1</v>
      </c>
      <c r="Q2468" s="6" t="str">
        <f>IF(COUNTIF(Analysis!$M$2:$M$3001,Analysis!$M2468)&gt;1,"Duplicate","OK")</f>
        <v>OK</v>
      </c>
      <c r="R2468" s="6" t="str">
        <f t="shared" si="1"/>
        <v>2600-3600</v>
      </c>
      <c r="S2468" s="6">
        <f t="shared" si="2"/>
        <v>70</v>
      </c>
      <c r="T2468" s="6" t="str">
        <f t="shared" si="3"/>
        <v>Very Old</v>
      </c>
    </row>
    <row r="2469" ht="14.25" customHeight="1">
      <c r="A2469" s="5">
        <v>645850.0</v>
      </c>
      <c r="B2469" s="6" t="s">
        <v>9911</v>
      </c>
      <c r="C2469" s="6" t="s">
        <v>76</v>
      </c>
      <c r="D2469" s="6">
        <v>50263.0</v>
      </c>
      <c r="E2469" s="6" t="s">
        <v>19</v>
      </c>
      <c r="F2469" s="6" t="s">
        <v>94</v>
      </c>
      <c r="G2469" s="6" t="s">
        <v>55</v>
      </c>
      <c r="H2469" s="7">
        <v>1016.0</v>
      </c>
      <c r="I2469" s="7">
        <v>7438.0</v>
      </c>
      <c r="J2469" s="6">
        <v>1981.0</v>
      </c>
      <c r="K2469" s="6">
        <v>72.0</v>
      </c>
      <c r="L2469" s="6" t="s">
        <v>32</v>
      </c>
      <c r="M2469" s="6" t="s">
        <v>9912</v>
      </c>
      <c r="N2469" s="6" t="s">
        <v>24</v>
      </c>
      <c r="O2469" s="6" t="s">
        <v>25</v>
      </c>
      <c r="P2469" s="6">
        <f>COUNTIF(Analysis!$M$1:$M$3001,Analysis!$M2469)</f>
        <v>1</v>
      </c>
      <c r="Q2469" s="6" t="str">
        <f>IF(COUNTIF(Analysis!$M$2:$M$3001,Analysis!$M2469)&gt;1,"Duplicate","OK")</f>
        <v>OK</v>
      </c>
      <c r="R2469" s="6" t="str">
        <f t="shared" si="1"/>
        <v>600-1600</v>
      </c>
      <c r="S2469" s="6">
        <f t="shared" si="2"/>
        <v>45</v>
      </c>
      <c r="T2469" s="6" t="str">
        <f t="shared" si="3"/>
        <v>Old</v>
      </c>
    </row>
    <row r="2470" ht="14.25" customHeight="1">
      <c r="A2470" s="5">
        <v>1280322.0</v>
      </c>
      <c r="B2470" s="6" t="s">
        <v>5746</v>
      </c>
      <c r="C2470" s="6" t="s">
        <v>29</v>
      </c>
      <c r="D2470" s="6">
        <v>41512.0</v>
      </c>
      <c r="E2470" s="6" t="s">
        <v>40</v>
      </c>
      <c r="F2470" s="6" t="s">
        <v>20</v>
      </c>
      <c r="G2470" s="6" t="s">
        <v>21</v>
      </c>
      <c r="H2470" s="7">
        <v>2306.0</v>
      </c>
      <c r="I2470" s="7">
        <v>5211.0</v>
      </c>
      <c r="J2470" s="6">
        <v>1968.0</v>
      </c>
      <c r="K2470" s="6">
        <v>71.0</v>
      </c>
      <c r="L2470" s="6" t="s">
        <v>22</v>
      </c>
      <c r="M2470" s="6" t="s">
        <v>5747</v>
      </c>
      <c r="N2470" s="6" t="s">
        <v>43</v>
      </c>
      <c r="O2470" s="6" t="s">
        <v>25</v>
      </c>
      <c r="P2470" s="6">
        <f>COUNTIF(Analysis!$M$1:$M$3001,Analysis!$M1427)</f>
        <v>1</v>
      </c>
      <c r="Q2470" s="6" t="str">
        <f>IF(COUNTIF(Analysis!$M$2:$M$3001,Analysis!$M1427)&gt;1,"Duplicate","OK")</f>
        <v>OK</v>
      </c>
      <c r="R2470" s="6" t="str">
        <f t="shared" si="1"/>
        <v>1600-2600</v>
      </c>
      <c r="S2470" s="6">
        <f t="shared" si="2"/>
        <v>58</v>
      </c>
      <c r="T2470" s="6" t="str">
        <f t="shared" si="3"/>
        <v>Old</v>
      </c>
    </row>
    <row r="2471" ht="14.25" customHeight="1">
      <c r="A2471" s="5">
        <v>492299.0</v>
      </c>
      <c r="B2471" s="6" t="s">
        <v>9919</v>
      </c>
      <c r="C2471" s="6" t="s">
        <v>18</v>
      </c>
      <c r="D2471" s="6">
        <v>80716.0</v>
      </c>
      <c r="E2471" s="6" t="s">
        <v>40</v>
      </c>
      <c r="F2471" s="6" t="s">
        <v>61</v>
      </c>
      <c r="G2471" s="6" t="s">
        <v>55</v>
      </c>
      <c r="H2471" s="7">
        <v>3933.0</v>
      </c>
      <c r="I2471" s="7">
        <v>7939.0</v>
      </c>
      <c r="J2471" s="6">
        <v>1975.0</v>
      </c>
      <c r="K2471" s="6">
        <v>39.0</v>
      </c>
      <c r="L2471" s="6" t="s">
        <v>22</v>
      </c>
      <c r="M2471" s="6" t="s">
        <v>9920</v>
      </c>
      <c r="N2471" s="6" t="s">
        <v>64</v>
      </c>
      <c r="O2471" s="6" t="s">
        <v>49</v>
      </c>
      <c r="P2471" s="6">
        <f>COUNTIF(Analysis!$M$1:$M$3001,Analysis!$M2471)</f>
        <v>1</v>
      </c>
      <c r="Q2471" s="6" t="str">
        <f>IF(COUNTIF(Analysis!$M$2:$M$3001,Analysis!$M2471)&gt;1,"Duplicate","OK")</f>
        <v>OK</v>
      </c>
      <c r="R2471" s="6" t="str">
        <f t="shared" si="1"/>
        <v>3600+</v>
      </c>
      <c r="S2471" s="6">
        <f t="shared" si="2"/>
        <v>51</v>
      </c>
      <c r="T2471" s="6" t="str">
        <f t="shared" si="3"/>
        <v>Old</v>
      </c>
    </row>
    <row r="2472" ht="14.25" customHeight="1">
      <c r="A2472" s="5">
        <v>791989.0</v>
      </c>
      <c r="B2472" s="6" t="s">
        <v>9923</v>
      </c>
      <c r="C2472" s="6" t="s">
        <v>18</v>
      </c>
      <c r="D2472" s="6">
        <v>48152.0</v>
      </c>
      <c r="E2472" s="6" t="s">
        <v>30</v>
      </c>
      <c r="F2472" s="6" t="s">
        <v>54</v>
      </c>
      <c r="G2472" s="6" t="s">
        <v>55</v>
      </c>
      <c r="H2472" s="7">
        <v>1121.0</v>
      </c>
      <c r="I2472" s="7">
        <v>4308.0</v>
      </c>
      <c r="J2472" s="6">
        <v>2023.0</v>
      </c>
      <c r="K2472" s="6">
        <v>59.0</v>
      </c>
      <c r="L2472" s="6" t="s">
        <v>62</v>
      </c>
      <c r="M2472" s="6" t="s">
        <v>9924</v>
      </c>
      <c r="N2472" s="6" t="s">
        <v>64</v>
      </c>
      <c r="O2472" s="6" t="s">
        <v>25</v>
      </c>
      <c r="P2472" s="6">
        <f>COUNTIF(Analysis!$M$1:$M$3001,Analysis!$M2472)</f>
        <v>1</v>
      </c>
      <c r="Q2472" s="6" t="str">
        <f>IF(COUNTIF(Analysis!$M$2:$M$3001,Analysis!$M2472)&gt;1,"Duplicate","OK")</f>
        <v>OK</v>
      </c>
      <c r="R2472" s="6" t="str">
        <f t="shared" si="1"/>
        <v>600-1600</v>
      </c>
      <c r="S2472" s="6">
        <f t="shared" si="2"/>
        <v>3</v>
      </c>
      <c r="T2472" s="6" t="str">
        <f t="shared" si="3"/>
        <v>New</v>
      </c>
    </row>
    <row r="2473" ht="14.25" customHeight="1">
      <c r="A2473" s="5">
        <v>450700.0</v>
      </c>
      <c r="B2473" s="6" t="s">
        <v>9927</v>
      </c>
      <c r="C2473" s="6" t="s">
        <v>53</v>
      </c>
      <c r="D2473" s="6">
        <v>72880.0</v>
      </c>
      <c r="E2473" s="6" t="s">
        <v>77</v>
      </c>
      <c r="F2473" s="6" t="s">
        <v>46</v>
      </c>
      <c r="G2473" s="6" t="s">
        <v>55</v>
      </c>
      <c r="H2473" s="7">
        <v>1119.0</v>
      </c>
      <c r="I2473" s="7">
        <v>7345.0</v>
      </c>
      <c r="J2473" s="6">
        <v>2013.0</v>
      </c>
      <c r="K2473" s="6">
        <v>76.0</v>
      </c>
      <c r="L2473" s="6" t="s">
        <v>22</v>
      </c>
      <c r="M2473" s="6" t="s">
        <v>9928</v>
      </c>
      <c r="N2473" s="6" t="s">
        <v>43</v>
      </c>
      <c r="O2473" s="6" t="s">
        <v>35</v>
      </c>
      <c r="P2473" s="6">
        <f>COUNTIF(Analysis!$M$1:$M$3001,Analysis!$M2473)</f>
        <v>1</v>
      </c>
      <c r="Q2473" s="6" t="str">
        <f>IF(COUNTIF(Analysis!$M$2:$M$3001,Analysis!$M2473)&gt;1,"Duplicate","OK")</f>
        <v>OK</v>
      </c>
      <c r="R2473" s="6" t="str">
        <f t="shared" si="1"/>
        <v>600-1600</v>
      </c>
      <c r="S2473" s="6">
        <f t="shared" si="2"/>
        <v>13</v>
      </c>
      <c r="T2473" s="6" t="str">
        <f t="shared" si="3"/>
        <v>Mid</v>
      </c>
    </row>
    <row r="2474" ht="14.25" customHeight="1">
      <c r="A2474" s="5">
        <v>1467813.0</v>
      </c>
      <c r="B2474" s="6" t="s">
        <v>9931</v>
      </c>
      <c r="C2474" s="6" t="s">
        <v>53</v>
      </c>
      <c r="D2474" s="6">
        <v>56372.0</v>
      </c>
      <c r="E2474" s="6" t="s">
        <v>19</v>
      </c>
      <c r="F2474" s="6" t="s">
        <v>94</v>
      </c>
      <c r="G2474" s="6" t="s">
        <v>100</v>
      </c>
      <c r="H2474" s="7">
        <v>1188.0</v>
      </c>
      <c r="I2474" s="7">
        <v>6887.0</v>
      </c>
      <c r="J2474" s="6">
        <v>1993.0</v>
      </c>
      <c r="K2474" s="6">
        <v>66.0</v>
      </c>
      <c r="L2474" s="6" t="s">
        <v>95</v>
      </c>
      <c r="M2474" s="6" t="s">
        <v>9932</v>
      </c>
      <c r="N2474" s="6" t="s">
        <v>34</v>
      </c>
      <c r="O2474" s="6" t="s">
        <v>25</v>
      </c>
      <c r="P2474" s="6">
        <f>COUNTIF(Analysis!$M$1:$M$3001,Analysis!$M2474)</f>
        <v>1</v>
      </c>
      <c r="Q2474" s="6" t="str">
        <f>IF(COUNTIF(Analysis!$M$2:$M$3001,Analysis!$M2474)&gt;1,"Duplicate","OK")</f>
        <v>OK</v>
      </c>
      <c r="R2474" s="6" t="str">
        <f t="shared" si="1"/>
        <v>600-1600</v>
      </c>
      <c r="S2474" s="6">
        <f t="shared" si="2"/>
        <v>33</v>
      </c>
      <c r="T2474" s="6" t="str">
        <f t="shared" si="3"/>
        <v>Old</v>
      </c>
    </row>
    <row r="2475" ht="14.25" customHeight="1">
      <c r="A2475" s="5">
        <v>854844.0</v>
      </c>
      <c r="B2475" s="6" t="s">
        <v>9935</v>
      </c>
      <c r="C2475" s="6" t="s">
        <v>53</v>
      </c>
      <c r="D2475" s="6">
        <v>54472.0</v>
      </c>
      <c r="E2475" s="6" t="s">
        <v>19</v>
      </c>
      <c r="F2475" s="6" t="s">
        <v>61</v>
      </c>
      <c r="G2475" s="6" t="s">
        <v>31</v>
      </c>
      <c r="H2475" s="7">
        <v>2346.0</v>
      </c>
      <c r="I2475" s="7">
        <v>4873.0</v>
      </c>
      <c r="J2475" s="6">
        <v>2012.0</v>
      </c>
      <c r="K2475" s="6">
        <v>112.0</v>
      </c>
      <c r="L2475" s="6" t="s">
        <v>62</v>
      </c>
      <c r="M2475" s="6" t="s">
        <v>9936</v>
      </c>
      <c r="N2475" s="6" t="s">
        <v>24</v>
      </c>
      <c r="O2475" s="6" t="s">
        <v>25</v>
      </c>
      <c r="P2475" s="6">
        <f>COUNTIF(Analysis!$M$1:$M$3001,Analysis!$M2475)</f>
        <v>1</v>
      </c>
      <c r="Q2475" s="6" t="str">
        <f>IF(COUNTIF(Analysis!$M$2:$M$3001,Analysis!$M2475)&gt;1,"Duplicate","OK")</f>
        <v>OK</v>
      </c>
      <c r="R2475" s="6" t="str">
        <f t="shared" si="1"/>
        <v>1600-2600</v>
      </c>
      <c r="S2475" s="6">
        <f t="shared" si="2"/>
        <v>14</v>
      </c>
      <c r="T2475" s="6" t="str">
        <f t="shared" si="3"/>
        <v>Mid</v>
      </c>
    </row>
    <row r="2476" ht="14.25" customHeight="1">
      <c r="A2476" s="5">
        <v>214822.0</v>
      </c>
      <c r="B2476" s="6" t="s">
        <v>9939</v>
      </c>
      <c r="C2476" s="6" t="s">
        <v>18</v>
      </c>
      <c r="D2476" s="6">
        <v>35221.0</v>
      </c>
      <c r="E2476" s="6" t="s">
        <v>40</v>
      </c>
      <c r="F2476" s="6" t="s">
        <v>46</v>
      </c>
      <c r="G2476" s="6" t="s">
        <v>55</v>
      </c>
      <c r="H2476" s="7">
        <v>3039.0</v>
      </c>
      <c r="I2476" s="7">
        <v>2982.0</v>
      </c>
      <c r="J2476" s="6">
        <v>1976.0</v>
      </c>
      <c r="K2476" s="6">
        <v>33.0</v>
      </c>
      <c r="L2476" s="6" t="s">
        <v>32</v>
      </c>
      <c r="M2476" s="6" t="s">
        <v>9940</v>
      </c>
      <c r="N2476" s="6" t="s">
        <v>43</v>
      </c>
      <c r="O2476" s="6" t="s">
        <v>25</v>
      </c>
      <c r="P2476" s="6">
        <f>COUNTIF(Analysis!$M$1:$M$3001,Analysis!$M2476)</f>
        <v>1</v>
      </c>
      <c r="Q2476" s="6" t="str">
        <f>IF(COUNTIF(Analysis!$M$2:$M$3001,Analysis!$M2476)&gt;1,"Duplicate","OK")</f>
        <v>OK</v>
      </c>
      <c r="R2476" s="6" t="str">
        <f t="shared" si="1"/>
        <v>2600-3600</v>
      </c>
      <c r="S2476" s="6">
        <f t="shared" si="2"/>
        <v>50</v>
      </c>
      <c r="T2476" s="6" t="str">
        <f t="shared" si="3"/>
        <v>Old</v>
      </c>
    </row>
    <row r="2477" ht="14.25" customHeight="1">
      <c r="A2477" s="5">
        <v>1283223.0</v>
      </c>
      <c r="B2477" s="6" t="s">
        <v>1677</v>
      </c>
      <c r="C2477" s="6" t="s">
        <v>29</v>
      </c>
      <c r="D2477" s="6">
        <v>44519.0</v>
      </c>
      <c r="E2477" s="6" t="s">
        <v>30</v>
      </c>
      <c r="F2477" s="6" t="s">
        <v>20</v>
      </c>
      <c r="G2477" s="6" t="s">
        <v>55</v>
      </c>
      <c r="H2477" s="7">
        <v>724.0</v>
      </c>
      <c r="I2477" s="7">
        <v>2456.0</v>
      </c>
      <c r="J2477" s="6">
        <v>1961.0</v>
      </c>
      <c r="K2477" s="6">
        <v>106.0</v>
      </c>
      <c r="L2477" s="6" t="s">
        <v>62</v>
      </c>
      <c r="M2477" s="6" t="s">
        <v>1678</v>
      </c>
      <c r="N2477" s="6" t="s">
        <v>34</v>
      </c>
      <c r="O2477" s="6" t="s">
        <v>35</v>
      </c>
      <c r="P2477" s="6">
        <f>COUNTIF(Analysis!$M$1:$M$3001,Analysis!$M409)</f>
        <v>1</v>
      </c>
      <c r="Q2477" s="6" t="str">
        <f>IF(COUNTIF(Analysis!$M$2:$M$3001,Analysis!$M409)&gt;1,"Duplicate","OK")</f>
        <v>OK</v>
      </c>
      <c r="R2477" s="6" t="str">
        <f t="shared" si="1"/>
        <v>600-1600</v>
      </c>
      <c r="S2477" s="6">
        <f t="shared" si="2"/>
        <v>65</v>
      </c>
      <c r="T2477" s="6" t="str">
        <f t="shared" si="3"/>
        <v>Very Old</v>
      </c>
    </row>
    <row r="2478" ht="14.25" customHeight="1">
      <c r="A2478" s="5">
        <v>1253916.0</v>
      </c>
      <c r="B2478" s="6" t="s">
        <v>9947</v>
      </c>
      <c r="C2478" s="6" t="s">
        <v>53</v>
      </c>
      <c r="D2478" s="6">
        <v>94687.0</v>
      </c>
      <c r="E2478" s="6" t="s">
        <v>30</v>
      </c>
      <c r="F2478" s="6" t="s">
        <v>41</v>
      </c>
      <c r="G2478" s="6" t="s">
        <v>31</v>
      </c>
      <c r="H2478" s="7">
        <v>1484.0</v>
      </c>
      <c r="I2478" s="7">
        <v>4177.0</v>
      </c>
      <c r="J2478" s="6">
        <v>1979.0</v>
      </c>
      <c r="K2478" s="6">
        <v>16.0</v>
      </c>
      <c r="L2478" s="6" t="s">
        <v>22</v>
      </c>
      <c r="M2478" s="6" t="s">
        <v>9948</v>
      </c>
      <c r="N2478" s="6" t="s">
        <v>48</v>
      </c>
      <c r="O2478" s="6" t="s">
        <v>35</v>
      </c>
      <c r="P2478" s="6">
        <f>COUNTIF(Analysis!$M$1:$M$3001,Analysis!$M2478)</f>
        <v>1</v>
      </c>
      <c r="Q2478" s="6" t="str">
        <f>IF(COUNTIF(Analysis!$M$2:$M$3001,Analysis!$M2478)&gt;1,"Duplicate","OK")</f>
        <v>OK</v>
      </c>
      <c r="R2478" s="6" t="str">
        <f t="shared" si="1"/>
        <v>600-1600</v>
      </c>
      <c r="S2478" s="6">
        <f t="shared" si="2"/>
        <v>47</v>
      </c>
      <c r="T2478" s="6" t="str">
        <f t="shared" si="3"/>
        <v>Old</v>
      </c>
    </row>
    <row r="2479" ht="14.25" customHeight="1">
      <c r="A2479" s="5">
        <v>698501.0</v>
      </c>
      <c r="B2479" s="6" t="s">
        <v>9951</v>
      </c>
      <c r="C2479" s="6" t="s">
        <v>76</v>
      </c>
      <c r="D2479" s="6">
        <v>12129.0</v>
      </c>
      <c r="E2479" s="6" t="s">
        <v>40</v>
      </c>
      <c r="F2479" s="6" t="s">
        <v>46</v>
      </c>
      <c r="G2479" s="6" t="s">
        <v>100</v>
      </c>
      <c r="H2479" s="7">
        <v>2136.0</v>
      </c>
      <c r="I2479" s="7">
        <v>1853.0</v>
      </c>
      <c r="J2479" s="6">
        <v>1972.0</v>
      </c>
      <c r="K2479" s="6">
        <v>103.0</v>
      </c>
      <c r="L2479" s="6" t="s">
        <v>141</v>
      </c>
      <c r="M2479" s="6" t="s">
        <v>9952</v>
      </c>
      <c r="N2479" s="6" t="s">
        <v>24</v>
      </c>
      <c r="O2479" s="6" t="s">
        <v>49</v>
      </c>
      <c r="P2479" s="6">
        <f>COUNTIF(Analysis!$M$1:$M$3001,Analysis!$M2479)</f>
        <v>1</v>
      </c>
      <c r="Q2479" s="6" t="str">
        <f>IF(COUNTIF(Analysis!$M$2:$M$3001,Analysis!$M2479)&gt;1,"Duplicate","OK")</f>
        <v>OK</v>
      </c>
      <c r="R2479" s="6" t="str">
        <f t="shared" si="1"/>
        <v>1600-2600</v>
      </c>
      <c r="S2479" s="6">
        <f t="shared" si="2"/>
        <v>54</v>
      </c>
      <c r="T2479" s="6" t="str">
        <f t="shared" si="3"/>
        <v>Old</v>
      </c>
    </row>
    <row r="2480" ht="14.25" customHeight="1">
      <c r="A2480" s="5">
        <v>1131190.0</v>
      </c>
      <c r="B2480" s="6" t="s">
        <v>9955</v>
      </c>
      <c r="C2480" s="6" t="s">
        <v>53</v>
      </c>
      <c r="D2480" s="6">
        <v>53443.0</v>
      </c>
      <c r="E2480" s="6" t="s">
        <v>60</v>
      </c>
      <c r="F2480" s="6" t="s">
        <v>94</v>
      </c>
      <c r="G2480" s="6" t="s">
        <v>55</v>
      </c>
      <c r="H2480" s="7">
        <v>2213.0</v>
      </c>
      <c r="I2480" s="7">
        <v>1267.0</v>
      </c>
      <c r="J2480" s="6">
        <v>1963.0</v>
      </c>
      <c r="K2480" s="6">
        <v>46.0</v>
      </c>
      <c r="L2480" s="6" t="s">
        <v>62</v>
      </c>
      <c r="M2480" s="6" t="s">
        <v>9956</v>
      </c>
      <c r="N2480" s="6" t="s">
        <v>48</v>
      </c>
      <c r="O2480" s="6" t="s">
        <v>35</v>
      </c>
      <c r="P2480" s="6">
        <f>COUNTIF(Analysis!$M$1:$M$3001,Analysis!$M2480)</f>
        <v>1</v>
      </c>
      <c r="Q2480" s="6" t="str">
        <f>IF(COUNTIF(Analysis!$M$2:$M$3001,Analysis!$M2480)&gt;1,"Duplicate","OK")</f>
        <v>OK</v>
      </c>
      <c r="R2480" s="6" t="str">
        <f t="shared" si="1"/>
        <v>1600-2600</v>
      </c>
      <c r="S2480" s="6">
        <f t="shared" si="2"/>
        <v>63</v>
      </c>
      <c r="T2480" s="6" t="str">
        <f t="shared" si="3"/>
        <v>Very Old</v>
      </c>
    </row>
    <row r="2481" ht="14.25" customHeight="1">
      <c r="A2481" s="5">
        <v>729432.0</v>
      </c>
      <c r="B2481" s="6" t="s">
        <v>9959</v>
      </c>
      <c r="C2481" s="6" t="s">
        <v>18</v>
      </c>
      <c r="D2481" s="6">
        <v>97974.0</v>
      </c>
      <c r="E2481" s="6" t="s">
        <v>40</v>
      </c>
      <c r="F2481" s="6" t="s">
        <v>94</v>
      </c>
      <c r="G2481" s="6" t="s">
        <v>100</v>
      </c>
      <c r="H2481" s="7">
        <v>2716.0</v>
      </c>
      <c r="I2481" s="7">
        <v>3353.0</v>
      </c>
      <c r="J2481" s="6">
        <v>2008.0</v>
      </c>
      <c r="K2481" s="6">
        <v>65.0</v>
      </c>
      <c r="L2481" s="6" t="s">
        <v>32</v>
      </c>
      <c r="M2481" s="6" t="s">
        <v>9960</v>
      </c>
      <c r="N2481" s="6" t="s">
        <v>64</v>
      </c>
      <c r="O2481" s="6" t="s">
        <v>35</v>
      </c>
      <c r="P2481" s="6">
        <f>COUNTIF(Analysis!$M$1:$M$3001,Analysis!$M2481)</f>
        <v>1</v>
      </c>
      <c r="Q2481" s="6" t="str">
        <f>IF(COUNTIF(Analysis!$M$2:$M$3001,Analysis!$M2481)&gt;1,"Duplicate","OK")</f>
        <v>OK</v>
      </c>
      <c r="R2481" s="6" t="str">
        <f t="shared" si="1"/>
        <v>2600-3600</v>
      </c>
      <c r="S2481" s="6">
        <f t="shared" si="2"/>
        <v>18</v>
      </c>
      <c r="T2481" s="6" t="str">
        <f t="shared" si="3"/>
        <v>Mid</v>
      </c>
    </row>
    <row r="2482" ht="14.25" customHeight="1">
      <c r="A2482" s="5">
        <v>1365836.0</v>
      </c>
      <c r="B2482" s="6" t="s">
        <v>9963</v>
      </c>
      <c r="C2482" s="6" t="s">
        <v>18</v>
      </c>
      <c r="D2482" s="6">
        <v>76487.0</v>
      </c>
      <c r="E2482" s="6" t="s">
        <v>60</v>
      </c>
      <c r="F2482" s="6" t="s">
        <v>46</v>
      </c>
      <c r="G2482" s="6" t="s">
        <v>21</v>
      </c>
      <c r="H2482" s="7">
        <v>2978.0</v>
      </c>
      <c r="I2482" s="7">
        <v>3399.0</v>
      </c>
      <c r="J2482" s="6">
        <v>1961.0</v>
      </c>
      <c r="K2482" s="6">
        <v>42.0</v>
      </c>
      <c r="L2482" s="6" t="s">
        <v>141</v>
      </c>
      <c r="M2482" s="6" t="s">
        <v>9964</v>
      </c>
      <c r="N2482" s="6" t="s">
        <v>24</v>
      </c>
      <c r="O2482" s="6" t="s">
        <v>35</v>
      </c>
      <c r="P2482" s="6">
        <f>COUNTIF(Analysis!$M$1:$M$3001,Analysis!$M2482)</f>
        <v>1</v>
      </c>
      <c r="Q2482" s="6" t="str">
        <f>IF(COUNTIF(Analysis!$M$2:$M$3001,Analysis!$M2482)&gt;1,"Duplicate","OK")</f>
        <v>OK</v>
      </c>
      <c r="R2482" s="6" t="str">
        <f t="shared" si="1"/>
        <v>2600-3600</v>
      </c>
      <c r="S2482" s="6">
        <f t="shared" si="2"/>
        <v>65</v>
      </c>
      <c r="T2482" s="6" t="str">
        <f t="shared" si="3"/>
        <v>Very Old</v>
      </c>
    </row>
    <row r="2483" ht="14.25" customHeight="1">
      <c r="A2483" s="5">
        <v>1285850.0</v>
      </c>
      <c r="B2483" s="6" t="s">
        <v>7845</v>
      </c>
      <c r="C2483" s="6" t="s">
        <v>29</v>
      </c>
      <c r="D2483" s="6">
        <v>19568.0</v>
      </c>
      <c r="E2483" s="6" t="s">
        <v>40</v>
      </c>
      <c r="F2483" s="6" t="s">
        <v>61</v>
      </c>
      <c r="G2483" s="6" t="s">
        <v>21</v>
      </c>
      <c r="H2483" s="7">
        <v>1151.0</v>
      </c>
      <c r="I2483" s="7">
        <v>5402.0</v>
      </c>
      <c r="J2483" s="6">
        <v>2016.0</v>
      </c>
      <c r="K2483" s="6">
        <v>56.0</v>
      </c>
      <c r="L2483" s="6" t="s">
        <v>32</v>
      </c>
      <c r="M2483" s="6" t="s">
        <v>7846</v>
      </c>
      <c r="N2483" s="6" t="s">
        <v>24</v>
      </c>
      <c r="O2483" s="6" t="s">
        <v>25</v>
      </c>
      <c r="P2483" s="6">
        <f>COUNTIF(Analysis!$M$1:$M$3001,Analysis!$M1952)</f>
        <v>1</v>
      </c>
      <c r="Q2483" s="6" t="str">
        <f>IF(COUNTIF(Analysis!$M$2:$M$3001,Analysis!$M1952)&gt;1,"Duplicate","OK")</f>
        <v>OK</v>
      </c>
      <c r="R2483" s="6" t="str">
        <f t="shared" si="1"/>
        <v>600-1600</v>
      </c>
      <c r="S2483" s="6">
        <f t="shared" si="2"/>
        <v>10</v>
      </c>
      <c r="T2483" s="6" t="str">
        <f t="shared" si="3"/>
        <v>New</v>
      </c>
    </row>
    <row r="2484" ht="14.25" customHeight="1">
      <c r="A2484" s="5">
        <v>101178.0</v>
      </c>
      <c r="B2484" s="6" t="s">
        <v>9971</v>
      </c>
      <c r="C2484" s="6" t="s">
        <v>76</v>
      </c>
      <c r="D2484" s="6">
        <v>15800.0</v>
      </c>
      <c r="E2484" s="6" t="s">
        <v>77</v>
      </c>
      <c r="F2484" s="6" t="s">
        <v>41</v>
      </c>
      <c r="G2484" s="6" t="s">
        <v>21</v>
      </c>
      <c r="H2484" s="7">
        <v>1484.0</v>
      </c>
      <c r="I2484" s="7">
        <v>6821.0</v>
      </c>
      <c r="J2484" s="6">
        <v>2006.0</v>
      </c>
      <c r="K2484" s="6">
        <v>73.0</v>
      </c>
      <c r="L2484" s="6" t="s">
        <v>141</v>
      </c>
      <c r="M2484" s="6" t="s">
        <v>9972</v>
      </c>
      <c r="N2484" s="6" t="s">
        <v>34</v>
      </c>
      <c r="O2484" s="6" t="s">
        <v>49</v>
      </c>
      <c r="P2484" s="6">
        <f>COUNTIF(Analysis!$M$1:$M$3001,Analysis!$M2484)</f>
        <v>1</v>
      </c>
      <c r="Q2484" s="6" t="str">
        <f>IF(COUNTIF(Analysis!$M$2:$M$3001,Analysis!$M2484)&gt;1,"Duplicate","OK")</f>
        <v>OK</v>
      </c>
      <c r="R2484" s="6" t="str">
        <f t="shared" si="1"/>
        <v>600-1600</v>
      </c>
      <c r="S2484" s="6">
        <f t="shared" si="2"/>
        <v>20</v>
      </c>
      <c r="T2484" s="6" t="str">
        <f t="shared" si="3"/>
        <v>Mid</v>
      </c>
    </row>
    <row r="2485" ht="14.25" customHeight="1">
      <c r="A2485" s="5">
        <v>699524.0</v>
      </c>
      <c r="B2485" s="6" t="s">
        <v>9975</v>
      </c>
      <c r="C2485" s="6" t="s">
        <v>53</v>
      </c>
      <c r="D2485" s="6">
        <v>68966.0</v>
      </c>
      <c r="E2485" s="6" t="s">
        <v>77</v>
      </c>
      <c r="F2485" s="6" t="s">
        <v>61</v>
      </c>
      <c r="G2485" s="6" t="s">
        <v>100</v>
      </c>
      <c r="H2485" s="7">
        <v>2495.0</v>
      </c>
      <c r="I2485" s="7">
        <v>8665.0</v>
      </c>
      <c r="J2485" s="6">
        <v>2021.0</v>
      </c>
      <c r="K2485" s="6">
        <v>102.0</v>
      </c>
      <c r="L2485" s="6" t="s">
        <v>62</v>
      </c>
      <c r="M2485" s="6" t="s">
        <v>9976</v>
      </c>
      <c r="N2485" s="6" t="s">
        <v>64</v>
      </c>
      <c r="O2485" s="6" t="s">
        <v>35</v>
      </c>
      <c r="P2485" s="6">
        <f>COUNTIF(Analysis!$M$1:$M$3001,Analysis!$M2485)</f>
        <v>1</v>
      </c>
      <c r="Q2485" s="6" t="str">
        <f>IF(COUNTIF(Analysis!$M$2:$M$3001,Analysis!$M2485)&gt;1,"Duplicate","OK")</f>
        <v>OK</v>
      </c>
      <c r="R2485" s="6" t="str">
        <f t="shared" si="1"/>
        <v>1600-2600</v>
      </c>
      <c r="S2485" s="6">
        <f t="shared" si="2"/>
        <v>5</v>
      </c>
      <c r="T2485" s="6" t="str">
        <f t="shared" si="3"/>
        <v>New</v>
      </c>
    </row>
    <row r="2486" ht="14.25" customHeight="1">
      <c r="A2486" s="5">
        <v>516185.0</v>
      </c>
      <c r="B2486" s="6" t="s">
        <v>9979</v>
      </c>
      <c r="C2486" s="6" t="s">
        <v>39</v>
      </c>
      <c r="D2486" s="6">
        <v>32713.0</v>
      </c>
      <c r="E2486" s="6" t="s">
        <v>60</v>
      </c>
      <c r="F2486" s="6" t="s">
        <v>41</v>
      </c>
      <c r="G2486" s="6" t="s">
        <v>21</v>
      </c>
      <c r="H2486" s="7">
        <v>2717.0</v>
      </c>
      <c r="I2486" s="7">
        <v>5323.0</v>
      </c>
      <c r="J2486" s="6">
        <v>2022.0</v>
      </c>
      <c r="K2486" s="6">
        <v>31.0</v>
      </c>
      <c r="L2486" s="6" t="s">
        <v>95</v>
      </c>
      <c r="M2486" s="6" t="s">
        <v>9980</v>
      </c>
      <c r="N2486" s="6" t="s">
        <v>34</v>
      </c>
      <c r="O2486" s="6" t="s">
        <v>35</v>
      </c>
      <c r="P2486" s="6">
        <f>COUNTIF(Analysis!$M$1:$M$3001,Analysis!$M2486)</f>
        <v>1</v>
      </c>
      <c r="Q2486" s="6" t="str">
        <f>IF(COUNTIF(Analysis!$M$2:$M$3001,Analysis!$M2486)&gt;1,"Duplicate","OK")</f>
        <v>OK</v>
      </c>
      <c r="R2486" s="6" t="str">
        <f t="shared" si="1"/>
        <v>2600-3600</v>
      </c>
      <c r="S2486" s="6">
        <f t="shared" si="2"/>
        <v>4</v>
      </c>
      <c r="T2486" s="6" t="str">
        <f t="shared" si="3"/>
        <v>New</v>
      </c>
    </row>
    <row r="2487" ht="14.25" customHeight="1">
      <c r="A2487" s="5">
        <v>1289111.0</v>
      </c>
      <c r="B2487" s="6" t="s">
        <v>9019</v>
      </c>
      <c r="C2487" s="6" t="s">
        <v>29</v>
      </c>
      <c r="D2487" s="6">
        <v>59825.0</v>
      </c>
      <c r="E2487" s="6" t="s">
        <v>77</v>
      </c>
      <c r="F2487" s="6" t="s">
        <v>54</v>
      </c>
      <c r="G2487" s="6" t="s">
        <v>21</v>
      </c>
      <c r="H2487" s="7">
        <v>1096.0</v>
      </c>
      <c r="I2487" s="7">
        <v>4175.0</v>
      </c>
      <c r="J2487" s="6">
        <v>2006.0</v>
      </c>
      <c r="K2487" s="6">
        <v>109.0</v>
      </c>
      <c r="L2487" s="6" t="s">
        <v>62</v>
      </c>
      <c r="M2487" s="6" t="s">
        <v>9020</v>
      </c>
      <c r="N2487" s="6" t="s">
        <v>24</v>
      </c>
      <c r="O2487" s="6" t="s">
        <v>35</v>
      </c>
      <c r="P2487" s="6">
        <f>COUNTIF(Analysis!$M$1:$M$3001,Analysis!$M2246)</f>
        <v>1</v>
      </c>
      <c r="Q2487" s="6" t="str">
        <f>IF(COUNTIF(Analysis!$M$2:$M$3001,Analysis!$M2246)&gt;1,"Duplicate","OK")</f>
        <v>OK</v>
      </c>
      <c r="R2487" s="6" t="str">
        <f t="shared" si="1"/>
        <v>600-1600</v>
      </c>
      <c r="S2487" s="6">
        <f t="shared" si="2"/>
        <v>20</v>
      </c>
      <c r="T2487" s="6" t="str">
        <f t="shared" si="3"/>
        <v>Mid</v>
      </c>
    </row>
    <row r="2488" ht="14.25" customHeight="1">
      <c r="A2488" s="5">
        <v>1093528.0</v>
      </c>
      <c r="B2488" s="6" t="s">
        <v>9987</v>
      </c>
      <c r="C2488" s="6" t="s">
        <v>18</v>
      </c>
      <c r="D2488" s="6">
        <v>14756.0</v>
      </c>
      <c r="E2488" s="6" t="s">
        <v>77</v>
      </c>
      <c r="F2488" s="6" t="s">
        <v>46</v>
      </c>
      <c r="G2488" s="6" t="s">
        <v>21</v>
      </c>
      <c r="H2488" s="7">
        <v>1540.0</v>
      </c>
      <c r="I2488" s="7">
        <v>4802.0</v>
      </c>
      <c r="J2488" s="6">
        <v>1960.0</v>
      </c>
      <c r="K2488" s="6">
        <v>38.0</v>
      </c>
      <c r="L2488" s="6" t="s">
        <v>62</v>
      </c>
      <c r="M2488" s="6" t="s">
        <v>9988</v>
      </c>
      <c r="N2488" s="6" t="s">
        <v>48</v>
      </c>
      <c r="O2488" s="6" t="s">
        <v>25</v>
      </c>
      <c r="P2488" s="6">
        <f>COUNTIF(Analysis!$M$1:$M$3001,Analysis!$M2488)</f>
        <v>1</v>
      </c>
      <c r="Q2488" s="6" t="str">
        <f>IF(COUNTIF(Analysis!$M$2:$M$3001,Analysis!$M2488)&gt;1,"Duplicate","OK")</f>
        <v>OK</v>
      </c>
      <c r="R2488" s="6" t="str">
        <f t="shared" si="1"/>
        <v>600-1600</v>
      </c>
      <c r="S2488" s="6">
        <f t="shared" si="2"/>
        <v>66</v>
      </c>
      <c r="T2488" s="6" t="str">
        <f t="shared" si="3"/>
        <v>Very Old</v>
      </c>
    </row>
    <row r="2489" ht="14.25" customHeight="1">
      <c r="A2489" s="5">
        <v>742610.0</v>
      </c>
      <c r="B2489" s="6" t="s">
        <v>9991</v>
      </c>
      <c r="C2489" s="6" t="s">
        <v>53</v>
      </c>
      <c r="D2489" s="6">
        <v>93006.0</v>
      </c>
      <c r="E2489" s="6" t="s">
        <v>40</v>
      </c>
      <c r="F2489" s="6" t="s">
        <v>54</v>
      </c>
      <c r="G2489" s="6" t="s">
        <v>55</v>
      </c>
      <c r="H2489" s="7">
        <v>2774.0</v>
      </c>
      <c r="I2489" s="7">
        <v>6268.0</v>
      </c>
      <c r="J2489" s="6">
        <v>1978.0</v>
      </c>
      <c r="K2489" s="6">
        <v>78.0</v>
      </c>
      <c r="L2489" s="6" t="s">
        <v>22</v>
      </c>
      <c r="M2489" s="6" t="s">
        <v>9992</v>
      </c>
      <c r="N2489" s="6" t="s">
        <v>43</v>
      </c>
      <c r="O2489" s="6" t="s">
        <v>35</v>
      </c>
      <c r="P2489" s="6">
        <f>COUNTIF(Analysis!$M$1:$M$3001,Analysis!$M2489)</f>
        <v>1</v>
      </c>
      <c r="Q2489" s="6" t="str">
        <f>IF(COUNTIF(Analysis!$M$2:$M$3001,Analysis!$M2489)&gt;1,"Duplicate","OK")</f>
        <v>OK</v>
      </c>
      <c r="R2489" s="6" t="str">
        <f t="shared" si="1"/>
        <v>2600-3600</v>
      </c>
      <c r="S2489" s="6">
        <f t="shared" si="2"/>
        <v>48</v>
      </c>
      <c r="T2489" s="6" t="str">
        <f t="shared" si="3"/>
        <v>Old</v>
      </c>
    </row>
    <row r="2490" ht="14.25" customHeight="1">
      <c r="A2490" s="5">
        <v>765764.0</v>
      </c>
      <c r="B2490" s="6" t="s">
        <v>9995</v>
      </c>
      <c r="C2490" s="6" t="s">
        <v>39</v>
      </c>
      <c r="D2490" s="6">
        <v>54203.0</v>
      </c>
      <c r="E2490" s="6" t="s">
        <v>77</v>
      </c>
      <c r="F2490" s="6" t="s">
        <v>94</v>
      </c>
      <c r="G2490" s="6" t="s">
        <v>55</v>
      </c>
      <c r="H2490" s="7">
        <v>2851.0</v>
      </c>
      <c r="I2490" s="7">
        <v>9947.0</v>
      </c>
      <c r="J2490" s="6">
        <v>1988.0</v>
      </c>
      <c r="K2490" s="6">
        <v>109.0</v>
      </c>
      <c r="L2490" s="6" t="s">
        <v>141</v>
      </c>
      <c r="M2490" s="6" t="s">
        <v>9996</v>
      </c>
      <c r="N2490" s="6" t="s">
        <v>64</v>
      </c>
      <c r="O2490" s="6" t="s">
        <v>35</v>
      </c>
      <c r="P2490" s="6">
        <f>COUNTIF(Analysis!$M$1:$M$3001,Analysis!$M2490)</f>
        <v>1</v>
      </c>
      <c r="Q2490" s="6" t="str">
        <f>IF(COUNTIF(Analysis!$M$2:$M$3001,Analysis!$M2490)&gt;1,"Duplicate","OK")</f>
        <v>OK</v>
      </c>
      <c r="R2490" s="6" t="str">
        <f t="shared" si="1"/>
        <v>2600-3600</v>
      </c>
      <c r="S2490" s="6">
        <f t="shared" si="2"/>
        <v>38</v>
      </c>
      <c r="T2490" s="6" t="str">
        <f t="shared" si="3"/>
        <v>Old</v>
      </c>
    </row>
    <row r="2491" ht="14.25" customHeight="1">
      <c r="A2491" s="5">
        <v>631826.0</v>
      </c>
      <c r="B2491" s="6" t="s">
        <v>9999</v>
      </c>
      <c r="C2491" s="6" t="s">
        <v>18</v>
      </c>
      <c r="D2491" s="6">
        <v>15937.0</v>
      </c>
      <c r="E2491" s="6" t="s">
        <v>77</v>
      </c>
      <c r="F2491" s="6" t="s">
        <v>61</v>
      </c>
      <c r="G2491" s="6" t="s">
        <v>55</v>
      </c>
      <c r="H2491" s="7">
        <v>1168.0</v>
      </c>
      <c r="I2491" s="7">
        <v>2426.0</v>
      </c>
      <c r="J2491" s="6">
        <v>1952.0</v>
      </c>
      <c r="K2491" s="6">
        <v>36.0</v>
      </c>
      <c r="L2491" s="6" t="s">
        <v>95</v>
      </c>
      <c r="M2491" s="6" t="s">
        <v>10000</v>
      </c>
      <c r="N2491" s="6" t="s">
        <v>24</v>
      </c>
      <c r="O2491" s="6" t="s">
        <v>49</v>
      </c>
      <c r="P2491" s="6">
        <f>COUNTIF(Analysis!$M$1:$M$3001,Analysis!$M2491)</f>
        <v>1</v>
      </c>
      <c r="Q2491" s="6" t="str">
        <f>IF(COUNTIF(Analysis!$M$2:$M$3001,Analysis!$M2491)&gt;1,"Duplicate","OK")</f>
        <v>OK</v>
      </c>
      <c r="R2491" s="6" t="str">
        <f t="shared" si="1"/>
        <v>600-1600</v>
      </c>
      <c r="S2491" s="6">
        <f t="shared" si="2"/>
        <v>74</v>
      </c>
      <c r="T2491" s="6" t="str">
        <f t="shared" si="3"/>
        <v>Very Old</v>
      </c>
    </row>
    <row r="2492" ht="14.25" customHeight="1">
      <c r="A2492" s="5">
        <v>992311.0</v>
      </c>
      <c r="B2492" s="6" t="s">
        <v>10003</v>
      </c>
      <c r="C2492" s="6" t="s">
        <v>18</v>
      </c>
      <c r="D2492" s="6">
        <v>46465.0</v>
      </c>
      <c r="E2492" s="6" t="s">
        <v>30</v>
      </c>
      <c r="F2492" s="6" t="s">
        <v>41</v>
      </c>
      <c r="G2492" s="6" t="s">
        <v>55</v>
      </c>
      <c r="H2492" s="7">
        <v>2507.0</v>
      </c>
      <c r="I2492" s="7">
        <v>9515.0</v>
      </c>
      <c r="J2492" s="6">
        <v>2008.0</v>
      </c>
      <c r="K2492" s="6">
        <v>27.0</v>
      </c>
      <c r="L2492" s="6" t="s">
        <v>62</v>
      </c>
      <c r="M2492" s="6" t="s">
        <v>10004</v>
      </c>
      <c r="N2492" s="6" t="s">
        <v>34</v>
      </c>
      <c r="O2492" s="6" t="s">
        <v>25</v>
      </c>
      <c r="P2492" s="6">
        <f>COUNTIF(Analysis!$M$1:$M$3001,Analysis!$M2492)</f>
        <v>1</v>
      </c>
      <c r="Q2492" s="6" t="str">
        <f>IF(COUNTIF(Analysis!$M$2:$M$3001,Analysis!$M2492)&gt;1,"Duplicate","OK")</f>
        <v>OK</v>
      </c>
      <c r="R2492" s="6" t="str">
        <f t="shared" si="1"/>
        <v>1600-2600</v>
      </c>
      <c r="S2492" s="6">
        <f t="shared" si="2"/>
        <v>18</v>
      </c>
      <c r="T2492" s="6" t="str">
        <f t="shared" si="3"/>
        <v>Mid</v>
      </c>
    </row>
    <row r="2493" ht="14.25" customHeight="1">
      <c r="A2493" s="5">
        <v>1292371.0</v>
      </c>
      <c r="B2493" s="6" t="s">
        <v>8225</v>
      </c>
      <c r="C2493" s="6" t="s">
        <v>29</v>
      </c>
      <c r="D2493" s="6">
        <v>35646.0</v>
      </c>
      <c r="E2493" s="6" t="s">
        <v>40</v>
      </c>
      <c r="F2493" s="6" t="s">
        <v>46</v>
      </c>
      <c r="G2493" s="6" t="s">
        <v>55</v>
      </c>
      <c r="H2493" s="7">
        <v>3450.0</v>
      </c>
      <c r="I2493" s="7">
        <v>2492.0</v>
      </c>
      <c r="J2493" s="6">
        <v>1968.0</v>
      </c>
      <c r="K2493" s="6">
        <v>110.0</v>
      </c>
      <c r="L2493" s="6" t="s">
        <v>32</v>
      </c>
      <c r="M2493" s="6" t="s">
        <v>8226</v>
      </c>
      <c r="N2493" s="6" t="s">
        <v>24</v>
      </c>
      <c r="O2493" s="6" t="s">
        <v>25</v>
      </c>
      <c r="P2493" s="6">
        <f>COUNTIF(Analysis!$M$1:$M$3001,Analysis!$M2047)</f>
        <v>1</v>
      </c>
      <c r="Q2493" s="6" t="str">
        <f>IF(COUNTIF(Analysis!$M$2:$M$3001,Analysis!$M2047)&gt;1,"Duplicate","OK")</f>
        <v>OK</v>
      </c>
      <c r="R2493" s="6" t="str">
        <f t="shared" si="1"/>
        <v>2600-3600</v>
      </c>
      <c r="S2493" s="6">
        <f t="shared" si="2"/>
        <v>58</v>
      </c>
      <c r="T2493" s="6" t="str">
        <f t="shared" si="3"/>
        <v>Old</v>
      </c>
    </row>
    <row r="2494" ht="14.25" customHeight="1">
      <c r="A2494" s="5">
        <v>1208739.0</v>
      </c>
      <c r="B2494" s="6" t="s">
        <v>10011</v>
      </c>
      <c r="C2494" s="6" t="s">
        <v>39</v>
      </c>
      <c r="D2494" s="6">
        <v>33180.0</v>
      </c>
      <c r="E2494" s="6" t="s">
        <v>19</v>
      </c>
      <c r="F2494" s="6" t="s">
        <v>94</v>
      </c>
      <c r="G2494" s="6" t="s">
        <v>100</v>
      </c>
      <c r="H2494" s="7">
        <v>1993.0</v>
      </c>
      <c r="I2494" s="7">
        <v>4801.0</v>
      </c>
      <c r="J2494" s="6">
        <v>2007.0</v>
      </c>
      <c r="K2494" s="6">
        <v>105.0</v>
      </c>
      <c r="L2494" s="6" t="s">
        <v>32</v>
      </c>
      <c r="M2494" s="6" t="s">
        <v>10012</v>
      </c>
      <c r="N2494" s="6" t="s">
        <v>48</v>
      </c>
      <c r="O2494" s="6" t="s">
        <v>49</v>
      </c>
      <c r="P2494" s="6">
        <f>COUNTIF(Analysis!$M$1:$M$3001,Analysis!$M2494)</f>
        <v>1</v>
      </c>
      <c r="Q2494" s="6" t="str">
        <f>IF(COUNTIF(Analysis!$M$2:$M$3001,Analysis!$M2494)&gt;1,"Duplicate","OK")</f>
        <v>OK</v>
      </c>
      <c r="R2494" s="6" t="str">
        <f t="shared" si="1"/>
        <v>1600-2600</v>
      </c>
      <c r="S2494" s="6">
        <f t="shared" si="2"/>
        <v>19</v>
      </c>
      <c r="T2494" s="6" t="str">
        <f t="shared" si="3"/>
        <v>Mid</v>
      </c>
    </row>
    <row r="2495" ht="14.25" customHeight="1">
      <c r="A2495" s="5">
        <v>503321.0</v>
      </c>
      <c r="B2495" s="6" t="s">
        <v>10015</v>
      </c>
      <c r="C2495" s="6" t="s">
        <v>76</v>
      </c>
      <c r="D2495" s="6">
        <v>31860.0</v>
      </c>
      <c r="E2495" s="6" t="s">
        <v>19</v>
      </c>
      <c r="F2495" s="6" t="s">
        <v>46</v>
      </c>
      <c r="G2495" s="6" t="s">
        <v>100</v>
      </c>
      <c r="H2495" s="7">
        <v>3364.0</v>
      </c>
      <c r="I2495" s="7">
        <v>3901.0</v>
      </c>
      <c r="J2495" s="6">
        <v>2017.0</v>
      </c>
      <c r="K2495" s="6">
        <v>26.0</v>
      </c>
      <c r="L2495" s="6" t="s">
        <v>32</v>
      </c>
      <c r="M2495" s="6" t="s">
        <v>10016</v>
      </c>
      <c r="N2495" s="6" t="s">
        <v>64</v>
      </c>
      <c r="O2495" s="6" t="s">
        <v>25</v>
      </c>
      <c r="P2495" s="6">
        <f>COUNTIF(Analysis!$M$1:$M$3001,Analysis!$M2495)</f>
        <v>1</v>
      </c>
      <c r="Q2495" s="6" t="str">
        <f>IF(COUNTIF(Analysis!$M$2:$M$3001,Analysis!$M2495)&gt;1,"Duplicate","OK")</f>
        <v>OK</v>
      </c>
      <c r="R2495" s="6" t="str">
        <f t="shared" si="1"/>
        <v>2600-3600</v>
      </c>
      <c r="S2495" s="6">
        <f t="shared" si="2"/>
        <v>9</v>
      </c>
      <c r="T2495" s="6" t="str">
        <f t="shared" si="3"/>
        <v>New</v>
      </c>
    </row>
    <row r="2496" ht="14.25" customHeight="1">
      <c r="A2496" s="5">
        <v>1460786.0</v>
      </c>
      <c r="B2496" s="6" t="s">
        <v>10019</v>
      </c>
      <c r="C2496" s="6" t="s">
        <v>76</v>
      </c>
      <c r="D2496" s="6">
        <v>14091.0</v>
      </c>
      <c r="E2496" s="6" t="s">
        <v>40</v>
      </c>
      <c r="F2496" s="6" t="s">
        <v>46</v>
      </c>
      <c r="G2496" s="6" t="s">
        <v>21</v>
      </c>
      <c r="H2496" s="7">
        <v>728.0</v>
      </c>
      <c r="I2496" s="7">
        <v>9200.0</v>
      </c>
      <c r="J2496" s="6">
        <v>1953.0</v>
      </c>
      <c r="K2496" s="6">
        <v>81.0</v>
      </c>
      <c r="L2496" s="6" t="s">
        <v>32</v>
      </c>
      <c r="M2496" s="6" t="s">
        <v>10020</v>
      </c>
      <c r="N2496" s="6" t="s">
        <v>24</v>
      </c>
      <c r="O2496" s="6" t="s">
        <v>35</v>
      </c>
      <c r="P2496" s="6">
        <f>COUNTIF(Analysis!$M$1:$M$3001,Analysis!$M2496)</f>
        <v>1</v>
      </c>
      <c r="Q2496" s="6" t="str">
        <f>IF(COUNTIF(Analysis!$M$2:$M$3001,Analysis!$M2496)&gt;1,"Duplicate","OK")</f>
        <v>OK</v>
      </c>
      <c r="R2496" s="6" t="str">
        <f t="shared" si="1"/>
        <v>600-1600</v>
      </c>
      <c r="S2496" s="6">
        <f t="shared" si="2"/>
        <v>73</v>
      </c>
      <c r="T2496" s="6" t="str">
        <f t="shared" si="3"/>
        <v>Very Old</v>
      </c>
    </row>
    <row r="2497" ht="14.25" customHeight="1">
      <c r="A2497" s="5">
        <v>1292907.0</v>
      </c>
      <c r="B2497" s="6" t="s">
        <v>5610</v>
      </c>
      <c r="C2497" s="6" t="s">
        <v>29</v>
      </c>
      <c r="D2497" s="6">
        <v>42023.0</v>
      </c>
      <c r="E2497" s="6" t="s">
        <v>19</v>
      </c>
      <c r="F2497" s="6" t="s">
        <v>41</v>
      </c>
      <c r="G2497" s="6" t="s">
        <v>55</v>
      </c>
      <c r="H2497" s="7">
        <v>2201.0</v>
      </c>
      <c r="I2497" s="7">
        <v>1491.0</v>
      </c>
      <c r="J2497" s="6">
        <v>1954.0</v>
      </c>
      <c r="K2497" s="6">
        <v>25.0</v>
      </c>
      <c r="L2497" s="6" t="s">
        <v>141</v>
      </c>
      <c r="M2497" s="6" t="s">
        <v>5611</v>
      </c>
      <c r="N2497" s="6" t="s">
        <v>24</v>
      </c>
      <c r="O2497" s="6" t="s">
        <v>35</v>
      </c>
      <c r="P2497" s="6">
        <f>COUNTIF(Analysis!$M$1:$M$3001,Analysis!$M1393)</f>
        <v>1</v>
      </c>
      <c r="Q2497" s="6" t="str">
        <f>IF(COUNTIF(Analysis!$M$2:$M$3001,Analysis!$M1393)&gt;1,"Duplicate","OK")</f>
        <v>OK</v>
      </c>
      <c r="R2497" s="6" t="str">
        <f t="shared" si="1"/>
        <v>1600-2600</v>
      </c>
      <c r="S2497" s="6">
        <f t="shared" si="2"/>
        <v>72</v>
      </c>
      <c r="T2497" s="6" t="str">
        <f t="shared" si="3"/>
        <v>Very Old</v>
      </c>
    </row>
    <row r="2498" ht="14.25" customHeight="1">
      <c r="A2498" s="5">
        <v>1293478.0</v>
      </c>
      <c r="B2498" s="6" t="s">
        <v>7069</v>
      </c>
      <c r="C2498" s="6" t="s">
        <v>29</v>
      </c>
      <c r="D2498" s="6">
        <v>36565.0</v>
      </c>
      <c r="E2498" s="6" t="s">
        <v>60</v>
      </c>
      <c r="F2498" s="6" t="s">
        <v>46</v>
      </c>
      <c r="G2498" s="6" t="s">
        <v>31</v>
      </c>
      <c r="H2498" s="7">
        <v>2299.0</v>
      </c>
      <c r="I2498" s="7">
        <v>6752.0</v>
      </c>
      <c r="J2498" s="6">
        <v>2009.0</v>
      </c>
      <c r="K2498" s="6">
        <v>66.0</v>
      </c>
      <c r="L2498" s="6" t="s">
        <v>141</v>
      </c>
      <c r="M2498" s="6" t="s">
        <v>7070</v>
      </c>
      <c r="N2498" s="6" t="s">
        <v>34</v>
      </c>
      <c r="O2498" s="6" t="s">
        <v>49</v>
      </c>
      <c r="P2498" s="6">
        <f>COUNTIF(Analysis!$M$1:$M$3001,Analysis!$M1758)</f>
        <v>1</v>
      </c>
      <c r="Q2498" s="6" t="str">
        <f>IF(COUNTIF(Analysis!$M$2:$M$3001,Analysis!$M1758)&gt;1,"Duplicate","OK")</f>
        <v>OK</v>
      </c>
      <c r="R2498" s="6" t="str">
        <f t="shared" si="1"/>
        <v>1600-2600</v>
      </c>
      <c r="S2498" s="6">
        <f t="shared" si="2"/>
        <v>17</v>
      </c>
      <c r="T2498" s="6" t="str">
        <f t="shared" si="3"/>
        <v>Mid</v>
      </c>
    </row>
    <row r="2499" ht="14.25" customHeight="1">
      <c r="A2499" s="5">
        <v>1297513.0</v>
      </c>
      <c r="B2499" s="6" t="s">
        <v>11635</v>
      </c>
      <c r="C2499" s="6" t="s">
        <v>29</v>
      </c>
      <c r="D2499" s="6">
        <v>17469.0</v>
      </c>
      <c r="E2499" s="6" t="s">
        <v>19</v>
      </c>
      <c r="F2499" s="6" t="s">
        <v>41</v>
      </c>
      <c r="G2499" s="6" t="s">
        <v>31</v>
      </c>
      <c r="H2499" s="7">
        <v>1943.0</v>
      </c>
      <c r="I2499" s="7">
        <v>5780.0</v>
      </c>
      <c r="J2499" s="6">
        <v>2015.0</v>
      </c>
      <c r="K2499" s="6">
        <v>31.0</v>
      </c>
      <c r="L2499" s="6" t="s">
        <v>141</v>
      </c>
      <c r="M2499" s="6" t="s">
        <v>11636</v>
      </c>
      <c r="N2499" s="6" t="s">
        <v>43</v>
      </c>
      <c r="O2499" s="6" t="s">
        <v>49</v>
      </c>
      <c r="P2499" s="6">
        <f>COUNTIF(Analysis!$M$1:$M$3001,Analysis!$M2900)</f>
        <v>1</v>
      </c>
      <c r="Q2499" s="6" t="str">
        <f>IF(COUNTIF(Analysis!$M$2:$M$3001,Analysis!$M2900)&gt;1,"Duplicate","OK")</f>
        <v>OK</v>
      </c>
      <c r="R2499" s="6" t="str">
        <f t="shared" si="1"/>
        <v>1600-2600</v>
      </c>
      <c r="S2499" s="6">
        <f t="shared" si="2"/>
        <v>11</v>
      </c>
      <c r="T2499" s="6" t="str">
        <f t="shared" si="3"/>
        <v>Mid</v>
      </c>
    </row>
    <row r="2500" ht="14.25" customHeight="1">
      <c r="A2500" s="5">
        <v>1304257.0</v>
      </c>
      <c r="B2500" s="6" t="s">
        <v>7665</v>
      </c>
      <c r="C2500" s="6" t="s">
        <v>29</v>
      </c>
      <c r="D2500" s="6">
        <v>52305.0</v>
      </c>
      <c r="E2500" s="6" t="s">
        <v>19</v>
      </c>
      <c r="F2500" s="6" t="s">
        <v>94</v>
      </c>
      <c r="G2500" s="6" t="s">
        <v>21</v>
      </c>
      <c r="H2500" s="7">
        <v>1608.0</v>
      </c>
      <c r="I2500" s="7">
        <v>2413.0</v>
      </c>
      <c r="J2500" s="6">
        <v>1975.0</v>
      </c>
      <c r="K2500" s="6">
        <v>88.0</v>
      </c>
      <c r="L2500" s="6" t="s">
        <v>32</v>
      </c>
      <c r="M2500" s="6" t="s">
        <v>7666</v>
      </c>
      <c r="N2500" s="6" t="s">
        <v>64</v>
      </c>
      <c r="O2500" s="6" t="s">
        <v>25</v>
      </c>
      <c r="P2500" s="6">
        <f>COUNTIF(Analysis!$M$1:$M$3001,Analysis!$M1907)</f>
        <v>1</v>
      </c>
      <c r="Q2500" s="6" t="str">
        <f>IF(COUNTIF(Analysis!$M$2:$M$3001,Analysis!$M1907)&gt;1,"Duplicate","OK")</f>
        <v>OK</v>
      </c>
      <c r="R2500" s="6" t="str">
        <f t="shared" si="1"/>
        <v>1600-2600</v>
      </c>
      <c r="S2500" s="6">
        <f t="shared" si="2"/>
        <v>51</v>
      </c>
      <c r="T2500" s="6" t="str">
        <f t="shared" si="3"/>
        <v>Old</v>
      </c>
    </row>
    <row r="2501" ht="14.25" customHeight="1">
      <c r="A2501" s="5">
        <v>309482.0</v>
      </c>
      <c r="B2501" s="6" t="s">
        <v>10039</v>
      </c>
      <c r="C2501" s="6" t="s">
        <v>39</v>
      </c>
      <c r="D2501" s="6">
        <v>14794.0</v>
      </c>
      <c r="E2501" s="6" t="s">
        <v>40</v>
      </c>
      <c r="F2501" s="6" t="s">
        <v>94</v>
      </c>
      <c r="G2501" s="6" t="s">
        <v>31</v>
      </c>
      <c r="H2501" s="7">
        <v>2380.0</v>
      </c>
      <c r="I2501" s="7">
        <v>9666.0</v>
      </c>
      <c r="J2501" s="6">
        <v>1987.0</v>
      </c>
      <c r="K2501" s="6">
        <v>67.0</v>
      </c>
      <c r="L2501" s="6" t="s">
        <v>95</v>
      </c>
      <c r="M2501" s="6" t="s">
        <v>10040</v>
      </c>
      <c r="N2501" s="6" t="s">
        <v>43</v>
      </c>
      <c r="O2501" s="6" t="s">
        <v>25</v>
      </c>
      <c r="P2501" s="6">
        <f>COUNTIF(Analysis!$M$1:$M$3001,Analysis!$M2501)</f>
        <v>1</v>
      </c>
      <c r="Q2501" s="6" t="str">
        <f>IF(COUNTIF(Analysis!$M$2:$M$3001,Analysis!$M2501)&gt;1,"Duplicate","OK")</f>
        <v>OK</v>
      </c>
      <c r="R2501" s="6" t="str">
        <f t="shared" si="1"/>
        <v>1600-2600</v>
      </c>
      <c r="S2501" s="6">
        <f t="shared" si="2"/>
        <v>39</v>
      </c>
      <c r="T2501" s="6" t="str">
        <f t="shared" si="3"/>
        <v>Old</v>
      </c>
    </row>
    <row r="2502" ht="14.25" customHeight="1">
      <c r="A2502" s="5">
        <v>1189135.0</v>
      </c>
      <c r="B2502" s="6" t="s">
        <v>10043</v>
      </c>
      <c r="C2502" s="6" t="s">
        <v>76</v>
      </c>
      <c r="D2502" s="6">
        <v>72478.0</v>
      </c>
      <c r="E2502" s="6" t="s">
        <v>60</v>
      </c>
      <c r="F2502" s="6" t="s">
        <v>41</v>
      </c>
      <c r="G2502" s="6" t="s">
        <v>55</v>
      </c>
      <c r="H2502" s="7">
        <v>1036.0</v>
      </c>
      <c r="I2502" s="7">
        <v>1340.0</v>
      </c>
      <c r="J2502" s="6">
        <v>2017.0</v>
      </c>
      <c r="K2502" s="6">
        <v>9.0</v>
      </c>
      <c r="L2502" s="6" t="s">
        <v>62</v>
      </c>
      <c r="M2502" s="6" t="s">
        <v>10044</v>
      </c>
      <c r="N2502" s="6" t="s">
        <v>34</v>
      </c>
      <c r="O2502" s="6" t="s">
        <v>49</v>
      </c>
      <c r="P2502" s="6">
        <f>COUNTIF(Analysis!$M$1:$M$3001,Analysis!$M2502)</f>
        <v>1</v>
      </c>
      <c r="Q2502" s="6" t="str">
        <f>IF(COUNTIF(Analysis!$M$2:$M$3001,Analysis!$M2502)&gt;1,"Duplicate","OK")</f>
        <v>OK</v>
      </c>
      <c r="R2502" s="6" t="str">
        <f t="shared" si="1"/>
        <v>600-1600</v>
      </c>
      <c r="S2502" s="6">
        <f t="shared" si="2"/>
        <v>9</v>
      </c>
      <c r="T2502" s="6" t="str">
        <f t="shared" si="3"/>
        <v>New</v>
      </c>
    </row>
    <row r="2503" ht="14.25" customHeight="1">
      <c r="A2503" s="5">
        <v>118498.0</v>
      </c>
      <c r="B2503" s="6" t="s">
        <v>10047</v>
      </c>
      <c r="C2503" s="6" t="s">
        <v>53</v>
      </c>
      <c r="D2503" s="6">
        <v>98903.0</v>
      </c>
      <c r="E2503" s="6" t="s">
        <v>60</v>
      </c>
      <c r="F2503" s="6" t="s">
        <v>54</v>
      </c>
      <c r="G2503" s="6" t="s">
        <v>100</v>
      </c>
      <c r="H2503" s="7">
        <v>771.0</v>
      </c>
      <c r="I2503" s="7">
        <v>6596.0</v>
      </c>
      <c r="J2503" s="6">
        <v>1990.0</v>
      </c>
      <c r="K2503" s="6">
        <v>67.0</v>
      </c>
      <c r="L2503" s="6" t="s">
        <v>95</v>
      </c>
      <c r="M2503" s="6" t="s">
        <v>10048</v>
      </c>
      <c r="N2503" s="6" t="s">
        <v>24</v>
      </c>
      <c r="O2503" s="6" t="s">
        <v>49</v>
      </c>
      <c r="P2503" s="6">
        <f>COUNTIF(Analysis!$M$1:$M$3001,Analysis!$M2503)</f>
        <v>1</v>
      </c>
      <c r="Q2503" s="6" t="str">
        <f>IF(COUNTIF(Analysis!$M$2:$M$3001,Analysis!$M2503)&gt;1,"Duplicate","OK")</f>
        <v>OK</v>
      </c>
      <c r="R2503" s="6" t="str">
        <f t="shared" si="1"/>
        <v>600-1600</v>
      </c>
      <c r="S2503" s="6">
        <f t="shared" si="2"/>
        <v>36</v>
      </c>
      <c r="T2503" s="6" t="str">
        <f t="shared" si="3"/>
        <v>Old</v>
      </c>
    </row>
    <row r="2504" ht="14.25" customHeight="1">
      <c r="A2504" s="5">
        <v>971671.0</v>
      </c>
      <c r="B2504" s="6" t="s">
        <v>10051</v>
      </c>
      <c r="C2504" s="6" t="s">
        <v>39</v>
      </c>
      <c r="D2504" s="6">
        <v>97192.0</v>
      </c>
      <c r="E2504" s="6" t="s">
        <v>60</v>
      </c>
      <c r="F2504" s="6" t="s">
        <v>46</v>
      </c>
      <c r="G2504" s="6" t="s">
        <v>55</v>
      </c>
      <c r="H2504" s="7">
        <v>2734.0</v>
      </c>
      <c r="I2504" s="7">
        <v>1591.0</v>
      </c>
      <c r="J2504" s="6">
        <v>1990.0</v>
      </c>
      <c r="K2504" s="6">
        <v>108.0</v>
      </c>
      <c r="L2504" s="6" t="s">
        <v>32</v>
      </c>
      <c r="M2504" s="6" t="s">
        <v>10052</v>
      </c>
      <c r="N2504" s="6" t="s">
        <v>64</v>
      </c>
      <c r="O2504" s="6" t="s">
        <v>49</v>
      </c>
      <c r="P2504" s="6">
        <f>COUNTIF(Analysis!$M$1:$M$3001,Analysis!$M2504)</f>
        <v>1</v>
      </c>
      <c r="Q2504" s="6" t="str">
        <f>IF(COUNTIF(Analysis!$M$2:$M$3001,Analysis!$M2504)&gt;1,"Duplicate","OK")</f>
        <v>OK</v>
      </c>
      <c r="R2504" s="6" t="str">
        <f t="shared" si="1"/>
        <v>2600-3600</v>
      </c>
      <c r="S2504" s="6">
        <f t="shared" si="2"/>
        <v>36</v>
      </c>
      <c r="T2504" s="6" t="str">
        <f t="shared" si="3"/>
        <v>Old</v>
      </c>
    </row>
    <row r="2505" ht="14.25" customHeight="1">
      <c r="A2505" s="5">
        <v>207700.0</v>
      </c>
      <c r="B2505" s="6" t="s">
        <v>10055</v>
      </c>
      <c r="C2505" s="6" t="s">
        <v>39</v>
      </c>
      <c r="D2505" s="6">
        <v>98581.0</v>
      </c>
      <c r="E2505" s="6" t="s">
        <v>77</v>
      </c>
      <c r="F2505" s="6" t="s">
        <v>54</v>
      </c>
      <c r="G2505" s="6" t="s">
        <v>55</v>
      </c>
      <c r="H2505" s="7">
        <v>2321.0</v>
      </c>
      <c r="I2505" s="7">
        <v>5966.0</v>
      </c>
      <c r="J2505" s="6">
        <v>1957.0</v>
      </c>
      <c r="K2505" s="6">
        <v>27.0</v>
      </c>
      <c r="L2505" s="6" t="s">
        <v>22</v>
      </c>
      <c r="M2505" s="6" t="s">
        <v>10056</v>
      </c>
      <c r="N2505" s="6" t="s">
        <v>24</v>
      </c>
      <c r="O2505" s="6" t="s">
        <v>35</v>
      </c>
      <c r="P2505" s="6">
        <f>COUNTIF(Analysis!$M$1:$M$3001,Analysis!$M2505)</f>
        <v>1</v>
      </c>
      <c r="Q2505" s="6" t="str">
        <f>IF(COUNTIF(Analysis!$M$2:$M$3001,Analysis!$M2505)&gt;1,"Duplicate","OK")</f>
        <v>OK</v>
      </c>
      <c r="R2505" s="6" t="str">
        <f t="shared" si="1"/>
        <v>1600-2600</v>
      </c>
      <c r="S2505" s="6">
        <f t="shared" si="2"/>
        <v>69</v>
      </c>
      <c r="T2505" s="6" t="str">
        <f t="shared" si="3"/>
        <v>Very Old</v>
      </c>
    </row>
    <row r="2506" ht="14.25" customHeight="1">
      <c r="A2506" s="5">
        <v>1106000.0</v>
      </c>
      <c r="B2506" s="6" t="s">
        <v>10059</v>
      </c>
      <c r="C2506" s="6" t="s">
        <v>18</v>
      </c>
      <c r="D2506" s="6">
        <v>72949.0</v>
      </c>
      <c r="E2506" s="6" t="s">
        <v>40</v>
      </c>
      <c r="F2506" s="6" t="s">
        <v>46</v>
      </c>
      <c r="G2506" s="6" t="s">
        <v>100</v>
      </c>
      <c r="H2506" s="7">
        <v>1892.0</v>
      </c>
      <c r="I2506" s="7">
        <v>9135.0</v>
      </c>
      <c r="J2506" s="6">
        <v>1960.0</v>
      </c>
      <c r="K2506" s="6">
        <v>20.0</v>
      </c>
      <c r="L2506" s="6" t="s">
        <v>62</v>
      </c>
      <c r="M2506" s="6" t="s">
        <v>10060</v>
      </c>
      <c r="N2506" s="6" t="s">
        <v>43</v>
      </c>
      <c r="O2506" s="6" t="s">
        <v>25</v>
      </c>
      <c r="P2506" s="6">
        <f>COUNTIF(Analysis!$M$1:$M$3001,Analysis!$M2506)</f>
        <v>1</v>
      </c>
      <c r="Q2506" s="6" t="str">
        <f>IF(COUNTIF(Analysis!$M$2:$M$3001,Analysis!$M2506)&gt;1,"Duplicate","OK")</f>
        <v>OK</v>
      </c>
      <c r="R2506" s="6" t="str">
        <f t="shared" si="1"/>
        <v>1600-2600</v>
      </c>
      <c r="S2506" s="6">
        <f t="shared" si="2"/>
        <v>66</v>
      </c>
      <c r="T2506" s="6" t="str">
        <f t="shared" si="3"/>
        <v>Very Old</v>
      </c>
    </row>
    <row r="2507" ht="14.25" customHeight="1">
      <c r="A2507" s="5">
        <v>133923.0</v>
      </c>
      <c r="B2507" s="6" t="s">
        <v>10063</v>
      </c>
      <c r="C2507" s="6" t="s">
        <v>76</v>
      </c>
      <c r="D2507" s="6">
        <v>90870.0</v>
      </c>
      <c r="E2507" s="6" t="s">
        <v>30</v>
      </c>
      <c r="F2507" s="6" t="s">
        <v>41</v>
      </c>
      <c r="G2507" s="6" t="s">
        <v>100</v>
      </c>
      <c r="H2507" s="7">
        <v>1531.0</v>
      </c>
      <c r="I2507" s="7">
        <v>6926.0</v>
      </c>
      <c r="J2507" s="6">
        <v>1961.0</v>
      </c>
      <c r="K2507" s="6">
        <v>12.0</v>
      </c>
      <c r="L2507" s="6" t="s">
        <v>95</v>
      </c>
      <c r="M2507" s="6" t="s">
        <v>10064</v>
      </c>
      <c r="N2507" s="6" t="s">
        <v>24</v>
      </c>
      <c r="O2507" s="6" t="s">
        <v>25</v>
      </c>
      <c r="P2507" s="6">
        <f>COUNTIF(Analysis!$M$1:$M$3001,Analysis!$M2507)</f>
        <v>1</v>
      </c>
      <c r="Q2507" s="6" t="str">
        <f>IF(COUNTIF(Analysis!$M$2:$M$3001,Analysis!$M2507)&gt;1,"Duplicate","OK")</f>
        <v>OK</v>
      </c>
      <c r="R2507" s="6" t="str">
        <f t="shared" si="1"/>
        <v>600-1600</v>
      </c>
      <c r="S2507" s="6">
        <f t="shared" si="2"/>
        <v>65</v>
      </c>
      <c r="T2507" s="6" t="str">
        <f t="shared" si="3"/>
        <v>Very Old</v>
      </c>
    </row>
    <row r="2508" ht="14.25" customHeight="1">
      <c r="A2508" s="5">
        <v>1362246.0</v>
      </c>
      <c r="B2508" s="6" t="s">
        <v>10067</v>
      </c>
      <c r="C2508" s="6" t="s">
        <v>39</v>
      </c>
      <c r="D2508" s="6">
        <v>64643.0</v>
      </c>
      <c r="E2508" s="6" t="s">
        <v>77</v>
      </c>
      <c r="F2508" s="6" t="s">
        <v>20</v>
      </c>
      <c r="G2508" s="6" t="s">
        <v>55</v>
      </c>
      <c r="H2508" s="7">
        <v>1791.0</v>
      </c>
      <c r="I2508" s="7">
        <v>5764.0</v>
      </c>
      <c r="J2508" s="6">
        <v>1959.0</v>
      </c>
      <c r="K2508" s="6">
        <v>100.0</v>
      </c>
      <c r="L2508" s="6" t="s">
        <v>22</v>
      </c>
      <c r="M2508" s="6" t="s">
        <v>10068</v>
      </c>
      <c r="N2508" s="6" t="s">
        <v>34</v>
      </c>
      <c r="O2508" s="6" t="s">
        <v>25</v>
      </c>
      <c r="P2508" s="6">
        <f>COUNTIF(Analysis!$M$1:$M$3001,Analysis!$M2508)</f>
        <v>1</v>
      </c>
      <c r="Q2508" s="6" t="str">
        <f>IF(COUNTIF(Analysis!$M$2:$M$3001,Analysis!$M2508)&gt;1,"Duplicate","OK")</f>
        <v>OK</v>
      </c>
      <c r="R2508" s="6" t="str">
        <f t="shared" si="1"/>
        <v>1600-2600</v>
      </c>
      <c r="S2508" s="6">
        <f t="shared" si="2"/>
        <v>67</v>
      </c>
      <c r="T2508" s="6" t="str">
        <f t="shared" si="3"/>
        <v>Very Old</v>
      </c>
    </row>
    <row r="2509" ht="14.25" customHeight="1">
      <c r="A2509" s="5">
        <v>895568.0</v>
      </c>
      <c r="B2509" s="6" t="s">
        <v>10071</v>
      </c>
      <c r="C2509" s="6" t="s">
        <v>39</v>
      </c>
      <c r="D2509" s="6">
        <v>35537.0</v>
      </c>
      <c r="E2509" s="6" t="s">
        <v>60</v>
      </c>
      <c r="F2509" s="6" t="s">
        <v>61</v>
      </c>
      <c r="G2509" s="6" t="s">
        <v>31</v>
      </c>
      <c r="H2509" s="7">
        <v>1051.0</v>
      </c>
      <c r="I2509" s="7">
        <v>8100.0</v>
      </c>
      <c r="J2509" s="6">
        <v>1966.0</v>
      </c>
      <c r="K2509" s="6">
        <v>49.0</v>
      </c>
      <c r="L2509" s="6" t="s">
        <v>141</v>
      </c>
      <c r="M2509" s="6" t="s">
        <v>10072</v>
      </c>
      <c r="N2509" s="6" t="s">
        <v>48</v>
      </c>
      <c r="O2509" s="6" t="s">
        <v>49</v>
      </c>
      <c r="P2509" s="6">
        <f>COUNTIF(Analysis!$M$1:$M$3001,Analysis!$M2509)</f>
        <v>1</v>
      </c>
      <c r="Q2509" s="6" t="str">
        <f>IF(COUNTIF(Analysis!$M$2:$M$3001,Analysis!$M2509)&gt;1,"Duplicate","OK")</f>
        <v>OK</v>
      </c>
      <c r="R2509" s="6" t="str">
        <f t="shared" si="1"/>
        <v>600-1600</v>
      </c>
      <c r="S2509" s="6">
        <f t="shared" si="2"/>
        <v>60</v>
      </c>
      <c r="T2509" s="6" t="str">
        <f t="shared" si="3"/>
        <v>Old</v>
      </c>
    </row>
    <row r="2510" ht="14.25" customHeight="1">
      <c r="A2510" s="5">
        <v>387441.0</v>
      </c>
      <c r="B2510" s="6" t="s">
        <v>10075</v>
      </c>
      <c r="C2510" s="6" t="s">
        <v>76</v>
      </c>
      <c r="D2510" s="6">
        <v>52843.0</v>
      </c>
      <c r="E2510" s="6" t="s">
        <v>19</v>
      </c>
      <c r="F2510" s="6" t="s">
        <v>94</v>
      </c>
      <c r="G2510" s="6" t="s">
        <v>21</v>
      </c>
      <c r="H2510" s="7">
        <v>3458.0</v>
      </c>
      <c r="I2510" s="7">
        <v>3731.0</v>
      </c>
      <c r="J2510" s="6">
        <v>2004.0</v>
      </c>
      <c r="K2510" s="6">
        <v>14.0</v>
      </c>
      <c r="L2510" s="6" t="s">
        <v>22</v>
      </c>
      <c r="M2510" s="6" t="s">
        <v>10076</v>
      </c>
      <c r="N2510" s="6" t="s">
        <v>24</v>
      </c>
      <c r="O2510" s="6" t="s">
        <v>25</v>
      </c>
      <c r="P2510" s="6">
        <f>COUNTIF(Analysis!$M$1:$M$3001,Analysis!$M2510)</f>
        <v>1</v>
      </c>
      <c r="Q2510" s="6" t="str">
        <f>IF(COUNTIF(Analysis!$M$2:$M$3001,Analysis!$M2510)&gt;1,"Duplicate","OK")</f>
        <v>OK</v>
      </c>
      <c r="R2510" s="6" t="str">
        <f t="shared" si="1"/>
        <v>2600-3600</v>
      </c>
      <c r="S2510" s="6">
        <f t="shared" si="2"/>
        <v>22</v>
      </c>
      <c r="T2510" s="6" t="str">
        <f t="shared" si="3"/>
        <v>Mid</v>
      </c>
    </row>
    <row r="2511" ht="14.25" customHeight="1">
      <c r="A2511" s="5">
        <v>632396.0</v>
      </c>
      <c r="B2511" s="6" t="s">
        <v>10079</v>
      </c>
      <c r="C2511" s="6" t="s">
        <v>53</v>
      </c>
      <c r="D2511" s="6">
        <v>41767.0</v>
      </c>
      <c r="E2511" s="6" t="s">
        <v>77</v>
      </c>
      <c r="F2511" s="6" t="s">
        <v>61</v>
      </c>
      <c r="G2511" s="6" t="s">
        <v>31</v>
      </c>
      <c r="H2511" s="7">
        <v>2489.0</v>
      </c>
      <c r="I2511" s="7">
        <v>2406.0</v>
      </c>
      <c r="J2511" s="6">
        <v>1960.0</v>
      </c>
      <c r="K2511" s="6">
        <v>19.0</v>
      </c>
      <c r="L2511" s="6" t="s">
        <v>32</v>
      </c>
      <c r="M2511" s="6" t="s">
        <v>10080</v>
      </c>
      <c r="N2511" s="6" t="s">
        <v>34</v>
      </c>
      <c r="O2511" s="6" t="s">
        <v>35</v>
      </c>
      <c r="P2511" s="6">
        <f>COUNTIF(Analysis!$M$1:$M$3001,Analysis!$M2511)</f>
        <v>1</v>
      </c>
      <c r="Q2511" s="6" t="str">
        <f>IF(COUNTIF(Analysis!$M$2:$M$3001,Analysis!$M2511)&gt;1,"Duplicate","OK")</f>
        <v>OK</v>
      </c>
      <c r="R2511" s="6" t="str">
        <f t="shared" si="1"/>
        <v>1600-2600</v>
      </c>
      <c r="S2511" s="6">
        <f t="shared" si="2"/>
        <v>66</v>
      </c>
      <c r="T2511" s="6" t="str">
        <f t="shared" si="3"/>
        <v>Very Old</v>
      </c>
    </row>
    <row r="2512" ht="14.25" customHeight="1">
      <c r="A2512" s="5">
        <v>892897.0</v>
      </c>
      <c r="B2512" s="6" t="s">
        <v>10083</v>
      </c>
      <c r="C2512" s="6" t="s">
        <v>39</v>
      </c>
      <c r="D2512" s="6">
        <v>31183.0</v>
      </c>
      <c r="E2512" s="6" t="s">
        <v>40</v>
      </c>
      <c r="F2512" s="6" t="s">
        <v>54</v>
      </c>
      <c r="G2512" s="6" t="s">
        <v>21</v>
      </c>
      <c r="H2512" s="7">
        <v>877.0</v>
      </c>
      <c r="I2512" s="7">
        <v>7507.0</v>
      </c>
      <c r="J2512" s="6">
        <v>1980.0</v>
      </c>
      <c r="K2512" s="6">
        <v>83.0</v>
      </c>
      <c r="L2512" s="6" t="s">
        <v>62</v>
      </c>
      <c r="M2512" s="6" t="s">
        <v>10084</v>
      </c>
      <c r="N2512" s="6" t="s">
        <v>43</v>
      </c>
      <c r="O2512" s="6" t="s">
        <v>35</v>
      </c>
      <c r="P2512" s="6">
        <f>COUNTIF(Analysis!$M$1:$M$3001,Analysis!$M2512)</f>
        <v>1</v>
      </c>
      <c r="Q2512" s="6" t="str">
        <f>IF(COUNTIF(Analysis!$M$2:$M$3001,Analysis!$M2512)&gt;1,"Duplicate","OK")</f>
        <v>OK</v>
      </c>
      <c r="R2512" s="6" t="str">
        <f t="shared" si="1"/>
        <v>600-1600</v>
      </c>
      <c r="S2512" s="6">
        <f t="shared" si="2"/>
        <v>46</v>
      </c>
      <c r="T2512" s="6" t="str">
        <f t="shared" si="3"/>
        <v>Old</v>
      </c>
    </row>
    <row r="2513" ht="14.25" customHeight="1">
      <c r="A2513" s="5">
        <v>1406069.0</v>
      </c>
      <c r="B2513" s="6" t="s">
        <v>10087</v>
      </c>
      <c r="C2513" s="6" t="s">
        <v>39</v>
      </c>
      <c r="D2513" s="6">
        <v>93992.0</v>
      </c>
      <c r="E2513" s="6" t="s">
        <v>77</v>
      </c>
      <c r="F2513" s="6" t="s">
        <v>41</v>
      </c>
      <c r="G2513" s="6" t="s">
        <v>55</v>
      </c>
      <c r="H2513" s="7">
        <v>2951.0</v>
      </c>
      <c r="I2513" s="7">
        <v>9590.0</v>
      </c>
      <c r="J2513" s="6">
        <v>1996.0</v>
      </c>
      <c r="K2513" s="6">
        <v>1.0</v>
      </c>
      <c r="L2513" s="6" t="s">
        <v>141</v>
      </c>
      <c r="M2513" s="6" t="s">
        <v>10088</v>
      </c>
      <c r="N2513" s="6" t="s">
        <v>64</v>
      </c>
      <c r="O2513" s="6" t="s">
        <v>35</v>
      </c>
      <c r="P2513" s="6">
        <f>COUNTIF(Analysis!$M$1:$M$3001,Analysis!$M2513)</f>
        <v>1</v>
      </c>
      <c r="Q2513" s="6" t="str">
        <f>IF(COUNTIF(Analysis!$M$2:$M$3001,Analysis!$M2513)&gt;1,"Duplicate","OK")</f>
        <v>OK</v>
      </c>
      <c r="R2513" s="6" t="str">
        <f t="shared" si="1"/>
        <v>2600-3600</v>
      </c>
      <c r="S2513" s="6">
        <f t="shared" si="2"/>
        <v>30</v>
      </c>
      <c r="T2513" s="6" t="str">
        <f t="shared" si="3"/>
        <v>Mid</v>
      </c>
    </row>
    <row r="2514" ht="14.25" customHeight="1">
      <c r="A2514" s="5">
        <v>1215590.0</v>
      </c>
      <c r="B2514" s="6" t="s">
        <v>10091</v>
      </c>
      <c r="C2514" s="6" t="s">
        <v>39</v>
      </c>
      <c r="D2514" s="6">
        <v>79161.0</v>
      </c>
      <c r="E2514" s="6" t="s">
        <v>30</v>
      </c>
      <c r="F2514" s="6" t="s">
        <v>20</v>
      </c>
      <c r="G2514" s="6" t="s">
        <v>21</v>
      </c>
      <c r="H2514" s="7">
        <v>792.0</v>
      </c>
      <c r="I2514" s="7">
        <v>9053.0</v>
      </c>
      <c r="J2514" s="6">
        <v>1964.0</v>
      </c>
      <c r="K2514" s="6">
        <v>49.0</v>
      </c>
      <c r="L2514" s="6" t="s">
        <v>62</v>
      </c>
      <c r="M2514" s="6" t="s">
        <v>10092</v>
      </c>
      <c r="N2514" s="6" t="s">
        <v>64</v>
      </c>
      <c r="O2514" s="6" t="s">
        <v>49</v>
      </c>
      <c r="P2514" s="6">
        <f>COUNTIF(Analysis!$M$1:$M$3001,Analysis!$M2514)</f>
        <v>1</v>
      </c>
      <c r="Q2514" s="6" t="str">
        <f>IF(COUNTIF(Analysis!$M$2:$M$3001,Analysis!$M2514)&gt;1,"Duplicate","OK")</f>
        <v>OK</v>
      </c>
      <c r="R2514" s="6" t="str">
        <f t="shared" si="1"/>
        <v>600-1600</v>
      </c>
      <c r="S2514" s="6">
        <f t="shared" si="2"/>
        <v>62</v>
      </c>
      <c r="T2514" s="6" t="str">
        <f t="shared" si="3"/>
        <v>Very Old</v>
      </c>
    </row>
    <row r="2515" ht="14.25" customHeight="1">
      <c r="A2515" s="5">
        <v>944158.0</v>
      </c>
      <c r="B2515" s="6" t="s">
        <v>10095</v>
      </c>
      <c r="C2515" s="6" t="s">
        <v>39</v>
      </c>
      <c r="D2515" s="6">
        <v>21071.0</v>
      </c>
      <c r="E2515" s="6" t="s">
        <v>77</v>
      </c>
      <c r="F2515" s="6" t="s">
        <v>46</v>
      </c>
      <c r="G2515" s="6" t="s">
        <v>21</v>
      </c>
      <c r="H2515" s="7">
        <v>1051.0</v>
      </c>
      <c r="I2515" s="7">
        <v>3048.0</v>
      </c>
      <c r="J2515" s="6">
        <v>2009.0</v>
      </c>
      <c r="K2515" s="6">
        <v>24.0</v>
      </c>
      <c r="L2515" s="6" t="s">
        <v>95</v>
      </c>
      <c r="M2515" s="6" t="s">
        <v>10096</v>
      </c>
      <c r="N2515" s="6" t="s">
        <v>48</v>
      </c>
      <c r="O2515" s="6" t="s">
        <v>35</v>
      </c>
      <c r="P2515" s="6">
        <f>COUNTIF(Analysis!$M$1:$M$3001,Analysis!$M2515)</f>
        <v>1</v>
      </c>
      <c r="Q2515" s="6" t="str">
        <f>IF(COUNTIF(Analysis!$M$2:$M$3001,Analysis!$M2515)&gt;1,"Duplicate","OK")</f>
        <v>OK</v>
      </c>
      <c r="R2515" s="6" t="str">
        <f t="shared" si="1"/>
        <v>600-1600</v>
      </c>
      <c r="S2515" s="6">
        <f t="shared" si="2"/>
        <v>17</v>
      </c>
      <c r="T2515" s="6" t="str">
        <f t="shared" si="3"/>
        <v>Mid</v>
      </c>
    </row>
    <row r="2516" ht="14.25" customHeight="1">
      <c r="A2516" s="5">
        <v>336063.0</v>
      </c>
      <c r="B2516" s="6" t="s">
        <v>10099</v>
      </c>
      <c r="C2516" s="6" t="s">
        <v>18</v>
      </c>
      <c r="D2516" s="6">
        <v>29957.0</v>
      </c>
      <c r="E2516" s="6" t="s">
        <v>40</v>
      </c>
      <c r="F2516" s="6" t="s">
        <v>54</v>
      </c>
      <c r="G2516" s="6" t="s">
        <v>55</v>
      </c>
      <c r="H2516" s="7">
        <v>3548.0</v>
      </c>
      <c r="I2516" s="7">
        <v>7516.0</v>
      </c>
      <c r="J2516" s="6">
        <v>1972.0</v>
      </c>
      <c r="K2516" s="6">
        <v>20.0</v>
      </c>
      <c r="L2516" s="6" t="s">
        <v>22</v>
      </c>
      <c r="M2516" s="6" t="s">
        <v>10100</v>
      </c>
      <c r="N2516" s="6" t="s">
        <v>24</v>
      </c>
      <c r="O2516" s="6" t="s">
        <v>25</v>
      </c>
      <c r="P2516" s="6">
        <f>COUNTIF(Analysis!$M$1:$M$3001,Analysis!$M2516)</f>
        <v>1</v>
      </c>
      <c r="Q2516" s="6" t="str">
        <f>IF(COUNTIF(Analysis!$M$2:$M$3001,Analysis!$M2516)&gt;1,"Duplicate","OK")</f>
        <v>OK</v>
      </c>
      <c r="R2516" s="6" t="str">
        <f t="shared" si="1"/>
        <v>2600-3600</v>
      </c>
      <c r="S2516" s="6">
        <f t="shared" si="2"/>
        <v>54</v>
      </c>
      <c r="T2516" s="6" t="str">
        <f t="shared" si="3"/>
        <v>Old</v>
      </c>
    </row>
    <row r="2517" ht="14.25" customHeight="1">
      <c r="A2517" s="5">
        <v>603958.0</v>
      </c>
      <c r="B2517" s="6" t="s">
        <v>10103</v>
      </c>
      <c r="C2517" s="6" t="s">
        <v>53</v>
      </c>
      <c r="D2517" s="6">
        <v>16787.0</v>
      </c>
      <c r="E2517" s="6" t="s">
        <v>19</v>
      </c>
      <c r="F2517" s="6" t="s">
        <v>54</v>
      </c>
      <c r="G2517" s="6" t="s">
        <v>31</v>
      </c>
      <c r="H2517" s="7">
        <v>3414.0</v>
      </c>
      <c r="I2517" s="7">
        <v>8605.0</v>
      </c>
      <c r="J2517" s="6">
        <v>1952.0</v>
      </c>
      <c r="K2517" s="6">
        <v>100.0</v>
      </c>
      <c r="L2517" s="6" t="s">
        <v>141</v>
      </c>
      <c r="M2517" s="6" t="s">
        <v>10104</v>
      </c>
      <c r="N2517" s="6" t="s">
        <v>64</v>
      </c>
      <c r="O2517" s="6" t="s">
        <v>49</v>
      </c>
      <c r="P2517" s="6">
        <f>COUNTIF(Analysis!$M$1:$M$3001,Analysis!$M2517)</f>
        <v>1</v>
      </c>
      <c r="Q2517" s="6" t="str">
        <f>IF(COUNTIF(Analysis!$M$2:$M$3001,Analysis!$M2517)&gt;1,"Duplicate","OK")</f>
        <v>OK</v>
      </c>
      <c r="R2517" s="6" t="str">
        <f t="shared" si="1"/>
        <v>2600-3600</v>
      </c>
      <c r="S2517" s="6">
        <f t="shared" si="2"/>
        <v>74</v>
      </c>
      <c r="T2517" s="6" t="str">
        <f t="shared" si="3"/>
        <v>Very Old</v>
      </c>
    </row>
    <row r="2518" ht="14.25" customHeight="1">
      <c r="A2518" s="5">
        <v>130251.0</v>
      </c>
      <c r="B2518" s="6" t="s">
        <v>10107</v>
      </c>
      <c r="C2518" s="6" t="s">
        <v>76</v>
      </c>
      <c r="D2518" s="6">
        <v>71717.0</v>
      </c>
      <c r="E2518" s="6" t="s">
        <v>60</v>
      </c>
      <c r="F2518" s="6" t="s">
        <v>46</v>
      </c>
      <c r="G2518" s="6" t="s">
        <v>100</v>
      </c>
      <c r="H2518" s="7">
        <v>3821.0</v>
      </c>
      <c r="I2518" s="7">
        <v>7525.0</v>
      </c>
      <c r="J2518" s="6">
        <v>2019.0</v>
      </c>
      <c r="K2518" s="6">
        <v>24.0</v>
      </c>
      <c r="L2518" s="6" t="s">
        <v>22</v>
      </c>
      <c r="M2518" s="6" t="s">
        <v>10108</v>
      </c>
      <c r="N2518" s="6" t="s">
        <v>48</v>
      </c>
      <c r="O2518" s="6" t="s">
        <v>25</v>
      </c>
      <c r="P2518" s="6">
        <f>COUNTIF(Analysis!$M$1:$M$3001,Analysis!$M2518)</f>
        <v>1</v>
      </c>
      <c r="Q2518" s="6" t="str">
        <f>IF(COUNTIF(Analysis!$M$2:$M$3001,Analysis!$M2518)&gt;1,"Duplicate","OK")</f>
        <v>OK</v>
      </c>
      <c r="R2518" s="6" t="str">
        <f t="shared" si="1"/>
        <v>3600+</v>
      </c>
      <c r="S2518" s="6">
        <f t="shared" si="2"/>
        <v>7</v>
      </c>
      <c r="T2518" s="6" t="str">
        <f t="shared" si="3"/>
        <v>New</v>
      </c>
    </row>
    <row r="2519" ht="14.25" customHeight="1">
      <c r="A2519" s="5">
        <v>1262766.0</v>
      </c>
      <c r="B2519" s="6" t="s">
        <v>10111</v>
      </c>
      <c r="C2519" s="6" t="s">
        <v>39</v>
      </c>
      <c r="D2519" s="6">
        <v>63296.0</v>
      </c>
      <c r="E2519" s="6" t="s">
        <v>40</v>
      </c>
      <c r="F2519" s="6" t="s">
        <v>94</v>
      </c>
      <c r="G2519" s="6" t="s">
        <v>21</v>
      </c>
      <c r="H2519" s="7">
        <v>3424.0</v>
      </c>
      <c r="I2519" s="7">
        <v>3819.0</v>
      </c>
      <c r="J2519" s="6">
        <v>1977.0</v>
      </c>
      <c r="K2519" s="6">
        <v>90.0</v>
      </c>
      <c r="L2519" s="6" t="s">
        <v>32</v>
      </c>
      <c r="M2519" s="6" t="s">
        <v>10112</v>
      </c>
      <c r="N2519" s="6" t="s">
        <v>34</v>
      </c>
      <c r="O2519" s="6" t="s">
        <v>25</v>
      </c>
      <c r="P2519" s="6">
        <f>COUNTIF(Analysis!$M$1:$M$3001,Analysis!$M2519)</f>
        <v>1</v>
      </c>
      <c r="Q2519" s="6" t="str">
        <f>IF(COUNTIF(Analysis!$M$2:$M$3001,Analysis!$M2519)&gt;1,"Duplicate","OK")</f>
        <v>OK</v>
      </c>
      <c r="R2519" s="6" t="str">
        <f t="shared" si="1"/>
        <v>2600-3600</v>
      </c>
      <c r="S2519" s="6">
        <f t="shared" si="2"/>
        <v>49</v>
      </c>
      <c r="T2519" s="6" t="str">
        <f t="shared" si="3"/>
        <v>Old</v>
      </c>
    </row>
    <row r="2520" ht="14.25" customHeight="1">
      <c r="A2520" s="5">
        <v>1306410.0</v>
      </c>
      <c r="B2520" s="6" t="s">
        <v>10115</v>
      </c>
      <c r="C2520" s="6" t="s">
        <v>53</v>
      </c>
      <c r="D2520" s="6">
        <v>70574.0</v>
      </c>
      <c r="E2520" s="6" t="s">
        <v>19</v>
      </c>
      <c r="F2520" s="6" t="s">
        <v>46</v>
      </c>
      <c r="G2520" s="6" t="s">
        <v>55</v>
      </c>
      <c r="H2520" s="7">
        <v>1204.0</v>
      </c>
      <c r="I2520" s="7">
        <v>4851.0</v>
      </c>
      <c r="J2520" s="6">
        <v>2003.0</v>
      </c>
      <c r="K2520" s="6">
        <v>23.0</v>
      </c>
      <c r="L2520" s="6" t="s">
        <v>62</v>
      </c>
      <c r="M2520" s="6" t="s">
        <v>10116</v>
      </c>
      <c r="N2520" s="6" t="s">
        <v>48</v>
      </c>
      <c r="O2520" s="6" t="s">
        <v>25</v>
      </c>
      <c r="P2520" s="6">
        <f>COUNTIF(Analysis!$M$1:$M$3001,Analysis!$M2520)</f>
        <v>1</v>
      </c>
      <c r="Q2520" s="6" t="str">
        <f>IF(COUNTIF(Analysis!$M$2:$M$3001,Analysis!$M2520)&gt;1,"Duplicate","OK")</f>
        <v>OK</v>
      </c>
      <c r="R2520" s="6" t="str">
        <f t="shared" si="1"/>
        <v>600-1600</v>
      </c>
      <c r="S2520" s="6">
        <f t="shared" si="2"/>
        <v>23</v>
      </c>
      <c r="T2520" s="6" t="str">
        <f t="shared" si="3"/>
        <v>Mid</v>
      </c>
    </row>
    <row r="2521" ht="14.25" customHeight="1">
      <c r="A2521" s="5">
        <v>517845.0</v>
      </c>
      <c r="B2521" s="6" t="s">
        <v>10119</v>
      </c>
      <c r="C2521" s="6" t="s">
        <v>53</v>
      </c>
      <c r="D2521" s="6">
        <v>85350.0</v>
      </c>
      <c r="E2521" s="6" t="s">
        <v>19</v>
      </c>
      <c r="F2521" s="6" t="s">
        <v>41</v>
      </c>
      <c r="G2521" s="6" t="s">
        <v>21</v>
      </c>
      <c r="H2521" s="7">
        <v>1340.0</v>
      </c>
      <c r="I2521" s="7">
        <v>8639.0</v>
      </c>
      <c r="J2521" s="6">
        <v>1954.0</v>
      </c>
      <c r="K2521" s="6">
        <v>120.0</v>
      </c>
      <c r="L2521" s="6" t="s">
        <v>32</v>
      </c>
      <c r="M2521" s="6" t="s">
        <v>10120</v>
      </c>
      <c r="N2521" s="6" t="s">
        <v>64</v>
      </c>
      <c r="O2521" s="6" t="s">
        <v>35</v>
      </c>
      <c r="P2521" s="6">
        <f>COUNTIF(Analysis!$M$1:$M$3001,Analysis!$M2521)</f>
        <v>1</v>
      </c>
      <c r="Q2521" s="6" t="str">
        <f>IF(COUNTIF(Analysis!$M$2:$M$3001,Analysis!$M2521)&gt;1,"Duplicate","OK")</f>
        <v>OK</v>
      </c>
      <c r="R2521" s="6" t="str">
        <f t="shared" si="1"/>
        <v>600-1600</v>
      </c>
      <c r="S2521" s="6">
        <f t="shared" si="2"/>
        <v>72</v>
      </c>
      <c r="T2521" s="6" t="str">
        <f t="shared" si="3"/>
        <v>Very Old</v>
      </c>
    </row>
    <row r="2522" ht="14.25" customHeight="1">
      <c r="A2522" s="5">
        <v>288812.0</v>
      </c>
      <c r="B2522" s="6" t="s">
        <v>10123</v>
      </c>
      <c r="C2522" s="6" t="s">
        <v>18</v>
      </c>
      <c r="D2522" s="6">
        <v>27608.0</v>
      </c>
      <c r="E2522" s="6" t="s">
        <v>19</v>
      </c>
      <c r="F2522" s="6" t="s">
        <v>61</v>
      </c>
      <c r="G2522" s="6" t="s">
        <v>21</v>
      </c>
      <c r="H2522" s="7">
        <v>3150.0</v>
      </c>
      <c r="I2522" s="7">
        <v>8665.0</v>
      </c>
      <c r="J2522" s="6">
        <v>1996.0</v>
      </c>
      <c r="K2522" s="6">
        <v>74.0</v>
      </c>
      <c r="L2522" s="6" t="s">
        <v>141</v>
      </c>
      <c r="M2522" s="6" t="s">
        <v>10124</v>
      </c>
      <c r="N2522" s="6" t="s">
        <v>48</v>
      </c>
      <c r="O2522" s="6" t="s">
        <v>35</v>
      </c>
      <c r="P2522" s="6">
        <f>COUNTIF(Analysis!$M$1:$M$3001,Analysis!$M2522)</f>
        <v>1</v>
      </c>
      <c r="Q2522" s="6" t="str">
        <f>IF(COUNTIF(Analysis!$M$2:$M$3001,Analysis!$M2522)&gt;1,"Duplicate","OK")</f>
        <v>OK</v>
      </c>
      <c r="R2522" s="6" t="str">
        <f t="shared" si="1"/>
        <v>2600-3600</v>
      </c>
      <c r="S2522" s="6">
        <f t="shared" si="2"/>
        <v>30</v>
      </c>
      <c r="T2522" s="6" t="str">
        <f t="shared" si="3"/>
        <v>Mid</v>
      </c>
    </row>
    <row r="2523" ht="14.25" customHeight="1">
      <c r="A2523" s="5">
        <v>996105.0</v>
      </c>
      <c r="B2523" s="6" t="s">
        <v>10127</v>
      </c>
      <c r="C2523" s="6" t="s">
        <v>76</v>
      </c>
      <c r="D2523" s="6">
        <v>51061.0</v>
      </c>
      <c r="E2523" s="6" t="s">
        <v>77</v>
      </c>
      <c r="F2523" s="6" t="s">
        <v>20</v>
      </c>
      <c r="G2523" s="6" t="s">
        <v>100</v>
      </c>
      <c r="H2523" s="7">
        <v>939.0</v>
      </c>
      <c r="I2523" s="7">
        <v>5223.0</v>
      </c>
      <c r="J2523" s="6">
        <v>1982.0</v>
      </c>
      <c r="K2523" s="6">
        <v>55.0</v>
      </c>
      <c r="L2523" s="6" t="s">
        <v>22</v>
      </c>
      <c r="M2523" s="6" t="s">
        <v>10128</v>
      </c>
      <c r="N2523" s="6" t="s">
        <v>48</v>
      </c>
      <c r="O2523" s="6" t="s">
        <v>25</v>
      </c>
      <c r="P2523" s="6">
        <f>COUNTIF(Analysis!$M$1:$M$3001,Analysis!$M2523)</f>
        <v>1</v>
      </c>
      <c r="Q2523" s="6" t="str">
        <f>IF(COUNTIF(Analysis!$M$2:$M$3001,Analysis!$M2523)&gt;1,"Duplicate","OK")</f>
        <v>OK</v>
      </c>
      <c r="R2523" s="6" t="str">
        <f t="shared" si="1"/>
        <v>600-1600</v>
      </c>
      <c r="S2523" s="6">
        <f t="shared" si="2"/>
        <v>44</v>
      </c>
      <c r="T2523" s="6" t="str">
        <f t="shared" si="3"/>
        <v>Old</v>
      </c>
    </row>
    <row r="2524" ht="14.25" customHeight="1">
      <c r="A2524" s="5">
        <v>837572.0</v>
      </c>
      <c r="B2524" s="6" t="s">
        <v>10131</v>
      </c>
      <c r="C2524" s="6" t="s">
        <v>39</v>
      </c>
      <c r="D2524" s="6">
        <v>88532.0</v>
      </c>
      <c r="E2524" s="6" t="s">
        <v>30</v>
      </c>
      <c r="F2524" s="6" t="s">
        <v>46</v>
      </c>
      <c r="G2524" s="6" t="s">
        <v>55</v>
      </c>
      <c r="H2524" s="7">
        <v>2241.0</v>
      </c>
      <c r="I2524" s="7">
        <v>6036.0</v>
      </c>
      <c r="J2524" s="6">
        <v>1986.0</v>
      </c>
      <c r="K2524" s="6">
        <v>41.0</v>
      </c>
      <c r="L2524" s="6" t="s">
        <v>22</v>
      </c>
      <c r="M2524" s="6" t="s">
        <v>10132</v>
      </c>
      <c r="N2524" s="6" t="s">
        <v>34</v>
      </c>
      <c r="O2524" s="6" t="s">
        <v>25</v>
      </c>
      <c r="P2524" s="6">
        <f>COUNTIF(Analysis!$M$1:$M$3001,Analysis!$M2524)</f>
        <v>1</v>
      </c>
      <c r="Q2524" s="6" t="str">
        <f>IF(COUNTIF(Analysis!$M$2:$M$3001,Analysis!$M2524)&gt;1,"Duplicate","OK")</f>
        <v>OK</v>
      </c>
      <c r="R2524" s="6" t="str">
        <f t="shared" si="1"/>
        <v>1600-2600</v>
      </c>
      <c r="S2524" s="6">
        <f t="shared" si="2"/>
        <v>40</v>
      </c>
      <c r="T2524" s="6" t="str">
        <f t="shared" si="3"/>
        <v>Old</v>
      </c>
    </row>
    <row r="2525" ht="14.25" customHeight="1">
      <c r="A2525" s="5">
        <v>1008190.0</v>
      </c>
      <c r="B2525" s="6" t="s">
        <v>10135</v>
      </c>
      <c r="C2525" s="6" t="s">
        <v>39</v>
      </c>
      <c r="D2525" s="6">
        <v>96442.0</v>
      </c>
      <c r="E2525" s="6" t="s">
        <v>30</v>
      </c>
      <c r="F2525" s="6" t="s">
        <v>61</v>
      </c>
      <c r="G2525" s="6" t="s">
        <v>100</v>
      </c>
      <c r="H2525" s="7">
        <v>3179.0</v>
      </c>
      <c r="I2525" s="7">
        <v>4822.0</v>
      </c>
      <c r="J2525" s="6">
        <v>1976.0</v>
      </c>
      <c r="K2525" s="6">
        <v>18.0</v>
      </c>
      <c r="L2525" s="6" t="s">
        <v>141</v>
      </c>
      <c r="M2525" s="6" t="s">
        <v>10136</v>
      </c>
      <c r="N2525" s="6" t="s">
        <v>43</v>
      </c>
      <c r="O2525" s="6" t="s">
        <v>49</v>
      </c>
      <c r="P2525" s="6">
        <f>COUNTIF(Analysis!$M$1:$M$3001,Analysis!$M2525)</f>
        <v>1</v>
      </c>
      <c r="Q2525" s="6" t="str">
        <f>IF(COUNTIF(Analysis!$M$2:$M$3001,Analysis!$M2525)&gt;1,"Duplicate","OK")</f>
        <v>OK</v>
      </c>
      <c r="R2525" s="6" t="str">
        <f t="shared" si="1"/>
        <v>2600-3600</v>
      </c>
      <c r="S2525" s="6">
        <f t="shared" si="2"/>
        <v>50</v>
      </c>
      <c r="T2525" s="6" t="str">
        <f t="shared" si="3"/>
        <v>Old</v>
      </c>
    </row>
    <row r="2526" ht="14.25" customHeight="1">
      <c r="A2526" s="5">
        <v>1028164.0</v>
      </c>
      <c r="B2526" s="6" t="s">
        <v>10139</v>
      </c>
      <c r="C2526" s="6" t="s">
        <v>76</v>
      </c>
      <c r="D2526" s="6">
        <v>36272.0</v>
      </c>
      <c r="E2526" s="6" t="s">
        <v>77</v>
      </c>
      <c r="F2526" s="6" t="s">
        <v>20</v>
      </c>
      <c r="G2526" s="6" t="s">
        <v>55</v>
      </c>
      <c r="H2526" s="7">
        <v>3647.0</v>
      </c>
      <c r="I2526" s="7">
        <v>2658.0</v>
      </c>
      <c r="J2526" s="6">
        <v>2008.0</v>
      </c>
      <c r="K2526" s="6">
        <v>61.0</v>
      </c>
      <c r="L2526" s="6" t="s">
        <v>22</v>
      </c>
      <c r="M2526" s="6" t="s">
        <v>10140</v>
      </c>
      <c r="N2526" s="6" t="s">
        <v>64</v>
      </c>
      <c r="O2526" s="6" t="s">
        <v>35</v>
      </c>
      <c r="P2526" s="6">
        <f>COUNTIF(Analysis!$M$1:$M$3001,Analysis!$M2526)</f>
        <v>1</v>
      </c>
      <c r="Q2526" s="6" t="str">
        <f>IF(COUNTIF(Analysis!$M$2:$M$3001,Analysis!$M2526)&gt;1,"Duplicate","OK")</f>
        <v>OK</v>
      </c>
      <c r="R2526" s="6" t="str">
        <f t="shared" si="1"/>
        <v>3600+</v>
      </c>
      <c r="S2526" s="6">
        <f t="shared" si="2"/>
        <v>18</v>
      </c>
      <c r="T2526" s="6" t="str">
        <f t="shared" si="3"/>
        <v>Mid</v>
      </c>
    </row>
    <row r="2527" ht="14.25" customHeight="1">
      <c r="A2527" s="5">
        <v>533002.0</v>
      </c>
      <c r="B2527" s="6" t="s">
        <v>10143</v>
      </c>
      <c r="C2527" s="6" t="s">
        <v>76</v>
      </c>
      <c r="D2527" s="6">
        <v>74937.0</v>
      </c>
      <c r="E2527" s="6" t="s">
        <v>40</v>
      </c>
      <c r="F2527" s="6" t="s">
        <v>41</v>
      </c>
      <c r="G2527" s="6" t="s">
        <v>100</v>
      </c>
      <c r="H2527" s="7">
        <v>3339.0</v>
      </c>
      <c r="I2527" s="7">
        <v>2091.0</v>
      </c>
      <c r="J2527" s="6">
        <v>1995.0</v>
      </c>
      <c r="K2527" s="6">
        <v>9.0</v>
      </c>
      <c r="L2527" s="6" t="s">
        <v>22</v>
      </c>
      <c r="M2527" s="6" t="s">
        <v>10144</v>
      </c>
      <c r="N2527" s="6" t="s">
        <v>48</v>
      </c>
      <c r="O2527" s="6" t="s">
        <v>25</v>
      </c>
      <c r="P2527" s="6">
        <f>COUNTIF(Analysis!$M$1:$M$3001,Analysis!$M2527)</f>
        <v>1</v>
      </c>
      <c r="Q2527" s="6" t="str">
        <f>IF(COUNTIF(Analysis!$M$2:$M$3001,Analysis!$M2527)&gt;1,"Duplicate","OK")</f>
        <v>OK</v>
      </c>
      <c r="R2527" s="6" t="str">
        <f t="shared" si="1"/>
        <v>2600-3600</v>
      </c>
      <c r="S2527" s="6">
        <f t="shared" si="2"/>
        <v>31</v>
      </c>
      <c r="T2527" s="6" t="str">
        <f t="shared" si="3"/>
        <v>Old</v>
      </c>
    </row>
    <row r="2528" ht="14.25" customHeight="1">
      <c r="A2528" s="5">
        <v>472692.0</v>
      </c>
      <c r="B2528" s="6" t="s">
        <v>10147</v>
      </c>
      <c r="C2528" s="6" t="s">
        <v>39</v>
      </c>
      <c r="D2528" s="6">
        <v>41440.0</v>
      </c>
      <c r="E2528" s="6" t="s">
        <v>77</v>
      </c>
      <c r="F2528" s="6" t="s">
        <v>94</v>
      </c>
      <c r="G2528" s="6" t="s">
        <v>31</v>
      </c>
      <c r="H2528" s="7">
        <v>1255.0</v>
      </c>
      <c r="I2528" s="7">
        <v>5859.0</v>
      </c>
      <c r="J2528" s="6">
        <v>2018.0</v>
      </c>
      <c r="K2528" s="6">
        <v>26.0</v>
      </c>
      <c r="L2528" s="6" t="s">
        <v>141</v>
      </c>
      <c r="M2528" s="6" t="s">
        <v>10148</v>
      </c>
      <c r="N2528" s="6" t="s">
        <v>24</v>
      </c>
      <c r="O2528" s="6" t="s">
        <v>35</v>
      </c>
      <c r="P2528" s="6">
        <f>COUNTIF(Analysis!$M$1:$M$3001,Analysis!$M2528)</f>
        <v>1</v>
      </c>
      <c r="Q2528" s="6" t="str">
        <f>IF(COUNTIF(Analysis!$M$2:$M$3001,Analysis!$M2528)&gt;1,"Duplicate","OK")</f>
        <v>OK</v>
      </c>
      <c r="R2528" s="6" t="str">
        <f t="shared" si="1"/>
        <v>600-1600</v>
      </c>
      <c r="S2528" s="6">
        <f t="shared" si="2"/>
        <v>8</v>
      </c>
      <c r="T2528" s="6" t="str">
        <f t="shared" si="3"/>
        <v>New</v>
      </c>
    </row>
    <row r="2529" ht="14.25" customHeight="1">
      <c r="A2529" s="5">
        <v>284033.0</v>
      </c>
      <c r="B2529" s="6" t="s">
        <v>10151</v>
      </c>
      <c r="C2529" s="6" t="s">
        <v>39</v>
      </c>
      <c r="D2529" s="6">
        <v>62542.0</v>
      </c>
      <c r="E2529" s="6" t="s">
        <v>60</v>
      </c>
      <c r="F2529" s="6" t="s">
        <v>61</v>
      </c>
      <c r="G2529" s="6" t="s">
        <v>55</v>
      </c>
      <c r="H2529" s="7">
        <v>2012.0</v>
      </c>
      <c r="I2529" s="7">
        <v>6508.0</v>
      </c>
      <c r="J2529" s="6">
        <v>2000.0</v>
      </c>
      <c r="K2529" s="6">
        <v>65.0</v>
      </c>
      <c r="L2529" s="6" t="s">
        <v>22</v>
      </c>
      <c r="M2529" s="6" t="s">
        <v>10152</v>
      </c>
      <c r="N2529" s="6" t="s">
        <v>64</v>
      </c>
      <c r="O2529" s="6" t="s">
        <v>49</v>
      </c>
      <c r="P2529" s="6">
        <f>COUNTIF(Analysis!$M$1:$M$3001,Analysis!$M2529)</f>
        <v>1</v>
      </c>
      <c r="Q2529" s="6" t="str">
        <f>IF(COUNTIF(Analysis!$M$2:$M$3001,Analysis!$M2529)&gt;1,"Duplicate","OK")</f>
        <v>OK</v>
      </c>
      <c r="R2529" s="6" t="str">
        <f t="shared" si="1"/>
        <v>1600-2600</v>
      </c>
      <c r="S2529" s="6">
        <f t="shared" si="2"/>
        <v>26</v>
      </c>
      <c r="T2529" s="6" t="str">
        <f t="shared" si="3"/>
        <v>Mid</v>
      </c>
    </row>
    <row r="2530" ht="14.25" customHeight="1">
      <c r="A2530" s="5">
        <v>861987.0</v>
      </c>
      <c r="B2530" s="6" t="s">
        <v>10155</v>
      </c>
      <c r="C2530" s="6" t="s">
        <v>39</v>
      </c>
      <c r="D2530" s="6">
        <v>46081.0</v>
      </c>
      <c r="E2530" s="6" t="s">
        <v>77</v>
      </c>
      <c r="F2530" s="6" t="s">
        <v>61</v>
      </c>
      <c r="G2530" s="6" t="s">
        <v>100</v>
      </c>
      <c r="H2530" s="7">
        <v>1899.0</v>
      </c>
      <c r="I2530" s="7">
        <v>8581.0</v>
      </c>
      <c r="J2530" s="6">
        <v>2012.0</v>
      </c>
      <c r="K2530" s="6">
        <v>5.0</v>
      </c>
      <c r="L2530" s="6" t="s">
        <v>22</v>
      </c>
      <c r="M2530" s="6" t="s">
        <v>10156</v>
      </c>
      <c r="N2530" s="6" t="s">
        <v>34</v>
      </c>
      <c r="O2530" s="6" t="s">
        <v>25</v>
      </c>
      <c r="P2530" s="6">
        <f>COUNTIF(Analysis!$M$1:$M$3001,Analysis!$M2530)</f>
        <v>1</v>
      </c>
      <c r="Q2530" s="6" t="str">
        <f>IF(COUNTIF(Analysis!$M$2:$M$3001,Analysis!$M2530)&gt;1,"Duplicate","OK")</f>
        <v>OK</v>
      </c>
      <c r="R2530" s="6" t="str">
        <f t="shared" si="1"/>
        <v>1600-2600</v>
      </c>
      <c r="S2530" s="6">
        <f t="shared" si="2"/>
        <v>14</v>
      </c>
      <c r="T2530" s="6" t="str">
        <f t="shared" si="3"/>
        <v>Mid</v>
      </c>
    </row>
    <row r="2531" ht="14.25" customHeight="1">
      <c r="A2531" s="5">
        <v>1431603.0</v>
      </c>
      <c r="B2531" s="6" t="s">
        <v>10159</v>
      </c>
      <c r="C2531" s="6" t="s">
        <v>76</v>
      </c>
      <c r="D2531" s="6">
        <v>87215.0</v>
      </c>
      <c r="E2531" s="6" t="s">
        <v>19</v>
      </c>
      <c r="F2531" s="6" t="s">
        <v>41</v>
      </c>
      <c r="G2531" s="6" t="s">
        <v>55</v>
      </c>
      <c r="H2531" s="7">
        <v>2313.0</v>
      </c>
      <c r="I2531" s="7">
        <v>8668.0</v>
      </c>
      <c r="J2531" s="6">
        <v>1966.0</v>
      </c>
      <c r="K2531" s="6">
        <v>120.0</v>
      </c>
      <c r="L2531" s="6" t="s">
        <v>141</v>
      </c>
      <c r="M2531" s="6" t="s">
        <v>10160</v>
      </c>
      <c r="N2531" s="6" t="s">
        <v>34</v>
      </c>
      <c r="O2531" s="6" t="s">
        <v>35</v>
      </c>
      <c r="P2531" s="6">
        <f>COUNTIF(Analysis!$M$1:$M$3001,Analysis!$M2531)</f>
        <v>1</v>
      </c>
      <c r="Q2531" s="6" t="str">
        <f>IF(COUNTIF(Analysis!$M$2:$M$3001,Analysis!$M2531)&gt;1,"Duplicate","OK")</f>
        <v>OK</v>
      </c>
      <c r="R2531" s="6" t="str">
        <f t="shared" si="1"/>
        <v>1600-2600</v>
      </c>
      <c r="S2531" s="6">
        <f t="shared" si="2"/>
        <v>60</v>
      </c>
      <c r="T2531" s="6" t="str">
        <f t="shared" si="3"/>
        <v>Old</v>
      </c>
    </row>
    <row r="2532" ht="14.25" customHeight="1">
      <c r="A2532" s="5">
        <v>1306875.0</v>
      </c>
      <c r="B2532" s="6" t="s">
        <v>5766</v>
      </c>
      <c r="C2532" s="6" t="s">
        <v>29</v>
      </c>
      <c r="D2532" s="6">
        <v>95831.0</v>
      </c>
      <c r="E2532" s="6" t="s">
        <v>77</v>
      </c>
      <c r="F2532" s="6" t="s">
        <v>54</v>
      </c>
      <c r="G2532" s="6" t="s">
        <v>31</v>
      </c>
      <c r="H2532" s="7">
        <v>1853.0</v>
      </c>
      <c r="I2532" s="7">
        <v>4005.0</v>
      </c>
      <c r="J2532" s="6">
        <v>2009.0</v>
      </c>
      <c r="K2532" s="6">
        <v>80.0</v>
      </c>
      <c r="L2532" s="6" t="s">
        <v>32</v>
      </c>
      <c r="M2532" s="6" t="s">
        <v>5767</v>
      </c>
      <c r="N2532" s="6" t="s">
        <v>34</v>
      </c>
      <c r="O2532" s="6" t="s">
        <v>35</v>
      </c>
      <c r="P2532" s="6">
        <f>COUNTIF(Analysis!$M$1:$M$3001,Analysis!$M1432)</f>
        <v>1</v>
      </c>
      <c r="Q2532" s="6" t="str">
        <f>IF(COUNTIF(Analysis!$M$2:$M$3001,Analysis!$M1432)&gt;1,"Duplicate","OK")</f>
        <v>OK</v>
      </c>
      <c r="R2532" s="6" t="str">
        <f t="shared" si="1"/>
        <v>1600-2600</v>
      </c>
      <c r="S2532" s="6">
        <f t="shared" si="2"/>
        <v>17</v>
      </c>
      <c r="T2532" s="6" t="str">
        <f t="shared" si="3"/>
        <v>Mid</v>
      </c>
    </row>
    <row r="2533" ht="14.25" customHeight="1">
      <c r="A2533" s="5">
        <v>1197928.0</v>
      </c>
      <c r="B2533" s="6" t="s">
        <v>10167</v>
      </c>
      <c r="C2533" s="6" t="s">
        <v>53</v>
      </c>
      <c r="D2533" s="6">
        <v>99142.0</v>
      </c>
      <c r="E2533" s="6" t="s">
        <v>77</v>
      </c>
      <c r="F2533" s="6" t="s">
        <v>61</v>
      </c>
      <c r="G2533" s="6" t="s">
        <v>31</v>
      </c>
      <c r="H2533" s="7">
        <v>2717.0</v>
      </c>
      <c r="I2533" s="7">
        <v>3335.0</v>
      </c>
      <c r="J2533" s="6">
        <v>1985.0</v>
      </c>
      <c r="K2533" s="6">
        <v>96.0</v>
      </c>
      <c r="L2533" s="6" t="s">
        <v>62</v>
      </c>
      <c r="M2533" s="6" t="s">
        <v>10168</v>
      </c>
      <c r="N2533" s="6" t="s">
        <v>48</v>
      </c>
      <c r="O2533" s="6" t="s">
        <v>35</v>
      </c>
      <c r="P2533" s="6">
        <f>COUNTIF(Analysis!$M$1:$M$3001,Analysis!$M2533)</f>
        <v>1</v>
      </c>
      <c r="Q2533" s="6" t="str">
        <f>IF(COUNTIF(Analysis!$M$2:$M$3001,Analysis!$M2533)&gt;1,"Duplicate","OK")</f>
        <v>OK</v>
      </c>
      <c r="R2533" s="6" t="str">
        <f t="shared" si="1"/>
        <v>2600-3600</v>
      </c>
      <c r="S2533" s="6">
        <f t="shared" si="2"/>
        <v>41</v>
      </c>
      <c r="T2533" s="6" t="str">
        <f t="shared" si="3"/>
        <v>Old</v>
      </c>
    </row>
    <row r="2534" ht="14.25" customHeight="1">
      <c r="A2534" s="5">
        <v>1432269.0</v>
      </c>
      <c r="B2534" s="6" t="s">
        <v>10171</v>
      </c>
      <c r="C2534" s="6" t="s">
        <v>53</v>
      </c>
      <c r="D2534" s="6">
        <v>34395.0</v>
      </c>
      <c r="E2534" s="6" t="s">
        <v>77</v>
      </c>
      <c r="F2534" s="6" t="s">
        <v>20</v>
      </c>
      <c r="G2534" s="6" t="s">
        <v>100</v>
      </c>
      <c r="H2534" s="7">
        <v>640.0</v>
      </c>
      <c r="I2534" s="7">
        <v>8485.0</v>
      </c>
      <c r="J2534" s="6">
        <v>1960.0</v>
      </c>
      <c r="K2534" s="6">
        <v>29.0</v>
      </c>
      <c r="L2534" s="6" t="s">
        <v>141</v>
      </c>
      <c r="M2534" s="6" t="s">
        <v>10172</v>
      </c>
      <c r="N2534" s="6" t="s">
        <v>48</v>
      </c>
      <c r="O2534" s="6" t="s">
        <v>49</v>
      </c>
      <c r="P2534" s="6">
        <f>COUNTIF(Analysis!$M$1:$M$3001,Analysis!$M2534)</f>
        <v>1</v>
      </c>
      <c r="Q2534" s="6" t="str">
        <f>IF(COUNTIF(Analysis!$M$2:$M$3001,Analysis!$M2534)&gt;1,"Duplicate","OK")</f>
        <v>OK</v>
      </c>
      <c r="R2534" s="6" t="str">
        <f t="shared" si="1"/>
        <v>600-1600</v>
      </c>
      <c r="S2534" s="6">
        <f t="shared" si="2"/>
        <v>66</v>
      </c>
      <c r="T2534" s="6" t="str">
        <f t="shared" si="3"/>
        <v>Very Old</v>
      </c>
    </row>
    <row r="2535" ht="14.25" customHeight="1">
      <c r="A2535" s="5">
        <v>1123182.0</v>
      </c>
      <c r="B2535" s="6" t="s">
        <v>10175</v>
      </c>
      <c r="C2535" s="6" t="s">
        <v>53</v>
      </c>
      <c r="D2535" s="6">
        <v>79755.0</v>
      </c>
      <c r="E2535" s="6" t="s">
        <v>19</v>
      </c>
      <c r="F2535" s="6" t="s">
        <v>61</v>
      </c>
      <c r="G2535" s="6" t="s">
        <v>100</v>
      </c>
      <c r="H2535" s="7">
        <v>2559.0</v>
      </c>
      <c r="I2535" s="7">
        <v>4137.0</v>
      </c>
      <c r="J2535" s="6">
        <v>1984.0</v>
      </c>
      <c r="K2535" s="6">
        <v>29.0</v>
      </c>
      <c r="L2535" s="6" t="s">
        <v>32</v>
      </c>
      <c r="M2535" s="6" t="s">
        <v>10176</v>
      </c>
      <c r="N2535" s="6" t="s">
        <v>24</v>
      </c>
      <c r="O2535" s="6" t="s">
        <v>25</v>
      </c>
      <c r="P2535" s="6">
        <f>COUNTIF(Analysis!$M$1:$M$3001,Analysis!$M2535)</f>
        <v>1</v>
      </c>
      <c r="Q2535" s="6" t="str">
        <f>IF(COUNTIF(Analysis!$M$2:$M$3001,Analysis!$M2535)&gt;1,"Duplicate","OK")</f>
        <v>OK</v>
      </c>
      <c r="R2535" s="6" t="str">
        <f t="shared" si="1"/>
        <v>1600-2600</v>
      </c>
      <c r="S2535" s="6">
        <f t="shared" si="2"/>
        <v>42</v>
      </c>
      <c r="T2535" s="6" t="str">
        <f t="shared" si="3"/>
        <v>Old</v>
      </c>
    </row>
    <row r="2536" ht="14.25" customHeight="1">
      <c r="A2536" s="5">
        <v>1496721.0</v>
      </c>
      <c r="B2536" s="6" t="s">
        <v>10179</v>
      </c>
      <c r="C2536" s="6" t="s">
        <v>39</v>
      </c>
      <c r="D2536" s="6">
        <v>67956.0</v>
      </c>
      <c r="E2536" s="6" t="s">
        <v>30</v>
      </c>
      <c r="F2536" s="6" t="s">
        <v>46</v>
      </c>
      <c r="G2536" s="6" t="s">
        <v>31</v>
      </c>
      <c r="H2536" s="7">
        <v>1074.0</v>
      </c>
      <c r="I2536" s="7">
        <v>8697.0</v>
      </c>
      <c r="J2536" s="6">
        <v>1993.0</v>
      </c>
      <c r="K2536" s="6">
        <v>23.0</v>
      </c>
      <c r="L2536" s="6" t="s">
        <v>95</v>
      </c>
      <c r="M2536" s="6" t="s">
        <v>10180</v>
      </c>
      <c r="N2536" s="6" t="s">
        <v>48</v>
      </c>
      <c r="O2536" s="6" t="s">
        <v>49</v>
      </c>
      <c r="P2536" s="6">
        <f>COUNTIF(Analysis!$M$1:$M$3001,Analysis!$M2536)</f>
        <v>1</v>
      </c>
      <c r="Q2536" s="6" t="str">
        <f>IF(COUNTIF(Analysis!$M$2:$M$3001,Analysis!$M2536)&gt;1,"Duplicate","OK")</f>
        <v>OK</v>
      </c>
      <c r="R2536" s="6" t="str">
        <f t="shared" si="1"/>
        <v>600-1600</v>
      </c>
      <c r="S2536" s="6">
        <f t="shared" si="2"/>
        <v>33</v>
      </c>
      <c r="T2536" s="6" t="str">
        <f t="shared" si="3"/>
        <v>Old</v>
      </c>
    </row>
    <row r="2537" ht="14.25" customHeight="1">
      <c r="A2537" s="5">
        <v>1258147.0</v>
      </c>
      <c r="B2537" s="6" t="s">
        <v>10183</v>
      </c>
      <c r="C2537" s="6" t="s">
        <v>39</v>
      </c>
      <c r="D2537" s="6">
        <v>87399.0</v>
      </c>
      <c r="E2537" s="6" t="s">
        <v>40</v>
      </c>
      <c r="F2537" s="6" t="s">
        <v>61</v>
      </c>
      <c r="G2537" s="6" t="s">
        <v>21</v>
      </c>
      <c r="H2537" s="7">
        <v>1146.0</v>
      </c>
      <c r="I2537" s="7">
        <v>9817.0</v>
      </c>
      <c r="J2537" s="6">
        <v>2006.0</v>
      </c>
      <c r="K2537" s="6">
        <v>115.0</v>
      </c>
      <c r="L2537" s="6" t="s">
        <v>32</v>
      </c>
      <c r="M2537" s="6" t="s">
        <v>10184</v>
      </c>
      <c r="N2537" s="6" t="s">
        <v>48</v>
      </c>
      <c r="O2537" s="6" t="s">
        <v>49</v>
      </c>
      <c r="P2537" s="6">
        <f>COUNTIF(Analysis!$M$1:$M$3001,Analysis!$M2537)</f>
        <v>1</v>
      </c>
      <c r="Q2537" s="6" t="str">
        <f>IF(COUNTIF(Analysis!$M$2:$M$3001,Analysis!$M2537)&gt;1,"Duplicate","OK")</f>
        <v>OK</v>
      </c>
      <c r="R2537" s="6" t="str">
        <f t="shared" si="1"/>
        <v>600-1600</v>
      </c>
      <c r="S2537" s="6">
        <f t="shared" si="2"/>
        <v>20</v>
      </c>
      <c r="T2537" s="6" t="str">
        <f t="shared" si="3"/>
        <v>Mid</v>
      </c>
    </row>
    <row r="2538" ht="14.25" customHeight="1">
      <c r="A2538" s="5">
        <v>1439743.0</v>
      </c>
      <c r="B2538" s="6" t="s">
        <v>10187</v>
      </c>
      <c r="C2538" s="6" t="s">
        <v>76</v>
      </c>
      <c r="D2538" s="6">
        <v>23668.0</v>
      </c>
      <c r="E2538" s="6" t="s">
        <v>40</v>
      </c>
      <c r="F2538" s="6" t="s">
        <v>41</v>
      </c>
      <c r="G2538" s="6" t="s">
        <v>31</v>
      </c>
      <c r="H2538" s="7">
        <v>2400.0</v>
      </c>
      <c r="I2538" s="7">
        <v>3558.0</v>
      </c>
      <c r="J2538" s="6">
        <v>2003.0</v>
      </c>
      <c r="K2538" s="6">
        <v>30.0</v>
      </c>
      <c r="L2538" s="6" t="s">
        <v>22</v>
      </c>
      <c r="M2538" s="6" t="s">
        <v>10188</v>
      </c>
      <c r="N2538" s="6" t="s">
        <v>64</v>
      </c>
      <c r="O2538" s="6" t="s">
        <v>25</v>
      </c>
      <c r="P2538" s="6">
        <f>COUNTIF(Analysis!$M$1:$M$3001,Analysis!$M2538)</f>
        <v>1</v>
      </c>
      <c r="Q2538" s="6" t="str">
        <f>IF(COUNTIF(Analysis!$M$2:$M$3001,Analysis!$M2538)&gt;1,"Duplicate","OK")</f>
        <v>OK</v>
      </c>
      <c r="R2538" s="6" t="str">
        <f t="shared" si="1"/>
        <v>1600-2600</v>
      </c>
      <c r="S2538" s="6">
        <f t="shared" si="2"/>
        <v>23</v>
      </c>
      <c r="T2538" s="6" t="str">
        <f t="shared" si="3"/>
        <v>Mid</v>
      </c>
    </row>
    <row r="2539" ht="14.25" customHeight="1">
      <c r="A2539" s="5">
        <v>1395131.0</v>
      </c>
      <c r="B2539" s="6" t="s">
        <v>10191</v>
      </c>
      <c r="C2539" s="6" t="s">
        <v>53</v>
      </c>
      <c r="D2539" s="6">
        <v>93832.0</v>
      </c>
      <c r="E2539" s="6" t="s">
        <v>60</v>
      </c>
      <c r="F2539" s="6" t="s">
        <v>46</v>
      </c>
      <c r="G2539" s="6" t="s">
        <v>55</v>
      </c>
      <c r="H2539" s="7">
        <v>3201.0</v>
      </c>
      <c r="I2539" s="7">
        <v>5870.0</v>
      </c>
      <c r="J2539" s="6">
        <v>2022.0</v>
      </c>
      <c r="K2539" s="6">
        <v>1.0</v>
      </c>
      <c r="L2539" s="6" t="s">
        <v>22</v>
      </c>
      <c r="M2539" s="6" t="s">
        <v>10192</v>
      </c>
      <c r="N2539" s="6" t="s">
        <v>64</v>
      </c>
      <c r="O2539" s="6" t="s">
        <v>25</v>
      </c>
      <c r="P2539" s="6">
        <f>COUNTIF(Analysis!$M$1:$M$3001,Analysis!$M2539)</f>
        <v>1</v>
      </c>
      <c r="Q2539" s="6" t="str">
        <f>IF(COUNTIF(Analysis!$M$2:$M$3001,Analysis!$M2539)&gt;1,"Duplicate","OK")</f>
        <v>OK</v>
      </c>
      <c r="R2539" s="6" t="str">
        <f t="shared" si="1"/>
        <v>2600-3600</v>
      </c>
      <c r="S2539" s="6">
        <f t="shared" si="2"/>
        <v>4</v>
      </c>
      <c r="T2539" s="6" t="str">
        <f t="shared" si="3"/>
        <v>New</v>
      </c>
    </row>
    <row r="2540" ht="14.25" customHeight="1">
      <c r="A2540" s="5">
        <v>1308064.0</v>
      </c>
      <c r="B2540" s="6" t="s">
        <v>10915</v>
      </c>
      <c r="C2540" s="6" t="s">
        <v>29</v>
      </c>
      <c r="D2540" s="6">
        <v>86282.0</v>
      </c>
      <c r="E2540" s="6" t="s">
        <v>77</v>
      </c>
      <c r="F2540" s="6" t="s">
        <v>94</v>
      </c>
      <c r="G2540" s="6" t="s">
        <v>21</v>
      </c>
      <c r="H2540" s="7">
        <v>765.0</v>
      </c>
      <c r="I2540" s="7">
        <v>4564.0</v>
      </c>
      <c r="J2540" s="6">
        <v>1995.0</v>
      </c>
      <c r="K2540" s="6">
        <v>99.0</v>
      </c>
      <c r="L2540" s="6" t="s">
        <v>95</v>
      </c>
      <c r="M2540" s="6" t="s">
        <v>10916</v>
      </c>
      <c r="N2540" s="6" t="s">
        <v>48</v>
      </c>
      <c r="O2540" s="6" t="s">
        <v>49</v>
      </c>
      <c r="P2540" s="6">
        <f>COUNTIF(Analysis!$M$1:$M$3001,Analysis!$M2720)</f>
        <v>1</v>
      </c>
      <c r="Q2540" s="6" t="str">
        <f>IF(COUNTIF(Analysis!$M$2:$M$3001,Analysis!$M2720)&gt;1,"Duplicate","OK")</f>
        <v>OK</v>
      </c>
      <c r="R2540" s="6" t="str">
        <f t="shared" si="1"/>
        <v>600-1600</v>
      </c>
      <c r="S2540" s="6">
        <f t="shared" si="2"/>
        <v>31</v>
      </c>
      <c r="T2540" s="6" t="str">
        <f t="shared" si="3"/>
        <v>Old</v>
      </c>
    </row>
    <row r="2541" ht="14.25" customHeight="1">
      <c r="A2541" s="5">
        <v>1076673.0</v>
      </c>
      <c r="B2541" s="6" t="s">
        <v>10199</v>
      </c>
      <c r="C2541" s="6" t="s">
        <v>76</v>
      </c>
      <c r="D2541" s="6">
        <v>58725.0</v>
      </c>
      <c r="E2541" s="6" t="s">
        <v>77</v>
      </c>
      <c r="F2541" s="6" t="s">
        <v>41</v>
      </c>
      <c r="G2541" s="6" t="s">
        <v>31</v>
      </c>
      <c r="H2541" s="7">
        <v>3795.0</v>
      </c>
      <c r="I2541" s="7">
        <v>1401.0</v>
      </c>
      <c r="J2541" s="6">
        <v>1977.0</v>
      </c>
      <c r="K2541" s="6">
        <v>90.0</v>
      </c>
      <c r="L2541" s="6" t="s">
        <v>62</v>
      </c>
      <c r="M2541" s="6" t="s">
        <v>10200</v>
      </c>
      <c r="N2541" s="6" t="s">
        <v>48</v>
      </c>
      <c r="O2541" s="6" t="s">
        <v>35</v>
      </c>
      <c r="P2541" s="6">
        <f>COUNTIF(Analysis!$M$1:$M$3001,Analysis!$M2541)</f>
        <v>1</v>
      </c>
      <c r="Q2541" s="6" t="str">
        <f>IF(COUNTIF(Analysis!$M$2:$M$3001,Analysis!$M2541)&gt;1,"Duplicate","OK")</f>
        <v>OK</v>
      </c>
      <c r="R2541" s="6" t="str">
        <f t="shared" si="1"/>
        <v>3600+</v>
      </c>
      <c r="S2541" s="6">
        <f t="shared" si="2"/>
        <v>49</v>
      </c>
      <c r="T2541" s="6" t="str">
        <f t="shared" si="3"/>
        <v>Old</v>
      </c>
    </row>
    <row r="2542" ht="14.25" customHeight="1">
      <c r="A2542" s="5">
        <v>1316335.0</v>
      </c>
      <c r="B2542" s="6" t="s">
        <v>10495</v>
      </c>
      <c r="C2542" s="6" t="s">
        <v>29</v>
      </c>
      <c r="D2542" s="6">
        <v>80231.0</v>
      </c>
      <c r="E2542" s="6" t="s">
        <v>19</v>
      </c>
      <c r="F2542" s="6" t="s">
        <v>61</v>
      </c>
      <c r="G2542" s="6" t="s">
        <v>31</v>
      </c>
      <c r="H2542" s="7">
        <v>3952.0</v>
      </c>
      <c r="I2542" s="7">
        <v>7159.0</v>
      </c>
      <c r="J2542" s="6">
        <v>2004.0</v>
      </c>
      <c r="K2542" s="6">
        <v>15.0</v>
      </c>
      <c r="L2542" s="6" t="s">
        <v>32</v>
      </c>
      <c r="M2542" s="6" t="s">
        <v>10496</v>
      </c>
      <c r="N2542" s="6" t="s">
        <v>64</v>
      </c>
      <c r="O2542" s="6" t="s">
        <v>49</v>
      </c>
      <c r="P2542" s="6">
        <f>COUNTIF(Analysis!$M$1:$M$3001,Analysis!$M2615)</f>
        <v>1</v>
      </c>
      <c r="Q2542" s="6" t="str">
        <f>IF(COUNTIF(Analysis!$M$2:$M$3001,Analysis!$M2615)&gt;1,"Duplicate","OK")</f>
        <v>OK</v>
      </c>
      <c r="R2542" s="6" t="str">
        <f t="shared" si="1"/>
        <v>3600+</v>
      </c>
      <c r="S2542" s="6">
        <f t="shared" si="2"/>
        <v>22</v>
      </c>
      <c r="T2542" s="6" t="str">
        <f t="shared" si="3"/>
        <v>Mid</v>
      </c>
    </row>
    <row r="2543" ht="14.25" customHeight="1">
      <c r="A2543" s="5">
        <v>1318586.0</v>
      </c>
      <c r="B2543" s="6" t="s">
        <v>7477</v>
      </c>
      <c r="C2543" s="6" t="s">
        <v>29</v>
      </c>
      <c r="D2543" s="6">
        <v>73201.0</v>
      </c>
      <c r="E2543" s="6" t="s">
        <v>19</v>
      </c>
      <c r="F2543" s="6" t="s">
        <v>54</v>
      </c>
      <c r="G2543" s="6" t="s">
        <v>31</v>
      </c>
      <c r="H2543" s="7">
        <v>3154.0</v>
      </c>
      <c r="I2543" s="7">
        <v>4410.0</v>
      </c>
      <c r="J2543" s="6">
        <v>1952.0</v>
      </c>
      <c r="K2543" s="6">
        <v>37.0</v>
      </c>
      <c r="L2543" s="6" t="s">
        <v>22</v>
      </c>
      <c r="M2543" s="6" t="s">
        <v>7478</v>
      </c>
      <c r="N2543" s="6" t="s">
        <v>64</v>
      </c>
      <c r="O2543" s="6" t="s">
        <v>35</v>
      </c>
      <c r="P2543" s="6">
        <f>COUNTIF(Analysis!$M$1:$M$3001,Analysis!$M1860)</f>
        <v>1</v>
      </c>
      <c r="Q2543" s="6" t="str">
        <f>IF(COUNTIF(Analysis!$M$2:$M$3001,Analysis!$M1860)&gt;1,"Duplicate","OK")</f>
        <v>OK</v>
      </c>
      <c r="R2543" s="6" t="str">
        <f t="shared" si="1"/>
        <v>2600-3600</v>
      </c>
      <c r="S2543" s="6">
        <f t="shared" si="2"/>
        <v>74</v>
      </c>
      <c r="T2543" s="6" t="str">
        <f t="shared" si="3"/>
        <v>Very Old</v>
      </c>
    </row>
    <row r="2544" ht="14.25" customHeight="1">
      <c r="A2544" s="5">
        <v>342663.0</v>
      </c>
      <c r="B2544" s="6" t="s">
        <v>10211</v>
      </c>
      <c r="C2544" s="6" t="s">
        <v>18</v>
      </c>
      <c r="D2544" s="6">
        <v>69770.0</v>
      </c>
      <c r="E2544" s="6" t="s">
        <v>60</v>
      </c>
      <c r="F2544" s="6" t="s">
        <v>94</v>
      </c>
      <c r="G2544" s="6" t="s">
        <v>100</v>
      </c>
      <c r="H2544" s="7">
        <v>3499.0</v>
      </c>
      <c r="I2544" s="7">
        <v>8456.0</v>
      </c>
      <c r="J2544" s="6">
        <v>1985.0</v>
      </c>
      <c r="K2544" s="6">
        <v>86.0</v>
      </c>
      <c r="L2544" s="6" t="s">
        <v>62</v>
      </c>
      <c r="M2544" s="6" t="s">
        <v>10212</v>
      </c>
      <c r="N2544" s="6" t="s">
        <v>43</v>
      </c>
      <c r="O2544" s="6" t="s">
        <v>25</v>
      </c>
      <c r="P2544" s="6">
        <f>COUNTIF(Analysis!$M$1:$M$3001,Analysis!$M2544)</f>
        <v>1</v>
      </c>
      <c r="Q2544" s="6" t="str">
        <f>IF(COUNTIF(Analysis!$M$2:$M$3001,Analysis!$M2544)&gt;1,"Duplicate","OK")</f>
        <v>OK</v>
      </c>
      <c r="R2544" s="6" t="str">
        <f t="shared" si="1"/>
        <v>2600-3600</v>
      </c>
      <c r="S2544" s="6">
        <f t="shared" si="2"/>
        <v>41</v>
      </c>
      <c r="T2544" s="6" t="str">
        <f t="shared" si="3"/>
        <v>Old</v>
      </c>
    </row>
    <row r="2545" ht="14.25" customHeight="1">
      <c r="A2545" s="5">
        <v>913054.0</v>
      </c>
      <c r="B2545" s="6" t="s">
        <v>10215</v>
      </c>
      <c r="C2545" s="6" t="s">
        <v>76</v>
      </c>
      <c r="D2545" s="6">
        <v>99109.0</v>
      </c>
      <c r="E2545" s="6" t="s">
        <v>40</v>
      </c>
      <c r="F2545" s="6" t="s">
        <v>20</v>
      </c>
      <c r="G2545" s="6" t="s">
        <v>31</v>
      </c>
      <c r="H2545" s="7">
        <v>1445.0</v>
      </c>
      <c r="I2545" s="7">
        <v>6017.0</v>
      </c>
      <c r="J2545" s="6">
        <v>1972.0</v>
      </c>
      <c r="K2545" s="6">
        <v>62.0</v>
      </c>
      <c r="L2545" s="6" t="s">
        <v>62</v>
      </c>
      <c r="M2545" s="6" t="s">
        <v>10216</v>
      </c>
      <c r="N2545" s="6" t="s">
        <v>24</v>
      </c>
      <c r="O2545" s="6" t="s">
        <v>35</v>
      </c>
      <c r="P2545" s="6">
        <f>COUNTIF(Analysis!$M$1:$M$3001,Analysis!$M2545)</f>
        <v>1</v>
      </c>
      <c r="Q2545" s="6" t="str">
        <f>IF(COUNTIF(Analysis!$M$2:$M$3001,Analysis!$M2545)&gt;1,"Duplicate","OK")</f>
        <v>OK</v>
      </c>
      <c r="R2545" s="6" t="str">
        <f t="shared" si="1"/>
        <v>600-1600</v>
      </c>
      <c r="S2545" s="6">
        <f t="shared" si="2"/>
        <v>54</v>
      </c>
      <c r="T2545" s="6" t="str">
        <f t="shared" si="3"/>
        <v>Old</v>
      </c>
    </row>
    <row r="2546" ht="14.25" customHeight="1">
      <c r="A2546" s="5">
        <v>1430943.0</v>
      </c>
      <c r="B2546" s="6" t="s">
        <v>10219</v>
      </c>
      <c r="C2546" s="6" t="s">
        <v>18</v>
      </c>
      <c r="D2546" s="6">
        <v>39273.0</v>
      </c>
      <c r="E2546" s="6" t="s">
        <v>19</v>
      </c>
      <c r="F2546" s="6" t="s">
        <v>46</v>
      </c>
      <c r="G2546" s="6" t="s">
        <v>55</v>
      </c>
      <c r="H2546" s="7">
        <v>838.0</v>
      </c>
      <c r="I2546" s="7">
        <v>8886.0</v>
      </c>
      <c r="J2546" s="6">
        <v>1974.0</v>
      </c>
      <c r="K2546" s="6">
        <v>33.0</v>
      </c>
      <c r="L2546" s="6" t="s">
        <v>141</v>
      </c>
      <c r="M2546" s="6" t="s">
        <v>10220</v>
      </c>
      <c r="N2546" s="6" t="s">
        <v>34</v>
      </c>
      <c r="O2546" s="6" t="s">
        <v>49</v>
      </c>
      <c r="P2546" s="6">
        <f>COUNTIF(Analysis!$M$1:$M$3001,Analysis!$M2546)</f>
        <v>1</v>
      </c>
      <c r="Q2546" s="6" t="str">
        <f>IF(COUNTIF(Analysis!$M$2:$M$3001,Analysis!$M2546)&gt;1,"Duplicate","OK")</f>
        <v>OK</v>
      </c>
      <c r="R2546" s="6" t="str">
        <f t="shared" si="1"/>
        <v>600-1600</v>
      </c>
      <c r="S2546" s="6">
        <f t="shared" si="2"/>
        <v>52</v>
      </c>
      <c r="T2546" s="6" t="str">
        <f t="shared" si="3"/>
        <v>Old</v>
      </c>
    </row>
    <row r="2547" ht="14.25" customHeight="1">
      <c r="A2547" s="5">
        <v>1197039.0</v>
      </c>
      <c r="B2547" s="6" t="s">
        <v>10223</v>
      </c>
      <c r="C2547" s="6" t="s">
        <v>53</v>
      </c>
      <c r="D2547" s="6">
        <v>82851.0</v>
      </c>
      <c r="E2547" s="6" t="s">
        <v>40</v>
      </c>
      <c r="F2547" s="6" t="s">
        <v>41</v>
      </c>
      <c r="G2547" s="6" t="s">
        <v>55</v>
      </c>
      <c r="H2547" s="7">
        <v>2680.0</v>
      </c>
      <c r="I2547" s="7">
        <v>9331.0</v>
      </c>
      <c r="J2547" s="6">
        <v>1951.0</v>
      </c>
      <c r="K2547" s="6">
        <v>99.0</v>
      </c>
      <c r="L2547" s="6" t="s">
        <v>141</v>
      </c>
      <c r="M2547" s="6" t="s">
        <v>10224</v>
      </c>
      <c r="N2547" s="6" t="s">
        <v>43</v>
      </c>
      <c r="O2547" s="6" t="s">
        <v>49</v>
      </c>
      <c r="P2547" s="6">
        <f>COUNTIF(Analysis!$M$1:$M$3001,Analysis!$M2547)</f>
        <v>1</v>
      </c>
      <c r="Q2547" s="6" t="str">
        <f>IF(COUNTIF(Analysis!$M$2:$M$3001,Analysis!$M2547)&gt;1,"Duplicate","OK")</f>
        <v>OK</v>
      </c>
      <c r="R2547" s="6" t="str">
        <f t="shared" si="1"/>
        <v>2600-3600</v>
      </c>
      <c r="S2547" s="6">
        <f t="shared" si="2"/>
        <v>75</v>
      </c>
      <c r="T2547" s="6" t="str">
        <f t="shared" si="3"/>
        <v>Very Old</v>
      </c>
    </row>
    <row r="2548" ht="14.25" customHeight="1">
      <c r="A2548" s="5">
        <v>325009.0</v>
      </c>
      <c r="B2548" s="6" t="s">
        <v>10227</v>
      </c>
      <c r="C2548" s="6" t="s">
        <v>76</v>
      </c>
      <c r="D2548" s="6">
        <v>94122.0</v>
      </c>
      <c r="E2548" s="6" t="s">
        <v>30</v>
      </c>
      <c r="F2548" s="6" t="s">
        <v>94</v>
      </c>
      <c r="G2548" s="6" t="s">
        <v>100</v>
      </c>
      <c r="H2548" s="7">
        <v>3812.0</v>
      </c>
      <c r="I2548" s="7">
        <v>4888.0</v>
      </c>
      <c r="J2548" s="6">
        <v>2021.0</v>
      </c>
      <c r="K2548" s="6">
        <v>84.0</v>
      </c>
      <c r="L2548" s="6" t="s">
        <v>141</v>
      </c>
      <c r="M2548" s="6" t="s">
        <v>10228</v>
      </c>
      <c r="N2548" s="6" t="s">
        <v>64</v>
      </c>
      <c r="O2548" s="6" t="s">
        <v>25</v>
      </c>
      <c r="P2548" s="6">
        <f>COUNTIF(Analysis!$M$1:$M$3001,Analysis!$M2548)</f>
        <v>1</v>
      </c>
      <c r="Q2548" s="6" t="str">
        <f>IF(COUNTIF(Analysis!$M$2:$M$3001,Analysis!$M2548)&gt;1,"Duplicate","OK")</f>
        <v>OK</v>
      </c>
      <c r="R2548" s="6" t="str">
        <f t="shared" si="1"/>
        <v>3600+</v>
      </c>
      <c r="S2548" s="6">
        <f t="shared" si="2"/>
        <v>5</v>
      </c>
      <c r="T2548" s="6" t="str">
        <f t="shared" si="3"/>
        <v>New</v>
      </c>
    </row>
    <row r="2549" ht="14.25" customHeight="1">
      <c r="A2549" s="5">
        <v>935650.0</v>
      </c>
      <c r="B2549" s="6" t="s">
        <v>10231</v>
      </c>
      <c r="C2549" s="6" t="s">
        <v>76</v>
      </c>
      <c r="D2549" s="6">
        <v>37653.0</v>
      </c>
      <c r="E2549" s="6" t="s">
        <v>19</v>
      </c>
      <c r="F2549" s="6" t="s">
        <v>20</v>
      </c>
      <c r="G2549" s="6" t="s">
        <v>21</v>
      </c>
      <c r="H2549" s="7">
        <v>2725.0</v>
      </c>
      <c r="I2549" s="7">
        <v>8055.0</v>
      </c>
      <c r="J2549" s="6">
        <v>1996.0</v>
      </c>
      <c r="K2549" s="6">
        <v>16.0</v>
      </c>
      <c r="L2549" s="6" t="s">
        <v>95</v>
      </c>
      <c r="M2549" s="6" t="s">
        <v>10232</v>
      </c>
      <c r="N2549" s="6" t="s">
        <v>48</v>
      </c>
      <c r="O2549" s="6" t="s">
        <v>35</v>
      </c>
      <c r="P2549" s="6">
        <f>COUNTIF(Analysis!$M$1:$M$3001,Analysis!$M2549)</f>
        <v>1</v>
      </c>
      <c r="Q2549" s="6" t="str">
        <f>IF(COUNTIF(Analysis!$M$2:$M$3001,Analysis!$M2549)&gt;1,"Duplicate","OK")</f>
        <v>OK</v>
      </c>
      <c r="R2549" s="6" t="str">
        <f t="shared" si="1"/>
        <v>2600-3600</v>
      </c>
      <c r="S2549" s="6">
        <f t="shared" si="2"/>
        <v>30</v>
      </c>
      <c r="T2549" s="6" t="str">
        <f t="shared" si="3"/>
        <v>Mid</v>
      </c>
    </row>
    <row r="2550" ht="14.25" customHeight="1">
      <c r="A2550" s="5">
        <v>1321540.0</v>
      </c>
      <c r="B2550" s="6" t="s">
        <v>741</v>
      </c>
      <c r="C2550" s="6" t="s">
        <v>29</v>
      </c>
      <c r="D2550" s="6">
        <v>56386.0</v>
      </c>
      <c r="E2550" s="6" t="s">
        <v>77</v>
      </c>
      <c r="F2550" s="6" t="s">
        <v>20</v>
      </c>
      <c r="G2550" s="6" t="s">
        <v>100</v>
      </c>
      <c r="H2550" s="7">
        <v>1697.0</v>
      </c>
      <c r="I2550" s="7">
        <v>3282.0</v>
      </c>
      <c r="J2550" s="6">
        <v>1964.0</v>
      </c>
      <c r="K2550" s="6">
        <v>108.0</v>
      </c>
      <c r="L2550" s="6" t="s">
        <v>141</v>
      </c>
      <c r="M2550" s="6" t="s">
        <v>742</v>
      </c>
      <c r="N2550" s="6" t="s">
        <v>34</v>
      </c>
      <c r="O2550" s="6" t="s">
        <v>25</v>
      </c>
      <c r="P2550" s="6">
        <f>COUNTIF(Analysis!$M$1:$M$3001,Analysis!$M175)</f>
        <v>1</v>
      </c>
      <c r="Q2550" s="6" t="str">
        <f>IF(COUNTIF(Analysis!$M$2:$M$3001,Analysis!$M175)&gt;1,"Duplicate","OK")</f>
        <v>OK</v>
      </c>
      <c r="R2550" s="6" t="str">
        <f t="shared" si="1"/>
        <v>1600-2600</v>
      </c>
      <c r="S2550" s="6">
        <f t="shared" si="2"/>
        <v>62</v>
      </c>
      <c r="T2550" s="6" t="str">
        <f t="shared" si="3"/>
        <v>Very Old</v>
      </c>
    </row>
    <row r="2551" ht="14.25" customHeight="1">
      <c r="A2551" s="5">
        <v>225216.0</v>
      </c>
      <c r="B2551" s="6" t="s">
        <v>10239</v>
      </c>
      <c r="C2551" s="6" t="s">
        <v>76</v>
      </c>
      <c r="D2551" s="6">
        <v>75563.0</v>
      </c>
      <c r="E2551" s="6" t="s">
        <v>60</v>
      </c>
      <c r="F2551" s="6" t="s">
        <v>20</v>
      </c>
      <c r="G2551" s="6" t="s">
        <v>21</v>
      </c>
      <c r="H2551" s="7">
        <v>1767.0</v>
      </c>
      <c r="I2551" s="7">
        <v>7923.0</v>
      </c>
      <c r="J2551" s="6">
        <v>1988.0</v>
      </c>
      <c r="K2551" s="6">
        <v>34.0</v>
      </c>
      <c r="L2551" s="6" t="s">
        <v>22</v>
      </c>
      <c r="M2551" s="6" t="s">
        <v>10240</v>
      </c>
      <c r="N2551" s="6" t="s">
        <v>48</v>
      </c>
      <c r="O2551" s="6" t="s">
        <v>35</v>
      </c>
      <c r="P2551" s="6">
        <f>COUNTIF(Analysis!$M$1:$M$3001,Analysis!$M2551)</f>
        <v>1</v>
      </c>
      <c r="Q2551" s="6" t="str">
        <f>IF(COUNTIF(Analysis!$M$2:$M$3001,Analysis!$M2551)&gt;1,"Duplicate","OK")</f>
        <v>OK</v>
      </c>
      <c r="R2551" s="6" t="str">
        <f t="shared" si="1"/>
        <v>1600-2600</v>
      </c>
      <c r="S2551" s="6">
        <f t="shared" si="2"/>
        <v>38</v>
      </c>
      <c r="T2551" s="6" t="str">
        <f t="shared" si="3"/>
        <v>Old</v>
      </c>
    </row>
    <row r="2552" ht="14.25" customHeight="1">
      <c r="A2552" s="5">
        <v>640648.0</v>
      </c>
      <c r="B2552" s="6" t="s">
        <v>10243</v>
      </c>
      <c r="C2552" s="6" t="s">
        <v>18</v>
      </c>
      <c r="D2552" s="6">
        <v>51904.0</v>
      </c>
      <c r="E2552" s="6" t="s">
        <v>19</v>
      </c>
      <c r="F2552" s="6" t="s">
        <v>20</v>
      </c>
      <c r="G2552" s="6" t="s">
        <v>100</v>
      </c>
      <c r="H2552" s="7">
        <v>3603.0</v>
      </c>
      <c r="I2552" s="7">
        <v>7329.0</v>
      </c>
      <c r="J2552" s="6">
        <v>2008.0</v>
      </c>
      <c r="K2552" s="6">
        <v>7.0</v>
      </c>
      <c r="L2552" s="6" t="s">
        <v>141</v>
      </c>
      <c r="M2552" s="6" t="s">
        <v>10244</v>
      </c>
      <c r="N2552" s="6" t="s">
        <v>64</v>
      </c>
      <c r="O2552" s="6" t="s">
        <v>49</v>
      </c>
      <c r="P2552" s="6">
        <f>COUNTIF(Analysis!$M$1:$M$3001,Analysis!$M2552)</f>
        <v>1</v>
      </c>
      <c r="Q2552" s="6" t="str">
        <f>IF(COUNTIF(Analysis!$M$2:$M$3001,Analysis!$M2552)&gt;1,"Duplicate","OK")</f>
        <v>OK</v>
      </c>
      <c r="R2552" s="6" t="str">
        <f t="shared" si="1"/>
        <v>3600+</v>
      </c>
      <c r="S2552" s="6">
        <f t="shared" si="2"/>
        <v>18</v>
      </c>
      <c r="T2552" s="6" t="str">
        <f t="shared" si="3"/>
        <v>Mid</v>
      </c>
    </row>
    <row r="2553" ht="14.25" customHeight="1">
      <c r="A2553" s="5">
        <v>708703.0</v>
      </c>
      <c r="B2553" s="6" t="s">
        <v>10247</v>
      </c>
      <c r="C2553" s="6" t="s">
        <v>39</v>
      </c>
      <c r="D2553" s="6">
        <v>34748.0</v>
      </c>
      <c r="E2553" s="6" t="s">
        <v>30</v>
      </c>
      <c r="F2553" s="6" t="s">
        <v>54</v>
      </c>
      <c r="G2553" s="6" t="s">
        <v>55</v>
      </c>
      <c r="H2553" s="7">
        <v>2087.0</v>
      </c>
      <c r="I2553" s="7">
        <v>6203.0</v>
      </c>
      <c r="J2553" s="6">
        <v>2023.0</v>
      </c>
      <c r="K2553" s="6">
        <v>108.0</v>
      </c>
      <c r="L2553" s="6" t="s">
        <v>22</v>
      </c>
      <c r="M2553" s="6" t="s">
        <v>10248</v>
      </c>
      <c r="N2553" s="6" t="s">
        <v>24</v>
      </c>
      <c r="O2553" s="6" t="s">
        <v>25</v>
      </c>
      <c r="P2553" s="6">
        <f>COUNTIF(Analysis!$M$1:$M$3001,Analysis!$M2553)</f>
        <v>1</v>
      </c>
      <c r="Q2553" s="6" t="str">
        <f>IF(COUNTIF(Analysis!$M$2:$M$3001,Analysis!$M2553)&gt;1,"Duplicate","OK")</f>
        <v>OK</v>
      </c>
      <c r="R2553" s="6" t="str">
        <f t="shared" si="1"/>
        <v>1600-2600</v>
      </c>
      <c r="S2553" s="6">
        <f t="shared" si="2"/>
        <v>3</v>
      </c>
      <c r="T2553" s="6" t="str">
        <f t="shared" si="3"/>
        <v>New</v>
      </c>
    </row>
    <row r="2554" ht="14.25" customHeight="1">
      <c r="A2554" s="5">
        <v>957576.0</v>
      </c>
      <c r="B2554" s="6" t="s">
        <v>10251</v>
      </c>
      <c r="C2554" s="6" t="s">
        <v>76</v>
      </c>
      <c r="D2554" s="6">
        <v>12301.0</v>
      </c>
      <c r="E2554" s="6" t="s">
        <v>19</v>
      </c>
      <c r="F2554" s="6" t="s">
        <v>20</v>
      </c>
      <c r="G2554" s="6" t="s">
        <v>21</v>
      </c>
      <c r="H2554" s="7">
        <v>3449.0</v>
      </c>
      <c r="I2554" s="7">
        <v>1752.0</v>
      </c>
      <c r="J2554" s="6">
        <v>1968.0</v>
      </c>
      <c r="K2554" s="6">
        <v>78.0</v>
      </c>
      <c r="L2554" s="6" t="s">
        <v>22</v>
      </c>
      <c r="M2554" s="6" t="s">
        <v>10252</v>
      </c>
      <c r="N2554" s="6" t="s">
        <v>24</v>
      </c>
      <c r="O2554" s="6" t="s">
        <v>25</v>
      </c>
      <c r="P2554" s="6">
        <f>COUNTIF(Analysis!$M$1:$M$3001,Analysis!$M2554)</f>
        <v>1</v>
      </c>
      <c r="Q2554" s="6" t="str">
        <f>IF(COUNTIF(Analysis!$M$2:$M$3001,Analysis!$M2554)&gt;1,"Duplicate","OK")</f>
        <v>OK</v>
      </c>
      <c r="R2554" s="6" t="str">
        <f t="shared" si="1"/>
        <v>2600-3600</v>
      </c>
      <c r="S2554" s="6">
        <f t="shared" si="2"/>
        <v>58</v>
      </c>
      <c r="T2554" s="6" t="str">
        <f t="shared" si="3"/>
        <v>Old</v>
      </c>
    </row>
    <row r="2555" ht="14.25" customHeight="1">
      <c r="A2555" s="5">
        <v>999232.0</v>
      </c>
      <c r="B2555" s="6" t="s">
        <v>10255</v>
      </c>
      <c r="C2555" s="6" t="s">
        <v>18</v>
      </c>
      <c r="D2555" s="6">
        <v>42128.0</v>
      </c>
      <c r="E2555" s="6" t="s">
        <v>77</v>
      </c>
      <c r="F2555" s="6" t="s">
        <v>94</v>
      </c>
      <c r="G2555" s="6" t="s">
        <v>55</v>
      </c>
      <c r="H2555" s="7">
        <v>677.0</v>
      </c>
      <c r="I2555" s="7">
        <v>2720.0</v>
      </c>
      <c r="J2555" s="6">
        <v>1963.0</v>
      </c>
      <c r="K2555" s="6">
        <v>51.0</v>
      </c>
      <c r="L2555" s="6" t="s">
        <v>32</v>
      </c>
      <c r="M2555" s="6" t="s">
        <v>10256</v>
      </c>
      <c r="N2555" s="6" t="s">
        <v>24</v>
      </c>
      <c r="O2555" s="6" t="s">
        <v>25</v>
      </c>
      <c r="P2555" s="6">
        <f>COUNTIF(Analysis!$M$1:$M$3001,Analysis!$M2555)</f>
        <v>1</v>
      </c>
      <c r="Q2555" s="6" t="str">
        <f>IF(COUNTIF(Analysis!$M$2:$M$3001,Analysis!$M2555)&gt;1,"Duplicate","OK")</f>
        <v>OK</v>
      </c>
      <c r="R2555" s="6" t="str">
        <f t="shared" si="1"/>
        <v>600-1600</v>
      </c>
      <c r="S2555" s="6">
        <f t="shared" si="2"/>
        <v>63</v>
      </c>
      <c r="T2555" s="6" t="str">
        <f t="shared" si="3"/>
        <v>Very Old</v>
      </c>
    </row>
    <row r="2556" ht="14.25" customHeight="1">
      <c r="A2556" s="5">
        <v>1048735.0</v>
      </c>
      <c r="B2556" s="6" t="s">
        <v>10259</v>
      </c>
      <c r="C2556" s="6" t="s">
        <v>76</v>
      </c>
      <c r="D2556" s="6">
        <v>52335.0</v>
      </c>
      <c r="E2556" s="6" t="s">
        <v>60</v>
      </c>
      <c r="F2556" s="6" t="s">
        <v>54</v>
      </c>
      <c r="G2556" s="6" t="s">
        <v>55</v>
      </c>
      <c r="H2556" s="7">
        <v>2976.0</v>
      </c>
      <c r="I2556" s="7">
        <v>3492.0</v>
      </c>
      <c r="J2556" s="6">
        <v>2005.0</v>
      </c>
      <c r="K2556" s="6">
        <v>107.0</v>
      </c>
      <c r="L2556" s="6" t="s">
        <v>62</v>
      </c>
      <c r="M2556" s="6" t="s">
        <v>10260</v>
      </c>
      <c r="N2556" s="6" t="s">
        <v>34</v>
      </c>
      <c r="O2556" s="6" t="s">
        <v>25</v>
      </c>
      <c r="P2556" s="6">
        <f>COUNTIF(Analysis!$M$1:$M$3001,Analysis!$M2556)</f>
        <v>1</v>
      </c>
      <c r="Q2556" s="6" t="str">
        <f>IF(COUNTIF(Analysis!$M$2:$M$3001,Analysis!$M2556)&gt;1,"Duplicate","OK")</f>
        <v>OK</v>
      </c>
      <c r="R2556" s="6" t="str">
        <f t="shared" si="1"/>
        <v>2600-3600</v>
      </c>
      <c r="S2556" s="6">
        <f t="shared" si="2"/>
        <v>21</v>
      </c>
      <c r="T2556" s="6" t="str">
        <f t="shared" si="3"/>
        <v>Mid</v>
      </c>
    </row>
    <row r="2557" ht="14.25" customHeight="1">
      <c r="A2557" s="5">
        <v>462296.0</v>
      </c>
      <c r="B2557" s="6" t="s">
        <v>10263</v>
      </c>
      <c r="C2557" s="6" t="s">
        <v>18</v>
      </c>
      <c r="D2557" s="6">
        <v>39144.0</v>
      </c>
      <c r="E2557" s="6" t="s">
        <v>19</v>
      </c>
      <c r="F2557" s="6" t="s">
        <v>41</v>
      </c>
      <c r="G2557" s="6" t="s">
        <v>21</v>
      </c>
      <c r="H2557" s="7">
        <v>1597.0</v>
      </c>
      <c r="I2557" s="7">
        <v>2002.0</v>
      </c>
      <c r="J2557" s="6">
        <v>1994.0</v>
      </c>
      <c r="K2557" s="6">
        <v>79.0</v>
      </c>
      <c r="L2557" s="6" t="s">
        <v>62</v>
      </c>
      <c r="M2557" s="6" t="s">
        <v>10264</v>
      </c>
      <c r="N2557" s="6" t="s">
        <v>43</v>
      </c>
      <c r="O2557" s="6" t="s">
        <v>25</v>
      </c>
      <c r="P2557" s="6">
        <f>COUNTIF(Analysis!$M$1:$M$3001,Analysis!$M2557)</f>
        <v>1</v>
      </c>
      <c r="Q2557" s="6" t="str">
        <f>IF(COUNTIF(Analysis!$M$2:$M$3001,Analysis!$M2557)&gt;1,"Duplicate","OK")</f>
        <v>OK</v>
      </c>
      <c r="R2557" s="6" t="str">
        <f t="shared" si="1"/>
        <v>600-1600</v>
      </c>
      <c r="S2557" s="6">
        <f t="shared" si="2"/>
        <v>32</v>
      </c>
      <c r="T2557" s="6" t="str">
        <f t="shared" si="3"/>
        <v>Old</v>
      </c>
    </row>
    <row r="2558" ht="14.25" customHeight="1">
      <c r="A2558" s="5">
        <v>1177290.0</v>
      </c>
      <c r="B2558" s="6" t="s">
        <v>10267</v>
      </c>
      <c r="C2558" s="6" t="s">
        <v>76</v>
      </c>
      <c r="D2558" s="6">
        <v>77910.0</v>
      </c>
      <c r="E2558" s="6" t="s">
        <v>30</v>
      </c>
      <c r="F2558" s="6" t="s">
        <v>20</v>
      </c>
      <c r="G2558" s="6" t="s">
        <v>21</v>
      </c>
      <c r="H2558" s="7">
        <v>1465.0</v>
      </c>
      <c r="I2558" s="7">
        <v>2488.0</v>
      </c>
      <c r="J2558" s="6">
        <v>2023.0</v>
      </c>
      <c r="K2558" s="6">
        <v>77.0</v>
      </c>
      <c r="L2558" s="6" t="s">
        <v>95</v>
      </c>
      <c r="M2558" s="6" t="s">
        <v>10268</v>
      </c>
      <c r="N2558" s="6" t="s">
        <v>43</v>
      </c>
      <c r="O2558" s="6" t="s">
        <v>35</v>
      </c>
      <c r="P2558" s="6">
        <f>COUNTIF(Analysis!$M$1:$M$3001,Analysis!$M2558)</f>
        <v>1</v>
      </c>
      <c r="Q2558" s="6" t="str">
        <f>IF(COUNTIF(Analysis!$M$2:$M$3001,Analysis!$M2558)&gt;1,"Duplicate","OK")</f>
        <v>OK</v>
      </c>
      <c r="R2558" s="6" t="str">
        <f t="shared" si="1"/>
        <v>600-1600</v>
      </c>
      <c r="S2558" s="6">
        <f t="shared" si="2"/>
        <v>3</v>
      </c>
      <c r="T2558" s="6" t="str">
        <f t="shared" si="3"/>
        <v>New</v>
      </c>
    </row>
    <row r="2559" ht="14.25" customHeight="1">
      <c r="A2559" s="5">
        <v>742621.0</v>
      </c>
      <c r="B2559" s="6" t="s">
        <v>10271</v>
      </c>
      <c r="C2559" s="6" t="s">
        <v>18</v>
      </c>
      <c r="D2559" s="6">
        <v>89949.0</v>
      </c>
      <c r="E2559" s="6" t="s">
        <v>40</v>
      </c>
      <c r="F2559" s="6" t="s">
        <v>46</v>
      </c>
      <c r="G2559" s="6" t="s">
        <v>31</v>
      </c>
      <c r="H2559" s="7">
        <v>1787.0</v>
      </c>
      <c r="I2559" s="7">
        <v>3019.0</v>
      </c>
      <c r="J2559" s="6">
        <v>1988.0</v>
      </c>
      <c r="K2559" s="6">
        <v>18.0</v>
      </c>
      <c r="L2559" s="6" t="s">
        <v>95</v>
      </c>
      <c r="M2559" s="6" t="s">
        <v>10272</v>
      </c>
      <c r="N2559" s="6" t="s">
        <v>43</v>
      </c>
      <c r="O2559" s="6" t="s">
        <v>49</v>
      </c>
      <c r="P2559" s="6">
        <f>COUNTIF(Analysis!$M$1:$M$3001,Analysis!$M2559)</f>
        <v>1</v>
      </c>
      <c r="Q2559" s="6" t="str">
        <f>IF(COUNTIF(Analysis!$M$2:$M$3001,Analysis!$M2559)&gt;1,"Duplicate","OK")</f>
        <v>OK</v>
      </c>
      <c r="R2559" s="6" t="str">
        <f t="shared" si="1"/>
        <v>1600-2600</v>
      </c>
      <c r="S2559" s="6">
        <f t="shared" si="2"/>
        <v>38</v>
      </c>
      <c r="T2559" s="6" t="str">
        <f t="shared" si="3"/>
        <v>Old</v>
      </c>
    </row>
    <row r="2560" ht="14.25" customHeight="1">
      <c r="A2560" s="5">
        <v>923487.0</v>
      </c>
      <c r="B2560" s="6" t="s">
        <v>10275</v>
      </c>
      <c r="C2560" s="6" t="s">
        <v>39</v>
      </c>
      <c r="D2560" s="6">
        <v>70846.0</v>
      </c>
      <c r="E2560" s="6" t="s">
        <v>40</v>
      </c>
      <c r="F2560" s="6" t="s">
        <v>61</v>
      </c>
      <c r="G2560" s="6" t="s">
        <v>55</v>
      </c>
      <c r="H2560" s="7">
        <v>1085.0</v>
      </c>
      <c r="I2560" s="7">
        <v>9452.0</v>
      </c>
      <c r="J2560" s="6">
        <v>2017.0</v>
      </c>
      <c r="K2560" s="6">
        <v>100.0</v>
      </c>
      <c r="L2560" s="6" t="s">
        <v>22</v>
      </c>
      <c r="M2560" s="6" t="s">
        <v>10276</v>
      </c>
      <c r="N2560" s="6" t="s">
        <v>43</v>
      </c>
      <c r="O2560" s="6" t="s">
        <v>35</v>
      </c>
      <c r="P2560" s="6">
        <f>COUNTIF(Analysis!$M$1:$M$3001,Analysis!$M2560)</f>
        <v>1</v>
      </c>
      <c r="Q2560" s="6" t="str">
        <f>IF(COUNTIF(Analysis!$M$2:$M$3001,Analysis!$M2560)&gt;1,"Duplicate","OK")</f>
        <v>OK</v>
      </c>
      <c r="R2560" s="6" t="str">
        <f t="shared" si="1"/>
        <v>600-1600</v>
      </c>
      <c r="S2560" s="6">
        <f t="shared" si="2"/>
        <v>9</v>
      </c>
      <c r="T2560" s="6" t="str">
        <f t="shared" si="3"/>
        <v>New</v>
      </c>
    </row>
    <row r="2561" ht="14.25" customHeight="1">
      <c r="A2561" s="5">
        <v>1324558.0</v>
      </c>
      <c r="B2561" s="6" t="s">
        <v>11874</v>
      </c>
      <c r="C2561" s="6" t="s">
        <v>29</v>
      </c>
      <c r="D2561" s="6">
        <v>22788.0</v>
      </c>
      <c r="E2561" s="6" t="s">
        <v>30</v>
      </c>
      <c r="F2561" s="6" t="s">
        <v>46</v>
      </c>
      <c r="G2561" s="6" t="s">
        <v>100</v>
      </c>
      <c r="H2561" s="7">
        <v>937.0</v>
      </c>
      <c r="I2561" s="7">
        <v>4818.0</v>
      </c>
      <c r="J2561" s="6">
        <v>1953.0</v>
      </c>
      <c r="K2561" s="6">
        <v>49.0</v>
      </c>
      <c r="L2561" s="6" t="s">
        <v>22</v>
      </c>
      <c r="M2561" s="6" t="s">
        <v>11875</v>
      </c>
      <c r="N2561" s="6" t="s">
        <v>24</v>
      </c>
      <c r="O2561" s="6" t="s">
        <v>49</v>
      </c>
      <c r="P2561" s="6">
        <f>COUNTIF(Analysis!$M$1:$M$3001,Analysis!$M2960)</f>
        <v>1</v>
      </c>
      <c r="Q2561" s="6" t="str">
        <f>IF(COUNTIF(Analysis!$M$2:$M$3001,Analysis!$M2960)&gt;1,"Duplicate","OK")</f>
        <v>OK</v>
      </c>
      <c r="R2561" s="6" t="str">
        <f t="shared" si="1"/>
        <v>600-1600</v>
      </c>
      <c r="S2561" s="6">
        <f t="shared" si="2"/>
        <v>73</v>
      </c>
      <c r="T2561" s="6" t="str">
        <f t="shared" si="3"/>
        <v>Very Old</v>
      </c>
    </row>
    <row r="2562" ht="14.25" customHeight="1">
      <c r="A2562" s="5">
        <v>1159949.0</v>
      </c>
      <c r="B2562" s="6" t="s">
        <v>10283</v>
      </c>
      <c r="C2562" s="6" t="s">
        <v>39</v>
      </c>
      <c r="D2562" s="6">
        <v>15971.0</v>
      </c>
      <c r="E2562" s="6" t="s">
        <v>77</v>
      </c>
      <c r="F2562" s="6" t="s">
        <v>54</v>
      </c>
      <c r="G2562" s="6" t="s">
        <v>55</v>
      </c>
      <c r="H2562" s="7">
        <v>797.0</v>
      </c>
      <c r="I2562" s="7">
        <v>4774.0</v>
      </c>
      <c r="J2562" s="6">
        <v>1953.0</v>
      </c>
      <c r="K2562" s="6">
        <v>49.0</v>
      </c>
      <c r="L2562" s="6" t="s">
        <v>22</v>
      </c>
      <c r="M2562" s="6" t="s">
        <v>10284</v>
      </c>
      <c r="N2562" s="6" t="s">
        <v>24</v>
      </c>
      <c r="O2562" s="6" t="s">
        <v>35</v>
      </c>
      <c r="P2562" s="6">
        <f>COUNTIF(Analysis!$M$1:$M$3001,Analysis!$M2562)</f>
        <v>1</v>
      </c>
      <c r="Q2562" s="6" t="str">
        <f>IF(COUNTIF(Analysis!$M$2:$M$3001,Analysis!$M2562)&gt;1,"Duplicate","OK")</f>
        <v>OK</v>
      </c>
      <c r="R2562" s="6" t="str">
        <f t="shared" si="1"/>
        <v>600-1600</v>
      </c>
      <c r="S2562" s="6">
        <f t="shared" si="2"/>
        <v>73</v>
      </c>
      <c r="T2562" s="6" t="str">
        <f t="shared" si="3"/>
        <v>Very Old</v>
      </c>
    </row>
    <row r="2563" ht="14.25" customHeight="1">
      <c r="A2563" s="5">
        <v>1324583.0</v>
      </c>
      <c r="B2563" s="6" t="s">
        <v>2679</v>
      </c>
      <c r="C2563" s="6" t="s">
        <v>29</v>
      </c>
      <c r="D2563" s="6">
        <v>14836.0</v>
      </c>
      <c r="E2563" s="6" t="s">
        <v>30</v>
      </c>
      <c r="F2563" s="6" t="s">
        <v>61</v>
      </c>
      <c r="G2563" s="6" t="s">
        <v>55</v>
      </c>
      <c r="H2563" s="7">
        <v>3818.0</v>
      </c>
      <c r="I2563" s="7">
        <v>5126.0</v>
      </c>
      <c r="J2563" s="6">
        <v>1992.0</v>
      </c>
      <c r="K2563" s="6">
        <v>33.0</v>
      </c>
      <c r="L2563" s="6" t="s">
        <v>32</v>
      </c>
      <c r="M2563" s="6" t="s">
        <v>2680</v>
      </c>
      <c r="N2563" s="6" t="s">
        <v>64</v>
      </c>
      <c r="O2563" s="6" t="s">
        <v>25</v>
      </c>
      <c r="P2563" s="6">
        <f>COUNTIF(Analysis!$M$1:$M$3001,Analysis!$M660)</f>
        <v>1</v>
      </c>
      <c r="Q2563" s="6" t="str">
        <f>IF(COUNTIF(Analysis!$M$2:$M$3001,Analysis!$M660)&gt;1,"Duplicate","OK")</f>
        <v>OK</v>
      </c>
      <c r="R2563" s="6" t="str">
        <f t="shared" si="1"/>
        <v>3600+</v>
      </c>
      <c r="S2563" s="6">
        <f t="shared" si="2"/>
        <v>34</v>
      </c>
      <c r="T2563" s="6" t="str">
        <f t="shared" si="3"/>
        <v>Old</v>
      </c>
    </row>
    <row r="2564" ht="14.25" customHeight="1">
      <c r="A2564" s="5">
        <v>1328223.0</v>
      </c>
      <c r="B2564" s="6" t="s">
        <v>8851</v>
      </c>
      <c r="C2564" s="6" t="s">
        <v>29</v>
      </c>
      <c r="D2564" s="6">
        <v>29671.0</v>
      </c>
      <c r="E2564" s="6" t="s">
        <v>40</v>
      </c>
      <c r="F2564" s="6" t="s">
        <v>46</v>
      </c>
      <c r="G2564" s="6" t="s">
        <v>100</v>
      </c>
      <c r="H2564" s="7">
        <v>882.0</v>
      </c>
      <c r="I2564" s="7">
        <v>9978.0</v>
      </c>
      <c r="J2564" s="6">
        <v>2006.0</v>
      </c>
      <c r="K2564" s="6">
        <v>110.0</v>
      </c>
      <c r="L2564" s="6" t="s">
        <v>141</v>
      </c>
      <c r="M2564" s="6" t="s">
        <v>8852</v>
      </c>
      <c r="N2564" s="6" t="s">
        <v>48</v>
      </c>
      <c r="O2564" s="6" t="s">
        <v>25</v>
      </c>
      <c r="P2564" s="6">
        <f>COUNTIF(Analysis!$M$1:$M$3001,Analysis!$M2204)</f>
        <v>1</v>
      </c>
      <c r="Q2564" s="6" t="str">
        <f>IF(COUNTIF(Analysis!$M$2:$M$3001,Analysis!$M2204)&gt;1,"Duplicate","OK")</f>
        <v>OK</v>
      </c>
      <c r="R2564" s="6" t="str">
        <f t="shared" si="1"/>
        <v>600-1600</v>
      </c>
      <c r="S2564" s="6">
        <f t="shared" si="2"/>
        <v>20</v>
      </c>
      <c r="T2564" s="6" t="str">
        <f t="shared" si="3"/>
        <v>Mid</v>
      </c>
    </row>
    <row r="2565" ht="14.25" customHeight="1">
      <c r="A2565" s="5">
        <v>1020354.0</v>
      </c>
      <c r="B2565" s="6" t="s">
        <v>10295</v>
      </c>
      <c r="C2565" s="6" t="s">
        <v>76</v>
      </c>
      <c r="D2565" s="6">
        <v>11212.0</v>
      </c>
      <c r="E2565" s="6" t="s">
        <v>60</v>
      </c>
      <c r="F2565" s="6" t="s">
        <v>61</v>
      </c>
      <c r="G2565" s="6" t="s">
        <v>31</v>
      </c>
      <c r="H2565" s="7">
        <v>3480.0</v>
      </c>
      <c r="I2565" s="7">
        <v>8203.0</v>
      </c>
      <c r="J2565" s="6">
        <v>1969.0</v>
      </c>
      <c r="K2565" s="6">
        <v>47.0</v>
      </c>
      <c r="L2565" s="6" t="s">
        <v>95</v>
      </c>
      <c r="M2565" s="6" t="s">
        <v>10296</v>
      </c>
      <c r="N2565" s="6" t="s">
        <v>43</v>
      </c>
      <c r="O2565" s="6" t="s">
        <v>49</v>
      </c>
      <c r="P2565" s="6">
        <f>COUNTIF(Analysis!$M$1:$M$3001,Analysis!$M2565)</f>
        <v>1</v>
      </c>
      <c r="Q2565" s="6" t="str">
        <f>IF(COUNTIF(Analysis!$M$2:$M$3001,Analysis!$M2565)&gt;1,"Duplicate","OK")</f>
        <v>OK</v>
      </c>
      <c r="R2565" s="6" t="str">
        <f t="shared" si="1"/>
        <v>2600-3600</v>
      </c>
      <c r="S2565" s="6">
        <f t="shared" si="2"/>
        <v>57</v>
      </c>
      <c r="T2565" s="6" t="str">
        <f t="shared" si="3"/>
        <v>Old</v>
      </c>
    </row>
    <row r="2566" ht="14.25" customHeight="1">
      <c r="A2566" s="5">
        <v>1332809.0</v>
      </c>
      <c r="B2566" s="6" t="s">
        <v>10411</v>
      </c>
      <c r="C2566" s="6" t="s">
        <v>29</v>
      </c>
      <c r="D2566" s="6">
        <v>57184.0</v>
      </c>
      <c r="E2566" s="6" t="s">
        <v>40</v>
      </c>
      <c r="F2566" s="6" t="s">
        <v>46</v>
      </c>
      <c r="G2566" s="6" t="s">
        <v>31</v>
      </c>
      <c r="H2566" s="7">
        <v>1273.0</v>
      </c>
      <c r="I2566" s="7">
        <v>9310.0</v>
      </c>
      <c r="J2566" s="6">
        <v>2011.0</v>
      </c>
      <c r="K2566" s="6">
        <v>90.0</v>
      </c>
      <c r="L2566" s="6" t="s">
        <v>141</v>
      </c>
      <c r="M2566" s="6" t="s">
        <v>10412</v>
      </c>
      <c r="N2566" s="6" t="s">
        <v>43</v>
      </c>
      <c r="O2566" s="6" t="s">
        <v>25</v>
      </c>
      <c r="P2566" s="6">
        <f>COUNTIF(Analysis!$M$1:$M$3001,Analysis!$M2594)</f>
        <v>1</v>
      </c>
      <c r="Q2566" s="6" t="str">
        <f>IF(COUNTIF(Analysis!$M$2:$M$3001,Analysis!$M2594)&gt;1,"Duplicate","OK")</f>
        <v>OK</v>
      </c>
      <c r="R2566" s="6" t="str">
        <f t="shared" si="1"/>
        <v>600-1600</v>
      </c>
      <c r="S2566" s="6">
        <f t="shared" si="2"/>
        <v>15</v>
      </c>
      <c r="T2566" s="6" t="str">
        <f t="shared" si="3"/>
        <v>Mid</v>
      </c>
    </row>
    <row r="2567" ht="14.25" customHeight="1">
      <c r="A2567" s="5">
        <v>1334500.0</v>
      </c>
      <c r="B2567" s="6" t="s">
        <v>7101</v>
      </c>
      <c r="C2567" s="6" t="s">
        <v>29</v>
      </c>
      <c r="D2567" s="6">
        <v>75339.0</v>
      </c>
      <c r="E2567" s="6" t="s">
        <v>77</v>
      </c>
      <c r="F2567" s="6" t="s">
        <v>46</v>
      </c>
      <c r="G2567" s="6" t="s">
        <v>55</v>
      </c>
      <c r="H2567" s="7">
        <v>848.0</v>
      </c>
      <c r="I2567" s="7">
        <v>7441.0</v>
      </c>
      <c r="J2567" s="6">
        <v>1969.0</v>
      </c>
      <c r="K2567" s="6">
        <v>90.0</v>
      </c>
      <c r="L2567" s="6" t="s">
        <v>32</v>
      </c>
      <c r="M2567" s="6" t="s">
        <v>7102</v>
      </c>
      <c r="N2567" s="6" t="s">
        <v>48</v>
      </c>
      <c r="O2567" s="6" t="s">
        <v>49</v>
      </c>
      <c r="P2567" s="6">
        <f>COUNTIF(Analysis!$M$1:$M$3001,Analysis!$M1766)</f>
        <v>1</v>
      </c>
      <c r="Q2567" s="6" t="str">
        <f>IF(COUNTIF(Analysis!$M$2:$M$3001,Analysis!$M1766)&gt;1,"Duplicate","OK")</f>
        <v>OK</v>
      </c>
      <c r="R2567" s="6" t="str">
        <f t="shared" si="1"/>
        <v>600-1600</v>
      </c>
      <c r="S2567" s="6">
        <f t="shared" si="2"/>
        <v>57</v>
      </c>
      <c r="T2567" s="6" t="str">
        <f t="shared" si="3"/>
        <v>Old</v>
      </c>
    </row>
    <row r="2568" ht="14.25" customHeight="1">
      <c r="A2568" s="5">
        <v>788193.0</v>
      </c>
      <c r="B2568" s="6" t="s">
        <v>10307</v>
      </c>
      <c r="C2568" s="6" t="s">
        <v>18</v>
      </c>
      <c r="D2568" s="6">
        <v>81965.0</v>
      </c>
      <c r="E2568" s="6" t="s">
        <v>19</v>
      </c>
      <c r="F2568" s="6" t="s">
        <v>41</v>
      </c>
      <c r="G2568" s="6" t="s">
        <v>55</v>
      </c>
      <c r="H2568" s="7">
        <v>3954.0</v>
      </c>
      <c r="I2568" s="7">
        <v>4382.0</v>
      </c>
      <c r="J2568" s="6">
        <v>2012.0</v>
      </c>
      <c r="K2568" s="6">
        <v>27.0</v>
      </c>
      <c r="L2568" s="6" t="s">
        <v>95</v>
      </c>
      <c r="M2568" s="6" t="s">
        <v>10308</v>
      </c>
      <c r="N2568" s="6" t="s">
        <v>34</v>
      </c>
      <c r="O2568" s="6" t="s">
        <v>25</v>
      </c>
      <c r="P2568" s="6">
        <f>COUNTIF(Analysis!$M$1:$M$3001,Analysis!$M2568)</f>
        <v>1</v>
      </c>
      <c r="Q2568" s="6" t="str">
        <f>IF(COUNTIF(Analysis!$M$2:$M$3001,Analysis!$M2568)&gt;1,"Duplicate","OK")</f>
        <v>OK</v>
      </c>
      <c r="R2568" s="6" t="str">
        <f t="shared" si="1"/>
        <v>3600+</v>
      </c>
      <c r="S2568" s="6">
        <f t="shared" si="2"/>
        <v>14</v>
      </c>
      <c r="T2568" s="6" t="str">
        <f t="shared" si="3"/>
        <v>Mid</v>
      </c>
    </row>
    <row r="2569" ht="14.25" customHeight="1">
      <c r="A2569" s="5">
        <v>265192.0</v>
      </c>
      <c r="B2569" s="6" t="s">
        <v>10311</v>
      </c>
      <c r="C2569" s="6" t="s">
        <v>76</v>
      </c>
      <c r="D2569" s="6">
        <v>69022.0</v>
      </c>
      <c r="E2569" s="6" t="s">
        <v>40</v>
      </c>
      <c r="F2569" s="6" t="s">
        <v>46</v>
      </c>
      <c r="G2569" s="6" t="s">
        <v>31</v>
      </c>
      <c r="H2569" s="7">
        <v>1839.0</v>
      </c>
      <c r="I2569" s="7">
        <v>3256.0</v>
      </c>
      <c r="J2569" s="6">
        <v>1953.0</v>
      </c>
      <c r="K2569" s="6">
        <v>82.0</v>
      </c>
      <c r="L2569" s="6" t="s">
        <v>32</v>
      </c>
      <c r="M2569" s="6" t="s">
        <v>10312</v>
      </c>
      <c r="N2569" s="6" t="s">
        <v>43</v>
      </c>
      <c r="O2569" s="6" t="s">
        <v>49</v>
      </c>
      <c r="P2569" s="6">
        <f>COUNTIF(Analysis!$M$1:$M$3001,Analysis!$M2569)</f>
        <v>1</v>
      </c>
      <c r="Q2569" s="6" t="str">
        <f>IF(COUNTIF(Analysis!$M$2:$M$3001,Analysis!$M2569)&gt;1,"Duplicate","OK")</f>
        <v>OK</v>
      </c>
      <c r="R2569" s="6" t="str">
        <f t="shared" si="1"/>
        <v>1600-2600</v>
      </c>
      <c r="S2569" s="6">
        <f t="shared" si="2"/>
        <v>73</v>
      </c>
      <c r="T2569" s="6" t="str">
        <f t="shared" si="3"/>
        <v>Very Old</v>
      </c>
    </row>
    <row r="2570" ht="14.25" customHeight="1">
      <c r="A2570" s="5">
        <v>870993.0</v>
      </c>
      <c r="B2570" s="6" t="s">
        <v>10315</v>
      </c>
      <c r="C2570" s="6" t="s">
        <v>53</v>
      </c>
      <c r="D2570" s="6">
        <v>25354.0</v>
      </c>
      <c r="E2570" s="6" t="s">
        <v>19</v>
      </c>
      <c r="F2570" s="6" t="s">
        <v>61</v>
      </c>
      <c r="G2570" s="6" t="s">
        <v>31</v>
      </c>
      <c r="H2570" s="7">
        <v>1588.0</v>
      </c>
      <c r="I2570" s="7">
        <v>5042.0</v>
      </c>
      <c r="J2570" s="6">
        <v>1953.0</v>
      </c>
      <c r="K2570" s="6">
        <v>63.0</v>
      </c>
      <c r="L2570" s="6" t="s">
        <v>141</v>
      </c>
      <c r="M2570" s="6" t="s">
        <v>10316</v>
      </c>
      <c r="N2570" s="6" t="s">
        <v>34</v>
      </c>
      <c r="O2570" s="6" t="s">
        <v>49</v>
      </c>
      <c r="P2570" s="6">
        <f>COUNTIF(Analysis!$M$1:$M$3001,Analysis!$M2570)</f>
        <v>1</v>
      </c>
      <c r="Q2570" s="6" t="str">
        <f>IF(COUNTIF(Analysis!$M$2:$M$3001,Analysis!$M2570)&gt;1,"Duplicate","OK")</f>
        <v>OK</v>
      </c>
      <c r="R2570" s="6" t="str">
        <f t="shared" si="1"/>
        <v>600-1600</v>
      </c>
      <c r="S2570" s="6">
        <f t="shared" si="2"/>
        <v>73</v>
      </c>
      <c r="T2570" s="6" t="str">
        <f t="shared" si="3"/>
        <v>Very Old</v>
      </c>
    </row>
    <row r="2571" ht="14.25" customHeight="1">
      <c r="A2571" s="5">
        <v>330783.0</v>
      </c>
      <c r="B2571" s="6" t="s">
        <v>10319</v>
      </c>
      <c r="C2571" s="6" t="s">
        <v>18</v>
      </c>
      <c r="D2571" s="6">
        <v>68572.0</v>
      </c>
      <c r="E2571" s="6" t="s">
        <v>30</v>
      </c>
      <c r="F2571" s="6" t="s">
        <v>94</v>
      </c>
      <c r="G2571" s="6" t="s">
        <v>55</v>
      </c>
      <c r="H2571" s="7">
        <v>1421.0</v>
      </c>
      <c r="I2571" s="7">
        <v>9537.0</v>
      </c>
      <c r="J2571" s="6">
        <v>1989.0</v>
      </c>
      <c r="K2571" s="6">
        <v>114.0</v>
      </c>
      <c r="L2571" s="6" t="s">
        <v>22</v>
      </c>
      <c r="M2571" s="6" t="s">
        <v>10320</v>
      </c>
      <c r="N2571" s="6" t="s">
        <v>48</v>
      </c>
      <c r="O2571" s="6" t="s">
        <v>35</v>
      </c>
      <c r="P2571" s="6">
        <f>COUNTIF(Analysis!$M$1:$M$3001,Analysis!$M2571)</f>
        <v>1</v>
      </c>
      <c r="Q2571" s="6" t="str">
        <f>IF(COUNTIF(Analysis!$M$2:$M$3001,Analysis!$M2571)&gt;1,"Duplicate","OK")</f>
        <v>OK</v>
      </c>
      <c r="R2571" s="6" t="str">
        <f t="shared" si="1"/>
        <v>600-1600</v>
      </c>
      <c r="S2571" s="6">
        <f t="shared" si="2"/>
        <v>37</v>
      </c>
      <c r="T2571" s="6" t="str">
        <f t="shared" si="3"/>
        <v>Old</v>
      </c>
    </row>
    <row r="2572" ht="14.25" customHeight="1">
      <c r="A2572" s="5">
        <v>1340655.0</v>
      </c>
      <c r="B2572" s="6" t="s">
        <v>7465</v>
      </c>
      <c r="C2572" s="6" t="s">
        <v>29</v>
      </c>
      <c r="D2572" s="6">
        <v>74333.0</v>
      </c>
      <c r="E2572" s="6" t="s">
        <v>77</v>
      </c>
      <c r="F2572" s="6" t="s">
        <v>46</v>
      </c>
      <c r="G2572" s="6" t="s">
        <v>100</v>
      </c>
      <c r="H2572" s="7">
        <v>3275.0</v>
      </c>
      <c r="I2572" s="7">
        <v>8269.0</v>
      </c>
      <c r="J2572" s="6">
        <v>1994.0</v>
      </c>
      <c r="K2572" s="6">
        <v>57.0</v>
      </c>
      <c r="L2572" s="6" t="s">
        <v>32</v>
      </c>
      <c r="M2572" s="6" t="s">
        <v>7466</v>
      </c>
      <c r="N2572" s="6" t="s">
        <v>24</v>
      </c>
      <c r="O2572" s="6" t="s">
        <v>35</v>
      </c>
      <c r="P2572" s="6">
        <f>COUNTIF(Analysis!$M$1:$M$3001,Analysis!$M1857)</f>
        <v>1</v>
      </c>
      <c r="Q2572" s="6" t="str">
        <f>IF(COUNTIF(Analysis!$M$2:$M$3001,Analysis!$M1857)&gt;1,"Duplicate","OK")</f>
        <v>OK</v>
      </c>
      <c r="R2572" s="6" t="str">
        <f t="shared" si="1"/>
        <v>2600-3600</v>
      </c>
      <c r="S2572" s="6">
        <f t="shared" si="2"/>
        <v>32</v>
      </c>
      <c r="T2572" s="6" t="str">
        <f t="shared" si="3"/>
        <v>Old</v>
      </c>
    </row>
    <row r="2573" ht="14.25" customHeight="1">
      <c r="A2573" s="5">
        <v>1333193.0</v>
      </c>
      <c r="B2573" s="6" t="s">
        <v>10327</v>
      </c>
      <c r="C2573" s="6" t="s">
        <v>76</v>
      </c>
      <c r="D2573" s="6">
        <v>40214.0</v>
      </c>
      <c r="E2573" s="6" t="s">
        <v>40</v>
      </c>
      <c r="F2573" s="6" t="s">
        <v>41</v>
      </c>
      <c r="G2573" s="6" t="s">
        <v>21</v>
      </c>
      <c r="H2573" s="7">
        <v>1991.0</v>
      </c>
      <c r="I2573" s="7">
        <v>8115.0</v>
      </c>
      <c r="J2573" s="6">
        <v>1982.0</v>
      </c>
      <c r="K2573" s="6">
        <v>54.0</v>
      </c>
      <c r="L2573" s="6" t="s">
        <v>141</v>
      </c>
      <c r="M2573" s="6" t="s">
        <v>10328</v>
      </c>
      <c r="N2573" s="6" t="s">
        <v>64</v>
      </c>
      <c r="O2573" s="6" t="s">
        <v>25</v>
      </c>
      <c r="P2573" s="6">
        <f>COUNTIF(Analysis!$M$1:$M$3001,Analysis!$M2573)</f>
        <v>1</v>
      </c>
      <c r="Q2573" s="6" t="str">
        <f>IF(COUNTIF(Analysis!$M$2:$M$3001,Analysis!$M2573)&gt;1,"Duplicate","OK")</f>
        <v>OK</v>
      </c>
      <c r="R2573" s="6" t="str">
        <f t="shared" si="1"/>
        <v>1600-2600</v>
      </c>
      <c r="S2573" s="6">
        <f t="shared" si="2"/>
        <v>44</v>
      </c>
      <c r="T2573" s="6" t="str">
        <f t="shared" si="3"/>
        <v>Old</v>
      </c>
    </row>
    <row r="2574" ht="14.25" customHeight="1">
      <c r="A2574" s="5">
        <v>1342910.0</v>
      </c>
      <c r="B2574" s="6" t="s">
        <v>5750</v>
      </c>
      <c r="C2574" s="6" t="s">
        <v>29</v>
      </c>
      <c r="D2574" s="6">
        <v>63614.0</v>
      </c>
      <c r="E2574" s="6" t="s">
        <v>30</v>
      </c>
      <c r="F2574" s="6" t="s">
        <v>46</v>
      </c>
      <c r="G2574" s="6" t="s">
        <v>55</v>
      </c>
      <c r="H2574" s="7">
        <v>1992.0</v>
      </c>
      <c r="I2574" s="7">
        <v>3949.0</v>
      </c>
      <c r="J2574" s="6">
        <v>1973.0</v>
      </c>
      <c r="K2574" s="6">
        <v>76.0</v>
      </c>
      <c r="L2574" s="6" t="s">
        <v>22</v>
      </c>
      <c r="M2574" s="6" t="s">
        <v>5751</v>
      </c>
      <c r="N2574" s="6" t="s">
        <v>64</v>
      </c>
      <c r="O2574" s="6" t="s">
        <v>49</v>
      </c>
      <c r="P2574" s="6">
        <f>COUNTIF(Analysis!$M$1:$M$3001,Analysis!$M1428)</f>
        <v>1</v>
      </c>
      <c r="Q2574" s="6" t="str">
        <f>IF(COUNTIF(Analysis!$M$2:$M$3001,Analysis!$M1428)&gt;1,"Duplicate","OK")</f>
        <v>OK</v>
      </c>
      <c r="R2574" s="6" t="str">
        <f t="shared" si="1"/>
        <v>1600-2600</v>
      </c>
      <c r="S2574" s="6">
        <f t="shared" si="2"/>
        <v>53</v>
      </c>
      <c r="T2574" s="6" t="str">
        <f t="shared" si="3"/>
        <v>Old</v>
      </c>
    </row>
    <row r="2575" ht="14.25" customHeight="1">
      <c r="A2575" s="5">
        <v>843829.0</v>
      </c>
      <c r="B2575" s="6" t="s">
        <v>10335</v>
      </c>
      <c r="C2575" s="6" t="s">
        <v>53</v>
      </c>
      <c r="D2575" s="6">
        <v>49498.0</v>
      </c>
      <c r="E2575" s="6" t="s">
        <v>30</v>
      </c>
      <c r="F2575" s="6" t="s">
        <v>94</v>
      </c>
      <c r="G2575" s="6" t="s">
        <v>21</v>
      </c>
      <c r="H2575" s="7">
        <v>3388.0</v>
      </c>
      <c r="I2575" s="7">
        <v>4205.0</v>
      </c>
      <c r="J2575" s="6">
        <v>2007.0</v>
      </c>
      <c r="K2575" s="6">
        <v>3.0</v>
      </c>
      <c r="L2575" s="6" t="s">
        <v>32</v>
      </c>
      <c r="M2575" s="6" t="s">
        <v>10336</v>
      </c>
      <c r="N2575" s="6" t="s">
        <v>34</v>
      </c>
      <c r="O2575" s="6" t="s">
        <v>35</v>
      </c>
      <c r="P2575" s="6">
        <f>COUNTIF(Analysis!$M$1:$M$3001,Analysis!$M2575)</f>
        <v>1</v>
      </c>
      <c r="Q2575" s="6" t="str">
        <f>IF(COUNTIF(Analysis!$M$2:$M$3001,Analysis!$M2575)&gt;1,"Duplicate","OK")</f>
        <v>OK</v>
      </c>
      <c r="R2575" s="6" t="str">
        <f t="shared" si="1"/>
        <v>2600-3600</v>
      </c>
      <c r="S2575" s="6">
        <f t="shared" si="2"/>
        <v>19</v>
      </c>
      <c r="T2575" s="6" t="str">
        <f t="shared" si="3"/>
        <v>Mid</v>
      </c>
    </row>
    <row r="2576" ht="14.25" customHeight="1">
      <c r="A2576" s="5">
        <v>1111836.0</v>
      </c>
      <c r="B2576" s="6" t="s">
        <v>10339</v>
      </c>
      <c r="C2576" s="6" t="s">
        <v>53</v>
      </c>
      <c r="D2576" s="6">
        <v>78041.0</v>
      </c>
      <c r="E2576" s="6" t="s">
        <v>19</v>
      </c>
      <c r="F2576" s="6" t="s">
        <v>94</v>
      </c>
      <c r="G2576" s="6" t="s">
        <v>31</v>
      </c>
      <c r="H2576" s="7">
        <v>1847.0</v>
      </c>
      <c r="I2576" s="7">
        <v>6979.0</v>
      </c>
      <c r="J2576" s="6">
        <v>2011.0</v>
      </c>
      <c r="K2576" s="6">
        <v>119.0</v>
      </c>
      <c r="L2576" s="6" t="s">
        <v>141</v>
      </c>
      <c r="M2576" s="6" t="s">
        <v>10340</v>
      </c>
      <c r="N2576" s="6" t="s">
        <v>43</v>
      </c>
      <c r="O2576" s="6" t="s">
        <v>25</v>
      </c>
      <c r="P2576" s="6">
        <f>COUNTIF(Analysis!$M$1:$M$3001,Analysis!$M2576)</f>
        <v>1</v>
      </c>
      <c r="Q2576" s="6" t="str">
        <f>IF(COUNTIF(Analysis!$M$2:$M$3001,Analysis!$M2576)&gt;1,"Duplicate","OK")</f>
        <v>OK</v>
      </c>
      <c r="R2576" s="6" t="str">
        <f t="shared" si="1"/>
        <v>1600-2600</v>
      </c>
      <c r="S2576" s="6">
        <f t="shared" si="2"/>
        <v>15</v>
      </c>
      <c r="T2576" s="6" t="str">
        <f t="shared" si="3"/>
        <v>Mid</v>
      </c>
    </row>
    <row r="2577" ht="14.25" customHeight="1">
      <c r="A2577" s="5">
        <v>819446.0</v>
      </c>
      <c r="B2577" s="6" t="s">
        <v>10343</v>
      </c>
      <c r="C2577" s="6" t="s">
        <v>18</v>
      </c>
      <c r="D2577" s="6">
        <v>68659.0</v>
      </c>
      <c r="E2577" s="6" t="s">
        <v>40</v>
      </c>
      <c r="F2577" s="6" t="s">
        <v>61</v>
      </c>
      <c r="G2577" s="6" t="s">
        <v>55</v>
      </c>
      <c r="H2577" s="7">
        <v>2940.0</v>
      </c>
      <c r="I2577" s="7">
        <v>6911.0</v>
      </c>
      <c r="J2577" s="6">
        <v>1995.0</v>
      </c>
      <c r="K2577" s="6">
        <v>98.0</v>
      </c>
      <c r="L2577" s="6" t="s">
        <v>141</v>
      </c>
      <c r="M2577" s="6" t="s">
        <v>10344</v>
      </c>
      <c r="N2577" s="6" t="s">
        <v>24</v>
      </c>
      <c r="O2577" s="6" t="s">
        <v>49</v>
      </c>
      <c r="P2577" s="6">
        <f>COUNTIF(Analysis!$M$1:$M$3001,Analysis!$M2577)</f>
        <v>1</v>
      </c>
      <c r="Q2577" s="6" t="str">
        <f>IF(COUNTIF(Analysis!$M$2:$M$3001,Analysis!$M2577)&gt;1,"Duplicate","OK")</f>
        <v>OK</v>
      </c>
      <c r="R2577" s="6" t="str">
        <f t="shared" si="1"/>
        <v>2600-3600</v>
      </c>
      <c r="S2577" s="6">
        <f t="shared" si="2"/>
        <v>31</v>
      </c>
      <c r="T2577" s="6" t="str">
        <f t="shared" si="3"/>
        <v>Old</v>
      </c>
    </row>
    <row r="2578" ht="14.25" customHeight="1">
      <c r="A2578" s="5">
        <v>603712.0</v>
      </c>
      <c r="B2578" s="6" t="s">
        <v>10347</v>
      </c>
      <c r="C2578" s="6" t="s">
        <v>53</v>
      </c>
      <c r="D2578" s="6">
        <v>21255.0</v>
      </c>
      <c r="E2578" s="6" t="s">
        <v>40</v>
      </c>
      <c r="F2578" s="6" t="s">
        <v>41</v>
      </c>
      <c r="G2578" s="6" t="s">
        <v>21</v>
      </c>
      <c r="H2578" s="7">
        <v>1130.0</v>
      </c>
      <c r="I2578" s="7">
        <v>3933.0</v>
      </c>
      <c r="J2578" s="6">
        <v>1987.0</v>
      </c>
      <c r="K2578" s="6">
        <v>83.0</v>
      </c>
      <c r="L2578" s="6" t="s">
        <v>22</v>
      </c>
      <c r="M2578" s="6" t="s">
        <v>10348</v>
      </c>
      <c r="N2578" s="6" t="s">
        <v>64</v>
      </c>
      <c r="O2578" s="6" t="s">
        <v>35</v>
      </c>
      <c r="P2578" s="6">
        <f>COUNTIF(Analysis!$M$1:$M$3001,Analysis!$M2578)</f>
        <v>1</v>
      </c>
      <c r="Q2578" s="6" t="str">
        <f>IF(COUNTIF(Analysis!$M$2:$M$3001,Analysis!$M2578)&gt;1,"Duplicate","OK")</f>
        <v>OK</v>
      </c>
      <c r="R2578" s="6" t="str">
        <f t="shared" si="1"/>
        <v>600-1600</v>
      </c>
      <c r="S2578" s="6">
        <f t="shared" si="2"/>
        <v>39</v>
      </c>
      <c r="T2578" s="6" t="str">
        <f t="shared" si="3"/>
        <v>Old</v>
      </c>
    </row>
    <row r="2579" ht="14.25" customHeight="1">
      <c r="A2579" s="5">
        <v>1246098.0</v>
      </c>
      <c r="B2579" s="6" t="s">
        <v>10351</v>
      </c>
      <c r="C2579" s="6" t="s">
        <v>76</v>
      </c>
      <c r="D2579" s="6">
        <v>54069.0</v>
      </c>
      <c r="E2579" s="6" t="s">
        <v>60</v>
      </c>
      <c r="F2579" s="6" t="s">
        <v>41</v>
      </c>
      <c r="G2579" s="6" t="s">
        <v>55</v>
      </c>
      <c r="H2579" s="7">
        <v>2057.0</v>
      </c>
      <c r="I2579" s="7">
        <v>4026.0</v>
      </c>
      <c r="J2579" s="6">
        <v>1955.0</v>
      </c>
      <c r="K2579" s="6">
        <v>35.0</v>
      </c>
      <c r="L2579" s="6" t="s">
        <v>141</v>
      </c>
      <c r="M2579" s="6" t="s">
        <v>10352</v>
      </c>
      <c r="N2579" s="6" t="s">
        <v>64</v>
      </c>
      <c r="O2579" s="6" t="s">
        <v>25</v>
      </c>
      <c r="P2579" s="6">
        <f>COUNTIF(Analysis!$M$1:$M$3001,Analysis!$M2579)</f>
        <v>1</v>
      </c>
      <c r="Q2579" s="6" t="str">
        <f>IF(COUNTIF(Analysis!$M$2:$M$3001,Analysis!$M2579)&gt;1,"Duplicate","OK")</f>
        <v>OK</v>
      </c>
      <c r="R2579" s="6" t="str">
        <f t="shared" si="1"/>
        <v>1600-2600</v>
      </c>
      <c r="S2579" s="6">
        <f t="shared" si="2"/>
        <v>71</v>
      </c>
      <c r="T2579" s="6" t="str">
        <f t="shared" si="3"/>
        <v>Very Old</v>
      </c>
    </row>
    <row r="2580" ht="14.25" customHeight="1">
      <c r="A2580" s="5">
        <v>1128439.0</v>
      </c>
      <c r="B2580" s="6" t="s">
        <v>10355</v>
      </c>
      <c r="C2580" s="6" t="s">
        <v>18</v>
      </c>
      <c r="D2580" s="6">
        <v>15359.0</v>
      </c>
      <c r="E2580" s="6" t="s">
        <v>30</v>
      </c>
      <c r="F2580" s="6" t="s">
        <v>41</v>
      </c>
      <c r="G2580" s="6" t="s">
        <v>21</v>
      </c>
      <c r="H2580" s="7">
        <v>2376.0</v>
      </c>
      <c r="I2580" s="7">
        <v>1194.0</v>
      </c>
      <c r="J2580" s="6">
        <v>1984.0</v>
      </c>
      <c r="K2580" s="6">
        <v>113.0</v>
      </c>
      <c r="L2580" s="6" t="s">
        <v>141</v>
      </c>
      <c r="M2580" s="6" t="s">
        <v>10356</v>
      </c>
      <c r="N2580" s="6" t="s">
        <v>64</v>
      </c>
      <c r="O2580" s="6" t="s">
        <v>35</v>
      </c>
      <c r="P2580" s="6">
        <f>COUNTIF(Analysis!$M$1:$M$3001,Analysis!$M2580)</f>
        <v>1</v>
      </c>
      <c r="Q2580" s="6" t="str">
        <f>IF(COUNTIF(Analysis!$M$2:$M$3001,Analysis!$M2580)&gt;1,"Duplicate","OK")</f>
        <v>OK</v>
      </c>
      <c r="R2580" s="6" t="str">
        <f t="shared" si="1"/>
        <v>1600-2600</v>
      </c>
      <c r="S2580" s="6">
        <f t="shared" si="2"/>
        <v>42</v>
      </c>
      <c r="T2580" s="6" t="str">
        <f t="shared" si="3"/>
        <v>Old</v>
      </c>
    </row>
    <row r="2581" ht="14.25" customHeight="1">
      <c r="A2581" s="5">
        <v>1344907.0</v>
      </c>
      <c r="B2581" s="6" t="s">
        <v>9891</v>
      </c>
      <c r="C2581" s="6" t="s">
        <v>29</v>
      </c>
      <c r="D2581" s="6">
        <v>71256.0</v>
      </c>
      <c r="E2581" s="6" t="s">
        <v>30</v>
      </c>
      <c r="F2581" s="6" t="s">
        <v>54</v>
      </c>
      <c r="G2581" s="6" t="s">
        <v>100</v>
      </c>
      <c r="H2581" s="7">
        <v>3473.0</v>
      </c>
      <c r="I2581" s="7">
        <v>6168.0</v>
      </c>
      <c r="J2581" s="6">
        <v>2014.0</v>
      </c>
      <c r="K2581" s="6">
        <v>65.0</v>
      </c>
      <c r="L2581" s="6" t="s">
        <v>141</v>
      </c>
      <c r="M2581" s="6" t="s">
        <v>9892</v>
      </c>
      <c r="N2581" s="6" t="s">
        <v>48</v>
      </c>
      <c r="O2581" s="6" t="s">
        <v>35</v>
      </c>
      <c r="P2581" s="6">
        <f>COUNTIF(Analysis!$M$1:$M$3001,Analysis!$M2464)</f>
        <v>1</v>
      </c>
      <c r="Q2581" s="6" t="str">
        <f>IF(COUNTIF(Analysis!$M$2:$M$3001,Analysis!$M2464)&gt;1,"Duplicate","OK")</f>
        <v>OK</v>
      </c>
      <c r="R2581" s="6" t="str">
        <f t="shared" si="1"/>
        <v>2600-3600</v>
      </c>
      <c r="S2581" s="6">
        <f t="shared" si="2"/>
        <v>12</v>
      </c>
      <c r="T2581" s="6" t="str">
        <f t="shared" si="3"/>
        <v>Mid</v>
      </c>
    </row>
    <row r="2582" ht="14.25" customHeight="1">
      <c r="A2582" s="5">
        <v>1230304.0</v>
      </c>
      <c r="B2582" s="6" t="s">
        <v>10363</v>
      </c>
      <c r="C2582" s="6" t="s">
        <v>18</v>
      </c>
      <c r="D2582" s="6">
        <v>56546.0</v>
      </c>
      <c r="E2582" s="6" t="s">
        <v>40</v>
      </c>
      <c r="F2582" s="6" t="s">
        <v>41</v>
      </c>
      <c r="G2582" s="6" t="s">
        <v>55</v>
      </c>
      <c r="H2582" s="7">
        <v>2302.0</v>
      </c>
      <c r="I2582" s="7">
        <v>3464.0</v>
      </c>
      <c r="J2582" s="6">
        <v>1957.0</v>
      </c>
      <c r="K2582" s="6">
        <v>110.0</v>
      </c>
      <c r="L2582" s="6" t="s">
        <v>32</v>
      </c>
      <c r="M2582" s="6" t="s">
        <v>10364</v>
      </c>
      <c r="N2582" s="6" t="s">
        <v>43</v>
      </c>
      <c r="O2582" s="6" t="s">
        <v>35</v>
      </c>
      <c r="P2582" s="6">
        <f>COUNTIF(Analysis!$M$1:$M$3001,Analysis!$M2582)</f>
        <v>1</v>
      </c>
      <c r="Q2582" s="6" t="str">
        <f>IF(COUNTIF(Analysis!$M$2:$M$3001,Analysis!$M2582)&gt;1,"Duplicate","OK")</f>
        <v>OK</v>
      </c>
      <c r="R2582" s="6" t="str">
        <f t="shared" si="1"/>
        <v>1600-2600</v>
      </c>
      <c r="S2582" s="6">
        <f t="shared" si="2"/>
        <v>69</v>
      </c>
      <c r="T2582" s="6" t="str">
        <f t="shared" si="3"/>
        <v>Very Old</v>
      </c>
    </row>
    <row r="2583" ht="14.25" customHeight="1">
      <c r="A2583" s="5">
        <v>145438.0</v>
      </c>
      <c r="B2583" s="6" t="s">
        <v>10367</v>
      </c>
      <c r="C2583" s="6" t="s">
        <v>18</v>
      </c>
      <c r="D2583" s="6">
        <v>70440.0</v>
      </c>
      <c r="E2583" s="6" t="s">
        <v>40</v>
      </c>
      <c r="F2583" s="6" t="s">
        <v>61</v>
      </c>
      <c r="G2583" s="6" t="s">
        <v>21</v>
      </c>
      <c r="H2583" s="7">
        <v>3263.0</v>
      </c>
      <c r="I2583" s="7">
        <v>8629.0</v>
      </c>
      <c r="J2583" s="6">
        <v>2018.0</v>
      </c>
      <c r="K2583" s="6">
        <v>32.0</v>
      </c>
      <c r="L2583" s="6" t="s">
        <v>62</v>
      </c>
      <c r="M2583" s="6" t="s">
        <v>10368</v>
      </c>
      <c r="N2583" s="6" t="s">
        <v>43</v>
      </c>
      <c r="O2583" s="6" t="s">
        <v>25</v>
      </c>
      <c r="P2583" s="6">
        <f>COUNTIF(Analysis!$M$1:$M$3001,Analysis!$M2583)</f>
        <v>1</v>
      </c>
      <c r="Q2583" s="6" t="str">
        <f>IF(COUNTIF(Analysis!$M$2:$M$3001,Analysis!$M2583)&gt;1,"Duplicate","OK")</f>
        <v>OK</v>
      </c>
      <c r="R2583" s="6" t="str">
        <f t="shared" si="1"/>
        <v>2600-3600</v>
      </c>
      <c r="S2583" s="6">
        <f t="shared" si="2"/>
        <v>8</v>
      </c>
      <c r="T2583" s="6" t="str">
        <f t="shared" si="3"/>
        <v>New</v>
      </c>
    </row>
    <row r="2584" ht="14.25" customHeight="1">
      <c r="A2584" s="5">
        <v>831611.0</v>
      </c>
      <c r="B2584" s="6" t="s">
        <v>10371</v>
      </c>
      <c r="C2584" s="6" t="s">
        <v>53</v>
      </c>
      <c r="D2584" s="6">
        <v>59917.0</v>
      </c>
      <c r="E2584" s="6" t="s">
        <v>60</v>
      </c>
      <c r="F2584" s="6" t="s">
        <v>61</v>
      </c>
      <c r="G2584" s="6" t="s">
        <v>31</v>
      </c>
      <c r="H2584" s="7">
        <v>3449.0</v>
      </c>
      <c r="I2584" s="7">
        <v>6190.0</v>
      </c>
      <c r="J2584" s="6">
        <v>1981.0</v>
      </c>
      <c r="K2584" s="6">
        <v>94.0</v>
      </c>
      <c r="L2584" s="6" t="s">
        <v>22</v>
      </c>
      <c r="M2584" s="6" t="s">
        <v>10372</v>
      </c>
      <c r="N2584" s="6" t="s">
        <v>43</v>
      </c>
      <c r="O2584" s="6" t="s">
        <v>49</v>
      </c>
      <c r="P2584" s="6">
        <f>COUNTIF(Analysis!$M$1:$M$3001,Analysis!$M2584)</f>
        <v>1</v>
      </c>
      <c r="Q2584" s="6" t="str">
        <f>IF(COUNTIF(Analysis!$M$2:$M$3001,Analysis!$M2584)&gt;1,"Duplicate","OK")</f>
        <v>OK</v>
      </c>
      <c r="R2584" s="6" t="str">
        <f t="shared" si="1"/>
        <v>2600-3600</v>
      </c>
      <c r="S2584" s="6">
        <f t="shared" si="2"/>
        <v>45</v>
      </c>
      <c r="T2584" s="6" t="str">
        <f t="shared" si="3"/>
        <v>Old</v>
      </c>
    </row>
    <row r="2585" ht="14.25" customHeight="1">
      <c r="A2585" s="5">
        <v>628980.0</v>
      </c>
      <c r="B2585" s="6" t="s">
        <v>10375</v>
      </c>
      <c r="C2585" s="6" t="s">
        <v>18</v>
      </c>
      <c r="D2585" s="6">
        <v>87567.0</v>
      </c>
      <c r="E2585" s="6" t="s">
        <v>30</v>
      </c>
      <c r="F2585" s="6" t="s">
        <v>20</v>
      </c>
      <c r="G2585" s="6" t="s">
        <v>31</v>
      </c>
      <c r="H2585" s="7">
        <v>2174.0</v>
      </c>
      <c r="I2585" s="7">
        <v>6229.0</v>
      </c>
      <c r="J2585" s="6">
        <v>1993.0</v>
      </c>
      <c r="K2585" s="6">
        <v>8.0</v>
      </c>
      <c r="L2585" s="6" t="s">
        <v>22</v>
      </c>
      <c r="M2585" s="6" t="s">
        <v>10376</v>
      </c>
      <c r="N2585" s="6" t="s">
        <v>48</v>
      </c>
      <c r="O2585" s="6" t="s">
        <v>49</v>
      </c>
      <c r="P2585" s="6">
        <f>COUNTIF(Analysis!$M$1:$M$3001,Analysis!$M2585)</f>
        <v>1</v>
      </c>
      <c r="Q2585" s="6" t="str">
        <f>IF(COUNTIF(Analysis!$M$2:$M$3001,Analysis!$M2585)&gt;1,"Duplicate","OK")</f>
        <v>OK</v>
      </c>
      <c r="R2585" s="6" t="str">
        <f t="shared" si="1"/>
        <v>1600-2600</v>
      </c>
      <c r="S2585" s="6">
        <f t="shared" si="2"/>
        <v>33</v>
      </c>
      <c r="T2585" s="6" t="str">
        <f t="shared" si="3"/>
        <v>Old</v>
      </c>
    </row>
    <row r="2586" ht="14.25" customHeight="1">
      <c r="A2586" s="5">
        <v>1085745.0</v>
      </c>
      <c r="B2586" s="6" t="s">
        <v>10379</v>
      </c>
      <c r="C2586" s="6" t="s">
        <v>18</v>
      </c>
      <c r="D2586" s="6">
        <v>64486.0</v>
      </c>
      <c r="E2586" s="6" t="s">
        <v>40</v>
      </c>
      <c r="F2586" s="6" t="s">
        <v>94</v>
      </c>
      <c r="G2586" s="6" t="s">
        <v>21</v>
      </c>
      <c r="H2586" s="7">
        <v>3197.0</v>
      </c>
      <c r="I2586" s="7">
        <v>7649.0</v>
      </c>
      <c r="J2586" s="6">
        <v>2012.0</v>
      </c>
      <c r="K2586" s="6">
        <v>97.0</v>
      </c>
      <c r="L2586" s="6" t="s">
        <v>62</v>
      </c>
      <c r="M2586" s="6" t="s">
        <v>10380</v>
      </c>
      <c r="N2586" s="6" t="s">
        <v>48</v>
      </c>
      <c r="O2586" s="6" t="s">
        <v>35</v>
      </c>
      <c r="P2586" s="6">
        <f>COUNTIF(Analysis!$M$1:$M$3001,Analysis!$M2586)</f>
        <v>1</v>
      </c>
      <c r="Q2586" s="6" t="str">
        <f>IF(COUNTIF(Analysis!$M$2:$M$3001,Analysis!$M2586)&gt;1,"Duplicate","OK")</f>
        <v>OK</v>
      </c>
      <c r="R2586" s="6" t="str">
        <f t="shared" si="1"/>
        <v>2600-3600</v>
      </c>
      <c r="S2586" s="6">
        <f t="shared" si="2"/>
        <v>14</v>
      </c>
      <c r="T2586" s="6" t="str">
        <f t="shared" si="3"/>
        <v>Mid</v>
      </c>
    </row>
    <row r="2587" ht="14.25" customHeight="1">
      <c r="A2587" s="5">
        <v>1474934.0</v>
      </c>
      <c r="B2587" s="6" t="s">
        <v>10383</v>
      </c>
      <c r="C2587" s="6" t="s">
        <v>53</v>
      </c>
      <c r="D2587" s="6">
        <v>83219.0</v>
      </c>
      <c r="E2587" s="6" t="s">
        <v>19</v>
      </c>
      <c r="F2587" s="6" t="s">
        <v>94</v>
      </c>
      <c r="G2587" s="6" t="s">
        <v>21</v>
      </c>
      <c r="H2587" s="7">
        <v>3657.0</v>
      </c>
      <c r="I2587" s="7">
        <v>7506.0</v>
      </c>
      <c r="J2587" s="6">
        <v>2012.0</v>
      </c>
      <c r="K2587" s="6">
        <v>21.0</v>
      </c>
      <c r="L2587" s="6" t="s">
        <v>62</v>
      </c>
      <c r="M2587" s="6" t="s">
        <v>10384</v>
      </c>
      <c r="N2587" s="6" t="s">
        <v>24</v>
      </c>
      <c r="O2587" s="6" t="s">
        <v>49</v>
      </c>
      <c r="P2587" s="6">
        <f>COUNTIF(Analysis!$M$1:$M$3001,Analysis!$M2587)</f>
        <v>1</v>
      </c>
      <c r="Q2587" s="6" t="str">
        <f>IF(COUNTIF(Analysis!$M$2:$M$3001,Analysis!$M2587)&gt;1,"Duplicate","OK")</f>
        <v>OK</v>
      </c>
      <c r="R2587" s="6" t="str">
        <f t="shared" si="1"/>
        <v>3600+</v>
      </c>
      <c r="S2587" s="6">
        <f t="shared" si="2"/>
        <v>14</v>
      </c>
      <c r="T2587" s="6" t="str">
        <f t="shared" si="3"/>
        <v>Mid</v>
      </c>
    </row>
    <row r="2588" ht="14.25" customHeight="1">
      <c r="A2588" s="5">
        <v>1266256.0</v>
      </c>
      <c r="B2588" s="6" t="s">
        <v>10387</v>
      </c>
      <c r="C2588" s="6" t="s">
        <v>76</v>
      </c>
      <c r="D2588" s="6">
        <v>89048.0</v>
      </c>
      <c r="E2588" s="6" t="s">
        <v>77</v>
      </c>
      <c r="F2588" s="6" t="s">
        <v>61</v>
      </c>
      <c r="G2588" s="6" t="s">
        <v>55</v>
      </c>
      <c r="H2588" s="7">
        <v>3773.0</v>
      </c>
      <c r="I2588" s="7">
        <v>2548.0</v>
      </c>
      <c r="J2588" s="6">
        <v>1986.0</v>
      </c>
      <c r="K2588" s="6">
        <v>99.0</v>
      </c>
      <c r="L2588" s="6" t="s">
        <v>62</v>
      </c>
      <c r="M2588" s="6" t="s">
        <v>10388</v>
      </c>
      <c r="N2588" s="6" t="s">
        <v>64</v>
      </c>
      <c r="O2588" s="6" t="s">
        <v>25</v>
      </c>
      <c r="P2588" s="6">
        <f>COUNTIF(Analysis!$M$1:$M$3001,Analysis!$M2588)</f>
        <v>1</v>
      </c>
      <c r="Q2588" s="6" t="str">
        <f>IF(COUNTIF(Analysis!$M$2:$M$3001,Analysis!$M2588)&gt;1,"Duplicate","OK")</f>
        <v>OK</v>
      </c>
      <c r="R2588" s="6" t="str">
        <f t="shared" si="1"/>
        <v>3600+</v>
      </c>
      <c r="S2588" s="6">
        <f t="shared" si="2"/>
        <v>40</v>
      </c>
      <c r="T2588" s="6" t="str">
        <f t="shared" si="3"/>
        <v>Old</v>
      </c>
    </row>
    <row r="2589" ht="14.25" customHeight="1">
      <c r="A2589" s="5">
        <v>1345391.0</v>
      </c>
      <c r="B2589" s="6" t="s">
        <v>3159</v>
      </c>
      <c r="C2589" s="6" t="s">
        <v>29</v>
      </c>
      <c r="D2589" s="6">
        <v>92296.0</v>
      </c>
      <c r="E2589" s="6" t="s">
        <v>30</v>
      </c>
      <c r="F2589" s="6" t="s">
        <v>61</v>
      </c>
      <c r="G2589" s="6" t="s">
        <v>21</v>
      </c>
      <c r="H2589" s="7">
        <v>646.0</v>
      </c>
      <c r="I2589" s="7">
        <v>4846.0</v>
      </c>
      <c r="J2589" s="6">
        <v>1980.0</v>
      </c>
      <c r="K2589" s="6">
        <v>45.0</v>
      </c>
      <c r="L2589" s="6" t="s">
        <v>32</v>
      </c>
      <c r="M2589" s="6" t="s">
        <v>3160</v>
      </c>
      <c r="N2589" s="6" t="s">
        <v>24</v>
      </c>
      <c r="O2589" s="6" t="s">
        <v>25</v>
      </c>
      <c r="P2589" s="6">
        <f>COUNTIF(Analysis!$M$1:$M$3001,Analysis!$M780)</f>
        <v>1</v>
      </c>
      <c r="Q2589" s="6" t="str">
        <f>IF(COUNTIF(Analysis!$M$2:$M$3001,Analysis!$M780)&gt;1,"Duplicate","OK")</f>
        <v>OK</v>
      </c>
      <c r="R2589" s="6" t="str">
        <f t="shared" si="1"/>
        <v>600-1600</v>
      </c>
      <c r="S2589" s="6">
        <f t="shared" si="2"/>
        <v>46</v>
      </c>
      <c r="T2589" s="6" t="str">
        <f t="shared" si="3"/>
        <v>Old</v>
      </c>
    </row>
    <row r="2590" ht="14.25" customHeight="1">
      <c r="A2590" s="5">
        <v>1429390.0</v>
      </c>
      <c r="B2590" s="6" t="s">
        <v>10395</v>
      </c>
      <c r="C2590" s="6" t="s">
        <v>76</v>
      </c>
      <c r="D2590" s="6">
        <v>29177.0</v>
      </c>
      <c r="E2590" s="6" t="s">
        <v>30</v>
      </c>
      <c r="F2590" s="6" t="s">
        <v>61</v>
      </c>
      <c r="G2590" s="6" t="s">
        <v>55</v>
      </c>
      <c r="H2590" s="7">
        <v>2461.0</v>
      </c>
      <c r="I2590" s="7">
        <v>9880.0</v>
      </c>
      <c r="J2590" s="6">
        <v>2008.0</v>
      </c>
      <c r="K2590" s="6">
        <v>40.0</v>
      </c>
      <c r="L2590" s="6" t="s">
        <v>32</v>
      </c>
      <c r="M2590" s="6" t="s">
        <v>10396</v>
      </c>
      <c r="N2590" s="6" t="s">
        <v>34</v>
      </c>
      <c r="O2590" s="6" t="s">
        <v>49</v>
      </c>
      <c r="P2590" s="6">
        <f>COUNTIF(Analysis!$M$1:$M$3001,Analysis!$M2590)</f>
        <v>1</v>
      </c>
      <c r="Q2590" s="6" t="str">
        <f>IF(COUNTIF(Analysis!$M$2:$M$3001,Analysis!$M2590)&gt;1,"Duplicate","OK")</f>
        <v>OK</v>
      </c>
      <c r="R2590" s="6" t="str">
        <f t="shared" si="1"/>
        <v>1600-2600</v>
      </c>
      <c r="S2590" s="6">
        <f t="shared" si="2"/>
        <v>18</v>
      </c>
      <c r="T2590" s="6" t="str">
        <f t="shared" si="3"/>
        <v>Mid</v>
      </c>
    </row>
    <row r="2591" ht="14.25" customHeight="1">
      <c r="A2591" s="5">
        <v>380154.0</v>
      </c>
      <c r="B2591" s="6" t="s">
        <v>10399</v>
      </c>
      <c r="C2591" s="6" t="s">
        <v>39</v>
      </c>
      <c r="D2591" s="6">
        <v>48888.0</v>
      </c>
      <c r="E2591" s="6" t="s">
        <v>19</v>
      </c>
      <c r="F2591" s="6" t="s">
        <v>54</v>
      </c>
      <c r="G2591" s="6" t="s">
        <v>21</v>
      </c>
      <c r="H2591" s="7">
        <v>2873.0</v>
      </c>
      <c r="I2591" s="7">
        <v>6540.0</v>
      </c>
      <c r="J2591" s="6">
        <v>2021.0</v>
      </c>
      <c r="K2591" s="6">
        <v>41.0</v>
      </c>
      <c r="L2591" s="6" t="s">
        <v>22</v>
      </c>
      <c r="M2591" s="6" t="s">
        <v>10400</v>
      </c>
      <c r="N2591" s="6" t="s">
        <v>48</v>
      </c>
      <c r="O2591" s="6" t="s">
        <v>25</v>
      </c>
      <c r="P2591" s="6">
        <f>COUNTIF(Analysis!$M$1:$M$3001,Analysis!$M2591)</f>
        <v>1</v>
      </c>
      <c r="Q2591" s="6" t="str">
        <f>IF(COUNTIF(Analysis!$M$2:$M$3001,Analysis!$M2591)&gt;1,"Duplicate","OK")</f>
        <v>OK</v>
      </c>
      <c r="R2591" s="6" t="str">
        <f t="shared" si="1"/>
        <v>2600-3600</v>
      </c>
      <c r="S2591" s="6">
        <f t="shared" si="2"/>
        <v>5</v>
      </c>
      <c r="T2591" s="6" t="str">
        <f t="shared" si="3"/>
        <v>New</v>
      </c>
    </row>
    <row r="2592" ht="14.25" customHeight="1">
      <c r="A2592" s="5">
        <v>1350028.0</v>
      </c>
      <c r="B2592" s="6" t="s">
        <v>1773</v>
      </c>
      <c r="C2592" s="6" t="s">
        <v>29</v>
      </c>
      <c r="D2592" s="6">
        <v>75286.0</v>
      </c>
      <c r="E2592" s="6" t="s">
        <v>19</v>
      </c>
      <c r="F2592" s="6" t="s">
        <v>41</v>
      </c>
      <c r="G2592" s="6" t="s">
        <v>100</v>
      </c>
      <c r="H2592" s="7">
        <v>2276.0</v>
      </c>
      <c r="I2592" s="7">
        <v>3297.0</v>
      </c>
      <c r="J2592" s="6">
        <v>2003.0</v>
      </c>
      <c r="K2592" s="6">
        <v>75.0</v>
      </c>
      <c r="L2592" s="6" t="s">
        <v>141</v>
      </c>
      <c r="M2592" s="6" t="s">
        <v>1774</v>
      </c>
      <c r="N2592" s="6" t="s">
        <v>64</v>
      </c>
      <c r="O2592" s="6" t="s">
        <v>25</v>
      </c>
      <c r="P2592" s="6">
        <f>COUNTIF(Analysis!$M$1:$M$3001,Analysis!$M433)</f>
        <v>1</v>
      </c>
      <c r="Q2592" s="6" t="str">
        <f>IF(COUNTIF(Analysis!$M$2:$M$3001,Analysis!$M433)&gt;1,"Duplicate","OK")</f>
        <v>OK</v>
      </c>
      <c r="R2592" s="6" t="str">
        <f t="shared" si="1"/>
        <v>1600-2600</v>
      </c>
      <c r="S2592" s="6">
        <f t="shared" si="2"/>
        <v>23</v>
      </c>
      <c r="T2592" s="6" t="str">
        <f t="shared" si="3"/>
        <v>Mid</v>
      </c>
    </row>
    <row r="2593" ht="14.25" customHeight="1">
      <c r="A2593" s="5">
        <v>1117722.0</v>
      </c>
      <c r="B2593" s="6" t="s">
        <v>10407</v>
      </c>
      <c r="C2593" s="6" t="s">
        <v>53</v>
      </c>
      <c r="D2593" s="6">
        <v>57691.0</v>
      </c>
      <c r="E2593" s="6" t="s">
        <v>77</v>
      </c>
      <c r="F2593" s="6" t="s">
        <v>41</v>
      </c>
      <c r="G2593" s="6" t="s">
        <v>55</v>
      </c>
      <c r="H2593" s="7">
        <v>3406.0</v>
      </c>
      <c r="I2593" s="7">
        <v>4753.0</v>
      </c>
      <c r="J2593" s="6">
        <v>1950.0</v>
      </c>
      <c r="K2593" s="6">
        <v>116.0</v>
      </c>
      <c r="L2593" s="6" t="s">
        <v>32</v>
      </c>
      <c r="M2593" s="6" t="s">
        <v>10408</v>
      </c>
      <c r="N2593" s="6" t="s">
        <v>64</v>
      </c>
      <c r="O2593" s="6" t="s">
        <v>35</v>
      </c>
      <c r="P2593" s="6">
        <f>COUNTIF(Analysis!$M$1:$M$3001,Analysis!$M2593)</f>
        <v>1</v>
      </c>
      <c r="Q2593" s="6" t="str">
        <f>IF(COUNTIF(Analysis!$M$2:$M$3001,Analysis!$M2593)&gt;1,"Duplicate","OK")</f>
        <v>OK</v>
      </c>
      <c r="R2593" s="6" t="str">
        <f t="shared" si="1"/>
        <v>2600-3600</v>
      </c>
      <c r="S2593" s="6">
        <f t="shared" si="2"/>
        <v>76</v>
      </c>
      <c r="T2593" s="6" t="str">
        <f t="shared" si="3"/>
        <v>Very Old</v>
      </c>
    </row>
    <row r="2594" ht="14.25" customHeight="1">
      <c r="A2594" s="5">
        <v>1357731.0</v>
      </c>
      <c r="B2594" s="6" t="s">
        <v>10903</v>
      </c>
      <c r="C2594" s="6" t="s">
        <v>29</v>
      </c>
      <c r="D2594" s="6">
        <v>78123.0</v>
      </c>
      <c r="E2594" s="6" t="s">
        <v>19</v>
      </c>
      <c r="F2594" s="6" t="s">
        <v>94</v>
      </c>
      <c r="G2594" s="6" t="s">
        <v>31</v>
      </c>
      <c r="H2594" s="7">
        <v>1211.0</v>
      </c>
      <c r="I2594" s="7">
        <v>6121.0</v>
      </c>
      <c r="J2594" s="6">
        <v>1987.0</v>
      </c>
      <c r="K2594" s="6">
        <v>44.0</v>
      </c>
      <c r="L2594" s="6" t="s">
        <v>22</v>
      </c>
      <c r="M2594" s="6" t="s">
        <v>10904</v>
      </c>
      <c r="N2594" s="6" t="s">
        <v>48</v>
      </c>
      <c r="O2594" s="6" t="s">
        <v>49</v>
      </c>
      <c r="P2594" s="6">
        <f>COUNTIF(Analysis!$M$1:$M$3001,Analysis!$M2717)</f>
        <v>1</v>
      </c>
      <c r="Q2594" s="6" t="str">
        <f>IF(COUNTIF(Analysis!$M$2:$M$3001,Analysis!$M2717)&gt;1,"Duplicate","OK")</f>
        <v>OK</v>
      </c>
      <c r="R2594" s="6" t="str">
        <f t="shared" si="1"/>
        <v>600-1600</v>
      </c>
      <c r="S2594" s="6">
        <f t="shared" si="2"/>
        <v>39</v>
      </c>
      <c r="T2594" s="6" t="str">
        <f t="shared" si="3"/>
        <v>Old</v>
      </c>
    </row>
    <row r="2595" ht="14.25" customHeight="1">
      <c r="A2595" s="5">
        <v>1063005.0</v>
      </c>
      <c r="B2595" s="6" t="s">
        <v>10415</v>
      </c>
      <c r="C2595" s="6" t="s">
        <v>18</v>
      </c>
      <c r="D2595" s="6">
        <v>25581.0</v>
      </c>
      <c r="E2595" s="6" t="s">
        <v>30</v>
      </c>
      <c r="F2595" s="6" t="s">
        <v>20</v>
      </c>
      <c r="G2595" s="6" t="s">
        <v>21</v>
      </c>
      <c r="H2595" s="7">
        <v>3075.0</v>
      </c>
      <c r="I2595" s="7">
        <v>7324.0</v>
      </c>
      <c r="J2595" s="6">
        <v>1956.0</v>
      </c>
      <c r="K2595" s="6">
        <v>95.0</v>
      </c>
      <c r="L2595" s="6" t="s">
        <v>141</v>
      </c>
      <c r="M2595" s="6" t="s">
        <v>10416</v>
      </c>
      <c r="N2595" s="6" t="s">
        <v>24</v>
      </c>
      <c r="O2595" s="6" t="s">
        <v>25</v>
      </c>
      <c r="P2595" s="6">
        <f>COUNTIF(Analysis!$M$1:$M$3001,Analysis!$M2595)</f>
        <v>1</v>
      </c>
      <c r="Q2595" s="6" t="str">
        <f>IF(COUNTIF(Analysis!$M$2:$M$3001,Analysis!$M2595)&gt;1,"Duplicate","OK")</f>
        <v>OK</v>
      </c>
      <c r="R2595" s="6" t="str">
        <f t="shared" si="1"/>
        <v>2600-3600</v>
      </c>
      <c r="S2595" s="6">
        <f t="shared" si="2"/>
        <v>70</v>
      </c>
      <c r="T2595" s="6" t="str">
        <f t="shared" si="3"/>
        <v>Very Old</v>
      </c>
    </row>
    <row r="2596" ht="14.25" customHeight="1">
      <c r="A2596" s="5">
        <v>584963.0</v>
      </c>
      <c r="B2596" s="6" t="s">
        <v>10419</v>
      </c>
      <c r="C2596" s="6" t="s">
        <v>76</v>
      </c>
      <c r="D2596" s="6">
        <v>73076.0</v>
      </c>
      <c r="E2596" s="6" t="s">
        <v>60</v>
      </c>
      <c r="F2596" s="6" t="s">
        <v>54</v>
      </c>
      <c r="G2596" s="6" t="s">
        <v>31</v>
      </c>
      <c r="H2596" s="7">
        <v>3346.0</v>
      </c>
      <c r="I2596" s="7">
        <v>2712.0</v>
      </c>
      <c r="J2596" s="6">
        <v>1991.0</v>
      </c>
      <c r="K2596" s="6">
        <v>106.0</v>
      </c>
      <c r="L2596" s="6" t="s">
        <v>62</v>
      </c>
      <c r="M2596" s="6" t="s">
        <v>10420</v>
      </c>
      <c r="N2596" s="6" t="s">
        <v>48</v>
      </c>
      <c r="O2596" s="6" t="s">
        <v>49</v>
      </c>
      <c r="P2596" s="6">
        <f>COUNTIF(Analysis!$M$1:$M$3001,Analysis!$M2596)</f>
        <v>1</v>
      </c>
      <c r="Q2596" s="6" t="str">
        <f>IF(COUNTIF(Analysis!$M$2:$M$3001,Analysis!$M2596)&gt;1,"Duplicate","OK")</f>
        <v>OK</v>
      </c>
      <c r="R2596" s="6" t="str">
        <f t="shared" si="1"/>
        <v>2600-3600</v>
      </c>
      <c r="S2596" s="6">
        <f t="shared" si="2"/>
        <v>35</v>
      </c>
      <c r="T2596" s="6" t="str">
        <f t="shared" si="3"/>
        <v>Old</v>
      </c>
    </row>
    <row r="2597" ht="14.25" customHeight="1">
      <c r="A2597" s="5">
        <v>201039.0</v>
      </c>
      <c r="B2597" s="6" t="s">
        <v>10423</v>
      </c>
      <c r="C2597" s="6" t="s">
        <v>53</v>
      </c>
      <c r="D2597" s="6">
        <v>15899.0</v>
      </c>
      <c r="E2597" s="6" t="s">
        <v>60</v>
      </c>
      <c r="F2597" s="6" t="s">
        <v>41</v>
      </c>
      <c r="G2597" s="6" t="s">
        <v>100</v>
      </c>
      <c r="H2597" s="7">
        <v>1479.0</v>
      </c>
      <c r="I2597" s="7">
        <v>5654.0</v>
      </c>
      <c r="J2597" s="6">
        <v>1995.0</v>
      </c>
      <c r="K2597" s="6">
        <v>36.0</v>
      </c>
      <c r="L2597" s="6" t="s">
        <v>95</v>
      </c>
      <c r="M2597" s="6" t="s">
        <v>10424</v>
      </c>
      <c r="N2597" s="6" t="s">
        <v>34</v>
      </c>
      <c r="O2597" s="6" t="s">
        <v>25</v>
      </c>
      <c r="P2597" s="6">
        <f>COUNTIF(Analysis!$M$1:$M$3001,Analysis!$M2597)</f>
        <v>1</v>
      </c>
      <c r="Q2597" s="6" t="str">
        <f>IF(COUNTIF(Analysis!$M$2:$M$3001,Analysis!$M2597)&gt;1,"Duplicate","OK")</f>
        <v>OK</v>
      </c>
      <c r="R2597" s="6" t="str">
        <f t="shared" si="1"/>
        <v>600-1600</v>
      </c>
      <c r="S2597" s="6">
        <f t="shared" si="2"/>
        <v>31</v>
      </c>
      <c r="T2597" s="6" t="str">
        <f t="shared" si="3"/>
        <v>Old</v>
      </c>
    </row>
    <row r="2598" ht="14.25" customHeight="1">
      <c r="A2598" s="5">
        <v>294028.0</v>
      </c>
      <c r="B2598" s="6" t="s">
        <v>10427</v>
      </c>
      <c r="C2598" s="6" t="s">
        <v>18</v>
      </c>
      <c r="D2598" s="6">
        <v>49351.0</v>
      </c>
      <c r="E2598" s="6" t="s">
        <v>30</v>
      </c>
      <c r="F2598" s="6" t="s">
        <v>46</v>
      </c>
      <c r="G2598" s="6" t="s">
        <v>100</v>
      </c>
      <c r="H2598" s="7">
        <v>1705.0</v>
      </c>
      <c r="I2598" s="7">
        <v>3387.0</v>
      </c>
      <c r="J2598" s="6">
        <v>1956.0</v>
      </c>
      <c r="K2598" s="6">
        <v>98.0</v>
      </c>
      <c r="L2598" s="6" t="s">
        <v>141</v>
      </c>
      <c r="M2598" s="6" t="s">
        <v>10428</v>
      </c>
      <c r="N2598" s="6" t="s">
        <v>43</v>
      </c>
      <c r="O2598" s="6" t="s">
        <v>35</v>
      </c>
      <c r="P2598" s="6">
        <f>COUNTIF(Analysis!$M$1:$M$3001,Analysis!$M2598)</f>
        <v>1</v>
      </c>
      <c r="Q2598" s="6" t="str">
        <f>IF(COUNTIF(Analysis!$M$2:$M$3001,Analysis!$M2598)&gt;1,"Duplicate","OK")</f>
        <v>OK</v>
      </c>
      <c r="R2598" s="6" t="str">
        <f t="shared" si="1"/>
        <v>1600-2600</v>
      </c>
      <c r="S2598" s="6">
        <f t="shared" si="2"/>
        <v>70</v>
      </c>
      <c r="T2598" s="6" t="str">
        <f t="shared" si="3"/>
        <v>Very Old</v>
      </c>
    </row>
    <row r="2599" ht="14.25" customHeight="1">
      <c r="A2599" s="5">
        <v>1105081.0</v>
      </c>
      <c r="B2599" s="6" t="s">
        <v>10431</v>
      </c>
      <c r="C2599" s="6" t="s">
        <v>76</v>
      </c>
      <c r="D2599" s="6">
        <v>60062.0</v>
      </c>
      <c r="E2599" s="6" t="s">
        <v>40</v>
      </c>
      <c r="F2599" s="6" t="s">
        <v>54</v>
      </c>
      <c r="G2599" s="6" t="s">
        <v>100</v>
      </c>
      <c r="H2599" s="7">
        <v>3839.0</v>
      </c>
      <c r="I2599" s="7">
        <v>8863.0</v>
      </c>
      <c r="J2599" s="6">
        <v>2015.0</v>
      </c>
      <c r="K2599" s="6">
        <v>29.0</v>
      </c>
      <c r="L2599" s="6" t="s">
        <v>95</v>
      </c>
      <c r="M2599" s="6" t="s">
        <v>10432</v>
      </c>
      <c r="N2599" s="6" t="s">
        <v>43</v>
      </c>
      <c r="O2599" s="6" t="s">
        <v>25</v>
      </c>
      <c r="P2599" s="6">
        <f>COUNTIF(Analysis!$M$1:$M$3001,Analysis!$M2599)</f>
        <v>1</v>
      </c>
      <c r="Q2599" s="6" t="str">
        <f>IF(COUNTIF(Analysis!$M$2:$M$3001,Analysis!$M2599)&gt;1,"Duplicate","OK")</f>
        <v>OK</v>
      </c>
      <c r="R2599" s="6" t="str">
        <f t="shared" si="1"/>
        <v>3600+</v>
      </c>
      <c r="S2599" s="6">
        <f t="shared" si="2"/>
        <v>11</v>
      </c>
      <c r="T2599" s="6" t="str">
        <f t="shared" si="3"/>
        <v>Mid</v>
      </c>
    </row>
    <row r="2600" ht="14.25" customHeight="1">
      <c r="A2600" s="5">
        <v>157925.0</v>
      </c>
      <c r="B2600" s="6" t="s">
        <v>10435</v>
      </c>
      <c r="C2600" s="6" t="s">
        <v>53</v>
      </c>
      <c r="D2600" s="6">
        <v>13121.0</v>
      </c>
      <c r="E2600" s="6" t="s">
        <v>30</v>
      </c>
      <c r="F2600" s="6" t="s">
        <v>41</v>
      </c>
      <c r="G2600" s="6" t="s">
        <v>31</v>
      </c>
      <c r="H2600" s="7">
        <v>3358.0</v>
      </c>
      <c r="I2600" s="7">
        <v>9952.0</v>
      </c>
      <c r="J2600" s="6">
        <v>1991.0</v>
      </c>
      <c r="K2600" s="6">
        <v>39.0</v>
      </c>
      <c r="L2600" s="6" t="s">
        <v>32</v>
      </c>
      <c r="M2600" s="6" t="s">
        <v>10436</v>
      </c>
      <c r="N2600" s="6" t="s">
        <v>34</v>
      </c>
      <c r="O2600" s="6" t="s">
        <v>25</v>
      </c>
      <c r="P2600" s="6">
        <f>COUNTIF(Analysis!$M$1:$M$3001,Analysis!$M2600)</f>
        <v>1</v>
      </c>
      <c r="Q2600" s="6" t="str">
        <f>IF(COUNTIF(Analysis!$M$2:$M$3001,Analysis!$M2600)&gt;1,"Duplicate","OK")</f>
        <v>OK</v>
      </c>
      <c r="R2600" s="6" t="str">
        <f t="shared" si="1"/>
        <v>2600-3600</v>
      </c>
      <c r="S2600" s="6">
        <f t="shared" si="2"/>
        <v>35</v>
      </c>
      <c r="T2600" s="6" t="str">
        <f t="shared" si="3"/>
        <v>Old</v>
      </c>
    </row>
    <row r="2601" ht="14.25" customHeight="1">
      <c r="A2601" s="5">
        <v>1359152.0</v>
      </c>
      <c r="B2601" s="6" t="s">
        <v>853</v>
      </c>
      <c r="C2601" s="6" t="s">
        <v>29</v>
      </c>
      <c r="D2601" s="6">
        <v>93308.0</v>
      </c>
      <c r="E2601" s="6" t="s">
        <v>40</v>
      </c>
      <c r="F2601" s="6" t="s">
        <v>46</v>
      </c>
      <c r="G2601" s="6" t="s">
        <v>55</v>
      </c>
      <c r="H2601" s="7">
        <v>3125.0</v>
      </c>
      <c r="I2601" s="7">
        <v>2175.0</v>
      </c>
      <c r="J2601" s="6">
        <v>2001.0</v>
      </c>
      <c r="K2601" s="6">
        <v>25.0</v>
      </c>
      <c r="L2601" s="6" t="s">
        <v>22</v>
      </c>
      <c r="M2601" s="6" t="s">
        <v>854</v>
      </c>
      <c r="N2601" s="6" t="s">
        <v>48</v>
      </c>
      <c r="O2601" s="6" t="s">
        <v>49</v>
      </c>
      <c r="P2601" s="6">
        <f>COUNTIF(Analysis!$M$1:$M$3001,Analysis!$M203)</f>
        <v>1</v>
      </c>
      <c r="Q2601" s="6" t="str">
        <f>IF(COUNTIF(Analysis!$M$2:$M$3001,Analysis!$M203)&gt;1,"Duplicate","OK")</f>
        <v>OK</v>
      </c>
      <c r="R2601" s="6" t="str">
        <f t="shared" si="1"/>
        <v>2600-3600</v>
      </c>
      <c r="S2601" s="6">
        <f t="shared" si="2"/>
        <v>25</v>
      </c>
      <c r="T2601" s="6" t="str">
        <f t="shared" si="3"/>
        <v>Mid</v>
      </c>
    </row>
    <row r="2602" ht="14.25" customHeight="1">
      <c r="A2602" s="5">
        <v>1359155.0</v>
      </c>
      <c r="B2602" s="6" t="s">
        <v>4131</v>
      </c>
      <c r="C2602" s="6" t="s">
        <v>29</v>
      </c>
      <c r="D2602" s="6">
        <v>89787.0</v>
      </c>
      <c r="E2602" s="6" t="s">
        <v>40</v>
      </c>
      <c r="F2602" s="6" t="s">
        <v>46</v>
      </c>
      <c r="G2602" s="6" t="s">
        <v>100</v>
      </c>
      <c r="H2602" s="7">
        <v>3946.0</v>
      </c>
      <c r="I2602" s="7">
        <v>6859.0</v>
      </c>
      <c r="J2602" s="6">
        <v>2019.0</v>
      </c>
      <c r="K2602" s="6">
        <v>22.0</v>
      </c>
      <c r="L2602" s="6" t="s">
        <v>32</v>
      </c>
      <c r="M2602" s="6" t="s">
        <v>4132</v>
      </c>
      <c r="N2602" s="6" t="s">
        <v>24</v>
      </c>
      <c r="O2602" s="6" t="s">
        <v>49</v>
      </c>
      <c r="P2602" s="6">
        <f>COUNTIF(Analysis!$M$1:$M$3001,Analysis!$M1023)</f>
        <v>1</v>
      </c>
      <c r="Q2602" s="6" t="str">
        <f>IF(COUNTIF(Analysis!$M$2:$M$3001,Analysis!$M1023)&gt;1,"Duplicate","OK")</f>
        <v>OK</v>
      </c>
      <c r="R2602" s="6" t="str">
        <f t="shared" si="1"/>
        <v>3600+</v>
      </c>
      <c r="S2602" s="6">
        <f t="shared" si="2"/>
        <v>7</v>
      </c>
      <c r="T2602" s="6" t="str">
        <f t="shared" si="3"/>
        <v>New</v>
      </c>
    </row>
    <row r="2603" ht="14.25" customHeight="1">
      <c r="A2603" s="5">
        <v>523011.0</v>
      </c>
      <c r="B2603" s="6" t="s">
        <v>10447</v>
      </c>
      <c r="C2603" s="6" t="s">
        <v>18</v>
      </c>
      <c r="D2603" s="6">
        <v>69013.0</v>
      </c>
      <c r="E2603" s="6" t="s">
        <v>19</v>
      </c>
      <c r="F2603" s="6" t="s">
        <v>20</v>
      </c>
      <c r="G2603" s="6" t="s">
        <v>100</v>
      </c>
      <c r="H2603" s="7">
        <v>1587.0</v>
      </c>
      <c r="I2603" s="7">
        <v>8030.0</v>
      </c>
      <c r="J2603" s="6">
        <v>1956.0</v>
      </c>
      <c r="K2603" s="6">
        <v>27.0</v>
      </c>
      <c r="L2603" s="6" t="s">
        <v>62</v>
      </c>
      <c r="M2603" s="6" t="s">
        <v>10448</v>
      </c>
      <c r="N2603" s="6" t="s">
        <v>64</v>
      </c>
      <c r="O2603" s="6" t="s">
        <v>49</v>
      </c>
      <c r="P2603" s="6">
        <f>COUNTIF(Analysis!$M$1:$M$3001,Analysis!$M2603)</f>
        <v>1</v>
      </c>
      <c r="Q2603" s="6" t="str">
        <f>IF(COUNTIF(Analysis!$M$2:$M$3001,Analysis!$M2603)&gt;1,"Duplicate","OK")</f>
        <v>OK</v>
      </c>
      <c r="R2603" s="6" t="str">
        <f t="shared" si="1"/>
        <v>600-1600</v>
      </c>
      <c r="S2603" s="6">
        <f t="shared" si="2"/>
        <v>70</v>
      </c>
      <c r="T2603" s="6" t="str">
        <f t="shared" si="3"/>
        <v>Very Old</v>
      </c>
    </row>
    <row r="2604" ht="14.25" customHeight="1">
      <c r="A2604" s="5">
        <v>700635.0</v>
      </c>
      <c r="B2604" s="6" t="s">
        <v>10451</v>
      </c>
      <c r="C2604" s="6" t="s">
        <v>53</v>
      </c>
      <c r="D2604" s="6">
        <v>36484.0</v>
      </c>
      <c r="E2604" s="6" t="s">
        <v>19</v>
      </c>
      <c r="F2604" s="6" t="s">
        <v>46</v>
      </c>
      <c r="G2604" s="6" t="s">
        <v>21</v>
      </c>
      <c r="H2604" s="7">
        <v>1051.0</v>
      </c>
      <c r="I2604" s="7">
        <v>4519.0</v>
      </c>
      <c r="J2604" s="6">
        <v>1966.0</v>
      </c>
      <c r="K2604" s="6">
        <v>82.0</v>
      </c>
      <c r="L2604" s="6" t="s">
        <v>22</v>
      </c>
      <c r="M2604" s="6" t="s">
        <v>10452</v>
      </c>
      <c r="N2604" s="6" t="s">
        <v>24</v>
      </c>
      <c r="O2604" s="6" t="s">
        <v>25</v>
      </c>
      <c r="P2604" s="6">
        <f>COUNTIF(Analysis!$M$1:$M$3001,Analysis!$M2604)</f>
        <v>1</v>
      </c>
      <c r="Q2604" s="6" t="str">
        <f>IF(COUNTIF(Analysis!$M$2:$M$3001,Analysis!$M2604)&gt;1,"Duplicate","OK")</f>
        <v>OK</v>
      </c>
      <c r="R2604" s="6" t="str">
        <f t="shared" si="1"/>
        <v>600-1600</v>
      </c>
      <c r="S2604" s="6">
        <f t="shared" si="2"/>
        <v>60</v>
      </c>
      <c r="T2604" s="6" t="str">
        <f t="shared" si="3"/>
        <v>Old</v>
      </c>
    </row>
    <row r="2605" ht="14.25" customHeight="1">
      <c r="A2605" s="5">
        <v>1288394.0</v>
      </c>
      <c r="B2605" s="6" t="s">
        <v>10455</v>
      </c>
      <c r="C2605" s="6" t="s">
        <v>76</v>
      </c>
      <c r="D2605" s="6">
        <v>14524.0</v>
      </c>
      <c r="E2605" s="6" t="s">
        <v>30</v>
      </c>
      <c r="F2605" s="6" t="s">
        <v>20</v>
      </c>
      <c r="G2605" s="6" t="s">
        <v>55</v>
      </c>
      <c r="H2605" s="7">
        <v>3025.0</v>
      </c>
      <c r="I2605" s="7">
        <v>2461.0</v>
      </c>
      <c r="J2605" s="6">
        <v>1988.0</v>
      </c>
      <c r="K2605" s="6">
        <v>61.0</v>
      </c>
      <c r="L2605" s="6" t="s">
        <v>22</v>
      </c>
      <c r="M2605" s="6" t="s">
        <v>10456</v>
      </c>
      <c r="N2605" s="6" t="s">
        <v>48</v>
      </c>
      <c r="O2605" s="6" t="s">
        <v>35</v>
      </c>
      <c r="P2605" s="6">
        <f>COUNTIF(Analysis!$M$1:$M$3001,Analysis!$M2605)</f>
        <v>1</v>
      </c>
      <c r="Q2605" s="6" t="str">
        <f>IF(COUNTIF(Analysis!$M$2:$M$3001,Analysis!$M2605)&gt;1,"Duplicate","OK")</f>
        <v>OK</v>
      </c>
      <c r="R2605" s="6" t="str">
        <f t="shared" si="1"/>
        <v>2600-3600</v>
      </c>
      <c r="S2605" s="6">
        <f t="shared" si="2"/>
        <v>38</v>
      </c>
      <c r="T2605" s="6" t="str">
        <f t="shared" si="3"/>
        <v>Old</v>
      </c>
    </row>
    <row r="2606" ht="14.25" customHeight="1">
      <c r="A2606" s="5">
        <v>723160.0</v>
      </c>
      <c r="B2606" s="6" t="s">
        <v>10459</v>
      </c>
      <c r="C2606" s="6" t="s">
        <v>76</v>
      </c>
      <c r="D2606" s="6">
        <v>68864.0</v>
      </c>
      <c r="E2606" s="6" t="s">
        <v>60</v>
      </c>
      <c r="F2606" s="6" t="s">
        <v>46</v>
      </c>
      <c r="G2606" s="6" t="s">
        <v>55</v>
      </c>
      <c r="H2606" s="7">
        <v>869.0</v>
      </c>
      <c r="I2606" s="7">
        <v>3791.0</v>
      </c>
      <c r="J2606" s="6">
        <v>2000.0</v>
      </c>
      <c r="K2606" s="6">
        <v>75.0</v>
      </c>
      <c r="L2606" s="6" t="s">
        <v>22</v>
      </c>
      <c r="M2606" s="6" t="s">
        <v>10460</v>
      </c>
      <c r="N2606" s="6" t="s">
        <v>64</v>
      </c>
      <c r="O2606" s="6" t="s">
        <v>49</v>
      </c>
      <c r="P2606" s="6">
        <f>COUNTIF(Analysis!$M$1:$M$3001,Analysis!$M2606)</f>
        <v>1</v>
      </c>
      <c r="Q2606" s="6" t="str">
        <f>IF(COUNTIF(Analysis!$M$2:$M$3001,Analysis!$M2606)&gt;1,"Duplicate","OK")</f>
        <v>OK</v>
      </c>
      <c r="R2606" s="6" t="str">
        <f t="shared" si="1"/>
        <v>600-1600</v>
      </c>
      <c r="S2606" s="6">
        <f t="shared" si="2"/>
        <v>26</v>
      </c>
      <c r="T2606" s="6" t="str">
        <f t="shared" si="3"/>
        <v>Mid</v>
      </c>
    </row>
    <row r="2607" ht="14.25" customHeight="1">
      <c r="A2607" s="5">
        <v>552626.0</v>
      </c>
      <c r="B2607" s="6" t="s">
        <v>10463</v>
      </c>
      <c r="C2607" s="6" t="s">
        <v>53</v>
      </c>
      <c r="D2607" s="6">
        <v>13032.0</v>
      </c>
      <c r="E2607" s="6" t="s">
        <v>40</v>
      </c>
      <c r="F2607" s="6" t="s">
        <v>94</v>
      </c>
      <c r="G2607" s="6" t="s">
        <v>55</v>
      </c>
      <c r="H2607" s="7">
        <v>2971.0</v>
      </c>
      <c r="I2607" s="7">
        <v>2391.0</v>
      </c>
      <c r="J2607" s="6">
        <v>1981.0</v>
      </c>
      <c r="K2607" s="6">
        <v>18.0</v>
      </c>
      <c r="L2607" s="6" t="s">
        <v>95</v>
      </c>
      <c r="M2607" s="6" t="s">
        <v>10464</v>
      </c>
      <c r="N2607" s="6" t="s">
        <v>43</v>
      </c>
      <c r="O2607" s="6" t="s">
        <v>35</v>
      </c>
      <c r="P2607" s="6">
        <f>COUNTIF(Analysis!$M$1:$M$3001,Analysis!$M2607)</f>
        <v>1</v>
      </c>
      <c r="Q2607" s="6" t="str">
        <f>IF(COUNTIF(Analysis!$M$2:$M$3001,Analysis!$M2607)&gt;1,"Duplicate","OK")</f>
        <v>OK</v>
      </c>
      <c r="R2607" s="6" t="str">
        <f t="shared" si="1"/>
        <v>2600-3600</v>
      </c>
      <c r="S2607" s="6">
        <f t="shared" si="2"/>
        <v>45</v>
      </c>
      <c r="T2607" s="6" t="str">
        <f t="shared" si="3"/>
        <v>Old</v>
      </c>
    </row>
    <row r="2608" ht="14.25" customHeight="1">
      <c r="A2608" s="5">
        <v>1363186.0</v>
      </c>
      <c r="B2608" s="6" t="s">
        <v>7329</v>
      </c>
      <c r="C2608" s="6" t="s">
        <v>29</v>
      </c>
      <c r="D2608" s="6">
        <v>91225.0</v>
      </c>
      <c r="E2608" s="6" t="s">
        <v>19</v>
      </c>
      <c r="F2608" s="6" t="s">
        <v>20</v>
      </c>
      <c r="G2608" s="6" t="s">
        <v>31</v>
      </c>
      <c r="H2608" s="7">
        <v>1055.0</v>
      </c>
      <c r="I2608" s="7">
        <v>8615.0</v>
      </c>
      <c r="J2608" s="6">
        <v>2022.0</v>
      </c>
      <c r="K2608" s="6">
        <v>22.0</v>
      </c>
      <c r="L2608" s="6" t="s">
        <v>32</v>
      </c>
      <c r="M2608" s="6" t="s">
        <v>7330</v>
      </c>
      <c r="N2608" s="6" t="s">
        <v>34</v>
      </c>
      <c r="O2608" s="6" t="s">
        <v>25</v>
      </c>
      <c r="P2608" s="6">
        <f>COUNTIF(Analysis!$M$1:$M$3001,Analysis!$M1823)</f>
        <v>1</v>
      </c>
      <c r="Q2608" s="6" t="str">
        <f>IF(COUNTIF(Analysis!$M$2:$M$3001,Analysis!$M1823)&gt;1,"Duplicate","OK")</f>
        <v>OK</v>
      </c>
      <c r="R2608" s="6" t="str">
        <f t="shared" si="1"/>
        <v>600-1600</v>
      </c>
      <c r="S2608" s="6">
        <f t="shared" si="2"/>
        <v>4</v>
      </c>
      <c r="T2608" s="6" t="str">
        <f t="shared" si="3"/>
        <v>New</v>
      </c>
    </row>
    <row r="2609" ht="14.25" customHeight="1">
      <c r="A2609" s="5">
        <v>220065.0</v>
      </c>
      <c r="B2609" s="6" t="s">
        <v>10471</v>
      </c>
      <c r="C2609" s="6" t="s">
        <v>76</v>
      </c>
      <c r="D2609" s="6">
        <v>22910.0</v>
      </c>
      <c r="E2609" s="6" t="s">
        <v>77</v>
      </c>
      <c r="F2609" s="6" t="s">
        <v>54</v>
      </c>
      <c r="G2609" s="6" t="s">
        <v>100</v>
      </c>
      <c r="H2609" s="7">
        <v>2123.0</v>
      </c>
      <c r="I2609" s="7">
        <v>2056.0</v>
      </c>
      <c r="J2609" s="6">
        <v>1960.0</v>
      </c>
      <c r="K2609" s="6">
        <v>4.0</v>
      </c>
      <c r="L2609" s="6" t="s">
        <v>95</v>
      </c>
      <c r="M2609" s="6" t="s">
        <v>10472</v>
      </c>
      <c r="N2609" s="6" t="s">
        <v>43</v>
      </c>
      <c r="O2609" s="6" t="s">
        <v>49</v>
      </c>
      <c r="P2609" s="6">
        <f>COUNTIF(Analysis!$M$1:$M$3001,Analysis!$M2609)</f>
        <v>1</v>
      </c>
      <c r="Q2609" s="6" t="str">
        <f>IF(COUNTIF(Analysis!$M$2:$M$3001,Analysis!$M2609)&gt;1,"Duplicate","OK")</f>
        <v>OK</v>
      </c>
      <c r="R2609" s="6" t="str">
        <f t="shared" si="1"/>
        <v>1600-2600</v>
      </c>
      <c r="S2609" s="6">
        <f t="shared" si="2"/>
        <v>66</v>
      </c>
      <c r="T2609" s="6" t="str">
        <f t="shared" si="3"/>
        <v>Very Old</v>
      </c>
    </row>
    <row r="2610" ht="14.25" customHeight="1">
      <c r="A2610" s="5">
        <v>1363548.0</v>
      </c>
      <c r="B2610" s="6" t="s">
        <v>1449</v>
      </c>
      <c r="C2610" s="6" t="s">
        <v>29</v>
      </c>
      <c r="D2610" s="6">
        <v>33153.0</v>
      </c>
      <c r="E2610" s="6" t="s">
        <v>77</v>
      </c>
      <c r="F2610" s="6" t="s">
        <v>61</v>
      </c>
      <c r="G2610" s="6" t="s">
        <v>21</v>
      </c>
      <c r="H2610" s="7">
        <v>1918.0</v>
      </c>
      <c r="I2610" s="7">
        <v>5955.0</v>
      </c>
      <c r="J2610" s="6">
        <v>2023.0</v>
      </c>
      <c r="K2610" s="6">
        <v>24.0</v>
      </c>
      <c r="L2610" s="6" t="s">
        <v>62</v>
      </c>
      <c r="M2610" s="6" t="s">
        <v>1450</v>
      </c>
      <c r="N2610" s="6" t="s">
        <v>48</v>
      </c>
      <c r="O2610" s="6" t="s">
        <v>35</v>
      </c>
      <c r="P2610" s="6">
        <f>COUNTIF(Analysis!$M$1:$M$3001,Analysis!$M352)</f>
        <v>1</v>
      </c>
      <c r="Q2610" s="6" t="str">
        <f>IF(COUNTIF(Analysis!$M$2:$M$3001,Analysis!$M352)&gt;1,"Duplicate","OK")</f>
        <v>OK</v>
      </c>
      <c r="R2610" s="6" t="str">
        <f t="shared" si="1"/>
        <v>1600-2600</v>
      </c>
      <c r="S2610" s="6">
        <f t="shared" si="2"/>
        <v>3</v>
      </c>
      <c r="T2610" s="6" t="str">
        <f t="shared" si="3"/>
        <v>New</v>
      </c>
    </row>
    <row r="2611" ht="14.25" customHeight="1">
      <c r="A2611" s="5">
        <v>1047425.0</v>
      </c>
      <c r="B2611" s="6" t="s">
        <v>10479</v>
      </c>
      <c r="C2611" s="6" t="s">
        <v>18</v>
      </c>
      <c r="D2611" s="6">
        <v>38395.0</v>
      </c>
      <c r="E2611" s="6" t="s">
        <v>40</v>
      </c>
      <c r="F2611" s="6" t="s">
        <v>61</v>
      </c>
      <c r="G2611" s="6" t="s">
        <v>55</v>
      </c>
      <c r="H2611" s="7">
        <v>881.0</v>
      </c>
      <c r="I2611" s="7">
        <v>4456.0</v>
      </c>
      <c r="J2611" s="6">
        <v>1953.0</v>
      </c>
      <c r="K2611" s="6">
        <v>94.0</v>
      </c>
      <c r="L2611" s="6" t="s">
        <v>95</v>
      </c>
      <c r="M2611" s="6" t="s">
        <v>10480</v>
      </c>
      <c r="N2611" s="6" t="s">
        <v>64</v>
      </c>
      <c r="O2611" s="6" t="s">
        <v>25</v>
      </c>
      <c r="P2611" s="6">
        <f>COUNTIF(Analysis!$M$1:$M$3001,Analysis!$M2611)</f>
        <v>1</v>
      </c>
      <c r="Q2611" s="6" t="str">
        <f>IF(COUNTIF(Analysis!$M$2:$M$3001,Analysis!$M2611)&gt;1,"Duplicate","OK")</f>
        <v>OK</v>
      </c>
      <c r="R2611" s="6" t="str">
        <f t="shared" si="1"/>
        <v>600-1600</v>
      </c>
      <c r="S2611" s="6">
        <f t="shared" si="2"/>
        <v>73</v>
      </c>
      <c r="T2611" s="6" t="str">
        <f t="shared" si="3"/>
        <v>Very Old</v>
      </c>
    </row>
    <row r="2612" ht="14.25" customHeight="1">
      <c r="A2612" s="5">
        <v>752214.0</v>
      </c>
      <c r="B2612" s="6" t="s">
        <v>10483</v>
      </c>
      <c r="C2612" s="6" t="s">
        <v>39</v>
      </c>
      <c r="D2612" s="6">
        <v>64385.0</v>
      </c>
      <c r="E2612" s="6" t="s">
        <v>60</v>
      </c>
      <c r="F2612" s="6" t="s">
        <v>20</v>
      </c>
      <c r="G2612" s="6" t="s">
        <v>31</v>
      </c>
      <c r="H2612" s="7">
        <v>1921.0</v>
      </c>
      <c r="I2612" s="7">
        <v>1584.0</v>
      </c>
      <c r="J2612" s="6">
        <v>1956.0</v>
      </c>
      <c r="K2612" s="6">
        <v>5.0</v>
      </c>
      <c r="L2612" s="6" t="s">
        <v>22</v>
      </c>
      <c r="M2612" s="6" t="s">
        <v>10484</v>
      </c>
      <c r="N2612" s="6" t="s">
        <v>34</v>
      </c>
      <c r="O2612" s="6" t="s">
        <v>49</v>
      </c>
      <c r="P2612" s="6">
        <f>COUNTIF(Analysis!$M$1:$M$3001,Analysis!$M2612)</f>
        <v>1</v>
      </c>
      <c r="Q2612" s="6" t="str">
        <f>IF(COUNTIF(Analysis!$M$2:$M$3001,Analysis!$M2612)&gt;1,"Duplicate","OK")</f>
        <v>OK</v>
      </c>
      <c r="R2612" s="6" t="str">
        <f t="shared" si="1"/>
        <v>1600-2600</v>
      </c>
      <c r="S2612" s="6">
        <f t="shared" si="2"/>
        <v>70</v>
      </c>
      <c r="T2612" s="6" t="str">
        <f t="shared" si="3"/>
        <v>Very Old</v>
      </c>
    </row>
    <row r="2613" ht="14.25" customHeight="1">
      <c r="A2613" s="5">
        <v>1448184.0</v>
      </c>
      <c r="B2613" s="6" t="s">
        <v>10487</v>
      </c>
      <c r="C2613" s="6" t="s">
        <v>76</v>
      </c>
      <c r="D2613" s="6">
        <v>35493.0</v>
      </c>
      <c r="E2613" s="6" t="s">
        <v>77</v>
      </c>
      <c r="F2613" s="6" t="s">
        <v>46</v>
      </c>
      <c r="G2613" s="6" t="s">
        <v>31</v>
      </c>
      <c r="H2613" s="7">
        <v>1931.0</v>
      </c>
      <c r="I2613" s="7">
        <v>1209.0</v>
      </c>
      <c r="J2613" s="6">
        <v>2004.0</v>
      </c>
      <c r="K2613" s="6">
        <v>59.0</v>
      </c>
      <c r="L2613" s="6" t="s">
        <v>62</v>
      </c>
      <c r="M2613" s="6" t="s">
        <v>10488</v>
      </c>
      <c r="N2613" s="6" t="s">
        <v>34</v>
      </c>
      <c r="O2613" s="6" t="s">
        <v>25</v>
      </c>
      <c r="P2613" s="6">
        <f>COUNTIF(Analysis!$M$1:$M$3001,Analysis!$M2613)</f>
        <v>1</v>
      </c>
      <c r="Q2613" s="6" t="str">
        <f>IF(COUNTIF(Analysis!$M$2:$M$3001,Analysis!$M2613)&gt;1,"Duplicate","OK")</f>
        <v>OK</v>
      </c>
      <c r="R2613" s="6" t="str">
        <f t="shared" si="1"/>
        <v>1600-2600</v>
      </c>
      <c r="S2613" s="6">
        <f t="shared" si="2"/>
        <v>22</v>
      </c>
      <c r="T2613" s="6" t="str">
        <f t="shared" si="3"/>
        <v>Mid</v>
      </c>
    </row>
    <row r="2614" ht="14.25" customHeight="1">
      <c r="A2614" s="5">
        <v>444950.0</v>
      </c>
      <c r="B2614" s="6" t="s">
        <v>10491</v>
      </c>
      <c r="C2614" s="6" t="s">
        <v>18</v>
      </c>
      <c r="D2614" s="6">
        <v>89979.0</v>
      </c>
      <c r="E2614" s="6" t="s">
        <v>40</v>
      </c>
      <c r="F2614" s="6" t="s">
        <v>41</v>
      </c>
      <c r="G2614" s="6" t="s">
        <v>21</v>
      </c>
      <c r="H2614" s="7">
        <v>640.0</v>
      </c>
      <c r="I2614" s="7">
        <v>3424.0</v>
      </c>
      <c r="J2614" s="6">
        <v>1958.0</v>
      </c>
      <c r="K2614" s="6">
        <v>114.0</v>
      </c>
      <c r="L2614" s="6" t="s">
        <v>95</v>
      </c>
      <c r="M2614" s="6" t="s">
        <v>10492</v>
      </c>
      <c r="N2614" s="6" t="s">
        <v>34</v>
      </c>
      <c r="O2614" s="6" t="s">
        <v>25</v>
      </c>
      <c r="P2614" s="6">
        <f>COUNTIF(Analysis!$M$1:$M$3001,Analysis!$M2614)</f>
        <v>1</v>
      </c>
      <c r="Q2614" s="6" t="str">
        <f>IF(COUNTIF(Analysis!$M$2:$M$3001,Analysis!$M2614)&gt;1,"Duplicate","OK")</f>
        <v>OK</v>
      </c>
      <c r="R2614" s="6" t="str">
        <f t="shared" si="1"/>
        <v>600-1600</v>
      </c>
      <c r="S2614" s="6">
        <f t="shared" si="2"/>
        <v>68</v>
      </c>
      <c r="T2614" s="6" t="str">
        <f t="shared" si="3"/>
        <v>Very Old</v>
      </c>
    </row>
    <row r="2615" ht="14.25" customHeight="1">
      <c r="A2615" s="5">
        <v>1364756.0</v>
      </c>
      <c r="B2615" s="6" t="s">
        <v>4711</v>
      </c>
      <c r="C2615" s="6" t="s">
        <v>29</v>
      </c>
      <c r="D2615" s="6">
        <v>24152.0</v>
      </c>
      <c r="E2615" s="6" t="s">
        <v>60</v>
      </c>
      <c r="F2615" s="6" t="s">
        <v>41</v>
      </c>
      <c r="G2615" s="6" t="s">
        <v>55</v>
      </c>
      <c r="H2615" s="7">
        <v>1115.0</v>
      </c>
      <c r="I2615" s="7">
        <v>6778.0</v>
      </c>
      <c r="J2615" s="6">
        <v>1998.0</v>
      </c>
      <c r="K2615" s="6">
        <v>112.0</v>
      </c>
      <c r="L2615" s="6" t="s">
        <v>62</v>
      </c>
      <c r="M2615" s="6" t="s">
        <v>4712</v>
      </c>
      <c r="N2615" s="6" t="s">
        <v>43</v>
      </c>
      <c r="O2615" s="6" t="s">
        <v>49</v>
      </c>
      <c r="P2615" s="6">
        <f>COUNTIF(Analysis!$M$1:$M$3001,Analysis!$M1168)</f>
        <v>1</v>
      </c>
      <c r="Q2615" s="6" t="str">
        <f>IF(COUNTIF(Analysis!$M$2:$M$3001,Analysis!$M1168)&gt;1,"Duplicate","OK")</f>
        <v>OK</v>
      </c>
      <c r="R2615" s="6" t="str">
        <f t="shared" si="1"/>
        <v>600-1600</v>
      </c>
      <c r="S2615" s="6">
        <f t="shared" si="2"/>
        <v>28</v>
      </c>
      <c r="T2615" s="6" t="str">
        <f t="shared" si="3"/>
        <v>Mid</v>
      </c>
    </row>
    <row r="2616" ht="14.25" customHeight="1">
      <c r="A2616" s="5">
        <v>855500.0</v>
      </c>
      <c r="B2616" s="6" t="s">
        <v>10499</v>
      </c>
      <c r="C2616" s="6" t="s">
        <v>39</v>
      </c>
      <c r="D2616" s="6">
        <v>22414.0</v>
      </c>
      <c r="E2616" s="6" t="s">
        <v>77</v>
      </c>
      <c r="F2616" s="6" t="s">
        <v>54</v>
      </c>
      <c r="G2616" s="6" t="s">
        <v>55</v>
      </c>
      <c r="H2616" s="7">
        <v>2504.0</v>
      </c>
      <c r="I2616" s="7">
        <v>4982.0</v>
      </c>
      <c r="J2616" s="6">
        <v>1972.0</v>
      </c>
      <c r="K2616" s="6">
        <v>18.0</v>
      </c>
      <c r="L2616" s="6" t="s">
        <v>95</v>
      </c>
      <c r="M2616" s="6" t="s">
        <v>10500</v>
      </c>
      <c r="N2616" s="6" t="s">
        <v>43</v>
      </c>
      <c r="O2616" s="6" t="s">
        <v>49</v>
      </c>
      <c r="P2616" s="6">
        <f>COUNTIF(Analysis!$M$1:$M$3001,Analysis!$M2616)</f>
        <v>1</v>
      </c>
      <c r="Q2616" s="6" t="str">
        <f>IF(COUNTIF(Analysis!$M$2:$M$3001,Analysis!$M2616)&gt;1,"Duplicate","OK")</f>
        <v>OK</v>
      </c>
      <c r="R2616" s="6" t="str">
        <f t="shared" si="1"/>
        <v>1600-2600</v>
      </c>
      <c r="S2616" s="6">
        <f t="shared" si="2"/>
        <v>54</v>
      </c>
      <c r="T2616" s="6" t="str">
        <f t="shared" si="3"/>
        <v>Old</v>
      </c>
    </row>
    <row r="2617" ht="14.25" customHeight="1">
      <c r="A2617" s="5">
        <v>683327.0</v>
      </c>
      <c r="B2617" s="6" t="s">
        <v>10503</v>
      </c>
      <c r="C2617" s="6" t="s">
        <v>53</v>
      </c>
      <c r="D2617" s="6">
        <v>19656.0</v>
      </c>
      <c r="E2617" s="6" t="s">
        <v>60</v>
      </c>
      <c r="F2617" s="6" t="s">
        <v>46</v>
      </c>
      <c r="G2617" s="6" t="s">
        <v>100</v>
      </c>
      <c r="H2617" s="7">
        <v>1396.0</v>
      </c>
      <c r="I2617" s="7">
        <v>2237.0</v>
      </c>
      <c r="J2617" s="6">
        <v>2021.0</v>
      </c>
      <c r="K2617" s="6">
        <v>21.0</v>
      </c>
      <c r="L2617" s="6" t="s">
        <v>22</v>
      </c>
      <c r="M2617" s="6" t="s">
        <v>10504</v>
      </c>
      <c r="N2617" s="6" t="s">
        <v>64</v>
      </c>
      <c r="O2617" s="6" t="s">
        <v>25</v>
      </c>
      <c r="P2617" s="6">
        <f>COUNTIF(Analysis!$M$1:$M$3001,Analysis!$M2617)</f>
        <v>1</v>
      </c>
      <c r="Q2617" s="6" t="str">
        <f>IF(COUNTIF(Analysis!$M$2:$M$3001,Analysis!$M2617)&gt;1,"Duplicate","OK")</f>
        <v>OK</v>
      </c>
      <c r="R2617" s="6" t="str">
        <f t="shared" si="1"/>
        <v>600-1600</v>
      </c>
      <c r="S2617" s="6">
        <f t="shared" si="2"/>
        <v>5</v>
      </c>
      <c r="T2617" s="6" t="str">
        <f t="shared" si="3"/>
        <v>New</v>
      </c>
    </row>
    <row r="2618" ht="14.25" customHeight="1">
      <c r="A2618" s="5">
        <v>1216780.0</v>
      </c>
      <c r="B2618" s="6" t="s">
        <v>10507</v>
      </c>
      <c r="C2618" s="6" t="s">
        <v>76</v>
      </c>
      <c r="D2618" s="6">
        <v>80773.0</v>
      </c>
      <c r="E2618" s="6" t="s">
        <v>19</v>
      </c>
      <c r="F2618" s="6" t="s">
        <v>41</v>
      </c>
      <c r="G2618" s="6" t="s">
        <v>100</v>
      </c>
      <c r="H2618" s="7">
        <v>1325.0</v>
      </c>
      <c r="I2618" s="7">
        <v>5265.0</v>
      </c>
      <c r="J2618" s="6">
        <v>1978.0</v>
      </c>
      <c r="K2618" s="6">
        <v>9.0</v>
      </c>
      <c r="L2618" s="6" t="s">
        <v>22</v>
      </c>
      <c r="M2618" s="6" t="s">
        <v>10508</v>
      </c>
      <c r="N2618" s="6" t="s">
        <v>34</v>
      </c>
      <c r="O2618" s="6" t="s">
        <v>25</v>
      </c>
      <c r="P2618" s="6">
        <f>COUNTIF(Analysis!$M$1:$M$3001,Analysis!$M2618)</f>
        <v>1</v>
      </c>
      <c r="Q2618" s="6" t="str">
        <f>IF(COUNTIF(Analysis!$M$2:$M$3001,Analysis!$M2618)&gt;1,"Duplicate","OK")</f>
        <v>OK</v>
      </c>
      <c r="R2618" s="6" t="str">
        <f t="shared" si="1"/>
        <v>600-1600</v>
      </c>
      <c r="S2618" s="6">
        <f t="shared" si="2"/>
        <v>48</v>
      </c>
      <c r="T2618" s="6" t="str">
        <f t="shared" si="3"/>
        <v>Old</v>
      </c>
    </row>
    <row r="2619" ht="14.25" customHeight="1">
      <c r="A2619" s="5">
        <v>692477.0</v>
      </c>
      <c r="B2619" s="6" t="s">
        <v>10511</v>
      </c>
      <c r="C2619" s="6" t="s">
        <v>18</v>
      </c>
      <c r="D2619" s="6">
        <v>42327.0</v>
      </c>
      <c r="E2619" s="6" t="s">
        <v>60</v>
      </c>
      <c r="F2619" s="6" t="s">
        <v>54</v>
      </c>
      <c r="G2619" s="6" t="s">
        <v>31</v>
      </c>
      <c r="H2619" s="7">
        <v>3353.0</v>
      </c>
      <c r="I2619" s="7">
        <v>5888.0</v>
      </c>
      <c r="J2619" s="6">
        <v>1991.0</v>
      </c>
      <c r="K2619" s="6">
        <v>116.0</v>
      </c>
      <c r="L2619" s="6" t="s">
        <v>141</v>
      </c>
      <c r="M2619" s="6" t="s">
        <v>10512</v>
      </c>
      <c r="N2619" s="6" t="s">
        <v>43</v>
      </c>
      <c r="O2619" s="6" t="s">
        <v>49</v>
      </c>
      <c r="P2619" s="6">
        <f>COUNTIF(Analysis!$M$1:$M$3001,Analysis!$M2619)</f>
        <v>1</v>
      </c>
      <c r="Q2619" s="6" t="str">
        <f>IF(COUNTIF(Analysis!$M$2:$M$3001,Analysis!$M2619)&gt;1,"Duplicate","OK")</f>
        <v>OK</v>
      </c>
      <c r="R2619" s="6" t="str">
        <f t="shared" si="1"/>
        <v>2600-3600</v>
      </c>
      <c r="S2619" s="6">
        <f t="shared" si="2"/>
        <v>35</v>
      </c>
      <c r="T2619" s="6" t="str">
        <f t="shared" si="3"/>
        <v>Old</v>
      </c>
    </row>
    <row r="2620" ht="14.25" customHeight="1">
      <c r="A2620" s="5">
        <v>1367995.0</v>
      </c>
      <c r="B2620" s="6" t="s">
        <v>1285</v>
      </c>
      <c r="C2620" s="6" t="s">
        <v>29</v>
      </c>
      <c r="D2620" s="6">
        <v>60346.0</v>
      </c>
      <c r="E2620" s="6" t="s">
        <v>77</v>
      </c>
      <c r="F2620" s="6" t="s">
        <v>20</v>
      </c>
      <c r="G2620" s="6" t="s">
        <v>31</v>
      </c>
      <c r="H2620" s="7">
        <v>3929.0</v>
      </c>
      <c r="I2620" s="7">
        <v>8333.0</v>
      </c>
      <c r="J2620" s="6">
        <v>1981.0</v>
      </c>
      <c r="K2620" s="6">
        <v>64.0</v>
      </c>
      <c r="L2620" s="6" t="s">
        <v>62</v>
      </c>
      <c r="M2620" s="6" t="s">
        <v>1286</v>
      </c>
      <c r="N2620" s="6" t="s">
        <v>43</v>
      </c>
      <c r="O2620" s="6" t="s">
        <v>25</v>
      </c>
      <c r="P2620" s="6">
        <f>COUNTIF(Analysis!$M$1:$M$3001,Analysis!$M311)</f>
        <v>1</v>
      </c>
      <c r="Q2620" s="6" t="str">
        <f>IF(COUNTIF(Analysis!$M$2:$M$3001,Analysis!$M311)&gt;1,"Duplicate","OK")</f>
        <v>OK</v>
      </c>
      <c r="R2620" s="6" t="str">
        <f t="shared" si="1"/>
        <v>3600+</v>
      </c>
      <c r="S2620" s="6">
        <f t="shared" si="2"/>
        <v>45</v>
      </c>
      <c r="T2620" s="6" t="str">
        <f t="shared" si="3"/>
        <v>Old</v>
      </c>
    </row>
    <row r="2621" ht="14.25" customHeight="1">
      <c r="A2621" s="5">
        <v>687101.0</v>
      </c>
      <c r="B2621" s="6" t="s">
        <v>10519</v>
      </c>
      <c r="C2621" s="6" t="s">
        <v>18</v>
      </c>
      <c r="D2621" s="6">
        <v>24359.0</v>
      </c>
      <c r="E2621" s="6" t="s">
        <v>77</v>
      </c>
      <c r="F2621" s="6" t="s">
        <v>54</v>
      </c>
      <c r="G2621" s="6" t="s">
        <v>21</v>
      </c>
      <c r="H2621" s="7">
        <v>3231.0</v>
      </c>
      <c r="I2621" s="7">
        <v>9006.0</v>
      </c>
      <c r="J2621" s="6">
        <v>1980.0</v>
      </c>
      <c r="K2621" s="6">
        <v>46.0</v>
      </c>
      <c r="L2621" s="6" t="s">
        <v>22</v>
      </c>
      <c r="M2621" s="6" t="s">
        <v>10520</v>
      </c>
      <c r="N2621" s="6" t="s">
        <v>24</v>
      </c>
      <c r="O2621" s="6" t="s">
        <v>49</v>
      </c>
      <c r="P2621" s="6">
        <f>COUNTIF(Analysis!$M$1:$M$3001,Analysis!$M2621)</f>
        <v>1</v>
      </c>
      <c r="Q2621" s="6" t="str">
        <f>IF(COUNTIF(Analysis!$M$2:$M$3001,Analysis!$M2621)&gt;1,"Duplicate","OK")</f>
        <v>OK</v>
      </c>
      <c r="R2621" s="6" t="str">
        <f t="shared" si="1"/>
        <v>2600-3600</v>
      </c>
      <c r="S2621" s="6">
        <f t="shared" si="2"/>
        <v>46</v>
      </c>
      <c r="T2621" s="6" t="str">
        <f t="shared" si="3"/>
        <v>Old</v>
      </c>
    </row>
    <row r="2622" ht="14.25" customHeight="1">
      <c r="A2622" s="5">
        <v>118223.0</v>
      </c>
      <c r="B2622" s="6" t="s">
        <v>10523</v>
      </c>
      <c r="C2622" s="6" t="s">
        <v>53</v>
      </c>
      <c r="D2622" s="6">
        <v>26190.0</v>
      </c>
      <c r="E2622" s="6" t="s">
        <v>30</v>
      </c>
      <c r="F2622" s="6" t="s">
        <v>41</v>
      </c>
      <c r="G2622" s="6" t="s">
        <v>55</v>
      </c>
      <c r="H2622" s="7">
        <v>3678.0</v>
      </c>
      <c r="I2622" s="7">
        <v>8659.0</v>
      </c>
      <c r="J2622" s="6">
        <v>2019.0</v>
      </c>
      <c r="K2622" s="6">
        <v>48.0</v>
      </c>
      <c r="L2622" s="6" t="s">
        <v>32</v>
      </c>
      <c r="M2622" s="6" t="s">
        <v>10524</v>
      </c>
      <c r="N2622" s="6" t="s">
        <v>24</v>
      </c>
      <c r="O2622" s="6" t="s">
        <v>49</v>
      </c>
      <c r="P2622" s="6">
        <f>COUNTIF(Analysis!$M$1:$M$3001,Analysis!$M2622)</f>
        <v>1</v>
      </c>
      <c r="Q2622" s="6" t="str">
        <f>IF(COUNTIF(Analysis!$M$2:$M$3001,Analysis!$M2622)&gt;1,"Duplicate","OK")</f>
        <v>OK</v>
      </c>
      <c r="R2622" s="6" t="str">
        <f t="shared" si="1"/>
        <v>3600+</v>
      </c>
      <c r="S2622" s="6">
        <f t="shared" si="2"/>
        <v>7</v>
      </c>
      <c r="T2622" s="6" t="str">
        <f t="shared" si="3"/>
        <v>New</v>
      </c>
    </row>
    <row r="2623" ht="14.25" customHeight="1">
      <c r="A2623" s="5">
        <v>1243844.0</v>
      </c>
      <c r="B2623" s="6" t="s">
        <v>10527</v>
      </c>
      <c r="C2623" s="6" t="s">
        <v>18</v>
      </c>
      <c r="D2623" s="6">
        <v>67088.0</v>
      </c>
      <c r="E2623" s="6" t="s">
        <v>30</v>
      </c>
      <c r="F2623" s="6" t="s">
        <v>94</v>
      </c>
      <c r="G2623" s="6" t="s">
        <v>21</v>
      </c>
      <c r="H2623" s="7">
        <v>1353.0</v>
      </c>
      <c r="I2623" s="7">
        <v>4933.0</v>
      </c>
      <c r="J2623" s="6">
        <v>2020.0</v>
      </c>
      <c r="K2623" s="6">
        <v>79.0</v>
      </c>
      <c r="L2623" s="6" t="s">
        <v>141</v>
      </c>
      <c r="M2623" s="6" t="s">
        <v>10528</v>
      </c>
      <c r="N2623" s="6" t="s">
        <v>43</v>
      </c>
      <c r="O2623" s="6" t="s">
        <v>25</v>
      </c>
      <c r="P2623" s="6">
        <f>COUNTIF(Analysis!$M$1:$M$3001,Analysis!$M2623)</f>
        <v>1</v>
      </c>
      <c r="Q2623" s="6" t="str">
        <f>IF(COUNTIF(Analysis!$M$2:$M$3001,Analysis!$M2623)&gt;1,"Duplicate","OK")</f>
        <v>OK</v>
      </c>
      <c r="R2623" s="6" t="str">
        <f t="shared" si="1"/>
        <v>600-1600</v>
      </c>
      <c r="S2623" s="6">
        <f t="shared" si="2"/>
        <v>6</v>
      </c>
      <c r="T2623" s="6" t="str">
        <f t="shared" si="3"/>
        <v>New</v>
      </c>
    </row>
    <row r="2624" ht="14.25" customHeight="1">
      <c r="A2624" s="5">
        <v>886391.0</v>
      </c>
      <c r="B2624" s="6" t="s">
        <v>10531</v>
      </c>
      <c r="C2624" s="6" t="s">
        <v>39</v>
      </c>
      <c r="D2624" s="6">
        <v>13557.0</v>
      </c>
      <c r="E2624" s="6" t="s">
        <v>40</v>
      </c>
      <c r="F2624" s="6" t="s">
        <v>94</v>
      </c>
      <c r="G2624" s="6" t="s">
        <v>55</v>
      </c>
      <c r="H2624" s="7">
        <v>3224.0</v>
      </c>
      <c r="I2624" s="7">
        <v>9777.0</v>
      </c>
      <c r="J2624" s="6">
        <v>2005.0</v>
      </c>
      <c r="K2624" s="6">
        <v>118.0</v>
      </c>
      <c r="L2624" s="6" t="s">
        <v>62</v>
      </c>
      <c r="M2624" s="6" t="s">
        <v>10532</v>
      </c>
      <c r="N2624" s="6" t="s">
        <v>24</v>
      </c>
      <c r="O2624" s="6" t="s">
        <v>49</v>
      </c>
      <c r="P2624" s="6">
        <f>COUNTIF(Analysis!$M$1:$M$3001,Analysis!$M2624)</f>
        <v>1</v>
      </c>
      <c r="Q2624" s="6" t="str">
        <f>IF(COUNTIF(Analysis!$M$2:$M$3001,Analysis!$M2624)&gt;1,"Duplicate","OK")</f>
        <v>OK</v>
      </c>
      <c r="R2624" s="6" t="str">
        <f t="shared" si="1"/>
        <v>2600-3600</v>
      </c>
      <c r="S2624" s="6">
        <f t="shared" si="2"/>
        <v>21</v>
      </c>
      <c r="T2624" s="6" t="str">
        <f t="shared" si="3"/>
        <v>Mid</v>
      </c>
    </row>
    <row r="2625" ht="14.25" customHeight="1">
      <c r="A2625" s="5">
        <v>1490566.0</v>
      </c>
      <c r="B2625" s="6" t="s">
        <v>10535</v>
      </c>
      <c r="C2625" s="6" t="s">
        <v>76</v>
      </c>
      <c r="D2625" s="6">
        <v>45797.0</v>
      </c>
      <c r="E2625" s="6" t="s">
        <v>30</v>
      </c>
      <c r="F2625" s="6" t="s">
        <v>46</v>
      </c>
      <c r="G2625" s="6" t="s">
        <v>55</v>
      </c>
      <c r="H2625" s="7">
        <v>2648.0</v>
      </c>
      <c r="I2625" s="7">
        <v>7956.0</v>
      </c>
      <c r="J2625" s="6">
        <v>1958.0</v>
      </c>
      <c r="K2625" s="6">
        <v>68.0</v>
      </c>
      <c r="L2625" s="6" t="s">
        <v>22</v>
      </c>
      <c r="M2625" s="6" t="s">
        <v>10536</v>
      </c>
      <c r="N2625" s="6" t="s">
        <v>24</v>
      </c>
      <c r="O2625" s="6" t="s">
        <v>25</v>
      </c>
      <c r="P2625" s="6">
        <f>COUNTIF(Analysis!$M$1:$M$3001,Analysis!$M2625)</f>
        <v>1</v>
      </c>
      <c r="Q2625" s="6" t="str">
        <f>IF(COUNTIF(Analysis!$M$2:$M$3001,Analysis!$M2625)&gt;1,"Duplicate","OK")</f>
        <v>OK</v>
      </c>
      <c r="R2625" s="6" t="str">
        <f t="shared" si="1"/>
        <v>2600-3600</v>
      </c>
      <c r="S2625" s="6">
        <f t="shared" si="2"/>
        <v>68</v>
      </c>
      <c r="T2625" s="6" t="str">
        <f t="shared" si="3"/>
        <v>Very Old</v>
      </c>
    </row>
    <row r="2626" ht="14.25" customHeight="1">
      <c r="A2626" s="5">
        <v>737325.0</v>
      </c>
      <c r="B2626" s="6" t="s">
        <v>10539</v>
      </c>
      <c r="C2626" s="6" t="s">
        <v>39</v>
      </c>
      <c r="D2626" s="6">
        <v>50963.0</v>
      </c>
      <c r="E2626" s="6" t="s">
        <v>30</v>
      </c>
      <c r="F2626" s="6" t="s">
        <v>20</v>
      </c>
      <c r="G2626" s="6" t="s">
        <v>100</v>
      </c>
      <c r="H2626" s="7">
        <v>1512.0</v>
      </c>
      <c r="I2626" s="7">
        <v>4251.0</v>
      </c>
      <c r="J2626" s="6">
        <v>1990.0</v>
      </c>
      <c r="K2626" s="6">
        <v>6.0</v>
      </c>
      <c r="L2626" s="6" t="s">
        <v>22</v>
      </c>
      <c r="M2626" s="6" t="s">
        <v>10540</v>
      </c>
      <c r="N2626" s="6" t="s">
        <v>48</v>
      </c>
      <c r="O2626" s="6" t="s">
        <v>25</v>
      </c>
      <c r="P2626" s="6">
        <f>COUNTIF(Analysis!$M$1:$M$3001,Analysis!$M2626)</f>
        <v>1</v>
      </c>
      <c r="Q2626" s="6" t="str">
        <f>IF(COUNTIF(Analysis!$M$2:$M$3001,Analysis!$M2626)&gt;1,"Duplicate","OK")</f>
        <v>OK</v>
      </c>
      <c r="R2626" s="6" t="str">
        <f t="shared" si="1"/>
        <v>600-1600</v>
      </c>
      <c r="S2626" s="6">
        <f t="shared" si="2"/>
        <v>36</v>
      </c>
      <c r="T2626" s="6" t="str">
        <f t="shared" si="3"/>
        <v>Old</v>
      </c>
    </row>
    <row r="2627" ht="14.25" customHeight="1">
      <c r="A2627" s="5">
        <v>969176.0</v>
      </c>
      <c r="B2627" s="6" t="s">
        <v>10543</v>
      </c>
      <c r="C2627" s="6" t="s">
        <v>18</v>
      </c>
      <c r="D2627" s="6">
        <v>38624.0</v>
      </c>
      <c r="E2627" s="6" t="s">
        <v>19</v>
      </c>
      <c r="F2627" s="6" t="s">
        <v>20</v>
      </c>
      <c r="G2627" s="6" t="s">
        <v>31</v>
      </c>
      <c r="H2627" s="7">
        <v>1200.0</v>
      </c>
      <c r="I2627" s="7">
        <v>1804.0</v>
      </c>
      <c r="J2627" s="6">
        <v>1991.0</v>
      </c>
      <c r="K2627" s="6">
        <v>56.0</v>
      </c>
      <c r="L2627" s="6" t="s">
        <v>62</v>
      </c>
      <c r="M2627" s="6" t="s">
        <v>10544</v>
      </c>
      <c r="N2627" s="6" t="s">
        <v>34</v>
      </c>
      <c r="O2627" s="6" t="s">
        <v>35</v>
      </c>
      <c r="P2627" s="6">
        <f>COUNTIF(Analysis!$M$1:$M$3001,Analysis!$M2627)</f>
        <v>1</v>
      </c>
      <c r="Q2627" s="6" t="str">
        <f>IF(COUNTIF(Analysis!$M$2:$M$3001,Analysis!$M2627)&gt;1,"Duplicate","OK")</f>
        <v>OK</v>
      </c>
      <c r="R2627" s="6" t="str">
        <f t="shared" si="1"/>
        <v>600-1600</v>
      </c>
      <c r="S2627" s="6">
        <f t="shared" si="2"/>
        <v>35</v>
      </c>
      <c r="T2627" s="6" t="str">
        <f t="shared" si="3"/>
        <v>Old</v>
      </c>
    </row>
    <row r="2628" ht="14.25" customHeight="1">
      <c r="A2628" s="5">
        <v>1368821.0</v>
      </c>
      <c r="B2628" s="6" t="s">
        <v>10291</v>
      </c>
      <c r="C2628" s="6" t="s">
        <v>29</v>
      </c>
      <c r="D2628" s="6">
        <v>87047.0</v>
      </c>
      <c r="E2628" s="6" t="s">
        <v>40</v>
      </c>
      <c r="F2628" s="6" t="s">
        <v>41</v>
      </c>
      <c r="G2628" s="6" t="s">
        <v>55</v>
      </c>
      <c r="H2628" s="7">
        <v>3923.0</v>
      </c>
      <c r="I2628" s="7">
        <v>7174.0</v>
      </c>
      <c r="J2628" s="6">
        <v>1985.0</v>
      </c>
      <c r="K2628" s="6">
        <v>29.0</v>
      </c>
      <c r="L2628" s="6" t="s">
        <v>32</v>
      </c>
      <c r="M2628" s="6" t="s">
        <v>10292</v>
      </c>
      <c r="N2628" s="6" t="s">
        <v>43</v>
      </c>
      <c r="O2628" s="6" t="s">
        <v>35</v>
      </c>
      <c r="P2628" s="6">
        <f>COUNTIF(Analysis!$M$1:$M$3001,Analysis!$M2564)</f>
        <v>1</v>
      </c>
      <c r="Q2628" s="6" t="str">
        <f>IF(COUNTIF(Analysis!$M$2:$M$3001,Analysis!$M2564)&gt;1,"Duplicate","OK")</f>
        <v>OK</v>
      </c>
      <c r="R2628" s="6" t="str">
        <f t="shared" si="1"/>
        <v>3600+</v>
      </c>
      <c r="S2628" s="6">
        <f t="shared" si="2"/>
        <v>41</v>
      </c>
      <c r="T2628" s="6" t="str">
        <f t="shared" si="3"/>
        <v>Old</v>
      </c>
    </row>
    <row r="2629" ht="14.25" customHeight="1">
      <c r="A2629" s="5">
        <v>434210.0</v>
      </c>
      <c r="B2629" s="6" t="s">
        <v>10551</v>
      </c>
      <c r="C2629" s="6" t="s">
        <v>39</v>
      </c>
      <c r="D2629" s="6">
        <v>35587.0</v>
      </c>
      <c r="E2629" s="6" t="s">
        <v>60</v>
      </c>
      <c r="F2629" s="6" t="s">
        <v>20</v>
      </c>
      <c r="G2629" s="6" t="s">
        <v>100</v>
      </c>
      <c r="H2629" s="7">
        <v>2421.0</v>
      </c>
      <c r="I2629" s="7">
        <v>1738.0</v>
      </c>
      <c r="J2629" s="6">
        <v>1959.0</v>
      </c>
      <c r="K2629" s="6">
        <v>16.0</v>
      </c>
      <c r="L2629" s="6" t="s">
        <v>32</v>
      </c>
      <c r="M2629" s="6" t="s">
        <v>10552</v>
      </c>
      <c r="N2629" s="6" t="s">
        <v>24</v>
      </c>
      <c r="O2629" s="6" t="s">
        <v>49</v>
      </c>
      <c r="P2629" s="6">
        <f>COUNTIF(Analysis!$M$1:$M$3001,Analysis!$M2629)</f>
        <v>1</v>
      </c>
      <c r="Q2629" s="6" t="str">
        <f>IF(COUNTIF(Analysis!$M$2:$M$3001,Analysis!$M2629)&gt;1,"Duplicate","OK")</f>
        <v>OK</v>
      </c>
      <c r="R2629" s="6" t="str">
        <f t="shared" si="1"/>
        <v>1600-2600</v>
      </c>
      <c r="S2629" s="6">
        <f t="shared" si="2"/>
        <v>67</v>
      </c>
      <c r="T2629" s="6" t="str">
        <f t="shared" si="3"/>
        <v>Very Old</v>
      </c>
    </row>
    <row r="2630" ht="14.25" customHeight="1">
      <c r="A2630" s="5">
        <v>491406.0</v>
      </c>
      <c r="B2630" s="6" t="s">
        <v>10555</v>
      </c>
      <c r="C2630" s="6" t="s">
        <v>76</v>
      </c>
      <c r="D2630" s="6">
        <v>73490.0</v>
      </c>
      <c r="E2630" s="6" t="s">
        <v>77</v>
      </c>
      <c r="F2630" s="6" t="s">
        <v>61</v>
      </c>
      <c r="G2630" s="6" t="s">
        <v>55</v>
      </c>
      <c r="H2630" s="7">
        <v>3489.0</v>
      </c>
      <c r="I2630" s="7">
        <v>3663.0</v>
      </c>
      <c r="J2630" s="6">
        <v>1973.0</v>
      </c>
      <c r="K2630" s="6">
        <v>40.0</v>
      </c>
      <c r="L2630" s="6" t="s">
        <v>62</v>
      </c>
      <c r="M2630" s="6" t="s">
        <v>10556</v>
      </c>
      <c r="N2630" s="6" t="s">
        <v>24</v>
      </c>
      <c r="O2630" s="6" t="s">
        <v>35</v>
      </c>
      <c r="P2630" s="6">
        <f>COUNTIF(Analysis!$M$1:$M$3001,Analysis!$M2630)</f>
        <v>1</v>
      </c>
      <c r="Q2630" s="6" t="str">
        <f>IF(COUNTIF(Analysis!$M$2:$M$3001,Analysis!$M2630)&gt;1,"Duplicate","OK")</f>
        <v>OK</v>
      </c>
      <c r="R2630" s="6" t="str">
        <f t="shared" si="1"/>
        <v>2600-3600</v>
      </c>
      <c r="S2630" s="6">
        <f t="shared" si="2"/>
        <v>53</v>
      </c>
      <c r="T2630" s="6" t="str">
        <f t="shared" si="3"/>
        <v>Old</v>
      </c>
    </row>
    <row r="2631" ht="14.25" customHeight="1">
      <c r="A2631" s="5">
        <v>1311387.0</v>
      </c>
      <c r="B2631" s="6" t="s">
        <v>10559</v>
      </c>
      <c r="C2631" s="6" t="s">
        <v>18</v>
      </c>
      <c r="D2631" s="6">
        <v>71253.0</v>
      </c>
      <c r="E2631" s="6" t="s">
        <v>60</v>
      </c>
      <c r="F2631" s="6" t="s">
        <v>41</v>
      </c>
      <c r="G2631" s="6" t="s">
        <v>31</v>
      </c>
      <c r="H2631" s="7">
        <v>828.0</v>
      </c>
      <c r="I2631" s="7">
        <v>3281.0</v>
      </c>
      <c r="J2631" s="6">
        <v>1982.0</v>
      </c>
      <c r="K2631" s="6">
        <v>80.0</v>
      </c>
      <c r="L2631" s="6" t="s">
        <v>32</v>
      </c>
      <c r="M2631" s="6" t="s">
        <v>10560</v>
      </c>
      <c r="N2631" s="6" t="s">
        <v>48</v>
      </c>
      <c r="O2631" s="6" t="s">
        <v>49</v>
      </c>
      <c r="P2631" s="6">
        <f>COUNTIF(Analysis!$M$1:$M$3001,Analysis!$M2631)</f>
        <v>1</v>
      </c>
      <c r="Q2631" s="6" t="str">
        <f>IF(COUNTIF(Analysis!$M$2:$M$3001,Analysis!$M2631)&gt;1,"Duplicate","OK")</f>
        <v>OK</v>
      </c>
      <c r="R2631" s="6" t="str">
        <f t="shared" si="1"/>
        <v>600-1600</v>
      </c>
      <c r="S2631" s="6">
        <f t="shared" si="2"/>
        <v>44</v>
      </c>
      <c r="T2631" s="6" t="str">
        <f t="shared" si="3"/>
        <v>Old</v>
      </c>
    </row>
    <row r="2632" ht="14.25" customHeight="1">
      <c r="A2632" s="5">
        <v>1199146.0</v>
      </c>
      <c r="B2632" s="6" t="s">
        <v>10563</v>
      </c>
      <c r="C2632" s="6" t="s">
        <v>39</v>
      </c>
      <c r="D2632" s="6">
        <v>44938.0</v>
      </c>
      <c r="E2632" s="6" t="s">
        <v>40</v>
      </c>
      <c r="F2632" s="6" t="s">
        <v>94</v>
      </c>
      <c r="G2632" s="6" t="s">
        <v>55</v>
      </c>
      <c r="H2632" s="7">
        <v>824.0</v>
      </c>
      <c r="I2632" s="7">
        <v>4458.0</v>
      </c>
      <c r="J2632" s="6">
        <v>1981.0</v>
      </c>
      <c r="K2632" s="6">
        <v>105.0</v>
      </c>
      <c r="L2632" s="6" t="s">
        <v>141</v>
      </c>
      <c r="M2632" s="6" t="s">
        <v>10564</v>
      </c>
      <c r="N2632" s="6" t="s">
        <v>48</v>
      </c>
      <c r="O2632" s="6" t="s">
        <v>35</v>
      </c>
      <c r="P2632" s="6">
        <f>COUNTIF(Analysis!$M$1:$M$3001,Analysis!$M2632)</f>
        <v>1</v>
      </c>
      <c r="Q2632" s="6" t="str">
        <f>IF(COUNTIF(Analysis!$M$2:$M$3001,Analysis!$M2632)&gt;1,"Duplicate","OK")</f>
        <v>OK</v>
      </c>
      <c r="R2632" s="6" t="str">
        <f t="shared" si="1"/>
        <v>600-1600</v>
      </c>
      <c r="S2632" s="6">
        <f t="shared" si="2"/>
        <v>45</v>
      </c>
      <c r="T2632" s="6" t="str">
        <f t="shared" si="3"/>
        <v>Old</v>
      </c>
    </row>
    <row r="2633" ht="14.25" customHeight="1">
      <c r="A2633" s="5">
        <v>561221.0</v>
      </c>
      <c r="B2633" s="6" t="s">
        <v>10567</v>
      </c>
      <c r="C2633" s="6" t="s">
        <v>39</v>
      </c>
      <c r="D2633" s="6">
        <v>43399.0</v>
      </c>
      <c r="E2633" s="6" t="s">
        <v>19</v>
      </c>
      <c r="F2633" s="6" t="s">
        <v>20</v>
      </c>
      <c r="G2633" s="6" t="s">
        <v>100</v>
      </c>
      <c r="H2633" s="7">
        <v>3753.0</v>
      </c>
      <c r="I2633" s="7">
        <v>8564.0</v>
      </c>
      <c r="J2633" s="6">
        <v>1979.0</v>
      </c>
      <c r="K2633" s="6">
        <v>25.0</v>
      </c>
      <c r="L2633" s="6" t="s">
        <v>32</v>
      </c>
      <c r="M2633" s="6" t="s">
        <v>10568</v>
      </c>
      <c r="N2633" s="6" t="s">
        <v>48</v>
      </c>
      <c r="O2633" s="6" t="s">
        <v>35</v>
      </c>
      <c r="P2633" s="6">
        <f>COUNTIF(Analysis!$M$1:$M$3001,Analysis!$M2633)</f>
        <v>1</v>
      </c>
      <c r="Q2633" s="6" t="str">
        <f>IF(COUNTIF(Analysis!$M$2:$M$3001,Analysis!$M2633)&gt;1,"Duplicate","OK")</f>
        <v>OK</v>
      </c>
      <c r="R2633" s="6" t="str">
        <f t="shared" si="1"/>
        <v>3600+</v>
      </c>
      <c r="S2633" s="6">
        <f t="shared" si="2"/>
        <v>47</v>
      </c>
      <c r="T2633" s="6" t="str">
        <f t="shared" si="3"/>
        <v>Old</v>
      </c>
    </row>
    <row r="2634" ht="14.25" customHeight="1">
      <c r="A2634" s="5">
        <v>410437.0</v>
      </c>
      <c r="B2634" s="6" t="s">
        <v>10571</v>
      </c>
      <c r="C2634" s="6" t="s">
        <v>39</v>
      </c>
      <c r="D2634" s="6">
        <v>44942.0</v>
      </c>
      <c r="E2634" s="6" t="s">
        <v>19</v>
      </c>
      <c r="F2634" s="6" t="s">
        <v>41</v>
      </c>
      <c r="G2634" s="6" t="s">
        <v>55</v>
      </c>
      <c r="H2634" s="7">
        <v>2586.0</v>
      </c>
      <c r="I2634" s="7">
        <v>9932.0</v>
      </c>
      <c r="J2634" s="6">
        <v>2008.0</v>
      </c>
      <c r="K2634" s="6">
        <v>9.0</v>
      </c>
      <c r="L2634" s="6" t="s">
        <v>32</v>
      </c>
      <c r="M2634" s="6" t="s">
        <v>10572</v>
      </c>
      <c r="N2634" s="6" t="s">
        <v>48</v>
      </c>
      <c r="O2634" s="6" t="s">
        <v>49</v>
      </c>
      <c r="P2634" s="6">
        <f>COUNTIF(Analysis!$M$1:$M$3001,Analysis!$M2634)</f>
        <v>1</v>
      </c>
      <c r="Q2634" s="6" t="str">
        <f>IF(COUNTIF(Analysis!$M$2:$M$3001,Analysis!$M2634)&gt;1,"Duplicate","OK")</f>
        <v>OK</v>
      </c>
      <c r="R2634" s="6" t="str">
        <f t="shared" si="1"/>
        <v>1600-2600</v>
      </c>
      <c r="S2634" s="6">
        <f t="shared" si="2"/>
        <v>18</v>
      </c>
      <c r="T2634" s="6" t="str">
        <f t="shared" si="3"/>
        <v>Mid</v>
      </c>
    </row>
    <row r="2635" ht="14.25" customHeight="1">
      <c r="A2635" s="5">
        <v>556797.0</v>
      </c>
      <c r="B2635" s="6" t="s">
        <v>10575</v>
      </c>
      <c r="C2635" s="6" t="s">
        <v>39</v>
      </c>
      <c r="D2635" s="6">
        <v>79679.0</v>
      </c>
      <c r="E2635" s="6" t="s">
        <v>60</v>
      </c>
      <c r="F2635" s="6" t="s">
        <v>20</v>
      </c>
      <c r="G2635" s="6" t="s">
        <v>100</v>
      </c>
      <c r="H2635" s="7">
        <v>917.0</v>
      </c>
      <c r="I2635" s="7">
        <v>3505.0</v>
      </c>
      <c r="J2635" s="6">
        <v>1959.0</v>
      </c>
      <c r="K2635" s="6">
        <v>67.0</v>
      </c>
      <c r="L2635" s="6" t="s">
        <v>22</v>
      </c>
      <c r="M2635" s="6" t="s">
        <v>10576</v>
      </c>
      <c r="N2635" s="6" t="s">
        <v>64</v>
      </c>
      <c r="O2635" s="6" t="s">
        <v>49</v>
      </c>
      <c r="P2635" s="6">
        <f>COUNTIF(Analysis!$M$1:$M$3001,Analysis!$M2635)</f>
        <v>1</v>
      </c>
      <c r="Q2635" s="6" t="str">
        <f>IF(COUNTIF(Analysis!$M$2:$M$3001,Analysis!$M2635)&gt;1,"Duplicate","OK")</f>
        <v>OK</v>
      </c>
      <c r="R2635" s="6" t="str">
        <f t="shared" si="1"/>
        <v>600-1600</v>
      </c>
      <c r="S2635" s="6">
        <f t="shared" si="2"/>
        <v>67</v>
      </c>
      <c r="T2635" s="6" t="str">
        <f t="shared" si="3"/>
        <v>Very Old</v>
      </c>
    </row>
    <row r="2636" ht="14.25" customHeight="1">
      <c r="A2636" s="5">
        <v>546196.0</v>
      </c>
      <c r="B2636" s="6" t="s">
        <v>10579</v>
      </c>
      <c r="C2636" s="6" t="s">
        <v>53</v>
      </c>
      <c r="D2636" s="6">
        <v>35408.0</v>
      </c>
      <c r="E2636" s="6" t="s">
        <v>40</v>
      </c>
      <c r="F2636" s="6" t="s">
        <v>46</v>
      </c>
      <c r="G2636" s="6" t="s">
        <v>21</v>
      </c>
      <c r="H2636" s="7">
        <v>873.0</v>
      </c>
      <c r="I2636" s="7">
        <v>5439.0</v>
      </c>
      <c r="J2636" s="6">
        <v>1984.0</v>
      </c>
      <c r="K2636" s="6">
        <v>5.0</v>
      </c>
      <c r="L2636" s="6" t="s">
        <v>95</v>
      </c>
      <c r="M2636" s="6" t="s">
        <v>10580</v>
      </c>
      <c r="N2636" s="6" t="s">
        <v>64</v>
      </c>
      <c r="O2636" s="6" t="s">
        <v>35</v>
      </c>
      <c r="P2636" s="6">
        <f>COUNTIF(Analysis!$M$1:$M$3001,Analysis!$M2636)</f>
        <v>1</v>
      </c>
      <c r="Q2636" s="6" t="str">
        <f>IF(COUNTIF(Analysis!$M$2:$M$3001,Analysis!$M2636)&gt;1,"Duplicate","OK")</f>
        <v>OK</v>
      </c>
      <c r="R2636" s="6" t="str">
        <f t="shared" si="1"/>
        <v>600-1600</v>
      </c>
      <c r="S2636" s="6">
        <f t="shared" si="2"/>
        <v>42</v>
      </c>
      <c r="T2636" s="6" t="str">
        <f t="shared" si="3"/>
        <v>Old</v>
      </c>
    </row>
    <row r="2637" ht="14.25" customHeight="1">
      <c r="A2637" s="5">
        <v>454064.0</v>
      </c>
      <c r="B2637" s="6" t="s">
        <v>10583</v>
      </c>
      <c r="C2637" s="6" t="s">
        <v>53</v>
      </c>
      <c r="D2637" s="6">
        <v>52754.0</v>
      </c>
      <c r="E2637" s="6" t="s">
        <v>30</v>
      </c>
      <c r="F2637" s="6" t="s">
        <v>20</v>
      </c>
      <c r="G2637" s="6" t="s">
        <v>31</v>
      </c>
      <c r="H2637" s="7">
        <v>3630.0</v>
      </c>
      <c r="I2637" s="7">
        <v>5094.0</v>
      </c>
      <c r="J2637" s="6">
        <v>2005.0</v>
      </c>
      <c r="K2637" s="6">
        <v>117.0</v>
      </c>
      <c r="L2637" s="6" t="s">
        <v>22</v>
      </c>
      <c r="M2637" s="6" t="s">
        <v>10584</v>
      </c>
      <c r="N2637" s="6" t="s">
        <v>43</v>
      </c>
      <c r="O2637" s="6" t="s">
        <v>49</v>
      </c>
      <c r="P2637" s="6">
        <f>COUNTIF(Analysis!$M$1:$M$3001,Analysis!$M2637)</f>
        <v>1</v>
      </c>
      <c r="Q2637" s="6" t="str">
        <f>IF(COUNTIF(Analysis!$M$2:$M$3001,Analysis!$M2637)&gt;1,"Duplicate","OK")</f>
        <v>OK</v>
      </c>
      <c r="R2637" s="6" t="str">
        <f t="shared" si="1"/>
        <v>3600+</v>
      </c>
      <c r="S2637" s="6">
        <f t="shared" si="2"/>
        <v>21</v>
      </c>
      <c r="T2637" s="6" t="str">
        <f t="shared" si="3"/>
        <v>Mid</v>
      </c>
    </row>
    <row r="2638" ht="14.25" customHeight="1">
      <c r="A2638" s="5">
        <v>667653.0</v>
      </c>
      <c r="B2638" s="6" t="s">
        <v>10587</v>
      </c>
      <c r="C2638" s="6" t="s">
        <v>76</v>
      </c>
      <c r="D2638" s="6">
        <v>59991.0</v>
      </c>
      <c r="E2638" s="6" t="s">
        <v>60</v>
      </c>
      <c r="F2638" s="6" t="s">
        <v>41</v>
      </c>
      <c r="G2638" s="6" t="s">
        <v>100</v>
      </c>
      <c r="H2638" s="7">
        <v>612.0</v>
      </c>
      <c r="I2638" s="7">
        <v>3259.0</v>
      </c>
      <c r="J2638" s="6">
        <v>1977.0</v>
      </c>
      <c r="K2638" s="6">
        <v>18.0</v>
      </c>
      <c r="L2638" s="6" t="s">
        <v>32</v>
      </c>
      <c r="M2638" s="6" t="s">
        <v>10588</v>
      </c>
      <c r="N2638" s="6" t="s">
        <v>64</v>
      </c>
      <c r="O2638" s="6" t="s">
        <v>35</v>
      </c>
      <c r="P2638" s="6">
        <f>COUNTIF(Analysis!$M$1:$M$3001,Analysis!$M2638)</f>
        <v>1</v>
      </c>
      <c r="Q2638" s="6" t="str">
        <f>IF(COUNTIF(Analysis!$M$2:$M$3001,Analysis!$M2638)&gt;1,"Duplicate","OK")</f>
        <v>OK</v>
      </c>
      <c r="R2638" s="6" t="str">
        <f t="shared" si="1"/>
        <v>600-1600</v>
      </c>
      <c r="S2638" s="6">
        <f t="shared" si="2"/>
        <v>49</v>
      </c>
      <c r="T2638" s="6" t="str">
        <f t="shared" si="3"/>
        <v>Old</v>
      </c>
    </row>
    <row r="2639" ht="14.25" customHeight="1">
      <c r="A2639" s="5">
        <v>1273467.0</v>
      </c>
      <c r="B2639" s="6" t="s">
        <v>10591</v>
      </c>
      <c r="C2639" s="6" t="s">
        <v>18</v>
      </c>
      <c r="D2639" s="6">
        <v>65240.0</v>
      </c>
      <c r="E2639" s="6" t="s">
        <v>30</v>
      </c>
      <c r="F2639" s="6" t="s">
        <v>20</v>
      </c>
      <c r="G2639" s="6" t="s">
        <v>100</v>
      </c>
      <c r="H2639" s="7">
        <v>3607.0</v>
      </c>
      <c r="I2639" s="7">
        <v>4500.0</v>
      </c>
      <c r="J2639" s="6">
        <v>1959.0</v>
      </c>
      <c r="K2639" s="6">
        <v>81.0</v>
      </c>
      <c r="L2639" s="6" t="s">
        <v>32</v>
      </c>
      <c r="M2639" s="6" t="s">
        <v>10592</v>
      </c>
      <c r="N2639" s="6" t="s">
        <v>24</v>
      </c>
      <c r="O2639" s="6" t="s">
        <v>49</v>
      </c>
      <c r="P2639" s="6">
        <f>COUNTIF(Analysis!$M$1:$M$3001,Analysis!$M2639)</f>
        <v>1</v>
      </c>
      <c r="Q2639" s="6" t="str">
        <f>IF(COUNTIF(Analysis!$M$2:$M$3001,Analysis!$M2639)&gt;1,"Duplicate","OK")</f>
        <v>OK</v>
      </c>
      <c r="R2639" s="6" t="str">
        <f t="shared" si="1"/>
        <v>3600+</v>
      </c>
      <c r="S2639" s="6">
        <f t="shared" si="2"/>
        <v>67</v>
      </c>
      <c r="T2639" s="6" t="str">
        <f t="shared" si="3"/>
        <v>Very Old</v>
      </c>
    </row>
    <row r="2640" ht="14.25" customHeight="1">
      <c r="A2640" s="5">
        <v>918155.0</v>
      </c>
      <c r="B2640" s="6" t="s">
        <v>10595</v>
      </c>
      <c r="C2640" s="6" t="s">
        <v>18</v>
      </c>
      <c r="D2640" s="6">
        <v>89898.0</v>
      </c>
      <c r="E2640" s="6" t="s">
        <v>77</v>
      </c>
      <c r="F2640" s="6" t="s">
        <v>54</v>
      </c>
      <c r="G2640" s="6" t="s">
        <v>55</v>
      </c>
      <c r="H2640" s="7">
        <v>3379.0</v>
      </c>
      <c r="I2640" s="7">
        <v>1263.0</v>
      </c>
      <c r="J2640" s="6">
        <v>1992.0</v>
      </c>
      <c r="K2640" s="6">
        <v>102.0</v>
      </c>
      <c r="L2640" s="6" t="s">
        <v>141</v>
      </c>
      <c r="M2640" s="6" t="s">
        <v>10596</v>
      </c>
      <c r="N2640" s="6" t="s">
        <v>64</v>
      </c>
      <c r="O2640" s="6" t="s">
        <v>35</v>
      </c>
      <c r="P2640" s="6">
        <f>COUNTIF(Analysis!$M$1:$M$3001,Analysis!$M2640)</f>
        <v>1</v>
      </c>
      <c r="Q2640" s="6" t="str">
        <f>IF(COUNTIF(Analysis!$M$2:$M$3001,Analysis!$M2640)&gt;1,"Duplicate","OK")</f>
        <v>OK</v>
      </c>
      <c r="R2640" s="6" t="str">
        <f t="shared" si="1"/>
        <v>2600-3600</v>
      </c>
      <c r="S2640" s="6">
        <f t="shared" si="2"/>
        <v>34</v>
      </c>
      <c r="T2640" s="6" t="str">
        <f t="shared" si="3"/>
        <v>Old</v>
      </c>
    </row>
    <row r="2641" ht="14.25" customHeight="1">
      <c r="A2641" s="5">
        <v>454285.0</v>
      </c>
      <c r="B2641" s="6" t="s">
        <v>10599</v>
      </c>
      <c r="C2641" s="6" t="s">
        <v>53</v>
      </c>
      <c r="D2641" s="6">
        <v>86802.0</v>
      </c>
      <c r="E2641" s="6" t="s">
        <v>60</v>
      </c>
      <c r="F2641" s="6" t="s">
        <v>46</v>
      </c>
      <c r="G2641" s="6" t="s">
        <v>100</v>
      </c>
      <c r="H2641" s="7">
        <v>1664.0</v>
      </c>
      <c r="I2641" s="7">
        <v>8392.0</v>
      </c>
      <c r="J2641" s="6">
        <v>1993.0</v>
      </c>
      <c r="K2641" s="6">
        <v>104.0</v>
      </c>
      <c r="L2641" s="6" t="s">
        <v>141</v>
      </c>
      <c r="M2641" s="6" t="s">
        <v>10600</v>
      </c>
      <c r="N2641" s="6" t="s">
        <v>48</v>
      </c>
      <c r="O2641" s="6" t="s">
        <v>35</v>
      </c>
      <c r="P2641" s="6">
        <f>COUNTIF(Analysis!$M$1:$M$3001,Analysis!$M2641)</f>
        <v>1</v>
      </c>
      <c r="Q2641" s="6" t="str">
        <f>IF(COUNTIF(Analysis!$M$2:$M$3001,Analysis!$M2641)&gt;1,"Duplicate","OK")</f>
        <v>OK</v>
      </c>
      <c r="R2641" s="6" t="str">
        <f t="shared" si="1"/>
        <v>1600-2600</v>
      </c>
      <c r="S2641" s="6">
        <f t="shared" si="2"/>
        <v>33</v>
      </c>
      <c r="T2641" s="6" t="str">
        <f t="shared" si="3"/>
        <v>Old</v>
      </c>
    </row>
    <row r="2642" ht="14.25" customHeight="1">
      <c r="A2642" s="5">
        <v>926781.0</v>
      </c>
      <c r="B2642" s="6" t="s">
        <v>10603</v>
      </c>
      <c r="C2642" s="6" t="s">
        <v>53</v>
      </c>
      <c r="D2642" s="6">
        <v>86926.0</v>
      </c>
      <c r="E2642" s="6" t="s">
        <v>60</v>
      </c>
      <c r="F2642" s="6" t="s">
        <v>46</v>
      </c>
      <c r="G2642" s="6" t="s">
        <v>21</v>
      </c>
      <c r="H2642" s="7">
        <v>688.0</v>
      </c>
      <c r="I2642" s="7">
        <v>2415.0</v>
      </c>
      <c r="J2642" s="6">
        <v>2017.0</v>
      </c>
      <c r="K2642" s="6">
        <v>92.0</v>
      </c>
      <c r="L2642" s="6" t="s">
        <v>141</v>
      </c>
      <c r="M2642" s="6" t="s">
        <v>10604</v>
      </c>
      <c r="N2642" s="6" t="s">
        <v>64</v>
      </c>
      <c r="O2642" s="6" t="s">
        <v>49</v>
      </c>
      <c r="P2642" s="6">
        <f>COUNTIF(Analysis!$M$1:$M$3001,Analysis!$M2642)</f>
        <v>1</v>
      </c>
      <c r="Q2642" s="6" t="str">
        <f>IF(COUNTIF(Analysis!$M$2:$M$3001,Analysis!$M2642)&gt;1,"Duplicate","OK")</f>
        <v>OK</v>
      </c>
      <c r="R2642" s="6" t="str">
        <f t="shared" si="1"/>
        <v>600-1600</v>
      </c>
      <c r="S2642" s="6">
        <f t="shared" si="2"/>
        <v>9</v>
      </c>
      <c r="T2642" s="6" t="str">
        <f t="shared" si="3"/>
        <v>New</v>
      </c>
    </row>
    <row r="2643" ht="14.25" customHeight="1">
      <c r="A2643" s="5">
        <v>1371610.0</v>
      </c>
      <c r="B2643" s="6" t="s">
        <v>845</v>
      </c>
      <c r="C2643" s="6" t="s">
        <v>29</v>
      </c>
      <c r="D2643" s="6">
        <v>22296.0</v>
      </c>
      <c r="E2643" s="6" t="s">
        <v>60</v>
      </c>
      <c r="F2643" s="6" t="s">
        <v>94</v>
      </c>
      <c r="G2643" s="6" t="s">
        <v>55</v>
      </c>
      <c r="H2643" s="7">
        <v>2668.0</v>
      </c>
      <c r="I2643" s="7">
        <v>5454.0</v>
      </c>
      <c r="J2643" s="6">
        <v>1968.0</v>
      </c>
      <c r="K2643" s="6">
        <v>89.0</v>
      </c>
      <c r="L2643" s="6" t="s">
        <v>95</v>
      </c>
      <c r="M2643" s="6" t="s">
        <v>846</v>
      </c>
      <c r="N2643" s="6" t="s">
        <v>43</v>
      </c>
      <c r="O2643" s="6" t="s">
        <v>25</v>
      </c>
      <c r="P2643" s="6">
        <f>COUNTIF(Analysis!$M$1:$M$3001,Analysis!$M201)</f>
        <v>1</v>
      </c>
      <c r="Q2643" s="6" t="str">
        <f>IF(COUNTIF(Analysis!$M$2:$M$3001,Analysis!$M201)&gt;1,"Duplicate","OK")</f>
        <v>OK</v>
      </c>
      <c r="R2643" s="6" t="str">
        <f t="shared" si="1"/>
        <v>2600-3600</v>
      </c>
      <c r="S2643" s="6">
        <f t="shared" si="2"/>
        <v>58</v>
      </c>
      <c r="T2643" s="6" t="str">
        <f t="shared" si="3"/>
        <v>Old</v>
      </c>
    </row>
    <row r="2644" ht="14.25" customHeight="1">
      <c r="A2644" s="5">
        <v>1377069.0</v>
      </c>
      <c r="B2644" s="6" t="s">
        <v>1705</v>
      </c>
      <c r="C2644" s="6" t="s">
        <v>29</v>
      </c>
      <c r="D2644" s="6">
        <v>87610.0</v>
      </c>
      <c r="E2644" s="6" t="s">
        <v>30</v>
      </c>
      <c r="F2644" s="6" t="s">
        <v>94</v>
      </c>
      <c r="G2644" s="6" t="s">
        <v>100</v>
      </c>
      <c r="H2644" s="7">
        <v>3859.0</v>
      </c>
      <c r="I2644" s="7">
        <v>7651.0</v>
      </c>
      <c r="J2644" s="6">
        <v>1979.0</v>
      </c>
      <c r="K2644" s="6">
        <v>107.0</v>
      </c>
      <c r="L2644" s="6" t="s">
        <v>22</v>
      </c>
      <c r="M2644" s="6" t="s">
        <v>1706</v>
      </c>
      <c r="N2644" s="6" t="s">
        <v>64</v>
      </c>
      <c r="O2644" s="6" t="s">
        <v>49</v>
      </c>
      <c r="P2644" s="6">
        <f>COUNTIF(Analysis!$M$1:$M$3001,Analysis!$M416)</f>
        <v>1</v>
      </c>
      <c r="Q2644" s="6" t="str">
        <f>IF(COUNTIF(Analysis!$M$2:$M$3001,Analysis!$M416)&gt;1,"Duplicate","OK")</f>
        <v>OK</v>
      </c>
      <c r="R2644" s="6" t="str">
        <f t="shared" si="1"/>
        <v>3600+</v>
      </c>
      <c r="S2644" s="6">
        <f t="shared" si="2"/>
        <v>47</v>
      </c>
      <c r="T2644" s="6" t="str">
        <f t="shared" si="3"/>
        <v>Old</v>
      </c>
    </row>
    <row r="2645" ht="14.25" customHeight="1">
      <c r="A2645" s="5">
        <v>864386.0</v>
      </c>
      <c r="B2645" s="6" t="s">
        <v>10615</v>
      </c>
      <c r="C2645" s="6" t="s">
        <v>18</v>
      </c>
      <c r="D2645" s="6">
        <v>86871.0</v>
      </c>
      <c r="E2645" s="6" t="s">
        <v>77</v>
      </c>
      <c r="F2645" s="6" t="s">
        <v>46</v>
      </c>
      <c r="G2645" s="6" t="s">
        <v>31</v>
      </c>
      <c r="H2645" s="7">
        <v>1540.0</v>
      </c>
      <c r="I2645" s="7">
        <v>6242.0</v>
      </c>
      <c r="J2645" s="6">
        <v>2019.0</v>
      </c>
      <c r="K2645" s="6">
        <v>67.0</v>
      </c>
      <c r="L2645" s="6" t="s">
        <v>32</v>
      </c>
      <c r="M2645" s="6" t="s">
        <v>10616</v>
      </c>
      <c r="N2645" s="6" t="s">
        <v>34</v>
      </c>
      <c r="O2645" s="6" t="s">
        <v>35</v>
      </c>
      <c r="P2645" s="6">
        <f>COUNTIF(Analysis!$M$1:$M$3001,Analysis!$M2645)</f>
        <v>1</v>
      </c>
      <c r="Q2645" s="6" t="str">
        <f>IF(COUNTIF(Analysis!$M$2:$M$3001,Analysis!$M2645)&gt;1,"Duplicate","OK")</f>
        <v>OK</v>
      </c>
      <c r="R2645" s="6" t="str">
        <f t="shared" si="1"/>
        <v>600-1600</v>
      </c>
      <c r="S2645" s="6">
        <f t="shared" si="2"/>
        <v>7</v>
      </c>
      <c r="T2645" s="6" t="str">
        <f t="shared" si="3"/>
        <v>New</v>
      </c>
    </row>
    <row r="2646" ht="14.25" customHeight="1">
      <c r="A2646" s="5">
        <v>989896.0</v>
      </c>
      <c r="B2646" s="6" t="s">
        <v>10619</v>
      </c>
      <c r="C2646" s="6" t="s">
        <v>76</v>
      </c>
      <c r="D2646" s="6">
        <v>51805.0</v>
      </c>
      <c r="E2646" s="6" t="s">
        <v>60</v>
      </c>
      <c r="F2646" s="6" t="s">
        <v>54</v>
      </c>
      <c r="G2646" s="6" t="s">
        <v>100</v>
      </c>
      <c r="H2646" s="7">
        <v>3276.0</v>
      </c>
      <c r="I2646" s="7">
        <v>6338.0</v>
      </c>
      <c r="J2646" s="6">
        <v>1998.0</v>
      </c>
      <c r="K2646" s="6">
        <v>78.0</v>
      </c>
      <c r="L2646" s="6" t="s">
        <v>32</v>
      </c>
      <c r="M2646" s="6" t="s">
        <v>10620</v>
      </c>
      <c r="N2646" s="6" t="s">
        <v>48</v>
      </c>
      <c r="O2646" s="6" t="s">
        <v>35</v>
      </c>
      <c r="P2646" s="6">
        <f>COUNTIF(Analysis!$M$1:$M$3001,Analysis!$M2646)</f>
        <v>1</v>
      </c>
      <c r="Q2646" s="6" t="str">
        <f>IF(COUNTIF(Analysis!$M$2:$M$3001,Analysis!$M2646)&gt;1,"Duplicate","OK")</f>
        <v>OK</v>
      </c>
      <c r="R2646" s="6" t="str">
        <f t="shared" si="1"/>
        <v>2600-3600</v>
      </c>
      <c r="S2646" s="6">
        <f t="shared" si="2"/>
        <v>28</v>
      </c>
      <c r="T2646" s="6" t="str">
        <f t="shared" si="3"/>
        <v>Mid</v>
      </c>
    </row>
    <row r="2647" ht="14.25" customHeight="1">
      <c r="A2647" s="5">
        <v>1377244.0</v>
      </c>
      <c r="B2647" s="6" t="s">
        <v>11970</v>
      </c>
      <c r="C2647" s="6" t="s">
        <v>29</v>
      </c>
      <c r="D2647" s="6">
        <v>60525.0</v>
      </c>
      <c r="E2647" s="6" t="s">
        <v>30</v>
      </c>
      <c r="F2647" s="6" t="s">
        <v>46</v>
      </c>
      <c r="G2647" s="6" t="s">
        <v>21</v>
      </c>
      <c r="H2647" s="7">
        <v>2079.0</v>
      </c>
      <c r="I2647" s="7">
        <v>5705.0</v>
      </c>
      <c r="J2647" s="6">
        <v>2020.0</v>
      </c>
      <c r="K2647" s="6">
        <v>23.0</v>
      </c>
      <c r="L2647" s="6" t="s">
        <v>141</v>
      </c>
      <c r="M2647" s="6" t="s">
        <v>11971</v>
      </c>
      <c r="N2647" s="6" t="s">
        <v>48</v>
      </c>
      <c r="O2647" s="6" t="s">
        <v>49</v>
      </c>
      <c r="P2647" s="6">
        <f>COUNTIF(Analysis!$M$1:$M$3001,Analysis!$M2984)</f>
        <v>1</v>
      </c>
      <c r="Q2647" s="6" t="str">
        <f>IF(COUNTIF(Analysis!$M$2:$M$3001,Analysis!$M2984)&gt;1,"Duplicate","OK")</f>
        <v>OK</v>
      </c>
      <c r="R2647" s="6" t="str">
        <f t="shared" si="1"/>
        <v>1600-2600</v>
      </c>
      <c r="S2647" s="6">
        <f t="shared" si="2"/>
        <v>6</v>
      </c>
      <c r="T2647" s="6" t="str">
        <f t="shared" si="3"/>
        <v>New</v>
      </c>
    </row>
    <row r="2648" ht="14.25" customHeight="1">
      <c r="A2648" s="5">
        <v>943663.0</v>
      </c>
      <c r="B2648" s="6" t="s">
        <v>10627</v>
      </c>
      <c r="C2648" s="6" t="s">
        <v>53</v>
      </c>
      <c r="D2648" s="6">
        <v>83882.0</v>
      </c>
      <c r="E2648" s="6" t="s">
        <v>30</v>
      </c>
      <c r="F2648" s="6" t="s">
        <v>20</v>
      </c>
      <c r="G2648" s="6" t="s">
        <v>31</v>
      </c>
      <c r="H2648" s="7">
        <v>3240.0</v>
      </c>
      <c r="I2648" s="7">
        <v>9748.0</v>
      </c>
      <c r="J2648" s="6">
        <v>1971.0</v>
      </c>
      <c r="K2648" s="6">
        <v>55.0</v>
      </c>
      <c r="L2648" s="6" t="s">
        <v>141</v>
      </c>
      <c r="M2648" s="6" t="s">
        <v>10628</v>
      </c>
      <c r="N2648" s="6" t="s">
        <v>43</v>
      </c>
      <c r="O2648" s="6" t="s">
        <v>49</v>
      </c>
      <c r="P2648" s="6">
        <f>COUNTIF(Analysis!$M$1:$M$3001,Analysis!$M2648)</f>
        <v>1</v>
      </c>
      <c r="Q2648" s="6" t="str">
        <f>IF(COUNTIF(Analysis!$M$2:$M$3001,Analysis!$M2648)&gt;1,"Duplicate","OK")</f>
        <v>OK</v>
      </c>
      <c r="R2648" s="6" t="str">
        <f t="shared" si="1"/>
        <v>2600-3600</v>
      </c>
      <c r="S2648" s="6">
        <f t="shared" si="2"/>
        <v>55</v>
      </c>
      <c r="T2648" s="6" t="str">
        <f t="shared" si="3"/>
        <v>Old</v>
      </c>
    </row>
    <row r="2649" ht="14.25" customHeight="1">
      <c r="A2649" s="5">
        <v>125165.0</v>
      </c>
      <c r="B2649" s="6" t="s">
        <v>10631</v>
      </c>
      <c r="C2649" s="6" t="s">
        <v>53</v>
      </c>
      <c r="D2649" s="6">
        <v>57464.0</v>
      </c>
      <c r="E2649" s="6" t="s">
        <v>19</v>
      </c>
      <c r="F2649" s="6" t="s">
        <v>61</v>
      </c>
      <c r="G2649" s="6" t="s">
        <v>100</v>
      </c>
      <c r="H2649" s="7">
        <v>2501.0</v>
      </c>
      <c r="I2649" s="7">
        <v>4493.0</v>
      </c>
      <c r="J2649" s="6">
        <v>1958.0</v>
      </c>
      <c r="K2649" s="6">
        <v>115.0</v>
      </c>
      <c r="L2649" s="6" t="s">
        <v>22</v>
      </c>
      <c r="M2649" s="6" t="s">
        <v>10632</v>
      </c>
      <c r="N2649" s="6" t="s">
        <v>34</v>
      </c>
      <c r="O2649" s="6" t="s">
        <v>49</v>
      </c>
      <c r="P2649" s="6">
        <f>COUNTIF(Analysis!$M$1:$M$3001,Analysis!$M2649)</f>
        <v>1</v>
      </c>
      <c r="Q2649" s="6" t="str">
        <f>IF(COUNTIF(Analysis!$M$2:$M$3001,Analysis!$M2649)&gt;1,"Duplicate","OK")</f>
        <v>OK</v>
      </c>
      <c r="R2649" s="6" t="str">
        <f t="shared" si="1"/>
        <v>1600-2600</v>
      </c>
      <c r="S2649" s="6">
        <f t="shared" si="2"/>
        <v>68</v>
      </c>
      <c r="T2649" s="6" t="str">
        <f t="shared" si="3"/>
        <v>Very Old</v>
      </c>
    </row>
    <row r="2650" ht="14.25" customHeight="1">
      <c r="A2650" s="5">
        <v>176303.0</v>
      </c>
      <c r="B2650" s="6" t="s">
        <v>10635</v>
      </c>
      <c r="C2650" s="6" t="s">
        <v>76</v>
      </c>
      <c r="D2650" s="6">
        <v>55776.0</v>
      </c>
      <c r="E2650" s="6" t="s">
        <v>60</v>
      </c>
      <c r="F2650" s="6" t="s">
        <v>20</v>
      </c>
      <c r="G2650" s="6" t="s">
        <v>31</v>
      </c>
      <c r="H2650" s="7">
        <v>3194.0</v>
      </c>
      <c r="I2650" s="7">
        <v>3870.0</v>
      </c>
      <c r="J2650" s="6">
        <v>1950.0</v>
      </c>
      <c r="K2650" s="6">
        <v>69.0</v>
      </c>
      <c r="L2650" s="6" t="s">
        <v>62</v>
      </c>
      <c r="M2650" s="6" t="s">
        <v>10636</v>
      </c>
      <c r="N2650" s="6" t="s">
        <v>24</v>
      </c>
      <c r="O2650" s="6" t="s">
        <v>35</v>
      </c>
      <c r="P2650" s="6">
        <f>COUNTIF(Analysis!$M$1:$M$3001,Analysis!$M2650)</f>
        <v>1</v>
      </c>
      <c r="Q2650" s="6" t="str">
        <f>IF(COUNTIF(Analysis!$M$2:$M$3001,Analysis!$M2650)&gt;1,"Duplicate","OK")</f>
        <v>OK</v>
      </c>
      <c r="R2650" s="6" t="str">
        <f t="shared" si="1"/>
        <v>2600-3600</v>
      </c>
      <c r="S2650" s="6">
        <f t="shared" si="2"/>
        <v>76</v>
      </c>
      <c r="T2650" s="6" t="str">
        <f t="shared" si="3"/>
        <v>Very Old</v>
      </c>
    </row>
    <row r="2651" ht="14.25" customHeight="1">
      <c r="A2651" s="5">
        <v>541910.0</v>
      </c>
      <c r="B2651" s="6" t="s">
        <v>10639</v>
      </c>
      <c r="C2651" s="6" t="s">
        <v>18</v>
      </c>
      <c r="D2651" s="6">
        <v>62730.0</v>
      </c>
      <c r="E2651" s="6" t="s">
        <v>77</v>
      </c>
      <c r="F2651" s="6" t="s">
        <v>41</v>
      </c>
      <c r="G2651" s="6" t="s">
        <v>55</v>
      </c>
      <c r="H2651" s="7">
        <v>3117.0</v>
      </c>
      <c r="I2651" s="7">
        <v>9659.0</v>
      </c>
      <c r="J2651" s="6">
        <v>2015.0</v>
      </c>
      <c r="K2651" s="6">
        <v>24.0</v>
      </c>
      <c r="L2651" s="6" t="s">
        <v>95</v>
      </c>
      <c r="M2651" s="6" t="s">
        <v>10640</v>
      </c>
      <c r="N2651" s="6" t="s">
        <v>64</v>
      </c>
      <c r="O2651" s="6" t="s">
        <v>35</v>
      </c>
      <c r="P2651" s="6">
        <f>COUNTIF(Analysis!$M$1:$M$3001,Analysis!$M2651)</f>
        <v>1</v>
      </c>
      <c r="Q2651" s="6" t="str">
        <f>IF(COUNTIF(Analysis!$M$2:$M$3001,Analysis!$M2651)&gt;1,"Duplicate","OK")</f>
        <v>OK</v>
      </c>
      <c r="R2651" s="6" t="str">
        <f t="shared" si="1"/>
        <v>2600-3600</v>
      </c>
      <c r="S2651" s="6">
        <f t="shared" si="2"/>
        <v>11</v>
      </c>
      <c r="T2651" s="6" t="str">
        <f t="shared" si="3"/>
        <v>Mid</v>
      </c>
    </row>
    <row r="2652" ht="14.25" customHeight="1">
      <c r="A2652" s="5">
        <v>398709.0</v>
      </c>
      <c r="B2652" s="6" t="s">
        <v>10643</v>
      </c>
      <c r="C2652" s="6" t="s">
        <v>53</v>
      </c>
      <c r="D2652" s="6">
        <v>30028.0</v>
      </c>
      <c r="E2652" s="6" t="s">
        <v>19</v>
      </c>
      <c r="F2652" s="6" t="s">
        <v>46</v>
      </c>
      <c r="G2652" s="6" t="s">
        <v>31</v>
      </c>
      <c r="H2652" s="7">
        <v>3063.0</v>
      </c>
      <c r="I2652" s="7">
        <v>5881.0</v>
      </c>
      <c r="J2652" s="6">
        <v>2005.0</v>
      </c>
      <c r="K2652" s="6">
        <v>22.0</v>
      </c>
      <c r="L2652" s="6" t="s">
        <v>22</v>
      </c>
      <c r="M2652" s="6" t="s">
        <v>10644</v>
      </c>
      <c r="N2652" s="6" t="s">
        <v>64</v>
      </c>
      <c r="O2652" s="6" t="s">
        <v>25</v>
      </c>
      <c r="P2652" s="6">
        <f>COUNTIF(Analysis!$M$1:$M$3001,Analysis!$M2652)</f>
        <v>1</v>
      </c>
      <c r="Q2652" s="6" t="str">
        <f>IF(COUNTIF(Analysis!$M$2:$M$3001,Analysis!$M2652)&gt;1,"Duplicate","OK")</f>
        <v>OK</v>
      </c>
      <c r="R2652" s="6" t="str">
        <f t="shared" si="1"/>
        <v>2600-3600</v>
      </c>
      <c r="S2652" s="6">
        <f t="shared" si="2"/>
        <v>21</v>
      </c>
      <c r="T2652" s="6" t="str">
        <f t="shared" si="3"/>
        <v>Mid</v>
      </c>
    </row>
    <row r="2653" ht="14.25" customHeight="1">
      <c r="A2653" s="5">
        <v>898766.0</v>
      </c>
      <c r="B2653" s="6" t="s">
        <v>10647</v>
      </c>
      <c r="C2653" s="6" t="s">
        <v>39</v>
      </c>
      <c r="D2653" s="6">
        <v>85906.0</v>
      </c>
      <c r="E2653" s="6" t="s">
        <v>30</v>
      </c>
      <c r="F2653" s="6" t="s">
        <v>94</v>
      </c>
      <c r="G2653" s="6" t="s">
        <v>21</v>
      </c>
      <c r="H2653" s="7">
        <v>719.0</v>
      </c>
      <c r="I2653" s="7">
        <v>1166.0</v>
      </c>
      <c r="J2653" s="6">
        <v>2023.0</v>
      </c>
      <c r="K2653" s="6">
        <v>115.0</v>
      </c>
      <c r="L2653" s="6" t="s">
        <v>95</v>
      </c>
      <c r="M2653" s="6" t="s">
        <v>10648</v>
      </c>
      <c r="N2653" s="6" t="s">
        <v>24</v>
      </c>
      <c r="O2653" s="6" t="s">
        <v>35</v>
      </c>
      <c r="P2653" s="6">
        <f>COUNTIF(Analysis!$M$1:$M$3001,Analysis!$M2653)</f>
        <v>1</v>
      </c>
      <c r="Q2653" s="6" t="str">
        <f>IF(COUNTIF(Analysis!$M$2:$M$3001,Analysis!$M2653)&gt;1,"Duplicate","OK")</f>
        <v>OK</v>
      </c>
      <c r="R2653" s="6" t="str">
        <f t="shared" si="1"/>
        <v>600-1600</v>
      </c>
      <c r="S2653" s="6">
        <f t="shared" si="2"/>
        <v>3</v>
      </c>
      <c r="T2653" s="6" t="str">
        <f t="shared" si="3"/>
        <v>New</v>
      </c>
    </row>
    <row r="2654" ht="14.25" customHeight="1">
      <c r="A2654" s="5">
        <v>1369287.0</v>
      </c>
      <c r="B2654" s="6" t="s">
        <v>10651</v>
      </c>
      <c r="C2654" s="6" t="s">
        <v>53</v>
      </c>
      <c r="D2654" s="6">
        <v>62853.0</v>
      </c>
      <c r="E2654" s="6" t="s">
        <v>77</v>
      </c>
      <c r="F2654" s="6" t="s">
        <v>61</v>
      </c>
      <c r="G2654" s="6" t="s">
        <v>100</v>
      </c>
      <c r="H2654" s="7">
        <v>3530.0</v>
      </c>
      <c r="I2654" s="7">
        <v>3648.0</v>
      </c>
      <c r="J2654" s="6">
        <v>1996.0</v>
      </c>
      <c r="K2654" s="6">
        <v>63.0</v>
      </c>
      <c r="L2654" s="6" t="s">
        <v>62</v>
      </c>
      <c r="M2654" s="6" t="s">
        <v>10652</v>
      </c>
      <c r="N2654" s="6" t="s">
        <v>43</v>
      </c>
      <c r="O2654" s="6" t="s">
        <v>49</v>
      </c>
      <c r="P2654" s="6">
        <f>COUNTIF(Analysis!$M$1:$M$3001,Analysis!$M2654)</f>
        <v>1</v>
      </c>
      <c r="Q2654" s="6" t="str">
        <f>IF(COUNTIF(Analysis!$M$2:$M$3001,Analysis!$M2654)&gt;1,"Duplicate","OK")</f>
        <v>OK</v>
      </c>
      <c r="R2654" s="6" t="str">
        <f t="shared" si="1"/>
        <v>2600-3600</v>
      </c>
      <c r="S2654" s="6">
        <f t="shared" si="2"/>
        <v>30</v>
      </c>
      <c r="T2654" s="6" t="str">
        <f t="shared" si="3"/>
        <v>Mid</v>
      </c>
    </row>
    <row r="2655" ht="14.25" customHeight="1">
      <c r="A2655" s="5">
        <v>1295690.0</v>
      </c>
      <c r="B2655" s="6" t="s">
        <v>10655</v>
      </c>
      <c r="C2655" s="6" t="s">
        <v>53</v>
      </c>
      <c r="D2655" s="6">
        <v>35374.0</v>
      </c>
      <c r="E2655" s="6" t="s">
        <v>60</v>
      </c>
      <c r="F2655" s="6" t="s">
        <v>46</v>
      </c>
      <c r="G2655" s="6" t="s">
        <v>31</v>
      </c>
      <c r="H2655" s="7">
        <v>1976.0</v>
      </c>
      <c r="I2655" s="7">
        <v>6619.0</v>
      </c>
      <c r="J2655" s="6">
        <v>1966.0</v>
      </c>
      <c r="K2655" s="6">
        <v>102.0</v>
      </c>
      <c r="L2655" s="6" t="s">
        <v>22</v>
      </c>
      <c r="M2655" s="6" t="s">
        <v>10656</v>
      </c>
      <c r="N2655" s="6" t="s">
        <v>34</v>
      </c>
      <c r="O2655" s="6" t="s">
        <v>49</v>
      </c>
      <c r="P2655" s="6">
        <f>COUNTIF(Analysis!$M$1:$M$3001,Analysis!$M2655)</f>
        <v>1</v>
      </c>
      <c r="Q2655" s="6" t="str">
        <f>IF(COUNTIF(Analysis!$M$2:$M$3001,Analysis!$M2655)&gt;1,"Duplicate","OK")</f>
        <v>OK</v>
      </c>
      <c r="R2655" s="6" t="str">
        <f t="shared" si="1"/>
        <v>1600-2600</v>
      </c>
      <c r="S2655" s="6">
        <f t="shared" si="2"/>
        <v>60</v>
      </c>
      <c r="T2655" s="6" t="str">
        <f t="shared" si="3"/>
        <v>Old</v>
      </c>
    </row>
    <row r="2656" ht="14.25" customHeight="1">
      <c r="A2656" s="5">
        <v>204223.0</v>
      </c>
      <c r="B2656" s="6" t="s">
        <v>10659</v>
      </c>
      <c r="C2656" s="6" t="s">
        <v>53</v>
      </c>
      <c r="D2656" s="6">
        <v>86128.0</v>
      </c>
      <c r="E2656" s="6" t="s">
        <v>60</v>
      </c>
      <c r="F2656" s="6" t="s">
        <v>20</v>
      </c>
      <c r="G2656" s="6" t="s">
        <v>100</v>
      </c>
      <c r="H2656" s="7">
        <v>3255.0</v>
      </c>
      <c r="I2656" s="7">
        <v>7762.0</v>
      </c>
      <c r="J2656" s="6">
        <v>1964.0</v>
      </c>
      <c r="K2656" s="6">
        <v>117.0</v>
      </c>
      <c r="L2656" s="6" t="s">
        <v>62</v>
      </c>
      <c r="M2656" s="6" t="s">
        <v>10660</v>
      </c>
      <c r="N2656" s="6" t="s">
        <v>24</v>
      </c>
      <c r="O2656" s="6" t="s">
        <v>35</v>
      </c>
      <c r="P2656" s="6">
        <f>COUNTIF(Analysis!$M$1:$M$3001,Analysis!$M2656)</f>
        <v>1</v>
      </c>
      <c r="Q2656" s="6" t="str">
        <f>IF(COUNTIF(Analysis!$M$2:$M$3001,Analysis!$M2656)&gt;1,"Duplicate","OK")</f>
        <v>OK</v>
      </c>
      <c r="R2656" s="6" t="str">
        <f t="shared" si="1"/>
        <v>2600-3600</v>
      </c>
      <c r="S2656" s="6">
        <f t="shared" si="2"/>
        <v>62</v>
      </c>
      <c r="T2656" s="6" t="str">
        <f t="shared" si="3"/>
        <v>Very Old</v>
      </c>
    </row>
    <row r="2657" ht="14.25" customHeight="1">
      <c r="A2657" s="5">
        <v>306767.0</v>
      </c>
      <c r="B2657" s="6" t="s">
        <v>10663</v>
      </c>
      <c r="C2657" s="6" t="s">
        <v>18</v>
      </c>
      <c r="D2657" s="6">
        <v>31284.0</v>
      </c>
      <c r="E2657" s="6" t="s">
        <v>30</v>
      </c>
      <c r="F2657" s="6" t="s">
        <v>94</v>
      </c>
      <c r="G2657" s="6" t="s">
        <v>55</v>
      </c>
      <c r="H2657" s="7">
        <v>847.0</v>
      </c>
      <c r="I2657" s="7">
        <v>6174.0</v>
      </c>
      <c r="J2657" s="6">
        <v>1952.0</v>
      </c>
      <c r="K2657" s="6">
        <v>61.0</v>
      </c>
      <c r="L2657" s="6" t="s">
        <v>95</v>
      </c>
      <c r="M2657" s="6" t="s">
        <v>10664</v>
      </c>
      <c r="N2657" s="6" t="s">
        <v>64</v>
      </c>
      <c r="O2657" s="6" t="s">
        <v>35</v>
      </c>
      <c r="P2657" s="6">
        <f>COUNTIF(Analysis!$M$1:$M$3001,Analysis!$M2657)</f>
        <v>1</v>
      </c>
      <c r="Q2657" s="6" t="str">
        <f>IF(COUNTIF(Analysis!$M$2:$M$3001,Analysis!$M2657)&gt;1,"Duplicate","OK")</f>
        <v>OK</v>
      </c>
      <c r="R2657" s="6" t="str">
        <f t="shared" si="1"/>
        <v>600-1600</v>
      </c>
      <c r="S2657" s="6">
        <f t="shared" si="2"/>
        <v>74</v>
      </c>
      <c r="T2657" s="6" t="str">
        <f t="shared" si="3"/>
        <v>Very Old</v>
      </c>
    </row>
    <row r="2658" ht="14.25" customHeight="1">
      <c r="A2658" s="5">
        <v>624411.0</v>
      </c>
      <c r="B2658" s="6" t="s">
        <v>10667</v>
      </c>
      <c r="C2658" s="6" t="s">
        <v>18</v>
      </c>
      <c r="D2658" s="6">
        <v>28207.0</v>
      </c>
      <c r="E2658" s="6" t="s">
        <v>40</v>
      </c>
      <c r="F2658" s="6" t="s">
        <v>54</v>
      </c>
      <c r="G2658" s="6" t="s">
        <v>31</v>
      </c>
      <c r="H2658" s="7">
        <v>3393.0</v>
      </c>
      <c r="I2658" s="7">
        <v>6673.0</v>
      </c>
      <c r="J2658" s="6">
        <v>1978.0</v>
      </c>
      <c r="K2658" s="6">
        <v>86.0</v>
      </c>
      <c r="L2658" s="6" t="s">
        <v>32</v>
      </c>
      <c r="M2658" s="6" t="s">
        <v>10668</v>
      </c>
      <c r="N2658" s="6" t="s">
        <v>43</v>
      </c>
      <c r="O2658" s="6" t="s">
        <v>35</v>
      </c>
      <c r="P2658" s="6">
        <f>COUNTIF(Analysis!$M$1:$M$3001,Analysis!$M2658)</f>
        <v>1</v>
      </c>
      <c r="Q2658" s="6" t="str">
        <f>IF(COUNTIF(Analysis!$M$2:$M$3001,Analysis!$M2658)&gt;1,"Duplicate","OK")</f>
        <v>OK</v>
      </c>
      <c r="R2658" s="6" t="str">
        <f t="shared" si="1"/>
        <v>2600-3600</v>
      </c>
      <c r="S2658" s="6">
        <f t="shared" si="2"/>
        <v>48</v>
      </c>
      <c r="T2658" s="6" t="str">
        <f t="shared" si="3"/>
        <v>Old</v>
      </c>
    </row>
    <row r="2659" ht="14.25" customHeight="1">
      <c r="A2659" s="5">
        <v>1402993.0</v>
      </c>
      <c r="B2659" s="6" t="s">
        <v>10671</v>
      </c>
      <c r="C2659" s="6" t="s">
        <v>53</v>
      </c>
      <c r="D2659" s="6">
        <v>70569.0</v>
      </c>
      <c r="E2659" s="6" t="s">
        <v>60</v>
      </c>
      <c r="F2659" s="6" t="s">
        <v>94</v>
      </c>
      <c r="G2659" s="6" t="s">
        <v>31</v>
      </c>
      <c r="H2659" s="7">
        <v>3498.0</v>
      </c>
      <c r="I2659" s="7">
        <v>2168.0</v>
      </c>
      <c r="J2659" s="6">
        <v>1959.0</v>
      </c>
      <c r="K2659" s="6">
        <v>74.0</v>
      </c>
      <c r="L2659" s="6" t="s">
        <v>62</v>
      </c>
      <c r="M2659" s="6" t="s">
        <v>10672</v>
      </c>
      <c r="N2659" s="6" t="s">
        <v>43</v>
      </c>
      <c r="O2659" s="6" t="s">
        <v>49</v>
      </c>
      <c r="P2659" s="6">
        <f>COUNTIF(Analysis!$M$1:$M$3001,Analysis!$M2659)</f>
        <v>1</v>
      </c>
      <c r="Q2659" s="6" t="str">
        <f>IF(COUNTIF(Analysis!$M$2:$M$3001,Analysis!$M2659)&gt;1,"Duplicate","OK")</f>
        <v>OK</v>
      </c>
      <c r="R2659" s="6" t="str">
        <f t="shared" si="1"/>
        <v>2600-3600</v>
      </c>
      <c r="S2659" s="6">
        <f t="shared" si="2"/>
        <v>67</v>
      </c>
      <c r="T2659" s="6" t="str">
        <f t="shared" si="3"/>
        <v>Very Old</v>
      </c>
    </row>
    <row r="2660" ht="14.25" customHeight="1">
      <c r="A2660" s="5">
        <v>1378903.0</v>
      </c>
      <c r="B2660" s="6" t="s">
        <v>8979</v>
      </c>
      <c r="C2660" s="6" t="s">
        <v>29</v>
      </c>
      <c r="D2660" s="6">
        <v>59274.0</v>
      </c>
      <c r="E2660" s="6" t="s">
        <v>19</v>
      </c>
      <c r="F2660" s="6" t="s">
        <v>41</v>
      </c>
      <c r="G2660" s="6" t="s">
        <v>31</v>
      </c>
      <c r="H2660" s="7">
        <v>1784.0</v>
      </c>
      <c r="I2660" s="7">
        <v>3104.0</v>
      </c>
      <c r="J2660" s="6">
        <v>1985.0</v>
      </c>
      <c r="K2660" s="6">
        <v>110.0</v>
      </c>
      <c r="L2660" s="6" t="s">
        <v>32</v>
      </c>
      <c r="M2660" s="6" t="s">
        <v>8980</v>
      </c>
      <c r="N2660" s="6" t="s">
        <v>48</v>
      </c>
      <c r="O2660" s="6" t="s">
        <v>35</v>
      </c>
      <c r="P2660" s="6">
        <f>COUNTIF(Analysis!$M$1:$M$3001,Analysis!$M2236)</f>
        <v>1</v>
      </c>
      <c r="Q2660" s="6" t="str">
        <f>IF(COUNTIF(Analysis!$M$2:$M$3001,Analysis!$M2236)&gt;1,"Duplicate","OK")</f>
        <v>OK</v>
      </c>
      <c r="R2660" s="6" t="str">
        <f t="shared" si="1"/>
        <v>1600-2600</v>
      </c>
      <c r="S2660" s="6">
        <f t="shared" si="2"/>
        <v>41</v>
      </c>
      <c r="T2660" s="6" t="str">
        <f t="shared" si="3"/>
        <v>Old</v>
      </c>
    </row>
    <row r="2661" ht="14.25" customHeight="1">
      <c r="A2661" s="5">
        <v>510476.0</v>
      </c>
      <c r="B2661" s="6" t="s">
        <v>10679</v>
      </c>
      <c r="C2661" s="6" t="s">
        <v>76</v>
      </c>
      <c r="D2661" s="6">
        <v>39748.0</v>
      </c>
      <c r="E2661" s="6" t="s">
        <v>40</v>
      </c>
      <c r="F2661" s="6" t="s">
        <v>20</v>
      </c>
      <c r="G2661" s="6" t="s">
        <v>55</v>
      </c>
      <c r="H2661" s="7">
        <v>2012.0</v>
      </c>
      <c r="I2661" s="7">
        <v>8095.0</v>
      </c>
      <c r="J2661" s="6">
        <v>2022.0</v>
      </c>
      <c r="K2661" s="6">
        <v>9.0</v>
      </c>
      <c r="L2661" s="6" t="s">
        <v>22</v>
      </c>
      <c r="M2661" s="6" t="s">
        <v>10680</v>
      </c>
      <c r="N2661" s="6" t="s">
        <v>34</v>
      </c>
      <c r="O2661" s="6" t="s">
        <v>49</v>
      </c>
      <c r="P2661" s="6">
        <f>COUNTIF(Analysis!$M$1:$M$3001,Analysis!$M2661)</f>
        <v>1</v>
      </c>
      <c r="Q2661" s="6" t="str">
        <f>IF(COUNTIF(Analysis!$M$2:$M$3001,Analysis!$M2661)&gt;1,"Duplicate","OK")</f>
        <v>OK</v>
      </c>
      <c r="R2661" s="6" t="str">
        <f t="shared" si="1"/>
        <v>1600-2600</v>
      </c>
      <c r="S2661" s="6">
        <f t="shared" si="2"/>
        <v>4</v>
      </c>
      <c r="T2661" s="6" t="str">
        <f t="shared" si="3"/>
        <v>New</v>
      </c>
    </row>
    <row r="2662" ht="14.25" customHeight="1">
      <c r="A2662" s="5">
        <v>1379623.0</v>
      </c>
      <c r="B2662" s="6" t="s">
        <v>8496</v>
      </c>
      <c r="C2662" s="6" t="s">
        <v>29</v>
      </c>
      <c r="D2662" s="6">
        <v>97298.0</v>
      </c>
      <c r="E2662" s="6" t="s">
        <v>30</v>
      </c>
      <c r="F2662" s="6" t="s">
        <v>94</v>
      </c>
      <c r="G2662" s="6" t="s">
        <v>21</v>
      </c>
      <c r="H2662" s="7">
        <v>1047.0</v>
      </c>
      <c r="I2662" s="7">
        <v>2456.0</v>
      </c>
      <c r="J2662" s="6">
        <v>1989.0</v>
      </c>
      <c r="K2662" s="6">
        <v>55.0</v>
      </c>
      <c r="L2662" s="6" t="s">
        <v>95</v>
      </c>
      <c r="M2662" s="6" t="s">
        <v>8497</v>
      </c>
      <c r="N2662" s="6" t="s">
        <v>64</v>
      </c>
      <c r="O2662" s="6" t="s">
        <v>25</v>
      </c>
      <c r="P2662" s="6">
        <f>COUNTIF(Analysis!$M$1:$M$3001,Analysis!$M2115)</f>
        <v>1</v>
      </c>
      <c r="Q2662" s="6" t="str">
        <f>IF(COUNTIF(Analysis!$M$2:$M$3001,Analysis!$M2115)&gt;1,"Duplicate","OK")</f>
        <v>OK</v>
      </c>
      <c r="R2662" s="6" t="str">
        <f t="shared" si="1"/>
        <v>600-1600</v>
      </c>
      <c r="S2662" s="6">
        <f t="shared" si="2"/>
        <v>37</v>
      </c>
      <c r="T2662" s="6" t="str">
        <f t="shared" si="3"/>
        <v>Old</v>
      </c>
    </row>
    <row r="2663" ht="14.25" customHeight="1">
      <c r="A2663" s="5">
        <v>579709.0</v>
      </c>
      <c r="B2663" s="6" t="s">
        <v>10687</v>
      </c>
      <c r="C2663" s="6" t="s">
        <v>18</v>
      </c>
      <c r="D2663" s="6">
        <v>21933.0</v>
      </c>
      <c r="E2663" s="6" t="s">
        <v>60</v>
      </c>
      <c r="F2663" s="6" t="s">
        <v>20</v>
      </c>
      <c r="G2663" s="6" t="s">
        <v>21</v>
      </c>
      <c r="H2663" s="7">
        <v>1121.0</v>
      </c>
      <c r="I2663" s="7">
        <v>8337.0</v>
      </c>
      <c r="J2663" s="6">
        <v>1982.0</v>
      </c>
      <c r="K2663" s="6">
        <v>30.0</v>
      </c>
      <c r="L2663" s="6" t="s">
        <v>141</v>
      </c>
      <c r="M2663" s="6" t="s">
        <v>10688</v>
      </c>
      <c r="N2663" s="6" t="s">
        <v>43</v>
      </c>
      <c r="O2663" s="6" t="s">
        <v>35</v>
      </c>
      <c r="P2663" s="6">
        <f>COUNTIF(Analysis!$M$1:$M$3001,Analysis!$M2663)</f>
        <v>1</v>
      </c>
      <c r="Q2663" s="6" t="str">
        <f>IF(COUNTIF(Analysis!$M$2:$M$3001,Analysis!$M2663)&gt;1,"Duplicate","OK")</f>
        <v>OK</v>
      </c>
      <c r="R2663" s="6" t="str">
        <f t="shared" si="1"/>
        <v>600-1600</v>
      </c>
      <c r="S2663" s="6">
        <f t="shared" si="2"/>
        <v>44</v>
      </c>
      <c r="T2663" s="6" t="str">
        <f t="shared" si="3"/>
        <v>Old</v>
      </c>
    </row>
    <row r="2664" ht="14.25" customHeight="1">
      <c r="A2664" s="5">
        <v>397855.0</v>
      </c>
      <c r="B2664" s="6" t="s">
        <v>10691</v>
      </c>
      <c r="C2664" s="6" t="s">
        <v>39</v>
      </c>
      <c r="D2664" s="6">
        <v>72103.0</v>
      </c>
      <c r="E2664" s="6" t="s">
        <v>30</v>
      </c>
      <c r="F2664" s="6" t="s">
        <v>54</v>
      </c>
      <c r="G2664" s="6" t="s">
        <v>21</v>
      </c>
      <c r="H2664" s="7">
        <v>2855.0</v>
      </c>
      <c r="I2664" s="7">
        <v>3028.0</v>
      </c>
      <c r="J2664" s="6">
        <v>1987.0</v>
      </c>
      <c r="K2664" s="6">
        <v>6.0</v>
      </c>
      <c r="L2664" s="6" t="s">
        <v>95</v>
      </c>
      <c r="M2664" s="6" t="s">
        <v>10692</v>
      </c>
      <c r="N2664" s="6" t="s">
        <v>34</v>
      </c>
      <c r="O2664" s="6" t="s">
        <v>35</v>
      </c>
      <c r="P2664" s="6">
        <f>COUNTIF(Analysis!$M$1:$M$3001,Analysis!$M2664)</f>
        <v>1</v>
      </c>
      <c r="Q2664" s="6" t="str">
        <f>IF(COUNTIF(Analysis!$M$2:$M$3001,Analysis!$M2664)&gt;1,"Duplicate","OK")</f>
        <v>OK</v>
      </c>
      <c r="R2664" s="6" t="str">
        <f t="shared" si="1"/>
        <v>2600-3600</v>
      </c>
      <c r="S2664" s="6">
        <f t="shared" si="2"/>
        <v>39</v>
      </c>
      <c r="T2664" s="6" t="str">
        <f t="shared" si="3"/>
        <v>Old</v>
      </c>
    </row>
    <row r="2665" ht="14.25" customHeight="1">
      <c r="A2665" s="5">
        <v>445276.0</v>
      </c>
      <c r="B2665" s="6" t="s">
        <v>10695</v>
      </c>
      <c r="C2665" s="6" t="s">
        <v>18</v>
      </c>
      <c r="D2665" s="6">
        <v>30325.0</v>
      </c>
      <c r="E2665" s="6" t="s">
        <v>60</v>
      </c>
      <c r="F2665" s="6" t="s">
        <v>46</v>
      </c>
      <c r="G2665" s="6" t="s">
        <v>21</v>
      </c>
      <c r="H2665" s="7">
        <v>2775.0</v>
      </c>
      <c r="I2665" s="7">
        <v>4426.0</v>
      </c>
      <c r="J2665" s="6">
        <v>1958.0</v>
      </c>
      <c r="K2665" s="6">
        <v>89.0</v>
      </c>
      <c r="L2665" s="6" t="s">
        <v>22</v>
      </c>
      <c r="M2665" s="6" t="s">
        <v>10696</v>
      </c>
      <c r="N2665" s="6" t="s">
        <v>43</v>
      </c>
      <c r="O2665" s="6" t="s">
        <v>35</v>
      </c>
      <c r="P2665" s="6">
        <f>COUNTIF(Analysis!$M$1:$M$3001,Analysis!$M2665)</f>
        <v>1</v>
      </c>
      <c r="Q2665" s="6" t="str">
        <f>IF(COUNTIF(Analysis!$M$2:$M$3001,Analysis!$M2665)&gt;1,"Duplicate","OK")</f>
        <v>OK</v>
      </c>
      <c r="R2665" s="6" t="str">
        <f t="shared" si="1"/>
        <v>2600-3600</v>
      </c>
      <c r="S2665" s="6">
        <f t="shared" si="2"/>
        <v>68</v>
      </c>
      <c r="T2665" s="6" t="str">
        <f t="shared" si="3"/>
        <v>Very Old</v>
      </c>
    </row>
    <row r="2666" ht="14.25" customHeight="1">
      <c r="A2666" s="5">
        <v>1475870.0</v>
      </c>
      <c r="B2666" s="6" t="s">
        <v>10699</v>
      </c>
      <c r="C2666" s="6" t="s">
        <v>18</v>
      </c>
      <c r="D2666" s="6">
        <v>87954.0</v>
      </c>
      <c r="E2666" s="6" t="s">
        <v>60</v>
      </c>
      <c r="F2666" s="6" t="s">
        <v>54</v>
      </c>
      <c r="G2666" s="6" t="s">
        <v>55</v>
      </c>
      <c r="H2666" s="7">
        <v>1634.0</v>
      </c>
      <c r="I2666" s="7">
        <v>7935.0</v>
      </c>
      <c r="J2666" s="6">
        <v>2001.0</v>
      </c>
      <c r="K2666" s="6">
        <v>109.0</v>
      </c>
      <c r="L2666" s="6" t="s">
        <v>22</v>
      </c>
      <c r="M2666" s="6" t="s">
        <v>10700</v>
      </c>
      <c r="N2666" s="6" t="s">
        <v>43</v>
      </c>
      <c r="O2666" s="6" t="s">
        <v>49</v>
      </c>
      <c r="P2666" s="6">
        <f>COUNTIF(Analysis!$M$1:$M$3001,Analysis!$M2666)</f>
        <v>1</v>
      </c>
      <c r="Q2666" s="6" t="str">
        <f>IF(COUNTIF(Analysis!$M$2:$M$3001,Analysis!$M2666)&gt;1,"Duplicate","OK")</f>
        <v>OK</v>
      </c>
      <c r="R2666" s="6" t="str">
        <f t="shared" si="1"/>
        <v>1600-2600</v>
      </c>
      <c r="S2666" s="6">
        <f t="shared" si="2"/>
        <v>25</v>
      </c>
      <c r="T2666" s="6" t="str">
        <f t="shared" si="3"/>
        <v>Mid</v>
      </c>
    </row>
    <row r="2667" ht="14.25" customHeight="1">
      <c r="A2667" s="5">
        <v>1191596.0</v>
      </c>
      <c r="B2667" s="6" t="s">
        <v>10703</v>
      </c>
      <c r="C2667" s="6" t="s">
        <v>53</v>
      </c>
      <c r="D2667" s="6">
        <v>43975.0</v>
      </c>
      <c r="E2667" s="6" t="s">
        <v>30</v>
      </c>
      <c r="F2667" s="6" t="s">
        <v>94</v>
      </c>
      <c r="G2667" s="6" t="s">
        <v>55</v>
      </c>
      <c r="H2667" s="7">
        <v>1576.0</v>
      </c>
      <c r="I2667" s="7">
        <v>9384.0</v>
      </c>
      <c r="J2667" s="6">
        <v>1981.0</v>
      </c>
      <c r="K2667" s="6">
        <v>60.0</v>
      </c>
      <c r="L2667" s="6" t="s">
        <v>32</v>
      </c>
      <c r="M2667" s="6" t="s">
        <v>10704</v>
      </c>
      <c r="N2667" s="6" t="s">
        <v>43</v>
      </c>
      <c r="O2667" s="6" t="s">
        <v>25</v>
      </c>
      <c r="P2667" s="6">
        <f>COUNTIF(Analysis!$M$1:$M$3001,Analysis!$M2667)</f>
        <v>1</v>
      </c>
      <c r="Q2667" s="6" t="str">
        <f>IF(COUNTIF(Analysis!$M$2:$M$3001,Analysis!$M2667)&gt;1,"Duplicate","OK")</f>
        <v>OK</v>
      </c>
      <c r="R2667" s="6" t="str">
        <f t="shared" si="1"/>
        <v>600-1600</v>
      </c>
      <c r="S2667" s="6">
        <f t="shared" si="2"/>
        <v>45</v>
      </c>
      <c r="T2667" s="6" t="str">
        <f t="shared" si="3"/>
        <v>Old</v>
      </c>
    </row>
    <row r="2668" ht="14.25" customHeight="1">
      <c r="A2668" s="5">
        <v>1050628.0</v>
      </c>
      <c r="B2668" s="6" t="s">
        <v>10707</v>
      </c>
      <c r="C2668" s="6" t="s">
        <v>53</v>
      </c>
      <c r="D2668" s="6">
        <v>82594.0</v>
      </c>
      <c r="E2668" s="6" t="s">
        <v>60</v>
      </c>
      <c r="F2668" s="6" t="s">
        <v>20</v>
      </c>
      <c r="G2668" s="6" t="s">
        <v>21</v>
      </c>
      <c r="H2668" s="7">
        <v>3150.0</v>
      </c>
      <c r="I2668" s="7">
        <v>2541.0</v>
      </c>
      <c r="J2668" s="6">
        <v>1979.0</v>
      </c>
      <c r="K2668" s="6">
        <v>96.0</v>
      </c>
      <c r="L2668" s="6" t="s">
        <v>32</v>
      </c>
      <c r="M2668" s="6" t="s">
        <v>10708</v>
      </c>
      <c r="N2668" s="6" t="s">
        <v>24</v>
      </c>
      <c r="O2668" s="6" t="s">
        <v>35</v>
      </c>
      <c r="P2668" s="6">
        <f>COUNTIF(Analysis!$M$1:$M$3001,Analysis!$M2668)</f>
        <v>1</v>
      </c>
      <c r="Q2668" s="6" t="str">
        <f>IF(COUNTIF(Analysis!$M$2:$M$3001,Analysis!$M2668)&gt;1,"Duplicate","OK")</f>
        <v>OK</v>
      </c>
      <c r="R2668" s="6" t="str">
        <f t="shared" si="1"/>
        <v>2600-3600</v>
      </c>
      <c r="S2668" s="6">
        <f t="shared" si="2"/>
        <v>47</v>
      </c>
      <c r="T2668" s="6" t="str">
        <f t="shared" si="3"/>
        <v>Old</v>
      </c>
    </row>
    <row r="2669" ht="14.25" customHeight="1">
      <c r="A2669" s="5">
        <v>1421824.0</v>
      </c>
      <c r="B2669" s="6" t="s">
        <v>10711</v>
      </c>
      <c r="C2669" s="6" t="s">
        <v>18</v>
      </c>
      <c r="D2669" s="6">
        <v>90159.0</v>
      </c>
      <c r="E2669" s="6" t="s">
        <v>19</v>
      </c>
      <c r="F2669" s="6" t="s">
        <v>41</v>
      </c>
      <c r="G2669" s="6" t="s">
        <v>21</v>
      </c>
      <c r="H2669" s="7">
        <v>3373.0</v>
      </c>
      <c r="I2669" s="7">
        <v>4274.0</v>
      </c>
      <c r="J2669" s="6">
        <v>1964.0</v>
      </c>
      <c r="K2669" s="6">
        <v>83.0</v>
      </c>
      <c r="L2669" s="6" t="s">
        <v>95</v>
      </c>
      <c r="M2669" s="6" t="s">
        <v>10712</v>
      </c>
      <c r="N2669" s="6" t="s">
        <v>43</v>
      </c>
      <c r="O2669" s="6" t="s">
        <v>49</v>
      </c>
      <c r="P2669" s="6">
        <f>COUNTIF(Analysis!$M$1:$M$3001,Analysis!$M2669)</f>
        <v>1</v>
      </c>
      <c r="Q2669" s="6" t="str">
        <f>IF(COUNTIF(Analysis!$M$2:$M$3001,Analysis!$M2669)&gt;1,"Duplicate","OK")</f>
        <v>OK</v>
      </c>
      <c r="R2669" s="6" t="str">
        <f t="shared" si="1"/>
        <v>2600-3600</v>
      </c>
      <c r="S2669" s="6">
        <f t="shared" si="2"/>
        <v>62</v>
      </c>
      <c r="T2669" s="6" t="str">
        <f t="shared" si="3"/>
        <v>Very Old</v>
      </c>
    </row>
    <row r="2670" ht="14.25" customHeight="1">
      <c r="A2670" s="5">
        <v>510550.0</v>
      </c>
      <c r="B2670" s="6" t="s">
        <v>10715</v>
      </c>
      <c r="C2670" s="6" t="s">
        <v>39</v>
      </c>
      <c r="D2670" s="6">
        <v>51702.0</v>
      </c>
      <c r="E2670" s="6" t="s">
        <v>60</v>
      </c>
      <c r="F2670" s="6" t="s">
        <v>54</v>
      </c>
      <c r="G2670" s="6" t="s">
        <v>55</v>
      </c>
      <c r="H2670" s="7">
        <v>1109.0</v>
      </c>
      <c r="I2670" s="7">
        <v>2075.0</v>
      </c>
      <c r="J2670" s="6">
        <v>1989.0</v>
      </c>
      <c r="K2670" s="6">
        <v>39.0</v>
      </c>
      <c r="L2670" s="6" t="s">
        <v>95</v>
      </c>
      <c r="M2670" s="6" t="s">
        <v>10716</v>
      </c>
      <c r="N2670" s="6" t="s">
        <v>24</v>
      </c>
      <c r="O2670" s="6" t="s">
        <v>49</v>
      </c>
      <c r="P2670" s="6">
        <f>COUNTIF(Analysis!$M$1:$M$3001,Analysis!$M2670)</f>
        <v>1</v>
      </c>
      <c r="Q2670" s="6" t="str">
        <f>IF(COUNTIF(Analysis!$M$2:$M$3001,Analysis!$M2670)&gt;1,"Duplicate","OK")</f>
        <v>OK</v>
      </c>
      <c r="R2670" s="6" t="str">
        <f t="shared" si="1"/>
        <v>600-1600</v>
      </c>
      <c r="S2670" s="6">
        <f t="shared" si="2"/>
        <v>37</v>
      </c>
      <c r="T2670" s="6" t="str">
        <f t="shared" si="3"/>
        <v>Old</v>
      </c>
    </row>
    <row r="2671" ht="14.25" customHeight="1">
      <c r="A2671" s="5">
        <v>1325023.0</v>
      </c>
      <c r="B2671" s="6" t="s">
        <v>10719</v>
      </c>
      <c r="C2671" s="6" t="s">
        <v>53</v>
      </c>
      <c r="D2671" s="6">
        <v>29255.0</v>
      </c>
      <c r="E2671" s="6" t="s">
        <v>30</v>
      </c>
      <c r="F2671" s="6" t="s">
        <v>46</v>
      </c>
      <c r="G2671" s="6" t="s">
        <v>100</v>
      </c>
      <c r="H2671" s="7">
        <v>1027.0</v>
      </c>
      <c r="I2671" s="7">
        <v>7976.0</v>
      </c>
      <c r="J2671" s="6">
        <v>2013.0</v>
      </c>
      <c r="K2671" s="6">
        <v>16.0</v>
      </c>
      <c r="L2671" s="6" t="s">
        <v>141</v>
      </c>
      <c r="M2671" s="6" t="s">
        <v>10720</v>
      </c>
      <c r="N2671" s="6" t="s">
        <v>48</v>
      </c>
      <c r="O2671" s="6" t="s">
        <v>35</v>
      </c>
      <c r="P2671" s="6">
        <f>COUNTIF(Analysis!$M$1:$M$3001,Analysis!$M2671)</f>
        <v>1</v>
      </c>
      <c r="Q2671" s="6" t="str">
        <f>IF(COUNTIF(Analysis!$M$2:$M$3001,Analysis!$M2671)&gt;1,"Duplicate","OK")</f>
        <v>OK</v>
      </c>
      <c r="R2671" s="6" t="str">
        <f t="shared" si="1"/>
        <v>600-1600</v>
      </c>
      <c r="S2671" s="6">
        <f t="shared" si="2"/>
        <v>13</v>
      </c>
      <c r="T2671" s="6" t="str">
        <f t="shared" si="3"/>
        <v>Mid</v>
      </c>
    </row>
    <row r="2672" ht="14.25" customHeight="1">
      <c r="A2672" s="5">
        <v>1270993.0</v>
      </c>
      <c r="B2672" s="6" t="s">
        <v>10723</v>
      </c>
      <c r="C2672" s="6" t="s">
        <v>39</v>
      </c>
      <c r="D2672" s="6">
        <v>25138.0</v>
      </c>
      <c r="E2672" s="6" t="s">
        <v>40</v>
      </c>
      <c r="F2672" s="6" t="s">
        <v>20</v>
      </c>
      <c r="G2672" s="6" t="s">
        <v>21</v>
      </c>
      <c r="H2672" s="7">
        <v>2017.0</v>
      </c>
      <c r="I2672" s="7">
        <v>3216.0</v>
      </c>
      <c r="J2672" s="6">
        <v>2022.0</v>
      </c>
      <c r="K2672" s="6">
        <v>59.0</v>
      </c>
      <c r="L2672" s="6" t="s">
        <v>32</v>
      </c>
      <c r="M2672" s="6" t="s">
        <v>10724</v>
      </c>
      <c r="N2672" s="6" t="s">
        <v>43</v>
      </c>
      <c r="O2672" s="6" t="s">
        <v>49</v>
      </c>
      <c r="P2672" s="6">
        <f>COUNTIF(Analysis!$M$1:$M$3001,Analysis!$M2672)</f>
        <v>1</v>
      </c>
      <c r="Q2672" s="6" t="str">
        <f>IF(COUNTIF(Analysis!$M$2:$M$3001,Analysis!$M2672)&gt;1,"Duplicate","OK")</f>
        <v>OK</v>
      </c>
      <c r="R2672" s="6" t="str">
        <f t="shared" si="1"/>
        <v>1600-2600</v>
      </c>
      <c r="S2672" s="6">
        <f t="shared" si="2"/>
        <v>4</v>
      </c>
      <c r="T2672" s="6" t="str">
        <f t="shared" si="3"/>
        <v>New</v>
      </c>
    </row>
    <row r="2673" ht="14.25" customHeight="1">
      <c r="A2673" s="5">
        <v>664075.0</v>
      </c>
      <c r="B2673" s="6" t="s">
        <v>10727</v>
      </c>
      <c r="C2673" s="6" t="s">
        <v>18</v>
      </c>
      <c r="D2673" s="6">
        <v>86775.0</v>
      </c>
      <c r="E2673" s="6" t="s">
        <v>30</v>
      </c>
      <c r="F2673" s="6" t="s">
        <v>61</v>
      </c>
      <c r="G2673" s="6" t="s">
        <v>100</v>
      </c>
      <c r="H2673" s="7">
        <v>1863.0</v>
      </c>
      <c r="I2673" s="7">
        <v>3313.0</v>
      </c>
      <c r="J2673" s="6">
        <v>1965.0</v>
      </c>
      <c r="K2673" s="6">
        <v>15.0</v>
      </c>
      <c r="L2673" s="6" t="s">
        <v>141</v>
      </c>
      <c r="M2673" s="6" t="s">
        <v>10728</v>
      </c>
      <c r="N2673" s="6" t="s">
        <v>24</v>
      </c>
      <c r="O2673" s="6" t="s">
        <v>25</v>
      </c>
      <c r="P2673" s="6">
        <f>COUNTIF(Analysis!$M$1:$M$3001,Analysis!$M2673)</f>
        <v>1</v>
      </c>
      <c r="Q2673" s="6" t="str">
        <f>IF(COUNTIF(Analysis!$M$2:$M$3001,Analysis!$M2673)&gt;1,"Duplicate","OK")</f>
        <v>OK</v>
      </c>
      <c r="R2673" s="6" t="str">
        <f t="shared" si="1"/>
        <v>1600-2600</v>
      </c>
      <c r="S2673" s="6">
        <f t="shared" si="2"/>
        <v>61</v>
      </c>
      <c r="T2673" s="6" t="str">
        <f t="shared" si="3"/>
        <v>Very Old</v>
      </c>
    </row>
    <row r="2674" ht="14.25" customHeight="1">
      <c r="A2674" s="5">
        <v>736337.0</v>
      </c>
      <c r="B2674" s="6" t="s">
        <v>10731</v>
      </c>
      <c r="C2674" s="6" t="s">
        <v>76</v>
      </c>
      <c r="D2674" s="6">
        <v>28779.0</v>
      </c>
      <c r="E2674" s="6" t="s">
        <v>77</v>
      </c>
      <c r="F2674" s="6" t="s">
        <v>61</v>
      </c>
      <c r="G2674" s="6" t="s">
        <v>55</v>
      </c>
      <c r="H2674" s="7">
        <v>2312.0</v>
      </c>
      <c r="I2674" s="7">
        <v>7156.0</v>
      </c>
      <c r="J2674" s="6">
        <v>1987.0</v>
      </c>
      <c r="K2674" s="6">
        <v>39.0</v>
      </c>
      <c r="L2674" s="6" t="s">
        <v>32</v>
      </c>
      <c r="M2674" s="6" t="s">
        <v>10732</v>
      </c>
      <c r="N2674" s="6" t="s">
        <v>34</v>
      </c>
      <c r="O2674" s="6" t="s">
        <v>25</v>
      </c>
      <c r="P2674" s="6">
        <f>COUNTIF(Analysis!$M$1:$M$3001,Analysis!$M2674)</f>
        <v>1</v>
      </c>
      <c r="Q2674" s="6" t="str">
        <f>IF(COUNTIF(Analysis!$M$2:$M$3001,Analysis!$M2674)&gt;1,"Duplicate","OK")</f>
        <v>OK</v>
      </c>
      <c r="R2674" s="6" t="str">
        <f t="shared" si="1"/>
        <v>1600-2600</v>
      </c>
      <c r="S2674" s="6">
        <f t="shared" si="2"/>
        <v>39</v>
      </c>
      <c r="T2674" s="6" t="str">
        <f t="shared" si="3"/>
        <v>Old</v>
      </c>
    </row>
    <row r="2675" ht="14.25" customHeight="1">
      <c r="A2675" s="5">
        <v>1042856.0</v>
      </c>
      <c r="B2675" s="6" t="s">
        <v>10735</v>
      </c>
      <c r="C2675" s="6" t="s">
        <v>18</v>
      </c>
      <c r="D2675" s="6">
        <v>41974.0</v>
      </c>
      <c r="E2675" s="6" t="s">
        <v>77</v>
      </c>
      <c r="F2675" s="6" t="s">
        <v>46</v>
      </c>
      <c r="G2675" s="6" t="s">
        <v>31</v>
      </c>
      <c r="H2675" s="7">
        <v>1628.0</v>
      </c>
      <c r="I2675" s="7">
        <v>6833.0</v>
      </c>
      <c r="J2675" s="6">
        <v>1957.0</v>
      </c>
      <c r="K2675" s="6">
        <v>22.0</v>
      </c>
      <c r="L2675" s="6" t="s">
        <v>22</v>
      </c>
      <c r="M2675" s="6" t="s">
        <v>10736</v>
      </c>
      <c r="N2675" s="6" t="s">
        <v>24</v>
      </c>
      <c r="O2675" s="6" t="s">
        <v>49</v>
      </c>
      <c r="P2675" s="6">
        <f>COUNTIF(Analysis!$M$1:$M$3001,Analysis!$M2675)</f>
        <v>1</v>
      </c>
      <c r="Q2675" s="6" t="str">
        <f>IF(COUNTIF(Analysis!$M$2:$M$3001,Analysis!$M2675)&gt;1,"Duplicate","OK")</f>
        <v>OK</v>
      </c>
      <c r="R2675" s="6" t="str">
        <f t="shared" si="1"/>
        <v>1600-2600</v>
      </c>
      <c r="S2675" s="6">
        <f t="shared" si="2"/>
        <v>69</v>
      </c>
      <c r="T2675" s="6" t="str">
        <f t="shared" si="3"/>
        <v>Very Old</v>
      </c>
    </row>
    <row r="2676" ht="14.25" customHeight="1">
      <c r="A2676" s="5">
        <v>365717.0</v>
      </c>
      <c r="B2676" s="6" t="s">
        <v>10739</v>
      </c>
      <c r="C2676" s="6" t="s">
        <v>76</v>
      </c>
      <c r="D2676" s="6">
        <v>46390.0</v>
      </c>
      <c r="E2676" s="6" t="s">
        <v>40</v>
      </c>
      <c r="F2676" s="6" t="s">
        <v>20</v>
      </c>
      <c r="G2676" s="6" t="s">
        <v>100</v>
      </c>
      <c r="H2676" s="7">
        <v>672.0</v>
      </c>
      <c r="I2676" s="7">
        <v>7427.0</v>
      </c>
      <c r="J2676" s="6">
        <v>2017.0</v>
      </c>
      <c r="K2676" s="6">
        <v>16.0</v>
      </c>
      <c r="L2676" s="6" t="s">
        <v>95</v>
      </c>
      <c r="M2676" s="6" t="s">
        <v>10740</v>
      </c>
      <c r="N2676" s="6" t="s">
        <v>43</v>
      </c>
      <c r="O2676" s="6" t="s">
        <v>49</v>
      </c>
      <c r="P2676" s="6">
        <f>COUNTIF(Analysis!$M$1:$M$3001,Analysis!$M2676)</f>
        <v>1</v>
      </c>
      <c r="Q2676" s="6" t="str">
        <f>IF(COUNTIF(Analysis!$M$2:$M$3001,Analysis!$M2676)&gt;1,"Duplicate","OK")</f>
        <v>OK</v>
      </c>
      <c r="R2676" s="6" t="str">
        <f t="shared" si="1"/>
        <v>600-1600</v>
      </c>
      <c r="S2676" s="6">
        <f t="shared" si="2"/>
        <v>9</v>
      </c>
      <c r="T2676" s="6" t="str">
        <f t="shared" si="3"/>
        <v>New</v>
      </c>
    </row>
    <row r="2677" ht="14.25" customHeight="1">
      <c r="A2677" s="5">
        <v>149578.0</v>
      </c>
      <c r="B2677" s="6" t="s">
        <v>10743</v>
      </c>
      <c r="C2677" s="6" t="s">
        <v>76</v>
      </c>
      <c r="D2677" s="6">
        <v>37799.0</v>
      </c>
      <c r="E2677" s="6" t="s">
        <v>30</v>
      </c>
      <c r="F2677" s="6" t="s">
        <v>54</v>
      </c>
      <c r="G2677" s="6" t="s">
        <v>21</v>
      </c>
      <c r="H2677" s="7">
        <v>1611.0</v>
      </c>
      <c r="I2677" s="7">
        <v>9895.0</v>
      </c>
      <c r="J2677" s="6">
        <v>1954.0</v>
      </c>
      <c r="K2677" s="6">
        <v>120.0</v>
      </c>
      <c r="L2677" s="6" t="s">
        <v>141</v>
      </c>
      <c r="M2677" s="6" t="s">
        <v>10744</v>
      </c>
      <c r="N2677" s="6" t="s">
        <v>64</v>
      </c>
      <c r="O2677" s="6" t="s">
        <v>25</v>
      </c>
      <c r="P2677" s="6">
        <f>COUNTIF(Analysis!$M$1:$M$3001,Analysis!$M2677)</f>
        <v>1</v>
      </c>
      <c r="Q2677" s="6" t="str">
        <f>IF(COUNTIF(Analysis!$M$2:$M$3001,Analysis!$M2677)&gt;1,"Duplicate","OK")</f>
        <v>OK</v>
      </c>
      <c r="R2677" s="6" t="str">
        <f t="shared" si="1"/>
        <v>1600-2600</v>
      </c>
      <c r="S2677" s="6">
        <f t="shared" si="2"/>
        <v>72</v>
      </c>
      <c r="T2677" s="6" t="str">
        <f t="shared" si="3"/>
        <v>Very Old</v>
      </c>
    </row>
    <row r="2678" ht="14.25" customHeight="1">
      <c r="A2678" s="5">
        <v>658686.0</v>
      </c>
      <c r="B2678" s="6" t="s">
        <v>10747</v>
      </c>
      <c r="C2678" s="6" t="s">
        <v>18</v>
      </c>
      <c r="D2678" s="6">
        <v>82664.0</v>
      </c>
      <c r="E2678" s="6" t="s">
        <v>60</v>
      </c>
      <c r="F2678" s="6" t="s">
        <v>20</v>
      </c>
      <c r="G2678" s="6" t="s">
        <v>31</v>
      </c>
      <c r="H2678" s="7">
        <v>1045.0</v>
      </c>
      <c r="I2678" s="7">
        <v>9187.0</v>
      </c>
      <c r="J2678" s="6">
        <v>1979.0</v>
      </c>
      <c r="K2678" s="6">
        <v>81.0</v>
      </c>
      <c r="L2678" s="6" t="s">
        <v>22</v>
      </c>
      <c r="M2678" s="6" t="s">
        <v>10748</v>
      </c>
      <c r="N2678" s="6" t="s">
        <v>43</v>
      </c>
      <c r="O2678" s="6" t="s">
        <v>49</v>
      </c>
      <c r="P2678" s="6">
        <f>COUNTIF(Analysis!$M$1:$M$3001,Analysis!$M2678)</f>
        <v>1</v>
      </c>
      <c r="Q2678" s="6" t="str">
        <f>IF(COUNTIF(Analysis!$M$2:$M$3001,Analysis!$M2678)&gt;1,"Duplicate","OK")</f>
        <v>OK</v>
      </c>
      <c r="R2678" s="6" t="str">
        <f t="shared" si="1"/>
        <v>600-1600</v>
      </c>
      <c r="S2678" s="6">
        <f t="shared" si="2"/>
        <v>47</v>
      </c>
      <c r="T2678" s="6" t="str">
        <f t="shared" si="3"/>
        <v>Old</v>
      </c>
    </row>
    <row r="2679" ht="14.25" customHeight="1">
      <c r="A2679" s="5">
        <v>1108409.0</v>
      </c>
      <c r="B2679" s="6" t="s">
        <v>10751</v>
      </c>
      <c r="C2679" s="6" t="s">
        <v>18</v>
      </c>
      <c r="D2679" s="6">
        <v>17279.0</v>
      </c>
      <c r="E2679" s="6" t="s">
        <v>19</v>
      </c>
      <c r="F2679" s="6" t="s">
        <v>41</v>
      </c>
      <c r="G2679" s="6" t="s">
        <v>31</v>
      </c>
      <c r="H2679" s="7">
        <v>3662.0</v>
      </c>
      <c r="I2679" s="7">
        <v>8587.0</v>
      </c>
      <c r="J2679" s="6">
        <v>1956.0</v>
      </c>
      <c r="K2679" s="6">
        <v>12.0</v>
      </c>
      <c r="L2679" s="6" t="s">
        <v>22</v>
      </c>
      <c r="M2679" s="6" t="s">
        <v>10752</v>
      </c>
      <c r="N2679" s="6" t="s">
        <v>48</v>
      </c>
      <c r="O2679" s="6" t="s">
        <v>25</v>
      </c>
      <c r="P2679" s="6">
        <f>COUNTIF(Analysis!$M$1:$M$3001,Analysis!$M2679)</f>
        <v>1</v>
      </c>
      <c r="Q2679" s="6" t="str">
        <f>IF(COUNTIF(Analysis!$M$2:$M$3001,Analysis!$M2679)&gt;1,"Duplicate","OK")</f>
        <v>OK</v>
      </c>
      <c r="R2679" s="6" t="str">
        <f t="shared" si="1"/>
        <v>3600+</v>
      </c>
      <c r="S2679" s="6">
        <f t="shared" si="2"/>
        <v>70</v>
      </c>
      <c r="T2679" s="6" t="str">
        <f t="shared" si="3"/>
        <v>Very Old</v>
      </c>
    </row>
    <row r="2680" ht="14.25" customHeight="1">
      <c r="A2680" s="5">
        <v>198284.0</v>
      </c>
      <c r="B2680" s="6" t="s">
        <v>10755</v>
      </c>
      <c r="C2680" s="6" t="s">
        <v>76</v>
      </c>
      <c r="D2680" s="6">
        <v>58087.0</v>
      </c>
      <c r="E2680" s="6" t="s">
        <v>40</v>
      </c>
      <c r="F2680" s="6" t="s">
        <v>61</v>
      </c>
      <c r="G2680" s="6" t="s">
        <v>21</v>
      </c>
      <c r="H2680" s="7">
        <v>2540.0</v>
      </c>
      <c r="I2680" s="7">
        <v>4722.0</v>
      </c>
      <c r="J2680" s="6">
        <v>2017.0</v>
      </c>
      <c r="K2680" s="6">
        <v>108.0</v>
      </c>
      <c r="L2680" s="6" t="s">
        <v>62</v>
      </c>
      <c r="M2680" s="6" t="s">
        <v>10756</v>
      </c>
      <c r="N2680" s="6" t="s">
        <v>48</v>
      </c>
      <c r="O2680" s="6" t="s">
        <v>49</v>
      </c>
      <c r="P2680" s="6">
        <f>COUNTIF(Analysis!$M$1:$M$3001,Analysis!$M2680)</f>
        <v>1</v>
      </c>
      <c r="Q2680" s="6" t="str">
        <f>IF(COUNTIF(Analysis!$M$2:$M$3001,Analysis!$M2680)&gt;1,"Duplicate","OK")</f>
        <v>OK</v>
      </c>
      <c r="R2680" s="6" t="str">
        <f t="shared" si="1"/>
        <v>1600-2600</v>
      </c>
      <c r="S2680" s="6">
        <f t="shared" si="2"/>
        <v>9</v>
      </c>
      <c r="T2680" s="6" t="str">
        <f t="shared" si="3"/>
        <v>New</v>
      </c>
    </row>
    <row r="2681" ht="14.25" customHeight="1">
      <c r="A2681" s="5">
        <v>1065786.0</v>
      </c>
      <c r="B2681" s="6" t="s">
        <v>10759</v>
      </c>
      <c r="C2681" s="6" t="s">
        <v>53</v>
      </c>
      <c r="D2681" s="6">
        <v>96815.0</v>
      </c>
      <c r="E2681" s="6" t="s">
        <v>19</v>
      </c>
      <c r="F2681" s="6" t="s">
        <v>61</v>
      </c>
      <c r="G2681" s="6" t="s">
        <v>100</v>
      </c>
      <c r="H2681" s="7">
        <v>2232.0</v>
      </c>
      <c r="I2681" s="7">
        <v>1212.0</v>
      </c>
      <c r="J2681" s="6">
        <v>1995.0</v>
      </c>
      <c r="K2681" s="6">
        <v>89.0</v>
      </c>
      <c r="L2681" s="6" t="s">
        <v>62</v>
      </c>
      <c r="M2681" s="6" t="s">
        <v>10760</v>
      </c>
      <c r="N2681" s="6" t="s">
        <v>34</v>
      </c>
      <c r="O2681" s="6" t="s">
        <v>25</v>
      </c>
      <c r="P2681" s="6">
        <f>COUNTIF(Analysis!$M$1:$M$3001,Analysis!$M2681)</f>
        <v>1</v>
      </c>
      <c r="Q2681" s="6" t="str">
        <f>IF(COUNTIF(Analysis!$M$2:$M$3001,Analysis!$M2681)&gt;1,"Duplicate","OK")</f>
        <v>OK</v>
      </c>
      <c r="R2681" s="6" t="str">
        <f t="shared" si="1"/>
        <v>1600-2600</v>
      </c>
      <c r="S2681" s="6">
        <f t="shared" si="2"/>
        <v>31</v>
      </c>
      <c r="T2681" s="6" t="str">
        <f t="shared" si="3"/>
        <v>Old</v>
      </c>
    </row>
    <row r="2682" ht="14.25" customHeight="1">
      <c r="A2682" s="5">
        <v>1315096.0</v>
      </c>
      <c r="B2682" s="6" t="s">
        <v>10763</v>
      </c>
      <c r="C2682" s="6" t="s">
        <v>18</v>
      </c>
      <c r="D2682" s="6">
        <v>98880.0</v>
      </c>
      <c r="E2682" s="6" t="s">
        <v>60</v>
      </c>
      <c r="F2682" s="6" t="s">
        <v>20</v>
      </c>
      <c r="G2682" s="6" t="s">
        <v>100</v>
      </c>
      <c r="H2682" s="7">
        <v>3035.0</v>
      </c>
      <c r="I2682" s="7">
        <v>7988.0</v>
      </c>
      <c r="J2682" s="6">
        <v>1987.0</v>
      </c>
      <c r="K2682" s="6">
        <v>42.0</v>
      </c>
      <c r="L2682" s="6" t="s">
        <v>32</v>
      </c>
      <c r="M2682" s="6" t="s">
        <v>10764</v>
      </c>
      <c r="N2682" s="6" t="s">
        <v>34</v>
      </c>
      <c r="O2682" s="6" t="s">
        <v>25</v>
      </c>
      <c r="P2682" s="6">
        <f>COUNTIF(Analysis!$M$1:$M$3001,Analysis!$M2682)</f>
        <v>1</v>
      </c>
      <c r="Q2682" s="6" t="str">
        <f>IF(COUNTIF(Analysis!$M$2:$M$3001,Analysis!$M2682)&gt;1,"Duplicate","OK")</f>
        <v>OK</v>
      </c>
      <c r="R2682" s="6" t="str">
        <f t="shared" si="1"/>
        <v>2600-3600</v>
      </c>
      <c r="S2682" s="6">
        <f t="shared" si="2"/>
        <v>39</v>
      </c>
      <c r="T2682" s="6" t="str">
        <f t="shared" si="3"/>
        <v>Old</v>
      </c>
    </row>
    <row r="2683" ht="14.25" customHeight="1">
      <c r="A2683" s="5">
        <v>578056.0</v>
      </c>
      <c r="B2683" s="6" t="s">
        <v>10767</v>
      </c>
      <c r="C2683" s="6" t="s">
        <v>39</v>
      </c>
      <c r="D2683" s="6">
        <v>97988.0</v>
      </c>
      <c r="E2683" s="6" t="s">
        <v>40</v>
      </c>
      <c r="F2683" s="6" t="s">
        <v>54</v>
      </c>
      <c r="G2683" s="6" t="s">
        <v>55</v>
      </c>
      <c r="H2683" s="7">
        <v>2423.0</v>
      </c>
      <c r="I2683" s="7">
        <v>6174.0</v>
      </c>
      <c r="J2683" s="6">
        <v>2004.0</v>
      </c>
      <c r="K2683" s="6">
        <v>98.0</v>
      </c>
      <c r="L2683" s="6" t="s">
        <v>22</v>
      </c>
      <c r="M2683" s="6" t="s">
        <v>10768</v>
      </c>
      <c r="N2683" s="6" t="s">
        <v>34</v>
      </c>
      <c r="O2683" s="6" t="s">
        <v>49</v>
      </c>
      <c r="P2683" s="6">
        <f>COUNTIF(Analysis!$M$1:$M$3001,Analysis!$M2683)</f>
        <v>1</v>
      </c>
      <c r="Q2683" s="6" t="str">
        <f>IF(COUNTIF(Analysis!$M$2:$M$3001,Analysis!$M2683)&gt;1,"Duplicate","OK")</f>
        <v>OK</v>
      </c>
      <c r="R2683" s="6" t="str">
        <f t="shared" si="1"/>
        <v>1600-2600</v>
      </c>
      <c r="S2683" s="6">
        <f t="shared" si="2"/>
        <v>22</v>
      </c>
      <c r="T2683" s="6" t="str">
        <f t="shared" si="3"/>
        <v>Mid</v>
      </c>
    </row>
    <row r="2684" ht="14.25" customHeight="1">
      <c r="A2684" s="5">
        <v>1167412.0</v>
      </c>
      <c r="B2684" s="6" t="s">
        <v>10771</v>
      </c>
      <c r="C2684" s="6" t="s">
        <v>76</v>
      </c>
      <c r="D2684" s="6">
        <v>85803.0</v>
      </c>
      <c r="E2684" s="6" t="s">
        <v>40</v>
      </c>
      <c r="F2684" s="6" t="s">
        <v>20</v>
      </c>
      <c r="G2684" s="6" t="s">
        <v>31</v>
      </c>
      <c r="H2684" s="7">
        <v>1424.0</v>
      </c>
      <c r="I2684" s="7">
        <v>2429.0</v>
      </c>
      <c r="J2684" s="6">
        <v>2012.0</v>
      </c>
      <c r="K2684" s="6">
        <v>9.0</v>
      </c>
      <c r="L2684" s="6" t="s">
        <v>32</v>
      </c>
      <c r="M2684" s="6" t="s">
        <v>10772</v>
      </c>
      <c r="N2684" s="6" t="s">
        <v>48</v>
      </c>
      <c r="O2684" s="6" t="s">
        <v>49</v>
      </c>
      <c r="P2684" s="6">
        <f>COUNTIF(Analysis!$M$1:$M$3001,Analysis!$M2684)</f>
        <v>1</v>
      </c>
      <c r="Q2684" s="6" t="str">
        <f>IF(COUNTIF(Analysis!$M$2:$M$3001,Analysis!$M2684)&gt;1,"Duplicate","OK")</f>
        <v>OK</v>
      </c>
      <c r="R2684" s="6" t="str">
        <f t="shared" si="1"/>
        <v>600-1600</v>
      </c>
      <c r="S2684" s="6">
        <f t="shared" si="2"/>
        <v>14</v>
      </c>
      <c r="T2684" s="6" t="str">
        <f t="shared" si="3"/>
        <v>Mid</v>
      </c>
    </row>
    <row r="2685" ht="14.25" customHeight="1">
      <c r="A2685" s="5">
        <v>1137640.0</v>
      </c>
      <c r="B2685" s="6" t="s">
        <v>10775</v>
      </c>
      <c r="C2685" s="6" t="s">
        <v>18</v>
      </c>
      <c r="D2685" s="6">
        <v>92796.0</v>
      </c>
      <c r="E2685" s="6" t="s">
        <v>40</v>
      </c>
      <c r="F2685" s="6" t="s">
        <v>94</v>
      </c>
      <c r="G2685" s="6" t="s">
        <v>21</v>
      </c>
      <c r="H2685" s="7">
        <v>819.0</v>
      </c>
      <c r="I2685" s="7">
        <v>6327.0</v>
      </c>
      <c r="J2685" s="6">
        <v>1959.0</v>
      </c>
      <c r="K2685" s="6">
        <v>112.0</v>
      </c>
      <c r="L2685" s="6" t="s">
        <v>95</v>
      </c>
      <c r="M2685" s="6" t="s">
        <v>10776</v>
      </c>
      <c r="N2685" s="6" t="s">
        <v>48</v>
      </c>
      <c r="O2685" s="6" t="s">
        <v>25</v>
      </c>
      <c r="P2685" s="6">
        <f>COUNTIF(Analysis!$M$1:$M$3001,Analysis!$M2685)</f>
        <v>1</v>
      </c>
      <c r="Q2685" s="6" t="str">
        <f>IF(COUNTIF(Analysis!$M$2:$M$3001,Analysis!$M2685)&gt;1,"Duplicate","OK")</f>
        <v>OK</v>
      </c>
      <c r="R2685" s="6" t="str">
        <f t="shared" si="1"/>
        <v>600-1600</v>
      </c>
      <c r="S2685" s="6">
        <f t="shared" si="2"/>
        <v>67</v>
      </c>
      <c r="T2685" s="6" t="str">
        <f t="shared" si="3"/>
        <v>Very Old</v>
      </c>
    </row>
    <row r="2686" ht="14.25" customHeight="1">
      <c r="A2686" s="5">
        <v>1380179.0</v>
      </c>
      <c r="B2686" s="6" t="s">
        <v>11643</v>
      </c>
      <c r="C2686" s="6" t="s">
        <v>29</v>
      </c>
      <c r="D2686" s="6">
        <v>43605.0</v>
      </c>
      <c r="E2686" s="6" t="s">
        <v>60</v>
      </c>
      <c r="F2686" s="6" t="s">
        <v>41</v>
      </c>
      <c r="G2686" s="6" t="s">
        <v>31</v>
      </c>
      <c r="H2686" s="7">
        <v>1906.0</v>
      </c>
      <c r="I2686" s="7">
        <v>2834.0</v>
      </c>
      <c r="J2686" s="6">
        <v>2014.0</v>
      </c>
      <c r="K2686" s="6">
        <v>73.0</v>
      </c>
      <c r="L2686" s="6" t="s">
        <v>32</v>
      </c>
      <c r="M2686" s="6" t="s">
        <v>11644</v>
      </c>
      <c r="N2686" s="6" t="s">
        <v>43</v>
      </c>
      <c r="O2686" s="6" t="s">
        <v>49</v>
      </c>
      <c r="P2686" s="6">
        <f>COUNTIF(Analysis!$M$1:$M$3001,Analysis!$M2902)</f>
        <v>1</v>
      </c>
      <c r="Q2686" s="6" t="str">
        <f>IF(COUNTIF(Analysis!$M$2:$M$3001,Analysis!$M2902)&gt;1,"Duplicate","OK")</f>
        <v>OK</v>
      </c>
      <c r="R2686" s="6" t="str">
        <f t="shared" si="1"/>
        <v>1600-2600</v>
      </c>
      <c r="S2686" s="6">
        <f t="shared" si="2"/>
        <v>12</v>
      </c>
      <c r="T2686" s="6" t="str">
        <f t="shared" si="3"/>
        <v>Mid</v>
      </c>
    </row>
    <row r="2687" ht="14.25" customHeight="1">
      <c r="A2687" s="5">
        <v>798149.0</v>
      </c>
      <c r="B2687" s="6" t="s">
        <v>10783</v>
      </c>
      <c r="C2687" s="6" t="s">
        <v>18</v>
      </c>
      <c r="D2687" s="6">
        <v>72741.0</v>
      </c>
      <c r="E2687" s="6" t="s">
        <v>40</v>
      </c>
      <c r="F2687" s="6" t="s">
        <v>61</v>
      </c>
      <c r="G2687" s="6" t="s">
        <v>55</v>
      </c>
      <c r="H2687" s="7">
        <v>1008.0</v>
      </c>
      <c r="I2687" s="7">
        <v>8619.0</v>
      </c>
      <c r="J2687" s="6">
        <v>1972.0</v>
      </c>
      <c r="K2687" s="6">
        <v>109.0</v>
      </c>
      <c r="L2687" s="6" t="s">
        <v>32</v>
      </c>
      <c r="M2687" s="6" t="s">
        <v>10784</v>
      </c>
      <c r="N2687" s="6" t="s">
        <v>48</v>
      </c>
      <c r="O2687" s="6" t="s">
        <v>35</v>
      </c>
      <c r="P2687" s="6">
        <f>COUNTIF(Analysis!$M$1:$M$3001,Analysis!$M2687)</f>
        <v>1</v>
      </c>
      <c r="Q2687" s="6" t="str">
        <f>IF(COUNTIF(Analysis!$M$2:$M$3001,Analysis!$M2687)&gt;1,"Duplicate","OK")</f>
        <v>OK</v>
      </c>
      <c r="R2687" s="6" t="str">
        <f t="shared" si="1"/>
        <v>600-1600</v>
      </c>
      <c r="S2687" s="6">
        <f t="shared" si="2"/>
        <v>54</v>
      </c>
      <c r="T2687" s="6" t="str">
        <f t="shared" si="3"/>
        <v>Old</v>
      </c>
    </row>
    <row r="2688" ht="14.25" customHeight="1">
      <c r="A2688" s="5">
        <v>957203.0</v>
      </c>
      <c r="B2688" s="6" t="s">
        <v>10787</v>
      </c>
      <c r="C2688" s="6" t="s">
        <v>53</v>
      </c>
      <c r="D2688" s="6">
        <v>30810.0</v>
      </c>
      <c r="E2688" s="6" t="s">
        <v>60</v>
      </c>
      <c r="F2688" s="6" t="s">
        <v>61</v>
      </c>
      <c r="G2688" s="6" t="s">
        <v>31</v>
      </c>
      <c r="H2688" s="7">
        <v>2704.0</v>
      </c>
      <c r="I2688" s="7">
        <v>8023.0</v>
      </c>
      <c r="J2688" s="6">
        <v>2019.0</v>
      </c>
      <c r="K2688" s="6">
        <v>63.0</v>
      </c>
      <c r="L2688" s="6" t="s">
        <v>141</v>
      </c>
      <c r="M2688" s="6" t="s">
        <v>10788</v>
      </c>
      <c r="N2688" s="6" t="s">
        <v>43</v>
      </c>
      <c r="O2688" s="6" t="s">
        <v>25</v>
      </c>
      <c r="P2688" s="6">
        <f>COUNTIF(Analysis!$M$1:$M$3001,Analysis!$M2688)</f>
        <v>1</v>
      </c>
      <c r="Q2688" s="6" t="str">
        <f>IF(COUNTIF(Analysis!$M$2:$M$3001,Analysis!$M2688)&gt;1,"Duplicate","OK")</f>
        <v>OK</v>
      </c>
      <c r="R2688" s="6" t="str">
        <f t="shared" si="1"/>
        <v>2600-3600</v>
      </c>
      <c r="S2688" s="6">
        <f t="shared" si="2"/>
        <v>7</v>
      </c>
      <c r="T2688" s="6" t="str">
        <f t="shared" si="3"/>
        <v>New</v>
      </c>
    </row>
    <row r="2689" ht="14.25" customHeight="1">
      <c r="A2689" s="5">
        <v>1376960.0</v>
      </c>
      <c r="B2689" s="6" t="s">
        <v>10791</v>
      </c>
      <c r="C2689" s="6" t="s">
        <v>53</v>
      </c>
      <c r="D2689" s="6">
        <v>27723.0</v>
      </c>
      <c r="E2689" s="6" t="s">
        <v>30</v>
      </c>
      <c r="F2689" s="6" t="s">
        <v>54</v>
      </c>
      <c r="G2689" s="6" t="s">
        <v>55</v>
      </c>
      <c r="H2689" s="7">
        <v>2962.0</v>
      </c>
      <c r="I2689" s="7">
        <v>1933.0</v>
      </c>
      <c r="J2689" s="6">
        <v>1992.0</v>
      </c>
      <c r="K2689" s="6">
        <v>67.0</v>
      </c>
      <c r="L2689" s="6" t="s">
        <v>22</v>
      </c>
      <c r="M2689" s="6" t="s">
        <v>10792</v>
      </c>
      <c r="N2689" s="6" t="s">
        <v>48</v>
      </c>
      <c r="O2689" s="6" t="s">
        <v>25</v>
      </c>
      <c r="P2689" s="6">
        <f>COUNTIF(Analysis!$M$1:$M$3001,Analysis!$M2689)</f>
        <v>1</v>
      </c>
      <c r="Q2689" s="6" t="str">
        <f>IF(COUNTIF(Analysis!$M$2:$M$3001,Analysis!$M2689)&gt;1,"Duplicate","OK")</f>
        <v>OK</v>
      </c>
      <c r="R2689" s="6" t="str">
        <f t="shared" si="1"/>
        <v>2600-3600</v>
      </c>
      <c r="S2689" s="6">
        <f t="shared" si="2"/>
        <v>34</v>
      </c>
      <c r="T2689" s="6" t="str">
        <f t="shared" si="3"/>
        <v>Old</v>
      </c>
    </row>
    <row r="2690" ht="14.25" customHeight="1">
      <c r="A2690" s="5">
        <v>1382669.0</v>
      </c>
      <c r="B2690" s="6" t="s">
        <v>4587</v>
      </c>
      <c r="C2690" s="6" t="s">
        <v>29</v>
      </c>
      <c r="D2690" s="6">
        <v>79516.0</v>
      </c>
      <c r="E2690" s="6" t="s">
        <v>19</v>
      </c>
      <c r="F2690" s="6" t="s">
        <v>94</v>
      </c>
      <c r="G2690" s="6" t="s">
        <v>55</v>
      </c>
      <c r="H2690" s="7">
        <v>1312.0</v>
      </c>
      <c r="I2690" s="7">
        <v>5453.0</v>
      </c>
      <c r="J2690" s="6">
        <v>1973.0</v>
      </c>
      <c r="K2690" s="6">
        <v>54.0</v>
      </c>
      <c r="L2690" s="6" t="s">
        <v>95</v>
      </c>
      <c r="M2690" s="6" t="s">
        <v>4588</v>
      </c>
      <c r="N2690" s="6" t="s">
        <v>24</v>
      </c>
      <c r="O2690" s="6" t="s">
        <v>25</v>
      </c>
      <c r="P2690" s="6">
        <f>COUNTIF(Analysis!$M$1:$M$3001,Analysis!$M1137)</f>
        <v>1</v>
      </c>
      <c r="Q2690" s="6" t="str">
        <f>IF(COUNTIF(Analysis!$M$2:$M$3001,Analysis!$M1137)&gt;1,"Duplicate","OK")</f>
        <v>OK</v>
      </c>
      <c r="R2690" s="6" t="str">
        <f t="shared" si="1"/>
        <v>600-1600</v>
      </c>
      <c r="S2690" s="6">
        <f t="shared" si="2"/>
        <v>53</v>
      </c>
      <c r="T2690" s="6" t="str">
        <f t="shared" si="3"/>
        <v>Old</v>
      </c>
    </row>
    <row r="2691" ht="14.25" customHeight="1">
      <c r="A2691" s="5">
        <v>1484582.0</v>
      </c>
      <c r="B2691" s="6" t="s">
        <v>10799</v>
      </c>
      <c r="C2691" s="6" t="s">
        <v>76</v>
      </c>
      <c r="D2691" s="6">
        <v>57725.0</v>
      </c>
      <c r="E2691" s="6" t="s">
        <v>60</v>
      </c>
      <c r="F2691" s="6" t="s">
        <v>20</v>
      </c>
      <c r="G2691" s="6" t="s">
        <v>100</v>
      </c>
      <c r="H2691" s="7">
        <v>3429.0</v>
      </c>
      <c r="I2691" s="7">
        <v>9457.0</v>
      </c>
      <c r="J2691" s="6">
        <v>1984.0</v>
      </c>
      <c r="K2691" s="6">
        <v>14.0</v>
      </c>
      <c r="L2691" s="6" t="s">
        <v>22</v>
      </c>
      <c r="M2691" s="6" t="s">
        <v>10800</v>
      </c>
      <c r="N2691" s="6" t="s">
        <v>34</v>
      </c>
      <c r="O2691" s="6" t="s">
        <v>35</v>
      </c>
      <c r="P2691" s="6">
        <f>COUNTIF(Analysis!$M$1:$M$3001,Analysis!$M2691)</f>
        <v>1</v>
      </c>
      <c r="Q2691" s="6" t="str">
        <f>IF(COUNTIF(Analysis!$M$2:$M$3001,Analysis!$M2691)&gt;1,"Duplicate","OK")</f>
        <v>OK</v>
      </c>
      <c r="R2691" s="6" t="str">
        <f t="shared" si="1"/>
        <v>2600-3600</v>
      </c>
      <c r="S2691" s="6">
        <f t="shared" si="2"/>
        <v>42</v>
      </c>
      <c r="T2691" s="6" t="str">
        <f t="shared" si="3"/>
        <v>Old</v>
      </c>
    </row>
    <row r="2692" ht="14.25" customHeight="1">
      <c r="A2692" s="5">
        <v>552789.0</v>
      </c>
      <c r="B2692" s="6" t="s">
        <v>10803</v>
      </c>
      <c r="C2692" s="6" t="s">
        <v>18</v>
      </c>
      <c r="D2692" s="6">
        <v>74406.0</v>
      </c>
      <c r="E2692" s="6" t="s">
        <v>19</v>
      </c>
      <c r="F2692" s="6" t="s">
        <v>41</v>
      </c>
      <c r="G2692" s="6" t="s">
        <v>31</v>
      </c>
      <c r="H2692" s="7">
        <v>3838.0</v>
      </c>
      <c r="I2692" s="7">
        <v>6060.0</v>
      </c>
      <c r="J2692" s="6">
        <v>2018.0</v>
      </c>
      <c r="K2692" s="6">
        <v>56.0</v>
      </c>
      <c r="L2692" s="6" t="s">
        <v>22</v>
      </c>
      <c r="M2692" s="6" t="s">
        <v>10804</v>
      </c>
      <c r="N2692" s="6" t="s">
        <v>34</v>
      </c>
      <c r="O2692" s="6" t="s">
        <v>49</v>
      </c>
      <c r="P2692" s="6">
        <f>COUNTIF(Analysis!$M$1:$M$3001,Analysis!$M2692)</f>
        <v>1</v>
      </c>
      <c r="Q2692" s="6" t="str">
        <f>IF(COUNTIF(Analysis!$M$2:$M$3001,Analysis!$M2692)&gt;1,"Duplicate","OK")</f>
        <v>OK</v>
      </c>
      <c r="R2692" s="6" t="str">
        <f t="shared" si="1"/>
        <v>3600+</v>
      </c>
      <c r="S2692" s="6">
        <f t="shared" si="2"/>
        <v>8</v>
      </c>
      <c r="T2692" s="6" t="str">
        <f t="shared" si="3"/>
        <v>New</v>
      </c>
    </row>
    <row r="2693" ht="14.25" customHeight="1">
      <c r="A2693" s="5">
        <v>406699.0</v>
      </c>
      <c r="B2693" s="6" t="s">
        <v>10807</v>
      </c>
      <c r="C2693" s="6" t="s">
        <v>39</v>
      </c>
      <c r="D2693" s="6">
        <v>69180.0</v>
      </c>
      <c r="E2693" s="6" t="s">
        <v>40</v>
      </c>
      <c r="F2693" s="6" t="s">
        <v>46</v>
      </c>
      <c r="G2693" s="6" t="s">
        <v>55</v>
      </c>
      <c r="H2693" s="7">
        <v>871.0</v>
      </c>
      <c r="I2693" s="7">
        <v>8988.0</v>
      </c>
      <c r="J2693" s="6">
        <v>1951.0</v>
      </c>
      <c r="K2693" s="6">
        <v>11.0</v>
      </c>
      <c r="L2693" s="6" t="s">
        <v>141</v>
      </c>
      <c r="M2693" s="6" t="s">
        <v>10808</v>
      </c>
      <c r="N2693" s="6" t="s">
        <v>24</v>
      </c>
      <c r="O2693" s="6" t="s">
        <v>25</v>
      </c>
      <c r="P2693" s="6">
        <f>COUNTIF(Analysis!$M$1:$M$3001,Analysis!$M2693)</f>
        <v>1</v>
      </c>
      <c r="Q2693" s="6" t="str">
        <f>IF(COUNTIF(Analysis!$M$2:$M$3001,Analysis!$M2693)&gt;1,"Duplicate","OK")</f>
        <v>OK</v>
      </c>
      <c r="R2693" s="6" t="str">
        <f t="shared" si="1"/>
        <v>600-1600</v>
      </c>
      <c r="S2693" s="6">
        <f t="shared" si="2"/>
        <v>75</v>
      </c>
      <c r="T2693" s="6" t="str">
        <f t="shared" si="3"/>
        <v>Very Old</v>
      </c>
    </row>
    <row r="2694" ht="14.25" customHeight="1">
      <c r="A2694" s="5">
        <v>1383766.0</v>
      </c>
      <c r="B2694" s="6" t="s">
        <v>10163</v>
      </c>
      <c r="C2694" s="6" t="s">
        <v>29</v>
      </c>
      <c r="D2694" s="6">
        <v>54737.0</v>
      </c>
      <c r="E2694" s="6" t="s">
        <v>19</v>
      </c>
      <c r="F2694" s="6" t="s">
        <v>54</v>
      </c>
      <c r="G2694" s="6" t="s">
        <v>55</v>
      </c>
      <c r="H2694" s="7">
        <v>2472.0</v>
      </c>
      <c r="I2694" s="7">
        <v>9961.0</v>
      </c>
      <c r="J2694" s="6">
        <v>1997.0</v>
      </c>
      <c r="K2694" s="6">
        <v>53.0</v>
      </c>
      <c r="L2694" s="6" t="s">
        <v>22</v>
      </c>
      <c r="M2694" s="6" t="s">
        <v>10164</v>
      </c>
      <c r="N2694" s="6" t="s">
        <v>64</v>
      </c>
      <c r="O2694" s="6" t="s">
        <v>49</v>
      </c>
      <c r="P2694" s="6">
        <f>COUNTIF(Analysis!$M$1:$M$3001,Analysis!$M2532)</f>
        <v>1</v>
      </c>
      <c r="Q2694" s="6" t="str">
        <f>IF(COUNTIF(Analysis!$M$2:$M$3001,Analysis!$M2532)&gt;1,"Duplicate","OK")</f>
        <v>OK</v>
      </c>
      <c r="R2694" s="6" t="str">
        <f t="shared" si="1"/>
        <v>1600-2600</v>
      </c>
      <c r="S2694" s="6">
        <f t="shared" si="2"/>
        <v>29</v>
      </c>
      <c r="T2694" s="6" t="str">
        <f t="shared" si="3"/>
        <v>Mid</v>
      </c>
    </row>
    <row r="2695" ht="14.25" customHeight="1">
      <c r="A2695" s="5">
        <v>641930.0</v>
      </c>
      <c r="B2695" s="6" t="s">
        <v>10815</v>
      </c>
      <c r="C2695" s="6" t="s">
        <v>53</v>
      </c>
      <c r="D2695" s="6">
        <v>38615.0</v>
      </c>
      <c r="E2695" s="6" t="s">
        <v>60</v>
      </c>
      <c r="F2695" s="6" t="s">
        <v>41</v>
      </c>
      <c r="G2695" s="6" t="s">
        <v>21</v>
      </c>
      <c r="H2695" s="7">
        <v>2774.0</v>
      </c>
      <c r="I2695" s="7">
        <v>1509.0</v>
      </c>
      <c r="J2695" s="6">
        <v>1996.0</v>
      </c>
      <c r="K2695" s="6">
        <v>93.0</v>
      </c>
      <c r="L2695" s="6" t="s">
        <v>22</v>
      </c>
      <c r="M2695" s="6" t="s">
        <v>10816</v>
      </c>
      <c r="N2695" s="6" t="s">
        <v>34</v>
      </c>
      <c r="O2695" s="6" t="s">
        <v>25</v>
      </c>
      <c r="P2695" s="6">
        <f>COUNTIF(Analysis!$M$1:$M$3001,Analysis!$M2695)</f>
        <v>1</v>
      </c>
      <c r="Q2695" s="6" t="str">
        <f>IF(COUNTIF(Analysis!$M$2:$M$3001,Analysis!$M2695)&gt;1,"Duplicate","OK")</f>
        <v>OK</v>
      </c>
      <c r="R2695" s="6" t="str">
        <f t="shared" si="1"/>
        <v>2600-3600</v>
      </c>
      <c r="S2695" s="6">
        <f t="shared" si="2"/>
        <v>30</v>
      </c>
      <c r="T2695" s="6" t="str">
        <f t="shared" si="3"/>
        <v>Mid</v>
      </c>
    </row>
    <row r="2696" ht="14.25" customHeight="1">
      <c r="A2696" s="5">
        <v>388647.0</v>
      </c>
      <c r="B2696" s="6" t="s">
        <v>10819</v>
      </c>
      <c r="C2696" s="6" t="s">
        <v>76</v>
      </c>
      <c r="D2696" s="6">
        <v>84376.0</v>
      </c>
      <c r="E2696" s="6" t="s">
        <v>30</v>
      </c>
      <c r="F2696" s="6" t="s">
        <v>20</v>
      </c>
      <c r="G2696" s="6" t="s">
        <v>55</v>
      </c>
      <c r="H2696" s="7">
        <v>2768.0</v>
      </c>
      <c r="I2696" s="7">
        <v>7807.0</v>
      </c>
      <c r="J2696" s="6">
        <v>2009.0</v>
      </c>
      <c r="K2696" s="6">
        <v>59.0</v>
      </c>
      <c r="L2696" s="6" t="s">
        <v>62</v>
      </c>
      <c r="M2696" s="6" t="s">
        <v>10820</v>
      </c>
      <c r="N2696" s="6" t="s">
        <v>43</v>
      </c>
      <c r="O2696" s="6" t="s">
        <v>35</v>
      </c>
      <c r="P2696" s="6">
        <f>COUNTIF(Analysis!$M$1:$M$3001,Analysis!$M2696)</f>
        <v>1</v>
      </c>
      <c r="Q2696" s="6" t="str">
        <f>IF(COUNTIF(Analysis!$M$2:$M$3001,Analysis!$M2696)&gt;1,"Duplicate","OK")</f>
        <v>OK</v>
      </c>
      <c r="R2696" s="6" t="str">
        <f t="shared" si="1"/>
        <v>2600-3600</v>
      </c>
      <c r="S2696" s="6">
        <f t="shared" si="2"/>
        <v>17</v>
      </c>
      <c r="T2696" s="6" t="str">
        <f t="shared" si="3"/>
        <v>Mid</v>
      </c>
    </row>
    <row r="2697" ht="14.25" customHeight="1">
      <c r="A2697" s="5">
        <v>776027.0</v>
      </c>
      <c r="B2697" s="6" t="s">
        <v>10823</v>
      </c>
      <c r="C2697" s="6" t="s">
        <v>76</v>
      </c>
      <c r="D2697" s="6">
        <v>18384.0</v>
      </c>
      <c r="E2697" s="6" t="s">
        <v>40</v>
      </c>
      <c r="F2697" s="6" t="s">
        <v>41</v>
      </c>
      <c r="G2697" s="6" t="s">
        <v>100</v>
      </c>
      <c r="H2697" s="7">
        <v>3119.0</v>
      </c>
      <c r="I2697" s="7">
        <v>9710.0</v>
      </c>
      <c r="J2697" s="6">
        <v>1980.0</v>
      </c>
      <c r="K2697" s="6">
        <v>114.0</v>
      </c>
      <c r="L2697" s="6" t="s">
        <v>62</v>
      </c>
      <c r="M2697" s="6" t="s">
        <v>10824</v>
      </c>
      <c r="N2697" s="6" t="s">
        <v>34</v>
      </c>
      <c r="O2697" s="6" t="s">
        <v>25</v>
      </c>
      <c r="P2697" s="6">
        <f>COUNTIF(Analysis!$M$1:$M$3001,Analysis!$M2697)</f>
        <v>1</v>
      </c>
      <c r="Q2697" s="6" t="str">
        <f>IF(COUNTIF(Analysis!$M$2:$M$3001,Analysis!$M2697)&gt;1,"Duplicate","OK")</f>
        <v>OK</v>
      </c>
      <c r="R2697" s="6" t="str">
        <f t="shared" si="1"/>
        <v>2600-3600</v>
      </c>
      <c r="S2697" s="6">
        <f t="shared" si="2"/>
        <v>46</v>
      </c>
      <c r="T2697" s="6" t="str">
        <f t="shared" si="3"/>
        <v>Old</v>
      </c>
    </row>
    <row r="2698" ht="14.25" customHeight="1">
      <c r="A2698" s="5">
        <v>833490.0</v>
      </c>
      <c r="B2698" s="6" t="s">
        <v>10827</v>
      </c>
      <c r="C2698" s="6" t="s">
        <v>39</v>
      </c>
      <c r="D2698" s="6">
        <v>47481.0</v>
      </c>
      <c r="E2698" s="6" t="s">
        <v>19</v>
      </c>
      <c r="F2698" s="6" t="s">
        <v>61</v>
      </c>
      <c r="G2698" s="6" t="s">
        <v>31</v>
      </c>
      <c r="H2698" s="7">
        <v>2734.0</v>
      </c>
      <c r="I2698" s="7">
        <v>6166.0</v>
      </c>
      <c r="J2698" s="6">
        <v>1998.0</v>
      </c>
      <c r="K2698" s="6">
        <v>82.0</v>
      </c>
      <c r="L2698" s="6" t="s">
        <v>141</v>
      </c>
      <c r="M2698" s="6" t="s">
        <v>10828</v>
      </c>
      <c r="N2698" s="6" t="s">
        <v>34</v>
      </c>
      <c r="O2698" s="6" t="s">
        <v>49</v>
      </c>
      <c r="P2698" s="6">
        <f>COUNTIF(Analysis!$M$1:$M$3001,Analysis!$M2698)</f>
        <v>1</v>
      </c>
      <c r="Q2698" s="6" t="str">
        <f>IF(COUNTIF(Analysis!$M$2:$M$3001,Analysis!$M2698)&gt;1,"Duplicate","OK")</f>
        <v>OK</v>
      </c>
      <c r="R2698" s="6" t="str">
        <f t="shared" si="1"/>
        <v>2600-3600</v>
      </c>
      <c r="S2698" s="6">
        <f t="shared" si="2"/>
        <v>28</v>
      </c>
      <c r="T2698" s="6" t="str">
        <f t="shared" si="3"/>
        <v>Mid</v>
      </c>
    </row>
    <row r="2699" ht="14.25" customHeight="1">
      <c r="A2699" s="5">
        <v>333231.0</v>
      </c>
      <c r="B2699" s="6" t="s">
        <v>10831</v>
      </c>
      <c r="C2699" s="6" t="s">
        <v>76</v>
      </c>
      <c r="D2699" s="6">
        <v>55834.0</v>
      </c>
      <c r="E2699" s="6" t="s">
        <v>40</v>
      </c>
      <c r="F2699" s="6" t="s">
        <v>54</v>
      </c>
      <c r="G2699" s="6" t="s">
        <v>21</v>
      </c>
      <c r="H2699" s="7">
        <v>3703.0</v>
      </c>
      <c r="I2699" s="7">
        <v>9009.0</v>
      </c>
      <c r="J2699" s="6">
        <v>1989.0</v>
      </c>
      <c r="K2699" s="6">
        <v>38.0</v>
      </c>
      <c r="L2699" s="6" t="s">
        <v>62</v>
      </c>
      <c r="M2699" s="6" t="s">
        <v>10832</v>
      </c>
      <c r="N2699" s="6" t="s">
        <v>64</v>
      </c>
      <c r="O2699" s="6" t="s">
        <v>25</v>
      </c>
      <c r="P2699" s="6">
        <f>COUNTIF(Analysis!$M$1:$M$3001,Analysis!$M2699)</f>
        <v>1</v>
      </c>
      <c r="Q2699" s="6" t="str">
        <f>IF(COUNTIF(Analysis!$M$2:$M$3001,Analysis!$M2699)&gt;1,"Duplicate","OK")</f>
        <v>OK</v>
      </c>
      <c r="R2699" s="6" t="str">
        <f t="shared" si="1"/>
        <v>3600+</v>
      </c>
      <c r="S2699" s="6">
        <f t="shared" si="2"/>
        <v>37</v>
      </c>
      <c r="T2699" s="6" t="str">
        <f t="shared" si="3"/>
        <v>Old</v>
      </c>
    </row>
    <row r="2700" ht="14.25" customHeight="1">
      <c r="A2700" s="5">
        <v>225038.0</v>
      </c>
      <c r="B2700" s="6" t="s">
        <v>10835</v>
      </c>
      <c r="C2700" s="6" t="s">
        <v>76</v>
      </c>
      <c r="D2700" s="6">
        <v>50636.0</v>
      </c>
      <c r="E2700" s="6" t="s">
        <v>60</v>
      </c>
      <c r="F2700" s="6" t="s">
        <v>20</v>
      </c>
      <c r="G2700" s="6" t="s">
        <v>31</v>
      </c>
      <c r="H2700" s="7">
        <v>1191.0</v>
      </c>
      <c r="I2700" s="7">
        <v>3303.0</v>
      </c>
      <c r="J2700" s="6">
        <v>1964.0</v>
      </c>
      <c r="K2700" s="6">
        <v>62.0</v>
      </c>
      <c r="L2700" s="6" t="s">
        <v>62</v>
      </c>
      <c r="M2700" s="6" t="s">
        <v>10836</v>
      </c>
      <c r="N2700" s="6" t="s">
        <v>34</v>
      </c>
      <c r="O2700" s="6" t="s">
        <v>25</v>
      </c>
      <c r="P2700" s="6">
        <f>COUNTIF(Analysis!$M$1:$M$3001,Analysis!$M2700)</f>
        <v>1</v>
      </c>
      <c r="Q2700" s="6" t="str">
        <f>IF(COUNTIF(Analysis!$M$2:$M$3001,Analysis!$M2700)&gt;1,"Duplicate","OK")</f>
        <v>OK</v>
      </c>
      <c r="R2700" s="6" t="str">
        <f t="shared" si="1"/>
        <v>600-1600</v>
      </c>
      <c r="S2700" s="6">
        <f t="shared" si="2"/>
        <v>62</v>
      </c>
      <c r="T2700" s="6" t="str">
        <f t="shared" si="3"/>
        <v>Very Old</v>
      </c>
    </row>
    <row r="2701" ht="14.25" customHeight="1">
      <c r="A2701" s="5">
        <v>1383914.0</v>
      </c>
      <c r="B2701" s="6" t="s">
        <v>11047</v>
      </c>
      <c r="C2701" s="6" t="s">
        <v>29</v>
      </c>
      <c r="D2701" s="6">
        <v>23016.0</v>
      </c>
      <c r="E2701" s="6" t="s">
        <v>19</v>
      </c>
      <c r="F2701" s="6" t="s">
        <v>46</v>
      </c>
      <c r="G2701" s="6" t="s">
        <v>100</v>
      </c>
      <c r="H2701" s="7">
        <v>731.0</v>
      </c>
      <c r="I2701" s="7">
        <v>2456.0</v>
      </c>
      <c r="J2701" s="6">
        <v>1992.0</v>
      </c>
      <c r="K2701" s="6">
        <v>25.0</v>
      </c>
      <c r="L2701" s="6" t="s">
        <v>141</v>
      </c>
      <c r="M2701" s="6" t="s">
        <v>11048</v>
      </c>
      <c r="N2701" s="6" t="s">
        <v>43</v>
      </c>
      <c r="O2701" s="6" t="s">
        <v>49</v>
      </c>
      <c r="P2701" s="6">
        <f>COUNTIF(Analysis!$M$1:$M$3001,Analysis!$M2753)</f>
        <v>1</v>
      </c>
      <c r="Q2701" s="6" t="str">
        <f>IF(COUNTIF(Analysis!$M$2:$M$3001,Analysis!$M2753)&gt;1,"Duplicate","OK")</f>
        <v>OK</v>
      </c>
      <c r="R2701" s="6" t="str">
        <f t="shared" si="1"/>
        <v>600-1600</v>
      </c>
      <c r="S2701" s="6">
        <f t="shared" si="2"/>
        <v>34</v>
      </c>
      <c r="T2701" s="6" t="str">
        <f t="shared" si="3"/>
        <v>Old</v>
      </c>
    </row>
    <row r="2702" ht="14.25" customHeight="1">
      <c r="A2702" s="5">
        <v>1384056.0</v>
      </c>
      <c r="B2702" s="6" t="s">
        <v>7085</v>
      </c>
      <c r="C2702" s="6" t="s">
        <v>29</v>
      </c>
      <c r="D2702" s="6">
        <v>89688.0</v>
      </c>
      <c r="E2702" s="6" t="s">
        <v>19</v>
      </c>
      <c r="F2702" s="6" t="s">
        <v>20</v>
      </c>
      <c r="G2702" s="6" t="s">
        <v>31</v>
      </c>
      <c r="H2702" s="7">
        <v>1903.0</v>
      </c>
      <c r="I2702" s="7">
        <v>4803.0</v>
      </c>
      <c r="J2702" s="6">
        <v>1951.0</v>
      </c>
      <c r="K2702" s="6">
        <v>55.0</v>
      </c>
      <c r="L2702" s="6" t="s">
        <v>95</v>
      </c>
      <c r="M2702" s="6" t="s">
        <v>7086</v>
      </c>
      <c r="N2702" s="6" t="s">
        <v>48</v>
      </c>
      <c r="O2702" s="6" t="s">
        <v>49</v>
      </c>
      <c r="P2702" s="6">
        <f>COUNTIF(Analysis!$M$1:$M$3001,Analysis!$M1762)</f>
        <v>1</v>
      </c>
      <c r="Q2702" s="6" t="str">
        <f>IF(COUNTIF(Analysis!$M$2:$M$3001,Analysis!$M1762)&gt;1,"Duplicate","OK")</f>
        <v>OK</v>
      </c>
      <c r="R2702" s="6" t="str">
        <f t="shared" si="1"/>
        <v>1600-2600</v>
      </c>
      <c r="S2702" s="6">
        <f t="shared" si="2"/>
        <v>75</v>
      </c>
      <c r="T2702" s="6" t="str">
        <f t="shared" si="3"/>
        <v>Very Old</v>
      </c>
    </row>
    <row r="2703" ht="14.25" customHeight="1">
      <c r="A2703" s="5">
        <v>1363733.0</v>
      </c>
      <c r="B2703" s="6" t="s">
        <v>10847</v>
      </c>
      <c r="C2703" s="6" t="s">
        <v>39</v>
      </c>
      <c r="D2703" s="6">
        <v>93874.0</v>
      </c>
      <c r="E2703" s="6" t="s">
        <v>40</v>
      </c>
      <c r="F2703" s="6" t="s">
        <v>20</v>
      </c>
      <c r="G2703" s="6" t="s">
        <v>21</v>
      </c>
      <c r="H2703" s="7">
        <v>2960.0</v>
      </c>
      <c r="I2703" s="7">
        <v>3374.0</v>
      </c>
      <c r="J2703" s="6">
        <v>1983.0</v>
      </c>
      <c r="K2703" s="6">
        <v>9.0</v>
      </c>
      <c r="L2703" s="6" t="s">
        <v>32</v>
      </c>
      <c r="M2703" s="6" t="s">
        <v>10848</v>
      </c>
      <c r="N2703" s="6" t="s">
        <v>43</v>
      </c>
      <c r="O2703" s="6" t="s">
        <v>35</v>
      </c>
      <c r="P2703" s="6">
        <f>COUNTIF(Analysis!$M$1:$M$3001,Analysis!$M2703)</f>
        <v>1</v>
      </c>
      <c r="Q2703" s="6" t="str">
        <f>IF(COUNTIF(Analysis!$M$2:$M$3001,Analysis!$M2703)&gt;1,"Duplicate","OK")</f>
        <v>OK</v>
      </c>
      <c r="R2703" s="6" t="str">
        <f t="shared" si="1"/>
        <v>2600-3600</v>
      </c>
      <c r="S2703" s="6">
        <f t="shared" si="2"/>
        <v>43</v>
      </c>
      <c r="T2703" s="6" t="str">
        <f t="shared" si="3"/>
        <v>Old</v>
      </c>
    </row>
    <row r="2704" ht="14.25" customHeight="1">
      <c r="A2704" s="5">
        <v>1387365.0</v>
      </c>
      <c r="B2704" s="6" t="s">
        <v>7677</v>
      </c>
      <c r="C2704" s="6" t="s">
        <v>29</v>
      </c>
      <c r="D2704" s="6">
        <v>44922.0</v>
      </c>
      <c r="E2704" s="6" t="s">
        <v>77</v>
      </c>
      <c r="F2704" s="6" t="s">
        <v>41</v>
      </c>
      <c r="G2704" s="6" t="s">
        <v>100</v>
      </c>
      <c r="H2704" s="7">
        <v>1828.0</v>
      </c>
      <c r="I2704" s="7">
        <v>5916.0</v>
      </c>
      <c r="J2704" s="6">
        <v>1974.0</v>
      </c>
      <c r="K2704" s="6">
        <v>71.0</v>
      </c>
      <c r="L2704" s="6" t="s">
        <v>32</v>
      </c>
      <c r="M2704" s="6" t="s">
        <v>7678</v>
      </c>
      <c r="N2704" s="6" t="s">
        <v>34</v>
      </c>
      <c r="O2704" s="6" t="s">
        <v>49</v>
      </c>
      <c r="P2704" s="6">
        <f>COUNTIF(Analysis!$M$1:$M$3001,Analysis!$M1910)</f>
        <v>1</v>
      </c>
      <c r="Q2704" s="6" t="str">
        <f>IF(COUNTIF(Analysis!$M$2:$M$3001,Analysis!$M1910)&gt;1,"Duplicate","OK")</f>
        <v>OK</v>
      </c>
      <c r="R2704" s="6" t="str">
        <f t="shared" si="1"/>
        <v>1600-2600</v>
      </c>
      <c r="S2704" s="6">
        <f t="shared" si="2"/>
        <v>52</v>
      </c>
      <c r="T2704" s="6" t="str">
        <f t="shared" si="3"/>
        <v>Old</v>
      </c>
    </row>
    <row r="2705" ht="14.25" customHeight="1">
      <c r="A2705" s="5">
        <v>544557.0</v>
      </c>
      <c r="B2705" s="6" t="s">
        <v>10855</v>
      </c>
      <c r="C2705" s="6" t="s">
        <v>53</v>
      </c>
      <c r="D2705" s="6">
        <v>43095.0</v>
      </c>
      <c r="E2705" s="6" t="s">
        <v>19</v>
      </c>
      <c r="F2705" s="6" t="s">
        <v>54</v>
      </c>
      <c r="G2705" s="6" t="s">
        <v>100</v>
      </c>
      <c r="H2705" s="7">
        <v>3948.0</v>
      </c>
      <c r="I2705" s="7">
        <v>7934.0</v>
      </c>
      <c r="J2705" s="6">
        <v>1976.0</v>
      </c>
      <c r="K2705" s="6">
        <v>113.0</v>
      </c>
      <c r="L2705" s="6" t="s">
        <v>62</v>
      </c>
      <c r="M2705" s="6" t="s">
        <v>10856</v>
      </c>
      <c r="N2705" s="6" t="s">
        <v>48</v>
      </c>
      <c r="O2705" s="6" t="s">
        <v>35</v>
      </c>
      <c r="P2705" s="6">
        <f>COUNTIF(Analysis!$M$1:$M$3001,Analysis!$M2705)</f>
        <v>1</v>
      </c>
      <c r="Q2705" s="6" t="str">
        <f>IF(COUNTIF(Analysis!$M$2:$M$3001,Analysis!$M2705)&gt;1,"Duplicate","OK")</f>
        <v>OK</v>
      </c>
      <c r="R2705" s="6" t="str">
        <f t="shared" si="1"/>
        <v>3600+</v>
      </c>
      <c r="S2705" s="6">
        <f t="shared" si="2"/>
        <v>50</v>
      </c>
      <c r="T2705" s="6" t="str">
        <f t="shared" si="3"/>
        <v>Old</v>
      </c>
    </row>
    <row r="2706" ht="14.25" customHeight="1">
      <c r="A2706" s="5">
        <v>806408.0</v>
      </c>
      <c r="B2706" s="6" t="s">
        <v>10859</v>
      </c>
      <c r="C2706" s="6" t="s">
        <v>76</v>
      </c>
      <c r="D2706" s="6">
        <v>16179.0</v>
      </c>
      <c r="E2706" s="6" t="s">
        <v>30</v>
      </c>
      <c r="F2706" s="6" t="s">
        <v>61</v>
      </c>
      <c r="G2706" s="6" t="s">
        <v>21</v>
      </c>
      <c r="H2706" s="7">
        <v>2641.0</v>
      </c>
      <c r="I2706" s="7">
        <v>1819.0</v>
      </c>
      <c r="J2706" s="6">
        <v>1957.0</v>
      </c>
      <c r="K2706" s="6">
        <v>93.0</v>
      </c>
      <c r="L2706" s="6" t="s">
        <v>22</v>
      </c>
      <c r="M2706" s="6" t="s">
        <v>10860</v>
      </c>
      <c r="N2706" s="6" t="s">
        <v>64</v>
      </c>
      <c r="O2706" s="6" t="s">
        <v>35</v>
      </c>
      <c r="P2706" s="6">
        <f>COUNTIF(Analysis!$M$1:$M$3001,Analysis!$M2706)</f>
        <v>1</v>
      </c>
      <c r="Q2706" s="6" t="str">
        <f>IF(COUNTIF(Analysis!$M$2:$M$3001,Analysis!$M2706)&gt;1,"Duplicate","OK")</f>
        <v>OK</v>
      </c>
      <c r="R2706" s="6" t="str">
        <f t="shared" si="1"/>
        <v>2600-3600</v>
      </c>
      <c r="S2706" s="6">
        <f t="shared" si="2"/>
        <v>69</v>
      </c>
      <c r="T2706" s="6" t="str">
        <f t="shared" si="3"/>
        <v>Very Old</v>
      </c>
    </row>
    <row r="2707" ht="14.25" customHeight="1">
      <c r="A2707" s="5">
        <v>1389856.0</v>
      </c>
      <c r="B2707" s="6" t="s">
        <v>11023</v>
      </c>
      <c r="C2707" s="6" t="s">
        <v>29</v>
      </c>
      <c r="D2707" s="6">
        <v>57171.0</v>
      </c>
      <c r="E2707" s="6" t="s">
        <v>60</v>
      </c>
      <c r="F2707" s="6" t="s">
        <v>46</v>
      </c>
      <c r="G2707" s="6" t="s">
        <v>55</v>
      </c>
      <c r="H2707" s="7">
        <v>1057.0</v>
      </c>
      <c r="I2707" s="7">
        <v>7504.0</v>
      </c>
      <c r="J2707" s="6">
        <v>1967.0</v>
      </c>
      <c r="K2707" s="6">
        <v>14.0</v>
      </c>
      <c r="L2707" s="6" t="s">
        <v>141</v>
      </c>
      <c r="M2707" s="6" t="s">
        <v>11024</v>
      </c>
      <c r="N2707" s="6" t="s">
        <v>48</v>
      </c>
      <c r="O2707" s="6" t="s">
        <v>25</v>
      </c>
      <c r="P2707" s="6">
        <f>COUNTIF(Analysis!$M$1:$M$3001,Analysis!$M2747)</f>
        <v>1</v>
      </c>
      <c r="Q2707" s="6" t="str">
        <f>IF(COUNTIF(Analysis!$M$2:$M$3001,Analysis!$M2747)&gt;1,"Duplicate","OK")</f>
        <v>OK</v>
      </c>
      <c r="R2707" s="6" t="str">
        <f t="shared" si="1"/>
        <v>600-1600</v>
      </c>
      <c r="S2707" s="6">
        <f t="shared" si="2"/>
        <v>59</v>
      </c>
      <c r="T2707" s="6" t="str">
        <f t="shared" si="3"/>
        <v>Old</v>
      </c>
    </row>
    <row r="2708" ht="14.25" customHeight="1">
      <c r="A2708" s="5">
        <v>817524.0</v>
      </c>
      <c r="B2708" s="6" t="s">
        <v>10867</v>
      </c>
      <c r="C2708" s="6" t="s">
        <v>53</v>
      </c>
      <c r="D2708" s="6">
        <v>41408.0</v>
      </c>
      <c r="E2708" s="6" t="s">
        <v>19</v>
      </c>
      <c r="F2708" s="6" t="s">
        <v>54</v>
      </c>
      <c r="G2708" s="6" t="s">
        <v>21</v>
      </c>
      <c r="H2708" s="7">
        <v>1423.0</v>
      </c>
      <c r="I2708" s="7">
        <v>6959.0</v>
      </c>
      <c r="J2708" s="6">
        <v>1963.0</v>
      </c>
      <c r="K2708" s="6">
        <v>97.0</v>
      </c>
      <c r="L2708" s="6" t="s">
        <v>22</v>
      </c>
      <c r="M2708" s="6" t="s">
        <v>10868</v>
      </c>
      <c r="N2708" s="6" t="s">
        <v>34</v>
      </c>
      <c r="O2708" s="6" t="s">
        <v>25</v>
      </c>
      <c r="P2708" s="6">
        <f>COUNTIF(Analysis!$M$1:$M$3001,Analysis!$M2708)</f>
        <v>1</v>
      </c>
      <c r="Q2708" s="6" t="str">
        <f>IF(COUNTIF(Analysis!$M$2:$M$3001,Analysis!$M2708)&gt;1,"Duplicate","OK")</f>
        <v>OK</v>
      </c>
      <c r="R2708" s="6" t="str">
        <f t="shared" si="1"/>
        <v>600-1600</v>
      </c>
      <c r="S2708" s="6">
        <f t="shared" si="2"/>
        <v>63</v>
      </c>
      <c r="T2708" s="6" t="str">
        <f t="shared" si="3"/>
        <v>Very Old</v>
      </c>
    </row>
    <row r="2709" ht="14.25" customHeight="1">
      <c r="A2709" s="5">
        <v>938238.0</v>
      </c>
      <c r="B2709" s="6" t="s">
        <v>10871</v>
      </c>
      <c r="C2709" s="6" t="s">
        <v>53</v>
      </c>
      <c r="D2709" s="6">
        <v>76192.0</v>
      </c>
      <c r="E2709" s="6" t="s">
        <v>40</v>
      </c>
      <c r="F2709" s="6" t="s">
        <v>41</v>
      </c>
      <c r="G2709" s="6" t="s">
        <v>100</v>
      </c>
      <c r="H2709" s="7">
        <v>3696.0</v>
      </c>
      <c r="I2709" s="7">
        <v>8469.0</v>
      </c>
      <c r="J2709" s="6">
        <v>2002.0</v>
      </c>
      <c r="K2709" s="6">
        <v>45.0</v>
      </c>
      <c r="L2709" s="6" t="s">
        <v>95</v>
      </c>
      <c r="M2709" s="6" t="s">
        <v>10872</v>
      </c>
      <c r="N2709" s="6" t="s">
        <v>64</v>
      </c>
      <c r="O2709" s="6" t="s">
        <v>49</v>
      </c>
      <c r="P2709" s="6">
        <f>COUNTIF(Analysis!$M$1:$M$3001,Analysis!$M2709)</f>
        <v>1</v>
      </c>
      <c r="Q2709" s="6" t="str">
        <f>IF(COUNTIF(Analysis!$M$2:$M$3001,Analysis!$M2709)&gt;1,"Duplicate","OK")</f>
        <v>OK</v>
      </c>
      <c r="R2709" s="6" t="str">
        <f t="shared" si="1"/>
        <v>3600+</v>
      </c>
      <c r="S2709" s="6">
        <f t="shared" si="2"/>
        <v>24</v>
      </c>
      <c r="T2709" s="6" t="str">
        <f t="shared" si="3"/>
        <v>Mid</v>
      </c>
    </row>
    <row r="2710" ht="14.25" customHeight="1">
      <c r="A2710" s="5">
        <v>1390208.0</v>
      </c>
      <c r="B2710" s="6" t="s">
        <v>6917</v>
      </c>
      <c r="C2710" s="6" t="s">
        <v>29</v>
      </c>
      <c r="D2710" s="6">
        <v>84482.0</v>
      </c>
      <c r="E2710" s="6" t="s">
        <v>40</v>
      </c>
      <c r="F2710" s="6" t="s">
        <v>46</v>
      </c>
      <c r="G2710" s="6" t="s">
        <v>100</v>
      </c>
      <c r="H2710" s="7">
        <v>884.0</v>
      </c>
      <c r="I2710" s="7">
        <v>5210.0</v>
      </c>
      <c r="J2710" s="6">
        <v>2000.0</v>
      </c>
      <c r="K2710" s="6">
        <v>74.0</v>
      </c>
      <c r="L2710" s="6" t="s">
        <v>32</v>
      </c>
      <c r="M2710" s="6" t="s">
        <v>6918</v>
      </c>
      <c r="N2710" s="6" t="s">
        <v>24</v>
      </c>
      <c r="O2710" s="6" t="s">
        <v>35</v>
      </c>
      <c r="P2710" s="6">
        <f>COUNTIF(Analysis!$M$1:$M$3001,Analysis!$M1720)</f>
        <v>1</v>
      </c>
      <c r="Q2710" s="6" t="str">
        <f>IF(COUNTIF(Analysis!$M$2:$M$3001,Analysis!$M1720)&gt;1,"Duplicate","OK")</f>
        <v>OK</v>
      </c>
      <c r="R2710" s="6" t="str">
        <f t="shared" si="1"/>
        <v>600-1600</v>
      </c>
      <c r="S2710" s="6">
        <f t="shared" si="2"/>
        <v>26</v>
      </c>
      <c r="T2710" s="6" t="str">
        <f t="shared" si="3"/>
        <v>Mid</v>
      </c>
    </row>
    <row r="2711" ht="14.25" customHeight="1">
      <c r="A2711" s="5">
        <v>296545.0</v>
      </c>
      <c r="B2711" s="6" t="s">
        <v>10879</v>
      </c>
      <c r="C2711" s="6" t="s">
        <v>18</v>
      </c>
      <c r="D2711" s="6">
        <v>84340.0</v>
      </c>
      <c r="E2711" s="6" t="s">
        <v>77</v>
      </c>
      <c r="F2711" s="6" t="s">
        <v>94</v>
      </c>
      <c r="G2711" s="6" t="s">
        <v>21</v>
      </c>
      <c r="H2711" s="7">
        <v>2294.0</v>
      </c>
      <c r="I2711" s="7">
        <v>7350.0</v>
      </c>
      <c r="J2711" s="6">
        <v>1997.0</v>
      </c>
      <c r="K2711" s="6">
        <v>63.0</v>
      </c>
      <c r="L2711" s="6" t="s">
        <v>22</v>
      </c>
      <c r="M2711" s="6" t="s">
        <v>10880</v>
      </c>
      <c r="N2711" s="6" t="s">
        <v>64</v>
      </c>
      <c r="O2711" s="6" t="s">
        <v>49</v>
      </c>
      <c r="P2711" s="6">
        <f>COUNTIF(Analysis!$M$1:$M$3001,Analysis!$M2711)</f>
        <v>1</v>
      </c>
      <c r="Q2711" s="6" t="str">
        <f>IF(COUNTIF(Analysis!$M$2:$M$3001,Analysis!$M2711)&gt;1,"Duplicate","OK")</f>
        <v>OK</v>
      </c>
      <c r="R2711" s="6" t="str">
        <f t="shared" si="1"/>
        <v>1600-2600</v>
      </c>
      <c r="S2711" s="6">
        <f t="shared" si="2"/>
        <v>29</v>
      </c>
      <c r="T2711" s="6" t="str">
        <f t="shared" si="3"/>
        <v>Mid</v>
      </c>
    </row>
    <row r="2712" ht="14.25" customHeight="1">
      <c r="A2712" s="5">
        <v>1390353.0</v>
      </c>
      <c r="B2712" s="6" t="s">
        <v>4347</v>
      </c>
      <c r="C2712" s="6" t="s">
        <v>29</v>
      </c>
      <c r="D2712" s="6">
        <v>81291.0</v>
      </c>
      <c r="E2712" s="6" t="s">
        <v>30</v>
      </c>
      <c r="F2712" s="6" t="s">
        <v>46</v>
      </c>
      <c r="G2712" s="6" t="s">
        <v>21</v>
      </c>
      <c r="H2712" s="7">
        <v>2265.0</v>
      </c>
      <c r="I2712" s="7">
        <v>4858.0</v>
      </c>
      <c r="J2712" s="6">
        <v>2009.0</v>
      </c>
      <c r="K2712" s="6">
        <v>39.0</v>
      </c>
      <c r="L2712" s="6" t="s">
        <v>22</v>
      </c>
      <c r="M2712" s="6" t="s">
        <v>4348</v>
      </c>
      <c r="N2712" s="6" t="s">
        <v>24</v>
      </c>
      <c r="O2712" s="6" t="s">
        <v>49</v>
      </c>
      <c r="P2712" s="6">
        <f>COUNTIF(Analysis!$M$1:$M$3001,Analysis!$M1077)</f>
        <v>1</v>
      </c>
      <c r="Q2712" s="6" t="str">
        <f>IF(COUNTIF(Analysis!$M$2:$M$3001,Analysis!$M1077)&gt;1,"Duplicate","OK")</f>
        <v>OK</v>
      </c>
      <c r="R2712" s="6" t="str">
        <f t="shared" si="1"/>
        <v>1600-2600</v>
      </c>
      <c r="S2712" s="6">
        <f t="shared" si="2"/>
        <v>17</v>
      </c>
      <c r="T2712" s="6" t="str">
        <f t="shared" si="3"/>
        <v>Mid</v>
      </c>
    </row>
    <row r="2713" ht="14.25" customHeight="1">
      <c r="A2713" s="5">
        <v>244460.0</v>
      </c>
      <c r="B2713" s="6" t="s">
        <v>10887</v>
      </c>
      <c r="C2713" s="6" t="s">
        <v>18</v>
      </c>
      <c r="D2713" s="6">
        <v>24019.0</v>
      </c>
      <c r="E2713" s="6" t="s">
        <v>19</v>
      </c>
      <c r="F2713" s="6" t="s">
        <v>46</v>
      </c>
      <c r="G2713" s="6" t="s">
        <v>100</v>
      </c>
      <c r="H2713" s="7">
        <v>3492.0</v>
      </c>
      <c r="I2713" s="7">
        <v>5946.0</v>
      </c>
      <c r="J2713" s="6">
        <v>2013.0</v>
      </c>
      <c r="K2713" s="6">
        <v>95.0</v>
      </c>
      <c r="L2713" s="6" t="s">
        <v>22</v>
      </c>
      <c r="M2713" s="6" t="s">
        <v>10888</v>
      </c>
      <c r="N2713" s="6" t="s">
        <v>43</v>
      </c>
      <c r="O2713" s="6" t="s">
        <v>25</v>
      </c>
      <c r="P2713" s="6">
        <f>COUNTIF(Analysis!$M$1:$M$3001,Analysis!$M2713)</f>
        <v>1</v>
      </c>
      <c r="Q2713" s="6" t="str">
        <f>IF(COUNTIF(Analysis!$M$2:$M$3001,Analysis!$M2713)&gt;1,"Duplicate","OK")</f>
        <v>OK</v>
      </c>
      <c r="R2713" s="6" t="str">
        <f t="shared" si="1"/>
        <v>2600-3600</v>
      </c>
      <c r="S2713" s="6">
        <f t="shared" si="2"/>
        <v>13</v>
      </c>
      <c r="T2713" s="6" t="str">
        <f t="shared" si="3"/>
        <v>Mid</v>
      </c>
    </row>
    <row r="2714" ht="14.25" customHeight="1">
      <c r="A2714" s="5">
        <v>1252831.0</v>
      </c>
      <c r="B2714" s="6" t="s">
        <v>10891</v>
      </c>
      <c r="C2714" s="6" t="s">
        <v>53</v>
      </c>
      <c r="D2714" s="6">
        <v>98287.0</v>
      </c>
      <c r="E2714" s="6" t="s">
        <v>40</v>
      </c>
      <c r="F2714" s="6" t="s">
        <v>41</v>
      </c>
      <c r="G2714" s="6" t="s">
        <v>55</v>
      </c>
      <c r="H2714" s="7">
        <v>1145.0</v>
      </c>
      <c r="I2714" s="7">
        <v>3277.0</v>
      </c>
      <c r="J2714" s="6">
        <v>1965.0</v>
      </c>
      <c r="K2714" s="6">
        <v>20.0</v>
      </c>
      <c r="L2714" s="6" t="s">
        <v>22</v>
      </c>
      <c r="M2714" s="6" t="s">
        <v>10892</v>
      </c>
      <c r="N2714" s="6" t="s">
        <v>24</v>
      </c>
      <c r="O2714" s="6" t="s">
        <v>35</v>
      </c>
      <c r="P2714" s="6">
        <f>COUNTIF(Analysis!$M$1:$M$3001,Analysis!$M2714)</f>
        <v>1</v>
      </c>
      <c r="Q2714" s="6" t="str">
        <f>IF(COUNTIF(Analysis!$M$2:$M$3001,Analysis!$M2714)&gt;1,"Duplicate","OK")</f>
        <v>OK</v>
      </c>
      <c r="R2714" s="6" t="str">
        <f t="shared" si="1"/>
        <v>600-1600</v>
      </c>
      <c r="S2714" s="6">
        <f t="shared" si="2"/>
        <v>61</v>
      </c>
      <c r="T2714" s="6" t="str">
        <f t="shared" si="3"/>
        <v>Very Old</v>
      </c>
    </row>
    <row r="2715" ht="14.25" customHeight="1">
      <c r="A2715" s="5">
        <v>382125.0</v>
      </c>
      <c r="B2715" s="6" t="s">
        <v>10895</v>
      </c>
      <c r="C2715" s="6" t="s">
        <v>18</v>
      </c>
      <c r="D2715" s="6">
        <v>95381.0</v>
      </c>
      <c r="E2715" s="6" t="s">
        <v>77</v>
      </c>
      <c r="F2715" s="6" t="s">
        <v>61</v>
      </c>
      <c r="G2715" s="6" t="s">
        <v>31</v>
      </c>
      <c r="H2715" s="7">
        <v>3522.0</v>
      </c>
      <c r="I2715" s="7">
        <v>3877.0</v>
      </c>
      <c r="J2715" s="6">
        <v>1966.0</v>
      </c>
      <c r="K2715" s="6">
        <v>80.0</v>
      </c>
      <c r="L2715" s="6" t="s">
        <v>62</v>
      </c>
      <c r="M2715" s="6" t="s">
        <v>10896</v>
      </c>
      <c r="N2715" s="6" t="s">
        <v>64</v>
      </c>
      <c r="O2715" s="6" t="s">
        <v>35</v>
      </c>
      <c r="P2715" s="6">
        <f>COUNTIF(Analysis!$M$1:$M$3001,Analysis!$M2715)</f>
        <v>1</v>
      </c>
      <c r="Q2715" s="6" t="str">
        <f>IF(COUNTIF(Analysis!$M$2:$M$3001,Analysis!$M2715)&gt;1,"Duplicate","OK")</f>
        <v>OK</v>
      </c>
      <c r="R2715" s="6" t="str">
        <f t="shared" si="1"/>
        <v>2600-3600</v>
      </c>
      <c r="S2715" s="6">
        <f t="shared" si="2"/>
        <v>60</v>
      </c>
      <c r="T2715" s="6" t="str">
        <f t="shared" si="3"/>
        <v>Old</v>
      </c>
    </row>
    <row r="2716" ht="14.25" customHeight="1">
      <c r="A2716" s="5">
        <v>324306.0</v>
      </c>
      <c r="B2716" s="6" t="s">
        <v>10899</v>
      </c>
      <c r="C2716" s="6" t="s">
        <v>39</v>
      </c>
      <c r="D2716" s="6">
        <v>67024.0</v>
      </c>
      <c r="E2716" s="6" t="s">
        <v>30</v>
      </c>
      <c r="F2716" s="6" t="s">
        <v>46</v>
      </c>
      <c r="G2716" s="6" t="s">
        <v>21</v>
      </c>
      <c r="H2716" s="7">
        <v>3732.0</v>
      </c>
      <c r="I2716" s="7">
        <v>2633.0</v>
      </c>
      <c r="J2716" s="6">
        <v>1995.0</v>
      </c>
      <c r="K2716" s="6">
        <v>50.0</v>
      </c>
      <c r="L2716" s="6" t="s">
        <v>95</v>
      </c>
      <c r="M2716" s="6" t="s">
        <v>10900</v>
      </c>
      <c r="N2716" s="6" t="s">
        <v>43</v>
      </c>
      <c r="O2716" s="6" t="s">
        <v>35</v>
      </c>
      <c r="P2716" s="6">
        <f>COUNTIF(Analysis!$M$1:$M$3001,Analysis!$M2716)</f>
        <v>1</v>
      </c>
      <c r="Q2716" s="6" t="str">
        <f>IF(COUNTIF(Analysis!$M$2:$M$3001,Analysis!$M2716)&gt;1,"Duplicate","OK")</f>
        <v>OK</v>
      </c>
      <c r="R2716" s="6" t="str">
        <f t="shared" si="1"/>
        <v>3600+</v>
      </c>
      <c r="S2716" s="6">
        <f t="shared" si="2"/>
        <v>31</v>
      </c>
      <c r="T2716" s="6" t="str">
        <f t="shared" si="3"/>
        <v>Old</v>
      </c>
    </row>
    <row r="2717" ht="14.25" customHeight="1">
      <c r="A2717" s="5">
        <v>1394784.0</v>
      </c>
      <c r="B2717" s="6" t="s">
        <v>4799</v>
      </c>
      <c r="C2717" s="6" t="s">
        <v>29</v>
      </c>
      <c r="D2717" s="6">
        <v>85937.0</v>
      </c>
      <c r="E2717" s="6" t="s">
        <v>77</v>
      </c>
      <c r="F2717" s="6" t="s">
        <v>94</v>
      </c>
      <c r="G2717" s="6" t="s">
        <v>21</v>
      </c>
      <c r="H2717" s="7">
        <v>724.0</v>
      </c>
      <c r="I2717" s="7">
        <v>1505.0</v>
      </c>
      <c r="J2717" s="6">
        <v>1977.0</v>
      </c>
      <c r="K2717" s="6">
        <v>94.0</v>
      </c>
      <c r="L2717" s="6" t="s">
        <v>141</v>
      </c>
      <c r="M2717" s="6" t="s">
        <v>4800</v>
      </c>
      <c r="N2717" s="6" t="s">
        <v>43</v>
      </c>
      <c r="O2717" s="6" t="s">
        <v>35</v>
      </c>
      <c r="P2717" s="6">
        <f>COUNTIF(Analysis!$M$1:$M$3001,Analysis!$M1190)</f>
        <v>1</v>
      </c>
      <c r="Q2717" s="6" t="str">
        <f>IF(COUNTIF(Analysis!$M$2:$M$3001,Analysis!$M1190)&gt;1,"Duplicate","OK")</f>
        <v>OK</v>
      </c>
      <c r="R2717" s="6" t="str">
        <f t="shared" si="1"/>
        <v>600-1600</v>
      </c>
      <c r="S2717" s="6">
        <f t="shared" si="2"/>
        <v>49</v>
      </c>
      <c r="T2717" s="6" t="str">
        <f t="shared" si="3"/>
        <v>Old</v>
      </c>
    </row>
    <row r="2718" ht="14.25" customHeight="1">
      <c r="A2718" s="5">
        <v>1196873.0</v>
      </c>
      <c r="B2718" s="6" t="s">
        <v>10907</v>
      </c>
      <c r="C2718" s="6" t="s">
        <v>76</v>
      </c>
      <c r="D2718" s="6">
        <v>81044.0</v>
      </c>
      <c r="E2718" s="6" t="s">
        <v>60</v>
      </c>
      <c r="F2718" s="6" t="s">
        <v>41</v>
      </c>
      <c r="G2718" s="6" t="s">
        <v>31</v>
      </c>
      <c r="H2718" s="7">
        <v>2509.0</v>
      </c>
      <c r="I2718" s="7">
        <v>8388.0</v>
      </c>
      <c r="J2718" s="6">
        <v>1978.0</v>
      </c>
      <c r="K2718" s="6">
        <v>95.0</v>
      </c>
      <c r="L2718" s="6" t="s">
        <v>141</v>
      </c>
      <c r="M2718" s="6" t="s">
        <v>10908</v>
      </c>
      <c r="N2718" s="6" t="s">
        <v>34</v>
      </c>
      <c r="O2718" s="6" t="s">
        <v>49</v>
      </c>
      <c r="P2718" s="6">
        <f>COUNTIF(Analysis!$M$1:$M$3001,Analysis!$M2718)</f>
        <v>1</v>
      </c>
      <c r="Q2718" s="6" t="str">
        <f>IF(COUNTIF(Analysis!$M$2:$M$3001,Analysis!$M2718)&gt;1,"Duplicate","OK")</f>
        <v>OK</v>
      </c>
      <c r="R2718" s="6" t="str">
        <f t="shared" si="1"/>
        <v>1600-2600</v>
      </c>
      <c r="S2718" s="6">
        <f t="shared" si="2"/>
        <v>48</v>
      </c>
      <c r="T2718" s="6" t="str">
        <f t="shared" si="3"/>
        <v>Old</v>
      </c>
    </row>
    <row r="2719" ht="14.25" customHeight="1">
      <c r="A2719" s="5">
        <v>299990.0</v>
      </c>
      <c r="B2719" s="6" t="s">
        <v>10911</v>
      </c>
      <c r="C2719" s="6" t="s">
        <v>53</v>
      </c>
      <c r="D2719" s="6">
        <v>19164.0</v>
      </c>
      <c r="E2719" s="6" t="s">
        <v>77</v>
      </c>
      <c r="F2719" s="6" t="s">
        <v>94</v>
      </c>
      <c r="G2719" s="6" t="s">
        <v>21</v>
      </c>
      <c r="H2719" s="7">
        <v>3886.0</v>
      </c>
      <c r="I2719" s="7">
        <v>6631.0</v>
      </c>
      <c r="J2719" s="6">
        <v>1956.0</v>
      </c>
      <c r="K2719" s="6">
        <v>82.0</v>
      </c>
      <c r="L2719" s="6" t="s">
        <v>32</v>
      </c>
      <c r="M2719" s="6" t="s">
        <v>10912</v>
      </c>
      <c r="N2719" s="6" t="s">
        <v>64</v>
      </c>
      <c r="O2719" s="6" t="s">
        <v>25</v>
      </c>
      <c r="P2719" s="6">
        <f>COUNTIF(Analysis!$M$1:$M$3001,Analysis!$M2719)</f>
        <v>1</v>
      </c>
      <c r="Q2719" s="6" t="str">
        <f>IF(COUNTIF(Analysis!$M$2:$M$3001,Analysis!$M2719)&gt;1,"Duplicate","OK")</f>
        <v>OK</v>
      </c>
      <c r="R2719" s="6" t="str">
        <f t="shared" si="1"/>
        <v>3600+</v>
      </c>
      <c r="S2719" s="6">
        <f t="shared" si="2"/>
        <v>70</v>
      </c>
      <c r="T2719" s="6" t="str">
        <f t="shared" si="3"/>
        <v>Very Old</v>
      </c>
    </row>
    <row r="2720" ht="14.25" customHeight="1">
      <c r="A2720" s="5">
        <v>1396414.0</v>
      </c>
      <c r="B2720" s="6" t="s">
        <v>2260</v>
      </c>
      <c r="C2720" s="6" t="s">
        <v>29</v>
      </c>
      <c r="D2720" s="6">
        <v>65847.0</v>
      </c>
      <c r="E2720" s="6" t="s">
        <v>30</v>
      </c>
      <c r="F2720" s="6" t="s">
        <v>61</v>
      </c>
      <c r="G2720" s="6" t="s">
        <v>100</v>
      </c>
      <c r="H2720" s="7">
        <v>862.0</v>
      </c>
      <c r="I2720" s="7">
        <v>4199.0</v>
      </c>
      <c r="J2720" s="6">
        <v>1968.0</v>
      </c>
      <c r="K2720" s="6">
        <v>41.0</v>
      </c>
      <c r="L2720" s="6" t="s">
        <v>62</v>
      </c>
      <c r="M2720" s="6" t="s">
        <v>2261</v>
      </c>
      <c r="N2720" s="6" t="s">
        <v>48</v>
      </c>
      <c r="O2720" s="6" t="s">
        <v>49</v>
      </c>
      <c r="P2720" s="6">
        <f>COUNTIF(Analysis!$M$1:$M$3001,Analysis!$M555)</f>
        <v>1</v>
      </c>
      <c r="Q2720" s="6" t="str">
        <f>IF(COUNTIF(Analysis!$M$2:$M$3001,Analysis!$M555)&gt;1,"Duplicate","OK")</f>
        <v>OK</v>
      </c>
      <c r="R2720" s="6" t="str">
        <f t="shared" si="1"/>
        <v>600-1600</v>
      </c>
      <c r="S2720" s="6">
        <f t="shared" si="2"/>
        <v>58</v>
      </c>
      <c r="T2720" s="6" t="str">
        <f t="shared" si="3"/>
        <v>Old</v>
      </c>
    </row>
    <row r="2721" ht="14.25" customHeight="1">
      <c r="A2721" s="5">
        <v>725164.0</v>
      </c>
      <c r="B2721" s="6" t="s">
        <v>10919</v>
      </c>
      <c r="C2721" s="6" t="s">
        <v>39</v>
      </c>
      <c r="D2721" s="6">
        <v>67076.0</v>
      </c>
      <c r="E2721" s="6" t="s">
        <v>60</v>
      </c>
      <c r="F2721" s="6" t="s">
        <v>41</v>
      </c>
      <c r="G2721" s="6" t="s">
        <v>21</v>
      </c>
      <c r="H2721" s="7">
        <v>1194.0</v>
      </c>
      <c r="I2721" s="7">
        <v>4600.0</v>
      </c>
      <c r="J2721" s="6">
        <v>2002.0</v>
      </c>
      <c r="K2721" s="6">
        <v>80.0</v>
      </c>
      <c r="L2721" s="6" t="s">
        <v>22</v>
      </c>
      <c r="M2721" s="6" t="s">
        <v>10920</v>
      </c>
      <c r="N2721" s="6" t="s">
        <v>64</v>
      </c>
      <c r="O2721" s="6" t="s">
        <v>49</v>
      </c>
      <c r="P2721" s="6">
        <f>COUNTIF(Analysis!$M$1:$M$3001,Analysis!$M2721)</f>
        <v>1</v>
      </c>
      <c r="Q2721" s="6" t="str">
        <f>IF(COUNTIF(Analysis!$M$2:$M$3001,Analysis!$M2721)&gt;1,"Duplicate","OK")</f>
        <v>OK</v>
      </c>
      <c r="R2721" s="6" t="str">
        <f t="shared" si="1"/>
        <v>600-1600</v>
      </c>
      <c r="S2721" s="6">
        <f t="shared" si="2"/>
        <v>24</v>
      </c>
      <c r="T2721" s="6" t="str">
        <f t="shared" si="3"/>
        <v>Mid</v>
      </c>
    </row>
    <row r="2722" ht="14.25" customHeight="1">
      <c r="A2722" s="5">
        <v>372641.0</v>
      </c>
      <c r="B2722" s="6" t="s">
        <v>10923</v>
      </c>
      <c r="C2722" s="6" t="s">
        <v>18</v>
      </c>
      <c r="D2722" s="6">
        <v>18270.0</v>
      </c>
      <c r="E2722" s="6" t="s">
        <v>40</v>
      </c>
      <c r="F2722" s="6" t="s">
        <v>54</v>
      </c>
      <c r="G2722" s="6" t="s">
        <v>21</v>
      </c>
      <c r="H2722" s="7">
        <v>3803.0</v>
      </c>
      <c r="I2722" s="7">
        <v>2400.0</v>
      </c>
      <c r="J2722" s="6">
        <v>1961.0</v>
      </c>
      <c r="K2722" s="6">
        <v>80.0</v>
      </c>
      <c r="L2722" s="6" t="s">
        <v>95</v>
      </c>
      <c r="M2722" s="6" t="s">
        <v>10924</v>
      </c>
      <c r="N2722" s="6" t="s">
        <v>64</v>
      </c>
      <c r="O2722" s="6" t="s">
        <v>49</v>
      </c>
      <c r="P2722" s="6">
        <f>COUNTIF(Analysis!$M$1:$M$3001,Analysis!$M2722)</f>
        <v>1</v>
      </c>
      <c r="Q2722" s="6" t="str">
        <f>IF(COUNTIF(Analysis!$M$2:$M$3001,Analysis!$M2722)&gt;1,"Duplicate","OK")</f>
        <v>OK</v>
      </c>
      <c r="R2722" s="6" t="str">
        <f t="shared" si="1"/>
        <v>3600+</v>
      </c>
      <c r="S2722" s="6">
        <f t="shared" si="2"/>
        <v>65</v>
      </c>
      <c r="T2722" s="6" t="str">
        <f t="shared" si="3"/>
        <v>Very Old</v>
      </c>
    </row>
    <row r="2723" ht="14.25" customHeight="1">
      <c r="A2723" s="5">
        <v>1333747.0</v>
      </c>
      <c r="B2723" s="6" t="s">
        <v>10927</v>
      </c>
      <c r="C2723" s="6" t="s">
        <v>39</v>
      </c>
      <c r="D2723" s="6">
        <v>48621.0</v>
      </c>
      <c r="E2723" s="6" t="s">
        <v>40</v>
      </c>
      <c r="F2723" s="6" t="s">
        <v>41</v>
      </c>
      <c r="G2723" s="6" t="s">
        <v>21</v>
      </c>
      <c r="H2723" s="7">
        <v>1457.0</v>
      </c>
      <c r="I2723" s="7">
        <v>8827.0</v>
      </c>
      <c r="J2723" s="6">
        <v>2021.0</v>
      </c>
      <c r="K2723" s="6">
        <v>100.0</v>
      </c>
      <c r="L2723" s="6" t="s">
        <v>22</v>
      </c>
      <c r="M2723" s="6" t="s">
        <v>10928</v>
      </c>
      <c r="N2723" s="6" t="s">
        <v>43</v>
      </c>
      <c r="O2723" s="6" t="s">
        <v>25</v>
      </c>
      <c r="P2723" s="6">
        <f>COUNTIF(Analysis!$M$1:$M$3001,Analysis!$M2723)</f>
        <v>1</v>
      </c>
      <c r="Q2723" s="6" t="str">
        <f>IF(COUNTIF(Analysis!$M$2:$M$3001,Analysis!$M2723)&gt;1,"Duplicate","OK")</f>
        <v>OK</v>
      </c>
      <c r="R2723" s="6" t="str">
        <f t="shared" si="1"/>
        <v>600-1600</v>
      </c>
      <c r="S2723" s="6">
        <f t="shared" si="2"/>
        <v>5</v>
      </c>
      <c r="T2723" s="6" t="str">
        <f t="shared" si="3"/>
        <v>New</v>
      </c>
    </row>
    <row r="2724" ht="14.25" customHeight="1">
      <c r="A2724" s="5">
        <v>268166.0</v>
      </c>
      <c r="B2724" s="6" t="s">
        <v>10931</v>
      </c>
      <c r="C2724" s="6" t="s">
        <v>18</v>
      </c>
      <c r="D2724" s="6">
        <v>34479.0</v>
      </c>
      <c r="E2724" s="6" t="s">
        <v>40</v>
      </c>
      <c r="F2724" s="6" t="s">
        <v>46</v>
      </c>
      <c r="G2724" s="6" t="s">
        <v>100</v>
      </c>
      <c r="H2724" s="7">
        <v>3301.0</v>
      </c>
      <c r="I2724" s="7">
        <v>1765.0</v>
      </c>
      <c r="J2724" s="6">
        <v>1982.0</v>
      </c>
      <c r="K2724" s="6">
        <v>10.0</v>
      </c>
      <c r="L2724" s="6" t="s">
        <v>95</v>
      </c>
      <c r="M2724" s="6" t="s">
        <v>10932</v>
      </c>
      <c r="N2724" s="6" t="s">
        <v>24</v>
      </c>
      <c r="O2724" s="6" t="s">
        <v>25</v>
      </c>
      <c r="P2724" s="6">
        <f>COUNTIF(Analysis!$M$1:$M$3001,Analysis!$M2724)</f>
        <v>1</v>
      </c>
      <c r="Q2724" s="6" t="str">
        <f>IF(COUNTIF(Analysis!$M$2:$M$3001,Analysis!$M2724)&gt;1,"Duplicate","OK")</f>
        <v>OK</v>
      </c>
      <c r="R2724" s="6" t="str">
        <f t="shared" si="1"/>
        <v>2600-3600</v>
      </c>
      <c r="S2724" s="6">
        <f t="shared" si="2"/>
        <v>44</v>
      </c>
      <c r="T2724" s="6" t="str">
        <f t="shared" si="3"/>
        <v>Old</v>
      </c>
    </row>
    <row r="2725" ht="14.25" customHeight="1">
      <c r="A2725" s="5">
        <v>1399032.0</v>
      </c>
      <c r="B2725" s="6" t="s">
        <v>1545</v>
      </c>
      <c r="C2725" s="6" t="s">
        <v>29</v>
      </c>
      <c r="D2725" s="6">
        <v>19237.0</v>
      </c>
      <c r="E2725" s="6" t="s">
        <v>30</v>
      </c>
      <c r="F2725" s="6" t="s">
        <v>94</v>
      </c>
      <c r="G2725" s="6" t="s">
        <v>21</v>
      </c>
      <c r="H2725" s="7">
        <v>1641.0</v>
      </c>
      <c r="I2725" s="7">
        <v>4515.0</v>
      </c>
      <c r="J2725" s="6">
        <v>2020.0</v>
      </c>
      <c r="K2725" s="6">
        <v>52.0</v>
      </c>
      <c r="L2725" s="6" t="s">
        <v>32</v>
      </c>
      <c r="M2725" s="6" t="s">
        <v>1546</v>
      </c>
      <c r="N2725" s="6" t="s">
        <v>48</v>
      </c>
      <c r="O2725" s="6" t="s">
        <v>25</v>
      </c>
      <c r="P2725" s="6">
        <f>COUNTIF(Analysis!$M$1:$M$3001,Analysis!$M376)</f>
        <v>1</v>
      </c>
      <c r="Q2725" s="6" t="str">
        <f>IF(COUNTIF(Analysis!$M$2:$M$3001,Analysis!$M376)&gt;1,"Duplicate","OK")</f>
        <v>OK</v>
      </c>
      <c r="R2725" s="6" t="str">
        <f t="shared" si="1"/>
        <v>1600-2600</v>
      </c>
      <c r="S2725" s="6">
        <f t="shared" si="2"/>
        <v>6</v>
      </c>
      <c r="T2725" s="6" t="str">
        <f t="shared" si="3"/>
        <v>New</v>
      </c>
    </row>
    <row r="2726" ht="14.25" customHeight="1">
      <c r="A2726" s="5">
        <v>1305797.0</v>
      </c>
      <c r="B2726" s="6" t="s">
        <v>10939</v>
      </c>
      <c r="C2726" s="6" t="s">
        <v>39</v>
      </c>
      <c r="D2726" s="6">
        <v>47603.0</v>
      </c>
      <c r="E2726" s="6" t="s">
        <v>40</v>
      </c>
      <c r="F2726" s="6" t="s">
        <v>61</v>
      </c>
      <c r="G2726" s="6" t="s">
        <v>55</v>
      </c>
      <c r="H2726" s="7">
        <v>2756.0</v>
      </c>
      <c r="I2726" s="7">
        <v>4120.0</v>
      </c>
      <c r="J2726" s="6">
        <v>1950.0</v>
      </c>
      <c r="K2726" s="6">
        <v>113.0</v>
      </c>
      <c r="L2726" s="6" t="s">
        <v>32</v>
      </c>
      <c r="M2726" s="6" t="s">
        <v>10940</v>
      </c>
      <c r="N2726" s="6" t="s">
        <v>64</v>
      </c>
      <c r="O2726" s="6" t="s">
        <v>35</v>
      </c>
      <c r="P2726" s="6">
        <f>COUNTIF(Analysis!$M$1:$M$3001,Analysis!$M2726)</f>
        <v>1</v>
      </c>
      <c r="Q2726" s="6" t="str">
        <f>IF(COUNTIF(Analysis!$M$2:$M$3001,Analysis!$M2726)&gt;1,"Duplicate","OK")</f>
        <v>OK</v>
      </c>
      <c r="R2726" s="6" t="str">
        <f t="shared" si="1"/>
        <v>2600-3600</v>
      </c>
      <c r="S2726" s="6">
        <f t="shared" si="2"/>
        <v>76</v>
      </c>
      <c r="T2726" s="6" t="str">
        <f t="shared" si="3"/>
        <v>Very Old</v>
      </c>
    </row>
    <row r="2727" ht="14.25" customHeight="1">
      <c r="A2727" s="5">
        <v>395512.0</v>
      </c>
      <c r="B2727" s="6" t="s">
        <v>10943</v>
      </c>
      <c r="C2727" s="6" t="s">
        <v>76</v>
      </c>
      <c r="D2727" s="6">
        <v>35848.0</v>
      </c>
      <c r="E2727" s="6" t="s">
        <v>77</v>
      </c>
      <c r="F2727" s="6" t="s">
        <v>94</v>
      </c>
      <c r="G2727" s="6" t="s">
        <v>21</v>
      </c>
      <c r="H2727" s="7">
        <v>837.0</v>
      </c>
      <c r="I2727" s="7">
        <v>7562.0</v>
      </c>
      <c r="J2727" s="6">
        <v>1981.0</v>
      </c>
      <c r="K2727" s="6">
        <v>51.0</v>
      </c>
      <c r="L2727" s="6" t="s">
        <v>95</v>
      </c>
      <c r="M2727" s="6" t="s">
        <v>10944</v>
      </c>
      <c r="N2727" s="6" t="s">
        <v>24</v>
      </c>
      <c r="O2727" s="6" t="s">
        <v>25</v>
      </c>
      <c r="P2727" s="6">
        <f>COUNTIF(Analysis!$M$1:$M$3001,Analysis!$M2727)</f>
        <v>1</v>
      </c>
      <c r="Q2727" s="6" t="str">
        <f>IF(COUNTIF(Analysis!$M$2:$M$3001,Analysis!$M2727)&gt;1,"Duplicate","OK")</f>
        <v>OK</v>
      </c>
      <c r="R2727" s="6" t="str">
        <f t="shared" si="1"/>
        <v>600-1600</v>
      </c>
      <c r="S2727" s="6">
        <f t="shared" si="2"/>
        <v>45</v>
      </c>
      <c r="T2727" s="6" t="str">
        <f t="shared" si="3"/>
        <v>Old</v>
      </c>
    </row>
    <row r="2728" ht="14.25" customHeight="1">
      <c r="A2728" s="5">
        <v>1194453.0</v>
      </c>
      <c r="B2728" s="6" t="s">
        <v>10947</v>
      </c>
      <c r="C2728" s="6" t="s">
        <v>76</v>
      </c>
      <c r="D2728" s="6">
        <v>90716.0</v>
      </c>
      <c r="E2728" s="6" t="s">
        <v>77</v>
      </c>
      <c r="F2728" s="6" t="s">
        <v>46</v>
      </c>
      <c r="G2728" s="6" t="s">
        <v>31</v>
      </c>
      <c r="H2728" s="7">
        <v>3922.0</v>
      </c>
      <c r="I2728" s="7">
        <v>4908.0</v>
      </c>
      <c r="J2728" s="6">
        <v>2016.0</v>
      </c>
      <c r="K2728" s="6">
        <v>82.0</v>
      </c>
      <c r="L2728" s="6" t="s">
        <v>62</v>
      </c>
      <c r="M2728" s="6" t="s">
        <v>10948</v>
      </c>
      <c r="N2728" s="6" t="s">
        <v>64</v>
      </c>
      <c r="O2728" s="6" t="s">
        <v>35</v>
      </c>
      <c r="P2728" s="6">
        <f>COUNTIF(Analysis!$M$1:$M$3001,Analysis!$M2728)</f>
        <v>1</v>
      </c>
      <c r="Q2728" s="6" t="str">
        <f>IF(COUNTIF(Analysis!$M$2:$M$3001,Analysis!$M2728)&gt;1,"Duplicate","OK")</f>
        <v>OK</v>
      </c>
      <c r="R2728" s="6" t="str">
        <f t="shared" si="1"/>
        <v>3600+</v>
      </c>
      <c r="S2728" s="6">
        <f t="shared" si="2"/>
        <v>10</v>
      </c>
      <c r="T2728" s="6" t="str">
        <f t="shared" si="3"/>
        <v>New</v>
      </c>
    </row>
    <row r="2729" ht="14.25" customHeight="1">
      <c r="A2729" s="5">
        <v>274635.0</v>
      </c>
      <c r="B2729" s="6" t="s">
        <v>10951</v>
      </c>
      <c r="C2729" s="6" t="s">
        <v>39</v>
      </c>
      <c r="D2729" s="6">
        <v>77443.0</v>
      </c>
      <c r="E2729" s="6" t="s">
        <v>40</v>
      </c>
      <c r="F2729" s="6" t="s">
        <v>41</v>
      </c>
      <c r="G2729" s="6" t="s">
        <v>21</v>
      </c>
      <c r="H2729" s="7">
        <v>2307.0</v>
      </c>
      <c r="I2729" s="7">
        <v>7884.0</v>
      </c>
      <c r="J2729" s="6">
        <v>2009.0</v>
      </c>
      <c r="K2729" s="6">
        <v>27.0</v>
      </c>
      <c r="L2729" s="6" t="s">
        <v>95</v>
      </c>
      <c r="M2729" s="6" t="s">
        <v>10952</v>
      </c>
      <c r="N2729" s="6" t="s">
        <v>34</v>
      </c>
      <c r="O2729" s="6" t="s">
        <v>25</v>
      </c>
      <c r="P2729" s="6">
        <f>COUNTIF(Analysis!$M$1:$M$3001,Analysis!$M2729)</f>
        <v>1</v>
      </c>
      <c r="Q2729" s="6" t="str">
        <f>IF(COUNTIF(Analysis!$M$2:$M$3001,Analysis!$M2729)&gt;1,"Duplicate","OK")</f>
        <v>OK</v>
      </c>
      <c r="R2729" s="6" t="str">
        <f t="shared" si="1"/>
        <v>1600-2600</v>
      </c>
      <c r="S2729" s="6">
        <f t="shared" si="2"/>
        <v>17</v>
      </c>
      <c r="T2729" s="6" t="str">
        <f t="shared" si="3"/>
        <v>Mid</v>
      </c>
    </row>
    <row r="2730" ht="14.25" customHeight="1">
      <c r="A2730" s="5">
        <v>1018590.0</v>
      </c>
      <c r="B2730" s="6" t="s">
        <v>10955</v>
      </c>
      <c r="C2730" s="6" t="s">
        <v>39</v>
      </c>
      <c r="D2730" s="6">
        <v>36321.0</v>
      </c>
      <c r="E2730" s="6" t="s">
        <v>19</v>
      </c>
      <c r="F2730" s="6" t="s">
        <v>46</v>
      </c>
      <c r="G2730" s="6" t="s">
        <v>55</v>
      </c>
      <c r="H2730" s="7">
        <v>3898.0</v>
      </c>
      <c r="I2730" s="7">
        <v>1976.0</v>
      </c>
      <c r="J2730" s="6">
        <v>1987.0</v>
      </c>
      <c r="K2730" s="6">
        <v>88.0</v>
      </c>
      <c r="L2730" s="6" t="s">
        <v>32</v>
      </c>
      <c r="M2730" s="6" t="s">
        <v>10956</v>
      </c>
      <c r="N2730" s="6" t="s">
        <v>24</v>
      </c>
      <c r="O2730" s="6" t="s">
        <v>25</v>
      </c>
      <c r="P2730" s="6">
        <f>COUNTIF(Analysis!$M$1:$M$3001,Analysis!$M2730)</f>
        <v>1</v>
      </c>
      <c r="Q2730" s="6" t="str">
        <f>IF(COUNTIF(Analysis!$M$2:$M$3001,Analysis!$M2730)&gt;1,"Duplicate","OK")</f>
        <v>OK</v>
      </c>
      <c r="R2730" s="6" t="str">
        <f t="shared" si="1"/>
        <v>3600+</v>
      </c>
      <c r="S2730" s="6">
        <f t="shared" si="2"/>
        <v>39</v>
      </c>
      <c r="T2730" s="6" t="str">
        <f t="shared" si="3"/>
        <v>Old</v>
      </c>
    </row>
    <row r="2731" ht="14.25" customHeight="1">
      <c r="A2731" s="5">
        <v>1401606.0</v>
      </c>
      <c r="B2731" s="6" t="s">
        <v>5131</v>
      </c>
      <c r="C2731" s="6" t="s">
        <v>29</v>
      </c>
      <c r="D2731" s="6">
        <v>52083.0</v>
      </c>
      <c r="E2731" s="6" t="s">
        <v>60</v>
      </c>
      <c r="F2731" s="6" t="s">
        <v>54</v>
      </c>
      <c r="G2731" s="6" t="s">
        <v>100</v>
      </c>
      <c r="H2731" s="7">
        <v>3595.0</v>
      </c>
      <c r="I2731" s="7">
        <v>7896.0</v>
      </c>
      <c r="J2731" s="6">
        <v>2002.0</v>
      </c>
      <c r="K2731" s="6">
        <v>111.0</v>
      </c>
      <c r="L2731" s="6" t="s">
        <v>95</v>
      </c>
      <c r="M2731" s="6" t="s">
        <v>5132</v>
      </c>
      <c r="N2731" s="6" t="s">
        <v>64</v>
      </c>
      <c r="O2731" s="6" t="s">
        <v>35</v>
      </c>
      <c r="P2731" s="6">
        <f>COUNTIF(Analysis!$M$1:$M$3001,Analysis!$M1273)</f>
        <v>1</v>
      </c>
      <c r="Q2731" s="6" t="str">
        <f>IF(COUNTIF(Analysis!$M$2:$M$3001,Analysis!$M1273)&gt;1,"Duplicate","OK")</f>
        <v>OK</v>
      </c>
      <c r="R2731" s="6" t="str">
        <f t="shared" si="1"/>
        <v>2600-3600</v>
      </c>
      <c r="S2731" s="6">
        <f t="shared" si="2"/>
        <v>24</v>
      </c>
      <c r="T2731" s="6" t="str">
        <f t="shared" si="3"/>
        <v>Mid</v>
      </c>
    </row>
    <row r="2732" ht="14.25" customHeight="1">
      <c r="A2732" s="5">
        <v>1086904.0</v>
      </c>
      <c r="B2732" s="6" t="s">
        <v>10963</v>
      </c>
      <c r="C2732" s="6" t="s">
        <v>39</v>
      </c>
      <c r="D2732" s="6">
        <v>48318.0</v>
      </c>
      <c r="E2732" s="6" t="s">
        <v>77</v>
      </c>
      <c r="F2732" s="6" t="s">
        <v>41</v>
      </c>
      <c r="G2732" s="6" t="s">
        <v>55</v>
      </c>
      <c r="H2732" s="7">
        <v>2700.0</v>
      </c>
      <c r="I2732" s="7">
        <v>5098.0</v>
      </c>
      <c r="J2732" s="6">
        <v>2008.0</v>
      </c>
      <c r="K2732" s="6">
        <v>68.0</v>
      </c>
      <c r="L2732" s="6" t="s">
        <v>32</v>
      </c>
      <c r="M2732" s="6" t="s">
        <v>10964</v>
      </c>
      <c r="N2732" s="6" t="s">
        <v>43</v>
      </c>
      <c r="O2732" s="6" t="s">
        <v>49</v>
      </c>
      <c r="P2732" s="6">
        <f>COUNTIF(Analysis!$M$1:$M$3001,Analysis!$M2732)</f>
        <v>1</v>
      </c>
      <c r="Q2732" s="6" t="str">
        <f>IF(COUNTIF(Analysis!$M$2:$M$3001,Analysis!$M2732)&gt;1,"Duplicate","OK")</f>
        <v>OK</v>
      </c>
      <c r="R2732" s="6" t="str">
        <f t="shared" si="1"/>
        <v>2600-3600</v>
      </c>
      <c r="S2732" s="6">
        <f t="shared" si="2"/>
        <v>18</v>
      </c>
      <c r="T2732" s="6" t="str">
        <f t="shared" si="3"/>
        <v>Mid</v>
      </c>
    </row>
    <row r="2733" ht="14.25" customHeight="1">
      <c r="A2733" s="5">
        <v>1402065.0</v>
      </c>
      <c r="B2733" s="6" t="s">
        <v>385</v>
      </c>
      <c r="C2733" s="6" t="s">
        <v>29</v>
      </c>
      <c r="D2733" s="6">
        <v>10445.0</v>
      </c>
      <c r="E2733" s="6" t="s">
        <v>60</v>
      </c>
      <c r="F2733" s="6" t="s">
        <v>41</v>
      </c>
      <c r="G2733" s="6" t="s">
        <v>31</v>
      </c>
      <c r="H2733" s="7">
        <v>3504.0</v>
      </c>
      <c r="I2733" s="7">
        <v>3470.0</v>
      </c>
      <c r="J2733" s="6">
        <v>1952.0</v>
      </c>
      <c r="K2733" s="6">
        <v>45.0</v>
      </c>
      <c r="L2733" s="6" t="s">
        <v>22</v>
      </c>
      <c r="M2733" s="6" t="s">
        <v>386</v>
      </c>
      <c r="N2733" s="6" t="s">
        <v>24</v>
      </c>
      <c r="O2733" s="6" t="s">
        <v>35</v>
      </c>
      <c r="P2733" s="6">
        <f>COUNTIF(Analysis!$M$1:$M$3001,Analysis!$M86)</f>
        <v>1</v>
      </c>
      <c r="Q2733" s="6" t="str">
        <f>IF(COUNTIF(Analysis!$M$2:$M$3001,Analysis!$M86)&gt;1,"Duplicate","OK")</f>
        <v>OK</v>
      </c>
      <c r="R2733" s="6" t="str">
        <f t="shared" si="1"/>
        <v>2600-3600</v>
      </c>
      <c r="S2733" s="6">
        <f t="shared" si="2"/>
        <v>74</v>
      </c>
      <c r="T2733" s="6" t="str">
        <f t="shared" si="3"/>
        <v>Very Old</v>
      </c>
    </row>
    <row r="2734" ht="14.25" customHeight="1">
      <c r="A2734" s="5">
        <v>636359.0</v>
      </c>
      <c r="B2734" s="6" t="s">
        <v>10971</v>
      </c>
      <c r="C2734" s="6" t="s">
        <v>39</v>
      </c>
      <c r="D2734" s="6">
        <v>60698.0</v>
      </c>
      <c r="E2734" s="6" t="s">
        <v>30</v>
      </c>
      <c r="F2734" s="6" t="s">
        <v>54</v>
      </c>
      <c r="G2734" s="6" t="s">
        <v>100</v>
      </c>
      <c r="H2734" s="7">
        <v>1662.0</v>
      </c>
      <c r="I2734" s="7">
        <v>3036.0</v>
      </c>
      <c r="J2734" s="6">
        <v>1975.0</v>
      </c>
      <c r="K2734" s="6">
        <v>79.0</v>
      </c>
      <c r="L2734" s="6" t="s">
        <v>95</v>
      </c>
      <c r="M2734" s="6" t="s">
        <v>10972</v>
      </c>
      <c r="N2734" s="6" t="s">
        <v>34</v>
      </c>
      <c r="O2734" s="6" t="s">
        <v>35</v>
      </c>
      <c r="P2734" s="6">
        <f>COUNTIF(Analysis!$M$1:$M$3001,Analysis!$M2734)</f>
        <v>1</v>
      </c>
      <c r="Q2734" s="6" t="str">
        <f>IF(COUNTIF(Analysis!$M$2:$M$3001,Analysis!$M2734)&gt;1,"Duplicate","OK")</f>
        <v>OK</v>
      </c>
      <c r="R2734" s="6" t="str">
        <f t="shared" si="1"/>
        <v>1600-2600</v>
      </c>
      <c r="S2734" s="6">
        <f t="shared" si="2"/>
        <v>51</v>
      </c>
      <c r="T2734" s="6" t="str">
        <f t="shared" si="3"/>
        <v>Old</v>
      </c>
    </row>
    <row r="2735" ht="14.25" customHeight="1">
      <c r="A2735" s="5">
        <v>1314092.0</v>
      </c>
      <c r="B2735" s="6" t="s">
        <v>10975</v>
      </c>
      <c r="C2735" s="6" t="s">
        <v>39</v>
      </c>
      <c r="D2735" s="6">
        <v>41117.0</v>
      </c>
      <c r="E2735" s="6" t="s">
        <v>30</v>
      </c>
      <c r="F2735" s="6" t="s">
        <v>54</v>
      </c>
      <c r="G2735" s="6" t="s">
        <v>55</v>
      </c>
      <c r="H2735" s="7">
        <v>2399.0</v>
      </c>
      <c r="I2735" s="7">
        <v>1112.0</v>
      </c>
      <c r="J2735" s="6">
        <v>2023.0</v>
      </c>
      <c r="K2735" s="6">
        <v>58.0</v>
      </c>
      <c r="L2735" s="6" t="s">
        <v>22</v>
      </c>
      <c r="M2735" s="6" t="s">
        <v>10976</v>
      </c>
      <c r="N2735" s="6" t="s">
        <v>43</v>
      </c>
      <c r="O2735" s="6" t="s">
        <v>25</v>
      </c>
      <c r="P2735" s="6">
        <f>COUNTIF(Analysis!$M$1:$M$3001,Analysis!$M2735)</f>
        <v>1</v>
      </c>
      <c r="Q2735" s="6" t="str">
        <f>IF(COUNTIF(Analysis!$M$2:$M$3001,Analysis!$M2735)&gt;1,"Duplicate","OK")</f>
        <v>OK</v>
      </c>
      <c r="R2735" s="6" t="str">
        <f t="shared" si="1"/>
        <v>1600-2600</v>
      </c>
      <c r="S2735" s="6">
        <f t="shared" si="2"/>
        <v>3</v>
      </c>
      <c r="T2735" s="6" t="str">
        <f t="shared" si="3"/>
        <v>New</v>
      </c>
    </row>
    <row r="2736" ht="14.25" customHeight="1">
      <c r="A2736" s="5">
        <v>749627.0</v>
      </c>
      <c r="B2736" s="6" t="s">
        <v>10979</v>
      </c>
      <c r="C2736" s="6" t="s">
        <v>39</v>
      </c>
      <c r="D2736" s="6">
        <v>51738.0</v>
      </c>
      <c r="E2736" s="6" t="s">
        <v>30</v>
      </c>
      <c r="F2736" s="6" t="s">
        <v>20</v>
      </c>
      <c r="G2736" s="6" t="s">
        <v>100</v>
      </c>
      <c r="H2736" s="7">
        <v>3535.0</v>
      </c>
      <c r="I2736" s="7">
        <v>4995.0</v>
      </c>
      <c r="J2736" s="6">
        <v>1971.0</v>
      </c>
      <c r="K2736" s="6">
        <v>108.0</v>
      </c>
      <c r="L2736" s="6" t="s">
        <v>62</v>
      </c>
      <c r="M2736" s="6" t="s">
        <v>10980</v>
      </c>
      <c r="N2736" s="6" t="s">
        <v>43</v>
      </c>
      <c r="O2736" s="6" t="s">
        <v>25</v>
      </c>
      <c r="P2736" s="6">
        <f>COUNTIF(Analysis!$M$1:$M$3001,Analysis!$M2736)</f>
        <v>1</v>
      </c>
      <c r="Q2736" s="6" t="str">
        <f>IF(COUNTIF(Analysis!$M$2:$M$3001,Analysis!$M2736)&gt;1,"Duplicate","OK")</f>
        <v>OK</v>
      </c>
      <c r="R2736" s="6" t="str">
        <f t="shared" si="1"/>
        <v>2600-3600</v>
      </c>
      <c r="S2736" s="6">
        <f t="shared" si="2"/>
        <v>55</v>
      </c>
      <c r="T2736" s="6" t="str">
        <f t="shared" si="3"/>
        <v>Old</v>
      </c>
    </row>
    <row r="2737" ht="14.25" customHeight="1">
      <c r="A2737" s="5">
        <v>731423.0</v>
      </c>
      <c r="B2737" s="6" t="s">
        <v>10983</v>
      </c>
      <c r="C2737" s="6" t="s">
        <v>18</v>
      </c>
      <c r="D2737" s="6">
        <v>63000.0</v>
      </c>
      <c r="E2737" s="6" t="s">
        <v>30</v>
      </c>
      <c r="F2737" s="6" t="s">
        <v>46</v>
      </c>
      <c r="G2737" s="6" t="s">
        <v>100</v>
      </c>
      <c r="H2737" s="7">
        <v>2165.0</v>
      </c>
      <c r="I2737" s="7">
        <v>8779.0</v>
      </c>
      <c r="J2737" s="6">
        <v>1991.0</v>
      </c>
      <c r="K2737" s="6">
        <v>21.0</v>
      </c>
      <c r="L2737" s="6" t="s">
        <v>62</v>
      </c>
      <c r="M2737" s="6" t="s">
        <v>10984</v>
      </c>
      <c r="N2737" s="6" t="s">
        <v>34</v>
      </c>
      <c r="O2737" s="6" t="s">
        <v>49</v>
      </c>
      <c r="P2737" s="6">
        <f>COUNTIF(Analysis!$M$1:$M$3001,Analysis!$M2737)</f>
        <v>1</v>
      </c>
      <c r="Q2737" s="6" t="str">
        <f>IF(COUNTIF(Analysis!$M$2:$M$3001,Analysis!$M2737)&gt;1,"Duplicate","OK")</f>
        <v>OK</v>
      </c>
      <c r="R2737" s="6" t="str">
        <f t="shared" si="1"/>
        <v>1600-2600</v>
      </c>
      <c r="S2737" s="6">
        <f t="shared" si="2"/>
        <v>35</v>
      </c>
      <c r="T2737" s="6" t="str">
        <f t="shared" si="3"/>
        <v>Old</v>
      </c>
    </row>
    <row r="2738" ht="14.25" customHeight="1">
      <c r="A2738" s="5">
        <v>500477.0</v>
      </c>
      <c r="B2738" s="6" t="s">
        <v>10987</v>
      </c>
      <c r="C2738" s="6" t="s">
        <v>76</v>
      </c>
      <c r="D2738" s="6">
        <v>53861.0</v>
      </c>
      <c r="E2738" s="6" t="s">
        <v>77</v>
      </c>
      <c r="F2738" s="6" t="s">
        <v>46</v>
      </c>
      <c r="G2738" s="6" t="s">
        <v>55</v>
      </c>
      <c r="H2738" s="7">
        <v>2794.0</v>
      </c>
      <c r="I2738" s="7">
        <v>1406.0</v>
      </c>
      <c r="J2738" s="6">
        <v>2015.0</v>
      </c>
      <c r="K2738" s="6">
        <v>101.0</v>
      </c>
      <c r="L2738" s="6" t="s">
        <v>62</v>
      </c>
      <c r="M2738" s="6" t="s">
        <v>10988</v>
      </c>
      <c r="N2738" s="6" t="s">
        <v>48</v>
      </c>
      <c r="O2738" s="6" t="s">
        <v>49</v>
      </c>
      <c r="P2738" s="6">
        <f>COUNTIF(Analysis!$M$1:$M$3001,Analysis!$M2738)</f>
        <v>1</v>
      </c>
      <c r="Q2738" s="6" t="str">
        <f>IF(COUNTIF(Analysis!$M$2:$M$3001,Analysis!$M2738)&gt;1,"Duplicate","OK")</f>
        <v>OK</v>
      </c>
      <c r="R2738" s="6" t="str">
        <f t="shared" si="1"/>
        <v>2600-3600</v>
      </c>
      <c r="S2738" s="6">
        <f t="shared" si="2"/>
        <v>11</v>
      </c>
      <c r="T2738" s="6" t="str">
        <f t="shared" si="3"/>
        <v>Mid</v>
      </c>
    </row>
    <row r="2739" ht="14.25" customHeight="1">
      <c r="A2739" s="5">
        <v>140023.0</v>
      </c>
      <c r="B2739" s="6" t="s">
        <v>10991</v>
      </c>
      <c r="C2739" s="6" t="s">
        <v>53</v>
      </c>
      <c r="D2739" s="6">
        <v>65443.0</v>
      </c>
      <c r="E2739" s="6" t="s">
        <v>19</v>
      </c>
      <c r="F2739" s="6" t="s">
        <v>20</v>
      </c>
      <c r="G2739" s="6" t="s">
        <v>100</v>
      </c>
      <c r="H2739" s="7">
        <v>1450.0</v>
      </c>
      <c r="I2739" s="7">
        <v>8677.0</v>
      </c>
      <c r="J2739" s="6">
        <v>2018.0</v>
      </c>
      <c r="K2739" s="6">
        <v>16.0</v>
      </c>
      <c r="L2739" s="6" t="s">
        <v>62</v>
      </c>
      <c r="M2739" s="6" t="s">
        <v>10992</v>
      </c>
      <c r="N2739" s="6" t="s">
        <v>48</v>
      </c>
      <c r="O2739" s="6" t="s">
        <v>49</v>
      </c>
      <c r="P2739" s="6">
        <f>COUNTIF(Analysis!$M$1:$M$3001,Analysis!$M2739)</f>
        <v>1</v>
      </c>
      <c r="Q2739" s="6" t="str">
        <f>IF(COUNTIF(Analysis!$M$2:$M$3001,Analysis!$M2739)&gt;1,"Duplicate","OK")</f>
        <v>OK</v>
      </c>
      <c r="R2739" s="6" t="str">
        <f t="shared" si="1"/>
        <v>600-1600</v>
      </c>
      <c r="S2739" s="6">
        <f t="shared" si="2"/>
        <v>8</v>
      </c>
      <c r="T2739" s="6" t="str">
        <f t="shared" si="3"/>
        <v>New</v>
      </c>
    </row>
    <row r="2740" ht="14.25" customHeight="1">
      <c r="A2740" s="5">
        <v>1403737.0</v>
      </c>
      <c r="B2740" s="6" t="s">
        <v>11759</v>
      </c>
      <c r="C2740" s="6" t="s">
        <v>29</v>
      </c>
      <c r="D2740" s="6">
        <v>77172.0</v>
      </c>
      <c r="E2740" s="6" t="s">
        <v>40</v>
      </c>
      <c r="F2740" s="6" t="s">
        <v>54</v>
      </c>
      <c r="G2740" s="6" t="s">
        <v>55</v>
      </c>
      <c r="H2740" s="7">
        <v>2704.0</v>
      </c>
      <c r="I2740" s="7">
        <v>1267.0</v>
      </c>
      <c r="J2740" s="6">
        <v>1983.0</v>
      </c>
      <c r="K2740" s="6">
        <v>85.0</v>
      </c>
      <c r="L2740" s="6" t="s">
        <v>32</v>
      </c>
      <c r="M2740" s="6" t="s">
        <v>11760</v>
      </c>
      <c r="N2740" s="6" t="s">
        <v>48</v>
      </c>
      <c r="O2740" s="6" t="s">
        <v>35</v>
      </c>
      <c r="P2740" s="6">
        <f>COUNTIF(Analysis!$M$1:$M$3001,Analysis!$M2931)</f>
        <v>1</v>
      </c>
      <c r="Q2740" s="6" t="str">
        <f>IF(COUNTIF(Analysis!$M$2:$M$3001,Analysis!$M2931)&gt;1,"Duplicate","OK")</f>
        <v>OK</v>
      </c>
      <c r="R2740" s="6" t="str">
        <f t="shared" si="1"/>
        <v>2600-3600</v>
      </c>
      <c r="S2740" s="6">
        <f t="shared" si="2"/>
        <v>43</v>
      </c>
      <c r="T2740" s="6" t="str">
        <f t="shared" si="3"/>
        <v>Old</v>
      </c>
    </row>
    <row r="2741" ht="14.25" customHeight="1">
      <c r="A2741" s="5">
        <v>1404881.0</v>
      </c>
      <c r="B2741" s="6" t="s">
        <v>11183</v>
      </c>
      <c r="C2741" s="6" t="s">
        <v>29</v>
      </c>
      <c r="D2741" s="6">
        <v>41173.0</v>
      </c>
      <c r="E2741" s="6" t="s">
        <v>40</v>
      </c>
      <c r="F2741" s="6" t="s">
        <v>54</v>
      </c>
      <c r="G2741" s="6" t="s">
        <v>31</v>
      </c>
      <c r="H2741" s="7">
        <v>1610.0</v>
      </c>
      <c r="I2741" s="7">
        <v>7773.0</v>
      </c>
      <c r="J2741" s="6">
        <v>1987.0</v>
      </c>
      <c r="K2741" s="6">
        <v>48.0</v>
      </c>
      <c r="L2741" s="6" t="s">
        <v>141</v>
      </c>
      <c r="M2741" s="6" t="s">
        <v>11184</v>
      </c>
      <c r="N2741" s="6" t="s">
        <v>34</v>
      </c>
      <c r="O2741" s="6" t="s">
        <v>49</v>
      </c>
      <c r="P2741" s="6">
        <f>COUNTIF(Analysis!$M$1:$M$3001,Analysis!$M2787)</f>
        <v>1</v>
      </c>
      <c r="Q2741" s="6" t="str">
        <f>IF(COUNTIF(Analysis!$M$2:$M$3001,Analysis!$M2787)&gt;1,"Duplicate","OK")</f>
        <v>OK</v>
      </c>
      <c r="R2741" s="6" t="str">
        <f t="shared" si="1"/>
        <v>1600-2600</v>
      </c>
      <c r="S2741" s="6">
        <f t="shared" si="2"/>
        <v>39</v>
      </c>
      <c r="T2741" s="6" t="str">
        <f t="shared" si="3"/>
        <v>Old</v>
      </c>
    </row>
    <row r="2742" ht="14.25" customHeight="1">
      <c r="A2742" s="5">
        <v>1113059.0</v>
      </c>
      <c r="B2742" s="6" t="s">
        <v>11003</v>
      </c>
      <c r="C2742" s="6" t="s">
        <v>39</v>
      </c>
      <c r="D2742" s="6">
        <v>91718.0</v>
      </c>
      <c r="E2742" s="6" t="s">
        <v>40</v>
      </c>
      <c r="F2742" s="6" t="s">
        <v>46</v>
      </c>
      <c r="G2742" s="6" t="s">
        <v>100</v>
      </c>
      <c r="H2742" s="7">
        <v>3132.0</v>
      </c>
      <c r="I2742" s="7">
        <v>3907.0</v>
      </c>
      <c r="J2742" s="6">
        <v>1978.0</v>
      </c>
      <c r="K2742" s="6">
        <v>40.0</v>
      </c>
      <c r="L2742" s="6" t="s">
        <v>141</v>
      </c>
      <c r="M2742" s="6" t="s">
        <v>11004</v>
      </c>
      <c r="N2742" s="6" t="s">
        <v>64</v>
      </c>
      <c r="O2742" s="6" t="s">
        <v>49</v>
      </c>
      <c r="P2742" s="6">
        <f>COUNTIF(Analysis!$M$1:$M$3001,Analysis!$M2742)</f>
        <v>1</v>
      </c>
      <c r="Q2742" s="6" t="str">
        <f>IF(COUNTIF(Analysis!$M$2:$M$3001,Analysis!$M2742)&gt;1,"Duplicate","OK")</f>
        <v>OK</v>
      </c>
      <c r="R2742" s="6" t="str">
        <f t="shared" si="1"/>
        <v>2600-3600</v>
      </c>
      <c r="S2742" s="6">
        <f t="shared" si="2"/>
        <v>48</v>
      </c>
      <c r="T2742" s="6" t="str">
        <f t="shared" si="3"/>
        <v>Old</v>
      </c>
    </row>
    <row r="2743" ht="14.25" customHeight="1">
      <c r="A2743" s="5">
        <v>1407385.0</v>
      </c>
      <c r="B2743" s="6" t="s">
        <v>5519</v>
      </c>
      <c r="C2743" s="6" t="s">
        <v>29</v>
      </c>
      <c r="D2743" s="6">
        <v>16603.0</v>
      </c>
      <c r="E2743" s="6" t="s">
        <v>60</v>
      </c>
      <c r="F2743" s="6" t="s">
        <v>41</v>
      </c>
      <c r="G2743" s="6" t="s">
        <v>100</v>
      </c>
      <c r="H2743" s="7">
        <v>1424.0</v>
      </c>
      <c r="I2743" s="7">
        <v>2029.0</v>
      </c>
      <c r="J2743" s="6">
        <v>2015.0</v>
      </c>
      <c r="K2743" s="6">
        <v>102.0</v>
      </c>
      <c r="L2743" s="6" t="s">
        <v>22</v>
      </c>
      <c r="M2743" s="6" t="s">
        <v>5520</v>
      </c>
      <c r="N2743" s="6" t="s">
        <v>48</v>
      </c>
      <c r="O2743" s="6" t="s">
        <v>49</v>
      </c>
      <c r="P2743" s="6">
        <f>COUNTIF(Analysis!$M$1:$M$3001,Analysis!$M1370)</f>
        <v>1</v>
      </c>
      <c r="Q2743" s="6" t="str">
        <f>IF(COUNTIF(Analysis!$M$2:$M$3001,Analysis!$M1370)&gt;1,"Duplicate","OK")</f>
        <v>OK</v>
      </c>
      <c r="R2743" s="6" t="str">
        <f t="shared" si="1"/>
        <v>600-1600</v>
      </c>
      <c r="S2743" s="6">
        <f t="shared" si="2"/>
        <v>11</v>
      </c>
      <c r="T2743" s="6" t="str">
        <f t="shared" si="3"/>
        <v>Mid</v>
      </c>
    </row>
    <row r="2744" ht="14.25" customHeight="1">
      <c r="A2744" s="5">
        <v>1286329.0</v>
      </c>
      <c r="B2744" s="6" t="s">
        <v>11011</v>
      </c>
      <c r="C2744" s="6" t="s">
        <v>53</v>
      </c>
      <c r="D2744" s="6">
        <v>35510.0</v>
      </c>
      <c r="E2744" s="6" t="s">
        <v>19</v>
      </c>
      <c r="F2744" s="6" t="s">
        <v>20</v>
      </c>
      <c r="G2744" s="6" t="s">
        <v>55</v>
      </c>
      <c r="H2744" s="7">
        <v>2546.0</v>
      </c>
      <c r="I2744" s="7">
        <v>1344.0</v>
      </c>
      <c r="J2744" s="6">
        <v>2020.0</v>
      </c>
      <c r="K2744" s="6">
        <v>93.0</v>
      </c>
      <c r="L2744" s="6" t="s">
        <v>95</v>
      </c>
      <c r="M2744" s="6" t="s">
        <v>11012</v>
      </c>
      <c r="N2744" s="6" t="s">
        <v>64</v>
      </c>
      <c r="O2744" s="6" t="s">
        <v>35</v>
      </c>
      <c r="P2744" s="6">
        <f>COUNTIF(Analysis!$M$1:$M$3001,Analysis!$M2744)</f>
        <v>1</v>
      </c>
      <c r="Q2744" s="6" t="str">
        <f>IF(COUNTIF(Analysis!$M$2:$M$3001,Analysis!$M2744)&gt;1,"Duplicate","OK")</f>
        <v>OK</v>
      </c>
      <c r="R2744" s="6" t="str">
        <f t="shared" si="1"/>
        <v>1600-2600</v>
      </c>
      <c r="S2744" s="6">
        <f t="shared" si="2"/>
        <v>6</v>
      </c>
      <c r="T2744" s="6" t="str">
        <f t="shared" si="3"/>
        <v>New</v>
      </c>
    </row>
    <row r="2745" ht="14.25" customHeight="1">
      <c r="A2745" s="5">
        <v>1217332.0</v>
      </c>
      <c r="B2745" s="6" t="s">
        <v>11015</v>
      </c>
      <c r="C2745" s="6" t="s">
        <v>39</v>
      </c>
      <c r="D2745" s="6">
        <v>92176.0</v>
      </c>
      <c r="E2745" s="6" t="s">
        <v>77</v>
      </c>
      <c r="F2745" s="6" t="s">
        <v>41</v>
      </c>
      <c r="G2745" s="6" t="s">
        <v>100</v>
      </c>
      <c r="H2745" s="7">
        <v>1498.0</v>
      </c>
      <c r="I2745" s="7">
        <v>4967.0</v>
      </c>
      <c r="J2745" s="6">
        <v>1973.0</v>
      </c>
      <c r="K2745" s="6">
        <v>71.0</v>
      </c>
      <c r="L2745" s="6" t="s">
        <v>62</v>
      </c>
      <c r="M2745" s="6" t="s">
        <v>11016</v>
      </c>
      <c r="N2745" s="6" t="s">
        <v>24</v>
      </c>
      <c r="O2745" s="6" t="s">
        <v>35</v>
      </c>
      <c r="P2745" s="6">
        <f>COUNTIF(Analysis!$M$1:$M$3001,Analysis!$M2745)</f>
        <v>1</v>
      </c>
      <c r="Q2745" s="6" t="str">
        <f>IF(COUNTIF(Analysis!$M$2:$M$3001,Analysis!$M2745)&gt;1,"Duplicate","OK")</f>
        <v>OK</v>
      </c>
      <c r="R2745" s="6" t="str">
        <f t="shared" si="1"/>
        <v>600-1600</v>
      </c>
      <c r="S2745" s="6">
        <f t="shared" si="2"/>
        <v>53</v>
      </c>
      <c r="T2745" s="6" t="str">
        <f t="shared" si="3"/>
        <v>Old</v>
      </c>
    </row>
    <row r="2746" ht="14.25" customHeight="1">
      <c r="A2746" s="5">
        <v>1329326.0</v>
      </c>
      <c r="B2746" s="6" t="s">
        <v>11019</v>
      </c>
      <c r="C2746" s="6" t="s">
        <v>39</v>
      </c>
      <c r="D2746" s="6">
        <v>83045.0</v>
      </c>
      <c r="E2746" s="6" t="s">
        <v>40</v>
      </c>
      <c r="F2746" s="6" t="s">
        <v>20</v>
      </c>
      <c r="G2746" s="6" t="s">
        <v>55</v>
      </c>
      <c r="H2746" s="7">
        <v>3149.0</v>
      </c>
      <c r="I2746" s="7">
        <v>1929.0</v>
      </c>
      <c r="J2746" s="6">
        <v>1958.0</v>
      </c>
      <c r="K2746" s="6">
        <v>46.0</v>
      </c>
      <c r="L2746" s="6" t="s">
        <v>22</v>
      </c>
      <c r="M2746" s="6" t="s">
        <v>11020</v>
      </c>
      <c r="N2746" s="6" t="s">
        <v>48</v>
      </c>
      <c r="O2746" s="6" t="s">
        <v>49</v>
      </c>
      <c r="P2746" s="6">
        <f>COUNTIF(Analysis!$M$1:$M$3001,Analysis!$M2746)</f>
        <v>1</v>
      </c>
      <c r="Q2746" s="6" t="str">
        <f>IF(COUNTIF(Analysis!$M$2:$M$3001,Analysis!$M2746)&gt;1,"Duplicate","OK")</f>
        <v>OK</v>
      </c>
      <c r="R2746" s="6" t="str">
        <f t="shared" si="1"/>
        <v>2600-3600</v>
      </c>
      <c r="S2746" s="6">
        <f t="shared" si="2"/>
        <v>68</v>
      </c>
      <c r="T2746" s="6" t="str">
        <f t="shared" si="3"/>
        <v>Very Old</v>
      </c>
    </row>
    <row r="2747" ht="14.25" customHeight="1">
      <c r="A2747" s="5">
        <v>1408110.0</v>
      </c>
      <c r="B2747" s="6" t="s">
        <v>4903</v>
      </c>
      <c r="C2747" s="6" t="s">
        <v>29</v>
      </c>
      <c r="D2747" s="6">
        <v>15309.0</v>
      </c>
      <c r="E2747" s="6" t="s">
        <v>19</v>
      </c>
      <c r="F2747" s="6" t="s">
        <v>94</v>
      </c>
      <c r="G2747" s="6" t="s">
        <v>21</v>
      </c>
      <c r="H2747" s="7">
        <v>3664.0</v>
      </c>
      <c r="I2747" s="7">
        <v>6607.0</v>
      </c>
      <c r="J2747" s="6">
        <v>1974.0</v>
      </c>
      <c r="K2747" s="6">
        <v>110.0</v>
      </c>
      <c r="L2747" s="6" t="s">
        <v>22</v>
      </c>
      <c r="M2747" s="6" t="s">
        <v>4904</v>
      </c>
      <c r="N2747" s="6" t="s">
        <v>48</v>
      </c>
      <c r="O2747" s="6" t="s">
        <v>49</v>
      </c>
      <c r="P2747" s="6">
        <f>COUNTIF(Analysis!$M$1:$M$3001,Analysis!$M1216)</f>
        <v>1</v>
      </c>
      <c r="Q2747" s="6" t="str">
        <f>IF(COUNTIF(Analysis!$M$2:$M$3001,Analysis!$M1216)&gt;1,"Duplicate","OK")</f>
        <v>OK</v>
      </c>
      <c r="R2747" s="6" t="str">
        <f t="shared" si="1"/>
        <v>3600+</v>
      </c>
      <c r="S2747" s="6">
        <f t="shared" si="2"/>
        <v>52</v>
      </c>
      <c r="T2747" s="6" t="str">
        <f t="shared" si="3"/>
        <v>Old</v>
      </c>
    </row>
    <row r="2748" ht="14.25" customHeight="1">
      <c r="A2748" s="5">
        <v>1494324.0</v>
      </c>
      <c r="B2748" s="6" t="s">
        <v>11027</v>
      </c>
      <c r="C2748" s="6" t="s">
        <v>18</v>
      </c>
      <c r="D2748" s="6">
        <v>61047.0</v>
      </c>
      <c r="E2748" s="6" t="s">
        <v>60</v>
      </c>
      <c r="F2748" s="6" t="s">
        <v>41</v>
      </c>
      <c r="G2748" s="6" t="s">
        <v>55</v>
      </c>
      <c r="H2748" s="7">
        <v>2380.0</v>
      </c>
      <c r="I2748" s="7">
        <v>6565.0</v>
      </c>
      <c r="J2748" s="6">
        <v>1959.0</v>
      </c>
      <c r="K2748" s="6">
        <v>109.0</v>
      </c>
      <c r="L2748" s="6" t="s">
        <v>22</v>
      </c>
      <c r="M2748" s="6" t="s">
        <v>11028</v>
      </c>
      <c r="N2748" s="6" t="s">
        <v>24</v>
      </c>
      <c r="O2748" s="6" t="s">
        <v>35</v>
      </c>
      <c r="P2748" s="6">
        <f>COUNTIF(Analysis!$M$1:$M$3001,Analysis!$M2748)</f>
        <v>1</v>
      </c>
      <c r="Q2748" s="6" t="str">
        <f>IF(COUNTIF(Analysis!$M$2:$M$3001,Analysis!$M2748)&gt;1,"Duplicate","OK")</f>
        <v>OK</v>
      </c>
      <c r="R2748" s="6" t="str">
        <f t="shared" si="1"/>
        <v>1600-2600</v>
      </c>
      <c r="S2748" s="6">
        <f t="shared" si="2"/>
        <v>67</v>
      </c>
      <c r="T2748" s="6" t="str">
        <f t="shared" si="3"/>
        <v>Very Old</v>
      </c>
    </row>
    <row r="2749" ht="14.25" customHeight="1">
      <c r="A2749" s="5">
        <v>1275867.0</v>
      </c>
      <c r="B2749" s="6" t="s">
        <v>11031</v>
      </c>
      <c r="C2749" s="6" t="s">
        <v>39</v>
      </c>
      <c r="D2749" s="6">
        <v>58637.0</v>
      </c>
      <c r="E2749" s="6" t="s">
        <v>19</v>
      </c>
      <c r="F2749" s="6" t="s">
        <v>46</v>
      </c>
      <c r="G2749" s="6" t="s">
        <v>55</v>
      </c>
      <c r="H2749" s="7">
        <v>912.0</v>
      </c>
      <c r="I2749" s="7">
        <v>1134.0</v>
      </c>
      <c r="J2749" s="6">
        <v>1977.0</v>
      </c>
      <c r="K2749" s="6">
        <v>103.0</v>
      </c>
      <c r="L2749" s="6" t="s">
        <v>32</v>
      </c>
      <c r="M2749" s="6" t="s">
        <v>11032</v>
      </c>
      <c r="N2749" s="6" t="s">
        <v>24</v>
      </c>
      <c r="O2749" s="6" t="s">
        <v>25</v>
      </c>
      <c r="P2749" s="6">
        <f>COUNTIF(Analysis!$M$1:$M$3001,Analysis!$M2749)</f>
        <v>1</v>
      </c>
      <c r="Q2749" s="6" t="str">
        <f>IF(COUNTIF(Analysis!$M$2:$M$3001,Analysis!$M2749)&gt;1,"Duplicate","OK")</f>
        <v>OK</v>
      </c>
      <c r="R2749" s="6" t="str">
        <f t="shared" si="1"/>
        <v>600-1600</v>
      </c>
      <c r="S2749" s="6">
        <f t="shared" si="2"/>
        <v>49</v>
      </c>
      <c r="T2749" s="6" t="str">
        <f t="shared" si="3"/>
        <v>Old</v>
      </c>
    </row>
    <row r="2750" ht="14.25" customHeight="1">
      <c r="A2750" s="5">
        <v>416409.0</v>
      </c>
      <c r="B2750" s="6" t="s">
        <v>11035</v>
      </c>
      <c r="C2750" s="6" t="s">
        <v>18</v>
      </c>
      <c r="D2750" s="6">
        <v>29963.0</v>
      </c>
      <c r="E2750" s="6" t="s">
        <v>77</v>
      </c>
      <c r="F2750" s="6" t="s">
        <v>61</v>
      </c>
      <c r="G2750" s="6" t="s">
        <v>55</v>
      </c>
      <c r="H2750" s="7">
        <v>1971.0</v>
      </c>
      <c r="I2750" s="7">
        <v>4952.0</v>
      </c>
      <c r="J2750" s="6">
        <v>1977.0</v>
      </c>
      <c r="K2750" s="6">
        <v>71.0</v>
      </c>
      <c r="L2750" s="6" t="s">
        <v>32</v>
      </c>
      <c r="M2750" s="6" t="s">
        <v>11036</v>
      </c>
      <c r="N2750" s="6" t="s">
        <v>43</v>
      </c>
      <c r="O2750" s="6" t="s">
        <v>35</v>
      </c>
      <c r="P2750" s="6">
        <f>COUNTIF(Analysis!$M$1:$M$3001,Analysis!$M2750)</f>
        <v>1</v>
      </c>
      <c r="Q2750" s="6" t="str">
        <f>IF(COUNTIF(Analysis!$M$2:$M$3001,Analysis!$M2750)&gt;1,"Duplicate","OK")</f>
        <v>OK</v>
      </c>
      <c r="R2750" s="6" t="str">
        <f t="shared" si="1"/>
        <v>1600-2600</v>
      </c>
      <c r="S2750" s="6">
        <f t="shared" si="2"/>
        <v>49</v>
      </c>
      <c r="T2750" s="6" t="str">
        <f t="shared" si="3"/>
        <v>Old</v>
      </c>
    </row>
    <row r="2751" ht="14.25" customHeight="1">
      <c r="A2751" s="5">
        <v>199214.0</v>
      </c>
      <c r="B2751" s="6" t="s">
        <v>11039</v>
      </c>
      <c r="C2751" s="6" t="s">
        <v>76</v>
      </c>
      <c r="D2751" s="6">
        <v>79247.0</v>
      </c>
      <c r="E2751" s="6" t="s">
        <v>77</v>
      </c>
      <c r="F2751" s="6" t="s">
        <v>41</v>
      </c>
      <c r="G2751" s="6" t="s">
        <v>100</v>
      </c>
      <c r="H2751" s="7">
        <v>1278.0</v>
      </c>
      <c r="I2751" s="7">
        <v>5222.0</v>
      </c>
      <c r="J2751" s="6">
        <v>1975.0</v>
      </c>
      <c r="K2751" s="6">
        <v>92.0</v>
      </c>
      <c r="L2751" s="6" t="s">
        <v>95</v>
      </c>
      <c r="M2751" s="6" t="s">
        <v>11040</v>
      </c>
      <c r="N2751" s="6" t="s">
        <v>24</v>
      </c>
      <c r="O2751" s="6" t="s">
        <v>25</v>
      </c>
      <c r="P2751" s="6">
        <f>COUNTIF(Analysis!$M$1:$M$3001,Analysis!$M2751)</f>
        <v>1</v>
      </c>
      <c r="Q2751" s="6" t="str">
        <f>IF(COUNTIF(Analysis!$M$2:$M$3001,Analysis!$M2751)&gt;1,"Duplicate","OK")</f>
        <v>OK</v>
      </c>
      <c r="R2751" s="6" t="str">
        <f t="shared" si="1"/>
        <v>600-1600</v>
      </c>
      <c r="S2751" s="6">
        <f t="shared" si="2"/>
        <v>51</v>
      </c>
      <c r="T2751" s="6" t="str">
        <f t="shared" si="3"/>
        <v>Old</v>
      </c>
    </row>
    <row r="2752" ht="14.25" customHeight="1">
      <c r="A2752" s="5">
        <v>1154031.0</v>
      </c>
      <c r="B2752" s="6" t="s">
        <v>11043</v>
      </c>
      <c r="C2752" s="6" t="s">
        <v>39</v>
      </c>
      <c r="D2752" s="6">
        <v>85493.0</v>
      </c>
      <c r="E2752" s="6" t="s">
        <v>60</v>
      </c>
      <c r="F2752" s="6" t="s">
        <v>41</v>
      </c>
      <c r="G2752" s="6" t="s">
        <v>100</v>
      </c>
      <c r="H2752" s="7">
        <v>2894.0</v>
      </c>
      <c r="I2752" s="7">
        <v>5902.0</v>
      </c>
      <c r="J2752" s="6">
        <v>1962.0</v>
      </c>
      <c r="K2752" s="6">
        <v>62.0</v>
      </c>
      <c r="L2752" s="6" t="s">
        <v>32</v>
      </c>
      <c r="M2752" s="6" t="s">
        <v>11044</v>
      </c>
      <c r="N2752" s="6" t="s">
        <v>43</v>
      </c>
      <c r="O2752" s="6" t="s">
        <v>35</v>
      </c>
      <c r="P2752" s="6">
        <f>COUNTIF(Analysis!$M$1:$M$3001,Analysis!$M2752)</f>
        <v>1</v>
      </c>
      <c r="Q2752" s="6" t="str">
        <f>IF(COUNTIF(Analysis!$M$2:$M$3001,Analysis!$M2752)&gt;1,"Duplicate","OK")</f>
        <v>OK</v>
      </c>
      <c r="R2752" s="6" t="str">
        <f t="shared" si="1"/>
        <v>2600-3600</v>
      </c>
      <c r="S2752" s="6">
        <f t="shared" si="2"/>
        <v>64</v>
      </c>
      <c r="T2752" s="6" t="str">
        <f t="shared" si="3"/>
        <v>Very Old</v>
      </c>
    </row>
    <row r="2753" ht="14.25" customHeight="1">
      <c r="A2753" s="5">
        <v>1409033.0</v>
      </c>
      <c r="B2753" s="6" t="s">
        <v>1693</v>
      </c>
      <c r="C2753" s="6" t="s">
        <v>29</v>
      </c>
      <c r="D2753" s="6">
        <v>60679.0</v>
      </c>
      <c r="E2753" s="6" t="s">
        <v>19</v>
      </c>
      <c r="F2753" s="6" t="s">
        <v>54</v>
      </c>
      <c r="G2753" s="6" t="s">
        <v>55</v>
      </c>
      <c r="H2753" s="7">
        <v>1952.0</v>
      </c>
      <c r="I2753" s="7">
        <v>6085.0</v>
      </c>
      <c r="J2753" s="6">
        <v>1964.0</v>
      </c>
      <c r="K2753" s="6">
        <v>15.0</v>
      </c>
      <c r="L2753" s="6" t="s">
        <v>62</v>
      </c>
      <c r="M2753" s="6" t="s">
        <v>1694</v>
      </c>
      <c r="N2753" s="6" t="s">
        <v>43</v>
      </c>
      <c r="O2753" s="6" t="s">
        <v>35</v>
      </c>
      <c r="P2753" s="6">
        <f>COUNTIF(Analysis!$M$1:$M$3001,Analysis!$M413)</f>
        <v>1</v>
      </c>
      <c r="Q2753" s="6" t="str">
        <f>IF(COUNTIF(Analysis!$M$2:$M$3001,Analysis!$M413)&gt;1,"Duplicate","OK")</f>
        <v>OK</v>
      </c>
      <c r="R2753" s="6" t="str">
        <f t="shared" si="1"/>
        <v>1600-2600</v>
      </c>
      <c r="S2753" s="6">
        <f t="shared" si="2"/>
        <v>62</v>
      </c>
      <c r="T2753" s="6" t="str">
        <f t="shared" si="3"/>
        <v>Very Old</v>
      </c>
    </row>
    <row r="2754" ht="14.25" customHeight="1">
      <c r="A2754" s="5">
        <v>1411862.0</v>
      </c>
      <c r="B2754" s="6" t="s">
        <v>905</v>
      </c>
      <c r="C2754" s="6" t="s">
        <v>29</v>
      </c>
      <c r="D2754" s="6">
        <v>46679.0</v>
      </c>
      <c r="E2754" s="6" t="s">
        <v>60</v>
      </c>
      <c r="F2754" s="6" t="s">
        <v>54</v>
      </c>
      <c r="G2754" s="6" t="s">
        <v>55</v>
      </c>
      <c r="H2754" s="7">
        <v>650.0</v>
      </c>
      <c r="I2754" s="7">
        <v>2491.0</v>
      </c>
      <c r="J2754" s="6">
        <v>1976.0</v>
      </c>
      <c r="K2754" s="6">
        <v>56.0</v>
      </c>
      <c r="L2754" s="6" t="s">
        <v>95</v>
      </c>
      <c r="M2754" s="6" t="s">
        <v>906</v>
      </c>
      <c r="N2754" s="6" t="s">
        <v>48</v>
      </c>
      <c r="O2754" s="6" t="s">
        <v>49</v>
      </c>
      <c r="P2754" s="6">
        <f>COUNTIF(Analysis!$M$1:$M$3001,Analysis!$M216)</f>
        <v>1</v>
      </c>
      <c r="Q2754" s="6" t="str">
        <f>IF(COUNTIF(Analysis!$M$2:$M$3001,Analysis!$M216)&gt;1,"Duplicate","OK")</f>
        <v>OK</v>
      </c>
      <c r="R2754" s="6" t="str">
        <f t="shared" si="1"/>
        <v>600-1600</v>
      </c>
      <c r="S2754" s="6">
        <f t="shared" si="2"/>
        <v>50</v>
      </c>
      <c r="T2754" s="6" t="str">
        <f t="shared" si="3"/>
        <v>Old</v>
      </c>
    </row>
    <row r="2755" ht="14.25" customHeight="1">
      <c r="A2755" s="5">
        <v>898194.0</v>
      </c>
      <c r="B2755" s="6" t="s">
        <v>11055</v>
      </c>
      <c r="C2755" s="6" t="s">
        <v>76</v>
      </c>
      <c r="D2755" s="6">
        <v>61938.0</v>
      </c>
      <c r="E2755" s="6" t="s">
        <v>19</v>
      </c>
      <c r="F2755" s="6" t="s">
        <v>41</v>
      </c>
      <c r="G2755" s="6" t="s">
        <v>31</v>
      </c>
      <c r="H2755" s="7">
        <v>1602.0</v>
      </c>
      <c r="I2755" s="7">
        <v>5089.0</v>
      </c>
      <c r="J2755" s="6">
        <v>2003.0</v>
      </c>
      <c r="K2755" s="6">
        <v>69.0</v>
      </c>
      <c r="L2755" s="6" t="s">
        <v>141</v>
      </c>
      <c r="M2755" s="6" t="s">
        <v>11056</v>
      </c>
      <c r="N2755" s="6" t="s">
        <v>34</v>
      </c>
      <c r="O2755" s="6" t="s">
        <v>25</v>
      </c>
      <c r="P2755" s="6">
        <f>COUNTIF(Analysis!$M$1:$M$3001,Analysis!$M2755)</f>
        <v>1</v>
      </c>
      <c r="Q2755" s="6" t="str">
        <f>IF(COUNTIF(Analysis!$M$2:$M$3001,Analysis!$M2755)&gt;1,"Duplicate","OK")</f>
        <v>OK</v>
      </c>
      <c r="R2755" s="6" t="str">
        <f t="shared" si="1"/>
        <v>1600-2600</v>
      </c>
      <c r="S2755" s="6">
        <f t="shared" si="2"/>
        <v>23</v>
      </c>
      <c r="T2755" s="6" t="str">
        <f t="shared" si="3"/>
        <v>Mid</v>
      </c>
    </row>
    <row r="2756" ht="14.25" customHeight="1">
      <c r="A2756" s="5">
        <v>761218.0</v>
      </c>
      <c r="B2756" s="6" t="s">
        <v>11059</v>
      </c>
      <c r="C2756" s="6" t="s">
        <v>53</v>
      </c>
      <c r="D2756" s="6">
        <v>10450.0</v>
      </c>
      <c r="E2756" s="6" t="s">
        <v>40</v>
      </c>
      <c r="F2756" s="6" t="s">
        <v>61</v>
      </c>
      <c r="G2756" s="6" t="s">
        <v>55</v>
      </c>
      <c r="H2756" s="7">
        <v>1231.0</v>
      </c>
      <c r="I2756" s="7">
        <v>9555.0</v>
      </c>
      <c r="J2756" s="6">
        <v>1953.0</v>
      </c>
      <c r="K2756" s="6">
        <v>110.0</v>
      </c>
      <c r="L2756" s="6" t="s">
        <v>22</v>
      </c>
      <c r="M2756" s="6" t="s">
        <v>11060</v>
      </c>
      <c r="N2756" s="6" t="s">
        <v>24</v>
      </c>
      <c r="O2756" s="6" t="s">
        <v>25</v>
      </c>
      <c r="P2756" s="6">
        <f>COUNTIF(Analysis!$M$1:$M$3001,Analysis!$M2756)</f>
        <v>1</v>
      </c>
      <c r="Q2756" s="6" t="str">
        <f>IF(COUNTIF(Analysis!$M$2:$M$3001,Analysis!$M2756)&gt;1,"Duplicate","OK")</f>
        <v>OK</v>
      </c>
      <c r="R2756" s="6" t="str">
        <f t="shared" si="1"/>
        <v>600-1600</v>
      </c>
      <c r="S2756" s="6">
        <f t="shared" si="2"/>
        <v>73</v>
      </c>
      <c r="T2756" s="6" t="str">
        <f t="shared" si="3"/>
        <v>Very Old</v>
      </c>
    </row>
    <row r="2757" ht="14.25" customHeight="1">
      <c r="A2757" s="5">
        <v>1123280.0</v>
      </c>
      <c r="B2757" s="6" t="s">
        <v>11063</v>
      </c>
      <c r="C2757" s="6" t="s">
        <v>53</v>
      </c>
      <c r="D2757" s="6">
        <v>22716.0</v>
      </c>
      <c r="E2757" s="6" t="s">
        <v>60</v>
      </c>
      <c r="F2757" s="6" t="s">
        <v>20</v>
      </c>
      <c r="G2757" s="6" t="s">
        <v>31</v>
      </c>
      <c r="H2757" s="7">
        <v>648.0</v>
      </c>
      <c r="I2757" s="7">
        <v>8581.0</v>
      </c>
      <c r="J2757" s="6">
        <v>1968.0</v>
      </c>
      <c r="K2757" s="6">
        <v>105.0</v>
      </c>
      <c r="L2757" s="6" t="s">
        <v>22</v>
      </c>
      <c r="M2757" s="6" t="s">
        <v>11064</v>
      </c>
      <c r="N2757" s="6" t="s">
        <v>43</v>
      </c>
      <c r="O2757" s="6" t="s">
        <v>25</v>
      </c>
      <c r="P2757" s="6">
        <f>COUNTIF(Analysis!$M$1:$M$3001,Analysis!$M2757)</f>
        <v>1</v>
      </c>
      <c r="Q2757" s="6" t="str">
        <f>IF(COUNTIF(Analysis!$M$2:$M$3001,Analysis!$M2757)&gt;1,"Duplicate","OK")</f>
        <v>OK</v>
      </c>
      <c r="R2757" s="6" t="str">
        <f t="shared" si="1"/>
        <v>600-1600</v>
      </c>
      <c r="S2757" s="6">
        <f t="shared" si="2"/>
        <v>58</v>
      </c>
      <c r="T2757" s="6" t="str">
        <f t="shared" si="3"/>
        <v>Old</v>
      </c>
    </row>
    <row r="2758" ht="14.25" customHeight="1">
      <c r="A2758" s="5">
        <v>1097241.0</v>
      </c>
      <c r="B2758" s="6" t="s">
        <v>11067</v>
      </c>
      <c r="C2758" s="6" t="s">
        <v>53</v>
      </c>
      <c r="D2758" s="6">
        <v>29157.0</v>
      </c>
      <c r="E2758" s="6" t="s">
        <v>19</v>
      </c>
      <c r="F2758" s="6" t="s">
        <v>54</v>
      </c>
      <c r="G2758" s="6" t="s">
        <v>31</v>
      </c>
      <c r="H2758" s="7">
        <v>1966.0</v>
      </c>
      <c r="I2758" s="7">
        <v>8982.0</v>
      </c>
      <c r="J2758" s="6">
        <v>1970.0</v>
      </c>
      <c r="K2758" s="6">
        <v>15.0</v>
      </c>
      <c r="L2758" s="6" t="s">
        <v>62</v>
      </c>
      <c r="M2758" s="6" t="s">
        <v>11068</v>
      </c>
      <c r="N2758" s="6" t="s">
        <v>64</v>
      </c>
      <c r="O2758" s="6" t="s">
        <v>35</v>
      </c>
      <c r="P2758" s="6">
        <f>COUNTIF(Analysis!$M$1:$M$3001,Analysis!$M2758)</f>
        <v>1</v>
      </c>
      <c r="Q2758" s="6" t="str">
        <f>IF(COUNTIF(Analysis!$M$2:$M$3001,Analysis!$M2758)&gt;1,"Duplicate","OK")</f>
        <v>OK</v>
      </c>
      <c r="R2758" s="6" t="str">
        <f t="shared" si="1"/>
        <v>1600-2600</v>
      </c>
      <c r="S2758" s="6">
        <f t="shared" si="2"/>
        <v>56</v>
      </c>
      <c r="T2758" s="6" t="str">
        <f t="shared" si="3"/>
        <v>Old</v>
      </c>
    </row>
    <row r="2759" ht="14.25" customHeight="1">
      <c r="A2759" s="5">
        <v>326219.0</v>
      </c>
      <c r="B2759" s="6" t="s">
        <v>11071</v>
      </c>
      <c r="C2759" s="6" t="s">
        <v>18</v>
      </c>
      <c r="D2759" s="6">
        <v>59726.0</v>
      </c>
      <c r="E2759" s="6" t="s">
        <v>60</v>
      </c>
      <c r="F2759" s="6" t="s">
        <v>61</v>
      </c>
      <c r="G2759" s="6" t="s">
        <v>100</v>
      </c>
      <c r="H2759" s="7">
        <v>2476.0</v>
      </c>
      <c r="I2759" s="7">
        <v>8031.0</v>
      </c>
      <c r="J2759" s="6">
        <v>1975.0</v>
      </c>
      <c r="K2759" s="6">
        <v>117.0</v>
      </c>
      <c r="L2759" s="6" t="s">
        <v>22</v>
      </c>
      <c r="M2759" s="6" t="s">
        <v>11072</v>
      </c>
      <c r="N2759" s="6" t="s">
        <v>24</v>
      </c>
      <c r="O2759" s="6" t="s">
        <v>49</v>
      </c>
      <c r="P2759" s="6">
        <f>COUNTIF(Analysis!$M$1:$M$3001,Analysis!$M2759)</f>
        <v>1</v>
      </c>
      <c r="Q2759" s="6" t="str">
        <f>IF(COUNTIF(Analysis!$M$2:$M$3001,Analysis!$M2759)&gt;1,"Duplicate","OK")</f>
        <v>OK</v>
      </c>
      <c r="R2759" s="6" t="str">
        <f t="shared" si="1"/>
        <v>1600-2600</v>
      </c>
      <c r="S2759" s="6">
        <f t="shared" si="2"/>
        <v>51</v>
      </c>
      <c r="T2759" s="6" t="str">
        <f t="shared" si="3"/>
        <v>Old</v>
      </c>
    </row>
    <row r="2760" ht="14.25" customHeight="1">
      <c r="A2760" s="5">
        <v>497194.0</v>
      </c>
      <c r="B2760" s="6" t="s">
        <v>11075</v>
      </c>
      <c r="C2760" s="6" t="s">
        <v>18</v>
      </c>
      <c r="D2760" s="6">
        <v>91619.0</v>
      </c>
      <c r="E2760" s="6" t="s">
        <v>60</v>
      </c>
      <c r="F2760" s="6" t="s">
        <v>54</v>
      </c>
      <c r="G2760" s="6" t="s">
        <v>55</v>
      </c>
      <c r="H2760" s="7">
        <v>1415.0</v>
      </c>
      <c r="I2760" s="7">
        <v>7959.0</v>
      </c>
      <c r="J2760" s="6">
        <v>1997.0</v>
      </c>
      <c r="K2760" s="6">
        <v>1.0</v>
      </c>
      <c r="L2760" s="6" t="s">
        <v>22</v>
      </c>
      <c r="M2760" s="6" t="s">
        <v>11076</v>
      </c>
      <c r="N2760" s="6" t="s">
        <v>24</v>
      </c>
      <c r="O2760" s="6" t="s">
        <v>49</v>
      </c>
      <c r="P2760" s="6">
        <f>COUNTIF(Analysis!$M$1:$M$3001,Analysis!$M2760)</f>
        <v>1</v>
      </c>
      <c r="Q2760" s="6" t="str">
        <f>IF(COUNTIF(Analysis!$M$2:$M$3001,Analysis!$M2760)&gt;1,"Duplicate","OK")</f>
        <v>OK</v>
      </c>
      <c r="R2760" s="6" t="str">
        <f t="shared" si="1"/>
        <v>600-1600</v>
      </c>
      <c r="S2760" s="6">
        <f t="shared" si="2"/>
        <v>29</v>
      </c>
      <c r="T2760" s="6" t="str">
        <f t="shared" si="3"/>
        <v>Mid</v>
      </c>
    </row>
    <row r="2761" ht="14.25" customHeight="1">
      <c r="A2761" s="5">
        <v>467982.0</v>
      </c>
      <c r="B2761" s="6" t="s">
        <v>11079</v>
      </c>
      <c r="C2761" s="6" t="s">
        <v>76</v>
      </c>
      <c r="D2761" s="6">
        <v>85729.0</v>
      </c>
      <c r="E2761" s="6" t="s">
        <v>40</v>
      </c>
      <c r="F2761" s="6" t="s">
        <v>54</v>
      </c>
      <c r="G2761" s="6" t="s">
        <v>100</v>
      </c>
      <c r="H2761" s="7">
        <v>1570.0</v>
      </c>
      <c r="I2761" s="7">
        <v>6802.0</v>
      </c>
      <c r="J2761" s="6">
        <v>1978.0</v>
      </c>
      <c r="K2761" s="6">
        <v>69.0</v>
      </c>
      <c r="L2761" s="6" t="s">
        <v>22</v>
      </c>
      <c r="M2761" s="6" t="s">
        <v>11080</v>
      </c>
      <c r="N2761" s="6" t="s">
        <v>64</v>
      </c>
      <c r="O2761" s="6" t="s">
        <v>49</v>
      </c>
      <c r="P2761" s="6">
        <f>COUNTIF(Analysis!$M$1:$M$3001,Analysis!$M2761)</f>
        <v>1</v>
      </c>
      <c r="Q2761" s="6" t="str">
        <f>IF(COUNTIF(Analysis!$M$2:$M$3001,Analysis!$M2761)&gt;1,"Duplicate","OK")</f>
        <v>OK</v>
      </c>
      <c r="R2761" s="6" t="str">
        <f t="shared" si="1"/>
        <v>600-1600</v>
      </c>
      <c r="S2761" s="6">
        <f t="shared" si="2"/>
        <v>48</v>
      </c>
      <c r="T2761" s="6" t="str">
        <f t="shared" si="3"/>
        <v>Old</v>
      </c>
    </row>
    <row r="2762" ht="14.25" customHeight="1">
      <c r="A2762" s="5">
        <v>310809.0</v>
      </c>
      <c r="B2762" s="6" t="s">
        <v>11083</v>
      </c>
      <c r="C2762" s="6" t="s">
        <v>76</v>
      </c>
      <c r="D2762" s="6">
        <v>22633.0</v>
      </c>
      <c r="E2762" s="6" t="s">
        <v>30</v>
      </c>
      <c r="F2762" s="6" t="s">
        <v>41</v>
      </c>
      <c r="G2762" s="6" t="s">
        <v>21</v>
      </c>
      <c r="H2762" s="7">
        <v>1324.0</v>
      </c>
      <c r="I2762" s="7">
        <v>4687.0</v>
      </c>
      <c r="J2762" s="6">
        <v>1971.0</v>
      </c>
      <c r="K2762" s="6">
        <v>37.0</v>
      </c>
      <c r="L2762" s="6" t="s">
        <v>95</v>
      </c>
      <c r="M2762" s="6" t="s">
        <v>11084</v>
      </c>
      <c r="N2762" s="6" t="s">
        <v>43</v>
      </c>
      <c r="O2762" s="6" t="s">
        <v>25</v>
      </c>
      <c r="P2762" s="6">
        <f>COUNTIF(Analysis!$M$1:$M$3001,Analysis!$M2762)</f>
        <v>1</v>
      </c>
      <c r="Q2762" s="6" t="str">
        <f>IF(COUNTIF(Analysis!$M$2:$M$3001,Analysis!$M2762)&gt;1,"Duplicate","OK")</f>
        <v>OK</v>
      </c>
      <c r="R2762" s="6" t="str">
        <f t="shared" si="1"/>
        <v>600-1600</v>
      </c>
      <c r="S2762" s="6">
        <f t="shared" si="2"/>
        <v>55</v>
      </c>
      <c r="T2762" s="6" t="str">
        <f t="shared" si="3"/>
        <v>Old</v>
      </c>
    </row>
    <row r="2763" ht="14.25" customHeight="1">
      <c r="A2763" s="5">
        <v>905495.0</v>
      </c>
      <c r="B2763" s="6" t="s">
        <v>11087</v>
      </c>
      <c r="C2763" s="6" t="s">
        <v>76</v>
      </c>
      <c r="D2763" s="6">
        <v>46688.0</v>
      </c>
      <c r="E2763" s="6" t="s">
        <v>60</v>
      </c>
      <c r="F2763" s="6" t="s">
        <v>61</v>
      </c>
      <c r="G2763" s="6" t="s">
        <v>31</v>
      </c>
      <c r="H2763" s="7">
        <v>3357.0</v>
      </c>
      <c r="I2763" s="7">
        <v>4463.0</v>
      </c>
      <c r="J2763" s="6">
        <v>2006.0</v>
      </c>
      <c r="K2763" s="6">
        <v>2.0</v>
      </c>
      <c r="L2763" s="6" t="s">
        <v>22</v>
      </c>
      <c r="M2763" s="6" t="s">
        <v>11088</v>
      </c>
      <c r="N2763" s="6" t="s">
        <v>24</v>
      </c>
      <c r="O2763" s="6" t="s">
        <v>49</v>
      </c>
      <c r="P2763" s="6">
        <f>COUNTIF(Analysis!$M$1:$M$3001,Analysis!$M2763)</f>
        <v>1</v>
      </c>
      <c r="Q2763" s="6" t="str">
        <f>IF(COUNTIF(Analysis!$M$2:$M$3001,Analysis!$M2763)&gt;1,"Duplicate","OK")</f>
        <v>OK</v>
      </c>
      <c r="R2763" s="6" t="str">
        <f t="shared" si="1"/>
        <v>2600-3600</v>
      </c>
      <c r="S2763" s="6">
        <f t="shared" si="2"/>
        <v>20</v>
      </c>
      <c r="T2763" s="6" t="str">
        <f t="shared" si="3"/>
        <v>Mid</v>
      </c>
    </row>
    <row r="2764" ht="14.25" customHeight="1">
      <c r="A2764" s="5">
        <v>1168371.0</v>
      </c>
      <c r="B2764" s="6" t="s">
        <v>11091</v>
      </c>
      <c r="C2764" s="6" t="s">
        <v>18</v>
      </c>
      <c r="D2764" s="6">
        <v>33706.0</v>
      </c>
      <c r="E2764" s="6" t="s">
        <v>19</v>
      </c>
      <c r="F2764" s="6" t="s">
        <v>54</v>
      </c>
      <c r="G2764" s="6" t="s">
        <v>31</v>
      </c>
      <c r="H2764" s="7">
        <v>3745.0</v>
      </c>
      <c r="I2764" s="7">
        <v>8422.0</v>
      </c>
      <c r="J2764" s="6">
        <v>1969.0</v>
      </c>
      <c r="K2764" s="6">
        <v>114.0</v>
      </c>
      <c r="L2764" s="6" t="s">
        <v>22</v>
      </c>
      <c r="M2764" s="6" t="s">
        <v>11092</v>
      </c>
      <c r="N2764" s="6" t="s">
        <v>48</v>
      </c>
      <c r="O2764" s="6" t="s">
        <v>49</v>
      </c>
      <c r="P2764" s="6">
        <f>COUNTIF(Analysis!$M$1:$M$3001,Analysis!$M2764)</f>
        <v>1</v>
      </c>
      <c r="Q2764" s="6" t="str">
        <f>IF(COUNTIF(Analysis!$M$2:$M$3001,Analysis!$M2764)&gt;1,"Duplicate","OK")</f>
        <v>OK</v>
      </c>
      <c r="R2764" s="6" t="str">
        <f t="shared" si="1"/>
        <v>3600+</v>
      </c>
      <c r="S2764" s="6">
        <f t="shared" si="2"/>
        <v>57</v>
      </c>
      <c r="T2764" s="6" t="str">
        <f t="shared" si="3"/>
        <v>Old</v>
      </c>
    </row>
    <row r="2765" ht="14.25" customHeight="1">
      <c r="A2765" s="5">
        <v>497042.0</v>
      </c>
      <c r="B2765" s="6" t="s">
        <v>11095</v>
      </c>
      <c r="C2765" s="6" t="s">
        <v>39</v>
      </c>
      <c r="D2765" s="6">
        <v>95684.0</v>
      </c>
      <c r="E2765" s="6" t="s">
        <v>60</v>
      </c>
      <c r="F2765" s="6" t="s">
        <v>20</v>
      </c>
      <c r="G2765" s="6" t="s">
        <v>31</v>
      </c>
      <c r="H2765" s="7">
        <v>2184.0</v>
      </c>
      <c r="I2765" s="7">
        <v>4604.0</v>
      </c>
      <c r="J2765" s="6">
        <v>1964.0</v>
      </c>
      <c r="K2765" s="6">
        <v>95.0</v>
      </c>
      <c r="L2765" s="6" t="s">
        <v>32</v>
      </c>
      <c r="M2765" s="6" t="s">
        <v>11096</v>
      </c>
      <c r="N2765" s="6" t="s">
        <v>34</v>
      </c>
      <c r="O2765" s="6" t="s">
        <v>35</v>
      </c>
      <c r="P2765" s="6">
        <f>COUNTIF(Analysis!$M$1:$M$3001,Analysis!$M2765)</f>
        <v>1</v>
      </c>
      <c r="Q2765" s="6" t="str">
        <f>IF(COUNTIF(Analysis!$M$2:$M$3001,Analysis!$M2765)&gt;1,"Duplicate","OK")</f>
        <v>OK</v>
      </c>
      <c r="R2765" s="6" t="str">
        <f t="shared" si="1"/>
        <v>1600-2600</v>
      </c>
      <c r="S2765" s="6">
        <f t="shared" si="2"/>
        <v>62</v>
      </c>
      <c r="T2765" s="6" t="str">
        <f t="shared" si="3"/>
        <v>Very Old</v>
      </c>
    </row>
    <row r="2766" ht="14.25" customHeight="1">
      <c r="A2766" s="5">
        <v>814719.0</v>
      </c>
      <c r="B2766" s="6" t="s">
        <v>11099</v>
      </c>
      <c r="C2766" s="6" t="s">
        <v>53</v>
      </c>
      <c r="D2766" s="6">
        <v>72653.0</v>
      </c>
      <c r="E2766" s="6" t="s">
        <v>40</v>
      </c>
      <c r="F2766" s="6" t="s">
        <v>54</v>
      </c>
      <c r="G2766" s="6" t="s">
        <v>21</v>
      </c>
      <c r="H2766" s="7">
        <v>3214.0</v>
      </c>
      <c r="I2766" s="7">
        <v>4862.0</v>
      </c>
      <c r="J2766" s="6">
        <v>1966.0</v>
      </c>
      <c r="K2766" s="6">
        <v>30.0</v>
      </c>
      <c r="L2766" s="6" t="s">
        <v>141</v>
      </c>
      <c r="M2766" s="6" t="s">
        <v>11100</v>
      </c>
      <c r="N2766" s="6" t="s">
        <v>48</v>
      </c>
      <c r="O2766" s="6" t="s">
        <v>49</v>
      </c>
      <c r="P2766" s="6">
        <f>COUNTIF(Analysis!$M$1:$M$3001,Analysis!$M2766)</f>
        <v>1</v>
      </c>
      <c r="Q2766" s="6" t="str">
        <f>IF(COUNTIF(Analysis!$M$2:$M$3001,Analysis!$M2766)&gt;1,"Duplicate","OK")</f>
        <v>OK</v>
      </c>
      <c r="R2766" s="6" t="str">
        <f t="shared" si="1"/>
        <v>2600-3600</v>
      </c>
      <c r="S2766" s="6">
        <f t="shared" si="2"/>
        <v>60</v>
      </c>
      <c r="T2766" s="6" t="str">
        <f t="shared" si="3"/>
        <v>Old</v>
      </c>
    </row>
    <row r="2767" ht="14.25" customHeight="1">
      <c r="A2767" s="5">
        <v>842595.0</v>
      </c>
      <c r="B2767" s="6" t="s">
        <v>11103</v>
      </c>
      <c r="C2767" s="6" t="s">
        <v>53</v>
      </c>
      <c r="D2767" s="6">
        <v>20558.0</v>
      </c>
      <c r="E2767" s="6" t="s">
        <v>77</v>
      </c>
      <c r="F2767" s="6" t="s">
        <v>20</v>
      </c>
      <c r="G2767" s="6" t="s">
        <v>21</v>
      </c>
      <c r="H2767" s="7">
        <v>2759.0</v>
      </c>
      <c r="I2767" s="7">
        <v>8828.0</v>
      </c>
      <c r="J2767" s="6">
        <v>1981.0</v>
      </c>
      <c r="K2767" s="6">
        <v>80.0</v>
      </c>
      <c r="L2767" s="6" t="s">
        <v>32</v>
      </c>
      <c r="M2767" s="6" t="s">
        <v>11104</v>
      </c>
      <c r="N2767" s="6" t="s">
        <v>43</v>
      </c>
      <c r="O2767" s="6" t="s">
        <v>35</v>
      </c>
      <c r="P2767" s="6">
        <f>COUNTIF(Analysis!$M$1:$M$3001,Analysis!$M2767)</f>
        <v>1</v>
      </c>
      <c r="Q2767" s="6" t="str">
        <f>IF(COUNTIF(Analysis!$M$2:$M$3001,Analysis!$M2767)&gt;1,"Duplicate","OK")</f>
        <v>OK</v>
      </c>
      <c r="R2767" s="6" t="str">
        <f t="shared" si="1"/>
        <v>2600-3600</v>
      </c>
      <c r="S2767" s="6">
        <f t="shared" si="2"/>
        <v>45</v>
      </c>
      <c r="T2767" s="6" t="str">
        <f t="shared" si="3"/>
        <v>Old</v>
      </c>
    </row>
    <row r="2768" ht="14.25" customHeight="1">
      <c r="A2768" s="5">
        <v>1167635.0</v>
      </c>
      <c r="B2768" s="6" t="s">
        <v>11107</v>
      </c>
      <c r="C2768" s="6" t="s">
        <v>18</v>
      </c>
      <c r="D2768" s="6">
        <v>63355.0</v>
      </c>
      <c r="E2768" s="6" t="s">
        <v>40</v>
      </c>
      <c r="F2768" s="6" t="s">
        <v>20</v>
      </c>
      <c r="G2768" s="6" t="s">
        <v>21</v>
      </c>
      <c r="H2768" s="7">
        <v>2563.0</v>
      </c>
      <c r="I2768" s="7">
        <v>4314.0</v>
      </c>
      <c r="J2768" s="6">
        <v>1991.0</v>
      </c>
      <c r="K2768" s="6">
        <v>66.0</v>
      </c>
      <c r="L2768" s="6" t="s">
        <v>22</v>
      </c>
      <c r="M2768" s="6" t="s">
        <v>11108</v>
      </c>
      <c r="N2768" s="6" t="s">
        <v>64</v>
      </c>
      <c r="O2768" s="6" t="s">
        <v>49</v>
      </c>
      <c r="P2768" s="6">
        <f>COUNTIF(Analysis!$M$1:$M$3001,Analysis!$M2768)</f>
        <v>1</v>
      </c>
      <c r="Q2768" s="6" t="str">
        <f>IF(COUNTIF(Analysis!$M$2:$M$3001,Analysis!$M2768)&gt;1,"Duplicate","OK")</f>
        <v>OK</v>
      </c>
      <c r="R2768" s="6" t="str">
        <f t="shared" si="1"/>
        <v>1600-2600</v>
      </c>
      <c r="S2768" s="6">
        <f t="shared" si="2"/>
        <v>35</v>
      </c>
      <c r="T2768" s="6" t="str">
        <f t="shared" si="3"/>
        <v>Old</v>
      </c>
    </row>
    <row r="2769" ht="14.25" customHeight="1">
      <c r="A2769" s="5">
        <v>1417416.0</v>
      </c>
      <c r="B2769" s="6" t="s">
        <v>11111</v>
      </c>
      <c r="C2769" s="6" t="s">
        <v>53</v>
      </c>
      <c r="D2769" s="6">
        <v>78697.0</v>
      </c>
      <c r="E2769" s="6" t="s">
        <v>19</v>
      </c>
      <c r="F2769" s="6" t="s">
        <v>46</v>
      </c>
      <c r="G2769" s="6" t="s">
        <v>31</v>
      </c>
      <c r="H2769" s="7">
        <v>1316.0</v>
      </c>
      <c r="I2769" s="7">
        <v>7936.0</v>
      </c>
      <c r="J2769" s="6">
        <v>2015.0</v>
      </c>
      <c r="K2769" s="6">
        <v>115.0</v>
      </c>
      <c r="L2769" s="6" t="s">
        <v>32</v>
      </c>
      <c r="M2769" s="6" t="s">
        <v>11112</v>
      </c>
      <c r="N2769" s="6" t="s">
        <v>34</v>
      </c>
      <c r="O2769" s="6" t="s">
        <v>25</v>
      </c>
      <c r="P2769" s="6">
        <f>COUNTIF(Analysis!$M$1:$M$3001,Analysis!$M2769)</f>
        <v>1</v>
      </c>
      <c r="Q2769" s="6" t="str">
        <f>IF(COUNTIF(Analysis!$M$2:$M$3001,Analysis!$M2769)&gt;1,"Duplicate","OK")</f>
        <v>OK</v>
      </c>
      <c r="R2769" s="6" t="str">
        <f t="shared" si="1"/>
        <v>600-1600</v>
      </c>
      <c r="S2769" s="6">
        <f t="shared" si="2"/>
        <v>11</v>
      </c>
      <c r="T2769" s="6" t="str">
        <f t="shared" si="3"/>
        <v>Mid</v>
      </c>
    </row>
    <row r="2770" ht="14.25" customHeight="1">
      <c r="A2770" s="5">
        <v>846925.0</v>
      </c>
      <c r="B2770" s="6" t="s">
        <v>11115</v>
      </c>
      <c r="C2770" s="6" t="s">
        <v>53</v>
      </c>
      <c r="D2770" s="6">
        <v>12354.0</v>
      </c>
      <c r="E2770" s="6" t="s">
        <v>60</v>
      </c>
      <c r="F2770" s="6" t="s">
        <v>20</v>
      </c>
      <c r="G2770" s="6" t="s">
        <v>21</v>
      </c>
      <c r="H2770" s="7">
        <v>3915.0</v>
      </c>
      <c r="I2770" s="7">
        <v>2511.0</v>
      </c>
      <c r="J2770" s="6">
        <v>2004.0</v>
      </c>
      <c r="K2770" s="6">
        <v>75.0</v>
      </c>
      <c r="L2770" s="6" t="s">
        <v>32</v>
      </c>
      <c r="M2770" s="6" t="s">
        <v>11116</v>
      </c>
      <c r="N2770" s="6" t="s">
        <v>48</v>
      </c>
      <c r="O2770" s="6" t="s">
        <v>35</v>
      </c>
      <c r="P2770" s="6">
        <f>COUNTIF(Analysis!$M$1:$M$3001,Analysis!$M2770)</f>
        <v>1</v>
      </c>
      <c r="Q2770" s="6" t="str">
        <f>IF(COUNTIF(Analysis!$M$2:$M$3001,Analysis!$M2770)&gt;1,"Duplicate","OK")</f>
        <v>OK</v>
      </c>
      <c r="R2770" s="6" t="str">
        <f t="shared" si="1"/>
        <v>3600+</v>
      </c>
      <c r="S2770" s="6">
        <f t="shared" si="2"/>
        <v>22</v>
      </c>
      <c r="T2770" s="6" t="str">
        <f t="shared" si="3"/>
        <v>Mid</v>
      </c>
    </row>
    <row r="2771" ht="14.25" customHeight="1">
      <c r="A2771" s="5">
        <v>524335.0</v>
      </c>
      <c r="B2771" s="6" t="s">
        <v>11119</v>
      </c>
      <c r="C2771" s="6" t="s">
        <v>39</v>
      </c>
      <c r="D2771" s="6">
        <v>74852.0</v>
      </c>
      <c r="E2771" s="6" t="s">
        <v>19</v>
      </c>
      <c r="F2771" s="6" t="s">
        <v>41</v>
      </c>
      <c r="G2771" s="6" t="s">
        <v>21</v>
      </c>
      <c r="H2771" s="7">
        <v>1903.0</v>
      </c>
      <c r="I2771" s="7">
        <v>8722.0</v>
      </c>
      <c r="J2771" s="6">
        <v>1954.0</v>
      </c>
      <c r="K2771" s="6">
        <v>73.0</v>
      </c>
      <c r="L2771" s="6" t="s">
        <v>22</v>
      </c>
      <c r="M2771" s="6" t="s">
        <v>11120</v>
      </c>
      <c r="N2771" s="6" t="s">
        <v>48</v>
      </c>
      <c r="O2771" s="6" t="s">
        <v>35</v>
      </c>
      <c r="P2771" s="6">
        <f>COUNTIF(Analysis!$M$1:$M$3001,Analysis!$M2771)</f>
        <v>1</v>
      </c>
      <c r="Q2771" s="6" t="str">
        <f>IF(COUNTIF(Analysis!$M$2:$M$3001,Analysis!$M2771)&gt;1,"Duplicate","OK")</f>
        <v>OK</v>
      </c>
      <c r="R2771" s="6" t="str">
        <f t="shared" si="1"/>
        <v>1600-2600</v>
      </c>
      <c r="S2771" s="6">
        <f t="shared" si="2"/>
        <v>72</v>
      </c>
      <c r="T2771" s="6" t="str">
        <f t="shared" si="3"/>
        <v>Very Old</v>
      </c>
    </row>
    <row r="2772" ht="14.25" customHeight="1">
      <c r="A2772" s="5">
        <v>161115.0</v>
      </c>
      <c r="B2772" s="6" t="s">
        <v>11123</v>
      </c>
      <c r="C2772" s="6" t="s">
        <v>18</v>
      </c>
      <c r="D2772" s="6">
        <v>95539.0</v>
      </c>
      <c r="E2772" s="6" t="s">
        <v>19</v>
      </c>
      <c r="F2772" s="6" t="s">
        <v>46</v>
      </c>
      <c r="G2772" s="6" t="s">
        <v>100</v>
      </c>
      <c r="H2772" s="7">
        <v>3778.0</v>
      </c>
      <c r="I2772" s="7">
        <v>7161.0</v>
      </c>
      <c r="J2772" s="6">
        <v>2022.0</v>
      </c>
      <c r="K2772" s="6">
        <v>113.0</v>
      </c>
      <c r="L2772" s="6" t="s">
        <v>95</v>
      </c>
      <c r="M2772" s="6" t="s">
        <v>11124</v>
      </c>
      <c r="N2772" s="6" t="s">
        <v>48</v>
      </c>
      <c r="O2772" s="6" t="s">
        <v>35</v>
      </c>
      <c r="P2772" s="6">
        <f>COUNTIF(Analysis!$M$1:$M$3001,Analysis!$M2772)</f>
        <v>1</v>
      </c>
      <c r="Q2772" s="6" t="str">
        <f>IF(COUNTIF(Analysis!$M$2:$M$3001,Analysis!$M2772)&gt;1,"Duplicate","OK")</f>
        <v>OK</v>
      </c>
      <c r="R2772" s="6" t="str">
        <f t="shared" si="1"/>
        <v>3600+</v>
      </c>
      <c r="S2772" s="6">
        <f t="shared" si="2"/>
        <v>4</v>
      </c>
      <c r="T2772" s="6" t="str">
        <f t="shared" si="3"/>
        <v>New</v>
      </c>
    </row>
    <row r="2773" ht="14.25" customHeight="1">
      <c r="A2773" s="5">
        <v>1029390.0</v>
      </c>
      <c r="B2773" s="6" t="s">
        <v>11127</v>
      </c>
      <c r="C2773" s="6" t="s">
        <v>39</v>
      </c>
      <c r="D2773" s="6">
        <v>68089.0</v>
      </c>
      <c r="E2773" s="6" t="s">
        <v>40</v>
      </c>
      <c r="F2773" s="6" t="s">
        <v>20</v>
      </c>
      <c r="G2773" s="6" t="s">
        <v>21</v>
      </c>
      <c r="H2773" s="7">
        <v>929.0</v>
      </c>
      <c r="I2773" s="7">
        <v>4554.0</v>
      </c>
      <c r="J2773" s="6">
        <v>2006.0</v>
      </c>
      <c r="K2773" s="6">
        <v>73.0</v>
      </c>
      <c r="L2773" s="6" t="s">
        <v>62</v>
      </c>
      <c r="M2773" s="6" t="s">
        <v>11128</v>
      </c>
      <c r="N2773" s="6" t="s">
        <v>34</v>
      </c>
      <c r="O2773" s="6" t="s">
        <v>35</v>
      </c>
      <c r="P2773" s="6">
        <f>COUNTIF(Analysis!$M$1:$M$3001,Analysis!$M2773)</f>
        <v>1</v>
      </c>
      <c r="Q2773" s="6" t="str">
        <f>IF(COUNTIF(Analysis!$M$2:$M$3001,Analysis!$M2773)&gt;1,"Duplicate","OK")</f>
        <v>OK</v>
      </c>
      <c r="R2773" s="6" t="str">
        <f t="shared" si="1"/>
        <v>600-1600</v>
      </c>
      <c r="S2773" s="6">
        <f t="shared" si="2"/>
        <v>20</v>
      </c>
      <c r="T2773" s="6" t="str">
        <f t="shared" si="3"/>
        <v>Mid</v>
      </c>
    </row>
    <row r="2774" ht="14.25" customHeight="1">
      <c r="A2774" s="5">
        <v>621411.0</v>
      </c>
      <c r="B2774" s="6" t="s">
        <v>11131</v>
      </c>
      <c r="C2774" s="6" t="s">
        <v>39</v>
      </c>
      <c r="D2774" s="6">
        <v>12493.0</v>
      </c>
      <c r="E2774" s="6" t="s">
        <v>40</v>
      </c>
      <c r="F2774" s="6" t="s">
        <v>20</v>
      </c>
      <c r="G2774" s="6" t="s">
        <v>21</v>
      </c>
      <c r="H2774" s="7">
        <v>1886.0</v>
      </c>
      <c r="I2774" s="7">
        <v>7607.0</v>
      </c>
      <c r="J2774" s="6">
        <v>2011.0</v>
      </c>
      <c r="K2774" s="6">
        <v>94.0</v>
      </c>
      <c r="L2774" s="6" t="s">
        <v>22</v>
      </c>
      <c r="M2774" s="6" t="s">
        <v>11132</v>
      </c>
      <c r="N2774" s="6" t="s">
        <v>34</v>
      </c>
      <c r="O2774" s="6" t="s">
        <v>49</v>
      </c>
      <c r="P2774" s="6">
        <f>COUNTIF(Analysis!$M$1:$M$3001,Analysis!$M2774)</f>
        <v>1</v>
      </c>
      <c r="Q2774" s="6" t="str">
        <f>IF(COUNTIF(Analysis!$M$2:$M$3001,Analysis!$M2774)&gt;1,"Duplicate","OK")</f>
        <v>OK</v>
      </c>
      <c r="R2774" s="6" t="str">
        <f t="shared" si="1"/>
        <v>1600-2600</v>
      </c>
      <c r="S2774" s="6">
        <f t="shared" si="2"/>
        <v>15</v>
      </c>
      <c r="T2774" s="6" t="str">
        <f t="shared" si="3"/>
        <v>Mid</v>
      </c>
    </row>
    <row r="2775" ht="14.25" customHeight="1">
      <c r="A2775" s="5">
        <v>1174887.0</v>
      </c>
      <c r="B2775" s="6" t="s">
        <v>11135</v>
      </c>
      <c r="C2775" s="6" t="s">
        <v>39</v>
      </c>
      <c r="D2775" s="6">
        <v>35806.0</v>
      </c>
      <c r="E2775" s="6" t="s">
        <v>77</v>
      </c>
      <c r="F2775" s="6" t="s">
        <v>41</v>
      </c>
      <c r="G2775" s="6" t="s">
        <v>55</v>
      </c>
      <c r="H2775" s="7">
        <v>3030.0</v>
      </c>
      <c r="I2775" s="7">
        <v>9270.0</v>
      </c>
      <c r="J2775" s="6">
        <v>1971.0</v>
      </c>
      <c r="K2775" s="6">
        <v>32.0</v>
      </c>
      <c r="L2775" s="6" t="s">
        <v>95</v>
      </c>
      <c r="M2775" s="6" t="s">
        <v>11136</v>
      </c>
      <c r="N2775" s="6" t="s">
        <v>43</v>
      </c>
      <c r="O2775" s="6" t="s">
        <v>49</v>
      </c>
      <c r="P2775" s="6">
        <f>COUNTIF(Analysis!$M$1:$M$3001,Analysis!$M2775)</f>
        <v>1</v>
      </c>
      <c r="Q2775" s="6" t="str">
        <f>IF(COUNTIF(Analysis!$M$2:$M$3001,Analysis!$M2775)&gt;1,"Duplicate","OK")</f>
        <v>OK</v>
      </c>
      <c r="R2775" s="6" t="str">
        <f t="shared" si="1"/>
        <v>2600-3600</v>
      </c>
      <c r="S2775" s="6">
        <f t="shared" si="2"/>
        <v>55</v>
      </c>
      <c r="T2775" s="6" t="str">
        <f t="shared" si="3"/>
        <v>Old</v>
      </c>
    </row>
    <row r="2776" ht="14.25" customHeight="1">
      <c r="A2776" s="5">
        <v>1412041.0</v>
      </c>
      <c r="B2776" s="6" t="s">
        <v>8352</v>
      </c>
      <c r="C2776" s="6" t="s">
        <v>29</v>
      </c>
      <c r="D2776" s="6">
        <v>93941.0</v>
      </c>
      <c r="E2776" s="6" t="s">
        <v>19</v>
      </c>
      <c r="F2776" s="6" t="s">
        <v>94</v>
      </c>
      <c r="G2776" s="6" t="s">
        <v>21</v>
      </c>
      <c r="H2776" s="7">
        <v>3739.0</v>
      </c>
      <c r="I2776" s="7">
        <v>3026.0</v>
      </c>
      <c r="J2776" s="6">
        <v>2009.0</v>
      </c>
      <c r="K2776" s="6">
        <v>119.0</v>
      </c>
      <c r="L2776" s="6" t="s">
        <v>32</v>
      </c>
      <c r="M2776" s="6" t="s">
        <v>8353</v>
      </c>
      <c r="N2776" s="6" t="s">
        <v>64</v>
      </c>
      <c r="O2776" s="6" t="s">
        <v>25</v>
      </c>
      <c r="P2776" s="6">
        <f>COUNTIF(Analysis!$M$1:$M$3001,Analysis!$M2079)</f>
        <v>1</v>
      </c>
      <c r="Q2776" s="6" t="str">
        <f>IF(COUNTIF(Analysis!$M$2:$M$3001,Analysis!$M2079)&gt;1,"Duplicate","OK")</f>
        <v>OK</v>
      </c>
      <c r="R2776" s="6" t="str">
        <f t="shared" si="1"/>
        <v>3600+</v>
      </c>
      <c r="S2776" s="6">
        <f t="shared" si="2"/>
        <v>17</v>
      </c>
      <c r="T2776" s="6" t="str">
        <f t="shared" si="3"/>
        <v>Mid</v>
      </c>
    </row>
    <row r="2777" ht="14.25" customHeight="1">
      <c r="A2777" s="5">
        <v>356873.0</v>
      </c>
      <c r="B2777" s="6" t="s">
        <v>11143</v>
      </c>
      <c r="C2777" s="6" t="s">
        <v>53</v>
      </c>
      <c r="D2777" s="6">
        <v>70880.0</v>
      </c>
      <c r="E2777" s="6" t="s">
        <v>40</v>
      </c>
      <c r="F2777" s="6" t="s">
        <v>54</v>
      </c>
      <c r="G2777" s="6" t="s">
        <v>31</v>
      </c>
      <c r="H2777" s="7">
        <v>2438.0</v>
      </c>
      <c r="I2777" s="7">
        <v>1003.0</v>
      </c>
      <c r="J2777" s="6">
        <v>2022.0</v>
      </c>
      <c r="K2777" s="6">
        <v>87.0</v>
      </c>
      <c r="L2777" s="6" t="s">
        <v>22</v>
      </c>
      <c r="M2777" s="6" t="s">
        <v>11144</v>
      </c>
      <c r="N2777" s="6" t="s">
        <v>24</v>
      </c>
      <c r="O2777" s="6" t="s">
        <v>35</v>
      </c>
      <c r="P2777" s="6">
        <f>COUNTIF(Analysis!$M$1:$M$3001,Analysis!$M2777)</f>
        <v>1</v>
      </c>
      <c r="Q2777" s="6" t="str">
        <f>IF(COUNTIF(Analysis!$M$2:$M$3001,Analysis!$M2777)&gt;1,"Duplicate","OK")</f>
        <v>OK</v>
      </c>
      <c r="R2777" s="6" t="str">
        <f t="shared" si="1"/>
        <v>1600-2600</v>
      </c>
      <c r="S2777" s="6">
        <f t="shared" si="2"/>
        <v>4</v>
      </c>
      <c r="T2777" s="6" t="str">
        <f t="shared" si="3"/>
        <v>New</v>
      </c>
    </row>
    <row r="2778" ht="14.25" customHeight="1">
      <c r="A2778" s="5">
        <v>818587.0</v>
      </c>
      <c r="B2778" s="6" t="s">
        <v>11147</v>
      </c>
      <c r="C2778" s="6" t="s">
        <v>76</v>
      </c>
      <c r="D2778" s="6">
        <v>83451.0</v>
      </c>
      <c r="E2778" s="6" t="s">
        <v>77</v>
      </c>
      <c r="F2778" s="6" t="s">
        <v>20</v>
      </c>
      <c r="G2778" s="6" t="s">
        <v>100</v>
      </c>
      <c r="H2778" s="7">
        <v>1489.0</v>
      </c>
      <c r="I2778" s="7">
        <v>3854.0</v>
      </c>
      <c r="J2778" s="6">
        <v>2019.0</v>
      </c>
      <c r="K2778" s="6">
        <v>67.0</v>
      </c>
      <c r="L2778" s="6" t="s">
        <v>141</v>
      </c>
      <c r="M2778" s="6" t="s">
        <v>11148</v>
      </c>
      <c r="N2778" s="6" t="s">
        <v>48</v>
      </c>
      <c r="O2778" s="6" t="s">
        <v>49</v>
      </c>
      <c r="P2778" s="6">
        <f>COUNTIF(Analysis!$M$1:$M$3001,Analysis!$M2778)</f>
        <v>1</v>
      </c>
      <c r="Q2778" s="6" t="str">
        <f>IF(COUNTIF(Analysis!$M$2:$M$3001,Analysis!$M2778)&gt;1,"Duplicate","OK")</f>
        <v>OK</v>
      </c>
      <c r="R2778" s="6" t="str">
        <f t="shared" si="1"/>
        <v>600-1600</v>
      </c>
      <c r="S2778" s="6">
        <f t="shared" si="2"/>
        <v>7</v>
      </c>
      <c r="T2778" s="6" t="str">
        <f t="shared" si="3"/>
        <v>New</v>
      </c>
    </row>
    <row r="2779" ht="14.25" customHeight="1">
      <c r="A2779" s="5">
        <v>1241620.0</v>
      </c>
      <c r="B2779" s="6" t="s">
        <v>11151</v>
      </c>
      <c r="C2779" s="6" t="s">
        <v>53</v>
      </c>
      <c r="D2779" s="6">
        <v>85992.0</v>
      </c>
      <c r="E2779" s="6" t="s">
        <v>77</v>
      </c>
      <c r="F2779" s="6" t="s">
        <v>41</v>
      </c>
      <c r="G2779" s="6" t="s">
        <v>21</v>
      </c>
      <c r="H2779" s="7">
        <v>2498.0</v>
      </c>
      <c r="I2779" s="7">
        <v>9715.0</v>
      </c>
      <c r="J2779" s="6">
        <v>2011.0</v>
      </c>
      <c r="K2779" s="6">
        <v>13.0</v>
      </c>
      <c r="L2779" s="6" t="s">
        <v>22</v>
      </c>
      <c r="M2779" s="6" t="s">
        <v>11152</v>
      </c>
      <c r="N2779" s="6" t="s">
        <v>64</v>
      </c>
      <c r="O2779" s="6" t="s">
        <v>35</v>
      </c>
      <c r="P2779" s="6">
        <f>COUNTIF(Analysis!$M$1:$M$3001,Analysis!$M2779)</f>
        <v>1</v>
      </c>
      <c r="Q2779" s="6" t="str">
        <f>IF(COUNTIF(Analysis!$M$2:$M$3001,Analysis!$M2779)&gt;1,"Duplicate","OK")</f>
        <v>OK</v>
      </c>
      <c r="R2779" s="6" t="str">
        <f t="shared" si="1"/>
        <v>1600-2600</v>
      </c>
      <c r="S2779" s="6">
        <f t="shared" si="2"/>
        <v>15</v>
      </c>
      <c r="T2779" s="6" t="str">
        <f t="shared" si="3"/>
        <v>Mid</v>
      </c>
    </row>
    <row r="2780" ht="14.25" customHeight="1">
      <c r="A2780" s="5">
        <v>1431093.0</v>
      </c>
      <c r="B2780" s="6" t="s">
        <v>11155</v>
      </c>
      <c r="C2780" s="6" t="s">
        <v>53</v>
      </c>
      <c r="D2780" s="6">
        <v>52078.0</v>
      </c>
      <c r="E2780" s="6" t="s">
        <v>60</v>
      </c>
      <c r="F2780" s="6" t="s">
        <v>20</v>
      </c>
      <c r="G2780" s="6" t="s">
        <v>31</v>
      </c>
      <c r="H2780" s="7">
        <v>3552.0</v>
      </c>
      <c r="I2780" s="7">
        <v>7808.0</v>
      </c>
      <c r="J2780" s="6">
        <v>1950.0</v>
      </c>
      <c r="K2780" s="6">
        <v>24.0</v>
      </c>
      <c r="L2780" s="6" t="s">
        <v>62</v>
      </c>
      <c r="M2780" s="6" t="s">
        <v>11156</v>
      </c>
      <c r="N2780" s="6" t="s">
        <v>34</v>
      </c>
      <c r="O2780" s="6" t="s">
        <v>49</v>
      </c>
      <c r="P2780" s="6">
        <f>COUNTIF(Analysis!$M$1:$M$3001,Analysis!$M2780)</f>
        <v>1</v>
      </c>
      <c r="Q2780" s="6" t="str">
        <f>IF(COUNTIF(Analysis!$M$2:$M$3001,Analysis!$M2780)&gt;1,"Duplicate","OK")</f>
        <v>OK</v>
      </c>
      <c r="R2780" s="6" t="str">
        <f t="shared" si="1"/>
        <v>2600-3600</v>
      </c>
      <c r="S2780" s="6">
        <f t="shared" si="2"/>
        <v>76</v>
      </c>
      <c r="T2780" s="6" t="str">
        <f t="shared" si="3"/>
        <v>Very Old</v>
      </c>
    </row>
    <row r="2781" ht="14.25" customHeight="1">
      <c r="A2781" s="5">
        <v>1374709.0</v>
      </c>
      <c r="B2781" s="6" t="s">
        <v>11159</v>
      </c>
      <c r="C2781" s="6" t="s">
        <v>76</v>
      </c>
      <c r="D2781" s="6">
        <v>62173.0</v>
      </c>
      <c r="E2781" s="6" t="s">
        <v>77</v>
      </c>
      <c r="F2781" s="6" t="s">
        <v>94</v>
      </c>
      <c r="G2781" s="6" t="s">
        <v>21</v>
      </c>
      <c r="H2781" s="7">
        <v>653.0</v>
      </c>
      <c r="I2781" s="7">
        <v>4376.0</v>
      </c>
      <c r="J2781" s="6">
        <v>2015.0</v>
      </c>
      <c r="K2781" s="6">
        <v>86.0</v>
      </c>
      <c r="L2781" s="6" t="s">
        <v>22</v>
      </c>
      <c r="M2781" s="6" t="s">
        <v>11160</v>
      </c>
      <c r="N2781" s="6" t="s">
        <v>48</v>
      </c>
      <c r="O2781" s="6" t="s">
        <v>35</v>
      </c>
      <c r="P2781" s="6">
        <f>COUNTIF(Analysis!$M$1:$M$3001,Analysis!$M2781)</f>
        <v>1</v>
      </c>
      <c r="Q2781" s="6" t="str">
        <f>IF(COUNTIF(Analysis!$M$2:$M$3001,Analysis!$M2781)&gt;1,"Duplicate","OK")</f>
        <v>OK</v>
      </c>
      <c r="R2781" s="6" t="str">
        <f t="shared" si="1"/>
        <v>600-1600</v>
      </c>
      <c r="S2781" s="6">
        <f t="shared" si="2"/>
        <v>11</v>
      </c>
      <c r="T2781" s="6" t="str">
        <f t="shared" si="3"/>
        <v>Mid</v>
      </c>
    </row>
    <row r="2782" ht="14.25" customHeight="1">
      <c r="A2782" s="5">
        <v>674018.0</v>
      </c>
      <c r="B2782" s="6" t="s">
        <v>11163</v>
      </c>
      <c r="C2782" s="6" t="s">
        <v>76</v>
      </c>
      <c r="D2782" s="6">
        <v>91060.0</v>
      </c>
      <c r="E2782" s="6" t="s">
        <v>77</v>
      </c>
      <c r="F2782" s="6" t="s">
        <v>41</v>
      </c>
      <c r="G2782" s="6" t="s">
        <v>55</v>
      </c>
      <c r="H2782" s="7">
        <v>1805.0</v>
      </c>
      <c r="I2782" s="7">
        <v>5575.0</v>
      </c>
      <c r="J2782" s="6">
        <v>2023.0</v>
      </c>
      <c r="K2782" s="6">
        <v>63.0</v>
      </c>
      <c r="L2782" s="6" t="s">
        <v>62</v>
      </c>
      <c r="M2782" s="6" t="s">
        <v>11164</v>
      </c>
      <c r="N2782" s="6" t="s">
        <v>48</v>
      </c>
      <c r="O2782" s="6" t="s">
        <v>25</v>
      </c>
      <c r="P2782" s="6">
        <f>COUNTIF(Analysis!$M$1:$M$3001,Analysis!$M2782)</f>
        <v>1</v>
      </c>
      <c r="Q2782" s="6" t="str">
        <f>IF(COUNTIF(Analysis!$M$2:$M$3001,Analysis!$M2782)&gt;1,"Duplicate","OK")</f>
        <v>OK</v>
      </c>
      <c r="R2782" s="6" t="str">
        <f t="shared" si="1"/>
        <v>1600-2600</v>
      </c>
      <c r="S2782" s="6">
        <f t="shared" si="2"/>
        <v>3</v>
      </c>
      <c r="T2782" s="6" t="str">
        <f t="shared" si="3"/>
        <v>New</v>
      </c>
    </row>
    <row r="2783" ht="14.25" customHeight="1">
      <c r="A2783" s="5">
        <v>234244.0</v>
      </c>
      <c r="B2783" s="6" t="s">
        <v>11167</v>
      </c>
      <c r="C2783" s="6" t="s">
        <v>53</v>
      </c>
      <c r="D2783" s="6">
        <v>94702.0</v>
      </c>
      <c r="E2783" s="6" t="s">
        <v>40</v>
      </c>
      <c r="F2783" s="6" t="s">
        <v>46</v>
      </c>
      <c r="G2783" s="6" t="s">
        <v>55</v>
      </c>
      <c r="H2783" s="7">
        <v>748.0</v>
      </c>
      <c r="I2783" s="7">
        <v>3418.0</v>
      </c>
      <c r="J2783" s="6">
        <v>1998.0</v>
      </c>
      <c r="K2783" s="6">
        <v>78.0</v>
      </c>
      <c r="L2783" s="6" t="s">
        <v>62</v>
      </c>
      <c r="M2783" s="6" t="s">
        <v>11168</v>
      </c>
      <c r="N2783" s="6" t="s">
        <v>64</v>
      </c>
      <c r="O2783" s="6" t="s">
        <v>49</v>
      </c>
      <c r="P2783" s="6">
        <f>COUNTIF(Analysis!$M$1:$M$3001,Analysis!$M2783)</f>
        <v>1</v>
      </c>
      <c r="Q2783" s="6" t="str">
        <f>IF(COUNTIF(Analysis!$M$2:$M$3001,Analysis!$M2783)&gt;1,"Duplicate","OK")</f>
        <v>OK</v>
      </c>
      <c r="R2783" s="6" t="str">
        <f t="shared" si="1"/>
        <v>600-1600</v>
      </c>
      <c r="S2783" s="6">
        <f t="shared" si="2"/>
        <v>28</v>
      </c>
      <c r="T2783" s="6" t="str">
        <f t="shared" si="3"/>
        <v>Mid</v>
      </c>
    </row>
    <row r="2784" ht="14.25" customHeight="1">
      <c r="A2784" s="5">
        <v>1212405.0</v>
      </c>
      <c r="B2784" s="6" t="s">
        <v>11171</v>
      </c>
      <c r="C2784" s="6" t="s">
        <v>39</v>
      </c>
      <c r="D2784" s="6">
        <v>85944.0</v>
      </c>
      <c r="E2784" s="6" t="s">
        <v>19</v>
      </c>
      <c r="F2784" s="6" t="s">
        <v>54</v>
      </c>
      <c r="G2784" s="6" t="s">
        <v>55</v>
      </c>
      <c r="H2784" s="7">
        <v>1997.0</v>
      </c>
      <c r="I2784" s="7">
        <v>2291.0</v>
      </c>
      <c r="J2784" s="6">
        <v>1977.0</v>
      </c>
      <c r="K2784" s="6">
        <v>30.0</v>
      </c>
      <c r="L2784" s="6" t="s">
        <v>95</v>
      </c>
      <c r="M2784" s="6" t="s">
        <v>11172</v>
      </c>
      <c r="N2784" s="6" t="s">
        <v>24</v>
      </c>
      <c r="O2784" s="6" t="s">
        <v>35</v>
      </c>
      <c r="P2784" s="6">
        <f>COUNTIF(Analysis!$M$1:$M$3001,Analysis!$M2784)</f>
        <v>1</v>
      </c>
      <c r="Q2784" s="6" t="str">
        <f>IF(COUNTIF(Analysis!$M$2:$M$3001,Analysis!$M2784)&gt;1,"Duplicate","OK")</f>
        <v>OK</v>
      </c>
      <c r="R2784" s="6" t="str">
        <f t="shared" si="1"/>
        <v>1600-2600</v>
      </c>
      <c r="S2784" s="6">
        <f t="shared" si="2"/>
        <v>49</v>
      </c>
      <c r="T2784" s="6" t="str">
        <f t="shared" si="3"/>
        <v>Old</v>
      </c>
    </row>
    <row r="2785" ht="14.25" customHeight="1">
      <c r="A2785" s="5">
        <v>340904.0</v>
      </c>
      <c r="B2785" s="6" t="s">
        <v>11175</v>
      </c>
      <c r="C2785" s="6" t="s">
        <v>53</v>
      </c>
      <c r="D2785" s="6">
        <v>78842.0</v>
      </c>
      <c r="E2785" s="6" t="s">
        <v>40</v>
      </c>
      <c r="F2785" s="6" t="s">
        <v>46</v>
      </c>
      <c r="G2785" s="6" t="s">
        <v>21</v>
      </c>
      <c r="H2785" s="7">
        <v>3663.0</v>
      </c>
      <c r="I2785" s="7">
        <v>7056.0</v>
      </c>
      <c r="J2785" s="6">
        <v>1971.0</v>
      </c>
      <c r="K2785" s="6">
        <v>102.0</v>
      </c>
      <c r="L2785" s="6" t="s">
        <v>32</v>
      </c>
      <c r="M2785" s="6" t="s">
        <v>11176</v>
      </c>
      <c r="N2785" s="6" t="s">
        <v>64</v>
      </c>
      <c r="O2785" s="6" t="s">
        <v>35</v>
      </c>
      <c r="P2785" s="6">
        <f>COUNTIF(Analysis!$M$1:$M$3001,Analysis!$M2785)</f>
        <v>1</v>
      </c>
      <c r="Q2785" s="6" t="str">
        <f>IF(COUNTIF(Analysis!$M$2:$M$3001,Analysis!$M2785)&gt;1,"Duplicate","OK")</f>
        <v>OK</v>
      </c>
      <c r="R2785" s="6" t="str">
        <f t="shared" si="1"/>
        <v>3600+</v>
      </c>
      <c r="S2785" s="6">
        <f t="shared" si="2"/>
        <v>55</v>
      </c>
      <c r="T2785" s="6" t="str">
        <f t="shared" si="3"/>
        <v>Old</v>
      </c>
    </row>
    <row r="2786" ht="14.25" customHeight="1">
      <c r="A2786" s="5">
        <v>1008405.0</v>
      </c>
      <c r="B2786" s="6" t="s">
        <v>11179</v>
      </c>
      <c r="C2786" s="6" t="s">
        <v>18</v>
      </c>
      <c r="D2786" s="6">
        <v>41350.0</v>
      </c>
      <c r="E2786" s="6" t="s">
        <v>77</v>
      </c>
      <c r="F2786" s="6" t="s">
        <v>61</v>
      </c>
      <c r="G2786" s="6" t="s">
        <v>21</v>
      </c>
      <c r="H2786" s="7">
        <v>3818.0</v>
      </c>
      <c r="I2786" s="7">
        <v>6788.0</v>
      </c>
      <c r="J2786" s="6">
        <v>1961.0</v>
      </c>
      <c r="K2786" s="6">
        <v>32.0</v>
      </c>
      <c r="L2786" s="6" t="s">
        <v>141</v>
      </c>
      <c r="M2786" s="6" t="s">
        <v>11180</v>
      </c>
      <c r="N2786" s="6" t="s">
        <v>43</v>
      </c>
      <c r="O2786" s="6" t="s">
        <v>25</v>
      </c>
      <c r="P2786" s="6">
        <f>COUNTIF(Analysis!$M$1:$M$3001,Analysis!$M2786)</f>
        <v>1</v>
      </c>
      <c r="Q2786" s="6" t="str">
        <f>IF(COUNTIF(Analysis!$M$2:$M$3001,Analysis!$M2786)&gt;1,"Duplicate","OK")</f>
        <v>OK</v>
      </c>
      <c r="R2786" s="6" t="str">
        <f t="shared" si="1"/>
        <v>3600+</v>
      </c>
      <c r="S2786" s="6">
        <f t="shared" si="2"/>
        <v>65</v>
      </c>
      <c r="T2786" s="6" t="str">
        <f t="shared" si="3"/>
        <v>Very Old</v>
      </c>
    </row>
    <row r="2787" ht="14.25" customHeight="1">
      <c r="A2787" s="5">
        <v>1414669.0</v>
      </c>
      <c r="B2787" s="6" t="s">
        <v>3203</v>
      </c>
      <c r="C2787" s="6" t="s">
        <v>29</v>
      </c>
      <c r="D2787" s="6">
        <v>68184.0</v>
      </c>
      <c r="E2787" s="6" t="s">
        <v>60</v>
      </c>
      <c r="F2787" s="6" t="s">
        <v>46</v>
      </c>
      <c r="G2787" s="6" t="s">
        <v>55</v>
      </c>
      <c r="H2787" s="7">
        <v>1346.0</v>
      </c>
      <c r="I2787" s="7">
        <v>5540.0</v>
      </c>
      <c r="J2787" s="6">
        <v>1990.0</v>
      </c>
      <c r="K2787" s="6">
        <v>3.0</v>
      </c>
      <c r="L2787" s="6" t="s">
        <v>95</v>
      </c>
      <c r="M2787" s="6" t="s">
        <v>3204</v>
      </c>
      <c r="N2787" s="6" t="s">
        <v>64</v>
      </c>
      <c r="O2787" s="6" t="s">
        <v>49</v>
      </c>
      <c r="P2787" s="6">
        <f>COUNTIF(Analysis!$M$1:$M$3001,Analysis!$M791)</f>
        <v>1</v>
      </c>
      <c r="Q2787" s="6" t="str">
        <f>IF(COUNTIF(Analysis!$M$2:$M$3001,Analysis!$M791)&gt;1,"Duplicate","OK")</f>
        <v>OK</v>
      </c>
      <c r="R2787" s="6" t="str">
        <f t="shared" si="1"/>
        <v>600-1600</v>
      </c>
      <c r="S2787" s="6">
        <f t="shared" si="2"/>
        <v>36</v>
      </c>
      <c r="T2787" s="6" t="str">
        <f t="shared" si="3"/>
        <v>Old</v>
      </c>
    </row>
    <row r="2788" ht="14.25" customHeight="1">
      <c r="A2788" s="5">
        <v>685831.0</v>
      </c>
      <c r="B2788" s="6" t="s">
        <v>11187</v>
      </c>
      <c r="C2788" s="6" t="s">
        <v>53</v>
      </c>
      <c r="D2788" s="6">
        <v>17314.0</v>
      </c>
      <c r="E2788" s="6" t="s">
        <v>19</v>
      </c>
      <c r="F2788" s="6" t="s">
        <v>46</v>
      </c>
      <c r="G2788" s="6" t="s">
        <v>55</v>
      </c>
      <c r="H2788" s="7">
        <v>2354.0</v>
      </c>
      <c r="I2788" s="7">
        <v>9645.0</v>
      </c>
      <c r="J2788" s="6">
        <v>2004.0</v>
      </c>
      <c r="K2788" s="6">
        <v>113.0</v>
      </c>
      <c r="L2788" s="6" t="s">
        <v>141</v>
      </c>
      <c r="M2788" s="6" t="s">
        <v>11188</v>
      </c>
      <c r="N2788" s="6" t="s">
        <v>64</v>
      </c>
      <c r="O2788" s="6" t="s">
        <v>35</v>
      </c>
      <c r="P2788" s="6">
        <f>COUNTIF(Analysis!$M$1:$M$3001,Analysis!$M2788)</f>
        <v>1</v>
      </c>
      <c r="Q2788" s="6" t="str">
        <f>IF(COUNTIF(Analysis!$M$2:$M$3001,Analysis!$M2788)&gt;1,"Duplicate","OK")</f>
        <v>OK</v>
      </c>
      <c r="R2788" s="6" t="str">
        <f t="shared" si="1"/>
        <v>1600-2600</v>
      </c>
      <c r="S2788" s="6">
        <f t="shared" si="2"/>
        <v>22</v>
      </c>
      <c r="T2788" s="6" t="str">
        <f t="shared" si="3"/>
        <v>Mid</v>
      </c>
    </row>
    <row r="2789" ht="14.25" customHeight="1">
      <c r="A2789" s="5">
        <v>622655.0</v>
      </c>
      <c r="B2789" s="6" t="s">
        <v>11191</v>
      </c>
      <c r="C2789" s="6" t="s">
        <v>18</v>
      </c>
      <c r="D2789" s="6">
        <v>30843.0</v>
      </c>
      <c r="E2789" s="6" t="s">
        <v>19</v>
      </c>
      <c r="F2789" s="6" t="s">
        <v>94</v>
      </c>
      <c r="G2789" s="6" t="s">
        <v>100</v>
      </c>
      <c r="H2789" s="7">
        <v>2291.0</v>
      </c>
      <c r="I2789" s="7">
        <v>4271.0</v>
      </c>
      <c r="J2789" s="6">
        <v>1984.0</v>
      </c>
      <c r="K2789" s="6">
        <v>8.0</v>
      </c>
      <c r="L2789" s="6" t="s">
        <v>32</v>
      </c>
      <c r="M2789" s="6" t="s">
        <v>11192</v>
      </c>
      <c r="N2789" s="6" t="s">
        <v>34</v>
      </c>
      <c r="O2789" s="6" t="s">
        <v>25</v>
      </c>
      <c r="P2789" s="6">
        <f>COUNTIF(Analysis!$M$1:$M$3001,Analysis!$M2789)</f>
        <v>1</v>
      </c>
      <c r="Q2789" s="6" t="str">
        <f>IF(COUNTIF(Analysis!$M$2:$M$3001,Analysis!$M2789)&gt;1,"Duplicate","OK")</f>
        <v>OK</v>
      </c>
      <c r="R2789" s="6" t="str">
        <f t="shared" si="1"/>
        <v>1600-2600</v>
      </c>
      <c r="S2789" s="6">
        <f t="shared" si="2"/>
        <v>42</v>
      </c>
      <c r="T2789" s="6" t="str">
        <f t="shared" si="3"/>
        <v>Old</v>
      </c>
    </row>
    <row r="2790" ht="14.25" customHeight="1">
      <c r="A2790" s="5">
        <v>401040.0</v>
      </c>
      <c r="B2790" s="6" t="s">
        <v>11195</v>
      </c>
      <c r="C2790" s="6" t="s">
        <v>76</v>
      </c>
      <c r="D2790" s="6">
        <v>52827.0</v>
      </c>
      <c r="E2790" s="6" t="s">
        <v>30</v>
      </c>
      <c r="F2790" s="6" t="s">
        <v>20</v>
      </c>
      <c r="G2790" s="6" t="s">
        <v>100</v>
      </c>
      <c r="H2790" s="7">
        <v>2802.0</v>
      </c>
      <c r="I2790" s="7">
        <v>1380.0</v>
      </c>
      <c r="J2790" s="6">
        <v>1993.0</v>
      </c>
      <c r="K2790" s="6">
        <v>61.0</v>
      </c>
      <c r="L2790" s="6" t="s">
        <v>95</v>
      </c>
      <c r="M2790" s="6" t="s">
        <v>11196</v>
      </c>
      <c r="N2790" s="6" t="s">
        <v>48</v>
      </c>
      <c r="O2790" s="6" t="s">
        <v>25</v>
      </c>
      <c r="P2790" s="6">
        <f>COUNTIF(Analysis!$M$1:$M$3001,Analysis!$M2790)</f>
        <v>1</v>
      </c>
      <c r="Q2790" s="6" t="str">
        <f>IF(COUNTIF(Analysis!$M$2:$M$3001,Analysis!$M2790)&gt;1,"Duplicate","OK")</f>
        <v>OK</v>
      </c>
      <c r="R2790" s="6" t="str">
        <f t="shared" si="1"/>
        <v>2600-3600</v>
      </c>
      <c r="S2790" s="6">
        <f t="shared" si="2"/>
        <v>33</v>
      </c>
      <c r="T2790" s="6" t="str">
        <f t="shared" si="3"/>
        <v>Old</v>
      </c>
    </row>
    <row r="2791" ht="14.25" customHeight="1">
      <c r="A2791" s="5">
        <v>608037.0</v>
      </c>
      <c r="B2791" s="6" t="s">
        <v>11199</v>
      </c>
      <c r="C2791" s="6" t="s">
        <v>76</v>
      </c>
      <c r="D2791" s="6">
        <v>27987.0</v>
      </c>
      <c r="E2791" s="6" t="s">
        <v>77</v>
      </c>
      <c r="F2791" s="6" t="s">
        <v>20</v>
      </c>
      <c r="G2791" s="6" t="s">
        <v>100</v>
      </c>
      <c r="H2791" s="7">
        <v>2915.0</v>
      </c>
      <c r="I2791" s="7">
        <v>2728.0</v>
      </c>
      <c r="J2791" s="6">
        <v>1975.0</v>
      </c>
      <c r="K2791" s="6">
        <v>89.0</v>
      </c>
      <c r="L2791" s="6" t="s">
        <v>95</v>
      </c>
      <c r="M2791" s="6" t="s">
        <v>11200</v>
      </c>
      <c r="N2791" s="6" t="s">
        <v>64</v>
      </c>
      <c r="O2791" s="6" t="s">
        <v>35</v>
      </c>
      <c r="P2791" s="6">
        <f>COUNTIF(Analysis!$M$1:$M$3001,Analysis!$M2791)</f>
        <v>1</v>
      </c>
      <c r="Q2791" s="6" t="str">
        <f>IF(COUNTIF(Analysis!$M$2:$M$3001,Analysis!$M2791)&gt;1,"Duplicate","OK")</f>
        <v>OK</v>
      </c>
      <c r="R2791" s="6" t="str">
        <f t="shared" si="1"/>
        <v>2600-3600</v>
      </c>
      <c r="S2791" s="6">
        <f t="shared" si="2"/>
        <v>51</v>
      </c>
      <c r="T2791" s="6" t="str">
        <f t="shared" si="3"/>
        <v>Old</v>
      </c>
    </row>
    <row r="2792" ht="14.25" customHeight="1">
      <c r="A2792" s="5">
        <v>1327006.0</v>
      </c>
      <c r="B2792" s="6" t="s">
        <v>11203</v>
      </c>
      <c r="C2792" s="6" t="s">
        <v>18</v>
      </c>
      <c r="D2792" s="6">
        <v>70311.0</v>
      </c>
      <c r="E2792" s="6" t="s">
        <v>30</v>
      </c>
      <c r="F2792" s="6" t="s">
        <v>46</v>
      </c>
      <c r="G2792" s="6" t="s">
        <v>21</v>
      </c>
      <c r="H2792" s="7">
        <v>2303.0</v>
      </c>
      <c r="I2792" s="7">
        <v>7264.0</v>
      </c>
      <c r="J2792" s="6">
        <v>1984.0</v>
      </c>
      <c r="K2792" s="6">
        <v>70.0</v>
      </c>
      <c r="L2792" s="6" t="s">
        <v>22</v>
      </c>
      <c r="M2792" s="6" t="s">
        <v>11204</v>
      </c>
      <c r="N2792" s="6" t="s">
        <v>43</v>
      </c>
      <c r="O2792" s="6" t="s">
        <v>49</v>
      </c>
      <c r="P2792" s="6">
        <f>COUNTIF(Analysis!$M$1:$M$3001,Analysis!$M2792)</f>
        <v>1</v>
      </c>
      <c r="Q2792" s="6" t="str">
        <f>IF(COUNTIF(Analysis!$M$2:$M$3001,Analysis!$M2792)&gt;1,"Duplicate","OK")</f>
        <v>OK</v>
      </c>
      <c r="R2792" s="6" t="str">
        <f t="shared" si="1"/>
        <v>1600-2600</v>
      </c>
      <c r="S2792" s="6">
        <f t="shared" si="2"/>
        <v>42</v>
      </c>
      <c r="T2792" s="6" t="str">
        <f t="shared" si="3"/>
        <v>Old</v>
      </c>
    </row>
    <row r="2793" ht="14.25" customHeight="1">
      <c r="A2793" s="5">
        <v>1026807.0</v>
      </c>
      <c r="B2793" s="6" t="s">
        <v>11207</v>
      </c>
      <c r="C2793" s="6" t="s">
        <v>76</v>
      </c>
      <c r="D2793" s="6">
        <v>66386.0</v>
      </c>
      <c r="E2793" s="6" t="s">
        <v>60</v>
      </c>
      <c r="F2793" s="6" t="s">
        <v>61</v>
      </c>
      <c r="G2793" s="6" t="s">
        <v>55</v>
      </c>
      <c r="H2793" s="7">
        <v>2559.0</v>
      </c>
      <c r="I2793" s="7">
        <v>9214.0</v>
      </c>
      <c r="J2793" s="6">
        <v>2002.0</v>
      </c>
      <c r="K2793" s="6">
        <v>89.0</v>
      </c>
      <c r="L2793" s="6" t="s">
        <v>95</v>
      </c>
      <c r="M2793" s="6" t="s">
        <v>11208</v>
      </c>
      <c r="N2793" s="6" t="s">
        <v>34</v>
      </c>
      <c r="O2793" s="6" t="s">
        <v>35</v>
      </c>
      <c r="P2793" s="6">
        <f>COUNTIF(Analysis!$M$1:$M$3001,Analysis!$M2793)</f>
        <v>1</v>
      </c>
      <c r="Q2793" s="6" t="str">
        <f>IF(COUNTIF(Analysis!$M$2:$M$3001,Analysis!$M2793)&gt;1,"Duplicate","OK")</f>
        <v>OK</v>
      </c>
      <c r="R2793" s="6" t="str">
        <f t="shared" si="1"/>
        <v>1600-2600</v>
      </c>
      <c r="S2793" s="6">
        <f t="shared" si="2"/>
        <v>24</v>
      </c>
      <c r="T2793" s="6" t="str">
        <f t="shared" si="3"/>
        <v>Mid</v>
      </c>
    </row>
    <row r="2794" ht="14.25" customHeight="1">
      <c r="A2794" s="5">
        <v>934997.0</v>
      </c>
      <c r="B2794" s="6" t="s">
        <v>11211</v>
      </c>
      <c r="C2794" s="6" t="s">
        <v>76</v>
      </c>
      <c r="D2794" s="6">
        <v>72524.0</v>
      </c>
      <c r="E2794" s="6" t="s">
        <v>30</v>
      </c>
      <c r="F2794" s="6" t="s">
        <v>41</v>
      </c>
      <c r="G2794" s="6" t="s">
        <v>21</v>
      </c>
      <c r="H2794" s="7">
        <v>2545.0</v>
      </c>
      <c r="I2794" s="7">
        <v>5465.0</v>
      </c>
      <c r="J2794" s="6">
        <v>1982.0</v>
      </c>
      <c r="K2794" s="6">
        <v>93.0</v>
      </c>
      <c r="L2794" s="6" t="s">
        <v>22</v>
      </c>
      <c r="M2794" s="6" t="s">
        <v>11212</v>
      </c>
      <c r="N2794" s="6" t="s">
        <v>64</v>
      </c>
      <c r="O2794" s="6" t="s">
        <v>25</v>
      </c>
      <c r="P2794" s="6">
        <f>COUNTIF(Analysis!$M$1:$M$3001,Analysis!$M2794)</f>
        <v>1</v>
      </c>
      <c r="Q2794" s="6" t="str">
        <f>IF(COUNTIF(Analysis!$M$2:$M$3001,Analysis!$M2794)&gt;1,"Duplicate","OK")</f>
        <v>OK</v>
      </c>
      <c r="R2794" s="6" t="str">
        <f t="shared" si="1"/>
        <v>1600-2600</v>
      </c>
      <c r="S2794" s="6">
        <f t="shared" si="2"/>
        <v>44</v>
      </c>
      <c r="T2794" s="6" t="str">
        <f t="shared" si="3"/>
        <v>Old</v>
      </c>
    </row>
    <row r="2795" ht="14.25" customHeight="1">
      <c r="A2795" s="5">
        <v>960338.0</v>
      </c>
      <c r="B2795" s="6" t="s">
        <v>11215</v>
      </c>
      <c r="C2795" s="6" t="s">
        <v>39</v>
      </c>
      <c r="D2795" s="6">
        <v>39890.0</v>
      </c>
      <c r="E2795" s="6" t="s">
        <v>19</v>
      </c>
      <c r="F2795" s="6" t="s">
        <v>41</v>
      </c>
      <c r="G2795" s="6" t="s">
        <v>100</v>
      </c>
      <c r="H2795" s="7">
        <v>3589.0</v>
      </c>
      <c r="I2795" s="7">
        <v>6202.0</v>
      </c>
      <c r="J2795" s="6">
        <v>1997.0</v>
      </c>
      <c r="K2795" s="6">
        <v>36.0</v>
      </c>
      <c r="L2795" s="6" t="s">
        <v>32</v>
      </c>
      <c r="M2795" s="6" t="s">
        <v>11216</v>
      </c>
      <c r="N2795" s="6" t="s">
        <v>34</v>
      </c>
      <c r="O2795" s="6" t="s">
        <v>25</v>
      </c>
      <c r="P2795" s="6">
        <f>COUNTIF(Analysis!$M$1:$M$3001,Analysis!$M2795)</f>
        <v>1</v>
      </c>
      <c r="Q2795" s="6" t="str">
        <f>IF(COUNTIF(Analysis!$M$2:$M$3001,Analysis!$M2795)&gt;1,"Duplicate","OK")</f>
        <v>OK</v>
      </c>
      <c r="R2795" s="6" t="str">
        <f t="shared" si="1"/>
        <v>2600-3600</v>
      </c>
      <c r="S2795" s="6">
        <f t="shared" si="2"/>
        <v>29</v>
      </c>
      <c r="T2795" s="6" t="str">
        <f t="shared" si="3"/>
        <v>Mid</v>
      </c>
    </row>
    <row r="2796" ht="14.25" customHeight="1">
      <c r="A2796" s="5">
        <v>1415195.0</v>
      </c>
      <c r="B2796" s="6" t="s">
        <v>4703</v>
      </c>
      <c r="C2796" s="6" t="s">
        <v>29</v>
      </c>
      <c r="D2796" s="6">
        <v>60647.0</v>
      </c>
      <c r="E2796" s="6" t="s">
        <v>30</v>
      </c>
      <c r="F2796" s="6" t="s">
        <v>61</v>
      </c>
      <c r="G2796" s="6" t="s">
        <v>100</v>
      </c>
      <c r="H2796" s="7">
        <v>2656.0</v>
      </c>
      <c r="I2796" s="7">
        <v>1191.0</v>
      </c>
      <c r="J2796" s="6">
        <v>2014.0</v>
      </c>
      <c r="K2796" s="6">
        <v>22.0</v>
      </c>
      <c r="L2796" s="6" t="s">
        <v>32</v>
      </c>
      <c r="M2796" s="6" t="s">
        <v>4704</v>
      </c>
      <c r="N2796" s="6" t="s">
        <v>24</v>
      </c>
      <c r="O2796" s="6" t="s">
        <v>35</v>
      </c>
      <c r="P2796" s="6">
        <f>COUNTIF(Analysis!$M$1:$M$3001,Analysis!$M1166)</f>
        <v>1</v>
      </c>
      <c r="Q2796" s="6" t="str">
        <f>IF(COUNTIF(Analysis!$M$2:$M$3001,Analysis!$M1166)&gt;1,"Duplicate","OK")</f>
        <v>OK</v>
      </c>
      <c r="R2796" s="6" t="str">
        <f t="shared" si="1"/>
        <v>2600-3600</v>
      </c>
      <c r="S2796" s="6">
        <f t="shared" si="2"/>
        <v>12</v>
      </c>
      <c r="T2796" s="6" t="str">
        <f t="shared" si="3"/>
        <v>Mid</v>
      </c>
    </row>
    <row r="2797" ht="14.25" customHeight="1">
      <c r="A2797" s="5">
        <v>123625.0</v>
      </c>
      <c r="B2797" s="6" t="s">
        <v>11223</v>
      </c>
      <c r="C2797" s="6" t="s">
        <v>53</v>
      </c>
      <c r="D2797" s="6">
        <v>42154.0</v>
      </c>
      <c r="E2797" s="6" t="s">
        <v>77</v>
      </c>
      <c r="F2797" s="6" t="s">
        <v>20</v>
      </c>
      <c r="G2797" s="6" t="s">
        <v>55</v>
      </c>
      <c r="H2797" s="7">
        <v>2139.0</v>
      </c>
      <c r="I2797" s="7">
        <v>4299.0</v>
      </c>
      <c r="J2797" s="6">
        <v>1951.0</v>
      </c>
      <c r="K2797" s="6">
        <v>75.0</v>
      </c>
      <c r="L2797" s="6" t="s">
        <v>22</v>
      </c>
      <c r="M2797" s="6" t="s">
        <v>11224</v>
      </c>
      <c r="N2797" s="6" t="s">
        <v>24</v>
      </c>
      <c r="O2797" s="6" t="s">
        <v>25</v>
      </c>
      <c r="P2797" s="6">
        <f>COUNTIF(Analysis!$M$1:$M$3001,Analysis!$M2797)</f>
        <v>1</v>
      </c>
      <c r="Q2797" s="6" t="str">
        <f>IF(COUNTIF(Analysis!$M$2:$M$3001,Analysis!$M2797)&gt;1,"Duplicate","OK")</f>
        <v>OK</v>
      </c>
      <c r="R2797" s="6" t="str">
        <f t="shared" si="1"/>
        <v>1600-2600</v>
      </c>
      <c r="S2797" s="6">
        <f t="shared" si="2"/>
        <v>75</v>
      </c>
      <c r="T2797" s="6" t="str">
        <f t="shared" si="3"/>
        <v>Very Old</v>
      </c>
    </row>
    <row r="2798" ht="14.25" customHeight="1">
      <c r="A2798" s="5">
        <v>1407105.0</v>
      </c>
      <c r="B2798" s="6" t="s">
        <v>11227</v>
      </c>
      <c r="C2798" s="6" t="s">
        <v>18</v>
      </c>
      <c r="D2798" s="6">
        <v>57800.0</v>
      </c>
      <c r="E2798" s="6" t="s">
        <v>30</v>
      </c>
      <c r="F2798" s="6" t="s">
        <v>41</v>
      </c>
      <c r="G2798" s="6" t="s">
        <v>100</v>
      </c>
      <c r="H2798" s="7">
        <v>1833.0</v>
      </c>
      <c r="I2798" s="7">
        <v>1996.0</v>
      </c>
      <c r="J2798" s="6">
        <v>2017.0</v>
      </c>
      <c r="K2798" s="6">
        <v>101.0</v>
      </c>
      <c r="L2798" s="6" t="s">
        <v>22</v>
      </c>
      <c r="M2798" s="6" t="s">
        <v>11228</v>
      </c>
      <c r="N2798" s="6" t="s">
        <v>64</v>
      </c>
      <c r="O2798" s="6" t="s">
        <v>35</v>
      </c>
      <c r="P2798" s="6">
        <f>COUNTIF(Analysis!$M$1:$M$3001,Analysis!$M2798)</f>
        <v>1</v>
      </c>
      <c r="Q2798" s="6" t="str">
        <f>IF(COUNTIF(Analysis!$M$2:$M$3001,Analysis!$M2798)&gt;1,"Duplicate","OK")</f>
        <v>OK</v>
      </c>
      <c r="R2798" s="6" t="str">
        <f t="shared" si="1"/>
        <v>1600-2600</v>
      </c>
      <c r="S2798" s="6">
        <f t="shared" si="2"/>
        <v>9</v>
      </c>
      <c r="T2798" s="6" t="str">
        <f t="shared" si="3"/>
        <v>New</v>
      </c>
    </row>
    <row r="2799" ht="14.25" customHeight="1">
      <c r="A2799" s="5">
        <v>563185.0</v>
      </c>
      <c r="B2799" s="6" t="s">
        <v>11231</v>
      </c>
      <c r="C2799" s="6" t="s">
        <v>76</v>
      </c>
      <c r="D2799" s="6">
        <v>96346.0</v>
      </c>
      <c r="E2799" s="6" t="s">
        <v>60</v>
      </c>
      <c r="F2799" s="6" t="s">
        <v>61</v>
      </c>
      <c r="G2799" s="6" t="s">
        <v>100</v>
      </c>
      <c r="H2799" s="7">
        <v>3659.0</v>
      </c>
      <c r="I2799" s="7">
        <v>1881.0</v>
      </c>
      <c r="J2799" s="6">
        <v>1980.0</v>
      </c>
      <c r="K2799" s="6">
        <v>52.0</v>
      </c>
      <c r="L2799" s="6" t="s">
        <v>141</v>
      </c>
      <c r="M2799" s="6" t="s">
        <v>11232</v>
      </c>
      <c r="N2799" s="6" t="s">
        <v>48</v>
      </c>
      <c r="O2799" s="6" t="s">
        <v>25</v>
      </c>
      <c r="P2799" s="6">
        <f>COUNTIF(Analysis!$M$1:$M$3001,Analysis!$M2799)</f>
        <v>1</v>
      </c>
      <c r="Q2799" s="6" t="str">
        <f>IF(COUNTIF(Analysis!$M$2:$M$3001,Analysis!$M2799)&gt;1,"Duplicate","OK")</f>
        <v>OK</v>
      </c>
      <c r="R2799" s="6" t="str">
        <f t="shared" si="1"/>
        <v>3600+</v>
      </c>
      <c r="S2799" s="6">
        <f t="shared" si="2"/>
        <v>46</v>
      </c>
      <c r="T2799" s="6" t="str">
        <f t="shared" si="3"/>
        <v>Old</v>
      </c>
    </row>
    <row r="2800" ht="14.25" customHeight="1">
      <c r="A2800" s="5">
        <v>1415825.0</v>
      </c>
      <c r="B2800" s="6" t="s">
        <v>3491</v>
      </c>
      <c r="C2800" s="6" t="s">
        <v>29</v>
      </c>
      <c r="D2800" s="6">
        <v>94609.0</v>
      </c>
      <c r="E2800" s="6" t="s">
        <v>30</v>
      </c>
      <c r="F2800" s="6" t="s">
        <v>94</v>
      </c>
      <c r="G2800" s="6" t="s">
        <v>100</v>
      </c>
      <c r="H2800" s="7">
        <v>3909.0</v>
      </c>
      <c r="I2800" s="7">
        <v>6001.0</v>
      </c>
      <c r="J2800" s="6">
        <v>1966.0</v>
      </c>
      <c r="K2800" s="6">
        <v>94.0</v>
      </c>
      <c r="L2800" s="6" t="s">
        <v>141</v>
      </c>
      <c r="M2800" s="6" t="s">
        <v>3492</v>
      </c>
      <c r="N2800" s="6" t="s">
        <v>48</v>
      </c>
      <c r="O2800" s="6" t="s">
        <v>35</v>
      </c>
      <c r="P2800" s="6">
        <f>COUNTIF(Analysis!$M$1:$M$3001,Analysis!$M863)</f>
        <v>1</v>
      </c>
      <c r="Q2800" s="6" t="str">
        <f>IF(COUNTIF(Analysis!$M$2:$M$3001,Analysis!$M863)&gt;1,"Duplicate","OK")</f>
        <v>OK</v>
      </c>
      <c r="R2800" s="6" t="str">
        <f t="shared" si="1"/>
        <v>3600+</v>
      </c>
      <c r="S2800" s="6">
        <f t="shared" si="2"/>
        <v>60</v>
      </c>
      <c r="T2800" s="6" t="str">
        <f t="shared" si="3"/>
        <v>Old</v>
      </c>
    </row>
    <row r="2801" ht="14.25" customHeight="1">
      <c r="A2801" s="5">
        <v>1419240.0</v>
      </c>
      <c r="B2801" s="6" t="s">
        <v>4143</v>
      </c>
      <c r="C2801" s="6" t="s">
        <v>29</v>
      </c>
      <c r="D2801" s="6">
        <v>57526.0</v>
      </c>
      <c r="E2801" s="6" t="s">
        <v>40</v>
      </c>
      <c r="F2801" s="6" t="s">
        <v>94</v>
      </c>
      <c r="G2801" s="6" t="s">
        <v>55</v>
      </c>
      <c r="H2801" s="7">
        <v>1664.0</v>
      </c>
      <c r="I2801" s="7">
        <v>7656.0</v>
      </c>
      <c r="J2801" s="6">
        <v>1969.0</v>
      </c>
      <c r="K2801" s="6">
        <v>92.0</v>
      </c>
      <c r="L2801" s="6" t="s">
        <v>32</v>
      </c>
      <c r="M2801" s="6" t="s">
        <v>4144</v>
      </c>
      <c r="N2801" s="6" t="s">
        <v>64</v>
      </c>
      <c r="O2801" s="6" t="s">
        <v>35</v>
      </c>
      <c r="P2801" s="6">
        <f>COUNTIF(Analysis!$M$1:$M$3001,Analysis!$M1026)</f>
        <v>1</v>
      </c>
      <c r="Q2801" s="6" t="str">
        <f>IF(COUNTIF(Analysis!$M$2:$M$3001,Analysis!$M1026)&gt;1,"Duplicate","OK")</f>
        <v>OK</v>
      </c>
      <c r="R2801" s="6" t="str">
        <f t="shared" si="1"/>
        <v>1600-2600</v>
      </c>
      <c r="S2801" s="6">
        <f t="shared" si="2"/>
        <v>57</v>
      </c>
      <c r="T2801" s="6" t="str">
        <f t="shared" si="3"/>
        <v>Old</v>
      </c>
    </row>
    <row r="2802" ht="14.25" customHeight="1">
      <c r="A2802" s="5">
        <v>1420500.0</v>
      </c>
      <c r="B2802" s="6" t="s">
        <v>3551</v>
      </c>
      <c r="C2802" s="6" t="s">
        <v>29</v>
      </c>
      <c r="D2802" s="6">
        <v>19350.0</v>
      </c>
      <c r="E2802" s="6" t="s">
        <v>40</v>
      </c>
      <c r="F2802" s="6" t="s">
        <v>54</v>
      </c>
      <c r="G2802" s="6" t="s">
        <v>55</v>
      </c>
      <c r="H2802" s="7">
        <v>1565.0</v>
      </c>
      <c r="I2802" s="7">
        <v>8864.0</v>
      </c>
      <c r="J2802" s="6">
        <v>1960.0</v>
      </c>
      <c r="K2802" s="6">
        <v>89.0</v>
      </c>
      <c r="L2802" s="6" t="s">
        <v>62</v>
      </c>
      <c r="M2802" s="6" t="s">
        <v>3552</v>
      </c>
      <c r="N2802" s="6" t="s">
        <v>24</v>
      </c>
      <c r="O2802" s="6" t="s">
        <v>49</v>
      </c>
      <c r="P2802" s="6">
        <f>COUNTIF(Analysis!$M$1:$M$3001,Analysis!$M878)</f>
        <v>1</v>
      </c>
      <c r="Q2802" s="6" t="str">
        <f>IF(COUNTIF(Analysis!$M$2:$M$3001,Analysis!$M878)&gt;1,"Duplicate","OK")</f>
        <v>OK</v>
      </c>
      <c r="R2802" s="6" t="str">
        <f t="shared" si="1"/>
        <v>600-1600</v>
      </c>
      <c r="S2802" s="6">
        <f t="shared" si="2"/>
        <v>66</v>
      </c>
      <c r="T2802" s="6" t="str">
        <f t="shared" si="3"/>
        <v>Very Old</v>
      </c>
    </row>
    <row r="2803" ht="14.25" customHeight="1">
      <c r="A2803" s="5">
        <v>739866.0</v>
      </c>
      <c r="B2803" s="6" t="s">
        <v>11247</v>
      </c>
      <c r="C2803" s="6" t="s">
        <v>18</v>
      </c>
      <c r="D2803" s="6">
        <v>11839.0</v>
      </c>
      <c r="E2803" s="6" t="s">
        <v>19</v>
      </c>
      <c r="F2803" s="6" t="s">
        <v>41</v>
      </c>
      <c r="G2803" s="6" t="s">
        <v>100</v>
      </c>
      <c r="H2803" s="7">
        <v>1417.0</v>
      </c>
      <c r="I2803" s="7">
        <v>6766.0</v>
      </c>
      <c r="J2803" s="6">
        <v>1955.0</v>
      </c>
      <c r="K2803" s="6">
        <v>15.0</v>
      </c>
      <c r="L2803" s="6" t="s">
        <v>141</v>
      </c>
      <c r="M2803" s="6" t="s">
        <v>11248</v>
      </c>
      <c r="N2803" s="6" t="s">
        <v>34</v>
      </c>
      <c r="O2803" s="6" t="s">
        <v>35</v>
      </c>
      <c r="P2803" s="6">
        <f>COUNTIF(Analysis!$M$1:$M$3001,Analysis!$M2803)</f>
        <v>1</v>
      </c>
      <c r="Q2803" s="6" t="str">
        <f>IF(COUNTIF(Analysis!$M$2:$M$3001,Analysis!$M2803)&gt;1,"Duplicate","OK")</f>
        <v>OK</v>
      </c>
      <c r="R2803" s="6" t="str">
        <f t="shared" si="1"/>
        <v>600-1600</v>
      </c>
      <c r="S2803" s="6">
        <f t="shared" si="2"/>
        <v>71</v>
      </c>
      <c r="T2803" s="6" t="str">
        <f t="shared" si="3"/>
        <v>Very Old</v>
      </c>
    </row>
    <row r="2804" ht="14.25" customHeight="1">
      <c r="A2804" s="5">
        <v>1423548.0</v>
      </c>
      <c r="B2804" s="6" t="s">
        <v>8724</v>
      </c>
      <c r="C2804" s="6" t="s">
        <v>29</v>
      </c>
      <c r="D2804" s="6">
        <v>68236.0</v>
      </c>
      <c r="E2804" s="6" t="s">
        <v>60</v>
      </c>
      <c r="F2804" s="6" t="s">
        <v>94</v>
      </c>
      <c r="G2804" s="6" t="s">
        <v>100</v>
      </c>
      <c r="H2804" s="7">
        <v>1109.0</v>
      </c>
      <c r="I2804" s="7">
        <v>9449.0</v>
      </c>
      <c r="J2804" s="6">
        <v>2002.0</v>
      </c>
      <c r="K2804" s="6">
        <v>10.0</v>
      </c>
      <c r="L2804" s="6" t="s">
        <v>22</v>
      </c>
      <c r="M2804" s="6" t="s">
        <v>8725</v>
      </c>
      <c r="N2804" s="6" t="s">
        <v>48</v>
      </c>
      <c r="O2804" s="6" t="s">
        <v>49</v>
      </c>
      <c r="P2804" s="6">
        <f>COUNTIF(Analysis!$M$1:$M$3001,Analysis!$M2172)</f>
        <v>1</v>
      </c>
      <c r="Q2804" s="6" t="str">
        <f>IF(COUNTIF(Analysis!$M$2:$M$3001,Analysis!$M2172)&gt;1,"Duplicate","OK")</f>
        <v>OK</v>
      </c>
      <c r="R2804" s="6" t="str">
        <f t="shared" si="1"/>
        <v>600-1600</v>
      </c>
      <c r="S2804" s="6">
        <f t="shared" si="2"/>
        <v>24</v>
      </c>
      <c r="T2804" s="6" t="str">
        <f t="shared" si="3"/>
        <v>Mid</v>
      </c>
    </row>
    <row r="2805" ht="14.25" customHeight="1">
      <c r="A2805" s="5">
        <v>339553.0</v>
      </c>
      <c r="B2805" s="6" t="s">
        <v>11255</v>
      </c>
      <c r="C2805" s="6" t="s">
        <v>53</v>
      </c>
      <c r="D2805" s="6">
        <v>65697.0</v>
      </c>
      <c r="E2805" s="6" t="s">
        <v>19</v>
      </c>
      <c r="F2805" s="6" t="s">
        <v>20</v>
      </c>
      <c r="G2805" s="6" t="s">
        <v>31</v>
      </c>
      <c r="H2805" s="7">
        <v>2788.0</v>
      </c>
      <c r="I2805" s="7">
        <v>1361.0</v>
      </c>
      <c r="J2805" s="6">
        <v>2011.0</v>
      </c>
      <c r="K2805" s="6">
        <v>52.0</v>
      </c>
      <c r="L2805" s="6" t="s">
        <v>95</v>
      </c>
      <c r="M2805" s="6" t="s">
        <v>11256</v>
      </c>
      <c r="N2805" s="6" t="s">
        <v>34</v>
      </c>
      <c r="O2805" s="6" t="s">
        <v>35</v>
      </c>
      <c r="P2805" s="6">
        <f>COUNTIF(Analysis!$M$1:$M$3001,Analysis!$M2805)</f>
        <v>1</v>
      </c>
      <c r="Q2805" s="6" t="str">
        <f>IF(COUNTIF(Analysis!$M$2:$M$3001,Analysis!$M2805)&gt;1,"Duplicate","OK")</f>
        <v>OK</v>
      </c>
      <c r="R2805" s="6" t="str">
        <f t="shared" si="1"/>
        <v>2600-3600</v>
      </c>
      <c r="S2805" s="6">
        <f t="shared" si="2"/>
        <v>15</v>
      </c>
      <c r="T2805" s="6" t="str">
        <f t="shared" si="3"/>
        <v>Mid</v>
      </c>
    </row>
    <row r="2806" ht="14.25" customHeight="1">
      <c r="A2806" s="5">
        <v>1358356.0</v>
      </c>
      <c r="B2806" s="6" t="s">
        <v>11259</v>
      </c>
      <c r="C2806" s="6" t="s">
        <v>39</v>
      </c>
      <c r="D2806" s="6">
        <v>71127.0</v>
      </c>
      <c r="E2806" s="6" t="s">
        <v>40</v>
      </c>
      <c r="F2806" s="6" t="s">
        <v>94</v>
      </c>
      <c r="G2806" s="6" t="s">
        <v>100</v>
      </c>
      <c r="H2806" s="7">
        <v>1001.0</v>
      </c>
      <c r="I2806" s="7">
        <v>7225.0</v>
      </c>
      <c r="J2806" s="6">
        <v>1955.0</v>
      </c>
      <c r="K2806" s="6">
        <v>107.0</v>
      </c>
      <c r="L2806" s="6" t="s">
        <v>32</v>
      </c>
      <c r="M2806" s="6" t="s">
        <v>11260</v>
      </c>
      <c r="N2806" s="6" t="s">
        <v>48</v>
      </c>
      <c r="O2806" s="6" t="s">
        <v>25</v>
      </c>
      <c r="P2806" s="6">
        <f>COUNTIF(Analysis!$M$1:$M$3001,Analysis!$M2806)</f>
        <v>1</v>
      </c>
      <c r="Q2806" s="6" t="str">
        <f>IF(COUNTIF(Analysis!$M$2:$M$3001,Analysis!$M2806)&gt;1,"Duplicate","OK")</f>
        <v>OK</v>
      </c>
      <c r="R2806" s="6" t="str">
        <f t="shared" si="1"/>
        <v>600-1600</v>
      </c>
      <c r="S2806" s="6">
        <f t="shared" si="2"/>
        <v>71</v>
      </c>
      <c r="T2806" s="6" t="str">
        <f t="shared" si="3"/>
        <v>Very Old</v>
      </c>
    </row>
    <row r="2807" ht="14.25" customHeight="1">
      <c r="A2807" s="5">
        <v>218899.0</v>
      </c>
      <c r="B2807" s="6" t="s">
        <v>11263</v>
      </c>
      <c r="C2807" s="6" t="s">
        <v>53</v>
      </c>
      <c r="D2807" s="6">
        <v>84106.0</v>
      </c>
      <c r="E2807" s="6" t="s">
        <v>40</v>
      </c>
      <c r="F2807" s="6" t="s">
        <v>46</v>
      </c>
      <c r="G2807" s="6" t="s">
        <v>55</v>
      </c>
      <c r="H2807" s="7">
        <v>3485.0</v>
      </c>
      <c r="I2807" s="7">
        <v>6770.0</v>
      </c>
      <c r="J2807" s="6">
        <v>2011.0</v>
      </c>
      <c r="K2807" s="6">
        <v>8.0</v>
      </c>
      <c r="L2807" s="6" t="s">
        <v>95</v>
      </c>
      <c r="M2807" s="6" t="s">
        <v>11264</v>
      </c>
      <c r="N2807" s="6" t="s">
        <v>34</v>
      </c>
      <c r="O2807" s="6" t="s">
        <v>35</v>
      </c>
      <c r="P2807" s="6">
        <f>COUNTIF(Analysis!$M$1:$M$3001,Analysis!$M2807)</f>
        <v>1</v>
      </c>
      <c r="Q2807" s="6" t="str">
        <f>IF(COUNTIF(Analysis!$M$2:$M$3001,Analysis!$M2807)&gt;1,"Duplicate","OK")</f>
        <v>OK</v>
      </c>
      <c r="R2807" s="6" t="str">
        <f t="shared" si="1"/>
        <v>2600-3600</v>
      </c>
      <c r="S2807" s="6">
        <f t="shared" si="2"/>
        <v>15</v>
      </c>
      <c r="T2807" s="6" t="str">
        <f t="shared" si="3"/>
        <v>Mid</v>
      </c>
    </row>
    <row r="2808" ht="14.25" customHeight="1">
      <c r="A2808" s="5">
        <v>243386.0</v>
      </c>
      <c r="B2808" s="6" t="s">
        <v>11267</v>
      </c>
      <c r="C2808" s="6" t="s">
        <v>76</v>
      </c>
      <c r="D2808" s="6">
        <v>96680.0</v>
      </c>
      <c r="E2808" s="6" t="s">
        <v>60</v>
      </c>
      <c r="F2808" s="6" t="s">
        <v>61</v>
      </c>
      <c r="G2808" s="6" t="s">
        <v>21</v>
      </c>
      <c r="H2808" s="7">
        <v>1624.0</v>
      </c>
      <c r="I2808" s="7">
        <v>3643.0</v>
      </c>
      <c r="J2808" s="6">
        <v>1985.0</v>
      </c>
      <c r="K2808" s="6">
        <v>20.0</v>
      </c>
      <c r="L2808" s="6" t="s">
        <v>141</v>
      </c>
      <c r="M2808" s="6" t="s">
        <v>11268</v>
      </c>
      <c r="N2808" s="6" t="s">
        <v>24</v>
      </c>
      <c r="O2808" s="6" t="s">
        <v>49</v>
      </c>
      <c r="P2808" s="6">
        <f>COUNTIF(Analysis!$M$1:$M$3001,Analysis!$M2808)</f>
        <v>1</v>
      </c>
      <c r="Q2808" s="6" t="str">
        <f>IF(COUNTIF(Analysis!$M$2:$M$3001,Analysis!$M2808)&gt;1,"Duplicate","OK")</f>
        <v>OK</v>
      </c>
      <c r="R2808" s="6" t="str">
        <f t="shared" si="1"/>
        <v>1600-2600</v>
      </c>
      <c r="S2808" s="6">
        <f t="shared" si="2"/>
        <v>41</v>
      </c>
      <c r="T2808" s="6" t="str">
        <f t="shared" si="3"/>
        <v>Old</v>
      </c>
    </row>
    <row r="2809" ht="14.25" customHeight="1">
      <c r="A2809" s="5">
        <v>401177.0</v>
      </c>
      <c r="B2809" s="6" t="s">
        <v>11271</v>
      </c>
      <c r="C2809" s="6" t="s">
        <v>39</v>
      </c>
      <c r="D2809" s="6">
        <v>89343.0</v>
      </c>
      <c r="E2809" s="6" t="s">
        <v>40</v>
      </c>
      <c r="F2809" s="6" t="s">
        <v>41</v>
      </c>
      <c r="G2809" s="6" t="s">
        <v>100</v>
      </c>
      <c r="H2809" s="7">
        <v>2150.0</v>
      </c>
      <c r="I2809" s="7">
        <v>1450.0</v>
      </c>
      <c r="J2809" s="6">
        <v>1978.0</v>
      </c>
      <c r="K2809" s="6">
        <v>62.0</v>
      </c>
      <c r="L2809" s="6" t="s">
        <v>141</v>
      </c>
      <c r="M2809" s="6" t="s">
        <v>11272</v>
      </c>
      <c r="N2809" s="6" t="s">
        <v>24</v>
      </c>
      <c r="O2809" s="6" t="s">
        <v>35</v>
      </c>
      <c r="P2809" s="6">
        <f>COUNTIF(Analysis!$M$1:$M$3001,Analysis!$M2809)</f>
        <v>1</v>
      </c>
      <c r="Q2809" s="6" t="str">
        <f>IF(COUNTIF(Analysis!$M$2:$M$3001,Analysis!$M2809)&gt;1,"Duplicate","OK")</f>
        <v>OK</v>
      </c>
      <c r="R2809" s="6" t="str">
        <f t="shared" si="1"/>
        <v>1600-2600</v>
      </c>
      <c r="S2809" s="6">
        <f t="shared" si="2"/>
        <v>48</v>
      </c>
      <c r="T2809" s="6" t="str">
        <f t="shared" si="3"/>
        <v>Old</v>
      </c>
    </row>
    <row r="2810" ht="14.25" customHeight="1">
      <c r="A2810" s="5">
        <v>685130.0</v>
      </c>
      <c r="B2810" s="6" t="s">
        <v>11275</v>
      </c>
      <c r="C2810" s="6" t="s">
        <v>76</v>
      </c>
      <c r="D2810" s="6">
        <v>86526.0</v>
      </c>
      <c r="E2810" s="6" t="s">
        <v>30</v>
      </c>
      <c r="F2810" s="6" t="s">
        <v>46</v>
      </c>
      <c r="G2810" s="6" t="s">
        <v>100</v>
      </c>
      <c r="H2810" s="7">
        <v>955.0</v>
      </c>
      <c r="I2810" s="7">
        <v>6243.0</v>
      </c>
      <c r="J2810" s="6">
        <v>1977.0</v>
      </c>
      <c r="K2810" s="6">
        <v>29.0</v>
      </c>
      <c r="L2810" s="6" t="s">
        <v>141</v>
      </c>
      <c r="M2810" s="6" t="s">
        <v>11276</v>
      </c>
      <c r="N2810" s="6" t="s">
        <v>43</v>
      </c>
      <c r="O2810" s="6" t="s">
        <v>35</v>
      </c>
      <c r="P2810" s="6">
        <f>COUNTIF(Analysis!$M$1:$M$3001,Analysis!$M2810)</f>
        <v>1</v>
      </c>
      <c r="Q2810" s="6" t="str">
        <f>IF(COUNTIF(Analysis!$M$2:$M$3001,Analysis!$M2810)&gt;1,"Duplicate","OK")</f>
        <v>OK</v>
      </c>
      <c r="R2810" s="6" t="str">
        <f t="shared" si="1"/>
        <v>600-1600</v>
      </c>
      <c r="S2810" s="6">
        <f t="shared" si="2"/>
        <v>49</v>
      </c>
      <c r="T2810" s="6" t="str">
        <f t="shared" si="3"/>
        <v>Old</v>
      </c>
    </row>
    <row r="2811" ht="14.25" customHeight="1">
      <c r="A2811" s="5">
        <v>1424084.0</v>
      </c>
      <c r="B2811" s="6" t="s">
        <v>6058</v>
      </c>
      <c r="C2811" s="6" t="s">
        <v>29</v>
      </c>
      <c r="D2811" s="6">
        <v>12119.0</v>
      </c>
      <c r="E2811" s="6" t="s">
        <v>77</v>
      </c>
      <c r="F2811" s="6" t="s">
        <v>46</v>
      </c>
      <c r="G2811" s="6" t="s">
        <v>31</v>
      </c>
      <c r="H2811" s="7">
        <v>1349.0</v>
      </c>
      <c r="I2811" s="7">
        <v>1884.0</v>
      </c>
      <c r="J2811" s="6">
        <v>1976.0</v>
      </c>
      <c r="K2811" s="6">
        <v>83.0</v>
      </c>
      <c r="L2811" s="6" t="s">
        <v>95</v>
      </c>
      <c r="M2811" s="6" t="s">
        <v>6059</v>
      </c>
      <c r="N2811" s="6" t="s">
        <v>64</v>
      </c>
      <c r="O2811" s="6" t="s">
        <v>25</v>
      </c>
      <c r="P2811" s="6">
        <f>COUNTIF(Analysis!$M$1:$M$3001,Analysis!$M1505)</f>
        <v>1</v>
      </c>
      <c r="Q2811" s="6" t="str">
        <f>IF(COUNTIF(Analysis!$M$2:$M$3001,Analysis!$M1505)&gt;1,"Duplicate","OK")</f>
        <v>OK</v>
      </c>
      <c r="R2811" s="6" t="str">
        <f t="shared" si="1"/>
        <v>600-1600</v>
      </c>
      <c r="S2811" s="6">
        <f t="shared" si="2"/>
        <v>50</v>
      </c>
      <c r="T2811" s="6" t="str">
        <f t="shared" si="3"/>
        <v>Old</v>
      </c>
    </row>
    <row r="2812" ht="14.25" customHeight="1">
      <c r="A2812" s="5">
        <v>679086.0</v>
      </c>
      <c r="B2812" s="6" t="s">
        <v>11283</v>
      </c>
      <c r="C2812" s="6" t="s">
        <v>76</v>
      </c>
      <c r="D2812" s="6">
        <v>12052.0</v>
      </c>
      <c r="E2812" s="6" t="s">
        <v>19</v>
      </c>
      <c r="F2812" s="6" t="s">
        <v>20</v>
      </c>
      <c r="G2812" s="6" t="s">
        <v>31</v>
      </c>
      <c r="H2812" s="7">
        <v>3172.0</v>
      </c>
      <c r="I2812" s="7">
        <v>9941.0</v>
      </c>
      <c r="J2812" s="6">
        <v>2021.0</v>
      </c>
      <c r="K2812" s="6">
        <v>14.0</v>
      </c>
      <c r="L2812" s="6" t="s">
        <v>62</v>
      </c>
      <c r="M2812" s="6" t="s">
        <v>11284</v>
      </c>
      <c r="N2812" s="6" t="s">
        <v>24</v>
      </c>
      <c r="O2812" s="6" t="s">
        <v>49</v>
      </c>
      <c r="P2812" s="6">
        <f>COUNTIF(Analysis!$M$1:$M$3001,Analysis!$M2812)</f>
        <v>1</v>
      </c>
      <c r="Q2812" s="6" t="str">
        <f>IF(COUNTIF(Analysis!$M$2:$M$3001,Analysis!$M2812)&gt;1,"Duplicate","OK")</f>
        <v>OK</v>
      </c>
      <c r="R2812" s="6" t="str">
        <f t="shared" si="1"/>
        <v>2600-3600</v>
      </c>
      <c r="S2812" s="6">
        <f t="shared" si="2"/>
        <v>5</v>
      </c>
      <c r="T2812" s="6" t="str">
        <f t="shared" si="3"/>
        <v>New</v>
      </c>
    </row>
    <row r="2813" ht="14.25" customHeight="1">
      <c r="A2813" s="5">
        <v>1021565.0</v>
      </c>
      <c r="B2813" s="6" t="s">
        <v>11287</v>
      </c>
      <c r="C2813" s="6" t="s">
        <v>76</v>
      </c>
      <c r="D2813" s="6">
        <v>20864.0</v>
      </c>
      <c r="E2813" s="6" t="s">
        <v>40</v>
      </c>
      <c r="F2813" s="6" t="s">
        <v>20</v>
      </c>
      <c r="G2813" s="6" t="s">
        <v>55</v>
      </c>
      <c r="H2813" s="7">
        <v>1038.0</v>
      </c>
      <c r="I2813" s="7">
        <v>9001.0</v>
      </c>
      <c r="J2813" s="6">
        <v>1999.0</v>
      </c>
      <c r="K2813" s="6">
        <v>23.0</v>
      </c>
      <c r="L2813" s="6" t="s">
        <v>95</v>
      </c>
      <c r="M2813" s="6" t="s">
        <v>11288</v>
      </c>
      <c r="N2813" s="6" t="s">
        <v>34</v>
      </c>
      <c r="O2813" s="6" t="s">
        <v>49</v>
      </c>
      <c r="P2813" s="6">
        <f>COUNTIF(Analysis!$M$1:$M$3001,Analysis!$M2813)</f>
        <v>1</v>
      </c>
      <c r="Q2813" s="6" t="str">
        <f>IF(COUNTIF(Analysis!$M$2:$M$3001,Analysis!$M2813)&gt;1,"Duplicate","OK")</f>
        <v>OK</v>
      </c>
      <c r="R2813" s="6" t="str">
        <f t="shared" si="1"/>
        <v>600-1600</v>
      </c>
      <c r="S2813" s="6">
        <f t="shared" si="2"/>
        <v>27</v>
      </c>
      <c r="T2813" s="6" t="str">
        <f t="shared" si="3"/>
        <v>Mid</v>
      </c>
    </row>
    <row r="2814" ht="14.25" customHeight="1">
      <c r="A2814" s="5">
        <v>818796.0</v>
      </c>
      <c r="B2814" s="6" t="s">
        <v>11291</v>
      </c>
      <c r="C2814" s="6" t="s">
        <v>18</v>
      </c>
      <c r="D2814" s="6">
        <v>53653.0</v>
      </c>
      <c r="E2814" s="6" t="s">
        <v>19</v>
      </c>
      <c r="F2814" s="6" t="s">
        <v>54</v>
      </c>
      <c r="G2814" s="6" t="s">
        <v>31</v>
      </c>
      <c r="H2814" s="7">
        <v>2136.0</v>
      </c>
      <c r="I2814" s="7">
        <v>5229.0</v>
      </c>
      <c r="J2814" s="6">
        <v>1988.0</v>
      </c>
      <c r="K2814" s="6">
        <v>67.0</v>
      </c>
      <c r="L2814" s="6" t="s">
        <v>141</v>
      </c>
      <c r="M2814" s="6" t="s">
        <v>11292</v>
      </c>
      <c r="N2814" s="6" t="s">
        <v>43</v>
      </c>
      <c r="O2814" s="6" t="s">
        <v>25</v>
      </c>
      <c r="P2814" s="6">
        <f>COUNTIF(Analysis!$M$1:$M$3001,Analysis!$M2814)</f>
        <v>1</v>
      </c>
      <c r="Q2814" s="6" t="str">
        <f>IF(COUNTIF(Analysis!$M$2:$M$3001,Analysis!$M2814)&gt;1,"Duplicate","OK")</f>
        <v>OK</v>
      </c>
      <c r="R2814" s="6" t="str">
        <f t="shared" si="1"/>
        <v>1600-2600</v>
      </c>
      <c r="S2814" s="6">
        <f t="shared" si="2"/>
        <v>38</v>
      </c>
      <c r="T2814" s="6" t="str">
        <f t="shared" si="3"/>
        <v>Old</v>
      </c>
    </row>
    <row r="2815" ht="14.25" customHeight="1">
      <c r="A2815" s="5">
        <v>416436.0</v>
      </c>
      <c r="B2815" s="6" t="s">
        <v>11295</v>
      </c>
      <c r="C2815" s="6" t="s">
        <v>53</v>
      </c>
      <c r="D2815" s="6">
        <v>37076.0</v>
      </c>
      <c r="E2815" s="6" t="s">
        <v>40</v>
      </c>
      <c r="F2815" s="6" t="s">
        <v>41</v>
      </c>
      <c r="G2815" s="6" t="s">
        <v>100</v>
      </c>
      <c r="H2815" s="7">
        <v>1292.0</v>
      </c>
      <c r="I2815" s="7">
        <v>1069.0</v>
      </c>
      <c r="J2815" s="6">
        <v>1959.0</v>
      </c>
      <c r="K2815" s="6">
        <v>7.0</v>
      </c>
      <c r="L2815" s="6" t="s">
        <v>22</v>
      </c>
      <c r="M2815" s="6" t="s">
        <v>11296</v>
      </c>
      <c r="N2815" s="6" t="s">
        <v>43</v>
      </c>
      <c r="O2815" s="6" t="s">
        <v>49</v>
      </c>
      <c r="P2815" s="6">
        <f>COUNTIF(Analysis!$M$1:$M$3001,Analysis!$M2815)</f>
        <v>1</v>
      </c>
      <c r="Q2815" s="6" t="str">
        <f>IF(COUNTIF(Analysis!$M$2:$M$3001,Analysis!$M2815)&gt;1,"Duplicate","OK")</f>
        <v>OK</v>
      </c>
      <c r="R2815" s="6" t="str">
        <f t="shared" si="1"/>
        <v>600-1600</v>
      </c>
      <c r="S2815" s="6">
        <f t="shared" si="2"/>
        <v>67</v>
      </c>
      <c r="T2815" s="6" t="str">
        <f t="shared" si="3"/>
        <v>Very Old</v>
      </c>
    </row>
    <row r="2816" ht="14.25" customHeight="1">
      <c r="A2816" s="5">
        <v>1093419.0</v>
      </c>
      <c r="B2816" s="6" t="s">
        <v>11299</v>
      </c>
      <c r="C2816" s="6" t="s">
        <v>53</v>
      </c>
      <c r="D2816" s="6">
        <v>16323.0</v>
      </c>
      <c r="E2816" s="6" t="s">
        <v>19</v>
      </c>
      <c r="F2816" s="6" t="s">
        <v>94</v>
      </c>
      <c r="G2816" s="6" t="s">
        <v>55</v>
      </c>
      <c r="H2816" s="7">
        <v>917.0</v>
      </c>
      <c r="I2816" s="7">
        <v>4029.0</v>
      </c>
      <c r="J2816" s="6">
        <v>1952.0</v>
      </c>
      <c r="K2816" s="6">
        <v>49.0</v>
      </c>
      <c r="L2816" s="6" t="s">
        <v>22</v>
      </c>
      <c r="M2816" s="6" t="s">
        <v>11300</v>
      </c>
      <c r="N2816" s="6" t="s">
        <v>24</v>
      </c>
      <c r="O2816" s="6" t="s">
        <v>25</v>
      </c>
      <c r="P2816" s="6">
        <f>COUNTIF(Analysis!$M$1:$M$3001,Analysis!$M2816)</f>
        <v>1</v>
      </c>
      <c r="Q2816" s="6" t="str">
        <f>IF(COUNTIF(Analysis!$M$2:$M$3001,Analysis!$M2816)&gt;1,"Duplicate","OK")</f>
        <v>OK</v>
      </c>
      <c r="R2816" s="6" t="str">
        <f t="shared" si="1"/>
        <v>600-1600</v>
      </c>
      <c r="S2816" s="6">
        <f t="shared" si="2"/>
        <v>74</v>
      </c>
      <c r="T2816" s="6" t="str">
        <f t="shared" si="3"/>
        <v>Very Old</v>
      </c>
    </row>
    <row r="2817" ht="14.25" customHeight="1">
      <c r="A2817" s="5">
        <v>624263.0</v>
      </c>
      <c r="B2817" s="6" t="s">
        <v>11303</v>
      </c>
      <c r="C2817" s="6" t="s">
        <v>18</v>
      </c>
      <c r="D2817" s="6">
        <v>51574.0</v>
      </c>
      <c r="E2817" s="6" t="s">
        <v>60</v>
      </c>
      <c r="F2817" s="6" t="s">
        <v>20</v>
      </c>
      <c r="G2817" s="6" t="s">
        <v>31</v>
      </c>
      <c r="H2817" s="7">
        <v>3845.0</v>
      </c>
      <c r="I2817" s="7">
        <v>7564.0</v>
      </c>
      <c r="J2817" s="6">
        <v>2006.0</v>
      </c>
      <c r="K2817" s="6">
        <v>15.0</v>
      </c>
      <c r="L2817" s="6" t="s">
        <v>32</v>
      </c>
      <c r="M2817" s="6" t="s">
        <v>11304</v>
      </c>
      <c r="N2817" s="6" t="s">
        <v>43</v>
      </c>
      <c r="O2817" s="6" t="s">
        <v>49</v>
      </c>
      <c r="P2817" s="6">
        <f>COUNTIF(Analysis!$M$1:$M$3001,Analysis!$M2817)</f>
        <v>1</v>
      </c>
      <c r="Q2817" s="6" t="str">
        <f>IF(COUNTIF(Analysis!$M$2:$M$3001,Analysis!$M2817)&gt;1,"Duplicate","OK")</f>
        <v>OK</v>
      </c>
      <c r="R2817" s="6" t="str">
        <f t="shared" si="1"/>
        <v>3600+</v>
      </c>
      <c r="S2817" s="6">
        <f t="shared" si="2"/>
        <v>20</v>
      </c>
      <c r="T2817" s="6" t="str">
        <f t="shared" si="3"/>
        <v>Mid</v>
      </c>
    </row>
    <row r="2818" ht="14.25" customHeight="1">
      <c r="A2818" s="5">
        <v>553467.0</v>
      </c>
      <c r="B2818" s="6" t="s">
        <v>11307</v>
      </c>
      <c r="C2818" s="6" t="s">
        <v>39</v>
      </c>
      <c r="D2818" s="6">
        <v>23654.0</v>
      </c>
      <c r="E2818" s="6" t="s">
        <v>30</v>
      </c>
      <c r="F2818" s="6" t="s">
        <v>20</v>
      </c>
      <c r="G2818" s="6" t="s">
        <v>21</v>
      </c>
      <c r="H2818" s="7">
        <v>3755.0</v>
      </c>
      <c r="I2818" s="7">
        <v>3401.0</v>
      </c>
      <c r="J2818" s="6">
        <v>1984.0</v>
      </c>
      <c r="K2818" s="6">
        <v>102.0</v>
      </c>
      <c r="L2818" s="6" t="s">
        <v>22</v>
      </c>
      <c r="M2818" s="6" t="s">
        <v>11308</v>
      </c>
      <c r="N2818" s="6" t="s">
        <v>43</v>
      </c>
      <c r="O2818" s="6" t="s">
        <v>35</v>
      </c>
      <c r="P2818" s="6">
        <f>COUNTIF(Analysis!$M$1:$M$3001,Analysis!$M2818)</f>
        <v>1</v>
      </c>
      <c r="Q2818" s="6" t="str">
        <f>IF(COUNTIF(Analysis!$M$2:$M$3001,Analysis!$M2818)&gt;1,"Duplicate","OK")</f>
        <v>OK</v>
      </c>
      <c r="R2818" s="6" t="str">
        <f t="shared" si="1"/>
        <v>3600+</v>
      </c>
      <c r="S2818" s="6">
        <f t="shared" si="2"/>
        <v>42</v>
      </c>
      <c r="T2818" s="6" t="str">
        <f t="shared" si="3"/>
        <v>Old</v>
      </c>
    </row>
    <row r="2819" ht="14.25" customHeight="1">
      <c r="A2819" s="5">
        <v>1253807.0</v>
      </c>
      <c r="B2819" s="6" t="s">
        <v>11311</v>
      </c>
      <c r="C2819" s="6" t="s">
        <v>76</v>
      </c>
      <c r="D2819" s="6">
        <v>64894.0</v>
      </c>
      <c r="E2819" s="6" t="s">
        <v>77</v>
      </c>
      <c r="F2819" s="6" t="s">
        <v>46</v>
      </c>
      <c r="G2819" s="6" t="s">
        <v>31</v>
      </c>
      <c r="H2819" s="7">
        <v>3188.0</v>
      </c>
      <c r="I2819" s="7">
        <v>7430.0</v>
      </c>
      <c r="J2819" s="6">
        <v>1998.0</v>
      </c>
      <c r="K2819" s="6">
        <v>44.0</v>
      </c>
      <c r="L2819" s="6" t="s">
        <v>141</v>
      </c>
      <c r="M2819" s="6" t="s">
        <v>11312</v>
      </c>
      <c r="N2819" s="6" t="s">
        <v>64</v>
      </c>
      <c r="O2819" s="6" t="s">
        <v>25</v>
      </c>
      <c r="P2819" s="6">
        <f>COUNTIF(Analysis!$M$1:$M$3001,Analysis!$M2819)</f>
        <v>1</v>
      </c>
      <c r="Q2819" s="6" t="str">
        <f>IF(COUNTIF(Analysis!$M$2:$M$3001,Analysis!$M2819)&gt;1,"Duplicate","OK")</f>
        <v>OK</v>
      </c>
      <c r="R2819" s="6" t="str">
        <f t="shared" si="1"/>
        <v>2600-3600</v>
      </c>
      <c r="S2819" s="6">
        <f t="shared" si="2"/>
        <v>28</v>
      </c>
      <c r="T2819" s="6" t="str">
        <f t="shared" si="3"/>
        <v>Mid</v>
      </c>
    </row>
    <row r="2820" ht="14.25" customHeight="1">
      <c r="A2820" s="5">
        <v>970091.0</v>
      </c>
      <c r="B2820" s="6" t="s">
        <v>11315</v>
      </c>
      <c r="C2820" s="6" t="s">
        <v>18</v>
      </c>
      <c r="D2820" s="6">
        <v>78547.0</v>
      </c>
      <c r="E2820" s="6" t="s">
        <v>77</v>
      </c>
      <c r="F2820" s="6" t="s">
        <v>54</v>
      </c>
      <c r="G2820" s="6" t="s">
        <v>100</v>
      </c>
      <c r="H2820" s="7">
        <v>1115.0</v>
      </c>
      <c r="I2820" s="7">
        <v>9921.0</v>
      </c>
      <c r="J2820" s="6">
        <v>1972.0</v>
      </c>
      <c r="K2820" s="6">
        <v>67.0</v>
      </c>
      <c r="L2820" s="6" t="s">
        <v>95</v>
      </c>
      <c r="M2820" s="6" t="s">
        <v>11316</v>
      </c>
      <c r="N2820" s="6" t="s">
        <v>43</v>
      </c>
      <c r="O2820" s="6" t="s">
        <v>25</v>
      </c>
      <c r="P2820" s="6">
        <f>COUNTIF(Analysis!$M$1:$M$3001,Analysis!$M2820)</f>
        <v>1</v>
      </c>
      <c r="Q2820" s="6" t="str">
        <f>IF(COUNTIF(Analysis!$M$2:$M$3001,Analysis!$M2820)&gt;1,"Duplicate","OK")</f>
        <v>OK</v>
      </c>
      <c r="R2820" s="6" t="str">
        <f t="shared" si="1"/>
        <v>600-1600</v>
      </c>
      <c r="S2820" s="6">
        <f t="shared" si="2"/>
        <v>54</v>
      </c>
      <c r="T2820" s="6" t="str">
        <f t="shared" si="3"/>
        <v>Old</v>
      </c>
    </row>
    <row r="2821" ht="14.25" customHeight="1">
      <c r="A2821" s="5">
        <v>730723.0</v>
      </c>
      <c r="B2821" s="6" t="s">
        <v>11319</v>
      </c>
      <c r="C2821" s="6" t="s">
        <v>18</v>
      </c>
      <c r="D2821" s="6">
        <v>50413.0</v>
      </c>
      <c r="E2821" s="6" t="s">
        <v>19</v>
      </c>
      <c r="F2821" s="6" t="s">
        <v>46</v>
      </c>
      <c r="G2821" s="6" t="s">
        <v>21</v>
      </c>
      <c r="H2821" s="7">
        <v>1835.0</v>
      </c>
      <c r="I2821" s="7">
        <v>2233.0</v>
      </c>
      <c r="J2821" s="6">
        <v>1970.0</v>
      </c>
      <c r="K2821" s="6">
        <v>71.0</v>
      </c>
      <c r="L2821" s="6" t="s">
        <v>62</v>
      </c>
      <c r="M2821" s="6" t="s">
        <v>11320</v>
      </c>
      <c r="N2821" s="6" t="s">
        <v>34</v>
      </c>
      <c r="O2821" s="6" t="s">
        <v>25</v>
      </c>
      <c r="P2821" s="6">
        <f>COUNTIF(Analysis!$M$1:$M$3001,Analysis!$M2821)</f>
        <v>1</v>
      </c>
      <c r="Q2821" s="6" t="str">
        <f>IF(COUNTIF(Analysis!$M$2:$M$3001,Analysis!$M2821)&gt;1,"Duplicate","OK")</f>
        <v>OK</v>
      </c>
      <c r="R2821" s="6" t="str">
        <f t="shared" si="1"/>
        <v>1600-2600</v>
      </c>
      <c r="S2821" s="6">
        <f t="shared" si="2"/>
        <v>56</v>
      </c>
      <c r="T2821" s="6" t="str">
        <f t="shared" si="3"/>
        <v>Old</v>
      </c>
    </row>
    <row r="2822" ht="14.25" customHeight="1">
      <c r="A2822" s="5">
        <v>985816.0</v>
      </c>
      <c r="B2822" s="6" t="s">
        <v>11323</v>
      </c>
      <c r="C2822" s="6" t="s">
        <v>53</v>
      </c>
      <c r="D2822" s="6">
        <v>43488.0</v>
      </c>
      <c r="E2822" s="6" t="s">
        <v>40</v>
      </c>
      <c r="F2822" s="6" t="s">
        <v>61</v>
      </c>
      <c r="G2822" s="6" t="s">
        <v>21</v>
      </c>
      <c r="H2822" s="7">
        <v>3324.0</v>
      </c>
      <c r="I2822" s="7">
        <v>2601.0</v>
      </c>
      <c r="J2822" s="6">
        <v>1968.0</v>
      </c>
      <c r="K2822" s="6">
        <v>15.0</v>
      </c>
      <c r="L2822" s="6" t="s">
        <v>22</v>
      </c>
      <c r="M2822" s="6" t="s">
        <v>11324</v>
      </c>
      <c r="N2822" s="6" t="s">
        <v>64</v>
      </c>
      <c r="O2822" s="6" t="s">
        <v>49</v>
      </c>
      <c r="P2822" s="6">
        <f>COUNTIF(Analysis!$M$1:$M$3001,Analysis!$M2822)</f>
        <v>1</v>
      </c>
      <c r="Q2822" s="6" t="str">
        <f>IF(COUNTIF(Analysis!$M$2:$M$3001,Analysis!$M2822)&gt;1,"Duplicate","OK")</f>
        <v>OK</v>
      </c>
      <c r="R2822" s="6" t="str">
        <f t="shared" si="1"/>
        <v>2600-3600</v>
      </c>
      <c r="S2822" s="6">
        <f t="shared" si="2"/>
        <v>58</v>
      </c>
      <c r="T2822" s="6" t="str">
        <f t="shared" si="3"/>
        <v>Old</v>
      </c>
    </row>
    <row r="2823" ht="14.25" customHeight="1">
      <c r="A2823" s="5">
        <v>270319.0</v>
      </c>
      <c r="B2823" s="6" t="s">
        <v>11327</v>
      </c>
      <c r="C2823" s="6" t="s">
        <v>53</v>
      </c>
      <c r="D2823" s="6">
        <v>83167.0</v>
      </c>
      <c r="E2823" s="6" t="s">
        <v>60</v>
      </c>
      <c r="F2823" s="6" t="s">
        <v>54</v>
      </c>
      <c r="G2823" s="6" t="s">
        <v>31</v>
      </c>
      <c r="H2823" s="7">
        <v>3083.0</v>
      </c>
      <c r="I2823" s="7">
        <v>6575.0</v>
      </c>
      <c r="J2823" s="6">
        <v>1999.0</v>
      </c>
      <c r="K2823" s="6">
        <v>83.0</v>
      </c>
      <c r="L2823" s="6" t="s">
        <v>22</v>
      </c>
      <c r="M2823" s="6" t="s">
        <v>11328</v>
      </c>
      <c r="N2823" s="6" t="s">
        <v>64</v>
      </c>
      <c r="O2823" s="6" t="s">
        <v>49</v>
      </c>
      <c r="P2823" s="6">
        <f>COUNTIF(Analysis!$M$1:$M$3001,Analysis!$M2823)</f>
        <v>1</v>
      </c>
      <c r="Q2823" s="6" t="str">
        <f>IF(COUNTIF(Analysis!$M$2:$M$3001,Analysis!$M2823)&gt;1,"Duplicate","OK")</f>
        <v>OK</v>
      </c>
      <c r="R2823" s="6" t="str">
        <f t="shared" si="1"/>
        <v>2600-3600</v>
      </c>
      <c r="S2823" s="6">
        <f t="shared" si="2"/>
        <v>27</v>
      </c>
      <c r="T2823" s="6" t="str">
        <f t="shared" si="3"/>
        <v>Mid</v>
      </c>
    </row>
    <row r="2824" ht="14.25" customHeight="1">
      <c r="A2824" s="5">
        <v>210895.0</v>
      </c>
      <c r="B2824" s="6" t="s">
        <v>11331</v>
      </c>
      <c r="C2824" s="6" t="s">
        <v>18</v>
      </c>
      <c r="D2824" s="6">
        <v>85233.0</v>
      </c>
      <c r="E2824" s="6" t="s">
        <v>19</v>
      </c>
      <c r="F2824" s="6" t="s">
        <v>61</v>
      </c>
      <c r="G2824" s="6" t="s">
        <v>55</v>
      </c>
      <c r="H2824" s="7">
        <v>1302.0</v>
      </c>
      <c r="I2824" s="7">
        <v>1173.0</v>
      </c>
      <c r="J2824" s="6">
        <v>1954.0</v>
      </c>
      <c r="K2824" s="6">
        <v>14.0</v>
      </c>
      <c r="L2824" s="6" t="s">
        <v>32</v>
      </c>
      <c r="M2824" s="6" t="s">
        <v>11332</v>
      </c>
      <c r="N2824" s="6" t="s">
        <v>34</v>
      </c>
      <c r="O2824" s="6" t="s">
        <v>49</v>
      </c>
      <c r="P2824" s="6">
        <f>COUNTIF(Analysis!$M$1:$M$3001,Analysis!$M2824)</f>
        <v>1</v>
      </c>
      <c r="Q2824" s="6" t="str">
        <f>IF(COUNTIF(Analysis!$M$2:$M$3001,Analysis!$M2824)&gt;1,"Duplicate","OK")</f>
        <v>OK</v>
      </c>
      <c r="R2824" s="6" t="str">
        <f t="shared" si="1"/>
        <v>600-1600</v>
      </c>
      <c r="S2824" s="6">
        <f t="shared" si="2"/>
        <v>72</v>
      </c>
      <c r="T2824" s="6" t="str">
        <f t="shared" si="3"/>
        <v>Very Old</v>
      </c>
    </row>
    <row r="2825" ht="14.25" customHeight="1">
      <c r="A2825" s="5">
        <v>446490.0</v>
      </c>
      <c r="B2825" s="6" t="s">
        <v>11335</v>
      </c>
      <c r="C2825" s="6" t="s">
        <v>18</v>
      </c>
      <c r="D2825" s="6">
        <v>81930.0</v>
      </c>
      <c r="E2825" s="6" t="s">
        <v>60</v>
      </c>
      <c r="F2825" s="6" t="s">
        <v>20</v>
      </c>
      <c r="G2825" s="6" t="s">
        <v>100</v>
      </c>
      <c r="H2825" s="7">
        <v>2056.0</v>
      </c>
      <c r="I2825" s="7">
        <v>9979.0</v>
      </c>
      <c r="J2825" s="6">
        <v>2022.0</v>
      </c>
      <c r="K2825" s="6">
        <v>98.0</v>
      </c>
      <c r="L2825" s="6" t="s">
        <v>22</v>
      </c>
      <c r="M2825" s="6" t="s">
        <v>11336</v>
      </c>
      <c r="N2825" s="6" t="s">
        <v>24</v>
      </c>
      <c r="O2825" s="6" t="s">
        <v>35</v>
      </c>
      <c r="P2825" s="6">
        <f>COUNTIF(Analysis!$M$1:$M$3001,Analysis!$M2825)</f>
        <v>1</v>
      </c>
      <c r="Q2825" s="6" t="str">
        <f>IF(COUNTIF(Analysis!$M$2:$M$3001,Analysis!$M2825)&gt;1,"Duplicate","OK")</f>
        <v>OK</v>
      </c>
      <c r="R2825" s="6" t="str">
        <f t="shared" si="1"/>
        <v>1600-2600</v>
      </c>
      <c r="S2825" s="6">
        <f t="shared" si="2"/>
        <v>4</v>
      </c>
      <c r="T2825" s="6" t="str">
        <f t="shared" si="3"/>
        <v>New</v>
      </c>
    </row>
    <row r="2826" ht="14.25" customHeight="1">
      <c r="A2826" s="5">
        <v>680646.0</v>
      </c>
      <c r="B2826" s="6" t="s">
        <v>11339</v>
      </c>
      <c r="C2826" s="6" t="s">
        <v>18</v>
      </c>
      <c r="D2826" s="6">
        <v>21470.0</v>
      </c>
      <c r="E2826" s="6" t="s">
        <v>60</v>
      </c>
      <c r="F2826" s="6" t="s">
        <v>94</v>
      </c>
      <c r="G2826" s="6" t="s">
        <v>55</v>
      </c>
      <c r="H2826" s="7">
        <v>2692.0</v>
      </c>
      <c r="I2826" s="7">
        <v>9380.0</v>
      </c>
      <c r="J2826" s="6">
        <v>1999.0</v>
      </c>
      <c r="K2826" s="6">
        <v>37.0</v>
      </c>
      <c r="L2826" s="6" t="s">
        <v>95</v>
      </c>
      <c r="M2826" s="6" t="s">
        <v>11340</v>
      </c>
      <c r="N2826" s="6" t="s">
        <v>48</v>
      </c>
      <c r="O2826" s="6" t="s">
        <v>49</v>
      </c>
      <c r="P2826" s="6">
        <f>COUNTIF(Analysis!$M$1:$M$3001,Analysis!$M2826)</f>
        <v>1</v>
      </c>
      <c r="Q2826" s="6" t="str">
        <f>IF(COUNTIF(Analysis!$M$2:$M$3001,Analysis!$M2826)&gt;1,"Duplicate","OK")</f>
        <v>OK</v>
      </c>
      <c r="R2826" s="6" t="str">
        <f t="shared" si="1"/>
        <v>2600-3600</v>
      </c>
      <c r="S2826" s="6">
        <f t="shared" si="2"/>
        <v>27</v>
      </c>
      <c r="T2826" s="6" t="str">
        <f t="shared" si="3"/>
        <v>Mid</v>
      </c>
    </row>
    <row r="2827" ht="14.25" customHeight="1">
      <c r="A2827" s="5">
        <v>1424797.0</v>
      </c>
      <c r="B2827" s="6" t="s">
        <v>6345</v>
      </c>
      <c r="C2827" s="6" t="s">
        <v>29</v>
      </c>
      <c r="D2827" s="6">
        <v>28493.0</v>
      </c>
      <c r="E2827" s="6" t="s">
        <v>19</v>
      </c>
      <c r="F2827" s="6" t="s">
        <v>61</v>
      </c>
      <c r="G2827" s="6" t="s">
        <v>100</v>
      </c>
      <c r="H2827" s="7">
        <v>1814.0</v>
      </c>
      <c r="I2827" s="7">
        <v>2565.0</v>
      </c>
      <c r="J2827" s="6">
        <v>2009.0</v>
      </c>
      <c r="K2827" s="6">
        <v>116.0</v>
      </c>
      <c r="L2827" s="6" t="s">
        <v>32</v>
      </c>
      <c r="M2827" s="6" t="s">
        <v>6346</v>
      </c>
      <c r="N2827" s="6" t="s">
        <v>48</v>
      </c>
      <c r="O2827" s="6" t="s">
        <v>35</v>
      </c>
      <c r="P2827" s="6">
        <f>COUNTIF(Analysis!$M$1:$M$3001,Analysis!$M1577)</f>
        <v>1</v>
      </c>
      <c r="Q2827" s="6" t="str">
        <f>IF(COUNTIF(Analysis!$M$2:$M$3001,Analysis!$M1577)&gt;1,"Duplicate","OK")</f>
        <v>OK</v>
      </c>
      <c r="R2827" s="6" t="str">
        <f t="shared" si="1"/>
        <v>1600-2600</v>
      </c>
      <c r="S2827" s="6">
        <f t="shared" si="2"/>
        <v>17</v>
      </c>
      <c r="T2827" s="6" t="str">
        <f t="shared" si="3"/>
        <v>Mid</v>
      </c>
    </row>
    <row r="2828" ht="14.25" customHeight="1">
      <c r="A2828" s="5">
        <v>376794.0</v>
      </c>
      <c r="B2828" s="6" t="s">
        <v>11347</v>
      </c>
      <c r="C2828" s="6" t="s">
        <v>18</v>
      </c>
      <c r="D2828" s="6">
        <v>25609.0</v>
      </c>
      <c r="E2828" s="6" t="s">
        <v>77</v>
      </c>
      <c r="F2828" s="6" t="s">
        <v>46</v>
      </c>
      <c r="G2828" s="6" t="s">
        <v>31</v>
      </c>
      <c r="H2828" s="7">
        <v>3903.0</v>
      </c>
      <c r="I2828" s="7">
        <v>8605.0</v>
      </c>
      <c r="J2828" s="6">
        <v>1977.0</v>
      </c>
      <c r="K2828" s="6">
        <v>113.0</v>
      </c>
      <c r="L2828" s="6" t="s">
        <v>62</v>
      </c>
      <c r="M2828" s="6" t="s">
        <v>11348</v>
      </c>
      <c r="N2828" s="6" t="s">
        <v>34</v>
      </c>
      <c r="O2828" s="6" t="s">
        <v>49</v>
      </c>
      <c r="P2828" s="6">
        <f>COUNTIF(Analysis!$M$1:$M$3001,Analysis!$M2828)</f>
        <v>1</v>
      </c>
      <c r="Q2828" s="6" t="str">
        <f>IF(COUNTIF(Analysis!$M$2:$M$3001,Analysis!$M2828)&gt;1,"Duplicate","OK")</f>
        <v>OK</v>
      </c>
      <c r="R2828" s="6" t="str">
        <f t="shared" si="1"/>
        <v>3600+</v>
      </c>
      <c r="S2828" s="6">
        <f t="shared" si="2"/>
        <v>49</v>
      </c>
      <c r="T2828" s="6" t="str">
        <f t="shared" si="3"/>
        <v>Old</v>
      </c>
    </row>
    <row r="2829" ht="14.25" customHeight="1">
      <c r="A2829" s="5">
        <v>823602.0</v>
      </c>
      <c r="B2829" s="6" t="s">
        <v>11351</v>
      </c>
      <c r="C2829" s="6" t="s">
        <v>53</v>
      </c>
      <c r="D2829" s="6">
        <v>61827.0</v>
      </c>
      <c r="E2829" s="6" t="s">
        <v>60</v>
      </c>
      <c r="F2829" s="6" t="s">
        <v>46</v>
      </c>
      <c r="G2829" s="6" t="s">
        <v>31</v>
      </c>
      <c r="H2829" s="7">
        <v>1977.0</v>
      </c>
      <c r="I2829" s="7">
        <v>9297.0</v>
      </c>
      <c r="J2829" s="6">
        <v>1995.0</v>
      </c>
      <c r="K2829" s="6">
        <v>35.0</v>
      </c>
      <c r="L2829" s="6" t="s">
        <v>141</v>
      </c>
      <c r="M2829" s="6" t="s">
        <v>11352</v>
      </c>
      <c r="N2829" s="6" t="s">
        <v>43</v>
      </c>
      <c r="O2829" s="6" t="s">
        <v>25</v>
      </c>
      <c r="P2829" s="6">
        <f>COUNTIF(Analysis!$M$1:$M$3001,Analysis!$M2829)</f>
        <v>1</v>
      </c>
      <c r="Q2829" s="6" t="str">
        <f>IF(COUNTIF(Analysis!$M$2:$M$3001,Analysis!$M2829)&gt;1,"Duplicate","OK")</f>
        <v>OK</v>
      </c>
      <c r="R2829" s="6" t="str">
        <f t="shared" si="1"/>
        <v>1600-2600</v>
      </c>
      <c r="S2829" s="6">
        <f t="shared" si="2"/>
        <v>31</v>
      </c>
      <c r="T2829" s="6" t="str">
        <f t="shared" si="3"/>
        <v>Old</v>
      </c>
    </row>
    <row r="2830" ht="14.25" customHeight="1">
      <c r="A2830" s="5">
        <v>1432147.0</v>
      </c>
      <c r="B2830" s="6" t="s">
        <v>11355</v>
      </c>
      <c r="C2830" s="6" t="s">
        <v>76</v>
      </c>
      <c r="D2830" s="6">
        <v>33365.0</v>
      </c>
      <c r="E2830" s="6" t="s">
        <v>19</v>
      </c>
      <c r="F2830" s="6" t="s">
        <v>41</v>
      </c>
      <c r="G2830" s="6" t="s">
        <v>100</v>
      </c>
      <c r="H2830" s="7">
        <v>2980.0</v>
      </c>
      <c r="I2830" s="7">
        <v>3292.0</v>
      </c>
      <c r="J2830" s="6">
        <v>2019.0</v>
      </c>
      <c r="K2830" s="6">
        <v>105.0</v>
      </c>
      <c r="L2830" s="6" t="s">
        <v>22</v>
      </c>
      <c r="M2830" s="6" t="s">
        <v>11356</v>
      </c>
      <c r="N2830" s="6" t="s">
        <v>64</v>
      </c>
      <c r="O2830" s="6" t="s">
        <v>35</v>
      </c>
      <c r="P2830" s="6">
        <f>COUNTIF(Analysis!$M$1:$M$3001,Analysis!$M2830)</f>
        <v>1</v>
      </c>
      <c r="Q2830" s="6" t="str">
        <f>IF(COUNTIF(Analysis!$M$2:$M$3001,Analysis!$M2830)&gt;1,"Duplicate","OK")</f>
        <v>OK</v>
      </c>
      <c r="R2830" s="6" t="str">
        <f t="shared" si="1"/>
        <v>2600-3600</v>
      </c>
      <c r="S2830" s="6">
        <f t="shared" si="2"/>
        <v>7</v>
      </c>
      <c r="T2830" s="6" t="str">
        <f t="shared" si="3"/>
        <v>New</v>
      </c>
    </row>
    <row r="2831" ht="14.25" customHeight="1">
      <c r="A2831" s="5">
        <v>1357686.0</v>
      </c>
      <c r="B2831" s="6" t="s">
        <v>11359</v>
      </c>
      <c r="C2831" s="6" t="s">
        <v>53</v>
      </c>
      <c r="D2831" s="6">
        <v>45361.0</v>
      </c>
      <c r="E2831" s="6" t="s">
        <v>60</v>
      </c>
      <c r="F2831" s="6" t="s">
        <v>46</v>
      </c>
      <c r="G2831" s="6" t="s">
        <v>100</v>
      </c>
      <c r="H2831" s="7">
        <v>3043.0</v>
      </c>
      <c r="I2831" s="7">
        <v>3616.0</v>
      </c>
      <c r="J2831" s="6">
        <v>2001.0</v>
      </c>
      <c r="K2831" s="6">
        <v>70.0</v>
      </c>
      <c r="L2831" s="6" t="s">
        <v>141</v>
      </c>
      <c r="M2831" s="6" t="s">
        <v>11360</v>
      </c>
      <c r="N2831" s="6" t="s">
        <v>24</v>
      </c>
      <c r="O2831" s="6" t="s">
        <v>49</v>
      </c>
      <c r="P2831" s="6">
        <f>COUNTIF(Analysis!$M$1:$M$3001,Analysis!$M2831)</f>
        <v>1</v>
      </c>
      <c r="Q2831" s="6" t="str">
        <f>IF(COUNTIF(Analysis!$M$2:$M$3001,Analysis!$M2831)&gt;1,"Duplicate","OK")</f>
        <v>OK</v>
      </c>
      <c r="R2831" s="6" t="str">
        <f t="shared" si="1"/>
        <v>2600-3600</v>
      </c>
      <c r="S2831" s="6">
        <f t="shared" si="2"/>
        <v>25</v>
      </c>
      <c r="T2831" s="6" t="str">
        <f t="shared" si="3"/>
        <v>Mid</v>
      </c>
    </row>
    <row r="2832" ht="14.25" customHeight="1">
      <c r="A2832" s="5">
        <v>1216553.0</v>
      </c>
      <c r="B2832" s="6" t="s">
        <v>11363</v>
      </c>
      <c r="C2832" s="6" t="s">
        <v>18</v>
      </c>
      <c r="D2832" s="6">
        <v>38507.0</v>
      </c>
      <c r="E2832" s="6" t="s">
        <v>77</v>
      </c>
      <c r="F2832" s="6" t="s">
        <v>54</v>
      </c>
      <c r="G2832" s="6" t="s">
        <v>21</v>
      </c>
      <c r="H2832" s="7">
        <v>1378.0</v>
      </c>
      <c r="I2832" s="7">
        <v>4150.0</v>
      </c>
      <c r="J2832" s="6">
        <v>1956.0</v>
      </c>
      <c r="K2832" s="6">
        <v>9.0</v>
      </c>
      <c r="L2832" s="6" t="s">
        <v>95</v>
      </c>
      <c r="M2832" s="6" t="s">
        <v>11364</v>
      </c>
      <c r="N2832" s="6" t="s">
        <v>34</v>
      </c>
      <c r="O2832" s="6" t="s">
        <v>49</v>
      </c>
      <c r="P2832" s="6">
        <f>COUNTIF(Analysis!$M$1:$M$3001,Analysis!$M2832)</f>
        <v>1</v>
      </c>
      <c r="Q2832" s="6" t="str">
        <f>IF(COUNTIF(Analysis!$M$2:$M$3001,Analysis!$M2832)&gt;1,"Duplicate","OK")</f>
        <v>OK</v>
      </c>
      <c r="R2832" s="6" t="str">
        <f t="shared" si="1"/>
        <v>600-1600</v>
      </c>
      <c r="S2832" s="6">
        <f t="shared" si="2"/>
        <v>70</v>
      </c>
      <c r="T2832" s="6" t="str">
        <f t="shared" si="3"/>
        <v>Very Old</v>
      </c>
    </row>
    <row r="2833" ht="14.25" customHeight="1">
      <c r="A2833" s="5">
        <v>460323.0</v>
      </c>
      <c r="B2833" s="6" t="s">
        <v>11367</v>
      </c>
      <c r="C2833" s="6" t="s">
        <v>76</v>
      </c>
      <c r="D2833" s="6">
        <v>12418.0</v>
      </c>
      <c r="E2833" s="6" t="s">
        <v>77</v>
      </c>
      <c r="F2833" s="6" t="s">
        <v>41</v>
      </c>
      <c r="G2833" s="6" t="s">
        <v>21</v>
      </c>
      <c r="H2833" s="7">
        <v>1151.0</v>
      </c>
      <c r="I2833" s="7">
        <v>3606.0</v>
      </c>
      <c r="J2833" s="6">
        <v>1963.0</v>
      </c>
      <c r="K2833" s="6">
        <v>62.0</v>
      </c>
      <c r="L2833" s="6" t="s">
        <v>32</v>
      </c>
      <c r="M2833" s="6" t="s">
        <v>11368</v>
      </c>
      <c r="N2833" s="6" t="s">
        <v>64</v>
      </c>
      <c r="O2833" s="6" t="s">
        <v>25</v>
      </c>
      <c r="P2833" s="6">
        <f>COUNTIF(Analysis!$M$1:$M$3001,Analysis!$M2833)</f>
        <v>1</v>
      </c>
      <c r="Q2833" s="6" t="str">
        <f>IF(COUNTIF(Analysis!$M$2:$M$3001,Analysis!$M2833)&gt;1,"Duplicate","OK")</f>
        <v>OK</v>
      </c>
      <c r="R2833" s="6" t="str">
        <f t="shared" si="1"/>
        <v>600-1600</v>
      </c>
      <c r="S2833" s="6">
        <f t="shared" si="2"/>
        <v>63</v>
      </c>
      <c r="T2833" s="6" t="str">
        <f t="shared" si="3"/>
        <v>Very Old</v>
      </c>
    </row>
    <row r="2834" ht="14.25" customHeight="1">
      <c r="A2834" s="5">
        <v>1425500.0</v>
      </c>
      <c r="B2834" s="6" t="s">
        <v>2148</v>
      </c>
      <c r="C2834" s="6" t="s">
        <v>29</v>
      </c>
      <c r="D2834" s="6">
        <v>67436.0</v>
      </c>
      <c r="E2834" s="6" t="s">
        <v>19</v>
      </c>
      <c r="F2834" s="6" t="s">
        <v>54</v>
      </c>
      <c r="G2834" s="6" t="s">
        <v>31</v>
      </c>
      <c r="H2834" s="7">
        <v>2845.0</v>
      </c>
      <c r="I2834" s="7">
        <v>9457.0</v>
      </c>
      <c r="J2834" s="6">
        <v>1962.0</v>
      </c>
      <c r="K2834" s="6">
        <v>107.0</v>
      </c>
      <c r="L2834" s="6" t="s">
        <v>32</v>
      </c>
      <c r="M2834" s="6" t="s">
        <v>2149</v>
      </c>
      <c r="N2834" s="6" t="s">
        <v>48</v>
      </c>
      <c r="O2834" s="6" t="s">
        <v>49</v>
      </c>
      <c r="P2834" s="6">
        <f>COUNTIF(Analysis!$M$1:$M$3001,Analysis!$M527)</f>
        <v>1</v>
      </c>
      <c r="Q2834" s="6" t="str">
        <f>IF(COUNTIF(Analysis!$M$2:$M$3001,Analysis!$M527)&gt;1,"Duplicate","OK")</f>
        <v>OK</v>
      </c>
      <c r="R2834" s="6" t="str">
        <f t="shared" si="1"/>
        <v>2600-3600</v>
      </c>
      <c r="S2834" s="6">
        <f t="shared" si="2"/>
        <v>64</v>
      </c>
      <c r="T2834" s="6" t="str">
        <f t="shared" si="3"/>
        <v>Very Old</v>
      </c>
    </row>
    <row r="2835" ht="14.25" customHeight="1">
      <c r="A2835" s="5">
        <v>266322.0</v>
      </c>
      <c r="B2835" s="6" t="s">
        <v>11375</v>
      </c>
      <c r="C2835" s="6" t="s">
        <v>18</v>
      </c>
      <c r="D2835" s="6">
        <v>62921.0</v>
      </c>
      <c r="E2835" s="6" t="s">
        <v>19</v>
      </c>
      <c r="F2835" s="6" t="s">
        <v>41</v>
      </c>
      <c r="G2835" s="6" t="s">
        <v>100</v>
      </c>
      <c r="H2835" s="7">
        <v>2426.0</v>
      </c>
      <c r="I2835" s="7">
        <v>6075.0</v>
      </c>
      <c r="J2835" s="6">
        <v>2002.0</v>
      </c>
      <c r="K2835" s="6">
        <v>107.0</v>
      </c>
      <c r="L2835" s="6" t="s">
        <v>22</v>
      </c>
      <c r="M2835" s="6" t="s">
        <v>11376</v>
      </c>
      <c r="N2835" s="6" t="s">
        <v>48</v>
      </c>
      <c r="O2835" s="6" t="s">
        <v>25</v>
      </c>
      <c r="P2835" s="6">
        <f>COUNTIF(Analysis!$M$1:$M$3001,Analysis!$M2835)</f>
        <v>1</v>
      </c>
      <c r="Q2835" s="6" t="str">
        <f>IF(COUNTIF(Analysis!$M$2:$M$3001,Analysis!$M2835)&gt;1,"Duplicate","OK")</f>
        <v>OK</v>
      </c>
      <c r="R2835" s="6" t="str">
        <f t="shared" si="1"/>
        <v>1600-2600</v>
      </c>
      <c r="S2835" s="6">
        <f t="shared" si="2"/>
        <v>24</v>
      </c>
      <c r="T2835" s="6" t="str">
        <f t="shared" si="3"/>
        <v>Mid</v>
      </c>
    </row>
    <row r="2836" ht="14.25" customHeight="1">
      <c r="A2836" s="5">
        <v>1456112.0</v>
      </c>
      <c r="B2836" s="6" t="s">
        <v>11379</v>
      </c>
      <c r="C2836" s="6" t="s">
        <v>53</v>
      </c>
      <c r="D2836" s="6">
        <v>91478.0</v>
      </c>
      <c r="E2836" s="6" t="s">
        <v>60</v>
      </c>
      <c r="F2836" s="6" t="s">
        <v>41</v>
      </c>
      <c r="G2836" s="6" t="s">
        <v>31</v>
      </c>
      <c r="H2836" s="7">
        <v>1225.0</v>
      </c>
      <c r="I2836" s="7">
        <v>4086.0</v>
      </c>
      <c r="J2836" s="6">
        <v>1973.0</v>
      </c>
      <c r="K2836" s="6">
        <v>10.0</v>
      </c>
      <c r="L2836" s="6" t="s">
        <v>22</v>
      </c>
      <c r="M2836" s="6" t="s">
        <v>11380</v>
      </c>
      <c r="N2836" s="6" t="s">
        <v>64</v>
      </c>
      <c r="O2836" s="6" t="s">
        <v>25</v>
      </c>
      <c r="P2836" s="6">
        <f>COUNTIF(Analysis!$M$1:$M$3001,Analysis!$M2836)</f>
        <v>1</v>
      </c>
      <c r="Q2836" s="6" t="str">
        <f>IF(COUNTIF(Analysis!$M$2:$M$3001,Analysis!$M2836)&gt;1,"Duplicate","OK")</f>
        <v>OK</v>
      </c>
      <c r="R2836" s="6" t="str">
        <f t="shared" si="1"/>
        <v>600-1600</v>
      </c>
      <c r="S2836" s="6">
        <f t="shared" si="2"/>
        <v>53</v>
      </c>
      <c r="T2836" s="6" t="str">
        <f t="shared" si="3"/>
        <v>Old</v>
      </c>
    </row>
    <row r="2837" ht="14.25" customHeight="1">
      <c r="A2837" s="5">
        <v>977845.0</v>
      </c>
      <c r="B2837" s="6" t="s">
        <v>11383</v>
      </c>
      <c r="C2837" s="6" t="s">
        <v>39</v>
      </c>
      <c r="D2837" s="6">
        <v>18472.0</v>
      </c>
      <c r="E2837" s="6" t="s">
        <v>19</v>
      </c>
      <c r="F2837" s="6" t="s">
        <v>20</v>
      </c>
      <c r="G2837" s="6" t="s">
        <v>31</v>
      </c>
      <c r="H2837" s="7">
        <v>3310.0</v>
      </c>
      <c r="I2837" s="7">
        <v>1149.0</v>
      </c>
      <c r="J2837" s="6">
        <v>1973.0</v>
      </c>
      <c r="K2837" s="6">
        <v>116.0</v>
      </c>
      <c r="L2837" s="6" t="s">
        <v>22</v>
      </c>
      <c r="M2837" s="6" t="s">
        <v>11384</v>
      </c>
      <c r="N2837" s="6" t="s">
        <v>48</v>
      </c>
      <c r="O2837" s="6" t="s">
        <v>35</v>
      </c>
      <c r="P2837" s="6">
        <f>COUNTIF(Analysis!$M$1:$M$3001,Analysis!$M2837)</f>
        <v>1</v>
      </c>
      <c r="Q2837" s="6" t="str">
        <f>IF(COUNTIF(Analysis!$M$2:$M$3001,Analysis!$M2837)&gt;1,"Duplicate","OK")</f>
        <v>OK</v>
      </c>
      <c r="R2837" s="6" t="str">
        <f t="shared" si="1"/>
        <v>2600-3600</v>
      </c>
      <c r="S2837" s="6">
        <f t="shared" si="2"/>
        <v>53</v>
      </c>
      <c r="T2837" s="6" t="str">
        <f t="shared" si="3"/>
        <v>Old</v>
      </c>
    </row>
    <row r="2838" ht="14.25" customHeight="1">
      <c r="A2838" s="5">
        <v>602097.0</v>
      </c>
      <c r="B2838" s="6" t="s">
        <v>11387</v>
      </c>
      <c r="C2838" s="6" t="s">
        <v>76</v>
      </c>
      <c r="D2838" s="6">
        <v>13622.0</v>
      </c>
      <c r="E2838" s="6" t="s">
        <v>19</v>
      </c>
      <c r="F2838" s="6" t="s">
        <v>94</v>
      </c>
      <c r="G2838" s="6" t="s">
        <v>21</v>
      </c>
      <c r="H2838" s="7">
        <v>3818.0</v>
      </c>
      <c r="I2838" s="7">
        <v>7129.0</v>
      </c>
      <c r="J2838" s="6">
        <v>2006.0</v>
      </c>
      <c r="K2838" s="6">
        <v>16.0</v>
      </c>
      <c r="L2838" s="6" t="s">
        <v>62</v>
      </c>
      <c r="M2838" s="6" t="s">
        <v>11388</v>
      </c>
      <c r="N2838" s="6" t="s">
        <v>34</v>
      </c>
      <c r="O2838" s="6" t="s">
        <v>49</v>
      </c>
      <c r="P2838" s="6">
        <f>COUNTIF(Analysis!$M$1:$M$3001,Analysis!$M2838)</f>
        <v>1</v>
      </c>
      <c r="Q2838" s="6" t="str">
        <f>IF(COUNTIF(Analysis!$M$2:$M$3001,Analysis!$M2838)&gt;1,"Duplicate","OK")</f>
        <v>OK</v>
      </c>
      <c r="R2838" s="6" t="str">
        <f t="shared" si="1"/>
        <v>3600+</v>
      </c>
      <c r="S2838" s="6">
        <f t="shared" si="2"/>
        <v>20</v>
      </c>
      <c r="T2838" s="6" t="str">
        <f t="shared" si="3"/>
        <v>Mid</v>
      </c>
    </row>
    <row r="2839" ht="14.25" customHeight="1">
      <c r="A2839" s="5">
        <v>798661.0</v>
      </c>
      <c r="B2839" s="6" t="s">
        <v>11391</v>
      </c>
      <c r="C2839" s="6" t="s">
        <v>39</v>
      </c>
      <c r="D2839" s="6">
        <v>86627.0</v>
      </c>
      <c r="E2839" s="6" t="s">
        <v>60</v>
      </c>
      <c r="F2839" s="6" t="s">
        <v>94</v>
      </c>
      <c r="G2839" s="6" t="s">
        <v>21</v>
      </c>
      <c r="H2839" s="7">
        <v>2182.0</v>
      </c>
      <c r="I2839" s="7">
        <v>7246.0</v>
      </c>
      <c r="J2839" s="6">
        <v>2003.0</v>
      </c>
      <c r="K2839" s="6">
        <v>80.0</v>
      </c>
      <c r="L2839" s="6" t="s">
        <v>62</v>
      </c>
      <c r="M2839" s="6" t="s">
        <v>11392</v>
      </c>
      <c r="N2839" s="6" t="s">
        <v>24</v>
      </c>
      <c r="O2839" s="6" t="s">
        <v>25</v>
      </c>
      <c r="P2839" s="6">
        <f>COUNTIF(Analysis!$M$1:$M$3001,Analysis!$M2839)</f>
        <v>1</v>
      </c>
      <c r="Q2839" s="6" t="str">
        <f>IF(COUNTIF(Analysis!$M$2:$M$3001,Analysis!$M2839)&gt;1,"Duplicate","OK")</f>
        <v>OK</v>
      </c>
      <c r="R2839" s="6" t="str">
        <f t="shared" si="1"/>
        <v>1600-2600</v>
      </c>
      <c r="S2839" s="6">
        <f t="shared" si="2"/>
        <v>23</v>
      </c>
      <c r="T2839" s="6" t="str">
        <f t="shared" si="3"/>
        <v>Mid</v>
      </c>
    </row>
    <row r="2840" ht="14.25" customHeight="1">
      <c r="A2840" s="5">
        <v>1428849.0</v>
      </c>
      <c r="B2840" s="6" t="s">
        <v>2695</v>
      </c>
      <c r="C2840" s="6" t="s">
        <v>29</v>
      </c>
      <c r="D2840" s="6">
        <v>17428.0</v>
      </c>
      <c r="E2840" s="6" t="s">
        <v>30</v>
      </c>
      <c r="F2840" s="6" t="s">
        <v>54</v>
      </c>
      <c r="G2840" s="6" t="s">
        <v>21</v>
      </c>
      <c r="H2840" s="7">
        <v>3683.0</v>
      </c>
      <c r="I2840" s="7">
        <v>5089.0</v>
      </c>
      <c r="J2840" s="6">
        <v>1991.0</v>
      </c>
      <c r="K2840" s="6">
        <v>92.0</v>
      </c>
      <c r="L2840" s="6" t="s">
        <v>95</v>
      </c>
      <c r="M2840" s="6" t="s">
        <v>2696</v>
      </c>
      <c r="N2840" s="6" t="s">
        <v>64</v>
      </c>
      <c r="O2840" s="6" t="s">
        <v>49</v>
      </c>
      <c r="P2840" s="6">
        <f>COUNTIF(Analysis!$M$1:$M$3001,Analysis!$M664)</f>
        <v>1</v>
      </c>
      <c r="Q2840" s="6" t="str">
        <f>IF(COUNTIF(Analysis!$M$2:$M$3001,Analysis!$M664)&gt;1,"Duplicate","OK")</f>
        <v>OK</v>
      </c>
      <c r="R2840" s="6" t="str">
        <f t="shared" si="1"/>
        <v>3600+</v>
      </c>
      <c r="S2840" s="6">
        <f t="shared" si="2"/>
        <v>35</v>
      </c>
      <c r="T2840" s="6" t="str">
        <f t="shared" si="3"/>
        <v>Old</v>
      </c>
    </row>
    <row r="2841" ht="14.25" customHeight="1">
      <c r="A2841" s="5">
        <v>1061282.0</v>
      </c>
      <c r="B2841" s="6" t="s">
        <v>11399</v>
      </c>
      <c r="C2841" s="6" t="s">
        <v>18</v>
      </c>
      <c r="D2841" s="6">
        <v>22847.0</v>
      </c>
      <c r="E2841" s="6" t="s">
        <v>19</v>
      </c>
      <c r="F2841" s="6" t="s">
        <v>54</v>
      </c>
      <c r="G2841" s="6" t="s">
        <v>55</v>
      </c>
      <c r="H2841" s="7">
        <v>3797.0</v>
      </c>
      <c r="I2841" s="7">
        <v>7167.0</v>
      </c>
      <c r="J2841" s="6">
        <v>2016.0</v>
      </c>
      <c r="K2841" s="6">
        <v>96.0</v>
      </c>
      <c r="L2841" s="6" t="s">
        <v>22</v>
      </c>
      <c r="M2841" s="6" t="s">
        <v>11400</v>
      </c>
      <c r="N2841" s="6" t="s">
        <v>48</v>
      </c>
      <c r="O2841" s="6" t="s">
        <v>49</v>
      </c>
      <c r="P2841" s="6">
        <f>COUNTIF(Analysis!$M$1:$M$3001,Analysis!$M2841)</f>
        <v>1</v>
      </c>
      <c r="Q2841" s="6" t="str">
        <f>IF(COUNTIF(Analysis!$M$2:$M$3001,Analysis!$M2841)&gt;1,"Duplicate","OK")</f>
        <v>OK</v>
      </c>
      <c r="R2841" s="6" t="str">
        <f t="shared" si="1"/>
        <v>3600+</v>
      </c>
      <c r="S2841" s="6">
        <f t="shared" si="2"/>
        <v>10</v>
      </c>
      <c r="T2841" s="6" t="str">
        <f t="shared" si="3"/>
        <v>New</v>
      </c>
    </row>
    <row r="2842" ht="14.25" customHeight="1">
      <c r="A2842" s="5">
        <v>1430971.0</v>
      </c>
      <c r="B2842" s="6" t="s">
        <v>7269</v>
      </c>
      <c r="C2842" s="6" t="s">
        <v>29</v>
      </c>
      <c r="D2842" s="6">
        <v>42583.0</v>
      </c>
      <c r="E2842" s="6" t="s">
        <v>77</v>
      </c>
      <c r="F2842" s="6" t="s">
        <v>61</v>
      </c>
      <c r="G2842" s="6" t="s">
        <v>31</v>
      </c>
      <c r="H2842" s="7">
        <v>643.0</v>
      </c>
      <c r="I2842" s="7">
        <v>1361.0</v>
      </c>
      <c r="J2842" s="6">
        <v>1992.0</v>
      </c>
      <c r="K2842" s="6">
        <v>2.0</v>
      </c>
      <c r="L2842" s="6" t="s">
        <v>22</v>
      </c>
      <c r="M2842" s="6" t="s">
        <v>7270</v>
      </c>
      <c r="N2842" s="6" t="s">
        <v>64</v>
      </c>
      <c r="O2842" s="6" t="s">
        <v>35</v>
      </c>
      <c r="P2842" s="6">
        <f>COUNTIF(Analysis!$M$1:$M$3001,Analysis!$M1808)</f>
        <v>1</v>
      </c>
      <c r="Q2842" s="6" t="str">
        <f>IF(COUNTIF(Analysis!$M$2:$M$3001,Analysis!$M1808)&gt;1,"Duplicate","OK")</f>
        <v>OK</v>
      </c>
      <c r="R2842" s="6" t="str">
        <f t="shared" si="1"/>
        <v>600-1600</v>
      </c>
      <c r="S2842" s="6">
        <f t="shared" si="2"/>
        <v>34</v>
      </c>
      <c r="T2842" s="6" t="str">
        <f t="shared" si="3"/>
        <v>Old</v>
      </c>
    </row>
    <row r="2843" ht="14.25" customHeight="1">
      <c r="A2843" s="5">
        <v>974309.0</v>
      </c>
      <c r="B2843" s="6" t="s">
        <v>11407</v>
      </c>
      <c r="C2843" s="6" t="s">
        <v>18</v>
      </c>
      <c r="D2843" s="6">
        <v>79001.0</v>
      </c>
      <c r="E2843" s="6" t="s">
        <v>19</v>
      </c>
      <c r="F2843" s="6" t="s">
        <v>61</v>
      </c>
      <c r="G2843" s="6" t="s">
        <v>21</v>
      </c>
      <c r="H2843" s="7">
        <v>2835.0</v>
      </c>
      <c r="I2843" s="7">
        <v>2079.0</v>
      </c>
      <c r="J2843" s="6">
        <v>1980.0</v>
      </c>
      <c r="K2843" s="6">
        <v>113.0</v>
      </c>
      <c r="L2843" s="6" t="s">
        <v>95</v>
      </c>
      <c r="M2843" s="6" t="s">
        <v>11408</v>
      </c>
      <c r="N2843" s="6" t="s">
        <v>48</v>
      </c>
      <c r="O2843" s="6" t="s">
        <v>35</v>
      </c>
      <c r="P2843" s="6">
        <f>COUNTIF(Analysis!$M$1:$M$3001,Analysis!$M2843)</f>
        <v>1</v>
      </c>
      <c r="Q2843" s="6" t="str">
        <f>IF(COUNTIF(Analysis!$M$2:$M$3001,Analysis!$M2843)&gt;1,"Duplicate","OK")</f>
        <v>OK</v>
      </c>
      <c r="R2843" s="6" t="str">
        <f t="shared" si="1"/>
        <v>2600-3600</v>
      </c>
      <c r="S2843" s="6">
        <f t="shared" si="2"/>
        <v>46</v>
      </c>
      <c r="T2843" s="6" t="str">
        <f t="shared" si="3"/>
        <v>Old</v>
      </c>
    </row>
    <row r="2844" ht="14.25" customHeight="1">
      <c r="A2844" s="5">
        <v>1425236.0</v>
      </c>
      <c r="B2844" s="6" t="s">
        <v>11411</v>
      </c>
      <c r="C2844" s="6" t="s">
        <v>53</v>
      </c>
      <c r="D2844" s="6">
        <v>38102.0</v>
      </c>
      <c r="E2844" s="6" t="s">
        <v>30</v>
      </c>
      <c r="F2844" s="6" t="s">
        <v>94</v>
      </c>
      <c r="G2844" s="6" t="s">
        <v>31</v>
      </c>
      <c r="H2844" s="7">
        <v>718.0</v>
      </c>
      <c r="I2844" s="7">
        <v>5677.0</v>
      </c>
      <c r="J2844" s="6">
        <v>1968.0</v>
      </c>
      <c r="K2844" s="6">
        <v>8.0</v>
      </c>
      <c r="L2844" s="6" t="s">
        <v>32</v>
      </c>
      <c r="M2844" s="6" t="s">
        <v>11412</v>
      </c>
      <c r="N2844" s="6" t="s">
        <v>48</v>
      </c>
      <c r="O2844" s="6" t="s">
        <v>25</v>
      </c>
      <c r="P2844" s="6">
        <f>COUNTIF(Analysis!$M$1:$M$3001,Analysis!$M2844)</f>
        <v>1</v>
      </c>
      <c r="Q2844" s="6" t="str">
        <f>IF(COUNTIF(Analysis!$M$2:$M$3001,Analysis!$M2844)&gt;1,"Duplicate","OK")</f>
        <v>OK</v>
      </c>
      <c r="R2844" s="6" t="str">
        <f t="shared" si="1"/>
        <v>600-1600</v>
      </c>
      <c r="S2844" s="6">
        <f t="shared" si="2"/>
        <v>58</v>
      </c>
      <c r="T2844" s="6" t="str">
        <f t="shared" si="3"/>
        <v>Old</v>
      </c>
    </row>
    <row r="2845" ht="14.25" customHeight="1">
      <c r="A2845" s="5">
        <v>1411570.0</v>
      </c>
      <c r="B2845" s="6" t="s">
        <v>11415</v>
      </c>
      <c r="C2845" s="6" t="s">
        <v>53</v>
      </c>
      <c r="D2845" s="6">
        <v>87189.0</v>
      </c>
      <c r="E2845" s="6" t="s">
        <v>77</v>
      </c>
      <c r="F2845" s="6" t="s">
        <v>61</v>
      </c>
      <c r="G2845" s="6" t="s">
        <v>100</v>
      </c>
      <c r="H2845" s="7">
        <v>2082.0</v>
      </c>
      <c r="I2845" s="7">
        <v>6165.0</v>
      </c>
      <c r="J2845" s="6">
        <v>1972.0</v>
      </c>
      <c r="K2845" s="6">
        <v>112.0</v>
      </c>
      <c r="L2845" s="6" t="s">
        <v>141</v>
      </c>
      <c r="M2845" s="6" t="s">
        <v>11416</v>
      </c>
      <c r="N2845" s="6" t="s">
        <v>24</v>
      </c>
      <c r="O2845" s="6" t="s">
        <v>25</v>
      </c>
      <c r="P2845" s="6">
        <f>COUNTIF(Analysis!$M$1:$M$3001,Analysis!$M2845)</f>
        <v>1</v>
      </c>
      <c r="Q2845" s="6" t="str">
        <f>IF(COUNTIF(Analysis!$M$2:$M$3001,Analysis!$M2845)&gt;1,"Duplicate","OK")</f>
        <v>OK</v>
      </c>
      <c r="R2845" s="6" t="str">
        <f t="shared" si="1"/>
        <v>1600-2600</v>
      </c>
      <c r="S2845" s="6">
        <f t="shared" si="2"/>
        <v>54</v>
      </c>
      <c r="T2845" s="6" t="str">
        <f t="shared" si="3"/>
        <v>Old</v>
      </c>
    </row>
    <row r="2846" ht="14.25" customHeight="1">
      <c r="A2846" s="5">
        <v>1197615.0</v>
      </c>
      <c r="B2846" s="6" t="s">
        <v>11419</v>
      </c>
      <c r="C2846" s="6" t="s">
        <v>18</v>
      </c>
      <c r="D2846" s="6">
        <v>88281.0</v>
      </c>
      <c r="E2846" s="6" t="s">
        <v>60</v>
      </c>
      <c r="F2846" s="6" t="s">
        <v>20</v>
      </c>
      <c r="G2846" s="6" t="s">
        <v>21</v>
      </c>
      <c r="H2846" s="7">
        <v>1647.0</v>
      </c>
      <c r="I2846" s="7">
        <v>2024.0</v>
      </c>
      <c r="J2846" s="6">
        <v>1991.0</v>
      </c>
      <c r="K2846" s="6">
        <v>91.0</v>
      </c>
      <c r="L2846" s="6" t="s">
        <v>22</v>
      </c>
      <c r="M2846" s="6" t="s">
        <v>11420</v>
      </c>
      <c r="N2846" s="6" t="s">
        <v>48</v>
      </c>
      <c r="O2846" s="6" t="s">
        <v>35</v>
      </c>
      <c r="P2846" s="6">
        <f>COUNTIF(Analysis!$M$1:$M$3001,Analysis!$M2846)</f>
        <v>1</v>
      </c>
      <c r="Q2846" s="6" t="str">
        <f>IF(COUNTIF(Analysis!$M$2:$M$3001,Analysis!$M2846)&gt;1,"Duplicate","OK")</f>
        <v>OK</v>
      </c>
      <c r="R2846" s="6" t="str">
        <f t="shared" si="1"/>
        <v>1600-2600</v>
      </c>
      <c r="S2846" s="6">
        <f t="shared" si="2"/>
        <v>35</v>
      </c>
      <c r="T2846" s="6" t="str">
        <f t="shared" si="3"/>
        <v>Old</v>
      </c>
    </row>
    <row r="2847" ht="14.25" customHeight="1">
      <c r="A2847" s="5">
        <v>1432839.0</v>
      </c>
      <c r="B2847" s="6" t="s">
        <v>11858</v>
      </c>
      <c r="C2847" s="6" t="s">
        <v>29</v>
      </c>
      <c r="D2847" s="6">
        <v>97184.0</v>
      </c>
      <c r="E2847" s="6" t="s">
        <v>40</v>
      </c>
      <c r="F2847" s="6" t="s">
        <v>61</v>
      </c>
      <c r="G2847" s="6" t="s">
        <v>100</v>
      </c>
      <c r="H2847" s="7">
        <v>1879.0</v>
      </c>
      <c r="I2847" s="7">
        <v>7859.0</v>
      </c>
      <c r="J2847" s="6">
        <v>2012.0</v>
      </c>
      <c r="K2847" s="6">
        <v>12.0</v>
      </c>
      <c r="L2847" s="6" t="s">
        <v>95</v>
      </c>
      <c r="M2847" s="6" t="s">
        <v>11859</v>
      </c>
      <c r="N2847" s="6" t="s">
        <v>48</v>
      </c>
      <c r="O2847" s="6" t="s">
        <v>49</v>
      </c>
      <c r="P2847" s="6">
        <f>COUNTIF(Analysis!$M$1:$M$3001,Analysis!$M2956)</f>
        <v>1</v>
      </c>
      <c r="Q2847" s="6" t="str">
        <f>IF(COUNTIF(Analysis!$M$2:$M$3001,Analysis!$M2956)&gt;1,"Duplicate","OK")</f>
        <v>OK</v>
      </c>
      <c r="R2847" s="6" t="str">
        <f t="shared" si="1"/>
        <v>1600-2600</v>
      </c>
      <c r="S2847" s="6">
        <f t="shared" si="2"/>
        <v>14</v>
      </c>
      <c r="T2847" s="6" t="str">
        <f t="shared" si="3"/>
        <v>Mid</v>
      </c>
    </row>
    <row r="2848" ht="14.25" customHeight="1">
      <c r="A2848" s="5">
        <v>1068257.0</v>
      </c>
      <c r="B2848" s="6" t="s">
        <v>11427</v>
      </c>
      <c r="C2848" s="6" t="s">
        <v>18</v>
      </c>
      <c r="D2848" s="6">
        <v>86089.0</v>
      </c>
      <c r="E2848" s="6" t="s">
        <v>19</v>
      </c>
      <c r="F2848" s="6" t="s">
        <v>46</v>
      </c>
      <c r="G2848" s="6" t="s">
        <v>21</v>
      </c>
      <c r="H2848" s="7">
        <v>2524.0</v>
      </c>
      <c r="I2848" s="7">
        <v>4086.0</v>
      </c>
      <c r="J2848" s="6">
        <v>1964.0</v>
      </c>
      <c r="K2848" s="6">
        <v>61.0</v>
      </c>
      <c r="L2848" s="6" t="s">
        <v>62</v>
      </c>
      <c r="M2848" s="6" t="s">
        <v>11428</v>
      </c>
      <c r="N2848" s="6" t="s">
        <v>48</v>
      </c>
      <c r="O2848" s="6" t="s">
        <v>35</v>
      </c>
      <c r="P2848" s="6">
        <f>COUNTIF(Analysis!$M$1:$M$3001,Analysis!$M2848)</f>
        <v>1</v>
      </c>
      <c r="Q2848" s="6" t="str">
        <f>IF(COUNTIF(Analysis!$M$2:$M$3001,Analysis!$M2848)&gt;1,"Duplicate","OK")</f>
        <v>OK</v>
      </c>
      <c r="R2848" s="6" t="str">
        <f t="shared" si="1"/>
        <v>1600-2600</v>
      </c>
      <c r="S2848" s="6">
        <f t="shared" si="2"/>
        <v>62</v>
      </c>
      <c r="T2848" s="6" t="str">
        <f t="shared" si="3"/>
        <v>Very Old</v>
      </c>
    </row>
    <row r="2849" ht="14.25" customHeight="1">
      <c r="A2849" s="5">
        <v>1273089.0</v>
      </c>
      <c r="B2849" s="6" t="s">
        <v>11431</v>
      </c>
      <c r="C2849" s="6" t="s">
        <v>18</v>
      </c>
      <c r="D2849" s="6">
        <v>78715.0</v>
      </c>
      <c r="E2849" s="6" t="s">
        <v>77</v>
      </c>
      <c r="F2849" s="6" t="s">
        <v>94</v>
      </c>
      <c r="G2849" s="6" t="s">
        <v>55</v>
      </c>
      <c r="H2849" s="7">
        <v>2512.0</v>
      </c>
      <c r="I2849" s="7">
        <v>8836.0</v>
      </c>
      <c r="J2849" s="6">
        <v>1994.0</v>
      </c>
      <c r="K2849" s="6">
        <v>117.0</v>
      </c>
      <c r="L2849" s="6" t="s">
        <v>32</v>
      </c>
      <c r="M2849" s="6" t="s">
        <v>11432</v>
      </c>
      <c r="N2849" s="6" t="s">
        <v>24</v>
      </c>
      <c r="O2849" s="6" t="s">
        <v>49</v>
      </c>
      <c r="P2849" s="6">
        <f>COUNTIF(Analysis!$M$1:$M$3001,Analysis!$M2849)</f>
        <v>1</v>
      </c>
      <c r="Q2849" s="6" t="str">
        <f>IF(COUNTIF(Analysis!$M$2:$M$3001,Analysis!$M2849)&gt;1,"Duplicate","OK")</f>
        <v>OK</v>
      </c>
      <c r="R2849" s="6" t="str">
        <f t="shared" si="1"/>
        <v>1600-2600</v>
      </c>
      <c r="S2849" s="6">
        <f t="shared" si="2"/>
        <v>32</v>
      </c>
      <c r="T2849" s="6" t="str">
        <f t="shared" si="3"/>
        <v>Old</v>
      </c>
    </row>
    <row r="2850" ht="14.25" customHeight="1">
      <c r="A2850" s="5">
        <v>193458.0</v>
      </c>
      <c r="B2850" s="6" t="s">
        <v>11435</v>
      </c>
      <c r="C2850" s="6" t="s">
        <v>39</v>
      </c>
      <c r="D2850" s="6">
        <v>45908.0</v>
      </c>
      <c r="E2850" s="6" t="s">
        <v>77</v>
      </c>
      <c r="F2850" s="6" t="s">
        <v>46</v>
      </c>
      <c r="G2850" s="6" t="s">
        <v>21</v>
      </c>
      <c r="H2850" s="7">
        <v>959.0</v>
      </c>
      <c r="I2850" s="7">
        <v>1951.0</v>
      </c>
      <c r="J2850" s="6">
        <v>1999.0</v>
      </c>
      <c r="K2850" s="6">
        <v>24.0</v>
      </c>
      <c r="L2850" s="6" t="s">
        <v>95</v>
      </c>
      <c r="M2850" s="6" t="s">
        <v>11436</v>
      </c>
      <c r="N2850" s="6" t="s">
        <v>24</v>
      </c>
      <c r="O2850" s="6" t="s">
        <v>49</v>
      </c>
      <c r="P2850" s="6">
        <f>COUNTIF(Analysis!$M$1:$M$3001,Analysis!$M2850)</f>
        <v>1</v>
      </c>
      <c r="Q2850" s="6" t="str">
        <f>IF(COUNTIF(Analysis!$M$2:$M$3001,Analysis!$M2850)&gt;1,"Duplicate","OK")</f>
        <v>OK</v>
      </c>
      <c r="R2850" s="6" t="str">
        <f t="shared" si="1"/>
        <v>600-1600</v>
      </c>
      <c r="S2850" s="6">
        <f t="shared" si="2"/>
        <v>27</v>
      </c>
      <c r="T2850" s="6" t="str">
        <f t="shared" si="3"/>
        <v>Mid</v>
      </c>
    </row>
    <row r="2851" ht="14.25" customHeight="1">
      <c r="A2851" s="5">
        <v>1433049.0</v>
      </c>
      <c r="B2851" s="6" t="s">
        <v>1185</v>
      </c>
      <c r="C2851" s="6" t="s">
        <v>29</v>
      </c>
      <c r="D2851" s="6">
        <v>66545.0</v>
      </c>
      <c r="E2851" s="6" t="s">
        <v>19</v>
      </c>
      <c r="F2851" s="6" t="s">
        <v>94</v>
      </c>
      <c r="G2851" s="6" t="s">
        <v>55</v>
      </c>
      <c r="H2851" s="7">
        <v>1496.0</v>
      </c>
      <c r="I2851" s="7">
        <v>6335.0</v>
      </c>
      <c r="J2851" s="6">
        <v>1961.0</v>
      </c>
      <c r="K2851" s="6">
        <v>55.0</v>
      </c>
      <c r="L2851" s="6" t="s">
        <v>62</v>
      </c>
      <c r="M2851" s="6" t="s">
        <v>1186</v>
      </c>
      <c r="N2851" s="6" t="s">
        <v>34</v>
      </c>
      <c r="O2851" s="6" t="s">
        <v>49</v>
      </c>
      <c r="P2851" s="6">
        <f>COUNTIF(Analysis!$M$1:$M$3001,Analysis!$M286)</f>
        <v>1</v>
      </c>
      <c r="Q2851" s="6" t="str">
        <f>IF(COUNTIF(Analysis!$M$2:$M$3001,Analysis!$M286)&gt;1,"Duplicate","OK")</f>
        <v>OK</v>
      </c>
      <c r="R2851" s="6" t="str">
        <f t="shared" si="1"/>
        <v>600-1600</v>
      </c>
      <c r="S2851" s="6">
        <f t="shared" si="2"/>
        <v>65</v>
      </c>
      <c r="T2851" s="6" t="str">
        <f t="shared" si="3"/>
        <v>Very Old</v>
      </c>
    </row>
    <row r="2852" ht="14.25" customHeight="1">
      <c r="A2852" s="5">
        <v>1433992.0</v>
      </c>
      <c r="B2852" s="6" t="s">
        <v>11423</v>
      </c>
      <c r="C2852" s="6" t="s">
        <v>29</v>
      </c>
      <c r="D2852" s="6">
        <v>55323.0</v>
      </c>
      <c r="E2852" s="6" t="s">
        <v>19</v>
      </c>
      <c r="F2852" s="6" t="s">
        <v>46</v>
      </c>
      <c r="G2852" s="6" t="s">
        <v>21</v>
      </c>
      <c r="H2852" s="7">
        <v>3023.0</v>
      </c>
      <c r="I2852" s="7">
        <v>3471.0</v>
      </c>
      <c r="J2852" s="6">
        <v>1956.0</v>
      </c>
      <c r="K2852" s="6">
        <v>47.0</v>
      </c>
      <c r="L2852" s="6" t="s">
        <v>32</v>
      </c>
      <c r="M2852" s="6" t="s">
        <v>11424</v>
      </c>
      <c r="N2852" s="6" t="s">
        <v>43</v>
      </c>
      <c r="O2852" s="6" t="s">
        <v>35</v>
      </c>
      <c r="P2852" s="6">
        <f>COUNTIF(Analysis!$M$1:$M$3001,Analysis!$M2847)</f>
        <v>1</v>
      </c>
      <c r="Q2852" s="6" t="str">
        <f>IF(COUNTIF(Analysis!$M$2:$M$3001,Analysis!$M2847)&gt;1,"Duplicate","OK")</f>
        <v>OK</v>
      </c>
      <c r="R2852" s="6" t="str">
        <f t="shared" si="1"/>
        <v>2600-3600</v>
      </c>
      <c r="S2852" s="6">
        <f t="shared" si="2"/>
        <v>70</v>
      </c>
      <c r="T2852" s="6" t="str">
        <f t="shared" si="3"/>
        <v>Very Old</v>
      </c>
    </row>
    <row r="2853" ht="14.25" customHeight="1">
      <c r="A2853" s="5">
        <v>923832.0</v>
      </c>
      <c r="B2853" s="6" t="s">
        <v>11447</v>
      </c>
      <c r="C2853" s="6" t="s">
        <v>39</v>
      </c>
      <c r="D2853" s="6">
        <v>27961.0</v>
      </c>
      <c r="E2853" s="6" t="s">
        <v>30</v>
      </c>
      <c r="F2853" s="6" t="s">
        <v>20</v>
      </c>
      <c r="G2853" s="6" t="s">
        <v>100</v>
      </c>
      <c r="H2853" s="7">
        <v>2924.0</v>
      </c>
      <c r="I2853" s="7">
        <v>9257.0</v>
      </c>
      <c r="J2853" s="6">
        <v>1955.0</v>
      </c>
      <c r="K2853" s="6">
        <v>85.0</v>
      </c>
      <c r="L2853" s="6" t="s">
        <v>95</v>
      </c>
      <c r="M2853" s="6" t="s">
        <v>11448</v>
      </c>
      <c r="N2853" s="6" t="s">
        <v>24</v>
      </c>
      <c r="O2853" s="6" t="s">
        <v>25</v>
      </c>
      <c r="P2853" s="6">
        <f>COUNTIF(Analysis!$M$1:$M$3001,Analysis!$M2853)</f>
        <v>1</v>
      </c>
      <c r="Q2853" s="6" t="str">
        <f>IF(COUNTIF(Analysis!$M$2:$M$3001,Analysis!$M2853)&gt;1,"Duplicate","OK")</f>
        <v>OK</v>
      </c>
      <c r="R2853" s="6" t="str">
        <f t="shared" si="1"/>
        <v>2600-3600</v>
      </c>
      <c r="S2853" s="6">
        <f t="shared" si="2"/>
        <v>71</v>
      </c>
      <c r="T2853" s="6" t="str">
        <f t="shared" si="3"/>
        <v>Very Old</v>
      </c>
    </row>
    <row r="2854" ht="14.25" customHeight="1">
      <c r="A2854" s="5">
        <v>326717.0</v>
      </c>
      <c r="B2854" s="6" t="s">
        <v>11451</v>
      </c>
      <c r="C2854" s="6" t="s">
        <v>18</v>
      </c>
      <c r="D2854" s="6">
        <v>97516.0</v>
      </c>
      <c r="E2854" s="6" t="s">
        <v>60</v>
      </c>
      <c r="F2854" s="6" t="s">
        <v>46</v>
      </c>
      <c r="G2854" s="6" t="s">
        <v>31</v>
      </c>
      <c r="H2854" s="7">
        <v>2931.0</v>
      </c>
      <c r="I2854" s="7">
        <v>1413.0</v>
      </c>
      <c r="J2854" s="6">
        <v>1987.0</v>
      </c>
      <c r="K2854" s="6">
        <v>104.0</v>
      </c>
      <c r="L2854" s="6" t="s">
        <v>95</v>
      </c>
      <c r="M2854" s="6" t="s">
        <v>11452</v>
      </c>
      <c r="N2854" s="6" t="s">
        <v>48</v>
      </c>
      <c r="O2854" s="6" t="s">
        <v>35</v>
      </c>
      <c r="P2854" s="6">
        <f>COUNTIF(Analysis!$M$1:$M$3001,Analysis!$M2854)</f>
        <v>1</v>
      </c>
      <c r="Q2854" s="6" t="str">
        <f>IF(COUNTIF(Analysis!$M$2:$M$3001,Analysis!$M2854)&gt;1,"Duplicate","OK")</f>
        <v>OK</v>
      </c>
      <c r="R2854" s="6" t="str">
        <f t="shared" si="1"/>
        <v>2600-3600</v>
      </c>
      <c r="S2854" s="6">
        <f t="shared" si="2"/>
        <v>39</v>
      </c>
      <c r="T2854" s="6" t="str">
        <f t="shared" si="3"/>
        <v>Old</v>
      </c>
    </row>
    <row r="2855" ht="14.25" customHeight="1">
      <c r="A2855" s="5">
        <v>1350914.0</v>
      </c>
      <c r="B2855" s="6" t="s">
        <v>11455</v>
      </c>
      <c r="C2855" s="6" t="s">
        <v>53</v>
      </c>
      <c r="D2855" s="6">
        <v>35740.0</v>
      </c>
      <c r="E2855" s="6" t="s">
        <v>60</v>
      </c>
      <c r="F2855" s="6" t="s">
        <v>20</v>
      </c>
      <c r="G2855" s="6" t="s">
        <v>21</v>
      </c>
      <c r="H2855" s="7">
        <v>2492.0</v>
      </c>
      <c r="I2855" s="7">
        <v>7676.0</v>
      </c>
      <c r="J2855" s="6">
        <v>1972.0</v>
      </c>
      <c r="K2855" s="6">
        <v>43.0</v>
      </c>
      <c r="L2855" s="6" t="s">
        <v>22</v>
      </c>
      <c r="M2855" s="6" t="s">
        <v>11456</v>
      </c>
      <c r="N2855" s="6" t="s">
        <v>24</v>
      </c>
      <c r="O2855" s="6" t="s">
        <v>35</v>
      </c>
      <c r="P2855" s="6">
        <f>COUNTIF(Analysis!$M$1:$M$3001,Analysis!$M2855)</f>
        <v>1</v>
      </c>
      <c r="Q2855" s="6" t="str">
        <f>IF(COUNTIF(Analysis!$M$2:$M$3001,Analysis!$M2855)&gt;1,"Duplicate","OK")</f>
        <v>OK</v>
      </c>
      <c r="R2855" s="6" t="str">
        <f t="shared" si="1"/>
        <v>1600-2600</v>
      </c>
      <c r="S2855" s="6">
        <f t="shared" si="2"/>
        <v>54</v>
      </c>
      <c r="T2855" s="6" t="str">
        <f t="shared" si="3"/>
        <v>Old</v>
      </c>
    </row>
    <row r="2856" ht="14.25" customHeight="1">
      <c r="A2856" s="5">
        <v>1461070.0</v>
      </c>
      <c r="B2856" s="6" t="s">
        <v>11459</v>
      </c>
      <c r="C2856" s="6" t="s">
        <v>18</v>
      </c>
      <c r="D2856" s="6">
        <v>59765.0</v>
      </c>
      <c r="E2856" s="6" t="s">
        <v>40</v>
      </c>
      <c r="F2856" s="6" t="s">
        <v>61</v>
      </c>
      <c r="G2856" s="6" t="s">
        <v>55</v>
      </c>
      <c r="H2856" s="7">
        <v>2870.0</v>
      </c>
      <c r="I2856" s="7">
        <v>6714.0</v>
      </c>
      <c r="J2856" s="6">
        <v>2014.0</v>
      </c>
      <c r="K2856" s="6">
        <v>31.0</v>
      </c>
      <c r="L2856" s="6" t="s">
        <v>141</v>
      </c>
      <c r="M2856" s="6" t="s">
        <v>11460</v>
      </c>
      <c r="N2856" s="6" t="s">
        <v>64</v>
      </c>
      <c r="O2856" s="6" t="s">
        <v>35</v>
      </c>
      <c r="P2856" s="6">
        <f>COUNTIF(Analysis!$M$1:$M$3001,Analysis!$M2856)</f>
        <v>1</v>
      </c>
      <c r="Q2856" s="6" t="str">
        <f>IF(COUNTIF(Analysis!$M$2:$M$3001,Analysis!$M2856)&gt;1,"Duplicate","OK")</f>
        <v>OK</v>
      </c>
      <c r="R2856" s="6" t="str">
        <f t="shared" si="1"/>
        <v>2600-3600</v>
      </c>
      <c r="S2856" s="6">
        <f t="shared" si="2"/>
        <v>12</v>
      </c>
      <c r="T2856" s="6" t="str">
        <f t="shared" si="3"/>
        <v>Mid</v>
      </c>
    </row>
    <row r="2857" ht="14.25" customHeight="1">
      <c r="A2857" s="5">
        <v>717552.0</v>
      </c>
      <c r="B2857" s="6" t="s">
        <v>11463</v>
      </c>
      <c r="C2857" s="6" t="s">
        <v>18</v>
      </c>
      <c r="D2857" s="6">
        <v>16266.0</v>
      </c>
      <c r="E2857" s="6" t="s">
        <v>19</v>
      </c>
      <c r="F2857" s="6" t="s">
        <v>46</v>
      </c>
      <c r="G2857" s="6" t="s">
        <v>100</v>
      </c>
      <c r="H2857" s="7">
        <v>2229.0</v>
      </c>
      <c r="I2857" s="7">
        <v>7397.0</v>
      </c>
      <c r="J2857" s="6">
        <v>1978.0</v>
      </c>
      <c r="K2857" s="6">
        <v>93.0</v>
      </c>
      <c r="L2857" s="6" t="s">
        <v>22</v>
      </c>
      <c r="M2857" s="6" t="s">
        <v>11464</v>
      </c>
      <c r="N2857" s="6" t="s">
        <v>64</v>
      </c>
      <c r="O2857" s="6" t="s">
        <v>49</v>
      </c>
      <c r="P2857" s="6">
        <f>COUNTIF(Analysis!$M$1:$M$3001,Analysis!$M2857)</f>
        <v>1</v>
      </c>
      <c r="Q2857" s="6" t="str">
        <f>IF(COUNTIF(Analysis!$M$2:$M$3001,Analysis!$M2857)&gt;1,"Duplicate","OK")</f>
        <v>OK</v>
      </c>
      <c r="R2857" s="6" t="str">
        <f t="shared" si="1"/>
        <v>1600-2600</v>
      </c>
      <c r="S2857" s="6">
        <f t="shared" si="2"/>
        <v>48</v>
      </c>
      <c r="T2857" s="6" t="str">
        <f t="shared" si="3"/>
        <v>Old</v>
      </c>
    </row>
    <row r="2858" ht="14.25" customHeight="1">
      <c r="A2858" s="5">
        <v>1228076.0</v>
      </c>
      <c r="B2858" s="6" t="s">
        <v>11467</v>
      </c>
      <c r="C2858" s="6" t="s">
        <v>76</v>
      </c>
      <c r="D2858" s="6">
        <v>70948.0</v>
      </c>
      <c r="E2858" s="6" t="s">
        <v>19</v>
      </c>
      <c r="F2858" s="6" t="s">
        <v>61</v>
      </c>
      <c r="G2858" s="6" t="s">
        <v>100</v>
      </c>
      <c r="H2858" s="7">
        <v>1915.0</v>
      </c>
      <c r="I2858" s="7">
        <v>3261.0</v>
      </c>
      <c r="J2858" s="6">
        <v>2016.0</v>
      </c>
      <c r="K2858" s="6">
        <v>5.0</v>
      </c>
      <c r="L2858" s="6" t="s">
        <v>95</v>
      </c>
      <c r="M2858" s="6" t="s">
        <v>11468</v>
      </c>
      <c r="N2858" s="6" t="s">
        <v>34</v>
      </c>
      <c r="O2858" s="6" t="s">
        <v>49</v>
      </c>
      <c r="P2858" s="6">
        <f>COUNTIF(Analysis!$M$1:$M$3001,Analysis!$M2858)</f>
        <v>1</v>
      </c>
      <c r="Q2858" s="6" t="str">
        <f>IF(COUNTIF(Analysis!$M$2:$M$3001,Analysis!$M2858)&gt;1,"Duplicate","OK")</f>
        <v>OK</v>
      </c>
      <c r="R2858" s="6" t="str">
        <f t="shared" si="1"/>
        <v>1600-2600</v>
      </c>
      <c r="S2858" s="6">
        <f t="shared" si="2"/>
        <v>10</v>
      </c>
      <c r="T2858" s="6" t="str">
        <f t="shared" si="3"/>
        <v>New</v>
      </c>
    </row>
    <row r="2859" ht="14.25" customHeight="1">
      <c r="A2859" s="5">
        <v>995222.0</v>
      </c>
      <c r="B2859" s="6" t="s">
        <v>11471</v>
      </c>
      <c r="C2859" s="6" t="s">
        <v>39</v>
      </c>
      <c r="D2859" s="6">
        <v>37474.0</v>
      </c>
      <c r="E2859" s="6" t="s">
        <v>19</v>
      </c>
      <c r="F2859" s="6" t="s">
        <v>61</v>
      </c>
      <c r="G2859" s="6" t="s">
        <v>31</v>
      </c>
      <c r="H2859" s="7">
        <v>2802.0</v>
      </c>
      <c r="I2859" s="7">
        <v>3713.0</v>
      </c>
      <c r="J2859" s="6">
        <v>1959.0</v>
      </c>
      <c r="K2859" s="6">
        <v>70.0</v>
      </c>
      <c r="L2859" s="6" t="s">
        <v>141</v>
      </c>
      <c r="M2859" s="6" t="s">
        <v>11472</v>
      </c>
      <c r="N2859" s="6" t="s">
        <v>34</v>
      </c>
      <c r="O2859" s="6" t="s">
        <v>35</v>
      </c>
      <c r="P2859" s="6">
        <f>COUNTIF(Analysis!$M$1:$M$3001,Analysis!$M2859)</f>
        <v>1</v>
      </c>
      <c r="Q2859" s="6" t="str">
        <f>IF(COUNTIF(Analysis!$M$2:$M$3001,Analysis!$M2859)&gt;1,"Duplicate","OK")</f>
        <v>OK</v>
      </c>
      <c r="R2859" s="6" t="str">
        <f t="shared" si="1"/>
        <v>2600-3600</v>
      </c>
      <c r="S2859" s="6">
        <f t="shared" si="2"/>
        <v>67</v>
      </c>
      <c r="T2859" s="6" t="str">
        <f t="shared" si="3"/>
        <v>Very Old</v>
      </c>
    </row>
    <row r="2860" ht="14.25" customHeight="1">
      <c r="A2860" s="5">
        <v>424766.0</v>
      </c>
      <c r="B2860" s="6" t="s">
        <v>11475</v>
      </c>
      <c r="C2860" s="6" t="s">
        <v>18</v>
      </c>
      <c r="D2860" s="6">
        <v>33017.0</v>
      </c>
      <c r="E2860" s="6" t="s">
        <v>19</v>
      </c>
      <c r="F2860" s="6" t="s">
        <v>61</v>
      </c>
      <c r="G2860" s="6" t="s">
        <v>21</v>
      </c>
      <c r="H2860" s="7">
        <v>1842.0</v>
      </c>
      <c r="I2860" s="7">
        <v>4963.0</v>
      </c>
      <c r="J2860" s="6">
        <v>1972.0</v>
      </c>
      <c r="K2860" s="6">
        <v>106.0</v>
      </c>
      <c r="L2860" s="6" t="s">
        <v>22</v>
      </c>
      <c r="M2860" s="6" t="s">
        <v>11476</v>
      </c>
      <c r="N2860" s="6" t="s">
        <v>64</v>
      </c>
      <c r="O2860" s="6" t="s">
        <v>49</v>
      </c>
      <c r="P2860" s="6">
        <f>COUNTIF(Analysis!$M$1:$M$3001,Analysis!$M2860)</f>
        <v>1</v>
      </c>
      <c r="Q2860" s="6" t="str">
        <f>IF(COUNTIF(Analysis!$M$2:$M$3001,Analysis!$M2860)&gt;1,"Duplicate","OK")</f>
        <v>OK</v>
      </c>
      <c r="R2860" s="6" t="str">
        <f t="shared" si="1"/>
        <v>1600-2600</v>
      </c>
      <c r="S2860" s="6">
        <f t="shared" si="2"/>
        <v>54</v>
      </c>
      <c r="T2860" s="6" t="str">
        <f t="shared" si="3"/>
        <v>Old</v>
      </c>
    </row>
    <row r="2861" ht="14.25" customHeight="1">
      <c r="A2861" s="5">
        <v>950988.0</v>
      </c>
      <c r="B2861" s="6" t="s">
        <v>11479</v>
      </c>
      <c r="C2861" s="6" t="s">
        <v>18</v>
      </c>
      <c r="D2861" s="6">
        <v>84715.0</v>
      </c>
      <c r="E2861" s="6" t="s">
        <v>60</v>
      </c>
      <c r="F2861" s="6" t="s">
        <v>41</v>
      </c>
      <c r="G2861" s="6" t="s">
        <v>31</v>
      </c>
      <c r="H2861" s="7">
        <v>1974.0</v>
      </c>
      <c r="I2861" s="7">
        <v>2012.0</v>
      </c>
      <c r="J2861" s="6">
        <v>1955.0</v>
      </c>
      <c r="K2861" s="6">
        <v>53.0</v>
      </c>
      <c r="L2861" s="6" t="s">
        <v>62</v>
      </c>
      <c r="M2861" s="6" t="s">
        <v>11480</v>
      </c>
      <c r="N2861" s="6" t="s">
        <v>34</v>
      </c>
      <c r="O2861" s="6" t="s">
        <v>25</v>
      </c>
      <c r="P2861" s="6">
        <f>COUNTIF(Analysis!$M$1:$M$3001,Analysis!$M2861)</f>
        <v>1</v>
      </c>
      <c r="Q2861" s="6" t="str">
        <f>IF(COUNTIF(Analysis!$M$2:$M$3001,Analysis!$M2861)&gt;1,"Duplicate","OK")</f>
        <v>OK</v>
      </c>
      <c r="R2861" s="6" t="str">
        <f t="shared" si="1"/>
        <v>1600-2600</v>
      </c>
      <c r="S2861" s="6">
        <f t="shared" si="2"/>
        <v>71</v>
      </c>
      <c r="T2861" s="6" t="str">
        <f t="shared" si="3"/>
        <v>Very Old</v>
      </c>
    </row>
    <row r="2862" ht="14.25" customHeight="1">
      <c r="A2862" s="5">
        <v>143167.0</v>
      </c>
      <c r="B2862" s="6" t="s">
        <v>11483</v>
      </c>
      <c r="C2862" s="6" t="s">
        <v>53</v>
      </c>
      <c r="D2862" s="6">
        <v>64025.0</v>
      </c>
      <c r="E2862" s="6" t="s">
        <v>40</v>
      </c>
      <c r="F2862" s="6" t="s">
        <v>46</v>
      </c>
      <c r="G2862" s="6" t="s">
        <v>31</v>
      </c>
      <c r="H2862" s="7">
        <v>3109.0</v>
      </c>
      <c r="I2862" s="7">
        <v>8090.0</v>
      </c>
      <c r="J2862" s="6">
        <v>1959.0</v>
      </c>
      <c r="K2862" s="6">
        <v>50.0</v>
      </c>
      <c r="L2862" s="6" t="s">
        <v>22</v>
      </c>
      <c r="M2862" s="6" t="s">
        <v>11484</v>
      </c>
      <c r="N2862" s="6" t="s">
        <v>43</v>
      </c>
      <c r="O2862" s="6" t="s">
        <v>25</v>
      </c>
      <c r="P2862" s="6">
        <f>COUNTIF(Analysis!$M$1:$M$3001,Analysis!$M2862)</f>
        <v>1</v>
      </c>
      <c r="Q2862" s="6" t="str">
        <f>IF(COUNTIF(Analysis!$M$2:$M$3001,Analysis!$M2862)&gt;1,"Duplicate","OK")</f>
        <v>OK</v>
      </c>
      <c r="R2862" s="6" t="str">
        <f t="shared" si="1"/>
        <v>2600-3600</v>
      </c>
      <c r="S2862" s="6">
        <f t="shared" si="2"/>
        <v>67</v>
      </c>
      <c r="T2862" s="6" t="str">
        <f t="shared" si="3"/>
        <v>Very Old</v>
      </c>
    </row>
    <row r="2863" ht="14.25" customHeight="1">
      <c r="A2863" s="5">
        <v>138278.0</v>
      </c>
      <c r="B2863" s="6" t="s">
        <v>11487</v>
      </c>
      <c r="C2863" s="6" t="s">
        <v>76</v>
      </c>
      <c r="D2863" s="6">
        <v>44229.0</v>
      </c>
      <c r="E2863" s="6" t="s">
        <v>30</v>
      </c>
      <c r="F2863" s="6" t="s">
        <v>41</v>
      </c>
      <c r="G2863" s="6" t="s">
        <v>31</v>
      </c>
      <c r="H2863" s="7">
        <v>3455.0</v>
      </c>
      <c r="I2863" s="7">
        <v>4838.0</v>
      </c>
      <c r="J2863" s="6">
        <v>2020.0</v>
      </c>
      <c r="K2863" s="6">
        <v>19.0</v>
      </c>
      <c r="L2863" s="6" t="s">
        <v>62</v>
      </c>
      <c r="M2863" s="6" t="s">
        <v>11488</v>
      </c>
      <c r="N2863" s="6" t="s">
        <v>43</v>
      </c>
      <c r="O2863" s="6" t="s">
        <v>25</v>
      </c>
      <c r="P2863" s="6">
        <f>COUNTIF(Analysis!$M$1:$M$3001,Analysis!$M2863)</f>
        <v>1</v>
      </c>
      <c r="Q2863" s="6" t="str">
        <f>IF(COUNTIF(Analysis!$M$2:$M$3001,Analysis!$M2863)&gt;1,"Duplicate","OK")</f>
        <v>OK</v>
      </c>
      <c r="R2863" s="6" t="str">
        <f t="shared" si="1"/>
        <v>2600-3600</v>
      </c>
      <c r="S2863" s="6">
        <f t="shared" si="2"/>
        <v>6</v>
      </c>
      <c r="T2863" s="6" t="str">
        <f t="shared" si="3"/>
        <v>New</v>
      </c>
    </row>
    <row r="2864" ht="14.25" customHeight="1">
      <c r="A2864" s="5">
        <v>340199.0</v>
      </c>
      <c r="B2864" s="6" t="s">
        <v>11491</v>
      </c>
      <c r="C2864" s="6" t="s">
        <v>39</v>
      </c>
      <c r="D2864" s="6">
        <v>84786.0</v>
      </c>
      <c r="E2864" s="6" t="s">
        <v>19</v>
      </c>
      <c r="F2864" s="6" t="s">
        <v>46</v>
      </c>
      <c r="G2864" s="6" t="s">
        <v>100</v>
      </c>
      <c r="H2864" s="7">
        <v>3355.0</v>
      </c>
      <c r="I2864" s="7">
        <v>2997.0</v>
      </c>
      <c r="J2864" s="6">
        <v>2018.0</v>
      </c>
      <c r="K2864" s="6">
        <v>43.0</v>
      </c>
      <c r="L2864" s="6" t="s">
        <v>62</v>
      </c>
      <c r="M2864" s="6" t="s">
        <v>11492</v>
      </c>
      <c r="N2864" s="6" t="s">
        <v>64</v>
      </c>
      <c r="O2864" s="6" t="s">
        <v>35</v>
      </c>
      <c r="P2864" s="6">
        <f>COUNTIF(Analysis!$M$1:$M$3001,Analysis!$M2864)</f>
        <v>1</v>
      </c>
      <c r="Q2864" s="6" t="str">
        <f>IF(COUNTIF(Analysis!$M$2:$M$3001,Analysis!$M2864)&gt;1,"Duplicate","OK")</f>
        <v>OK</v>
      </c>
      <c r="R2864" s="6" t="str">
        <f t="shared" si="1"/>
        <v>2600-3600</v>
      </c>
      <c r="S2864" s="6">
        <f t="shared" si="2"/>
        <v>8</v>
      </c>
      <c r="T2864" s="6" t="str">
        <f t="shared" si="3"/>
        <v>New</v>
      </c>
    </row>
    <row r="2865" ht="14.25" customHeight="1">
      <c r="A2865" s="5">
        <v>1402468.0</v>
      </c>
      <c r="B2865" s="6" t="s">
        <v>11495</v>
      </c>
      <c r="C2865" s="6" t="s">
        <v>39</v>
      </c>
      <c r="D2865" s="6">
        <v>76941.0</v>
      </c>
      <c r="E2865" s="6" t="s">
        <v>60</v>
      </c>
      <c r="F2865" s="6" t="s">
        <v>41</v>
      </c>
      <c r="G2865" s="6" t="s">
        <v>21</v>
      </c>
      <c r="H2865" s="7">
        <v>3734.0</v>
      </c>
      <c r="I2865" s="7">
        <v>4083.0</v>
      </c>
      <c r="J2865" s="6">
        <v>1978.0</v>
      </c>
      <c r="K2865" s="6">
        <v>22.0</v>
      </c>
      <c r="L2865" s="6" t="s">
        <v>32</v>
      </c>
      <c r="M2865" s="6" t="s">
        <v>11496</v>
      </c>
      <c r="N2865" s="6" t="s">
        <v>24</v>
      </c>
      <c r="O2865" s="6" t="s">
        <v>35</v>
      </c>
      <c r="P2865" s="6">
        <f>COUNTIF(Analysis!$M$1:$M$3001,Analysis!$M2865)</f>
        <v>1</v>
      </c>
      <c r="Q2865" s="6" t="str">
        <f>IF(COUNTIF(Analysis!$M$2:$M$3001,Analysis!$M2865)&gt;1,"Duplicate","OK")</f>
        <v>OK</v>
      </c>
      <c r="R2865" s="6" t="str">
        <f t="shared" si="1"/>
        <v>3600+</v>
      </c>
      <c r="S2865" s="6">
        <f t="shared" si="2"/>
        <v>48</v>
      </c>
      <c r="T2865" s="6" t="str">
        <f t="shared" si="3"/>
        <v>Old</v>
      </c>
    </row>
    <row r="2866" ht="14.25" customHeight="1">
      <c r="A2866" s="5">
        <v>1470553.0</v>
      </c>
      <c r="B2866" s="6" t="s">
        <v>11499</v>
      </c>
      <c r="C2866" s="6" t="s">
        <v>18</v>
      </c>
      <c r="D2866" s="6">
        <v>46459.0</v>
      </c>
      <c r="E2866" s="6" t="s">
        <v>77</v>
      </c>
      <c r="F2866" s="6" t="s">
        <v>61</v>
      </c>
      <c r="G2866" s="6" t="s">
        <v>55</v>
      </c>
      <c r="H2866" s="7">
        <v>2221.0</v>
      </c>
      <c r="I2866" s="7">
        <v>4196.0</v>
      </c>
      <c r="J2866" s="6">
        <v>1982.0</v>
      </c>
      <c r="K2866" s="6">
        <v>25.0</v>
      </c>
      <c r="L2866" s="6" t="s">
        <v>62</v>
      </c>
      <c r="M2866" s="6" t="s">
        <v>11500</v>
      </c>
      <c r="N2866" s="6" t="s">
        <v>34</v>
      </c>
      <c r="O2866" s="6" t="s">
        <v>49</v>
      </c>
      <c r="P2866" s="6">
        <f>COUNTIF(Analysis!$M$1:$M$3001,Analysis!$M2866)</f>
        <v>1</v>
      </c>
      <c r="Q2866" s="6" t="str">
        <f>IF(COUNTIF(Analysis!$M$2:$M$3001,Analysis!$M2866)&gt;1,"Duplicate","OK")</f>
        <v>OK</v>
      </c>
      <c r="R2866" s="6" t="str">
        <f t="shared" si="1"/>
        <v>1600-2600</v>
      </c>
      <c r="S2866" s="6">
        <f t="shared" si="2"/>
        <v>44</v>
      </c>
      <c r="T2866" s="6" t="str">
        <f t="shared" si="3"/>
        <v>Old</v>
      </c>
    </row>
    <row r="2867" ht="14.25" customHeight="1">
      <c r="A2867" s="5">
        <v>1434978.0</v>
      </c>
      <c r="B2867" s="6" t="s">
        <v>11403</v>
      </c>
      <c r="C2867" s="6" t="s">
        <v>29</v>
      </c>
      <c r="D2867" s="6">
        <v>19720.0</v>
      </c>
      <c r="E2867" s="6" t="s">
        <v>19</v>
      </c>
      <c r="F2867" s="6" t="s">
        <v>54</v>
      </c>
      <c r="G2867" s="6" t="s">
        <v>100</v>
      </c>
      <c r="H2867" s="7">
        <v>1880.0</v>
      </c>
      <c r="I2867" s="7">
        <v>2901.0</v>
      </c>
      <c r="J2867" s="6">
        <v>1954.0</v>
      </c>
      <c r="K2867" s="6">
        <v>27.0</v>
      </c>
      <c r="L2867" s="6" t="s">
        <v>62</v>
      </c>
      <c r="M2867" s="6" t="s">
        <v>11404</v>
      </c>
      <c r="N2867" s="6" t="s">
        <v>43</v>
      </c>
      <c r="O2867" s="6" t="s">
        <v>25</v>
      </c>
      <c r="P2867" s="6">
        <f>COUNTIF(Analysis!$M$1:$M$3001,Analysis!$M2842)</f>
        <v>1</v>
      </c>
      <c r="Q2867" s="6" t="str">
        <f>IF(COUNTIF(Analysis!$M$2:$M$3001,Analysis!$M2842)&gt;1,"Duplicate","OK")</f>
        <v>OK</v>
      </c>
      <c r="R2867" s="6" t="str">
        <f t="shared" si="1"/>
        <v>1600-2600</v>
      </c>
      <c r="S2867" s="6">
        <f t="shared" si="2"/>
        <v>72</v>
      </c>
      <c r="T2867" s="6" t="str">
        <f t="shared" si="3"/>
        <v>Very Old</v>
      </c>
    </row>
    <row r="2868" ht="14.25" customHeight="1">
      <c r="A2868" s="5">
        <v>1436174.0</v>
      </c>
      <c r="B2868" s="6" t="s">
        <v>3771</v>
      </c>
      <c r="C2868" s="6" t="s">
        <v>29</v>
      </c>
      <c r="D2868" s="6">
        <v>54345.0</v>
      </c>
      <c r="E2868" s="6" t="s">
        <v>19</v>
      </c>
      <c r="F2868" s="6" t="s">
        <v>54</v>
      </c>
      <c r="G2868" s="6" t="s">
        <v>21</v>
      </c>
      <c r="H2868" s="7">
        <v>3599.0</v>
      </c>
      <c r="I2868" s="7">
        <v>4888.0</v>
      </c>
      <c r="J2868" s="6">
        <v>1977.0</v>
      </c>
      <c r="K2868" s="6">
        <v>4.0</v>
      </c>
      <c r="L2868" s="6" t="s">
        <v>141</v>
      </c>
      <c r="M2868" s="6" t="s">
        <v>3772</v>
      </c>
      <c r="N2868" s="6" t="s">
        <v>43</v>
      </c>
      <c r="O2868" s="6" t="s">
        <v>25</v>
      </c>
      <c r="P2868" s="6">
        <f>COUNTIF(Analysis!$M$1:$M$3001,Analysis!$M933)</f>
        <v>1</v>
      </c>
      <c r="Q2868" s="6" t="str">
        <f>IF(COUNTIF(Analysis!$M$2:$M$3001,Analysis!$M933)&gt;1,"Duplicate","OK")</f>
        <v>OK</v>
      </c>
      <c r="R2868" s="6" t="str">
        <f t="shared" si="1"/>
        <v>2600-3600</v>
      </c>
      <c r="S2868" s="6">
        <f t="shared" si="2"/>
        <v>49</v>
      </c>
      <c r="T2868" s="6" t="str">
        <f t="shared" si="3"/>
        <v>Old</v>
      </c>
    </row>
    <row r="2869" ht="14.25" customHeight="1">
      <c r="A2869" s="5">
        <v>1436618.0</v>
      </c>
      <c r="B2869" s="6" t="s">
        <v>849</v>
      </c>
      <c r="C2869" s="6" t="s">
        <v>29</v>
      </c>
      <c r="D2869" s="6">
        <v>63407.0</v>
      </c>
      <c r="E2869" s="6" t="s">
        <v>40</v>
      </c>
      <c r="F2869" s="6" t="s">
        <v>94</v>
      </c>
      <c r="G2869" s="6" t="s">
        <v>55</v>
      </c>
      <c r="H2869" s="7">
        <v>1979.0</v>
      </c>
      <c r="I2869" s="7">
        <v>2167.0</v>
      </c>
      <c r="J2869" s="6">
        <v>1956.0</v>
      </c>
      <c r="K2869" s="6">
        <v>53.0</v>
      </c>
      <c r="L2869" s="6" t="s">
        <v>62</v>
      </c>
      <c r="M2869" s="6" t="s">
        <v>850</v>
      </c>
      <c r="N2869" s="6" t="s">
        <v>43</v>
      </c>
      <c r="O2869" s="6" t="s">
        <v>49</v>
      </c>
      <c r="P2869" s="6">
        <f>COUNTIF(Analysis!$M$1:$M$3001,Analysis!$M202)</f>
        <v>1</v>
      </c>
      <c r="Q2869" s="6" t="str">
        <f>IF(COUNTIF(Analysis!$M$2:$M$3001,Analysis!$M202)&gt;1,"Duplicate","OK")</f>
        <v>OK</v>
      </c>
      <c r="R2869" s="6" t="str">
        <f t="shared" si="1"/>
        <v>1600-2600</v>
      </c>
      <c r="S2869" s="6">
        <f t="shared" si="2"/>
        <v>70</v>
      </c>
      <c r="T2869" s="6" t="str">
        <f t="shared" si="3"/>
        <v>Very Old</v>
      </c>
    </row>
    <row r="2870" ht="14.25" customHeight="1">
      <c r="A2870" s="5">
        <v>425156.0</v>
      </c>
      <c r="B2870" s="6" t="s">
        <v>11515</v>
      </c>
      <c r="C2870" s="6" t="s">
        <v>76</v>
      </c>
      <c r="D2870" s="6">
        <v>68029.0</v>
      </c>
      <c r="E2870" s="6" t="s">
        <v>40</v>
      </c>
      <c r="F2870" s="6" t="s">
        <v>46</v>
      </c>
      <c r="G2870" s="6" t="s">
        <v>21</v>
      </c>
      <c r="H2870" s="7">
        <v>2594.0</v>
      </c>
      <c r="I2870" s="7">
        <v>4987.0</v>
      </c>
      <c r="J2870" s="6">
        <v>1980.0</v>
      </c>
      <c r="K2870" s="6">
        <v>11.0</v>
      </c>
      <c r="L2870" s="6" t="s">
        <v>22</v>
      </c>
      <c r="M2870" s="6" t="s">
        <v>11516</v>
      </c>
      <c r="N2870" s="6" t="s">
        <v>48</v>
      </c>
      <c r="O2870" s="6" t="s">
        <v>25</v>
      </c>
      <c r="P2870" s="6">
        <f>COUNTIF(Analysis!$M$1:$M$3001,Analysis!$M2870)</f>
        <v>1</v>
      </c>
      <c r="Q2870" s="6" t="str">
        <f>IF(COUNTIF(Analysis!$M$2:$M$3001,Analysis!$M2870)&gt;1,"Duplicate","OK")</f>
        <v>OK</v>
      </c>
      <c r="R2870" s="6" t="str">
        <f t="shared" si="1"/>
        <v>1600-2600</v>
      </c>
      <c r="S2870" s="6">
        <f t="shared" si="2"/>
        <v>46</v>
      </c>
      <c r="T2870" s="6" t="str">
        <f t="shared" si="3"/>
        <v>Old</v>
      </c>
    </row>
    <row r="2871" ht="14.25" customHeight="1">
      <c r="A2871" s="5">
        <v>1093748.0</v>
      </c>
      <c r="B2871" s="6" t="s">
        <v>11519</v>
      </c>
      <c r="C2871" s="6" t="s">
        <v>53</v>
      </c>
      <c r="D2871" s="6">
        <v>81118.0</v>
      </c>
      <c r="E2871" s="6" t="s">
        <v>60</v>
      </c>
      <c r="F2871" s="6" t="s">
        <v>61</v>
      </c>
      <c r="G2871" s="6" t="s">
        <v>31</v>
      </c>
      <c r="H2871" s="7">
        <v>3700.0</v>
      </c>
      <c r="I2871" s="7">
        <v>4457.0</v>
      </c>
      <c r="J2871" s="6">
        <v>1965.0</v>
      </c>
      <c r="K2871" s="6">
        <v>8.0</v>
      </c>
      <c r="L2871" s="6" t="s">
        <v>95</v>
      </c>
      <c r="M2871" s="6" t="s">
        <v>11520</v>
      </c>
      <c r="N2871" s="6" t="s">
        <v>43</v>
      </c>
      <c r="O2871" s="6" t="s">
        <v>25</v>
      </c>
      <c r="P2871" s="6">
        <f>COUNTIF(Analysis!$M$1:$M$3001,Analysis!$M2871)</f>
        <v>1</v>
      </c>
      <c r="Q2871" s="6" t="str">
        <f>IF(COUNTIF(Analysis!$M$2:$M$3001,Analysis!$M2871)&gt;1,"Duplicate","OK")</f>
        <v>OK</v>
      </c>
      <c r="R2871" s="6" t="str">
        <f t="shared" si="1"/>
        <v>3600+</v>
      </c>
      <c r="S2871" s="6">
        <f t="shared" si="2"/>
        <v>61</v>
      </c>
      <c r="T2871" s="6" t="str">
        <f t="shared" si="3"/>
        <v>Very Old</v>
      </c>
    </row>
    <row r="2872" ht="14.25" customHeight="1">
      <c r="A2872" s="5">
        <v>321468.0</v>
      </c>
      <c r="B2872" s="6" t="s">
        <v>11523</v>
      </c>
      <c r="C2872" s="6" t="s">
        <v>18</v>
      </c>
      <c r="D2872" s="6">
        <v>70204.0</v>
      </c>
      <c r="E2872" s="6" t="s">
        <v>30</v>
      </c>
      <c r="F2872" s="6" t="s">
        <v>61</v>
      </c>
      <c r="G2872" s="6" t="s">
        <v>21</v>
      </c>
      <c r="H2872" s="7">
        <v>1731.0</v>
      </c>
      <c r="I2872" s="7">
        <v>4797.0</v>
      </c>
      <c r="J2872" s="6">
        <v>1996.0</v>
      </c>
      <c r="K2872" s="6">
        <v>24.0</v>
      </c>
      <c r="L2872" s="6" t="s">
        <v>141</v>
      </c>
      <c r="M2872" s="6" t="s">
        <v>11524</v>
      </c>
      <c r="N2872" s="6" t="s">
        <v>24</v>
      </c>
      <c r="O2872" s="6" t="s">
        <v>49</v>
      </c>
      <c r="P2872" s="6">
        <f>COUNTIF(Analysis!$M$1:$M$3001,Analysis!$M2872)</f>
        <v>1</v>
      </c>
      <c r="Q2872" s="6" t="str">
        <f>IF(COUNTIF(Analysis!$M$2:$M$3001,Analysis!$M2872)&gt;1,"Duplicate","OK")</f>
        <v>OK</v>
      </c>
      <c r="R2872" s="6" t="str">
        <f t="shared" si="1"/>
        <v>1600-2600</v>
      </c>
      <c r="S2872" s="6">
        <f t="shared" si="2"/>
        <v>30</v>
      </c>
      <c r="T2872" s="6" t="str">
        <f t="shared" si="3"/>
        <v>Mid</v>
      </c>
    </row>
    <row r="2873" ht="14.25" customHeight="1">
      <c r="A2873" s="5">
        <v>1470886.0</v>
      </c>
      <c r="B2873" s="6" t="s">
        <v>11527</v>
      </c>
      <c r="C2873" s="6" t="s">
        <v>18</v>
      </c>
      <c r="D2873" s="6">
        <v>61819.0</v>
      </c>
      <c r="E2873" s="6" t="s">
        <v>60</v>
      </c>
      <c r="F2873" s="6" t="s">
        <v>20</v>
      </c>
      <c r="G2873" s="6" t="s">
        <v>21</v>
      </c>
      <c r="H2873" s="7">
        <v>2655.0</v>
      </c>
      <c r="I2873" s="7">
        <v>1827.0</v>
      </c>
      <c r="J2873" s="6">
        <v>2014.0</v>
      </c>
      <c r="K2873" s="6">
        <v>113.0</v>
      </c>
      <c r="L2873" s="6" t="s">
        <v>62</v>
      </c>
      <c r="M2873" s="6" t="s">
        <v>11528</v>
      </c>
      <c r="N2873" s="6" t="s">
        <v>64</v>
      </c>
      <c r="O2873" s="6" t="s">
        <v>35</v>
      </c>
      <c r="P2873" s="6">
        <f>COUNTIF(Analysis!$M$1:$M$3001,Analysis!$M2873)</f>
        <v>1</v>
      </c>
      <c r="Q2873" s="6" t="str">
        <f>IF(COUNTIF(Analysis!$M$2:$M$3001,Analysis!$M2873)&gt;1,"Duplicate","OK")</f>
        <v>OK</v>
      </c>
      <c r="R2873" s="6" t="str">
        <f t="shared" si="1"/>
        <v>2600-3600</v>
      </c>
      <c r="S2873" s="6">
        <f t="shared" si="2"/>
        <v>12</v>
      </c>
      <c r="T2873" s="6" t="str">
        <f t="shared" si="3"/>
        <v>Mid</v>
      </c>
    </row>
    <row r="2874" ht="14.25" customHeight="1">
      <c r="A2874" s="5">
        <v>850616.0</v>
      </c>
      <c r="B2874" s="6" t="s">
        <v>11531</v>
      </c>
      <c r="C2874" s="6" t="s">
        <v>39</v>
      </c>
      <c r="D2874" s="6">
        <v>57772.0</v>
      </c>
      <c r="E2874" s="6" t="s">
        <v>60</v>
      </c>
      <c r="F2874" s="6" t="s">
        <v>41</v>
      </c>
      <c r="G2874" s="6" t="s">
        <v>100</v>
      </c>
      <c r="H2874" s="7">
        <v>2393.0</v>
      </c>
      <c r="I2874" s="7">
        <v>3233.0</v>
      </c>
      <c r="J2874" s="6">
        <v>2000.0</v>
      </c>
      <c r="K2874" s="6">
        <v>93.0</v>
      </c>
      <c r="L2874" s="6" t="s">
        <v>95</v>
      </c>
      <c r="M2874" s="6" t="s">
        <v>11532</v>
      </c>
      <c r="N2874" s="6" t="s">
        <v>34</v>
      </c>
      <c r="O2874" s="6" t="s">
        <v>35</v>
      </c>
      <c r="P2874" s="6">
        <f>COUNTIF(Analysis!$M$1:$M$3001,Analysis!$M2874)</f>
        <v>1</v>
      </c>
      <c r="Q2874" s="6" t="str">
        <f>IF(COUNTIF(Analysis!$M$2:$M$3001,Analysis!$M2874)&gt;1,"Duplicate","OK")</f>
        <v>OK</v>
      </c>
      <c r="R2874" s="6" t="str">
        <f t="shared" si="1"/>
        <v>1600-2600</v>
      </c>
      <c r="S2874" s="6">
        <f t="shared" si="2"/>
        <v>26</v>
      </c>
      <c r="T2874" s="6" t="str">
        <f t="shared" si="3"/>
        <v>Mid</v>
      </c>
    </row>
    <row r="2875" ht="14.25" customHeight="1">
      <c r="A2875" s="5">
        <v>1177500.0</v>
      </c>
      <c r="B2875" s="6" t="s">
        <v>11535</v>
      </c>
      <c r="C2875" s="6" t="s">
        <v>53</v>
      </c>
      <c r="D2875" s="6">
        <v>52466.0</v>
      </c>
      <c r="E2875" s="6" t="s">
        <v>77</v>
      </c>
      <c r="F2875" s="6" t="s">
        <v>20</v>
      </c>
      <c r="G2875" s="6" t="s">
        <v>21</v>
      </c>
      <c r="H2875" s="7">
        <v>3431.0</v>
      </c>
      <c r="I2875" s="7">
        <v>2225.0</v>
      </c>
      <c r="J2875" s="6">
        <v>1975.0</v>
      </c>
      <c r="K2875" s="6">
        <v>26.0</v>
      </c>
      <c r="L2875" s="6" t="s">
        <v>32</v>
      </c>
      <c r="M2875" s="6" t="s">
        <v>11536</v>
      </c>
      <c r="N2875" s="6" t="s">
        <v>48</v>
      </c>
      <c r="O2875" s="6" t="s">
        <v>49</v>
      </c>
      <c r="P2875" s="6">
        <f>COUNTIF(Analysis!$M$1:$M$3001,Analysis!$M2875)</f>
        <v>1</v>
      </c>
      <c r="Q2875" s="6" t="str">
        <f>IF(COUNTIF(Analysis!$M$2:$M$3001,Analysis!$M2875)&gt;1,"Duplicate","OK")</f>
        <v>OK</v>
      </c>
      <c r="R2875" s="6" t="str">
        <f t="shared" si="1"/>
        <v>2600-3600</v>
      </c>
      <c r="S2875" s="6">
        <f t="shared" si="2"/>
        <v>51</v>
      </c>
      <c r="T2875" s="6" t="str">
        <f t="shared" si="3"/>
        <v>Old</v>
      </c>
    </row>
    <row r="2876" ht="14.25" customHeight="1">
      <c r="A2876" s="5">
        <v>1440454.0</v>
      </c>
      <c r="B2876" s="6" t="s">
        <v>7313</v>
      </c>
      <c r="C2876" s="6" t="s">
        <v>29</v>
      </c>
      <c r="D2876" s="6">
        <v>24208.0</v>
      </c>
      <c r="E2876" s="6" t="s">
        <v>19</v>
      </c>
      <c r="F2876" s="6" t="s">
        <v>54</v>
      </c>
      <c r="G2876" s="6" t="s">
        <v>100</v>
      </c>
      <c r="H2876" s="7">
        <v>788.0</v>
      </c>
      <c r="I2876" s="7">
        <v>8387.0</v>
      </c>
      <c r="J2876" s="6">
        <v>1962.0</v>
      </c>
      <c r="K2876" s="6">
        <v>59.0</v>
      </c>
      <c r="L2876" s="6" t="s">
        <v>95</v>
      </c>
      <c r="M2876" s="6" t="s">
        <v>7314</v>
      </c>
      <c r="N2876" s="6" t="s">
        <v>48</v>
      </c>
      <c r="O2876" s="6" t="s">
        <v>35</v>
      </c>
      <c r="P2876" s="6">
        <f>COUNTIF(Analysis!$M$1:$M$3001,Analysis!$M1819)</f>
        <v>1</v>
      </c>
      <c r="Q2876" s="6" t="str">
        <f>IF(COUNTIF(Analysis!$M$2:$M$3001,Analysis!$M1819)&gt;1,"Duplicate","OK")</f>
        <v>OK</v>
      </c>
      <c r="R2876" s="6" t="str">
        <f t="shared" si="1"/>
        <v>600-1600</v>
      </c>
      <c r="S2876" s="6">
        <f t="shared" si="2"/>
        <v>64</v>
      </c>
      <c r="T2876" s="6" t="str">
        <f t="shared" si="3"/>
        <v>Very Old</v>
      </c>
    </row>
    <row r="2877" ht="14.25" customHeight="1">
      <c r="A2877" s="5">
        <v>123916.0</v>
      </c>
      <c r="B2877" s="6" t="s">
        <v>11543</v>
      </c>
      <c r="C2877" s="6" t="s">
        <v>76</v>
      </c>
      <c r="D2877" s="6">
        <v>21351.0</v>
      </c>
      <c r="E2877" s="6" t="s">
        <v>40</v>
      </c>
      <c r="F2877" s="6" t="s">
        <v>61</v>
      </c>
      <c r="G2877" s="6" t="s">
        <v>55</v>
      </c>
      <c r="H2877" s="7">
        <v>3567.0</v>
      </c>
      <c r="I2877" s="7">
        <v>3625.0</v>
      </c>
      <c r="J2877" s="6">
        <v>2016.0</v>
      </c>
      <c r="K2877" s="6">
        <v>1.0</v>
      </c>
      <c r="L2877" s="6" t="s">
        <v>32</v>
      </c>
      <c r="M2877" s="6" t="s">
        <v>11544</v>
      </c>
      <c r="N2877" s="6" t="s">
        <v>34</v>
      </c>
      <c r="O2877" s="6" t="s">
        <v>49</v>
      </c>
      <c r="P2877" s="6">
        <f>COUNTIF(Analysis!$M$1:$M$3001,Analysis!$M2877)</f>
        <v>1</v>
      </c>
      <c r="Q2877" s="6" t="str">
        <f>IF(COUNTIF(Analysis!$M$2:$M$3001,Analysis!$M2877)&gt;1,"Duplicate","OK")</f>
        <v>OK</v>
      </c>
      <c r="R2877" s="6" t="str">
        <f t="shared" si="1"/>
        <v>2600-3600</v>
      </c>
      <c r="S2877" s="6">
        <f t="shared" si="2"/>
        <v>10</v>
      </c>
      <c r="T2877" s="6" t="str">
        <f t="shared" si="3"/>
        <v>New</v>
      </c>
    </row>
    <row r="2878" ht="14.25" customHeight="1">
      <c r="A2878" s="5">
        <v>1440863.0</v>
      </c>
      <c r="B2878" s="6" t="s">
        <v>11279</v>
      </c>
      <c r="C2878" s="6" t="s">
        <v>29</v>
      </c>
      <c r="D2878" s="6">
        <v>37227.0</v>
      </c>
      <c r="E2878" s="6" t="s">
        <v>40</v>
      </c>
      <c r="F2878" s="6" t="s">
        <v>20</v>
      </c>
      <c r="G2878" s="6" t="s">
        <v>55</v>
      </c>
      <c r="H2878" s="7">
        <v>3079.0</v>
      </c>
      <c r="I2878" s="7">
        <v>8874.0</v>
      </c>
      <c r="J2878" s="6">
        <v>1955.0</v>
      </c>
      <c r="K2878" s="6">
        <v>24.0</v>
      </c>
      <c r="L2878" s="6" t="s">
        <v>32</v>
      </c>
      <c r="M2878" s="6" t="s">
        <v>11280</v>
      </c>
      <c r="N2878" s="6" t="s">
        <v>64</v>
      </c>
      <c r="O2878" s="6" t="s">
        <v>49</v>
      </c>
      <c r="P2878" s="6">
        <f>COUNTIF(Analysis!$M$1:$M$3001,Analysis!$M2811)</f>
        <v>1</v>
      </c>
      <c r="Q2878" s="6" t="str">
        <f>IF(COUNTIF(Analysis!$M$2:$M$3001,Analysis!$M2811)&gt;1,"Duplicate","OK")</f>
        <v>OK</v>
      </c>
      <c r="R2878" s="6" t="str">
        <f t="shared" si="1"/>
        <v>2600-3600</v>
      </c>
      <c r="S2878" s="6">
        <f t="shared" si="2"/>
        <v>71</v>
      </c>
      <c r="T2878" s="6" t="str">
        <f t="shared" si="3"/>
        <v>Very Old</v>
      </c>
    </row>
    <row r="2879" ht="14.25" customHeight="1">
      <c r="A2879" s="5">
        <v>1043450.0</v>
      </c>
      <c r="B2879" s="6" t="s">
        <v>11551</v>
      </c>
      <c r="C2879" s="6" t="s">
        <v>18</v>
      </c>
      <c r="D2879" s="6">
        <v>42663.0</v>
      </c>
      <c r="E2879" s="6" t="s">
        <v>19</v>
      </c>
      <c r="F2879" s="6" t="s">
        <v>20</v>
      </c>
      <c r="G2879" s="6" t="s">
        <v>21</v>
      </c>
      <c r="H2879" s="7">
        <v>2089.0</v>
      </c>
      <c r="I2879" s="7">
        <v>2049.0</v>
      </c>
      <c r="J2879" s="6">
        <v>1960.0</v>
      </c>
      <c r="K2879" s="6">
        <v>70.0</v>
      </c>
      <c r="L2879" s="6" t="s">
        <v>32</v>
      </c>
      <c r="M2879" s="6" t="s">
        <v>11552</v>
      </c>
      <c r="N2879" s="6" t="s">
        <v>64</v>
      </c>
      <c r="O2879" s="6" t="s">
        <v>49</v>
      </c>
      <c r="P2879" s="6">
        <f>COUNTIF(Analysis!$M$1:$M$3001,Analysis!$M2879)</f>
        <v>1</v>
      </c>
      <c r="Q2879" s="6" t="str">
        <f>IF(COUNTIF(Analysis!$M$2:$M$3001,Analysis!$M2879)&gt;1,"Duplicate","OK")</f>
        <v>OK</v>
      </c>
      <c r="R2879" s="6" t="str">
        <f t="shared" si="1"/>
        <v>1600-2600</v>
      </c>
      <c r="S2879" s="6">
        <f t="shared" si="2"/>
        <v>66</v>
      </c>
      <c r="T2879" s="6" t="str">
        <f t="shared" si="3"/>
        <v>Very Old</v>
      </c>
    </row>
    <row r="2880" ht="14.25" customHeight="1">
      <c r="A2880" s="5">
        <v>423673.0</v>
      </c>
      <c r="B2880" s="6" t="s">
        <v>11555</v>
      </c>
      <c r="C2880" s="6" t="s">
        <v>18</v>
      </c>
      <c r="D2880" s="6">
        <v>76522.0</v>
      </c>
      <c r="E2880" s="6" t="s">
        <v>77</v>
      </c>
      <c r="F2880" s="6" t="s">
        <v>20</v>
      </c>
      <c r="G2880" s="6" t="s">
        <v>31</v>
      </c>
      <c r="H2880" s="7">
        <v>2855.0</v>
      </c>
      <c r="I2880" s="7">
        <v>8809.0</v>
      </c>
      <c r="J2880" s="6">
        <v>1971.0</v>
      </c>
      <c r="K2880" s="6">
        <v>54.0</v>
      </c>
      <c r="L2880" s="6" t="s">
        <v>95</v>
      </c>
      <c r="M2880" s="6" t="s">
        <v>11556</v>
      </c>
      <c r="N2880" s="6" t="s">
        <v>48</v>
      </c>
      <c r="O2880" s="6" t="s">
        <v>35</v>
      </c>
      <c r="P2880" s="6">
        <f>COUNTIF(Analysis!$M$1:$M$3001,Analysis!$M2880)</f>
        <v>1</v>
      </c>
      <c r="Q2880" s="6" t="str">
        <f>IF(COUNTIF(Analysis!$M$2:$M$3001,Analysis!$M2880)&gt;1,"Duplicate","OK")</f>
        <v>OK</v>
      </c>
      <c r="R2880" s="6" t="str">
        <f t="shared" si="1"/>
        <v>2600-3600</v>
      </c>
      <c r="S2880" s="6">
        <f t="shared" si="2"/>
        <v>55</v>
      </c>
      <c r="T2880" s="6" t="str">
        <f t="shared" si="3"/>
        <v>Old</v>
      </c>
    </row>
    <row r="2881" ht="14.25" customHeight="1">
      <c r="A2881" s="5">
        <v>156591.0</v>
      </c>
      <c r="B2881" s="6" t="s">
        <v>11559</v>
      </c>
      <c r="C2881" s="6" t="s">
        <v>39</v>
      </c>
      <c r="D2881" s="6">
        <v>20843.0</v>
      </c>
      <c r="E2881" s="6" t="s">
        <v>19</v>
      </c>
      <c r="F2881" s="6" t="s">
        <v>41</v>
      </c>
      <c r="G2881" s="6" t="s">
        <v>100</v>
      </c>
      <c r="H2881" s="7">
        <v>2022.0</v>
      </c>
      <c r="I2881" s="7">
        <v>9339.0</v>
      </c>
      <c r="J2881" s="6">
        <v>1965.0</v>
      </c>
      <c r="K2881" s="6">
        <v>22.0</v>
      </c>
      <c r="L2881" s="6" t="s">
        <v>32</v>
      </c>
      <c r="M2881" s="6" t="s">
        <v>11560</v>
      </c>
      <c r="N2881" s="6" t="s">
        <v>64</v>
      </c>
      <c r="O2881" s="6" t="s">
        <v>49</v>
      </c>
      <c r="P2881" s="6">
        <f>COUNTIF(Analysis!$M$1:$M$3001,Analysis!$M2881)</f>
        <v>1</v>
      </c>
      <c r="Q2881" s="6" t="str">
        <f>IF(COUNTIF(Analysis!$M$2:$M$3001,Analysis!$M2881)&gt;1,"Duplicate","OK")</f>
        <v>OK</v>
      </c>
      <c r="R2881" s="6" t="str">
        <f t="shared" si="1"/>
        <v>1600-2600</v>
      </c>
      <c r="S2881" s="6">
        <f t="shared" si="2"/>
        <v>61</v>
      </c>
      <c r="T2881" s="6" t="str">
        <f t="shared" si="3"/>
        <v>Very Old</v>
      </c>
    </row>
    <row r="2882" ht="14.25" customHeight="1">
      <c r="A2882" s="5">
        <v>433833.0</v>
      </c>
      <c r="B2882" s="6" t="s">
        <v>11563</v>
      </c>
      <c r="C2882" s="6" t="s">
        <v>53</v>
      </c>
      <c r="D2882" s="6">
        <v>27616.0</v>
      </c>
      <c r="E2882" s="6" t="s">
        <v>77</v>
      </c>
      <c r="F2882" s="6" t="s">
        <v>46</v>
      </c>
      <c r="G2882" s="6" t="s">
        <v>55</v>
      </c>
      <c r="H2882" s="7">
        <v>2258.0</v>
      </c>
      <c r="I2882" s="7">
        <v>8248.0</v>
      </c>
      <c r="J2882" s="6">
        <v>1994.0</v>
      </c>
      <c r="K2882" s="6">
        <v>32.0</v>
      </c>
      <c r="L2882" s="6" t="s">
        <v>141</v>
      </c>
      <c r="M2882" s="6" t="s">
        <v>11564</v>
      </c>
      <c r="N2882" s="6" t="s">
        <v>48</v>
      </c>
      <c r="O2882" s="6" t="s">
        <v>49</v>
      </c>
      <c r="P2882" s="6">
        <f>COUNTIF(Analysis!$M$1:$M$3001,Analysis!$M2882)</f>
        <v>1</v>
      </c>
      <c r="Q2882" s="6" t="str">
        <f>IF(COUNTIF(Analysis!$M$2:$M$3001,Analysis!$M2882)&gt;1,"Duplicate","OK")</f>
        <v>OK</v>
      </c>
      <c r="R2882" s="6" t="str">
        <f t="shared" si="1"/>
        <v>1600-2600</v>
      </c>
      <c r="S2882" s="6">
        <f t="shared" si="2"/>
        <v>32</v>
      </c>
      <c r="T2882" s="6" t="str">
        <f t="shared" si="3"/>
        <v>Old</v>
      </c>
    </row>
    <row r="2883" ht="14.25" customHeight="1">
      <c r="A2883" s="5">
        <v>1471135.0</v>
      </c>
      <c r="B2883" s="6" t="s">
        <v>11567</v>
      </c>
      <c r="C2883" s="6" t="s">
        <v>18</v>
      </c>
      <c r="D2883" s="6">
        <v>49096.0</v>
      </c>
      <c r="E2883" s="6" t="s">
        <v>30</v>
      </c>
      <c r="F2883" s="6" t="s">
        <v>20</v>
      </c>
      <c r="G2883" s="6" t="s">
        <v>100</v>
      </c>
      <c r="H2883" s="7">
        <v>3455.0</v>
      </c>
      <c r="I2883" s="7">
        <v>6805.0</v>
      </c>
      <c r="J2883" s="6">
        <v>1982.0</v>
      </c>
      <c r="K2883" s="6">
        <v>3.0</v>
      </c>
      <c r="L2883" s="6" t="s">
        <v>32</v>
      </c>
      <c r="M2883" s="6" t="s">
        <v>11568</v>
      </c>
      <c r="N2883" s="6" t="s">
        <v>64</v>
      </c>
      <c r="O2883" s="6" t="s">
        <v>35</v>
      </c>
      <c r="P2883" s="6">
        <f>COUNTIF(Analysis!$M$1:$M$3001,Analysis!$M2883)</f>
        <v>1</v>
      </c>
      <c r="Q2883" s="6" t="str">
        <f>IF(COUNTIF(Analysis!$M$2:$M$3001,Analysis!$M2883)&gt;1,"Duplicate","OK")</f>
        <v>OK</v>
      </c>
      <c r="R2883" s="6" t="str">
        <f t="shared" si="1"/>
        <v>2600-3600</v>
      </c>
      <c r="S2883" s="6">
        <f t="shared" si="2"/>
        <v>44</v>
      </c>
      <c r="T2883" s="6" t="str">
        <f t="shared" si="3"/>
        <v>Old</v>
      </c>
    </row>
    <row r="2884" ht="14.25" customHeight="1">
      <c r="A2884" s="5">
        <v>398826.0</v>
      </c>
      <c r="B2884" s="6" t="s">
        <v>11571</v>
      </c>
      <c r="C2884" s="6" t="s">
        <v>76</v>
      </c>
      <c r="D2884" s="6">
        <v>22618.0</v>
      </c>
      <c r="E2884" s="6" t="s">
        <v>40</v>
      </c>
      <c r="F2884" s="6" t="s">
        <v>61</v>
      </c>
      <c r="G2884" s="6" t="s">
        <v>31</v>
      </c>
      <c r="H2884" s="7">
        <v>1635.0</v>
      </c>
      <c r="I2884" s="7">
        <v>9017.0</v>
      </c>
      <c r="J2884" s="6">
        <v>1965.0</v>
      </c>
      <c r="K2884" s="6">
        <v>7.0</v>
      </c>
      <c r="L2884" s="6" t="s">
        <v>141</v>
      </c>
      <c r="M2884" s="6" t="s">
        <v>11572</v>
      </c>
      <c r="N2884" s="6" t="s">
        <v>34</v>
      </c>
      <c r="O2884" s="6" t="s">
        <v>49</v>
      </c>
      <c r="P2884" s="6">
        <f>COUNTIF(Analysis!$M$1:$M$3001,Analysis!$M2884)</f>
        <v>1</v>
      </c>
      <c r="Q2884" s="6" t="str">
        <f>IF(COUNTIF(Analysis!$M$2:$M$3001,Analysis!$M2884)&gt;1,"Duplicate","OK")</f>
        <v>OK</v>
      </c>
      <c r="R2884" s="6" t="str">
        <f t="shared" si="1"/>
        <v>1600-2600</v>
      </c>
      <c r="S2884" s="6">
        <f t="shared" si="2"/>
        <v>61</v>
      </c>
      <c r="T2884" s="6" t="str">
        <f t="shared" si="3"/>
        <v>Very Old</v>
      </c>
    </row>
    <row r="2885" ht="14.25" customHeight="1">
      <c r="A2885" s="5">
        <v>1443890.0</v>
      </c>
      <c r="B2885" s="6" t="s">
        <v>8760</v>
      </c>
      <c r="C2885" s="6" t="s">
        <v>29</v>
      </c>
      <c r="D2885" s="6">
        <v>46959.0</v>
      </c>
      <c r="E2885" s="6" t="s">
        <v>40</v>
      </c>
      <c r="F2885" s="6" t="s">
        <v>61</v>
      </c>
      <c r="G2885" s="6" t="s">
        <v>100</v>
      </c>
      <c r="H2885" s="7">
        <v>1836.0</v>
      </c>
      <c r="I2885" s="7">
        <v>2151.0</v>
      </c>
      <c r="J2885" s="6">
        <v>1988.0</v>
      </c>
      <c r="K2885" s="6">
        <v>39.0</v>
      </c>
      <c r="L2885" s="6" t="s">
        <v>22</v>
      </c>
      <c r="M2885" s="6" t="s">
        <v>8761</v>
      </c>
      <c r="N2885" s="6" t="s">
        <v>43</v>
      </c>
      <c r="O2885" s="6" t="s">
        <v>49</v>
      </c>
      <c r="P2885" s="6">
        <f>COUNTIF(Analysis!$M$1:$M$3001,Analysis!$M2181)</f>
        <v>1</v>
      </c>
      <c r="Q2885" s="6" t="str">
        <f>IF(COUNTIF(Analysis!$M$2:$M$3001,Analysis!$M2181)&gt;1,"Duplicate","OK")</f>
        <v>OK</v>
      </c>
      <c r="R2885" s="6" t="str">
        <f t="shared" si="1"/>
        <v>1600-2600</v>
      </c>
      <c r="S2885" s="6">
        <f t="shared" si="2"/>
        <v>38</v>
      </c>
      <c r="T2885" s="6" t="str">
        <f t="shared" si="3"/>
        <v>Old</v>
      </c>
    </row>
    <row r="2886" ht="14.25" customHeight="1">
      <c r="A2886" s="5">
        <v>1445108.0</v>
      </c>
      <c r="B2886" s="6" t="s">
        <v>1045</v>
      </c>
      <c r="C2886" s="6" t="s">
        <v>29</v>
      </c>
      <c r="D2886" s="6">
        <v>39662.0</v>
      </c>
      <c r="E2886" s="6" t="s">
        <v>60</v>
      </c>
      <c r="F2886" s="6" t="s">
        <v>46</v>
      </c>
      <c r="G2886" s="6" t="s">
        <v>100</v>
      </c>
      <c r="H2886" s="7">
        <v>2395.0</v>
      </c>
      <c r="I2886" s="7">
        <v>9573.0</v>
      </c>
      <c r="J2886" s="6">
        <v>2000.0</v>
      </c>
      <c r="K2886" s="6">
        <v>31.0</v>
      </c>
      <c r="L2886" s="6" t="s">
        <v>22</v>
      </c>
      <c r="M2886" s="6" t="s">
        <v>1046</v>
      </c>
      <c r="N2886" s="6" t="s">
        <v>24</v>
      </c>
      <c r="O2886" s="6" t="s">
        <v>49</v>
      </c>
      <c r="P2886" s="6">
        <f>COUNTIF(Analysis!$M$1:$M$3001,Analysis!$M251)</f>
        <v>1</v>
      </c>
      <c r="Q2886" s="6" t="str">
        <f>IF(COUNTIF(Analysis!$M$2:$M$3001,Analysis!$M251)&gt;1,"Duplicate","OK")</f>
        <v>OK</v>
      </c>
      <c r="R2886" s="6" t="str">
        <f t="shared" si="1"/>
        <v>1600-2600</v>
      </c>
      <c r="S2886" s="6">
        <f t="shared" si="2"/>
        <v>26</v>
      </c>
      <c r="T2886" s="6" t="str">
        <f t="shared" si="3"/>
        <v>Mid</v>
      </c>
    </row>
    <row r="2887" ht="14.25" customHeight="1">
      <c r="A2887" s="5">
        <v>1325428.0</v>
      </c>
      <c r="B2887" s="6" t="s">
        <v>11583</v>
      </c>
      <c r="C2887" s="6" t="s">
        <v>76</v>
      </c>
      <c r="D2887" s="6">
        <v>36464.0</v>
      </c>
      <c r="E2887" s="6" t="s">
        <v>60</v>
      </c>
      <c r="F2887" s="6" t="s">
        <v>94</v>
      </c>
      <c r="G2887" s="6" t="s">
        <v>31</v>
      </c>
      <c r="H2887" s="7">
        <v>2932.0</v>
      </c>
      <c r="I2887" s="7">
        <v>4861.0</v>
      </c>
      <c r="J2887" s="6">
        <v>2021.0</v>
      </c>
      <c r="K2887" s="6">
        <v>7.0</v>
      </c>
      <c r="L2887" s="6" t="s">
        <v>62</v>
      </c>
      <c r="M2887" s="6" t="s">
        <v>11584</v>
      </c>
      <c r="N2887" s="6" t="s">
        <v>43</v>
      </c>
      <c r="O2887" s="6" t="s">
        <v>49</v>
      </c>
      <c r="P2887" s="6">
        <f>COUNTIF(Analysis!$M$1:$M$3001,Analysis!$M2887)</f>
        <v>1</v>
      </c>
      <c r="Q2887" s="6" t="str">
        <f>IF(COUNTIF(Analysis!$M$2:$M$3001,Analysis!$M2887)&gt;1,"Duplicate","OK")</f>
        <v>OK</v>
      </c>
      <c r="R2887" s="6" t="str">
        <f t="shared" si="1"/>
        <v>2600-3600</v>
      </c>
      <c r="S2887" s="6">
        <f t="shared" si="2"/>
        <v>5</v>
      </c>
      <c r="T2887" s="6" t="str">
        <f t="shared" si="3"/>
        <v>New</v>
      </c>
    </row>
    <row r="2888" ht="14.25" customHeight="1">
      <c r="A2888" s="5">
        <v>1330743.0</v>
      </c>
      <c r="B2888" s="6" t="s">
        <v>11587</v>
      </c>
      <c r="C2888" s="6" t="s">
        <v>18</v>
      </c>
      <c r="D2888" s="6">
        <v>52128.0</v>
      </c>
      <c r="E2888" s="6" t="s">
        <v>77</v>
      </c>
      <c r="F2888" s="6" t="s">
        <v>54</v>
      </c>
      <c r="G2888" s="6" t="s">
        <v>55</v>
      </c>
      <c r="H2888" s="7">
        <v>2826.0</v>
      </c>
      <c r="I2888" s="7">
        <v>2731.0</v>
      </c>
      <c r="J2888" s="6">
        <v>1975.0</v>
      </c>
      <c r="K2888" s="6">
        <v>114.0</v>
      </c>
      <c r="L2888" s="6" t="s">
        <v>141</v>
      </c>
      <c r="M2888" s="6" t="s">
        <v>11588</v>
      </c>
      <c r="N2888" s="6" t="s">
        <v>64</v>
      </c>
      <c r="O2888" s="6" t="s">
        <v>49</v>
      </c>
      <c r="P2888" s="6">
        <f>COUNTIF(Analysis!$M$1:$M$3001,Analysis!$M2888)</f>
        <v>1</v>
      </c>
      <c r="Q2888" s="6" t="str">
        <f>IF(COUNTIF(Analysis!$M$2:$M$3001,Analysis!$M2888)&gt;1,"Duplicate","OK")</f>
        <v>OK</v>
      </c>
      <c r="R2888" s="6" t="str">
        <f t="shared" si="1"/>
        <v>2600-3600</v>
      </c>
      <c r="S2888" s="6">
        <f t="shared" si="2"/>
        <v>51</v>
      </c>
      <c r="T2888" s="6" t="str">
        <f t="shared" si="3"/>
        <v>Old</v>
      </c>
    </row>
    <row r="2889" ht="14.25" customHeight="1">
      <c r="A2889" s="5">
        <v>1445626.0</v>
      </c>
      <c r="B2889" s="6" t="s">
        <v>8133</v>
      </c>
      <c r="C2889" s="6" t="s">
        <v>29</v>
      </c>
      <c r="D2889" s="6">
        <v>42379.0</v>
      </c>
      <c r="E2889" s="6" t="s">
        <v>60</v>
      </c>
      <c r="F2889" s="6" t="s">
        <v>46</v>
      </c>
      <c r="G2889" s="6" t="s">
        <v>31</v>
      </c>
      <c r="H2889" s="7">
        <v>957.0</v>
      </c>
      <c r="I2889" s="7">
        <v>9039.0</v>
      </c>
      <c r="J2889" s="6">
        <v>1999.0</v>
      </c>
      <c r="K2889" s="6">
        <v>107.0</v>
      </c>
      <c r="L2889" s="6" t="s">
        <v>32</v>
      </c>
      <c r="M2889" s="6" t="s">
        <v>8134</v>
      </c>
      <c r="N2889" s="6" t="s">
        <v>48</v>
      </c>
      <c r="O2889" s="6" t="s">
        <v>35</v>
      </c>
      <c r="P2889" s="6">
        <f>COUNTIF(Analysis!$M$1:$M$3001,Analysis!$M2024)</f>
        <v>1</v>
      </c>
      <c r="Q2889" s="6" t="str">
        <f>IF(COUNTIF(Analysis!$M$2:$M$3001,Analysis!$M2024)&gt;1,"Duplicate","OK")</f>
        <v>OK</v>
      </c>
      <c r="R2889" s="6" t="str">
        <f t="shared" si="1"/>
        <v>600-1600</v>
      </c>
      <c r="S2889" s="6">
        <f t="shared" si="2"/>
        <v>27</v>
      </c>
      <c r="T2889" s="6" t="str">
        <f t="shared" si="3"/>
        <v>Mid</v>
      </c>
    </row>
    <row r="2890" ht="14.25" customHeight="1">
      <c r="A2890" s="5">
        <v>580318.0</v>
      </c>
      <c r="B2890" s="6" t="s">
        <v>11595</v>
      </c>
      <c r="C2890" s="6" t="s">
        <v>53</v>
      </c>
      <c r="D2890" s="6">
        <v>44474.0</v>
      </c>
      <c r="E2890" s="6" t="s">
        <v>77</v>
      </c>
      <c r="F2890" s="6" t="s">
        <v>20</v>
      </c>
      <c r="G2890" s="6" t="s">
        <v>100</v>
      </c>
      <c r="H2890" s="7">
        <v>3522.0</v>
      </c>
      <c r="I2890" s="7">
        <v>6318.0</v>
      </c>
      <c r="J2890" s="6">
        <v>1969.0</v>
      </c>
      <c r="K2890" s="6">
        <v>84.0</v>
      </c>
      <c r="L2890" s="6" t="s">
        <v>32</v>
      </c>
      <c r="M2890" s="6" t="s">
        <v>11596</v>
      </c>
      <c r="N2890" s="6" t="s">
        <v>64</v>
      </c>
      <c r="O2890" s="6" t="s">
        <v>25</v>
      </c>
      <c r="P2890" s="6">
        <f>COUNTIF(Analysis!$M$1:$M$3001,Analysis!$M2890)</f>
        <v>1</v>
      </c>
      <c r="Q2890" s="6" t="str">
        <f>IF(COUNTIF(Analysis!$M$2:$M$3001,Analysis!$M2890)&gt;1,"Duplicate","OK")</f>
        <v>OK</v>
      </c>
      <c r="R2890" s="6" t="str">
        <f t="shared" si="1"/>
        <v>2600-3600</v>
      </c>
      <c r="S2890" s="6">
        <f t="shared" si="2"/>
        <v>57</v>
      </c>
      <c r="T2890" s="6" t="str">
        <f t="shared" si="3"/>
        <v>Old</v>
      </c>
    </row>
    <row r="2891" ht="14.25" customHeight="1">
      <c r="A2891" s="5">
        <v>1447420.0</v>
      </c>
      <c r="B2891" s="6" t="s">
        <v>11343</v>
      </c>
      <c r="C2891" s="6" t="s">
        <v>29</v>
      </c>
      <c r="D2891" s="6">
        <v>67379.0</v>
      </c>
      <c r="E2891" s="6" t="s">
        <v>19</v>
      </c>
      <c r="F2891" s="6" t="s">
        <v>61</v>
      </c>
      <c r="G2891" s="6" t="s">
        <v>55</v>
      </c>
      <c r="H2891" s="7">
        <v>2346.0</v>
      </c>
      <c r="I2891" s="7">
        <v>9430.0</v>
      </c>
      <c r="J2891" s="6">
        <v>1996.0</v>
      </c>
      <c r="K2891" s="6">
        <v>107.0</v>
      </c>
      <c r="L2891" s="6" t="s">
        <v>62</v>
      </c>
      <c r="M2891" s="6" t="s">
        <v>11344</v>
      </c>
      <c r="N2891" s="6" t="s">
        <v>43</v>
      </c>
      <c r="O2891" s="6" t="s">
        <v>25</v>
      </c>
      <c r="P2891" s="6">
        <f>COUNTIF(Analysis!$M$1:$M$3001,Analysis!$M2827)</f>
        <v>1</v>
      </c>
      <c r="Q2891" s="6" t="str">
        <f>IF(COUNTIF(Analysis!$M$2:$M$3001,Analysis!$M2827)&gt;1,"Duplicate","OK")</f>
        <v>OK</v>
      </c>
      <c r="R2891" s="6" t="str">
        <f t="shared" si="1"/>
        <v>1600-2600</v>
      </c>
      <c r="S2891" s="6">
        <f t="shared" si="2"/>
        <v>30</v>
      </c>
      <c r="T2891" s="6" t="str">
        <f t="shared" si="3"/>
        <v>Mid</v>
      </c>
    </row>
    <row r="2892" ht="14.25" customHeight="1">
      <c r="A2892" s="5">
        <v>1447743.0</v>
      </c>
      <c r="B2892" s="6" t="s">
        <v>1849</v>
      </c>
      <c r="C2892" s="6" t="s">
        <v>29</v>
      </c>
      <c r="D2892" s="6">
        <v>48074.0</v>
      </c>
      <c r="E2892" s="6" t="s">
        <v>60</v>
      </c>
      <c r="F2892" s="6" t="s">
        <v>20</v>
      </c>
      <c r="G2892" s="6" t="s">
        <v>100</v>
      </c>
      <c r="H2892" s="7">
        <v>2085.0</v>
      </c>
      <c r="I2892" s="7">
        <v>7296.0</v>
      </c>
      <c r="J2892" s="6">
        <v>1998.0</v>
      </c>
      <c r="K2892" s="6">
        <v>26.0</v>
      </c>
      <c r="L2892" s="6" t="s">
        <v>62</v>
      </c>
      <c r="M2892" s="6" t="s">
        <v>1850</v>
      </c>
      <c r="N2892" s="6" t="s">
        <v>24</v>
      </c>
      <c r="O2892" s="6" t="s">
        <v>35</v>
      </c>
      <c r="P2892" s="6">
        <f>COUNTIF(Analysis!$M$1:$M$3001,Analysis!$M452)</f>
        <v>1</v>
      </c>
      <c r="Q2892" s="6" t="str">
        <f>IF(COUNTIF(Analysis!$M$2:$M$3001,Analysis!$M452)&gt;1,"Duplicate","OK")</f>
        <v>OK</v>
      </c>
      <c r="R2892" s="6" t="str">
        <f t="shared" si="1"/>
        <v>1600-2600</v>
      </c>
      <c r="S2892" s="6">
        <f t="shared" si="2"/>
        <v>28</v>
      </c>
      <c r="T2892" s="6" t="str">
        <f t="shared" si="3"/>
        <v>Mid</v>
      </c>
    </row>
    <row r="2893" ht="14.25" customHeight="1">
      <c r="A2893" s="5">
        <v>942211.0</v>
      </c>
      <c r="B2893" s="6" t="s">
        <v>11607</v>
      </c>
      <c r="C2893" s="6" t="s">
        <v>76</v>
      </c>
      <c r="D2893" s="6">
        <v>10863.0</v>
      </c>
      <c r="E2893" s="6" t="s">
        <v>19</v>
      </c>
      <c r="F2893" s="6" t="s">
        <v>46</v>
      </c>
      <c r="G2893" s="6" t="s">
        <v>55</v>
      </c>
      <c r="H2893" s="7">
        <v>1135.0</v>
      </c>
      <c r="I2893" s="7">
        <v>8012.0</v>
      </c>
      <c r="J2893" s="6">
        <v>2014.0</v>
      </c>
      <c r="K2893" s="6">
        <v>6.0</v>
      </c>
      <c r="L2893" s="6" t="s">
        <v>141</v>
      </c>
      <c r="M2893" s="6" t="s">
        <v>11608</v>
      </c>
      <c r="N2893" s="6" t="s">
        <v>34</v>
      </c>
      <c r="O2893" s="6" t="s">
        <v>35</v>
      </c>
      <c r="P2893" s="6">
        <f>COUNTIF(Analysis!$M$1:$M$3001,Analysis!$M2893)</f>
        <v>1</v>
      </c>
      <c r="Q2893" s="6" t="str">
        <f>IF(COUNTIF(Analysis!$M$2:$M$3001,Analysis!$M2893)&gt;1,"Duplicate","OK")</f>
        <v>OK</v>
      </c>
      <c r="R2893" s="6" t="str">
        <f t="shared" si="1"/>
        <v>600-1600</v>
      </c>
      <c r="S2893" s="6">
        <f t="shared" si="2"/>
        <v>12</v>
      </c>
      <c r="T2893" s="6" t="str">
        <f t="shared" si="3"/>
        <v>Mid</v>
      </c>
    </row>
    <row r="2894" ht="14.25" customHeight="1">
      <c r="A2894" s="5">
        <v>1172234.0</v>
      </c>
      <c r="B2894" s="6" t="s">
        <v>11611</v>
      </c>
      <c r="C2894" s="6" t="s">
        <v>53</v>
      </c>
      <c r="D2894" s="6">
        <v>89715.0</v>
      </c>
      <c r="E2894" s="6" t="s">
        <v>77</v>
      </c>
      <c r="F2894" s="6" t="s">
        <v>94</v>
      </c>
      <c r="G2894" s="6" t="s">
        <v>55</v>
      </c>
      <c r="H2894" s="7">
        <v>1476.0</v>
      </c>
      <c r="I2894" s="7">
        <v>3722.0</v>
      </c>
      <c r="J2894" s="6">
        <v>1960.0</v>
      </c>
      <c r="K2894" s="6">
        <v>3.0</v>
      </c>
      <c r="L2894" s="6" t="s">
        <v>141</v>
      </c>
      <c r="M2894" s="6" t="s">
        <v>11612</v>
      </c>
      <c r="N2894" s="6" t="s">
        <v>48</v>
      </c>
      <c r="O2894" s="6" t="s">
        <v>49</v>
      </c>
      <c r="P2894" s="6">
        <f>COUNTIF(Analysis!$M$1:$M$3001,Analysis!$M2894)</f>
        <v>1</v>
      </c>
      <c r="Q2894" s="6" t="str">
        <f>IF(COUNTIF(Analysis!$M$2:$M$3001,Analysis!$M2894)&gt;1,"Duplicate","OK")</f>
        <v>OK</v>
      </c>
      <c r="R2894" s="6" t="str">
        <f t="shared" si="1"/>
        <v>600-1600</v>
      </c>
      <c r="S2894" s="6">
        <f t="shared" si="2"/>
        <v>66</v>
      </c>
      <c r="T2894" s="6" t="str">
        <f t="shared" si="3"/>
        <v>Very Old</v>
      </c>
    </row>
    <row r="2895" ht="14.25" customHeight="1">
      <c r="A2895" s="5">
        <v>1102666.0</v>
      </c>
      <c r="B2895" s="6" t="s">
        <v>11615</v>
      </c>
      <c r="C2895" s="6" t="s">
        <v>76</v>
      </c>
      <c r="D2895" s="6">
        <v>12985.0</v>
      </c>
      <c r="E2895" s="6" t="s">
        <v>60</v>
      </c>
      <c r="F2895" s="6" t="s">
        <v>54</v>
      </c>
      <c r="G2895" s="6" t="s">
        <v>55</v>
      </c>
      <c r="H2895" s="7">
        <v>1572.0</v>
      </c>
      <c r="I2895" s="7">
        <v>5857.0</v>
      </c>
      <c r="J2895" s="6">
        <v>1979.0</v>
      </c>
      <c r="K2895" s="6">
        <v>71.0</v>
      </c>
      <c r="L2895" s="6" t="s">
        <v>32</v>
      </c>
      <c r="M2895" s="6" t="s">
        <v>11616</v>
      </c>
      <c r="N2895" s="6" t="s">
        <v>48</v>
      </c>
      <c r="O2895" s="6" t="s">
        <v>25</v>
      </c>
      <c r="P2895" s="6">
        <f>COUNTIF(Analysis!$M$1:$M$3001,Analysis!$M2895)</f>
        <v>1</v>
      </c>
      <c r="Q2895" s="6" t="str">
        <f>IF(COUNTIF(Analysis!$M$2:$M$3001,Analysis!$M2895)&gt;1,"Duplicate","OK")</f>
        <v>OK</v>
      </c>
      <c r="R2895" s="6" t="str">
        <f t="shared" si="1"/>
        <v>600-1600</v>
      </c>
      <c r="S2895" s="6">
        <f t="shared" si="2"/>
        <v>47</v>
      </c>
      <c r="T2895" s="6" t="str">
        <f t="shared" si="3"/>
        <v>Old</v>
      </c>
    </row>
    <row r="2896" ht="14.25" customHeight="1">
      <c r="A2896" s="5">
        <v>815809.0</v>
      </c>
      <c r="B2896" s="6" t="s">
        <v>11619</v>
      </c>
      <c r="C2896" s="6" t="s">
        <v>18</v>
      </c>
      <c r="D2896" s="6">
        <v>10072.0</v>
      </c>
      <c r="E2896" s="6" t="s">
        <v>30</v>
      </c>
      <c r="F2896" s="6" t="s">
        <v>54</v>
      </c>
      <c r="G2896" s="6" t="s">
        <v>100</v>
      </c>
      <c r="H2896" s="7">
        <v>1124.0</v>
      </c>
      <c r="I2896" s="7">
        <v>9929.0</v>
      </c>
      <c r="J2896" s="6">
        <v>1962.0</v>
      </c>
      <c r="K2896" s="6">
        <v>88.0</v>
      </c>
      <c r="L2896" s="6" t="s">
        <v>32</v>
      </c>
      <c r="M2896" s="6" t="s">
        <v>11620</v>
      </c>
      <c r="N2896" s="6" t="s">
        <v>24</v>
      </c>
      <c r="O2896" s="6" t="s">
        <v>25</v>
      </c>
      <c r="P2896" s="6">
        <f>COUNTIF(Analysis!$M$1:$M$3001,Analysis!$M2896)</f>
        <v>1</v>
      </c>
      <c r="Q2896" s="6" t="str">
        <f>IF(COUNTIF(Analysis!$M$2:$M$3001,Analysis!$M2896)&gt;1,"Duplicate","OK")</f>
        <v>OK</v>
      </c>
      <c r="R2896" s="6" t="str">
        <f t="shared" si="1"/>
        <v>600-1600</v>
      </c>
      <c r="S2896" s="6">
        <f t="shared" si="2"/>
        <v>64</v>
      </c>
      <c r="T2896" s="6" t="str">
        <f t="shared" si="3"/>
        <v>Very Old</v>
      </c>
    </row>
    <row r="2897" ht="14.25" customHeight="1">
      <c r="A2897" s="5">
        <v>657892.0</v>
      </c>
      <c r="B2897" s="6" t="s">
        <v>11623</v>
      </c>
      <c r="C2897" s="6" t="s">
        <v>18</v>
      </c>
      <c r="D2897" s="6">
        <v>65642.0</v>
      </c>
      <c r="E2897" s="6" t="s">
        <v>77</v>
      </c>
      <c r="F2897" s="6" t="s">
        <v>41</v>
      </c>
      <c r="G2897" s="6" t="s">
        <v>100</v>
      </c>
      <c r="H2897" s="7">
        <v>1415.0</v>
      </c>
      <c r="I2897" s="7">
        <v>6959.0</v>
      </c>
      <c r="J2897" s="6">
        <v>1985.0</v>
      </c>
      <c r="K2897" s="6">
        <v>56.0</v>
      </c>
      <c r="L2897" s="6" t="s">
        <v>32</v>
      </c>
      <c r="M2897" s="6" t="s">
        <v>11624</v>
      </c>
      <c r="N2897" s="6" t="s">
        <v>48</v>
      </c>
      <c r="O2897" s="6" t="s">
        <v>25</v>
      </c>
      <c r="P2897" s="6">
        <f>COUNTIF(Analysis!$M$1:$M$3001,Analysis!$M2897)</f>
        <v>1</v>
      </c>
      <c r="Q2897" s="6" t="str">
        <f>IF(COUNTIF(Analysis!$M$2:$M$3001,Analysis!$M2897)&gt;1,"Duplicate","OK")</f>
        <v>OK</v>
      </c>
      <c r="R2897" s="6" t="str">
        <f t="shared" si="1"/>
        <v>600-1600</v>
      </c>
      <c r="S2897" s="6">
        <f t="shared" si="2"/>
        <v>41</v>
      </c>
      <c r="T2897" s="6" t="str">
        <f t="shared" si="3"/>
        <v>Old</v>
      </c>
    </row>
    <row r="2898" ht="14.25" customHeight="1">
      <c r="A2898" s="5">
        <v>175195.0</v>
      </c>
      <c r="B2898" s="6" t="s">
        <v>11627</v>
      </c>
      <c r="C2898" s="6" t="s">
        <v>53</v>
      </c>
      <c r="D2898" s="6">
        <v>76215.0</v>
      </c>
      <c r="E2898" s="6" t="s">
        <v>19</v>
      </c>
      <c r="F2898" s="6" t="s">
        <v>41</v>
      </c>
      <c r="G2898" s="6" t="s">
        <v>31</v>
      </c>
      <c r="H2898" s="7">
        <v>3266.0</v>
      </c>
      <c r="I2898" s="7">
        <v>7354.0</v>
      </c>
      <c r="J2898" s="6">
        <v>1970.0</v>
      </c>
      <c r="K2898" s="6">
        <v>109.0</v>
      </c>
      <c r="L2898" s="6" t="s">
        <v>95</v>
      </c>
      <c r="M2898" s="6" t="s">
        <v>11628</v>
      </c>
      <c r="N2898" s="6" t="s">
        <v>43</v>
      </c>
      <c r="O2898" s="6" t="s">
        <v>49</v>
      </c>
      <c r="P2898" s="6">
        <f>COUNTIF(Analysis!$M$1:$M$3001,Analysis!$M2898)</f>
        <v>1</v>
      </c>
      <c r="Q2898" s="6" t="str">
        <f>IF(COUNTIF(Analysis!$M$2:$M$3001,Analysis!$M2898)&gt;1,"Duplicate","OK")</f>
        <v>OK</v>
      </c>
      <c r="R2898" s="6" t="str">
        <f t="shared" si="1"/>
        <v>2600-3600</v>
      </c>
      <c r="S2898" s="6">
        <f t="shared" si="2"/>
        <v>56</v>
      </c>
      <c r="T2898" s="6" t="str">
        <f t="shared" si="3"/>
        <v>Old</v>
      </c>
    </row>
    <row r="2899" ht="14.25" customHeight="1">
      <c r="A2899" s="5">
        <v>1190257.0</v>
      </c>
      <c r="B2899" s="6" t="s">
        <v>11631</v>
      </c>
      <c r="C2899" s="6" t="s">
        <v>53</v>
      </c>
      <c r="D2899" s="6">
        <v>89565.0</v>
      </c>
      <c r="E2899" s="6" t="s">
        <v>19</v>
      </c>
      <c r="F2899" s="6" t="s">
        <v>61</v>
      </c>
      <c r="G2899" s="6" t="s">
        <v>21</v>
      </c>
      <c r="H2899" s="7">
        <v>1972.0</v>
      </c>
      <c r="I2899" s="7">
        <v>8443.0</v>
      </c>
      <c r="J2899" s="6">
        <v>1993.0</v>
      </c>
      <c r="K2899" s="6">
        <v>62.0</v>
      </c>
      <c r="L2899" s="6" t="s">
        <v>22</v>
      </c>
      <c r="M2899" s="6" t="s">
        <v>11632</v>
      </c>
      <c r="N2899" s="6" t="s">
        <v>43</v>
      </c>
      <c r="O2899" s="6" t="s">
        <v>25</v>
      </c>
      <c r="P2899" s="6">
        <f>COUNTIF(Analysis!$M$1:$M$3001,Analysis!$M2899)</f>
        <v>1</v>
      </c>
      <c r="Q2899" s="6" t="str">
        <f>IF(COUNTIF(Analysis!$M$2:$M$3001,Analysis!$M2899)&gt;1,"Duplicate","OK")</f>
        <v>OK</v>
      </c>
      <c r="R2899" s="6" t="str">
        <f t="shared" si="1"/>
        <v>1600-2600</v>
      </c>
      <c r="S2899" s="6">
        <f t="shared" si="2"/>
        <v>33</v>
      </c>
      <c r="T2899" s="6" t="str">
        <f t="shared" si="3"/>
        <v>Old</v>
      </c>
    </row>
    <row r="2900" ht="14.25" customHeight="1">
      <c r="A2900" s="5">
        <v>1449697.0</v>
      </c>
      <c r="B2900" s="6" t="s">
        <v>3995</v>
      </c>
      <c r="C2900" s="6" t="s">
        <v>29</v>
      </c>
      <c r="D2900" s="6">
        <v>14363.0</v>
      </c>
      <c r="E2900" s="6" t="s">
        <v>19</v>
      </c>
      <c r="F2900" s="6" t="s">
        <v>41</v>
      </c>
      <c r="G2900" s="6" t="s">
        <v>100</v>
      </c>
      <c r="H2900" s="7">
        <v>2801.0</v>
      </c>
      <c r="I2900" s="7">
        <v>7000.0</v>
      </c>
      <c r="J2900" s="6">
        <v>1972.0</v>
      </c>
      <c r="K2900" s="6">
        <v>28.0</v>
      </c>
      <c r="L2900" s="6" t="s">
        <v>32</v>
      </c>
      <c r="M2900" s="6" t="s">
        <v>3996</v>
      </c>
      <c r="N2900" s="6" t="s">
        <v>64</v>
      </c>
      <c r="O2900" s="6" t="s">
        <v>49</v>
      </c>
      <c r="P2900" s="6">
        <f>COUNTIF(Analysis!$M$1:$M$3001,Analysis!$M989)</f>
        <v>1</v>
      </c>
      <c r="Q2900" s="6" t="str">
        <f>IF(COUNTIF(Analysis!$M$2:$M$3001,Analysis!$M989)&gt;1,"Duplicate","OK")</f>
        <v>OK</v>
      </c>
      <c r="R2900" s="6" t="str">
        <f t="shared" si="1"/>
        <v>2600-3600</v>
      </c>
      <c r="S2900" s="6">
        <f t="shared" si="2"/>
        <v>54</v>
      </c>
      <c r="T2900" s="6" t="str">
        <f t="shared" si="3"/>
        <v>Old</v>
      </c>
    </row>
    <row r="2901" ht="14.25" customHeight="1">
      <c r="A2901" s="5">
        <v>927642.0</v>
      </c>
      <c r="B2901" s="6" t="s">
        <v>11639</v>
      </c>
      <c r="C2901" s="6" t="s">
        <v>39</v>
      </c>
      <c r="D2901" s="6">
        <v>82942.0</v>
      </c>
      <c r="E2901" s="6" t="s">
        <v>60</v>
      </c>
      <c r="F2901" s="6" t="s">
        <v>54</v>
      </c>
      <c r="G2901" s="6" t="s">
        <v>21</v>
      </c>
      <c r="H2901" s="7">
        <v>1441.0</v>
      </c>
      <c r="I2901" s="7">
        <v>4729.0</v>
      </c>
      <c r="J2901" s="6">
        <v>2011.0</v>
      </c>
      <c r="K2901" s="6">
        <v>96.0</v>
      </c>
      <c r="L2901" s="6" t="s">
        <v>95</v>
      </c>
      <c r="M2901" s="6" t="s">
        <v>11640</v>
      </c>
      <c r="N2901" s="6" t="s">
        <v>43</v>
      </c>
      <c r="O2901" s="6" t="s">
        <v>25</v>
      </c>
      <c r="P2901" s="6">
        <f>COUNTIF(Analysis!$M$1:$M$3001,Analysis!$M2901)</f>
        <v>1</v>
      </c>
      <c r="Q2901" s="6" t="str">
        <f>IF(COUNTIF(Analysis!$M$2:$M$3001,Analysis!$M2901)&gt;1,"Duplicate","OK")</f>
        <v>OK</v>
      </c>
      <c r="R2901" s="6" t="str">
        <f t="shared" si="1"/>
        <v>600-1600</v>
      </c>
      <c r="S2901" s="6">
        <f t="shared" si="2"/>
        <v>15</v>
      </c>
      <c r="T2901" s="6" t="str">
        <f t="shared" si="3"/>
        <v>Mid</v>
      </c>
    </row>
    <row r="2902" ht="14.25" customHeight="1">
      <c r="A2902" s="5">
        <v>1453664.0</v>
      </c>
      <c r="B2902" s="6" t="s">
        <v>3803</v>
      </c>
      <c r="C2902" s="6" t="s">
        <v>29</v>
      </c>
      <c r="D2902" s="6">
        <v>86778.0</v>
      </c>
      <c r="E2902" s="6" t="s">
        <v>40</v>
      </c>
      <c r="F2902" s="6" t="s">
        <v>20</v>
      </c>
      <c r="G2902" s="6" t="s">
        <v>31</v>
      </c>
      <c r="H2902" s="7">
        <v>1020.0</v>
      </c>
      <c r="I2902" s="7">
        <v>7572.0</v>
      </c>
      <c r="J2902" s="6">
        <v>2023.0</v>
      </c>
      <c r="K2902" s="6">
        <v>25.0</v>
      </c>
      <c r="L2902" s="6" t="s">
        <v>141</v>
      </c>
      <c r="M2902" s="6" t="s">
        <v>3804</v>
      </c>
      <c r="N2902" s="6" t="s">
        <v>48</v>
      </c>
      <c r="O2902" s="6" t="s">
        <v>49</v>
      </c>
      <c r="P2902" s="6">
        <f>COUNTIF(Analysis!$M$1:$M$3001,Analysis!$M941)</f>
        <v>1</v>
      </c>
      <c r="Q2902" s="6" t="str">
        <f>IF(COUNTIF(Analysis!$M$2:$M$3001,Analysis!$M941)&gt;1,"Duplicate","OK")</f>
        <v>OK</v>
      </c>
      <c r="R2902" s="6" t="str">
        <f t="shared" si="1"/>
        <v>600-1600</v>
      </c>
      <c r="S2902" s="6">
        <f t="shared" si="2"/>
        <v>3</v>
      </c>
      <c r="T2902" s="6" t="str">
        <f t="shared" si="3"/>
        <v>New</v>
      </c>
    </row>
    <row r="2903" ht="14.25" customHeight="1">
      <c r="A2903" s="5">
        <v>978038.0</v>
      </c>
      <c r="B2903" s="6" t="s">
        <v>11647</v>
      </c>
      <c r="C2903" s="6" t="s">
        <v>39</v>
      </c>
      <c r="D2903" s="6">
        <v>99272.0</v>
      </c>
      <c r="E2903" s="6" t="s">
        <v>30</v>
      </c>
      <c r="F2903" s="6" t="s">
        <v>61</v>
      </c>
      <c r="G2903" s="6" t="s">
        <v>21</v>
      </c>
      <c r="H2903" s="7">
        <v>1415.0</v>
      </c>
      <c r="I2903" s="7">
        <v>7349.0</v>
      </c>
      <c r="J2903" s="6">
        <v>2012.0</v>
      </c>
      <c r="K2903" s="6">
        <v>16.0</v>
      </c>
      <c r="L2903" s="6" t="s">
        <v>32</v>
      </c>
      <c r="M2903" s="6" t="s">
        <v>11648</v>
      </c>
      <c r="N2903" s="6" t="s">
        <v>48</v>
      </c>
      <c r="O2903" s="6" t="s">
        <v>25</v>
      </c>
      <c r="P2903" s="6">
        <f>COUNTIF(Analysis!$M$1:$M$3001,Analysis!$M2903)</f>
        <v>1</v>
      </c>
      <c r="Q2903" s="6" t="str">
        <f>IF(COUNTIF(Analysis!$M$2:$M$3001,Analysis!$M2903)&gt;1,"Duplicate","OK")</f>
        <v>OK</v>
      </c>
      <c r="R2903" s="6" t="str">
        <f t="shared" si="1"/>
        <v>600-1600</v>
      </c>
      <c r="S2903" s="6">
        <f t="shared" si="2"/>
        <v>14</v>
      </c>
      <c r="T2903" s="6" t="str">
        <f t="shared" si="3"/>
        <v>Mid</v>
      </c>
    </row>
    <row r="2904" ht="14.25" customHeight="1">
      <c r="A2904" s="5">
        <v>699502.0</v>
      </c>
      <c r="B2904" s="6" t="s">
        <v>11651</v>
      </c>
      <c r="C2904" s="6" t="s">
        <v>18</v>
      </c>
      <c r="D2904" s="6">
        <v>80202.0</v>
      </c>
      <c r="E2904" s="6" t="s">
        <v>19</v>
      </c>
      <c r="F2904" s="6" t="s">
        <v>61</v>
      </c>
      <c r="G2904" s="6" t="s">
        <v>100</v>
      </c>
      <c r="H2904" s="7">
        <v>1947.0</v>
      </c>
      <c r="I2904" s="7">
        <v>7088.0</v>
      </c>
      <c r="J2904" s="6">
        <v>2000.0</v>
      </c>
      <c r="K2904" s="6">
        <v>1.0</v>
      </c>
      <c r="L2904" s="6" t="s">
        <v>32</v>
      </c>
      <c r="M2904" s="6" t="s">
        <v>11652</v>
      </c>
      <c r="N2904" s="6" t="s">
        <v>64</v>
      </c>
      <c r="O2904" s="6" t="s">
        <v>35</v>
      </c>
      <c r="P2904" s="6">
        <f>COUNTIF(Analysis!$M$1:$M$3001,Analysis!$M2904)</f>
        <v>1</v>
      </c>
      <c r="Q2904" s="6" t="str">
        <f>IF(COUNTIF(Analysis!$M$2:$M$3001,Analysis!$M2904)&gt;1,"Duplicate","OK")</f>
        <v>OK</v>
      </c>
      <c r="R2904" s="6" t="str">
        <f t="shared" si="1"/>
        <v>1600-2600</v>
      </c>
      <c r="S2904" s="6">
        <f t="shared" si="2"/>
        <v>26</v>
      </c>
      <c r="T2904" s="6" t="str">
        <f t="shared" si="3"/>
        <v>Mid</v>
      </c>
    </row>
    <row r="2905" ht="14.25" customHeight="1">
      <c r="A2905" s="5">
        <v>703104.0</v>
      </c>
      <c r="B2905" s="6" t="s">
        <v>11655</v>
      </c>
      <c r="C2905" s="6" t="s">
        <v>39</v>
      </c>
      <c r="D2905" s="6">
        <v>22289.0</v>
      </c>
      <c r="E2905" s="6" t="s">
        <v>30</v>
      </c>
      <c r="F2905" s="6" t="s">
        <v>46</v>
      </c>
      <c r="G2905" s="6" t="s">
        <v>100</v>
      </c>
      <c r="H2905" s="7">
        <v>3525.0</v>
      </c>
      <c r="I2905" s="7">
        <v>5416.0</v>
      </c>
      <c r="J2905" s="6">
        <v>1983.0</v>
      </c>
      <c r="K2905" s="6">
        <v>99.0</v>
      </c>
      <c r="L2905" s="6" t="s">
        <v>22</v>
      </c>
      <c r="M2905" s="6" t="s">
        <v>11656</v>
      </c>
      <c r="N2905" s="6" t="s">
        <v>43</v>
      </c>
      <c r="O2905" s="6" t="s">
        <v>35</v>
      </c>
      <c r="P2905" s="6">
        <f>COUNTIF(Analysis!$M$1:$M$3001,Analysis!$M2905)</f>
        <v>1</v>
      </c>
      <c r="Q2905" s="6" t="str">
        <f>IF(COUNTIF(Analysis!$M$2:$M$3001,Analysis!$M2905)&gt;1,"Duplicate","OK")</f>
        <v>OK</v>
      </c>
      <c r="R2905" s="6" t="str">
        <f t="shared" si="1"/>
        <v>2600-3600</v>
      </c>
      <c r="S2905" s="6">
        <f t="shared" si="2"/>
        <v>43</v>
      </c>
      <c r="T2905" s="6" t="str">
        <f t="shared" si="3"/>
        <v>Old</v>
      </c>
    </row>
    <row r="2906" ht="14.25" customHeight="1">
      <c r="A2906" s="5">
        <v>496299.0</v>
      </c>
      <c r="B2906" s="6" t="s">
        <v>11659</v>
      </c>
      <c r="C2906" s="6" t="s">
        <v>53</v>
      </c>
      <c r="D2906" s="6">
        <v>98154.0</v>
      </c>
      <c r="E2906" s="6" t="s">
        <v>40</v>
      </c>
      <c r="F2906" s="6" t="s">
        <v>54</v>
      </c>
      <c r="G2906" s="6" t="s">
        <v>31</v>
      </c>
      <c r="H2906" s="7">
        <v>2955.0</v>
      </c>
      <c r="I2906" s="7">
        <v>7611.0</v>
      </c>
      <c r="J2906" s="6">
        <v>1954.0</v>
      </c>
      <c r="K2906" s="6">
        <v>115.0</v>
      </c>
      <c r="L2906" s="6" t="s">
        <v>32</v>
      </c>
      <c r="M2906" s="6" t="s">
        <v>11660</v>
      </c>
      <c r="N2906" s="6" t="s">
        <v>43</v>
      </c>
      <c r="O2906" s="6" t="s">
        <v>35</v>
      </c>
      <c r="P2906" s="6">
        <f>COUNTIF(Analysis!$M$1:$M$3001,Analysis!$M2906)</f>
        <v>1</v>
      </c>
      <c r="Q2906" s="6" t="str">
        <f>IF(COUNTIF(Analysis!$M$2:$M$3001,Analysis!$M2906)&gt;1,"Duplicate","OK")</f>
        <v>OK</v>
      </c>
      <c r="R2906" s="6" t="str">
        <f t="shared" si="1"/>
        <v>2600-3600</v>
      </c>
      <c r="S2906" s="6">
        <f t="shared" si="2"/>
        <v>72</v>
      </c>
      <c r="T2906" s="6" t="str">
        <f t="shared" si="3"/>
        <v>Very Old</v>
      </c>
    </row>
    <row r="2907" ht="14.25" customHeight="1">
      <c r="A2907" s="5">
        <v>1454344.0</v>
      </c>
      <c r="B2907" s="6" t="s">
        <v>5175</v>
      </c>
      <c r="C2907" s="6" t="s">
        <v>29</v>
      </c>
      <c r="D2907" s="6">
        <v>46047.0</v>
      </c>
      <c r="E2907" s="6" t="s">
        <v>40</v>
      </c>
      <c r="F2907" s="6" t="s">
        <v>54</v>
      </c>
      <c r="G2907" s="6" t="s">
        <v>100</v>
      </c>
      <c r="H2907" s="7">
        <v>888.0</v>
      </c>
      <c r="I2907" s="7">
        <v>6132.0</v>
      </c>
      <c r="J2907" s="6">
        <v>1979.0</v>
      </c>
      <c r="K2907" s="6">
        <v>120.0</v>
      </c>
      <c r="L2907" s="6" t="s">
        <v>32</v>
      </c>
      <c r="M2907" s="6" t="s">
        <v>5176</v>
      </c>
      <c r="N2907" s="6" t="s">
        <v>43</v>
      </c>
      <c r="O2907" s="6" t="s">
        <v>49</v>
      </c>
      <c r="P2907" s="6">
        <f>COUNTIF(Analysis!$M$1:$M$3001,Analysis!$M1284)</f>
        <v>1</v>
      </c>
      <c r="Q2907" s="6" t="str">
        <f>IF(COUNTIF(Analysis!$M$2:$M$3001,Analysis!$M1284)&gt;1,"Duplicate","OK")</f>
        <v>OK</v>
      </c>
      <c r="R2907" s="6" t="str">
        <f t="shared" si="1"/>
        <v>600-1600</v>
      </c>
      <c r="S2907" s="6">
        <f t="shared" si="2"/>
        <v>47</v>
      </c>
      <c r="T2907" s="6" t="str">
        <f t="shared" si="3"/>
        <v>Old</v>
      </c>
    </row>
    <row r="2908" ht="14.25" customHeight="1">
      <c r="A2908" s="5">
        <v>1049061.0</v>
      </c>
      <c r="B2908" s="6" t="s">
        <v>11667</v>
      </c>
      <c r="C2908" s="6" t="s">
        <v>53</v>
      </c>
      <c r="D2908" s="6">
        <v>25852.0</v>
      </c>
      <c r="E2908" s="6" t="s">
        <v>19</v>
      </c>
      <c r="F2908" s="6" t="s">
        <v>54</v>
      </c>
      <c r="G2908" s="6" t="s">
        <v>100</v>
      </c>
      <c r="H2908" s="7">
        <v>1252.0</v>
      </c>
      <c r="I2908" s="7">
        <v>8032.0</v>
      </c>
      <c r="J2908" s="6">
        <v>1985.0</v>
      </c>
      <c r="K2908" s="6">
        <v>15.0</v>
      </c>
      <c r="L2908" s="6" t="s">
        <v>32</v>
      </c>
      <c r="M2908" s="6" t="s">
        <v>11668</v>
      </c>
      <c r="N2908" s="6" t="s">
        <v>34</v>
      </c>
      <c r="O2908" s="6" t="s">
        <v>25</v>
      </c>
      <c r="P2908" s="6">
        <f>COUNTIF(Analysis!$M$1:$M$3001,Analysis!$M2908)</f>
        <v>1</v>
      </c>
      <c r="Q2908" s="6" t="str">
        <f>IF(COUNTIF(Analysis!$M$2:$M$3001,Analysis!$M2908)&gt;1,"Duplicate","OK")</f>
        <v>OK</v>
      </c>
      <c r="R2908" s="6" t="str">
        <f t="shared" si="1"/>
        <v>600-1600</v>
      </c>
      <c r="S2908" s="6">
        <f t="shared" si="2"/>
        <v>41</v>
      </c>
      <c r="T2908" s="6" t="str">
        <f t="shared" si="3"/>
        <v>Old</v>
      </c>
    </row>
    <row r="2909" ht="14.25" customHeight="1">
      <c r="A2909" s="5">
        <v>1170490.0</v>
      </c>
      <c r="B2909" s="6" t="s">
        <v>11671</v>
      </c>
      <c r="C2909" s="6" t="s">
        <v>76</v>
      </c>
      <c r="D2909" s="6">
        <v>51041.0</v>
      </c>
      <c r="E2909" s="6" t="s">
        <v>30</v>
      </c>
      <c r="F2909" s="6" t="s">
        <v>46</v>
      </c>
      <c r="G2909" s="6" t="s">
        <v>100</v>
      </c>
      <c r="H2909" s="7">
        <v>3725.0</v>
      </c>
      <c r="I2909" s="7">
        <v>1153.0</v>
      </c>
      <c r="J2909" s="6">
        <v>1957.0</v>
      </c>
      <c r="K2909" s="6">
        <v>39.0</v>
      </c>
      <c r="L2909" s="6" t="s">
        <v>95</v>
      </c>
      <c r="M2909" s="6" t="s">
        <v>11672</v>
      </c>
      <c r="N2909" s="6" t="s">
        <v>43</v>
      </c>
      <c r="O2909" s="6" t="s">
        <v>25</v>
      </c>
      <c r="P2909" s="6">
        <f>COUNTIF(Analysis!$M$1:$M$3001,Analysis!$M2909)</f>
        <v>1</v>
      </c>
      <c r="Q2909" s="6" t="str">
        <f>IF(COUNTIF(Analysis!$M$2:$M$3001,Analysis!$M2909)&gt;1,"Duplicate","OK")</f>
        <v>OK</v>
      </c>
      <c r="R2909" s="6" t="str">
        <f t="shared" si="1"/>
        <v>3600+</v>
      </c>
      <c r="S2909" s="6">
        <f t="shared" si="2"/>
        <v>69</v>
      </c>
      <c r="T2909" s="6" t="str">
        <f t="shared" si="3"/>
        <v>Very Old</v>
      </c>
    </row>
    <row r="2910" ht="14.25" customHeight="1">
      <c r="A2910" s="5">
        <v>972358.0</v>
      </c>
      <c r="B2910" s="6" t="s">
        <v>11675</v>
      </c>
      <c r="C2910" s="6" t="s">
        <v>39</v>
      </c>
      <c r="D2910" s="6">
        <v>73820.0</v>
      </c>
      <c r="E2910" s="6" t="s">
        <v>60</v>
      </c>
      <c r="F2910" s="6" t="s">
        <v>46</v>
      </c>
      <c r="G2910" s="6" t="s">
        <v>21</v>
      </c>
      <c r="H2910" s="7">
        <v>1228.0</v>
      </c>
      <c r="I2910" s="7">
        <v>2275.0</v>
      </c>
      <c r="J2910" s="6">
        <v>2012.0</v>
      </c>
      <c r="K2910" s="6">
        <v>54.0</v>
      </c>
      <c r="L2910" s="6" t="s">
        <v>22</v>
      </c>
      <c r="M2910" s="6" t="s">
        <v>11676</v>
      </c>
      <c r="N2910" s="6" t="s">
        <v>43</v>
      </c>
      <c r="O2910" s="6" t="s">
        <v>49</v>
      </c>
      <c r="P2910" s="6">
        <f>COUNTIF(Analysis!$M$1:$M$3001,Analysis!$M2910)</f>
        <v>1</v>
      </c>
      <c r="Q2910" s="6" t="str">
        <f>IF(COUNTIF(Analysis!$M$2:$M$3001,Analysis!$M2910)&gt;1,"Duplicate","OK")</f>
        <v>OK</v>
      </c>
      <c r="R2910" s="6" t="str">
        <f t="shared" si="1"/>
        <v>600-1600</v>
      </c>
      <c r="S2910" s="6">
        <f t="shared" si="2"/>
        <v>14</v>
      </c>
      <c r="T2910" s="6" t="str">
        <f t="shared" si="3"/>
        <v>Mid</v>
      </c>
    </row>
    <row r="2911" ht="14.25" customHeight="1">
      <c r="A2911" s="5">
        <v>1456442.0</v>
      </c>
      <c r="B2911" s="6" t="s">
        <v>11731</v>
      </c>
      <c r="C2911" s="6" t="s">
        <v>29</v>
      </c>
      <c r="D2911" s="6">
        <v>71572.0</v>
      </c>
      <c r="E2911" s="6" t="s">
        <v>77</v>
      </c>
      <c r="F2911" s="6" t="s">
        <v>20</v>
      </c>
      <c r="G2911" s="6" t="s">
        <v>31</v>
      </c>
      <c r="H2911" s="7">
        <v>1977.0</v>
      </c>
      <c r="I2911" s="7">
        <v>6017.0</v>
      </c>
      <c r="J2911" s="6">
        <v>2020.0</v>
      </c>
      <c r="K2911" s="6">
        <v>68.0</v>
      </c>
      <c r="L2911" s="6" t="s">
        <v>22</v>
      </c>
      <c r="M2911" s="6" t="s">
        <v>11732</v>
      </c>
      <c r="N2911" s="6" t="s">
        <v>64</v>
      </c>
      <c r="O2911" s="6" t="s">
        <v>49</v>
      </c>
      <c r="P2911" s="6">
        <f>COUNTIF(Analysis!$M$1:$M$3001,Analysis!$M2924)</f>
        <v>1</v>
      </c>
      <c r="Q2911" s="6" t="str">
        <f>IF(COUNTIF(Analysis!$M$2:$M$3001,Analysis!$M2924)&gt;1,"Duplicate","OK")</f>
        <v>OK</v>
      </c>
      <c r="R2911" s="6" t="str">
        <f t="shared" si="1"/>
        <v>1600-2600</v>
      </c>
      <c r="S2911" s="6">
        <f t="shared" si="2"/>
        <v>6</v>
      </c>
      <c r="T2911" s="6" t="str">
        <f t="shared" si="3"/>
        <v>New</v>
      </c>
    </row>
    <row r="2912" ht="14.25" customHeight="1">
      <c r="A2912" s="5">
        <v>794201.0</v>
      </c>
      <c r="B2912" s="6" t="s">
        <v>11683</v>
      </c>
      <c r="C2912" s="6" t="s">
        <v>53</v>
      </c>
      <c r="D2912" s="6">
        <v>23601.0</v>
      </c>
      <c r="E2912" s="6" t="s">
        <v>30</v>
      </c>
      <c r="F2912" s="6" t="s">
        <v>20</v>
      </c>
      <c r="G2912" s="6" t="s">
        <v>100</v>
      </c>
      <c r="H2912" s="7">
        <v>1551.0</v>
      </c>
      <c r="I2912" s="7">
        <v>7915.0</v>
      </c>
      <c r="J2912" s="6">
        <v>2022.0</v>
      </c>
      <c r="K2912" s="6">
        <v>113.0</v>
      </c>
      <c r="L2912" s="6" t="s">
        <v>141</v>
      </c>
      <c r="M2912" s="6" t="s">
        <v>11684</v>
      </c>
      <c r="N2912" s="6" t="s">
        <v>24</v>
      </c>
      <c r="O2912" s="6" t="s">
        <v>49</v>
      </c>
      <c r="P2912" s="6">
        <f>COUNTIF(Analysis!$M$1:$M$3001,Analysis!$M2912)</f>
        <v>1</v>
      </c>
      <c r="Q2912" s="6" t="str">
        <f>IF(COUNTIF(Analysis!$M$2:$M$3001,Analysis!$M2912)&gt;1,"Duplicate","OK")</f>
        <v>OK</v>
      </c>
      <c r="R2912" s="6" t="str">
        <f t="shared" si="1"/>
        <v>600-1600</v>
      </c>
      <c r="S2912" s="6">
        <f t="shared" si="2"/>
        <v>4</v>
      </c>
      <c r="T2912" s="6" t="str">
        <f t="shared" si="3"/>
        <v>New</v>
      </c>
    </row>
    <row r="2913" ht="14.25" customHeight="1">
      <c r="A2913" s="5">
        <v>1153651.0</v>
      </c>
      <c r="B2913" s="6" t="s">
        <v>11687</v>
      </c>
      <c r="C2913" s="6" t="s">
        <v>39</v>
      </c>
      <c r="D2913" s="6">
        <v>36164.0</v>
      </c>
      <c r="E2913" s="6" t="s">
        <v>77</v>
      </c>
      <c r="F2913" s="6" t="s">
        <v>61</v>
      </c>
      <c r="G2913" s="6" t="s">
        <v>31</v>
      </c>
      <c r="H2913" s="7">
        <v>1232.0</v>
      </c>
      <c r="I2913" s="7">
        <v>8084.0</v>
      </c>
      <c r="J2913" s="6">
        <v>2009.0</v>
      </c>
      <c r="K2913" s="6">
        <v>73.0</v>
      </c>
      <c r="L2913" s="6" t="s">
        <v>32</v>
      </c>
      <c r="M2913" s="6" t="s">
        <v>11688</v>
      </c>
      <c r="N2913" s="6" t="s">
        <v>24</v>
      </c>
      <c r="O2913" s="6" t="s">
        <v>35</v>
      </c>
      <c r="P2913" s="6">
        <f>COUNTIF(Analysis!$M$1:$M$3001,Analysis!$M2913)</f>
        <v>1</v>
      </c>
      <c r="Q2913" s="6" t="str">
        <f>IF(COUNTIF(Analysis!$M$2:$M$3001,Analysis!$M2913)&gt;1,"Duplicate","OK")</f>
        <v>OK</v>
      </c>
      <c r="R2913" s="6" t="str">
        <f t="shared" si="1"/>
        <v>600-1600</v>
      </c>
      <c r="S2913" s="6">
        <f t="shared" si="2"/>
        <v>17</v>
      </c>
      <c r="T2913" s="6" t="str">
        <f t="shared" si="3"/>
        <v>Mid</v>
      </c>
    </row>
    <row r="2914" ht="14.25" customHeight="1">
      <c r="A2914" s="5">
        <v>311336.0</v>
      </c>
      <c r="B2914" s="6" t="s">
        <v>11691</v>
      </c>
      <c r="C2914" s="6" t="s">
        <v>53</v>
      </c>
      <c r="D2914" s="6">
        <v>85231.0</v>
      </c>
      <c r="E2914" s="6" t="s">
        <v>30</v>
      </c>
      <c r="F2914" s="6" t="s">
        <v>94</v>
      </c>
      <c r="G2914" s="6" t="s">
        <v>21</v>
      </c>
      <c r="H2914" s="7">
        <v>2247.0</v>
      </c>
      <c r="I2914" s="7">
        <v>2375.0</v>
      </c>
      <c r="J2914" s="6">
        <v>2005.0</v>
      </c>
      <c r="K2914" s="6">
        <v>118.0</v>
      </c>
      <c r="L2914" s="6" t="s">
        <v>141</v>
      </c>
      <c r="M2914" s="6" t="s">
        <v>11692</v>
      </c>
      <c r="N2914" s="6" t="s">
        <v>64</v>
      </c>
      <c r="O2914" s="6" t="s">
        <v>49</v>
      </c>
      <c r="P2914" s="6">
        <f>COUNTIF(Analysis!$M$1:$M$3001,Analysis!$M2914)</f>
        <v>1</v>
      </c>
      <c r="Q2914" s="6" t="str">
        <f>IF(COUNTIF(Analysis!$M$2:$M$3001,Analysis!$M2914)&gt;1,"Duplicate","OK")</f>
        <v>OK</v>
      </c>
      <c r="R2914" s="6" t="str">
        <f t="shared" si="1"/>
        <v>1600-2600</v>
      </c>
      <c r="S2914" s="6">
        <f t="shared" si="2"/>
        <v>21</v>
      </c>
      <c r="T2914" s="6" t="str">
        <f t="shared" si="3"/>
        <v>Mid</v>
      </c>
    </row>
    <row r="2915" ht="14.25" customHeight="1">
      <c r="A2915" s="5">
        <v>1222243.0</v>
      </c>
      <c r="B2915" s="6" t="s">
        <v>11695</v>
      </c>
      <c r="C2915" s="6" t="s">
        <v>39</v>
      </c>
      <c r="D2915" s="6">
        <v>96179.0</v>
      </c>
      <c r="E2915" s="6" t="s">
        <v>40</v>
      </c>
      <c r="F2915" s="6" t="s">
        <v>61</v>
      </c>
      <c r="G2915" s="6" t="s">
        <v>55</v>
      </c>
      <c r="H2915" s="7">
        <v>1439.0</v>
      </c>
      <c r="I2915" s="7">
        <v>3680.0</v>
      </c>
      <c r="J2915" s="6">
        <v>2010.0</v>
      </c>
      <c r="K2915" s="6">
        <v>69.0</v>
      </c>
      <c r="L2915" s="6" t="s">
        <v>95</v>
      </c>
      <c r="M2915" s="6" t="s">
        <v>11696</v>
      </c>
      <c r="N2915" s="6" t="s">
        <v>43</v>
      </c>
      <c r="O2915" s="6" t="s">
        <v>25</v>
      </c>
      <c r="P2915" s="6">
        <f>COUNTIF(Analysis!$M$1:$M$3001,Analysis!$M2915)</f>
        <v>1</v>
      </c>
      <c r="Q2915" s="6" t="str">
        <f>IF(COUNTIF(Analysis!$M$2:$M$3001,Analysis!$M2915)&gt;1,"Duplicate","OK")</f>
        <v>OK</v>
      </c>
      <c r="R2915" s="6" t="str">
        <f t="shared" si="1"/>
        <v>600-1600</v>
      </c>
      <c r="S2915" s="6">
        <f t="shared" si="2"/>
        <v>16</v>
      </c>
      <c r="T2915" s="6" t="str">
        <f t="shared" si="3"/>
        <v>Mid</v>
      </c>
    </row>
    <row r="2916" ht="14.25" customHeight="1">
      <c r="A2916" s="5">
        <v>1275945.0</v>
      </c>
      <c r="B2916" s="6" t="s">
        <v>11699</v>
      </c>
      <c r="C2916" s="6" t="s">
        <v>18</v>
      </c>
      <c r="D2916" s="6">
        <v>47565.0</v>
      </c>
      <c r="E2916" s="6" t="s">
        <v>19</v>
      </c>
      <c r="F2916" s="6" t="s">
        <v>41</v>
      </c>
      <c r="G2916" s="6" t="s">
        <v>21</v>
      </c>
      <c r="H2916" s="7">
        <v>2771.0</v>
      </c>
      <c r="I2916" s="7">
        <v>6322.0</v>
      </c>
      <c r="J2916" s="6">
        <v>1973.0</v>
      </c>
      <c r="K2916" s="6">
        <v>106.0</v>
      </c>
      <c r="L2916" s="6" t="s">
        <v>22</v>
      </c>
      <c r="M2916" s="6" t="s">
        <v>11700</v>
      </c>
      <c r="N2916" s="6" t="s">
        <v>34</v>
      </c>
      <c r="O2916" s="6" t="s">
        <v>49</v>
      </c>
      <c r="P2916" s="6">
        <f>COUNTIF(Analysis!$M$1:$M$3001,Analysis!$M2916)</f>
        <v>1</v>
      </c>
      <c r="Q2916" s="6" t="str">
        <f>IF(COUNTIF(Analysis!$M$2:$M$3001,Analysis!$M2916)&gt;1,"Duplicate","OK")</f>
        <v>OK</v>
      </c>
      <c r="R2916" s="6" t="str">
        <f t="shared" si="1"/>
        <v>2600-3600</v>
      </c>
      <c r="S2916" s="6">
        <f t="shared" si="2"/>
        <v>53</v>
      </c>
      <c r="T2916" s="6" t="str">
        <f t="shared" si="3"/>
        <v>Old</v>
      </c>
    </row>
    <row r="2917" ht="14.25" customHeight="1">
      <c r="A2917" s="5">
        <v>617079.0</v>
      </c>
      <c r="B2917" s="6" t="s">
        <v>11703</v>
      </c>
      <c r="C2917" s="6" t="s">
        <v>39</v>
      </c>
      <c r="D2917" s="6">
        <v>98321.0</v>
      </c>
      <c r="E2917" s="6" t="s">
        <v>19</v>
      </c>
      <c r="F2917" s="6" t="s">
        <v>46</v>
      </c>
      <c r="G2917" s="6" t="s">
        <v>100</v>
      </c>
      <c r="H2917" s="7">
        <v>2151.0</v>
      </c>
      <c r="I2917" s="7">
        <v>2613.0</v>
      </c>
      <c r="J2917" s="6">
        <v>2020.0</v>
      </c>
      <c r="K2917" s="6">
        <v>82.0</v>
      </c>
      <c r="L2917" s="6" t="s">
        <v>141</v>
      </c>
      <c r="M2917" s="6" t="s">
        <v>11704</v>
      </c>
      <c r="N2917" s="6" t="s">
        <v>43</v>
      </c>
      <c r="O2917" s="6" t="s">
        <v>49</v>
      </c>
      <c r="P2917" s="6">
        <f>COUNTIF(Analysis!$M$1:$M$3001,Analysis!$M2917)</f>
        <v>1</v>
      </c>
      <c r="Q2917" s="6" t="str">
        <f>IF(COUNTIF(Analysis!$M$2:$M$3001,Analysis!$M2917)&gt;1,"Duplicate","OK")</f>
        <v>OK</v>
      </c>
      <c r="R2917" s="6" t="str">
        <f t="shared" si="1"/>
        <v>1600-2600</v>
      </c>
      <c r="S2917" s="6">
        <f t="shared" si="2"/>
        <v>6</v>
      </c>
      <c r="T2917" s="6" t="str">
        <f t="shared" si="3"/>
        <v>New</v>
      </c>
    </row>
    <row r="2918" ht="14.25" customHeight="1">
      <c r="A2918" s="5">
        <v>1143302.0</v>
      </c>
      <c r="B2918" s="6" t="s">
        <v>11707</v>
      </c>
      <c r="C2918" s="6" t="s">
        <v>18</v>
      </c>
      <c r="D2918" s="6">
        <v>34347.0</v>
      </c>
      <c r="E2918" s="6" t="s">
        <v>77</v>
      </c>
      <c r="F2918" s="6" t="s">
        <v>41</v>
      </c>
      <c r="G2918" s="6" t="s">
        <v>21</v>
      </c>
      <c r="H2918" s="7">
        <v>3213.0</v>
      </c>
      <c r="I2918" s="7">
        <v>6152.0</v>
      </c>
      <c r="J2918" s="6">
        <v>1975.0</v>
      </c>
      <c r="K2918" s="6">
        <v>67.0</v>
      </c>
      <c r="L2918" s="6" t="s">
        <v>95</v>
      </c>
      <c r="M2918" s="6" t="s">
        <v>11708</v>
      </c>
      <c r="N2918" s="6" t="s">
        <v>48</v>
      </c>
      <c r="O2918" s="6" t="s">
        <v>35</v>
      </c>
      <c r="P2918" s="6">
        <f>COUNTIF(Analysis!$M$1:$M$3001,Analysis!$M2918)</f>
        <v>1</v>
      </c>
      <c r="Q2918" s="6" t="str">
        <f>IF(COUNTIF(Analysis!$M$2:$M$3001,Analysis!$M2918)&gt;1,"Duplicate","OK")</f>
        <v>OK</v>
      </c>
      <c r="R2918" s="6" t="str">
        <f t="shared" si="1"/>
        <v>2600-3600</v>
      </c>
      <c r="S2918" s="6">
        <f t="shared" si="2"/>
        <v>51</v>
      </c>
      <c r="T2918" s="6" t="str">
        <f t="shared" si="3"/>
        <v>Old</v>
      </c>
    </row>
    <row r="2919" ht="14.25" customHeight="1">
      <c r="A2919" s="5">
        <v>506080.0</v>
      </c>
      <c r="B2919" s="6" t="s">
        <v>11711</v>
      </c>
      <c r="C2919" s="6" t="s">
        <v>18</v>
      </c>
      <c r="D2919" s="6">
        <v>97588.0</v>
      </c>
      <c r="E2919" s="6" t="s">
        <v>60</v>
      </c>
      <c r="F2919" s="6" t="s">
        <v>41</v>
      </c>
      <c r="G2919" s="6" t="s">
        <v>55</v>
      </c>
      <c r="H2919" s="7">
        <v>1764.0</v>
      </c>
      <c r="I2919" s="7">
        <v>5757.0</v>
      </c>
      <c r="J2919" s="6">
        <v>2001.0</v>
      </c>
      <c r="K2919" s="6">
        <v>95.0</v>
      </c>
      <c r="L2919" s="6" t="s">
        <v>22</v>
      </c>
      <c r="M2919" s="6" t="s">
        <v>11712</v>
      </c>
      <c r="N2919" s="6" t="s">
        <v>43</v>
      </c>
      <c r="O2919" s="6" t="s">
        <v>49</v>
      </c>
      <c r="P2919" s="6">
        <f>COUNTIF(Analysis!$M$1:$M$3001,Analysis!$M2919)</f>
        <v>1</v>
      </c>
      <c r="Q2919" s="6" t="str">
        <f>IF(COUNTIF(Analysis!$M$2:$M$3001,Analysis!$M2919)&gt;1,"Duplicate","OK")</f>
        <v>OK</v>
      </c>
      <c r="R2919" s="6" t="str">
        <f t="shared" si="1"/>
        <v>1600-2600</v>
      </c>
      <c r="S2919" s="6">
        <f t="shared" si="2"/>
        <v>25</v>
      </c>
      <c r="T2919" s="6" t="str">
        <f t="shared" si="3"/>
        <v>Mid</v>
      </c>
    </row>
    <row r="2920" ht="14.25" customHeight="1">
      <c r="A2920" s="5">
        <v>444833.0</v>
      </c>
      <c r="B2920" s="6" t="s">
        <v>11715</v>
      </c>
      <c r="C2920" s="6" t="s">
        <v>39</v>
      </c>
      <c r="D2920" s="6">
        <v>27878.0</v>
      </c>
      <c r="E2920" s="6" t="s">
        <v>40</v>
      </c>
      <c r="F2920" s="6" t="s">
        <v>46</v>
      </c>
      <c r="G2920" s="6" t="s">
        <v>100</v>
      </c>
      <c r="H2920" s="7">
        <v>2840.0</v>
      </c>
      <c r="I2920" s="7">
        <v>9188.0</v>
      </c>
      <c r="J2920" s="6">
        <v>1997.0</v>
      </c>
      <c r="K2920" s="6">
        <v>51.0</v>
      </c>
      <c r="L2920" s="6" t="s">
        <v>141</v>
      </c>
      <c r="M2920" s="6" t="s">
        <v>11716</v>
      </c>
      <c r="N2920" s="6" t="s">
        <v>48</v>
      </c>
      <c r="O2920" s="6" t="s">
        <v>49</v>
      </c>
      <c r="P2920" s="6">
        <f>COUNTIF(Analysis!$M$1:$M$3001,Analysis!$M2920)</f>
        <v>1</v>
      </c>
      <c r="Q2920" s="6" t="str">
        <f>IF(COUNTIF(Analysis!$M$2:$M$3001,Analysis!$M2920)&gt;1,"Duplicate","OK")</f>
        <v>OK</v>
      </c>
      <c r="R2920" s="6" t="str">
        <f t="shared" si="1"/>
        <v>2600-3600</v>
      </c>
      <c r="S2920" s="6">
        <f t="shared" si="2"/>
        <v>29</v>
      </c>
      <c r="T2920" s="6" t="str">
        <f t="shared" si="3"/>
        <v>Mid</v>
      </c>
    </row>
    <row r="2921" ht="14.25" customHeight="1">
      <c r="A2921" s="5">
        <v>228472.0</v>
      </c>
      <c r="B2921" s="6" t="s">
        <v>11719</v>
      </c>
      <c r="C2921" s="6" t="s">
        <v>39</v>
      </c>
      <c r="D2921" s="6">
        <v>87245.0</v>
      </c>
      <c r="E2921" s="6" t="s">
        <v>60</v>
      </c>
      <c r="F2921" s="6" t="s">
        <v>41</v>
      </c>
      <c r="G2921" s="6" t="s">
        <v>31</v>
      </c>
      <c r="H2921" s="7">
        <v>2199.0</v>
      </c>
      <c r="I2921" s="7">
        <v>5067.0</v>
      </c>
      <c r="J2921" s="6">
        <v>1955.0</v>
      </c>
      <c r="K2921" s="6">
        <v>84.0</v>
      </c>
      <c r="L2921" s="6" t="s">
        <v>22</v>
      </c>
      <c r="M2921" s="6" t="s">
        <v>11720</v>
      </c>
      <c r="N2921" s="6" t="s">
        <v>43</v>
      </c>
      <c r="O2921" s="6" t="s">
        <v>35</v>
      </c>
      <c r="P2921" s="6">
        <f>COUNTIF(Analysis!$M$1:$M$3001,Analysis!$M2921)</f>
        <v>1</v>
      </c>
      <c r="Q2921" s="6" t="str">
        <f>IF(COUNTIF(Analysis!$M$2:$M$3001,Analysis!$M2921)&gt;1,"Duplicate","OK")</f>
        <v>OK</v>
      </c>
      <c r="R2921" s="6" t="str">
        <f t="shared" si="1"/>
        <v>1600-2600</v>
      </c>
      <c r="S2921" s="6">
        <f t="shared" si="2"/>
        <v>71</v>
      </c>
      <c r="T2921" s="6" t="str">
        <f t="shared" si="3"/>
        <v>Very Old</v>
      </c>
    </row>
    <row r="2922" ht="14.25" customHeight="1">
      <c r="A2922" s="5">
        <v>1159353.0</v>
      </c>
      <c r="B2922" s="6" t="s">
        <v>11723</v>
      </c>
      <c r="C2922" s="6" t="s">
        <v>18</v>
      </c>
      <c r="D2922" s="6">
        <v>15561.0</v>
      </c>
      <c r="E2922" s="6" t="s">
        <v>77</v>
      </c>
      <c r="F2922" s="6" t="s">
        <v>54</v>
      </c>
      <c r="G2922" s="6" t="s">
        <v>21</v>
      </c>
      <c r="H2922" s="7">
        <v>1349.0</v>
      </c>
      <c r="I2922" s="7">
        <v>1096.0</v>
      </c>
      <c r="J2922" s="6">
        <v>1954.0</v>
      </c>
      <c r="K2922" s="6">
        <v>109.0</v>
      </c>
      <c r="L2922" s="6" t="s">
        <v>22</v>
      </c>
      <c r="M2922" s="6" t="s">
        <v>11724</v>
      </c>
      <c r="N2922" s="6" t="s">
        <v>34</v>
      </c>
      <c r="O2922" s="6" t="s">
        <v>35</v>
      </c>
      <c r="P2922" s="6">
        <f>COUNTIF(Analysis!$M$1:$M$3001,Analysis!$M2922)</f>
        <v>1</v>
      </c>
      <c r="Q2922" s="6" t="str">
        <f>IF(COUNTIF(Analysis!$M$2:$M$3001,Analysis!$M2922)&gt;1,"Duplicate","OK")</f>
        <v>OK</v>
      </c>
      <c r="R2922" s="6" t="str">
        <f t="shared" si="1"/>
        <v>600-1600</v>
      </c>
      <c r="S2922" s="6">
        <f t="shared" si="2"/>
        <v>72</v>
      </c>
      <c r="T2922" s="6" t="str">
        <f t="shared" si="3"/>
        <v>Very Old</v>
      </c>
    </row>
    <row r="2923" ht="14.25" customHeight="1">
      <c r="A2923" s="5">
        <v>159743.0</v>
      </c>
      <c r="B2923" s="6" t="s">
        <v>11727</v>
      </c>
      <c r="C2923" s="6" t="s">
        <v>76</v>
      </c>
      <c r="D2923" s="6">
        <v>55455.0</v>
      </c>
      <c r="E2923" s="6" t="s">
        <v>60</v>
      </c>
      <c r="F2923" s="6" t="s">
        <v>94</v>
      </c>
      <c r="G2923" s="6" t="s">
        <v>21</v>
      </c>
      <c r="H2923" s="7">
        <v>2557.0</v>
      </c>
      <c r="I2923" s="7">
        <v>5121.0</v>
      </c>
      <c r="J2923" s="6">
        <v>1963.0</v>
      </c>
      <c r="K2923" s="6">
        <v>11.0</v>
      </c>
      <c r="L2923" s="6" t="s">
        <v>141</v>
      </c>
      <c r="M2923" s="6" t="s">
        <v>11728</v>
      </c>
      <c r="N2923" s="6" t="s">
        <v>64</v>
      </c>
      <c r="O2923" s="6" t="s">
        <v>25</v>
      </c>
      <c r="P2923" s="6">
        <f>COUNTIF(Analysis!$M$1:$M$3001,Analysis!$M2923)</f>
        <v>1</v>
      </c>
      <c r="Q2923" s="6" t="str">
        <f>IF(COUNTIF(Analysis!$M$2:$M$3001,Analysis!$M2923)&gt;1,"Duplicate","OK")</f>
        <v>OK</v>
      </c>
      <c r="R2923" s="6" t="str">
        <f t="shared" si="1"/>
        <v>1600-2600</v>
      </c>
      <c r="S2923" s="6">
        <f t="shared" si="2"/>
        <v>63</v>
      </c>
      <c r="T2923" s="6" t="str">
        <f t="shared" si="3"/>
        <v>Very Old</v>
      </c>
    </row>
    <row r="2924" ht="14.25" customHeight="1">
      <c r="A2924" s="5">
        <v>1458415.0</v>
      </c>
      <c r="B2924" s="6" t="s">
        <v>7333</v>
      </c>
      <c r="C2924" s="6" t="s">
        <v>29</v>
      </c>
      <c r="D2924" s="6">
        <v>55613.0</v>
      </c>
      <c r="E2924" s="6" t="s">
        <v>77</v>
      </c>
      <c r="F2924" s="6" t="s">
        <v>46</v>
      </c>
      <c r="G2924" s="6" t="s">
        <v>100</v>
      </c>
      <c r="H2924" s="7">
        <v>3754.0</v>
      </c>
      <c r="I2924" s="7">
        <v>5717.0</v>
      </c>
      <c r="J2924" s="6">
        <v>1958.0</v>
      </c>
      <c r="K2924" s="6">
        <v>107.0</v>
      </c>
      <c r="L2924" s="6" t="s">
        <v>95</v>
      </c>
      <c r="M2924" s="6" t="s">
        <v>7334</v>
      </c>
      <c r="N2924" s="6" t="s">
        <v>24</v>
      </c>
      <c r="O2924" s="6" t="s">
        <v>35</v>
      </c>
      <c r="P2924" s="6">
        <f>COUNTIF(Analysis!$M$1:$M$3001,Analysis!$M1824)</f>
        <v>1</v>
      </c>
      <c r="Q2924" s="6" t="str">
        <f>IF(COUNTIF(Analysis!$M$2:$M$3001,Analysis!$M1824)&gt;1,"Duplicate","OK")</f>
        <v>OK</v>
      </c>
      <c r="R2924" s="6" t="str">
        <f t="shared" si="1"/>
        <v>3600+</v>
      </c>
      <c r="S2924" s="6">
        <f t="shared" si="2"/>
        <v>68</v>
      </c>
      <c r="T2924" s="6" t="str">
        <f t="shared" si="3"/>
        <v>Very Old</v>
      </c>
    </row>
    <row r="2925" ht="14.25" customHeight="1">
      <c r="A2925" s="5">
        <v>987535.0</v>
      </c>
      <c r="B2925" s="6" t="s">
        <v>11735</v>
      </c>
      <c r="C2925" s="6" t="s">
        <v>18</v>
      </c>
      <c r="D2925" s="6">
        <v>32402.0</v>
      </c>
      <c r="E2925" s="6" t="s">
        <v>77</v>
      </c>
      <c r="F2925" s="6" t="s">
        <v>41</v>
      </c>
      <c r="G2925" s="6" t="s">
        <v>21</v>
      </c>
      <c r="H2925" s="7">
        <v>2237.0</v>
      </c>
      <c r="I2925" s="7">
        <v>2793.0</v>
      </c>
      <c r="J2925" s="6">
        <v>1987.0</v>
      </c>
      <c r="K2925" s="6">
        <v>105.0</v>
      </c>
      <c r="L2925" s="6" t="s">
        <v>95</v>
      </c>
      <c r="M2925" s="6" t="s">
        <v>11736</v>
      </c>
      <c r="N2925" s="6" t="s">
        <v>64</v>
      </c>
      <c r="O2925" s="6" t="s">
        <v>25</v>
      </c>
      <c r="P2925" s="6">
        <f>COUNTIF(Analysis!$M$1:$M$3001,Analysis!$M2925)</f>
        <v>1</v>
      </c>
      <c r="Q2925" s="6" t="str">
        <f>IF(COUNTIF(Analysis!$M$2:$M$3001,Analysis!$M2925)&gt;1,"Duplicate","OK")</f>
        <v>OK</v>
      </c>
      <c r="R2925" s="6" t="str">
        <f t="shared" si="1"/>
        <v>1600-2600</v>
      </c>
      <c r="S2925" s="6">
        <f t="shared" si="2"/>
        <v>39</v>
      </c>
      <c r="T2925" s="6" t="str">
        <f t="shared" si="3"/>
        <v>Old</v>
      </c>
    </row>
    <row r="2926" ht="14.25" customHeight="1">
      <c r="A2926" s="5">
        <v>216447.0</v>
      </c>
      <c r="B2926" s="6" t="s">
        <v>11739</v>
      </c>
      <c r="C2926" s="6" t="s">
        <v>18</v>
      </c>
      <c r="D2926" s="6">
        <v>13109.0</v>
      </c>
      <c r="E2926" s="6" t="s">
        <v>19</v>
      </c>
      <c r="F2926" s="6" t="s">
        <v>61</v>
      </c>
      <c r="G2926" s="6" t="s">
        <v>100</v>
      </c>
      <c r="H2926" s="7">
        <v>2659.0</v>
      </c>
      <c r="I2926" s="7">
        <v>3485.0</v>
      </c>
      <c r="J2926" s="6">
        <v>2005.0</v>
      </c>
      <c r="K2926" s="6">
        <v>73.0</v>
      </c>
      <c r="L2926" s="6" t="s">
        <v>141</v>
      </c>
      <c r="M2926" s="6" t="s">
        <v>11740</v>
      </c>
      <c r="N2926" s="6" t="s">
        <v>24</v>
      </c>
      <c r="O2926" s="6" t="s">
        <v>25</v>
      </c>
      <c r="P2926" s="6">
        <f>COUNTIF(Analysis!$M$1:$M$3001,Analysis!$M2926)</f>
        <v>1</v>
      </c>
      <c r="Q2926" s="6" t="str">
        <f>IF(COUNTIF(Analysis!$M$2:$M$3001,Analysis!$M2926)&gt;1,"Duplicate","OK")</f>
        <v>OK</v>
      </c>
      <c r="R2926" s="6" t="str">
        <f t="shared" si="1"/>
        <v>2600-3600</v>
      </c>
      <c r="S2926" s="6">
        <f t="shared" si="2"/>
        <v>21</v>
      </c>
      <c r="T2926" s="6" t="str">
        <f t="shared" si="3"/>
        <v>Mid</v>
      </c>
    </row>
    <row r="2927" ht="14.25" customHeight="1">
      <c r="A2927" s="5">
        <v>281436.0</v>
      </c>
      <c r="B2927" s="6" t="s">
        <v>11743</v>
      </c>
      <c r="C2927" s="6" t="s">
        <v>39</v>
      </c>
      <c r="D2927" s="6">
        <v>36593.0</v>
      </c>
      <c r="E2927" s="6" t="s">
        <v>40</v>
      </c>
      <c r="F2927" s="6" t="s">
        <v>20</v>
      </c>
      <c r="G2927" s="6" t="s">
        <v>100</v>
      </c>
      <c r="H2927" s="7">
        <v>732.0</v>
      </c>
      <c r="I2927" s="7">
        <v>8385.0</v>
      </c>
      <c r="J2927" s="6">
        <v>2023.0</v>
      </c>
      <c r="K2927" s="6">
        <v>38.0</v>
      </c>
      <c r="L2927" s="6" t="s">
        <v>141</v>
      </c>
      <c r="M2927" s="6" t="s">
        <v>11744</v>
      </c>
      <c r="N2927" s="6" t="s">
        <v>43</v>
      </c>
      <c r="O2927" s="6" t="s">
        <v>25</v>
      </c>
      <c r="P2927" s="6">
        <f>COUNTIF(Analysis!$M$1:$M$3001,Analysis!$M2927)</f>
        <v>1</v>
      </c>
      <c r="Q2927" s="6" t="str">
        <f>IF(COUNTIF(Analysis!$M$2:$M$3001,Analysis!$M2927)&gt;1,"Duplicate","OK")</f>
        <v>OK</v>
      </c>
      <c r="R2927" s="6" t="str">
        <f t="shared" si="1"/>
        <v>600-1600</v>
      </c>
      <c r="S2927" s="6">
        <f t="shared" si="2"/>
        <v>3</v>
      </c>
      <c r="T2927" s="6" t="str">
        <f t="shared" si="3"/>
        <v>New</v>
      </c>
    </row>
    <row r="2928" ht="14.25" customHeight="1">
      <c r="A2928" s="5">
        <v>1460985.0</v>
      </c>
      <c r="B2928" s="6" t="s">
        <v>11870</v>
      </c>
      <c r="C2928" s="6" t="s">
        <v>29</v>
      </c>
      <c r="D2928" s="6">
        <v>13536.0</v>
      </c>
      <c r="E2928" s="6" t="s">
        <v>77</v>
      </c>
      <c r="F2928" s="6" t="s">
        <v>41</v>
      </c>
      <c r="G2928" s="6" t="s">
        <v>55</v>
      </c>
      <c r="H2928" s="7">
        <v>1122.0</v>
      </c>
      <c r="I2928" s="7">
        <v>1406.0</v>
      </c>
      <c r="J2928" s="6">
        <v>2011.0</v>
      </c>
      <c r="K2928" s="6">
        <v>62.0</v>
      </c>
      <c r="L2928" s="6" t="s">
        <v>141</v>
      </c>
      <c r="M2928" s="6" t="s">
        <v>11871</v>
      </c>
      <c r="N2928" s="6" t="s">
        <v>24</v>
      </c>
      <c r="O2928" s="6" t="s">
        <v>49</v>
      </c>
      <c r="P2928" s="6">
        <f>COUNTIF(Analysis!$M$1:$M$3001,Analysis!$M2959)</f>
        <v>2</v>
      </c>
      <c r="Q2928" s="6" t="str">
        <f>IF(COUNTIF(Analysis!$M$2:$M$3001,Analysis!$M2959)&gt;1,"Duplicate","OK")</f>
        <v>Duplicate</v>
      </c>
      <c r="R2928" s="6" t="str">
        <f t="shared" si="1"/>
        <v>600-1600</v>
      </c>
      <c r="S2928" s="6">
        <f t="shared" si="2"/>
        <v>15</v>
      </c>
      <c r="T2928" s="6" t="str">
        <f t="shared" si="3"/>
        <v>Mid</v>
      </c>
    </row>
    <row r="2929" ht="14.25" customHeight="1">
      <c r="A2929" s="5">
        <v>1479856.0</v>
      </c>
      <c r="B2929" s="6" t="s">
        <v>11751</v>
      </c>
      <c r="C2929" s="6" t="s">
        <v>53</v>
      </c>
      <c r="D2929" s="6">
        <v>47085.0</v>
      </c>
      <c r="E2929" s="6" t="s">
        <v>60</v>
      </c>
      <c r="F2929" s="6" t="s">
        <v>46</v>
      </c>
      <c r="G2929" s="6" t="s">
        <v>55</v>
      </c>
      <c r="H2929" s="7">
        <v>648.0</v>
      </c>
      <c r="I2929" s="7">
        <v>8381.0</v>
      </c>
      <c r="J2929" s="6">
        <v>2010.0</v>
      </c>
      <c r="K2929" s="6">
        <v>106.0</v>
      </c>
      <c r="L2929" s="6" t="s">
        <v>95</v>
      </c>
      <c r="M2929" s="6" t="s">
        <v>11752</v>
      </c>
      <c r="N2929" s="6" t="s">
        <v>43</v>
      </c>
      <c r="O2929" s="6" t="s">
        <v>35</v>
      </c>
      <c r="P2929" s="6">
        <f>COUNTIF(Analysis!$M$1:$M$3001,Analysis!$M2929)</f>
        <v>1</v>
      </c>
      <c r="Q2929" s="6" t="str">
        <f>IF(COUNTIF(Analysis!$M$2:$M$3001,Analysis!$M2929)&gt;1,"Duplicate","OK")</f>
        <v>OK</v>
      </c>
      <c r="R2929" s="6" t="str">
        <f t="shared" si="1"/>
        <v>600-1600</v>
      </c>
      <c r="S2929" s="6">
        <f t="shared" si="2"/>
        <v>16</v>
      </c>
      <c r="T2929" s="6" t="str">
        <f t="shared" si="3"/>
        <v>Mid</v>
      </c>
    </row>
    <row r="2930" ht="14.25" customHeight="1">
      <c r="A2930" s="5">
        <v>190824.0</v>
      </c>
      <c r="B2930" s="6" t="s">
        <v>11755</v>
      </c>
      <c r="C2930" s="6" t="s">
        <v>76</v>
      </c>
      <c r="D2930" s="6">
        <v>30879.0</v>
      </c>
      <c r="E2930" s="6" t="s">
        <v>19</v>
      </c>
      <c r="F2930" s="6" t="s">
        <v>94</v>
      </c>
      <c r="G2930" s="6" t="s">
        <v>21</v>
      </c>
      <c r="H2930" s="7">
        <v>2702.0</v>
      </c>
      <c r="I2930" s="7">
        <v>4615.0</v>
      </c>
      <c r="J2930" s="6">
        <v>2023.0</v>
      </c>
      <c r="K2930" s="6">
        <v>7.0</v>
      </c>
      <c r="L2930" s="6" t="s">
        <v>62</v>
      </c>
      <c r="M2930" s="6" t="s">
        <v>11756</v>
      </c>
      <c r="N2930" s="6" t="s">
        <v>48</v>
      </c>
      <c r="O2930" s="6" t="s">
        <v>35</v>
      </c>
      <c r="P2930" s="6">
        <f>COUNTIF(Analysis!$M$1:$M$3001,Analysis!$M2930)</f>
        <v>1</v>
      </c>
      <c r="Q2930" s="6" t="str">
        <f>IF(COUNTIF(Analysis!$M$2:$M$3001,Analysis!$M2930)&gt;1,"Duplicate","OK")</f>
        <v>OK</v>
      </c>
      <c r="R2930" s="6" t="str">
        <f t="shared" si="1"/>
        <v>2600-3600</v>
      </c>
      <c r="S2930" s="6">
        <f t="shared" si="2"/>
        <v>3</v>
      </c>
      <c r="T2930" s="6" t="str">
        <f t="shared" si="3"/>
        <v>New</v>
      </c>
    </row>
    <row r="2931" ht="14.25" customHeight="1">
      <c r="A2931" s="5">
        <v>1463056.0</v>
      </c>
      <c r="B2931" s="6" t="s">
        <v>5379</v>
      </c>
      <c r="C2931" s="6" t="s">
        <v>29</v>
      </c>
      <c r="D2931" s="6">
        <v>72047.0</v>
      </c>
      <c r="E2931" s="6" t="s">
        <v>19</v>
      </c>
      <c r="F2931" s="6" t="s">
        <v>41</v>
      </c>
      <c r="G2931" s="6" t="s">
        <v>100</v>
      </c>
      <c r="H2931" s="7">
        <v>1633.0</v>
      </c>
      <c r="I2931" s="7">
        <v>5971.0</v>
      </c>
      <c r="J2931" s="6">
        <v>1950.0</v>
      </c>
      <c r="K2931" s="6">
        <v>117.0</v>
      </c>
      <c r="L2931" s="6" t="s">
        <v>22</v>
      </c>
      <c r="M2931" s="6" t="s">
        <v>5380</v>
      </c>
      <c r="N2931" s="6" t="s">
        <v>24</v>
      </c>
      <c r="O2931" s="6" t="s">
        <v>25</v>
      </c>
      <c r="P2931" s="6">
        <f>COUNTIF(Analysis!$M$1:$M$3001,Analysis!$M1335)</f>
        <v>1</v>
      </c>
      <c r="Q2931" s="6" t="str">
        <f>IF(COUNTIF(Analysis!$M$2:$M$3001,Analysis!$M1335)&gt;1,"Duplicate","OK")</f>
        <v>OK</v>
      </c>
      <c r="R2931" s="6" t="str">
        <f t="shared" si="1"/>
        <v>1600-2600</v>
      </c>
      <c r="S2931" s="6">
        <f t="shared" si="2"/>
        <v>76</v>
      </c>
      <c r="T2931" s="6" t="str">
        <f t="shared" si="3"/>
        <v>Very Old</v>
      </c>
    </row>
    <row r="2932" ht="14.25" customHeight="1">
      <c r="A2932" s="5">
        <v>1465412.0</v>
      </c>
      <c r="B2932" s="6" t="s">
        <v>9603</v>
      </c>
      <c r="C2932" s="6" t="s">
        <v>29</v>
      </c>
      <c r="D2932" s="6">
        <v>44872.0</v>
      </c>
      <c r="E2932" s="6" t="s">
        <v>60</v>
      </c>
      <c r="F2932" s="6" t="s">
        <v>54</v>
      </c>
      <c r="G2932" s="6" t="s">
        <v>21</v>
      </c>
      <c r="H2932" s="7">
        <v>1803.0</v>
      </c>
      <c r="I2932" s="7">
        <v>3453.0</v>
      </c>
      <c r="J2932" s="6">
        <v>1965.0</v>
      </c>
      <c r="K2932" s="6">
        <v>70.0</v>
      </c>
      <c r="L2932" s="6" t="s">
        <v>32</v>
      </c>
      <c r="M2932" s="6" t="s">
        <v>9604</v>
      </c>
      <c r="N2932" s="6" t="s">
        <v>43</v>
      </c>
      <c r="O2932" s="6" t="s">
        <v>25</v>
      </c>
      <c r="P2932" s="6">
        <f>COUNTIF(Analysis!$M$1:$M$3001,Analysis!$M2392)</f>
        <v>1</v>
      </c>
      <c r="Q2932" s="6" t="str">
        <f>IF(COUNTIF(Analysis!$M$2:$M$3001,Analysis!$M2392)&gt;1,"Duplicate","OK")</f>
        <v>OK</v>
      </c>
      <c r="R2932" s="6" t="str">
        <f t="shared" si="1"/>
        <v>1600-2600</v>
      </c>
      <c r="S2932" s="6">
        <f t="shared" si="2"/>
        <v>61</v>
      </c>
      <c r="T2932" s="6" t="str">
        <f t="shared" si="3"/>
        <v>Very Old</v>
      </c>
    </row>
    <row r="2933" ht="14.25" customHeight="1">
      <c r="A2933" s="5">
        <v>1446565.0</v>
      </c>
      <c r="B2933" s="6" t="s">
        <v>11767</v>
      </c>
      <c r="C2933" s="6" t="s">
        <v>18</v>
      </c>
      <c r="D2933" s="6">
        <v>96424.0</v>
      </c>
      <c r="E2933" s="6" t="s">
        <v>40</v>
      </c>
      <c r="F2933" s="6" t="s">
        <v>20</v>
      </c>
      <c r="G2933" s="6" t="s">
        <v>21</v>
      </c>
      <c r="H2933" s="7">
        <v>1093.0</v>
      </c>
      <c r="I2933" s="7">
        <v>7597.0</v>
      </c>
      <c r="J2933" s="6">
        <v>1975.0</v>
      </c>
      <c r="K2933" s="6">
        <v>36.0</v>
      </c>
      <c r="L2933" s="6" t="s">
        <v>62</v>
      </c>
      <c r="M2933" s="6" t="s">
        <v>11768</v>
      </c>
      <c r="N2933" s="6" t="s">
        <v>43</v>
      </c>
      <c r="O2933" s="6" t="s">
        <v>35</v>
      </c>
      <c r="P2933" s="6">
        <f>COUNTIF(Analysis!$M$1:$M$3001,Analysis!$M2933)</f>
        <v>1</v>
      </c>
      <c r="Q2933" s="6" t="str">
        <f>IF(COUNTIF(Analysis!$M$2:$M$3001,Analysis!$M2933)&gt;1,"Duplicate","OK")</f>
        <v>OK</v>
      </c>
      <c r="R2933" s="6" t="str">
        <f t="shared" si="1"/>
        <v>600-1600</v>
      </c>
      <c r="S2933" s="6">
        <f t="shared" si="2"/>
        <v>51</v>
      </c>
      <c r="T2933" s="6" t="str">
        <f t="shared" si="3"/>
        <v>Old</v>
      </c>
    </row>
    <row r="2934" ht="14.25" customHeight="1">
      <c r="A2934" s="5">
        <v>116376.0</v>
      </c>
      <c r="B2934" s="6" t="s">
        <v>11771</v>
      </c>
      <c r="C2934" s="6" t="s">
        <v>18</v>
      </c>
      <c r="D2934" s="6">
        <v>31413.0</v>
      </c>
      <c r="E2934" s="6" t="s">
        <v>77</v>
      </c>
      <c r="F2934" s="6" t="s">
        <v>54</v>
      </c>
      <c r="G2934" s="6" t="s">
        <v>31</v>
      </c>
      <c r="H2934" s="7">
        <v>1296.0</v>
      </c>
      <c r="I2934" s="7">
        <v>2978.0</v>
      </c>
      <c r="J2934" s="6">
        <v>1968.0</v>
      </c>
      <c r="K2934" s="6">
        <v>55.0</v>
      </c>
      <c r="L2934" s="6" t="s">
        <v>95</v>
      </c>
      <c r="M2934" s="6" t="s">
        <v>11772</v>
      </c>
      <c r="N2934" s="6" t="s">
        <v>34</v>
      </c>
      <c r="O2934" s="6" t="s">
        <v>49</v>
      </c>
      <c r="P2934" s="6">
        <f>COUNTIF(Analysis!$M$1:$M$3001,Analysis!$M2934)</f>
        <v>1</v>
      </c>
      <c r="Q2934" s="6" t="str">
        <f>IF(COUNTIF(Analysis!$M$2:$M$3001,Analysis!$M2934)&gt;1,"Duplicate","OK")</f>
        <v>OK</v>
      </c>
      <c r="R2934" s="6" t="str">
        <f t="shared" si="1"/>
        <v>600-1600</v>
      </c>
      <c r="S2934" s="6">
        <f t="shared" si="2"/>
        <v>58</v>
      </c>
      <c r="T2934" s="6" t="str">
        <f t="shared" si="3"/>
        <v>Old</v>
      </c>
    </row>
    <row r="2935" ht="14.25" customHeight="1">
      <c r="A2935" s="5">
        <v>604616.0</v>
      </c>
      <c r="B2935" s="6" t="s">
        <v>11775</v>
      </c>
      <c r="C2935" s="6" t="s">
        <v>18</v>
      </c>
      <c r="D2935" s="6">
        <v>16818.0</v>
      </c>
      <c r="E2935" s="6" t="s">
        <v>19</v>
      </c>
      <c r="F2935" s="6" t="s">
        <v>46</v>
      </c>
      <c r="G2935" s="6" t="s">
        <v>21</v>
      </c>
      <c r="H2935" s="7">
        <v>608.0</v>
      </c>
      <c r="I2935" s="7">
        <v>8301.0</v>
      </c>
      <c r="J2935" s="6">
        <v>1991.0</v>
      </c>
      <c r="K2935" s="6">
        <v>76.0</v>
      </c>
      <c r="L2935" s="6" t="s">
        <v>62</v>
      </c>
      <c r="M2935" s="6" t="s">
        <v>11776</v>
      </c>
      <c r="N2935" s="6" t="s">
        <v>34</v>
      </c>
      <c r="O2935" s="6" t="s">
        <v>35</v>
      </c>
      <c r="P2935" s="6">
        <f>COUNTIF(Analysis!$M$1:$M$3001,Analysis!$M2935)</f>
        <v>1</v>
      </c>
      <c r="Q2935" s="6" t="str">
        <f>IF(COUNTIF(Analysis!$M$2:$M$3001,Analysis!$M2935)&gt;1,"Duplicate","OK")</f>
        <v>OK</v>
      </c>
      <c r="R2935" s="6" t="str">
        <f t="shared" si="1"/>
        <v>600-1600</v>
      </c>
      <c r="S2935" s="6">
        <f t="shared" si="2"/>
        <v>35</v>
      </c>
      <c r="T2935" s="6" t="str">
        <f t="shared" si="3"/>
        <v>Old</v>
      </c>
    </row>
    <row r="2936" ht="14.25" customHeight="1">
      <c r="A2936" s="5">
        <v>895042.0</v>
      </c>
      <c r="B2936" s="6" t="s">
        <v>11779</v>
      </c>
      <c r="C2936" s="6" t="s">
        <v>39</v>
      </c>
      <c r="D2936" s="6">
        <v>35544.0</v>
      </c>
      <c r="E2936" s="6" t="s">
        <v>40</v>
      </c>
      <c r="F2936" s="6" t="s">
        <v>61</v>
      </c>
      <c r="G2936" s="6" t="s">
        <v>31</v>
      </c>
      <c r="H2936" s="7">
        <v>2015.0</v>
      </c>
      <c r="I2936" s="7">
        <v>4797.0</v>
      </c>
      <c r="J2936" s="6">
        <v>2000.0</v>
      </c>
      <c r="K2936" s="6">
        <v>116.0</v>
      </c>
      <c r="L2936" s="6" t="s">
        <v>141</v>
      </c>
      <c r="M2936" s="6" t="s">
        <v>11780</v>
      </c>
      <c r="N2936" s="6" t="s">
        <v>48</v>
      </c>
      <c r="O2936" s="6" t="s">
        <v>49</v>
      </c>
      <c r="P2936" s="6">
        <f>COUNTIF(Analysis!$M$1:$M$3001,Analysis!$M2936)</f>
        <v>1</v>
      </c>
      <c r="Q2936" s="6" t="str">
        <f>IF(COUNTIF(Analysis!$M$2:$M$3001,Analysis!$M2936)&gt;1,"Duplicate","OK")</f>
        <v>OK</v>
      </c>
      <c r="R2936" s="6" t="str">
        <f t="shared" si="1"/>
        <v>1600-2600</v>
      </c>
      <c r="S2936" s="6">
        <f t="shared" si="2"/>
        <v>26</v>
      </c>
      <c r="T2936" s="6" t="str">
        <f t="shared" si="3"/>
        <v>Mid</v>
      </c>
    </row>
    <row r="2937" ht="14.25" customHeight="1">
      <c r="A2937" s="5">
        <v>1405348.0</v>
      </c>
      <c r="B2937" s="6" t="s">
        <v>11783</v>
      </c>
      <c r="C2937" s="6" t="s">
        <v>39</v>
      </c>
      <c r="D2937" s="6">
        <v>20235.0</v>
      </c>
      <c r="E2937" s="6" t="s">
        <v>30</v>
      </c>
      <c r="F2937" s="6" t="s">
        <v>41</v>
      </c>
      <c r="G2937" s="6" t="s">
        <v>55</v>
      </c>
      <c r="H2937" s="7">
        <v>2902.0</v>
      </c>
      <c r="I2937" s="7">
        <v>2112.0</v>
      </c>
      <c r="J2937" s="6">
        <v>1955.0</v>
      </c>
      <c r="K2937" s="6">
        <v>13.0</v>
      </c>
      <c r="L2937" s="6" t="s">
        <v>22</v>
      </c>
      <c r="M2937" s="6" t="s">
        <v>11784</v>
      </c>
      <c r="N2937" s="6" t="s">
        <v>43</v>
      </c>
      <c r="O2937" s="6" t="s">
        <v>49</v>
      </c>
      <c r="P2937" s="6">
        <f>COUNTIF(Analysis!$M$1:$M$3001,Analysis!$M2937)</f>
        <v>1</v>
      </c>
      <c r="Q2937" s="6" t="str">
        <f>IF(COUNTIF(Analysis!$M$2:$M$3001,Analysis!$M2937)&gt;1,"Duplicate","OK")</f>
        <v>OK</v>
      </c>
      <c r="R2937" s="6" t="str">
        <f t="shared" si="1"/>
        <v>2600-3600</v>
      </c>
      <c r="S2937" s="6">
        <f t="shared" si="2"/>
        <v>71</v>
      </c>
      <c r="T2937" s="6" t="str">
        <f t="shared" si="3"/>
        <v>Very Old</v>
      </c>
    </row>
    <row r="2938" ht="14.25" customHeight="1">
      <c r="A2938" s="5">
        <v>1028996.0</v>
      </c>
      <c r="B2938" s="6" t="s">
        <v>11787</v>
      </c>
      <c r="C2938" s="6" t="s">
        <v>39</v>
      </c>
      <c r="D2938" s="6">
        <v>36212.0</v>
      </c>
      <c r="E2938" s="6" t="s">
        <v>40</v>
      </c>
      <c r="F2938" s="6" t="s">
        <v>41</v>
      </c>
      <c r="G2938" s="6" t="s">
        <v>55</v>
      </c>
      <c r="H2938" s="7">
        <v>1827.0</v>
      </c>
      <c r="I2938" s="7">
        <v>1105.0</v>
      </c>
      <c r="J2938" s="6">
        <v>1965.0</v>
      </c>
      <c r="K2938" s="6">
        <v>66.0</v>
      </c>
      <c r="L2938" s="6" t="s">
        <v>95</v>
      </c>
      <c r="M2938" s="6" t="s">
        <v>11788</v>
      </c>
      <c r="N2938" s="6" t="s">
        <v>24</v>
      </c>
      <c r="O2938" s="6" t="s">
        <v>25</v>
      </c>
      <c r="P2938" s="6">
        <f>COUNTIF(Analysis!$M$1:$M$3001,Analysis!$M2938)</f>
        <v>1</v>
      </c>
      <c r="Q2938" s="6" t="str">
        <f>IF(COUNTIF(Analysis!$M$2:$M$3001,Analysis!$M2938)&gt;1,"Duplicate","OK")</f>
        <v>OK</v>
      </c>
      <c r="R2938" s="6" t="str">
        <f t="shared" si="1"/>
        <v>1600-2600</v>
      </c>
      <c r="S2938" s="6">
        <f t="shared" si="2"/>
        <v>61</v>
      </c>
      <c r="T2938" s="6" t="str">
        <f t="shared" si="3"/>
        <v>Very Old</v>
      </c>
    </row>
    <row r="2939" ht="14.25" customHeight="1">
      <c r="A2939" s="5">
        <v>105815.0</v>
      </c>
      <c r="B2939" s="6" t="s">
        <v>11791</v>
      </c>
      <c r="C2939" s="6" t="s">
        <v>39</v>
      </c>
      <c r="D2939" s="6">
        <v>40627.0</v>
      </c>
      <c r="E2939" s="6" t="s">
        <v>60</v>
      </c>
      <c r="F2939" s="6" t="s">
        <v>20</v>
      </c>
      <c r="G2939" s="6" t="s">
        <v>21</v>
      </c>
      <c r="H2939" s="7">
        <v>2472.0</v>
      </c>
      <c r="I2939" s="7">
        <v>3698.0</v>
      </c>
      <c r="J2939" s="6">
        <v>1999.0</v>
      </c>
      <c r="K2939" s="6">
        <v>106.0</v>
      </c>
      <c r="L2939" s="6" t="s">
        <v>95</v>
      </c>
      <c r="M2939" s="6" t="s">
        <v>11792</v>
      </c>
      <c r="N2939" s="6" t="s">
        <v>64</v>
      </c>
      <c r="O2939" s="6" t="s">
        <v>25</v>
      </c>
      <c r="P2939" s="6">
        <f>COUNTIF(Analysis!$M$1:$M$3001,Analysis!$M2939)</f>
        <v>1</v>
      </c>
      <c r="Q2939" s="6" t="str">
        <f>IF(COUNTIF(Analysis!$M$2:$M$3001,Analysis!$M2939)&gt;1,"Duplicate","OK")</f>
        <v>OK</v>
      </c>
      <c r="R2939" s="6" t="str">
        <f t="shared" si="1"/>
        <v>1600-2600</v>
      </c>
      <c r="S2939" s="6">
        <f t="shared" si="2"/>
        <v>27</v>
      </c>
      <c r="T2939" s="6" t="str">
        <f t="shared" si="3"/>
        <v>Mid</v>
      </c>
    </row>
    <row r="2940" ht="14.25" customHeight="1">
      <c r="A2940" s="5">
        <v>324648.0</v>
      </c>
      <c r="B2940" s="6" t="s">
        <v>11795</v>
      </c>
      <c r="C2940" s="6" t="s">
        <v>76</v>
      </c>
      <c r="D2940" s="6">
        <v>67386.0</v>
      </c>
      <c r="E2940" s="6" t="s">
        <v>77</v>
      </c>
      <c r="F2940" s="6" t="s">
        <v>54</v>
      </c>
      <c r="G2940" s="6" t="s">
        <v>21</v>
      </c>
      <c r="H2940" s="7">
        <v>2815.0</v>
      </c>
      <c r="I2940" s="7">
        <v>2298.0</v>
      </c>
      <c r="J2940" s="6">
        <v>1974.0</v>
      </c>
      <c r="K2940" s="6">
        <v>6.0</v>
      </c>
      <c r="L2940" s="6" t="s">
        <v>141</v>
      </c>
      <c r="M2940" s="6" t="s">
        <v>6858</v>
      </c>
      <c r="N2940" s="6" t="s">
        <v>64</v>
      </c>
      <c r="O2940" s="6" t="s">
        <v>49</v>
      </c>
      <c r="P2940" s="6">
        <f>COUNTIF(Analysis!$M$1:$M$3001,Analysis!$M2940)</f>
        <v>2</v>
      </c>
      <c r="Q2940" s="6" t="str">
        <f>IF(COUNTIF(Analysis!$M$2:$M$3001,Analysis!$M2940)&gt;1,"Duplicate","OK")</f>
        <v>Duplicate</v>
      </c>
      <c r="R2940" s="6" t="str">
        <f t="shared" si="1"/>
        <v>2600-3600</v>
      </c>
      <c r="S2940" s="6">
        <f t="shared" si="2"/>
        <v>52</v>
      </c>
      <c r="T2940" s="6" t="str">
        <f t="shared" si="3"/>
        <v>Old</v>
      </c>
    </row>
    <row r="2941" ht="14.25" customHeight="1">
      <c r="A2941" s="5">
        <v>1469257.0</v>
      </c>
      <c r="B2941" s="6" t="s">
        <v>136</v>
      </c>
      <c r="C2941" s="6" t="s">
        <v>29</v>
      </c>
      <c r="D2941" s="6">
        <v>38811.0</v>
      </c>
      <c r="E2941" s="6" t="s">
        <v>30</v>
      </c>
      <c r="F2941" s="6" t="s">
        <v>61</v>
      </c>
      <c r="G2941" s="6" t="s">
        <v>21</v>
      </c>
      <c r="H2941" s="7">
        <v>635.0</v>
      </c>
      <c r="I2941" s="7">
        <v>1130.0</v>
      </c>
      <c r="J2941" s="6">
        <v>1990.0</v>
      </c>
      <c r="K2941" s="6">
        <v>42.0</v>
      </c>
      <c r="L2941" s="6" t="s">
        <v>62</v>
      </c>
      <c r="M2941" s="6" t="s">
        <v>137</v>
      </c>
      <c r="N2941" s="6" t="s">
        <v>34</v>
      </c>
      <c r="O2941" s="6" t="s">
        <v>49</v>
      </c>
      <c r="P2941" s="6">
        <f>COUNTIF(Analysis!$M$1:$M$3001,Analysis!$M24)</f>
        <v>1</v>
      </c>
      <c r="Q2941" s="6" t="str">
        <f>IF(COUNTIF(Analysis!$M$2:$M$3001,Analysis!$M24)&gt;1,"Duplicate","OK")</f>
        <v>OK</v>
      </c>
      <c r="R2941" s="6" t="str">
        <f t="shared" si="1"/>
        <v>600-1600</v>
      </c>
      <c r="S2941" s="6">
        <f t="shared" si="2"/>
        <v>36</v>
      </c>
      <c r="T2941" s="6" t="str">
        <f t="shared" si="3"/>
        <v>Old</v>
      </c>
    </row>
    <row r="2942" ht="14.25" customHeight="1">
      <c r="A2942" s="5">
        <v>1422607.0</v>
      </c>
      <c r="B2942" s="6" t="s">
        <v>11802</v>
      </c>
      <c r="C2942" s="6" t="s">
        <v>53</v>
      </c>
      <c r="D2942" s="6">
        <v>10491.0</v>
      </c>
      <c r="E2942" s="6" t="s">
        <v>40</v>
      </c>
      <c r="F2942" s="6" t="s">
        <v>46</v>
      </c>
      <c r="G2942" s="6" t="s">
        <v>55</v>
      </c>
      <c r="H2942" s="7">
        <v>2000.0</v>
      </c>
      <c r="I2942" s="7">
        <v>1047.0</v>
      </c>
      <c r="J2942" s="6">
        <v>2019.0</v>
      </c>
      <c r="K2942" s="6">
        <v>88.0</v>
      </c>
      <c r="L2942" s="6" t="s">
        <v>22</v>
      </c>
      <c r="M2942" s="6" t="s">
        <v>11803</v>
      </c>
      <c r="N2942" s="6" t="s">
        <v>64</v>
      </c>
      <c r="O2942" s="6" t="s">
        <v>49</v>
      </c>
      <c r="P2942" s="6">
        <f>COUNTIF(Analysis!$M$1:$M$3001,Analysis!$M2942)</f>
        <v>1</v>
      </c>
      <c r="Q2942" s="6" t="str">
        <f>IF(COUNTIF(Analysis!$M$2:$M$3001,Analysis!$M2942)&gt;1,"Duplicate","OK")</f>
        <v>OK</v>
      </c>
      <c r="R2942" s="6" t="str">
        <f t="shared" si="1"/>
        <v>1600-2600</v>
      </c>
      <c r="S2942" s="6">
        <f t="shared" si="2"/>
        <v>7</v>
      </c>
      <c r="T2942" s="6" t="str">
        <f t="shared" si="3"/>
        <v>New</v>
      </c>
    </row>
    <row r="2943" ht="14.25" customHeight="1">
      <c r="A2943" s="5">
        <v>1466346.0</v>
      </c>
      <c r="B2943" s="6" t="s">
        <v>11806</v>
      </c>
      <c r="C2943" s="6" t="s">
        <v>39</v>
      </c>
      <c r="D2943" s="6">
        <v>48995.0</v>
      </c>
      <c r="E2943" s="6" t="s">
        <v>19</v>
      </c>
      <c r="F2943" s="6" t="s">
        <v>41</v>
      </c>
      <c r="G2943" s="6" t="s">
        <v>100</v>
      </c>
      <c r="H2943" s="7">
        <v>2942.0</v>
      </c>
      <c r="I2943" s="7">
        <v>9750.0</v>
      </c>
      <c r="J2943" s="6">
        <v>2019.0</v>
      </c>
      <c r="K2943" s="6">
        <v>90.0</v>
      </c>
      <c r="L2943" s="6" t="s">
        <v>32</v>
      </c>
      <c r="M2943" s="6" t="s">
        <v>11807</v>
      </c>
      <c r="N2943" s="6" t="s">
        <v>34</v>
      </c>
      <c r="O2943" s="6" t="s">
        <v>25</v>
      </c>
      <c r="P2943" s="6">
        <f>COUNTIF(Analysis!$M$1:$M$3001,Analysis!$M2943)</f>
        <v>1</v>
      </c>
      <c r="Q2943" s="6" t="str">
        <f>IF(COUNTIF(Analysis!$M$2:$M$3001,Analysis!$M2943)&gt;1,"Duplicate","OK")</f>
        <v>OK</v>
      </c>
      <c r="R2943" s="6" t="str">
        <f t="shared" si="1"/>
        <v>2600-3600</v>
      </c>
      <c r="S2943" s="6">
        <f t="shared" si="2"/>
        <v>7</v>
      </c>
      <c r="T2943" s="6" t="str">
        <f t="shared" si="3"/>
        <v>New</v>
      </c>
    </row>
    <row r="2944" ht="14.25" customHeight="1">
      <c r="A2944" s="5">
        <v>1469707.0</v>
      </c>
      <c r="B2944" s="6" t="s">
        <v>3963</v>
      </c>
      <c r="C2944" s="6" t="s">
        <v>29</v>
      </c>
      <c r="D2944" s="6">
        <v>44244.0</v>
      </c>
      <c r="E2944" s="6" t="s">
        <v>60</v>
      </c>
      <c r="F2944" s="6" t="s">
        <v>41</v>
      </c>
      <c r="G2944" s="6" t="s">
        <v>31</v>
      </c>
      <c r="H2944" s="7">
        <v>1450.0</v>
      </c>
      <c r="I2944" s="7">
        <v>3222.0</v>
      </c>
      <c r="J2944" s="6">
        <v>2020.0</v>
      </c>
      <c r="K2944" s="6">
        <v>91.0</v>
      </c>
      <c r="L2944" s="6" t="s">
        <v>32</v>
      </c>
      <c r="M2944" s="6" t="s">
        <v>3964</v>
      </c>
      <c r="N2944" s="6" t="s">
        <v>34</v>
      </c>
      <c r="O2944" s="6" t="s">
        <v>35</v>
      </c>
      <c r="P2944" s="6">
        <f>COUNTIF(Analysis!$M$1:$M$3001,Analysis!$M981)</f>
        <v>1</v>
      </c>
      <c r="Q2944" s="6" t="str">
        <f>IF(COUNTIF(Analysis!$M$2:$M$3001,Analysis!$M981)&gt;1,"Duplicate","OK")</f>
        <v>OK</v>
      </c>
      <c r="R2944" s="6" t="str">
        <f t="shared" si="1"/>
        <v>600-1600</v>
      </c>
      <c r="S2944" s="6">
        <f t="shared" si="2"/>
        <v>6</v>
      </c>
      <c r="T2944" s="6" t="str">
        <f t="shared" si="3"/>
        <v>New</v>
      </c>
    </row>
    <row r="2945" ht="14.25" customHeight="1">
      <c r="A2945" s="5">
        <v>436022.0</v>
      </c>
      <c r="B2945" s="6" t="s">
        <v>11814</v>
      </c>
      <c r="C2945" s="6" t="s">
        <v>53</v>
      </c>
      <c r="D2945" s="6">
        <v>28140.0</v>
      </c>
      <c r="E2945" s="6" t="s">
        <v>40</v>
      </c>
      <c r="F2945" s="6" t="s">
        <v>61</v>
      </c>
      <c r="G2945" s="6" t="s">
        <v>21</v>
      </c>
      <c r="H2945" s="7">
        <v>1419.0</v>
      </c>
      <c r="I2945" s="7">
        <v>3083.0</v>
      </c>
      <c r="J2945" s="6">
        <v>2008.0</v>
      </c>
      <c r="K2945" s="6">
        <v>109.0</v>
      </c>
      <c r="L2945" s="6" t="s">
        <v>32</v>
      </c>
      <c r="M2945" s="6" t="s">
        <v>11815</v>
      </c>
      <c r="N2945" s="6" t="s">
        <v>48</v>
      </c>
      <c r="O2945" s="6" t="s">
        <v>35</v>
      </c>
      <c r="P2945" s="6">
        <f>COUNTIF(Analysis!$M$1:$M$3001,Analysis!$M2945)</f>
        <v>1</v>
      </c>
      <c r="Q2945" s="6" t="str">
        <f>IF(COUNTIF(Analysis!$M$2:$M$3001,Analysis!$M2945)&gt;1,"Duplicate","OK")</f>
        <v>OK</v>
      </c>
      <c r="R2945" s="6" t="str">
        <f t="shared" si="1"/>
        <v>600-1600</v>
      </c>
      <c r="S2945" s="6">
        <f t="shared" si="2"/>
        <v>18</v>
      </c>
      <c r="T2945" s="6" t="str">
        <f t="shared" si="3"/>
        <v>Mid</v>
      </c>
    </row>
    <row r="2946" ht="14.25" customHeight="1">
      <c r="A2946" s="5">
        <v>945774.0</v>
      </c>
      <c r="B2946" s="6" t="s">
        <v>11818</v>
      </c>
      <c r="C2946" s="6" t="s">
        <v>39</v>
      </c>
      <c r="D2946" s="6">
        <v>96257.0</v>
      </c>
      <c r="E2946" s="6" t="s">
        <v>77</v>
      </c>
      <c r="F2946" s="6" t="s">
        <v>20</v>
      </c>
      <c r="G2946" s="6" t="s">
        <v>21</v>
      </c>
      <c r="H2946" s="7">
        <v>2696.0</v>
      </c>
      <c r="I2946" s="7">
        <v>2581.0</v>
      </c>
      <c r="J2946" s="6">
        <v>2000.0</v>
      </c>
      <c r="K2946" s="6">
        <v>53.0</v>
      </c>
      <c r="L2946" s="6" t="s">
        <v>141</v>
      </c>
      <c r="M2946" s="6" t="s">
        <v>11819</v>
      </c>
      <c r="N2946" s="6" t="s">
        <v>24</v>
      </c>
      <c r="O2946" s="6" t="s">
        <v>49</v>
      </c>
      <c r="P2946" s="6">
        <f>COUNTIF(Analysis!$M$1:$M$3001,Analysis!$M2946)</f>
        <v>1</v>
      </c>
      <c r="Q2946" s="6" t="str">
        <f>IF(COUNTIF(Analysis!$M$2:$M$3001,Analysis!$M2946)&gt;1,"Duplicate","OK")</f>
        <v>OK</v>
      </c>
      <c r="R2946" s="6" t="str">
        <f t="shared" si="1"/>
        <v>2600-3600</v>
      </c>
      <c r="S2946" s="6">
        <f t="shared" si="2"/>
        <v>26</v>
      </c>
      <c r="T2946" s="6" t="str">
        <f t="shared" si="3"/>
        <v>Mid</v>
      </c>
    </row>
    <row r="2947" ht="14.25" customHeight="1">
      <c r="A2947" s="5">
        <v>510098.0</v>
      </c>
      <c r="B2947" s="6" t="s">
        <v>11822</v>
      </c>
      <c r="C2947" s="6" t="s">
        <v>76</v>
      </c>
      <c r="D2947" s="6">
        <v>57075.0</v>
      </c>
      <c r="E2947" s="6" t="s">
        <v>77</v>
      </c>
      <c r="F2947" s="6" t="s">
        <v>61</v>
      </c>
      <c r="G2947" s="6" t="s">
        <v>31</v>
      </c>
      <c r="H2947" s="7">
        <v>2729.0</v>
      </c>
      <c r="I2947" s="7">
        <v>7204.0</v>
      </c>
      <c r="J2947" s="6">
        <v>1977.0</v>
      </c>
      <c r="K2947" s="6">
        <v>84.0</v>
      </c>
      <c r="L2947" s="6" t="s">
        <v>62</v>
      </c>
      <c r="M2947" s="6" t="s">
        <v>11823</v>
      </c>
      <c r="N2947" s="6" t="s">
        <v>48</v>
      </c>
      <c r="O2947" s="6" t="s">
        <v>35</v>
      </c>
      <c r="P2947" s="6">
        <f>COUNTIF(Analysis!$M$1:$M$3001,Analysis!$M2947)</f>
        <v>1</v>
      </c>
      <c r="Q2947" s="6" t="str">
        <f>IF(COUNTIF(Analysis!$M$2:$M$3001,Analysis!$M2947)&gt;1,"Duplicate","OK")</f>
        <v>OK</v>
      </c>
      <c r="R2947" s="6" t="str">
        <f t="shared" si="1"/>
        <v>2600-3600</v>
      </c>
      <c r="S2947" s="6">
        <f t="shared" si="2"/>
        <v>49</v>
      </c>
      <c r="T2947" s="6" t="str">
        <f t="shared" si="3"/>
        <v>Old</v>
      </c>
    </row>
    <row r="2948" ht="14.25" customHeight="1">
      <c r="A2948" s="5">
        <v>461841.0</v>
      </c>
      <c r="B2948" s="6" t="s">
        <v>11826</v>
      </c>
      <c r="C2948" s="6" t="s">
        <v>76</v>
      </c>
      <c r="D2948" s="6">
        <v>20228.0</v>
      </c>
      <c r="E2948" s="6" t="s">
        <v>60</v>
      </c>
      <c r="F2948" s="6" t="s">
        <v>41</v>
      </c>
      <c r="G2948" s="6" t="s">
        <v>31</v>
      </c>
      <c r="H2948" s="7">
        <v>3455.0</v>
      </c>
      <c r="I2948" s="7">
        <v>9429.0</v>
      </c>
      <c r="J2948" s="6">
        <v>1990.0</v>
      </c>
      <c r="K2948" s="6">
        <v>110.0</v>
      </c>
      <c r="L2948" s="6" t="s">
        <v>95</v>
      </c>
      <c r="M2948" s="6" t="s">
        <v>11827</v>
      </c>
      <c r="N2948" s="6" t="s">
        <v>24</v>
      </c>
      <c r="O2948" s="6" t="s">
        <v>35</v>
      </c>
      <c r="P2948" s="6">
        <f>COUNTIF(Analysis!$M$1:$M$3001,Analysis!$M2948)</f>
        <v>1</v>
      </c>
      <c r="Q2948" s="6" t="str">
        <f>IF(COUNTIF(Analysis!$M$2:$M$3001,Analysis!$M2948)&gt;1,"Duplicate","OK")</f>
        <v>OK</v>
      </c>
      <c r="R2948" s="6" t="str">
        <f t="shared" si="1"/>
        <v>2600-3600</v>
      </c>
      <c r="S2948" s="6">
        <f t="shared" si="2"/>
        <v>36</v>
      </c>
      <c r="T2948" s="6" t="str">
        <f t="shared" si="3"/>
        <v>Old</v>
      </c>
    </row>
    <row r="2949" ht="14.25" customHeight="1">
      <c r="A2949" s="5">
        <v>576151.0</v>
      </c>
      <c r="B2949" s="6" t="s">
        <v>11830</v>
      </c>
      <c r="C2949" s="6" t="s">
        <v>76</v>
      </c>
      <c r="D2949" s="6">
        <v>81096.0</v>
      </c>
      <c r="E2949" s="6" t="s">
        <v>60</v>
      </c>
      <c r="F2949" s="6" t="s">
        <v>20</v>
      </c>
      <c r="G2949" s="6" t="s">
        <v>21</v>
      </c>
      <c r="H2949" s="7">
        <v>2095.0</v>
      </c>
      <c r="I2949" s="7">
        <v>5672.0</v>
      </c>
      <c r="J2949" s="6">
        <v>1982.0</v>
      </c>
      <c r="K2949" s="6">
        <v>58.0</v>
      </c>
      <c r="L2949" s="6" t="s">
        <v>95</v>
      </c>
      <c r="M2949" s="6" t="s">
        <v>11831</v>
      </c>
      <c r="N2949" s="6" t="s">
        <v>43</v>
      </c>
      <c r="O2949" s="6" t="s">
        <v>49</v>
      </c>
      <c r="P2949" s="6">
        <f>COUNTIF(Analysis!$M$1:$M$3001,Analysis!$M2949)</f>
        <v>1</v>
      </c>
      <c r="Q2949" s="6" t="str">
        <f>IF(COUNTIF(Analysis!$M$2:$M$3001,Analysis!$M2949)&gt;1,"Duplicate","OK")</f>
        <v>OK</v>
      </c>
      <c r="R2949" s="6" t="str">
        <f t="shared" si="1"/>
        <v>1600-2600</v>
      </c>
      <c r="S2949" s="6">
        <f t="shared" si="2"/>
        <v>44</v>
      </c>
      <c r="T2949" s="6" t="str">
        <f t="shared" si="3"/>
        <v>Old</v>
      </c>
    </row>
    <row r="2950" ht="14.25" customHeight="1">
      <c r="A2950" s="5">
        <v>1472375.0</v>
      </c>
      <c r="B2950" s="6" t="s">
        <v>3431</v>
      </c>
      <c r="C2950" s="6" t="s">
        <v>29</v>
      </c>
      <c r="D2950" s="6">
        <v>59919.0</v>
      </c>
      <c r="E2950" s="6" t="s">
        <v>19</v>
      </c>
      <c r="F2950" s="6" t="s">
        <v>20</v>
      </c>
      <c r="G2950" s="6" t="s">
        <v>31</v>
      </c>
      <c r="H2950" s="7">
        <v>1418.0</v>
      </c>
      <c r="I2950" s="7">
        <v>5105.0</v>
      </c>
      <c r="J2950" s="6">
        <v>1962.0</v>
      </c>
      <c r="K2950" s="6">
        <v>110.0</v>
      </c>
      <c r="L2950" s="6" t="s">
        <v>22</v>
      </c>
      <c r="M2950" s="6" t="s">
        <v>3432</v>
      </c>
      <c r="N2950" s="6" t="s">
        <v>24</v>
      </c>
      <c r="O2950" s="6" t="s">
        <v>35</v>
      </c>
      <c r="P2950" s="6">
        <f>COUNTIF(Analysis!$M$1:$M$3001,Analysis!$M848)</f>
        <v>1</v>
      </c>
      <c r="Q2950" s="6" t="str">
        <f>IF(COUNTIF(Analysis!$M$2:$M$3001,Analysis!$M848)&gt;1,"Duplicate","OK")</f>
        <v>OK</v>
      </c>
      <c r="R2950" s="6" t="str">
        <f t="shared" si="1"/>
        <v>600-1600</v>
      </c>
      <c r="S2950" s="6">
        <f t="shared" si="2"/>
        <v>64</v>
      </c>
      <c r="T2950" s="6" t="str">
        <f t="shared" si="3"/>
        <v>Very Old</v>
      </c>
    </row>
    <row r="2951" ht="14.25" customHeight="1">
      <c r="A2951" s="5">
        <v>1472458.0</v>
      </c>
      <c r="B2951" s="6" t="s">
        <v>1613</v>
      </c>
      <c r="C2951" s="6" t="s">
        <v>29</v>
      </c>
      <c r="D2951" s="6">
        <v>76431.0</v>
      </c>
      <c r="E2951" s="6" t="s">
        <v>30</v>
      </c>
      <c r="F2951" s="6" t="s">
        <v>94</v>
      </c>
      <c r="G2951" s="6" t="s">
        <v>31</v>
      </c>
      <c r="H2951" s="7">
        <v>2135.0</v>
      </c>
      <c r="I2951" s="7">
        <v>7168.0</v>
      </c>
      <c r="J2951" s="6">
        <v>1981.0</v>
      </c>
      <c r="K2951" s="6">
        <v>119.0</v>
      </c>
      <c r="L2951" s="6" t="s">
        <v>22</v>
      </c>
      <c r="M2951" s="6" t="s">
        <v>1614</v>
      </c>
      <c r="N2951" s="6" t="s">
        <v>34</v>
      </c>
      <c r="O2951" s="6" t="s">
        <v>35</v>
      </c>
      <c r="P2951" s="6">
        <f>COUNTIF(Analysis!$M$1:$M$3001,Analysis!$M393)</f>
        <v>1</v>
      </c>
      <c r="Q2951" s="6" t="str">
        <f>IF(COUNTIF(Analysis!$M$2:$M$3001,Analysis!$M393)&gt;1,"Duplicate","OK")</f>
        <v>OK</v>
      </c>
      <c r="R2951" s="6" t="str">
        <f t="shared" si="1"/>
        <v>1600-2600</v>
      </c>
      <c r="S2951" s="6">
        <f t="shared" si="2"/>
        <v>45</v>
      </c>
      <c r="T2951" s="6" t="str">
        <f t="shared" si="3"/>
        <v>Old</v>
      </c>
    </row>
    <row r="2952" ht="14.25" customHeight="1">
      <c r="A2952" s="5">
        <v>1253720.0</v>
      </c>
      <c r="B2952" s="6" t="s">
        <v>11842</v>
      </c>
      <c r="C2952" s="6" t="s">
        <v>18</v>
      </c>
      <c r="D2952" s="6">
        <v>78722.0</v>
      </c>
      <c r="E2952" s="6" t="s">
        <v>40</v>
      </c>
      <c r="F2952" s="6" t="s">
        <v>41</v>
      </c>
      <c r="G2952" s="6" t="s">
        <v>100</v>
      </c>
      <c r="H2952" s="7">
        <v>1223.0</v>
      </c>
      <c r="I2952" s="7">
        <v>8807.0</v>
      </c>
      <c r="J2952" s="6">
        <v>2005.0</v>
      </c>
      <c r="K2952" s="6">
        <v>66.0</v>
      </c>
      <c r="L2952" s="6" t="s">
        <v>62</v>
      </c>
      <c r="M2952" s="6" t="s">
        <v>11843</v>
      </c>
      <c r="N2952" s="6" t="s">
        <v>34</v>
      </c>
      <c r="O2952" s="6" t="s">
        <v>25</v>
      </c>
      <c r="P2952" s="6">
        <f>COUNTIF(Analysis!$M$1:$M$3001,Analysis!$M2952)</f>
        <v>1</v>
      </c>
      <c r="Q2952" s="6" t="str">
        <f>IF(COUNTIF(Analysis!$M$2:$M$3001,Analysis!$M2952)&gt;1,"Duplicate","OK")</f>
        <v>OK</v>
      </c>
      <c r="R2952" s="6" t="str">
        <f t="shared" si="1"/>
        <v>600-1600</v>
      </c>
      <c r="S2952" s="6">
        <f t="shared" si="2"/>
        <v>21</v>
      </c>
      <c r="T2952" s="6" t="str">
        <f t="shared" si="3"/>
        <v>Mid</v>
      </c>
    </row>
    <row r="2953" ht="14.25" customHeight="1">
      <c r="A2953" s="5">
        <v>465743.0</v>
      </c>
      <c r="B2953" s="6" t="s">
        <v>11846</v>
      </c>
      <c r="C2953" s="6" t="s">
        <v>76</v>
      </c>
      <c r="D2953" s="6">
        <v>54506.0</v>
      </c>
      <c r="E2953" s="6" t="s">
        <v>60</v>
      </c>
      <c r="F2953" s="6" t="s">
        <v>54</v>
      </c>
      <c r="G2953" s="6" t="s">
        <v>55</v>
      </c>
      <c r="H2953" s="7">
        <v>2826.0</v>
      </c>
      <c r="I2953" s="7">
        <v>8121.0</v>
      </c>
      <c r="J2953" s="6">
        <v>1962.0</v>
      </c>
      <c r="K2953" s="6">
        <v>106.0</v>
      </c>
      <c r="L2953" s="6" t="s">
        <v>32</v>
      </c>
      <c r="M2953" s="6" t="s">
        <v>11847</v>
      </c>
      <c r="N2953" s="6" t="s">
        <v>48</v>
      </c>
      <c r="O2953" s="6" t="s">
        <v>49</v>
      </c>
      <c r="P2953" s="6">
        <f>COUNTIF(Analysis!$M$1:$M$3001,Analysis!$M2953)</f>
        <v>1</v>
      </c>
      <c r="Q2953" s="6" t="str">
        <f>IF(COUNTIF(Analysis!$M$2:$M$3001,Analysis!$M2953)&gt;1,"Duplicate","OK")</f>
        <v>OK</v>
      </c>
      <c r="R2953" s="6" t="str">
        <f t="shared" si="1"/>
        <v>2600-3600</v>
      </c>
      <c r="S2953" s="6">
        <f t="shared" si="2"/>
        <v>64</v>
      </c>
      <c r="T2953" s="6" t="str">
        <f t="shared" si="3"/>
        <v>Very Old</v>
      </c>
    </row>
    <row r="2954" ht="14.25" customHeight="1">
      <c r="A2954" s="5">
        <v>324975.0</v>
      </c>
      <c r="B2954" s="6" t="s">
        <v>11850</v>
      </c>
      <c r="C2954" s="6" t="s">
        <v>39</v>
      </c>
      <c r="D2954" s="6">
        <v>91219.0</v>
      </c>
      <c r="E2954" s="6" t="s">
        <v>60</v>
      </c>
      <c r="F2954" s="6" t="s">
        <v>61</v>
      </c>
      <c r="G2954" s="6" t="s">
        <v>21</v>
      </c>
      <c r="H2954" s="7">
        <v>2677.0</v>
      </c>
      <c r="I2954" s="7">
        <v>6781.0</v>
      </c>
      <c r="J2954" s="6">
        <v>1964.0</v>
      </c>
      <c r="K2954" s="6">
        <v>19.0</v>
      </c>
      <c r="L2954" s="6" t="s">
        <v>141</v>
      </c>
      <c r="M2954" s="6" t="s">
        <v>11851</v>
      </c>
      <c r="N2954" s="6" t="s">
        <v>43</v>
      </c>
      <c r="O2954" s="6" t="s">
        <v>49</v>
      </c>
      <c r="P2954" s="6">
        <f>COUNTIF(Analysis!$M$1:$M$3001,Analysis!$M2954)</f>
        <v>1</v>
      </c>
      <c r="Q2954" s="6" t="str">
        <f>IF(COUNTIF(Analysis!$M$2:$M$3001,Analysis!$M2954)&gt;1,"Duplicate","OK")</f>
        <v>OK</v>
      </c>
      <c r="R2954" s="6" t="str">
        <f t="shared" si="1"/>
        <v>2600-3600</v>
      </c>
      <c r="S2954" s="6">
        <f t="shared" si="2"/>
        <v>62</v>
      </c>
      <c r="T2954" s="6" t="str">
        <f t="shared" si="3"/>
        <v>Very Old</v>
      </c>
    </row>
    <row r="2955" ht="14.25" customHeight="1">
      <c r="A2955" s="5">
        <v>574029.0</v>
      </c>
      <c r="B2955" s="6" t="s">
        <v>11854</v>
      </c>
      <c r="C2955" s="6" t="s">
        <v>53</v>
      </c>
      <c r="D2955" s="6">
        <v>36687.0</v>
      </c>
      <c r="E2955" s="6" t="s">
        <v>40</v>
      </c>
      <c r="F2955" s="6" t="s">
        <v>41</v>
      </c>
      <c r="G2955" s="6" t="s">
        <v>55</v>
      </c>
      <c r="H2955" s="7">
        <v>2086.0</v>
      </c>
      <c r="I2955" s="7">
        <v>2264.0</v>
      </c>
      <c r="J2955" s="6">
        <v>1997.0</v>
      </c>
      <c r="K2955" s="6">
        <v>63.0</v>
      </c>
      <c r="L2955" s="6" t="s">
        <v>22</v>
      </c>
      <c r="M2955" s="6" t="s">
        <v>11855</v>
      </c>
      <c r="N2955" s="6" t="s">
        <v>34</v>
      </c>
      <c r="O2955" s="6" t="s">
        <v>35</v>
      </c>
      <c r="P2955" s="6">
        <f>COUNTIF(Analysis!$M$1:$M$3001,Analysis!$M2955)</f>
        <v>1</v>
      </c>
      <c r="Q2955" s="6" t="str">
        <f>IF(COUNTIF(Analysis!$M$2:$M$3001,Analysis!$M2955)&gt;1,"Duplicate","OK")</f>
        <v>OK</v>
      </c>
      <c r="R2955" s="6" t="str">
        <f t="shared" si="1"/>
        <v>1600-2600</v>
      </c>
      <c r="S2955" s="6">
        <f t="shared" si="2"/>
        <v>29</v>
      </c>
      <c r="T2955" s="6" t="str">
        <f t="shared" si="3"/>
        <v>Mid</v>
      </c>
    </row>
    <row r="2956" ht="14.25" customHeight="1">
      <c r="A2956" s="5">
        <v>1472857.0</v>
      </c>
      <c r="B2956" s="6" t="s">
        <v>5802</v>
      </c>
      <c r="C2956" s="6" t="s">
        <v>29</v>
      </c>
      <c r="D2956" s="6">
        <v>97893.0</v>
      </c>
      <c r="E2956" s="6" t="s">
        <v>77</v>
      </c>
      <c r="F2956" s="6" t="s">
        <v>41</v>
      </c>
      <c r="G2956" s="6" t="s">
        <v>21</v>
      </c>
      <c r="H2956" s="7">
        <v>1347.0</v>
      </c>
      <c r="I2956" s="7">
        <v>2615.0</v>
      </c>
      <c r="J2956" s="6">
        <v>2001.0</v>
      </c>
      <c r="K2956" s="6">
        <v>95.0</v>
      </c>
      <c r="L2956" s="6" t="s">
        <v>32</v>
      </c>
      <c r="M2956" s="6" t="s">
        <v>5803</v>
      </c>
      <c r="N2956" s="6" t="s">
        <v>64</v>
      </c>
      <c r="O2956" s="6" t="s">
        <v>35</v>
      </c>
      <c r="P2956" s="6">
        <f>COUNTIF(Analysis!$M$1:$M$3001,Analysis!$M1441)</f>
        <v>1</v>
      </c>
      <c r="Q2956" s="6" t="str">
        <f>IF(COUNTIF(Analysis!$M$2:$M$3001,Analysis!$M1441)&gt;1,"Duplicate","OK")</f>
        <v>OK</v>
      </c>
      <c r="R2956" s="6" t="str">
        <f t="shared" si="1"/>
        <v>600-1600</v>
      </c>
      <c r="S2956" s="6">
        <f t="shared" si="2"/>
        <v>25</v>
      </c>
      <c r="T2956" s="6" t="str">
        <f t="shared" si="3"/>
        <v>Mid</v>
      </c>
    </row>
    <row r="2957" ht="14.25" customHeight="1">
      <c r="A2957" s="5">
        <v>1233794.0</v>
      </c>
      <c r="B2957" s="6" t="s">
        <v>11862</v>
      </c>
      <c r="C2957" s="6" t="s">
        <v>18</v>
      </c>
      <c r="D2957" s="6">
        <v>69637.0</v>
      </c>
      <c r="E2957" s="6" t="s">
        <v>30</v>
      </c>
      <c r="F2957" s="6" t="s">
        <v>54</v>
      </c>
      <c r="G2957" s="6" t="s">
        <v>21</v>
      </c>
      <c r="H2957" s="7">
        <v>1952.0</v>
      </c>
      <c r="I2957" s="7">
        <v>7526.0</v>
      </c>
      <c r="J2957" s="6">
        <v>1974.0</v>
      </c>
      <c r="K2957" s="6">
        <v>84.0</v>
      </c>
      <c r="L2957" s="6" t="s">
        <v>62</v>
      </c>
      <c r="M2957" s="6" t="s">
        <v>11863</v>
      </c>
      <c r="N2957" s="6" t="s">
        <v>64</v>
      </c>
      <c r="O2957" s="6" t="s">
        <v>35</v>
      </c>
      <c r="P2957" s="6">
        <f>COUNTIF(Analysis!$M$1:$M$3001,Analysis!$M2957)</f>
        <v>1</v>
      </c>
      <c r="Q2957" s="6" t="str">
        <f>IF(COUNTIF(Analysis!$M$2:$M$3001,Analysis!$M2957)&gt;1,"Duplicate","OK")</f>
        <v>OK</v>
      </c>
      <c r="R2957" s="6" t="str">
        <f t="shared" si="1"/>
        <v>1600-2600</v>
      </c>
      <c r="S2957" s="6">
        <f t="shared" si="2"/>
        <v>52</v>
      </c>
      <c r="T2957" s="6" t="str">
        <f t="shared" si="3"/>
        <v>Old</v>
      </c>
    </row>
    <row r="2958" ht="14.25" customHeight="1">
      <c r="A2958" s="5">
        <v>1322594.0</v>
      </c>
      <c r="B2958" s="6" t="s">
        <v>11866</v>
      </c>
      <c r="C2958" s="6" t="s">
        <v>76</v>
      </c>
      <c r="D2958" s="6">
        <v>64803.0</v>
      </c>
      <c r="E2958" s="6" t="s">
        <v>40</v>
      </c>
      <c r="F2958" s="6" t="s">
        <v>61</v>
      </c>
      <c r="G2958" s="6" t="s">
        <v>100</v>
      </c>
      <c r="H2958" s="7">
        <v>2471.0</v>
      </c>
      <c r="I2958" s="7">
        <v>1915.0</v>
      </c>
      <c r="J2958" s="6">
        <v>1984.0</v>
      </c>
      <c r="K2958" s="6">
        <v>66.0</v>
      </c>
      <c r="L2958" s="6" t="s">
        <v>22</v>
      </c>
      <c r="M2958" s="6" t="s">
        <v>11867</v>
      </c>
      <c r="N2958" s="6" t="s">
        <v>43</v>
      </c>
      <c r="O2958" s="6" t="s">
        <v>25</v>
      </c>
      <c r="P2958" s="6">
        <f>COUNTIF(Analysis!$M$1:$M$3001,Analysis!$M2958)</f>
        <v>1</v>
      </c>
      <c r="Q2958" s="6" t="str">
        <f>IF(COUNTIF(Analysis!$M$2:$M$3001,Analysis!$M2958)&gt;1,"Duplicate","OK")</f>
        <v>OK</v>
      </c>
      <c r="R2958" s="6" t="str">
        <f t="shared" si="1"/>
        <v>1600-2600</v>
      </c>
      <c r="S2958" s="6">
        <f t="shared" si="2"/>
        <v>42</v>
      </c>
      <c r="T2958" s="6" t="str">
        <f t="shared" si="3"/>
        <v>Old</v>
      </c>
    </row>
    <row r="2959" ht="14.25" customHeight="1">
      <c r="A2959" s="5">
        <v>1474598.0</v>
      </c>
      <c r="B2959" s="6" t="s">
        <v>8840</v>
      </c>
      <c r="C2959" s="6" t="s">
        <v>29</v>
      </c>
      <c r="D2959" s="6">
        <v>94503.0</v>
      </c>
      <c r="E2959" s="6" t="s">
        <v>19</v>
      </c>
      <c r="F2959" s="6" t="s">
        <v>61</v>
      </c>
      <c r="G2959" s="6" t="s">
        <v>31</v>
      </c>
      <c r="H2959" s="7">
        <v>2302.0</v>
      </c>
      <c r="I2959" s="7">
        <v>2533.0</v>
      </c>
      <c r="J2959" s="6">
        <v>2016.0</v>
      </c>
      <c r="K2959" s="6">
        <v>66.0</v>
      </c>
      <c r="L2959" s="6" t="s">
        <v>22</v>
      </c>
      <c r="M2959" s="6" t="s">
        <v>5927</v>
      </c>
      <c r="N2959" s="6" t="s">
        <v>64</v>
      </c>
      <c r="O2959" s="6" t="s">
        <v>35</v>
      </c>
      <c r="P2959" s="6">
        <f>COUNTIF(Analysis!$M$1:$M$3001,Analysis!$M2201)</f>
        <v>1</v>
      </c>
      <c r="Q2959" s="6" t="str">
        <f>IF(COUNTIF(Analysis!$M$2:$M$3001,Analysis!$M2201)&gt;1,"Duplicate","OK")</f>
        <v>OK</v>
      </c>
      <c r="R2959" s="6" t="str">
        <f t="shared" si="1"/>
        <v>1600-2600</v>
      </c>
      <c r="S2959" s="6">
        <f t="shared" si="2"/>
        <v>10</v>
      </c>
      <c r="T2959" s="6" t="str">
        <f t="shared" si="3"/>
        <v>New</v>
      </c>
    </row>
    <row r="2960" ht="14.25" customHeight="1">
      <c r="A2960" s="5">
        <v>1477906.0</v>
      </c>
      <c r="B2960" s="6" t="s">
        <v>6469</v>
      </c>
      <c r="C2960" s="6" t="s">
        <v>29</v>
      </c>
      <c r="D2960" s="6">
        <v>36635.0</v>
      </c>
      <c r="E2960" s="6" t="s">
        <v>77</v>
      </c>
      <c r="F2960" s="6" t="s">
        <v>46</v>
      </c>
      <c r="G2960" s="6" t="s">
        <v>21</v>
      </c>
      <c r="H2960" s="7">
        <v>2283.0</v>
      </c>
      <c r="I2960" s="7">
        <v>2136.0</v>
      </c>
      <c r="J2960" s="6">
        <v>2009.0</v>
      </c>
      <c r="K2960" s="6">
        <v>43.0</v>
      </c>
      <c r="L2960" s="6" t="s">
        <v>62</v>
      </c>
      <c r="M2960" s="6" t="s">
        <v>6470</v>
      </c>
      <c r="N2960" s="6" t="s">
        <v>43</v>
      </c>
      <c r="O2960" s="6" t="s">
        <v>35</v>
      </c>
      <c r="P2960" s="6">
        <f>COUNTIF(Analysis!$M$1:$M$3001,Analysis!$M1608)</f>
        <v>1</v>
      </c>
      <c r="Q2960" s="6" t="str">
        <f>IF(COUNTIF(Analysis!$M$2:$M$3001,Analysis!$M1608)&gt;1,"Duplicate","OK")</f>
        <v>OK</v>
      </c>
      <c r="R2960" s="6" t="str">
        <f t="shared" si="1"/>
        <v>1600-2600</v>
      </c>
      <c r="S2960" s="6">
        <f t="shared" si="2"/>
        <v>17</v>
      </c>
      <c r="T2960" s="6" t="str">
        <f t="shared" si="3"/>
        <v>Mid</v>
      </c>
    </row>
    <row r="2961" ht="14.25" customHeight="1">
      <c r="A2961" s="5">
        <v>867826.0</v>
      </c>
      <c r="B2961" s="6" t="s">
        <v>11878</v>
      </c>
      <c r="C2961" s="6" t="s">
        <v>39</v>
      </c>
      <c r="D2961" s="6">
        <v>59416.0</v>
      </c>
      <c r="E2961" s="6" t="s">
        <v>40</v>
      </c>
      <c r="F2961" s="6" t="s">
        <v>94</v>
      </c>
      <c r="G2961" s="6" t="s">
        <v>21</v>
      </c>
      <c r="H2961" s="7">
        <v>2211.0</v>
      </c>
      <c r="I2961" s="7">
        <v>8363.0</v>
      </c>
      <c r="J2961" s="6">
        <v>2017.0</v>
      </c>
      <c r="K2961" s="6">
        <v>45.0</v>
      </c>
      <c r="L2961" s="6" t="s">
        <v>22</v>
      </c>
      <c r="M2961" s="6" t="s">
        <v>11879</v>
      </c>
      <c r="N2961" s="6" t="s">
        <v>24</v>
      </c>
      <c r="O2961" s="6" t="s">
        <v>35</v>
      </c>
      <c r="P2961" s="6">
        <f>COUNTIF(Analysis!$M$1:$M$3001,Analysis!$M2961)</f>
        <v>1</v>
      </c>
      <c r="Q2961" s="6" t="str">
        <f>IF(COUNTIF(Analysis!$M$2:$M$3001,Analysis!$M2961)&gt;1,"Duplicate","OK")</f>
        <v>OK</v>
      </c>
      <c r="R2961" s="6" t="str">
        <f t="shared" si="1"/>
        <v>1600-2600</v>
      </c>
      <c r="S2961" s="6">
        <f t="shared" si="2"/>
        <v>9</v>
      </c>
      <c r="T2961" s="6" t="str">
        <f t="shared" si="3"/>
        <v>New</v>
      </c>
    </row>
    <row r="2962" ht="14.25" customHeight="1">
      <c r="A2962" s="5">
        <v>1035884.0</v>
      </c>
      <c r="B2962" s="6" t="s">
        <v>11882</v>
      </c>
      <c r="C2962" s="6" t="s">
        <v>53</v>
      </c>
      <c r="D2962" s="6">
        <v>79542.0</v>
      </c>
      <c r="E2962" s="6" t="s">
        <v>30</v>
      </c>
      <c r="F2962" s="6" t="s">
        <v>46</v>
      </c>
      <c r="G2962" s="6" t="s">
        <v>21</v>
      </c>
      <c r="H2962" s="7">
        <v>2011.0</v>
      </c>
      <c r="I2962" s="7">
        <v>6213.0</v>
      </c>
      <c r="J2962" s="6">
        <v>1969.0</v>
      </c>
      <c r="K2962" s="6">
        <v>86.0</v>
      </c>
      <c r="L2962" s="6" t="s">
        <v>22</v>
      </c>
      <c r="M2962" s="6" t="s">
        <v>11883</v>
      </c>
      <c r="N2962" s="6" t="s">
        <v>34</v>
      </c>
      <c r="O2962" s="6" t="s">
        <v>25</v>
      </c>
      <c r="P2962" s="6">
        <f>COUNTIF(Analysis!$M$1:$M$3001,Analysis!$M2962)</f>
        <v>1</v>
      </c>
      <c r="Q2962" s="6" t="str">
        <f>IF(COUNTIF(Analysis!$M$2:$M$3001,Analysis!$M2962)&gt;1,"Duplicate","OK")</f>
        <v>OK</v>
      </c>
      <c r="R2962" s="6" t="str">
        <f t="shared" si="1"/>
        <v>1600-2600</v>
      </c>
      <c r="S2962" s="6">
        <f t="shared" si="2"/>
        <v>57</v>
      </c>
      <c r="T2962" s="6" t="str">
        <f t="shared" si="3"/>
        <v>Old</v>
      </c>
    </row>
    <row r="2963" ht="14.25" customHeight="1">
      <c r="A2963" s="5">
        <v>334465.0</v>
      </c>
      <c r="B2963" s="6" t="s">
        <v>11886</v>
      </c>
      <c r="C2963" s="6" t="s">
        <v>76</v>
      </c>
      <c r="D2963" s="6">
        <v>25725.0</v>
      </c>
      <c r="E2963" s="6" t="s">
        <v>19</v>
      </c>
      <c r="F2963" s="6" t="s">
        <v>46</v>
      </c>
      <c r="G2963" s="6" t="s">
        <v>100</v>
      </c>
      <c r="H2963" s="7">
        <v>3861.0</v>
      </c>
      <c r="I2963" s="7">
        <v>5073.0</v>
      </c>
      <c r="J2963" s="6">
        <v>2023.0</v>
      </c>
      <c r="K2963" s="6">
        <v>119.0</v>
      </c>
      <c r="L2963" s="6" t="s">
        <v>22</v>
      </c>
      <c r="M2963" s="6" t="s">
        <v>11887</v>
      </c>
      <c r="N2963" s="6" t="s">
        <v>64</v>
      </c>
      <c r="O2963" s="6" t="s">
        <v>25</v>
      </c>
      <c r="P2963" s="6">
        <f>COUNTIF(Analysis!$M$1:$M$3001,Analysis!$M2963)</f>
        <v>1</v>
      </c>
      <c r="Q2963" s="6" t="str">
        <f>IF(COUNTIF(Analysis!$M$2:$M$3001,Analysis!$M2963)&gt;1,"Duplicate","OK")</f>
        <v>OK</v>
      </c>
      <c r="R2963" s="6" t="str">
        <f t="shared" si="1"/>
        <v>3600+</v>
      </c>
      <c r="S2963" s="6">
        <f t="shared" si="2"/>
        <v>3</v>
      </c>
      <c r="T2963" s="6" t="str">
        <f t="shared" si="3"/>
        <v>New</v>
      </c>
    </row>
    <row r="2964" ht="14.25" customHeight="1">
      <c r="A2964" s="5">
        <v>983059.0</v>
      </c>
      <c r="B2964" s="6" t="s">
        <v>11890</v>
      </c>
      <c r="C2964" s="6" t="s">
        <v>76</v>
      </c>
      <c r="D2964" s="6">
        <v>42585.0</v>
      </c>
      <c r="E2964" s="6" t="s">
        <v>19</v>
      </c>
      <c r="F2964" s="6" t="s">
        <v>41</v>
      </c>
      <c r="G2964" s="6" t="s">
        <v>55</v>
      </c>
      <c r="H2964" s="7">
        <v>1765.0</v>
      </c>
      <c r="I2964" s="7">
        <v>7387.0</v>
      </c>
      <c r="J2964" s="6">
        <v>1974.0</v>
      </c>
      <c r="K2964" s="6">
        <v>12.0</v>
      </c>
      <c r="L2964" s="6" t="s">
        <v>22</v>
      </c>
      <c r="M2964" s="6" t="s">
        <v>11891</v>
      </c>
      <c r="N2964" s="6" t="s">
        <v>34</v>
      </c>
      <c r="O2964" s="6" t="s">
        <v>25</v>
      </c>
      <c r="P2964" s="6">
        <f>COUNTIF(Analysis!$M$1:$M$3001,Analysis!$M2964)</f>
        <v>1</v>
      </c>
      <c r="Q2964" s="6" t="str">
        <f>IF(COUNTIF(Analysis!$M$2:$M$3001,Analysis!$M2964)&gt;1,"Duplicate","OK")</f>
        <v>OK</v>
      </c>
      <c r="R2964" s="6" t="str">
        <f t="shared" si="1"/>
        <v>1600-2600</v>
      </c>
      <c r="S2964" s="6">
        <f t="shared" si="2"/>
        <v>52</v>
      </c>
      <c r="T2964" s="6" t="str">
        <f t="shared" si="3"/>
        <v>Old</v>
      </c>
    </row>
    <row r="2965" ht="14.25" customHeight="1">
      <c r="A2965" s="5">
        <v>1483606.0</v>
      </c>
      <c r="B2965" s="6" t="s">
        <v>8153</v>
      </c>
      <c r="C2965" s="6" t="s">
        <v>29</v>
      </c>
      <c r="D2965" s="6">
        <v>11217.0</v>
      </c>
      <c r="E2965" s="6" t="s">
        <v>77</v>
      </c>
      <c r="F2965" s="6" t="s">
        <v>94</v>
      </c>
      <c r="G2965" s="6" t="s">
        <v>100</v>
      </c>
      <c r="H2965" s="7">
        <v>3433.0</v>
      </c>
      <c r="I2965" s="7">
        <v>8275.0</v>
      </c>
      <c r="J2965" s="6">
        <v>1991.0</v>
      </c>
      <c r="K2965" s="6">
        <v>114.0</v>
      </c>
      <c r="L2965" s="6" t="s">
        <v>141</v>
      </c>
      <c r="M2965" s="6" t="s">
        <v>8154</v>
      </c>
      <c r="N2965" s="6" t="s">
        <v>43</v>
      </c>
      <c r="O2965" s="6" t="s">
        <v>35</v>
      </c>
      <c r="P2965" s="6">
        <f>COUNTIF(Analysis!$M$1:$M$3001,Analysis!$M2029)</f>
        <v>1</v>
      </c>
      <c r="Q2965" s="6" t="str">
        <f>IF(COUNTIF(Analysis!$M$2:$M$3001,Analysis!$M2029)&gt;1,"Duplicate","OK")</f>
        <v>OK</v>
      </c>
      <c r="R2965" s="6" t="str">
        <f t="shared" si="1"/>
        <v>2600-3600</v>
      </c>
      <c r="S2965" s="6">
        <f t="shared" si="2"/>
        <v>35</v>
      </c>
      <c r="T2965" s="6" t="str">
        <f t="shared" si="3"/>
        <v>Old</v>
      </c>
    </row>
    <row r="2966" ht="14.25" customHeight="1">
      <c r="A2966" s="5">
        <v>671605.0</v>
      </c>
      <c r="B2966" s="6" t="s">
        <v>11898</v>
      </c>
      <c r="C2966" s="6" t="s">
        <v>76</v>
      </c>
      <c r="D2966" s="6">
        <v>76081.0</v>
      </c>
      <c r="E2966" s="6" t="s">
        <v>30</v>
      </c>
      <c r="F2966" s="6" t="s">
        <v>20</v>
      </c>
      <c r="G2966" s="6" t="s">
        <v>21</v>
      </c>
      <c r="H2966" s="7">
        <v>3095.0</v>
      </c>
      <c r="I2966" s="7">
        <v>4763.0</v>
      </c>
      <c r="J2966" s="6">
        <v>2017.0</v>
      </c>
      <c r="K2966" s="6">
        <v>45.0</v>
      </c>
      <c r="L2966" s="6" t="s">
        <v>32</v>
      </c>
      <c r="M2966" s="6" t="s">
        <v>11899</v>
      </c>
      <c r="N2966" s="6" t="s">
        <v>43</v>
      </c>
      <c r="O2966" s="6" t="s">
        <v>25</v>
      </c>
      <c r="P2966" s="6">
        <f>COUNTIF(Analysis!$M$1:$M$3001,Analysis!$M2966)</f>
        <v>1</v>
      </c>
      <c r="Q2966" s="6" t="str">
        <f>IF(COUNTIF(Analysis!$M$2:$M$3001,Analysis!$M2966)&gt;1,"Duplicate","OK")</f>
        <v>OK</v>
      </c>
      <c r="R2966" s="6" t="str">
        <f t="shared" si="1"/>
        <v>2600-3600</v>
      </c>
      <c r="S2966" s="6">
        <f t="shared" si="2"/>
        <v>9</v>
      </c>
      <c r="T2966" s="6" t="str">
        <f t="shared" si="3"/>
        <v>New</v>
      </c>
    </row>
    <row r="2967" ht="14.25" customHeight="1">
      <c r="A2967" s="5">
        <v>853376.0</v>
      </c>
      <c r="B2967" s="6" t="s">
        <v>11902</v>
      </c>
      <c r="C2967" s="6" t="s">
        <v>53</v>
      </c>
      <c r="D2967" s="6">
        <v>95141.0</v>
      </c>
      <c r="E2967" s="6" t="s">
        <v>40</v>
      </c>
      <c r="F2967" s="6" t="s">
        <v>61</v>
      </c>
      <c r="G2967" s="6" t="s">
        <v>100</v>
      </c>
      <c r="H2967" s="7">
        <v>944.0</v>
      </c>
      <c r="I2967" s="7">
        <v>7667.0</v>
      </c>
      <c r="J2967" s="6">
        <v>1995.0</v>
      </c>
      <c r="K2967" s="6">
        <v>64.0</v>
      </c>
      <c r="L2967" s="6" t="s">
        <v>22</v>
      </c>
      <c r="M2967" s="6" t="s">
        <v>11903</v>
      </c>
      <c r="N2967" s="6" t="s">
        <v>34</v>
      </c>
      <c r="O2967" s="6" t="s">
        <v>25</v>
      </c>
      <c r="P2967" s="6">
        <f>COUNTIF(Analysis!$M$1:$M$3001,Analysis!$M2967)</f>
        <v>1</v>
      </c>
      <c r="Q2967" s="6" t="str">
        <f>IF(COUNTIF(Analysis!$M$2:$M$3001,Analysis!$M2967)&gt;1,"Duplicate","OK")</f>
        <v>OK</v>
      </c>
      <c r="R2967" s="6" t="str">
        <f t="shared" si="1"/>
        <v>600-1600</v>
      </c>
      <c r="S2967" s="6">
        <f t="shared" si="2"/>
        <v>31</v>
      </c>
      <c r="T2967" s="6" t="str">
        <f t="shared" si="3"/>
        <v>Old</v>
      </c>
    </row>
    <row r="2968" ht="14.25" customHeight="1">
      <c r="A2968" s="5">
        <v>770472.0</v>
      </c>
      <c r="B2968" s="6" t="s">
        <v>11906</v>
      </c>
      <c r="C2968" s="6" t="s">
        <v>18</v>
      </c>
      <c r="D2968" s="6">
        <v>36770.0</v>
      </c>
      <c r="E2968" s="6" t="s">
        <v>77</v>
      </c>
      <c r="F2968" s="6" t="s">
        <v>46</v>
      </c>
      <c r="G2968" s="6" t="s">
        <v>31</v>
      </c>
      <c r="H2968" s="7">
        <v>3059.0</v>
      </c>
      <c r="I2968" s="7">
        <v>1551.0</v>
      </c>
      <c r="J2968" s="6">
        <v>1969.0</v>
      </c>
      <c r="K2968" s="6">
        <v>99.0</v>
      </c>
      <c r="L2968" s="6" t="s">
        <v>141</v>
      </c>
      <c r="M2968" s="6" t="s">
        <v>11907</v>
      </c>
      <c r="N2968" s="6" t="s">
        <v>43</v>
      </c>
      <c r="O2968" s="6" t="s">
        <v>35</v>
      </c>
      <c r="P2968" s="6">
        <f>COUNTIF(Analysis!$M$1:$M$3001,Analysis!$M2968)</f>
        <v>1</v>
      </c>
      <c r="Q2968" s="6" t="str">
        <f>IF(COUNTIF(Analysis!$M$2:$M$3001,Analysis!$M2968)&gt;1,"Duplicate","OK")</f>
        <v>OK</v>
      </c>
      <c r="R2968" s="6" t="str">
        <f t="shared" si="1"/>
        <v>2600-3600</v>
      </c>
      <c r="S2968" s="6">
        <f t="shared" si="2"/>
        <v>57</v>
      </c>
      <c r="T2968" s="6" t="str">
        <f t="shared" si="3"/>
        <v>Old</v>
      </c>
    </row>
    <row r="2969" ht="14.25" customHeight="1">
      <c r="A2969" s="5">
        <v>388184.0</v>
      </c>
      <c r="B2969" s="6" t="s">
        <v>11910</v>
      </c>
      <c r="C2969" s="6" t="s">
        <v>18</v>
      </c>
      <c r="D2969" s="6">
        <v>74466.0</v>
      </c>
      <c r="E2969" s="6" t="s">
        <v>40</v>
      </c>
      <c r="F2969" s="6" t="s">
        <v>94</v>
      </c>
      <c r="G2969" s="6" t="s">
        <v>31</v>
      </c>
      <c r="H2969" s="7">
        <v>1321.0</v>
      </c>
      <c r="I2969" s="7">
        <v>9824.0</v>
      </c>
      <c r="J2969" s="6">
        <v>1958.0</v>
      </c>
      <c r="K2969" s="6">
        <v>4.0</v>
      </c>
      <c r="L2969" s="6" t="s">
        <v>62</v>
      </c>
      <c r="M2969" s="6" t="s">
        <v>11911</v>
      </c>
      <c r="N2969" s="6" t="s">
        <v>34</v>
      </c>
      <c r="O2969" s="6" t="s">
        <v>25</v>
      </c>
      <c r="P2969" s="6">
        <f>COUNTIF(Analysis!$M$1:$M$3001,Analysis!$M2969)</f>
        <v>1</v>
      </c>
      <c r="Q2969" s="6" t="str">
        <f>IF(COUNTIF(Analysis!$M$2:$M$3001,Analysis!$M2969)&gt;1,"Duplicate","OK")</f>
        <v>OK</v>
      </c>
      <c r="R2969" s="6" t="str">
        <f t="shared" si="1"/>
        <v>600-1600</v>
      </c>
      <c r="S2969" s="6">
        <f t="shared" si="2"/>
        <v>68</v>
      </c>
      <c r="T2969" s="6" t="str">
        <f t="shared" si="3"/>
        <v>Very Old</v>
      </c>
    </row>
    <row r="2970" ht="14.25" customHeight="1">
      <c r="A2970" s="5">
        <v>885549.0</v>
      </c>
      <c r="B2970" s="6" t="s">
        <v>11914</v>
      </c>
      <c r="C2970" s="6" t="s">
        <v>39</v>
      </c>
      <c r="D2970" s="6">
        <v>35803.0</v>
      </c>
      <c r="E2970" s="6" t="s">
        <v>60</v>
      </c>
      <c r="F2970" s="6" t="s">
        <v>54</v>
      </c>
      <c r="G2970" s="6" t="s">
        <v>100</v>
      </c>
      <c r="H2970" s="7">
        <v>2967.0</v>
      </c>
      <c r="I2970" s="7">
        <v>6454.0</v>
      </c>
      <c r="J2970" s="6">
        <v>2009.0</v>
      </c>
      <c r="K2970" s="6">
        <v>74.0</v>
      </c>
      <c r="L2970" s="6" t="s">
        <v>141</v>
      </c>
      <c r="M2970" s="6" t="s">
        <v>11915</v>
      </c>
      <c r="N2970" s="6" t="s">
        <v>24</v>
      </c>
      <c r="O2970" s="6" t="s">
        <v>49</v>
      </c>
      <c r="P2970" s="6">
        <f>COUNTIF(Analysis!$M$1:$M$3001,Analysis!$M2970)</f>
        <v>1</v>
      </c>
      <c r="Q2970" s="6" t="str">
        <f>IF(COUNTIF(Analysis!$M$2:$M$3001,Analysis!$M2970)&gt;1,"Duplicate","OK")</f>
        <v>OK</v>
      </c>
      <c r="R2970" s="6" t="str">
        <f t="shared" si="1"/>
        <v>2600-3600</v>
      </c>
      <c r="S2970" s="6">
        <f t="shared" si="2"/>
        <v>17</v>
      </c>
      <c r="T2970" s="6" t="str">
        <f t="shared" si="3"/>
        <v>Mid</v>
      </c>
    </row>
    <row r="2971" ht="14.25" customHeight="1">
      <c r="A2971" s="5">
        <v>625188.0</v>
      </c>
      <c r="B2971" s="6" t="s">
        <v>11918</v>
      </c>
      <c r="C2971" s="6" t="s">
        <v>18</v>
      </c>
      <c r="D2971" s="6">
        <v>94424.0</v>
      </c>
      <c r="E2971" s="6" t="s">
        <v>30</v>
      </c>
      <c r="F2971" s="6" t="s">
        <v>94</v>
      </c>
      <c r="G2971" s="6" t="s">
        <v>100</v>
      </c>
      <c r="H2971" s="7">
        <v>2050.0</v>
      </c>
      <c r="I2971" s="7">
        <v>9573.0</v>
      </c>
      <c r="J2971" s="6">
        <v>1957.0</v>
      </c>
      <c r="K2971" s="6">
        <v>73.0</v>
      </c>
      <c r="L2971" s="6" t="s">
        <v>62</v>
      </c>
      <c r="M2971" s="6" t="s">
        <v>11919</v>
      </c>
      <c r="N2971" s="6" t="s">
        <v>64</v>
      </c>
      <c r="O2971" s="6" t="s">
        <v>35</v>
      </c>
      <c r="P2971" s="6">
        <f>COUNTIF(Analysis!$M$1:$M$3001,Analysis!$M2971)</f>
        <v>1</v>
      </c>
      <c r="Q2971" s="6" t="str">
        <f>IF(COUNTIF(Analysis!$M$2:$M$3001,Analysis!$M2971)&gt;1,"Duplicate","OK")</f>
        <v>OK</v>
      </c>
      <c r="R2971" s="6" t="str">
        <f t="shared" si="1"/>
        <v>1600-2600</v>
      </c>
      <c r="S2971" s="6">
        <f t="shared" si="2"/>
        <v>69</v>
      </c>
      <c r="T2971" s="6" t="str">
        <f t="shared" si="3"/>
        <v>Very Old</v>
      </c>
    </row>
    <row r="2972" ht="14.25" customHeight="1">
      <c r="A2972" s="5">
        <v>1461196.0</v>
      </c>
      <c r="B2972" s="6" t="s">
        <v>11922</v>
      </c>
      <c r="C2972" s="6" t="s">
        <v>53</v>
      </c>
      <c r="D2972" s="6">
        <v>38506.0</v>
      </c>
      <c r="E2972" s="6" t="s">
        <v>30</v>
      </c>
      <c r="F2972" s="6" t="s">
        <v>41</v>
      </c>
      <c r="G2972" s="6" t="s">
        <v>100</v>
      </c>
      <c r="H2972" s="7">
        <v>2379.0</v>
      </c>
      <c r="I2972" s="7">
        <v>5800.0</v>
      </c>
      <c r="J2972" s="6">
        <v>1994.0</v>
      </c>
      <c r="K2972" s="6">
        <v>113.0</v>
      </c>
      <c r="L2972" s="6" t="s">
        <v>95</v>
      </c>
      <c r="M2972" s="6" t="s">
        <v>11923</v>
      </c>
      <c r="N2972" s="6" t="s">
        <v>24</v>
      </c>
      <c r="O2972" s="6" t="s">
        <v>25</v>
      </c>
      <c r="P2972" s="6">
        <f>COUNTIF(Analysis!$M$1:$M$3001,Analysis!$M2972)</f>
        <v>1</v>
      </c>
      <c r="Q2972" s="6" t="str">
        <f>IF(COUNTIF(Analysis!$M$2:$M$3001,Analysis!$M2972)&gt;1,"Duplicate","OK")</f>
        <v>OK</v>
      </c>
      <c r="R2972" s="6" t="str">
        <f t="shared" si="1"/>
        <v>1600-2600</v>
      </c>
      <c r="S2972" s="6">
        <f t="shared" si="2"/>
        <v>32</v>
      </c>
      <c r="T2972" s="6" t="str">
        <f t="shared" si="3"/>
        <v>Old</v>
      </c>
    </row>
    <row r="2973" ht="14.25" customHeight="1">
      <c r="A2973" s="5">
        <v>1052043.0</v>
      </c>
      <c r="B2973" s="6" t="s">
        <v>11926</v>
      </c>
      <c r="C2973" s="6" t="s">
        <v>53</v>
      </c>
      <c r="D2973" s="6">
        <v>64432.0</v>
      </c>
      <c r="E2973" s="6" t="s">
        <v>30</v>
      </c>
      <c r="F2973" s="6" t="s">
        <v>54</v>
      </c>
      <c r="G2973" s="6" t="s">
        <v>31</v>
      </c>
      <c r="H2973" s="7">
        <v>1846.0</v>
      </c>
      <c r="I2973" s="7">
        <v>7220.0</v>
      </c>
      <c r="J2973" s="6">
        <v>1957.0</v>
      </c>
      <c r="K2973" s="6">
        <v>117.0</v>
      </c>
      <c r="L2973" s="6" t="s">
        <v>22</v>
      </c>
      <c r="M2973" s="6" t="s">
        <v>11927</v>
      </c>
      <c r="N2973" s="6" t="s">
        <v>43</v>
      </c>
      <c r="O2973" s="6" t="s">
        <v>49</v>
      </c>
      <c r="P2973" s="6">
        <f>COUNTIF(Analysis!$M$1:$M$3001,Analysis!$M2973)</f>
        <v>1</v>
      </c>
      <c r="Q2973" s="6" t="str">
        <f>IF(COUNTIF(Analysis!$M$2:$M$3001,Analysis!$M2973)&gt;1,"Duplicate","OK")</f>
        <v>OK</v>
      </c>
      <c r="R2973" s="6" t="str">
        <f t="shared" si="1"/>
        <v>1600-2600</v>
      </c>
      <c r="S2973" s="6">
        <f t="shared" si="2"/>
        <v>69</v>
      </c>
      <c r="T2973" s="6" t="str">
        <f t="shared" si="3"/>
        <v>Very Old</v>
      </c>
    </row>
    <row r="2974" ht="14.25" customHeight="1">
      <c r="A2974" s="5">
        <v>135403.0</v>
      </c>
      <c r="B2974" s="6" t="s">
        <v>11930</v>
      </c>
      <c r="C2974" s="6" t="s">
        <v>53</v>
      </c>
      <c r="D2974" s="6">
        <v>65534.0</v>
      </c>
      <c r="E2974" s="6" t="s">
        <v>40</v>
      </c>
      <c r="F2974" s="6" t="s">
        <v>54</v>
      </c>
      <c r="G2974" s="6" t="s">
        <v>55</v>
      </c>
      <c r="H2974" s="7">
        <v>2961.0</v>
      </c>
      <c r="I2974" s="7">
        <v>3830.0</v>
      </c>
      <c r="J2974" s="6">
        <v>1970.0</v>
      </c>
      <c r="K2974" s="6">
        <v>76.0</v>
      </c>
      <c r="L2974" s="6" t="s">
        <v>95</v>
      </c>
      <c r="M2974" s="6" t="s">
        <v>11931</v>
      </c>
      <c r="N2974" s="6" t="s">
        <v>24</v>
      </c>
      <c r="O2974" s="6" t="s">
        <v>49</v>
      </c>
      <c r="P2974" s="6">
        <f>COUNTIF(Analysis!$M$1:$M$3001,Analysis!$M2974)</f>
        <v>1</v>
      </c>
      <c r="Q2974" s="6" t="str">
        <f>IF(COUNTIF(Analysis!$M$2:$M$3001,Analysis!$M2974)&gt;1,"Duplicate","OK")</f>
        <v>OK</v>
      </c>
      <c r="R2974" s="6" t="str">
        <f t="shared" si="1"/>
        <v>2600-3600</v>
      </c>
      <c r="S2974" s="6">
        <f t="shared" si="2"/>
        <v>56</v>
      </c>
      <c r="T2974" s="6" t="str">
        <f t="shared" si="3"/>
        <v>Old</v>
      </c>
    </row>
    <row r="2975" ht="14.25" customHeight="1">
      <c r="A2975" s="5">
        <v>999822.0</v>
      </c>
      <c r="B2975" s="6" t="s">
        <v>11934</v>
      </c>
      <c r="C2975" s="6" t="s">
        <v>53</v>
      </c>
      <c r="D2975" s="6">
        <v>84171.0</v>
      </c>
      <c r="E2975" s="6" t="s">
        <v>60</v>
      </c>
      <c r="F2975" s="6" t="s">
        <v>46</v>
      </c>
      <c r="G2975" s="6" t="s">
        <v>31</v>
      </c>
      <c r="H2975" s="7">
        <v>2610.0</v>
      </c>
      <c r="I2975" s="7">
        <v>9730.0</v>
      </c>
      <c r="J2975" s="6">
        <v>1959.0</v>
      </c>
      <c r="K2975" s="6">
        <v>18.0</v>
      </c>
      <c r="L2975" s="6" t="s">
        <v>22</v>
      </c>
      <c r="M2975" s="6" t="s">
        <v>11935</v>
      </c>
      <c r="N2975" s="6" t="s">
        <v>43</v>
      </c>
      <c r="O2975" s="6" t="s">
        <v>49</v>
      </c>
      <c r="P2975" s="6">
        <f>COUNTIF(Analysis!$M$1:$M$3001,Analysis!$M2975)</f>
        <v>1</v>
      </c>
      <c r="Q2975" s="6" t="str">
        <f>IF(COUNTIF(Analysis!$M$2:$M$3001,Analysis!$M2975)&gt;1,"Duplicate","OK")</f>
        <v>OK</v>
      </c>
      <c r="R2975" s="6" t="str">
        <f t="shared" si="1"/>
        <v>2600-3600</v>
      </c>
      <c r="S2975" s="6">
        <f t="shared" si="2"/>
        <v>67</v>
      </c>
      <c r="T2975" s="6" t="str">
        <f t="shared" si="3"/>
        <v>Very Old</v>
      </c>
    </row>
    <row r="2976" ht="14.25" customHeight="1">
      <c r="A2976" s="5">
        <v>1484620.0</v>
      </c>
      <c r="B2976" s="6" t="s">
        <v>3659</v>
      </c>
      <c r="C2976" s="6" t="s">
        <v>29</v>
      </c>
      <c r="D2976" s="6">
        <v>91496.0</v>
      </c>
      <c r="E2976" s="6" t="s">
        <v>30</v>
      </c>
      <c r="F2976" s="6" t="s">
        <v>20</v>
      </c>
      <c r="G2976" s="6" t="s">
        <v>55</v>
      </c>
      <c r="H2976" s="7">
        <v>3066.0</v>
      </c>
      <c r="I2976" s="7">
        <v>9371.0</v>
      </c>
      <c r="J2976" s="6">
        <v>1957.0</v>
      </c>
      <c r="K2976" s="6">
        <v>102.0</v>
      </c>
      <c r="L2976" s="6" t="s">
        <v>62</v>
      </c>
      <c r="M2976" s="6" t="s">
        <v>3660</v>
      </c>
      <c r="N2976" s="6" t="s">
        <v>24</v>
      </c>
      <c r="O2976" s="6" t="s">
        <v>25</v>
      </c>
      <c r="P2976" s="6">
        <f>COUNTIF(Analysis!$M$1:$M$3001,Analysis!$M905)</f>
        <v>1</v>
      </c>
      <c r="Q2976" s="6" t="str">
        <f>IF(COUNTIF(Analysis!$M$2:$M$3001,Analysis!$M905)&gt;1,"Duplicate","OK")</f>
        <v>OK</v>
      </c>
      <c r="R2976" s="6" t="str">
        <f t="shared" si="1"/>
        <v>2600-3600</v>
      </c>
      <c r="S2976" s="6">
        <f t="shared" si="2"/>
        <v>69</v>
      </c>
      <c r="T2976" s="6" t="str">
        <f t="shared" si="3"/>
        <v>Very Old</v>
      </c>
    </row>
    <row r="2977" ht="14.25" customHeight="1">
      <c r="A2977" s="5">
        <v>658161.0</v>
      </c>
      <c r="B2977" s="6" t="s">
        <v>11942</v>
      </c>
      <c r="C2977" s="6" t="s">
        <v>76</v>
      </c>
      <c r="D2977" s="6">
        <v>67187.0</v>
      </c>
      <c r="E2977" s="6" t="s">
        <v>60</v>
      </c>
      <c r="F2977" s="6" t="s">
        <v>20</v>
      </c>
      <c r="G2977" s="6" t="s">
        <v>21</v>
      </c>
      <c r="H2977" s="7">
        <v>3452.0</v>
      </c>
      <c r="I2977" s="7">
        <v>6175.0</v>
      </c>
      <c r="J2977" s="6">
        <v>1954.0</v>
      </c>
      <c r="K2977" s="6">
        <v>2.0</v>
      </c>
      <c r="L2977" s="6" t="s">
        <v>22</v>
      </c>
      <c r="M2977" s="6" t="s">
        <v>11943</v>
      </c>
      <c r="N2977" s="6" t="s">
        <v>43</v>
      </c>
      <c r="O2977" s="6" t="s">
        <v>35</v>
      </c>
      <c r="P2977" s="6">
        <f>COUNTIF(Analysis!$M$1:$M$3001,Analysis!$M2977)</f>
        <v>1</v>
      </c>
      <c r="Q2977" s="6" t="str">
        <f>IF(COUNTIF(Analysis!$M$2:$M$3001,Analysis!$M2977)&gt;1,"Duplicate","OK")</f>
        <v>OK</v>
      </c>
      <c r="R2977" s="6" t="str">
        <f t="shared" si="1"/>
        <v>2600-3600</v>
      </c>
      <c r="S2977" s="6">
        <f t="shared" si="2"/>
        <v>72</v>
      </c>
      <c r="T2977" s="6" t="str">
        <f t="shared" si="3"/>
        <v>Very Old</v>
      </c>
    </row>
    <row r="2978" ht="14.25" customHeight="1">
      <c r="A2978" s="5">
        <v>453812.0</v>
      </c>
      <c r="B2978" s="6" t="s">
        <v>11946</v>
      </c>
      <c r="C2978" s="6" t="s">
        <v>53</v>
      </c>
      <c r="D2978" s="6">
        <v>50359.0</v>
      </c>
      <c r="E2978" s="6" t="s">
        <v>30</v>
      </c>
      <c r="F2978" s="6" t="s">
        <v>41</v>
      </c>
      <c r="G2978" s="6" t="s">
        <v>100</v>
      </c>
      <c r="H2978" s="7">
        <v>1237.0</v>
      </c>
      <c r="I2978" s="7">
        <v>7144.0</v>
      </c>
      <c r="J2978" s="6">
        <v>1986.0</v>
      </c>
      <c r="K2978" s="6">
        <v>45.0</v>
      </c>
      <c r="L2978" s="6" t="s">
        <v>95</v>
      </c>
      <c r="M2978" s="6" t="s">
        <v>11947</v>
      </c>
      <c r="N2978" s="6" t="s">
        <v>48</v>
      </c>
      <c r="O2978" s="6" t="s">
        <v>25</v>
      </c>
      <c r="P2978" s="6">
        <f>COUNTIF(Analysis!$M$1:$M$3001,Analysis!$M2978)</f>
        <v>1</v>
      </c>
      <c r="Q2978" s="6" t="str">
        <f>IF(COUNTIF(Analysis!$M$2:$M$3001,Analysis!$M2978)&gt;1,"Duplicate","OK")</f>
        <v>OK</v>
      </c>
      <c r="R2978" s="6" t="str">
        <f t="shared" si="1"/>
        <v>600-1600</v>
      </c>
      <c r="S2978" s="6">
        <f t="shared" si="2"/>
        <v>40</v>
      </c>
      <c r="T2978" s="6" t="str">
        <f t="shared" si="3"/>
        <v>Old</v>
      </c>
    </row>
    <row r="2979" ht="14.25" customHeight="1">
      <c r="A2979" s="5">
        <v>735476.0</v>
      </c>
      <c r="B2979" s="6" t="s">
        <v>11950</v>
      </c>
      <c r="C2979" s="6" t="s">
        <v>18</v>
      </c>
      <c r="D2979" s="6">
        <v>52545.0</v>
      </c>
      <c r="E2979" s="6" t="s">
        <v>30</v>
      </c>
      <c r="F2979" s="6" t="s">
        <v>20</v>
      </c>
      <c r="G2979" s="6" t="s">
        <v>21</v>
      </c>
      <c r="H2979" s="7">
        <v>1861.0</v>
      </c>
      <c r="I2979" s="7">
        <v>6552.0</v>
      </c>
      <c r="J2979" s="6">
        <v>1983.0</v>
      </c>
      <c r="K2979" s="6">
        <v>71.0</v>
      </c>
      <c r="L2979" s="6" t="s">
        <v>62</v>
      </c>
      <c r="M2979" s="6" t="s">
        <v>11951</v>
      </c>
      <c r="N2979" s="6" t="s">
        <v>48</v>
      </c>
      <c r="O2979" s="6" t="s">
        <v>25</v>
      </c>
      <c r="P2979" s="6">
        <f>COUNTIF(Analysis!$M$1:$M$3001,Analysis!$M2979)</f>
        <v>1</v>
      </c>
      <c r="Q2979" s="6" t="str">
        <f>IF(COUNTIF(Analysis!$M$2:$M$3001,Analysis!$M2979)&gt;1,"Duplicate","OK")</f>
        <v>OK</v>
      </c>
      <c r="R2979" s="6" t="str">
        <f t="shared" si="1"/>
        <v>1600-2600</v>
      </c>
      <c r="S2979" s="6">
        <f t="shared" si="2"/>
        <v>43</v>
      </c>
      <c r="T2979" s="6" t="str">
        <f t="shared" si="3"/>
        <v>Old</v>
      </c>
    </row>
    <row r="2980" ht="14.25" customHeight="1">
      <c r="A2980" s="5">
        <v>1035174.0</v>
      </c>
      <c r="B2980" s="6" t="s">
        <v>11954</v>
      </c>
      <c r="C2980" s="6" t="s">
        <v>39</v>
      </c>
      <c r="D2980" s="6">
        <v>22390.0</v>
      </c>
      <c r="E2980" s="6" t="s">
        <v>30</v>
      </c>
      <c r="F2980" s="6" t="s">
        <v>20</v>
      </c>
      <c r="G2980" s="6" t="s">
        <v>100</v>
      </c>
      <c r="H2980" s="7">
        <v>1152.0</v>
      </c>
      <c r="I2980" s="7">
        <v>9537.0</v>
      </c>
      <c r="J2980" s="6">
        <v>1998.0</v>
      </c>
      <c r="K2980" s="6">
        <v>20.0</v>
      </c>
      <c r="L2980" s="6" t="s">
        <v>22</v>
      </c>
      <c r="M2980" s="6" t="s">
        <v>11955</v>
      </c>
      <c r="N2980" s="6" t="s">
        <v>34</v>
      </c>
      <c r="O2980" s="6" t="s">
        <v>25</v>
      </c>
      <c r="P2980" s="6">
        <f>COUNTIF(Analysis!$M$1:$M$3001,Analysis!$M2980)</f>
        <v>1</v>
      </c>
      <c r="Q2980" s="6" t="str">
        <f>IF(COUNTIF(Analysis!$M$2:$M$3001,Analysis!$M2980)&gt;1,"Duplicate","OK")</f>
        <v>OK</v>
      </c>
      <c r="R2980" s="6" t="str">
        <f t="shared" si="1"/>
        <v>600-1600</v>
      </c>
      <c r="S2980" s="6">
        <f t="shared" si="2"/>
        <v>28</v>
      </c>
      <c r="T2980" s="6" t="str">
        <f t="shared" si="3"/>
        <v>Mid</v>
      </c>
    </row>
    <row r="2981" ht="14.25" customHeight="1">
      <c r="A2981" s="5">
        <v>1003613.0</v>
      </c>
      <c r="B2981" s="6" t="s">
        <v>11958</v>
      </c>
      <c r="C2981" s="6" t="s">
        <v>39</v>
      </c>
      <c r="D2981" s="6">
        <v>13327.0</v>
      </c>
      <c r="E2981" s="6" t="s">
        <v>19</v>
      </c>
      <c r="F2981" s="6" t="s">
        <v>41</v>
      </c>
      <c r="G2981" s="6" t="s">
        <v>31</v>
      </c>
      <c r="H2981" s="7">
        <v>1047.0</v>
      </c>
      <c r="I2981" s="7">
        <v>1757.0</v>
      </c>
      <c r="J2981" s="6">
        <v>1954.0</v>
      </c>
      <c r="K2981" s="6">
        <v>60.0</v>
      </c>
      <c r="L2981" s="6" t="s">
        <v>95</v>
      </c>
      <c r="M2981" s="6" t="s">
        <v>11959</v>
      </c>
      <c r="N2981" s="6" t="s">
        <v>43</v>
      </c>
      <c r="O2981" s="6" t="s">
        <v>35</v>
      </c>
      <c r="P2981" s="6">
        <f>COUNTIF(Analysis!$M$1:$M$3001,Analysis!$M2981)</f>
        <v>1</v>
      </c>
      <c r="Q2981" s="6" t="str">
        <f>IF(COUNTIF(Analysis!$M$2:$M$3001,Analysis!$M2981)&gt;1,"Duplicate","OK")</f>
        <v>OK</v>
      </c>
      <c r="R2981" s="6" t="str">
        <f t="shared" si="1"/>
        <v>600-1600</v>
      </c>
      <c r="S2981" s="6">
        <f t="shared" si="2"/>
        <v>72</v>
      </c>
      <c r="T2981" s="6" t="str">
        <f t="shared" si="3"/>
        <v>Very Old</v>
      </c>
    </row>
    <row r="2982" ht="14.25" customHeight="1">
      <c r="A2982" s="5">
        <v>1486590.0</v>
      </c>
      <c r="B2982" s="6" t="s">
        <v>8400</v>
      </c>
      <c r="C2982" s="6" t="s">
        <v>29</v>
      </c>
      <c r="D2982" s="6">
        <v>59014.0</v>
      </c>
      <c r="E2982" s="6" t="s">
        <v>30</v>
      </c>
      <c r="F2982" s="6" t="s">
        <v>46</v>
      </c>
      <c r="G2982" s="6" t="s">
        <v>31</v>
      </c>
      <c r="H2982" s="7">
        <v>2058.0</v>
      </c>
      <c r="I2982" s="7">
        <v>2891.0</v>
      </c>
      <c r="J2982" s="6">
        <v>1999.0</v>
      </c>
      <c r="K2982" s="6">
        <v>72.0</v>
      </c>
      <c r="L2982" s="6" t="s">
        <v>22</v>
      </c>
      <c r="M2982" s="6" t="s">
        <v>8401</v>
      </c>
      <c r="N2982" s="6" t="s">
        <v>43</v>
      </c>
      <c r="O2982" s="6" t="s">
        <v>35</v>
      </c>
      <c r="P2982" s="6">
        <f>COUNTIF(Analysis!$M$1:$M$3001,Analysis!$M2091)</f>
        <v>1</v>
      </c>
      <c r="Q2982" s="6" t="str">
        <f>IF(COUNTIF(Analysis!$M$2:$M$3001,Analysis!$M2091)&gt;1,"Duplicate","OK")</f>
        <v>OK</v>
      </c>
      <c r="R2982" s="6" t="str">
        <f t="shared" si="1"/>
        <v>1600-2600</v>
      </c>
      <c r="S2982" s="6">
        <f t="shared" si="2"/>
        <v>27</v>
      </c>
      <c r="T2982" s="6" t="str">
        <f t="shared" si="3"/>
        <v>Mid</v>
      </c>
    </row>
    <row r="2983" ht="14.25" customHeight="1">
      <c r="A2983" s="5">
        <v>580183.0</v>
      </c>
      <c r="B2983" s="6" t="s">
        <v>11966</v>
      </c>
      <c r="C2983" s="6" t="s">
        <v>76</v>
      </c>
      <c r="D2983" s="6">
        <v>83512.0</v>
      </c>
      <c r="E2983" s="6" t="s">
        <v>60</v>
      </c>
      <c r="F2983" s="6" t="s">
        <v>61</v>
      </c>
      <c r="G2983" s="6" t="s">
        <v>31</v>
      </c>
      <c r="H2983" s="7">
        <v>1743.0</v>
      </c>
      <c r="I2983" s="7">
        <v>2671.0</v>
      </c>
      <c r="J2983" s="6">
        <v>2019.0</v>
      </c>
      <c r="K2983" s="6">
        <v>21.0</v>
      </c>
      <c r="L2983" s="6" t="s">
        <v>22</v>
      </c>
      <c r="M2983" s="6" t="s">
        <v>11967</v>
      </c>
      <c r="N2983" s="6" t="s">
        <v>34</v>
      </c>
      <c r="O2983" s="6" t="s">
        <v>25</v>
      </c>
      <c r="P2983" s="6">
        <f>COUNTIF(Analysis!$M$1:$M$3001,Analysis!$M2983)</f>
        <v>1</v>
      </c>
      <c r="Q2983" s="6" t="str">
        <f>IF(COUNTIF(Analysis!$M$2:$M$3001,Analysis!$M2983)&gt;1,"Duplicate","OK")</f>
        <v>OK</v>
      </c>
      <c r="R2983" s="6" t="str">
        <f t="shared" si="1"/>
        <v>1600-2600</v>
      </c>
      <c r="S2983" s="6">
        <f t="shared" si="2"/>
        <v>7</v>
      </c>
      <c r="T2983" s="6" t="str">
        <f t="shared" si="3"/>
        <v>New</v>
      </c>
    </row>
    <row r="2984" ht="14.25" customHeight="1">
      <c r="A2984" s="5">
        <v>1486948.0</v>
      </c>
      <c r="B2984" s="6" t="s">
        <v>10303</v>
      </c>
      <c r="C2984" s="6" t="s">
        <v>29</v>
      </c>
      <c r="D2984" s="6">
        <v>82252.0</v>
      </c>
      <c r="E2984" s="6" t="s">
        <v>77</v>
      </c>
      <c r="F2984" s="6" t="s">
        <v>41</v>
      </c>
      <c r="G2984" s="6" t="s">
        <v>100</v>
      </c>
      <c r="H2984" s="7">
        <v>2171.0</v>
      </c>
      <c r="I2984" s="7">
        <v>1619.0</v>
      </c>
      <c r="J2984" s="6">
        <v>2020.0</v>
      </c>
      <c r="K2984" s="6">
        <v>82.0</v>
      </c>
      <c r="L2984" s="6" t="s">
        <v>22</v>
      </c>
      <c r="M2984" s="6" t="s">
        <v>10304</v>
      </c>
      <c r="N2984" s="6" t="s">
        <v>24</v>
      </c>
      <c r="O2984" s="6" t="s">
        <v>35</v>
      </c>
      <c r="P2984" s="6">
        <f>COUNTIF(Analysis!$M$1:$M$3001,Analysis!$M2567)</f>
        <v>1</v>
      </c>
      <c r="Q2984" s="6" t="str">
        <f>IF(COUNTIF(Analysis!$M$2:$M$3001,Analysis!$M2567)&gt;1,"Duplicate","OK")</f>
        <v>OK</v>
      </c>
      <c r="R2984" s="6" t="str">
        <f t="shared" si="1"/>
        <v>1600-2600</v>
      </c>
      <c r="S2984" s="6">
        <f t="shared" si="2"/>
        <v>6</v>
      </c>
      <c r="T2984" s="6" t="str">
        <f t="shared" si="3"/>
        <v>New</v>
      </c>
    </row>
    <row r="2985" ht="14.25" customHeight="1">
      <c r="A2985" s="5">
        <v>1491526.0</v>
      </c>
      <c r="B2985" s="6" t="s">
        <v>789</v>
      </c>
      <c r="C2985" s="6" t="s">
        <v>29</v>
      </c>
      <c r="D2985" s="6">
        <v>52313.0</v>
      </c>
      <c r="E2985" s="6" t="s">
        <v>60</v>
      </c>
      <c r="F2985" s="6" t="s">
        <v>20</v>
      </c>
      <c r="G2985" s="6" t="s">
        <v>31</v>
      </c>
      <c r="H2985" s="7">
        <v>1372.0</v>
      </c>
      <c r="I2985" s="7">
        <v>7782.0</v>
      </c>
      <c r="J2985" s="6">
        <v>2001.0</v>
      </c>
      <c r="K2985" s="6">
        <v>82.0</v>
      </c>
      <c r="L2985" s="6" t="s">
        <v>32</v>
      </c>
      <c r="M2985" s="6" t="s">
        <v>790</v>
      </c>
      <c r="N2985" s="6" t="s">
        <v>48</v>
      </c>
      <c r="O2985" s="6" t="s">
        <v>25</v>
      </c>
      <c r="P2985" s="6">
        <f>COUNTIF(Analysis!$M$1:$M$3001,Analysis!$M187)</f>
        <v>1</v>
      </c>
      <c r="Q2985" s="6" t="str">
        <f>IF(COUNTIF(Analysis!$M$2:$M$3001,Analysis!$M187)&gt;1,"Duplicate","OK")</f>
        <v>OK</v>
      </c>
      <c r="R2985" s="6" t="str">
        <f t="shared" si="1"/>
        <v>600-1600</v>
      </c>
      <c r="S2985" s="6">
        <f t="shared" si="2"/>
        <v>25</v>
      </c>
      <c r="T2985" s="6" t="str">
        <f t="shared" si="3"/>
        <v>Mid</v>
      </c>
    </row>
    <row r="2986" ht="14.25" customHeight="1">
      <c r="A2986" s="5">
        <v>1151470.0</v>
      </c>
      <c r="B2986" s="6" t="s">
        <v>11978</v>
      </c>
      <c r="C2986" s="6" t="s">
        <v>18</v>
      </c>
      <c r="D2986" s="6">
        <v>41905.0</v>
      </c>
      <c r="E2986" s="6" t="s">
        <v>30</v>
      </c>
      <c r="F2986" s="6" t="s">
        <v>61</v>
      </c>
      <c r="G2986" s="6" t="s">
        <v>31</v>
      </c>
      <c r="H2986" s="7">
        <v>3688.0</v>
      </c>
      <c r="I2986" s="7">
        <v>6659.0</v>
      </c>
      <c r="J2986" s="6">
        <v>1993.0</v>
      </c>
      <c r="K2986" s="6">
        <v>81.0</v>
      </c>
      <c r="L2986" s="6" t="s">
        <v>62</v>
      </c>
      <c r="M2986" s="6" t="s">
        <v>11979</v>
      </c>
      <c r="N2986" s="6" t="s">
        <v>64</v>
      </c>
      <c r="O2986" s="6" t="s">
        <v>25</v>
      </c>
      <c r="P2986" s="6">
        <f>COUNTIF(Analysis!$M$1:$M$3001,Analysis!$M2986)</f>
        <v>1</v>
      </c>
      <c r="Q2986" s="6" t="str">
        <f>IF(COUNTIF(Analysis!$M$2:$M$3001,Analysis!$M2986)&gt;1,"Duplicate","OK")</f>
        <v>OK</v>
      </c>
      <c r="R2986" s="6" t="str">
        <f t="shared" si="1"/>
        <v>3600+</v>
      </c>
      <c r="S2986" s="6">
        <f t="shared" si="2"/>
        <v>33</v>
      </c>
      <c r="T2986" s="6" t="str">
        <f t="shared" si="3"/>
        <v>Old</v>
      </c>
    </row>
    <row r="2987" ht="14.25" customHeight="1">
      <c r="A2987" s="5">
        <v>643240.0</v>
      </c>
      <c r="B2987" s="6" t="s">
        <v>11982</v>
      </c>
      <c r="C2987" s="6" t="s">
        <v>18</v>
      </c>
      <c r="D2987" s="6">
        <v>31755.0</v>
      </c>
      <c r="E2987" s="6" t="s">
        <v>40</v>
      </c>
      <c r="F2987" s="6" t="s">
        <v>54</v>
      </c>
      <c r="G2987" s="6" t="s">
        <v>31</v>
      </c>
      <c r="H2987" s="7">
        <v>3608.0</v>
      </c>
      <c r="I2987" s="7">
        <v>8941.0</v>
      </c>
      <c r="J2987" s="6">
        <v>1959.0</v>
      </c>
      <c r="K2987" s="6">
        <v>56.0</v>
      </c>
      <c r="L2987" s="6" t="s">
        <v>95</v>
      </c>
      <c r="M2987" s="6" t="s">
        <v>11983</v>
      </c>
      <c r="N2987" s="6" t="s">
        <v>64</v>
      </c>
      <c r="O2987" s="6" t="s">
        <v>35</v>
      </c>
      <c r="P2987" s="6">
        <f>COUNTIF(Analysis!$M$1:$M$3001,Analysis!$M2987)</f>
        <v>1</v>
      </c>
      <c r="Q2987" s="6" t="str">
        <f>IF(COUNTIF(Analysis!$M$2:$M$3001,Analysis!$M2987)&gt;1,"Duplicate","OK")</f>
        <v>OK</v>
      </c>
      <c r="R2987" s="6" t="str">
        <f t="shared" si="1"/>
        <v>3600+</v>
      </c>
      <c r="S2987" s="6">
        <f t="shared" si="2"/>
        <v>67</v>
      </c>
      <c r="T2987" s="6" t="str">
        <f t="shared" si="3"/>
        <v>Very Old</v>
      </c>
    </row>
    <row r="2988" ht="14.25" customHeight="1">
      <c r="A2988" s="5">
        <v>709999.0</v>
      </c>
      <c r="B2988" s="6" t="s">
        <v>11986</v>
      </c>
      <c r="C2988" s="6" t="s">
        <v>76</v>
      </c>
      <c r="D2988" s="6">
        <v>22545.0</v>
      </c>
      <c r="E2988" s="6" t="s">
        <v>40</v>
      </c>
      <c r="F2988" s="6" t="s">
        <v>61</v>
      </c>
      <c r="G2988" s="6" t="s">
        <v>55</v>
      </c>
      <c r="H2988" s="7">
        <v>2338.0</v>
      </c>
      <c r="I2988" s="7">
        <v>7359.0</v>
      </c>
      <c r="J2988" s="6">
        <v>1980.0</v>
      </c>
      <c r="K2988" s="6">
        <v>38.0</v>
      </c>
      <c r="L2988" s="6" t="s">
        <v>141</v>
      </c>
      <c r="M2988" s="6" t="s">
        <v>11987</v>
      </c>
      <c r="N2988" s="6" t="s">
        <v>64</v>
      </c>
      <c r="O2988" s="6" t="s">
        <v>25</v>
      </c>
      <c r="P2988" s="6">
        <f>COUNTIF(Analysis!$M$1:$M$3001,Analysis!$M2988)</f>
        <v>1</v>
      </c>
      <c r="Q2988" s="6" t="str">
        <f>IF(COUNTIF(Analysis!$M$2:$M$3001,Analysis!$M2988)&gt;1,"Duplicate","OK")</f>
        <v>OK</v>
      </c>
      <c r="R2988" s="6" t="str">
        <f t="shared" si="1"/>
        <v>1600-2600</v>
      </c>
      <c r="S2988" s="6">
        <f t="shared" si="2"/>
        <v>46</v>
      </c>
      <c r="T2988" s="6" t="str">
        <f t="shared" si="3"/>
        <v>Old</v>
      </c>
    </row>
    <row r="2989" ht="14.25" customHeight="1">
      <c r="A2989" s="5">
        <v>1167986.0</v>
      </c>
      <c r="B2989" s="6" t="s">
        <v>11990</v>
      </c>
      <c r="C2989" s="6" t="s">
        <v>39</v>
      </c>
      <c r="D2989" s="6">
        <v>27085.0</v>
      </c>
      <c r="E2989" s="6" t="s">
        <v>77</v>
      </c>
      <c r="F2989" s="6" t="s">
        <v>41</v>
      </c>
      <c r="G2989" s="6" t="s">
        <v>31</v>
      </c>
      <c r="H2989" s="7">
        <v>1226.0</v>
      </c>
      <c r="I2989" s="7">
        <v>2485.0</v>
      </c>
      <c r="J2989" s="6">
        <v>1972.0</v>
      </c>
      <c r="K2989" s="6">
        <v>62.0</v>
      </c>
      <c r="L2989" s="6" t="s">
        <v>22</v>
      </c>
      <c r="M2989" s="6" t="s">
        <v>11991</v>
      </c>
      <c r="N2989" s="6" t="s">
        <v>34</v>
      </c>
      <c r="O2989" s="6" t="s">
        <v>25</v>
      </c>
      <c r="P2989" s="6">
        <f>COUNTIF(Analysis!$M$1:$M$3001,Analysis!$M2989)</f>
        <v>1</v>
      </c>
      <c r="Q2989" s="6" t="str">
        <f>IF(COUNTIF(Analysis!$M$2:$M$3001,Analysis!$M2989)&gt;1,"Duplicate","OK")</f>
        <v>OK</v>
      </c>
      <c r="R2989" s="6" t="str">
        <f t="shared" si="1"/>
        <v>600-1600</v>
      </c>
      <c r="S2989" s="6">
        <f t="shared" si="2"/>
        <v>54</v>
      </c>
      <c r="T2989" s="6" t="str">
        <f t="shared" si="3"/>
        <v>Old</v>
      </c>
    </row>
    <row r="2990" ht="14.25" customHeight="1">
      <c r="A2990" s="5">
        <v>1342049.0</v>
      </c>
      <c r="B2990" s="6" t="s">
        <v>11994</v>
      </c>
      <c r="C2990" s="6" t="s">
        <v>18</v>
      </c>
      <c r="D2990" s="6">
        <v>62862.0</v>
      </c>
      <c r="E2990" s="6" t="s">
        <v>60</v>
      </c>
      <c r="F2990" s="6" t="s">
        <v>61</v>
      </c>
      <c r="G2990" s="6" t="s">
        <v>55</v>
      </c>
      <c r="H2990" s="7">
        <v>3552.0</v>
      </c>
      <c r="I2990" s="7">
        <v>4359.0</v>
      </c>
      <c r="J2990" s="6">
        <v>1970.0</v>
      </c>
      <c r="K2990" s="6">
        <v>19.0</v>
      </c>
      <c r="L2990" s="6" t="s">
        <v>95</v>
      </c>
      <c r="M2990" s="6" t="s">
        <v>11995</v>
      </c>
      <c r="N2990" s="6" t="s">
        <v>43</v>
      </c>
      <c r="O2990" s="6" t="s">
        <v>25</v>
      </c>
      <c r="P2990" s="6">
        <f>COUNTIF(Analysis!$M$1:$M$3001,Analysis!$M2990)</f>
        <v>1</v>
      </c>
      <c r="Q2990" s="6" t="str">
        <f>IF(COUNTIF(Analysis!$M$2:$M$3001,Analysis!$M2990)&gt;1,"Duplicate","OK")</f>
        <v>OK</v>
      </c>
      <c r="R2990" s="6" t="str">
        <f t="shared" si="1"/>
        <v>2600-3600</v>
      </c>
      <c r="S2990" s="6">
        <f t="shared" si="2"/>
        <v>56</v>
      </c>
      <c r="T2990" s="6" t="str">
        <f t="shared" si="3"/>
        <v>Old</v>
      </c>
    </row>
    <row r="2991" ht="14.25" customHeight="1">
      <c r="A2991" s="5">
        <v>1498990.0</v>
      </c>
      <c r="B2991" s="6" t="s">
        <v>6213</v>
      </c>
      <c r="C2991" s="6" t="s">
        <v>29</v>
      </c>
      <c r="D2991" s="6">
        <v>62544.0</v>
      </c>
      <c r="E2991" s="6" t="s">
        <v>60</v>
      </c>
      <c r="F2991" s="6" t="s">
        <v>94</v>
      </c>
      <c r="G2991" s="6" t="s">
        <v>31</v>
      </c>
      <c r="H2991" s="7">
        <v>1600.0</v>
      </c>
      <c r="I2991" s="7">
        <v>9159.0</v>
      </c>
      <c r="J2991" s="6">
        <v>1990.0</v>
      </c>
      <c r="K2991" s="6">
        <v>16.0</v>
      </c>
      <c r="L2991" s="6" t="s">
        <v>32</v>
      </c>
      <c r="M2991" s="6" t="s">
        <v>6214</v>
      </c>
      <c r="N2991" s="6" t="s">
        <v>24</v>
      </c>
      <c r="O2991" s="6" t="s">
        <v>49</v>
      </c>
      <c r="P2991" s="6">
        <f>COUNTIF(Analysis!$M$1:$M$3001,Analysis!$M1544)</f>
        <v>1</v>
      </c>
      <c r="Q2991" s="6" t="str">
        <f>IF(COUNTIF(Analysis!$M$2:$M$3001,Analysis!$M1544)&gt;1,"Duplicate","OK")</f>
        <v>OK</v>
      </c>
      <c r="R2991" s="6" t="str">
        <f t="shared" si="1"/>
        <v>1600-2600</v>
      </c>
      <c r="S2991" s="6">
        <f t="shared" si="2"/>
        <v>36</v>
      </c>
      <c r="T2991" s="6" t="str">
        <f t="shared" si="3"/>
        <v>Old</v>
      </c>
    </row>
    <row r="2992" ht="14.25" customHeight="1">
      <c r="A2992" s="5">
        <v>738309.0</v>
      </c>
      <c r="B2992" s="6" t="s">
        <v>12002</v>
      </c>
      <c r="C2992" s="6" t="s">
        <v>53</v>
      </c>
      <c r="D2992" s="6">
        <v>72696.0</v>
      </c>
      <c r="E2992" s="6" t="s">
        <v>60</v>
      </c>
      <c r="F2992" s="6" t="s">
        <v>61</v>
      </c>
      <c r="G2992" s="6" t="s">
        <v>100</v>
      </c>
      <c r="H2992" s="7">
        <v>1862.0</v>
      </c>
      <c r="I2992" s="7">
        <v>9985.0</v>
      </c>
      <c r="J2992" s="6">
        <v>2021.0</v>
      </c>
      <c r="K2992" s="6">
        <v>87.0</v>
      </c>
      <c r="L2992" s="6" t="s">
        <v>32</v>
      </c>
      <c r="M2992" s="6" t="s">
        <v>12003</v>
      </c>
      <c r="N2992" s="6" t="s">
        <v>34</v>
      </c>
      <c r="O2992" s="6" t="s">
        <v>25</v>
      </c>
      <c r="P2992" s="6">
        <f>COUNTIF(Analysis!$M$1:$M$3001,Analysis!$M2992)</f>
        <v>1</v>
      </c>
      <c r="Q2992" s="6" t="str">
        <f>IF(COUNTIF(Analysis!$M$2:$M$3001,Analysis!$M2992)&gt;1,"Duplicate","OK")</f>
        <v>OK</v>
      </c>
      <c r="R2992" s="6" t="str">
        <f t="shared" si="1"/>
        <v>1600-2600</v>
      </c>
      <c r="S2992" s="6">
        <f t="shared" si="2"/>
        <v>5</v>
      </c>
      <c r="T2992" s="6" t="str">
        <f t="shared" si="3"/>
        <v>New</v>
      </c>
    </row>
    <row r="2993" ht="14.25" customHeight="1">
      <c r="A2993" s="5">
        <v>1036105.0</v>
      </c>
      <c r="B2993" s="6" t="s">
        <v>12006</v>
      </c>
      <c r="C2993" s="6" t="s">
        <v>39</v>
      </c>
      <c r="D2993" s="6">
        <v>96358.0</v>
      </c>
      <c r="E2993" s="6" t="s">
        <v>19</v>
      </c>
      <c r="F2993" s="6" t="s">
        <v>61</v>
      </c>
      <c r="G2993" s="6" t="s">
        <v>31</v>
      </c>
      <c r="H2993" s="7">
        <v>3270.0</v>
      </c>
      <c r="I2993" s="7">
        <v>8752.0</v>
      </c>
      <c r="J2993" s="6">
        <v>1973.0</v>
      </c>
      <c r="K2993" s="6">
        <v>63.0</v>
      </c>
      <c r="L2993" s="6" t="s">
        <v>141</v>
      </c>
      <c r="M2993" s="6" t="s">
        <v>12007</v>
      </c>
      <c r="N2993" s="6" t="s">
        <v>48</v>
      </c>
      <c r="O2993" s="6" t="s">
        <v>35</v>
      </c>
      <c r="P2993" s="6">
        <f>COUNTIF(Analysis!$M$1:$M$3001,Analysis!$M2993)</f>
        <v>1</v>
      </c>
      <c r="Q2993" s="6" t="str">
        <f>IF(COUNTIF(Analysis!$M$2:$M$3001,Analysis!$M2993)&gt;1,"Duplicate","OK")</f>
        <v>OK</v>
      </c>
      <c r="R2993" s="6" t="str">
        <f t="shared" si="1"/>
        <v>2600-3600</v>
      </c>
      <c r="S2993" s="6">
        <f t="shared" si="2"/>
        <v>53</v>
      </c>
      <c r="T2993" s="6" t="str">
        <f t="shared" si="3"/>
        <v>Old</v>
      </c>
    </row>
    <row r="2994" ht="14.25" customHeight="1">
      <c r="A2994" s="5">
        <v>193808.0</v>
      </c>
      <c r="B2994" s="6" t="s">
        <v>12010</v>
      </c>
      <c r="C2994" s="6" t="s">
        <v>18</v>
      </c>
      <c r="D2994" s="6">
        <v>25597.0</v>
      </c>
      <c r="E2994" s="6" t="s">
        <v>30</v>
      </c>
      <c r="F2994" s="6" t="s">
        <v>94</v>
      </c>
      <c r="G2994" s="6" t="s">
        <v>31</v>
      </c>
      <c r="H2994" s="7">
        <v>2396.0</v>
      </c>
      <c r="I2994" s="7">
        <v>4180.0</v>
      </c>
      <c r="J2994" s="6">
        <v>1972.0</v>
      </c>
      <c r="K2994" s="6">
        <v>105.0</v>
      </c>
      <c r="L2994" s="6" t="s">
        <v>141</v>
      </c>
      <c r="M2994" s="6" t="s">
        <v>12011</v>
      </c>
      <c r="N2994" s="6" t="s">
        <v>64</v>
      </c>
      <c r="O2994" s="6" t="s">
        <v>25</v>
      </c>
      <c r="P2994" s="6">
        <f>COUNTIF(Analysis!$M$1:$M$3001,Analysis!$M2994)</f>
        <v>1</v>
      </c>
      <c r="Q2994" s="6" t="str">
        <f>IF(COUNTIF(Analysis!$M$2:$M$3001,Analysis!$M2994)&gt;1,"Duplicate","OK")</f>
        <v>OK</v>
      </c>
      <c r="R2994" s="6" t="str">
        <f t="shared" si="1"/>
        <v>1600-2600</v>
      </c>
      <c r="S2994" s="6">
        <f t="shared" si="2"/>
        <v>54</v>
      </c>
      <c r="T2994" s="6" t="str">
        <f t="shared" si="3"/>
        <v>Old</v>
      </c>
    </row>
    <row r="2995" ht="14.25" customHeight="1">
      <c r="A2995" s="5">
        <v>195265.0</v>
      </c>
      <c r="B2995" s="6" t="s">
        <v>12014</v>
      </c>
      <c r="C2995" s="6" t="s">
        <v>18</v>
      </c>
      <c r="D2995" s="6">
        <v>35123.0</v>
      </c>
      <c r="E2995" s="6" t="s">
        <v>30</v>
      </c>
      <c r="F2995" s="6" t="s">
        <v>54</v>
      </c>
      <c r="G2995" s="6" t="s">
        <v>55</v>
      </c>
      <c r="H2995" s="7">
        <v>3884.0</v>
      </c>
      <c r="I2995" s="7">
        <v>7053.0</v>
      </c>
      <c r="J2995" s="6">
        <v>2013.0</v>
      </c>
      <c r="K2995" s="6">
        <v>39.0</v>
      </c>
      <c r="L2995" s="6" t="s">
        <v>62</v>
      </c>
      <c r="M2995" s="6" t="s">
        <v>12015</v>
      </c>
      <c r="N2995" s="6" t="s">
        <v>34</v>
      </c>
      <c r="O2995" s="6" t="s">
        <v>49</v>
      </c>
      <c r="P2995" s="6">
        <f>COUNTIF(Analysis!$M$1:$M$3001,Analysis!$M2995)</f>
        <v>1</v>
      </c>
      <c r="Q2995" s="6" t="str">
        <f>IF(COUNTIF(Analysis!$M$2:$M$3001,Analysis!$M2995)&gt;1,"Duplicate","OK")</f>
        <v>OK</v>
      </c>
      <c r="R2995" s="6" t="str">
        <f t="shared" si="1"/>
        <v>3600+</v>
      </c>
      <c r="S2995" s="6">
        <f t="shared" si="2"/>
        <v>13</v>
      </c>
      <c r="T2995" s="6" t="str">
        <f t="shared" si="3"/>
        <v>Mid</v>
      </c>
    </row>
    <row r="2996" ht="14.25" customHeight="1">
      <c r="A2996" s="5">
        <v>1158742.0</v>
      </c>
      <c r="B2996" s="6" t="s">
        <v>12018</v>
      </c>
      <c r="C2996" s="6" t="s">
        <v>39</v>
      </c>
      <c r="D2996" s="6">
        <v>80471.0</v>
      </c>
      <c r="E2996" s="6" t="s">
        <v>30</v>
      </c>
      <c r="F2996" s="6" t="s">
        <v>46</v>
      </c>
      <c r="G2996" s="6" t="s">
        <v>31</v>
      </c>
      <c r="H2996" s="7">
        <v>2241.0</v>
      </c>
      <c r="I2996" s="7">
        <v>5947.0</v>
      </c>
      <c r="J2996" s="6">
        <v>1950.0</v>
      </c>
      <c r="K2996" s="6">
        <v>33.0</v>
      </c>
      <c r="L2996" s="6" t="s">
        <v>32</v>
      </c>
      <c r="M2996" s="6" t="s">
        <v>12019</v>
      </c>
      <c r="N2996" s="6" t="s">
        <v>34</v>
      </c>
      <c r="O2996" s="6" t="s">
        <v>49</v>
      </c>
      <c r="P2996" s="6">
        <f>COUNTIF(Analysis!$M$1:$M$3001,Analysis!$M2996)</f>
        <v>1</v>
      </c>
      <c r="Q2996" s="6" t="str">
        <f>IF(COUNTIF(Analysis!$M$2:$M$3001,Analysis!$M2996)&gt;1,"Duplicate","OK")</f>
        <v>OK</v>
      </c>
      <c r="R2996" s="6" t="str">
        <f t="shared" si="1"/>
        <v>1600-2600</v>
      </c>
      <c r="S2996" s="6">
        <f t="shared" si="2"/>
        <v>76</v>
      </c>
      <c r="T2996" s="6" t="str">
        <f t="shared" si="3"/>
        <v>Very Old</v>
      </c>
    </row>
    <row r="2997" ht="14.25" customHeight="1">
      <c r="A2997" s="5">
        <v>801824.0</v>
      </c>
      <c r="B2997" s="6" t="s">
        <v>12022</v>
      </c>
      <c r="C2997" s="6" t="s">
        <v>18</v>
      </c>
      <c r="D2997" s="6">
        <v>78499.0</v>
      </c>
      <c r="E2997" s="6" t="s">
        <v>40</v>
      </c>
      <c r="F2997" s="6" t="s">
        <v>54</v>
      </c>
      <c r="G2997" s="6" t="s">
        <v>100</v>
      </c>
      <c r="H2997" s="7">
        <v>3318.0</v>
      </c>
      <c r="I2997" s="7">
        <v>6745.0</v>
      </c>
      <c r="J2997" s="6">
        <v>2022.0</v>
      </c>
      <c r="K2997" s="6">
        <v>61.0</v>
      </c>
      <c r="L2997" s="6" t="s">
        <v>62</v>
      </c>
      <c r="M2997" s="6" t="s">
        <v>12023</v>
      </c>
      <c r="N2997" s="6" t="s">
        <v>34</v>
      </c>
      <c r="O2997" s="6" t="s">
        <v>35</v>
      </c>
      <c r="P2997" s="6">
        <f>COUNTIF(Analysis!$M$1:$M$3001,Analysis!$M2997)</f>
        <v>1</v>
      </c>
      <c r="Q2997" s="6" t="str">
        <f>IF(COUNTIF(Analysis!$M$2:$M$3001,Analysis!$M2997)&gt;1,"Duplicate","OK")</f>
        <v>OK</v>
      </c>
      <c r="R2997" s="6" t="str">
        <f t="shared" si="1"/>
        <v>2600-3600</v>
      </c>
      <c r="S2997" s="6">
        <f t="shared" si="2"/>
        <v>4</v>
      </c>
      <c r="T2997" s="6" t="str">
        <f t="shared" si="3"/>
        <v>New</v>
      </c>
    </row>
    <row r="2998" ht="14.25" customHeight="1">
      <c r="A2998" s="5">
        <v>843703.0</v>
      </c>
      <c r="B2998" s="6" t="s">
        <v>12026</v>
      </c>
      <c r="C2998" s="6" t="s">
        <v>39</v>
      </c>
      <c r="D2998" s="6">
        <v>39627.0</v>
      </c>
      <c r="E2998" s="6" t="s">
        <v>19</v>
      </c>
      <c r="F2998" s="6" t="s">
        <v>41</v>
      </c>
      <c r="G2998" s="6" t="s">
        <v>55</v>
      </c>
      <c r="H2998" s="7">
        <v>900.0</v>
      </c>
      <c r="I2998" s="7">
        <v>8046.0</v>
      </c>
      <c r="J2998" s="6">
        <v>2012.0</v>
      </c>
      <c r="K2998" s="6">
        <v>64.0</v>
      </c>
      <c r="L2998" s="6" t="s">
        <v>62</v>
      </c>
      <c r="M2998" s="6" t="s">
        <v>12027</v>
      </c>
      <c r="N2998" s="6" t="s">
        <v>34</v>
      </c>
      <c r="O2998" s="6" t="s">
        <v>35</v>
      </c>
      <c r="P2998" s="6">
        <f>COUNTIF(Analysis!$M$1:$M$3001,Analysis!$M2998)</f>
        <v>1</v>
      </c>
      <c r="Q2998" s="6" t="str">
        <f>IF(COUNTIF(Analysis!$M$2:$M$3001,Analysis!$M2998)&gt;1,"Duplicate","OK")</f>
        <v>OK</v>
      </c>
      <c r="R2998" s="6" t="str">
        <f t="shared" si="1"/>
        <v>600-1600</v>
      </c>
      <c r="S2998" s="6">
        <f t="shared" si="2"/>
        <v>14</v>
      </c>
      <c r="T2998" s="6" t="str">
        <f t="shared" si="3"/>
        <v>Mid</v>
      </c>
    </row>
    <row r="2999" ht="14.25" customHeight="1">
      <c r="A2999" s="5">
        <v>1499473.0</v>
      </c>
      <c r="B2999" s="6" t="s">
        <v>10023</v>
      </c>
      <c r="C2999" s="6" t="s">
        <v>29</v>
      </c>
      <c r="D2999" s="6">
        <v>46489.0</v>
      </c>
      <c r="E2999" s="6" t="s">
        <v>40</v>
      </c>
      <c r="F2999" s="6" t="s">
        <v>61</v>
      </c>
      <c r="G2999" s="6" t="s">
        <v>100</v>
      </c>
      <c r="H2999" s="7">
        <v>1815.0</v>
      </c>
      <c r="I2999" s="7">
        <v>2687.0</v>
      </c>
      <c r="J2999" s="6">
        <v>1961.0</v>
      </c>
      <c r="K2999" s="6">
        <v>9.0</v>
      </c>
      <c r="L2999" s="6" t="s">
        <v>95</v>
      </c>
      <c r="M2999" s="6" t="s">
        <v>10024</v>
      </c>
      <c r="N2999" s="6" t="s">
        <v>34</v>
      </c>
      <c r="O2999" s="6" t="s">
        <v>49</v>
      </c>
      <c r="P2999" s="6">
        <f>COUNTIF(Analysis!$M$1:$M$3001,Analysis!$M2497)</f>
        <v>1</v>
      </c>
      <c r="Q2999" s="6" t="str">
        <f>IF(COUNTIF(Analysis!$M$2:$M$3001,Analysis!$M2497)&gt;1,"Duplicate","OK")</f>
        <v>OK</v>
      </c>
      <c r="R2999" s="6" t="str">
        <f t="shared" si="1"/>
        <v>1600-2600</v>
      </c>
      <c r="S2999" s="6">
        <f t="shared" si="2"/>
        <v>65</v>
      </c>
      <c r="T2999" s="6" t="str">
        <f t="shared" si="3"/>
        <v>Very Old</v>
      </c>
    </row>
    <row r="3000" ht="14.25" customHeight="1">
      <c r="A3000" s="5">
        <v>211664.0</v>
      </c>
      <c r="B3000" s="6" t="s">
        <v>12034</v>
      </c>
      <c r="C3000" s="6" t="s">
        <v>18</v>
      </c>
      <c r="D3000" s="6">
        <v>99740.0</v>
      </c>
      <c r="E3000" s="6" t="s">
        <v>40</v>
      </c>
      <c r="F3000" s="6" t="s">
        <v>46</v>
      </c>
      <c r="G3000" s="6" t="s">
        <v>100</v>
      </c>
      <c r="H3000" s="7">
        <v>701.0</v>
      </c>
      <c r="I3000" s="7">
        <v>1344.0</v>
      </c>
      <c r="J3000" s="6">
        <v>2017.0</v>
      </c>
      <c r="K3000" s="6">
        <v>117.0</v>
      </c>
      <c r="L3000" s="6" t="s">
        <v>141</v>
      </c>
      <c r="M3000" s="6" t="s">
        <v>12035</v>
      </c>
      <c r="N3000" s="6" t="s">
        <v>24</v>
      </c>
      <c r="O3000" s="6" t="s">
        <v>49</v>
      </c>
      <c r="P3000" s="6">
        <f>COUNTIF(Analysis!$M$1:$M$3001,Analysis!$M3000)</f>
        <v>1</v>
      </c>
      <c r="Q3000" s="6" t="str">
        <f>IF(COUNTIF(Analysis!$M$2:$M$3001,Analysis!$M3000)&gt;1,"Duplicate","OK")</f>
        <v>OK</v>
      </c>
      <c r="R3000" s="6" t="str">
        <f t="shared" si="1"/>
        <v>600-1600</v>
      </c>
      <c r="S3000" s="6">
        <f t="shared" si="2"/>
        <v>9</v>
      </c>
      <c r="T3000" s="6" t="str">
        <f t="shared" si="3"/>
        <v>New</v>
      </c>
    </row>
    <row r="3001" ht="14.25" customHeight="1">
      <c r="A3001" s="5">
        <v>712029.0</v>
      </c>
      <c r="B3001" s="6" t="s">
        <v>12038</v>
      </c>
      <c r="C3001" s="6" t="s">
        <v>53</v>
      </c>
      <c r="D3001" s="6">
        <v>89198.0</v>
      </c>
      <c r="E3001" s="6" t="s">
        <v>60</v>
      </c>
      <c r="F3001" s="6" t="s">
        <v>94</v>
      </c>
      <c r="G3001" s="6" t="s">
        <v>21</v>
      </c>
      <c r="H3001" s="7">
        <v>2967.0</v>
      </c>
      <c r="I3001" s="7">
        <v>8071.0</v>
      </c>
      <c r="J3001" s="6">
        <v>1985.0</v>
      </c>
      <c r="K3001" s="6">
        <v>32.0</v>
      </c>
      <c r="L3001" s="6" t="s">
        <v>95</v>
      </c>
      <c r="M3001" s="6" t="s">
        <v>12039</v>
      </c>
      <c r="N3001" s="6" t="s">
        <v>24</v>
      </c>
      <c r="O3001" s="6" t="s">
        <v>25</v>
      </c>
      <c r="P3001" s="6">
        <f>COUNTIF(Analysis!$M$1:$M$3001,Analysis!$M3001)</f>
        <v>1</v>
      </c>
      <c r="Q3001" s="6" t="str">
        <f>IF(COUNTIF(Analysis!$M$2:$M$3001,Analysis!$M3001)&gt;1,"Duplicate","OK")</f>
        <v>OK</v>
      </c>
      <c r="R3001" s="6" t="str">
        <f t="shared" si="1"/>
        <v>2600-3600</v>
      </c>
      <c r="S3001" s="6">
        <f t="shared" si="2"/>
        <v>41</v>
      </c>
      <c r="T3001" s="6" t="str">
        <f t="shared" si="3"/>
        <v>Old</v>
      </c>
    </row>
    <row r="3002" ht="14.25" customHeight="1">
      <c r="A3002" s="61"/>
      <c r="B3002" s="55"/>
      <c r="C3002" s="55"/>
      <c r="D3002" s="55"/>
      <c r="E3002" s="55"/>
      <c r="F3002" s="55"/>
      <c r="G3002" s="55"/>
      <c r="H3002" s="62"/>
      <c r="I3002" s="62"/>
      <c r="J3002" s="55"/>
      <c r="K3002" s="55"/>
      <c r="L3002" s="55"/>
      <c r="P3002" s="1">
        <f>COUNTIF(Analysis!$M$1:$M$3001,Analysis!$M3002)</f>
        <v>0</v>
      </c>
      <c r="Q3002" s="1" t="str">
        <f>IF(COUNTIF(Analysis!$M$2:$M$3001,Analysis!$M3002)&gt;1,"Duplicate","OK")</f>
        <v>OK</v>
      </c>
      <c r="R3002" s="1" t="str">
        <f t="shared" si="1"/>
        <v>#N/A</v>
      </c>
    </row>
    <row r="3003" ht="14.25" customHeight="1">
      <c r="A3003" s="61"/>
      <c r="B3003" s="55"/>
      <c r="C3003" s="55"/>
      <c r="D3003" s="55"/>
      <c r="E3003" s="55"/>
      <c r="F3003" s="55"/>
      <c r="G3003" s="55"/>
      <c r="H3003" s="62"/>
      <c r="I3003" s="62"/>
      <c r="J3003" s="55"/>
      <c r="K3003" s="55"/>
      <c r="L3003" s="55"/>
      <c r="P3003" s="1">
        <f>COUNTIF(Analysis!$M$1:$M$3001,Analysis!$M3003)</f>
        <v>0</v>
      </c>
      <c r="Q3003" s="1" t="str">
        <f>IF(COUNTIF(Analysis!$M$2:$M$3001,Analysis!$M3003)&gt;1,"Duplicate","OK")</f>
        <v>OK</v>
      </c>
      <c r="R3003" s="1" t="str">
        <f t="shared" si="1"/>
        <v>#N/A</v>
      </c>
    </row>
    <row r="3004" ht="14.25" customHeight="1">
      <c r="A3004" s="61"/>
      <c r="B3004" s="55"/>
      <c r="C3004" s="55"/>
      <c r="D3004" s="55"/>
      <c r="E3004" s="55"/>
      <c r="F3004" s="55"/>
      <c r="G3004" s="55"/>
      <c r="H3004" s="62"/>
      <c r="I3004" s="62"/>
      <c r="J3004" s="55"/>
      <c r="K3004" s="55"/>
      <c r="L3004" s="55"/>
      <c r="P3004" s="1">
        <f>COUNTIF(Analysis!$M$1:$M$3001,Analysis!$M3004)</f>
        <v>0</v>
      </c>
      <c r="Q3004" s="1" t="str">
        <f>IF(COUNTIF(Analysis!$M$2:$M$3001,Analysis!$M3004)&gt;1,"Duplicate","OK")</f>
        <v>OK</v>
      </c>
      <c r="R3004" s="1" t="str">
        <f t="shared" si="1"/>
        <v>#N/A</v>
      </c>
    </row>
    <row r="3005" ht="14.25" customHeight="1">
      <c r="A3005" s="61"/>
      <c r="B3005" s="55"/>
      <c r="C3005" s="55"/>
      <c r="D3005" s="55"/>
      <c r="E3005" s="55"/>
      <c r="F3005" s="55"/>
      <c r="G3005" s="55"/>
      <c r="H3005" s="62"/>
      <c r="I3005" s="62"/>
      <c r="J3005" s="55"/>
      <c r="K3005" s="55"/>
      <c r="L3005" s="55"/>
      <c r="P3005" s="1">
        <f>COUNTIF(Analysis!$M$1:$M$3001,Analysis!$M3005)</f>
        <v>0</v>
      </c>
      <c r="Q3005" s="1" t="str">
        <f>IF(COUNTIF(Analysis!$M$2:$M$3001,Analysis!$M3005)&gt;1,"Duplicate","OK")</f>
        <v>OK</v>
      </c>
      <c r="R3005" s="1" t="str">
        <f t="shared" si="1"/>
        <v>#N/A</v>
      </c>
    </row>
    <row r="3006" ht="14.25" customHeight="1">
      <c r="A3006" s="61"/>
      <c r="B3006" s="55"/>
      <c r="C3006" s="55"/>
      <c r="D3006" s="55"/>
      <c r="E3006" s="55"/>
      <c r="F3006" s="55"/>
      <c r="G3006" s="55"/>
      <c r="H3006" s="62"/>
      <c r="I3006" s="62"/>
      <c r="J3006" s="55"/>
      <c r="K3006" s="55"/>
      <c r="L3006" s="55"/>
      <c r="P3006" s="1">
        <f>COUNTIF(Analysis!$M$1:$M$3001,Analysis!$M3006)</f>
        <v>0</v>
      </c>
      <c r="Q3006" s="1" t="str">
        <f>IF(COUNTIF(Analysis!$M$2:$M$3001,Analysis!$M3006)&gt;1,"Duplicate","OK")</f>
        <v>OK</v>
      </c>
      <c r="R3006" s="1" t="str">
        <f t="shared" si="1"/>
        <v>#N/A</v>
      </c>
    </row>
    <row r="3007" ht="14.25" customHeight="1">
      <c r="A3007" s="61"/>
      <c r="B3007" s="55"/>
      <c r="C3007" s="55"/>
      <c r="D3007" s="55"/>
      <c r="E3007" s="55"/>
      <c r="F3007" s="55"/>
      <c r="G3007" s="55"/>
      <c r="H3007" s="62"/>
      <c r="I3007" s="62"/>
      <c r="J3007" s="55"/>
      <c r="K3007" s="55"/>
      <c r="L3007" s="55"/>
      <c r="P3007" s="1">
        <f>COUNTIF(Analysis!$M$1:$M$3001,Analysis!$M3007)</f>
        <v>0</v>
      </c>
      <c r="Q3007" s="1" t="str">
        <f>IF(COUNTIF(Analysis!$M$2:$M$3001,Analysis!$M3007)&gt;1,"Duplicate","OK")</f>
        <v>OK</v>
      </c>
      <c r="R3007" s="1" t="str">
        <f t="shared" si="1"/>
        <v>#N/A</v>
      </c>
    </row>
    <row r="3008" ht="14.25" customHeight="1">
      <c r="A3008" s="61"/>
      <c r="B3008" s="55"/>
      <c r="C3008" s="55"/>
      <c r="D3008" s="55"/>
      <c r="E3008" s="55"/>
      <c r="F3008" s="55"/>
      <c r="G3008" s="55"/>
      <c r="H3008" s="62"/>
      <c r="I3008" s="62"/>
      <c r="J3008" s="55"/>
      <c r="K3008" s="55"/>
      <c r="L3008" s="55"/>
      <c r="P3008" s="1">
        <f>COUNTIF(Analysis!$M$1:$M$3001,Analysis!$M3008)</f>
        <v>0</v>
      </c>
      <c r="Q3008" s="1" t="str">
        <f>IF(COUNTIF(Analysis!$M$2:$M$3001,Analysis!$M3008)&gt;1,"Duplicate","OK")</f>
        <v>OK</v>
      </c>
      <c r="R3008" s="1" t="str">
        <f t="shared" si="1"/>
        <v>#N/A</v>
      </c>
    </row>
    <row r="3009" ht="14.25" customHeight="1">
      <c r="A3009" s="61"/>
      <c r="B3009" s="55"/>
      <c r="C3009" s="55"/>
      <c r="D3009" s="55"/>
      <c r="E3009" s="55"/>
      <c r="F3009" s="55"/>
      <c r="G3009" s="55"/>
      <c r="H3009" s="62"/>
      <c r="I3009" s="62"/>
      <c r="J3009" s="55"/>
      <c r="K3009" s="55"/>
      <c r="L3009" s="55"/>
      <c r="P3009" s="1">
        <f>COUNTIF(Analysis!$M$1:$M$3001,Analysis!$M3009)</f>
        <v>0</v>
      </c>
      <c r="Q3009" s="1" t="str">
        <f>IF(COUNTIF(Analysis!$M$2:$M$3001,Analysis!$M3009)&gt;1,"Duplicate","OK")</f>
        <v>OK</v>
      </c>
      <c r="R3009" s="1" t="str">
        <f t="shared" si="1"/>
        <v>#N/A</v>
      </c>
    </row>
    <row r="3010" ht="14.25" customHeight="1">
      <c r="A3010" s="61"/>
      <c r="B3010" s="55"/>
      <c r="C3010" s="55"/>
      <c r="D3010" s="55"/>
      <c r="E3010" s="55"/>
      <c r="F3010" s="55"/>
      <c r="G3010" s="55"/>
      <c r="H3010" s="62"/>
      <c r="I3010" s="62"/>
      <c r="J3010" s="55"/>
      <c r="K3010" s="55"/>
      <c r="L3010" s="55"/>
      <c r="P3010" s="1">
        <f>COUNTIF(Analysis!$M$1:$M$3001,Analysis!$M3010)</f>
        <v>0</v>
      </c>
      <c r="Q3010" s="1" t="str">
        <f>IF(COUNTIF(Analysis!$M$2:$M$3001,Analysis!$M3010)&gt;1,"Duplicate","OK")</f>
        <v>OK</v>
      </c>
      <c r="R3010" s="1" t="str">
        <f t="shared" si="1"/>
        <v>#N/A</v>
      </c>
    </row>
    <row r="3011" ht="14.25" customHeight="1">
      <c r="A3011" s="61"/>
      <c r="B3011" s="55"/>
      <c r="C3011" s="55"/>
      <c r="D3011" s="55"/>
      <c r="E3011" s="55"/>
      <c r="F3011" s="55"/>
      <c r="G3011" s="55"/>
      <c r="H3011" s="62"/>
      <c r="I3011" s="62"/>
      <c r="J3011" s="55"/>
      <c r="K3011" s="55"/>
      <c r="L3011" s="55"/>
      <c r="P3011" s="1">
        <f>COUNTIF(Analysis!$M$1:$M$3001,Analysis!$M3011)</f>
        <v>0</v>
      </c>
      <c r="Q3011" s="1" t="str">
        <f>IF(COUNTIF(Analysis!$M$2:$M$3001,Analysis!$M3011)&gt;1,"Duplicate","OK")</f>
        <v>OK</v>
      </c>
      <c r="R3011" s="1" t="str">
        <f t="shared" si="1"/>
        <v>#N/A</v>
      </c>
    </row>
    <row r="3012" ht="14.25" customHeight="1">
      <c r="A3012" s="61"/>
      <c r="B3012" s="55"/>
      <c r="C3012" s="55"/>
      <c r="D3012" s="55"/>
      <c r="E3012" s="55"/>
      <c r="F3012" s="55"/>
      <c r="G3012" s="55"/>
      <c r="H3012" s="62"/>
      <c r="I3012" s="62"/>
      <c r="J3012" s="55"/>
      <c r="K3012" s="55"/>
      <c r="L3012" s="55"/>
      <c r="P3012" s="1">
        <f>COUNTIF(Analysis!$M$1:$M$3001,Analysis!$M3012)</f>
        <v>0</v>
      </c>
      <c r="Q3012" s="1" t="str">
        <f>IF(COUNTIF(Analysis!$M$2:$M$3001,Analysis!$M3012)&gt;1,"Duplicate","OK")</f>
        <v>OK</v>
      </c>
      <c r="R3012" s="1" t="str">
        <f t="shared" si="1"/>
        <v>#N/A</v>
      </c>
    </row>
    <row r="3013" ht="14.25" customHeight="1">
      <c r="A3013" s="61"/>
      <c r="B3013" s="55"/>
      <c r="C3013" s="55"/>
      <c r="D3013" s="55"/>
      <c r="E3013" s="55"/>
      <c r="F3013" s="55"/>
      <c r="G3013" s="55"/>
      <c r="H3013" s="62"/>
      <c r="I3013" s="62"/>
      <c r="J3013" s="55"/>
      <c r="K3013" s="55"/>
      <c r="L3013" s="55"/>
      <c r="P3013" s="1">
        <f>COUNTIF(Analysis!$M$1:$M$3001,Analysis!$M3013)</f>
        <v>0</v>
      </c>
      <c r="Q3013" s="1" t="str">
        <f>IF(COUNTIF(Analysis!$M$2:$M$3001,Analysis!$M3013)&gt;1,"Duplicate","OK")</f>
        <v>OK</v>
      </c>
      <c r="R3013" s="1" t="str">
        <f t="shared" si="1"/>
        <v>#N/A</v>
      </c>
    </row>
    <row r="3014" ht="14.25" customHeight="1">
      <c r="A3014" s="61"/>
      <c r="B3014" s="55"/>
      <c r="C3014" s="55"/>
      <c r="D3014" s="55"/>
      <c r="E3014" s="55"/>
      <c r="F3014" s="55"/>
      <c r="G3014" s="55"/>
      <c r="H3014" s="62"/>
      <c r="I3014" s="62"/>
      <c r="J3014" s="55"/>
      <c r="K3014" s="55"/>
      <c r="L3014" s="55"/>
      <c r="P3014" s="1">
        <f>COUNTIF(Analysis!$M$1:$M$3001,Analysis!$M3014)</f>
        <v>0</v>
      </c>
      <c r="Q3014" s="1" t="str">
        <f>IF(COUNTIF(Analysis!$M$2:$M$3001,Analysis!$M3014)&gt;1,"Duplicate","OK")</f>
        <v>OK</v>
      </c>
      <c r="R3014" s="1" t="str">
        <f t="shared" si="1"/>
        <v>#N/A</v>
      </c>
    </row>
    <row r="3015" ht="14.25" customHeight="1">
      <c r="A3015" s="61"/>
      <c r="B3015" s="55"/>
      <c r="C3015" s="55"/>
      <c r="D3015" s="55"/>
      <c r="E3015" s="55"/>
      <c r="F3015" s="55"/>
      <c r="G3015" s="55"/>
      <c r="H3015" s="62"/>
      <c r="I3015" s="62"/>
      <c r="J3015" s="55"/>
      <c r="K3015" s="55"/>
      <c r="L3015" s="55"/>
      <c r="P3015" s="1">
        <f>COUNTIF(Analysis!$M$1:$M$3001,Analysis!$M3015)</f>
        <v>0</v>
      </c>
      <c r="Q3015" s="1" t="str">
        <f>IF(COUNTIF(Analysis!$M$2:$M$3001,Analysis!$M3015)&gt;1,"Duplicate","OK")</f>
        <v>OK</v>
      </c>
      <c r="R3015" s="1" t="str">
        <f t="shared" si="1"/>
        <v>#N/A</v>
      </c>
    </row>
    <row r="3016" ht="14.25" customHeight="1">
      <c r="A3016" s="61"/>
      <c r="B3016" s="55"/>
      <c r="C3016" s="55"/>
      <c r="D3016" s="55"/>
      <c r="E3016" s="55"/>
      <c r="F3016" s="55"/>
      <c r="G3016" s="55"/>
      <c r="H3016" s="62"/>
      <c r="I3016" s="62"/>
      <c r="J3016" s="55"/>
      <c r="K3016" s="55"/>
      <c r="L3016" s="55"/>
      <c r="P3016" s="1">
        <f>COUNTIF(Analysis!$M$1:$M$3001,Analysis!$M3016)</f>
        <v>0</v>
      </c>
      <c r="Q3016" s="1" t="str">
        <f>IF(COUNTIF(Analysis!$M$2:$M$3001,Analysis!$M3016)&gt;1,"Duplicate","OK")</f>
        <v>OK</v>
      </c>
      <c r="R3016" s="1" t="str">
        <f t="shared" si="1"/>
        <v>#N/A</v>
      </c>
    </row>
    <row r="3017" ht="14.25" customHeight="1">
      <c r="A3017" s="61"/>
      <c r="B3017" s="55"/>
      <c r="C3017" s="55"/>
      <c r="D3017" s="55"/>
      <c r="E3017" s="55"/>
      <c r="F3017" s="55"/>
      <c r="G3017" s="55"/>
      <c r="H3017" s="62"/>
      <c r="I3017" s="62"/>
      <c r="J3017" s="55"/>
      <c r="K3017" s="55"/>
      <c r="L3017" s="55"/>
      <c r="P3017" s="1">
        <f>COUNTIF(Analysis!$M$1:$M$3001,Analysis!$M3017)</f>
        <v>0</v>
      </c>
      <c r="Q3017" s="1" t="str">
        <f>IF(COUNTIF(Analysis!$M$2:$M$3001,Analysis!$M3017)&gt;1,"Duplicate","OK")</f>
        <v>OK</v>
      </c>
      <c r="R3017" s="1" t="str">
        <f t="shared" si="1"/>
        <v>#N/A</v>
      </c>
    </row>
    <row r="3018" ht="14.25" customHeight="1">
      <c r="A3018" s="61"/>
      <c r="B3018" s="55"/>
      <c r="C3018" s="55"/>
      <c r="D3018" s="55"/>
      <c r="E3018" s="55"/>
      <c r="F3018" s="55"/>
      <c r="G3018" s="55"/>
      <c r="H3018" s="62"/>
      <c r="I3018" s="62"/>
      <c r="J3018" s="55"/>
      <c r="K3018" s="55"/>
      <c r="L3018" s="55"/>
      <c r="P3018" s="1">
        <f>COUNTIF(Analysis!$M$1:$M$3001,Analysis!$M3018)</f>
        <v>0</v>
      </c>
      <c r="Q3018" s="1" t="str">
        <f>IF(COUNTIF(Analysis!$M$2:$M$3001,Analysis!$M3018)&gt;1,"Duplicate","OK")</f>
        <v>OK</v>
      </c>
      <c r="R3018" s="1" t="str">
        <f t="shared" si="1"/>
        <v>#N/A</v>
      </c>
    </row>
    <row r="3019" ht="14.25" customHeight="1">
      <c r="A3019" s="61"/>
      <c r="B3019" s="55"/>
      <c r="C3019" s="55"/>
      <c r="D3019" s="55"/>
      <c r="E3019" s="55"/>
      <c r="F3019" s="55"/>
      <c r="G3019" s="55"/>
      <c r="H3019" s="62"/>
      <c r="I3019" s="62"/>
      <c r="J3019" s="55"/>
      <c r="K3019" s="55"/>
      <c r="L3019" s="55"/>
      <c r="P3019" s="1">
        <f>COUNTIF(Analysis!$M$1:$M$3001,Analysis!$M3019)</f>
        <v>0</v>
      </c>
      <c r="Q3019" s="1" t="str">
        <f>IF(COUNTIF(Analysis!$M$2:$M$3001,Analysis!$M3019)&gt;1,"Duplicate","OK")</f>
        <v>OK</v>
      </c>
      <c r="R3019" s="1" t="str">
        <f t="shared" si="1"/>
        <v>#N/A</v>
      </c>
    </row>
    <row r="3020" ht="14.25" customHeight="1">
      <c r="A3020" s="61"/>
      <c r="B3020" s="55"/>
      <c r="C3020" s="55"/>
      <c r="D3020" s="55"/>
      <c r="E3020" s="55"/>
      <c r="F3020" s="55"/>
      <c r="G3020" s="55"/>
      <c r="H3020" s="62"/>
      <c r="I3020" s="62"/>
      <c r="J3020" s="55"/>
      <c r="K3020" s="55"/>
      <c r="L3020" s="55"/>
      <c r="P3020" s="1">
        <f>COUNTIF(Analysis!$M$1:$M$3001,Analysis!$M3020)</f>
        <v>0</v>
      </c>
      <c r="Q3020" s="1" t="str">
        <f>IF(COUNTIF(Analysis!$M$2:$M$3001,Analysis!$M3020)&gt;1,"Duplicate","OK")</f>
        <v>OK</v>
      </c>
      <c r="R3020" s="1" t="str">
        <f t="shared" si="1"/>
        <v>#N/A</v>
      </c>
    </row>
    <row r="3021" ht="14.25" customHeight="1">
      <c r="A3021" s="61"/>
      <c r="B3021" s="55"/>
      <c r="C3021" s="55"/>
      <c r="D3021" s="55"/>
      <c r="E3021" s="55"/>
      <c r="F3021" s="55"/>
      <c r="G3021" s="55"/>
      <c r="H3021" s="62"/>
      <c r="I3021" s="62"/>
      <c r="J3021" s="55"/>
      <c r="K3021" s="55"/>
      <c r="L3021" s="55"/>
      <c r="P3021" s="1">
        <f>COUNTIF(Analysis!$M$1:$M$3001,Analysis!$M3021)</f>
        <v>0</v>
      </c>
      <c r="Q3021" s="1" t="str">
        <f>IF(COUNTIF(Analysis!$M$2:$M$3001,Analysis!$M3021)&gt;1,"Duplicate","OK")</f>
        <v>OK</v>
      </c>
      <c r="R3021" s="1" t="str">
        <f t="shared" si="1"/>
        <v>#N/A</v>
      </c>
    </row>
    <row r="3022" ht="14.25" customHeight="1">
      <c r="A3022" s="61"/>
      <c r="B3022" s="55"/>
      <c r="C3022" s="55"/>
      <c r="D3022" s="55"/>
      <c r="E3022" s="55"/>
      <c r="F3022" s="55"/>
      <c r="G3022" s="55"/>
      <c r="H3022" s="62"/>
      <c r="I3022" s="62"/>
      <c r="J3022" s="55"/>
      <c r="K3022" s="55"/>
      <c r="L3022" s="55"/>
      <c r="P3022" s="1">
        <f>COUNTIF(Analysis!$M$1:$M$3001,Analysis!$M3022)</f>
        <v>0</v>
      </c>
      <c r="Q3022" s="1" t="str">
        <f>IF(COUNTIF(Analysis!$M$2:$M$3001,Analysis!$M3022)&gt;1,"Duplicate","OK")</f>
        <v>OK</v>
      </c>
      <c r="R3022" s="1" t="str">
        <f t="shared" si="1"/>
        <v>#N/A</v>
      </c>
    </row>
    <row r="3023" ht="14.25" customHeight="1">
      <c r="A3023" s="61"/>
      <c r="B3023" s="55"/>
      <c r="C3023" s="55"/>
      <c r="D3023" s="55"/>
      <c r="E3023" s="55"/>
      <c r="F3023" s="55"/>
      <c r="G3023" s="55"/>
      <c r="H3023" s="62"/>
      <c r="I3023" s="62"/>
      <c r="J3023" s="55"/>
      <c r="K3023" s="55"/>
      <c r="L3023" s="55"/>
      <c r="P3023" s="1">
        <f>COUNTIF(Analysis!$M$1:$M$3001,Analysis!$M3023)</f>
        <v>0</v>
      </c>
      <c r="Q3023" s="1" t="str">
        <f>IF(COUNTIF(Analysis!$M$2:$M$3001,Analysis!$M3023)&gt;1,"Duplicate","OK")</f>
        <v>OK</v>
      </c>
      <c r="R3023" s="1" t="str">
        <f t="shared" si="1"/>
        <v>#N/A</v>
      </c>
    </row>
    <row r="3024" ht="14.25" customHeight="1">
      <c r="A3024" s="61"/>
      <c r="B3024" s="55"/>
      <c r="C3024" s="55"/>
      <c r="D3024" s="55"/>
      <c r="E3024" s="55"/>
      <c r="F3024" s="55"/>
      <c r="G3024" s="55"/>
      <c r="H3024" s="62"/>
      <c r="I3024" s="62"/>
      <c r="J3024" s="55"/>
      <c r="K3024" s="55"/>
      <c r="L3024" s="55"/>
      <c r="P3024" s="1">
        <f>COUNTIF(Analysis!$M$1:$M$3001,Analysis!$M3024)</f>
        <v>0</v>
      </c>
      <c r="Q3024" s="1" t="str">
        <f>IF(COUNTIF(Analysis!$M$2:$M$3001,Analysis!$M3024)&gt;1,"Duplicate","OK")</f>
        <v>OK</v>
      </c>
      <c r="R3024" s="1" t="str">
        <f t="shared" si="1"/>
        <v>#N/A</v>
      </c>
    </row>
    <row r="3025" ht="14.25" customHeight="1">
      <c r="A3025" s="61"/>
      <c r="B3025" s="55"/>
      <c r="C3025" s="55"/>
      <c r="D3025" s="55"/>
      <c r="E3025" s="55"/>
      <c r="F3025" s="55"/>
      <c r="G3025" s="55"/>
      <c r="H3025" s="62"/>
      <c r="I3025" s="62"/>
      <c r="J3025" s="55"/>
      <c r="K3025" s="55"/>
      <c r="L3025" s="55"/>
      <c r="P3025" s="1">
        <f>COUNTIF(Analysis!$M$1:$M$3001,Analysis!$M3025)</f>
        <v>0</v>
      </c>
      <c r="Q3025" s="1" t="str">
        <f>IF(COUNTIF(Analysis!$M$2:$M$3001,Analysis!$M3025)&gt;1,"Duplicate","OK")</f>
        <v>OK</v>
      </c>
      <c r="R3025" s="1" t="str">
        <f t="shared" si="1"/>
        <v>#N/A</v>
      </c>
    </row>
    <row r="3026" ht="14.25" customHeight="1">
      <c r="A3026" s="61"/>
      <c r="B3026" s="55"/>
      <c r="C3026" s="55"/>
      <c r="D3026" s="55"/>
      <c r="E3026" s="55"/>
      <c r="F3026" s="55"/>
      <c r="G3026" s="55"/>
      <c r="H3026" s="62"/>
      <c r="I3026" s="62"/>
      <c r="J3026" s="55"/>
      <c r="K3026" s="55"/>
      <c r="L3026" s="55"/>
      <c r="P3026" s="1">
        <f>COUNTIF(Analysis!$M$1:$M$3001,Analysis!$M3026)</f>
        <v>0</v>
      </c>
      <c r="Q3026" s="1" t="str">
        <f>IF(COUNTIF(Analysis!$M$2:$M$3001,Analysis!$M3026)&gt;1,"Duplicate","OK")</f>
        <v>OK</v>
      </c>
      <c r="R3026" s="1" t="str">
        <f t="shared" si="1"/>
        <v>#N/A</v>
      </c>
    </row>
    <row r="3027" ht="14.25" customHeight="1">
      <c r="A3027" s="61"/>
      <c r="B3027" s="55"/>
      <c r="C3027" s="55"/>
      <c r="D3027" s="55"/>
      <c r="E3027" s="55"/>
      <c r="F3027" s="55"/>
      <c r="G3027" s="55"/>
      <c r="H3027" s="62"/>
      <c r="I3027" s="62"/>
      <c r="J3027" s="55"/>
      <c r="K3027" s="55"/>
      <c r="L3027" s="55"/>
      <c r="P3027" s="1">
        <f>COUNTIF(Analysis!$M$1:$M$3001,Analysis!$M3027)</f>
        <v>0</v>
      </c>
      <c r="Q3027" s="1" t="str">
        <f>IF(COUNTIF(Analysis!$M$2:$M$3001,Analysis!$M3027)&gt;1,"Duplicate","OK")</f>
        <v>OK</v>
      </c>
      <c r="R3027" s="1" t="str">
        <f t="shared" si="1"/>
        <v>#N/A</v>
      </c>
    </row>
    <row r="3028" ht="14.25" customHeight="1">
      <c r="A3028" s="61"/>
      <c r="B3028" s="55"/>
      <c r="C3028" s="55"/>
      <c r="D3028" s="55"/>
      <c r="E3028" s="55"/>
      <c r="F3028" s="55"/>
      <c r="G3028" s="55"/>
      <c r="H3028" s="62"/>
      <c r="I3028" s="62"/>
      <c r="J3028" s="55"/>
      <c r="K3028" s="55"/>
      <c r="L3028" s="55"/>
      <c r="P3028" s="1">
        <f>COUNTIF(Analysis!$M$1:$M$3001,Analysis!$M3028)</f>
        <v>0</v>
      </c>
      <c r="Q3028" s="1" t="str">
        <f>IF(COUNTIF(Analysis!$M$2:$M$3001,Analysis!$M3028)&gt;1,"Duplicate","OK")</f>
        <v>OK</v>
      </c>
      <c r="R3028" s="1" t="str">
        <f t="shared" si="1"/>
        <v>#N/A</v>
      </c>
    </row>
    <row r="3029" ht="14.25" customHeight="1">
      <c r="A3029" s="61"/>
      <c r="B3029" s="55"/>
      <c r="C3029" s="55"/>
      <c r="D3029" s="55"/>
      <c r="E3029" s="55"/>
      <c r="F3029" s="55"/>
      <c r="G3029" s="55"/>
      <c r="H3029" s="62"/>
      <c r="I3029" s="62"/>
      <c r="J3029" s="55"/>
      <c r="K3029" s="55"/>
      <c r="L3029" s="55"/>
      <c r="P3029" s="1">
        <f>COUNTIF(Analysis!$M$1:$M$3001,Analysis!$M3029)</f>
        <v>0</v>
      </c>
      <c r="Q3029" s="1" t="str">
        <f>IF(COUNTIF(Analysis!$M$2:$M$3001,Analysis!$M3029)&gt;1,"Duplicate","OK")</f>
        <v>OK</v>
      </c>
      <c r="R3029" s="1" t="str">
        <f t="shared" si="1"/>
        <v>#N/A</v>
      </c>
    </row>
    <row r="3030" ht="14.25" customHeight="1">
      <c r="A3030" s="61"/>
      <c r="B3030" s="55"/>
      <c r="C3030" s="55"/>
      <c r="D3030" s="55"/>
      <c r="E3030" s="55"/>
      <c r="F3030" s="55"/>
      <c r="G3030" s="55"/>
      <c r="H3030" s="62"/>
      <c r="I3030" s="62"/>
      <c r="J3030" s="55"/>
      <c r="K3030" s="55"/>
      <c r="L3030" s="55"/>
      <c r="P3030" s="1">
        <f>COUNTIF(Analysis!$M$1:$M$3001,Analysis!$M3030)</f>
        <v>0</v>
      </c>
      <c r="Q3030" s="1" t="str">
        <f>IF(COUNTIF(Analysis!$M$2:$M$3001,Analysis!$M3030)&gt;1,"Duplicate","OK")</f>
        <v>OK</v>
      </c>
      <c r="R3030" s="1" t="str">
        <f t="shared" si="1"/>
        <v>#N/A</v>
      </c>
    </row>
    <row r="3031" ht="14.25" customHeight="1">
      <c r="A3031" s="61"/>
      <c r="B3031" s="55"/>
      <c r="C3031" s="55"/>
      <c r="D3031" s="55"/>
      <c r="E3031" s="55"/>
      <c r="F3031" s="55"/>
      <c r="G3031" s="55"/>
      <c r="H3031" s="62"/>
      <c r="I3031" s="62"/>
      <c r="J3031" s="55"/>
      <c r="K3031" s="55"/>
      <c r="L3031" s="55"/>
      <c r="P3031" s="1">
        <f>COUNTIF(Analysis!$M$1:$M$3001,Analysis!$M3031)</f>
        <v>0</v>
      </c>
      <c r="Q3031" s="1" t="str">
        <f>IF(COUNTIF(Analysis!$M$2:$M$3001,Analysis!$M3031)&gt;1,"Duplicate","OK")</f>
        <v>OK</v>
      </c>
      <c r="R3031" s="1" t="str">
        <f t="shared" si="1"/>
        <v>#N/A</v>
      </c>
    </row>
    <row r="3032" ht="14.25" customHeight="1">
      <c r="A3032" s="61"/>
      <c r="B3032" s="55"/>
      <c r="C3032" s="55"/>
      <c r="D3032" s="55"/>
      <c r="E3032" s="55"/>
      <c r="F3032" s="55"/>
      <c r="G3032" s="55"/>
      <c r="H3032" s="62"/>
      <c r="I3032" s="62"/>
      <c r="J3032" s="55"/>
      <c r="K3032" s="55"/>
      <c r="L3032" s="55"/>
      <c r="P3032" s="1">
        <f>COUNTIF(Analysis!$M$1:$M$3001,Analysis!$M3032)</f>
        <v>0</v>
      </c>
      <c r="Q3032" s="1" t="str">
        <f>IF(COUNTIF(Analysis!$M$2:$M$3001,Analysis!$M3032)&gt;1,"Duplicate","OK")</f>
        <v>OK</v>
      </c>
      <c r="R3032" s="1" t="str">
        <f t="shared" si="1"/>
        <v>#N/A</v>
      </c>
    </row>
    <row r="3033" ht="14.25" customHeight="1">
      <c r="A3033" s="61"/>
      <c r="B3033" s="55"/>
      <c r="C3033" s="55"/>
      <c r="D3033" s="55"/>
      <c r="E3033" s="55"/>
      <c r="F3033" s="55"/>
      <c r="G3033" s="55"/>
      <c r="H3033" s="62"/>
      <c r="I3033" s="62"/>
      <c r="J3033" s="55"/>
      <c r="K3033" s="55"/>
      <c r="L3033" s="55"/>
      <c r="P3033" s="1">
        <f>COUNTIF(Analysis!$M$1:$M$3001,Analysis!$M3033)</f>
        <v>0</v>
      </c>
      <c r="Q3033" s="1" t="str">
        <f>IF(COUNTIF(Analysis!$M$2:$M$3001,Analysis!$M3033)&gt;1,"Duplicate","OK")</f>
        <v>OK</v>
      </c>
      <c r="R3033" s="1" t="str">
        <f t="shared" si="1"/>
        <v>#N/A</v>
      </c>
    </row>
    <row r="3034" ht="14.25" customHeight="1">
      <c r="A3034" s="61"/>
      <c r="B3034" s="55"/>
      <c r="C3034" s="55"/>
      <c r="D3034" s="55"/>
      <c r="E3034" s="55"/>
      <c r="F3034" s="55"/>
      <c r="G3034" s="55"/>
      <c r="H3034" s="62"/>
      <c r="I3034" s="62"/>
      <c r="J3034" s="55"/>
      <c r="K3034" s="55"/>
      <c r="L3034" s="55"/>
      <c r="P3034" s="1">
        <f>COUNTIF(Analysis!$M$1:$M$3001,Analysis!$M3034)</f>
        <v>0</v>
      </c>
      <c r="Q3034" s="1" t="str">
        <f>IF(COUNTIF(Analysis!$M$2:$M$3001,Analysis!$M3034)&gt;1,"Duplicate","OK")</f>
        <v>OK</v>
      </c>
      <c r="R3034" s="1" t="str">
        <f t="shared" si="1"/>
        <v>#N/A</v>
      </c>
    </row>
    <row r="3035" ht="14.25" customHeight="1">
      <c r="A3035" s="61"/>
      <c r="B3035" s="55"/>
      <c r="C3035" s="55"/>
      <c r="D3035" s="55"/>
      <c r="E3035" s="55"/>
      <c r="F3035" s="55"/>
      <c r="G3035" s="55"/>
      <c r="H3035" s="62"/>
      <c r="I3035" s="62"/>
      <c r="J3035" s="55"/>
      <c r="K3035" s="55"/>
      <c r="L3035" s="55"/>
      <c r="P3035" s="1">
        <f>COUNTIF(Analysis!$M$1:$M$3001,Analysis!$M3035)</f>
        <v>0</v>
      </c>
      <c r="Q3035" s="1" t="str">
        <f>IF(COUNTIF(Analysis!$M$2:$M$3001,Analysis!$M3035)&gt;1,"Duplicate","OK")</f>
        <v>OK</v>
      </c>
      <c r="R3035" s="1" t="str">
        <f t="shared" si="1"/>
        <v>#N/A</v>
      </c>
    </row>
    <row r="3036" ht="14.25" customHeight="1">
      <c r="A3036" s="61"/>
      <c r="B3036" s="55"/>
      <c r="C3036" s="55"/>
      <c r="D3036" s="55"/>
      <c r="E3036" s="55"/>
      <c r="F3036" s="55"/>
      <c r="G3036" s="55"/>
      <c r="H3036" s="62"/>
      <c r="I3036" s="62"/>
      <c r="J3036" s="55"/>
      <c r="K3036" s="55"/>
      <c r="L3036" s="55"/>
      <c r="P3036" s="1">
        <f>COUNTIF(Analysis!$M$1:$M$3001,Analysis!$M3036)</f>
        <v>0</v>
      </c>
      <c r="Q3036" s="1" t="str">
        <f>IF(COUNTIF(Analysis!$M$2:$M$3001,Analysis!$M3036)&gt;1,"Duplicate","OK")</f>
        <v>OK</v>
      </c>
      <c r="R3036" s="1" t="str">
        <f t="shared" si="1"/>
        <v>#N/A</v>
      </c>
    </row>
    <row r="3037" ht="14.25" customHeight="1">
      <c r="A3037" s="61"/>
      <c r="B3037" s="55"/>
      <c r="C3037" s="55"/>
      <c r="D3037" s="55"/>
      <c r="E3037" s="55"/>
      <c r="F3037" s="55"/>
      <c r="G3037" s="55"/>
      <c r="H3037" s="62"/>
      <c r="I3037" s="62"/>
      <c r="J3037" s="55"/>
      <c r="K3037" s="55"/>
      <c r="L3037" s="55"/>
      <c r="P3037" s="1">
        <f>COUNTIF(Analysis!$M$1:$M$3001,Analysis!$M3037)</f>
        <v>0</v>
      </c>
      <c r="Q3037" s="1" t="str">
        <f>IF(COUNTIF(Analysis!$M$2:$M$3001,Analysis!$M3037)&gt;1,"Duplicate","OK")</f>
        <v>OK</v>
      </c>
      <c r="R3037" s="1" t="str">
        <f t="shared" si="1"/>
        <v>#N/A</v>
      </c>
    </row>
    <row r="3038" ht="14.25" customHeight="1">
      <c r="A3038" s="61"/>
      <c r="B3038" s="55"/>
      <c r="C3038" s="55"/>
      <c r="D3038" s="55"/>
      <c r="E3038" s="55"/>
      <c r="F3038" s="55"/>
      <c r="G3038" s="55"/>
      <c r="H3038" s="62"/>
      <c r="I3038" s="62"/>
      <c r="J3038" s="55"/>
      <c r="K3038" s="55"/>
      <c r="L3038" s="55"/>
      <c r="P3038" s="1">
        <f>COUNTIF(Analysis!$M$1:$M$3001,Analysis!$M3038)</f>
        <v>0</v>
      </c>
      <c r="Q3038" s="1" t="str">
        <f>IF(COUNTIF(Analysis!$M$2:$M$3001,Analysis!$M3038)&gt;1,"Duplicate","OK")</f>
        <v>OK</v>
      </c>
      <c r="R3038" s="1" t="str">
        <f t="shared" si="1"/>
        <v>#N/A</v>
      </c>
    </row>
    <row r="3039" ht="14.25" customHeight="1">
      <c r="A3039" s="61"/>
      <c r="B3039" s="55"/>
      <c r="C3039" s="55"/>
      <c r="D3039" s="55"/>
      <c r="E3039" s="55"/>
      <c r="F3039" s="55"/>
      <c r="G3039" s="55"/>
      <c r="H3039" s="62"/>
      <c r="I3039" s="62"/>
      <c r="J3039" s="55"/>
      <c r="K3039" s="55"/>
      <c r="L3039" s="55"/>
      <c r="P3039" s="1">
        <f>COUNTIF(Analysis!$M$1:$M$3001,Analysis!$M3039)</f>
        <v>0</v>
      </c>
      <c r="Q3039" s="1" t="str">
        <f>IF(COUNTIF(Analysis!$M$2:$M$3001,Analysis!$M3039)&gt;1,"Duplicate","OK")</f>
        <v>OK</v>
      </c>
      <c r="R3039" s="1" t="str">
        <f t="shared" si="1"/>
        <v>#N/A</v>
      </c>
    </row>
    <row r="3040" ht="14.25" customHeight="1">
      <c r="A3040" s="61"/>
      <c r="B3040" s="55"/>
      <c r="C3040" s="55"/>
      <c r="D3040" s="55"/>
      <c r="E3040" s="55"/>
      <c r="F3040" s="55"/>
      <c r="G3040" s="55"/>
      <c r="H3040" s="62"/>
      <c r="I3040" s="62"/>
      <c r="J3040" s="55"/>
      <c r="K3040" s="55"/>
      <c r="L3040" s="55"/>
      <c r="P3040" s="1">
        <f>COUNTIF(Analysis!$M$1:$M$3001,Analysis!$M3040)</f>
        <v>0</v>
      </c>
      <c r="Q3040" s="1" t="str">
        <f>IF(COUNTIF(Analysis!$M$2:$M$3001,Analysis!$M3040)&gt;1,"Duplicate","OK")</f>
        <v>OK</v>
      </c>
      <c r="R3040" s="1" t="str">
        <f t="shared" si="1"/>
        <v>#N/A</v>
      </c>
    </row>
    <row r="3041" ht="14.25" customHeight="1">
      <c r="A3041" s="61"/>
      <c r="B3041" s="55"/>
      <c r="C3041" s="55"/>
      <c r="D3041" s="55"/>
      <c r="E3041" s="55"/>
      <c r="F3041" s="55"/>
      <c r="G3041" s="55"/>
      <c r="H3041" s="62"/>
      <c r="I3041" s="62"/>
      <c r="J3041" s="55"/>
      <c r="K3041" s="55"/>
      <c r="L3041" s="55"/>
      <c r="P3041" s="1">
        <f>COUNTIF(Analysis!$M$1:$M$3001,Analysis!$M3041)</f>
        <v>0</v>
      </c>
      <c r="Q3041" s="1" t="str">
        <f>IF(COUNTIF(Analysis!$M$2:$M$3001,Analysis!$M3041)&gt;1,"Duplicate","OK")</f>
        <v>OK</v>
      </c>
      <c r="R3041" s="1" t="str">
        <f t="shared" si="1"/>
        <v>#N/A</v>
      </c>
    </row>
    <row r="3042" ht="14.25" customHeight="1">
      <c r="A3042" s="61"/>
      <c r="B3042" s="55"/>
      <c r="C3042" s="55"/>
      <c r="D3042" s="55"/>
      <c r="E3042" s="55"/>
      <c r="F3042" s="55"/>
      <c r="G3042" s="55"/>
      <c r="H3042" s="62"/>
      <c r="I3042" s="62"/>
      <c r="J3042" s="55"/>
      <c r="K3042" s="55"/>
      <c r="L3042" s="55"/>
      <c r="P3042" s="1">
        <f>COUNTIF(Analysis!$M$1:$M$3001,Analysis!$M3042)</f>
        <v>0</v>
      </c>
      <c r="Q3042" s="1" t="str">
        <f>IF(COUNTIF(Analysis!$M$2:$M$3001,Analysis!$M3042)&gt;1,"Duplicate","OK")</f>
        <v>OK</v>
      </c>
      <c r="R3042" s="1" t="str">
        <f t="shared" si="1"/>
        <v>#N/A</v>
      </c>
    </row>
    <row r="3043" ht="14.25" customHeight="1">
      <c r="A3043" s="61"/>
      <c r="B3043" s="55"/>
      <c r="C3043" s="55"/>
      <c r="D3043" s="55"/>
      <c r="E3043" s="55"/>
      <c r="F3043" s="55"/>
      <c r="G3043" s="55"/>
      <c r="H3043" s="62"/>
      <c r="I3043" s="62"/>
      <c r="J3043" s="55"/>
      <c r="K3043" s="55"/>
      <c r="L3043" s="55"/>
      <c r="P3043" s="1">
        <f>COUNTIF(Analysis!$M$1:$M$3001,Analysis!$M3043)</f>
        <v>0</v>
      </c>
      <c r="Q3043" s="1" t="str">
        <f>IF(COUNTIF(Analysis!$M$2:$M$3001,Analysis!$M3043)&gt;1,"Duplicate","OK")</f>
        <v>OK</v>
      </c>
      <c r="R3043" s="1" t="str">
        <f t="shared" si="1"/>
        <v>#N/A</v>
      </c>
    </row>
    <row r="3044" ht="14.25" customHeight="1">
      <c r="A3044" s="61"/>
      <c r="B3044" s="55"/>
      <c r="C3044" s="55"/>
      <c r="D3044" s="55"/>
      <c r="E3044" s="55"/>
      <c r="F3044" s="55"/>
      <c r="G3044" s="55"/>
      <c r="H3044" s="62"/>
      <c r="I3044" s="62"/>
      <c r="J3044" s="55"/>
      <c r="K3044" s="55"/>
      <c r="L3044" s="55"/>
      <c r="P3044" s="1">
        <f>COUNTIF(Analysis!$M$1:$M$3001,Analysis!$M3044)</f>
        <v>0</v>
      </c>
      <c r="Q3044" s="1" t="str">
        <f>IF(COUNTIF(Analysis!$M$2:$M$3001,Analysis!$M3044)&gt;1,"Duplicate","OK")</f>
        <v>OK</v>
      </c>
      <c r="R3044" s="1" t="str">
        <f t="shared" si="1"/>
        <v>#N/A</v>
      </c>
    </row>
    <row r="3045" ht="14.25" customHeight="1">
      <c r="A3045" s="61"/>
      <c r="B3045" s="55"/>
      <c r="C3045" s="55"/>
      <c r="D3045" s="55"/>
      <c r="E3045" s="55"/>
      <c r="F3045" s="55"/>
      <c r="G3045" s="55"/>
      <c r="H3045" s="62"/>
      <c r="I3045" s="62"/>
      <c r="J3045" s="55"/>
      <c r="K3045" s="55"/>
      <c r="L3045" s="55"/>
      <c r="P3045" s="1">
        <f>COUNTIF(Analysis!$M$1:$M$3001,Analysis!$M3045)</f>
        <v>0</v>
      </c>
      <c r="Q3045" s="1" t="str">
        <f>IF(COUNTIF(Analysis!$M$2:$M$3001,Analysis!$M3045)&gt;1,"Duplicate","OK")</f>
        <v>OK</v>
      </c>
      <c r="R3045" s="1" t="str">
        <f t="shared" si="1"/>
        <v>#N/A</v>
      </c>
    </row>
    <row r="3046" ht="14.25" customHeight="1">
      <c r="A3046" s="61"/>
      <c r="B3046" s="55"/>
      <c r="C3046" s="55"/>
      <c r="D3046" s="55"/>
      <c r="E3046" s="55"/>
      <c r="F3046" s="55"/>
      <c r="G3046" s="55"/>
      <c r="H3046" s="62"/>
      <c r="I3046" s="62"/>
      <c r="J3046" s="55"/>
      <c r="K3046" s="55"/>
      <c r="L3046" s="55"/>
      <c r="P3046" s="1">
        <f>COUNTIF(Analysis!$M$1:$M$3001,Analysis!$M3046)</f>
        <v>0</v>
      </c>
      <c r="Q3046" s="1" t="str">
        <f>IF(COUNTIF(Analysis!$M$2:$M$3001,Analysis!$M3046)&gt;1,"Duplicate","OK")</f>
        <v>OK</v>
      </c>
      <c r="R3046" s="1" t="str">
        <f t="shared" si="1"/>
        <v>#N/A</v>
      </c>
    </row>
    <row r="3047" ht="14.25" customHeight="1">
      <c r="A3047" s="61"/>
      <c r="B3047" s="55"/>
      <c r="C3047" s="55"/>
      <c r="D3047" s="55"/>
      <c r="E3047" s="55"/>
      <c r="F3047" s="55"/>
      <c r="G3047" s="55"/>
      <c r="H3047" s="62"/>
      <c r="I3047" s="62"/>
      <c r="J3047" s="55"/>
      <c r="K3047" s="55"/>
      <c r="L3047" s="55"/>
      <c r="P3047" s="1">
        <f>COUNTIF(Analysis!$M$1:$M$3001,Analysis!$M3047)</f>
        <v>0</v>
      </c>
      <c r="Q3047" s="1" t="str">
        <f>IF(COUNTIF(Analysis!$M$2:$M$3001,Analysis!$M3047)&gt;1,"Duplicate","OK")</f>
        <v>OK</v>
      </c>
      <c r="R3047" s="1" t="str">
        <f t="shared" si="1"/>
        <v>#N/A</v>
      </c>
    </row>
    <row r="3048" ht="14.25" customHeight="1">
      <c r="A3048" s="61"/>
      <c r="B3048" s="55"/>
      <c r="C3048" s="55"/>
      <c r="D3048" s="55"/>
      <c r="E3048" s="55"/>
      <c r="F3048" s="55"/>
      <c r="G3048" s="55"/>
      <c r="H3048" s="62"/>
      <c r="I3048" s="62"/>
      <c r="J3048" s="55"/>
      <c r="K3048" s="55"/>
      <c r="L3048" s="55"/>
      <c r="P3048" s="1">
        <f>COUNTIF(Analysis!$M$1:$M$3001,Analysis!$M3048)</f>
        <v>0</v>
      </c>
      <c r="Q3048" s="1" t="str">
        <f>IF(COUNTIF(Analysis!$M$2:$M$3001,Analysis!$M3048)&gt;1,"Duplicate","OK")</f>
        <v>OK</v>
      </c>
      <c r="R3048" s="1" t="str">
        <f t="shared" si="1"/>
        <v>#N/A</v>
      </c>
    </row>
    <row r="3049" ht="14.25" customHeight="1">
      <c r="A3049" s="61"/>
      <c r="B3049" s="55"/>
      <c r="C3049" s="55"/>
      <c r="D3049" s="55"/>
      <c r="E3049" s="55"/>
      <c r="F3049" s="55"/>
      <c r="G3049" s="55"/>
      <c r="H3049" s="62"/>
      <c r="I3049" s="62"/>
      <c r="J3049" s="55"/>
      <c r="K3049" s="55"/>
      <c r="L3049" s="55"/>
      <c r="P3049" s="1">
        <f>COUNTIF(Analysis!$M$1:$M$3001,Analysis!$M3049)</f>
        <v>0</v>
      </c>
      <c r="Q3049" s="1" t="str">
        <f>IF(COUNTIF(Analysis!$M$2:$M$3001,Analysis!$M3049)&gt;1,"Duplicate","OK")</f>
        <v>OK</v>
      </c>
      <c r="R3049" s="1" t="str">
        <f t="shared" si="1"/>
        <v>#N/A</v>
      </c>
    </row>
    <row r="3050" ht="14.25" customHeight="1">
      <c r="A3050" s="61"/>
      <c r="B3050" s="55"/>
      <c r="C3050" s="55"/>
      <c r="D3050" s="55"/>
      <c r="E3050" s="55"/>
      <c r="F3050" s="55"/>
      <c r="G3050" s="55"/>
      <c r="H3050" s="62"/>
      <c r="I3050" s="62"/>
      <c r="J3050" s="55"/>
      <c r="K3050" s="55"/>
      <c r="L3050" s="55"/>
      <c r="P3050" s="1">
        <f>COUNTIF(Analysis!$M$1:$M$3001,Analysis!$M3050)</f>
        <v>0</v>
      </c>
      <c r="Q3050" s="1" t="str">
        <f>IF(COUNTIF(Analysis!$M$2:$M$3001,Analysis!$M3050)&gt;1,"Duplicate","OK")</f>
        <v>OK</v>
      </c>
      <c r="R3050" s="1" t="str">
        <f t="shared" si="1"/>
        <v>#N/A</v>
      </c>
    </row>
    <row r="3051" ht="14.25" customHeight="1">
      <c r="A3051" s="61"/>
      <c r="B3051" s="55"/>
      <c r="C3051" s="55"/>
      <c r="D3051" s="55"/>
      <c r="E3051" s="55"/>
      <c r="F3051" s="55"/>
      <c r="G3051" s="55"/>
      <c r="H3051" s="62"/>
      <c r="I3051" s="62"/>
      <c r="J3051" s="55"/>
      <c r="K3051" s="55"/>
      <c r="L3051" s="55"/>
      <c r="P3051" s="1">
        <f>COUNTIF(Analysis!$M$1:$M$3001,Analysis!$M3051)</f>
        <v>0</v>
      </c>
      <c r="Q3051" s="1" t="str">
        <f>IF(COUNTIF(Analysis!$M$2:$M$3001,Analysis!$M3051)&gt;1,"Duplicate","OK")</f>
        <v>OK</v>
      </c>
      <c r="R3051" s="1" t="str">
        <f t="shared" si="1"/>
        <v>#N/A</v>
      </c>
    </row>
    <row r="3052" ht="14.25" customHeight="1">
      <c r="A3052" s="61"/>
      <c r="B3052" s="55"/>
      <c r="C3052" s="55"/>
      <c r="D3052" s="55"/>
      <c r="E3052" s="55"/>
      <c r="F3052" s="55"/>
      <c r="G3052" s="55"/>
      <c r="H3052" s="62"/>
      <c r="I3052" s="62"/>
      <c r="J3052" s="55"/>
      <c r="K3052" s="55"/>
      <c r="L3052" s="55"/>
      <c r="P3052" s="1">
        <f>COUNTIF(Analysis!$M$1:$M$3001,Analysis!$M3052)</f>
        <v>0</v>
      </c>
      <c r="Q3052" s="1" t="str">
        <f>IF(COUNTIF(Analysis!$M$2:$M$3001,Analysis!$M3052)&gt;1,"Duplicate","OK")</f>
        <v>OK</v>
      </c>
      <c r="R3052" s="1" t="str">
        <f t="shared" si="1"/>
        <v>#N/A</v>
      </c>
    </row>
    <row r="3053" ht="14.25" customHeight="1">
      <c r="A3053" s="61"/>
      <c r="B3053" s="55"/>
      <c r="C3053" s="55"/>
      <c r="D3053" s="55"/>
      <c r="E3053" s="55"/>
      <c r="F3053" s="55"/>
      <c r="G3053" s="55"/>
      <c r="H3053" s="62"/>
      <c r="I3053" s="62"/>
      <c r="J3053" s="55"/>
      <c r="K3053" s="55"/>
      <c r="L3053" s="55"/>
      <c r="P3053" s="1">
        <f>COUNTIF(Analysis!$M$1:$M$3001,Analysis!$M3053)</f>
        <v>0</v>
      </c>
      <c r="Q3053" s="1" t="str">
        <f>IF(COUNTIF(Analysis!$M$2:$M$3001,Analysis!$M3053)&gt;1,"Duplicate","OK")</f>
        <v>OK</v>
      </c>
      <c r="R3053" s="1" t="str">
        <f t="shared" si="1"/>
        <v>#N/A</v>
      </c>
    </row>
    <row r="3054" ht="14.25" customHeight="1">
      <c r="A3054" s="61"/>
      <c r="B3054" s="55"/>
      <c r="C3054" s="55"/>
      <c r="D3054" s="55"/>
      <c r="E3054" s="55"/>
      <c r="F3054" s="55"/>
      <c r="G3054" s="55"/>
      <c r="H3054" s="62"/>
      <c r="I3054" s="62"/>
      <c r="J3054" s="55"/>
      <c r="K3054" s="55"/>
      <c r="L3054" s="55"/>
      <c r="P3054" s="1">
        <f>COUNTIF(Analysis!$M$1:$M$3001,Analysis!$M3054)</f>
        <v>0</v>
      </c>
      <c r="Q3054" s="1" t="str">
        <f>IF(COUNTIF(Analysis!$M$2:$M$3001,Analysis!$M3054)&gt;1,"Duplicate","OK")</f>
        <v>OK</v>
      </c>
      <c r="R3054" s="1" t="str">
        <f t="shared" si="1"/>
        <v>#N/A</v>
      </c>
    </row>
    <row r="3055" ht="14.25" customHeight="1">
      <c r="A3055" s="61"/>
      <c r="B3055" s="55"/>
      <c r="C3055" s="55"/>
      <c r="D3055" s="55"/>
      <c r="E3055" s="55"/>
      <c r="F3055" s="55"/>
      <c r="G3055" s="55"/>
      <c r="H3055" s="62"/>
      <c r="I3055" s="62"/>
      <c r="J3055" s="55"/>
      <c r="K3055" s="55"/>
      <c r="L3055" s="55"/>
      <c r="P3055" s="1">
        <f>COUNTIF(Analysis!$M$1:$M$3001,Analysis!$M3055)</f>
        <v>0</v>
      </c>
      <c r="Q3055" s="1" t="str">
        <f>IF(COUNTIF(Analysis!$M$2:$M$3001,Analysis!$M3055)&gt;1,"Duplicate","OK")</f>
        <v>OK</v>
      </c>
      <c r="R3055" s="1" t="str">
        <f t="shared" si="1"/>
        <v>#N/A</v>
      </c>
    </row>
    <row r="3056" ht="14.25" customHeight="1">
      <c r="A3056" s="61"/>
      <c r="B3056" s="55"/>
      <c r="C3056" s="55"/>
      <c r="D3056" s="55"/>
      <c r="E3056" s="55"/>
      <c r="F3056" s="55"/>
      <c r="G3056" s="55"/>
      <c r="H3056" s="62"/>
      <c r="I3056" s="62"/>
      <c r="J3056" s="55"/>
      <c r="K3056" s="55"/>
      <c r="L3056" s="55"/>
      <c r="P3056" s="1">
        <f>COUNTIF(Analysis!$M$1:$M$3001,Analysis!$M3056)</f>
        <v>0</v>
      </c>
      <c r="Q3056" s="1" t="str">
        <f>IF(COUNTIF(Analysis!$M$2:$M$3001,Analysis!$M3056)&gt;1,"Duplicate","OK")</f>
        <v>OK</v>
      </c>
      <c r="R3056" s="1" t="str">
        <f t="shared" si="1"/>
        <v>#N/A</v>
      </c>
    </row>
    <row r="3057" ht="14.25" customHeight="1">
      <c r="A3057" s="61"/>
      <c r="B3057" s="55"/>
      <c r="C3057" s="55"/>
      <c r="D3057" s="55"/>
      <c r="E3057" s="55"/>
      <c r="F3057" s="55"/>
      <c r="G3057" s="55"/>
      <c r="H3057" s="62"/>
      <c r="I3057" s="62"/>
      <c r="J3057" s="55"/>
      <c r="K3057" s="55"/>
      <c r="L3057" s="55"/>
      <c r="P3057" s="1">
        <f>COUNTIF(Analysis!$M$1:$M$3001,Analysis!$M3057)</f>
        <v>0</v>
      </c>
      <c r="Q3057" s="1" t="str">
        <f>IF(COUNTIF(Analysis!$M$2:$M$3001,Analysis!$M3057)&gt;1,"Duplicate","OK")</f>
        <v>OK</v>
      </c>
      <c r="R3057" s="1" t="str">
        <f t="shared" si="1"/>
        <v>#N/A</v>
      </c>
    </row>
    <row r="3058" ht="14.25" customHeight="1">
      <c r="A3058" s="61"/>
      <c r="B3058" s="55"/>
      <c r="C3058" s="55"/>
      <c r="D3058" s="55"/>
      <c r="E3058" s="55"/>
      <c r="F3058" s="55"/>
      <c r="G3058" s="55"/>
      <c r="H3058" s="62"/>
      <c r="I3058" s="62"/>
      <c r="J3058" s="55"/>
      <c r="K3058" s="55"/>
      <c r="L3058" s="55"/>
      <c r="P3058" s="1">
        <f>COUNTIF(Analysis!$M$1:$M$3001,Analysis!$M3058)</f>
        <v>0</v>
      </c>
      <c r="Q3058" s="1" t="str">
        <f>IF(COUNTIF(Analysis!$M$2:$M$3001,Analysis!$M3058)&gt;1,"Duplicate","OK")</f>
        <v>OK</v>
      </c>
      <c r="R3058" s="1" t="str">
        <f t="shared" si="1"/>
        <v>#N/A</v>
      </c>
    </row>
    <row r="3059" ht="14.25" customHeight="1">
      <c r="A3059" s="61"/>
      <c r="B3059" s="55"/>
      <c r="C3059" s="55"/>
      <c r="D3059" s="55"/>
      <c r="E3059" s="55"/>
      <c r="F3059" s="55"/>
      <c r="G3059" s="55"/>
      <c r="H3059" s="62"/>
      <c r="I3059" s="62"/>
      <c r="J3059" s="55"/>
      <c r="K3059" s="55"/>
      <c r="L3059" s="55"/>
      <c r="P3059" s="1">
        <f>COUNTIF(Analysis!$M$1:$M$3001,Analysis!$M3059)</f>
        <v>0</v>
      </c>
      <c r="Q3059" s="1" t="str">
        <f>IF(COUNTIF(Analysis!$M$2:$M$3001,Analysis!$M3059)&gt;1,"Duplicate","OK")</f>
        <v>OK</v>
      </c>
      <c r="R3059" s="1" t="str">
        <f t="shared" si="1"/>
        <v>#N/A</v>
      </c>
    </row>
    <row r="3060" ht="14.25" customHeight="1">
      <c r="A3060" s="61"/>
      <c r="B3060" s="55"/>
      <c r="C3060" s="55"/>
      <c r="D3060" s="55"/>
      <c r="E3060" s="55"/>
      <c r="F3060" s="55"/>
      <c r="G3060" s="55"/>
      <c r="H3060" s="62"/>
      <c r="I3060" s="62"/>
      <c r="J3060" s="55"/>
      <c r="K3060" s="55"/>
      <c r="L3060" s="55"/>
      <c r="P3060" s="1">
        <f>COUNTIF(Analysis!$M$1:$M$3001,Analysis!$M3060)</f>
        <v>0</v>
      </c>
      <c r="Q3060" s="1" t="str">
        <f>IF(COUNTIF(Analysis!$M$2:$M$3001,Analysis!$M3060)&gt;1,"Duplicate","OK")</f>
        <v>OK</v>
      </c>
      <c r="R3060" s="1" t="str">
        <f t="shared" si="1"/>
        <v>#N/A</v>
      </c>
    </row>
    <row r="3061" ht="14.25" customHeight="1">
      <c r="A3061" s="61"/>
      <c r="B3061" s="55"/>
      <c r="C3061" s="55"/>
      <c r="D3061" s="55"/>
      <c r="E3061" s="55"/>
      <c r="F3061" s="55"/>
      <c r="G3061" s="55"/>
      <c r="H3061" s="62"/>
      <c r="I3061" s="62"/>
      <c r="J3061" s="55"/>
      <c r="K3061" s="55"/>
      <c r="L3061" s="55"/>
      <c r="P3061" s="1">
        <f>COUNTIF(Analysis!$M$1:$M$3001,Analysis!$M3061)</f>
        <v>0</v>
      </c>
      <c r="Q3061" s="1" t="str">
        <f>IF(COUNTIF(Analysis!$M$2:$M$3001,Analysis!$M3061)&gt;1,"Duplicate","OK")</f>
        <v>OK</v>
      </c>
      <c r="R3061" s="1" t="str">
        <f t="shared" si="1"/>
        <v>#N/A</v>
      </c>
    </row>
    <row r="3062" ht="14.25" customHeight="1">
      <c r="A3062" s="61"/>
      <c r="B3062" s="55"/>
      <c r="C3062" s="55"/>
      <c r="D3062" s="55"/>
      <c r="E3062" s="55"/>
      <c r="F3062" s="55"/>
      <c r="G3062" s="55"/>
      <c r="H3062" s="62"/>
      <c r="I3062" s="62"/>
      <c r="J3062" s="55"/>
      <c r="K3062" s="55"/>
      <c r="L3062" s="55"/>
      <c r="P3062" s="1">
        <f>COUNTIF(Analysis!$M$1:$M$3001,Analysis!$M3062)</f>
        <v>0</v>
      </c>
      <c r="Q3062" s="1" t="str">
        <f>IF(COUNTIF(Analysis!$M$2:$M$3001,Analysis!$M3062)&gt;1,"Duplicate","OK")</f>
        <v>OK</v>
      </c>
      <c r="R3062" s="1" t="str">
        <f t="shared" si="1"/>
        <v>#N/A</v>
      </c>
    </row>
    <row r="3063" ht="14.25" customHeight="1">
      <c r="A3063" s="61"/>
      <c r="B3063" s="55"/>
      <c r="C3063" s="55"/>
      <c r="D3063" s="55"/>
      <c r="E3063" s="55"/>
      <c r="F3063" s="55"/>
      <c r="G3063" s="55"/>
      <c r="H3063" s="62"/>
      <c r="I3063" s="62"/>
      <c r="J3063" s="55"/>
      <c r="K3063" s="55"/>
      <c r="L3063" s="55"/>
      <c r="P3063" s="1">
        <f>COUNTIF(Analysis!$M$1:$M$3001,Analysis!$M3063)</f>
        <v>0</v>
      </c>
      <c r="Q3063" s="1" t="str">
        <f>IF(COUNTIF(Analysis!$M$2:$M$3001,Analysis!$M3063)&gt;1,"Duplicate","OK")</f>
        <v>OK</v>
      </c>
      <c r="R3063" s="1" t="str">
        <f t="shared" si="1"/>
        <v>#N/A</v>
      </c>
    </row>
    <row r="3064" ht="14.25" customHeight="1">
      <c r="A3064" s="61"/>
      <c r="B3064" s="55"/>
      <c r="C3064" s="55"/>
      <c r="D3064" s="55"/>
      <c r="E3064" s="55"/>
      <c r="F3064" s="55"/>
      <c r="G3064" s="55"/>
      <c r="H3064" s="62"/>
      <c r="I3064" s="62"/>
      <c r="J3064" s="55"/>
      <c r="K3064" s="55"/>
      <c r="L3064" s="55"/>
      <c r="P3064" s="1">
        <f>COUNTIF(Analysis!$M$1:$M$3001,Analysis!$M3064)</f>
        <v>0</v>
      </c>
      <c r="Q3064" s="1" t="str">
        <f>IF(COUNTIF(Analysis!$M$2:$M$3001,Analysis!$M3064)&gt;1,"Duplicate","OK")</f>
        <v>OK</v>
      </c>
      <c r="R3064" s="1" t="str">
        <f t="shared" si="1"/>
        <v>#N/A</v>
      </c>
    </row>
    <row r="3065" ht="14.25" customHeight="1">
      <c r="A3065" s="61"/>
      <c r="B3065" s="55"/>
      <c r="C3065" s="55"/>
      <c r="D3065" s="55"/>
      <c r="E3065" s="55"/>
      <c r="F3065" s="55"/>
      <c r="G3065" s="55"/>
      <c r="H3065" s="62"/>
      <c r="I3065" s="62"/>
      <c r="J3065" s="55"/>
      <c r="K3065" s="55"/>
      <c r="L3065" s="55"/>
      <c r="P3065" s="1">
        <f>COUNTIF(Analysis!$M$1:$M$3001,Analysis!$M3065)</f>
        <v>0</v>
      </c>
      <c r="Q3065" s="1" t="str">
        <f>IF(COUNTIF(Analysis!$M$2:$M$3001,Analysis!$M3065)&gt;1,"Duplicate","OK")</f>
        <v>OK</v>
      </c>
      <c r="R3065" s="1" t="str">
        <f t="shared" si="1"/>
        <v>#N/A</v>
      </c>
    </row>
    <row r="3066" ht="14.25" customHeight="1">
      <c r="A3066" s="61"/>
      <c r="B3066" s="55"/>
      <c r="C3066" s="55"/>
      <c r="D3066" s="55"/>
      <c r="E3066" s="55"/>
      <c r="F3066" s="55"/>
      <c r="G3066" s="55"/>
      <c r="H3066" s="62"/>
      <c r="I3066" s="62"/>
      <c r="J3066" s="55"/>
      <c r="K3066" s="55"/>
      <c r="L3066" s="55"/>
      <c r="P3066" s="1">
        <f>COUNTIF(Analysis!$M$1:$M$3001,Analysis!$M3066)</f>
        <v>0</v>
      </c>
      <c r="Q3066" s="1" t="str">
        <f>IF(COUNTIF(Analysis!$M$2:$M$3001,Analysis!$M3066)&gt;1,"Duplicate","OK")</f>
        <v>OK</v>
      </c>
      <c r="R3066" s="1" t="str">
        <f t="shared" si="1"/>
        <v>#N/A</v>
      </c>
    </row>
    <row r="3067" ht="14.25" customHeight="1">
      <c r="A3067" s="61"/>
      <c r="B3067" s="55"/>
      <c r="C3067" s="55"/>
      <c r="D3067" s="55"/>
      <c r="E3067" s="55"/>
      <c r="F3067" s="55"/>
      <c r="G3067" s="55"/>
      <c r="H3067" s="62"/>
      <c r="I3067" s="62"/>
      <c r="J3067" s="55"/>
      <c r="K3067" s="55"/>
      <c r="L3067" s="55"/>
      <c r="P3067" s="1">
        <f>COUNTIF(Analysis!$M$1:$M$3001,Analysis!$M3067)</f>
        <v>0</v>
      </c>
      <c r="Q3067" s="1" t="str">
        <f>IF(COUNTIF(Analysis!$M$2:$M$3001,Analysis!$M3067)&gt;1,"Duplicate","OK")</f>
        <v>OK</v>
      </c>
      <c r="R3067" s="1" t="str">
        <f t="shared" si="1"/>
        <v>#N/A</v>
      </c>
    </row>
    <row r="3068" ht="14.25" customHeight="1">
      <c r="A3068" s="61"/>
      <c r="B3068" s="55"/>
      <c r="C3068" s="55"/>
      <c r="D3068" s="55"/>
      <c r="E3068" s="55"/>
      <c r="F3068" s="55"/>
      <c r="G3068" s="55"/>
      <c r="H3068" s="62"/>
      <c r="I3068" s="62"/>
      <c r="J3068" s="55"/>
      <c r="K3068" s="55"/>
      <c r="L3068" s="55"/>
      <c r="P3068" s="1">
        <f>COUNTIF(Analysis!$M$1:$M$3001,Analysis!$M3068)</f>
        <v>0</v>
      </c>
      <c r="Q3068" s="1" t="str">
        <f>IF(COUNTIF(Analysis!$M$2:$M$3001,Analysis!$M3068)&gt;1,"Duplicate","OK")</f>
        <v>OK</v>
      </c>
      <c r="R3068" s="1" t="str">
        <f t="shared" si="1"/>
        <v>#N/A</v>
      </c>
    </row>
    <row r="3069" ht="14.25" customHeight="1">
      <c r="A3069" s="61"/>
      <c r="B3069" s="55"/>
      <c r="C3069" s="55"/>
      <c r="D3069" s="55"/>
      <c r="E3069" s="55"/>
      <c r="F3069" s="55"/>
      <c r="G3069" s="55"/>
      <c r="H3069" s="62"/>
      <c r="I3069" s="62"/>
      <c r="J3069" s="55"/>
      <c r="K3069" s="55"/>
      <c r="L3069" s="55"/>
      <c r="P3069" s="1">
        <f>COUNTIF(Analysis!$M$1:$M$3001,Analysis!$M3069)</f>
        <v>0</v>
      </c>
      <c r="Q3069" s="1" t="str">
        <f>IF(COUNTIF(Analysis!$M$2:$M$3001,Analysis!$M3069)&gt;1,"Duplicate","OK")</f>
        <v>OK</v>
      </c>
      <c r="R3069" s="1" t="str">
        <f t="shared" si="1"/>
        <v>#N/A</v>
      </c>
    </row>
    <row r="3070" ht="14.25" customHeight="1">
      <c r="A3070" s="61"/>
      <c r="B3070" s="55"/>
      <c r="C3070" s="55"/>
      <c r="D3070" s="55"/>
      <c r="E3070" s="55"/>
      <c r="F3070" s="55"/>
      <c r="G3070" s="55"/>
      <c r="H3070" s="62"/>
      <c r="I3070" s="62"/>
      <c r="J3070" s="55"/>
      <c r="K3070" s="55"/>
      <c r="L3070" s="55"/>
      <c r="P3070" s="1">
        <f>COUNTIF(Analysis!$M$1:$M$3001,Analysis!$M3070)</f>
        <v>0</v>
      </c>
      <c r="Q3070" s="1" t="str">
        <f>IF(COUNTIF(Analysis!$M$2:$M$3001,Analysis!$M3070)&gt;1,"Duplicate","OK")</f>
        <v>OK</v>
      </c>
      <c r="R3070" s="1" t="str">
        <f t="shared" si="1"/>
        <v>#N/A</v>
      </c>
    </row>
    <row r="3071" ht="14.25" customHeight="1">
      <c r="A3071" s="61"/>
      <c r="B3071" s="55"/>
      <c r="C3071" s="55"/>
      <c r="D3071" s="55"/>
      <c r="E3071" s="55"/>
      <c r="F3071" s="55"/>
      <c r="G3071" s="55"/>
      <c r="H3071" s="62"/>
      <c r="I3071" s="62"/>
      <c r="J3071" s="55"/>
      <c r="K3071" s="55"/>
      <c r="L3071" s="55"/>
      <c r="P3071" s="1">
        <f>COUNTIF(Analysis!$M$1:$M$3001,Analysis!$M3071)</f>
        <v>0</v>
      </c>
      <c r="Q3071" s="1" t="str">
        <f>IF(COUNTIF(Analysis!$M$2:$M$3001,Analysis!$M3071)&gt;1,"Duplicate","OK")</f>
        <v>OK</v>
      </c>
      <c r="R3071" s="1" t="str">
        <f t="shared" si="1"/>
        <v>#N/A</v>
      </c>
    </row>
    <row r="3072" ht="14.25" customHeight="1">
      <c r="A3072" s="61"/>
      <c r="B3072" s="55"/>
      <c r="C3072" s="55"/>
      <c r="D3072" s="55"/>
      <c r="E3072" s="55"/>
      <c r="F3072" s="55"/>
      <c r="G3072" s="55"/>
      <c r="H3072" s="62"/>
      <c r="I3072" s="62"/>
      <c r="J3072" s="55"/>
      <c r="K3072" s="55"/>
      <c r="L3072" s="55"/>
      <c r="P3072" s="1">
        <f>COUNTIF(Analysis!$M$1:$M$3001,Analysis!$M3072)</f>
        <v>0</v>
      </c>
      <c r="Q3072" s="1" t="str">
        <f>IF(COUNTIF(Analysis!$M$2:$M$3001,Analysis!$M3072)&gt;1,"Duplicate","OK")</f>
        <v>OK</v>
      </c>
      <c r="R3072" s="1" t="str">
        <f t="shared" si="1"/>
        <v>#N/A</v>
      </c>
    </row>
    <row r="3073" ht="14.25" customHeight="1">
      <c r="A3073" s="61"/>
      <c r="B3073" s="55"/>
      <c r="C3073" s="55"/>
      <c r="D3073" s="55"/>
      <c r="E3073" s="55"/>
      <c r="F3073" s="55"/>
      <c r="G3073" s="55"/>
      <c r="H3073" s="62"/>
      <c r="I3073" s="62"/>
      <c r="J3073" s="55"/>
      <c r="K3073" s="55"/>
      <c r="L3073" s="55"/>
      <c r="P3073" s="1">
        <f>COUNTIF(Analysis!$M$1:$M$3001,Analysis!$M3073)</f>
        <v>0</v>
      </c>
      <c r="Q3073" s="1" t="str">
        <f>IF(COUNTIF(Analysis!$M$2:$M$3001,Analysis!$M3073)&gt;1,"Duplicate","OK")</f>
        <v>OK</v>
      </c>
      <c r="R3073" s="1" t="str">
        <f t="shared" si="1"/>
        <v>#N/A</v>
      </c>
    </row>
    <row r="3074" ht="14.25" customHeight="1">
      <c r="A3074" s="61"/>
      <c r="B3074" s="55"/>
      <c r="C3074" s="55"/>
      <c r="D3074" s="55"/>
      <c r="E3074" s="55"/>
      <c r="F3074" s="55"/>
      <c r="G3074" s="55"/>
      <c r="H3074" s="62"/>
      <c r="I3074" s="62"/>
      <c r="J3074" s="55"/>
      <c r="K3074" s="55"/>
      <c r="L3074" s="55"/>
      <c r="P3074" s="1">
        <f>COUNTIF(Analysis!$M$1:$M$3001,Analysis!$M3074)</f>
        <v>0</v>
      </c>
      <c r="Q3074" s="1" t="str">
        <f>IF(COUNTIF(Analysis!$M$2:$M$3001,Analysis!$M3074)&gt;1,"Duplicate","OK")</f>
        <v>OK</v>
      </c>
      <c r="R3074" s="1" t="str">
        <f t="shared" si="1"/>
        <v>#N/A</v>
      </c>
    </row>
    <row r="3075" ht="14.25" customHeight="1">
      <c r="A3075" s="61"/>
      <c r="B3075" s="55"/>
      <c r="C3075" s="55"/>
      <c r="D3075" s="55"/>
      <c r="E3075" s="55"/>
      <c r="F3075" s="55"/>
      <c r="G3075" s="55"/>
      <c r="H3075" s="62"/>
      <c r="I3075" s="62"/>
      <c r="J3075" s="55"/>
      <c r="K3075" s="55"/>
      <c r="L3075" s="55"/>
      <c r="P3075" s="1">
        <f>COUNTIF(Analysis!$M$1:$M$3001,Analysis!$M3075)</f>
        <v>0</v>
      </c>
      <c r="Q3075" s="1" t="str">
        <f>IF(COUNTIF(Analysis!$M$2:$M$3001,Analysis!$M3075)&gt;1,"Duplicate","OK")</f>
        <v>OK</v>
      </c>
      <c r="R3075" s="1" t="str">
        <f t="shared" si="1"/>
        <v>#N/A</v>
      </c>
    </row>
    <row r="3076" ht="14.25" customHeight="1">
      <c r="A3076" s="61"/>
      <c r="B3076" s="55"/>
      <c r="C3076" s="55"/>
      <c r="D3076" s="55"/>
      <c r="E3076" s="55"/>
      <c r="F3076" s="55"/>
      <c r="G3076" s="55"/>
      <c r="H3076" s="62"/>
      <c r="I3076" s="62"/>
      <c r="J3076" s="55"/>
      <c r="K3076" s="55"/>
      <c r="L3076" s="55"/>
      <c r="P3076" s="1">
        <f>COUNTIF(Analysis!$M$1:$M$3001,Analysis!$M3076)</f>
        <v>0</v>
      </c>
      <c r="Q3076" s="1" t="str">
        <f>IF(COUNTIF(Analysis!$M$2:$M$3001,Analysis!$M3076)&gt;1,"Duplicate","OK")</f>
        <v>OK</v>
      </c>
      <c r="R3076" s="1" t="str">
        <f t="shared" si="1"/>
        <v>#N/A</v>
      </c>
    </row>
    <row r="3077" ht="14.25" customHeight="1">
      <c r="A3077" s="61"/>
      <c r="B3077" s="55"/>
      <c r="C3077" s="55"/>
      <c r="D3077" s="55"/>
      <c r="E3077" s="55"/>
      <c r="F3077" s="55"/>
      <c r="G3077" s="55"/>
      <c r="H3077" s="62"/>
      <c r="I3077" s="62"/>
      <c r="J3077" s="55"/>
      <c r="K3077" s="55"/>
      <c r="L3077" s="55"/>
      <c r="P3077" s="1">
        <f>COUNTIF(Analysis!$M$1:$M$3001,Analysis!$M3077)</f>
        <v>0</v>
      </c>
      <c r="Q3077" s="1" t="str">
        <f>IF(COUNTIF(Analysis!$M$2:$M$3001,Analysis!$M3077)&gt;1,"Duplicate","OK")</f>
        <v>OK</v>
      </c>
      <c r="R3077" s="1" t="str">
        <f t="shared" si="1"/>
        <v>#N/A</v>
      </c>
    </row>
    <row r="3078" ht="14.25" customHeight="1">
      <c r="A3078" s="61"/>
      <c r="B3078" s="55"/>
      <c r="C3078" s="55"/>
      <c r="D3078" s="55"/>
      <c r="E3078" s="55"/>
      <c r="F3078" s="55"/>
      <c r="G3078" s="55"/>
      <c r="H3078" s="62"/>
      <c r="I3078" s="62"/>
      <c r="J3078" s="55"/>
      <c r="K3078" s="55"/>
      <c r="L3078" s="55"/>
      <c r="P3078" s="1">
        <f>COUNTIF(Analysis!$M$1:$M$3001,Analysis!$M3078)</f>
        <v>0</v>
      </c>
      <c r="Q3078" s="1" t="str">
        <f>IF(COUNTIF(Analysis!$M$2:$M$3001,Analysis!$M3078)&gt;1,"Duplicate","OK")</f>
        <v>OK</v>
      </c>
      <c r="R3078" s="1" t="str">
        <f t="shared" si="1"/>
        <v>#N/A</v>
      </c>
    </row>
    <row r="3079" ht="14.25" customHeight="1">
      <c r="A3079" s="61"/>
      <c r="B3079" s="55"/>
      <c r="C3079" s="55"/>
      <c r="D3079" s="55"/>
      <c r="E3079" s="55"/>
      <c r="F3079" s="55"/>
      <c r="G3079" s="55"/>
      <c r="H3079" s="62"/>
      <c r="I3079" s="62"/>
      <c r="J3079" s="55"/>
      <c r="K3079" s="55"/>
      <c r="L3079" s="55"/>
      <c r="P3079" s="1">
        <f>COUNTIF(Analysis!$M$1:$M$3001,Analysis!$M3079)</f>
        <v>0</v>
      </c>
      <c r="Q3079" s="1" t="str">
        <f>IF(COUNTIF(Analysis!$M$2:$M$3001,Analysis!$M3079)&gt;1,"Duplicate","OK")</f>
        <v>OK</v>
      </c>
      <c r="R3079" s="1" t="str">
        <f t="shared" si="1"/>
        <v>#N/A</v>
      </c>
    </row>
    <row r="3080" ht="14.25" customHeight="1">
      <c r="A3080" s="61"/>
      <c r="B3080" s="55"/>
      <c r="C3080" s="55"/>
      <c r="D3080" s="55"/>
      <c r="E3080" s="55"/>
      <c r="F3080" s="55"/>
      <c r="G3080" s="55"/>
      <c r="H3080" s="62"/>
      <c r="I3080" s="62"/>
      <c r="J3080" s="55"/>
      <c r="K3080" s="55"/>
      <c r="L3080" s="55"/>
      <c r="P3080" s="1">
        <f>COUNTIF(Analysis!$M$1:$M$3001,Analysis!$M3080)</f>
        <v>0</v>
      </c>
      <c r="Q3080" s="1" t="str">
        <f>IF(COUNTIF(Analysis!$M$2:$M$3001,Analysis!$M3080)&gt;1,"Duplicate","OK")</f>
        <v>OK</v>
      </c>
      <c r="R3080" s="1" t="str">
        <f t="shared" si="1"/>
        <v>#N/A</v>
      </c>
    </row>
    <row r="3081" ht="14.25" customHeight="1">
      <c r="A3081" s="61"/>
      <c r="B3081" s="55"/>
      <c r="C3081" s="55"/>
      <c r="D3081" s="55"/>
      <c r="E3081" s="55"/>
      <c r="F3081" s="55"/>
      <c r="G3081" s="55"/>
      <c r="H3081" s="62"/>
      <c r="I3081" s="62"/>
      <c r="J3081" s="55"/>
      <c r="K3081" s="55"/>
      <c r="L3081" s="55"/>
      <c r="P3081" s="1">
        <f>COUNTIF(Analysis!$M$1:$M$3001,Analysis!$M3081)</f>
        <v>0</v>
      </c>
      <c r="Q3081" s="1" t="str">
        <f>IF(COUNTIF(Analysis!$M$2:$M$3001,Analysis!$M3081)&gt;1,"Duplicate","OK")</f>
        <v>OK</v>
      </c>
      <c r="R3081" s="1" t="str">
        <f t="shared" si="1"/>
        <v>#N/A</v>
      </c>
    </row>
    <row r="3082" ht="14.25" customHeight="1">
      <c r="A3082" s="61"/>
      <c r="B3082" s="55"/>
      <c r="C3082" s="55"/>
      <c r="D3082" s="55"/>
      <c r="E3082" s="55"/>
      <c r="F3082" s="55"/>
      <c r="G3082" s="55"/>
      <c r="H3082" s="62"/>
      <c r="I3082" s="62"/>
      <c r="J3082" s="55"/>
      <c r="K3082" s="55"/>
      <c r="L3082" s="55"/>
      <c r="P3082" s="1">
        <f>COUNTIF(Analysis!$M$1:$M$3001,Analysis!$M3082)</f>
        <v>0</v>
      </c>
      <c r="Q3082" s="1" t="str">
        <f>IF(COUNTIF(Analysis!$M$2:$M$3001,Analysis!$M3082)&gt;1,"Duplicate","OK")</f>
        <v>OK</v>
      </c>
      <c r="R3082" s="1" t="str">
        <f t="shared" si="1"/>
        <v>#N/A</v>
      </c>
    </row>
    <row r="3083" ht="14.25" customHeight="1">
      <c r="A3083" s="61"/>
      <c r="B3083" s="55"/>
      <c r="C3083" s="55"/>
      <c r="D3083" s="55"/>
      <c r="E3083" s="55"/>
      <c r="F3083" s="55"/>
      <c r="G3083" s="55"/>
      <c r="H3083" s="62"/>
      <c r="I3083" s="62"/>
      <c r="J3083" s="55"/>
      <c r="K3083" s="55"/>
      <c r="L3083" s="55"/>
      <c r="P3083" s="1">
        <f>COUNTIF(Analysis!$M$1:$M$3001,Analysis!$M3083)</f>
        <v>0</v>
      </c>
      <c r="Q3083" s="1" t="str">
        <f>IF(COUNTIF(Analysis!$M$2:$M$3001,Analysis!$M3083)&gt;1,"Duplicate","OK")</f>
        <v>OK</v>
      </c>
      <c r="R3083" s="1" t="str">
        <f t="shared" si="1"/>
        <v>#N/A</v>
      </c>
    </row>
    <row r="3084" ht="14.25" customHeight="1">
      <c r="A3084" s="61"/>
      <c r="B3084" s="55"/>
      <c r="C3084" s="55"/>
      <c r="D3084" s="55"/>
      <c r="E3084" s="55"/>
      <c r="F3084" s="55"/>
      <c r="G3084" s="55"/>
      <c r="H3084" s="62"/>
      <c r="I3084" s="62"/>
      <c r="J3084" s="55"/>
      <c r="K3084" s="55"/>
      <c r="L3084" s="55"/>
      <c r="P3084" s="1">
        <f>COUNTIF(Analysis!$M$1:$M$3001,Analysis!$M3084)</f>
        <v>0</v>
      </c>
      <c r="Q3084" s="1" t="str">
        <f>IF(COUNTIF(Analysis!$M$2:$M$3001,Analysis!$M3084)&gt;1,"Duplicate","OK")</f>
        <v>OK</v>
      </c>
      <c r="R3084" s="1" t="str">
        <f t="shared" si="1"/>
        <v>#N/A</v>
      </c>
    </row>
    <row r="3085" ht="14.25" customHeight="1">
      <c r="A3085" s="61"/>
      <c r="B3085" s="55"/>
      <c r="C3085" s="55"/>
      <c r="D3085" s="55"/>
      <c r="E3085" s="55"/>
      <c r="F3085" s="55"/>
      <c r="G3085" s="55"/>
      <c r="H3085" s="62"/>
      <c r="I3085" s="62"/>
      <c r="J3085" s="55"/>
      <c r="K3085" s="55"/>
      <c r="L3085" s="55"/>
      <c r="P3085" s="1">
        <f>COUNTIF(Analysis!$M$1:$M$3001,Analysis!$M3085)</f>
        <v>0</v>
      </c>
      <c r="Q3085" s="1" t="str">
        <f>IF(COUNTIF(Analysis!$M$2:$M$3001,Analysis!$M3085)&gt;1,"Duplicate","OK")</f>
        <v>OK</v>
      </c>
      <c r="R3085" s="1" t="str">
        <f t="shared" si="1"/>
        <v>#N/A</v>
      </c>
    </row>
    <row r="3086" ht="14.25" customHeight="1">
      <c r="A3086" s="61"/>
      <c r="B3086" s="55"/>
      <c r="C3086" s="55"/>
      <c r="D3086" s="55"/>
      <c r="E3086" s="55"/>
      <c r="F3086" s="55"/>
      <c r="G3086" s="55"/>
      <c r="H3086" s="62"/>
      <c r="I3086" s="62"/>
      <c r="J3086" s="55"/>
      <c r="K3086" s="55"/>
      <c r="L3086" s="55"/>
      <c r="P3086" s="1">
        <f>COUNTIF(Analysis!$M$1:$M$3001,Analysis!$M3086)</f>
        <v>0</v>
      </c>
      <c r="Q3086" s="1" t="str">
        <f>IF(COUNTIF(Analysis!$M$2:$M$3001,Analysis!$M3086)&gt;1,"Duplicate","OK")</f>
        <v>OK</v>
      </c>
      <c r="R3086" s="1" t="str">
        <f t="shared" si="1"/>
        <v>#N/A</v>
      </c>
    </row>
    <row r="3087" ht="14.25" customHeight="1">
      <c r="A3087" s="61"/>
      <c r="B3087" s="55"/>
      <c r="C3087" s="55"/>
      <c r="D3087" s="55"/>
      <c r="E3087" s="55"/>
      <c r="F3087" s="55"/>
      <c r="G3087" s="55"/>
      <c r="H3087" s="62"/>
      <c r="I3087" s="62"/>
      <c r="J3087" s="55"/>
      <c r="K3087" s="55"/>
      <c r="L3087" s="55"/>
      <c r="P3087" s="1">
        <f>COUNTIF(Analysis!$M$1:$M$3001,Analysis!$M3087)</f>
        <v>0</v>
      </c>
      <c r="Q3087" s="1" t="str">
        <f>IF(COUNTIF(Analysis!$M$2:$M$3001,Analysis!$M3087)&gt;1,"Duplicate","OK")</f>
        <v>OK</v>
      </c>
      <c r="R3087" s="1" t="str">
        <f t="shared" si="1"/>
        <v>#N/A</v>
      </c>
    </row>
    <row r="3088" ht="14.25" customHeight="1">
      <c r="A3088" s="61"/>
      <c r="B3088" s="55"/>
      <c r="C3088" s="55"/>
      <c r="D3088" s="55"/>
      <c r="E3088" s="55"/>
      <c r="F3088" s="55"/>
      <c r="G3088" s="55"/>
      <c r="H3088" s="62"/>
      <c r="I3088" s="62"/>
      <c r="J3088" s="55"/>
      <c r="K3088" s="55"/>
      <c r="L3088" s="55"/>
      <c r="P3088" s="1">
        <f>COUNTIF(Analysis!$M$1:$M$3001,Analysis!$M3088)</f>
        <v>0</v>
      </c>
      <c r="Q3088" s="1" t="str">
        <f>IF(COUNTIF(Analysis!$M$2:$M$3001,Analysis!$M3088)&gt;1,"Duplicate","OK")</f>
        <v>OK</v>
      </c>
      <c r="R3088" s="1" t="str">
        <f t="shared" si="1"/>
        <v>#N/A</v>
      </c>
    </row>
    <row r="3089" ht="14.25" customHeight="1">
      <c r="A3089" s="61"/>
      <c r="B3089" s="55"/>
      <c r="C3089" s="55"/>
      <c r="D3089" s="55"/>
      <c r="E3089" s="55"/>
      <c r="F3089" s="55"/>
      <c r="G3089" s="55"/>
      <c r="H3089" s="62"/>
      <c r="I3089" s="62"/>
      <c r="J3089" s="55"/>
      <c r="K3089" s="55"/>
      <c r="L3089" s="55"/>
      <c r="P3089" s="1">
        <f>COUNTIF(Analysis!$M$1:$M$3001,Analysis!$M3089)</f>
        <v>0</v>
      </c>
      <c r="Q3089" s="1" t="str">
        <f>IF(COUNTIF(Analysis!$M$2:$M$3001,Analysis!$M3089)&gt;1,"Duplicate","OK")</f>
        <v>OK</v>
      </c>
      <c r="R3089" s="1" t="str">
        <f t="shared" si="1"/>
        <v>#N/A</v>
      </c>
    </row>
    <row r="3090" ht="14.25" customHeight="1">
      <c r="A3090" s="61"/>
      <c r="B3090" s="55"/>
      <c r="C3090" s="55"/>
      <c r="D3090" s="55"/>
      <c r="E3090" s="55"/>
      <c r="F3090" s="55"/>
      <c r="G3090" s="55"/>
      <c r="H3090" s="62"/>
      <c r="I3090" s="62"/>
      <c r="J3090" s="55"/>
      <c r="K3090" s="55"/>
      <c r="L3090" s="55"/>
      <c r="P3090" s="1">
        <f>COUNTIF(Analysis!$M$1:$M$3001,Analysis!$M3090)</f>
        <v>0</v>
      </c>
      <c r="Q3090" s="1" t="str">
        <f>IF(COUNTIF(Analysis!$M$2:$M$3001,Analysis!$M3090)&gt;1,"Duplicate","OK")</f>
        <v>OK</v>
      </c>
      <c r="R3090" s="1" t="str">
        <f t="shared" si="1"/>
        <v>#N/A</v>
      </c>
    </row>
    <row r="3091" ht="14.25" customHeight="1">
      <c r="A3091" s="61"/>
      <c r="B3091" s="55"/>
      <c r="C3091" s="55"/>
      <c r="D3091" s="55"/>
      <c r="E3091" s="55"/>
      <c r="F3091" s="55"/>
      <c r="G3091" s="55"/>
      <c r="H3091" s="62"/>
      <c r="I3091" s="62"/>
      <c r="J3091" s="55"/>
      <c r="K3091" s="55"/>
      <c r="L3091" s="55"/>
      <c r="P3091" s="1">
        <f>COUNTIF(Analysis!$M$1:$M$3001,Analysis!$M3091)</f>
        <v>0</v>
      </c>
      <c r="Q3091" s="1" t="str">
        <f>IF(COUNTIF(Analysis!$M$2:$M$3001,Analysis!$M3091)&gt;1,"Duplicate","OK")</f>
        <v>OK</v>
      </c>
      <c r="R3091" s="1" t="str">
        <f t="shared" si="1"/>
        <v>#N/A</v>
      </c>
    </row>
    <row r="3092" ht="14.25" customHeight="1">
      <c r="A3092" s="61"/>
      <c r="B3092" s="55"/>
      <c r="C3092" s="55"/>
      <c r="D3092" s="55"/>
      <c r="E3092" s="55"/>
      <c r="F3092" s="55"/>
      <c r="G3092" s="55"/>
      <c r="H3092" s="62"/>
      <c r="I3092" s="62"/>
      <c r="J3092" s="55"/>
      <c r="K3092" s="55"/>
      <c r="L3092" s="55"/>
      <c r="P3092" s="1">
        <f>COUNTIF(Analysis!$M$1:$M$3001,Analysis!$M3092)</f>
        <v>0</v>
      </c>
      <c r="Q3092" s="1" t="str">
        <f>IF(COUNTIF(Analysis!$M$2:$M$3001,Analysis!$M3092)&gt;1,"Duplicate","OK")</f>
        <v>OK</v>
      </c>
      <c r="R3092" s="1" t="str">
        <f t="shared" si="1"/>
        <v>#N/A</v>
      </c>
    </row>
    <row r="3093" ht="14.25" customHeight="1">
      <c r="A3093" s="61"/>
      <c r="B3093" s="55"/>
      <c r="C3093" s="55"/>
      <c r="D3093" s="55"/>
      <c r="E3093" s="55"/>
      <c r="F3093" s="55"/>
      <c r="G3093" s="55"/>
      <c r="H3093" s="62"/>
      <c r="I3093" s="62"/>
      <c r="J3093" s="55"/>
      <c r="K3093" s="55"/>
      <c r="L3093" s="55"/>
      <c r="P3093" s="1">
        <f>COUNTIF(Analysis!$M$1:$M$3001,Analysis!$M3093)</f>
        <v>0</v>
      </c>
      <c r="Q3093" s="1" t="str">
        <f>IF(COUNTIF(Analysis!$M$2:$M$3001,Analysis!$M3093)&gt;1,"Duplicate","OK")</f>
        <v>OK</v>
      </c>
      <c r="R3093" s="1" t="str">
        <f t="shared" si="1"/>
        <v>#N/A</v>
      </c>
    </row>
    <row r="3094" ht="14.25" customHeight="1">
      <c r="A3094" s="61"/>
      <c r="B3094" s="55"/>
      <c r="C3094" s="55"/>
      <c r="D3094" s="55"/>
      <c r="E3094" s="55"/>
      <c r="F3094" s="55"/>
      <c r="G3094" s="55"/>
      <c r="H3094" s="62"/>
      <c r="I3094" s="62"/>
      <c r="J3094" s="55"/>
      <c r="K3094" s="55"/>
      <c r="L3094" s="55"/>
      <c r="P3094" s="1">
        <f>COUNTIF(Analysis!$M$1:$M$3001,Analysis!$M3094)</f>
        <v>0</v>
      </c>
      <c r="Q3094" s="1" t="str">
        <f>IF(COUNTIF(Analysis!$M$2:$M$3001,Analysis!$M3094)&gt;1,"Duplicate","OK")</f>
        <v>OK</v>
      </c>
      <c r="R3094" s="1" t="str">
        <f t="shared" si="1"/>
        <v>#N/A</v>
      </c>
    </row>
    <row r="3095" ht="14.25" customHeight="1">
      <c r="A3095" s="61"/>
      <c r="B3095" s="55"/>
      <c r="C3095" s="55"/>
      <c r="D3095" s="55"/>
      <c r="E3095" s="55"/>
      <c r="F3095" s="55"/>
      <c r="G3095" s="55"/>
      <c r="H3095" s="62"/>
      <c r="I3095" s="62"/>
      <c r="J3095" s="55"/>
      <c r="K3095" s="55"/>
      <c r="L3095" s="55"/>
      <c r="P3095" s="1">
        <f>COUNTIF(Analysis!$M$1:$M$3001,Analysis!$M3095)</f>
        <v>0</v>
      </c>
      <c r="Q3095" s="1" t="str">
        <f>IF(COUNTIF(Analysis!$M$2:$M$3001,Analysis!$M3095)&gt;1,"Duplicate","OK")</f>
        <v>OK</v>
      </c>
      <c r="R3095" s="1" t="str">
        <f t="shared" si="1"/>
        <v>#N/A</v>
      </c>
    </row>
    <row r="3096" ht="14.25" customHeight="1">
      <c r="A3096" s="61"/>
      <c r="B3096" s="55"/>
      <c r="C3096" s="55"/>
      <c r="D3096" s="55"/>
      <c r="E3096" s="55"/>
      <c r="F3096" s="55"/>
      <c r="G3096" s="55"/>
      <c r="H3096" s="62"/>
      <c r="I3096" s="62"/>
      <c r="J3096" s="55"/>
      <c r="K3096" s="55"/>
      <c r="L3096" s="55"/>
      <c r="P3096" s="1">
        <f>COUNTIF(Analysis!$M$1:$M$3001,Analysis!$M3096)</f>
        <v>0</v>
      </c>
      <c r="Q3096" s="1" t="str">
        <f>IF(COUNTIF(Analysis!$M$2:$M$3001,Analysis!$M3096)&gt;1,"Duplicate","OK")</f>
        <v>OK</v>
      </c>
      <c r="R3096" s="1" t="str">
        <f t="shared" si="1"/>
        <v>#N/A</v>
      </c>
    </row>
    <row r="3097" ht="14.25" customHeight="1">
      <c r="A3097" s="61"/>
      <c r="B3097" s="55"/>
      <c r="C3097" s="55"/>
      <c r="D3097" s="55"/>
      <c r="E3097" s="55"/>
      <c r="F3097" s="55"/>
      <c r="G3097" s="55"/>
      <c r="H3097" s="62"/>
      <c r="I3097" s="62"/>
      <c r="J3097" s="55"/>
      <c r="K3097" s="55"/>
      <c r="L3097" s="55"/>
      <c r="P3097" s="1">
        <f>COUNTIF(Analysis!$M$1:$M$3001,Analysis!$M3097)</f>
        <v>0</v>
      </c>
      <c r="Q3097" s="1" t="str">
        <f>IF(COUNTIF(Analysis!$M$2:$M$3001,Analysis!$M3097)&gt;1,"Duplicate","OK")</f>
        <v>OK</v>
      </c>
      <c r="R3097" s="1" t="str">
        <f t="shared" si="1"/>
        <v>#N/A</v>
      </c>
    </row>
    <row r="3098" ht="14.25" customHeight="1">
      <c r="A3098" s="61"/>
      <c r="B3098" s="55"/>
      <c r="C3098" s="55"/>
      <c r="D3098" s="55"/>
      <c r="E3098" s="55"/>
      <c r="F3098" s="55"/>
      <c r="G3098" s="55"/>
      <c r="H3098" s="62"/>
      <c r="I3098" s="62"/>
      <c r="J3098" s="55"/>
      <c r="K3098" s="55"/>
      <c r="L3098" s="55"/>
      <c r="P3098" s="1">
        <f>COUNTIF(Analysis!$M$1:$M$3001,Analysis!$M3098)</f>
        <v>0</v>
      </c>
      <c r="Q3098" s="1" t="str">
        <f>IF(COUNTIF(Analysis!$M$2:$M$3001,Analysis!$M3098)&gt;1,"Duplicate","OK")</f>
        <v>OK</v>
      </c>
      <c r="R3098" s="1" t="str">
        <f t="shared" si="1"/>
        <v>#N/A</v>
      </c>
    </row>
    <row r="3099" ht="14.25" customHeight="1">
      <c r="A3099" s="61"/>
      <c r="B3099" s="55"/>
      <c r="C3099" s="55"/>
      <c r="D3099" s="55"/>
      <c r="E3099" s="55"/>
      <c r="F3099" s="55"/>
      <c r="G3099" s="55"/>
      <c r="H3099" s="62"/>
      <c r="I3099" s="62"/>
      <c r="J3099" s="55"/>
      <c r="K3099" s="55"/>
      <c r="L3099" s="55"/>
      <c r="P3099" s="1">
        <f>COUNTIF(Analysis!$M$1:$M$3001,Analysis!$M3099)</f>
        <v>0</v>
      </c>
      <c r="Q3099" s="1" t="str">
        <f>IF(COUNTIF(Analysis!$M$2:$M$3001,Analysis!$M3099)&gt;1,"Duplicate","OK")</f>
        <v>OK</v>
      </c>
      <c r="R3099" s="1" t="str">
        <f t="shared" si="1"/>
        <v>#N/A</v>
      </c>
    </row>
    <row r="3100" ht="14.25" customHeight="1">
      <c r="A3100" s="61"/>
      <c r="B3100" s="55"/>
      <c r="C3100" s="55"/>
      <c r="D3100" s="55"/>
      <c r="E3100" s="55"/>
      <c r="F3100" s="55"/>
      <c r="G3100" s="55"/>
      <c r="H3100" s="62"/>
      <c r="I3100" s="62"/>
      <c r="J3100" s="55"/>
      <c r="K3100" s="55"/>
      <c r="L3100" s="55"/>
      <c r="P3100" s="1">
        <f>COUNTIF(Analysis!$M$1:$M$3001,Analysis!$M3100)</f>
        <v>0</v>
      </c>
      <c r="Q3100" s="1" t="str">
        <f>IF(COUNTIF(Analysis!$M$2:$M$3001,Analysis!$M3100)&gt;1,"Duplicate","OK")</f>
        <v>OK</v>
      </c>
      <c r="R3100" s="1" t="str">
        <f t="shared" si="1"/>
        <v>#N/A</v>
      </c>
    </row>
    <row r="3101" ht="14.25" customHeight="1">
      <c r="A3101" s="61"/>
      <c r="B3101" s="55"/>
      <c r="C3101" s="55"/>
      <c r="D3101" s="55"/>
      <c r="E3101" s="55"/>
      <c r="F3101" s="55"/>
      <c r="G3101" s="55"/>
      <c r="H3101" s="62"/>
      <c r="I3101" s="62"/>
      <c r="J3101" s="55"/>
      <c r="K3101" s="55"/>
      <c r="L3101" s="55"/>
      <c r="P3101" s="1">
        <f>COUNTIF(Analysis!$M$1:$M$3001,Analysis!$M3101)</f>
        <v>0</v>
      </c>
      <c r="Q3101" s="1" t="str">
        <f>IF(COUNTIF(Analysis!$M$2:$M$3001,Analysis!$M3101)&gt;1,"Duplicate","OK")</f>
        <v>OK</v>
      </c>
      <c r="R3101" s="1" t="str">
        <f t="shared" si="1"/>
        <v>#N/A</v>
      </c>
    </row>
    <row r="3102" ht="14.25" customHeight="1">
      <c r="A3102" s="61"/>
      <c r="B3102" s="55"/>
      <c r="C3102" s="55"/>
      <c r="D3102" s="55"/>
      <c r="E3102" s="55"/>
      <c r="F3102" s="55"/>
      <c r="G3102" s="55"/>
      <c r="H3102" s="62"/>
      <c r="I3102" s="62"/>
      <c r="J3102" s="55"/>
      <c r="K3102" s="55"/>
      <c r="L3102" s="55"/>
      <c r="P3102" s="1">
        <f>COUNTIF(Analysis!$M$1:$M$3001,Analysis!$M3102)</f>
        <v>0</v>
      </c>
      <c r="Q3102" s="1" t="str">
        <f>IF(COUNTIF(Analysis!$M$2:$M$3001,Analysis!$M3102)&gt;1,"Duplicate","OK")</f>
        <v>OK</v>
      </c>
      <c r="R3102" s="1" t="str">
        <f t="shared" si="1"/>
        <v>#N/A</v>
      </c>
    </row>
    <row r="3103" ht="14.25" customHeight="1">
      <c r="A3103" s="61"/>
      <c r="B3103" s="55"/>
      <c r="C3103" s="55"/>
      <c r="D3103" s="55"/>
      <c r="E3103" s="55"/>
      <c r="F3103" s="55"/>
      <c r="G3103" s="55"/>
      <c r="H3103" s="62"/>
      <c r="I3103" s="62"/>
      <c r="J3103" s="55"/>
      <c r="K3103" s="55"/>
      <c r="L3103" s="55"/>
      <c r="P3103" s="1">
        <f>COUNTIF(Analysis!$M$1:$M$3001,Analysis!$M3103)</f>
        <v>0</v>
      </c>
      <c r="Q3103" s="1" t="str">
        <f>IF(COUNTIF(Analysis!$M$2:$M$3001,Analysis!$M3103)&gt;1,"Duplicate","OK")</f>
        <v>OK</v>
      </c>
      <c r="R3103" s="1" t="str">
        <f t="shared" si="1"/>
        <v>#N/A</v>
      </c>
    </row>
    <row r="3104" ht="14.25" customHeight="1">
      <c r="A3104" s="61"/>
      <c r="B3104" s="55"/>
      <c r="C3104" s="55"/>
      <c r="D3104" s="55"/>
      <c r="E3104" s="55"/>
      <c r="F3104" s="55"/>
      <c r="G3104" s="55"/>
      <c r="H3104" s="62"/>
      <c r="I3104" s="62"/>
      <c r="J3104" s="55"/>
      <c r="K3104" s="55"/>
      <c r="L3104" s="55"/>
      <c r="P3104" s="1">
        <f>COUNTIF(Analysis!$M$1:$M$3001,Analysis!$M3104)</f>
        <v>0</v>
      </c>
      <c r="Q3104" s="1" t="str">
        <f>IF(COUNTIF(Analysis!$M$2:$M$3001,Analysis!$M3104)&gt;1,"Duplicate","OK")</f>
        <v>OK</v>
      </c>
      <c r="R3104" s="1" t="str">
        <f t="shared" si="1"/>
        <v>#N/A</v>
      </c>
    </row>
    <row r="3105" ht="14.25" customHeight="1">
      <c r="A3105" s="61"/>
      <c r="B3105" s="55"/>
      <c r="C3105" s="55"/>
      <c r="D3105" s="55"/>
      <c r="E3105" s="55"/>
      <c r="F3105" s="55"/>
      <c r="G3105" s="55"/>
      <c r="H3105" s="62"/>
      <c r="I3105" s="62"/>
      <c r="J3105" s="55"/>
      <c r="K3105" s="55"/>
      <c r="L3105" s="55"/>
      <c r="P3105" s="1">
        <f>COUNTIF(Analysis!$M$1:$M$3001,Analysis!$M3105)</f>
        <v>0</v>
      </c>
      <c r="Q3105" s="1" t="str">
        <f>IF(COUNTIF(Analysis!$M$2:$M$3001,Analysis!$M3105)&gt;1,"Duplicate","OK")</f>
        <v>OK</v>
      </c>
      <c r="R3105" s="1" t="str">
        <f t="shared" si="1"/>
        <v>#N/A</v>
      </c>
    </row>
    <row r="3106" ht="14.25" customHeight="1">
      <c r="A3106" s="61"/>
      <c r="B3106" s="55"/>
      <c r="C3106" s="55"/>
      <c r="D3106" s="55"/>
      <c r="E3106" s="55"/>
      <c r="F3106" s="55"/>
      <c r="G3106" s="55"/>
      <c r="H3106" s="62"/>
      <c r="I3106" s="62"/>
      <c r="J3106" s="55"/>
      <c r="K3106" s="55"/>
      <c r="L3106" s="55"/>
      <c r="P3106" s="1">
        <f>COUNTIF(Analysis!$M$1:$M$3001,Analysis!$M3106)</f>
        <v>0</v>
      </c>
      <c r="Q3106" s="1" t="str">
        <f>IF(COUNTIF(Analysis!$M$2:$M$3001,Analysis!$M3106)&gt;1,"Duplicate","OK")</f>
        <v>OK</v>
      </c>
      <c r="R3106" s="1" t="str">
        <f t="shared" si="1"/>
        <v>#N/A</v>
      </c>
    </row>
    <row r="3107" ht="14.25" customHeight="1">
      <c r="A3107" s="61"/>
      <c r="B3107" s="55"/>
      <c r="C3107" s="55"/>
      <c r="D3107" s="55"/>
      <c r="E3107" s="55"/>
      <c r="F3107" s="55"/>
      <c r="G3107" s="55"/>
      <c r="H3107" s="62"/>
      <c r="I3107" s="62"/>
      <c r="J3107" s="55"/>
      <c r="K3107" s="55"/>
      <c r="L3107" s="55"/>
      <c r="P3107" s="1">
        <f>COUNTIF(Analysis!$M$1:$M$3001,Analysis!$M3107)</f>
        <v>0</v>
      </c>
      <c r="Q3107" s="1" t="str">
        <f>IF(COUNTIF(Analysis!$M$2:$M$3001,Analysis!$M3107)&gt;1,"Duplicate","OK")</f>
        <v>OK</v>
      </c>
      <c r="R3107" s="1" t="str">
        <f t="shared" si="1"/>
        <v>#N/A</v>
      </c>
    </row>
    <row r="3108" ht="14.25" customHeight="1">
      <c r="A3108" s="61"/>
      <c r="B3108" s="55"/>
      <c r="C3108" s="55"/>
      <c r="D3108" s="55"/>
      <c r="E3108" s="55"/>
      <c r="F3108" s="55"/>
      <c r="G3108" s="55"/>
      <c r="H3108" s="62"/>
      <c r="I3108" s="62"/>
      <c r="J3108" s="55"/>
      <c r="K3108" s="55"/>
      <c r="L3108" s="55"/>
      <c r="P3108" s="1">
        <f>COUNTIF(Analysis!$M$1:$M$3001,Analysis!$M3108)</f>
        <v>0</v>
      </c>
      <c r="Q3108" s="1" t="str">
        <f>IF(COUNTIF(Analysis!$M$2:$M$3001,Analysis!$M3108)&gt;1,"Duplicate","OK")</f>
        <v>OK</v>
      </c>
      <c r="R3108" s="1" t="str">
        <f t="shared" si="1"/>
        <v>#N/A</v>
      </c>
    </row>
    <row r="3109" ht="14.25" customHeight="1">
      <c r="A3109" s="61"/>
      <c r="B3109" s="55"/>
      <c r="C3109" s="55"/>
      <c r="D3109" s="55"/>
      <c r="E3109" s="55"/>
      <c r="F3109" s="55"/>
      <c r="G3109" s="55"/>
      <c r="H3109" s="62"/>
      <c r="I3109" s="62"/>
      <c r="J3109" s="55"/>
      <c r="K3109" s="55"/>
      <c r="L3109" s="55"/>
      <c r="P3109" s="1">
        <f>COUNTIF(Analysis!$M$1:$M$3001,Analysis!$M3109)</f>
        <v>0</v>
      </c>
      <c r="Q3109" s="1" t="str">
        <f>IF(COUNTIF(Analysis!$M$2:$M$3001,Analysis!$M3109)&gt;1,"Duplicate","OK")</f>
        <v>OK</v>
      </c>
      <c r="R3109" s="1" t="str">
        <f t="shared" si="1"/>
        <v>#N/A</v>
      </c>
    </row>
    <row r="3110" ht="14.25" customHeight="1">
      <c r="A3110" s="61"/>
      <c r="B3110" s="55"/>
      <c r="C3110" s="55"/>
      <c r="D3110" s="55"/>
      <c r="E3110" s="55"/>
      <c r="F3110" s="55"/>
      <c r="G3110" s="55"/>
      <c r="H3110" s="62"/>
      <c r="I3110" s="62"/>
      <c r="J3110" s="55"/>
      <c r="K3110" s="55"/>
      <c r="L3110" s="55"/>
      <c r="P3110" s="1">
        <f>COUNTIF(Analysis!$M$1:$M$3001,Analysis!$M3110)</f>
        <v>0</v>
      </c>
      <c r="Q3110" s="1" t="str">
        <f>IF(COUNTIF(Analysis!$M$2:$M$3001,Analysis!$M3110)&gt;1,"Duplicate","OK")</f>
        <v>OK</v>
      </c>
      <c r="R3110" s="1" t="str">
        <f t="shared" si="1"/>
        <v>#N/A</v>
      </c>
    </row>
    <row r="3111" ht="14.25" customHeight="1">
      <c r="A3111" s="61"/>
      <c r="B3111" s="55"/>
      <c r="C3111" s="55"/>
      <c r="D3111" s="55"/>
      <c r="E3111" s="55"/>
      <c r="F3111" s="55"/>
      <c r="G3111" s="55"/>
      <c r="H3111" s="62"/>
      <c r="I3111" s="62"/>
      <c r="J3111" s="55"/>
      <c r="K3111" s="55"/>
      <c r="L3111" s="55"/>
      <c r="P3111" s="1">
        <f>COUNTIF(Analysis!$M$1:$M$3001,Analysis!$M3111)</f>
        <v>0</v>
      </c>
      <c r="Q3111" s="1" t="str">
        <f>IF(COUNTIF(Analysis!$M$2:$M$3001,Analysis!$M3111)&gt;1,"Duplicate","OK")</f>
        <v>OK</v>
      </c>
      <c r="R3111" s="1" t="str">
        <f t="shared" si="1"/>
        <v>#N/A</v>
      </c>
    </row>
    <row r="3112" ht="14.25" customHeight="1">
      <c r="A3112" s="61"/>
      <c r="B3112" s="55"/>
      <c r="C3112" s="55"/>
      <c r="D3112" s="55"/>
      <c r="E3112" s="55"/>
      <c r="F3112" s="55"/>
      <c r="G3112" s="55"/>
      <c r="H3112" s="62"/>
      <c r="I3112" s="62"/>
      <c r="J3112" s="55"/>
      <c r="K3112" s="55"/>
      <c r="L3112" s="55"/>
      <c r="P3112" s="1">
        <f>COUNTIF(Analysis!$M$1:$M$3001,Analysis!$M3112)</f>
        <v>0</v>
      </c>
      <c r="Q3112" s="1" t="str">
        <f>IF(COUNTIF(Analysis!$M$2:$M$3001,Analysis!$M3112)&gt;1,"Duplicate","OK")</f>
        <v>OK</v>
      </c>
      <c r="R3112" s="1" t="str">
        <f t="shared" si="1"/>
        <v>#N/A</v>
      </c>
    </row>
    <row r="3113" ht="14.25" customHeight="1">
      <c r="A3113" s="61"/>
      <c r="B3113" s="55"/>
      <c r="C3113" s="55"/>
      <c r="D3113" s="55"/>
      <c r="E3113" s="55"/>
      <c r="F3113" s="55"/>
      <c r="G3113" s="55"/>
      <c r="H3113" s="62"/>
      <c r="I3113" s="62"/>
      <c r="J3113" s="55"/>
      <c r="K3113" s="55"/>
      <c r="L3113" s="55"/>
      <c r="P3113" s="1">
        <f>COUNTIF(Analysis!$M$1:$M$3001,Analysis!$M3113)</f>
        <v>0</v>
      </c>
      <c r="Q3113" s="1" t="str">
        <f>IF(COUNTIF(Analysis!$M$2:$M$3001,Analysis!$M3113)&gt;1,"Duplicate","OK")</f>
        <v>OK</v>
      </c>
      <c r="R3113" s="1" t="str">
        <f t="shared" si="1"/>
        <v>#N/A</v>
      </c>
    </row>
    <row r="3114" ht="14.25" customHeight="1">
      <c r="A3114" s="61"/>
      <c r="B3114" s="55"/>
      <c r="C3114" s="55"/>
      <c r="D3114" s="55"/>
      <c r="E3114" s="55"/>
      <c r="F3114" s="55"/>
      <c r="G3114" s="55"/>
      <c r="H3114" s="62"/>
      <c r="I3114" s="62"/>
      <c r="J3114" s="55"/>
      <c r="K3114" s="55"/>
      <c r="L3114" s="55"/>
      <c r="P3114" s="1">
        <f>COUNTIF(Analysis!$M$1:$M$3001,Analysis!$M3114)</f>
        <v>0</v>
      </c>
      <c r="Q3114" s="1" t="str">
        <f>IF(COUNTIF(Analysis!$M$2:$M$3001,Analysis!$M3114)&gt;1,"Duplicate","OK")</f>
        <v>OK</v>
      </c>
      <c r="R3114" s="1" t="str">
        <f t="shared" si="1"/>
        <v>#N/A</v>
      </c>
    </row>
    <row r="3115" ht="14.25" customHeight="1">
      <c r="A3115" s="61"/>
      <c r="B3115" s="55"/>
      <c r="C3115" s="55"/>
      <c r="D3115" s="55"/>
      <c r="E3115" s="55"/>
      <c r="F3115" s="55"/>
      <c r="G3115" s="55"/>
      <c r="H3115" s="62"/>
      <c r="I3115" s="62"/>
      <c r="J3115" s="55"/>
      <c r="K3115" s="55"/>
      <c r="L3115" s="55"/>
      <c r="P3115" s="1">
        <f>COUNTIF(Analysis!$M$1:$M$3001,Analysis!$M3115)</f>
        <v>0</v>
      </c>
      <c r="Q3115" s="1" t="str">
        <f>IF(COUNTIF(Analysis!$M$2:$M$3001,Analysis!$M3115)&gt;1,"Duplicate","OK")</f>
        <v>OK</v>
      </c>
      <c r="R3115" s="1" t="str">
        <f t="shared" si="1"/>
        <v>#N/A</v>
      </c>
    </row>
    <row r="3116" ht="14.25" customHeight="1">
      <c r="A3116" s="61"/>
      <c r="B3116" s="55"/>
      <c r="C3116" s="55"/>
      <c r="D3116" s="55"/>
      <c r="E3116" s="55"/>
      <c r="F3116" s="55"/>
      <c r="G3116" s="55"/>
      <c r="H3116" s="62"/>
      <c r="I3116" s="62"/>
      <c r="J3116" s="55"/>
      <c r="K3116" s="55"/>
      <c r="L3116" s="55"/>
      <c r="P3116" s="1">
        <f>COUNTIF(Analysis!$M$1:$M$3001,Analysis!$M3116)</f>
        <v>0</v>
      </c>
      <c r="Q3116" s="1" t="str">
        <f>IF(COUNTIF(Analysis!$M$2:$M$3001,Analysis!$M3116)&gt;1,"Duplicate","OK")</f>
        <v>OK</v>
      </c>
      <c r="R3116" s="1" t="str">
        <f t="shared" si="1"/>
        <v>#N/A</v>
      </c>
    </row>
    <row r="3117" ht="14.25" customHeight="1">
      <c r="A3117" s="61"/>
      <c r="B3117" s="55"/>
      <c r="C3117" s="55"/>
      <c r="D3117" s="55"/>
      <c r="E3117" s="55"/>
      <c r="F3117" s="55"/>
      <c r="G3117" s="55"/>
      <c r="H3117" s="62"/>
      <c r="I3117" s="62"/>
      <c r="J3117" s="55"/>
      <c r="K3117" s="55"/>
      <c r="L3117" s="55"/>
      <c r="P3117" s="1">
        <f>COUNTIF(Analysis!$M$1:$M$3001,Analysis!$M3117)</f>
        <v>0</v>
      </c>
      <c r="Q3117" s="1" t="str">
        <f>IF(COUNTIF(Analysis!$M$2:$M$3001,Analysis!$M3117)&gt;1,"Duplicate","OK")</f>
        <v>OK</v>
      </c>
      <c r="R3117" s="1" t="str">
        <f t="shared" si="1"/>
        <v>#N/A</v>
      </c>
    </row>
    <row r="3118" ht="14.25" customHeight="1">
      <c r="A3118" s="61"/>
      <c r="B3118" s="55"/>
      <c r="C3118" s="55"/>
      <c r="D3118" s="55"/>
      <c r="E3118" s="55"/>
      <c r="F3118" s="55"/>
      <c r="G3118" s="55"/>
      <c r="H3118" s="62"/>
      <c r="I3118" s="62"/>
      <c r="J3118" s="55"/>
      <c r="K3118" s="55"/>
      <c r="L3118" s="55"/>
      <c r="P3118" s="1">
        <f>COUNTIF(Analysis!$M$1:$M$3001,Analysis!$M3118)</f>
        <v>0</v>
      </c>
      <c r="Q3118" s="1" t="str">
        <f>IF(COUNTIF(Analysis!$M$2:$M$3001,Analysis!$M3118)&gt;1,"Duplicate","OK")</f>
        <v>OK</v>
      </c>
      <c r="R3118" s="1" t="str">
        <f t="shared" si="1"/>
        <v>#N/A</v>
      </c>
    </row>
    <row r="3119" ht="14.25" customHeight="1">
      <c r="A3119" s="61"/>
      <c r="B3119" s="55"/>
      <c r="C3119" s="55"/>
      <c r="D3119" s="55"/>
      <c r="E3119" s="55"/>
      <c r="F3119" s="55"/>
      <c r="G3119" s="55"/>
      <c r="H3119" s="62"/>
      <c r="I3119" s="62"/>
      <c r="J3119" s="55"/>
      <c r="K3119" s="55"/>
      <c r="L3119" s="55"/>
      <c r="P3119" s="1">
        <f>COUNTIF(Analysis!$M$1:$M$3001,Analysis!$M3119)</f>
        <v>0</v>
      </c>
      <c r="Q3119" s="1" t="str">
        <f>IF(COUNTIF(Analysis!$M$2:$M$3001,Analysis!$M3119)&gt;1,"Duplicate","OK")</f>
        <v>OK</v>
      </c>
      <c r="R3119" s="1" t="str">
        <f t="shared" si="1"/>
        <v>#N/A</v>
      </c>
    </row>
    <row r="3120" ht="14.25" customHeight="1">
      <c r="A3120" s="61"/>
      <c r="B3120" s="55"/>
      <c r="C3120" s="55"/>
      <c r="D3120" s="55"/>
      <c r="E3120" s="55"/>
      <c r="F3120" s="55"/>
      <c r="G3120" s="55"/>
      <c r="H3120" s="62"/>
      <c r="I3120" s="62"/>
      <c r="J3120" s="55"/>
      <c r="K3120" s="55"/>
      <c r="L3120" s="55"/>
      <c r="P3120" s="1">
        <f>COUNTIF(Analysis!$M$1:$M$3001,Analysis!$M3120)</f>
        <v>0</v>
      </c>
      <c r="Q3120" s="1" t="str">
        <f>IF(COUNTIF(Analysis!$M$2:$M$3001,Analysis!$M3120)&gt;1,"Duplicate","OK")</f>
        <v>OK</v>
      </c>
      <c r="R3120" s="1" t="str">
        <f t="shared" si="1"/>
        <v>#N/A</v>
      </c>
    </row>
    <row r="3121" ht="14.25" customHeight="1">
      <c r="A3121" s="61"/>
      <c r="B3121" s="55"/>
      <c r="C3121" s="55"/>
      <c r="D3121" s="55"/>
      <c r="E3121" s="55"/>
      <c r="F3121" s="55"/>
      <c r="G3121" s="55"/>
      <c r="H3121" s="62"/>
      <c r="I3121" s="62"/>
      <c r="J3121" s="55"/>
      <c r="K3121" s="55"/>
      <c r="L3121" s="55"/>
      <c r="P3121" s="1">
        <f>COUNTIF(Analysis!$M$1:$M$3001,Analysis!$M3121)</f>
        <v>0</v>
      </c>
      <c r="Q3121" s="1" t="str">
        <f>IF(COUNTIF(Analysis!$M$2:$M$3001,Analysis!$M3121)&gt;1,"Duplicate","OK")</f>
        <v>OK</v>
      </c>
      <c r="R3121" s="1" t="str">
        <f t="shared" si="1"/>
        <v>#N/A</v>
      </c>
    </row>
    <row r="3122" ht="14.25" customHeight="1">
      <c r="A3122" s="61"/>
      <c r="B3122" s="55"/>
      <c r="C3122" s="55"/>
      <c r="D3122" s="55"/>
      <c r="E3122" s="55"/>
      <c r="F3122" s="55"/>
      <c r="G3122" s="55"/>
      <c r="H3122" s="62"/>
      <c r="I3122" s="62"/>
      <c r="J3122" s="55"/>
      <c r="K3122" s="55"/>
      <c r="L3122" s="55"/>
      <c r="P3122" s="1">
        <f>COUNTIF(Analysis!$M$1:$M$3001,Analysis!$M3122)</f>
        <v>0</v>
      </c>
      <c r="Q3122" s="1" t="str">
        <f>IF(COUNTIF(Analysis!$M$2:$M$3001,Analysis!$M3122)&gt;1,"Duplicate","OK")</f>
        <v>OK</v>
      </c>
      <c r="R3122" s="1" t="str">
        <f t="shared" si="1"/>
        <v>#N/A</v>
      </c>
    </row>
    <row r="3123" ht="14.25" customHeight="1">
      <c r="A3123" s="61"/>
      <c r="B3123" s="55"/>
      <c r="C3123" s="55"/>
      <c r="D3123" s="55"/>
      <c r="E3123" s="55"/>
      <c r="F3123" s="55"/>
      <c r="G3123" s="55"/>
      <c r="H3123" s="62"/>
      <c r="I3123" s="62"/>
      <c r="J3123" s="55"/>
      <c r="K3123" s="55"/>
      <c r="L3123" s="55"/>
      <c r="P3123" s="1">
        <f>COUNTIF(Analysis!$M$1:$M$3001,Analysis!$M3123)</f>
        <v>0</v>
      </c>
      <c r="Q3123" s="1" t="str">
        <f>IF(COUNTIF(Analysis!$M$2:$M$3001,Analysis!$M3123)&gt;1,"Duplicate","OK")</f>
        <v>OK</v>
      </c>
      <c r="R3123" s="1" t="str">
        <f t="shared" si="1"/>
        <v>#N/A</v>
      </c>
    </row>
    <row r="3124" ht="14.25" customHeight="1">
      <c r="A3124" s="61"/>
      <c r="B3124" s="55"/>
      <c r="C3124" s="55"/>
      <c r="D3124" s="55"/>
      <c r="E3124" s="55"/>
      <c r="F3124" s="55"/>
      <c r="G3124" s="55"/>
      <c r="H3124" s="62"/>
      <c r="I3124" s="62"/>
      <c r="J3124" s="55"/>
      <c r="K3124" s="55"/>
      <c r="L3124" s="55"/>
      <c r="P3124" s="1">
        <f>COUNTIF(Analysis!$M$1:$M$3001,Analysis!$M3124)</f>
        <v>0</v>
      </c>
      <c r="Q3124" s="1" t="str">
        <f>IF(COUNTIF(Analysis!$M$2:$M$3001,Analysis!$M3124)&gt;1,"Duplicate","OK")</f>
        <v>OK</v>
      </c>
      <c r="R3124" s="1" t="str">
        <f t="shared" si="1"/>
        <v>#N/A</v>
      </c>
    </row>
    <row r="3125" ht="14.25" customHeight="1">
      <c r="A3125" s="61"/>
      <c r="B3125" s="55"/>
      <c r="C3125" s="55"/>
      <c r="D3125" s="55"/>
      <c r="E3125" s="55"/>
      <c r="F3125" s="55"/>
      <c r="G3125" s="55"/>
      <c r="H3125" s="62"/>
      <c r="I3125" s="62"/>
      <c r="J3125" s="55"/>
      <c r="K3125" s="55"/>
      <c r="L3125" s="55"/>
      <c r="P3125" s="1">
        <f>COUNTIF(Analysis!$M$1:$M$3001,Analysis!$M3125)</f>
        <v>0</v>
      </c>
      <c r="Q3125" s="1" t="str">
        <f>IF(COUNTIF(Analysis!$M$2:$M$3001,Analysis!$M3125)&gt;1,"Duplicate","OK")</f>
        <v>OK</v>
      </c>
      <c r="R3125" s="1" t="str">
        <f t="shared" si="1"/>
        <v>#N/A</v>
      </c>
    </row>
    <row r="3126" ht="14.25" customHeight="1">
      <c r="A3126" s="61"/>
      <c r="B3126" s="55"/>
      <c r="C3126" s="55"/>
      <c r="D3126" s="55"/>
      <c r="E3126" s="55"/>
      <c r="F3126" s="55"/>
      <c r="G3126" s="55"/>
      <c r="H3126" s="62"/>
      <c r="I3126" s="62"/>
      <c r="J3126" s="55"/>
      <c r="K3126" s="55"/>
      <c r="L3126" s="55"/>
      <c r="P3126" s="1">
        <f>COUNTIF(Analysis!$M$1:$M$3001,Analysis!$M3126)</f>
        <v>0</v>
      </c>
      <c r="Q3126" s="1" t="str">
        <f>IF(COUNTIF(Analysis!$M$2:$M$3001,Analysis!$M3126)&gt;1,"Duplicate","OK")</f>
        <v>OK</v>
      </c>
      <c r="R3126" s="1" t="str">
        <f t="shared" si="1"/>
        <v>#N/A</v>
      </c>
    </row>
    <row r="3127" ht="14.25" customHeight="1">
      <c r="A3127" s="61"/>
      <c r="B3127" s="55"/>
      <c r="C3127" s="55"/>
      <c r="D3127" s="55"/>
      <c r="E3127" s="55"/>
      <c r="F3127" s="55"/>
      <c r="G3127" s="55"/>
      <c r="H3127" s="62"/>
      <c r="I3127" s="62"/>
      <c r="J3127" s="55"/>
      <c r="K3127" s="55"/>
      <c r="L3127" s="55"/>
      <c r="P3127" s="1">
        <f>COUNTIF(Analysis!$M$1:$M$3001,Analysis!$M3127)</f>
        <v>0</v>
      </c>
      <c r="Q3127" s="1" t="str">
        <f>IF(COUNTIF(Analysis!$M$2:$M$3001,Analysis!$M3127)&gt;1,"Duplicate","OK")</f>
        <v>OK</v>
      </c>
      <c r="R3127" s="1" t="str">
        <f t="shared" si="1"/>
        <v>#N/A</v>
      </c>
    </row>
    <row r="3128" ht="14.25" customHeight="1">
      <c r="A3128" s="61"/>
      <c r="B3128" s="55"/>
      <c r="C3128" s="55"/>
      <c r="D3128" s="55"/>
      <c r="E3128" s="55"/>
      <c r="F3128" s="55"/>
      <c r="G3128" s="55"/>
      <c r="H3128" s="62"/>
      <c r="I3128" s="62"/>
      <c r="J3128" s="55"/>
      <c r="K3128" s="55"/>
      <c r="L3128" s="55"/>
      <c r="P3128" s="1">
        <f>COUNTIF(Analysis!$M$1:$M$3001,Analysis!$M3128)</f>
        <v>0</v>
      </c>
      <c r="Q3128" s="1" t="str">
        <f>IF(COUNTIF(Analysis!$M$2:$M$3001,Analysis!$M3128)&gt;1,"Duplicate","OK")</f>
        <v>OK</v>
      </c>
      <c r="R3128" s="1" t="str">
        <f t="shared" si="1"/>
        <v>#N/A</v>
      </c>
    </row>
    <row r="3129" ht="14.25" customHeight="1">
      <c r="A3129" s="61"/>
      <c r="B3129" s="55"/>
      <c r="C3129" s="55"/>
      <c r="D3129" s="55"/>
      <c r="E3129" s="55"/>
      <c r="F3129" s="55"/>
      <c r="G3129" s="55"/>
      <c r="H3129" s="62"/>
      <c r="I3129" s="62"/>
      <c r="J3129" s="55"/>
      <c r="K3129" s="55"/>
      <c r="L3129" s="55"/>
      <c r="P3129" s="1">
        <f>COUNTIF(Analysis!$M$1:$M$3001,Analysis!$M3129)</f>
        <v>0</v>
      </c>
      <c r="Q3129" s="1" t="str">
        <f>IF(COUNTIF(Analysis!$M$2:$M$3001,Analysis!$M3129)&gt;1,"Duplicate","OK")</f>
        <v>OK</v>
      </c>
      <c r="R3129" s="1" t="str">
        <f t="shared" si="1"/>
        <v>#N/A</v>
      </c>
    </row>
    <row r="3130" ht="14.25" customHeight="1">
      <c r="A3130" s="61"/>
      <c r="B3130" s="55"/>
      <c r="C3130" s="55"/>
      <c r="D3130" s="55"/>
      <c r="E3130" s="55"/>
      <c r="F3130" s="55"/>
      <c r="G3130" s="55"/>
      <c r="H3130" s="62"/>
      <c r="I3130" s="62"/>
      <c r="J3130" s="55"/>
      <c r="K3130" s="55"/>
      <c r="L3130" s="55"/>
      <c r="P3130" s="1">
        <f>COUNTIF(Analysis!$M$1:$M$3001,Analysis!$M3130)</f>
        <v>0</v>
      </c>
      <c r="Q3130" s="1" t="str">
        <f>IF(COUNTIF(Analysis!$M$2:$M$3001,Analysis!$M3130)&gt;1,"Duplicate","OK")</f>
        <v>OK</v>
      </c>
      <c r="R3130" s="1" t="str">
        <f t="shared" si="1"/>
        <v>#N/A</v>
      </c>
    </row>
    <row r="3131" ht="14.25" customHeight="1">
      <c r="A3131" s="61"/>
      <c r="B3131" s="55"/>
      <c r="C3131" s="55"/>
      <c r="D3131" s="55"/>
      <c r="E3131" s="55"/>
      <c r="F3131" s="55"/>
      <c r="G3131" s="55"/>
      <c r="H3131" s="62"/>
      <c r="I3131" s="62"/>
      <c r="J3131" s="55"/>
      <c r="K3131" s="55"/>
      <c r="L3131" s="55"/>
      <c r="P3131" s="1">
        <f>COUNTIF(Analysis!$M$1:$M$3001,Analysis!$M3131)</f>
        <v>0</v>
      </c>
      <c r="Q3131" s="1" t="str">
        <f>IF(COUNTIF(Analysis!$M$2:$M$3001,Analysis!$M3131)&gt;1,"Duplicate","OK")</f>
        <v>OK</v>
      </c>
      <c r="R3131" s="1" t="str">
        <f t="shared" si="1"/>
        <v>#N/A</v>
      </c>
    </row>
    <row r="3132" ht="14.25" customHeight="1">
      <c r="A3132" s="61"/>
      <c r="B3132" s="55"/>
      <c r="C3132" s="55"/>
      <c r="D3132" s="55"/>
      <c r="E3132" s="55"/>
      <c r="F3132" s="55"/>
      <c r="G3132" s="55"/>
      <c r="H3132" s="62"/>
      <c r="I3132" s="62"/>
      <c r="J3132" s="55"/>
      <c r="K3132" s="55"/>
      <c r="L3132" s="55"/>
      <c r="P3132" s="1">
        <f>COUNTIF(Analysis!$M$1:$M$3001,Analysis!$M3132)</f>
        <v>0</v>
      </c>
      <c r="Q3132" s="1" t="str">
        <f>IF(COUNTIF(Analysis!$M$2:$M$3001,Analysis!$M3132)&gt;1,"Duplicate","OK")</f>
        <v>OK</v>
      </c>
      <c r="R3132" s="1" t="str">
        <f t="shared" si="1"/>
        <v>#N/A</v>
      </c>
    </row>
    <row r="3133" ht="14.25" customHeight="1">
      <c r="A3133" s="61"/>
      <c r="B3133" s="55"/>
      <c r="C3133" s="55"/>
      <c r="D3133" s="55"/>
      <c r="E3133" s="55"/>
      <c r="F3133" s="55"/>
      <c r="G3133" s="55"/>
      <c r="H3133" s="62"/>
      <c r="I3133" s="62"/>
      <c r="J3133" s="55"/>
      <c r="K3133" s="55"/>
      <c r="L3133" s="55"/>
      <c r="P3133" s="1">
        <f>COUNTIF(Analysis!$M$1:$M$3001,Analysis!$M3133)</f>
        <v>0</v>
      </c>
      <c r="Q3133" s="1" t="str">
        <f>IF(COUNTIF(Analysis!$M$2:$M$3001,Analysis!$M3133)&gt;1,"Duplicate","OK")</f>
        <v>OK</v>
      </c>
      <c r="R3133" s="1" t="str">
        <f t="shared" si="1"/>
        <v>#N/A</v>
      </c>
    </row>
    <row r="3134" ht="14.25" customHeight="1">
      <c r="A3134" s="61"/>
      <c r="B3134" s="55"/>
      <c r="C3134" s="55"/>
      <c r="D3134" s="55"/>
      <c r="E3134" s="55"/>
      <c r="F3134" s="55"/>
      <c r="G3134" s="55"/>
      <c r="H3134" s="62"/>
      <c r="I3134" s="62"/>
      <c r="J3134" s="55"/>
      <c r="K3134" s="55"/>
      <c r="L3134" s="55"/>
      <c r="P3134" s="1">
        <f>COUNTIF(Analysis!$M$1:$M$3001,Analysis!$M3134)</f>
        <v>0</v>
      </c>
      <c r="Q3134" s="1" t="str">
        <f>IF(COUNTIF(Analysis!$M$2:$M$3001,Analysis!$M3134)&gt;1,"Duplicate","OK")</f>
        <v>OK</v>
      </c>
      <c r="R3134" s="1" t="str">
        <f t="shared" si="1"/>
        <v>#N/A</v>
      </c>
    </row>
    <row r="3135" ht="14.25" customHeight="1">
      <c r="A3135" s="61"/>
      <c r="B3135" s="55"/>
      <c r="C3135" s="55"/>
      <c r="D3135" s="55"/>
      <c r="E3135" s="55"/>
      <c r="F3135" s="55"/>
      <c r="G3135" s="55"/>
      <c r="H3135" s="62"/>
      <c r="I3135" s="62"/>
      <c r="J3135" s="55"/>
      <c r="K3135" s="55"/>
      <c r="L3135" s="55"/>
      <c r="P3135" s="1">
        <f>COUNTIF(Analysis!$M$1:$M$3001,Analysis!$M3135)</f>
        <v>0</v>
      </c>
      <c r="Q3135" s="1" t="str">
        <f>IF(COUNTIF(Analysis!$M$2:$M$3001,Analysis!$M3135)&gt;1,"Duplicate","OK")</f>
        <v>OK</v>
      </c>
      <c r="R3135" s="1" t="str">
        <f t="shared" si="1"/>
        <v>#N/A</v>
      </c>
    </row>
    <row r="3136" ht="14.25" customHeight="1">
      <c r="A3136" s="61"/>
      <c r="B3136" s="55"/>
      <c r="C3136" s="55"/>
      <c r="D3136" s="55"/>
      <c r="E3136" s="55"/>
      <c r="F3136" s="55"/>
      <c r="G3136" s="55"/>
      <c r="H3136" s="62"/>
      <c r="I3136" s="62"/>
      <c r="J3136" s="55"/>
      <c r="K3136" s="55"/>
      <c r="L3136" s="55"/>
      <c r="P3136" s="1">
        <f>COUNTIF(Analysis!$M$1:$M$3001,Analysis!$M3136)</f>
        <v>0</v>
      </c>
      <c r="Q3136" s="1" t="str">
        <f>IF(COUNTIF(Analysis!$M$2:$M$3001,Analysis!$M3136)&gt;1,"Duplicate","OK")</f>
        <v>OK</v>
      </c>
      <c r="R3136" s="1" t="str">
        <f t="shared" si="1"/>
        <v>#N/A</v>
      </c>
    </row>
    <row r="3137" ht="14.25" customHeight="1">
      <c r="A3137" s="61"/>
      <c r="B3137" s="55"/>
      <c r="C3137" s="55"/>
      <c r="D3137" s="55"/>
      <c r="E3137" s="55"/>
      <c r="F3137" s="55"/>
      <c r="G3137" s="55"/>
      <c r="H3137" s="62"/>
      <c r="I3137" s="62"/>
      <c r="J3137" s="55"/>
      <c r="K3137" s="55"/>
      <c r="L3137" s="55"/>
      <c r="P3137" s="1">
        <f>COUNTIF(Analysis!$M$1:$M$3001,Analysis!$M3137)</f>
        <v>0</v>
      </c>
      <c r="Q3137" s="1" t="str">
        <f>IF(COUNTIF(Analysis!$M$2:$M$3001,Analysis!$M3137)&gt;1,"Duplicate","OK")</f>
        <v>OK</v>
      </c>
      <c r="R3137" s="1" t="str">
        <f t="shared" si="1"/>
        <v>#N/A</v>
      </c>
    </row>
    <row r="3138" ht="14.25" customHeight="1">
      <c r="A3138" s="61"/>
      <c r="B3138" s="55"/>
      <c r="C3138" s="55"/>
      <c r="D3138" s="55"/>
      <c r="E3138" s="55"/>
      <c r="F3138" s="55"/>
      <c r="G3138" s="55"/>
      <c r="H3138" s="62"/>
      <c r="I3138" s="62"/>
      <c r="J3138" s="55"/>
      <c r="K3138" s="55"/>
      <c r="L3138" s="55"/>
      <c r="P3138" s="1">
        <f>COUNTIF(Analysis!$M$1:$M$3001,Analysis!$M3138)</f>
        <v>0</v>
      </c>
      <c r="Q3138" s="1" t="str">
        <f>IF(COUNTIF(Analysis!$M$2:$M$3001,Analysis!$M3138)&gt;1,"Duplicate","OK")</f>
        <v>OK</v>
      </c>
      <c r="R3138" s="1" t="str">
        <f t="shared" si="1"/>
        <v>#N/A</v>
      </c>
    </row>
    <row r="3139" ht="14.25" customHeight="1">
      <c r="A3139" s="61"/>
      <c r="B3139" s="55"/>
      <c r="C3139" s="55"/>
      <c r="D3139" s="55"/>
      <c r="E3139" s="55"/>
      <c r="F3139" s="55"/>
      <c r="G3139" s="55"/>
      <c r="H3139" s="62"/>
      <c r="I3139" s="62"/>
      <c r="J3139" s="55"/>
      <c r="K3139" s="55"/>
      <c r="L3139" s="55"/>
      <c r="P3139" s="1">
        <f>COUNTIF(Analysis!$M$1:$M$3001,Analysis!$M3139)</f>
        <v>0</v>
      </c>
      <c r="Q3139" s="1" t="str">
        <f>IF(COUNTIF(Analysis!$M$2:$M$3001,Analysis!$M3139)&gt;1,"Duplicate","OK")</f>
        <v>OK</v>
      </c>
      <c r="R3139" s="1" t="str">
        <f t="shared" si="1"/>
        <v>#N/A</v>
      </c>
    </row>
    <row r="3140" ht="14.25" customHeight="1">
      <c r="A3140" s="61"/>
      <c r="B3140" s="55"/>
      <c r="C3140" s="55"/>
      <c r="D3140" s="55"/>
      <c r="E3140" s="55"/>
      <c r="F3140" s="55"/>
      <c r="G3140" s="55"/>
      <c r="H3140" s="62"/>
      <c r="I3140" s="62"/>
      <c r="J3140" s="55"/>
      <c r="K3140" s="55"/>
      <c r="L3140" s="55"/>
      <c r="P3140" s="1">
        <f>COUNTIF(Analysis!$M$1:$M$3001,Analysis!$M3140)</f>
        <v>0</v>
      </c>
      <c r="Q3140" s="1" t="str">
        <f>IF(COUNTIF(Analysis!$M$2:$M$3001,Analysis!$M3140)&gt;1,"Duplicate","OK")</f>
        <v>OK</v>
      </c>
      <c r="R3140" s="1" t="str">
        <f t="shared" si="1"/>
        <v>#N/A</v>
      </c>
    </row>
    <row r="3141" ht="14.25" customHeight="1">
      <c r="A3141" s="61"/>
      <c r="B3141" s="55"/>
      <c r="C3141" s="55"/>
      <c r="D3141" s="55"/>
      <c r="E3141" s="55"/>
      <c r="F3141" s="55"/>
      <c r="G3141" s="55"/>
      <c r="H3141" s="62"/>
      <c r="I3141" s="62"/>
      <c r="J3141" s="55"/>
      <c r="K3141" s="55"/>
      <c r="L3141" s="55"/>
      <c r="P3141" s="1">
        <f>COUNTIF(Analysis!$M$1:$M$3001,Analysis!$M3141)</f>
        <v>0</v>
      </c>
      <c r="Q3141" s="1" t="str">
        <f>IF(COUNTIF(Analysis!$M$2:$M$3001,Analysis!$M3141)&gt;1,"Duplicate","OK")</f>
        <v>OK</v>
      </c>
      <c r="R3141" s="1" t="str">
        <f t="shared" si="1"/>
        <v>#N/A</v>
      </c>
    </row>
    <row r="3142" ht="14.25" customHeight="1">
      <c r="A3142" s="61"/>
      <c r="B3142" s="55"/>
      <c r="C3142" s="55"/>
      <c r="D3142" s="55"/>
      <c r="E3142" s="55"/>
      <c r="F3142" s="55"/>
      <c r="G3142" s="55"/>
      <c r="H3142" s="62"/>
      <c r="I3142" s="62"/>
      <c r="J3142" s="55"/>
      <c r="K3142" s="55"/>
      <c r="L3142" s="55"/>
      <c r="P3142" s="1">
        <f>COUNTIF(Analysis!$M$1:$M$3001,Analysis!$M3142)</f>
        <v>0</v>
      </c>
      <c r="Q3142" s="1" t="str">
        <f>IF(COUNTIF(Analysis!$M$2:$M$3001,Analysis!$M3142)&gt;1,"Duplicate","OK")</f>
        <v>OK</v>
      </c>
      <c r="R3142" s="1" t="str">
        <f t="shared" si="1"/>
        <v>#N/A</v>
      </c>
    </row>
    <row r="3143" ht="14.25" customHeight="1">
      <c r="A3143" s="61"/>
      <c r="B3143" s="55"/>
      <c r="C3143" s="55"/>
      <c r="D3143" s="55"/>
      <c r="E3143" s="55"/>
      <c r="F3143" s="55"/>
      <c r="G3143" s="55"/>
      <c r="H3143" s="62"/>
      <c r="I3143" s="62"/>
      <c r="J3143" s="55"/>
      <c r="K3143" s="55"/>
      <c r="L3143" s="55"/>
      <c r="P3143" s="1">
        <f>COUNTIF(Analysis!$M$1:$M$3001,Analysis!$M3143)</f>
        <v>0</v>
      </c>
      <c r="Q3143" s="1" t="str">
        <f>IF(COUNTIF(Analysis!$M$2:$M$3001,Analysis!$M3143)&gt;1,"Duplicate","OK")</f>
        <v>OK</v>
      </c>
      <c r="R3143" s="1" t="str">
        <f t="shared" si="1"/>
        <v>#N/A</v>
      </c>
    </row>
    <row r="3144" ht="14.25" customHeight="1">
      <c r="A3144" s="61"/>
      <c r="B3144" s="55"/>
      <c r="C3144" s="55"/>
      <c r="D3144" s="55"/>
      <c r="E3144" s="55"/>
      <c r="F3144" s="55"/>
      <c r="G3144" s="55"/>
      <c r="H3144" s="62"/>
      <c r="I3144" s="62"/>
      <c r="J3144" s="55"/>
      <c r="K3144" s="55"/>
      <c r="L3144" s="55"/>
      <c r="P3144" s="1">
        <f>COUNTIF(Analysis!$M$1:$M$3001,Analysis!$M3144)</f>
        <v>0</v>
      </c>
      <c r="Q3144" s="1" t="str">
        <f>IF(COUNTIF(Analysis!$M$2:$M$3001,Analysis!$M3144)&gt;1,"Duplicate","OK")</f>
        <v>OK</v>
      </c>
      <c r="R3144" s="1" t="str">
        <f t="shared" si="1"/>
        <v>#N/A</v>
      </c>
    </row>
    <row r="3145" ht="14.25" customHeight="1">
      <c r="A3145" s="61"/>
      <c r="B3145" s="55"/>
      <c r="C3145" s="55"/>
      <c r="D3145" s="55"/>
      <c r="E3145" s="55"/>
      <c r="F3145" s="55"/>
      <c r="G3145" s="55"/>
      <c r="H3145" s="62"/>
      <c r="I3145" s="62"/>
      <c r="J3145" s="55"/>
      <c r="K3145" s="55"/>
      <c r="L3145" s="55"/>
      <c r="P3145" s="1">
        <f>COUNTIF(Analysis!$M$1:$M$3001,Analysis!$M3145)</f>
        <v>0</v>
      </c>
      <c r="Q3145" s="1" t="str">
        <f>IF(COUNTIF(Analysis!$M$2:$M$3001,Analysis!$M3145)&gt;1,"Duplicate","OK")</f>
        <v>OK</v>
      </c>
      <c r="R3145" s="1" t="str">
        <f t="shared" si="1"/>
        <v>#N/A</v>
      </c>
    </row>
    <row r="3146" ht="14.25" customHeight="1">
      <c r="A3146" s="61"/>
      <c r="B3146" s="55"/>
      <c r="C3146" s="55"/>
      <c r="D3146" s="55"/>
      <c r="E3146" s="55"/>
      <c r="F3146" s="55"/>
      <c r="G3146" s="55"/>
      <c r="H3146" s="62"/>
      <c r="I3146" s="62"/>
      <c r="J3146" s="55"/>
      <c r="K3146" s="55"/>
      <c r="L3146" s="55"/>
      <c r="P3146" s="1">
        <f>COUNTIF(Analysis!$M$1:$M$3001,Analysis!$M3146)</f>
        <v>0</v>
      </c>
      <c r="Q3146" s="1" t="str">
        <f>IF(COUNTIF(Analysis!$M$2:$M$3001,Analysis!$M3146)&gt;1,"Duplicate","OK")</f>
        <v>OK</v>
      </c>
      <c r="R3146" s="1" t="str">
        <f t="shared" si="1"/>
        <v>#N/A</v>
      </c>
    </row>
    <row r="3147" ht="14.25" customHeight="1">
      <c r="A3147" s="61"/>
      <c r="B3147" s="55"/>
      <c r="C3147" s="55"/>
      <c r="D3147" s="55"/>
      <c r="E3147" s="55"/>
      <c r="F3147" s="55"/>
      <c r="G3147" s="55"/>
      <c r="H3147" s="62"/>
      <c r="I3147" s="62"/>
      <c r="J3147" s="55"/>
      <c r="K3147" s="55"/>
      <c r="L3147" s="55"/>
      <c r="P3147" s="1">
        <f>COUNTIF(Analysis!$M$1:$M$3001,Analysis!$M3147)</f>
        <v>0</v>
      </c>
      <c r="Q3147" s="1" t="str">
        <f>IF(COUNTIF(Analysis!$M$2:$M$3001,Analysis!$M3147)&gt;1,"Duplicate","OK")</f>
        <v>OK</v>
      </c>
      <c r="R3147" s="1" t="str">
        <f t="shared" si="1"/>
        <v>#N/A</v>
      </c>
    </row>
    <row r="3148" ht="14.25" customHeight="1">
      <c r="A3148" s="61"/>
      <c r="B3148" s="55"/>
      <c r="C3148" s="55"/>
      <c r="D3148" s="55"/>
      <c r="E3148" s="55"/>
      <c r="F3148" s="55"/>
      <c r="G3148" s="55"/>
      <c r="H3148" s="62"/>
      <c r="I3148" s="62"/>
      <c r="J3148" s="55"/>
      <c r="K3148" s="55"/>
      <c r="L3148" s="55"/>
      <c r="P3148" s="1">
        <f>COUNTIF(Analysis!$M$1:$M$3001,Analysis!$M3148)</f>
        <v>0</v>
      </c>
      <c r="Q3148" s="1" t="str">
        <f>IF(COUNTIF(Analysis!$M$2:$M$3001,Analysis!$M3148)&gt;1,"Duplicate","OK")</f>
        <v>OK</v>
      </c>
      <c r="R3148" s="1" t="str">
        <f t="shared" si="1"/>
        <v>#N/A</v>
      </c>
    </row>
    <row r="3149" ht="14.25" customHeight="1">
      <c r="A3149" s="61"/>
      <c r="B3149" s="55"/>
      <c r="C3149" s="55"/>
      <c r="D3149" s="55"/>
      <c r="E3149" s="55"/>
      <c r="F3149" s="55"/>
      <c r="G3149" s="55"/>
      <c r="H3149" s="62"/>
      <c r="I3149" s="62"/>
      <c r="J3149" s="55"/>
      <c r="K3149" s="55"/>
      <c r="L3149" s="55"/>
      <c r="P3149" s="1">
        <f>COUNTIF(Analysis!$M$1:$M$3001,Analysis!$M3149)</f>
        <v>0</v>
      </c>
      <c r="Q3149" s="1" t="str">
        <f>IF(COUNTIF(Analysis!$M$2:$M$3001,Analysis!$M3149)&gt;1,"Duplicate","OK")</f>
        <v>OK</v>
      </c>
      <c r="R3149" s="1" t="str">
        <f t="shared" si="1"/>
        <v>#N/A</v>
      </c>
    </row>
    <row r="3150" ht="14.25" customHeight="1">
      <c r="A3150" s="61"/>
      <c r="B3150" s="55"/>
      <c r="C3150" s="55"/>
      <c r="D3150" s="55"/>
      <c r="E3150" s="55"/>
      <c r="F3150" s="55"/>
      <c r="G3150" s="55"/>
      <c r="H3150" s="62"/>
      <c r="I3150" s="62"/>
      <c r="J3150" s="55"/>
      <c r="K3150" s="55"/>
      <c r="L3150" s="55"/>
      <c r="P3150" s="1">
        <f>COUNTIF(Analysis!$M$1:$M$3001,Analysis!$M3150)</f>
        <v>0</v>
      </c>
      <c r="Q3150" s="1" t="str">
        <f>IF(COUNTIF(Analysis!$M$2:$M$3001,Analysis!$M3150)&gt;1,"Duplicate","OK")</f>
        <v>OK</v>
      </c>
      <c r="R3150" s="1" t="str">
        <f t="shared" si="1"/>
        <v>#N/A</v>
      </c>
    </row>
    <row r="3151" ht="14.25" customHeight="1">
      <c r="A3151" s="61"/>
      <c r="B3151" s="55"/>
      <c r="C3151" s="55"/>
      <c r="D3151" s="55"/>
      <c r="E3151" s="55"/>
      <c r="F3151" s="55"/>
      <c r="G3151" s="55"/>
      <c r="H3151" s="62"/>
      <c r="I3151" s="62"/>
      <c r="J3151" s="55"/>
      <c r="K3151" s="55"/>
      <c r="L3151" s="55"/>
      <c r="P3151" s="1">
        <f>COUNTIF(Analysis!$M$1:$M$3001,Analysis!$M3151)</f>
        <v>0</v>
      </c>
      <c r="Q3151" s="1" t="str">
        <f>IF(COUNTIF(Analysis!$M$2:$M$3001,Analysis!$M3151)&gt;1,"Duplicate","OK")</f>
        <v>OK</v>
      </c>
      <c r="R3151" s="1" t="str">
        <f t="shared" si="1"/>
        <v>#N/A</v>
      </c>
    </row>
    <row r="3152" ht="14.25" customHeight="1">
      <c r="A3152" s="61"/>
      <c r="B3152" s="55"/>
      <c r="C3152" s="55"/>
      <c r="D3152" s="55"/>
      <c r="E3152" s="55"/>
      <c r="F3152" s="55"/>
      <c r="G3152" s="55"/>
      <c r="H3152" s="62"/>
      <c r="I3152" s="62"/>
      <c r="J3152" s="55"/>
      <c r="K3152" s="55"/>
      <c r="L3152" s="55"/>
      <c r="P3152" s="1">
        <f>COUNTIF(Analysis!$M$1:$M$3001,Analysis!$M3152)</f>
        <v>0</v>
      </c>
      <c r="Q3152" s="1" t="str">
        <f>IF(COUNTIF(Analysis!$M$2:$M$3001,Analysis!$M3152)&gt;1,"Duplicate","OK")</f>
        <v>OK</v>
      </c>
      <c r="R3152" s="1" t="str">
        <f t="shared" si="1"/>
        <v>#N/A</v>
      </c>
    </row>
    <row r="3153" ht="14.25" customHeight="1">
      <c r="A3153" s="61"/>
      <c r="B3153" s="55"/>
      <c r="C3153" s="55"/>
      <c r="D3153" s="55"/>
      <c r="E3153" s="55"/>
      <c r="F3153" s="55"/>
      <c r="G3153" s="55"/>
      <c r="H3153" s="62"/>
      <c r="I3153" s="62"/>
      <c r="J3153" s="55"/>
      <c r="K3153" s="55"/>
      <c r="L3153" s="55"/>
      <c r="P3153" s="1">
        <f>COUNTIF(Analysis!$M$1:$M$3001,Analysis!$M3153)</f>
        <v>0</v>
      </c>
      <c r="Q3153" s="1" t="str">
        <f>IF(COUNTIF(Analysis!$M$2:$M$3001,Analysis!$M3153)&gt;1,"Duplicate","OK")</f>
        <v>OK</v>
      </c>
      <c r="R3153" s="1" t="str">
        <f t="shared" si="1"/>
        <v>#N/A</v>
      </c>
    </row>
    <row r="3154" ht="14.25" customHeight="1">
      <c r="A3154" s="61"/>
      <c r="B3154" s="55"/>
      <c r="C3154" s="55"/>
      <c r="D3154" s="55"/>
      <c r="E3154" s="55"/>
      <c r="F3154" s="55"/>
      <c r="G3154" s="55"/>
      <c r="H3154" s="62"/>
      <c r="I3154" s="62"/>
      <c r="J3154" s="55"/>
      <c r="K3154" s="55"/>
      <c r="L3154" s="55"/>
      <c r="P3154" s="1">
        <f>COUNTIF(Analysis!$M$1:$M$3001,Analysis!$M3154)</f>
        <v>0</v>
      </c>
      <c r="Q3154" s="1" t="str">
        <f>IF(COUNTIF(Analysis!$M$2:$M$3001,Analysis!$M3154)&gt;1,"Duplicate","OK")</f>
        <v>OK</v>
      </c>
      <c r="R3154" s="1" t="str">
        <f t="shared" si="1"/>
        <v>#N/A</v>
      </c>
    </row>
    <row r="3155" ht="14.25" customHeight="1">
      <c r="A3155" s="61"/>
      <c r="B3155" s="55"/>
      <c r="C3155" s="55"/>
      <c r="D3155" s="55"/>
      <c r="E3155" s="55"/>
      <c r="F3155" s="55"/>
      <c r="G3155" s="55"/>
      <c r="H3155" s="62"/>
      <c r="I3155" s="62"/>
      <c r="J3155" s="55"/>
      <c r="K3155" s="55"/>
      <c r="L3155" s="55"/>
      <c r="P3155" s="1">
        <f>COUNTIF(Analysis!$M$1:$M$3001,Analysis!$M3155)</f>
        <v>0</v>
      </c>
      <c r="Q3155" s="1" t="str">
        <f>IF(COUNTIF(Analysis!$M$2:$M$3001,Analysis!$M3155)&gt;1,"Duplicate","OK")</f>
        <v>OK</v>
      </c>
      <c r="R3155" s="1" t="str">
        <f t="shared" si="1"/>
        <v>#N/A</v>
      </c>
    </row>
    <row r="3156" ht="14.25" customHeight="1">
      <c r="A3156" s="61"/>
      <c r="B3156" s="55"/>
      <c r="C3156" s="55"/>
      <c r="D3156" s="55"/>
      <c r="E3156" s="55"/>
      <c r="F3156" s="55"/>
      <c r="G3156" s="55"/>
      <c r="H3156" s="62"/>
      <c r="I3156" s="62"/>
      <c r="J3156" s="55"/>
      <c r="K3156" s="55"/>
      <c r="L3156" s="55"/>
      <c r="P3156" s="1">
        <f>COUNTIF(Analysis!$M$1:$M$3001,Analysis!$M3156)</f>
        <v>0</v>
      </c>
      <c r="Q3156" s="1" t="str">
        <f>IF(COUNTIF(Analysis!$M$2:$M$3001,Analysis!$M3156)&gt;1,"Duplicate","OK")</f>
        <v>OK</v>
      </c>
      <c r="R3156" s="1" t="str">
        <f t="shared" si="1"/>
        <v>#N/A</v>
      </c>
    </row>
    <row r="3157" ht="14.25" customHeight="1">
      <c r="A3157" s="61"/>
      <c r="B3157" s="55"/>
      <c r="C3157" s="55"/>
      <c r="D3157" s="55"/>
      <c r="E3157" s="55"/>
      <c r="F3157" s="55"/>
      <c r="G3157" s="55"/>
      <c r="H3157" s="62"/>
      <c r="I3157" s="62"/>
      <c r="J3157" s="55"/>
      <c r="K3157" s="55"/>
      <c r="L3157" s="55"/>
      <c r="P3157" s="1">
        <f>COUNTIF(Analysis!$M$1:$M$3001,Analysis!$M3157)</f>
        <v>0</v>
      </c>
      <c r="Q3157" s="1" t="str">
        <f>IF(COUNTIF(Analysis!$M$2:$M$3001,Analysis!$M3157)&gt;1,"Duplicate","OK")</f>
        <v>OK</v>
      </c>
      <c r="R3157" s="1" t="str">
        <f t="shared" si="1"/>
        <v>#N/A</v>
      </c>
    </row>
    <row r="3158" ht="14.25" customHeight="1">
      <c r="A3158" s="61"/>
      <c r="B3158" s="55"/>
      <c r="C3158" s="55"/>
      <c r="D3158" s="55"/>
      <c r="E3158" s="55"/>
      <c r="F3158" s="55"/>
      <c r="G3158" s="55"/>
      <c r="H3158" s="62"/>
      <c r="I3158" s="62"/>
      <c r="J3158" s="55"/>
      <c r="K3158" s="55"/>
      <c r="L3158" s="55"/>
      <c r="P3158" s="1">
        <f>COUNTIF(Analysis!$M$1:$M$3001,Analysis!$M3158)</f>
        <v>0</v>
      </c>
      <c r="Q3158" s="1" t="str">
        <f>IF(COUNTIF(Analysis!$M$2:$M$3001,Analysis!$M3158)&gt;1,"Duplicate","OK")</f>
        <v>OK</v>
      </c>
      <c r="R3158" s="1" t="str">
        <f t="shared" si="1"/>
        <v>#N/A</v>
      </c>
    </row>
    <row r="3159" ht="14.25" customHeight="1">
      <c r="A3159" s="61"/>
      <c r="B3159" s="55"/>
      <c r="C3159" s="55"/>
      <c r="D3159" s="55"/>
      <c r="E3159" s="55"/>
      <c r="F3159" s="55"/>
      <c r="G3159" s="55"/>
      <c r="H3159" s="62"/>
      <c r="I3159" s="62"/>
      <c r="J3159" s="55"/>
      <c r="K3159" s="55"/>
      <c r="L3159" s="55"/>
      <c r="P3159" s="1">
        <f>COUNTIF(Analysis!$M$1:$M$3001,Analysis!$M3159)</f>
        <v>0</v>
      </c>
      <c r="Q3159" s="1" t="str">
        <f>IF(COUNTIF(Analysis!$M$2:$M$3001,Analysis!$M3159)&gt;1,"Duplicate","OK")</f>
        <v>OK</v>
      </c>
      <c r="R3159" s="1" t="str">
        <f t="shared" si="1"/>
        <v>#N/A</v>
      </c>
    </row>
    <row r="3160" ht="14.25" customHeight="1">
      <c r="A3160" s="61"/>
      <c r="B3160" s="55"/>
      <c r="C3160" s="55"/>
      <c r="D3160" s="55"/>
      <c r="E3160" s="55"/>
      <c r="F3160" s="55"/>
      <c r="G3160" s="55"/>
      <c r="H3160" s="62"/>
      <c r="I3160" s="62"/>
      <c r="J3160" s="55"/>
      <c r="K3160" s="55"/>
      <c r="L3160" s="55"/>
      <c r="P3160" s="1">
        <f>COUNTIF(Analysis!$M$1:$M$3001,Analysis!$M3160)</f>
        <v>0</v>
      </c>
      <c r="Q3160" s="1" t="str">
        <f>IF(COUNTIF(Analysis!$M$2:$M$3001,Analysis!$M3160)&gt;1,"Duplicate","OK")</f>
        <v>OK</v>
      </c>
      <c r="R3160" s="1" t="str">
        <f t="shared" si="1"/>
        <v>#N/A</v>
      </c>
    </row>
    <row r="3161" ht="14.25" customHeight="1">
      <c r="A3161" s="61"/>
      <c r="B3161" s="55"/>
      <c r="C3161" s="55"/>
      <c r="D3161" s="55"/>
      <c r="E3161" s="55"/>
      <c r="F3161" s="55"/>
      <c r="G3161" s="55"/>
      <c r="H3161" s="62"/>
      <c r="I3161" s="62"/>
      <c r="J3161" s="55"/>
      <c r="K3161" s="55"/>
      <c r="L3161" s="55"/>
      <c r="P3161" s="1">
        <f>COUNTIF(Analysis!$M$1:$M$3001,Analysis!$M3161)</f>
        <v>0</v>
      </c>
      <c r="Q3161" s="1" t="str">
        <f>IF(COUNTIF(Analysis!$M$2:$M$3001,Analysis!$M3161)&gt;1,"Duplicate","OK")</f>
        <v>OK</v>
      </c>
      <c r="R3161" s="1" t="str">
        <f t="shared" si="1"/>
        <v>#N/A</v>
      </c>
    </row>
    <row r="3162" ht="14.25" customHeight="1">
      <c r="A3162" s="61"/>
      <c r="B3162" s="55"/>
      <c r="C3162" s="55"/>
      <c r="D3162" s="55"/>
      <c r="E3162" s="55"/>
      <c r="F3162" s="55"/>
      <c r="G3162" s="55"/>
      <c r="H3162" s="62"/>
      <c r="I3162" s="62"/>
      <c r="J3162" s="55"/>
      <c r="K3162" s="55"/>
      <c r="L3162" s="55"/>
      <c r="P3162" s="1">
        <f>COUNTIF(Analysis!$M$1:$M$3001,Analysis!$M3162)</f>
        <v>0</v>
      </c>
      <c r="Q3162" s="1" t="str">
        <f>IF(COUNTIF(Analysis!$M$2:$M$3001,Analysis!$M3162)&gt;1,"Duplicate","OK")</f>
        <v>OK</v>
      </c>
      <c r="R3162" s="1" t="str">
        <f t="shared" si="1"/>
        <v>#N/A</v>
      </c>
    </row>
    <row r="3163" ht="14.25" customHeight="1">
      <c r="A3163" s="61"/>
      <c r="B3163" s="55"/>
      <c r="C3163" s="55"/>
      <c r="D3163" s="55"/>
      <c r="E3163" s="55"/>
      <c r="F3163" s="55"/>
      <c r="G3163" s="55"/>
      <c r="H3163" s="62"/>
      <c r="I3163" s="62"/>
      <c r="J3163" s="55"/>
      <c r="K3163" s="55"/>
      <c r="L3163" s="55"/>
      <c r="P3163" s="1">
        <f>COUNTIF(Analysis!$M$1:$M$3001,Analysis!$M3163)</f>
        <v>0</v>
      </c>
      <c r="Q3163" s="1" t="str">
        <f>IF(COUNTIF(Analysis!$M$2:$M$3001,Analysis!$M3163)&gt;1,"Duplicate","OK")</f>
        <v>OK</v>
      </c>
      <c r="R3163" s="1" t="str">
        <f t="shared" si="1"/>
        <v>#N/A</v>
      </c>
    </row>
    <row r="3164" ht="14.25" customHeight="1">
      <c r="A3164" s="61"/>
      <c r="B3164" s="55"/>
      <c r="C3164" s="55"/>
      <c r="D3164" s="55"/>
      <c r="E3164" s="55"/>
      <c r="F3164" s="55"/>
      <c r="G3164" s="55"/>
      <c r="H3164" s="62"/>
      <c r="I3164" s="62"/>
      <c r="J3164" s="55"/>
      <c r="K3164" s="55"/>
      <c r="L3164" s="55"/>
      <c r="P3164" s="1">
        <f>COUNTIF(Analysis!$M$1:$M$3001,Analysis!$M3164)</f>
        <v>0</v>
      </c>
      <c r="Q3164" s="1" t="str">
        <f>IF(COUNTIF(Analysis!$M$2:$M$3001,Analysis!$M3164)&gt;1,"Duplicate","OK")</f>
        <v>OK</v>
      </c>
      <c r="R3164" s="1" t="str">
        <f t="shared" si="1"/>
        <v>#N/A</v>
      </c>
    </row>
    <row r="3165" ht="14.25" customHeight="1">
      <c r="A3165" s="61"/>
      <c r="B3165" s="55"/>
      <c r="C3165" s="55"/>
      <c r="D3165" s="55"/>
      <c r="E3165" s="55"/>
      <c r="F3165" s="55"/>
      <c r="G3165" s="55"/>
      <c r="H3165" s="62"/>
      <c r="I3165" s="62"/>
      <c r="J3165" s="55"/>
      <c r="K3165" s="55"/>
      <c r="L3165" s="55"/>
      <c r="P3165" s="1">
        <f>COUNTIF(Analysis!$M$1:$M$3001,Analysis!$M3165)</f>
        <v>0</v>
      </c>
      <c r="Q3165" s="1" t="str">
        <f>IF(COUNTIF(Analysis!$M$2:$M$3001,Analysis!$M3165)&gt;1,"Duplicate","OK")</f>
        <v>OK</v>
      </c>
      <c r="R3165" s="1" t="str">
        <f t="shared" si="1"/>
        <v>#N/A</v>
      </c>
    </row>
    <row r="3166" ht="14.25" customHeight="1">
      <c r="A3166" s="61"/>
      <c r="B3166" s="55"/>
      <c r="C3166" s="55"/>
      <c r="D3166" s="55"/>
      <c r="E3166" s="55"/>
      <c r="F3166" s="55"/>
      <c r="G3166" s="55"/>
      <c r="H3166" s="62"/>
      <c r="I3166" s="62"/>
      <c r="J3166" s="55"/>
      <c r="K3166" s="55"/>
      <c r="L3166" s="55"/>
      <c r="P3166" s="1">
        <f>COUNTIF(Analysis!$M$1:$M$3001,Analysis!$M3166)</f>
        <v>0</v>
      </c>
      <c r="Q3166" s="1" t="str">
        <f>IF(COUNTIF(Analysis!$M$2:$M$3001,Analysis!$M3166)&gt;1,"Duplicate","OK")</f>
        <v>OK</v>
      </c>
      <c r="R3166" s="1" t="str">
        <f t="shared" si="1"/>
        <v>#N/A</v>
      </c>
    </row>
    <row r="3167" ht="14.25" customHeight="1">
      <c r="A3167" s="61"/>
      <c r="B3167" s="55"/>
      <c r="C3167" s="55"/>
      <c r="D3167" s="55"/>
      <c r="E3167" s="55"/>
      <c r="F3167" s="55"/>
      <c r="G3167" s="55"/>
      <c r="H3167" s="62"/>
      <c r="I3167" s="62"/>
      <c r="J3167" s="55"/>
      <c r="K3167" s="55"/>
      <c r="L3167" s="55"/>
      <c r="P3167" s="1">
        <f>COUNTIF(Analysis!$M$1:$M$3001,Analysis!$M3167)</f>
        <v>0</v>
      </c>
      <c r="Q3167" s="1" t="str">
        <f>IF(COUNTIF(Analysis!$M$2:$M$3001,Analysis!$M3167)&gt;1,"Duplicate","OK")</f>
        <v>OK</v>
      </c>
      <c r="R3167" s="1" t="str">
        <f t="shared" si="1"/>
        <v>#N/A</v>
      </c>
    </row>
    <row r="3168" ht="14.25" customHeight="1">
      <c r="A3168" s="61"/>
      <c r="B3168" s="55"/>
      <c r="C3168" s="55"/>
      <c r="D3168" s="55"/>
      <c r="E3168" s="55"/>
      <c r="F3168" s="55"/>
      <c r="G3168" s="55"/>
      <c r="H3168" s="62"/>
      <c r="I3168" s="62"/>
      <c r="J3168" s="55"/>
      <c r="K3168" s="55"/>
      <c r="L3168" s="55"/>
      <c r="P3168" s="1">
        <f>COUNTIF(Analysis!$M$1:$M$3001,Analysis!$M3168)</f>
        <v>0</v>
      </c>
      <c r="Q3168" s="1" t="str">
        <f>IF(COUNTIF(Analysis!$M$2:$M$3001,Analysis!$M3168)&gt;1,"Duplicate","OK")</f>
        <v>OK</v>
      </c>
      <c r="R3168" s="1" t="str">
        <f t="shared" si="1"/>
        <v>#N/A</v>
      </c>
    </row>
    <row r="3169" ht="14.25" customHeight="1">
      <c r="A3169" s="61"/>
      <c r="B3169" s="55"/>
      <c r="C3169" s="55"/>
      <c r="D3169" s="55"/>
      <c r="E3169" s="55"/>
      <c r="F3169" s="55"/>
      <c r="G3169" s="55"/>
      <c r="H3169" s="62"/>
      <c r="I3169" s="62"/>
      <c r="J3169" s="55"/>
      <c r="K3169" s="55"/>
      <c r="L3169" s="55"/>
      <c r="P3169" s="1">
        <f>COUNTIF(Analysis!$M$1:$M$3001,Analysis!$M3169)</f>
        <v>0</v>
      </c>
      <c r="Q3169" s="1" t="str">
        <f>IF(COUNTIF(Analysis!$M$2:$M$3001,Analysis!$M3169)&gt;1,"Duplicate","OK")</f>
        <v>OK</v>
      </c>
      <c r="R3169" s="1" t="str">
        <f t="shared" si="1"/>
        <v>#N/A</v>
      </c>
    </row>
    <row r="3170" ht="14.25" customHeight="1">
      <c r="A3170" s="61"/>
      <c r="B3170" s="55"/>
      <c r="C3170" s="55"/>
      <c r="D3170" s="55"/>
      <c r="E3170" s="55"/>
      <c r="F3170" s="55"/>
      <c r="G3170" s="55"/>
      <c r="H3170" s="62"/>
      <c r="I3170" s="62"/>
      <c r="J3170" s="55"/>
      <c r="K3170" s="55"/>
      <c r="L3170" s="55"/>
      <c r="P3170" s="1">
        <f>COUNTIF(Analysis!$M$1:$M$3001,Analysis!$M3170)</f>
        <v>0</v>
      </c>
      <c r="Q3170" s="1" t="str">
        <f>IF(COUNTIF(Analysis!$M$2:$M$3001,Analysis!$M3170)&gt;1,"Duplicate","OK")</f>
        <v>OK</v>
      </c>
      <c r="R3170" s="1" t="str">
        <f t="shared" si="1"/>
        <v>#N/A</v>
      </c>
    </row>
    <row r="3171" ht="14.25" customHeight="1">
      <c r="A3171" s="61"/>
      <c r="B3171" s="55"/>
      <c r="C3171" s="55"/>
      <c r="D3171" s="55"/>
      <c r="E3171" s="55"/>
      <c r="F3171" s="55"/>
      <c r="G3171" s="55"/>
      <c r="H3171" s="62"/>
      <c r="I3171" s="62"/>
      <c r="J3171" s="55"/>
      <c r="K3171" s="55"/>
      <c r="L3171" s="55"/>
      <c r="P3171" s="1">
        <f>COUNTIF(Analysis!$M$1:$M$3001,Analysis!$M3171)</f>
        <v>0</v>
      </c>
      <c r="Q3171" s="1" t="str">
        <f>IF(COUNTIF(Analysis!$M$2:$M$3001,Analysis!$M3171)&gt;1,"Duplicate","OK")</f>
        <v>OK</v>
      </c>
      <c r="R3171" s="1" t="str">
        <f t="shared" si="1"/>
        <v>#N/A</v>
      </c>
    </row>
    <row r="3172" ht="14.25" customHeight="1">
      <c r="A3172" s="61"/>
      <c r="B3172" s="55"/>
      <c r="C3172" s="55"/>
      <c r="D3172" s="55"/>
      <c r="E3172" s="55"/>
      <c r="F3172" s="55"/>
      <c r="G3172" s="55"/>
      <c r="H3172" s="62"/>
      <c r="I3172" s="62"/>
      <c r="J3172" s="55"/>
      <c r="K3172" s="55"/>
      <c r="L3172" s="55"/>
      <c r="P3172" s="1">
        <f>COUNTIF(Analysis!$M$1:$M$3001,Analysis!$M3172)</f>
        <v>0</v>
      </c>
      <c r="Q3172" s="1" t="str">
        <f>IF(COUNTIF(Analysis!$M$2:$M$3001,Analysis!$M3172)&gt;1,"Duplicate","OK")</f>
        <v>OK</v>
      </c>
      <c r="R3172" s="1" t="str">
        <f t="shared" si="1"/>
        <v>#N/A</v>
      </c>
    </row>
    <row r="3173" ht="14.25" customHeight="1">
      <c r="A3173" s="61"/>
      <c r="B3173" s="55"/>
      <c r="C3173" s="55"/>
      <c r="D3173" s="55"/>
      <c r="E3173" s="55"/>
      <c r="F3173" s="55"/>
      <c r="G3173" s="55"/>
      <c r="H3173" s="62"/>
      <c r="I3173" s="62"/>
      <c r="J3173" s="55"/>
      <c r="K3173" s="55"/>
      <c r="L3173" s="55"/>
      <c r="P3173" s="1">
        <f>COUNTIF(Analysis!$M$1:$M$3001,Analysis!$M3173)</f>
        <v>0</v>
      </c>
      <c r="Q3173" s="1" t="str">
        <f>IF(COUNTIF(Analysis!$M$2:$M$3001,Analysis!$M3173)&gt;1,"Duplicate","OK")</f>
        <v>OK</v>
      </c>
      <c r="R3173" s="1" t="str">
        <f t="shared" si="1"/>
        <v>#N/A</v>
      </c>
    </row>
    <row r="3174" ht="14.25" customHeight="1">
      <c r="A3174" s="61"/>
      <c r="B3174" s="55"/>
      <c r="C3174" s="55"/>
      <c r="D3174" s="55"/>
      <c r="E3174" s="55"/>
      <c r="F3174" s="55"/>
      <c r="G3174" s="55"/>
      <c r="H3174" s="62"/>
      <c r="I3174" s="62"/>
      <c r="J3174" s="55"/>
      <c r="K3174" s="55"/>
      <c r="L3174" s="55"/>
      <c r="P3174" s="1">
        <f>COUNTIF(Analysis!$M$1:$M$3001,Analysis!$M3174)</f>
        <v>0</v>
      </c>
      <c r="Q3174" s="1" t="str">
        <f>IF(COUNTIF(Analysis!$M$2:$M$3001,Analysis!$M3174)&gt;1,"Duplicate","OK")</f>
        <v>OK</v>
      </c>
      <c r="R3174" s="1" t="str">
        <f t="shared" si="1"/>
        <v>#N/A</v>
      </c>
    </row>
    <row r="3175" ht="14.25" customHeight="1">
      <c r="A3175" s="61"/>
      <c r="B3175" s="55"/>
      <c r="C3175" s="55"/>
      <c r="D3175" s="55"/>
      <c r="E3175" s="55"/>
      <c r="F3175" s="55"/>
      <c r="G3175" s="55"/>
      <c r="H3175" s="62"/>
      <c r="I3175" s="62"/>
      <c r="J3175" s="55"/>
      <c r="K3175" s="55"/>
      <c r="L3175" s="55"/>
      <c r="P3175" s="1">
        <f>COUNTIF(Analysis!$M$1:$M$3001,Analysis!$M3175)</f>
        <v>0</v>
      </c>
      <c r="Q3175" s="1" t="str">
        <f>IF(COUNTIF(Analysis!$M$2:$M$3001,Analysis!$M3175)&gt;1,"Duplicate","OK")</f>
        <v>OK</v>
      </c>
      <c r="R3175" s="1" t="str">
        <f t="shared" si="1"/>
        <v>#N/A</v>
      </c>
    </row>
    <row r="3176" ht="14.25" customHeight="1">
      <c r="A3176" s="61"/>
      <c r="B3176" s="55"/>
      <c r="C3176" s="55"/>
      <c r="D3176" s="55"/>
      <c r="E3176" s="55"/>
      <c r="F3176" s="55"/>
      <c r="G3176" s="55"/>
      <c r="H3176" s="62"/>
      <c r="I3176" s="62"/>
      <c r="J3176" s="55"/>
      <c r="K3176" s="55"/>
      <c r="L3176" s="55"/>
      <c r="P3176" s="1">
        <f>COUNTIF(Analysis!$M$1:$M$3001,Analysis!$M3176)</f>
        <v>0</v>
      </c>
      <c r="Q3176" s="1" t="str">
        <f>IF(COUNTIF(Analysis!$M$2:$M$3001,Analysis!$M3176)&gt;1,"Duplicate","OK")</f>
        <v>OK</v>
      </c>
      <c r="R3176" s="1" t="str">
        <f t="shared" si="1"/>
        <v>#N/A</v>
      </c>
    </row>
    <row r="3177" ht="14.25" customHeight="1">
      <c r="A3177" s="61"/>
      <c r="B3177" s="55"/>
      <c r="C3177" s="55"/>
      <c r="D3177" s="55"/>
      <c r="E3177" s="55"/>
      <c r="F3177" s="55"/>
      <c r="G3177" s="55"/>
      <c r="H3177" s="62"/>
      <c r="I3177" s="62"/>
      <c r="J3177" s="55"/>
      <c r="K3177" s="55"/>
      <c r="L3177" s="55"/>
      <c r="P3177" s="1">
        <f>COUNTIF(Analysis!$M$1:$M$3001,Analysis!$M3177)</f>
        <v>0</v>
      </c>
      <c r="Q3177" s="1" t="str">
        <f>IF(COUNTIF(Analysis!$M$2:$M$3001,Analysis!$M3177)&gt;1,"Duplicate","OK")</f>
        <v>OK</v>
      </c>
      <c r="R3177" s="1" t="str">
        <f t="shared" si="1"/>
        <v>#N/A</v>
      </c>
    </row>
    <row r="3178" ht="14.25" customHeight="1">
      <c r="A3178" s="61"/>
      <c r="B3178" s="55"/>
      <c r="C3178" s="55"/>
      <c r="D3178" s="55"/>
      <c r="E3178" s="55"/>
      <c r="F3178" s="55"/>
      <c r="G3178" s="55"/>
      <c r="H3178" s="62"/>
      <c r="I3178" s="62"/>
      <c r="J3178" s="55"/>
      <c r="K3178" s="55"/>
      <c r="L3178" s="55"/>
      <c r="P3178" s="1">
        <f>COUNTIF(Analysis!$M$1:$M$3001,Analysis!$M3178)</f>
        <v>0</v>
      </c>
      <c r="Q3178" s="1" t="str">
        <f>IF(COUNTIF(Analysis!$M$2:$M$3001,Analysis!$M3178)&gt;1,"Duplicate","OK")</f>
        <v>OK</v>
      </c>
      <c r="R3178" s="1" t="str">
        <f t="shared" si="1"/>
        <v>#N/A</v>
      </c>
    </row>
    <row r="3179" ht="14.25" customHeight="1">
      <c r="A3179" s="61"/>
      <c r="B3179" s="55"/>
      <c r="C3179" s="55"/>
      <c r="D3179" s="55"/>
      <c r="E3179" s="55"/>
      <c r="F3179" s="55"/>
      <c r="G3179" s="55"/>
      <c r="H3179" s="62"/>
      <c r="I3179" s="62"/>
      <c r="J3179" s="55"/>
      <c r="K3179" s="55"/>
      <c r="L3179" s="55"/>
      <c r="P3179" s="1">
        <f>COUNTIF(Analysis!$M$1:$M$3001,Analysis!$M3179)</f>
        <v>0</v>
      </c>
      <c r="Q3179" s="1" t="str">
        <f>IF(COUNTIF(Analysis!$M$2:$M$3001,Analysis!$M3179)&gt;1,"Duplicate","OK")</f>
        <v>OK</v>
      </c>
      <c r="R3179" s="1" t="str">
        <f t="shared" si="1"/>
        <v>#N/A</v>
      </c>
    </row>
    <row r="3180" ht="14.25" customHeight="1">
      <c r="A3180" s="61"/>
      <c r="B3180" s="55"/>
      <c r="C3180" s="55"/>
      <c r="D3180" s="55"/>
      <c r="E3180" s="55"/>
      <c r="F3180" s="55"/>
      <c r="G3180" s="55"/>
      <c r="H3180" s="62"/>
      <c r="I3180" s="62"/>
      <c r="J3180" s="55"/>
      <c r="K3180" s="55"/>
      <c r="L3180" s="55"/>
      <c r="P3180" s="1">
        <f>COUNTIF(Analysis!$M$1:$M$3001,Analysis!$M3180)</f>
        <v>0</v>
      </c>
      <c r="Q3180" s="1" t="str">
        <f>IF(COUNTIF(Analysis!$M$2:$M$3001,Analysis!$M3180)&gt;1,"Duplicate","OK")</f>
        <v>OK</v>
      </c>
      <c r="R3180" s="1" t="str">
        <f t="shared" si="1"/>
        <v>#N/A</v>
      </c>
    </row>
    <row r="3181" ht="14.25" customHeight="1">
      <c r="A3181" s="61"/>
      <c r="B3181" s="55"/>
      <c r="C3181" s="55"/>
      <c r="D3181" s="55"/>
      <c r="E3181" s="55"/>
      <c r="F3181" s="55"/>
      <c r="G3181" s="55"/>
      <c r="H3181" s="62"/>
      <c r="I3181" s="62"/>
      <c r="J3181" s="55"/>
      <c r="K3181" s="55"/>
      <c r="L3181" s="55"/>
      <c r="P3181" s="1">
        <f>COUNTIF(Analysis!$M$1:$M$3001,Analysis!$M3181)</f>
        <v>0</v>
      </c>
      <c r="Q3181" s="1" t="str">
        <f>IF(COUNTIF(Analysis!$M$2:$M$3001,Analysis!$M3181)&gt;1,"Duplicate","OK")</f>
        <v>OK</v>
      </c>
      <c r="R3181" s="1" t="str">
        <f t="shared" si="1"/>
        <v>#N/A</v>
      </c>
    </row>
    <row r="3182" ht="14.25" customHeight="1">
      <c r="A3182" s="61"/>
      <c r="B3182" s="55"/>
      <c r="C3182" s="55"/>
      <c r="D3182" s="55"/>
      <c r="E3182" s="55"/>
      <c r="F3182" s="55"/>
      <c r="G3182" s="55"/>
      <c r="H3182" s="62"/>
      <c r="I3182" s="62"/>
      <c r="J3182" s="55"/>
      <c r="K3182" s="55"/>
      <c r="L3182" s="55"/>
      <c r="P3182" s="1">
        <f>COUNTIF(Analysis!$M$1:$M$3001,Analysis!$M3182)</f>
        <v>0</v>
      </c>
      <c r="Q3182" s="1" t="str">
        <f>IF(COUNTIF(Analysis!$M$2:$M$3001,Analysis!$M3182)&gt;1,"Duplicate","OK")</f>
        <v>OK</v>
      </c>
      <c r="R3182" s="1" t="str">
        <f t="shared" si="1"/>
        <v>#N/A</v>
      </c>
    </row>
    <row r="3183" ht="14.25" customHeight="1">
      <c r="A3183" s="61"/>
      <c r="B3183" s="55"/>
      <c r="C3183" s="55"/>
      <c r="D3183" s="55"/>
      <c r="E3183" s="55"/>
      <c r="F3183" s="55"/>
      <c r="G3183" s="55"/>
      <c r="H3183" s="62"/>
      <c r="I3183" s="62"/>
      <c r="J3183" s="55"/>
      <c r="K3183" s="55"/>
      <c r="L3183" s="55"/>
      <c r="P3183" s="1">
        <f>COUNTIF(Analysis!$M$1:$M$3001,Analysis!$M3183)</f>
        <v>0</v>
      </c>
      <c r="Q3183" s="1" t="str">
        <f>IF(COUNTIF(Analysis!$M$2:$M$3001,Analysis!$M3183)&gt;1,"Duplicate","OK")</f>
        <v>OK</v>
      </c>
      <c r="R3183" s="1" t="str">
        <f t="shared" si="1"/>
        <v>#N/A</v>
      </c>
    </row>
    <row r="3184" ht="14.25" customHeight="1">
      <c r="A3184" s="61"/>
      <c r="B3184" s="55"/>
      <c r="C3184" s="55"/>
      <c r="D3184" s="55"/>
      <c r="E3184" s="55"/>
      <c r="F3184" s="55"/>
      <c r="G3184" s="55"/>
      <c r="H3184" s="62"/>
      <c r="I3184" s="62"/>
      <c r="J3184" s="55"/>
      <c r="K3184" s="55"/>
      <c r="L3184" s="55"/>
      <c r="P3184" s="1">
        <f>COUNTIF(Analysis!$M$1:$M$3001,Analysis!$M3184)</f>
        <v>0</v>
      </c>
      <c r="Q3184" s="1" t="str">
        <f>IF(COUNTIF(Analysis!$M$2:$M$3001,Analysis!$M3184)&gt;1,"Duplicate","OK")</f>
        <v>OK</v>
      </c>
      <c r="R3184" s="1" t="str">
        <f t="shared" si="1"/>
        <v>#N/A</v>
      </c>
    </row>
    <row r="3185" ht="14.25" customHeight="1">
      <c r="A3185" s="61"/>
      <c r="B3185" s="55"/>
      <c r="C3185" s="55"/>
      <c r="D3185" s="55"/>
      <c r="E3185" s="55"/>
      <c r="F3185" s="55"/>
      <c r="G3185" s="55"/>
      <c r="H3185" s="62"/>
      <c r="I3185" s="62"/>
      <c r="J3185" s="55"/>
      <c r="K3185" s="55"/>
      <c r="L3185" s="55"/>
      <c r="P3185" s="1">
        <f>COUNTIF(Analysis!$M$1:$M$3001,Analysis!$M3185)</f>
        <v>0</v>
      </c>
      <c r="Q3185" s="1" t="str">
        <f>IF(COUNTIF(Analysis!$M$2:$M$3001,Analysis!$M3185)&gt;1,"Duplicate","OK")</f>
        <v>OK</v>
      </c>
      <c r="R3185" s="1" t="str">
        <f t="shared" si="1"/>
        <v>#N/A</v>
      </c>
    </row>
    <row r="3186" ht="14.25" customHeight="1">
      <c r="A3186" s="61"/>
      <c r="B3186" s="55"/>
      <c r="C3186" s="55"/>
      <c r="D3186" s="55"/>
      <c r="E3186" s="55"/>
      <c r="F3186" s="55"/>
      <c r="G3186" s="55"/>
      <c r="H3186" s="62"/>
      <c r="I3186" s="62"/>
      <c r="J3186" s="55"/>
      <c r="K3186" s="55"/>
      <c r="L3186" s="55"/>
      <c r="P3186" s="1">
        <f>COUNTIF(Analysis!$M$1:$M$3001,Analysis!$M3186)</f>
        <v>0</v>
      </c>
      <c r="Q3186" s="1" t="str">
        <f>IF(COUNTIF(Analysis!$M$2:$M$3001,Analysis!$M3186)&gt;1,"Duplicate","OK")</f>
        <v>OK</v>
      </c>
      <c r="R3186" s="1" t="str">
        <f t="shared" si="1"/>
        <v>#N/A</v>
      </c>
    </row>
    <row r="3187" ht="14.25" customHeight="1">
      <c r="A3187" s="61"/>
      <c r="B3187" s="55"/>
      <c r="C3187" s="55"/>
      <c r="D3187" s="55"/>
      <c r="E3187" s="55"/>
      <c r="F3187" s="55"/>
      <c r="G3187" s="55"/>
      <c r="H3187" s="62"/>
      <c r="I3187" s="62"/>
      <c r="J3187" s="55"/>
      <c r="K3187" s="55"/>
      <c r="L3187" s="55"/>
      <c r="P3187" s="1">
        <f>COUNTIF(Analysis!$M$1:$M$3001,Analysis!$M3187)</f>
        <v>0</v>
      </c>
      <c r="Q3187" s="1" t="str">
        <f>IF(COUNTIF(Analysis!$M$2:$M$3001,Analysis!$M3187)&gt;1,"Duplicate","OK")</f>
        <v>OK</v>
      </c>
      <c r="R3187" s="1" t="str">
        <f t="shared" si="1"/>
        <v>#N/A</v>
      </c>
    </row>
    <row r="3188" ht="14.25" customHeight="1">
      <c r="A3188" s="61"/>
      <c r="B3188" s="55"/>
      <c r="C3188" s="55"/>
      <c r="D3188" s="55"/>
      <c r="E3188" s="55"/>
      <c r="F3188" s="55"/>
      <c r="G3188" s="55"/>
      <c r="H3188" s="62"/>
      <c r="I3188" s="62"/>
      <c r="J3188" s="55"/>
      <c r="K3188" s="55"/>
      <c r="L3188" s="55"/>
      <c r="P3188" s="1">
        <f>COUNTIF(Analysis!$M$1:$M$3001,Analysis!$M3188)</f>
        <v>0</v>
      </c>
      <c r="Q3188" s="1" t="str">
        <f>IF(COUNTIF(Analysis!$M$2:$M$3001,Analysis!$M3188)&gt;1,"Duplicate","OK")</f>
        <v>OK</v>
      </c>
      <c r="R3188" s="1" t="str">
        <f t="shared" si="1"/>
        <v>#N/A</v>
      </c>
    </row>
    <row r="3189" ht="14.25" customHeight="1">
      <c r="A3189" s="61"/>
      <c r="B3189" s="55"/>
      <c r="C3189" s="55"/>
      <c r="D3189" s="55"/>
      <c r="E3189" s="55"/>
      <c r="F3189" s="55"/>
      <c r="G3189" s="55"/>
      <c r="H3189" s="62"/>
      <c r="I3189" s="62"/>
      <c r="J3189" s="55"/>
      <c r="K3189" s="55"/>
      <c r="L3189" s="55"/>
      <c r="P3189" s="1">
        <f>COUNTIF(Analysis!$M$1:$M$3001,Analysis!$M3189)</f>
        <v>0</v>
      </c>
      <c r="Q3189" s="1" t="str">
        <f>IF(COUNTIF(Analysis!$M$2:$M$3001,Analysis!$M3189)&gt;1,"Duplicate","OK")</f>
        <v>OK</v>
      </c>
      <c r="R3189" s="1" t="str">
        <f t="shared" si="1"/>
        <v>#N/A</v>
      </c>
    </row>
    <row r="3190" ht="14.25" customHeight="1">
      <c r="A3190" s="61"/>
      <c r="B3190" s="55"/>
      <c r="C3190" s="55"/>
      <c r="D3190" s="55"/>
      <c r="E3190" s="55"/>
      <c r="F3190" s="55"/>
      <c r="G3190" s="55"/>
      <c r="H3190" s="62"/>
      <c r="I3190" s="62"/>
      <c r="J3190" s="55"/>
      <c r="K3190" s="55"/>
      <c r="L3190" s="55"/>
      <c r="P3190" s="1">
        <f>COUNTIF(Analysis!$M$1:$M$3001,Analysis!$M3190)</f>
        <v>0</v>
      </c>
      <c r="Q3190" s="1" t="str">
        <f>IF(COUNTIF(Analysis!$M$2:$M$3001,Analysis!$M3190)&gt;1,"Duplicate","OK")</f>
        <v>OK</v>
      </c>
      <c r="R3190" s="1" t="str">
        <f t="shared" si="1"/>
        <v>#N/A</v>
      </c>
    </row>
    <row r="3191" ht="14.25" customHeight="1">
      <c r="A3191" s="61"/>
      <c r="B3191" s="55"/>
      <c r="C3191" s="55"/>
      <c r="D3191" s="55"/>
      <c r="E3191" s="55"/>
      <c r="F3191" s="55"/>
      <c r="G3191" s="55"/>
      <c r="H3191" s="62"/>
      <c r="I3191" s="62"/>
      <c r="J3191" s="55"/>
      <c r="K3191" s="55"/>
      <c r="L3191" s="55"/>
      <c r="P3191" s="1">
        <f>COUNTIF(Analysis!$M$1:$M$3001,Analysis!$M3191)</f>
        <v>0</v>
      </c>
      <c r="Q3191" s="1" t="str">
        <f>IF(COUNTIF(Analysis!$M$2:$M$3001,Analysis!$M3191)&gt;1,"Duplicate","OK")</f>
        <v>OK</v>
      </c>
      <c r="R3191" s="1" t="str">
        <f t="shared" si="1"/>
        <v>#N/A</v>
      </c>
    </row>
    <row r="3192" ht="14.25" customHeight="1">
      <c r="A3192" s="61"/>
      <c r="B3192" s="55"/>
      <c r="C3192" s="55"/>
      <c r="D3192" s="55"/>
      <c r="E3192" s="55"/>
      <c r="F3192" s="55"/>
      <c r="G3192" s="55"/>
      <c r="H3192" s="62"/>
      <c r="I3192" s="62"/>
      <c r="J3192" s="55"/>
      <c r="K3192" s="55"/>
      <c r="L3192" s="55"/>
      <c r="P3192" s="1">
        <f>COUNTIF(Analysis!$M$1:$M$3001,Analysis!$M3192)</f>
        <v>0</v>
      </c>
      <c r="Q3192" s="1" t="str">
        <f>IF(COUNTIF(Analysis!$M$2:$M$3001,Analysis!$M3192)&gt;1,"Duplicate","OK")</f>
        <v>OK</v>
      </c>
      <c r="R3192" s="1" t="str">
        <f t="shared" si="1"/>
        <v>#N/A</v>
      </c>
    </row>
    <row r="3193" ht="14.25" customHeight="1">
      <c r="A3193" s="61"/>
      <c r="B3193" s="55"/>
      <c r="C3193" s="55"/>
      <c r="D3193" s="55"/>
      <c r="E3193" s="55"/>
      <c r="F3193" s="55"/>
      <c r="G3193" s="55"/>
      <c r="H3193" s="62"/>
      <c r="I3193" s="62"/>
      <c r="J3193" s="55"/>
      <c r="K3193" s="55"/>
      <c r="L3193" s="55"/>
      <c r="P3193" s="1">
        <f>COUNTIF(Analysis!$M$1:$M$3001,Analysis!$M3193)</f>
        <v>0</v>
      </c>
      <c r="Q3193" s="1" t="str">
        <f>IF(COUNTIF(Analysis!$M$2:$M$3001,Analysis!$M3193)&gt;1,"Duplicate","OK")</f>
        <v>OK</v>
      </c>
      <c r="R3193" s="1" t="str">
        <f t="shared" si="1"/>
        <v>#N/A</v>
      </c>
    </row>
    <row r="3194" ht="14.25" customHeight="1">
      <c r="A3194" s="61"/>
      <c r="B3194" s="55"/>
      <c r="C3194" s="55"/>
      <c r="D3194" s="55"/>
      <c r="E3194" s="55"/>
      <c r="F3194" s="55"/>
      <c r="G3194" s="55"/>
      <c r="H3194" s="62"/>
      <c r="I3194" s="62"/>
      <c r="J3194" s="55"/>
      <c r="K3194" s="55"/>
      <c r="L3194" s="55"/>
      <c r="P3194" s="1">
        <f>COUNTIF(Analysis!$M$1:$M$3001,Analysis!$M3194)</f>
        <v>0</v>
      </c>
      <c r="Q3194" s="1" t="str">
        <f>IF(COUNTIF(Analysis!$M$2:$M$3001,Analysis!$M3194)&gt;1,"Duplicate","OK")</f>
        <v>OK</v>
      </c>
      <c r="R3194" s="1" t="str">
        <f t="shared" si="1"/>
        <v>#N/A</v>
      </c>
    </row>
    <row r="3195" ht="14.25" customHeight="1">
      <c r="A3195" s="61"/>
      <c r="B3195" s="55"/>
      <c r="C3195" s="55"/>
      <c r="D3195" s="55"/>
      <c r="E3195" s="55"/>
      <c r="F3195" s="55"/>
      <c r="G3195" s="55"/>
      <c r="H3195" s="62"/>
      <c r="I3195" s="62"/>
      <c r="J3195" s="55"/>
      <c r="K3195" s="55"/>
      <c r="L3195" s="55"/>
      <c r="P3195" s="1">
        <f>COUNTIF(Analysis!$M$1:$M$3001,Analysis!$M3195)</f>
        <v>0</v>
      </c>
      <c r="Q3195" s="1" t="str">
        <f>IF(COUNTIF(Analysis!$M$2:$M$3001,Analysis!$M3195)&gt;1,"Duplicate","OK")</f>
        <v>OK</v>
      </c>
      <c r="R3195" s="1" t="str">
        <f t="shared" si="1"/>
        <v>#N/A</v>
      </c>
    </row>
    <row r="3196" ht="14.25" customHeight="1">
      <c r="A3196" s="61"/>
      <c r="B3196" s="55"/>
      <c r="C3196" s="55"/>
      <c r="D3196" s="55"/>
      <c r="E3196" s="55"/>
      <c r="F3196" s="55"/>
      <c r="G3196" s="55"/>
      <c r="H3196" s="62"/>
      <c r="I3196" s="62"/>
      <c r="J3196" s="55"/>
      <c r="K3196" s="55"/>
      <c r="L3196" s="55"/>
      <c r="P3196" s="1">
        <f>COUNTIF(Analysis!$M$1:$M$3001,Analysis!$M3196)</f>
        <v>0</v>
      </c>
      <c r="Q3196" s="1" t="str">
        <f>IF(COUNTIF(Analysis!$M$2:$M$3001,Analysis!$M3196)&gt;1,"Duplicate","OK")</f>
        <v>OK</v>
      </c>
      <c r="R3196" s="1" t="str">
        <f t="shared" si="1"/>
        <v>#N/A</v>
      </c>
    </row>
    <row r="3197" ht="14.25" customHeight="1">
      <c r="A3197" s="61"/>
      <c r="B3197" s="55"/>
      <c r="C3197" s="55"/>
      <c r="D3197" s="55"/>
      <c r="E3197" s="55"/>
      <c r="F3197" s="55"/>
      <c r="G3197" s="55"/>
      <c r="H3197" s="62"/>
      <c r="I3197" s="62"/>
      <c r="J3197" s="55"/>
      <c r="K3197" s="55"/>
      <c r="L3197" s="55"/>
      <c r="P3197" s="1">
        <f>COUNTIF(Analysis!$M$1:$M$3001,Analysis!$M3197)</f>
        <v>0</v>
      </c>
      <c r="Q3197" s="1" t="str">
        <f>IF(COUNTIF(Analysis!$M$2:$M$3001,Analysis!$M3197)&gt;1,"Duplicate","OK")</f>
        <v>OK</v>
      </c>
      <c r="R3197" s="1" t="str">
        <f t="shared" si="1"/>
        <v>#N/A</v>
      </c>
    </row>
    <row r="3198" ht="14.25" customHeight="1">
      <c r="A3198" s="61"/>
      <c r="B3198" s="55"/>
      <c r="C3198" s="55"/>
      <c r="D3198" s="55"/>
      <c r="E3198" s="55"/>
      <c r="F3198" s="55"/>
      <c r="G3198" s="55"/>
      <c r="H3198" s="62"/>
      <c r="I3198" s="62"/>
      <c r="J3198" s="55"/>
      <c r="K3198" s="55"/>
      <c r="L3198" s="55"/>
      <c r="P3198" s="1">
        <f>COUNTIF(Analysis!$M$1:$M$3001,Analysis!$M3198)</f>
        <v>0</v>
      </c>
      <c r="Q3198" s="1" t="str">
        <f>IF(COUNTIF(Analysis!$M$2:$M$3001,Analysis!$M3198)&gt;1,"Duplicate","OK")</f>
        <v>OK</v>
      </c>
      <c r="R3198" s="1" t="str">
        <f t="shared" si="1"/>
        <v>#N/A</v>
      </c>
    </row>
    <row r="3199" ht="14.25" customHeight="1">
      <c r="A3199" s="61"/>
      <c r="B3199" s="55"/>
      <c r="C3199" s="55"/>
      <c r="D3199" s="55"/>
      <c r="E3199" s="55"/>
      <c r="F3199" s="55"/>
      <c r="G3199" s="55"/>
      <c r="H3199" s="62"/>
      <c r="I3199" s="62"/>
      <c r="J3199" s="55"/>
      <c r="K3199" s="55"/>
      <c r="L3199" s="55"/>
      <c r="P3199" s="1">
        <f>COUNTIF(Analysis!$M$1:$M$3001,Analysis!$M3199)</f>
        <v>0</v>
      </c>
      <c r="Q3199" s="1" t="str">
        <f>IF(COUNTIF(Analysis!$M$2:$M$3001,Analysis!$M3199)&gt;1,"Duplicate","OK")</f>
        <v>OK</v>
      </c>
      <c r="R3199" s="1" t="str">
        <f t="shared" si="1"/>
        <v>#N/A</v>
      </c>
    </row>
    <row r="3200" ht="14.25" customHeight="1">
      <c r="A3200" s="61"/>
      <c r="B3200" s="55"/>
      <c r="C3200" s="55"/>
      <c r="D3200" s="55"/>
      <c r="E3200" s="55"/>
      <c r="F3200" s="55"/>
      <c r="G3200" s="55"/>
      <c r="H3200" s="62"/>
      <c r="I3200" s="62"/>
      <c r="J3200" s="55"/>
      <c r="K3200" s="55"/>
      <c r="L3200" s="55"/>
      <c r="P3200" s="1">
        <f>COUNTIF(Analysis!$M$1:$M$3001,Analysis!$M3200)</f>
        <v>0</v>
      </c>
      <c r="Q3200" s="1" t="str">
        <f>IF(COUNTIF(Analysis!$M$2:$M$3001,Analysis!$M3200)&gt;1,"Duplicate","OK")</f>
        <v>OK</v>
      </c>
      <c r="R3200" s="1" t="str">
        <f t="shared" si="1"/>
        <v>#N/A</v>
      </c>
    </row>
    <row r="3201" ht="14.25" customHeight="1">
      <c r="A3201" s="61"/>
      <c r="B3201" s="55"/>
      <c r="C3201" s="55"/>
      <c r="D3201" s="55"/>
      <c r="E3201" s="55"/>
      <c r="F3201" s="55"/>
      <c r="G3201" s="55"/>
      <c r="H3201" s="62"/>
      <c r="I3201" s="62"/>
      <c r="J3201" s="55"/>
      <c r="K3201" s="55"/>
      <c r="L3201" s="55"/>
      <c r="P3201" s="1">
        <f>COUNTIF(Analysis!$M$1:$M$3001,Analysis!$M3201)</f>
        <v>0</v>
      </c>
      <c r="Q3201" s="1" t="str">
        <f>IF(COUNTIF(Analysis!$M$2:$M$3001,Analysis!$M3201)&gt;1,"Duplicate","OK")</f>
        <v>OK</v>
      </c>
      <c r="R3201" s="1" t="str">
        <f t="shared" si="1"/>
        <v>#N/A</v>
      </c>
    </row>
    <row r="3202" ht="14.25" customHeight="1">
      <c r="A3202" s="61"/>
      <c r="B3202" s="55"/>
      <c r="C3202" s="55"/>
      <c r="D3202" s="55"/>
      <c r="E3202" s="55"/>
      <c r="F3202" s="55"/>
      <c r="G3202" s="55"/>
      <c r="H3202" s="62"/>
      <c r="I3202" s="62"/>
      <c r="J3202" s="55"/>
      <c r="K3202" s="55"/>
      <c r="L3202" s="55"/>
      <c r="P3202" s="1">
        <f>COUNTIF(Analysis!$M$1:$M$3001,Analysis!$M3202)</f>
        <v>0</v>
      </c>
      <c r="Q3202" s="1" t="str">
        <f>IF(COUNTIF(Analysis!$M$2:$M$3001,Analysis!$M3202)&gt;1,"Duplicate","OK")</f>
        <v>OK</v>
      </c>
      <c r="R3202" s="1" t="str">
        <f t="shared" si="1"/>
        <v>#N/A</v>
      </c>
    </row>
    <row r="3203" ht="14.25" customHeight="1">
      <c r="A3203" s="61"/>
      <c r="B3203" s="55"/>
      <c r="C3203" s="55"/>
      <c r="D3203" s="55"/>
      <c r="E3203" s="55"/>
      <c r="F3203" s="55"/>
      <c r="G3203" s="55"/>
      <c r="H3203" s="62"/>
      <c r="I3203" s="62"/>
      <c r="J3203" s="55"/>
      <c r="K3203" s="55"/>
      <c r="L3203" s="55"/>
      <c r="P3203" s="1">
        <f>COUNTIF(Analysis!$M$1:$M$3001,Analysis!$M3203)</f>
        <v>0</v>
      </c>
      <c r="Q3203" s="1" t="str">
        <f>IF(COUNTIF(Analysis!$M$2:$M$3001,Analysis!$M3203)&gt;1,"Duplicate","OK")</f>
        <v>OK</v>
      </c>
      <c r="R3203" s="1" t="str">
        <f t="shared" si="1"/>
        <v>#N/A</v>
      </c>
    </row>
    <row r="3204" ht="14.25" customHeight="1">
      <c r="A3204" s="61"/>
      <c r="B3204" s="55"/>
      <c r="C3204" s="55"/>
      <c r="D3204" s="55"/>
      <c r="E3204" s="55"/>
      <c r="F3204" s="55"/>
      <c r="G3204" s="55"/>
      <c r="H3204" s="62"/>
      <c r="I3204" s="62"/>
      <c r="J3204" s="55"/>
      <c r="K3204" s="55"/>
      <c r="L3204" s="55"/>
      <c r="P3204" s="1">
        <f>COUNTIF(Analysis!$M$1:$M$3001,Analysis!$M3204)</f>
        <v>0</v>
      </c>
      <c r="Q3204" s="1" t="str">
        <f>IF(COUNTIF(Analysis!$M$2:$M$3001,Analysis!$M3204)&gt;1,"Duplicate","OK")</f>
        <v>OK</v>
      </c>
      <c r="R3204" s="1" t="str">
        <f t="shared" si="1"/>
        <v>#N/A</v>
      </c>
    </row>
    <row r="3205" ht="14.25" customHeight="1">
      <c r="A3205" s="61"/>
      <c r="B3205" s="55"/>
      <c r="C3205" s="55"/>
      <c r="D3205" s="55"/>
      <c r="E3205" s="55"/>
      <c r="F3205" s="55"/>
      <c r="G3205" s="55"/>
      <c r="H3205" s="62"/>
      <c r="I3205" s="62"/>
      <c r="J3205" s="55"/>
      <c r="K3205" s="55"/>
      <c r="L3205" s="55"/>
      <c r="P3205" s="1">
        <f>COUNTIF(Analysis!$M$1:$M$3001,Analysis!$M3205)</f>
        <v>0</v>
      </c>
      <c r="Q3205" s="1" t="str">
        <f>IF(COUNTIF(Analysis!$M$2:$M$3001,Analysis!$M3205)&gt;1,"Duplicate","OK")</f>
        <v>OK</v>
      </c>
      <c r="R3205" s="1" t="str">
        <f t="shared" si="1"/>
        <v>#N/A</v>
      </c>
    </row>
    <row r="3206" ht="14.25" customHeight="1">
      <c r="A3206" s="61"/>
      <c r="B3206" s="55"/>
      <c r="C3206" s="55"/>
      <c r="D3206" s="55"/>
      <c r="E3206" s="55"/>
      <c r="F3206" s="55"/>
      <c r="G3206" s="55"/>
      <c r="H3206" s="62"/>
      <c r="I3206" s="62"/>
      <c r="J3206" s="55"/>
      <c r="K3206" s="55"/>
      <c r="L3206" s="55"/>
      <c r="P3206" s="1">
        <f>COUNTIF(Analysis!$M$1:$M$3001,Analysis!$M3206)</f>
        <v>0</v>
      </c>
      <c r="Q3206" s="1" t="str">
        <f>IF(COUNTIF(Analysis!$M$2:$M$3001,Analysis!$M3206)&gt;1,"Duplicate","OK")</f>
        <v>OK</v>
      </c>
      <c r="R3206" s="1" t="str">
        <f t="shared" si="1"/>
        <v>#N/A</v>
      </c>
    </row>
    <row r="3207" ht="14.25" customHeight="1">
      <c r="A3207" s="61"/>
      <c r="B3207" s="55"/>
      <c r="C3207" s="55"/>
      <c r="D3207" s="55"/>
      <c r="E3207" s="55"/>
      <c r="F3207" s="55"/>
      <c r="G3207" s="55"/>
      <c r="H3207" s="62"/>
      <c r="I3207" s="62"/>
      <c r="J3207" s="55"/>
      <c r="K3207" s="55"/>
      <c r="L3207" s="55"/>
      <c r="P3207" s="1">
        <f>COUNTIF(Analysis!$M$1:$M$3001,Analysis!$M3207)</f>
        <v>0</v>
      </c>
      <c r="Q3207" s="1" t="str">
        <f>IF(COUNTIF(Analysis!$M$2:$M$3001,Analysis!$M3207)&gt;1,"Duplicate","OK")</f>
        <v>OK</v>
      </c>
      <c r="R3207" s="1" t="str">
        <f t="shared" si="1"/>
        <v>#N/A</v>
      </c>
    </row>
    <row r="3208" ht="14.25" customHeight="1">
      <c r="A3208" s="61"/>
      <c r="B3208" s="55"/>
      <c r="C3208" s="55"/>
      <c r="D3208" s="55"/>
      <c r="E3208" s="55"/>
      <c r="F3208" s="55"/>
      <c r="G3208" s="55"/>
      <c r="H3208" s="62"/>
      <c r="I3208" s="62"/>
      <c r="J3208" s="55"/>
      <c r="K3208" s="55"/>
      <c r="L3208" s="55"/>
      <c r="P3208" s="1">
        <f>COUNTIF(Analysis!$M$1:$M$3001,Analysis!$M3208)</f>
        <v>0</v>
      </c>
      <c r="Q3208" s="1" t="str">
        <f>IF(COUNTIF(Analysis!$M$2:$M$3001,Analysis!$M3208)&gt;1,"Duplicate","OK")</f>
        <v>OK</v>
      </c>
      <c r="R3208" s="1" t="str">
        <f t="shared" si="1"/>
        <v>#N/A</v>
      </c>
    </row>
    <row r="3209" ht="14.25" customHeight="1">
      <c r="A3209" s="61"/>
      <c r="B3209" s="55"/>
      <c r="C3209" s="55"/>
      <c r="D3209" s="55"/>
      <c r="E3209" s="55"/>
      <c r="F3209" s="55"/>
      <c r="G3209" s="55"/>
      <c r="H3209" s="62"/>
      <c r="I3209" s="62"/>
      <c r="J3209" s="55"/>
      <c r="K3209" s="55"/>
      <c r="L3209" s="55"/>
      <c r="P3209" s="1">
        <f>COUNTIF(Analysis!$M$1:$M$3001,Analysis!$M3209)</f>
        <v>0</v>
      </c>
      <c r="Q3209" s="1" t="str">
        <f>IF(COUNTIF(Analysis!$M$2:$M$3001,Analysis!$M3209)&gt;1,"Duplicate","OK")</f>
        <v>OK</v>
      </c>
      <c r="R3209" s="1" t="str">
        <f t="shared" si="1"/>
        <v>#N/A</v>
      </c>
    </row>
    <row r="3210" ht="14.25" customHeight="1">
      <c r="A3210" s="61"/>
      <c r="B3210" s="55"/>
      <c r="C3210" s="55"/>
      <c r="D3210" s="55"/>
      <c r="E3210" s="55"/>
      <c r="F3210" s="55"/>
      <c r="G3210" s="55"/>
      <c r="H3210" s="62"/>
      <c r="I3210" s="62"/>
      <c r="J3210" s="55"/>
      <c r="K3210" s="55"/>
      <c r="L3210" s="55"/>
      <c r="P3210" s="1">
        <f>COUNTIF(Analysis!$M$1:$M$3001,Analysis!$M3210)</f>
        <v>0</v>
      </c>
      <c r="Q3210" s="1" t="str">
        <f>IF(COUNTIF(Analysis!$M$2:$M$3001,Analysis!$M3210)&gt;1,"Duplicate","OK")</f>
        <v>OK</v>
      </c>
      <c r="R3210" s="1" t="str">
        <f t="shared" si="1"/>
        <v>#N/A</v>
      </c>
    </row>
    <row r="3211" ht="14.25" customHeight="1">
      <c r="A3211" s="61"/>
      <c r="B3211" s="55"/>
      <c r="C3211" s="55"/>
      <c r="D3211" s="55"/>
      <c r="E3211" s="55"/>
      <c r="F3211" s="55"/>
      <c r="G3211" s="55"/>
      <c r="H3211" s="62"/>
      <c r="I3211" s="62"/>
      <c r="J3211" s="55"/>
      <c r="K3211" s="55"/>
      <c r="L3211" s="55"/>
      <c r="P3211" s="1">
        <f>COUNTIF(Analysis!$M$1:$M$3001,Analysis!$M3211)</f>
        <v>0</v>
      </c>
      <c r="Q3211" s="1" t="str">
        <f>IF(COUNTIF(Analysis!$M$2:$M$3001,Analysis!$M3211)&gt;1,"Duplicate","OK")</f>
        <v>OK</v>
      </c>
      <c r="R3211" s="1" t="str">
        <f t="shared" si="1"/>
        <v>#N/A</v>
      </c>
    </row>
    <row r="3212" ht="14.25" customHeight="1">
      <c r="A3212" s="61"/>
      <c r="B3212" s="55"/>
      <c r="C3212" s="55"/>
      <c r="D3212" s="55"/>
      <c r="E3212" s="55"/>
      <c r="F3212" s="55"/>
      <c r="G3212" s="55"/>
      <c r="H3212" s="62"/>
      <c r="I3212" s="62"/>
      <c r="J3212" s="55"/>
      <c r="K3212" s="55"/>
      <c r="L3212" s="55"/>
      <c r="P3212" s="1">
        <f>COUNTIF(Analysis!$M$1:$M$3001,Analysis!$M3212)</f>
        <v>0</v>
      </c>
      <c r="Q3212" s="1" t="str">
        <f>IF(COUNTIF(Analysis!$M$2:$M$3001,Analysis!$M3212)&gt;1,"Duplicate","OK")</f>
        <v>OK</v>
      </c>
      <c r="R3212" s="1" t="str">
        <f t="shared" si="1"/>
        <v>#N/A</v>
      </c>
    </row>
    <row r="3213" ht="14.25" customHeight="1">
      <c r="A3213" s="61"/>
      <c r="B3213" s="55"/>
      <c r="C3213" s="55"/>
      <c r="D3213" s="55"/>
      <c r="E3213" s="55"/>
      <c r="F3213" s="55"/>
      <c r="G3213" s="55"/>
      <c r="H3213" s="62"/>
      <c r="I3213" s="62"/>
      <c r="J3213" s="55"/>
      <c r="K3213" s="55"/>
      <c r="L3213" s="55"/>
      <c r="P3213" s="1">
        <f>COUNTIF(Analysis!$M$1:$M$3001,Analysis!$M3213)</f>
        <v>0</v>
      </c>
      <c r="Q3213" s="1" t="str">
        <f>IF(COUNTIF(Analysis!$M$2:$M$3001,Analysis!$M3213)&gt;1,"Duplicate","OK")</f>
        <v>OK</v>
      </c>
      <c r="R3213" s="1" t="str">
        <f t="shared" si="1"/>
        <v>#N/A</v>
      </c>
    </row>
    <row r="3214" ht="14.25" customHeight="1">
      <c r="A3214" s="61"/>
      <c r="B3214" s="55"/>
      <c r="C3214" s="55"/>
      <c r="D3214" s="55"/>
      <c r="E3214" s="55"/>
      <c r="F3214" s="55"/>
      <c r="G3214" s="55"/>
      <c r="H3214" s="62"/>
      <c r="I3214" s="62"/>
      <c r="J3214" s="55"/>
      <c r="K3214" s="55"/>
      <c r="L3214" s="55"/>
      <c r="P3214" s="1">
        <f>COUNTIF(Analysis!$M$1:$M$3001,Analysis!$M3214)</f>
        <v>0</v>
      </c>
      <c r="Q3214" s="1" t="str">
        <f>IF(COUNTIF(Analysis!$M$2:$M$3001,Analysis!$M3214)&gt;1,"Duplicate","OK")</f>
        <v>OK</v>
      </c>
      <c r="R3214" s="1" t="str">
        <f t="shared" si="1"/>
        <v>#N/A</v>
      </c>
    </row>
    <row r="3215" ht="14.25" customHeight="1">
      <c r="A3215" s="61"/>
      <c r="B3215" s="55"/>
      <c r="C3215" s="55"/>
      <c r="D3215" s="55"/>
      <c r="E3215" s="55"/>
      <c r="F3215" s="55"/>
      <c r="G3215" s="55"/>
      <c r="H3215" s="62"/>
      <c r="I3215" s="62"/>
      <c r="J3215" s="55"/>
      <c r="K3215" s="55"/>
      <c r="L3215" s="55"/>
      <c r="P3215" s="1">
        <f>COUNTIF(Analysis!$M$1:$M$3001,Analysis!$M3215)</f>
        <v>0</v>
      </c>
      <c r="Q3215" s="1" t="str">
        <f>IF(COUNTIF(Analysis!$M$2:$M$3001,Analysis!$M3215)&gt;1,"Duplicate","OK")</f>
        <v>OK</v>
      </c>
      <c r="R3215" s="1" t="str">
        <f t="shared" si="1"/>
        <v>#N/A</v>
      </c>
    </row>
    <row r="3216" ht="14.25" customHeight="1">
      <c r="A3216" s="61"/>
      <c r="B3216" s="55"/>
      <c r="C3216" s="55"/>
      <c r="D3216" s="55"/>
      <c r="E3216" s="55"/>
      <c r="F3216" s="55"/>
      <c r="G3216" s="55"/>
      <c r="H3216" s="62"/>
      <c r="I3216" s="62"/>
      <c r="J3216" s="55"/>
      <c r="K3216" s="55"/>
      <c r="L3216" s="55"/>
      <c r="P3216" s="1">
        <f>COUNTIF(Analysis!$M$1:$M$3001,Analysis!$M3216)</f>
        <v>0</v>
      </c>
      <c r="Q3216" s="1" t="str">
        <f>IF(COUNTIF(Analysis!$M$2:$M$3001,Analysis!$M3216)&gt;1,"Duplicate","OK")</f>
        <v>OK</v>
      </c>
      <c r="R3216" s="1" t="str">
        <f t="shared" si="1"/>
        <v>#N/A</v>
      </c>
    </row>
    <row r="3217" ht="14.25" customHeight="1">
      <c r="A3217" s="61"/>
      <c r="B3217" s="55"/>
      <c r="C3217" s="55"/>
      <c r="D3217" s="55"/>
      <c r="E3217" s="55"/>
      <c r="F3217" s="55"/>
      <c r="G3217" s="55"/>
      <c r="H3217" s="62"/>
      <c r="I3217" s="62"/>
      <c r="J3217" s="55"/>
      <c r="K3217" s="55"/>
      <c r="L3217" s="55"/>
      <c r="P3217" s="1">
        <f>COUNTIF(Analysis!$M$1:$M$3001,Analysis!$M3217)</f>
        <v>0</v>
      </c>
      <c r="Q3217" s="1" t="str">
        <f>IF(COUNTIF(Analysis!$M$2:$M$3001,Analysis!$M3217)&gt;1,"Duplicate","OK")</f>
        <v>OK</v>
      </c>
      <c r="R3217" s="1" t="str">
        <f t="shared" si="1"/>
        <v>#N/A</v>
      </c>
    </row>
    <row r="3218" ht="14.25" customHeight="1">
      <c r="A3218" s="61"/>
      <c r="B3218" s="55"/>
      <c r="C3218" s="55"/>
      <c r="D3218" s="55"/>
      <c r="E3218" s="55"/>
      <c r="F3218" s="55"/>
      <c r="G3218" s="55"/>
      <c r="H3218" s="62"/>
      <c r="I3218" s="62"/>
      <c r="J3218" s="55"/>
      <c r="K3218" s="55"/>
      <c r="L3218" s="55"/>
      <c r="P3218" s="1">
        <f>COUNTIF(Analysis!$M$1:$M$3001,Analysis!$M3218)</f>
        <v>0</v>
      </c>
      <c r="Q3218" s="1" t="str">
        <f>IF(COUNTIF(Analysis!$M$2:$M$3001,Analysis!$M3218)&gt;1,"Duplicate","OK")</f>
        <v>OK</v>
      </c>
      <c r="R3218" s="1" t="str">
        <f t="shared" si="1"/>
        <v>#N/A</v>
      </c>
    </row>
    <row r="3219" ht="14.25" customHeight="1">
      <c r="A3219" s="61"/>
      <c r="B3219" s="55"/>
      <c r="C3219" s="55"/>
      <c r="D3219" s="55"/>
      <c r="E3219" s="55"/>
      <c r="F3219" s="55"/>
      <c r="G3219" s="55"/>
      <c r="H3219" s="62"/>
      <c r="I3219" s="62"/>
      <c r="J3219" s="55"/>
      <c r="K3219" s="55"/>
      <c r="L3219" s="55"/>
      <c r="P3219" s="1">
        <f>COUNTIF(Analysis!$M$1:$M$3001,Analysis!$M3219)</f>
        <v>0</v>
      </c>
      <c r="Q3219" s="1" t="str">
        <f>IF(COUNTIF(Analysis!$M$2:$M$3001,Analysis!$M3219)&gt;1,"Duplicate","OK")</f>
        <v>OK</v>
      </c>
      <c r="R3219" s="1" t="str">
        <f t="shared" si="1"/>
        <v>#N/A</v>
      </c>
    </row>
    <row r="3220" ht="14.25" customHeight="1">
      <c r="A3220" s="61"/>
      <c r="B3220" s="55"/>
      <c r="C3220" s="55"/>
      <c r="D3220" s="55"/>
      <c r="E3220" s="55"/>
      <c r="F3220" s="55"/>
      <c r="G3220" s="55"/>
      <c r="H3220" s="62"/>
      <c r="I3220" s="62"/>
      <c r="J3220" s="55"/>
      <c r="K3220" s="55"/>
      <c r="L3220" s="55"/>
      <c r="P3220" s="1">
        <f>COUNTIF(Analysis!$M$1:$M$3001,Analysis!$M3220)</f>
        <v>0</v>
      </c>
      <c r="Q3220" s="1" t="str">
        <f>IF(COUNTIF(Analysis!$M$2:$M$3001,Analysis!$M3220)&gt;1,"Duplicate","OK")</f>
        <v>OK</v>
      </c>
      <c r="R3220" s="1" t="str">
        <f t="shared" si="1"/>
        <v>#N/A</v>
      </c>
    </row>
    <row r="3221" ht="14.25" customHeight="1">
      <c r="A3221" s="61"/>
      <c r="B3221" s="55"/>
      <c r="C3221" s="55"/>
      <c r="D3221" s="55"/>
      <c r="E3221" s="55"/>
      <c r="F3221" s="55"/>
      <c r="G3221" s="55"/>
      <c r="H3221" s="62"/>
      <c r="I3221" s="62"/>
      <c r="J3221" s="55"/>
      <c r="K3221" s="55"/>
      <c r="L3221" s="55"/>
      <c r="P3221" s="1">
        <f>COUNTIF(Analysis!$M$1:$M$3001,Analysis!$M3221)</f>
        <v>0</v>
      </c>
      <c r="Q3221" s="1" t="str">
        <f>IF(COUNTIF(Analysis!$M$2:$M$3001,Analysis!$M3221)&gt;1,"Duplicate","OK")</f>
        <v>OK</v>
      </c>
      <c r="R3221" s="1" t="str">
        <f t="shared" si="1"/>
        <v>#N/A</v>
      </c>
    </row>
    <row r="3222" ht="14.25" customHeight="1">
      <c r="A3222" s="61"/>
      <c r="B3222" s="55"/>
      <c r="C3222" s="55"/>
      <c r="D3222" s="55"/>
      <c r="E3222" s="55"/>
      <c r="F3222" s="55"/>
      <c r="G3222" s="55"/>
      <c r="H3222" s="62"/>
      <c r="I3222" s="62"/>
      <c r="J3222" s="55"/>
      <c r="K3222" s="55"/>
      <c r="L3222" s="55"/>
      <c r="P3222" s="1">
        <f>COUNTIF(Analysis!$M$1:$M$3001,Analysis!$M3222)</f>
        <v>0</v>
      </c>
      <c r="Q3222" s="1" t="str">
        <f>IF(COUNTIF(Analysis!$M$2:$M$3001,Analysis!$M3222)&gt;1,"Duplicate","OK")</f>
        <v>OK</v>
      </c>
      <c r="R3222" s="1" t="str">
        <f t="shared" si="1"/>
        <v>#N/A</v>
      </c>
    </row>
    <row r="3223" ht="14.25" customHeight="1">
      <c r="A3223" s="61"/>
      <c r="B3223" s="55"/>
      <c r="C3223" s="55"/>
      <c r="D3223" s="55"/>
      <c r="E3223" s="55"/>
      <c r="F3223" s="55"/>
      <c r="G3223" s="55"/>
      <c r="H3223" s="62"/>
      <c r="I3223" s="62"/>
      <c r="J3223" s="55"/>
      <c r="K3223" s="55"/>
      <c r="L3223" s="55"/>
      <c r="P3223" s="1">
        <f>COUNTIF(Analysis!$M$1:$M$3001,Analysis!$M3223)</f>
        <v>0</v>
      </c>
      <c r="Q3223" s="1" t="str">
        <f>IF(COUNTIF(Analysis!$M$2:$M$3001,Analysis!$M3223)&gt;1,"Duplicate","OK")</f>
        <v>OK</v>
      </c>
      <c r="R3223" s="1" t="str">
        <f t="shared" si="1"/>
        <v>#N/A</v>
      </c>
    </row>
    <row r="3224" ht="14.25" customHeight="1">
      <c r="A3224" s="61"/>
      <c r="B3224" s="55"/>
      <c r="C3224" s="55"/>
      <c r="D3224" s="55"/>
      <c r="E3224" s="55"/>
      <c r="F3224" s="55"/>
      <c r="G3224" s="55"/>
      <c r="H3224" s="62"/>
      <c r="I3224" s="62"/>
      <c r="J3224" s="55"/>
      <c r="K3224" s="55"/>
      <c r="L3224" s="55"/>
      <c r="P3224" s="1">
        <f>COUNTIF(Analysis!$M$1:$M$3001,Analysis!$M3224)</f>
        <v>0</v>
      </c>
      <c r="Q3224" s="1" t="str">
        <f>IF(COUNTIF(Analysis!$M$2:$M$3001,Analysis!$M3224)&gt;1,"Duplicate","OK")</f>
        <v>OK</v>
      </c>
      <c r="R3224" s="1" t="str">
        <f t="shared" si="1"/>
        <v>#N/A</v>
      </c>
    </row>
    <row r="3225" ht="14.25" customHeight="1">
      <c r="A3225" s="61"/>
      <c r="B3225" s="55"/>
      <c r="C3225" s="55"/>
      <c r="D3225" s="55"/>
      <c r="E3225" s="55"/>
      <c r="F3225" s="55"/>
      <c r="G3225" s="55"/>
      <c r="H3225" s="62"/>
      <c r="I3225" s="62"/>
      <c r="J3225" s="55"/>
      <c r="K3225" s="55"/>
      <c r="L3225" s="55"/>
      <c r="P3225" s="1">
        <f>COUNTIF(Analysis!$M$1:$M$3001,Analysis!$M3225)</f>
        <v>0</v>
      </c>
      <c r="Q3225" s="1" t="str">
        <f>IF(COUNTIF(Analysis!$M$2:$M$3001,Analysis!$M3225)&gt;1,"Duplicate","OK")</f>
        <v>OK</v>
      </c>
      <c r="R3225" s="1" t="str">
        <f t="shared" si="1"/>
        <v>#N/A</v>
      </c>
    </row>
    <row r="3226" ht="14.25" customHeight="1">
      <c r="A3226" s="61"/>
      <c r="B3226" s="55"/>
      <c r="C3226" s="55"/>
      <c r="D3226" s="55"/>
      <c r="E3226" s="55"/>
      <c r="F3226" s="55"/>
      <c r="G3226" s="55"/>
      <c r="H3226" s="62"/>
      <c r="I3226" s="62"/>
      <c r="J3226" s="55"/>
      <c r="K3226" s="55"/>
      <c r="L3226" s="55"/>
      <c r="P3226" s="1">
        <f>COUNTIF(Analysis!$M$1:$M$3001,Analysis!$M3226)</f>
        <v>0</v>
      </c>
      <c r="Q3226" s="1" t="str">
        <f>IF(COUNTIF(Analysis!$M$2:$M$3001,Analysis!$M3226)&gt;1,"Duplicate","OK")</f>
        <v>OK</v>
      </c>
      <c r="R3226" s="1" t="str">
        <f t="shared" si="1"/>
        <v>#N/A</v>
      </c>
    </row>
    <row r="3227" ht="14.25" customHeight="1">
      <c r="A3227" s="61"/>
      <c r="B3227" s="55"/>
      <c r="C3227" s="55"/>
      <c r="D3227" s="55"/>
      <c r="E3227" s="55"/>
      <c r="F3227" s="55"/>
      <c r="G3227" s="55"/>
      <c r="H3227" s="62"/>
      <c r="I3227" s="62"/>
      <c r="J3227" s="55"/>
      <c r="K3227" s="55"/>
      <c r="L3227" s="55"/>
      <c r="P3227" s="1">
        <f>COUNTIF(Analysis!$M$1:$M$3001,Analysis!$M3227)</f>
        <v>0</v>
      </c>
      <c r="Q3227" s="1" t="str">
        <f>IF(COUNTIF(Analysis!$M$2:$M$3001,Analysis!$M3227)&gt;1,"Duplicate","OK")</f>
        <v>OK</v>
      </c>
      <c r="R3227" s="1" t="str">
        <f t="shared" si="1"/>
        <v>#N/A</v>
      </c>
    </row>
    <row r="3228" ht="14.25" customHeight="1">
      <c r="A3228" s="61"/>
      <c r="B3228" s="55"/>
      <c r="C3228" s="55"/>
      <c r="D3228" s="55"/>
      <c r="E3228" s="55"/>
      <c r="F3228" s="55"/>
      <c r="G3228" s="55"/>
      <c r="H3228" s="62"/>
      <c r="I3228" s="62"/>
      <c r="J3228" s="55"/>
      <c r="K3228" s="55"/>
      <c r="L3228" s="55"/>
      <c r="P3228" s="1">
        <f>COUNTIF(Analysis!$M$1:$M$3001,Analysis!$M3228)</f>
        <v>0</v>
      </c>
      <c r="Q3228" s="1" t="str">
        <f>IF(COUNTIF(Analysis!$M$2:$M$3001,Analysis!$M3228)&gt;1,"Duplicate","OK")</f>
        <v>OK</v>
      </c>
      <c r="R3228" s="1" t="str">
        <f t="shared" si="1"/>
        <v>#N/A</v>
      </c>
    </row>
    <row r="3229" ht="14.25" customHeight="1">
      <c r="A3229" s="61"/>
      <c r="B3229" s="55"/>
      <c r="C3229" s="55"/>
      <c r="D3229" s="55"/>
      <c r="E3229" s="55"/>
      <c r="F3229" s="55"/>
      <c r="G3229" s="55"/>
      <c r="H3229" s="62"/>
      <c r="I3229" s="62"/>
      <c r="J3229" s="55"/>
      <c r="K3229" s="55"/>
      <c r="L3229" s="55"/>
      <c r="P3229" s="1">
        <f>COUNTIF(Analysis!$M$1:$M$3001,Analysis!$M3229)</f>
        <v>0</v>
      </c>
      <c r="Q3229" s="1" t="str">
        <f>IF(COUNTIF(Analysis!$M$2:$M$3001,Analysis!$M3229)&gt;1,"Duplicate","OK")</f>
        <v>OK</v>
      </c>
      <c r="R3229" s="1" t="str">
        <f t="shared" si="1"/>
        <v>#N/A</v>
      </c>
    </row>
    <row r="3230" ht="14.25" customHeight="1">
      <c r="A3230" s="61"/>
      <c r="B3230" s="55"/>
      <c r="C3230" s="55"/>
      <c r="D3230" s="55"/>
      <c r="E3230" s="55"/>
      <c r="F3230" s="55"/>
      <c r="G3230" s="55"/>
      <c r="H3230" s="62"/>
      <c r="I3230" s="62"/>
      <c r="J3230" s="55"/>
      <c r="K3230" s="55"/>
      <c r="L3230" s="55"/>
      <c r="P3230" s="1">
        <f>COUNTIF(Analysis!$M$1:$M$3001,Analysis!$M3230)</f>
        <v>0</v>
      </c>
      <c r="Q3230" s="1" t="str">
        <f>IF(COUNTIF(Analysis!$M$2:$M$3001,Analysis!$M3230)&gt;1,"Duplicate","OK")</f>
        <v>OK</v>
      </c>
      <c r="R3230" s="1" t="str">
        <f t="shared" si="1"/>
        <v>#N/A</v>
      </c>
    </row>
    <row r="3231" ht="14.25" customHeight="1">
      <c r="A3231" s="61"/>
      <c r="B3231" s="55"/>
      <c r="C3231" s="55"/>
      <c r="D3231" s="55"/>
      <c r="E3231" s="55"/>
      <c r="F3231" s="55"/>
      <c r="G3231" s="55"/>
      <c r="H3231" s="62"/>
      <c r="I3231" s="62"/>
      <c r="J3231" s="55"/>
      <c r="K3231" s="55"/>
      <c r="L3231" s="55"/>
      <c r="P3231" s="1">
        <f>COUNTIF(Analysis!$M$1:$M$3001,Analysis!$M3231)</f>
        <v>0</v>
      </c>
      <c r="Q3231" s="1" t="str">
        <f>IF(COUNTIF(Analysis!$M$2:$M$3001,Analysis!$M3231)&gt;1,"Duplicate","OK")</f>
        <v>OK</v>
      </c>
      <c r="R3231" s="1" t="str">
        <f t="shared" si="1"/>
        <v>#N/A</v>
      </c>
    </row>
    <row r="3232" ht="14.25" customHeight="1">
      <c r="A3232" s="61"/>
      <c r="B3232" s="55"/>
      <c r="C3232" s="55"/>
      <c r="D3232" s="55"/>
      <c r="E3232" s="55"/>
      <c r="F3232" s="55"/>
      <c r="G3232" s="55"/>
      <c r="H3232" s="62"/>
      <c r="I3232" s="62"/>
      <c r="J3232" s="55"/>
      <c r="K3232" s="55"/>
      <c r="L3232" s="55"/>
      <c r="P3232" s="1">
        <f>COUNTIF(Analysis!$M$1:$M$3001,Analysis!$M3232)</f>
        <v>0</v>
      </c>
      <c r="Q3232" s="1" t="str">
        <f>IF(COUNTIF(Analysis!$M$2:$M$3001,Analysis!$M3232)&gt;1,"Duplicate","OK")</f>
        <v>OK</v>
      </c>
      <c r="R3232" s="1" t="str">
        <f t="shared" si="1"/>
        <v>#N/A</v>
      </c>
    </row>
    <row r="3233" ht="14.25" customHeight="1">
      <c r="A3233" s="61"/>
      <c r="B3233" s="55"/>
      <c r="C3233" s="55"/>
      <c r="D3233" s="55"/>
      <c r="E3233" s="55"/>
      <c r="F3233" s="55"/>
      <c r="G3233" s="55"/>
      <c r="H3233" s="62"/>
      <c r="I3233" s="62"/>
      <c r="J3233" s="55"/>
      <c r="K3233" s="55"/>
      <c r="L3233" s="55"/>
      <c r="P3233" s="1">
        <f>COUNTIF(Analysis!$M$1:$M$3001,Analysis!$M3233)</f>
        <v>0</v>
      </c>
      <c r="Q3233" s="1" t="str">
        <f>IF(COUNTIF(Analysis!$M$2:$M$3001,Analysis!$M3233)&gt;1,"Duplicate","OK")</f>
        <v>OK</v>
      </c>
      <c r="R3233" s="1" t="str">
        <f t="shared" si="1"/>
        <v>#N/A</v>
      </c>
    </row>
    <row r="3234" ht="14.25" customHeight="1">
      <c r="A3234" s="61"/>
      <c r="B3234" s="55"/>
      <c r="C3234" s="55"/>
      <c r="D3234" s="55"/>
      <c r="E3234" s="55"/>
      <c r="F3234" s="55"/>
      <c r="G3234" s="55"/>
      <c r="H3234" s="62"/>
      <c r="I3234" s="62"/>
      <c r="J3234" s="55"/>
      <c r="K3234" s="55"/>
      <c r="L3234" s="55"/>
      <c r="P3234" s="1">
        <f>COUNTIF(Analysis!$M$1:$M$3001,Analysis!$M3234)</f>
        <v>0</v>
      </c>
      <c r="Q3234" s="1" t="str">
        <f>IF(COUNTIF(Analysis!$M$2:$M$3001,Analysis!$M3234)&gt;1,"Duplicate","OK")</f>
        <v>OK</v>
      </c>
      <c r="R3234" s="1" t="str">
        <f t="shared" si="1"/>
        <v>#N/A</v>
      </c>
    </row>
    <row r="3235" ht="14.25" customHeight="1">
      <c r="A3235" s="61"/>
      <c r="B3235" s="55"/>
      <c r="C3235" s="55"/>
      <c r="D3235" s="55"/>
      <c r="E3235" s="55"/>
      <c r="F3235" s="55"/>
      <c r="G3235" s="55"/>
      <c r="H3235" s="62"/>
      <c r="I3235" s="62"/>
      <c r="J3235" s="55"/>
      <c r="K3235" s="55"/>
      <c r="L3235" s="55"/>
      <c r="P3235" s="1">
        <f>COUNTIF(Analysis!$M$1:$M$3001,Analysis!$M3235)</f>
        <v>0</v>
      </c>
      <c r="Q3235" s="1" t="str">
        <f>IF(COUNTIF(Analysis!$M$2:$M$3001,Analysis!$M3235)&gt;1,"Duplicate","OK")</f>
        <v>OK</v>
      </c>
      <c r="R3235" s="1" t="str">
        <f t="shared" si="1"/>
        <v>#N/A</v>
      </c>
    </row>
    <row r="3236" ht="14.25" customHeight="1">
      <c r="A3236" s="61"/>
      <c r="B3236" s="55"/>
      <c r="C3236" s="55"/>
      <c r="D3236" s="55"/>
      <c r="E3236" s="55"/>
      <c r="F3236" s="55"/>
      <c r="G3236" s="55"/>
      <c r="H3236" s="62"/>
      <c r="I3236" s="62"/>
      <c r="J3236" s="55"/>
      <c r="K3236" s="55"/>
      <c r="L3236" s="55"/>
      <c r="P3236" s="1">
        <f>COUNTIF(Analysis!$M$1:$M$3001,Analysis!$M3236)</f>
        <v>0</v>
      </c>
      <c r="Q3236" s="1" t="str">
        <f>IF(COUNTIF(Analysis!$M$2:$M$3001,Analysis!$M3236)&gt;1,"Duplicate","OK")</f>
        <v>OK</v>
      </c>
      <c r="R3236" s="1" t="str">
        <f t="shared" si="1"/>
        <v>#N/A</v>
      </c>
    </row>
    <row r="3237" ht="14.25" customHeight="1">
      <c r="A3237" s="61"/>
      <c r="B3237" s="55"/>
      <c r="C3237" s="55"/>
      <c r="D3237" s="55"/>
      <c r="E3237" s="55"/>
      <c r="F3237" s="55"/>
      <c r="G3237" s="55"/>
      <c r="H3237" s="62"/>
      <c r="I3237" s="62"/>
      <c r="J3237" s="55"/>
      <c r="K3237" s="55"/>
      <c r="L3237" s="55"/>
      <c r="P3237" s="1">
        <f>COUNTIF(Analysis!$M$1:$M$3001,Analysis!$M3237)</f>
        <v>0</v>
      </c>
      <c r="Q3237" s="1" t="str">
        <f>IF(COUNTIF(Analysis!$M$2:$M$3001,Analysis!$M3237)&gt;1,"Duplicate","OK")</f>
        <v>OK</v>
      </c>
      <c r="R3237" s="1" t="str">
        <f t="shared" si="1"/>
        <v>#N/A</v>
      </c>
    </row>
    <row r="3238" ht="14.25" customHeight="1">
      <c r="A3238" s="61"/>
      <c r="B3238" s="55"/>
      <c r="C3238" s="55"/>
      <c r="D3238" s="55"/>
      <c r="E3238" s="55"/>
      <c r="F3238" s="55"/>
      <c r="G3238" s="55"/>
      <c r="H3238" s="62"/>
      <c r="I3238" s="62"/>
      <c r="J3238" s="55"/>
      <c r="K3238" s="55"/>
      <c r="L3238" s="55"/>
      <c r="P3238" s="1">
        <f>COUNTIF(Analysis!$M$1:$M$3001,Analysis!$M3238)</f>
        <v>0</v>
      </c>
      <c r="Q3238" s="1" t="str">
        <f>IF(COUNTIF(Analysis!$M$2:$M$3001,Analysis!$M3238)&gt;1,"Duplicate","OK")</f>
        <v>OK</v>
      </c>
      <c r="R3238" s="1" t="str">
        <f t="shared" si="1"/>
        <v>#N/A</v>
      </c>
    </row>
    <row r="3239" ht="14.25" customHeight="1">
      <c r="A3239" s="61"/>
      <c r="B3239" s="55"/>
      <c r="C3239" s="55"/>
      <c r="D3239" s="55"/>
      <c r="E3239" s="55"/>
      <c r="F3239" s="55"/>
      <c r="G3239" s="55"/>
      <c r="H3239" s="62"/>
      <c r="I3239" s="62"/>
      <c r="J3239" s="55"/>
      <c r="K3239" s="55"/>
      <c r="L3239" s="55"/>
      <c r="P3239" s="1">
        <f>COUNTIF(Analysis!$M$1:$M$3001,Analysis!$M3239)</f>
        <v>0</v>
      </c>
      <c r="Q3239" s="1" t="str">
        <f>IF(COUNTIF(Analysis!$M$2:$M$3001,Analysis!$M3239)&gt;1,"Duplicate","OK")</f>
        <v>OK</v>
      </c>
      <c r="R3239" s="1" t="str">
        <f t="shared" si="1"/>
        <v>#N/A</v>
      </c>
    </row>
    <row r="3240" ht="14.25" customHeight="1">
      <c r="A3240" s="61"/>
      <c r="B3240" s="55"/>
      <c r="C3240" s="55"/>
      <c r="D3240" s="55"/>
      <c r="E3240" s="55"/>
      <c r="F3240" s="55"/>
      <c r="G3240" s="55"/>
      <c r="H3240" s="62"/>
      <c r="I3240" s="62"/>
      <c r="J3240" s="55"/>
      <c r="K3240" s="55"/>
      <c r="L3240" s="55"/>
      <c r="P3240" s="1">
        <f>COUNTIF(Analysis!$M$1:$M$3001,Analysis!$M3240)</f>
        <v>0</v>
      </c>
      <c r="Q3240" s="1" t="str">
        <f>IF(COUNTIF(Analysis!$M$2:$M$3001,Analysis!$M3240)&gt;1,"Duplicate","OK")</f>
        <v>OK</v>
      </c>
      <c r="R3240" s="1" t="str">
        <f t="shared" si="1"/>
        <v>#N/A</v>
      </c>
    </row>
    <row r="3241" ht="14.25" customHeight="1">
      <c r="A3241" s="61"/>
      <c r="B3241" s="55"/>
      <c r="C3241" s="55"/>
      <c r="D3241" s="55"/>
      <c r="E3241" s="55"/>
      <c r="F3241" s="55"/>
      <c r="G3241" s="55"/>
      <c r="H3241" s="62"/>
      <c r="I3241" s="62"/>
      <c r="J3241" s="55"/>
      <c r="K3241" s="55"/>
      <c r="L3241" s="55"/>
      <c r="P3241" s="1">
        <f>COUNTIF(Analysis!$M$1:$M$3001,Analysis!$M3241)</f>
        <v>0</v>
      </c>
      <c r="Q3241" s="1" t="str">
        <f>IF(COUNTIF(Analysis!$M$2:$M$3001,Analysis!$M3241)&gt;1,"Duplicate","OK")</f>
        <v>OK</v>
      </c>
      <c r="R3241" s="1" t="str">
        <f t="shared" si="1"/>
        <v>#N/A</v>
      </c>
    </row>
    <row r="3242" ht="14.25" customHeight="1">
      <c r="A3242" s="61"/>
      <c r="B3242" s="55"/>
      <c r="C3242" s="55"/>
      <c r="D3242" s="55"/>
      <c r="E3242" s="55"/>
      <c r="F3242" s="55"/>
      <c r="G3242" s="55"/>
      <c r="H3242" s="62"/>
      <c r="I3242" s="62"/>
      <c r="J3242" s="55"/>
      <c r="K3242" s="55"/>
      <c r="L3242" s="55"/>
      <c r="P3242" s="1">
        <f>COUNTIF(Analysis!$M$1:$M$3001,Analysis!$M3242)</f>
        <v>0</v>
      </c>
      <c r="Q3242" s="1" t="str">
        <f>IF(COUNTIF(Analysis!$M$2:$M$3001,Analysis!$M3242)&gt;1,"Duplicate","OK")</f>
        <v>OK</v>
      </c>
      <c r="R3242" s="1" t="str">
        <f t="shared" si="1"/>
        <v>#N/A</v>
      </c>
    </row>
    <row r="3243" ht="14.25" customHeight="1">
      <c r="A3243" s="61"/>
      <c r="B3243" s="55"/>
      <c r="C3243" s="55"/>
      <c r="D3243" s="55"/>
      <c r="E3243" s="55"/>
      <c r="F3243" s="55"/>
      <c r="G3243" s="55"/>
      <c r="H3243" s="62"/>
      <c r="I3243" s="62"/>
      <c r="J3243" s="55"/>
      <c r="K3243" s="55"/>
      <c r="L3243" s="55"/>
      <c r="P3243" s="1">
        <f>COUNTIF(Analysis!$M$1:$M$3001,Analysis!$M3243)</f>
        <v>0</v>
      </c>
      <c r="Q3243" s="1" t="str">
        <f>IF(COUNTIF(Analysis!$M$2:$M$3001,Analysis!$M3243)&gt;1,"Duplicate","OK")</f>
        <v>OK</v>
      </c>
      <c r="R3243" s="1" t="str">
        <f t="shared" si="1"/>
        <v>#N/A</v>
      </c>
    </row>
    <row r="3244" ht="14.25" customHeight="1">
      <c r="A3244" s="61"/>
      <c r="B3244" s="55"/>
      <c r="C3244" s="55"/>
      <c r="D3244" s="55"/>
      <c r="E3244" s="55"/>
      <c r="F3244" s="55"/>
      <c r="G3244" s="55"/>
      <c r="H3244" s="62"/>
      <c r="I3244" s="62"/>
      <c r="J3244" s="55"/>
      <c r="K3244" s="55"/>
      <c r="L3244" s="55"/>
      <c r="P3244" s="1">
        <f>COUNTIF(Analysis!$M$1:$M$3001,Analysis!$M3244)</f>
        <v>0</v>
      </c>
      <c r="Q3244" s="1" t="str">
        <f>IF(COUNTIF(Analysis!$M$2:$M$3001,Analysis!$M3244)&gt;1,"Duplicate","OK")</f>
        <v>OK</v>
      </c>
      <c r="R3244" s="1" t="str">
        <f t="shared" si="1"/>
        <v>#N/A</v>
      </c>
    </row>
    <row r="3245" ht="14.25" customHeight="1">
      <c r="A3245" s="61"/>
      <c r="B3245" s="55"/>
      <c r="C3245" s="55"/>
      <c r="D3245" s="55"/>
      <c r="E3245" s="55"/>
      <c r="F3245" s="55"/>
      <c r="G3245" s="55"/>
      <c r="H3245" s="62"/>
      <c r="I3245" s="62"/>
      <c r="J3245" s="55"/>
      <c r="K3245" s="55"/>
      <c r="L3245" s="55"/>
      <c r="P3245" s="1">
        <f>COUNTIF(Analysis!$M$1:$M$3001,Analysis!$M3245)</f>
        <v>0</v>
      </c>
      <c r="Q3245" s="1" t="str">
        <f>IF(COUNTIF(Analysis!$M$2:$M$3001,Analysis!$M3245)&gt;1,"Duplicate","OK")</f>
        <v>OK</v>
      </c>
      <c r="R3245" s="1" t="str">
        <f t="shared" si="1"/>
        <v>#N/A</v>
      </c>
    </row>
    <row r="3246" ht="14.25" customHeight="1">
      <c r="A3246" s="61"/>
      <c r="B3246" s="55"/>
      <c r="C3246" s="55"/>
      <c r="D3246" s="55"/>
      <c r="E3246" s="55"/>
      <c r="F3246" s="55"/>
      <c r="G3246" s="55"/>
      <c r="H3246" s="62"/>
      <c r="I3246" s="62"/>
      <c r="J3246" s="55"/>
      <c r="K3246" s="55"/>
      <c r="L3246" s="55"/>
      <c r="P3246" s="1">
        <f>COUNTIF(Analysis!$M$1:$M$3001,Analysis!$M3246)</f>
        <v>0</v>
      </c>
      <c r="Q3246" s="1" t="str">
        <f>IF(COUNTIF(Analysis!$M$2:$M$3001,Analysis!$M3246)&gt;1,"Duplicate","OK")</f>
        <v>OK</v>
      </c>
      <c r="R3246" s="1" t="str">
        <f t="shared" si="1"/>
        <v>#N/A</v>
      </c>
    </row>
    <row r="3247" ht="14.25" customHeight="1">
      <c r="A3247" s="61"/>
      <c r="B3247" s="55"/>
      <c r="C3247" s="55"/>
      <c r="D3247" s="55"/>
      <c r="E3247" s="55"/>
      <c r="F3247" s="55"/>
      <c r="G3247" s="55"/>
      <c r="H3247" s="62"/>
      <c r="I3247" s="62"/>
      <c r="J3247" s="55"/>
      <c r="K3247" s="55"/>
      <c r="L3247" s="55"/>
      <c r="P3247" s="1">
        <f>COUNTIF(Analysis!$M$1:$M$3001,Analysis!$M3247)</f>
        <v>0</v>
      </c>
      <c r="Q3247" s="1" t="str">
        <f>IF(COUNTIF(Analysis!$M$2:$M$3001,Analysis!$M3247)&gt;1,"Duplicate","OK")</f>
        <v>OK</v>
      </c>
      <c r="R3247" s="1" t="str">
        <f t="shared" si="1"/>
        <v>#N/A</v>
      </c>
    </row>
    <row r="3248" ht="14.25" customHeight="1">
      <c r="A3248" s="61"/>
      <c r="B3248" s="55"/>
      <c r="C3248" s="55"/>
      <c r="D3248" s="55"/>
      <c r="E3248" s="55"/>
      <c r="F3248" s="55"/>
      <c r="G3248" s="55"/>
      <c r="H3248" s="62"/>
      <c r="I3248" s="62"/>
      <c r="J3248" s="55"/>
      <c r="K3248" s="55"/>
      <c r="L3248" s="55"/>
      <c r="P3248" s="1">
        <f>COUNTIF(Analysis!$M$1:$M$3001,Analysis!$M3248)</f>
        <v>0</v>
      </c>
      <c r="Q3248" s="1" t="str">
        <f>IF(COUNTIF(Analysis!$M$2:$M$3001,Analysis!$M3248)&gt;1,"Duplicate","OK")</f>
        <v>OK</v>
      </c>
      <c r="R3248" s="1" t="str">
        <f t="shared" si="1"/>
        <v>#N/A</v>
      </c>
    </row>
    <row r="3249" ht="14.25" customHeight="1">
      <c r="A3249" s="61"/>
      <c r="B3249" s="55"/>
      <c r="C3249" s="55"/>
      <c r="D3249" s="55"/>
      <c r="E3249" s="55"/>
      <c r="F3249" s="55"/>
      <c r="G3249" s="55"/>
      <c r="H3249" s="62"/>
      <c r="I3249" s="62"/>
      <c r="J3249" s="55"/>
      <c r="K3249" s="55"/>
      <c r="L3249" s="55"/>
      <c r="P3249" s="1">
        <f>COUNTIF(Analysis!$M$1:$M$3001,Analysis!$M3249)</f>
        <v>0</v>
      </c>
      <c r="Q3249" s="1" t="str">
        <f>IF(COUNTIF(Analysis!$M$2:$M$3001,Analysis!$M3249)&gt;1,"Duplicate","OK")</f>
        <v>OK</v>
      </c>
      <c r="R3249" s="1" t="str">
        <f t="shared" si="1"/>
        <v>#N/A</v>
      </c>
    </row>
    <row r="3250" ht="14.25" customHeight="1">
      <c r="A3250" s="61"/>
      <c r="B3250" s="55"/>
      <c r="C3250" s="55"/>
      <c r="D3250" s="55"/>
      <c r="E3250" s="55"/>
      <c r="F3250" s="55"/>
      <c r="G3250" s="55"/>
      <c r="H3250" s="62"/>
      <c r="I3250" s="62"/>
      <c r="J3250" s="55"/>
      <c r="K3250" s="55"/>
      <c r="L3250" s="55"/>
      <c r="P3250" s="1">
        <f>COUNTIF(Analysis!$M$1:$M$3001,Analysis!$M3250)</f>
        <v>0</v>
      </c>
      <c r="Q3250" s="1" t="str">
        <f>IF(COUNTIF(Analysis!$M$2:$M$3001,Analysis!$M3250)&gt;1,"Duplicate","OK")</f>
        <v>OK</v>
      </c>
      <c r="R3250" s="1" t="str">
        <f t="shared" si="1"/>
        <v>#N/A</v>
      </c>
    </row>
    <row r="3251" ht="14.25" customHeight="1">
      <c r="A3251" s="61"/>
      <c r="B3251" s="55"/>
      <c r="C3251" s="55"/>
      <c r="D3251" s="55"/>
      <c r="E3251" s="55"/>
      <c r="F3251" s="55"/>
      <c r="G3251" s="55"/>
      <c r="H3251" s="62"/>
      <c r="I3251" s="62"/>
      <c r="J3251" s="55"/>
      <c r="K3251" s="55"/>
      <c r="L3251" s="55"/>
      <c r="P3251" s="1">
        <f>COUNTIF(Analysis!$M$1:$M$3001,Analysis!$M3251)</f>
        <v>0</v>
      </c>
      <c r="Q3251" s="1" t="str">
        <f>IF(COUNTIF(Analysis!$M$2:$M$3001,Analysis!$M3251)&gt;1,"Duplicate","OK")</f>
        <v>OK</v>
      </c>
      <c r="R3251" s="1" t="str">
        <f t="shared" si="1"/>
        <v>#N/A</v>
      </c>
    </row>
    <row r="3252" ht="14.25" customHeight="1">
      <c r="A3252" s="61"/>
      <c r="B3252" s="55"/>
      <c r="C3252" s="55"/>
      <c r="D3252" s="55"/>
      <c r="E3252" s="55"/>
      <c r="F3252" s="55"/>
      <c r="G3252" s="55"/>
      <c r="H3252" s="62"/>
      <c r="I3252" s="62"/>
      <c r="J3252" s="55"/>
      <c r="K3252" s="55"/>
      <c r="L3252" s="55"/>
      <c r="P3252" s="1">
        <f>COUNTIF(Analysis!$M$1:$M$3001,Analysis!$M3252)</f>
        <v>0</v>
      </c>
      <c r="Q3252" s="1" t="str">
        <f>IF(COUNTIF(Analysis!$M$2:$M$3001,Analysis!$M3252)&gt;1,"Duplicate","OK")</f>
        <v>OK</v>
      </c>
      <c r="R3252" s="1" t="str">
        <f t="shared" si="1"/>
        <v>#N/A</v>
      </c>
    </row>
    <row r="3253" ht="14.25" customHeight="1">
      <c r="A3253" s="61"/>
      <c r="B3253" s="55"/>
      <c r="C3253" s="55"/>
      <c r="D3253" s="55"/>
      <c r="E3253" s="55"/>
      <c r="F3253" s="55"/>
      <c r="G3253" s="55"/>
      <c r="H3253" s="62"/>
      <c r="I3253" s="62"/>
      <c r="J3253" s="55"/>
      <c r="K3253" s="55"/>
      <c r="L3253" s="55"/>
      <c r="P3253" s="1">
        <f>COUNTIF(Analysis!$M$1:$M$3001,Analysis!$M3253)</f>
        <v>0</v>
      </c>
      <c r="Q3253" s="1" t="str">
        <f>IF(COUNTIF(Analysis!$M$2:$M$3001,Analysis!$M3253)&gt;1,"Duplicate","OK")</f>
        <v>OK</v>
      </c>
      <c r="R3253" s="1" t="str">
        <f t="shared" si="1"/>
        <v>#N/A</v>
      </c>
    </row>
    <row r="3254" ht="14.25" customHeight="1">
      <c r="A3254" s="61"/>
      <c r="B3254" s="55"/>
      <c r="C3254" s="55"/>
      <c r="D3254" s="55"/>
      <c r="E3254" s="55"/>
      <c r="F3254" s="55"/>
      <c r="G3254" s="55"/>
      <c r="H3254" s="62"/>
      <c r="I3254" s="62"/>
      <c r="J3254" s="55"/>
      <c r="K3254" s="55"/>
      <c r="L3254" s="55"/>
      <c r="P3254" s="1">
        <f>COUNTIF(Analysis!$M$1:$M$3001,Analysis!$M3254)</f>
        <v>0</v>
      </c>
      <c r="Q3254" s="1" t="str">
        <f>IF(COUNTIF(Analysis!$M$2:$M$3001,Analysis!$M3254)&gt;1,"Duplicate","OK")</f>
        <v>OK</v>
      </c>
      <c r="R3254" s="1" t="str">
        <f t="shared" si="1"/>
        <v>#N/A</v>
      </c>
    </row>
    <row r="3255" ht="14.25" customHeight="1">
      <c r="A3255" s="61"/>
      <c r="B3255" s="55"/>
      <c r="C3255" s="55"/>
      <c r="D3255" s="55"/>
      <c r="E3255" s="55"/>
      <c r="F3255" s="55"/>
      <c r="G3255" s="55"/>
      <c r="H3255" s="62"/>
      <c r="I3255" s="62"/>
      <c r="J3255" s="55"/>
      <c r="K3255" s="55"/>
      <c r="L3255" s="55"/>
      <c r="P3255" s="1">
        <f>COUNTIF(Analysis!$M$1:$M$3001,Analysis!$M3255)</f>
        <v>0</v>
      </c>
      <c r="Q3255" s="1" t="str">
        <f>IF(COUNTIF(Analysis!$M$2:$M$3001,Analysis!$M3255)&gt;1,"Duplicate","OK")</f>
        <v>OK</v>
      </c>
      <c r="R3255" s="1" t="str">
        <f t="shared" si="1"/>
        <v>#N/A</v>
      </c>
    </row>
    <row r="3256" ht="14.25" customHeight="1">
      <c r="A3256" s="61"/>
      <c r="B3256" s="55"/>
      <c r="C3256" s="55"/>
      <c r="D3256" s="55"/>
      <c r="E3256" s="55"/>
      <c r="F3256" s="55"/>
      <c r="G3256" s="55"/>
      <c r="H3256" s="62"/>
      <c r="I3256" s="62"/>
      <c r="J3256" s="55"/>
      <c r="K3256" s="55"/>
      <c r="L3256" s="55"/>
      <c r="P3256" s="1">
        <f>COUNTIF(Analysis!$M$1:$M$3001,Analysis!$M3256)</f>
        <v>0</v>
      </c>
      <c r="Q3256" s="1" t="str">
        <f>IF(COUNTIF(Analysis!$M$2:$M$3001,Analysis!$M3256)&gt;1,"Duplicate","OK")</f>
        <v>OK</v>
      </c>
      <c r="R3256" s="1" t="str">
        <f t="shared" si="1"/>
        <v>#N/A</v>
      </c>
    </row>
    <row r="3257" ht="14.25" customHeight="1">
      <c r="A3257" s="61"/>
      <c r="B3257" s="55"/>
      <c r="C3257" s="55"/>
      <c r="D3257" s="55"/>
      <c r="E3257" s="55"/>
      <c r="F3257" s="55"/>
      <c r="G3257" s="55"/>
      <c r="H3257" s="62"/>
      <c r="I3257" s="62"/>
      <c r="J3257" s="55"/>
      <c r="K3257" s="55"/>
      <c r="L3257" s="55"/>
      <c r="P3257" s="1">
        <f>COUNTIF(Analysis!$M$1:$M$3001,Analysis!$M3257)</f>
        <v>0</v>
      </c>
      <c r="Q3257" s="1" t="str">
        <f>IF(COUNTIF(Analysis!$M$2:$M$3001,Analysis!$M3257)&gt;1,"Duplicate","OK")</f>
        <v>OK</v>
      </c>
      <c r="R3257" s="1" t="str">
        <f t="shared" si="1"/>
        <v>#N/A</v>
      </c>
    </row>
    <row r="3258" ht="14.25" customHeight="1">
      <c r="A3258" s="61"/>
      <c r="B3258" s="55"/>
      <c r="C3258" s="55"/>
      <c r="D3258" s="55"/>
      <c r="E3258" s="55"/>
      <c r="F3258" s="55"/>
      <c r="G3258" s="55"/>
      <c r="H3258" s="62"/>
      <c r="I3258" s="62"/>
      <c r="J3258" s="55"/>
      <c r="K3258" s="55"/>
      <c r="L3258" s="55"/>
      <c r="P3258" s="1">
        <f>COUNTIF(Analysis!$M$1:$M$3001,Analysis!$M3258)</f>
        <v>0</v>
      </c>
      <c r="Q3258" s="1" t="str">
        <f>IF(COUNTIF(Analysis!$M$2:$M$3001,Analysis!$M3258)&gt;1,"Duplicate","OK")</f>
        <v>OK</v>
      </c>
      <c r="R3258" s="1" t="str">
        <f t="shared" si="1"/>
        <v>#N/A</v>
      </c>
    </row>
    <row r="3259" ht="14.25" customHeight="1">
      <c r="A3259" s="61"/>
      <c r="B3259" s="55"/>
      <c r="C3259" s="55"/>
      <c r="D3259" s="55"/>
      <c r="E3259" s="55"/>
      <c r="F3259" s="55"/>
      <c r="G3259" s="55"/>
      <c r="H3259" s="62"/>
      <c r="I3259" s="62"/>
      <c r="J3259" s="55"/>
      <c r="K3259" s="55"/>
      <c r="L3259" s="55"/>
      <c r="P3259" s="1">
        <f>COUNTIF(Analysis!$M$1:$M$3001,Analysis!$M3259)</f>
        <v>0</v>
      </c>
      <c r="Q3259" s="1" t="str">
        <f>IF(COUNTIF(Analysis!$M$2:$M$3001,Analysis!$M3259)&gt;1,"Duplicate","OK")</f>
        <v>OK</v>
      </c>
      <c r="R3259" s="1" t="str">
        <f t="shared" si="1"/>
        <v>#N/A</v>
      </c>
    </row>
    <row r="3260" ht="14.25" customHeight="1">
      <c r="A3260" s="61"/>
      <c r="B3260" s="55"/>
      <c r="C3260" s="55"/>
      <c r="D3260" s="55"/>
      <c r="E3260" s="55"/>
      <c r="F3260" s="55"/>
      <c r="G3260" s="55"/>
      <c r="H3260" s="62"/>
      <c r="I3260" s="62"/>
      <c r="J3260" s="55"/>
      <c r="K3260" s="55"/>
      <c r="L3260" s="55"/>
      <c r="P3260" s="1">
        <f>COUNTIF(Analysis!$M$1:$M$3001,Analysis!$M3260)</f>
        <v>0</v>
      </c>
      <c r="Q3260" s="1" t="str">
        <f>IF(COUNTIF(Analysis!$M$2:$M$3001,Analysis!$M3260)&gt;1,"Duplicate","OK")</f>
        <v>OK</v>
      </c>
      <c r="R3260" s="1" t="str">
        <f t="shared" si="1"/>
        <v>#N/A</v>
      </c>
    </row>
    <row r="3261" ht="14.25" customHeight="1">
      <c r="A3261" s="61"/>
      <c r="B3261" s="55"/>
      <c r="C3261" s="55"/>
      <c r="D3261" s="55"/>
      <c r="E3261" s="55"/>
      <c r="F3261" s="55"/>
      <c r="G3261" s="55"/>
      <c r="H3261" s="62"/>
      <c r="I3261" s="62"/>
      <c r="J3261" s="55"/>
      <c r="K3261" s="55"/>
      <c r="L3261" s="55"/>
      <c r="P3261" s="1">
        <f>COUNTIF(Analysis!$M$1:$M$3001,Analysis!$M3261)</f>
        <v>0</v>
      </c>
      <c r="Q3261" s="1" t="str">
        <f>IF(COUNTIF(Analysis!$M$2:$M$3001,Analysis!$M3261)&gt;1,"Duplicate","OK")</f>
        <v>OK</v>
      </c>
      <c r="R3261" s="1" t="str">
        <f t="shared" si="1"/>
        <v>#N/A</v>
      </c>
    </row>
    <row r="3262" ht="14.25" customHeight="1">
      <c r="A3262" s="61"/>
      <c r="B3262" s="55"/>
      <c r="C3262" s="55"/>
      <c r="D3262" s="55"/>
      <c r="E3262" s="55"/>
      <c r="F3262" s="55"/>
      <c r="G3262" s="55"/>
      <c r="H3262" s="62"/>
      <c r="I3262" s="62"/>
      <c r="J3262" s="55"/>
      <c r="K3262" s="55"/>
      <c r="L3262" s="55"/>
      <c r="P3262" s="1">
        <f>COUNTIF(Analysis!$M$1:$M$3001,Analysis!$M3262)</f>
        <v>0</v>
      </c>
      <c r="Q3262" s="1" t="str">
        <f>IF(COUNTIF(Analysis!$M$2:$M$3001,Analysis!$M3262)&gt;1,"Duplicate","OK")</f>
        <v>OK</v>
      </c>
      <c r="R3262" s="1" t="str">
        <f t="shared" si="1"/>
        <v>#N/A</v>
      </c>
    </row>
    <row r="3263" ht="14.25" customHeight="1">
      <c r="A3263" s="61"/>
      <c r="B3263" s="55"/>
      <c r="C3263" s="55"/>
      <c r="D3263" s="55"/>
      <c r="E3263" s="55"/>
      <c r="F3263" s="55"/>
      <c r="G3263" s="55"/>
      <c r="H3263" s="62"/>
      <c r="I3263" s="62"/>
      <c r="J3263" s="55"/>
      <c r="K3263" s="55"/>
      <c r="L3263" s="55"/>
      <c r="P3263" s="1">
        <f>COUNTIF(Analysis!$M$1:$M$3001,Analysis!$M3263)</f>
        <v>0</v>
      </c>
      <c r="Q3263" s="1" t="str">
        <f>IF(COUNTIF(Analysis!$M$2:$M$3001,Analysis!$M3263)&gt;1,"Duplicate","OK")</f>
        <v>OK</v>
      </c>
      <c r="R3263" s="1" t="str">
        <f t="shared" si="1"/>
        <v>#N/A</v>
      </c>
    </row>
    <row r="3264" ht="14.25" customHeight="1">
      <c r="A3264" s="61"/>
      <c r="B3264" s="55"/>
      <c r="C3264" s="55"/>
      <c r="D3264" s="55"/>
      <c r="E3264" s="55"/>
      <c r="F3264" s="55"/>
      <c r="G3264" s="55"/>
      <c r="H3264" s="62"/>
      <c r="I3264" s="62"/>
      <c r="J3264" s="55"/>
      <c r="K3264" s="55"/>
      <c r="L3264" s="55"/>
      <c r="P3264" s="1">
        <f>COUNTIF(Analysis!$M$1:$M$3001,Analysis!$M3264)</f>
        <v>0</v>
      </c>
      <c r="Q3264" s="1" t="str">
        <f>IF(COUNTIF(Analysis!$M$2:$M$3001,Analysis!$M3264)&gt;1,"Duplicate","OK")</f>
        <v>OK</v>
      </c>
      <c r="R3264" s="1" t="str">
        <f t="shared" si="1"/>
        <v>#N/A</v>
      </c>
    </row>
    <row r="3265" ht="14.25" customHeight="1">
      <c r="A3265" s="61"/>
      <c r="B3265" s="55"/>
      <c r="C3265" s="55"/>
      <c r="D3265" s="55"/>
      <c r="E3265" s="55"/>
      <c r="F3265" s="55"/>
      <c r="G3265" s="55"/>
      <c r="H3265" s="62"/>
      <c r="I3265" s="62"/>
      <c r="J3265" s="55"/>
      <c r="K3265" s="55"/>
      <c r="L3265" s="55"/>
      <c r="P3265" s="1">
        <f>COUNTIF(Analysis!$M$1:$M$3001,Analysis!$M3265)</f>
        <v>0</v>
      </c>
      <c r="Q3265" s="1" t="str">
        <f>IF(COUNTIF(Analysis!$M$2:$M$3001,Analysis!$M3265)&gt;1,"Duplicate","OK")</f>
        <v>OK</v>
      </c>
      <c r="R3265" s="1" t="str">
        <f t="shared" si="1"/>
        <v>#N/A</v>
      </c>
    </row>
    <row r="3266" ht="14.25" customHeight="1">
      <c r="A3266" s="61"/>
      <c r="B3266" s="55"/>
      <c r="C3266" s="55"/>
      <c r="D3266" s="55"/>
      <c r="E3266" s="55"/>
      <c r="F3266" s="55"/>
      <c r="G3266" s="55"/>
      <c r="H3266" s="62"/>
      <c r="I3266" s="62"/>
      <c r="J3266" s="55"/>
      <c r="K3266" s="55"/>
      <c r="L3266" s="55"/>
      <c r="P3266" s="1">
        <f>COUNTIF(Analysis!$M$1:$M$3001,Analysis!$M3266)</f>
        <v>0</v>
      </c>
      <c r="Q3266" s="1" t="str">
        <f>IF(COUNTIF(Analysis!$M$2:$M$3001,Analysis!$M3266)&gt;1,"Duplicate","OK")</f>
        <v>OK</v>
      </c>
      <c r="R3266" s="1" t="str">
        <f t="shared" si="1"/>
        <v>#N/A</v>
      </c>
    </row>
    <row r="3267" ht="14.25" customHeight="1">
      <c r="A3267" s="61"/>
      <c r="B3267" s="55"/>
      <c r="C3267" s="55"/>
      <c r="D3267" s="55"/>
      <c r="E3267" s="55"/>
      <c r="F3267" s="55"/>
      <c r="G3267" s="55"/>
      <c r="H3267" s="62"/>
      <c r="I3267" s="62"/>
      <c r="J3267" s="55"/>
      <c r="K3267" s="55"/>
      <c r="L3267" s="55"/>
      <c r="P3267" s="1">
        <f>COUNTIF(Analysis!$M$1:$M$3001,Analysis!$M3267)</f>
        <v>0</v>
      </c>
      <c r="Q3267" s="1" t="str">
        <f>IF(COUNTIF(Analysis!$M$2:$M$3001,Analysis!$M3267)&gt;1,"Duplicate","OK")</f>
        <v>OK</v>
      </c>
      <c r="R3267" s="1" t="str">
        <f t="shared" si="1"/>
        <v>#N/A</v>
      </c>
    </row>
    <row r="3268" ht="14.25" customHeight="1">
      <c r="A3268" s="61"/>
      <c r="B3268" s="55"/>
      <c r="C3268" s="55"/>
      <c r="D3268" s="55"/>
      <c r="E3268" s="55"/>
      <c r="F3268" s="55"/>
      <c r="G3268" s="55"/>
      <c r="H3268" s="62"/>
      <c r="I3268" s="62"/>
      <c r="J3268" s="55"/>
      <c r="K3268" s="55"/>
      <c r="L3268" s="55"/>
      <c r="P3268" s="1">
        <f>COUNTIF(Analysis!$M$1:$M$3001,Analysis!$M3268)</f>
        <v>0</v>
      </c>
      <c r="Q3268" s="1" t="str">
        <f>IF(COUNTIF(Analysis!$M$2:$M$3001,Analysis!$M3268)&gt;1,"Duplicate","OK")</f>
        <v>OK</v>
      </c>
      <c r="R3268" s="1" t="str">
        <f t="shared" si="1"/>
        <v>#N/A</v>
      </c>
    </row>
    <row r="3269" ht="14.25" customHeight="1">
      <c r="A3269" s="61"/>
      <c r="B3269" s="55"/>
      <c r="C3269" s="55"/>
      <c r="D3269" s="55"/>
      <c r="E3269" s="55"/>
      <c r="F3269" s="55"/>
      <c r="G3269" s="55"/>
      <c r="H3269" s="62"/>
      <c r="I3269" s="62"/>
      <c r="J3269" s="55"/>
      <c r="K3269" s="55"/>
      <c r="L3269" s="55"/>
      <c r="P3269" s="1">
        <f>COUNTIF(Analysis!$M$1:$M$3001,Analysis!$M3269)</f>
        <v>0</v>
      </c>
      <c r="Q3269" s="1" t="str">
        <f>IF(COUNTIF(Analysis!$M$2:$M$3001,Analysis!$M3269)&gt;1,"Duplicate","OK")</f>
        <v>OK</v>
      </c>
      <c r="R3269" s="1" t="str">
        <f t="shared" si="1"/>
        <v>#N/A</v>
      </c>
    </row>
    <row r="3270" ht="14.25" customHeight="1">
      <c r="A3270" s="61"/>
      <c r="B3270" s="55"/>
      <c r="C3270" s="55"/>
      <c r="D3270" s="55"/>
      <c r="E3270" s="55"/>
      <c r="F3270" s="55"/>
      <c r="G3270" s="55"/>
      <c r="H3270" s="62"/>
      <c r="I3270" s="62"/>
      <c r="J3270" s="55"/>
      <c r="K3270" s="55"/>
      <c r="L3270" s="55"/>
      <c r="P3270" s="1">
        <f>COUNTIF(Analysis!$M$1:$M$3001,Analysis!$M3270)</f>
        <v>0</v>
      </c>
      <c r="Q3270" s="1" t="str">
        <f>IF(COUNTIF(Analysis!$M$2:$M$3001,Analysis!$M3270)&gt;1,"Duplicate","OK")</f>
        <v>OK</v>
      </c>
      <c r="R3270" s="1" t="str">
        <f t="shared" si="1"/>
        <v>#N/A</v>
      </c>
    </row>
    <row r="3271" ht="14.25" customHeight="1">
      <c r="A3271" s="61"/>
      <c r="B3271" s="55"/>
      <c r="C3271" s="55"/>
      <c r="D3271" s="55"/>
      <c r="E3271" s="55"/>
      <c r="F3271" s="55"/>
      <c r="G3271" s="55"/>
      <c r="H3271" s="62"/>
      <c r="I3271" s="62"/>
      <c r="J3271" s="55"/>
      <c r="K3271" s="55"/>
      <c r="L3271" s="55"/>
      <c r="P3271" s="1">
        <f>COUNTIF(Analysis!$M$1:$M$3001,Analysis!$M3271)</f>
        <v>0</v>
      </c>
      <c r="Q3271" s="1" t="str">
        <f>IF(COUNTIF(Analysis!$M$2:$M$3001,Analysis!$M3271)&gt;1,"Duplicate","OK")</f>
        <v>OK</v>
      </c>
      <c r="R3271" s="1" t="str">
        <f t="shared" si="1"/>
        <v>#N/A</v>
      </c>
    </row>
    <row r="3272" ht="14.25" customHeight="1">
      <c r="A3272" s="61"/>
      <c r="B3272" s="55"/>
      <c r="C3272" s="55"/>
      <c r="D3272" s="55"/>
      <c r="E3272" s="55"/>
      <c r="F3272" s="55"/>
      <c r="G3272" s="55"/>
      <c r="H3272" s="62"/>
      <c r="I3272" s="62"/>
      <c r="J3272" s="55"/>
      <c r="K3272" s="55"/>
      <c r="L3272" s="55"/>
      <c r="P3272" s="1">
        <f>COUNTIF(Analysis!$M$1:$M$3001,Analysis!$M3272)</f>
        <v>0</v>
      </c>
      <c r="Q3272" s="1" t="str">
        <f>IF(COUNTIF(Analysis!$M$2:$M$3001,Analysis!$M3272)&gt;1,"Duplicate","OK")</f>
        <v>OK</v>
      </c>
      <c r="R3272" s="1" t="str">
        <f t="shared" si="1"/>
        <v>#N/A</v>
      </c>
    </row>
    <row r="3273" ht="14.25" customHeight="1">
      <c r="A3273" s="61"/>
      <c r="B3273" s="55"/>
      <c r="C3273" s="55"/>
      <c r="D3273" s="55"/>
      <c r="E3273" s="55"/>
      <c r="F3273" s="55"/>
      <c r="G3273" s="55"/>
      <c r="H3273" s="62"/>
      <c r="I3273" s="62"/>
      <c r="J3273" s="55"/>
      <c r="K3273" s="55"/>
      <c r="L3273" s="55"/>
      <c r="P3273" s="1">
        <f>COUNTIF(Analysis!$M$1:$M$3001,Analysis!$M3273)</f>
        <v>0</v>
      </c>
      <c r="Q3273" s="1" t="str">
        <f>IF(COUNTIF(Analysis!$M$2:$M$3001,Analysis!$M3273)&gt;1,"Duplicate","OK")</f>
        <v>OK</v>
      </c>
      <c r="R3273" s="1" t="str">
        <f t="shared" si="1"/>
        <v>#N/A</v>
      </c>
    </row>
    <row r="3274" ht="14.25" customHeight="1">
      <c r="A3274" s="61"/>
      <c r="B3274" s="55"/>
      <c r="C3274" s="55"/>
      <c r="D3274" s="55"/>
      <c r="E3274" s="55"/>
      <c r="F3274" s="55"/>
      <c r="G3274" s="55"/>
      <c r="H3274" s="62"/>
      <c r="I3274" s="62"/>
      <c r="J3274" s="55"/>
      <c r="K3274" s="55"/>
      <c r="L3274" s="55"/>
      <c r="P3274" s="1">
        <f>COUNTIF(Analysis!$M$1:$M$3001,Analysis!$M3274)</f>
        <v>0</v>
      </c>
      <c r="Q3274" s="1" t="str">
        <f>IF(COUNTIF(Analysis!$M$2:$M$3001,Analysis!$M3274)&gt;1,"Duplicate","OK")</f>
        <v>OK</v>
      </c>
      <c r="R3274" s="1" t="str">
        <f t="shared" si="1"/>
        <v>#N/A</v>
      </c>
    </row>
    <row r="3275" ht="14.25" customHeight="1">
      <c r="A3275" s="61"/>
      <c r="B3275" s="55"/>
      <c r="C3275" s="55"/>
      <c r="D3275" s="55"/>
      <c r="E3275" s="55"/>
      <c r="F3275" s="55"/>
      <c r="G3275" s="55"/>
      <c r="H3275" s="62"/>
      <c r="I3275" s="62"/>
      <c r="J3275" s="55"/>
      <c r="K3275" s="55"/>
      <c r="L3275" s="55"/>
      <c r="P3275" s="1">
        <f>COUNTIF(Analysis!$M$1:$M$3001,Analysis!$M3275)</f>
        <v>0</v>
      </c>
      <c r="Q3275" s="1" t="str">
        <f>IF(COUNTIF(Analysis!$M$2:$M$3001,Analysis!$M3275)&gt;1,"Duplicate","OK")</f>
        <v>OK</v>
      </c>
      <c r="R3275" s="1" t="str">
        <f t="shared" si="1"/>
        <v>#N/A</v>
      </c>
    </row>
    <row r="3276" ht="14.25" customHeight="1">
      <c r="A3276" s="61"/>
      <c r="B3276" s="55"/>
      <c r="C3276" s="55"/>
      <c r="D3276" s="55"/>
      <c r="E3276" s="55"/>
      <c r="F3276" s="55"/>
      <c r="G3276" s="55"/>
      <c r="H3276" s="62"/>
      <c r="I3276" s="62"/>
      <c r="J3276" s="55"/>
      <c r="K3276" s="55"/>
      <c r="L3276" s="55"/>
      <c r="P3276" s="1">
        <f>COUNTIF(Analysis!$M$1:$M$3001,Analysis!$M3276)</f>
        <v>0</v>
      </c>
      <c r="Q3276" s="1" t="str">
        <f>IF(COUNTIF(Analysis!$M$2:$M$3001,Analysis!$M3276)&gt;1,"Duplicate","OK")</f>
        <v>OK</v>
      </c>
      <c r="R3276" s="1" t="str">
        <f t="shared" si="1"/>
        <v>#N/A</v>
      </c>
    </row>
    <row r="3277" ht="14.25" customHeight="1">
      <c r="A3277" s="61"/>
      <c r="B3277" s="55"/>
      <c r="C3277" s="55"/>
      <c r="D3277" s="55"/>
      <c r="E3277" s="55"/>
      <c r="F3277" s="55"/>
      <c r="G3277" s="55"/>
      <c r="H3277" s="62"/>
      <c r="I3277" s="62"/>
      <c r="J3277" s="55"/>
      <c r="K3277" s="55"/>
      <c r="L3277" s="55"/>
      <c r="P3277" s="1">
        <f>COUNTIF(Analysis!$M$1:$M$3001,Analysis!$M3277)</f>
        <v>0</v>
      </c>
      <c r="Q3277" s="1" t="str">
        <f>IF(COUNTIF(Analysis!$M$2:$M$3001,Analysis!$M3277)&gt;1,"Duplicate","OK")</f>
        <v>OK</v>
      </c>
      <c r="R3277" s="1" t="str">
        <f t="shared" si="1"/>
        <v>#N/A</v>
      </c>
    </row>
    <row r="3278" ht="14.25" customHeight="1">
      <c r="A3278" s="61"/>
      <c r="B3278" s="55"/>
      <c r="C3278" s="55"/>
      <c r="D3278" s="55"/>
      <c r="E3278" s="55"/>
      <c r="F3278" s="55"/>
      <c r="G3278" s="55"/>
      <c r="H3278" s="62"/>
      <c r="I3278" s="62"/>
      <c r="J3278" s="55"/>
      <c r="K3278" s="55"/>
      <c r="L3278" s="55"/>
      <c r="P3278" s="1">
        <f>COUNTIF(Analysis!$M$1:$M$3001,Analysis!$M3278)</f>
        <v>0</v>
      </c>
      <c r="Q3278" s="1" t="str">
        <f>IF(COUNTIF(Analysis!$M$2:$M$3001,Analysis!$M3278)&gt;1,"Duplicate","OK")</f>
        <v>OK</v>
      </c>
      <c r="R3278" s="1" t="str">
        <f t="shared" si="1"/>
        <v>#N/A</v>
      </c>
    </row>
    <row r="3279" ht="14.25" customHeight="1">
      <c r="A3279" s="61"/>
      <c r="B3279" s="55"/>
      <c r="C3279" s="55"/>
      <c r="D3279" s="55"/>
      <c r="E3279" s="55"/>
      <c r="F3279" s="55"/>
      <c r="G3279" s="55"/>
      <c r="H3279" s="62"/>
      <c r="I3279" s="62"/>
      <c r="J3279" s="55"/>
      <c r="K3279" s="55"/>
      <c r="L3279" s="55"/>
      <c r="P3279" s="1">
        <f>COUNTIF(Analysis!$M$1:$M$3001,Analysis!$M3279)</f>
        <v>0</v>
      </c>
      <c r="Q3279" s="1" t="str">
        <f>IF(COUNTIF(Analysis!$M$2:$M$3001,Analysis!$M3279)&gt;1,"Duplicate","OK")</f>
        <v>OK</v>
      </c>
      <c r="R3279" s="1" t="str">
        <f t="shared" si="1"/>
        <v>#N/A</v>
      </c>
    </row>
    <row r="3280" ht="14.25" customHeight="1">
      <c r="A3280" s="61"/>
      <c r="B3280" s="55"/>
      <c r="C3280" s="55"/>
      <c r="D3280" s="55"/>
      <c r="E3280" s="55"/>
      <c r="F3280" s="55"/>
      <c r="G3280" s="55"/>
      <c r="H3280" s="62"/>
      <c r="I3280" s="62"/>
      <c r="J3280" s="55"/>
      <c r="K3280" s="55"/>
      <c r="L3280" s="55"/>
      <c r="P3280" s="1">
        <f>COUNTIF(Analysis!$M$1:$M$3001,Analysis!$M3280)</f>
        <v>0</v>
      </c>
      <c r="Q3280" s="1" t="str">
        <f>IF(COUNTIF(Analysis!$M$2:$M$3001,Analysis!$M3280)&gt;1,"Duplicate","OK")</f>
        <v>OK</v>
      </c>
      <c r="R3280" s="1" t="str">
        <f t="shared" si="1"/>
        <v>#N/A</v>
      </c>
    </row>
    <row r="3281" ht="14.25" customHeight="1">
      <c r="A3281" s="61"/>
      <c r="B3281" s="55"/>
      <c r="C3281" s="55"/>
      <c r="D3281" s="55"/>
      <c r="E3281" s="55"/>
      <c r="F3281" s="55"/>
      <c r="G3281" s="55"/>
      <c r="H3281" s="62"/>
      <c r="I3281" s="62"/>
      <c r="J3281" s="55"/>
      <c r="K3281" s="55"/>
      <c r="L3281" s="55"/>
      <c r="P3281" s="1">
        <f>COUNTIF(Analysis!$M$1:$M$3001,Analysis!$M3281)</f>
        <v>0</v>
      </c>
      <c r="Q3281" s="1" t="str">
        <f>IF(COUNTIF(Analysis!$M$2:$M$3001,Analysis!$M3281)&gt;1,"Duplicate","OK")</f>
        <v>OK</v>
      </c>
      <c r="R3281" s="1" t="str">
        <f t="shared" si="1"/>
        <v>#N/A</v>
      </c>
    </row>
    <row r="3282" ht="14.25" customHeight="1">
      <c r="A3282" s="61"/>
      <c r="B3282" s="55"/>
      <c r="C3282" s="55"/>
      <c r="D3282" s="55"/>
      <c r="E3282" s="55"/>
      <c r="F3282" s="55"/>
      <c r="G3282" s="55"/>
      <c r="H3282" s="62"/>
      <c r="I3282" s="62"/>
      <c r="J3282" s="55"/>
      <c r="K3282" s="55"/>
      <c r="L3282" s="55"/>
      <c r="P3282" s="1">
        <f>COUNTIF(Analysis!$M$1:$M$3001,Analysis!$M3282)</f>
        <v>0</v>
      </c>
      <c r="Q3282" s="1" t="str">
        <f>IF(COUNTIF(Analysis!$M$2:$M$3001,Analysis!$M3282)&gt;1,"Duplicate","OK")</f>
        <v>OK</v>
      </c>
      <c r="R3282" s="1" t="str">
        <f t="shared" si="1"/>
        <v>#N/A</v>
      </c>
    </row>
    <row r="3283" ht="14.25" customHeight="1">
      <c r="A3283" s="61"/>
      <c r="B3283" s="55"/>
      <c r="C3283" s="55"/>
      <c r="D3283" s="55"/>
      <c r="E3283" s="55"/>
      <c r="F3283" s="55"/>
      <c r="G3283" s="55"/>
      <c r="H3283" s="62"/>
      <c r="I3283" s="62"/>
      <c r="J3283" s="55"/>
      <c r="K3283" s="55"/>
      <c r="L3283" s="55"/>
      <c r="P3283" s="1">
        <f>COUNTIF(Analysis!$M$1:$M$3001,Analysis!$M3283)</f>
        <v>0</v>
      </c>
      <c r="Q3283" s="1" t="str">
        <f>IF(COUNTIF(Analysis!$M$2:$M$3001,Analysis!$M3283)&gt;1,"Duplicate","OK")</f>
        <v>OK</v>
      </c>
      <c r="R3283" s="1" t="str">
        <f t="shared" si="1"/>
        <v>#N/A</v>
      </c>
    </row>
    <row r="3284" ht="14.25" customHeight="1">
      <c r="A3284" s="61"/>
      <c r="B3284" s="55"/>
      <c r="C3284" s="55"/>
      <c r="D3284" s="55"/>
      <c r="E3284" s="55"/>
      <c r="F3284" s="55"/>
      <c r="G3284" s="55"/>
      <c r="H3284" s="62"/>
      <c r="I3284" s="62"/>
      <c r="J3284" s="55"/>
      <c r="K3284" s="55"/>
      <c r="L3284" s="55"/>
      <c r="P3284" s="1">
        <f>COUNTIF(Analysis!$M$1:$M$3001,Analysis!$M3284)</f>
        <v>0</v>
      </c>
      <c r="Q3284" s="1" t="str">
        <f>IF(COUNTIF(Analysis!$M$2:$M$3001,Analysis!$M3284)&gt;1,"Duplicate","OK")</f>
        <v>OK</v>
      </c>
      <c r="R3284" s="1" t="str">
        <f t="shared" si="1"/>
        <v>#N/A</v>
      </c>
    </row>
    <row r="3285" ht="14.25" customHeight="1">
      <c r="A3285" s="61"/>
      <c r="B3285" s="55"/>
      <c r="C3285" s="55"/>
      <c r="D3285" s="55"/>
      <c r="E3285" s="55"/>
      <c r="F3285" s="55"/>
      <c r="G3285" s="55"/>
      <c r="H3285" s="62"/>
      <c r="I3285" s="62"/>
      <c r="J3285" s="55"/>
      <c r="K3285" s="55"/>
      <c r="L3285" s="55"/>
      <c r="P3285" s="1">
        <f>COUNTIF(Analysis!$M$1:$M$3001,Analysis!$M3285)</f>
        <v>0</v>
      </c>
      <c r="Q3285" s="1" t="str">
        <f>IF(COUNTIF(Analysis!$M$2:$M$3001,Analysis!$M3285)&gt;1,"Duplicate","OK")</f>
        <v>OK</v>
      </c>
      <c r="R3285" s="1" t="str">
        <f t="shared" si="1"/>
        <v>#N/A</v>
      </c>
    </row>
    <row r="3286" ht="14.25" customHeight="1">
      <c r="A3286" s="61"/>
      <c r="B3286" s="55"/>
      <c r="C3286" s="55"/>
      <c r="D3286" s="55"/>
      <c r="E3286" s="55"/>
      <c r="F3286" s="55"/>
      <c r="G3286" s="55"/>
      <c r="H3286" s="62"/>
      <c r="I3286" s="62"/>
      <c r="J3286" s="55"/>
      <c r="K3286" s="55"/>
      <c r="L3286" s="55"/>
      <c r="P3286" s="1">
        <f>COUNTIF(Analysis!$M$1:$M$3001,Analysis!$M3286)</f>
        <v>0</v>
      </c>
      <c r="Q3286" s="1" t="str">
        <f>IF(COUNTIF(Analysis!$M$2:$M$3001,Analysis!$M3286)&gt;1,"Duplicate","OK")</f>
        <v>OK</v>
      </c>
      <c r="R3286" s="1" t="str">
        <f t="shared" si="1"/>
        <v>#N/A</v>
      </c>
    </row>
    <row r="3287" ht="14.25" customHeight="1">
      <c r="A3287" s="61"/>
      <c r="B3287" s="55"/>
      <c r="C3287" s="55"/>
      <c r="D3287" s="55"/>
      <c r="E3287" s="55"/>
      <c r="F3287" s="55"/>
      <c r="G3287" s="55"/>
      <c r="H3287" s="62"/>
      <c r="I3287" s="62"/>
      <c r="J3287" s="55"/>
      <c r="K3287" s="55"/>
      <c r="L3287" s="55"/>
      <c r="P3287" s="1">
        <f>COUNTIF(Analysis!$M$1:$M$3001,Analysis!$M3287)</f>
        <v>0</v>
      </c>
      <c r="Q3287" s="1" t="str">
        <f>IF(COUNTIF(Analysis!$M$2:$M$3001,Analysis!$M3287)&gt;1,"Duplicate","OK")</f>
        <v>OK</v>
      </c>
      <c r="R3287" s="1" t="str">
        <f t="shared" si="1"/>
        <v>#N/A</v>
      </c>
    </row>
    <row r="3288" ht="14.25" customHeight="1">
      <c r="A3288" s="61"/>
      <c r="B3288" s="55"/>
      <c r="C3288" s="55"/>
      <c r="D3288" s="55"/>
      <c r="E3288" s="55"/>
      <c r="F3288" s="55"/>
      <c r="G3288" s="55"/>
      <c r="H3288" s="62"/>
      <c r="I3288" s="62"/>
      <c r="J3288" s="55"/>
      <c r="K3288" s="55"/>
      <c r="L3288" s="55"/>
      <c r="P3288" s="1">
        <f>COUNTIF(Analysis!$M$1:$M$3001,Analysis!$M3288)</f>
        <v>0</v>
      </c>
      <c r="Q3288" s="1" t="str">
        <f>IF(COUNTIF(Analysis!$M$2:$M$3001,Analysis!$M3288)&gt;1,"Duplicate","OK")</f>
        <v>OK</v>
      </c>
      <c r="R3288" s="1" t="str">
        <f t="shared" si="1"/>
        <v>#N/A</v>
      </c>
    </row>
    <row r="3289" ht="14.25" customHeight="1">
      <c r="A3289" s="61"/>
      <c r="B3289" s="55"/>
      <c r="C3289" s="55"/>
      <c r="D3289" s="55"/>
      <c r="E3289" s="55"/>
      <c r="F3289" s="55"/>
      <c r="G3289" s="55"/>
      <c r="H3289" s="62"/>
      <c r="I3289" s="62"/>
      <c r="J3289" s="55"/>
      <c r="K3289" s="55"/>
      <c r="L3289" s="55"/>
      <c r="P3289" s="1">
        <f>COUNTIF(Analysis!$M$1:$M$3001,Analysis!$M3289)</f>
        <v>0</v>
      </c>
      <c r="Q3289" s="1" t="str">
        <f>IF(COUNTIF(Analysis!$M$2:$M$3001,Analysis!$M3289)&gt;1,"Duplicate","OK")</f>
        <v>OK</v>
      </c>
      <c r="R3289" s="1" t="str">
        <f t="shared" si="1"/>
        <v>#N/A</v>
      </c>
    </row>
    <row r="3290" ht="14.25" customHeight="1">
      <c r="A3290" s="61"/>
      <c r="B3290" s="55"/>
      <c r="C3290" s="55"/>
      <c r="D3290" s="55"/>
      <c r="E3290" s="55"/>
      <c r="F3290" s="55"/>
      <c r="G3290" s="55"/>
      <c r="H3290" s="62"/>
      <c r="I3290" s="62"/>
      <c r="J3290" s="55"/>
      <c r="K3290" s="55"/>
      <c r="L3290" s="55"/>
      <c r="P3290" s="1">
        <f>COUNTIF(Analysis!$M$1:$M$3001,Analysis!$M3290)</f>
        <v>0</v>
      </c>
      <c r="Q3290" s="1" t="str">
        <f>IF(COUNTIF(Analysis!$M$2:$M$3001,Analysis!$M3290)&gt;1,"Duplicate","OK")</f>
        <v>OK</v>
      </c>
      <c r="R3290" s="1" t="str">
        <f t="shared" si="1"/>
        <v>#N/A</v>
      </c>
    </row>
    <row r="3291" ht="14.25" customHeight="1">
      <c r="A3291" s="61"/>
      <c r="B3291" s="55"/>
      <c r="C3291" s="55"/>
      <c r="D3291" s="55"/>
      <c r="E3291" s="55"/>
      <c r="F3291" s="55"/>
      <c r="G3291" s="55"/>
      <c r="H3291" s="62"/>
      <c r="I3291" s="62"/>
      <c r="J3291" s="55"/>
      <c r="K3291" s="55"/>
      <c r="L3291" s="55"/>
      <c r="P3291" s="1">
        <f>COUNTIF(Analysis!$M$1:$M$3001,Analysis!$M3291)</f>
        <v>0</v>
      </c>
      <c r="Q3291" s="1" t="str">
        <f>IF(COUNTIF(Analysis!$M$2:$M$3001,Analysis!$M3291)&gt;1,"Duplicate","OK")</f>
        <v>OK</v>
      </c>
      <c r="R3291" s="1" t="str">
        <f t="shared" si="1"/>
        <v>#N/A</v>
      </c>
    </row>
    <row r="3292" ht="14.25" customHeight="1">
      <c r="A3292" s="61"/>
      <c r="B3292" s="55"/>
      <c r="C3292" s="55"/>
      <c r="D3292" s="55"/>
      <c r="E3292" s="55"/>
      <c r="F3292" s="55"/>
      <c r="G3292" s="55"/>
      <c r="H3292" s="62"/>
      <c r="I3292" s="62"/>
      <c r="J3292" s="55"/>
      <c r="K3292" s="55"/>
      <c r="L3292" s="55"/>
      <c r="P3292" s="1">
        <f>COUNTIF(Analysis!$M$1:$M$3001,Analysis!$M3292)</f>
        <v>0</v>
      </c>
      <c r="Q3292" s="1" t="str">
        <f>IF(COUNTIF(Analysis!$M$2:$M$3001,Analysis!$M3292)&gt;1,"Duplicate","OK")</f>
        <v>OK</v>
      </c>
      <c r="R3292" s="1" t="str">
        <f t="shared" si="1"/>
        <v>#N/A</v>
      </c>
    </row>
    <row r="3293" ht="14.25" customHeight="1">
      <c r="A3293" s="61"/>
      <c r="B3293" s="55"/>
      <c r="C3293" s="55"/>
      <c r="D3293" s="55"/>
      <c r="E3293" s="55"/>
      <c r="F3293" s="55"/>
      <c r="G3293" s="55"/>
      <c r="H3293" s="62"/>
      <c r="I3293" s="62"/>
      <c r="J3293" s="55"/>
      <c r="K3293" s="55"/>
      <c r="L3293" s="55"/>
      <c r="P3293" s="1">
        <f>COUNTIF(Analysis!$M$1:$M$3001,Analysis!$M3293)</f>
        <v>0</v>
      </c>
      <c r="Q3293" s="1" t="str">
        <f>IF(COUNTIF(Analysis!$M$2:$M$3001,Analysis!$M3293)&gt;1,"Duplicate","OK")</f>
        <v>OK</v>
      </c>
      <c r="R3293" s="1" t="str">
        <f t="shared" si="1"/>
        <v>#N/A</v>
      </c>
    </row>
    <row r="3294" ht="14.25" customHeight="1">
      <c r="A3294" s="61"/>
      <c r="B3294" s="55"/>
      <c r="C3294" s="55"/>
      <c r="D3294" s="55"/>
      <c r="E3294" s="55"/>
      <c r="F3294" s="55"/>
      <c r="G3294" s="55"/>
      <c r="H3294" s="62"/>
      <c r="I3294" s="62"/>
      <c r="J3294" s="55"/>
      <c r="K3294" s="55"/>
      <c r="L3294" s="55"/>
      <c r="P3294" s="1">
        <f>COUNTIF(Analysis!$M$1:$M$3001,Analysis!$M3294)</f>
        <v>0</v>
      </c>
      <c r="Q3294" s="1" t="str">
        <f>IF(COUNTIF(Analysis!$M$2:$M$3001,Analysis!$M3294)&gt;1,"Duplicate","OK")</f>
        <v>OK</v>
      </c>
      <c r="R3294" s="1" t="str">
        <f t="shared" si="1"/>
        <v>#N/A</v>
      </c>
    </row>
    <row r="3295" ht="14.25" customHeight="1">
      <c r="A3295" s="61"/>
      <c r="B3295" s="55"/>
      <c r="C3295" s="55"/>
      <c r="D3295" s="55"/>
      <c r="E3295" s="55"/>
      <c r="F3295" s="55"/>
      <c r="G3295" s="55"/>
      <c r="H3295" s="62"/>
      <c r="I3295" s="62"/>
      <c r="J3295" s="55"/>
      <c r="K3295" s="55"/>
      <c r="L3295" s="55"/>
      <c r="P3295" s="1">
        <f>COUNTIF(Analysis!$M$1:$M$3001,Analysis!$M3295)</f>
        <v>0</v>
      </c>
      <c r="Q3295" s="1" t="str">
        <f>IF(COUNTIF(Analysis!$M$2:$M$3001,Analysis!$M3295)&gt;1,"Duplicate","OK")</f>
        <v>OK</v>
      </c>
      <c r="R3295" s="1" t="str">
        <f t="shared" si="1"/>
        <v>#N/A</v>
      </c>
    </row>
    <row r="3296" ht="14.25" customHeight="1">
      <c r="A3296" s="61"/>
      <c r="B3296" s="55"/>
      <c r="C3296" s="55"/>
      <c r="D3296" s="55"/>
      <c r="E3296" s="55"/>
      <c r="F3296" s="55"/>
      <c r="G3296" s="55"/>
      <c r="H3296" s="62"/>
      <c r="I3296" s="62"/>
      <c r="J3296" s="55"/>
      <c r="K3296" s="55"/>
      <c r="L3296" s="55"/>
      <c r="P3296" s="1">
        <f>COUNTIF(Analysis!$M$1:$M$3001,Analysis!$M3296)</f>
        <v>0</v>
      </c>
      <c r="Q3296" s="1" t="str">
        <f>IF(COUNTIF(Analysis!$M$2:$M$3001,Analysis!$M3296)&gt;1,"Duplicate","OK")</f>
        <v>OK</v>
      </c>
      <c r="R3296" s="1" t="str">
        <f t="shared" si="1"/>
        <v>#N/A</v>
      </c>
    </row>
    <row r="3297" ht="14.25" customHeight="1">
      <c r="A3297" s="61"/>
      <c r="B3297" s="55"/>
      <c r="C3297" s="55"/>
      <c r="D3297" s="55"/>
      <c r="E3297" s="55"/>
      <c r="F3297" s="55"/>
      <c r="G3297" s="55"/>
      <c r="H3297" s="62"/>
      <c r="I3297" s="62"/>
      <c r="J3297" s="55"/>
      <c r="K3297" s="55"/>
      <c r="L3297" s="55"/>
      <c r="P3297" s="1">
        <f>COUNTIF(Analysis!$M$1:$M$3001,Analysis!$M3297)</f>
        <v>0</v>
      </c>
      <c r="Q3297" s="1" t="str">
        <f>IF(COUNTIF(Analysis!$M$2:$M$3001,Analysis!$M3297)&gt;1,"Duplicate","OK")</f>
        <v>OK</v>
      </c>
      <c r="R3297" s="1" t="str">
        <f t="shared" si="1"/>
        <v>#N/A</v>
      </c>
    </row>
    <row r="3298" ht="14.25" customHeight="1">
      <c r="A3298" s="61"/>
      <c r="B3298" s="55"/>
      <c r="C3298" s="55"/>
      <c r="D3298" s="55"/>
      <c r="E3298" s="55"/>
      <c r="F3298" s="55"/>
      <c r="G3298" s="55"/>
      <c r="H3298" s="62"/>
      <c r="I3298" s="62"/>
      <c r="J3298" s="55"/>
      <c r="K3298" s="55"/>
      <c r="L3298" s="55"/>
      <c r="P3298" s="1">
        <f>COUNTIF(Analysis!$M$1:$M$3001,Analysis!$M3298)</f>
        <v>0</v>
      </c>
      <c r="Q3298" s="1" t="str">
        <f>IF(COUNTIF(Analysis!$M$2:$M$3001,Analysis!$M3298)&gt;1,"Duplicate","OK")</f>
        <v>OK</v>
      </c>
      <c r="R3298" s="1" t="str">
        <f t="shared" si="1"/>
        <v>#N/A</v>
      </c>
    </row>
    <row r="3299" ht="14.25" customHeight="1">
      <c r="A3299" s="61"/>
      <c r="B3299" s="55"/>
      <c r="C3299" s="55"/>
      <c r="D3299" s="55"/>
      <c r="E3299" s="55"/>
      <c r="F3299" s="55"/>
      <c r="G3299" s="55"/>
      <c r="H3299" s="62"/>
      <c r="I3299" s="62"/>
      <c r="J3299" s="55"/>
      <c r="K3299" s="55"/>
      <c r="L3299" s="55"/>
      <c r="P3299" s="1">
        <f>COUNTIF(Analysis!$M$1:$M$3001,Analysis!$M3299)</f>
        <v>0</v>
      </c>
      <c r="Q3299" s="1" t="str">
        <f>IF(COUNTIF(Analysis!$M$2:$M$3001,Analysis!$M3299)&gt;1,"Duplicate","OK")</f>
        <v>OK</v>
      </c>
      <c r="R3299" s="1" t="str">
        <f t="shared" si="1"/>
        <v>#N/A</v>
      </c>
    </row>
    <row r="3300" ht="14.25" customHeight="1">
      <c r="A3300" s="61"/>
      <c r="B3300" s="55"/>
      <c r="C3300" s="55"/>
      <c r="D3300" s="55"/>
      <c r="E3300" s="55"/>
      <c r="F3300" s="55"/>
      <c r="G3300" s="55"/>
      <c r="H3300" s="62"/>
      <c r="I3300" s="62"/>
      <c r="J3300" s="55"/>
      <c r="K3300" s="55"/>
      <c r="L3300" s="55"/>
      <c r="P3300" s="1">
        <f>COUNTIF(Analysis!$M$1:$M$3001,Analysis!$M3300)</f>
        <v>0</v>
      </c>
      <c r="Q3300" s="1" t="str">
        <f>IF(COUNTIF(Analysis!$M$2:$M$3001,Analysis!$M3300)&gt;1,"Duplicate","OK")</f>
        <v>OK</v>
      </c>
      <c r="R3300" s="1" t="str">
        <f t="shared" si="1"/>
        <v>#N/A</v>
      </c>
    </row>
    <row r="3301" ht="14.25" customHeight="1">
      <c r="A3301" s="61"/>
      <c r="B3301" s="55"/>
      <c r="C3301" s="55"/>
      <c r="D3301" s="55"/>
      <c r="E3301" s="55"/>
      <c r="F3301" s="55"/>
      <c r="G3301" s="55"/>
      <c r="H3301" s="62"/>
      <c r="I3301" s="62"/>
      <c r="J3301" s="55"/>
      <c r="K3301" s="55"/>
      <c r="L3301" s="55"/>
      <c r="P3301" s="1">
        <f>COUNTIF(Analysis!$M$1:$M$3001,Analysis!$M3301)</f>
        <v>0</v>
      </c>
      <c r="Q3301" s="1" t="str">
        <f>IF(COUNTIF(Analysis!$M$2:$M$3001,Analysis!$M3301)&gt;1,"Duplicate","OK")</f>
        <v>OK</v>
      </c>
      <c r="R3301" s="1" t="str">
        <f t="shared" si="1"/>
        <v>#N/A</v>
      </c>
    </row>
    <row r="3302" ht="14.25" customHeight="1">
      <c r="A3302" s="61"/>
      <c r="B3302" s="55"/>
      <c r="C3302" s="55"/>
      <c r="D3302" s="55"/>
      <c r="E3302" s="55"/>
      <c r="F3302" s="55"/>
      <c r="G3302" s="55"/>
      <c r="H3302" s="62"/>
      <c r="I3302" s="62"/>
      <c r="J3302" s="55"/>
      <c r="K3302" s="55"/>
      <c r="L3302" s="55"/>
      <c r="P3302" s="1">
        <f>COUNTIF(Analysis!$M$1:$M$3001,Analysis!$M3302)</f>
        <v>0</v>
      </c>
      <c r="Q3302" s="1" t="str">
        <f>IF(COUNTIF(Analysis!$M$2:$M$3001,Analysis!$M3302)&gt;1,"Duplicate","OK")</f>
        <v>OK</v>
      </c>
      <c r="R3302" s="1" t="str">
        <f t="shared" si="1"/>
        <v>#N/A</v>
      </c>
    </row>
    <row r="3303" ht="14.25" customHeight="1">
      <c r="A3303" s="61"/>
      <c r="B3303" s="55"/>
      <c r="C3303" s="55"/>
      <c r="D3303" s="55"/>
      <c r="E3303" s="55"/>
      <c r="F3303" s="55"/>
      <c r="G3303" s="55"/>
      <c r="H3303" s="62"/>
      <c r="I3303" s="62"/>
      <c r="J3303" s="55"/>
      <c r="K3303" s="55"/>
      <c r="L3303" s="55"/>
      <c r="P3303" s="1">
        <f>COUNTIF(Analysis!$M$1:$M$3001,Analysis!$M3303)</f>
        <v>0</v>
      </c>
      <c r="Q3303" s="1" t="str">
        <f>IF(COUNTIF(Analysis!$M$2:$M$3001,Analysis!$M3303)&gt;1,"Duplicate","OK")</f>
        <v>OK</v>
      </c>
      <c r="R3303" s="1" t="str">
        <f t="shared" si="1"/>
        <v>#N/A</v>
      </c>
    </row>
    <row r="3304" ht="14.25" customHeight="1">
      <c r="A3304" s="61"/>
      <c r="B3304" s="55"/>
      <c r="C3304" s="55"/>
      <c r="D3304" s="55"/>
      <c r="E3304" s="55"/>
      <c r="F3304" s="55"/>
      <c r="G3304" s="55"/>
      <c r="H3304" s="62"/>
      <c r="I3304" s="62"/>
      <c r="J3304" s="55"/>
      <c r="K3304" s="55"/>
      <c r="L3304" s="55"/>
      <c r="P3304" s="1">
        <f>COUNTIF(Analysis!$M$1:$M$3001,Analysis!$M3304)</f>
        <v>0</v>
      </c>
      <c r="Q3304" s="1" t="str">
        <f>IF(COUNTIF(Analysis!$M$2:$M$3001,Analysis!$M3304)&gt;1,"Duplicate","OK")</f>
        <v>OK</v>
      </c>
      <c r="R3304" s="1" t="str">
        <f t="shared" si="1"/>
        <v>#N/A</v>
      </c>
    </row>
    <row r="3305" ht="14.25" customHeight="1">
      <c r="A3305" s="61"/>
      <c r="B3305" s="55"/>
      <c r="C3305" s="55"/>
      <c r="D3305" s="55"/>
      <c r="E3305" s="55"/>
      <c r="F3305" s="55"/>
      <c r="G3305" s="55"/>
      <c r="H3305" s="62"/>
      <c r="I3305" s="62"/>
      <c r="J3305" s="55"/>
      <c r="K3305" s="55"/>
      <c r="L3305" s="55"/>
      <c r="P3305" s="1">
        <f>COUNTIF(Analysis!$M$1:$M$3001,Analysis!$M3305)</f>
        <v>0</v>
      </c>
      <c r="Q3305" s="1" t="str">
        <f>IF(COUNTIF(Analysis!$M$2:$M$3001,Analysis!$M3305)&gt;1,"Duplicate","OK")</f>
        <v>OK</v>
      </c>
      <c r="R3305" s="1" t="str">
        <f t="shared" si="1"/>
        <v>#N/A</v>
      </c>
    </row>
    <row r="3306" ht="14.25" customHeight="1">
      <c r="A3306" s="61"/>
      <c r="B3306" s="55"/>
      <c r="C3306" s="55"/>
      <c r="D3306" s="55"/>
      <c r="E3306" s="55"/>
      <c r="F3306" s="55"/>
      <c r="G3306" s="55"/>
      <c r="H3306" s="62"/>
      <c r="I3306" s="62"/>
      <c r="J3306" s="55"/>
      <c r="K3306" s="55"/>
      <c r="L3306" s="55"/>
      <c r="P3306" s="1">
        <f>COUNTIF(Analysis!$M$1:$M$3001,Analysis!$M3306)</f>
        <v>0</v>
      </c>
      <c r="Q3306" s="1" t="str">
        <f>IF(COUNTIF(Analysis!$M$2:$M$3001,Analysis!$M3306)&gt;1,"Duplicate","OK")</f>
        <v>OK</v>
      </c>
      <c r="R3306" s="1" t="str">
        <f t="shared" si="1"/>
        <v>#N/A</v>
      </c>
    </row>
    <row r="3307" ht="14.25" customHeight="1">
      <c r="A3307" s="61"/>
      <c r="B3307" s="55"/>
      <c r="C3307" s="55"/>
      <c r="D3307" s="55"/>
      <c r="E3307" s="55"/>
      <c r="F3307" s="55"/>
      <c r="G3307" s="55"/>
      <c r="H3307" s="62"/>
      <c r="I3307" s="62"/>
      <c r="J3307" s="55"/>
      <c r="K3307" s="55"/>
      <c r="L3307" s="55"/>
      <c r="P3307" s="1">
        <f>COUNTIF(Analysis!$M$1:$M$3001,Analysis!$M3307)</f>
        <v>0</v>
      </c>
      <c r="Q3307" s="1" t="str">
        <f>IF(COUNTIF(Analysis!$M$2:$M$3001,Analysis!$M3307)&gt;1,"Duplicate","OK")</f>
        <v>OK</v>
      </c>
      <c r="R3307" s="1" t="str">
        <f t="shared" si="1"/>
        <v>#N/A</v>
      </c>
    </row>
    <row r="3308" ht="14.25" customHeight="1">
      <c r="A3308" s="61"/>
      <c r="B3308" s="55"/>
      <c r="C3308" s="55"/>
      <c r="D3308" s="55"/>
      <c r="E3308" s="55"/>
      <c r="F3308" s="55"/>
      <c r="G3308" s="55"/>
      <c r="H3308" s="62"/>
      <c r="I3308" s="62"/>
      <c r="J3308" s="55"/>
      <c r="K3308" s="55"/>
      <c r="L3308" s="55"/>
      <c r="P3308" s="1">
        <f>COUNTIF(Analysis!$M$1:$M$3001,Analysis!$M3308)</f>
        <v>0</v>
      </c>
      <c r="Q3308" s="1" t="str">
        <f>IF(COUNTIF(Analysis!$M$2:$M$3001,Analysis!$M3308)&gt;1,"Duplicate","OK")</f>
        <v>OK</v>
      </c>
      <c r="R3308" s="1" t="str">
        <f t="shared" si="1"/>
        <v>#N/A</v>
      </c>
    </row>
    <row r="3309" ht="14.25" customHeight="1">
      <c r="A3309" s="61"/>
      <c r="B3309" s="55"/>
      <c r="C3309" s="55"/>
      <c r="D3309" s="55"/>
      <c r="E3309" s="55"/>
      <c r="F3309" s="55"/>
      <c r="G3309" s="55"/>
      <c r="H3309" s="62"/>
      <c r="I3309" s="62"/>
      <c r="J3309" s="55"/>
      <c r="K3309" s="55"/>
      <c r="L3309" s="55"/>
      <c r="P3309" s="1">
        <f>COUNTIF(Analysis!$M$1:$M$3001,Analysis!$M3309)</f>
        <v>0</v>
      </c>
      <c r="Q3309" s="1" t="str">
        <f>IF(COUNTIF(Analysis!$M$2:$M$3001,Analysis!$M3309)&gt;1,"Duplicate","OK")</f>
        <v>OK</v>
      </c>
      <c r="R3309" s="1" t="str">
        <f t="shared" si="1"/>
        <v>#N/A</v>
      </c>
    </row>
    <row r="3310" ht="14.25" customHeight="1">
      <c r="A3310" s="61"/>
      <c r="B3310" s="55"/>
      <c r="C3310" s="55"/>
      <c r="D3310" s="55"/>
      <c r="E3310" s="55"/>
      <c r="F3310" s="55"/>
      <c r="G3310" s="55"/>
      <c r="H3310" s="62"/>
      <c r="I3310" s="62"/>
      <c r="J3310" s="55"/>
      <c r="K3310" s="55"/>
      <c r="L3310" s="55"/>
      <c r="P3310" s="1">
        <f>COUNTIF(Analysis!$M$1:$M$3001,Analysis!$M3310)</f>
        <v>0</v>
      </c>
      <c r="Q3310" s="1" t="str">
        <f>IF(COUNTIF(Analysis!$M$2:$M$3001,Analysis!$M3310)&gt;1,"Duplicate","OK")</f>
        <v>OK</v>
      </c>
      <c r="R3310" s="1" t="str">
        <f t="shared" si="1"/>
        <v>#N/A</v>
      </c>
    </row>
    <row r="3311" ht="14.25" customHeight="1">
      <c r="A3311" s="61"/>
      <c r="B3311" s="55"/>
      <c r="C3311" s="55"/>
      <c r="D3311" s="55"/>
      <c r="E3311" s="55"/>
      <c r="F3311" s="55"/>
      <c r="G3311" s="55"/>
      <c r="H3311" s="62"/>
      <c r="I3311" s="62"/>
      <c r="J3311" s="55"/>
      <c r="K3311" s="55"/>
      <c r="L3311" s="55"/>
      <c r="P3311" s="1">
        <f>COUNTIF(Analysis!$M$1:$M$3001,Analysis!$M3311)</f>
        <v>0</v>
      </c>
      <c r="Q3311" s="1" t="str">
        <f>IF(COUNTIF(Analysis!$M$2:$M$3001,Analysis!$M3311)&gt;1,"Duplicate","OK")</f>
        <v>OK</v>
      </c>
      <c r="R3311" s="1" t="str">
        <f t="shared" si="1"/>
        <v>#N/A</v>
      </c>
    </row>
    <row r="3312" ht="14.25" customHeight="1">
      <c r="A3312" s="61"/>
      <c r="B3312" s="55"/>
      <c r="C3312" s="55"/>
      <c r="D3312" s="55"/>
      <c r="E3312" s="55"/>
      <c r="F3312" s="55"/>
      <c r="G3312" s="55"/>
      <c r="H3312" s="62"/>
      <c r="I3312" s="62"/>
      <c r="J3312" s="55"/>
      <c r="K3312" s="55"/>
      <c r="L3312" s="55"/>
      <c r="P3312" s="1">
        <f>COUNTIF(Analysis!$M$1:$M$3001,Analysis!$M3312)</f>
        <v>0</v>
      </c>
      <c r="Q3312" s="1" t="str">
        <f>IF(COUNTIF(Analysis!$M$2:$M$3001,Analysis!$M3312)&gt;1,"Duplicate","OK")</f>
        <v>OK</v>
      </c>
      <c r="R3312" s="1" t="str">
        <f t="shared" si="1"/>
        <v>#N/A</v>
      </c>
    </row>
    <row r="3313" ht="14.25" customHeight="1">
      <c r="A3313" s="61"/>
      <c r="B3313" s="55"/>
      <c r="C3313" s="55"/>
      <c r="D3313" s="55"/>
      <c r="E3313" s="55"/>
      <c r="F3313" s="55"/>
      <c r="G3313" s="55"/>
      <c r="H3313" s="62"/>
      <c r="I3313" s="62"/>
      <c r="J3313" s="55"/>
      <c r="K3313" s="55"/>
      <c r="L3313" s="55"/>
      <c r="P3313" s="1">
        <f>COUNTIF(Analysis!$M$1:$M$3001,Analysis!$M3313)</f>
        <v>0</v>
      </c>
      <c r="Q3313" s="1" t="str">
        <f>IF(COUNTIF(Analysis!$M$2:$M$3001,Analysis!$M3313)&gt;1,"Duplicate","OK")</f>
        <v>OK</v>
      </c>
      <c r="R3313" s="1" t="str">
        <f t="shared" si="1"/>
        <v>#N/A</v>
      </c>
    </row>
    <row r="3314" ht="14.25" customHeight="1">
      <c r="A3314" s="61"/>
      <c r="B3314" s="55"/>
      <c r="C3314" s="55"/>
      <c r="D3314" s="55"/>
      <c r="E3314" s="55"/>
      <c r="F3314" s="55"/>
      <c r="G3314" s="55"/>
      <c r="H3314" s="62"/>
      <c r="I3314" s="62"/>
      <c r="J3314" s="55"/>
      <c r="K3314" s="55"/>
      <c r="L3314" s="55"/>
      <c r="P3314" s="1">
        <f>COUNTIF(Analysis!$M$1:$M$3001,Analysis!$M3314)</f>
        <v>0</v>
      </c>
      <c r="Q3314" s="1" t="str">
        <f>IF(COUNTIF(Analysis!$M$2:$M$3001,Analysis!$M3314)&gt;1,"Duplicate","OK")</f>
        <v>OK</v>
      </c>
      <c r="R3314" s="1" t="str">
        <f t="shared" si="1"/>
        <v>#N/A</v>
      </c>
    </row>
    <row r="3315" ht="14.25" customHeight="1">
      <c r="A3315" s="61"/>
      <c r="B3315" s="55"/>
      <c r="C3315" s="55"/>
      <c r="D3315" s="55"/>
      <c r="E3315" s="55"/>
      <c r="F3315" s="55"/>
      <c r="G3315" s="55"/>
      <c r="H3315" s="62"/>
      <c r="I3315" s="62"/>
      <c r="J3315" s="55"/>
      <c r="K3315" s="55"/>
      <c r="L3315" s="55"/>
      <c r="P3315" s="1">
        <f>COUNTIF(Analysis!$M$1:$M$3001,Analysis!$M3315)</f>
        <v>0</v>
      </c>
      <c r="Q3315" s="1" t="str">
        <f>IF(COUNTIF(Analysis!$M$2:$M$3001,Analysis!$M3315)&gt;1,"Duplicate","OK")</f>
        <v>OK</v>
      </c>
      <c r="R3315" s="1" t="str">
        <f t="shared" si="1"/>
        <v>#N/A</v>
      </c>
    </row>
    <row r="3316" ht="14.25" customHeight="1">
      <c r="A3316" s="61"/>
      <c r="B3316" s="55"/>
      <c r="C3316" s="55"/>
      <c r="D3316" s="55"/>
      <c r="E3316" s="55"/>
      <c r="F3316" s="55"/>
      <c r="G3316" s="55"/>
      <c r="H3316" s="62"/>
      <c r="I3316" s="62"/>
      <c r="J3316" s="55"/>
      <c r="K3316" s="55"/>
      <c r="L3316" s="55"/>
      <c r="P3316" s="1">
        <f>COUNTIF(Analysis!$M$1:$M$3001,Analysis!$M3316)</f>
        <v>0</v>
      </c>
      <c r="Q3316" s="1" t="str">
        <f>IF(COUNTIF(Analysis!$M$2:$M$3001,Analysis!$M3316)&gt;1,"Duplicate","OK")</f>
        <v>OK</v>
      </c>
      <c r="R3316" s="1" t="str">
        <f t="shared" si="1"/>
        <v>#N/A</v>
      </c>
    </row>
    <row r="3317" ht="14.25" customHeight="1">
      <c r="A3317" s="61"/>
      <c r="B3317" s="55"/>
      <c r="C3317" s="55"/>
      <c r="D3317" s="55"/>
      <c r="E3317" s="55"/>
      <c r="F3317" s="55"/>
      <c r="G3317" s="55"/>
      <c r="H3317" s="62"/>
      <c r="I3317" s="62"/>
      <c r="J3317" s="55"/>
      <c r="K3317" s="55"/>
      <c r="L3317" s="55"/>
      <c r="P3317" s="1">
        <f>COUNTIF(Analysis!$M$1:$M$3001,Analysis!$M3317)</f>
        <v>0</v>
      </c>
      <c r="Q3317" s="1" t="str">
        <f>IF(COUNTIF(Analysis!$M$2:$M$3001,Analysis!$M3317)&gt;1,"Duplicate","OK")</f>
        <v>OK</v>
      </c>
      <c r="R3317" s="1" t="str">
        <f t="shared" si="1"/>
        <v>#N/A</v>
      </c>
    </row>
    <row r="3318" ht="14.25" customHeight="1">
      <c r="A3318" s="61"/>
      <c r="B3318" s="55"/>
      <c r="C3318" s="55"/>
      <c r="D3318" s="55"/>
      <c r="E3318" s="55"/>
      <c r="F3318" s="55"/>
      <c r="G3318" s="55"/>
      <c r="H3318" s="62"/>
      <c r="I3318" s="62"/>
      <c r="J3318" s="55"/>
      <c r="K3318" s="55"/>
      <c r="L3318" s="55"/>
      <c r="P3318" s="1">
        <f>COUNTIF(Analysis!$M$1:$M$3001,Analysis!$M3318)</f>
        <v>0</v>
      </c>
      <c r="Q3318" s="1" t="str">
        <f>IF(COUNTIF(Analysis!$M$2:$M$3001,Analysis!$M3318)&gt;1,"Duplicate","OK")</f>
        <v>OK</v>
      </c>
      <c r="R3318" s="1" t="str">
        <f t="shared" si="1"/>
        <v>#N/A</v>
      </c>
    </row>
    <row r="3319" ht="14.25" customHeight="1">
      <c r="A3319" s="61"/>
      <c r="B3319" s="55"/>
      <c r="C3319" s="55"/>
      <c r="D3319" s="55"/>
      <c r="E3319" s="55"/>
      <c r="F3319" s="55"/>
      <c r="G3319" s="55"/>
      <c r="H3319" s="62"/>
      <c r="I3319" s="62"/>
      <c r="J3319" s="55"/>
      <c r="K3319" s="55"/>
      <c r="L3319" s="55"/>
      <c r="P3319" s="1">
        <f>COUNTIF(Analysis!$M$1:$M$3001,Analysis!$M3319)</f>
        <v>0</v>
      </c>
      <c r="Q3319" s="1" t="str">
        <f>IF(COUNTIF(Analysis!$M$2:$M$3001,Analysis!$M3319)&gt;1,"Duplicate","OK")</f>
        <v>OK</v>
      </c>
      <c r="R3319" s="1" t="str">
        <f t="shared" si="1"/>
        <v>#N/A</v>
      </c>
    </row>
    <row r="3320" ht="14.25" customHeight="1">
      <c r="A3320" s="61"/>
      <c r="B3320" s="55"/>
      <c r="C3320" s="55"/>
      <c r="D3320" s="55"/>
      <c r="E3320" s="55"/>
      <c r="F3320" s="55"/>
      <c r="G3320" s="55"/>
      <c r="H3320" s="62"/>
      <c r="I3320" s="62"/>
      <c r="J3320" s="55"/>
      <c r="K3320" s="55"/>
      <c r="L3320" s="55"/>
      <c r="P3320" s="1">
        <f>COUNTIF(Analysis!$M$1:$M$3001,Analysis!$M3320)</f>
        <v>0</v>
      </c>
      <c r="Q3320" s="1" t="str">
        <f>IF(COUNTIF(Analysis!$M$2:$M$3001,Analysis!$M3320)&gt;1,"Duplicate","OK")</f>
        <v>OK</v>
      </c>
      <c r="R3320" s="1" t="str">
        <f t="shared" si="1"/>
        <v>#N/A</v>
      </c>
    </row>
    <row r="3321" ht="14.25" customHeight="1">
      <c r="A3321" s="61"/>
      <c r="B3321" s="55"/>
      <c r="C3321" s="55"/>
      <c r="D3321" s="55"/>
      <c r="E3321" s="55"/>
      <c r="F3321" s="55"/>
      <c r="G3321" s="55"/>
      <c r="H3321" s="62"/>
      <c r="I3321" s="62"/>
      <c r="J3321" s="55"/>
      <c r="K3321" s="55"/>
      <c r="L3321" s="55"/>
      <c r="P3321" s="1">
        <f>COUNTIF(Analysis!$M$1:$M$3001,Analysis!$M3321)</f>
        <v>0</v>
      </c>
      <c r="Q3321" s="1" t="str">
        <f>IF(COUNTIF(Analysis!$M$2:$M$3001,Analysis!$M3321)&gt;1,"Duplicate","OK")</f>
        <v>OK</v>
      </c>
      <c r="R3321" s="1" t="str">
        <f t="shared" si="1"/>
        <v>#N/A</v>
      </c>
    </row>
    <row r="3322" ht="14.25" customHeight="1">
      <c r="A3322" s="61"/>
      <c r="B3322" s="55"/>
      <c r="C3322" s="55"/>
      <c r="D3322" s="55"/>
      <c r="E3322" s="55"/>
      <c r="F3322" s="55"/>
      <c r="G3322" s="55"/>
      <c r="H3322" s="62"/>
      <c r="I3322" s="62"/>
      <c r="J3322" s="55"/>
      <c r="K3322" s="55"/>
      <c r="L3322" s="55"/>
      <c r="P3322" s="1">
        <f>COUNTIF(Analysis!$M$1:$M$3001,Analysis!$M3322)</f>
        <v>0</v>
      </c>
      <c r="Q3322" s="1" t="str">
        <f>IF(COUNTIF(Analysis!$M$2:$M$3001,Analysis!$M3322)&gt;1,"Duplicate","OK")</f>
        <v>OK</v>
      </c>
      <c r="R3322" s="1" t="str">
        <f t="shared" si="1"/>
        <v>#N/A</v>
      </c>
    </row>
    <row r="3323" ht="14.25" customHeight="1">
      <c r="A3323" s="61"/>
      <c r="B3323" s="55"/>
      <c r="C3323" s="55"/>
      <c r="D3323" s="55"/>
      <c r="E3323" s="55"/>
      <c r="F3323" s="55"/>
      <c r="G3323" s="55"/>
      <c r="H3323" s="62"/>
      <c r="I3323" s="62"/>
      <c r="J3323" s="55"/>
      <c r="K3323" s="55"/>
      <c r="L3323" s="55"/>
      <c r="P3323" s="1">
        <f>COUNTIF(Analysis!$M$1:$M$3001,Analysis!$M3323)</f>
        <v>0</v>
      </c>
      <c r="Q3323" s="1" t="str">
        <f>IF(COUNTIF(Analysis!$M$2:$M$3001,Analysis!$M3323)&gt;1,"Duplicate","OK")</f>
        <v>OK</v>
      </c>
      <c r="R3323" s="1" t="str">
        <f t="shared" si="1"/>
        <v>#N/A</v>
      </c>
    </row>
    <row r="3324" ht="14.25" customHeight="1">
      <c r="A3324" s="61"/>
      <c r="B3324" s="55"/>
      <c r="C3324" s="55"/>
      <c r="D3324" s="55"/>
      <c r="E3324" s="55"/>
      <c r="F3324" s="55"/>
      <c r="G3324" s="55"/>
      <c r="H3324" s="62"/>
      <c r="I3324" s="62"/>
      <c r="J3324" s="55"/>
      <c r="K3324" s="55"/>
      <c r="L3324" s="55"/>
      <c r="P3324" s="1">
        <f>COUNTIF(Analysis!$M$1:$M$3001,Analysis!$M3324)</f>
        <v>0</v>
      </c>
      <c r="Q3324" s="1" t="str">
        <f>IF(COUNTIF(Analysis!$M$2:$M$3001,Analysis!$M3324)&gt;1,"Duplicate","OK")</f>
        <v>OK</v>
      </c>
      <c r="R3324" s="1" t="str">
        <f t="shared" si="1"/>
        <v>#N/A</v>
      </c>
    </row>
    <row r="3325" ht="14.25" customHeight="1">
      <c r="A3325" s="61"/>
      <c r="B3325" s="55"/>
      <c r="C3325" s="55"/>
      <c r="D3325" s="55"/>
      <c r="E3325" s="55"/>
      <c r="F3325" s="55"/>
      <c r="G3325" s="55"/>
      <c r="H3325" s="62"/>
      <c r="I3325" s="62"/>
      <c r="J3325" s="55"/>
      <c r="K3325" s="55"/>
      <c r="L3325" s="55"/>
      <c r="P3325" s="1">
        <f>COUNTIF(Analysis!$M$1:$M$3001,Analysis!$M3325)</f>
        <v>0</v>
      </c>
      <c r="Q3325" s="1" t="str">
        <f>IF(COUNTIF(Analysis!$M$2:$M$3001,Analysis!$M3325)&gt;1,"Duplicate","OK")</f>
        <v>OK</v>
      </c>
      <c r="R3325" s="1" t="str">
        <f t="shared" si="1"/>
        <v>#N/A</v>
      </c>
    </row>
    <row r="3326" ht="14.25" customHeight="1">
      <c r="A3326" s="61"/>
      <c r="B3326" s="55"/>
      <c r="C3326" s="55"/>
      <c r="D3326" s="55"/>
      <c r="E3326" s="55"/>
      <c r="F3326" s="55"/>
      <c r="G3326" s="55"/>
      <c r="H3326" s="62"/>
      <c r="I3326" s="62"/>
      <c r="J3326" s="55"/>
      <c r="K3326" s="55"/>
      <c r="L3326" s="55"/>
      <c r="P3326" s="1">
        <f>COUNTIF(Analysis!$M$1:$M$3001,Analysis!$M3326)</f>
        <v>0</v>
      </c>
      <c r="Q3326" s="1" t="str">
        <f>IF(COUNTIF(Analysis!$M$2:$M$3001,Analysis!$M3326)&gt;1,"Duplicate","OK")</f>
        <v>OK</v>
      </c>
      <c r="R3326" s="1" t="str">
        <f t="shared" si="1"/>
        <v>#N/A</v>
      </c>
    </row>
    <row r="3327" ht="14.25" customHeight="1">
      <c r="A3327" s="61"/>
      <c r="B3327" s="55"/>
      <c r="C3327" s="55"/>
      <c r="D3327" s="55"/>
      <c r="E3327" s="55"/>
      <c r="F3327" s="55"/>
      <c r="G3327" s="55"/>
      <c r="H3327" s="62"/>
      <c r="I3327" s="62"/>
      <c r="J3327" s="55"/>
      <c r="K3327" s="55"/>
      <c r="L3327" s="55"/>
      <c r="P3327" s="1">
        <f>COUNTIF(Analysis!$M$1:$M$3001,Analysis!$M3327)</f>
        <v>0</v>
      </c>
      <c r="Q3327" s="1" t="str">
        <f>IF(COUNTIF(Analysis!$M$2:$M$3001,Analysis!$M3327)&gt;1,"Duplicate","OK")</f>
        <v>OK</v>
      </c>
      <c r="R3327" s="1" t="str">
        <f t="shared" si="1"/>
        <v>#N/A</v>
      </c>
    </row>
    <row r="3328" ht="14.25" customHeight="1">
      <c r="A3328" s="61"/>
      <c r="B3328" s="55"/>
      <c r="C3328" s="55"/>
      <c r="D3328" s="55"/>
      <c r="E3328" s="55"/>
      <c r="F3328" s="55"/>
      <c r="G3328" s="55"/>
      <c r="H3328" s="62"/>
      <c r="I3328" s="62"/>
      <c r="J3328" s="55"/>
      <c r="K3328" s="55"/>
      <c r="L3328" s="55"/>
      <c r="P3328" s="1">
        <f>COUNTIF(Analysis!$M$1:$M$3001,Analysis!$M3328)</f>
        <v>0</v>
      </c>
      <c r="Q3328" s="1" t="str">
        <f>IF(COUNTIF(Analysis!$M$2:$M$3001,Analysis!$M3328)&gt;1,"Duplicate","OK")</f>
        <v>OK</v>
      </c>
      <c r="R3328" s="1" t="str">
        <f t="shared" si="1"/>
        <v>#N/A</v>
      </c>
    </row>
    <row r="3329" ht="14.25" customHeight="1">
      <c r="A3329" s="61"/>
      <c r="B3329" s="55"/>
      <c r="C3329" s="55"/>
      <c r="D3329" s="55"/>
      <c r="E3329" s="55"/>
      <c r="F3329" s="55"/>
      <c r="G3329" s="55"/>
      <c r="H3329" s="62"/>
      <c r="I3329" s="62"/>
      <c r="J3329" s="55"/>
      <c r="K3329" s="55"/>
      <c r="L3329" s="55"/>
      <c r="P3329" s="1">
        <f>COUNTIF(Analysis!$M$1:$M$3001,Analysis!$M3329)</f>
        <v>0</v>
      </c>
      <c r="Q3329" s="1" t="str">
        <f>IF(COUNTIF(Analysis!$M$2:$M$3001,Analysis!$M3329)&gt;1,"Duplicate","OK")</f>
        <v>OK</v>
      </c>
      <c r="R3329" s="1" t="str">
        <f t="shared" si="1"/>
        <v>#N/A</v>
      </c>
    </row>
    <row r="3330" ht="14.25" customHeight="1">
      <c r="A3330" s="61"/>
      <c r="B3330" s="55"/>
      <c r="C3330" s="55"/>
      <c r="D3330" s="55"/>
      <c r="E3330" s="55"/>
      <c r="F3330" s="55"/>
      <c r="G3330" s="55"/>
      <c r="H3330" s="62"/>
      <c r="I3330" s="62"/>
      <c r="J3330" s="55"/>
      <c r="K3330" s="55"/>
      <c r="L3330" s="55"/>
      <c r="P3330" s="1">
        <f>COUNTIF(Analysis!$M$1:$M$3001,Analysis!$M3330)</f>
        <v>0</v>
      </c>
      <c r="Q3330" s="1" t="str">
        <f>IF(COUNTIF(Analysis!$M$2:$M$3001,Analysis!$M3330)&gt;1,"Duplicate","OK")</f>
        <v>OK</v>
      </c>
      <c r="R3330" s="1" t="str">
        <f t="shared" si="1"/>
        <v>#N/A</v>
      </c>
    </row>
    <row r="3331" ht="14.25" customHeight="1">
      <c r="A3331" s="61"/>
      <c r="B3331" s="55"/>
      <c r="C3331" s="55"/>
      <c r="D3331" s="55"/>
      <c r="E3331" s="55"/>
      <c r="F3331" s="55"/>
      <c r="G3331" s="55"/>
      <c r="H3331" s="62"/>
      <c r="I3331" s="62"/>
      <c r="J3331" s="55"/>
      <c r="K3331" s="55"/>
      <c r="L3331" s="55"/>
      <c r="P3331" s="1">
        <f>COUNTIF(Analysis!$M$1:$M$3001,Analysis!$M3331)</f>
        <v>0</v>
      </c>
      <c r="Q3331" s="1" t="str">
        <f>IF(COUNTIF(Analysis!$M$2:$M$3001,Analysis!$M3331)&gt;1,"Duplicate","OK")</f>
        <v>OK</v>
      </c>
      <c r="R3331" s="1" t="str">
        <f t="shared" si="1"/>
        <v>#N/A</v>
      </c>
    </row>
    <row r="3332" ht="14.25" customHeight="1">
      <c r="A3332" s="61"/>
      <c r="B3332" s="55"/>
      <c r="C3332" s="55"/>
      <c r="D3332" s="55"/>
      <c r="E3332" s="55"/>
      <c r="F3332" s="55"/>
      <c r="G3332" s="55"/>
      <c r="H3332" s="62"/>
      <c r="I3332" s="62"/>
      <c r="J3332" s="55"/>
      <c r="K3332" s="55"/>
      <c r="L3332" s="55"/>
      <c r="P3332" s="1">
        <f>COUNTIF(Analysis!$M$1:$M$3001,Analysis!$M3332)</f>
        <v>0</v>
      </c>
      <c r="Q3332" s="1" t="str">
        <f>IF(COUNTIF(Analysis!$M$2:$M$3001,Analysis!$M3332)&gt;1,"Duplicate","OK")</f>
        <v>OK</v>
      </c>
      <c r="R3332" s="1" t="str">
        <f t="shared" si="1"/>
        <v>#N/A</v>
      </c>
    </row>
    <row r="3333" ht="14.25" customHeight="1">
      <c r="A3333" s="61"/>
      <c r="B3333" s="55"/>
      <c r="C3333" s="55"/>
      <c r="D3333" s="55"/>
      <c r="E3333" s="55"/>
      <c r="F3333" s="55"/>
      <c r="G3333" s="55"/>
      <c r="H3333" s="62"/>
      <c r="I3333" s="62"/>
      <c r="J3333" s="55"/>
      <c r="K3333" s="55"/>
      <c r="L3333" s="55"/>
      <c r="P3333" s="1">
        <f>COUNTIF(Analysis!$M$1:$M$3001,Analysis!$M3333)</f>
        <v>0</v>
      </c>
      <c r="Q3333" s="1" t="str">
        <f>IF(COUNTIF(Analysis!$M$2:$M$3001,Analysis!$M3333)&gt;1,"Duplicate","OK")</f>
        <v>OK</v>
      </c>
      <c r="R3333" s="1" t="str">
        <f t="shared" si="1"/>
        <v>#N/A</v>
      </c>
    </row>
    <row r="3334" ht="14.25" customHeight="1">
      <c r="A3334" s="61"/>
      <c r="B3334" s="55"/>
      <c r="C3334" s="55"/>
      <c r="D3334" s="55"/>
      <c r="E3334" s="55"/>
      <c r="F3334" s="55"/>
      <c r="G3334" s="55"/>
      <c r="H3334" s="62"/>
      <c r="I3334" s="62"/>
      <c r="J3334" s="55"/>
      <c r="K3334" s="55"/>
      <c r="L3334" s="55"/>
      <c r="P3334" s="1">
        <f>COUNTIF(Analysis!$M$1:$M$3001,Analysis!$M3334)</f>
        <v>0</v>
      </c>
      <c r="Q3334" s="1" t="str">
        <f>IF(COUNTIF(Analysis!$M$2:$M$3001,Analysis!$M3334)&gt;1,"Duplicate","OK")</f>
        <v>OK</v>
      </c>
      <c r="R3334" s="1" t="str">
        <f t="shared" si="1"/>
        <v>#N/A</v>
      </c>
    </row>
    <row r="3335" ht="14.25" customHeight="1">
      <c r="A3335" s="61"/>
      <c r="B3335" s="55"/>
      <c r="C3335" s="55"/>
      <c r="D3335" s="55"/>
      <c r="E3335" s="55"/>
      <c r="F3335" s="55"/>
      <c r="G3335" s="55"/>
      <c r="H3335" s="62"/>
      <c r="I3335" s="62"/>
      <c r="J3335" s="55"/>
      <c r="K3335" s="55"/>
      <c r="L3335" s="55"/>
      <c r="P3335" s="1">
        <f>COUNTIF(Analysis!$M$1:$M$3001,Analysis!$M3335)</f>
        <v>0</v>
      </c>
      <c r="Q3335" s="1" t="str">
        <f>IF(COUNTIF(Analysis!$M$2:$M$3001,Analysis!$M3335)&gt;1,"Duplicate","OK")</f>
        <v>OK</v>
      </c>
      <c r="R3335" s="1" t="str">
        <f t="shared" si="1"/>
        <v>#N/A</v>
      </c>
    </row>
    <row r="3336" ht="14.25" customHeight="1">
      <c r="A3336" s="61"/>
      <c r="B3336" s="55"/>
      <c r="C3336" s="55"/>
      <c r="D3336" s="55"/>
      <c r="E3336" s="55"/>
      <c r="F3336" s="55"/>
      <c r="G3336" s="55"/>
      <c r="H3336" s="62"/>
      <c r="I3336" s="62"/>
      <c r="J3336" s="55"/>
      <c r="K3336" s="55"/>
      <c r="L3336" s="55"/>
      <c r="P3336" s="1">
        <f>COUNTIF(Analysis!$M$1:$M$3001,Analysis!$M3336)</f>
        <v>0</v>
      </c>
      <c r="Q3336" s="1" t="str">
        <f>IF(COUNTIF(Analysis!$M$2:$M$3001,Analysis!$M3336)&gt;1,"Duplicate","OK")</f>
        <v>OK</v>
      </c>
      <c r="R3336" s="1" t="str">
        <f t="shared" si="1"/>
        <v>#N/A</v>
      </c>
    </row>
    <row r="3337" ht="14.25" customHeight="1">
      <c r="A3337" s="61"/>
      <c r="B3337" s="55"/>
      <c r="C3337" s="55"/>
      <c r="D3337" s="55"/>
      <c r="E3337" s="55"/>
      <c r="F3337" s="55"/>
      <c r="G3337" s="55"/>
      <c r="H3337" s="62"/>
      <c r="I3337" s="62"/>
      <c r="J3337" s="55"/>
      <c r="K3337" s="55"/>
      <c r="L3337" s="55"/>
      <c r="P3337" s="1">
        <f>COUNTIF(Analysis!$M$1:$M$3001,Analysis!$M3337)</f>
        <v>0</v>
      </c>
      <c r="Q3337" s="1" t="str">
        <f>IF(COUNTIF(Analysis!$M$2:$M$3001,Analysis!$M3337)&gt;1,"Duplicate","OK")</f>
        <v>OK</v>
      </c>
      <c r="R3337" s="1" t="str">
        <f t="shared" si="1"/>
        <v>#N/A</v>
      </c>
    </row>
    <row r="3338" ht="14.25" customHeight="1">
      <c r="A3338" s="61"/>
      <c r="B3338" s="55"/>
      <c r="C3338" s="55"/>
      <c r="D3338" s="55"/>
      <c r="E3338" s="55"/>
      <c r="F3338" s="55"/>
      <c r="G3338" s="55"/>
      <c r="H3338" s="62"/>
      <c r="I3338" s="62"/>
      <c r="J3338" s="55"/>
      <c r="K3338" s="55"/>
      <c r="L3338" s="55"/>
      <c r="P3338" s="1">
        <f>COUNTIF(Analysis!$M$1:$M$3001,Analysis!$M3338)</f>
        <v>0</v>
      </c>
      <c r="Q3338" s="1" t="str">
        <f>IF(COUNTIF(Analysis!$M$2:$M$3001,Analysis!$M3338)&gt;1,"Duplicate","OK")</f>
        <v>OK</v>
      </c>
      <c r="R3338" s="1" t="str">
        <f t="shared" si="1"/>
        <v>#N/A</v>
      </c>
    </row>
    <row r="3339" ht="14.25" customHeight="1">
      <c r="A3339" s="61"/>
      <c r="B3339" s="55"/>
      <c r="C3339" s="55"/>
      <c r="D3339" s="55"/>
      <c r="E3339" s="55"/>
      <c r="F3339" s="55"/>
      <c r="G3339" s="55"/>
      <c r="H3339" s="62"/>
      <c r="I3339" s="62"/>
      <c r="J3339" s="55"/>
      <c r="K3339" s="55"/>
      <c r="L3339" s="55"/>
      <c r="P3339" s="1">
        <f>COUNTIF(Analysis!$M$1:$M$3001,Analysis!$M3339)</f>
        <v>0</v>
      </c>
      <c r="Q3339" s="1" t="str">
        <f>IF(COUNTIF(Analysis!$M$2:$M$3001,Analysis!$M3339)&gt;1,"Duplicate","OK")</f>
        <v>OK</v>
      </c>
      <c r="R3339" s="1" t="str">
        <f t="shared" si="1"/>
        <v>#N/A</v>
      </c>
    </row>
    <row r="3340" ht="14.25" customHeight="1">
      <c r="A3340" s="61"/>
      <c r="B3340" s="55"/>
      <c r="C3340" s="55"/>
      <c r="D3340" s="55"/>
      <c r="E3340" s="55"/>
      <c r="F3340" s="55"/>
      <c r="G3340" s="55"/>
      <c r="H3340" s="62"/>
      <c r="I3340" s="62"/>
      <c r="J3340" s="55"/>
      <c r="K3340" s="55"/>
      <c r="L3340" s="55"/>
      <c r="P3340" s="1">
        <f>COUNTIF(Analysis!$M$1:$M$3001,Analysis!$M3340)</f>
        <v>0</v>
      </c>
      <c r="Q3340" s="1" t="str">
        <f>IF(COUNTIF(Analysis!$M$2:$M$3001,Analysis!$M3340)&gt;1,"Duplicate","OK")</f>
        <v>OK</v>
      </c>
      <c r="R3340" s="1" t="str">
        <f t="shared" si="1"/>
        <v>#N/A</v>
      </c>
    </row>
    <row r="3341" ht="14.25" customHeight="1">
      <c r="A3341" s="61"/>
      <c r="B3341" s="55"/>
      <c r="C3341" s="55"/>
      <c r="D3341" s="55"/>
      <c r="E3341" s="55"/>
      <c r="F3341" s="55"/>
      <c r="G3341" s="55"/>
      <c r="H3341" s="62"/>
      <c r="I3341" s="62"/>
      <c r="J3341" s="55"/>
      <c r="K3341" s="55"/>
      <c r="L3341" s="55"/>
      <c r="P3341" s="1">
        <f>COUNTIF(Analysis!$M$1:$M$3001,Analysis!$M3341)</f>
        <v>0</v>
      </c>
      <c r="Q3341" s="1" t="str">
        <f>IF(COUNTIF(Analysis!$M$2:$M$3001,Analysis!$M3341)&gt;1,"Duplicate","OK")</f>
        <v>OK</v>
      </c>
      <c r="R3341" s="1" t="str">
        <f t="shared" si="1"/>
        <v>#N/A</v>
      </c>
    </row>
    <row r="3342" ht="14.25" customHeight="1">
      <c r="A3342" s="61"/>
      <c r="B3342" s="55"/>
      <c r="C3342" s="55"/>
      <c r="D3342" s="55"/>
      <c r="E3342" s="55"/>
      <c r="F3342" s="55"/>
      <c r="G3342" s="55"/>
      <c r="H3342" s="62"/>
      <c r="I3342" s="62"/>
      <c r="J3342" s="55"/>
      <c r="K3342" s="55"/>
      <c r="L3342" s="55"/>
      <c r="P3342" s="1">
        <f>COUNTIF(Analysis!$M$1:$M$3001,Analysis!$M3342)</f>
        <v>0</v>
      </c>
      <c r="Q3342" s="1" t="str">
        <f>IF(COUNTIF(Analysis!$M$2:$M$3001,Analysis!$M3342)&gt;1,"Duplicate","OK")</f>
        <v>OK</v>
      </c>
      <c r="R3342" s="1" t="str">
        <f t="shared" si="1"/>
        <v>#N/A</v>
      </c>
    </row>
    <row r="3343" ht="14.25" customHeight="1">
      <c r="A3343" s="61"/>
      <c r="B3343" s="55"/>
      <c r="C3343" s="55"/>
      <c r="D3343" s="55"/>
      <c r="E3343" s="55"/>
      <c r="F3343" s="55"/>
      <c r="G3343" s="55"/>
      <c r="H3343" s="62"/>
      <c r="I3343" s="62"/>
      <c r="J3343" s="55"/>
      <c r="K3343" s="55"/>
      <c r="L3343" s="55"/>
      <c r="P3343" s="1">
        <f>COUNTIF(Analysis!$M$1:$M$3001,Analysis!$M3343)</f>
        <v>0</v>
      </c>
      <c r="Q3343" s="1" t="str">
        <f>IF(COUNTIF(Analysis!$M$2:$M$3001,Analysis!$M3343)&gt;1,"Duplicate","OK")</f>
        <v>OK</v>
      </c>
      <c r="R3343" s="1" t="str">
        <f t="shared" si="1"/>
        <v>#N/A</v>
      </c>
    </row>
    <row r="3344" ht="14.25" customHeight="1">
      <c r="A3344" s="61"/>
      <c r="B3344" s="55"/>
      <c r="C3344" s="55"/>
      <c r="D3344" s="55"/>
      <c r="E3344" s="55"/>
      <c r="F3344" s="55"/>
      <c r="G3344" s="55"/>
      <c r="H3344" s="62"/>
      <c r="I3344" s="62"/>
      <c r="J3344" s="55"/>
      <c r="K3344" s="55"/>
      <c r="L3344" s="55"/>
      <c r="P3344" s="1">
        <f>COUNTIF(Analysis!$M$1:$M$3001,Analysis!$M3344)</f>
        <v>0</v>
      </c>
      <c r="Q3344" s="1" t="str">
        <f>IF(COUNTIF(Analysis!$M$2:$M$3001,Analysis!$M3344)&gt;1,"Duplicate","OK")</f>
        <v>OK</v>
      </c>
      <c r="R3344" s="1" t="str">
        <f t="shared" si="1"/>
        <v>#N/A</v>
      </c>
    </row>
    <row r="3345" ht="14.25" customHeight="1">
      <c r="A3345" s="61"/>
      <c r="B3345" s="55"/>
      <c r="C3345" s="55"/>
      <c r="D3345" s="55"/>
      <c r="E3345" s="55"/>
      <c r="F3345" s="55"/>
      <c r="G3345" s="55"/>
      <c r="H3345" s="62"/>
      <c r="I3345" s="62"/>
      <c r="J3345" s="55"/>
      <c r="K3345" s="55"/>
      <c r="L3345" s="55"/>
      <c r="P3345" s="1">
        <f>COUNTIF(Analysis!$M$1:$M$3001,Analysis!$M3345)</f>
        <v>0</v>
      </c>
      <c r="Q3345" s="1" t="str">
        <f>IF(COUNTIF(Analysis!$M$2:$M$3001,Analysis!$M3345)&gt;1,"Duplicate","OK")</f>
        <v>OK</v>
      </c>
      <c r="R3345" s="1" t="str">
        <f t="shared" si="1"/>
        <v>#N/A</v>
      </c>
    </row>
    <row r="3346" ht="14.25" customHeight="1">
      <c r="A3346" s="61"/>
      <c r="B3346" s="55"/>
      <c r="C3346" s="55"/>
      <c r="D3346" s="55"/>
      <c r="E3346" s="55"/>
      <c r="F3346" s="55"/>
      <c r="G3346" s="55"/>
      <c r="H3346" s="62"/>
      <c r="I3346" s="62"/>
      <c r="J3346" s="55"/>
      <c r="K3346" s="55"/>
      <c r="L3346" s="55"/>
      <c r="P3346" s="1">
        <f>COUNTIF(Analysis!$M$1:$M$3001,Analysis!$M3346)</f>
        <v>0</v>
      </c>
      <c r="Q3346" s="1" t="str">
        <f>IF(COUNTIF(Analysis!$M$2:$M$3001,Analysis!$M3346)&gt;1,"Duplicate","OK")</f>
        <v>OK</v>
      </c>
      <c r="R3346" s="1" t="str">
        <f t="shared" si="1"/>
        <v>#N/A</v>
      </c>
    </row>
    <row r="3347" ht="14.25" customHeight="1">
      <c r="A3347" s="61"/>
      <c r="B3347" s="55"/>
      <c r="C3347" s="55"/>
      <c r="D3347" s="55"/>
      <c r="E3347" s="55"/>
      <c r="F3347" s="55"/>
      <c r="G3347" s="55"/>
      <c r="H3347" s="62"/>
      <c r="I3347" s="62"/>
      <c r="J3347" s="55"/>
      <c r="K3347" s="55"/>
      <c r="L3347" s="55"/>
      <c r="P3347" s="1">
        <f>COUNTIF(Analysis!$M$1:$M$3001,Analysis!$M3347)</f>
        <v>0</v>
      </c>
      <c r="Q3347" s="1" t="str">
        <f>IF(COUNTIF(Analysis!$M$2:$M$3001,Analysis!$M3347)&gt;1,"Duplicate","OK")</f>
        <v>OK</v>
      </c>
      <c r="R3347" s="1" t="str">
        <f t="shared" si="1"/>
        <v>#N/A</v>
      </c>
    </row>
    <row r="3348" ht="14.25" customHeight="1">
      <c r="A3348" s="61"/>
      <c r="B3348" s="55"/>
      <c r="C3348" s="55"/>
      <c r="D3348" s="55"/>
      <c r="E3348" s="55"/>
      <c r="F3348" s="55"/>
      <c r="G3348" s="55"/>
      <c r="H3348" s="62"/>
      <c r="I3348" s="62"/>
      <c r="J3348" s="55"/>
      <c r="K3348" s="55"/>
      <c r="L3348" s="55"/>
      <c r="P3348" s="1">
        <f>COUNTIF(Analysis!$M$1:$M$3001,Analysis!$M3348)</f>
        <v>0</v>
      </c>
      <c r="Q3348" s="1" t="str">
        <f>IF(COUNTIF(Analysis!$M$2:$M$3001,Analysis!$M3348)&gt;1,"Duplicate","OK")</f>
        <v>OK</v>
      </c>
      <c r="R3348" s="1" t="str">
        <f t="shared" si="1"/>
        <v>#N/A</v>
      </c>
    </row>
    <row r="3349" ht="14.25" customHeight="1">
      <c r="A3349" s="61"/>
      <c r="B3349" s="55"/>
      <c r="C3349" s="55"/>
      <c r="D3349" s="55"/>
      <c r="E3349" s="55"/>
      <c r="F3349" s="55"/>
      <c r="G3349" s="55"/>
      <c r="H3349" s="62"/>
      <c r="I3349" s="62"/>
      <c r="J3349" s="55"/>
      <c r="K3349" s="55"/>
      <c r="L3349" s="55"/>
      <c r="P3349" s="1">
        <f>COUNTIF(Analysis!$M$1:$M$3001,Analysis!$M3349)</f>
        <v>0</v>
      </c>
      <c r="Q3349" s="1" t="str">
        <f>IF(COUNTIF(Analysis!$M$2:$M$3001,Analysis!$M3349)&gt;1,"Duplicate","OK")</f>
        <v>OK</v>
      </c>
      <c r="R3349" s="1" t="str">
        <f t="shared" si="1"/>
        <v>#N/A</v>
      </c>
    </row>
    <row r="3350" ht="14.25" customHeight="1">
      <c r="A3350" s="61"/>
      <c r="B3350" s="55"/>
      <c r="C3350" s="55"/>
      <c r="D3350" s="55"/>
      <c r="E3350" s="55"/>
      <c r="F3350" s="55"/>
      <c r="G3350" s="55"/>
      <c r="H3350" s="62"/>
      <c r="I3350" s="62"/>
      <c r="J3350" s="55"/>
      <c r="K3350" s="55"/>
      <c r="L3350" s="55"/>
      <c r="P3350" s="1">
        <f>COUNTIF(Analysis!$M$1:$M$3001,Analysis!$M3350)</f>
        <v>0</v>
      </c>
      <c r="Q3350" s="1" t="str">
        <f>IF(COUNTIF(Analysis!$M$2:$M$3001,Analysis!$M3350)&gt;1,"Duplicate","OK")</f>
        <v>OK</v>
      </c>
      <c r="R3350" s="1" t="str">
        <f t="shared" si="1"/>
        <v>#N/A</v>
      </c>
    </row>
    <row r="3351" ht="14.25" customHeight="1">
      <c r="A3351" s="61"/>
      <c r="B3351" s="55"/>
      <c r="C3351" s="55"/>
      <c r="D3351" s="55"/>
      <c r="E3351" s="55"/>
      <c r="F3351" s="55"/>
      <c r="G3351" s="55"/>
      <c r="H3351" s="62"/>
      <c r="I3351" s="62"/>
      <c r="J3351" s="55"/>
      <c r="K3351" s="55"/>
      <c r="L3351" s="55"/>
      <c r="P3351" s="1">
        <f>COUNTIF(Analysis!$M$1:$M$3001,Analysis!$M3351)</f>
        <v>0</v>
      </c>
      <c r="Q3351" s="1" t="str">
        <f>IF(COUNTIF(Analysis!$M$2:$M$3001,Analysis!$M3351)&gt;1,"Duplicate","OK")</f>
        <v>OK</v>
      </c>
      <c r="R3351" s="1" t="str">
        <f t="shared" si="1"/>
        <v>#N/A</v>
      </c>
    </row>
    <row r="3352" ht="14.25" customHeight="1">
      <c r="A3352" s="61"/>
      <c r="B3352" s="55"/>
      <c r="C3352" s="55"/>
      <c r="D3352" s="55"/>
      <c r="E3352" s="55"/>
      <c r="F3352" s="55"/>
      <c r="G3352" s="55"/>
      <c r="H3352" s="62"/>
      <c r="I3352" s="62"/>
      <c r="J3352" s="55"/>
      <c r="K3352" s="55"/>
      <c r="L3352" s="55"/>
      <c r="P3352" s="1">
        <f>COUNTIF(Analysis!$M$1:$M$3001,Analysis!$M3352)</f>
        <v>0</v>
      </c>
      <c r="Q3352" s="1" t="str">
        <f>IF(COUNTIF(Analysis!$M$2:$M$3001,Analysis!$M3352)&gt;1,"Duplicate","OK")</f>
        <v>OK</v>
      </c>
      <c r="R3352" s="1" t="str">
        <f t="shared" si="1"/>
        <v>#N/A</v>
      </c>
    </row>
    <row r="3353" ht="14.25" customHeight="1">
      <c r="A3353" s="61"/>
      <c r="B3353" s="55"/>
      <c r="C3353" s="55"/>
      <c r="D3353" s="55"/>
      <c r="E3353" s="55"/>
      <c r="F3353" s="55"/>
      <c r="G3353" s="55"/>
      <c r="H3353" s="62"/>
      <c r="I3353" s="62"/>
      <c r="J3353" s="55"/>
      <c r="K3353" s="55"/>
      <c r="L3353" s="55"/>
      <c r="P3353" s="1">
        <f>COUNTIF(Analysis!$M$1:$M$3001,Analysis!$M3353)</f>
        <v>0</v>
      </c>
      <c r="Q3353" s="1" t="str">
        <f>IF(COUNTIF(Analysis!$M$2:$M$3001,Analysis!$M3353)&gt;1,"Duplicate","OK")</f>
        <v>OK</v>
      </c>
      <c r="R3353" s="1" t="str">
        <f t="shared" si="1"/>
        <v>#N/A</v>
      </c>
    </row>
    <row r="3354" ht="14.25" customHeight="1">
      <c r="A3354" s="61"/>
      <c r="B3354" s="55"/>
      <c r="C3354" s="55"/>
      <c r="D3354" s="55"/>
      <c r="E3354" s="55"/>
      <c r="F3354" s="55"/>
      <c r="G3354" s="55"/>
      <c r="H3354" s="62"/>
      <c r="I3354" s="62"/>
      <c r="J3354" s="55"/>
      <c r="K3354" s="55"/>
      <c r="L3354" s="55"/>
      <c r="P3354" s="1">
        <f>COUNTIF(Analysis!$M$1:$M$3001,Analysis!$M3354)</f>
        <v>0</v>
      </c>
      <c r="Q3354" s="1" t="str">
        <f>IF(COUNTIF(Analysis!$M$2:$M$3001,Analysis!$M3354)&gt;1,"Duplicate","OK")</f>
        <v>OK</v>
      </c>
      <c r="R3354" s="1" t="str">
        <f t="shared" si="1"/>
        <v>#N/A</v>
      </c>
    </row>
    <row r="3355" ht="14.25" customHeight="1">
      <c r="A3355" s="61"/>
      <c r="B3355" s="55"/>
      <c r="C3355" s="55"/>
      <c r="D3355" s="55"/>
      <c r="E3355" s="55"/>
      <c r="F3355" s="55"/>
      <c r="G3355" s="55"/>
      <c r="H3355" s="62"/>
      <c r="I3355" s="62"/>
      <c r="J3355" s="55"/>
      <c r="K3355" s="55"/>
      <c r="L3355" s="55"/>
      <c r="P3355" s="1">
        <f>COUNTIF(Analysis!$M$1:$M$3001,Analysis!$M3355)</f>
        <v>0</v>
      </c>
      <c r="Q3355" s="1" t="str">
        <f>IF(COUNTIF(Analysis!$M$2:$M$3001,Analysis!$M3355)&gt;1,"Duplicate","OK")</f>
        <v>OK</v>
      </c>
      <c r="R3355" s="1" t="str">
        <f t="shared" si="1"/>
        <v>#N/A</v>
      </c>
    </row>
    <row r="3356" ht="14.25" customHeight="1">
      <c r="A3356" s="61"/>
      <c r="B3356" s="55"/>
      <c r="C3356" s="55"/>
      <c r="D3356" s="55"/>
      <c r="E3356" s="55"/>
      <c r="F3356" s="55"/>
      <c r="G3356" s="55"/>
      <c r="H3356" s="62"/>
      <c r="I3356" s="62"/>
      <c r="J3356" s="55"/>
      <c r="K3356" s="55"/>
      <c r="L3356" s="55"/>
      <c r="P3356" s="1">
        <f>COUNTIF(Analysis!$M$1:$M$3001,Analysis!$M3356)</f>
        <v>0</v>
      </c>
      <c r="Q3356" s="1" t="str">
        <f>IF(COUNTIF(Analysis!$M$2:$M$3001,Analysis!$M3356)&gt;1,"Duplicate","OK")</f>
        <v>OK</v>
      </c>
      <c r="R3356" s="1" t="str">
        <f t="shared" si="1"/>
        <v>#N/A</v>
      </c>
    </row>
    <row r="3357" ht="14.25" customHeight="1">
      <c r="A3357" s="61"/>
      <c r="B3357" s="55"/>
      <c r="C3357" s="55"/>
      <c r="D3357" s="55"/>
      <c r="E3357" s="55"/>
      <c r="F3357" s="55"/>
      <c r="G3357" s="55"/>
      <c r="H3357" s="62"/>
      <c r="I3357" s="62"/>
      <c r="J3357" s="55"/>
      <c r="K3357" s="55"/>
      <c r="L3357" s="55"/>
      <c r="P3357" s="1">
        <f>COUNTIF(Analysis!$M$1:$M$3001,Analysis!$M3357)</f>
        <v>0</v>
      </c>
      <c r="Q3357" s="1" t="str">
        <f>IF(COUNTIF(Analysis!$M$2:$M$3001,Analysis!$M3357)&gt;1,"Duplicate","OK")</f>
        <v>OK</v>
      </c>
      <c r="R3357" s="1" t="str">
        <f t="shared" si="1"/>
        <v>#N/A</v>
      </c>
    </row>
    <row r="3358" ht="14.25" customHeight="1">
      <c r="A3358" s="61"/>
      <c r="B3358" s="55"/>
      <c r="C3358" s="55"/>
      <c r="D3358" s="55"/>
      <c r="E3358" s="55"/>
      <c r="F3358" s="55"/>
      <c r="G3358" s="55"/>
      <c r="H3358" s="62"/>
      <c r="I3358" s="62"/>
      <c r="J3358" s="55"/>
      <c r="K3358" s="55"/>
      <c r="L3358" s="55"/>
      <c r="P3358" s="1">
        <f>COUNTIF(Analysis!$M$1:$M$3001,Analysis!$M3358)</f>
        <v>0</v>
      </c>
      <c r="Q3358" s="1" t="str">
        <f>IF(COUNTIF(Analysis!$M$2:$M$3001,Analysis!$M3358)&gt;1,"Duplicate","OK")</f>
        <v>OK</v>
      </c>
      <c r="R3358" s="1" t="str">
        <f t="shared" si="1"/>
        <v>#N/A</v>
      </c>
    </row>
    <row r="3359" ht="14.25" customHeight="1">
      <c r="A3359" s="61"/>
      <c r="B3359" s="55"/>
      <c r="C3359" s="55"/>
      <c r="D3359" s="55"/>
      <c r="E3359" s="55"/>
      <c r="F3359" s="55"/>
      <c r="G3359" s="55"/>
      <c r="H3359" s="62"/>
      <c r="I3359" s="62"/>
      <c r="J3359" s="55"/>
      <c r="K3359" s="55"/>
      <c r="L3359" s="55"/>
      <c r="P3359" s="1">
        <f>COUNTIF(Analysis!$M$1:$M$3001,Analysis!$M3359)</f>
        <v>0</v>
      </c>
      <c r="Q3359" s="1" t="str">
        <f>IF(COUNTIF(Analysis!$M$2:$M$3001,Analysis!$M3359)&gt;1,"Duplicate","OK")</f>
        <v>OK</v>
      </c>
      <c r="R3359" s="1" t="str">
        <f t="shared" si="1"/>
        <v>#N/A</v>
      </c>
    </row>
    <row r="3360" ht="14.25" customHeight="1">
      <c r="A3360" s="61"/>
      <c r="B3360" s="55"/>
      <c r="C3360" s="55"/>
      <c r="D3360" s="55"/>
      <c r="E3360" s="55"/>
      <c r="F3360" s="55"/>
      <c r="G3360" s="55"/>
      <c r="H3360" s="62"/>
      <c r="I3360" s="62"/>
      <c r="J3360" s="55"/>
      <c r="K3360" s="55"/>
      <c r="L3360" s="55"/>
      <c r="P3360" s="1">
        <f>COUNTIF(Analysis!$M$1:$M$3001,Analysis!$M3360)</f>
        <v>0</v>
      </c>
      <c r="Q3360" s="1" t="str">
        <f>IF(COUNTIF(Analysis!$M$2:$M$3001,Analysis!$M3360)&gt;1,"Duplicate","OK")</f>
        <v>OK</v>
      </c>
      <c r="R3360" s="1" t="str">
        <f t="shared" si="1"/>
        <v>#N/A</v>
      </c>
    </row>
    <row r="3361" ht="14.25" customHeight="1">
      <c r="A3361" s="61"/>
      <c r="B3361" s="55"/>
      <c r="C3361" s="55"/>
      <c r="D3361" s="55"/>
      <c r="E3361" s="55"/>
      <c r="F3361" s="55"/>
      <c r="G3361" s="55"/>
      <c r="H3361" s="62"/>
      <c r="I3361" s="62"/>
      <c r="J3361" s="55"/>
      <c r="K3361" s="55"/>
      <c r="L3361" s="55"/>
      <c r="P3361" s="1">
        <f>COUNTIF(Analysis!$M$1:$M$3001,Analysis!$M3361)</f>
        <v>0</v>
      </c>
      <c r="Q3361" s="1" t="str">
        <f>IF(COUNTIF(Analysis!$M$2:$M$3001,Analysis!$M3361)&gt;1,"Duplicate","OK")</f>
        <v>OK</v>
      </c>
      <c r="R3361" s="1" t="str">
        <f t="shared" si="1"/>
        <v>#N/A</v>
      </c>
    </row>
    <row r="3362" ht="14.25" customHeight="1">
      <c r="A3362" s="61"/>
      <c r="B3362" s="55"/>
      <c r="C3362" s="55"/>
      <c r="D3362" s="55"/>
      <c r="E3362" s="55"/>
      <c r="F3362" s="55"/>
      <c r="G3362" s="55"/>
      <c r="H3362" s="62"/>
      <c r="I3362" s="62"/>
      <c r="J3362" s="55"/>
      <c r="K3362" s="55"/>
      <c r="L3362" s="55"/>
      <c r="P3362" s="1">
        <f>COUNTIF(Analysis!$M$1:$M$3001,Analysis!$M3362)</f>
        <v>0</v>
      </c>
      <c r="Q3362" s="1" t="str">
        <f>IF(COUNTIF(Analysis!$M$2:$M$3001,Analysis!$M3362)&gt;1,"Duplicate","OK")</f>
        <v>OK</v>
      </c>
      <c r="R3362" s="1" t="str">
        <f t="shared" si="1"/>
        <v>#N/A</v>
      </c>
    </row>
    <row r="3363" ht="14.25" customHeight="1">
      <c r="A3363" s="61"/>
      <c r="B3363" s="55"/>
      <c r="C3363" s="55"/>
      <c r="D3363" s="55"/>
      <c r="E3363" s="55"/>
      <c r="F3363" s="55"/>
      <c r="G3363" s="55"/>
      <c r="H3363" s="62"/>
      <c r="I3363" s="62"/>
      <c r="J3363" s="55"/>
      <c r="K3363" s="55"/>
      <c r="L3363" s="55"/>
      <c r="P3363" s="1">
        <f>COUNTIF(Analysis!$M$1:$M$3001,Analysis!$M3363)</f>
        <v>0</v>
      </c>
      <c r="Q3363" s="1" t="str">
        <f>IF(COUNTIF(Analysis!$M$2:$M$3001,Analysis!$M3363)&gt;1,"Duplicate","OK")</f>
        <v>OK</v>
      </c>
      <c r="R3363" s="1" t="str">
        <f t="shared" si="1"/>
        <v>#N/A</v>
      </c>
    </row>
    <row r="3364" ht="14.25" customHeight="1">
      <c r="A3364" s="61"/>
      <c r="B3364" s="55"/>
      <c r="C3364" s="55"/>
      <c r="D3364" s="55"/>
      <c r="E3364" s="55"/>
      <c r="F3364" s="55"/>
      <c r="G3364" s="55"/>
      <c r="H3364" s="62"/>
      <c r="I3364" s="62"/>
      <c r="J3364" s="55"/>
      <c r="K3364" s="55"/>
      <c r="L3364" s="55"/>
      <c r="P3364" s="1">
        <f>COUNTIF(Analysis!$M$1:$M$3001,Analysis!$M3364)</f>
        <v>0</v>
      </c>
      <c r="Q3364" s="1" t="str">
        <f>IF(COUNTIF(Analysis!$M$2:$M$3001,Analysis!$M3364)&gt;1,"Duplicate","OK")</f>
        <v>OK</v>
      </c>
      <c r="R3364" s="1" t="str">
        <f t="shared" si="1"/>
        <v>#N/A</v>
      </c>
    </row>
    <row r="3365" ht="14.25" customHeight="1">
      <c r="A3365" s="61"/>
      <c r="B3365" s="55"/>
      <c r="C3365" s="55"/>
      <c r="D3365" s="55"/>
      <c r="E3365" s="55"/>
      <c r="F3365" s="55"/>
      <c r="G3365" s="55"/>
      <c r="H3365" s="62"/>
      <c r="I3365" s="62"/>
      <c r="J3365" s="55"/>
      <c r="K3365" s="55"/>
      <c r="L3365" s="55"/>
      <c r="P3365" s="1">
        <f>COUNTIF(Analysis!$M$1:$M$3001,Analysis!$M3365)</f>
        <v>0</v>
      </c>
      <c r="Q3365" s="1" t="str">
        <f>IF(COUNTIF(Analysis!$M$2:$M$3001,Analysis!$M3365)&gt;1,"Duplicate","OK")</f>
        <v>OK</v>
      </c>
      <c r="R3365" s="1" t="str">
        <f t="shared" si="1"/>
        <v>#N/A</v>
      </c>
    </row>
    <row r="3366" ht="14.25" customHeight="1">
      <c r="A3366" s="61"/>
      <c r="B3366" s="55"/>
      <c r="C3366" s="55"/>
      <c r="D3366" s="55"/>
      <c r="E3366" s="55"/>
      <c r="F3366" s="55"/>
      <c r="G3366" s="55"/>
      <c r="H3366" s="62"/>
      <c r="I3366" s="62"/>
      <c r="J3366" s="55"/>
      <c r="K3366" s="55"/>
      <c r="L3366" s="55"/>
      <c r="P3366" s="1">
        <f>COUNTIF(Analysis!$M$1:$M$3001,Analysis!$M3366)</f>
        <v>0</v>
      </c>
      <c r="Q3366" s="1" t="str">
        <f>IF(COUNTIF(Analysis!$M$2:$M$3001,Analysis!$M3366)&gt;1,"Duplicate","OK")</f>
        <v>OK</v>
      </c>
      <c r="R3366" s="1" t="str">
        <f t="shared" si="1"/>
        <v>#N/A</v>
      </c>
    </row>
    <row r="3367" ht="14.25" customHeight="1">
      <c r="A3367" s="61"/>
      <c r="B3367" s="55"/>
      <c r="C3367" s="55"/>
      <c r="D3367" s="55"/>
      <c r="E3367" s="55"/>
      <c r="F3367" s="55"/>
      <c r="G3367" s="55"/>
      <c r="H3367" s="62"/>
      <c r="I3367" s="62"/>
      <c r="J3367" s="55"/>
      <c r="K3367" s="55"/>
      <c r="L3367" s="55"/>
      <c r="P3367" s="1">
        <f>COUNTIF(Analysis!$M$1:$M$3001,Analysis!$M3367)</f>
        <v>0</v>
      </c>
      <c r="Q3367" s="1" t="str">
        <f>IF(COUNTIF(Analysis!$M$2:$M$3001,Analysis!$M3367)&gt;1,"Duplicate","OK")</f>
        <v>OK</v>
      </c>
      <c r="R3367" s="1" t="str">
        <f t="shared" si="1"/>
        <v>#N/A</v>
      </c>
    </row>
    <row r="3368" ht="14.25" customHeight="1">
      <c r="A3368" s="61"/>
      <c r="B3368" s="55"/>
      <c r="C3368" s="55"/>
      <c r="D3368" s="55"/>
      <c r="E3368" s="55"/>
      <c r="F3368" s="55"/>
      <c r="G3368" s="55"/>
      <c r="H3368" s="62"/>
      <c r="I3368" s="62"/>
      <c r="J3368" s="55"/>
      <c r="K3368" s="55"/>
      <c r="L3368" s="55"/>
      <c r="P3368" s="1">
        <f>COUNTIF(Analysis!$M$1:$M$3001,Analysis!$M3368)</f>
        <v>0</v>
      </c>
      <c r="Q3368" s="1" t="str">
        <f>IF(COUNTIF(Analysis!$M$2:$M$3001,Analysis!$M3368)&gt;1,"Duplicate","OK")</f>
        <v>OK</v>
      </c>
      <c r="R3368" s="1" t="str">
        <f t="shared" si="1"/>
        <v>#N/A</v>
      </c>
    </row>
    <row r="3369" ht="14.25" customHeight="1">
      <c r="A3369" s="61"/>
      <c r="B3369" s="55"/>
      <c r="C3369" s="55"/>
      <c r="D3369" s="55"/>
      <c r="E3369" s="55"/>
      <c r="F3369" s="55"/>
      <c r="G3369" s="55"/>
      <c r="H3369" s="62"/>
      <c r="I3369" s="62"/>
      <c r="J3369" s="55"/>
      <c r="K3369" s="55"/>
      <c r="L3369" s="55"/>
      <c r="P3369" s="1">
        <f>COUNTIF(Analysis!$M$1:$M$3001,Analysis!$M3369)</f>
        <v>0</v>
      </c>
      <c r="Q3369" s="1" t="str">
        <f>IF(COUNTIF(Analysis!$M$2:$M$3001,Analysis!$M3369)&gt;1,"Duplicate","OK")</f>
        <v>OK</v>
      </c>
      <c r="R3369" s="1" t="str">
        <f t="shared" si="1"/>
        <v>#N/A</v>
      </c>
    </row>
    <row r="3370" ht="14.25" customHeight="1">
      <c r="A3370" s="61"/>
      <c r="B3370" s="55"/>
      <c r="C3370" s="55"/>
      <c r="D3370" s="55"/>
      <c r="E3370" s="55"/>
      <c r="F3370" s="55"/>
      <c r="G3370" s="55"/>
      <c r="H3370" s="62"/>
      <c r="I3370" s="62"/>
      <c r="J3370" s="55"/>
      <c r="K3370" s="55"/>
      <c r="L3370" s="55"/>
      <c r="P3370" s="1">
        <f>COUNTIF(Analysis!$M$1:$M$3001,Analysis!$M3370)</f>
        <v>0</v>
      </c>
      <c r="Q3370" s="1" t="str">
        <f>IF(COUNTIF(Analysis!$M$2:$M$3001,Analysis!$M3370)&gt;1,"Duplicate","OK")</f>
        <v>OK</v>
      </c>
      <c r="R3370" s="1" t="str">
        <f t="shared" si="1"/>
        <v>#N/A</v>
      </c>
    </row>
    <row r="3371" ht="14.25" customHeight="1">
      <c r="A3371" s="61"/>
      <c r="B3371" s="55"/>
      <c r="C3371" s="55"/>
      <c r="D3371" s="55"/>
      <c r="E3371" s="55"/>
      <c r="F3371" s="55"/>
      <c r="G3371" s="55"/>
      <c r="H3371" s="62"/>
      <c r="I3371" s="62"/>
      <c r="J3371" s="55"/>
      <c r="K3371" s="55"/>
      <c r="L3371" s="55"/>
      <c r="P3371" s="1">
        <f>COUNTIF(Analysis!$M$1:$M$3001,Analysis!$M3371)</f>
        <v>0</v>
      </c>
      <c r="Q3371" s="1" t="str">
        <f>IF(COUNTIF(Analysis!$M$2:$M$3001,Analysis!$M3371)&gt;1,"Duplicate","OK")</f>
        <v>OK</v>
      </c>
      <c r="R3371" s="1" t="str">
        <f t="shared" si="1"/>
        <v>#N/A</v>
      </c>
    </row>
    <row r="3372" ht="14.25" customHeight="1">
      <c r="A3372" s="61"/>
      <c r="B3372" s="55"/>
      <c r="C3372" s="55"/>
      <c r="D3372" s="55"/>
      <c r="E3372" s="55"/>
      <c r="F3372" s="55"/>
      <c r="G3372" s="55"/>
      <c r="H3372" s="62"/>
      <c r="I3372" s="62"/>
      <c r="J3372" s="55"/>
      <c r="K3372" s="55"/>
      <c r="L3372" s="55"/>
      <c r="P3372" s="1">
        <f>COUNTIF(Analysis!$M$1:$M$3001,Analysis!$M3372)</f>
        <v>0</v>
      </c>
      <c r="Q3372" s="1" t="str">
        <f>IF(COUNTIF(Analysis!$M$2:$M$3001,Analysis!$M3372)&gt;1,"Duplicate","OK")</f>
        <v>OK</v>
      </c>
      <c r="R3372" s="1" t="str">
        <f t="shared" si="1"/>
        <v>#N/A</v>
      </c>
    </row>
    <row r="3373" ht="14.25" customHeight="1">
      <c r="A3373" s="61"/>
      <c r="B3373" s="55"/>
      <c r="C3373" s="55"/>
      <c r="D3373" s="55"/>
      <c r="E3373" s="55"/>
      <c r="F3373" s="55"/>
      <c r="G3373" s="55"/>
      <c r="H3373" s="62"/>
      <c r="I3373" s="62"/>
      <c r="J3373" s="55"/>
      <c r="K3373" s="55"/>
      <c r="L3373" s="55"/>
      <c r="P3373" s="1">
        <f>COUNTIF(Analysis!$M$1:$M$3001,Analysis!$M3373)</f>
        <v>0</v>
      </c>
      <c r="Q3373" s="1" t="str">
        <f>IF(COUNTIF(Analysis!$M$2:$M$3001,Analysis!$M3373)&gt;1,"Duplicate","OK")</f>
        <v>OK</v>
      </c>
      <c r="R3373" s="1" t="str">
        <f t="shared" si="1"/>
        <v>#N/A</v>
      </c>
    </row>
    <row r="3374" ht="14.25" customHeight="1">
      <c r="A3374" s="61"/>
      <c r="B3374" s="55"/>
      <c r="C3374" s="55"/>
      <c r="D3374" s="55"/>
      <c r="E3374" s="55"/>
      <c r="F3374" s="55"/>
      <c r="G3374" s="55"/>
      <c r="H3374" s="62"/>
      <c r="I3374" s="62"/>
      <c r="J3374" s="55"/>
      <c r="K3374" s="55"/>
      <c r="L3374" s="55"/>
      <c r="P3374" s="1">
        <f>COUNTIF(Analysis!$M$1:$M$3001,Analysis!$M3374)</f>
        <v>0</v>
      </c>
      <c r="Q3374" s="1" t="str">
        <f>IF(COUNTIF(Analysis!$M$2:$M$3001,Analysis!$M3374)&gt;1,"Duplicate","OK")</f>
        <v>OK</v>
      </c>
      <c r="R3374" s="1" t="str">
        <f t="shared" si="1"/>
        <v>#N/A</v>
      </c>
    </row>
    <row r="3375" ht="14.25" customHeight="1">
      <c r="A3375" s="61"/>
      <c r="B3375" s="55"/>
      <c r="C3375" s="55"/>
      <c r="D3375" s="55"/>
      <c r="E3375" s="55"/>
      <c r="F3375" s="55"/>
      <c r="G3375" s="55"/>
      <c r="H3375" s="62"/>
      <c r="I3375" s="62"/>
      <c r="J3375" s="55"/>
      <c r="K3375" s="55"/>
      <c r="L3375" s="55"/>
      <c r="P3375" s="1">
        <f>COUNTIF(Analysis!$M$1:$M$3001,Analysis!$M3375)</f>
        <v>0</v>
      </c>
      <c r="Q3375" s="1" t="str">
        <f>IF(COUNTIF(Analysis!$M$2:$M$3001,Analysis!$M3375)&gt;1,"Duplicate","OK")</f>
        <v>OK</v>
      </c>
      <c r="R3375" s="1" t="str">
        <f t="shared" si="1"/>
        <v>#N/A</v>
      </c>
    </row>
    <row r="3376" ht="14.25" customHeight="1">
      <c r="A3376" s="61"/>
      <c r="B3376" s="55"/>
      <c r="C3376" s="55"/>
      <c r="D3376" s="55"/>
      <c r="E3376" s="55"/>
      <c r="F3376" s="55"/>
      <c r="G3376" s="55"/>
      <c r="H3376" s="62"/>
      <c r="I3376" s="62"/>
      <c r="J3376" s="55"/>
      <c r="K3376" s="55"/>
      <c r="L3376" s="55"/>
      <c r="P3376" s="1">
        <f>COUNTIF(Analysis!$M$1:$M$3001,Analysis!$M3376)</f>
        <v>0</v>
      </c>
      <c r="Q3376" s="1" t="str">
        <f>IF(COUNTIF(Analysis!$M$2:$M$3001,Analysis!$M3376)&gt;1,"Duplicate","OK")</f>
        <v>OK</v>
      </c>
      <c r="R3376" s="1" t="str">
        <f t="shared" si="1"/>
        <v>#N/A</v>
      </c>
    </row>
    <row r="3377" ht="14.25" customHeight="1">
      <c r="A3377" s="61"/>
      <c r="B3377" s="55"/>
      <c r="C3377" s="55"/>
      <c r="D3377" s="55"/>
      <c r="E3377" s="55"/>
      <c r="F3377" s="55"/>
      <c r="G3377" s="55"/>
      <c r="H3377" s="62"/>
      <c r="I3377" s="62"/>
      <c r="J3377" s="55"/>
      <c r="K3377" s="55"/>
      <c r="L3377" s="55"/>
      <c r="P3377" s="1">
        <f>COUNTIF(Analysis!$M$1:$M$3001,Analysis!$M3377)</f>
        <v>0</v>
      </c>
      <c r="Q3377" s="1" t="str">
        <f>IF(COUNTIF(Analysis!$M$2:$M$3001,Analysis!$M3377)&gt;1,"Duplicate","OK")</f>
        <v>OK</v>
      </c>
      <c r="R3377" s="1" t="str">
        <f t="shared" si="1"/>
        <v>#N/A</v>
      </c>
    </row>
    <row r="3378" ht="14.25" customHeight="1">
      <c r="A3378" s="61"/>
      <c r="B3378" s="55"/>
      <c r="C3378" s="55"/>
      <c r="D3378" s="55"/>
      <c r="E3378" s="55"/>
      <c r="F3378" s="55"/>
      <c r="G3378" s="55"/>
      <c r="H3378" s="62"/>
      <c r="I3378" s="62"/>
      <c r="J3378" s="55"/>
      <c r="K3378" s="55"/>
      <c r="L3378" s="55"/>
      <c r="P3378" s="1">
        <f>COUNTIF(Analysis!$M$1:$M$3001,Analysis!$M3378)</f>
        <v>0</v>
      </c>
      <c r="Q3378" s="1" t="str">
        <f>IF(COUNTIF(Analysis!$M$2:$M$3001,Analysis!$M3378)&gt;1,"Duplicate","OK")</f>
        <v>OK</v>
      </c>
      <c r="R3378" s="1" t="str">
        <f t="shared" si="1"/>
        <v>#N/A</v>
      </c>
    </row>
    <row r="3379" ht="14.25" customHeight="1">
      <c r="A3379" s="61"/>
      <c r="B3379" s="55"/>
      <c r="C3379" s="55"/>
      <c r="D3379" s="55"/>
      <c r="E3379" s="55"/>
      <c r="F3379" s="55"/>
      <c r="G3379" s="55"/>
      <c r="H3379" s="62"/>
      <c r="I3379" s="62"/>
      <c r="J3379" s="55"/>
      <c r="K3379" s="55"/>
      <c r="L3379" s="55"/>
      <c r="P3379" s="1">
        <f>COUNTIF(Analysis!$M$1:$M$3001,Analysis!$M3379)</f>
        <v>0</v>
      </c>
      <c r="Q3379" s="1" t="str">
        <f>IF(COUNTIF(Analysis!$M$2:$M$3001,Analysis!$M3379)&gt;1,"Duplicate","OK")</f>
        <v>OK</v>
      </c>
      <c r="R3379" s="1" t="str">
        <f t="shared" si="1"/>
        <v>#N/A</v>
      </c>
    </row>
    <row r="3380" ht="14.25" customHeight="1">
      <c r="A3380" s="61"/>
      <c r="B3380" s="55"/>
      <c r="C3380" s="55"/>
      <c r="D3380" s="55"/>
      <c r="E3380" s="55"/>
      <c r="F3380" s="55"/>
      <c r="G3380" s="55"/>
      <c r="H3380" s="62"/>
      <c r="I3380" s="62"/>
      <c r="J3380" s="55"/>
      <c r="K3380" s="55"/>
      <c r="L3380" s="55"/>
      <c r="P3380" s="1">
        <f>COUNTIF(Analysis!$M$1:$M$3001,Analysis!$M3380)</f>
        <v>0</v>
      </c>
      <c r="Q3380" s="1" t="str">
        <f>IF(COUNTIF(Analysis!$M$2:$M$3001,Analysis!$M3380)&gt;1,"Duplicate","OK")</f>
        <v>OK</v>
      </c>
      <c r="R3380" s="1" t="str">
        <f t="shared" si="1"/>
        <v>#N/A</v>
      </c>
    </row>
    <row r="3381" ht="14.25" customHeight="1">
      <c r="A3381" s="61"/>
      <c r="B3381" s="55"/>
      <c r="C3381" s="55"/>
      <c r="D3381" s="55"/>
      <c r="E3381" s="55"/>
      <c r="F3381" s="55"/>
      <c r="G3381" s="55"/>
      <c r="H3381" s="62"/>
      <c r="I3381" s="62"/>
      <c r="J3381" s="55"/>
      <c r="K3381" s="55"/>
      <c r="L3381" s="55"/>
      <c r="P3381" s="1">
        <f>COUNTIF(Analysis!$M$1:$M$3001,Analysis!$M3381)</f>
        <v>0</v>
      </c>
      <c r="Q3381" s="1" t="str">
        <f>IF(COUNTIF(Analysis!$M$2:$M$3001,Analysis!$M3381)&gt;1,"Duplicate","OK")</f>
        <v>OK</v>
      </c>
      <c r="R3381" s="1" t="str">
        <f t="shared" si="1"/>
        <v>#N/A</v>
      </c>
    </row>
    <row r="3382" ht="14.25" customHeight="1">
      <c r="A3382" s="61"/>
      <c r="B3382" s="55"/>
      <c r="C3382" s="55"/>
      <c r="D3382" s="55"/>
      <c r="E3382" s="55"/>
      <c r="F3382" s="55"/>
      <c r="G3382" s="55"/>
      <c r="H3382" s="62"/>
      <c r="I3382" s="62"/>
      <c r="J3382" s="55"/>
      <c r="K3382" s="55"/>
      <c r="L3382" s="55"/>
      <c r="P3382" s="1">
        <f>COUNTIF(Analysis!$M$1:$M$3001,Analysis!$M3382)</f>
        <v>0</v>
      </c>
      <c r="Q3382" s="1" t="str">
        <f>IF(COUNTIF(Analysis!$M$2:$M$3001,Analysis!$M3382)&gt;1,"Duplicate","OK")</f>
        <v>OK</v>
      </c>
      <c r="R3382" s="1" t="str">
        <f t="shared" si="1"/>
        <v>#N/A</v>
      </c>
    </row>
    <row r="3383" ht="14.25" customHeight="1">
      <c r="A3383" s="61"/>
      <c r="B3383" s="55"/>
      <c r="C3383" s="55"/>
      <c r="D3383" s="55"/>
      <c r="E3383" s="55"/>
      <c r="F3383" s="55"/>
      <c r="G3383" s="55"/>
      <c r="H3383" s="62"/>
      <c r="I3383" s="62"/>
      <c r="J3383" s="55"/>
      <c r="K3383" s="55"/>
      <c r="L3383" s="55"/>
      <c r="P3383" s="1">
        <f>COUNTIF(Analysis!$M$1:$M$3001,Analysis!$M3383)</f>
        <v>0</v>
      </c>
      <c r="Q3383" s="1" t="str">
        <f>IF(COUNTIF(Analysis!$M$2:$M$3001,Analysis!$M3383)&gt;1,"Duplicate","OK")</f>
        <v>OK</v>
      </c>
      <c r="R3383" s="1" t="str">
        <f t="shared" si="1"/>
        <v>#N/A</v>
      </c>
    </row>
    <row r="3384" ht="14.25" customHeight="1">
      <c r="A3384" s="61"/>
      <c r="B3384" s="55"/>
      <c r="C3384" s="55"/>
      <c r="D3384" s="55"/>
      <c r="E3384" s="55"/>
      <c r="F3384" s="55"/>
      <c r="G3384" s="55"/>
      <c r="H3384" s="62"/>
      <c r="I3384" s="62"/>
      <c r="J3384" s="55"/>
      <c r="K3384" s="55"/>
      <c r="L3384" s="55"/>
      <c r="P3384" s="1">
        <f>COUNTIF(Analysis!$M$1:$M$3001,Analysis!$M3384)</f>
        <v>0</v>
      </c>
      <c r="Q3384" s="1" t="str">
        <f>IF(COUNTIF(Analysis!$M$2:$M$3001,Analysis!$M3384)&gt;1,"Duplicate","OK")</f>
        <v>OK</v>
      </c>
      <c r="R3384" s="1" t="str">
        <f t="shared" si="1"/>
        <v>#N/A</v>
      </c>
    </row>
    <row r="3385" ht="14.25" customHeight="1">
      <c r="A3385" s="61"/>
      <c r="B3385" s="55"/>
      <c r="C3385" s="55"/>
      <c r="D3385" s="55"/>
      <c r="E3385" s="55"/>
      <c r="F3385" s="55"/>
      <c r="G3385" s="55"/>
      <c r="H3385" s="62"/>
      <c r="I3385" s="62"/>
      <c r="J3385" s="55"/>
      <c r="K3385" s="55"/>
      <c r="L3385" s="55"/>
      <c r="P3385" s="1">
        <f>COUNTIF(Analysis!$M$1:$M$3001,Analysis!$M3385)</f>
        <v>0</v>
      </c>
      <c r="Q3385" s="1" t="str">
        <f>IF(COUNTIF(Analysis!$M$2:$M$3001,Analysis!$M3385)&gt;1,"Duplicate","OK")</f>
        <v>OK</v>
      </c>
      <c r="R3385" s="1" t="str">
        <f t="shared" si="1"/>
        <v>#N/A</v>
      </c>
    </row>
    <row r="3386" ht="14.25" customHeight="1">
      <c r="A3386" s="61"/>
      <c r="B3386" s="55"/>
      <c r="C3386" s="55"/>
      <c r="D3386" s="55"/>
      <c r="E3386" s="55"/>
      <c r="F3386" s="55"/>
      <c r="G3386" s="55"/>
      <c r="H3386" s="62"/>
      <c r="I3386" s="62"/>
      <c r="J3386" s="55"/>
      <c r="K3386" s="55"/>
      <c r="L3386" s="55"/>
      <c r="P3386" s="1">
        <f>COUNTIF(Analysis!$M$1:$M$3001,Analysis!$M3386)</f>
        <v>0</v>
      </c>
      <c r="Q3386" s="1" t="str">
        <f>IF(COUNTIF(Analysis!$M$2:$M$3001,Analysis!$M3386)&gt;1,"Duplicate","OK")</f>
        <v>OK</v>
      </c>
      <c r="R3386" s="1" t="str">
        <f t="shared" si="1"/>
        <v>#N/A</v>
      </c>
    </row>
    <row r="3387" ht="14.25" customHeight="1">
      <c r="A3387" s="61"/>
      <c r="B3387" s="55"/>
      <c r="C3387" s="55"/>
      <c r="D3387" s="55"/>
      <c r="E3387" s="55"/>
      <c r="F3387" s="55"/>
      <c r="G3387" s="55"/>
      <c r="H3387" s="62"/>
      <c r="I3387" s="62"/>
      <c r="J3387" s="55"/>
      <c r="K3387" s="55"/>
      <c r="L3387" s="55"/>
      <c r="P3387" s="1">
        <f>COUNTIF(Analysis!$M$1:$M$3001,Analysis!$M3387)</f>
        <v>0</v>
      </c>
      <c r="Q3387" s="1" t="str">
        <f>IF(COUNTIF(Analysis!$M$2:$M$3001,Analysis!$M3387)&gt;1,"Duplicate","OK")</f>
        <v>OK</v>
      </c>
      <c r="R3387" s="1" t="str">
        <f t="shared" si="1"/>
        <v>#N/A</v>
      </c>
    </row>
    <row r="3388" ht="14.25" customHeight="1">
      <c r="A3388" s="61"/>
      <c r="B3388" s="55"/>
      <c r="C3388" s="55"/>
      <c r="D3388" s="55"/>
      <c r="E3388" s="55"/>
      <c r="F3388" s="55"/>
      <c r="G3388" s="55"/>
      <c r="H3388" s="62"/>
      <c r="I3388" s="62"/>
      <c r="J3388" s="55"/>
      <c r="K3388" s="55"/>
      <c r="L3388" s="55"/>
      <c r="P3388" s="1">
        <f>COUNTIF(Analysis!$M$1:$M$3001,Analysis!$M3388)</f>
        <v>0</v>
      </c>
      <c r="Q3388" s="1" t="str">
        <f>IF(COUNTIF(Analysis!$M$2:$M$3001,Analysis!$M3388)&gt;1,"Duplicate","OK")</f>
        <v>OK</v>
      </c>
      <c r="R3388" s="1" t="str">
        <f t="shared" si="1"/>
        <v>#N/A</v>
      </c>
    </row>
    <row r="3389" ht="14.25" customHeight="1">
      <c r="A3389" s="61"/>
      <c r="B3389" s="55"/>
      <c r="C3389" s="55"/>
      <c r="D3389" s="55"/>
      <c r="E3389" s="55"/>
      <c r="F3389" s="55"/>
      <c r="G3389" s="55"/>
      <c r="H3389" s="62"/>
      <c r="I3389" s="62"/>
      <c r="J3389" s="55"/>
      <c r="K3389" s="55"/>
      <c r="L3389" s="55"/>
      <c r="P3389" s="1">
        <f>COUNTIF(Analysis!$M$1:$M$3001,Analysis!$M3389)</f>
        <v>0</v>
      </c>
      <c r="Q3389" s="1" t="str">
        <f>IF(COUNTIF(Analysis!$M$2:$M$3001,Analysis!$M3389)&gt;1,"Duplicate","OK")</f>
        <v>OK</v>
      </c>
      <c r="R3389" s="1" t="str">
        <f t="shared" si="1"/>
        <v>#N/A</v>
      </c>
    </row>
    <row r="3390" ht="14.25" customHeight="1">
      <c r="A3390" s="61"/>
      <c r="B3390" s="55"/>
      <c r="C3390" s="55"/>
      <c r="D3390" s="55"/>
      <c r="E3390" s="55"/>
      <c r="F3390" s="55"/>
      <c r="G3390" s="55"/>
      <c r="H3390" s="62"/>
      <c r="I3390" s="62"/>
      <c r="J3390" s="55"/>
      <c r="K3390" s="55"/>
      <c r="L3390" s="55"/>
      <c r="P3390" s="1">
        <f>COUNTIF(Analysis!$M$1:$M$3001,Analysis!$M3390)</f>
        <v>0</v>
      </c>
      <c r="Q3390" s="1" t="str">
        <f>IF(COUNTIF(Analysis!$M$2:$M$3001,Analysis!$M3390)&gt;1,"Duplicate","OK")</f>
        <v>OK</v>
      </c>
      <c r="R3390" s="1" t="str">
        <f t="shared" si="1"/>
        <v>#N/A</v>
      </c>
    </row>
    <row r="3391" ht="14.25" customHeight="1">
      <c r="A3391" s="61"/>
      <c r="B3391" s="55"/>
      <c r="C3391" s="55"/>
      <c r="D3391" s="55"/>
      <c r="E3391" s="55"/>
      <c r="F3391" s="55"/>
      <c r="G3391" s="55"/>
      <c r="H3391" s="62"/>
      <c r="I3391" s="62"/>
      <c r="J3391" s="55"/>
      <c r="K3391" s="55"/>
      <c r="L3391" s="55"/>
      <c r="P3391" s="1">
        <f>COUNTIF(Analysis!$M$1:$M$3001,Analysis!$M3391)</f>
        <v>0</v>
      </c>
      <c r="Q3391" s="1" t="str">
        <f>IF(COUNTIF(Analysis!$M$2:$M$3001,Analysis!$M3391)&gt;1,"Duplicate","OK")</f>
        <v>OK</v>
      </c>
      <c r="R3391" s="1" t="str">
        <f t="shared" si="1"/>
        <v>#N/A</v>
      </c>
    </row>
    <row r="3392" ht="14.25" customHeight="1">
      <c r="A3392" s="61"/>
      <c r="B3392" s="55"/>
      <c r="C3392" s="55"/>
      <c r="D3392" s="55"/>
      <c r="E3392" s="55"/>
      <c r="F3392" s="55"/>
      <c r="G3392" s="55"/>
      <c r="H3392" s="62"/>
      <c r="I3392" s="62"/>
      <c r="J3392" s="55"/>
      <c r="K3392" s="55"/>
      <c r="L3392" s="55"/>
      <c r="P3392" s="1">
        <f>COUNTIF(Analysis!$M$1:$M$3001,Analysis!$M3392)</f>
        <v>0</v>
      </c>
      <c r="Q3392" s="1" t="str">
        <f>IF(COUNTIF(Analysis!$M$2:$M$3001,Analysis!$M3392)&gt;1,"Duplicate","OK")</f>
        <v>OK</v>
      </c>
      <c r="R3392" s="1" t="str">
        <f t="shared" si="1"/>
        <v>#N/A</v>
      </c>
    </row>
    <row r="3393" ht="14.25" customHeight="1">
      <c r="A3393" s="61"/>
      <c r="B3393" s="55"/>
      <c r="C3393" s="55"/>
      <c r="D3393" s="55"/>
      <c r="E3393" s="55"/>
      <c r="F3393" s="55"/>
      <c r="G3393" s="55"/>
      <c r="H3393" s="62"/>
      <c r="I3393" s="62"/>
      <c r="J3393" s="55"/>
      <c r="K3393" s="55"/>
      <c r="L3393" s="55"/>
      <c r="P3393" s="1">
        <f>COUNTIF(Analysis!$M$1:$M$3001,Analysis!$M3393)</f>
        <v>0</v>
      </c>
      <c r="Q3393" s="1" t="str">
        <f>IF(COUNTIF(Analysis!$M$2:$M$3001,Analysis!$M3393)&gt;1,"Duplicate","OK")</f>
        <v>OK</v>
      </c>
      <c r="R3393" s="1" t="str">
        <f t="shared" si="1"/>
        <v>#N/A</v>
      </c>
    </row>
    <row r="3394" ht="14.25" customHeight="1">
      <c r="A3394" s="61"/>
      <c r="B3394" s="55"/>
      <c r="C3394" s="55"/>
      <c r="D3394" s="55"/>
      <c r="E3394" s="55"/>
      <c r="F3394" s="55"/>
      <c r="G3394" s="55"/>
      <c r="H3394" s="62"/>
      <c r="I3394" s="62"/>
      <c r="J3394" s="55"/>
      <c r="K3394" s="55"/>
      <c r="L3394" s="55"/>
      <c r="P3394" s="1">
        <f>COUNTIF(Analysis!$M$1:$M$3001,Analysis!$M3394)</f>
        <v>0</v>
      </c>
      <c r="Q3394" s="1" t="str">
        <f>IF(COUNTIF(Analysis!$M$2:$M$3001,Analysis!$M3394)&gt;1,"Duplicate","OK")</f>
        <v>OK</v>
      </c>
      <c r="R3394" s="1" t="str">
        <f t="shared" si="1"/>
        <v>#N/A</v>
      </c>
    </row>
    <row r="3395" ht="14.25" customHeight="1">
      <c r="A3395" s="61"/>
      <c r="B3395" s="55"/>
      <c r="C3395" s="55"/>
      <c r="D3395" s="55"/>
      <c r="E3395" s="55"/>
      <c r="F3395" s="55"/>
      <c r="G3395" s="55"/>
      <c r="H3395" s="62"/>
      <c r="I3395" s="62"/>
      <c r="J3395" s="55"/>
      <c r="K3395" s="55"/>
      <c r="L3395" s="55"/>
      <c r="P3395" s="1">
        <f>COUNTIF(Analysis!$M$1:$M$3001,Analysis!$M3395)</f>
        <v>0</v>
      </c>
      <c r="Q3395" s="1" t="str">
        <f>IF(COUNTIF(Analysis!$M$2:$M$3001,Analysis!$M3395)&gt;1,"Duplicate","OK")</f>
        <v>OK</v>
      </c>
      <c r="R3395" s="1" t="str">
        <f t="shared" si="1"/>
        <v>#N/A</v>
      </c>
    </row>
    <row r="3396" ht="14.25" customHeight="1">
      <c r="A3396" s="61"/>
      <c r="B3396" s="55"/>
      <c r="C3396" s="55"/>
      <c r="D3396" s="55"/>
      <c r="E3396" s="55"/>
      <c r="F3396" s="55"/>
      <c r="G3396" s="55"/>
      <c r="H3396" s="62"/>
      <c r="I3396" s="62"/>
      <c r="J3396" s="55"/>
      <c r="K3396" s="55"/>
      <c r="L3396" s="55"/>
      <c r="P3396" s="1">
        <f>COUNTIF(Analysis!$M$1:$M$3001,Analysis!$M3396)</f>
        <v>0</v>
      </c>
      <c r="Q3396" s="1" t="str">
        <f>IF(COUNTIF(Analysis!$M$2:$M$3001,Analysis!$M3396)&gt;1,"Duplicate","OK")</f>
        <v>OK</v>
      </c>
      <c r="R3396" s="1" t="str">
        <f t="shared" si="1"/>
        <v>#N/A</v>
      </c>
    </row>
    <row r="3397" ht="14.25" customHeight="1">
      <c r="A3397" s="61"/>
      <c r="B3397" s="55"/>
      <c r="C3397" s="55"/>
      <c r="D3397" s="55"/>
      <c r="E3397" s="55"/>
      <c r="F3397" s="55"/>
      <c r="G3397" s="55"/>
      <c r="H3397" s="62"/>
      <c r="I3397" s="62"/>
      <c r="J3397" s="55"/>
      <c r="K3397" s="55"/>
      <c r="L3397" s="55"/>
      <c r="P3397" s="1">
        <f>COUNTIF(Analysis!$M$1:$M$3001,Analysis!$M3397)</f>
        <v>0</v>
      </c>
      <c r="Q3397" s="1" t="str">
        <f>IF(COUNTIF(Analysis!$M$2:$M$3001,Analysis!$M3397)&gt;1,"Duplicate","OK")</f>
        <v>OK</v>
      </c>
      <c r="R3397" s="1" t="str">
        <f t="shared" si="1"/>
        <v>#N/A</v>
      </c>
    </row>
    <row r="3398" ht="14.25" customHeight="1">
      <c r="A3398" s="61"/>
      <c r="B3398" s="55"/>
      <c r="C3398" s="55"/>
      <c r="D3398" s="55"/>
      <c r="E3398" s="55"/>
      <c r="F3398" s="55"/>
      <c r="G3398" s="55"/>
      <c r="H3398" s="62"/>
      <c r="I3398" s="62"/>
      <c r="J3398" s="55"/>
      <c r="K3398" s="55"/>
      <c r="L3398" s="55"/>
      <c r="P3398" s="1">
        <f>COUNTIF(Analysis!$M$1:$M$3001,Analysis!$M3398)</f>
        <v>0</v>
      </c>
      <c r="Q3398" s="1" t="str">
        <f>IF(COUNTIF(Analysis!$M$2:$M$3001,Analysis!$M3398)&gt;1,"Duplicate","OK")</f>
        <v>OK</v>
      </c>
      <c r="R3398" s="1" t="str">
        <f t="shared" si="1"/>
        <v>#N/A</v>
      </c>
    </row>
    <row r="3399" ht="14.25" customHeight="1">
      <c r="A3399" s="61"/>
      <c r="B3399" s="55"/>
      <c r="C3399" s="55"/>
      <c r="D3399" s="55"/>
      <c r="E3399" s="55"/>
      <c r="F3399" s="55"/>
      <c r="G3399" s="55"/>
      <c r="H3399" s="62"/>
      <c r="I3399" s="62"/>
      <c r="J3399" s="55"/>
      <c r="K3399" s="55"/>
      <c r="L3399" s="55"/>
      <c r="P3399" s="1">
        <f>COUNTIF(Analysis!$M$1:$M$3001,Analysis!$M3399)</f>
        <v>0</v>
      </c>
      <c r="Q3399" s="1" t="str">
        <f>IF(COUNTIF(Analysis!$M$2:$M$3001,Analysis!$M3399)&gt;1,"Duplicate","OK")</f>
        <v>OK</v>
      </c>
      <c r="R3399" s="1" t="str">
        <f t="shared" si="1"/>
        <v>#N/A</v>
      </c>
    </row>
    <row r="3400" ht="14.25" customHeight="1">
      <c r="A3400" s="61"/>
      <c r="B3400" s="55"/>
      <c r="C3400" s="55"/>
      <c r="D3400" s="55"/>
      <c r="E3400" s="55"/>
      <c r="F3400" s="55"/>
      <c r="G3400" s="55"/>
      <c r="H3400" s="62"/>
      <c r="I3400" s="62"/>
      <c r="J3400" s="55"/>
      <c r="K3400" s="55"/>
      <c r="L3400" s="55"/>
      <c r="P3400" s="1">
        <f>COUNTIF(Analysis!$M$1:$M$3001,Analysis!$M3400)</f>
        <v>0</v>
      </c>
      <c r="Q3400" s="1" t="str">
        <f>IF(COUNTIF(Analysis!$M$2:$M$3001,Analysis!$M3400)&gt;1,"Duplicate","OK")</f>
        <v>OK</v>
      </c>
      <c r="R3400" s="1" t="str">
        <f t="shared" si="1"/>
        <v>#N/A</v>
      </c>
    </row>
    <row r="3401" ht="14.25" customHeight="1">
      <c r="A3401" s="61"/>
      <c r="B3401" s="55"/>
      <c r="C3401" s="55"/>
      <c r="D3401" s="55"/>
      <c r="E3401" s="55"/>
      <c r="F3401" s="55"/>
      <c r="G3401" s="55"/>
      <c r="H3401" s="62"/>
      <c r="I3401" s="62"/>
      <c r="J3401" s="55"/>
      <c r="K3401" s="55"/>
      <c r="L3401" s="55"/>
      <c r="P3401" s="1">
        <f>COUNTIF(Analysis!$M$1:$M$3001,Analysis!$M3401)</f>
        <v>0</v>
      </c>
      <c r="Q3401" s="1" t="str">
        <f>IF(COUNTIF(Analysis!$M$2:$M$3001,Analysis!$M3401)&gt;1,"Duplicate","OK")</f>
        <v>OK</v>
      </c>
      <c r="R3401" s="1" t="str">
        <f t="shared" si="1"/>
        <v>#N/A</v>
      </c>
    </row>
    <row r="3402" ht="14.25" customHeight="1">
      <c r="A3402" s="61"/>
      <c r="B3402" s="55"/>
      <c r="C3402" s="55"/>
      <c r="D3402" s="55"/>
      <c r="E3402" s="55"/>
      <c r="F3402" s="55"/>
      <c r="G3402" s="55"/>
      <c r="H3402" s="62"/>
      <c r="I3402" s="62"/>
      <c r="J3402" s="55"/>
      <c r="K3402" s="55"/>
      <c r="L3402" s="55"/>
      <c r="P3402" s="1">
        <f>COUNTIF(Analysis!$M$1:$M$3001,Analysis!$M3402)</f>
        <v>0</v>
      </c>
      <c r="Q3402" s="1" t="str">
        <f>IF(COUNTIF(Analysis!$M$2:$M$3001,Analysis!$M3402)&gt;1,"Duplicate","OK")</f>
        <v>OK</v>
      </c>
      <c r="R3402" s="1" t="str">
        <f t="shared" si="1"/>
        <v>#N/A</v>
      </c>
    </row>
    <row r="3403" ht="14.25" customHeight="1">
      <c r="A3403" s="61"/>
      <c r="B3403" s="55"/>
      <c r="C3403" s="55"/>
      <c r="D3403" s="55"/>
      <c r="E3403" s="55"/>
      <c r="F3403" s="55"/>
      <c r="G3403" s="55"/>
      <c r="H3403" s="62"/>
      <c r="I3403" s="62"/>
      <c r="J3403" s="55"/>
      <c r="K3403" s="55"/>
      <c r="L3403" s="55"/>
      <c r="P3403" s="1">
        <f>COUNTIF(Analysis!$M$1:$M$3001,Analysis!$M3403)</f>
        <v>0</v>
      </c>
      <c r="Q3403" s="1" t="str">
        <f>IF(COUNTIF(Analysis!$M$2:$M$3001,Analysis!$M3403)&gt;1,"Duplicate","OK")</f>
        <v>OK</v>
      </c>
      <c r="R3403" s="1" t="str">
        <f t="shared" si="1"/>
        <v>#N/A</v>
      </c>
    </row>
    <row r="3404" ht="14.25" customHeight="1">
      <c r="A3404" s="61"/>
      <c r="B3404" s="55"/>
      <c r="C3404" s="55"/>
      <c r="D3404" s="55"/>
      <c r="E3404" s="55"/>
      <c r="F3404" s="55"/>
      <c r="G3404" s="55"/>
      <c r="H3404" s="62"/>
      <c r="I3404" s="62"/>
      <c r="J3404" s="55"/>
      <c r="K3404" s="55"/>
      <c r="L3404" s="55"/>
      <c r="P3404" s="1">
        <f>COUNTIF(Analysis!$M$1:$M$3001,Analysis!$M3404)</f>
        <v>0</v>
      </c>
      <c r="Q3404" s="1" t="str">
        <f>IF(COUNTIF(Analysis!$M$2:$M$3001,Analysis!$M3404)&gt;1,"Duplicate","OK")</f>
        <v>OK</v>
      </c>
      <c r="R3404" s="1" t="str">
        <f t="shared" si="1"/>
        <v>#N/A</v>
      </c>
    </row>
    <row r="3405" ht="14.25" customHeight="1">
      <c r="A3405" s="61"/>
      <c r="B3405" s="55"/>
      <c r="C3405" s="55"/>
      <c r="D3405" s="55"/>
      <c r="E3405" s="55"/>
      <c r="F3405" s="55"/>
      <c r="G3405" s="55"/>
      <c r="H3405" s="62"/>
      <c r="I3405" s="62"/>
      <c r="J3405" s="55"/>
      <c r="K3405" s="55"/>
      <c r="L3405" s="55"/>
      <c r="P3405" s="1">
        <f>COUNTIF(Analysis!$M$1:$M$3001,Analysis!$M3405)</f>
        <v>0</v>
      </c>
      <c r="Q3405" s="1" t="str">
        <f>IF(COUNTIF(Analysis!$M$2:$M$3001,Analysis!$M3405)&gt;1,"Duplicate","OK")</f>
        <v>OK</v>
      </c>
      <c r="R3405" s="1" t="str">
        <f t="shared" si="1"/>
        <v>#N/A</v>
      </c>
    </row>
    <row r="3406" ht="14.25" customHeight="1">
      <c r="A3406" s="61"/>
      <c r="B3406" s="55"/>
      <c r="C3406" s="55"/>
      <c r="D3406" s="55"/>
      <c r="E3406" s="55"/>
      <c r="F3406" s="55"/>
      <c r="G3406" s="55"/>
      <c r="H3406" s="62"/>
      <c r="I3406" s="62"/>
      <c r="J3406" s="55"/>
      <c r="K3406" s="55"/>
      <c r="L3406" s="55"/>
      <c r="P3406" s="1">
        <f>COUNTIF(Analysis!$M$1:$M$3001,Analysis!$M3406)</f>
        <v>0</v>
      </c>
      <c r="Q3406" s="1" t="str">
        <f>IF(COUNTIF(Analysis!$M$2:$M$3001,Analysis!$M3406)&gt;1,"Duplicate","OK")</f>
        <v>OK</v>
      </c>
      <c r="R3406" s="1" t="str">
        <f t="shared" si="1"/>
        <v>#N/A</v>
      </c>
    </row>
    <row r="3407" ht="14.25" customHeight="1">
      <c r="A3407" s="61"/>
      <c r="B3407" s="55"/>
      <c r="C3407" s="55"/>
      <c r="D3407" s="55"/>
      <c r="E3407" s="55"/>
      <c r="F3407" s="55"/>
      <c r="G3407" s="55"/>
      <c r="H3407" s="62"/>
      <c r="I3407" s="62"/>
      <c r="J3407" s="55"/>
      <c r="K3407" s="55"/>
      <c r="L3407" s="55"/>
      <c r="P3407" s="1">
        <f>COUNTIF(Analysis!$M$1:$M$3001,Analysis!$M3407)</f>
        <v>0</v>
      </c>
      <c r="Q3407" s="1" t="str">
        <f>IF(COUNTIF(Analysis!$M$2:$M$3001,Analysis!$M3407)&gt;1,"Duplicate","OK")</f>
        <v>OK</v>
      </c>
      <c r="R3407" s="1" t="str">
        <f t="shared" si="1"/>
        <v>#N/A</v>
      </c>
    </row>
    <row r="3408" ht="14.25" customHeight="1">
      <c r="A3408" s="61"/>
      <c r="B3408" s="55"/>
      <c r="C3408" s="55"/>
      <c r="D3408" s="55"/>
      <c r="E3408" s="55"/>
      <c r="F3408" s="55"/>
      <c r="G3408" s="55"/>
      <c r="H3408" s="62"/>
      <c r="I3408" s="62"/>
      <c r="J3408" s="55"/>
      <c r="K3408" s="55"/>
      <c r="L3408" s="55"/>
      <c r="P3408" s="1">
        <f>COUNTIF(Analysis!$M$1:$M$3001,Analysis!$M3408)</f>
        <v>0</v>
      </c>
      <c r="Q3408" s="1" t="str">
        <f>IF(COUNTIF(Analysis!$M$2:$M$3001,Analysis!$M3408)&gt;1,"Duplicate","OK")</f>
        <v>OK</v>
      </c>
      <c r="R3408" s="1" t="str">
        <f t="shared" si="1"/>
        <v>#N/A</v>
      </c>
    </row>
    <row r="3409" ht="14.25" customHeight="1">
      <c r="A3409" s="61"/>
      <c r="B3409" s="55"/>
      <c r="C3409" s="55"/>
      <c r="D3409" s="55"/>
      <c r="E3409" s="55"/>
      <c r="F3409" s="55"/>
      <c r="G3409" s="55"/>
      <c r="H3409" s="62"/>
      <c r="I3409" s="62"/>
      <c r="J3409" s="55"/>
      <c r="K3409" s="55"/>
      <c r="L3409" s="55"/>
      <c r="P3409" s="1">
        <f>COUNTIF(Analysis!$M$1:$M$3001,Analysis!$M3409)</f>
        <v>0</v>
      </c>
      <c r="Q3409" s="1" t="str">
        <f>IF(COUNTIF(Analysis!$M$2:$M$3001,Analysis!$M3409)&gt;1,"Duplicate","OK")</f>
        <v>OK</v>
      </c>
      <c r="R3409" s="1" t="str">
        <f t="shared" si="1"/>
        <v>#N/A</v>
      </c>
    </row>
    <row r="3410" ht="14.25" customHeight="1">
      <c r="A3410" s="61"/>
      <c r="B3410" s="55"/>
      <c r="C3410" s="55"/>
      <c r="D3410" s="55"/>
      <c r="E3410" s="55"/>
      <c r="F3410" s="55"/>
      <c r="G3410" s="55"/>
      <c r="H3410" s="62"/>
      <c r="I3410" s="62"/>
      <c r="J3410" s="55"/>
      <c r="K3410" s="55"/>
      <c r="L3410" s="55"/>
      <c r="P3410" s="1">
        <f>COUNTIF(Analysis!$M$1:$M$3001,Analysis!$M3410)</f>
        <v>0</v>
      </c>
      <c r="Q3410" s="1" t="str">
        <f>IF(COUNTIF(Analysis!$M$2:$M$3001,Analysis!$M3410)&gt;1,"Duplicate","OK")</f>
        <v>OK</v>
      </c>
      <c r="R3410" s="1" t="str">
        <f t="shared" si="1"/>
        <v>#N/A</v>
      </c>
    </row>
    <row r="3411" ht="14.25" customHeight="1">
      <c r="A3411" s="61"/>
      <c r="B3411" s="55"/>
      <c r="C3411" s="55"/>
      <c r="D3411" s="55"/>
      <c r="E3411" s="55"/>
      <c r="F3411" s="55"/>
      <c r="G3411" s="55"/>
      <c r="H3411" s="62"/>
      <c r="I3411" s="62"/>
      <c r="J3411" s="55"/>
      <c r="K3411" s="55"/>
      <c r="L3411" s="55"/>
      <c r="P3411" s="1">
        <f>COUNTIF(Analysis!$M$1:$M$3001,Analysis!$M3411)</f>
        <v>0</v>
      </c>
      <c r="Q3411" s="1" t="str">
        <f>IF(COUNTIF(Analysis!$M$2:$M$3001,Analysis!$M3411)&gt;1,"Duplicate","OK")</f>
        <v>OK</v>
      </c>
      <c r="R3411" s="1" t="str">
        <f t="shared" si="1"/>
        <v>#N/A</v>
      </c>
    </row>
    <row r="3412" ht="14.25" customHeight="1">
      <c r="A3412" s="61"/>
      <c r="B3412" s="55"/>
      <c r="C3412" s="55"/>
      <c r="D3412" s="55"/>
      <c r="E3412" s="55"/>
      <c r="F3412" s="55"/>
      <c r="G3412" s="55"/>
      <c r="H3412" s="62"/>
      <c r="I3412" s="62"/>
      <c r="J3412" s="55"/>
      <c r="K3412" s="55"/>
      <c r="L3412" s="55"/>
      <c r="P3412" s="1">
        <f>COUNTIF(Analysis!$M$1:$M$3001,Analysis!$M3412)</f>
        <v>0</v>
      </c>
      <c r="Q3412" s="1" t="str">
        <f>IF(COUNTIF(Analysis!$M$2:$M$3001,Analysis!$M3412)&gt;1,"Duplicate","OK")</f>
        <v>OK</v>
      </c>
      <c r="R3412" s="1" t="str">
        <f t="shared" si="1"/>
        <v>#N/A</v>
      </c>
    </row>
    <row r="3413" ht="14.25" customHeight="1">
      <c r="A3413" s="61"/>
      <c r="B3413" s="55"/>
      <c r="C3413" s="55"/>
      <c r="D3413" s="55"/>
      <c r="E3413" s="55"/>
      <c r="F3413" s="55"/>
      <c r="G3413" s="55"/>
      <c r="H3413" s="62"/>
      <c r="I3413" s="62"/>
      <c r="J3413" s="55"/>
      <c r="K3413" s="55"/>
      <c r="L3413" s="55"/>
      <c r="P3413" s="1">
        <f>COUNTIF(Analysis!$M$1:$M$3001,Analysis!$M3413)</f>
        <v>0</v>
      </c>
      <c r="Q3413" s="1" t="str">
        <f>IF(COUNTIF(Analysis!$M$2:$M$3001,Analysis!$M3413)&gt;1,"Duplicate","OK")</f>
        <v>OK</v>
      </c>
      <c r="R3413" s="1" t="str">
        <f t="shared" si="1"/>
        <v>#N/A</v>
      </c>
    </row>
    <row r="3414" ht="14.25" customHeight="1">
      <c r="A3414" s="61"/>
      <c r="B3414" s="55"/>
      <c r="C3414" s="55"/>
      <c r="D3414" s="55"/>
      <c r="E3414" s="55"/>
      <c r="F3414" s="55"/>
      <c r="G3414" s="55"/>
      <c r="H3414" s="62"/>
      <c r="I3414" s="62"/>
      <c r="J3414" s="55"/>
      <c r="K3414" s="55"/>
      <c r="L3414" s="55"/>
      <c r="P3414" s="1">
        <f>COUNTIF(Analysis!$M$1:$M$3001,Analysis!$M3414)</f>
        <v>0</v>
      </c>
      <c r="Q3414" s="1" t="str">
        <f>IF(COUNTIF(Analysis!$M$2:$M$3001,Analysis!$M3414)&gt;1,"Duplicate","OK")</f>
        <v>OK</v>
      </c>
      <c r="R3414" s="1" t="str">
        <f t="shared" si="1"/>
        <v>#N/A</v>
      </c>
    </row>
    <row r="3415" ht="14.25" customHeight="1">
      <c r="A3415" s="61"/>
      <c r="B3415" s="55"/>
      <c r="C3415" s="55"/>
      <c r="D3415" s="55"/>
      <c r="E3415" s="55"/>
      <c r="F3415" s="55"/>
      <c r="G3415" s="55"/>
      <c r="H3415" s="62"/>
      <c r="I3415" s="62"/>
      <c r="J3415" s="55"/>
      <c r="K3415" s="55"/>
      <c r="L3415" s="55"/>
      <c r="P3415" s="1">
        <f>COUNTIF(Analysis!$M$1:$M$3001,Analysis!$M3415)</f>
        <v>0</v>
      </c>
      <c r="Q3415" s="1" t="str">
        <f>IF(COUNTIF(Analysis!$M$2:$M$3001,Analysis!$M3415)&gt;1,"Duplicate","OK")</f>
        <v>OK</v>
      </c>
      <c r="R3415" s="1" t="str">
        <f t="shared" si="1"/>
        <v>#N/A</v>
      </c>
    </row>
    <row r="3416" ht="14.25" customHeight="1">
      <c r="A3416" s="61"/>
      <c r="B3416" s="55"/>
      <c r="C3416" s="55"/>
      <c r="D3416" s="55"/>
      <c r="E3416" s="55"/>
      <c r="F3416" s="55"/>
      <c r="G3416" s="55"/>
      <c r="H3416" s="62"/>
      <c r="I3416" s="62"/>
      <c r="J3416" s="55"/>
      <c r="K3416" s="55"/>
      <c r="L3416" s="55"/>
      <c r="P3416" s="1">
        <f>COUNTIF(Analysis!$M$1:$M$3001,Analysis!$M3416)</f>
        <v>0</v>
      </c>
      <c r="Q3416" s="1" t="str">
        <f>IF(COUNTIF(Analysis!$M$2:$M$3001,Analysis!$M3416)&gt;1,"Duplicate","OK")</f>
        <v>OK</v>
      </c>
      <c r="R3416" s="1" t="str">
        <f t="shared" si="1"/>
        <v>#N/A</v>
      </c>
    </row>
    <row r="3417" ht="14.25" customHeight="1">
      <c r="A3417" s="61"/>
      <c r="B3417" s="55"/>
      <c r="C3417" s="55"/>
      <c r="D3417" s="55"/>
      <c r="E3417" s="55"/>
      <c r="F3417" s="55"/>
      <c r="G3417" s="55"/>
      <c r="H3417" s="62"/>
      <c r="I3417" s="62"/>
      <c r="J3417" s="55"/>
      <c r="K3417" s="55"/>
      <c r="L3417" s="55"/>
      <c r="P3417" s="1">
        <f>COUNTIF(Analysis!$M$1:$M$3001,Analysis!$M3417)</f>
        <v>0</v>
      </c>
      <c r="Q3417" s="1" t="str">
        <f>IF(COUNTIF(Analysis!$M$2:$M$3001,Analysis!$M3417)&gt;1,"Duplicate","OK")</f>
        <v>OK</v>
      </c>
      <c r="R3417" s="1" t="str">
        <f t="shared" si="1"/>
        <v>#N/A</v>
      </c>
    </row>
    <row r="3418" ht="14.25" customHeight="1">
      <c r="A3418" s="61"/>
      <c r="B3418" s="55"/>
      <c r="C3418" s="55"/>
      <c r="D3418" s="55"/>
      <c r="E3418" s="55"/>
      <c r="F3418" s="55"/>
      <c r="G3418" s="55"/>
      <c r="H3418" s="62"/>
      <c r="I3418" s="62"/>
      <c r="J3418" s="55"/>
      <c r="K3418" s="55"/>
      <c r="L3418" s="55"/>
      <c r="P3418" s="1">
        <f>COUNTIF(Analysis!$M$1:$M$3001,Analysis!$M3418)</f>
        <v>0</v>
      </c>
      <c r="Q3418" s="1" t="str">
        <f>IF(COUNTIF(Analysis!$M$2:$M$3001,Analysis!$M3418)&gt;1,"Duplicate","OK")</f>
        <v>OK</v>
      </c>
      <c r="R3418" s="1" t="str">
        <f t="shared" si="1"/>
        <v>#N/A</v>
      </c>
    </row>
    <row r="3419" ht="14.25" customHeight="1">
      <c r="A3419" s="61"/>
      <c r="B3419" s="55"/>
      <c r="C3419" s="55"/>
      <c r="D3419" s="55"/>
      <c r="E3419" s="55"/>
      <c r="F3419" s="55"/>
      <c r="G3419" s="55"/>
      <c r="H3419" s="62"/>
      <c r="I3419" s="62"/>
      <c r="J3419" s="55"/>
      <c r="K3419" s="55"/>
      <c r="L3419" s="55"/>
      <c r="P3419" s="1">
        <f>COUNTIF(Analysis!$M$1:$M$3001,Analysis!$M3419)</f>
        <v>0</v>
      </c>
      <c r="Q3419" s="1" t="str">
        <f>IF(COUNTIF(Analysis!$M$2:$M$3001,Analysis!$M3419)&gt;1,"Duplicate","OK")</f>
        <v>OK</v>
      </c>
      <c r="R3419" s="1" t="str">
        <f t="shared" si="1"/>
        <v>#N/A</v>
      </c>
    </row>
    <row r="3420" ht="14.25" customHeight="1">
      <c r="A3420" s="61"/>
      <c r="B3420" s="55"/>
      <c r="C3420" s="55"/>
      <c r="D3420" s="55"/>
      <c r="E3420" s="55"/>
      <c r="F3420" s="55"/>
      <c r="G3420" s="55"/>
      <c r="H3420" s="62"/>
      <c r="I3420" s="62"/>
      <c r="J3420" s="55"/>
      <c r="K3420" s="55"/>
      <c r="L3420" s="55"/>
      <c r="P3420" s="1">
        <f>COUNTIF(Analysis!$M$1:$M$3001,Analysis!$M3420)</f>
        <v>0</v>
      </c>
      <c r="Q3420" s="1" t="str">
        <f>IF(COUNTIF(Analysis!$M$2:$M$3001,Analysis!$M3420)&gt;1,"Duplicate","OK")</f>
        <v>OK</v>
      </c>
      <c r="R3420" s="1" t="str">
        <f t="shared" si="1"/>
        <v>#N/A</v>
      </c>
    </row>
    <row r="3421" ht="14.25" customHeight="1">
      <c r="A3421" s="61"/>
      <c r="B3421" s="55"/>
      <c r="C3421" s="55"/>
      <c r="D3421" s="55"/>
      <c r="E3421" s="55"/>
      <c r="F3421" s="55"/>
      <c r="G3421" s="55"/>
      <c r="H3421" s="62"/>
      <c r="I3421" s="62"/>
      <c r="J3421" s="55"/>
      <c r="K3421" s="55"/>
      <c r="L3421" s="55"/>
      <c r="P3421" s="1">
        <f>COUNTIF(Analysis!$M$1:$M$3001,Analysis!$M3421)</f>
        <v>0</v>
      </c>
      <c r="Q3421" s="1" t="str">
        <f>IF(COUNTIF(Analysis!$M$2:$M$3001,Analysis!$M3421)&gt;1,"Duplicate","OK")</f>
        <v>OK</v>
      </c>
      <c r="R3421" s="1" t="str">
        <f t="shared" si="1"/>
        <v>#N/A</v>
      </c>
    </row>
    <row r="3422" ht="14.25" customHeight="1">
      <c r="A3422" s="61"/>
      <c r="B3422" s="55"/>
      <c r="C3422" s="55"/>
      <c r="D3422" s="55"/>
      <c r="E3422" s="55"/>
      <c r="F3422" s="55"/>
      <c r="G3422" s="55"/>
      <c r="H3422" s="62"/>
      <c r="I3422" s="62"/>
      <c r="J3422" s="55"/>
      <c r="K3422" s="55"/>
      <c r="L3422" s="55"/>
      <c r="P3422" s="1">
        <f>COUNTIF(Analysis!$M$1:$M$3001,Analysis!$M3422)</f>
        <v>0</v>
      </c>
      <c r="Q3422" s="1" t="str">
        <f>IF(COUNTIF(Analysis!$M$2:$M$3001,Analysis!$M3422)&gt;1,"Duplicate","OK")</f>
        <v>OK</v>
      </c>
      <c r="R3422" s="1" t="str">
        <f t="shared" si="1"/>
        <v>#N/A</v>
      </c>
    </row>
    <row r="3423" ht="14.25" customHeight="1">
      <c r="A3423" s="61"/>
      <c r="B3423" s="55"/>
      <c r="C3423" s="55"/>
      <c r="D3423" s="55"/>
      <c r="E3423" s="55"/>
      <c r="F3423" s="55"/>
      <c r="G3423" s="55"/>
      <c r="H3423" s="62"/>
      <c r="I3423" s="62"/>
      <c r="J3423" s="55"/>
      <c r="K3423" s="55"/>
      <c r="L3423" s="55"/>
      <c r="P3423" s="1">
        <f>COUNTIF(Analysis!$M$1:$M$3001,Analysis!$M3423)</f>
        <v>0</v>
      </c>
      <c r="Q3423" s="1" t="str">
        <f>IF(COUNTIF(Analysis!$M$2:$M$3001,Analysis!$M3423)&gt;1,"Duplicate","OK")</f>
        <v>OK</v>
      </c>
      <c r="R3423" s="1" t="str">
        <f t="shared" si="1"/>
        <v>#N/A</v>
      </c>
    </row>
    <row r="3424" ht="14.25" customHeight="1">
      <c r="A3424" s="61"/>
      <c r="B3424" s="55"/>
      <c r="C3424" s="55"/>
      <c r="D3424" s="55"/>
      <c r="E3424" s="55"/>
      <c r="F3424" s="55"/>
      <c r="G3424" s="55"/>
      <c r="H3424" s="62"/>
      <c r="I3424" s="62"/>
      <c r="J3424" s="55"/>
      <c r="K3424" s="55"/>
      <c r="L3424" s="55"/>
      <c r="P3424" s="1">
        <f>COUNTIF(Analysis!$M$1:$M$3001,Analysis!$M3424)</f>
        <v>0</v>
      </c>
      <c r="Q3424" s="1" t="str">
        <f>IF(COUNTIF(Analysis!$M$2:$M$3001,Analysis!$M3424)&gt;1,"Duplicate","OK")</f>
        <v>OK</v>
      </c>
      <c r="R3424" s="1" t="str">
        <f t="shared" si="1"/>
        <v>#N/A</v>
      </c>
    </row>
    <row r="3425" ht="14.25" customHeight="1">
      <c r="A3425" s="61"/>
      <c r="B3425" s="55"/>
      <c r="C3425" s="55"/>
      <c r="D3425" s="55"/>
      <c r="E3425" s="55"/>
      <c r="F3425" s="55"/>
      <c r="G3425" s="55"/>
      <c r="H3425" s="62"/>
      <c r="I3425" s="62"/>
      <c r="J3425" s="55"/>
      <c r="K3425" s="55"/>
      <c r="L3425" s="55"/>
      <c r="P3425" s="1">
        <f>COUNTIF(Analysis!$M$1:$M$3001,Analysis!$M3425)</f>
        <v>0</v>
      </c>
      <c r="Q3425" s="1" t="str">
        <f>IF(COUNTIF(Analysis!$M$2:$M$3001,Analysis!$M3425)&gt;1,"Duplicate","OK")</f>
        <v>OK</v>
      </c>
      <c r="R3425" s="1" t="str">
        <f t="shared" si="1"/>
        <v>#N/A</v>
      </c>
    </row>
    <row r="3426" ht="14.25" customHeight="1">
      <c r="A3426" s="61"/>
      <c r="B3426" s="55"/>
      <c r="C3426" s="55"/>
      <c r="D3426" s="55"/>
      <c r="E3426" s="55"/>
      <c r="F3426" s="55"/>
      <c r="G3426" s="55"/>
      <c r="H3426" s="62"/>
      <c r="I3426" s="62"/>
      <c r="J3426" s="55"/>
      <c r="K3426" s="55"/>
      <c r="L3426" s="55"/>
      <c r="P3426" s="1">
        <f>COUNTIF(Analysis!$M$1:$M$3001,Analysis!$M3426)</f>
        <v>0</v>
      </c>
      <c r="Q3426" s="1" t="str">
        <f>IF(COUNTIF(Analysis!$M$2:$M$3001,Analysis!$M3426)&gt;1,"Duplicate","OK")</f>
        <v>OK</v>
      </c>
      <c r="R3426" s="1" t="str">
        <f t="shared" si="1"/>
        <v>#N/A</v>
      </c>
    </row>
    <row r="3427" ht="14.25" customHeight="1">
      <c r="A3427" s="61"/>
      <c r="B3427" s="55"/>
      <c r="C3427" s="55"/>
      <c r="D3427" s="55"/>
      <c r="E3427" s="55"/>
      <c r="F3427" s="55"/>
      <c r="G3427" s="55"/>
      <c r="H3427" s="62"/>
      <c r="I3427" s="62"/>
      <c r="J3427" s="55"/>
      <c r="K3427" s="55"/>
      <c r="L3427" s="55"/>
      <c r="P3427" s="1">
        <f>COUNTIF(Analysis!$M$1:$M$3001,Analysis!$M3427)</f>
        <v>0</v>
      </c>
      <c r="Q3427" s="1" t="str">
        <f>IF(COUNTIF(Analysis!$M$2:$M$3001,Analysis!$M3427)&gt;1,"Duplicate","OK")</f>
        <v>OK</v>
      </c>
      <c r="R3427" s="1" t="str">
        <f t="shared" si="1"/>
        <v>#N/A</v>
      </c>
    </row>
    <row r="3428" ht="14.25" customHeight="1">
      <c r="A3428" s="61"/>
      <c r="B3428" s="55"/>
      <c r="C3428" s="55"/>
      <c r="D3428" s="55"/>
      <c r="E3428" s="55"/>
      <c r="F3428" s="55"/>
      <c r="G3428" s="55"/>
      <c r="H3428" s="62"/>
      <c r="I3428" s="62"/>
      <c r="J3428" s="55"/>
      <c r="K3428" s="55"/>
      <c r="L3428" s="55"/>
      <c r="P3428" s="1">
        <f>COUNTIF(Analysis!$M$1:$M$3001,Analysis!$M3428)</f>
        <v>0</v>
      </c>
      <c r="Q3428" s="1" t="str">
        <f>IF(COUNTIF(Analysis!$M$2:$M$3001,Analysis!$M3428)&gt;1,"Duplicate","OK")</f>
        <v>OK</v>
      </c>
      <c r="R3428" s="1" t="str">
        <f t="shared" si="1"/>
        <v>#N/A</v>
      </c>
    </row>
    <row r="3429" ht="14.25" customHeight="1">
      <c r="A3429" s="61"/>
      <c r="B3429" s="55"/>
      <c r="C3429" s="55"/>
      <c r="D3429" s="55"/>
      <c r="E3429" s="55"/>
      <c r="F3429" s="55"/>
      <c r="G3429" s="55"/>
      <c r="H3429" s="62"/>
      <c r="I3429" s="62"/>
      <c r="J3429" s="55"/>
      <c r="K3429" s="55"/>
      <c r="L3429" s="55"/>
      <c r="P3429" s="1">
        <f>COUNTIF(Analysis!$M$1:$M$3001,Analysis!$M3429)</f>
        <v>0</v>
      </c>
      <c r="Q3429" s="1" t="str">
        <f>IF(COUNTIF(Analysis!$M$2:$M$3001,Analysis!$M3429)&gt;1,"Duplicate","OK")</f>
        <v>OK</v>
      </c>
      <c r="R3429" s="1" t="str">
        <f t="shared" si="1"/>
        <v>#N/A</v>
      </c>
    </row>
    <row r="3430" ht="14.25" customHeight="1">
      <c r="A3430" s="61"/>
      <c r="B3430" s="55"/>
      <c r="C3430" s="55"/>
      <c r="D3430" s="55"/>
      <c r="E3430" s="55"/>
      <c r="F3430" s="55"/>
      <c r="G3430" s="55"/>
      <c r="H3430" s="62"/>
      <c r="I3430" s="62"/>
      <c r="J3430" s="55"/>
      <c r="K3430" s="55"/>
      <c r="L3430" s="55"/>
      <c r="P3430" s="1">
        <f>COUNTIF(Analysis!$M$1:$M$3001,Analysis!$M3430)</f>
        <v>0</v>
      </c>
      <c r="Q3430" s="1" t="str">
        <f>IF(COUNTIF(Analysis!$M$2:$M$3001,Analysis!$M3430)&gt;1,"Duplicate","OK")</f>
        <v>OK</v>
      </c>
      <c r="R3430" s="1" t="str">
        <f t="shared" si="1"/>
        <v>#N/A</v>
      </c>
    </row>
    <row r="3431" ht="14.25" customHeight="1">
      <c r="A3431" s="61"/>
      <c r="B3431" s="55"/>
      <c r="C3431" s="55"/>
      <c r="D3431" s="55"/>
      <c r="E3431" s="55"/>
      <c r="F3431" s="55"/>
      <c r="G3431" s="55"/>
      <c r="H3431" s="62"/>
      <c r="I3431" s="62"/>
      <c r="J3431" s="55"/>
      <c r="K3431" s="55"/>
      <c r="L3431" s="55"/>
      <c r="P3431" s="1">
        <f>COUNTIF(Analysis!$M$1:$M$3001,Analysis!$M3431)</f>
        <v>0</v>
      </c>
      <c r="Q3431" s="1" t="str">
        <f>IF(COUNTIF(Analysis!$M$2:$M$3001,Analysis!$M3431)&gt;1,"Duplicate","OK")</f>
        <v>OK</v>
      </c>
      <c r="R3431" s="1" t="str">
        <f t="shared" si="1"/>
        <v>#N/A</v>
      </c>
    </row>
    <row r="3432" ht="14.25" customHeight="1">
      <c r="A3432" s="61"/>
      <c r="B3432" s="55"/>
      <c r="C3432" s="55"/>
      <c r="D3432" s="55"/>
      <c r="E3432" s="55"/>
      <c r="F3432" s="55"/>
      <c r="G3432" s="55"/>
      <c r="H3432" s="62"/>
      <c r="I3432" s="62"/>
      <c r="J3432" s="55"/>
      <c r="K3432" s="55"/>
      <c r="L3432" s="55"/>
      <c r="P3432" s="1">
        <f>COUNTIF(Analysis!$M$1:$M$3001,Analysis!$M3432)</f>
        <v>0</v>
      </c>
      <c r="Q3432" s="1" t="str">
        <f>IF(COUNTIF(Analysis!$M$2:$M$3001,Analysis!$M3432)&gt;1,"Duplicate","OK")</f>
        <v>OK</v>
      </c>
      <c r="R3432" s="1" t="str">
        <f t="shared" si="1"/>
        <v>#N/A</v>
      </c>
    </row>
    <row r="3433" ht="14.25" customHeight="1">
      <c r="A3433" s="61"/>
      <c r="B3433" s="55"/>
      <c r="C3433" s="55"/>
      <c r="D3433" s="55"/>
      <c r="E3433" s="55"/>
      <c r="F3433" s="55"/>
      <c r="G3433" s="55"/>
      <c r="H3433" s="62"/>
      <c r="I3433" s="62"/>
      <c r="J3433" s="55"/>
      <c r="K3433" s="55"/>
      <c r="L3433" s="55"/>
      <c r="P3433" s="1">
        <f>COUNTIF(Analysis!$M$1:$M$3001,Analysis!$M3433)</f>
        <v>0</v>
      </c>
      <c r="Q3433" s="1" t="str">
        <f>IF(COUNTIF(Analysis!$M$2:$M$3001,Analysis!$M3433)&gt;1,"Duplicate","OK")</f>
        <v>OK</v>
      </c>
      <c r="R3433" s="1" t="str">
        <f t="shared" si="1"/>
        <v>#N/A</v>
      </c>
    </row>
    <row r="3434" ht="14.25" customHeight="1">
      <c r="A3434" s="61"/>
      <c r="B3434" s="55"/>
      <c r="C3434" s="55"/>
      <c r="D3434" s="55"/>
      <c r="E3434" s="55"/>
      <c r="F3434" s="55"/>
      <c r="G3434" s="55"/>
      <c r="H3434" s="62"/>
      <c r="I3434" s="62"/>
      <c r="J3434" s="55"/>
      <c r="K3434" s="55"/>
      <c r="L3434" s="55"/>
      <c r="P3434" s="1">
        <f>COUNTIF(Analysis!$M$1:$M$3001,Analysis!$M3434)</f>
        <v>0</v>
      </c>
      <c r="Q3434" s="1" t="str">
        <f>IF(COUNTIF(Analysis!$M$2:$M$3001,Analysis!$M3434)&gt;1,"Duplicate","OK")</f>
        <v>OK</v>
      </c>
      <c r="R3434" s="1" t="str">
        <f t="shared" si="1"/>
        <v>#N/A</v>
      </c>
    </row>
    <row r="3435" ht="14.25" customHeight="1">
      <c r="A3435" s="61"/>
      <c r="B3435" s="55"/>
      <c r="C3435" s="55"/>
      <c r="D3435" s="55"/>
      <c r="E3435" s="55"/>
      <c r="F3435" s="55"/>
      <c r="G3435" s="55"/>
      <c r="H3435" s="62"/>
      <c r="I3435" s="62"/>
      <c r="J3435" s="55"/>
      <c r="K3435" s="55"/>
      <c r="L3435" s="55"/>
      <c r="P3435" s="1">
        <f>COUNTIF(Analysis!$M$1:$M$3001,Analysis!$M3435)</f>
        <v>0</v>
      </c>
      <c r="Q3435" s="1" t="str">
        <f>IF(COUNTIF(Analysis!$M$2:$M$3001,Analysis!$M3435)&gt;1,"Duplicate","OK")</f>
        <v>OK</v>
      </c>
      <c r="R3435" s="1" t="str">
        <f t="shared" si="1"/>
        <v>#N/A</v>
      </c>
    </row>
    <row r="3436" ht="14.25" customHeight="1">
      <c r="A3436" s="61"/>
      <c r="B3436" s="55"/>
      <c r="C3436" s="55"/>
      <c r="D3436" s="55"/>
      <c r="E3436" s="55"/>
      <c r="F3436" s="55"/>
      <c r="G3436" s="55"/>
      <c r="H3436" s="62"/>
      <c r="I3436" s="62"/>
      <c r="J3436" s="55"/>
      <c r="K3436" s="55"/>
      <c r="L3436" s="55"/>
      <c r="P3436" s="1">
        <f>COUNTIF(Analysis!$M$1:$M$3001,Analysis!$M3436)</f>
        <v>0</v>
      </c>
      <c r="Q3436" s="1" t="str">
        <f>IF(COUNTIF(Analysis!$M$2:$M$3001,Analysis!$M3436)&gt;1,"Duplicate","OK")</f>
        <v>OK</v>
      </c>
      <c r="R3436" s="1" t="str">
        <f t="shared" si="1"/>
        <v>#N/A</v>
      </c>
    </row>
    <row r="3437" ht="14.25" customHeight="1">
      <c r="A3437" s="61"/>
      <c r="B3437" s="55"/>
      <c r="C3437" s="55"/>
      <c r="D3437" s="55"/>
      <c r="E3437" s="55"/>
      <c r="F3437" s="55"/>
      <c r="G3437" s="55"/>
      <c r="H3437" s="62"/>
      <c r="I3437" s="62"/>
      <c r="J3437" s="55"/>
      <c r="K3437" s="55"/>
      <c r="L3437" s="55"/>
      <c r="P3437" s="1">
        <f>COUNTIF(Analysis!$M$1:$M$3001,Analysis!$M3437)</f>
        <v>0</v>
      </c>
      <c r="Q3437" s="1" t="str">
        <f>IF(COUNTIF(Analysis!$M$2:$M$3001,Analysis!$M3437)&gt;1,"Duplicate","OK")</f>
        <v>OK</v>
      </c>
      <c r="R3437" s="1" t="str">
        <f t="shared" si="1"/>
        <v>#N/A</v>
      </c>
    </row>
    <row r="3438" ht="14.25" customHeight="1">
      <c r="A3438" s="61"/>
      <c r="B3438" s="55"/>
      <c r="C3438" s="55"/>
      <c r="D3438" s="55"/>
      <c r="E3438" s="55"/>
      <c r="F3438" s="55"/>
      <c r="G3438" s="55"/>
      <c r="H3438" s="62"/>
      <c r="I3438" s="62"/>
      <c r="J3438" s="55"/>
      <c r="K3438" s="55"/>
      <c r="L3438" s="55"/>
      <c r="P3438" s="1">
        <f>COUNTIF(Analysis!$M$1:$M$3001,Analysis!$M3438)</f>
        <v>0</v>
      </c>
      <c r="Q3438" s="1" t="str">
        <f>IF(COUNTIF(Analysis!$M$2:$M$3001,Analysis!$M3438)&gt;1,"Duplicate","OK")</f>
        <v>OK</v>
      </c>
      <c r="R3438" s="1" t="str">
        <f t="shared" si="1"/>
        <v>#N/A</v>
      </c>
    </row>
    <row r="3439" ht="14.25" customHeight="1">
      <c r="A3439" s="61"/>
      <c r="B3439" s="55"/>
      <c r="C3439" s="55"/>
      <c r="D3439" s="55"/>
      <c r="E3439" s="55"/>
      <c r="F3439" s="55"/>
      <c r="G3439" s="55"/>
      <c r="H3439" s="62"/>
      <c r="I3439" s="62"/>
      <c r="J3439" s="55"/>
      <c r="K3439" s="55"/>
      <c r="L3439" s="55"/>
      <c r="P3439" s="1">
        <f>COUNTIF(Analysis!$M$1:$M$3001,Analysis!$M3439)</f>
        <v>0</v>
      </c>
      <c r="Q3439" s="1" t="str">
        <f>IF(COUNTIF(Analysis!$M$2:$M$3001,Analysis!$M3439)&gt;1,"Duplicate","OK")</f>
        <v>OK</v>
      </c>
      <c r="R3439" s="1" t="str">
        <f t="shared" si="1"/>
        <v>#N/A</v>
      </c>
    </row>
    <row r="3440" ht="14.25" customHeight="1">
      <c r="A3440" s="61"/>
      <c r="B3440" s="55"/>
      <c r="C3440" s="55"/>
      <c r="D3440" s="55"/>
      <c r="E3440" s="55"/>
      <c r="F3440" s="55"/>
      <c r="G3440" s="55"/>
      <c r="H3440" s="62"/>
      <c r="I3440" s="62"/>
      <c r="J3440" s="55"/>
      <c r="K3440" s="55"/>
      <c r="L3440" s="55"/>
      <c r="P3440" s="1">
        <f>COUNTIF(Analysis!$M$1:$M$3001,Analysis!$M3440)</f>
        <v>0</v>
      </c>
      <c r="Q3440" s="1" t="str">
        <f>IF(COUNTIF(Analysis!$M$2:$M$3001,Analysis!$M3440)&gt;1,"Duplicate","OK")</f>
        <v>OK</v>
      </c>
      <c r="R3440" s="1" t="str">
        <f t="shared" si="1"/>
        <v>#N/A</v>
      </c>
    </row>
    <row r="3441" ht="14.25" customHeight="1">
      <c r="A3441" s="61"/>
      <c r="B3441" s="55"/>
      <c r="C3441" s="55"/>
      <c r="D3441" s="55"/>
      <c r="E3441" s="55"/>
      <c r="F3441" s="55"/>
      <c r="G3441" s="55"/>
      <c r="H3441" s="62"/>
      <c r="I3441" s="62"/>
      <c r="J3441" s="55"/>
      <c r="K3441" s="55"/>
      <c r="L3441" s="55"/>
      <c r="P3441" s="1">
        <f>COUNTIF(Analysis!$M$1:$M$3001,Analysis!$M3441)</f>
        <v>0</v>
      </c>
      <c r="Q3441" s="1" t="str">
        <f>IF(COUNTIF(Analysis!$M$2:$M$3001,Analysis!$M3441)&gt;1,"Duplicate","OK")</f>
        <v>OK</v>
      </c>
      <c r="R3441" s="1" t="str">
        <f t="shared" si="1"/>
        <v>#N/A</v>
      </c>
    </row>
    <row r="3442" ht="14.25" customHeight="1">
      <c r="A3442" s="61"/>
      <c r="B3442" s="55"/>
      <c r="C3442" s="55"/>
      <c r="D3442" s="55"/>
      <c r="E3442" s="55"/>
      <c r="F3442" s="55"/>
      <c r="G3442" s="55"/>
      <c r="H3442" s="62"/>
      <c r="I3442" s="62"/>
      <c r="J3442" s="55"/>
      <c r="K3442" s="55"/>
      <c r="L3442" s="55"/>
      <c r="P3442" s="1">
        <f>COUNTIF(Analysis!$M$1:$M$3001,Analysis!$M3442)</f>
        <v>0</v>
      </c>
      <c r="Q3442" s="1" t="str">
        <f>IF(COUNTIF(Analysis!$M$2:$M$3001,Analysis!$M3442)&gt;1,"Duplicate","OK")</f>
        <v>OK</v>
      </c>
      <c r="R3442" s="1" t="str">
        <f t="shared" si="1"/>
        <v>#N/A</v>
      </c>
    </row>
    <row r="3443" ht="14.25" customHeight="1">
      <c r="A3443" s="61"/>
      <c r="B3443" s="55"/>
      <c r="C3443" s="55"/>
      <c r="D3443" s="55"/>
      <c r="E3443" s="55"/>
      <c r="F3443" s="55"/>
      <c r="G3443" s="55"/>
      <c r="H3443" s="62"/>
      <c r="I3443" s="62"/>
      <c r="J3443" s="55"/>
      <c r="K3443" s="55"/>
      <c r="L3443" s="55"/>
      <c r="P3443" s="1">
        <f>COUNTIF(Analysis!$M$1:$M$3001,Analysis!$M3443)</f>
        <v>0</v>
      </c>
      <c r="Q3443" s="1" t="str">
        <f>IF(COUNTIF(Analysis!$M$2:$M$3001,Analysis!$M3443)&gt;1,"Duplicate","OK")</f>
        <v>OK</v>
      </c>
      <c r="R3443" s="1" t="str">
        <f t="shared" si="1"/>
        <v>#N/A</v>
      </c>
    </row>
    <row r="3444" ht="14.25" customHeight="1">
      <c r="A3444" s="61"/>
      <c r="B3444" s="55"/>
      <c r="C3444" s="55"/>
      <c r="D3444" s="55"/>
      <c r="E3444" s="55"/>
      <c r="F3444" s="55"/>
      <c r="G3444" s="55"/>
      <c r="H3444" s="62"/>
      <c r="I3444" s="62"/>
      <c r="J3444" s="55"/>
      <c r="K3444" s="55"/>
      <c r="L3444" s="55"/>
      <c r="P3444" s="1">
        <f>COUNTIF(Analysis!$M$1:$M$3001,Analysis!$M3444)</f>
        <v>0</v>
      </c>
      <c r="Q3444" s="1" t="str">
        <f>IF(COUNTIF(Analysis!$M$2:$M$3001,Analysis!$M3444)&gt;1,"Duplicate","OK")</f>
        <v>OK</v>
      </c>
      <c r="R3444" s="1" t="str">
        <f t="shared" si="1"/>
        <v>#N/A</v>
      </c>
    </row>
    <row r="3445" ht="14.25" customHeight="1">
      <c r="A3445" s="61"/>
      <c r="B3445" s="55"/>
      <c r="C3445" s="55"/>
      <c r="D3445" s="55"/>
      <c r="E3445" s="55"/>
      <c r="F3445" s="55"/>
      <c r="G3445" s="55"/>
      <c r="H3445" s="62"/>
      <c r="I3445" s="62"/>
      <c r="J3445" s="55"/>
      <c r="K3445" s="55"/>
      <c r="L3445" s="55"/>
      <c r="P3445" s="1">
        <f>COUNTIF(Analysis!$M$1:$M$3001,Analysis!$M3445)</f>
        <v>0</v>
      </c>
      <c r="Q3445" s="1" t="str">
        <f>IF(COUNTIF(Analysis!$M$2:$M$3001,Analysis!$M3445)&gt;1,"Duplicate","OK")</f>
        <v>OK</v>
      </c>
      <c r="R3445" s="1" t="str">
        <f t="shared" si="1"/>
        <v>#N/A</v>
      </c>
    </row>
    <row r="3446" ht="14.25" customHeight="1">
      <c r="A3446" s="61"/>
      <c r="B3446" s="55"/>
      <c r="C3446" s="55"/>
      <c r="D3446" s="55"/>
      <c r="E3446" s="55"/>
      <c r="F3446" s="55"/>
      <c r="G3446" s="55"/>
      <c r="H3446" s="62"/>
      <c r="I3446" s="62"/>
      <c r="J3446" s="55"/>
      <c r="K3446" s="55"/>
      <c r="L3446" s="55"/>
      <c r="P3446" s="1">
        <f>COUNTIF(Analysis!$M$1:$M$3001,Analysis!$M3446)</f>
        <v>0</v>
      </c>
      <c r="Q3446" s="1" t="str">
        <f>IF(COUNTIF(Analysis!$M$2:$M$3001,Analysis!$M3446)&gt;1,"Duplicate","OK")</f>
        <v>OK</v>
      </c>
      <c r="R3446" s="1" t="str">
        <f t="shared" si="1"/>
        <v>#N/A</v>
      </c>
    </row>
    <row r="3447" ht="14.25" customHeight="1">
      <c r="A3447" s="61"/>
      <c r="B3447" s="55"/>
      <c r="C3447" s="55"/>
      <c r="D3447" s="55"/>
      <c r="E3447" s="55"/>
      <c r="F3447" s="55"/>
      <c r="G3447" s="55"/>
      <c r="H3447" s="62"/>
      <c r="I3447" s="62"/>
      <c r="J3447" s="55"/>
      <c r="K3447" s="55"/>
      <c r="L3447" s="55"/>
      <c r="P3447" s="1">
        <f>COUNTIF(Analysis!$M$1:$M$3001,Analysis!$M3447)</f>
        <v>0</v>
      </c>
      <c r="Q3447" s="1" t="str">
        <f>IF(COUNTIF(Analysis!$M$2:$M$3001,Analysis!$M3447)&gt;1,"Duplicate","OK")</f>
        <v>OK</v>
      </c>
      <c r="R3447" s="1" t="str">
        <f t="shared" si="1"/>
        <v>#N/A</v>
      </c>
    </row>
    <row r="3448" ht="14.25" customHeight="1">
      <c r="A3448" s="61"/>
      <c r="B3448" s="55"/>
      <c r="C3448" s="55"/>
      <c r="D3448" s="55"/>
      <c r="E3448" s="55"/>
      <c r="F3448" s="55"/>
      <c r="G3448" s="55"/>
      <c r="H3448" s="62"/>
      <c r="I3448" s="62"/>
      <c r="J3448" s="55"/>
      <c r="K3448" s="55"/>
      <c r="L3448" s="55"/>
      <c r="P3448" s="1">
        <f>COUNTIF(Analysis!$M$1:$M$3001,Analysis!$M3448)</f>
        <v>0</v>
      </c>
      <c r="Q3448" s="1" t="str">
        <f>IF(COUNTIF(Analysis!$M$2:$M$3001,Analysis!$M3448)&gt;1,"Duplicate","OK")</f>
        <v>OK</v>
      </c>
      <c r="R3448" s="1" t="str">
        <f t="shared" si="1"/>
        <v>#N/A</v>
      </c>
    </row>
    <row r="3449" ht="14.25" customHeight="1">
      <c r="A3449" s="61"/>
      <c r="B3449" s="55"/>
      <c r="C3449" s="55"/>
      <c r="D3449" s="55"/>
      <c r="E3449" s="55"/>
      <c r="F3449" s="55"/>
      <c r="G3449" s="55"/>
      <c r="H3449" s="62"/>
      <c r="I3449" s="62"/>
      <c r="J3449" s="55"/>
      <c r="K3449" s="55"/>
      <c r="L3449" s="55"/>
      <c r="P3449" s="1">
        <f>COUNTIF(Analysis!$M$1:$M$3001,Analysis!$M3449)</f>
        <v>0</v>
      </c>
      <c r="Q3449" s="1" t="str">
        <f>IF(COUNTIF(Analysis!$M$2:$M$3001,Analysis!$M3449)&gt;1,"Duplicate","OK")</f>
        <v>OK</v>
      </c>
      <c r="R3449" s="1" t="str">
        <f t="shared" si="1"/>
        <v>#N/A</v>
      </c>
    </row>
    <row r="3450" ht="14.25" customHeight="1">
      <c r="A3450" s="61"/>
      <c r="B3450" s="55"/>
      <c r="C3450" s="55"/>
      <c r="D3450" s="55"/>
      <c r="E3450" s="55"/>
      <c r="F3450" s="55"/>
      <c r="G3450" s="55"/>
      <c r="H3450" s="62"/>
      <c r="I3450" s="62"/>
      <c r="J3450" s="55"/>
      <c r="K3450" s="55"/>
      <c r="L3450" s="55"/>
      <c r="P3450" s="1">
        <f>COUNTIF(Analysis!$M$1:$M$3001,Analysis!$M3450)</f>
        <v>0</v>
      </c>
      <c r="Q3450" s="1" t="str">
        <f>IF(COUNTIF(Analysis!$M$2:$M$3001,Analysis!$M3450)&gt;1,"Duplicate","OK")</f>
        <v>OK</v>
      </c>
      <c r="R3450" s="1" t="str">
        <f t="shared" si="1"/>
        <v>#N/A</v>
      </c>
    </row>
    <row r="3451" ht="14.25" customHeight="1">
      <c r="A3451" s="61"/>
      <c r="B3451" s="55"/>
      <c r="C3451" s="55"/>
      <c r="D3451" s="55"/>
      <c r="E3451" s="55"/>
      <c r="F3451" s="55"/>
      <c r="G3451" s="55"/>
      <c r="H3451" s="62"/>
      <c r="I3451" s="62"/>
      <c r="J3451" s="55"/>
      <c r="K3451" s="55"/>
      <c r="L3451" s="55"/>
      <c r="P3451" s="1">
        <f>COUNTIF(Analysis!$M$1:$M$3001,Analysis!$M3451)</f>
        <v>0</v>
      </c>
      <c r="Q3451" s="1" t="str">
        <f>IF(COUNTIF(Analysis!$M$2:$M$3001,Analysis!$M3451)&gt;1,"Duplicate","OK")</f>
        <v>OK</v>
      </c>
      <c r="R3451" s="1" t="str">
        <f t="shared" si="1"/>
        <v>#N/A</v>
      </c>
    </row>
    <row r="3452" ht="14.25" customHeight="1">
      <c r="A3452" s="61"/>
      <c r="B3452" s="55"/>
      <c r="C3452" s="55"/>
      <c r="D3452" s="55"/>
      <c r="E3452" s="55"/>
      <c r="F3452" s="55"/>
      <c r="G3452" s="55"/>
      <c r="H3452" s="62"/>
      <c r="I3452" s="62"/>
      <c r="J3452" s="55"/>
      <c r="K3452" s="55"/>
      <c r="L3452" s="55"/>
      <c r="P3452" s="1">
        <f>COUNTIF(Analysis!$M$1:$M$3001,Analysis!$M3452)</f>
        <v>0</v>
      </c>
      <c r="Q3452" s="1" t="str">
        <f>IF(COUNTIF(Analysis!$M$2:$M$3001,Analysis!$M3452)&gt;1,"Duplicate","OK")</f>
        <v>OK</v>
      </c>
      <c r="R3452" s="1" t="str">
        <f t="shared" si="1"/>
        <v>#N/A</v>
      </c>
    </row>
    <row r="3453" ht="14.25" customHeight="1">
      <c r="A3453" s="61"/>
      <c r="B3453" s="55"/>
      <c r="C3453" s="55"/>
      <c r="D3453" s="55"/>
      <c r="E3453" s="55"/>
      <c r="F3453" s="55"/>
      <c r="G3453" s="55"/>
      <c r="H3453" s="62"/>
      <c r="I3453" s="62"/>
      <c r="J3453" s="55"/>
      <c r="K3453" s="55"/>
      <c r="L3453" s="55"/>
      <c r="P3453" s="1">
        <f>COUNTIF(Analysis!$M$1:$M$3001,Analysis!$M3453)</f>
        <v>0</v>
      </c>
      <c r="Q3453" s="1" t="str">
        <f>IF(COUNTIF(Analysis!$M$2:$M$3001,Analysis!$M3453)&gt;1,"Duplicate","OK")</f>
        <v>OK</v>
      </c>
      <c r="R3453" s="1" t="str">
        <f t="shared" si="1"/>
        <v>#N/A</v>
      </c>
    </row>
    <row r="3454" ht="14.25" customHeight="1">
      <c r="A3454" s="61"/>
      <c r="B3454" s="55"/>
      <c r="C3454" s="55"/>
      <c r="D3454" s="55"/>
      <c r="E3454" s="55"/>
      <c r="F3454" s="55"/>
      <c r="G3454" s="55"/>
      <c r="H3454" s="62"/>
      <c r="I3454" s="62"/>
      <c r="J3454" s="55"/>
      <c r="K3454" s="55"/>
      <c r="L3454" s="55"/>
      <c r="P3454" s="1">
        <f>COUNTIF(Analysis!$M$1:$M$3001,Analysis!$M3454)</f>
        <v>0</v>
      </c>
      <c r="Q3454" s="1" t="str">
        <f>IF(COUNTIF(Analysis!$M$2:$M$3001,Analysis!$M3454)&gt;1,"Duplicate","OK")</f>
        <v>OK</v>
      </c>
      <c r="R3454" s="1" t="str">
        <f t="shared" si="1"/>
        <v>#N/A</v>
      </c>
    </row>
    <row r="3455" ht="14.25" customHeight="1">
      <c r="A3455" s="61"/>
      <c r="B3455" s="55"/>
      <c r="C3455" s="55"/>
      <c r="D3455" s="55"/>
      <c r="E3455" s="55"/>
      <c r="F3455" s="55"/>
      <c r="G3455" s="55"/>
      <c r="H3455" s="62"/>
      <c r="I3455" s="62"/>
      <c r="J3455" s="55"/>
      <c r="K3455" s="55"/>
      <c r="L3455" s="55"/>
      <c r="P3455" s="1">
        <f>COUNTIF(Analysis!$M$1:$M$3001,Analysis!$M3455)</f>
        <v>0</v>
      </c>
      <c r="Q3455" s="1" t="str">
        <f>IF(COUNTIF(Analysis!$M$2:$M$3001,Analysis!$M3455)&gt;1,"Duplicate","OK")</f>
        <v>OK</v>
      </c>
      <c r="R3455" s="1" t="str">
        <f t="shared" si="1"/>
        <v>#N/A</v>
      </c>
    </row>
    <row r="3456" ht="14.25" customHeight="1">
      <c r="A3456" s="61"/>
      <c r="B3456" s="55"/>
      <c r="C3456" s="55"/>
      <c r="D3456" s="55"/>
      <c r="E3456" s="55"/>
      <c r="F3456" s="55"/>
      <c r="G3456" s="55"/>
      <c r="H3456" s="62"/>
      <c r="I3456" s="62"/>
      <c r="J3456" s="55"/>
      <c r="K3456" s="55"/>
      <c r="L3456" s="55"/>
      <c r="P3456" s="1">
        <f>COUNTIF(Analysis!$M$1:$M$3001,Analysis!$M3456)</f>
        <v>0</v>
      </c>
      <c r="Q3456" s="1" t="str">
        <f>IF(COUNTIF(Analysis!$M$2:$M$3001,Analysis!$M3456)&gt;1,"Duplicate","OK")</f>
        <v>OK</v>
      </c>
      <c r="R3456" s="1" t="str">
        <f t="shared" si="1"/>
        <v>#N/A</v>
      </c>
    </row>
    <row r="3457" ht="14.25" customHeight="1">
      <c r="A3457" s="61"/>
      <c r="B3457" s="55"/>
      <c r="C3457" s="55"/>
      <c r="D3457" s="55"/>
      <c r="E3457" s="55"/>
      <c r="F3457" s="55"/>
      <c r="G3457" s="55"/>
      <c r="H3457" s="62"/>
      <c r="I3457" s="62"/>
      <c r="J3457" s="55"/>
      <c r="K3457" s="55"/>
      <c r="L3457" s="55"/>
      <c r="P3457" s="1">
        <f>COUNTIF(Analysis!$M$1:$M$3001,Analysis!$M3457)</f>
        <v>0</v>
      </c>
      <c r="Q3457" s="1" t="str">
        <f>IF(COUNTIF(Analysis!$M$2:$M$3001,Analysis!$M3457)&gt;1,"Duplicate","OK")</f>
        <v>OK</v>
      </c>
      <c r="R3457" s="1" t="str">
        <f t="shared" si="1"/>
        <v>#N/A</v>
      </c>
    </row>
    <row r="3458" ht="14.25" customHeight="1">
      <c r="A3458" s="61"/>
      <c r="B3458" s="55"/>
      <c r="C3458" s="55"/>
      <c r="D3458" s="55"/>
      <c r="E3458" s="55"/>
      <c r="F3458" s="55"/>
      <c r="G3458" s="55"/>
      <c r="H3458" s="62"/>
      <c r="I3458" s="62"/>
      <c r="J3458" s="55"/>
      <c r="K3458" s="55"/>
      <c r="L3458" s="55"/>
      <c r="P3458" s="1">
        <f>COUNTIF(Analysis!$M$1:$M$3001,Analysis!$M3458)</f>
        <v>0</v>
      </c>
      <c r="Q3458" s="1" t="str">
        <f>IF(COUNTIF(Analysis!$M$2:$M$3001,Analysis!$M3458)&gt;1,"Duplicate","OK")</f>
        <v>OK</v>
      </c>
      <c r="R3458" s="1" t="str">
        <f t="shared" si="1"/>
        <v>#N/A</v>
      </c>
    </row>
    <row r="3459" ht="14.25" customHeight="1">
      <c r="A3459" s="61"/>
      <c r="B3459" s="55"/>
      <c r="C3459" s="55"/>
      <c r="D3459" s="55"/>
      <c r="E3459" s="55"/>
      <c r="F3459" s="55"/>
      <c r="G3459" s="55"/>
      <c r="H3459" s="62"/>
      <c r="I3459" s="62"/>
      <c r="J3459" s="55"/>
      <c r="K3459" s="55"/>
      <c r="L3459" s="55"/>
      <c r="P3459" s="1">
        <f>COUNTIF(Analysis!$M$1:$M$3001,Analysis!$M3459)</f>
        <v>0</v>
      </c>
      <c r="Q3459" s="1" t="str">
        <f>IF(COUNTIF(Analysis!$M$2:$M$3001,Analysis!$M3459)&gt;1,"Duplicate","OK")</f>
        <v>OK</v>
      </c>
      <c r="R3459" s="1" t="str">
        <f t="shared" si="1"/>
        <v>#N/A</v>
      </c>
    </row>
    <row r="3460" ht="14.25" customHeight="1">
      <c r="A3460" s="61"/>
      <c r="B3460" s="55"/>
      <c r="C3460" s="55"/>
      <c r="D3460" s="55"/>
      <c r="E3460" s="55"/>
      <c r="F3460" s="55"/>
      <c r="G3460" s="55"/>
      <c r="H3460" s="62"/>
      <c r="I3460" s="62"/>
      <c r="J3460" s="55"/>
      <c r="K3460" s="55"/>
      <c r="L3460" s="55"/>
      <c r="P3460" s="1">
        <f>COUNTIF(Analysis!$M$1:$M$3001,Analysis!$M3460)</f>
        <v>0</v>
      </c>
      <c r="Q3460" s="1" t="str">
        <f>IF(COUNTIF(Analysis!$M$2:$M$3001,Analysis!$M3460)&gt;1,"Duplicate","OK")</f>
        <v>OK</v>
      </c>
      <c r="R3460" s="1" t="str">
        <f t="shared" si="1"/>
        <v>#N/A</v>
      </c>
    </row>
    <row r="3461" ht="14.25" customHeight="1">
      <c r="A3461" s="61"/>
      <c r="B3461" s="55"/>
      <c r="C3461" s="55"/>
      <c r="D3461" s="55"/>
      <c r="E3461" s="55"/>
      <c r="F3461" s="55"/>
      <c r="G3461" s="55"/>
      <c r="H3461" s="62"/>
      <c r="I3461" s="62"/>
      <c r="J3461" s="55"/>
      <c r="K3461" s="55"/>
      <c r="L3461" s="55"/>
      <c r="P3461" s="1">
        <f>COUNTIF(Analysis!$M$1:$M$3001,Analysis!$M3461)</f>
        <v>0</v>
      </c>
      <c r="Q3461" s="1" t="str">
        <f>IF(COUNTIF(Analysis!$M$2:$M$3001,Analysis!$M3461)&gt;1,"Duplicate","OK")</f>
        <v>OK</v>
      </c>
      <c r="R3461" s="1" t="str">
        <f t="shared" si="1"/>
        <v>#N/A</v>
      </c>
    </row>
    <row r="3462" ht="14.25" customHeight="1">
      <c r="A3462" s="61"/>
      <c r="B3462" s="55"/>
      <c r="C3462" s="55"/>
      <c r="D3462" s="55"/>
      <c r="E3462" s="55"/>
      <c r="F3462" s="55"/>
      <c r="G3462" s="55"/>
      <c r="H3462" s="62"/>
      <c r="I3462" s="62"/>
      <c r="J3462" s="55"/>
      <c r="K3462" s="55"/>
      <c r="L3462" s="55"/>
      <c r="P3462" s="1">
        <f>COUNTIF(Analysis!$M$1:$M$3001,Analysis!$M3462)</f>
        <v>0</v>
      </c>
      <c r="Q3462" s="1" t="str">
        <f>IF(COUNTIF(Analysis!$M$2:$M$3001,Analysis!$M3462)&gt;1,"Duplicate","OK")</f>
        <v>OK</v>
      </c>
      <c r="R3462" s="1" t="str">
        <f t="shared" si="1"/>
        <v>#N/A</v>
      </c>
    </row>
    <row r="3463" ht="14.25" customHeight="1">
      <c r="A3463" s="61"/>
      <c r="B3463" s="55"/>
      <c r="C3463" s="55"/>
      <c r="D3463" s="55"/>
      <c r="E3463" s="55"/>
      <c r="F3463" s="55"/>
      <c r="G3463" s="55"/>
      <c r="H3463" s="62"/>
      <c r="I3463" s="62"/>
      <c r="J3463" s="55"/>
      <c r="K3463" s="55"/>
      <c r="L3463" s="55"/>
      <c r="P3463" s="1">
        <f>COUNTIF(Analysis!$M$1:$M$3001,Analysis!$M3463)</f>
        <v>0</v>
      </c>
      <c r="Q3463" s="1" t="str">
        <f>IF(COUNTIF(Analysis!$M$2:$M$3001,Analysis!$M3463)&gt;1,"Duplicate","OK")</f>
        <v>OK</v>
      </c>
      <c r="R3463" s="1" t="str">
        <f t="shared" si="1"/>
        <v>#N/A</v>
      </c>
    </row>
    <row r="3464" ht="14.25" customHeight="1">
      <c r="A3464" s="61"/>
      <c r="B3464" s="55"/>
      <c r="C3464" s="55"/>
      <c r="D3464" s="55"/>
      <c r="E3464" s="55"/>
      <c r="F3464" s="55"/>
      <c r="G3464" s="55"/>
      <c r="H3464" s="62"/>
      <c r="I3464" s="62"/>
      <c r="J3464" s="55"/>
      <c r="K3464" s="55"/>
      <c r="L3464" s="55"/>
      <c r="P3464" s="1">
        <f>COUNTIF(Analysis!$M$1:$M$3001,Analysis!$M3464)</f>
        <v>0</v>
      </c>
      <c r="Q3464" s="1" t="str">
        <f>IF(COUNTIF(Analysis!$M$2:$M$3001,Analysis!$M3464)&gt;1,"Duplicate","OK")</f>
        <v>OK</v>
      </c>
      <c r="R3464" s="1" t="str">
        <f t="shared" si="1"/>
        <v>#N/A</v>
      </c>
    </row>
    <row r="3465" ht="14.25" customHeight="1">
      <c r="A3465" s="61"/>
      <c r="B3465" s="55"/>
      <c r="C3465" s="55"/>
      <c r="D3465" s="55"/>
      <c r="E3465" s="55"/>
      <c r="F3465" s="55"/>
      <c r="G3465" s="55"/>
      <c r="H3465" s="62"/>
      <c r="I3465" s="62"/>
      <c r="J3465" s="55"/>
      <c r="K3465" s="55"/>
      <c r="L3465" s="55"/>
      <c r="P3465" s="1">
        <f>COUNTIF(Analysis!$M$1:$M$3001,Analysis!$M3465)</f>
        <v>0</v>
      </c>
      <c r="Q3465" s="1" t="str">
        <f>IF(COUNTIF(Analysis!$M$2:$M$3001,Analysis!$M3465)&gt;1,"Duplicate","OK")</f>
        <v>OK</v>
      </c>
      <c r="R3465" s="1" t="str">
        <f t="shared" si="1"/>
        <v>#N/A</v>
      </c>
    </row>
    <row r="3466" ht="14.25" customHeight="1">
      <c r="A3466" s="61"/>
      <c r="B3466" s="55"/>
      <c r="C3466" s="55"/>
      <c r="D3466" s="55"/>
      <c r="E3466" s="55"/>
      <c r="F3466" s="55"/>
      <c r="G3466" s="55"/>
      <c r="H3466" s="62"/>
      <c r="I3466" s="62"/>
      <c r="J3466" s="55"/>
      <c r="K3466" s="55"/>
      <c r="L3466" s="55"/>
      <c r="P3466" s="1">
        <f>COUNTIF(Analysis!$M$1:$M$3001,Analysis!$M3466)</f>
        <v>0</v>
      </c>
      <c r="Q3466" s="1" t="str">
        <f>IF(COUNTIF(Analysis!$M$2:$M$3001,Analysis!$M3466)&gt;1,"Duplicate","OK")</f>
        <v>OK</v>
      </c>
      <c r="R3466" s="1" t="str">
        <f t="shared" si="1"/>
        <v>#N/A</v>
      </c>
    </row>
    <row r="3467" ht="14.25" customHeight="1">
      <c r="A3467" s="61"/>
      <c r="B3467" s="55"/>
      <c r="C3467" s="55"/>
      <c r="D3467" s="55"/>
      <c r="E3467" s="55"/>
      <c r="F3467" s="55"/>
      <c r="G3467" s="55"/>
      <c r="H3467" s="62"/>
      <c r="I3467" s="62"/>
      <c r="J3467" s="55"/>
      <c r="K3467" s="55"/>
      <c r="L3467" s="55"/>
      <c r="P3467" s="1">
        <f>COUNTIF(Analysis!$M$1:$M$3001,Analysis!$M3467)</f>
        <v>0</v>
      </c>
      <c r="Q3467" s="1" t="str">
        <f>IF(COUNTIF(Analysis!$M$2:$M$3001,Analysis!$M3467)&gt;1,"Duplicate","OK")</f>
        <v>OK</v>
      </c>
      <c r="R3467" s="1" t="str">
        <f t="shared" si="1"/>
        <v>#N/A</v>
      </c>
    </row>
    <row r="3468" ht="14.25" customHeight="1">
      <c r="A3468" s="61"/>
      <c r="B3468" s="55"/>
      <c r="C3468" s="55"/>
      <c r="D3468" s="55"/>
      <c r="E3468" s="55"/>
      <c r="F3468" s="55"/>
      <c r="G3468" s="55"/>
      <c r="H3468" s="62"/>
      <c r="I3468" s="62"/>
      <c r="J3468" s="55"/>
      <c r="K3468" s="55"/>
      <c r="L3468" s="55"/>
      <c r="P3468" s="1">
        <f>COUNTIF(Analysis!$M$1:$M$3001,Analysis!$M3468)</f>
        <v>0</v>
      </c>
      <c r="Q3468" s="1" t="str">
        <f>IF(COUNTIF(Analysis!$M$2:$M$3001,Analysis!$M3468)&gt;1,"Duplicate","OK")</f>
        <v>OK</v>
      </c>
      <c r="R3468" s="1" t="str">
        <f t="shared" si="1"/>
        <v>#N/A</v>
      </c>
    </row>
    <row r="3469" ht="14.25" customHeight="1">
      <c r="A3469" s="61"/>
      <c r="B3469" s="55"/>
      <c r="C3469" s="55"/>
      <c r="D3469" s="55"/>
      <c r="E3469" s="55"/>
      <c r="F3469" s="55"/>
      <c r="G3469" s="55"/>
      <c r="H3469" s="62"/>
      <c r="I3469" s="62"/>
      <c r="J3469" s="55"/>
      <c r="K3469" s="55"/>
      <c r="L3469" s="55"/>
      <c r="P3469" s="1">
        <f>COUNTIF(Analysis!$M$1:$M$3001,Analysis!$M3469)</f>
        <v>0</v>
      </c>
      <c r="Q3469" s="1" t="str">
        <f>IF(COUNTIF(Analysis!$M$2:$M$3001,Analysis!$M3469)&gt;1,"Duplicate","OK")</f>
        <v>OK</v>
      </c>
      <c r="R3469" s="1" t="str">
        <f t="shared" si="1"/>
        <v>#N/A</v>
      </c>
    </row>
    <row r="3470" ht="14.25" customHeight="1">
      <c r="A3470" s="61"/>
      <c r="B3470" s="55"/>
      <c r="C3470" s="55"/>
      <c r="D3470" s="55"/>
      <c r="E3470" s="55"/>
      <c r="F3470" s="55"/>
      <c r="G3470" s="55"/>
      <c r="H3470" s="62"/>
      <c r="I3470" s="62"/>
      <c r="J3470" s="55"/>
      <c r="K3470" s="55"/>
      <c r="L3470" s="55"/>
      <c r="P3470" s="1">
        <f>COUNTIF(Analysis!$M$1:$M$3001,Analysis!$M3470)</f>
        <v>0</v>
      </c>
      <c r="Q3470" s="1" t="str">
        <f>IF(COUNTIF(Analysis!$M$2:$M$3001,Analysis!$M3470)&gt;1,"Duplicate","OK")</f>
        <v>OK</v>
      </c>
      <c r="R3470" s="1" t="str">
        <f t="shared" si="1"/>
        <v>#N/A</v>
      </c>
    </row>
    <row r="3471" ht="14.25" customHeight="1">
      <c r="A3471" s="61"/>
      <c r="B3471" s="55"/>
      <c r="C3471" s="55"/>
      <c r="D3471" s="55"/>
      <c r="E3471" s="55"/>
      <c r="F3471" s="55"/>
      <c r="G3471" s="55"/>
      <c r="H3471" s="62"/>
      <c r="I3471" s="62"/>
      <c r="J3471" s="55"/>
      <c r="K3471" s="55"/>
      <c r="L3471" s="55"/>
      <c r="P3471" s="1">
        <f>COUNTIF(Analysis!$M$1:$M$3001,Analysis!$M3471)</f>
        <v>0</v>
      </c>
      <c r="Q3471" s="1" t="str">
        <f>IF(COUNTIF(Analysis!$M$2:$M$3001,Analysis!$M3471)&gt;1,"Duplicate","OK")</f>
        <v>OK</v>
      </c>
      <c r="R3471" s="1" t="str">
        <f t="shared" si="1"/>
        <v>#N/A</v>
      </c>
    </row>
    <row r="3472" ht="14.25" customHeight="1">
      <c r="A3472" s="61"/>
      <c r="B3472" s="55"/>
      <c r="C3472" s="55"/>
      <c r="D3472" s="55"/>
      <c r="E3472" s="55"/>
      <c r="F3472" s="55"/>
      <c r="G3472" s="55"/>
      <c r="H3472" s="62"/>
      <c r="I3472" s="62"/>
      <c r="J3472" s="55"/>
      <c r="K3472" s="55"/>
      <c r="L3472" s="55"/>
      <c r="P3472" s="1">
        <f>COUNTIF(Analysis!$M$1:$M$3001,Analysis!$M3472)</f>
        <v>0</v>
      </c>
      <c r="Q3472" s="1" t="str">
        <f>IF(COUNTIF(Analysis!$M$2:$M$3001,Analysis!$M3472)&gt;1,"Duplicate","OK")</f>
        <v>OK</v>
      </c>
      <c r="R3472" s="1" t="str">
        <f t="shared" si="1"/>
        <v>#N/A</v>
      </c>
    </row>
    <row r="3473" ht="14.25" customHeight="1">
      <c r="A3473" s="61"/>
      <c r="B3473" s="55"/>
      <c r="C3473" s="55"/>
      <c r="D3473" s="55"/>
      <c r="E3473" s="55"/>
      <c r="F3473" s="55"/>
      <c r="G3473" s="55"/>
      <c r="H3473" s="62"/>
      <c r="I3473" s="62"/>
      <c r="J3473" s="55"/>
      <c r="K3473" s="55"/>
      <c r="L3473" s="55"/>
      <c r="P3473" s="1">
        <f>COUNTIF(Analysis!$M$1:$M$3001,Analysis!$M3473)</f>
        <v>0</v>
      </c>
      <c r="Q3473" s="1" t="str">
        <f>IF(COUNTIF(Analysis!$M$2:$M$3001,Analysis!$M3473)&gt;1,"Duplicate","OK")</f>
        <v>OK</v>
      </c>
      <c r="R3473" s="1" t="str">
        <f t="shared" si="1"/>
        <v>#N/A</v>
      </c>
    </row>
    <row r="3474" ht="14.25" customHeight="1">
      <c r="A3474" s="61"/>
      <c r="B3474" s="55"/>
      <c r="C3474" s="55"/>
      <c r="D3474" s="55"/>
      <c r="E3474" s="55"/>
      <c r="F3474" s="55"/>
      <c r="G3474" s="55"/>
      <c r="H3474" s="62"/>
      <c r="I3474" s="62"/>
      <c r="J3474" s="55"/>
      <c r="K3474" s="55"/>
      <c r="L3474" s="55"/>
      <c r="P3474" s="1">
        <f>COUNTIF(Analysis!$M$1:$M$3001,Analysis!$M3474)</f>
        <v>0</v>
      </c>
      <c r="Q3474" s="1" t="str">
        <f>IF(COUNTIF(Analysis!$M$2:$M$3001,Analysis!$M3474)&gt;1,"Duplicate","OK")</f>
        <v>OK</v>
      </c>
      <c r="R3474" s="1" t="str">
        <f t="shared" si="1"/>
        <v>#N/A</v>
      </c>
    </row>
    <row r="3475" ht="14.25" customHeight="1">
      <c r="A3475" s="61"/>
      <c r="B3475" s="55"/>
      <c r="C3475" s="55"/>
      <c r="D3475" s="55"/>
      <c r="E3475" s="55"/>
      <c r="F3475" s="55"/>
      <c r="G3475" s="55"/>
      <c r="H3475" s="62"/>
      <c r="I3475" s="62"/>
      <c r="J3475" s="55"/>
      <c r="K3475" s="55"/>
      <c r="L3475" s="55"/>
      <c r="P3475" s="1">
        <f>COUNTIF(Analysis!$M$1:$M$3001,Analysis!$M3475)</f>
        <v>0</v>
      </c>
      <c r="Q3475" s="1" t="str">
        <f>IF(COUNTIF(Analysis!$M$2:$M$3001,Analysis!$M3475)&gt;1,"Duplicate","OK")</f>
        <v>OK</v>
      </c>
      <c r="R3475" s="1" t="str">
        <f t="shared" si="1"/>
        <v>#N/A</v>
      </c>
    </row>
    <row r="3476" ht="14.25" customHeight="1">
      <c r="A3476" s="61"/>
      <c r="B3476" s="55"/>
      <c r="C3476" s="55"/>
      <c r="D3476" s="55"/>
      <c r="E3476" s="55"/>
      <c r="F3476" s="55"/>
      <c r="G3476" s="55"/>
      <c r="H3476" s="62"/>
      <c r="I3476" s="62"/>
      <c r="J3476" s="55"/>
      <c r="K3476" s="55"/>
      <c r="L3476" s="55"/>
      <c r="P3476" s="1">
        <f>COUNTIF(Analysis!$M$1:$M$3001,Analysis!$M3476)</f>
        <v>0</v>
      </c>
      <c r="Q3476" s="1" t="str">
        <f>IF(COUNTIF(Analysis!$M$2:$M$3001,Analysis!$M3476)&gt;1,"Duplicate","OK")</f>
        <v>OK</v>
      </c>
      <c r="R3476" s="1" t="str">
        <f t="shared" si="1"/>
        <v>#N/A</v>
      </c>
    </row>
    <row r="3477" ht="14.25" customHeight="1">
      <c r="A3477" s="61"/>
      <c r="B3477" s="55"/>
      <c r="C3477" s="55"/>
      <c r="D3477" s="55"/>
      <c r="E3477" s="55"/>
      <c r="F3477" s="55"/>
      <c r="G3477" s="55"/>
      <c r="H3477" s="62"/>
      <c r="I3477" s="62"/>
      <c r="J3477" s="55"/>
      <c r="K3477" s="55"/>
      <c r="L3477" s="55"/>
      <c r="P3477" s="1">
        <f>COUNTIF(Analysis!$M$1:$M$3001,Analysis!$M3477)</f>
        <v>0</v>
      </c>
      <c r="Q3477" s="1" t="str">
        <f>IF(COUNTIF(Analysis!$M$2:$M$3001,Analysis!$M3477)&gt;1,"Duplicate","OK")</f>
        <v>OK</v>
      </c>
      <c r="R3477" s="1" t="str">
        <f t="shared" si="1"/>
        <v>#N/A</v>
      </c>
    </row>
    <row r="3478" ht="14.25" customHeight="1">
      <c r="A3478" s="61"/>
      <c r="B3478" s="55"/>
      <c r="C3478" s="55"/>
      <c r="D3478" s="55"/>
      <c r="E3478" s="55"/>
      <c r="F3478" s="55"/>
      <c r="G3478" s="55"/>
      <c r="H3478" s="62"/>
      <c r="I3478" s="62"/>
      <c r="J3478" s="55"/>
      <c r="K3478" s="55"/>
      <c r="L3478" s="55"/>
      <c r="P3478" s="1">
        <f>COUNTIF(Analysis!$M$1:$M$3001,Analysis!$M3478)</f>
        <v>0</v>
      </c>
      <c r="Q3478" s="1" t="str">
        <f>IF(COUNTIF(Analysis!$M$2:$M$3001,Analysis!$M3478)&gt;1,"Duplicate","OK")</f>
        <v>OK</v>
      </c>
      <c r="R3478" s="1" t="str">
        <f t="shared" si="1"/>
        <v>#N/A</v>
      </c>
    </row>
    <row r="3479" ht="14.25" customHeight="1">
      <c r="A3479" s="61"/>
      <c r="B3479" s="55"/>
      <c r="C3479" s="55"/>
      <c r="D3479" s="55"/>
      <c r="E3479" s="55"/>
      <c r="F3479" s="55"/>
      <c r="G3479" s="55"/>
      <c r="H3479" s="62"/>
      <c r="I3479" s="62"/>
      <c r="J3479" s="55"/>
      <c r="K3479" s="55"/>
      <c r="L3479" s="55"/>
      <c r="P3479" s="1">
        <f>COUNTIF(Analysis!$M$1:$M$3001,Analysis!$M3479)</f>
        <v>0</v>
      </c>
      <c r="Q3479" s="1" t="str">
        <f>IF(COUNTIF(Analysis!$M$2:$M$3001,Analysis!$M3479)&gt;1,"Duplicate","OK")</f>
        <v>OK</v>
      </c>
      <c r="R3479" s="1" t="str">
        <f t="shared" si="1"/>
        <v>#N/A</v>
      </c>
    </row>
    <row r="3480" ht="14.25" customHeight="1">
      <c r="A3480" s="61"/>
      <c r="B3480" s="55"/>
      <c r="C3480" s="55"/>
      <c r="D3480" s="55"/>
      <c r="E3480" s="55"/>
      <c r="F3480" s="55"/>
      <c r="G3480" s="55"/>
      <c r="H3480" s="62"/>
      <c r="I3480" s="62"/>
      <c r="J3480" s="55"/>
      <c r="K3480" s="55"/>
      <c r="L3480" s="55"/>
      <c r="P3480" s="1">
        <f>COUNTIF(Analysis!$M$1:$M$3001,Analysis!$M3480)</f>
        <v>0</v>
      </c>
      <c r="Q3480" s="1" t="str">
        <f>IF(COUNTIF(Analysis!$M$2:$M$3001,Analysis!$M3480)&gt;1,"Duplicate","OK")</f>
        <v>OK</v>
      </c>
      <c r="R3480" s="1" t="str">
        <f t="shared" si="1"/>
        <v>#N/A</v>
      </c>
    </row>
    <row r="3481" ht="14.25" customHeight="1">
      <c r="A3481" s="61"/>
      <c r="B3481" s="55"/>
      <c r="C3481" s="55"/>
      <c r="D3481" s="55"/>
      <c r="E3481" s="55"/>
      <c r="F3481" s="55"/>
      <c r="G3481" s="55"/>
      <c r="H3481" s="62"/>
      <c r="I3481" s="62"/>
      <c r="J3481" s="55"/>
      <c r="K3481" s="55"/>
      <c r="L3481" s="55"/>
      <c r="P3481" s="1">
        <f>COUNTIF(Analysis!$M$1:$M$3001,Analysis!$M3481)</f>
        <v>0</v>
      </c>
      <c r="Q3481" s="1" t="str">
        <f>IF(COUNTIF(Analysis!$M$2:$M$3001,Analysis!$M3481)&gt;1,"Duplicate","OK")</f>
        <v>OK</v>
      </c>
      <c r="R3481" s="1" t="str">
        <f t="shared" si="1"/>
        <v>#N/A</v>
      </c>
    </row>
    <row r="3482" ht="14.25" customHeight="1">
      <c r="A3482" s="61"/>
      <c r="B3482" s="55"/>
      <c r="C3482" s="55"/>
      <c r="D3482" s="55"/>
      <c r="E3482" s="55"/>
      <c r="F3482" s="55"/>
      <c r="G3482" s="55"/>
      <c r="H3482" s="62"/>
      <c r="I3482" s="62"/>
      <c r="J3482" s="55"/>
      <c r="K3482" s="55"/>
      <c r="L3482" s="55"/>
      <c r="P3482" s="1">
        <f>COUNTIF(Analysis!$M$1:$M$3001,Analysis!$M3482)</f>
        <v>0</v>
      </c>
      <c r="Q3482" s="1" t="str">
        <f>IF(COUNTIF(Analysis!$M$2:$M$3001,Analysis!$M3482)&gt;1,"Duplicate","OK")</f>
        <v>OK</v>
      </c>
      <c r="R3482" s="1" t="str">
        <f t="shared" si="1"/>
        <v>#N/A</v>
      </c>
    </row>
    <row r="3483" ht="14.25" customHeight="1">
      <c r="A3483" s="61"/>
      <c r="B3483" s="55"/>
      <c r="C3483" s="55"/>
      <c r="D3483" s="55"/>
      <c r="E3483" s="55"/>
      <c r="F3483" s="55"/>
      <c r="G3483" s="55"/>
      <c r="H3483" s="62"/>
      <c r="I3483" s="62"/>
      <c r="J3483" s="55"/>
      <c r="K3483" s="55"/>
      <c r="L3483" s="55"/>
      <c r="P3483" s="1">
        <f>COUNTIF(Analysis!$M$1:$M$3001,Analysis!$M3483)</f>
        <v>0</v>
      </c>
      <c r="Q3483" s="1" t="str">
        <f>IF(COUNTIF(Analysis!$M$2:$M$3001,Analysis!$M3483)&gt;1,"Duplicate","OK")</f>
        <v>OK</v>
      </c>
      <c r="R3483" s="1" t="str">
        <f t="shared" si="1"/>
        <v>#N/A</v>
      </c>
    </row>
    <row r="3484" ht="14.25" customHeight="1">
      <c r="A3484" s="61"/>
      <c r="B3484" s="55"/>
      <c r="C3484" s="55"/>
      <c r="D3484" s="55"/>
      <c r="E3484" s="55"/>
      <c r="F3484" s="55"/>
      <c r="G3484" s="55"/>
      <c r="H3484" s="62"/>
      <c r="I3484" s="62"/>
      <c r="J3484" s="55"/>
      <c r="K3484" s="55"/>
      <c r="L3484" s="55"/>
      <c r="P3484" s="1">
        <f>COUNTIF(Analysis!$M$1:$M$3001,Analysis!$M3484)</f>
        <v>0</v>
      </c>
      <c r="Q3484" s="1" t="str">
        <f>IF(COUNTIF(Analysis!$M$2:$M$3001,Analysis!$M3484)&gt;1,"Duplicate","OK")</f>
        <v>OK</v>
      </c>
      <c r="R3484" s="1" t="str">
        <f t="shared" si="1"/>
        <v>#N/A</v>
      </c>
    </row>
    <row r="3485" ht="14.25" customHeight="1">
      <c r="A3485" s="61"/>
      <c r="B3485" s="55"/>
      <c r="C3485" s="55"/>
      <c r="D3485" s="55"/>
      <c r="E3485" s="55"/>
      <c r="F3485" s="55"/>
      <c r="G3485" s="55"/>
      <c r="H3485" s="62"/>
      <c r="I3485" s="62"/>
      <c r="J3485" s="55"/>
      <c r="K3485" s="55"/>
      <c r="L3485" s="55"/>
      <c r="P3485" s="1">
        <f>COUNTIF(Analysis!$M$1:$M$3001,Analysis!$M3485)</f>
        <v>0</v>
      </c>
      <c r="Q3485" s="1" t="str">
        <f>IF(COUNTIF(Analysis!$M$2:$M$3001,Analysis!$M3485)&gt;1,"Duplicate","OK")</f>
        <v>OK</v>
      </c>
      <c r="R3485" s="1" t="str">
        <f t="shared" si="1"/>
        <v>#N/A</v>
      </c>
    </row>
    <row r="3486" ht="14.25" customHeight="1">
      <c r="A3486" s="61"/>
      <c r="B3486" s="55"/>
      <c r="C3486" s="55"/>
      <c r="D3486" s="55"/>
      <c r="E3486" s="55"/>
      <c r="F3486" s="55"/>
      <c r="G3486" s="55"/>
      <c r="H3486" s="62"/>
      <c r="I3486" s="62"/>
      <c r="J3486" s="55"/>
      <c r="K3486" s="55"/>
      <c r="L3486" s="55"/>
      <c r="P3486" s="1">
        <f>COUNTIF(Analysis!$M$1:$M$3001,Analysis!$M3486)</f>
        <v>0</v>
      </c>
      <c r="Q3486" s="1" t="str">
        <f>IF(COUNTIF(Analysis!$M$2:$M$3001,Analysis!$M3486)&gt;1,"Duplicate","OK")</f>
        <v>OK</v>
      </c>
      <c r="R3486" s="1" t="str">
        <f t="shared" si="1"/>
        <v>#N/A</v>
      </c>
    </row>
    <row r="3487" ht="14.25" customHeight="1">
      <c r="A3487" s="61"/>
      <c r="B3487" s="55"/>
      <c r="C3487" s="55"/>
      <c r="D3487" s="55"/>
      <c r="E3487" s="55"/>
      <c r="F3487" s="55"/>
      <c r="G3487" s="55"/>
      <c r="H3487" s="62"/>
      <c r="I3487" s="62"/>
      <c r="J3487" s="55"/>
      <c r="K3487" s="55"/>
      <c r="L3487" s="55"/>
      <c r="P3487" s="1">
        <f>COUNTIF(Analysis!$M$1:$M$3001,Analysis!$M3487)</f>
        <v>0</v>
      </c>
      <c r="Q3487" s="1" t="str">
        <f>IF(COUNTIF(Analysis!$M$2:$M$3001,Analysis!$M3487)&gt;1,"Duplicate","OK")</f>
        <v>OK</v>
      </c>
      <c r="R3487" s="1" t="str">
        <f t="shared" si="1"/>
        <v>#N/A</v>
      </c>
    </row>
    <row r="3488" ht="14.25" customHeight="1">
      <c r="A3488" s="61"/>
      <c r="B3488" s="55"/>
      <c r="C3488" s="55"/>
      <c r="D3488" s="55"/>
      <c r="E3488" s="55"/>
      <c r="F3488" s="55"/>
      <c r="G3488" s="55"/>
      <c r="H3488" s="62"/>
      <c r="I3488" s="62"/>
      <c r="J3488" s="55"/>
      <c r="K3488" s="55"/>
      <c r="L3488" s="55"/>
      <c r="P3488" s="1">
        <f>COUNTIF(Analysis!$M$1:$M$3001,Analysis!$M3488)</f>
        <v>0</v>
      </c>
      <c r="Q3488" s="1" t="str">
        <f>IF(COUNTIF(Analysis!$M$2:$M$3001,Analysis!$M3488)&gt;1,"Duplicate","OK")</f>
        <v>OK</v>
      </c>
      <c r="R3488" s="1" t="str">
        <f t="shared" si="1"/>
        <v>#N/A</v>
      </c>
    </row>
    <row r="3489" ht="14.25" customHeight="1">
      <c r="A3489" s="61"/>
      <c r="B3489" s="55"/>
      <c r="C3489" s="55"/>
      <c r="D3489" s="55"/>
      <c r="E3489" s="55"/>
      <c r="F3489" s="55"/>
      <c r="G3489" s="55"/>
      <c r="H3489" s="62"/>
      <c r="I3489" s="62"/>
      <c r="J3489" s="55"/>
      <c r="K3489" s="55"/>
      <c r="L3489" s="55"/>
      <c r="P3489" s="1">
        <f>COUNTIF(Analysis!$M$1:$M$3001,Analysis!$M3489)</f>
        <v>0</v>
      </c>
      <c r="Q3489" s="1" t="str">
        <f>IF(COUNTIF(Analysis!$M$2:$M$3001,Analysis!$M3489)&gt;1,"Duplicate","OK")</f>
        <v>OK</v>
      </c>
      <c r="R3489" s="1" t="str">
        <f t="shared" si="1"/>
        <v>#N/A</v>
      </c>
    </row>
    <row r="3490" ht="14.25" customHeight="1">
      <c r="A3490" s="61"/>
      <c r="B3490" s="55"/>
      <c r="C3490" s="55"/>
      <c r="D3490" s="55"/>
      <c r="E3490" s="55"/>
      <c r="F3490" s="55"/>
      <c r="G3490" s="55"/>
      <c r="H3490" s="62"/>
      <c r="I3490" s="62"/>
      <c r="J3490" s="55"/>
      <c r="K3490" s="55"/>
      <c r="L3490" s="55"/>
      <c r="P3490" s="1">
        <f>COUNTIF(Analysis!$M$1:$M$3001,Analysis!$M3490)</f>
        <v>0</v>
      </c>
      <c r="Q3490" s="1" t="str">
        <f>IF(COUNTIF(Analysis!$M$2:$M$3001,Analysis!$M3490)&gt;1,"Duplicate","OK")</f>
        <v>OK</v>
      </c>
      <c r="R3490" s="1" t="str">
        <f t="shared" si="1"/>
        <v>#N/A</v>
      </c>
    </row>
    <row r="3491" ht="14.25" customHeight="1">
      <c r="A3491" s="61"/>
      <c r="B3491" s="55"/>
      <c r="C3491" s="55"/>
      <c r="D3491" s="55"/>
      <c r="E3491" s="55"/>
      <c r="F3491" s="55"/>
      <c r="G3491" s="55"/>
      <c r="H3491" s="62"/>
      <c r="I3491" s="62"/>
      <c r="J3491" s="55"/>
      <c r="K3491" s="55"/>
      <c r="L3491" s="55"/>
      <c r="P3491" s="1">
        <f>COUNTIF(Analysis!$M$1:$M$3001,Analysis!$M3491)</f>
        <v>0</v>
      </c>
      <c r="Q3491" s="1" t="str">
        <f>IF(COUNTIF(Analysis!$M$2:$M$3001,Analysis!$M3491)&gt;1,"Duplicate","OK")</f>
        <v>OK</v>
      </c>
      <c r="R3491" s="1" t="str">
        <f t="shared" si="1"/>
        <v>#N/A</v>
      </c>
    </row>
    <row r="3492" ht="14.25" customHeight="1">
      <c r="A3492" s="61"/>
      <c r="B3492" s="55"/>
      <c r="C3492" s="55"/>
      <c r="D3492" s="55"/>
      <c r="E3492" s="55"/>
      <c r="F3492" s="55"/>
      <c r="G3492" s="55"/>
      <c r="H3492" s="62"/>
      <c r="I3492" s="62"/>
      <c r="J3492" s="55"/>
      <c r="K3492" s="55"/>
      <c r="L3492" s="55"/>
      <c r="P3492" s="1">
        <f>COUNTIF(Analysis!$M$1:$M$3001,Analysis!$M3492)</f>
        <v>0</v>
      </c>
      <c r="Q3492" s="1" t="str">
        <f>IF(COUNTIF(Analysis!$M$2:$M$3001,Analysis!$M3492)&gt;1,"Duplicate","OK")</f>
        <v>OK</v>
      </c>
      <c r="R3492" s="1" t="str">
        <f t="shared" si="1"/>
        <v>#N/A</v>
      </c>
    </row>
    <row r="3493" ht="14.25" customHeight="1">
      <c r="A3493" s="61"/>
      <c r="B3493" s="55"/>
      <c r="C3493" s="55"/>
      <c r="D3493" s="55"/>
      <c r="E3493" s="55"/>
      <c r="F3493" s="55"/>
      <c r="G3493" s="55"/>
      <c r="H3493" s="62"/>
      <c r="I3493" s="62"/>
      <c r="J3493" s="55"/>
      <c r="K3493" s="55"/>
      <c r="L3493" s="55"/>
      <c r="P3493" s="1">
        <f>COUNTIF(Analysis!$M$1:$M$3001,Analysis!$M3493)</f>
        <v>0</v>
      </c>
      <c r="Q3493" s="1" t="str">
        <f>IF(COUNTIF(Analysis!$M$2:$M$3001,Analysis!$M3493)&gt;1,"Duplicate","OK")</f>
        <v>OK</v>
      </c>
      <c r="R3493" s="1" t="str">
        <f t="shared" si="1"/>
        <v>#N/A</v>
      </c>
    </row>
    <row r="3494" ht="14.25" customHeight="1">
      <c r="A3494" s="61"/>
      <c r="B3494" s="55"/>
      <c r="C3494" s="55"/>
      <c r="D3494" s="55"/>
      <c r="E3494" s="55"/>
      <c r="F3494" s="55"/>
      <c r="G3494" s="55"/>
      <c r="H3494" s="62"/>
      <c r="I3494" s="62"/>
      <c r="J3494" s="55"/>
      <c r="K3494" s="55"/>
      <c r="L3494" s="55"/>
      <c r="P3494" s="1">
        <f>COUNTIF(Analysis!$M$1:$M$3001,Analysis!$M3494)</f>
        <v>0</v>
      </c>
      <c r="Q3494" s="1" t="str">
        <f>IF(COUNTIF(Analysis!$M$2:$M$3001,Analysis!$M3494)&gt;1,"Duplicate","OK")</f>
        <v>OK</v>
      </c>
      <c r="R3494" s="1" t="str">
        <f t="shared" si="1"/>
        <v>#N/A</v>
      </c>
    </row>
    <row r="3495" ht="14.25" customHeight="1">
      <c r="A3495" s="61"/>
      <c r="B3495" s="55"/>
      <c r="C3495" s="55"/>
      <c r="D3495" s="55"/>
      <c r="E3495" s="55"/>
      <c r="F3495" s="55"/>
      <c r="G3495" s="55"/>
      <c r="H3495" s="62"/>
      <c r="I3495" s="62"/>
      <c r="J3495" s="55"/>
      <c r="K3495" s="55"/>
      <c r="L3495" s="55"/>
      <c r="P3495" s="1">
        <f>COUNTIF(Analysis!$M$1:$M$3001,Analysis!$M3495)</f>
        <v>0</v>
      </c>
      <c r="Q3495" s="1" t="str">
        <f>IF(COUNTIF(Analysis!$M$2:$M$3001,Analysis!$M3495)&gt;1,"Duplicate","OK")</f>
        <v>OK</v>
      </c>
      <c r="R3495" s="1" t="str">
        <f t="shared" si="1"/>
        <v>#N/A</v>
      </c>
    </row>
    <row r="3496" ht="14.25" customHeight="1">
      <c r="A3496" s="61"/>
      <c r="B3496" s="55"/>
      <c r="C3496" s="55"/>
      <c r="D3496" s="55"/>
      <c r="E3496" s="55"/>
      <c r="F3496" s="55"/>
      <c r="G3496" s="55"/>
      <c r="H3496" s="62"/>
      <c r="I3496" s="62"/>
      <c r="J3496" s="55"/>
      <c r="K3496" s="55"/>
      <c r="L3496" s="55"/>
      <c r="P3496" s="1">
        <f>COUNTIF(Analysis!$M$1:$M$3001,Analysis!$M3496)</f>
        <v>0</v>
      </c>
      <c r="Q3496" s="1" t="str">
        <f>IF(COUNTIF(Analysis!$M$2:$M$3001,Analysis!$M3496)&gt;1,"Duplicate","OK")</f>
        <v>OK</v>
      </c>
      <c r="R3496" s="1" t="str">
        <f t="shared" si="1"/>
        <v>#N/A</v>
      </c>
    </row>
    <row r="3497" ht="14.25" customHeight="1">
      <c r="A3497" s="61"/>
      <c r="B3497" s="55"/>
      <c r="C3497" s="55"/>
      <c r="D3497" s="55"/>
      <c r="E3497" s="55"/>
      <c r="F3497" s="55"/>
      <c r="G3497" s="55"/>
      <c r="H3497" s="62"/>
      <c r="I3497" s="62"/>
      <c r="J3497" s="55"/>
      <c r="K3497" s="55"/>
      <c r="L3497" s="55"/>
      <c r="P3497" s="1">
        <f>COUNTIF(Analysis!$M$1:$M$3001,Analysis!$M3497)</f>
        <v>0</v>
      </c>
      <c r="Q3497" s="1" t="str">
        <f>IF(COUNTIF(Analysis!$M$2:$M$3001,Analysis!$M3497)&gt;1,"Duplicate","OK")</f>
        <v>OK</v>
      </c>
      <c r="R3497" s="1" t="str">
        <f t="shared" si="1"/>
        <v>#N/A</v>
      </c>
    </row>
    <row r="3498" ht="14.25" customHeight="1">
      <c r="A3498" s="61"/>
      <c r="B3498" s="55"/>
      <c r="C3498" s="55"/>
      <c r="D3498" s="55"/>
      <c r="E3498" s="55"/>
      <c r="F3498" s="55"/>
      <c r="G3498" s="55"/>
      <c r="H3498" s="62"/>
      <c r="I3498" s="62"/>
      <c r="J3498" s="55"/>
      <c r="K3498" s="55"/>
      <c r="L3498" s="55"/>
      <c r="P3498" s="1">
        <f>COUNTIF(Analysis!$M$1:$M$3001,Analysis!$M3498)</f>
        <v>0</v>
      </c>
      <c r="Q3498" s="1" t="str">
        <f>IF(COUNTIF(Analysis!$M$2:$M$3001,Analysis!$M3498)&gt;1,"Duplicate","OK")</f>
        <v>OK</v>
      </c>
      <c r="R3498" s="1" t="str">
        <f t="shared" si="1"/>
        <v>#N/A</v>
      </c>
    </row>
    <row r="3499" ht="14.25" customHeight="1">
      <c r="A3499" s="61"/>
      <c r="B3499" s="55"/>
      <c r="C3499" s="55"/>
      <c r="D3499" s="55"/>
      <c r="E3499" s="55"/>
      <c r="F3499" s="55"/>
      <c r="G3499" s="55"/>
      <c r="H3499" s="62"/>
      <c r="I3499" s="62"/>
      <c r="J3499" s="55"/>
      <c r="K3499" s="55"/>
      <c r="L3499" s="55"/>
      <c r="P3499" s="1">
        <f>COUNTIF(Analysis!$M$1:$M$3001,Analysis!$M3499)</f>
        <v>0</v>
      </c>
      <c r="Q3499" s="1" t="str">
        <f>IF(COUNTIF(Analysis!$M$2:$M$3001,Analysis!$M3499)&gt;1,"Duplicate","OK")</f>
        <v>OK</v>
      </c>
      <c r="R3499" s="1" t="str">
        <f t="shared" si="1"/>
        <v>#N/A</v>
      </c>
    </row>
    <row r="3500" ht="14.25" customHeight="1">
      <c r="A3500" s="61"/>
      <c r="B3500" s="55"/>
      <c r="C3500" s="55"/>
      <c r="D3500" s="55"/>
      <c r="E3500" s="55"/>
      <c r="F3500" s="55"/>
      <c r="G3500" s="55"/>
      <c r="H3500" s="62"/>
      <c r="I3500" s="62"/>
      <c r="J3500" s="55"/>
      <c r="K3500" s="55"/>
      <c r="L3500" s="55"/>
      <c r="P3500" s="1">
        <f>COUNTIF(Analysis!$M$1:$M$3001,Analysis!$M3500)</f>
        <v>0</v>
      </c>
      <c r="Q3500" s="1" t="str">
        <f>IF(COUNTIF(Analysis!$M$2:$M$3001,Analysis!$M3500)&gt;1,"Duplicate","OK")</f>
        <v>OK</v>
      </c>
      <c r="R3500" s="1" t="str">
        <f t="shared" si="1"/>
        <v>#N/A</v>
      </c>
    </row>
    <row r="3501" ht="14.25" customHeight="1">
      <c r="A3501" s="61"/>
      <c r="B3501" s="55"/>
      <c r="C3501" s="55"/>
      <c r="D3501" s="55"/>
      <c r="E3501" s="55"/>
      <c r="F3501" s="55"/>
      <c r="G3501" s="55"/>
      <c r="H3501" s="62"/>
      <c r="I3501" s="62"/>
      <c r="J3501" s="55"/>
      <c r="K3501" s="55"/>
      <c r="L3501" s="55"/>
      <c r="P3501" s="1">
        <f>COUNTIF(Analysis!$M$1:$M$3001,Analysis!$M3501)</f>
        <v>0</v>
      </c>
      <c r="Q3501" s="1" t="str">
        <f>IF(COUNTIF(Analysis!$M$2:$M$3001,Analysis!$M3501)&gt;1,"Duplicate","OK")</f>
        <v>OK</v>
      </c>
      <c r="R3501" s="1" t="str">
        <f t="shared" si="1"/>
        <v>#N/A</v>
      </c>
    </row>
    <row r="3502" ht="14.25" customHeight="1">
      <c r="A3502" s="61"/>
      <c r="B3502" s="55"/>
      <c r="C3502" s="55"/>
      <c r="D3502" s="55"/>
      <c r="E3502" s="55"/>
      <c r="F3502" s="55"/>
      <c r="G3502" s="55"/>
      <c r="H3502" s="62"/>
      <c r="I3502" s="62"/>
      <c r="J3502" s="55"/>
      <c r="K3502" s="55"/>
      <c r="L3502" s="55"/>
      <c r="P3502" s="1">
        <f>COUNTIF(Analysis!$M$1:$M$3001,Analysis!$M3502)</f>
        <v>0</v>
      </c>
      <c r="Q3502" s="1" t="str">
        <f>IF(COUNTIF(Analysis!$M$2:$M$3001,Analysis!$M3502)&gt;1,"Duplicate","OK")</f>
        <v>OK</v>
      </c>
      <c r="R3502" s="1" t="str">
        <f t="shared" si="1"/>
        <v>#N/A</v>
      </c>
    </row>
    <row r="3503" ht="14.25" customHeight="1">
      <c r="A3503" s="61"/>
      <c r="B3503" s="55"/>
      <c r="C3503" s="55"/>
      <c r="D3503" s="55"/>
      <c r="E3503" s="55"/>
      <c r="F3503" s="55"/>
      <c r="G3503" s="55"/>
      <c r="H3503" s="62"/>
      <c r="I3503" s="62"/>
      <c r="J3503" s="55"/>
      <c r="K3503" s="55"/>
      <c r="L3503" s="55"/>
      <c r="P3503" s="1">
        <f>COUNTIF(Analysis!$M$1:$M$3001,Analysis!$M3503)</f>
        <v>0</v>
      </c>
      <c r="Q3503" s="1" t="str">
        <f>IF(COUNTIF(Analysis!$M$2:$M$3001,Analysis!$M3503)&gt;1,"Duplicate","OK")</f>
        <v>OK</v>
      </c>
      <c r="R3503" s="1" t="str">
        <f t="shared" si="1"/>
        <v>#N/A</v>
      </c>
    </row>
    <row r="3504" ht="14.25" customHeight="1">
      <c r="A3504" s="61"/>
      <c r="B3504" s="55"/>
      <c r="C3504" s="55"/>
      <c r="D3504" s="55"/>
      <c r="E3504" s="55"/>
      <c r="F3504" s="55"/>
      <c r="G3504" s="55"/>
      <c r="H3504" s="62"/>
      <c r="I3504" s="62"/>
      <c r="J3504" s="55"/>
      <c r="K3504" s="55"/>
      <c r="L3504" s="55"/>
      <c r="P3504" s="1">
        <f>COUNTIF(Analysis!$M$1:$M$3001,Analysis!$M3504)</f>
        <v>0</v>
      </c>
      <c r="Q3504" s="1" t="str">
        <f>IF(COUNTIF(Analysis!$M$2:$M$3001,Analysis!$M3504)&gt;1,"Duplicate","OK")</f>
        <v>OK</v>
      </c>
      <c r="R3504" s="1" t="str">
        <f t="shared" si="1"/>
        <v>#N/A</v>
      </c>
    </row>
    <row r="3505" ht="14.25" customHeight="1">
      <c r="A3505" s="61"/>
      <c r="B3505" s="55"/>
      <c r="C3505" s="55"/>
      <c r="D3505" s="55"/>
      <c r="E3505" s="55"/>
      <c r="F3505" s="55"/>
      <c r="G3505" s="55"/>
      <c r="H3505" s="62"/>
      <c r="I3505" s="62"/>
      <c r="J3505" s="55"/>
      <c r="K3505" s="55"/>
      <c r="L3505" s="55"/>
      <c r="P3505" s="1">
        <f>COUNTIF(Analysis!$M$1:$M$3001,Analysis!$M3505)</f>
        <v>0</v>
      </c>
      <c r="Q3505" s="1" t="str">
        <f>IF(COUNTIF(Analysis!$M$2:$M$3001,Analysis!$M3505)&gt;1,"Duplicate","OK")</f>
        <v>OK</v>
      </c>
      <c r="R3505" s="1" t="str">
        <f t="shared" si="1"/>
        <v>#N/A</v>
      </c>
    </row>
    <row r="3506" ht="14.25" customHeight="1">
      <c r="A3506" s="61"/>
      <c r="B3506" s="55"/>
      <c r="C3506" s="55"/>
      <c r="D3506" s="55"/>
      <c r="E3506" s="55"/>
      <c r="F3506" s="55"/>
      <c r="G3506" s="55"/>
      <c r="H3506" s="62"/>
      <c r="I3506" s="62"/>
      <c r="J3506" s="55"/>
      <c r="K3506" s="55"/>
      <c r="L3506" s="55"/>
      <c r="P3506" s="1">
        <f>COUNTIF(Analysis!$M$1:$M$3001,Analysis!$M3506)</f>
        <v>0</v>
      </c>
      <c r="Q3506" s="1" t="str">
        <f>IF(COUNTIF(Analysis!$M$2:$M$3001,Analysis!$M3506)&gt;1,"Duplicate","OK")</f>
        <v>OK</v>
      </c>
      <c r="R3506" s="1" t="str">
        <f t="shared" si="1"/>
        <v>#N/A</v>
      </c>
    </row>
    <row r="3507" ht="14.25" customHeight="1">
      <c r="A3507" s="61"/>
      <c r="B3507" s="55"/>
      <c r="C3507" s="55"/>
      <c r="D3507" s="55"/>
      <c r="E3507" s="55"/>
      <c r="F3507" s="55"/>
      <c r="G3507" s="55"/>
      <c r="H3507" s="62"/>
      <c r="I3507" s="62"/>
      <c r="J3507" s="55"/>
      <c r="K3507" s="55"/>
      <c r="L3507" s="55"/>
      <c r="P3507" s="1">
        <f>COUNTIF(Analysis!$M$1:$M$3001,Analysis!$M3507)</f>
        <v>0</v>
      </c>
      <c r="Q3507" s="1" t="str">
        <f>IF(COUNTIF(Analysis!$M$2:$M$3001,Analysis!$M3507)&gt;1,"Duplicate","OK")</f>
        <v>OK</v>
      </c>
      <c r="R3507" s="1" t="str">
        <f t="shared" si="1"/>
        <v>#N/A</v>
      </c>
    </row>
    <row r="3508" ht="14.25" customHeight="1">
      <c r="A3508" s="61"/>
      <c r="B3508" s="55"/>
      <c r="C3508" s="55"/>
      <c r="D3508" s="55"/>
      <c r="E3508" s="55"/>
      <c r="F3508" s="55"/>
      <c r="G3508" s="55"/>
      <c r="H3508" s="62"/>
      <c r="I3508" s="62"/>
      <c r="J3508" s="55"/>
      <c r="K3508" s="55"/>
      <c r="L3508" s="55"/>
      <c r="P3508" s="1">
        <f>COUNTIF(Analysis!$M$1:$M$3001,Analysis!$M3508)</f>
        <v>0</v>
      </c>
      <c r="Q3508" s="1" t="str">
        <f>IF(COUNTIF(Analysis!$M$2:$M$3001,Analysis!$M3508)&gt;1,"Duplicate","OK")</f>
        <v>OK</v>
      </c>
      <c r="R3508" s="1" t="str">
        <f t="shared" si="1"/>
        <v>#N/A</v>
      </c>
    </row>
    <row r="3509" ht="14.25" customHeight="1">
      <c r="A3509" s="61"/>
      <c r="B3509" s="55"/>
      <c r="C3509" s="55"/>
      <c r="D3509" s="55"/>
      <c r="E3509" s="55"/>
      <c r="F3509" s="55"/>
      <c r="G3509" s="55"/>
      <c r="H3509" s="62"/>
      <c r="I3509" s="62"/>
      <c r="J3509" s="55"/>
      <c r="K3509" s="55"/>
      <c r="L3509" s="55"/>
      <c r="P3509" s="1">
        <f>COUNTIF(Analysis!$M$1:$M$3001,Analysis!$M3509)</f>
        <v>0</v>
      </c>
      <c r="Q3509" s="1" t="str">
        <f>IF(COUNTIF(Analysis!$M$2:$M$3001,Analysis!$M3509)&gt;1,"Duplicate","OK")</f>
        <v>OK</v>
      </c>
      <c r="R3509" s="1" t="str">
        <f t="shared" si="1"/>
        <v>#N/A</v>
      </c>
    </row>
    <row r="3510" ht="14.25" customHeight="1">
      <c r="A3510" s="61"/>
      <c r="B3510" s="55"/>
      <c r="C3510" s="55"/>
      <c r="D3510" s="55"/>
      <c r="E3510" s="55"/>
      <c r="F3510" s="55"/>
      <c r="G3510" s="55"/>
      <c r="H3510" s="62"/>
      <c r="I3510" s="62"/>
      <c r="J3510" s="55"/>
      <c r="K3510" s="55"/>
      <c r="L3510" s="55"/>
      <c r="P3510" s="1">
        <f>COUNTIF(Analysis!$M$1:$M$3001,Analysis!$M3510)</f>
        <v>0</v>
      </c>
      <c r="Q3510" s="1" t="str">
        <f>IF(COUNTIF(Analysis!$M$2:$M$3001,Analysis!$M3510)&gt;1,"Duplicate","OK")</f>
        <v>OK</v>
      </c>
      <c r="R3510" s="1" t="str">
        <f t="shared" si="1"/>
        <v>#N/A</v>
      </c>
    </row>
    <row r="3511" ht="14.25" customHeight="1">
      <c r="A3511" s="61"/>
      <c r="B3511" s="55"/>
      <c r="C3511" s="55"/>
      <c r="D3511" s="55"/>
      <c r="E3511" s="55"/>
      <c r="F3511" s="55"/>
      <c r="G3511" s="55"/>
      <c r="H3511" s="62"/>
      <c r="I3511" s="62"/>
      <c r="J3511" s="55"/>
      <c r="K3511" s="55"/>
      <c r="L3511" s="55"/>
      <c r="P3511" s="1">
        <f>COUNTIF(Analysis!$M$1:$M$3001,Analysis!$M3511)</f>
        <v>0</v>
      </c>
      <c r="Q3511" s="1" t="str">
        <f>IF(COUNTIF(Analysis!$M$2:$M$3001,Analysis!$M3511)&gt;1,"Duplicate","OK")</f>
        <v>OK</v>
      </c>
      <c r="R3511" s="1" t="str">
        <f t="shared" si="1"/>
        <v>#N/A</v>
      </c>
    </row>
    <row r="3512" ht="14.25" customHeight="1">
      <c r="A3512" s="61"/>
      <c r="B3512" s="55"/>
      <c r="C3512" s="55"/>
      <c r="D3512" s="55"/>
      <c r="E3512" s="55"/>
      <c r="F3512" s="55"/>
      <c r="G3512" s="55"/>
      <c r="H3512" s="62"/>
      <c r="I3512" s="62"/>
      <c r="J3512" s="55"/>
      <c r="K3512" s="55"/>
      <c r="L3512" s="55"/>
      <c r="P3512" s="1">
        <f>COUNTIF(Analysis!$M$1:$M$3001,Analysis!$M3512)</f>
        <v>0</v>
      </c>
      <c r="Q3512" s="1" t="str">
        <f>IF(COUNTIF(Analysis!$M$2:$M$3001,Analysis!$M3512)&gt;1,"Duplicate","OK")</f>
        <v>OK</v>
      </c>
      <c r="R3512" s="1" t="str">
        <f t="shared" si="1"/>
        <v>#N/A</v>
      </c>
    </row>
    <row r="3513" ht="14.25" customHeight="1">
      <c r="A3513" s="61"/>
      <c r="B3513" s="55"/>
      <c r="C3513" s="55"/>
      <c r="D3513" s="55"/>
      <c r="E3513" s="55"/>
      <c r="F3513" s="55"/>
      <c r="G3513" s="55"/>
      <c r="H3513" s="62"/>
      <c r="I3513" s="62"/>
      <c r="J3513" s="55"/>
      <c r="K3513" s="55"/>
      <c r="L3513" s="55"/>
      <c r="P3513" s="1">
        <f>COUNTIF(Analysis!$M$1:$M$3001,Analysis!$M3513)</f>
        <v>0</v>
      </c>
      <c r="Q3513" s="1" t="str">
        <f>IF(COUNTIF(Analysis!$M$2:$M$3001,Analysis!$M3513)&gt;1,"Duplicate","OK")</f>
        <v>OK</v>
      </c>
      <c r="R3513" s="1" t="str">
        <f t="shared" si="1"/>
        <v>#N/A</v>
      </c>
    </row>
    <row r="3514" ht="14.25" customHeight="1">
      <c r="A3514" s="61"/>
      <c r="B3514" s="55"/>
      <c r="C3514" s="55"/>
      <c r="D3514" s="55"/>
      <c r="E3514" s="55"/>
      <c r="F3514" s="55"/>
      <c r="G3514" s="55"/>
      <c r="H3514" s="62"/>
      <c r="I3514" s="62"/>
      <c r="J3514" s="55"/>
      <c r="K3514" s="55"/>
      <c r="L3514" s="55"/>
      <c r="P3514" s="1">
        <f>COUNTIF(Analysis!$M$1:$M$3001,Analysis!$M3514)</f>
        <v>0</v>
      </c>
      <c r="Q3514" s="1" t="str">
        <f>IF(COUNTIF(Analysis!$M$2:$M$3001,Analysis!$M3514)&gt;1,"Duplicate","OK")</f>
        <v>OK</v>
      </c>
      <c r="R3514" s="1" t="str">
        <f t="shared" si="1"/>
        <v>#N/A</v>
      </c>
    </row>
    <row r="3515" ht="14.25" customHeight="1">
      <c r="A3515" s="61"/>
      <c r="B3515" s="55"/>
      <c r="C3515" s="55"/>
      <c r="D3515" s="55"/>
      <c r="E3515" s="55"/>
      <c r="F3515" s="55"/>
      <c r="G3515" s="55"/>
      <c r="H3515" s="62"/>
      <c r="I3515" s="62"/>
      <c r="J3515" s="55"/>
      <c r="K3515" s="55"/>
      <c r="L3515" s="55"/>
      <c r="P3515" s="1">
        <f>COUNTIF(Analysis!$M$1:$M$3001,Analysis!$M3515)</f>
        <v>0</v>
      </c>
      <c r="Q3515" s="1" t="str">
        <f>IF(COUNTIF(Analysis!$M$2:$M$3001,Analysis!$M3515)&gt;1,"Duplicate","OK")</f>
        <v>OK</v>
      </c>
      <c r="R3515" s="1" t="str">
        <f t="shared" si="1"/>
        <v>#N/A</v>
      </c>
    </row>
    <row r="3516" ht="14.25" customHeight="1">
      <c r="A3516" s="61"/>
      <c r="B3516" s="55"/>
      <c r="C3516" s="55"/>
      <c r="D3516" s="55"/>
      <c r="E3516" s="55"/>
      <c r="F3516" s="55"/>
      <c r="G3516" s="55"/>
      <c r="H3516" s="62"/>
      <c r="I3516" s="62"/>
      <c r="J3516" s="55"/>
      <c r="K3516" s="55"/>
      <c r="L3516" s="55"/>
      <c r="P3516" s="1">
        <f>COUNTIF(Analysis!$M$1:$M$3001,Analysis!$M3516)</f>
        <v>0</v>
      </c>
      <c r="Q3516" s="1" t="str">
        <f>IF(COUNTIF(Analysis!$M$2:$M$3001,Analysis!$M3516)&gt;1,"Duplicate","OK")</f>
        <v>OK</v>
      </c>
      <c r="R3516" s="1" t="str">
        <f t="shared" si="1"/>
        <v>#N/A</v>
      </c>
    </row>
    <row r="3517" ht="14.25" customHeight="1">
      <c r="A3517" s="61"/>
      <c r="B3517" s="55"/>
      <c r="C3517" s="55"/>
      <c r="D3517" s="55"/>
      <c r="E3517" s="55"/>
      <c r="F3517" s="55"/>
      <c r="G3517" s="55"/>
      <c r="H3517" s="62"/>
      <c r="I3517" s="62"/>
      <c r="J3517" s="55"/>
      <c r="K3517" s="55"/>
      <c r="L3517" s="55"/>
      <c r="P3517" s="1">
        <f>COUNTIF(Analysis!$M$1:$M$3001,Analysis!$M3517)</f>
        <v>0</v>
      </c>
      <c r="Q3517" s="1" t="str">
        <f>IF(COUNTIF(Analysis!$M$2:$M$3001,Analysis!$M3517)&gt;1,"Duplicate","OK")</f>
        <v>OK</v>
      </c>
      <c r="R3517" s="1" t="str">
        <f t="shared" si="1"/>
        <v>#N/A</v>
      </c>
    </row>
    <row r="3518" ht="14.25" customHeight="1">
      <c r="A3518" s="61"/>
      <c r="B3518" s="55"/>
      <c r="C3518" s="55"/>
      <c r="D3518" s="55"/>
      <c r="E3518" s="55"/>
      <c r="F3518" s="55"/>
      <c r="G3518" s="55"/>
      <c r="H3518" s="62"/>
      <c r="I3518" s="62"/>
      <c r="J3518" s="55"/>
      <c r="K3518" s="55"/>
      <c r="L3518" s="55"/>
      <c r="P3518" s="1">
        <f>COUNTIF(Analysis!$M$1:$M$3001,Analysis!$M3518)</f>
        <v>0</v>
      </c>
      <c r="Q3518" s="1" t="str">
        <f>IF(COUNTIF(Analysis!$M$2:$M$3001,Analysis!$M3518)&gt;1,"Duplicate","OK")</f>
        <v>OK</v>
      </c>
      <c r="R3518" s="1" t="str">
        <f t="shared" si="1"/>
        <v>#N/A</v>
      </c>
    </row>
    <row r="3519" ht="14.25" customHeight="1">
      <c r="A3519" s="61"/>
      <c r="B3519" s="55"/>
      <c r="C3519" s="55"/>
      <c r="D3519" s="55"/>
      <c r="E3519" s="55"/>
      <c r="F3519" s="55"/>
      <c r="G3519" s="55"/>
      <c r="H3519" s="62"/>
      <c r="I3519" s="62"/>
      <c r="J3519" s="55"/>
      <c r="K3519" s="55"/>
      <c r="L3519" s="55"/>
      <c r="P3519" s="1">
        <f>COUNTIF(Analysis!$M$1:$M$3001,Analysis!$M3519)</f>
        <v>0</v>
      </c>
      <c r="Q3519" s="1" t="str">
        <f>IF(COUNTIF(Analysis!$M$2:$M$3001,Analysis!$M3519)&gt;1,"Duplicate","OK")</f>
        <v>OK</v>
      </c>
      <c r="R3519" s="1" t="str">
        <f t="shared" si="1"/>
        <v>#N/A</v>
      </c>
    </row>
    <row r="3520" ht="14.25" customHeight="1">
      <c r="A3520" s="61"/>
      <c r="B3520" s="55"/>
      <c r="C3520" s="55"/>
      <c r="D3520" s="55"/>
      <c r="E3520" s="55"/>
      <c r="F3520" s="55"/>
      <c r="G3520" s="55"/>
      <c r="H3520" s="62"/>
      <c r="I3520" s="62"/>
      <c r="J3520" s="55"/>
      <c r="K3520" s="55"/>
      <c r="L3520" s="55"/>
      <c r="P3520" s="1">
        <f>COUNTIF(Analysis!$M$1:$M$3001,Analysis!$M3520)</f>
        <v>0</v>
      </c>
      <c r="Q3520" s="1" t="str">
        <f>IF(COUNTIF(Analysis!$M$2:$M$3001,Analysis!$M3520)&gt;1,"Duplicate","OK")</f>
        <v>OK</v>
      </c>
      <c r="R3520" s="1" t="str">
        <f t="shared" si="1"/>
        <v>#N/A</v>
      </c>
    </row>
    <row r="3521" ht="14.25" customHeight="1">
      <c r="A3521" s="61"/>
      <c r="B3521" s="55"/>
      <c r="C3521" s="55"/>
      <c r="D3521" s="55"/>
      <c r="E3521" s="55"/>
      <c r="F3521" s="55"/>
      <c r="G3521" s="55"/>
      <c r="H3521" s="62"/>
      <c r="I3521" s="62"/>
      <c r="J3521" s="55"/>
      <c r="K3521" s="55"/>
      <c r="L3521" s="55"/>
      <c r="P3521" s="1">
        <f>COUNTIF(Analysis!$M$1:$M$3001,Analysis!$M3521)</f>
        <v>0</v>
      </c>
      <c r="Q3521" s="1" t="str">
        <f>IF(COUNTIF(Analysis!$M$2:$M$3001,Analysis!$M3521)&gt;1,"Duplicate","OK")</f>
        <v>OK</v>
      </c>
      <c r="R3521" s="1" t="str">
        <f t="shared" si="1"/>
        <v>#N/A</v>
      </c>
    </row>
    <row r="3522" ht="14.25" customHeight="1">
      <c r="A3522" s="61"/>
      <c r="B3522" s="55"/>
      <c r="C3522" s="55"/>
      <c r="D3522" s="55"/>
      <c r="E3522" s="55"/>
      <c r="F3522" s="55"/>
      <c r="G3522" s="55"/>
      <c r="H3522" s="62"/>
      <c r="I3522" s="62"/>
      <c r="J3522" s="55"/>
      <c r="K3522" s="55"/>
      <c r="L3522" s="55"/>
      <c r="P3522" s="1">
        <f>COUNTIF(Analysis!$M$1:$M$3001,Analysis!$M3522)</f>
        <v>0</v>
      </c>
      <c r="Q3522" s="1" t="str">
        <f>IF(COUNTIF(Analysis!$M$2:$M$3001,Analysis!$M3522)&gt;1,"Duplicate","OK")</f>
        <v>OK</v>
      </c>
      <c r="R3522" s="1" t="str">
        <f t="shared" si="1"/>
        <v>#N/A</v>
      </c>
    </row>
    <row r="3523" ht="14.25" customHeight="1">
      <c r="A3523" s="61"/>
      <c r="B3523" s="55"/>
      <c r="C3523" s="55"/>
      <c r="D3523" s="55"/>
      <c r="E3523" s="55"/>
      <c r="F3523" s="55"/>
      <c r="G3523" s="55"/>
      <c r="H3523" s="62"/>
      <c r="I3523" s="62"/>
      <c r="J3523" s="55"/>
      <c r="K3523" s="55"/>
      <c r="L3523" s="55"/>
      <c r="P3523" s="1">
        <f>COUNTIF(Analysis!$M$1:$M$3001,Analysis!$M3523)</f>
        <v>0</v>
      </c>
      <c r="Q3523" s="1" t="str">
        <f>IF(COUNTIF(Analysis!$M$2:$M$3001,Analysis!$M3523)&gt;1,"Duplicate","OK")</f>
        <v>OK</v>
      </c>
      <c r="R3523" s="1" t="str">
        <f t="shared" si="1"/>
        <v>#N/A</v>
      </c>
    </row>
    <row r="3524" ht="14.25" customHeight="1">
      <c r="A3524" s="61"/>
      <c r="B3524" s="55"/>
      <c r="C3524" s="55"/>
      <c r="D3524" s="55"/>
      <c r="E3524" s="55"/>
      <c r="F3524" s="55"/>
      <c r="G3524" s="55"/>
      <c r="H3524" s="62"/>
      <c r="I3524" s="62"/>
      <c r="J3524" s="55"/>
      <c r="K3524" s="55"/>
      <c r="L3524" s="55"/>
      <c r="P3524" s="1">
        <f>COUNTIF(Analysis!$M$1:$M$3001,Analysis!$M3524)</f>
        <v>0</v>
      </c>
      <c r="Q3524" s="1" t="str">
        <f>IF(COUNTIF(Analysis!$M$2:$M$3001,Analysis!$M3524)&gt;1,"Duplicate","OK")</f>
        <v>OK</v>
      </c>
      <c r="R3524" s="1" t="str">
        <f t="shared" si="1"/>
        <v>#N/A</v>
      </c>
    </row>
    <row r="3525" ht="14.25" customHeight="1">
      <c r="A3525" s="61"/>
      <c r="B3525" s="55"/>
      <c r="C3525" s="55"/>
      <c r="D3525" s="55"/>
      <c r="E3525" s="55"/>
      <c r="F3525" s="55"/>
      <c r="G3525" s="55"/>
      <c r="H3525" s="62"/>
      <c r="I3525" s="62"/>
      <c r="J3525" s="55"/>
      <c r="K3525" s="55"/>
      <c r="L3525" s="55"/>
      <c r="P3525" s="1">
        <f>COUNTIF(Analysis!$M$1:$M$3001,Analysis!$M3525)</f>
        <v>0</v>
      </c>
      <c r="Q3525" s="1" t="str">
        <f>IF(COUNTIF(Analysis!$M$2:$M$3001,Analysis!$M3525)&gt;1,"Duplicate","OK")</f>
        <v>OK</v>
      </c>
      <c r="R3525" s="1" t="str">
        <f t="shared" si="1"/>
        <v>#N/A</v>
      </c>
    </row>
    <row r="3526" ht="14.25" customHeight="1">
      <c r="A3526" s="61"/>
      <c r="B3526" s="55"/>
      <c r="C3526" s="55"/>
      <c r="D3526" s="55"/>
      <c r="E3526" s="55"/>
      <c r="F3526" s="55"/>
      <c r="G3526" s="55"/>
      <c r="H3526" s="62"/>
      <c r="I3526" s="62"/>
      <c r="J3526" s="55"/>
      <c r="K3526" s="55"/>
      <c r="L3526" s="55"/>
      <c r="P3526" s="1">
        <f>COUNTIF(Analysis!$M$1:$M$3001,Analysis!$M3526)</f>
        <v>0</v>
      </c>
      <c r="Q3526" s="1" t="str">
        <f>IF(COUNTIF(Analysis!$M$2:$M$3001,Analysis!$M3526)&gt;1,"Duplicate","OK")</f>
        <v>OK</v>
      </c>
      <c r="R3526" s="1" t="str">
        <f t="shared" si="1"/>
        <v>#N/A</v>
      </c>
    </row>
    <row r="3527" ht="14.25" customHeight="1">
      <c r="A3527" s="61"/>
      <c r="B3527" s="55"/>
      <c r="C3527" s="55"/>
      <c r="D3527" s="55"/>
      <c r="E3527" s="55"/>
      <c r="F3527" s="55"/>
      <c r="G3527" s="55"/>
      <c r="H3527" s="62"/>
      <c r="I3527" s="62"/>
      <c r="J3527" s="55"/>
      <c r="K3527" s="55"/>
      <c r="L3527" s="55"/>
      <c r="P3527" s="1">
        <f>COUNTIF(Analysis!$M$1:$M$3001,Analysis!$M3527)</f>
        <v>0</v>
      </c>
      <c r="Q3527" s="1" t="str">
        <f>IF(COUNTIF(Analysis!$M$2:$M$3001,Analysis!$M3527)&gt;1,"Duplicate","OK")</f>
        <v>OK</v>
      </c>
      <c r="R3527" s="1" t="str">
        <f t="shared" si="1"/>
        <v>#N/A</v>
      </c>
    </row>
    <row r="3528" ht="14.25" customHeight="1">
      <c r="A3528" s="61"/>
      <c r="B3528" s="55"/>
      <c r="C3528" s="55"/>
      <c r="D3528" s="55"/>
      <c r="E3528" s="55"/>
      <c r="F3528" s="55"/>
      <c r="G3528" s="55"/>
      <c r="H3528" s="62"/>
      <c r="I3528" s="62"/>
      <c r="J3528" s="55"/>
      <c r="K3528" s="55"/>
      <c r="L3528" s="55"/>
      <c r="P3528" s="1">
        <f>COUNTIF(Analysis!$M$1:$M$3001,Analysis!$M3528)</f>
        <v>0</v>
      </c>
      <c r="Q3528" s="1" t="str">
        <f>IF(COUNTIF(Analysis!$M$2:$M$3001,Analysis!$M3528)&gt;1,"Duplicate","OK")</f>
        <v>OK</v>
      </c>
      <c r="R3528" s="1" t="str">
        <f t="shared" si="1"/>
        <v>#N/A</v>
      </c>
    </row>
    <row r="3529" ht="14.25" customHeight="1">
      <c r="A3529" s="61"/>
      <c r="B3529" s="55"/>
      <c r="C3529" s="55"/>
      <c r="D3529" s="55"/>
      <c r="E3529" s="55"/>
      <c r="F3529" s="55"/>
      <c r="G3529" s="55"/>
      <c r="H3529" s="62"/>
      <c r="I3529" s="62"/>
      <c r="J3529" s="55"/>
      <c r="K3529" s="55"/>
      <c r="L3529" s="55"/>
      <c r="P3529" s="1">
        <f>COUNTIF(Analysis!$M$1:$M$3001,Analysis!$M3529)</f>
        <v>0</v>
      </c>
      <c r="Q3529" s="1" t="str">
        <f>IF(COUNTIF(Analysis!$M$2:$M$3001,Analysis!$M3529)&gt;1,"Duplicate","OK")</f>
        <v>OK</v>
      </c>
      <c r="R3529" s="1" t="str">
        <f t="shared" si="1"/>
        <v>#N/A</v>
      </c>
    </row>
    <row r="3530" ht="14.25" customHeight="1">
      <c r="A3530" s="61"/>
      <c r="B3530" s="55"/>
      <c r="C3530" s="55"/>
      <c r="D3530" s="55"/>
      <c r="E3530" s="55"/>
      <c r="F3530" s="55"/>
      <c r="G3530" s="55"/>
      <c r="H3530" s="62"/>
      <c r="I3530" s="62"/>
      <c r="J3530" s="55"/>
      <c r="K3530" s="55"/>
      <c r="L3530" s="55"/>
      <c r="P3530" s="1">
        <f>COUNTIF(Analysis!$M$1:$M$3001,Analysis!$M3530)</f>
        <v>0</v>
      </c>
      <c r="Q3530" s="1" t="str">
        <f>IF(COUNTIF(Analysis!$M$2:$M$3001,Analysis!$M3530)&gt;1,"Duplicate","OK")</f>
        <v>OK</v>
      </c>
      <c r="R3530" s="1" t="str">
        <f t="shared" si="1"/>
        <v>#N/A</v>
      </c>
    </row>
    <row r="3531" ht="14.25" customHeight="1">
      <c r="A3531" s="61"/>
      <c r="B3531" s="55"/>
      <c r="C3531" s="55"/>
      <c r="D3531" s="55"/>
      <c r="E3531" s="55"/>
      <c r="F3531" s="55"/>
      <c r="G3531" s="55"/>
      <c r="H3531" s="62"/>
      <c r="I3531" s="62"/>
      <c r="J3531" s="55"/>
      <c r="K3531" s="55"/>
      <c r="L3531" s="55"/>
      <c r="P3531" s="1">
        <f>COUNTIF(Analysis!$M$1:$M$3001,Analysis!$M3531)</f>
        <v>0</v>
      </c>
      <c r="Q3531" s="1" t="str">
        <f>IF(COUNTIF(Analysis!$M$2:$M$3001,Analysis!$M3531)&gt;1,"Duplicate","OK")</f>
        <v>OK</v>
      </c>
      <c r="R3531" s="1" t="str">
        <f t="shared" si="1"/>
        <v>#N/A</v>
      </c>
    </row>
    <row r="3532" ht="14.25" customHeight="1">
      <c r="A3532" s="61"/>
      <c r="B3532" s="55"/>
      <c r="C3532" s="55"/>
      <c r="D3532" s="55"/>
      <c r="E3532" s="55"/>
      <c r="F3532" s="55"/>
      <c r="G3532" s="55"/>
      <c r="H3532" s="62"/>
      <c r="I3532" s="62"/>
      <c r="J3532" s="55"/>
      <c r="K3532" s="55"/>
      <c r="L3532" s="55"/>
      <c r="P3532" s="1">
        <f>COUNTIF(Analysis!$M$1:$M$3001,Analysis!$M3532)</f>
        <v>0</v>
      </c>
      <c r="Q3532" s="1" t="str">
        <f>IF(COUNTIF(Analysis!$M$2:$M$3001,Analysis!$M3532)&gt;1,"Duplicate","OK")</f>
        <v>OK</v>
      </c>
      <c r="R3532" s="1" t="str">
        <f t="shared" si="1"/>
        <v>#N/A</v>
      </c>
    </row>
    <row r="3533" ht="14.25" customHeight="1">
      <c r="A3533" s="61"/>
      <c r="B3533" s="55"/>
      <c r="C3533" s="55"/>
      <c r="D3533" s="55"/>
      <c r="E3533" s="55"/>
      <c r="F3533" s="55"/>
      <c r="G3533" s="55"/>
      <c r="H3533" s="62"/>
      <c r="I3533" s="62"/>
      <c r="J3533" s="55"/>
      <c r="K3533" s="55"/>
      <c r="L3533" s="55"/>
      <c r="P3533" s="1">
        <f>COUNTIF(Analysis!$M$1:$M$3001,Analysis!$M3533)</f>
        <v>0</v>
      </c>
      <c r="Q3533" s="1" t="str">
        <f>IF(COUNTIF(Analysis!$M$2:$M$3001,Analysis!$M3533)&gt;1,"Duplicate","OK")</f>
        <v>OK</v>
      </c>
      <c r="R3533" s="1" t="str">
        <f t="shared" si="1"/>
        <v>#N/A</v>
      </c>
    </row>
    <row r="3534" ht="14.25" customHeight="1">
      <c r="A3534" s="61"/>
      <c r="B3534" s="55"/>
      <c r="C3534" s="55"/>
      <c r="D3534" s="55"/>
      <c r="E3534" s="55"/>
      <c r="F3534" s="55"/>
      <c r="G3534" s="55"/>
      <c r="H3534" s="62"/>
      <c r="I3534" s="62"/>
      <c r="J3534" s="55"/>
      <c r="K3534" s="55"/>
      <c r="L3534" s="55"/>
      <c r="P3534" s="1">
        <f>COUNTIF(Analysis!$M$1:$M$3001,Analysis!$M3534)</f>
        <v>0</v>
      </c>
      <c r="Q3534" s="1" t="str">
        <f>IF(COUNTIF(Analysis!$M$2:$M$3001,Analysis!$M3534)&gt;1,"Duplicate","OK")</f>
        <v>OK</v>
      </c>
      <c r="R3534" s="1" t="str">
        <f t="shared" si="1"/>
        <v>#N/A</v>
      </c>
    </row>
  </sheetData>
  <dataValidations>
    <dataValidation type="custom" allowBlank="1" showDropDown="1" sqref="BH6:BH229 A2:A300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28">
      <c r="L28" s="63"/>
      <c r="M28" s="64"/>
    </row>
    <row r="31">
      <c r="L31" s="63"/>
      <c r="M31" s="65"/>
    </row>
    <row r="34">
      <c r="L34" s="63"/>
      <c r="M34" s="65"/>
    </row>
  </sheetData>
  <printOptions horizontalCentered="1" verticalCentered="1"/>
  <pageMargins bottom="0.75" footer="0.0" header="0.0" left="0.7" right="0.7" top="0.75"/>
  <pageSetup paperSize="9" cellComments="atEnd" orientation="landscape" pageOrder="overThenDown"/>
  <drawing r:id="rId1"/>
</worksheet>
</file>